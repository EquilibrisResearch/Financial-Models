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3B486206-9614-414E-B293-936247659E58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39" i="10" l="1"/>
  <c r="AJ39" i="10"/>
  <c r="AI39" i="10"/>
  <c r="AH39" i="10"/>
  <c r="AG39" i="10"/>
  <c r="AF39" i="10"/>
  <c r="AE39" i="10"/>
  <c r="AD39" i="10"/>
  <c r="AC39" i="10"/>
  <c r="AK38" i="10"/>
  <c r="AJ38" i="10"/>
  <c r="AI38" i="10"/>
  <c r="AH38" i="10"/>
  <c r="AG38" i="10"/>
  <c r="AF38" i="10"/>
  <c r="AE38" i="10"/>
  <c r="AD38" i="10"/>
  <c r="AC38" i="10"/>
  <c r="AK37" i="10"/>
  <c r="AJ37" i="10"/>
  <c r="AI37" i="10"/>
  <c r="AH37" i="10"/>
  <c r="AG37" i="10"/>
  <c r="AF37" i="10"/>
  <c r="AE37" i="10"/>
  <c r="AD37" i="10"/>
  <c r="AC37" i="10"/>
  <c r="AK36" i="10"/>
  <c r="AJ36" i="10"/>
  <c r="AI36" i="10"/>
  <c r="AH36" i="10"/>
  <c r="AG36" i="10"/>
  <c r="AF36" i="10"/>
  <c r="AE36" i="10"/>
  <c r="AD36" i="10"/>
  <c r="AC36" i="10"/>
  <c r="AJ33" i="10"/>
  <c r="AK32" i="10"/>
  <c r="AJ32" i="10"/>
  <c r="AI32" i="10"/>
  <c r="AH32" i="10"/>
  <c r="AG32" i="10"/>
  <c r="AF32" i="10"/>
  <c r="AE32" i="10"/>
  <c r="AD32" i="10"/>
  <c r="AC32" i="10"/>
  <c r="AK31" i="10"/>
  <c r="AJ31" i="10"/>
  <c r="AI31" i="10"/>
  <c r="AH31" i="10"/>
  <c r="AG31" i="10"/>
  <c r="AG33" i="10" s="1"/>
  <c r="AF31" i="10"/>
  <c r="AE31" i="10"/>
  <c r="AD31" i="10"/>
  <c r="AC31" i="10"/>
  <c r="AK30" i="10"/>
  <c r="AJ30" i="10"/>
  <c r="AI30" i="10"/>
  <c r="AH30" i="10"/>
  <c r="AG30" i="10"/>
  <c r="AF30" i="10"/>
  <c r="AE30" i="10"/>
  <c r="AE33" i="10" s="1"/>
  <c r="AE34" i="10" s="1"/>
  <c r="AD30" i="10"/>
  <c r="AC30" i="10"/>
  <c r="AK29" i="10"/>
  <c r="AK33" i="10" s="1"/>
  <c r="AK34" i="10" s="1"/>
  <c r="AJ29" i="10"/>
  <c r="AI29" i="10"/>
  <c r="AI33" i="10" s="1"/>
  <c r="AH29" i="10"/>
  <c r="AH33" i="10" s="1"/>
  <c r="AH34" i="10" s="1"/>
  <c r="AG29" i="10"/>
  <c r="AF29" i="10"/>
  <c r="AF33" i="10" s="1"/>
  <c r="AF34" i="10" s="1"/>
  <c r="AE29" i="10"/>
  <c r="AD29" i="10"/>
  <c r="AD33" i="10" s="1"/>
  <c r="AD34" i="10" s="1"/>
  <c r="AC29" i="10"/>
  <c r="AC33" i="10" s="1"/>
  <c r="AC34" i="10" s="1"/>
  <c r="AK24" i="10"/>
  <c r="AJ24" i="10"/>
  <c r="AI24" i="10"/>
  <c r="AH24" i="10"/>
  <c r="AG24" i="10"/>
  <c r="AF24" i="10"/>
  <c r="AE24" i="10"/>
  <c r="AD24" i="10"/>
  <c r="AC24" i="10"/>
  <c r="AK23" i="10"/>
  <c r="AJ23" i="10"/>
  <c r="AI23" i="10"/>
  <c r="AH23" i="10"/>
  <c r="AG23" i="10"/>
  <c r="AF23" i="10"/>
  <c r="AE23" i="10"/>
  <c r="AD23" i="10"/>
  <c r="AC23" i="10"/>
  <c r="AJ20" i="10"/>
  <c r="AJ21" i="10" s="1"/>
  <c r="AE20" i="10"/>
  <c r="AE21" i="10" s="1"/>
  <c r="AK19" i="10"/>
  <c r="AJ19" i="10"/>
  <c r="AI19" i="10"/>
  <c r="AH19" i="10"/>
  <c r="AG19" i="10"/>
  <c r="AF19" i="10"/>
  <c r="AE19" i="10"/>
  <c r="AD19" i="10"/>
  <c r="AC19" i="10"/>
  <c r="AK18" i="10"/>
  <c r="AK20" i="10" s="1"/>
  <c r="AK21" i="10" s="1"/>
  <c r="AJ18" i="10"/>
  <c r="AI18" i="10"/>
  <c r="AI20" i="10" s="1"/>
  <c r="AI21" i="10" s="1"/>
  <c r="AH18" i="10"/>
  <c r="AH20" i="10" s="1"/>
  <c r="AH21" i="10" s="1"/>
  <c r="AG18" i="10"/>
  <c r="AG20" i="10" s="1"/>
  <c r="AG21" i="10" s="1"/>
  <c r="AF18" i="10"/>
  <c r="AF20" i="10" s="1"/>
  <c r="AF21" i="10" s="1"/>
  <c r="AE18" i="10"/>
  <c r="AD18" i="10"/>
  <c r="AD20" i="10" s="1"/>
  <c r="AD21" i="10" s="1"/>
  <c r="AC18" i="10"/>
  <c r="AC20" i="10" s="1"/>
  <c r="AC21" i="10" s="1"/>
  <c r="AK15" i="10"/>
  <c r="AJ15" i="10"/>
  <c r="AI15" i="10"/>
  <c r="AH15" i="10"/>
  <c r="AG15" i="10"/>
  <c r="AF15" i="10"/>
  <c r="AE15" i="10"/>
  <c r="AD15" i="10"/>
  <c r="AC15" i="10"/>
  <c r="AK14" i="10"/>
  <c r="AJ14" i="10"/>
  <c r="AI14" i="10"/>
  <c r="AH14" i="10"/>
  <c r="AG14" i="10"/>
  <c r="AF14" i="10"/>
  <c r="AE14" i="10"/>
  <c r="AD14" i="10"/>
  <c r="AC14" i="10"/>
  <c r="AK11" i="10"/>
  <c r="AK12" i="10" s="1"/>
  <c r="AH11" i="10"/>
  <c r="AH12" i="10" s="1"/>
  <c r="AC11" i="10"/>
  <c r="AC12" i="10" s="1"/>
  <c r="AK10" i="10"/>
  <c r="AJ10" i="10"/>
  <c r="AI10" i="10"/>
  <c r="AH10" i="10"/>
  <c r="AG10" i="10"/>
  <c r="AF10" i="10"/>
  <c r="AE10" i="10"/>
  <c r="AD10" i="10"/>
  <c r="AC10" i="10"/>
  <c r="AK9" i="10"/>
  <c r="AJ9" i="10"/>
  <c r="AJ11" i="10" s="1"/>
  <c r="AJ12" i="10" s="1"/>
  <c r="AI9" i="10"/>
  <c r="AI11" i="10" s="1"/>
  <c r="AI12" i="10" s="1"/>
  <c r="AH9" i="10"/>
  <c r="AG9" i="10"/>
  <c r="AG11" i="10" s="1"/>
  <c r="AG12" i="10" s="1"/>
  <c r="AF9" i="10"/>
  <c r="AF11" i="10" s="1"/>
  <c r="AF12" i="10" s="1"/>
  <c r="AE9" i="10"/>
  <c r="AE11" i="10" s="1"/>
  <c r="AE12" i="10" s="1"/>
  <c r="AD9" i="10"/>
  <c r="AD11" i="10" s="1"/>
  <c r="AD12" i="10" s="1"/>
  <c r="AC9" i="10"/>
  <c r="AK4" i="10"/>
  <c r="AJ4" i="10"/>
  <c r="AI4" i="10"/>
  <c r="AH4" i="10"/>
  <c r="AG4" i="10"/>
  <c r="AF4" i="10"/>
  <c r="AE4" i="10"/>
  <c r="AD4" i="10"/>
  <c r="AC4" i="10"/>
  <c r="AK3" i="10"/>
  <c r="AJ3" i="10"/>
  <c r="AI3" i="10"/>
  <c r="AH3" i="10"/>
  <c r="AG3" i="10"/>
  <c r="AF3" i="10"/>
  <c r="AE3" i="10"/>
  <c r="AD3" i="10"/>
  <c r="AC3" i="10"/>
  <c r="AA34" i="10"/>
  <c r="Z34" i="10"/>
  <c r="Y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L34" i="10"/>
  <c r="K34" i="10"/>
  <c r="J34" i="10"/>
  <c r="I34" i="10"/>
  <c r="G34" i="10"/>
  <c r="F34" i="10"/>
  <c r="E34" i="10"/>
  <c r="D34" i="10"/>
  <c r="C34" i="10"/>
  <c r="AA9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G21" i="10"/>
  <c r="F21" i="10"/>
  <c r="E21" i="10"/>
  <c r="D21" i="10"/>
  <c r="C21" i="10"/>
  <c r="X69" i="8"/>
  <c r="X68" i="8"/>
  <c r="X67" i="8"/>
  <c r="X66" i="8"/>
  <c r="T69" i="8"/>
  <c r="AC69" i="8" s="1"/>
  <c r="T68" i="8"/>
  <c r="AC68" i="8" s="1"/>
  <c r="T67" i="8"/>
  <c r="T66" i="8"/>
  <c r="P69" i="8"/>
  <c r="P68" i="8"/>
  <c r="P67" i="8"/>
  <c r="P66" i="8"/>
  <c r="L69" i="8"/>
  <c r="L68" i="8"/>
  <c r="L67" i="8"/>
  <c r="L66" i="8"/>
  <c r="AJ68" i="8"/>
  <c r="AL68" i="8" s="1"/>
  <c r="AI68" i="8"/>
  <c r="AH68" i="8"/>
  <c r="AG68" i="8"/>
  <c r="AF68" i="8"/>
  <c r="AE68" i="8"/>
  <c r="AD68" i="8"/>
  <c r="X62" i="8"/>
  <c r="X61" i="8"/>
  <c r="X60" i="8"/>
  <c r="X59" i="8"/>
  <c r="AG59" i="8" s="1"/>
  <c r="X58" i="8"/>
  <c r="T62" i="8"/>
  <c r="T61" i="8"/>
  <c r="AC61" i="8" s="1"/>
  <c r="T60" i="8"/>
  <c r="T59" i="8"/>
  <c r="AC59" i="8" s="1"/>
  <c r="T58" i="8"/>
  <c r="P62" i="8"/>
  <c r="P61" i="8"/>
  <c r="P60" i="8"/>
  <c r="P59" i="8"/>
  <c r="P58" i="8"/>
  <c r="L62" i="8"/>
  <c r="L61" i="8"/>
  <c r="L60" i="8"/>
  <c r="L59" i="8"/>
  <c r="L58" i="8"/>
  <c r="AJ59" i="8"/>
  <c r="AI59" i="8"/>
  <c r="AH59" i="8"/>
  <c r="AF59" i="8"/>
  <c r="AE59" i="8"/>
  <c r="AD59" i="8"/>
  <c r="X54" i="8"/>
  <c r="X53" i="8"/>
  <c r="X52" i="8"/>
  <c r="AG52" i="8" s="1"/>
  <c r="X51" i="8"/>
  <c r="AG51" i="8" s="1"/>
  <c r="X50" i="8"/>
  <c r="X49" i="8"/>
  <c r="T54" i="8"/>
  <c r="T53" i="8"/>
  <c r="T52" i="8"/>
  <c r="T51" i="8"/>
  <c r="AC51" i="8" s="1"/>
  <c r="T50" i="8"/>
  <c r="T49" i="8"/>
  <c r="P54" i="8"/>
  <c r="P53" i="8"/>
  <c r="P52" i="8"/>
  <c r="P51" i="8"/>
  <c r="P50" i="8"/>
  <c r="P49" i="8"/>
  <c r="L54" i="8"/>
  <c r="L53" i="8"/>
  <c r="L52" i="8"/>
  <c r="L51" i="8"/>
  <c r="L50" i="8"/>
  <c r="L49" i="8"/>
  <c r="X27" i="8"/>
  <c r="X23" i="8"/>
  <c r="T27" i="8"/>
  <c r="T23" i="8"/>
  <c r="P27" i="8"/>
  <c r="P23" i="8"/>
  <c r="L27" i="8"/>
  <c r="L23" i="8"/>
  <c r="X13" i="8"/>
  <c r="AI13" i="8" s="1"/>
  <c r="X19" i="8"/>
  <c r="X18" i="8"/>
  <c r="X17" i="8"/>
  <c r="T13" i="8"/>
  <c r="AD13" i="8" s="1"/>
  <c r="T19" i="8"/>
  <c r="T18" i="8"/>
  <c r="T17" i="8"/>
  <c r="P13" i="8"/>
  <c r="P19" i="8"/>
  <c r="P18" i="8"/>
  <c r="P17" i="8"/>
  <c r="L13" i="8"/>
  <c r="L19" i="8"/>
  <c r="L18" i="8"/>
  <c r="L17" i="8"/>
  <c r="AL31" i="10"/>
  <c r="AL30" i="10"/>
  <c r="X10" i="10"/>
  <c r="X9" i="10"/>
  <c r="X19" i="10"/>
  <c r="AL19" i="10" s="1"/>
  <c r="X18" i="10"/>
  <c r="T10" i="10"/>
  <c r="T19" i="10"/>
  <c r="T18" i="10"/>
  <c r="P10" i="10"/>
  <c r="P19" i="10"/>
  <c r="P18" i="10"/>
  <c r="L10" i="10"/>
  <c r="L19" i="10"/>
  <c r="L18" i="10"/>
  <c r="Z9" i="10"/>
  <c r="R9" i="10"/>
  <c r="O9" i="10"/>
  <c r="K9" i="10"/>
  <c r="K11" i="10" s="1"/>
  <c r="J9" i="10"/>
  <c r="J11" i="10" s="1"/>
  <c r="J15" i="10" s="1"/>
  <c r="F9" i="10"/>
  <c r="X32" i="10"/>
  <c r="X31" i="10"/>
  <c r="X30" i="10"/>
  <c r="X29" i="10"/>
  <c r="T32" i="10"/>
  <c r="T31" i="10"/>
  <c r="T30" i="10"/>
  <c r="T29" i="10"/>
  <c r="P32" i="10"/>
  <c r="P31" i="10"/>
  <c r="P30" i="10"/>
  <c r="P29" i="10"/>
  <c r="L32" i="10"/>
  <c r="L31" i="10"/>
  <c r="L30" i="10"/>
  <c r="L29" i="10"/>
  <c r="B38" i="10"/>
  <c r="B37" i="10"/>
  <c r="B39" i="10"/>
  <c r="B36" i="10"/>
  <c r="AA33" i="10"/>
  <c r="Z33" i="10"/>
  <c r="Y33" i="10"/>
  <c r="W33" i="10"/>
  <c r="V33" i="10"/>
  <c r="U33" i="10"/>
  <c r="S33" i="10"/>
  <c r="R33" i="10"/>
  <c r="Q33" i="10"/>
  <c r="O33" i="10"/>
  <c r="N33" i="10"/>
  <c r="M33" i="10"/>
  <c r="K33" i="10"/>
  <c r="J33" i="10"/>
  <c r="I33" i="10"/>
  <c r="G33" i="10"/>
  <c r="F33" i="10"/>
  <c r="E33" i="10"/>
  <c r="D33" i="10"/>
  <c r="C33" i="10"/>
  <c r="B24" i="10"/>
  <c r="B23" i="10"/>
  <c r="AA20" i="10"/>
  <c r="Z20" i="10"/>
  <c r="Y20" i="10"/>
  <c r="W20" i="10"/>
  <c r="V20" i="10"/>
  <c r="U20" i="10"/>
  <c r="S20" i="10"/>
  <c r="R20" i="10"/>
  <c r="Q20" i="10"/>
  <c r="O20" i="10"/>
  <c r="N20" i="10"/>
  <c r="M20" i="10"/>
  <c r="K20" i="10"/>
  <c r="J20" i="10"/>
  <c r="I20" i="10"/>
  <c r="G20" i="10"/>
  <c r="F20" i="10"/>
  <c r="E20" i="10"/>
  <c r="D20" i="10"/>
  <c r="C20" i="10"/>
  <c r="L8" i="8"/>
  <c r="L4" i="10" s="1"/>
  <c r="I4" i="10"/>
  <c r="I3" i="10"/>
  <c r="K4" i="10"/>
  <c r="J4" i="10"/>
  <c r="L3" i="10"/>
  <c r="K3" i="10"/>
  <c r="J3" i="10"/>
  <c r="AG53" i="8"/>
  <c r="AG61" i="8"/>
  <c r="AG69" i="8"/>
  <c r="AG67" i="8"/>
  <c r="AC44" i="8"/>
  <c r="AC53" i="8"/>
  <c r="AC52" i="8"/>
  <c r="AC67" i="8"/>
  <c r="AJ61" i="8"/>
  <c r="AI61" i="8"/>
  <c r="AH61" i="8"/>
  <c r="AF61" i="8"/>
  <c r="AE61" i="8"/>
  <c r="AD61" i="8"/>
  <c r="AJ52" i="8"/>
  <c r="AI52" i="8"/>
  <c r="AH52" i="8"/>
  <c r="AF52" i="8"/>
  <c r="AE52" i="8"/>
  <c r="AD52" i="8"/>
  <c r="AJ53" i="8"/>
  <c r="AI53" i="8"/>
  <c r="AH53" i="8"/>
  <c r="AF53" i="8"/>
  <c r="AE53" i="8"/>
  <c r="AD53" i="8"/>
  <c r="AJ51" i="8"/>
  <c r="AI51" i="8"/>
  <c r="AH51" i="8"/>
  <c r="AF51" i="8"/>
  <c r="AE51" i="8"/>
  <c r="AD51" i="8"/>
  <c r="AJ44" i="8"/>
  <c r="AI44" i="8"/>
  <c r="AH44" i="8"/>
  <c r="AF44" i="8"/>
  <c r="AE44" i="8"/>
  <c r="AD44" i="8"/>
  <c r="AG44" i="8"/>
  <c r="P11" i="8"/>
  <c r="L11" i="8"/>
  <c r="L75" i="8"/>
  <c r="L74" i="8"/>
  <c r="L73" i="8"/>
  <c r="L34" i="8"/>
  <c r="L31" i="8"/>
  <c r="L113" i="8"/>
  <c r="K113" i="8"/>
  <c r="J113" i="8"/>
  <c r="I113" i="8"/>
  <c r="L109" i="8"/>
  <c r="K109" i="8"/>
  <c r="J109" i="8"/>
  <c r="I109" i="8"/>
  <c r="L103" i="8"/>
  <c r="K103" i="8"/>
  <c r="J103" i="8"/>
  <c r="I103" i="8"/>
  <c r="K84" i="8"/>
  <c r="J84" i="8"/>
  <c r="I84" i="8"/>
  <c r="L83" i="8"/>
  <c r="K83" i="8"/>
  <c r="J83" i="8"/>
  <c r="I83" i="8"/>
  <c r="K76" i="8"/>
  <c r="J76" i="8"/>
  <c r="I76" i="8"/>
  <c r="K63" i="8"/>
  <c r="K70" i="8" s="1"/>
  <c r="J63" i="8"/>
  <c r="J70" i="8" s="1"/>
  <c r="I63" i="8"/>
  <c r="I70" i="8" s="1"/>
  <c r="K46" i="8"/>
  <c r="K55" i="8" s="1"/>
  <c r="J46" i="8"/>
  <c r="J55" i="8" s="1"/>
  <c r="I46" i="8"/>
  <c r="I55" i="8" s="1"/>
  <c r="K39" i="8"/>
  <c r="J39" i="8"/>
  <c r="I39" i="8"/>
  <c r="L38" i="8"/>
  <c r="K38" i="8"/>
  <c r="J38" i="8"/>
  <c r="I38" i="8"/>
  <c r="K11" i="8"/>
  <c r="K20" i="8" s="1"/>
  <c r="J11" i="8"/>
  <c r="J20" i="8" s="1"/>
  <c r="I11" i="8"/>
  <c r="I20" i="8" s="1"/>
  <c r="P116" i="8"/>
  <c r="Q112" i="8" s="1"/>
  <c r="P115" i="8"/>
  <c r="P112" i="8"/>
  <c r="O112" i="8"/>
  <c r="N112" i="8"/>
  <c r="X34" i="8"/>
  <c r="T34" i="8"/>
  <c r="P34" i="8"/>
  <c r="P31" i="8"/>
  <c r="P108" i="8"/>
  <c r="P107" i="8"/>
  <c r="P106" i="8"/>
  <c r="P102" i="8"/>
  <c r="P101" i="8"/>
  <c r="P100" i="8"/>
  <c r="P99" i="8"/>
  <c r="P95" i="8"/>
  <c r="P94" i="8"/>
  <c r="P93" i="8"/>
  <c r="P92" i="8"/>
  <c r="P91" i="8"/>
  <c r="P90" i="8"/>
  <c r="AJ69" i="8"/>
  <c r="AI69" i="8"/>
  <c r="AH69" i="8"/>
  <c r="AF69" i="8"/>
  <c r="AE69" i="8"/>
  <c r="AD69" i="8"/>
  <c r="AJ67" i="8"/>
  <c r="AI67" i="8"/>
  <c r="AH67" i="8"/>
  <c r="AF67" i="8"/>
  <c r="AE67" i="8"/>
  <c r="AD67" i="8"/>
  <c r="P75" i="8"/>
  <c r="P74" i="8"/>
  <c r="P73" i="8"/>
  <c r="M4" i="10"/>
  <c r="M3" i="10"/>
  <c r="O11" i="10"/>
  <c r="O39" i="10" s="1"/>
  <c r="O4" i="10"/>
  <c r="N4" i="10"/>
  <c r="P3" i="10"/>
  <c r="O3" i="10"/>
  <c r="N3" i="10"/>
  <c r="P8" i="8"/>
  <c r="P39" i="8" s="1"/>
  <c r="N109" i="8"/>
  <c r="N103" i="8"/>
  <c r="N84" i="8"/>
  <c r="N83" i="8"/>
  <c r="N76" i="8"/>
  <c r="N63" i="8"/>
  <c r="N70" i="8" s="1"/>
  <c r="N46" i="8"/>
  <c r="N55" i="8" s="1"/>
  <c r="N39" i="8"/>
  <c r="N38" i="8"/>
  <c r="N11" i="8"/>
  <c r="N20" i="8" s="1"/>
  <c r="N24" i="8" s="1"/>
  <c r="M113" i="8"/>
  <c r="O109" i="8"/>
  <c r="M109" i="8"/>
  <c r="O103" i="8"/>
  <c r="M103" i="8"/>
  <c r="O84" i="8"/>
  <c r="M84" i="8"/>
  <c r="O83" i="8"/>
  <c r="M83" i="8"/>
  <c r="O76" i="8"/>
  <c r="M76" i="8"/>
  <c r="O63" i="8"/>
  <c r="O70" i="8" s="1"/>
  <c r="M63" i="8"/>
  <c r="M70" i="8" s="1"/>
  <c r="O46" i="8"/>
  <c r="O55" i="8" s="1"/>
  <c r="M46" i="8"/>
  <c r="M55" i="8" s="1"/>
  <c r="O39" i="8"/>
  <c r="M39" i="8"/>
  <c r="O38" i="8"/>
  <c r="M38" i="8"/>
  <c r="O11" i="8"/>
  <c r="O20" i="8" s="1"/>
  <c r="M11" i="8"/>
  <c r="M20" i="8" s="1"/>
  <c r="M24" i="8" s="1"/>
  <c r="P83" i="8"/>
  <c r="P38" i="8"/>
  <c r="AJ34" i="10" l="1"/>
  <c r="AI34" i="10"/>
  <c r="AG34" i="10"/>
  <c r="AL59" i="8"/>
  <c r="AL61" i="8"/>
  <c r="L84" i="8"/>
  <c r="D9" i="10"/>
  <c r="E9" i="10"/>
  <c r="G9" i="10"/>
  <c r="C9" i="10"/>
  <c r="C11" i="10" s="1"/>
  <c r="S9" i="10"/>
  <c r="M9" i="10"/>
  <c r="M11" i="10" s="1"/>
  <c r="M39" i="10" s="1"/>
  <c r="U9" i="10"/>
  <c r="N9" i="10"/>
  <c r="N11" i="10" s="1"/>
  <c r="N14" i="10" s="1"/>
  <c r="V9" i="10"/>
  <c r="W9" i="10"/>
  <c r="W11" i="10" s="1"/>
  <c r="I9" i="10"/>
  <c r="I11" i="10" s="1"/>
  <c r="I39" i="10" s="1"/>
  <c r="Q9" i="10"/>
  <c r="Y9" i="10"/>
  <c r="K14" i="10"/>
  <c r="K38" i="10"/>
  <c r="K37" i="10"/>
  <c r="J37" i="10"/>
  <c r="J38" i="10"/>
  <c r="M37" i="10"/>
  <c r="M38" i="10"/>
  <c r="O37" i="10"/>
  <c r="O38" i="10"/>
  <c r="K36" i="10"/>
  <c r="L33" i="10"/>
  <c r="AL29" i="10"/>
  <c r="O24" i="10"/>
  <c r="AL32" i="10"/>
  <c r="AL10" i="10"/>
  <c r="K24" i="10"/>
  <c r="O36" i="10"/>
  <c r="T33" i="10"/>
  <c r="O23" i="10"/>
  <c r="N36" i="10"/>
  <c r="J39" i="10"/>
  <c r="L20" i="10"/>
  <c r="X33" i="10"/>
  <c r="J23" i="10"/>
  <c r="P20" i="10"/>
  <c r="K39" i="10"/>
  <c r="X20" i="10"/>
  <c r="K23" i="10"/>
  <c r="J24" i="10"/>
  <c r="J36" i="10"/>
  <c r="P33" i="10"/>
  <c r="T20" i="10"/>
  <c r="AL18" i="10"/>
  <c r="AL20" i="10" s="1"/>
  <c r="L39" i="8"/>
  <c r="J12" i="10"/>
  <c r="K12" i="10"/>
  <c r="K15" i="10"/>
  <c r="J14" i="10"/>
  <c r="AL52" i="8"/>
  <c r="AL53" i="8"/>
  <c r="AL44" i="8"/>
  <c r="AL51" i="8"/>
  <c r="L46" i="8"/>
  <c r="L55" i="8" s="1"/>
  <c r="L63" i="8"/>
  <c r="L70" i="8" s="1"/>
  <c r="I77" i="8"/>
  <c r="I79" i="8" s="1"/>
  <c r="K77" i="8"/>
  <c r="K79" i="8" s="1"/>
  <c r="J77" i="8"/>
  <c r="J79" i="8" s="1"/>
  <c r="L76" i="8"/>
  <c r="AE13" i="8"/>
  <c r="L20" i="8"/>
  <c r="L21" i="8" s="1"/>
  <c r="I24" i="8"/>
  <c r="I21" i="8"/>
  <c r="J24" i="8"/>
  <c r="J21" i="8"/>
  <c r="K24" i="8"/>
  <c r="K21" i="8"/>
  <c r="I14" i="8"/>
  <c r="I15" i="8" s="1"/>
  <c r="J14" i="8"/>
  <c r="J15" i="8" s="1"/>
  <c r="K14" i="8"/>
  <c r="K15" i="8" s="1"/>
  <c r="L14" i="8"/>
  <c r="L15" i="8" s="1"/>
  <c r="P63" i="8"/>
  <c r="P70" i="8" s="1"/>
  <c r="P46" i="8"/>
  <c r="P55" i="8" s="1"/>
  <c r="P103" i="8"/>
  <c r="P109" i="8"/>
  <c r="AL67" i="8"/>
  <c r="AL69" i="8"/>
  <c r="P76" i="8"/>
  <c r="AC13" i="8"/>
  <c r="P14" i="8"/>
  <c r="P15" i="8" s="1"/>
  <c r="AJ13" i="8"/>
  <c r="P84" i="8"/>
  <c r="N77" i="8"/>
  <c r="N79" i="8" s="1"/>
  <c r="P4" i="10"/>
  <c r="M14" i="8"/>
  <c r="M15" i="8" s="1"/>
  <c r="N14" i="8"/>
  <c r="N15" i="8" s="1"/>
  <c r="O14" i="8"/>
  <c r="O15" i="8" s="1"/>
  <c r="M14" i="10"/>
  <c r="M12" i="10"/>
  <c r="O14" i="10"/>
  <c r="N15" i="10"/>
  <c r="O15" i="10"/>
  <c r="N12" i="10"/>
  <c r="O12" i="10"/>
  <c r="AF13" i="8"/>
  <c r="AG13" i="8"/>
  <c r="AH13" i="8"/>
  <c r="P20" i="8"/>
  <c r="P21" i="8" s="1"/>
  <c r="O77" i="8"/>
  <c r="O79" i="8" s="1"/>
  <c r="N25" i="8"/>
  <c r="N28" i="8"/>
  <c r="N21" i="8"/>
  <c r="M77" i="8"/>
  <c r="M79" i="8" s="1"/>
  <c r="O24" i="8"/>
  <c r="O21" i="8"/>
  <c r="M28" i="8"/>
  <c r="M25" i="8"/>
  <c r="M21" i="8"/>
  <c r="AJ75" i="8"/>
  <c r="AI75" i="8"/>
  <c r="AH75" i="8"/>
  <c r="AF75" i="8"/>
  <c r="AE75" i="8"/>
  <c r="AD75" i="8"/>
  <c r="AJ74" i="8"/>
  <c r="AI74" i="8"/>
  <c r="AH74" i="8"/>
  <c r="AF74" i="8"/>
  <c r="AE74" i="8"/>
  <c r="AD74" i="8"/>
  <c r="AJ73" i="8"/>
  <c r="AI73" i="8"/>
  <c r="AH73" i="8"/>
  <c r="AF73" i="8"/>
  <c r="AE73" i="8"/>
  <c r="AD73" i="8"/>
  <c r="X75" i="8"/>
  <c r="AG75" i="8" s="1"/>
  <c r="X74" i="8"/>
  <c r="AG74" i="8" s="1"/>
  <c r="X73" i="8"/>
  <c r="AG73" i="8" s="1"/>
  <c r="T75" i="8"/>
  <c r="AC75" i="8" s="1"/>
  <c r="T74" i="8"/>
  <c r="AC74" i="8" s="1"/>
  <c r="T73" i="8"/>
  <c r="AC73" i="8" s="1"/>
  <c r="AG62" i="8"/>
  <c r="AG60" i="8"/>
  <c r="AC62" i="8"/>
  <c r="AC60" i="8"/>
  <c r="AJ62" i="8"/>
  <c r="AI62" i="8"/>
  <c r="AH62" i="8"/>
  <c r="AF62" i="8"/>
  <c r="AE62" i="8"/>
  <c r="AD62" i="8"/>
  <c r="AJ60" i="8"/>
  <c r="AI60" i="8"/>
  <c r="AH60" i="8"/>
  <c r="AF60" i="8"/>
  <c r="AE60" i="8"/>
  <c r="AD60" i="8"/>
  <c r="AG45" i="8"/>
  <c r="AG43" i="8"/>
  <c r="AC45" i="8"/>
  <c r="AC43" i="8"/>
  <c r="AJ45" i="8"/>
  <c r="AI45" i="8"/>
  <c r="AH45" i="8"/>
  <c r="AF45" i="8"/>
  <c r="AE45" i="8"/>
  <c r="AD45" i="8"/>
  <c r="AJ43" i="8"/>
  <c r="AI43" i="8"/>
  <c r="AH43" i="8"/>
  <c r="AF43" i="8"/>
  <c r="AE43" i="8"/>
  <c r="AD43" i="8"/>
  <c r="AJ19" i="8"/>
  <c r="AG18" i="8"/>
  <c r="AC19" i="8"/>
  <c r="AF18" i="8"/>
  <c r="AA4" i="10"/>
  <c r="Z4" i="10"/>
  <c r="Y4" i="10"/>
  <c r="W4" i="10"/>
  <c r="V4" i="10"/>
  <c r="U4" i="10"/>
  <c r="S4" i="10"/>
  <c r="R4" i="10"/>
  <c r="Q4" i="10"/>
  <c r="AA3" i="10"/>
  <c r="Z3" i="10"/>
  <c r="Y3" i="10"/>
  <c r="X3" i="10"/>
  <c r="W3" i="10"/>
  <c r="V3" i="10"/>
  <c r="U3" i="10"/>
  <c r="T3" i="10"/>
  <c r="S3" i="10"/>
  <c r="R3" i="10"/>
  <c r="Q3" i="10"/>
  <c r="G4" i="10"/>
  <c r="F4" i="10"/>
  <c r="E4" i="10"/>
  <c r="D4" i="10"/>
  <c r="C4" i="10"/>
  <c r="G3" i="10"/>
  <c r="F3" i="10"/>
  <c r="E3" i="10"/>
  <c r="D3" i="10"/>
  <c r="C3" i="10"/>
  <c r="D11" i="10"/>
  <c r="B2" i="10"/>
  <c r="B15" i="10"/>
  <c r="B14" i="10"/>
  <c r="AA11" i="10"/>
  <c r="Z11" i="10"/>
  <c r="Y11" i="10"/>
  <c r="V11" i="10"/>
  <c r="U11" i="10"/>
  <c r="S11" i="10"/>
  <c r="R11" i="10"/>
  <c r="Q11" i="10"/>
  <c r="G11" i="10"/>
  <c r="F11" i="10"/>
  <c r="E11" i="10"/>
  <c r="N38" i="10" l="1"/>
  <c r="AA37" i="10"/>
  <c r="AL37" i="10" s="1"/>
  <c r="AA38" i="10"/>
  <c r="AL38" i="10" s="1"/>
  <c r="M36" i="10"/>
  <c r="M15" i="10"/>
  <c r="N39" i="10"/>
  <c r="I23" i="10"/>
  <c r="T9" i="10"/>
  <c r="T11" i="10" s="1"/>
  <c r="I24" i="10"/>
  <c r="L9" i="10"/>
  <c r="L11" i="10" s="1"/>
  <c r="L37" i="10" s="1"/>
  <c r="N23" i="10"/>
  <c r="M23" i="10"/>
  <c r="I15" i="10"/>
  <c r="I37" i="10"/>
  <c r="I38" i="10"/>
  <c r="I36" i="10"/>
  <c r="I12" i="10"/>
  <c r="I14" i="10"/>
  <c r="P9" i="10"/>
  <c r="N24" i="10"/>
  <c r="M24" i="10"/>
  <c r="N37" i="10"/>
  <c r="U38" i="10"/>
  <c r="U37" i="10"/>
  <c r="V38" i="10"/>
  <c r="V37" i="10"/>
  <c r="R38" i="10"/>
  <c r="R37" i="10"/>
  <c r="S37" i="10"/>
  <c r="S38" i="10"/>
  <c r="W38" i="10"/>
  <c r="W37" i="10"/>
  <c r="Y38" i="10"/>
  <c r="Y37" i="10"/>
  <c r="Z38" i="10"/>
  <c r="Z37" i="10"/>
  <c r="Q37" i="10"/>
  <c r="Q38" i="10"/>
  <c r="E37" i="10"/>
  <c r="E38" i="10"/>
  <c r="D38" i="10"/>
  <c r="D37" i="10"/>
  <c r="F38" i="10"/>
  <c r="F37" i="10"/>
  <c r="G37" i="10"/>
  <c r="G38" i="10"/>
  <c r="C37" i="10"/>
  <c r="C38" i="10"/>
  <c r="AL33" i="10"/>
  <c r="V24" i="10"/>
  <c r="V23" i="10"/>
  <c r="V39" i="10"/>
  <c r="V36" i="10"/>
  <c r="W39" i="10"/>
  <c r="W36" i="10"/>
  <c r="W24" i="10"/>
  <c r="W23" i="10"/>
  <c r="Q23" i="10"/>
  <c r="Q36" i="10"/>
  <c r="Q24" i="10"/>
  <c r="Q39" i="10"/>
  <c r="C39" i="10"/>
  <c r="C23" i="10"/>
  <c r="C36" i="10"/>
  <c r="C24" i="10"/>
  <c r="AL4" i="10"/>
  <c r="E24" i="10"/>
  <c r="E39" i="10"/>
  <c r="E36" i="10"/>
  <c r="E23" i="10"/>
  <c r="Y39" i="10"/>
  <c r="Y36" i="10"/>
  <c r="Y24" i="10"/>
  <c r="Y23" i="10"/>
  <c r="G36" i="10"/>
  <c r="G24" i="10"/>
  <c r="G23" i="10"/>
  <c r="G39" i="10"/>
  <c r="AA36" i="10"/>
  <c r="AL36" i="10" s="1"/>
  <c r="AA24" i="10"/>
  <c r="AL24" i="10" s="1"/>
  <c r="AA23" i="10"/>
  <c r="AL23" i="10" s="1"/>
  <c r="AA39" i="10"/>
  <c r="AL39" i="10" s="1"/>
  <c r="AL3" i="10"/>
  <c r="D39" i="10"/>
  <c r="D36" i="10"/>
  <c r="D24" i="10"/>
  <c r="D23" i="10"/>
  <c r="F39" i="10"/>
  <c r="F23" i="10"/>
  <c r="F36" i="10"/>
  <c r="F24" i="10"/>
  <c r="Z36" i="10"/>
  <c r="Z24" i="10"/>
  <c r="Z23" i="10"/>
  <c r="Z39" i="10"/>
  <c r="R36" i="10"/>
  <c r="R24" i="10"/>
  <c r="R23" i="10"/>
  <c r="R39" i="10"/>
  <c r="S36" i="10"/>
  <c r="S24" i="10"/>
  <c r="S23" i="10"/>
  <c r="S39" i="10"/>
  <c r="U24" i="10"/>
  <c r="U23" i="10"/>
  <c r="U39" i="10"/>
  <c r="U36" i="10"/>
  <c r="L77" i="8"/>
  <c r="L79" i="8" s="1"/>
  <c r="L24" i="8"/>
  <c r="L28" i="8" s="1"/>
  <c r="J28" i="8"/>
  <c r="J25" i="8"/>
  <c r="I28" i="8"/>
  <c r="I25" i="8"/>
  <c r="K28" i="8"/>
  <c r="K25" i="8"/>
  <c r="P77" i="8"/>
  <c r="P79" i="8" s="1"/>
  <c r="P24" i="8"/>
  <c r="P28" i="8" s="1"/>
  <c r="AL13" i="8"/>
  <c r="N35" i="8"/>
  <c r="N32" i="8"/>
  <c r="N29" i="8"/>
  <c r="N87" i="8"/>
  <c r="N96" i="8" s="1"/>
  <c r="N117" i="8" s="1"/>
  <c r="M32" i="8"/>
  <c r="M29" i="8"/>
  <c r="M87" i="8"/>
  <c r="M96" i="8" s="1"/>
  <c r="M117" i="8" s="1"/>
  <c r="M118" i="8" s="1"/>
  <c r="M35" i="8"/>
  <c r="O25" i="8"/>
  <c r="O28" i="8"/>
  <c r="AA15" i="10"/>
  <c r="AL15" i="10" s="1"/>
  <c r="S15" i="10"/>
  <c r="Q15" i="10"/>
  <c r="V15" i="10"/>
  <c r="F15" i="10"/>
  <c r="AL60" i="8"/>
  <c r="AL62" i="8"/>
  <c r="AL43" i="8"/>
  <c r="AL45" i="8"/>
  <c r="AD19" i="8"/>
  <c r="AF19" i="8"/>
  <c r="AL19" i="8" s="1"/>
  <c r="AH18" i="8"/>
  <c r="AJ18" i="8"/>
  <c r="AL18" i="8" s="1"/>
  <c r="AI18" i="8"/>
  <c r="AE19" i="8"/>
  <c r="AC18" i="8"/>
  <c r="AG19" i="8"/>
  <c r="AD18" i="8"/>
  <c r="AH19" i="8"/>
  <c r="AE18" i="8"/>
  <c r="AI19" i="8"/>
  <c r="U15" i="10"/>
  <c r="C14" i="10"/>
  <c r="C15" i="10"/>
  <c r="D15" i="10"/>
  <c r="D14" i="10"/>
  <c r="F14" i="10"/>
  <c r="Y15" i="10"/>
  <c r="U14" i="10"/>
  <c r="E15" i="10"/>
  <c r="Q14" i="10"/>
  <c r="V14" i="10"/>
  <c r="Y14" i="10"/>
  <c r="E14" i="10"/>
  <c r="S14" i="10"/>
  <c r="AA14" i="10"/>
  <c r="AL14" i="10" s="1"/>
  <c r="G15" i="10"/>
  <c r="W15" i="10"/>
  <c r="R15" i="10"/>
  <c r="Z15" i="10"/>
  <c r="G14" i="10"/>
  <c r="W14" i="10"/>
  <c r="X11" i="10"/>
  <c r="R14" i="10"/>
  <c r="Z14" i="10"/>
  <c r="L14" i="10" l="1"/>
  <c r="L24" i="10"/>
  <c r="L38" i="10"/>
  <c r="L15" i="10"/>
  <c r="AL9" i="10"/>
  <c r="AL21" i="10" s="1"/>
  <c r="P11" i="10"/>
  <c r="L12" i="10"/>
  <c r="L39" i="10"/>
  <c r="L23" i="10"/>
  <c r="L36" i="10"/>
  <c r="T38" i="10"/>
  <c r="T37" i="10"/>
  <c r="X38" i="10"/>
  <c r="X37" i="10"/>
  <c r="X36" i="10"/>
  <c r="X23" i="10"/>
  <c r="X24" i="10"/>
  <c r="X39" i="10"/>
  <c r="T23" i="10"/>
  <c r="T36" i="10"/>
  <c r="T39" i="10"/>
  <c r="T24" i="10"/>
  <c r="L25" i="8"/>
  <c r="J35" i="8"/>
  <c r="J32" i="8"/>
  <c r="J87" i="8"/>
  <c r="J96" i="8" s="1"/>
  <c r="J117" i="8" s="1"/>
  <c r="J118" i="8" s="1"/>
  <c r="J120" i="8" s="1"/>
  <c r="J29" i="8"/>
  <c r="I32" i="8"/>
  <c r="I87" i="8"/>
  <c r="I96" i="8" s="1"/>
  <c r="I117" i="8" s="1"/>
  <c r="I118" i="8" s="1"/>
  <c r="I120" i="8" s="1"/>
  <c r="I35" i="8"/>
  <c r="I29" i="8"/>
  <c r="K32" i="8"/>
  <c r="K87" i="8"/>
  <c r="K96" i="8" s="1"/>
  <c r="K117" i="8" s="1"/>
  <c r="K118" i="8" s="1"/>
  <c r="K120" i="8" s="1"/>
  <c r="K35" i="8"/>
  <c r="K29" i="8"/>
  <c r="L32" i="8"/>
  <c r="L87" i="8"/>
  <c r="L96" i="8" s="1"/>
  <c r="L117" i="8" s="1"/>
  <c r="L118" i="8" s="1"/>
  <c r="L120" i="8" s="1"/>
  <c r="L35" i="8"/>
  <c r="L29" i="8"/>
  <c r="M120" i="8"/>
  <c r="N111" i="8"/>
  <c r="N113" i="8" s="1"/>
  <c r="N118" i="8" s="1"/>
  <c r="P25" i="8"/>
  <c r="O32" i="8"/>
  <c r="O29" i="8"/>
  <c r="O87" i="8"/>
  <c r="O96" i="8" s="1"/>
  <c r="O117" i="8" s="1"/>
  <c r="O35" i="8"/>
  <c r="P35" i="8"/>
  <c r="P32" i="8"/>
  <c r="P29" i="8"/>
  <c r="P87" i="8"/>
  <c r="P96" i="8" s="1"/>
  <c r="P117" i="8" s="1"/>
  <c r="AL11" i="10"/>
  <c r="AL34" i="10" s="1"/>
  <c r="T15" i="10"/>
  <c r="T14" i="10"/>
  <c r="X15" i="10"/>
  <c r="X14" i="10"/>
  <c r="P36" i="10" l="1"/>
  <c r="P15" i="10"/>
  <c r="P38" i="10"/>
  <c r="P12" i="10"/>
  <c r="P37" i="10"/>
  <c r="P24" i="10"/>
  <c r="P14" i="10"/>
  <c r="P23" i="10"/>
  <c r="P39" i="10"/>
  <c r="N120" i="8"/>
  <c r="O111" i="8"/>
  <c r="O113" i="8" s="1"/>
  <c r="O118" i="8" s="1"/>
  <c r="O120" i="8" s="1"/>
  <c r="AG23" i="8"/>
  <c r="AF23" i="8"/>
  <c r="K14" i="9"/>
  <c r="O14" i="9"/>
  <c r="AJ17" i="8"/>
  <c r="AF17" i="8"/>
  <c r="AI34" i="8"/>
  <c r="AH34" i="8"/>
  <c r="AG34" i="8"/>
  <c r="AF34" i="8"/>
  <c r="AE34" i="8"/>
  <c r="AD34" i="8"/>
  <c r="AC34" i="8"/>
  <c r="AI31" i="8"/>
  <c r="AH31" i="8"/>
  <c r="AF31" i="8"/>
  <c r="AE31" i="8"/>
  <c r="AD31" i="8"/>
  <c r="K55" i="9"/>
  <c r="T55" i="9" s="1"/>
  <c r="AG42" i="8"/>
  <c r="K63" i="9"/>
  <c r="T63" i="9" s="1"/>
  <c r="K66" i="9"/>
  <c r="T66" i="9" s="1"/>
  <c r="AC54" i="8"/>
  <c r="AC50" i="8"/>
  <c r="K65" i="9"/>
  <c r="T65" i="9" s="1"/>
  <c r="K67" i="9"/>
  <c r="T67" i="9" s="1"/>
  <c r="AG54" i="8"/>
  <c r="AG50" i="8"/>
  <c r="AG49" i="8"/>
  <c r="AG58" i="8"/>
  <c r="AG66" i="8"/>
  <c r="K73" i="9"/>
  <c r="T73" i="9" s="1"/>
  <c r="AA46" i="8"/>
  <c r="Z46" i="8"/>
  <c r="Y46" i="8"/>
  <c r="W46" i="8"/>
  <c r="V46" i="8"/>
  <c r="U46" i="8"/>
  <c r="S46" i="8"/>
  <c r="R46" i="8"/>
  <c r="Q46" i="8"/>
  <c r="G46" i="8"/>
  <c r="F46" i="8"/>
  <c r="E46" i="8"/>
  <c r="D46" i="8"/>
  <c r="C46" i="8"/>
  <c r="C55" i="8" s="1"/>
  <c r="X108" i="8"/>
  <c r="T108" i="8"/>
  <c r="X107" i="8"/>
  <c r="T107" i="8"/>
  <c r="X106" i="8"/>
  <c r="T106" i="8"/>
  <c r="K47" i="9" s="1"/>
  <c r="X102" i="8"/>
  <c r="O45" i="9" s="1"/>
  <c r="T102" i="8"/>
  <c r="AD102" i="8" s="1"/>
  <c r="X101" i="8"/>
  <c r="T101" i="8"/>
  <c r="K46" i="9" s="1"/>
  <c r="X100" i="8"/>
  <c r="T100" i="8"/>
  <c r="X99" i="8"/>
  <c r="T99" i="8"/>
  <c r="AJ54" i="8"/>
  <c r="AI54" i="8"/>
  <c r="AH54" i="8"/>
  <c r="AF54" i="8"/>
  <c r="AE54" i="8"/>
  <c r="AD54" i="8"/>
  <c r="C109" i="8"/>
  <c r="C103" i="8"/>
  <c r="C84" i="8"/>
  <c r="C83" i="8"/>
  <c r="C76" i="8"/>
  <c r="C63" i="8"/>
  <c r="C70" i="8" s="1"/>
  <c r="C39" i="8"/>
  <c r="C38" i="8"/>
  <c r="C1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I72" i="8"/>
  <c r="AH72" i="8"/>
  <c r="AF72" i="8"/>
  <c r="AE72" i="8"/>
  <c r="AD72" i="8"/>
  <c r="AI66" i="8"/>
  <c r="AH66" i="8"/>
  <c r="AF66" i="8"/>
  <c r="AE66" i="8"/>
  <c r="AD66" i="8"/>
  <c r="AI58" i="8"/>
  <c r="AH58" i="8"/>
  <c r="AI50" i="8"/>
  <c r="AH50" i="8"/>
  <c r="AF50" i="8"/>
  <c r="AE50" i="8"/>
  <c r="AD50" i="8"/>
  <c r="AI49" i="8"/>
  <c r="AH49" i="8"/>
  <c r="AF49" i="8"/>
  <c r="AE49" i="8"/>
  <c r="AD49" i="8"/>
  <c r="AI42" i="8"/>
  <c r="AH42" i="8"/>
  <c r="AF42" i="8"/>
  <c r="AE42" i="8"/>
  <c r="AD42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X94" i="8"/>
  <c r="T94" i="8"/>
  <c r="AE94" i="8" s="1"/>
  <c r="T123" i="8"/>
  <c r="T92" i="8"/>
  <c r="K32" i="9" s="1"/>
  <c r="J27" i="9"/>
  <c r="J38" i="9"/>
  <c r="R45" i="9"/>
  <c r="R46" i="9"/>
  <c r="R38" i="9"/>
  <c r="R32" i="9"/>
  <c r="R27" i="9"/>
  <c r="M46" i="9"/>
  <c r="N38" i="9"/>
  <c r="X93" i="8"/>
  <c r="N32" i="9"/>
  <c r="N27" i="9"/>
  <c r="P47" i="9"/>
  <c r="AF58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T124" i="8"/>
  <c r="K39" i="9" s="1"/>
  <c r="X124" i="8"/>
  <c r="O39" i="9" s="1"/>
  <c r="X123" i="8"/>
  <c r="X116" i="8"/>
  <c r="X115" i="8"/>
  <c r="AG115" i="8" s="1"/>
  <c r="T116" i="8"/>
  <c r="T115" i="8"/>
  <c r="AF115" i="8" s="1"/>
  <c r="AJ72" i="8"/>
  <c r="AJ66" i="8"/>
  <c r="AJ58" i="8"/>
  <c r="AJ50" i="8"/>
  <c r="AJ49" i="8"/>
  <c r="AJ42" i="8"/>
  <c r="D45" i="9"/>
  <c r="K64" i="9"/>
  <c r="T64" i="9" s="1"/>
  <c r="AC66" i="8"/>
  <c r="AG72" i="8"/>
  <c r="AC72" i="8"/>
  <c r="AI27" i="8"/>
  <c r="AC27" i="8"/>
  <c r="T31" i="8"/>
  <c r="AC31" i="8" s="1"/>
  <c r="O23" i="9"/>
  <c r="O34" i="9" s="1"/>
  <c r="K23" i="9"/>
  <c r="K34" i="9" s="1"/>
  <c r="O21" i="9"/>
  <c r="K21" i="9"/>
  <c r="O72" i="9"/>
  <c r="X72" i="9" s="1"/>
  <c r="K72" i="9"/>
  <c r="T72" i="9" s="1"/>
  <c r="AJ31" i="8"/>
  <c r="AJ34" i="8"/>
  <c r="X31" i="8"/>
  <c r="AG31" i="8" s="1"/>
  <c r="P111" i="8" l="1"/>
  <c r="P113" i="8" s="1"/>
  <c r="P118" i="8" s="1"/>
  <c r="P120" i="8" s="1"/>
  <c r="C20" i="8"/>
  <c r="C24" i="8" s="1"/>
  <c r="C14" i="8"/>
  <c r="C15" i="8" s="1"/>
  <c r="AJ23" i="8"/>
  <c r="AL23" i="8" s="1"/>
  <c r="C12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H23" i="8"/>
  <c r="AI23" i="8"/>
  <c r="AC23" i="8"/>
  <c r="AD23" i="8"/>
  <c r="AE23" i="8"/>
  <c r="AF46" i="8"/>
  <c r="AH46" i="8"/>
  <c r="AI46" i="8"/>
  <c r="AJ46" i="8"/>
  <c r="X46" i="8"/>
  <c r="T46" i="8"/>
  <c r="K56" i="9"/>
  <c r="T56" i="9" s="1"/>
  <c r="AG46" i="8"/>
  <c r="X91" i="8"/>
  <c r="AJ91" i="8" s="1"/>
  <c r="AL54" i="8"/>
  <c r="W14" i="9"/>
  <c r="C77" i="8"/>
  <c r="C79" i="8" s="1"/>
  <c r="V21" i="9"/>
  <c r="U14" i="9"/>
  <c r="X34" i="9"/>
  <c r="V14" i="9"/>
  <c r="AC94" i="8"/>
  <c r="AF94" i="8"/>
  <c r="AI94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C106" i="8"/>
  <c r="AD101" i="8"/>
  <c r="AE102" i="8"/>
  <c r="Z23" i="9"/>
  <c r="W34" i="9"/>
  <c r="AC58" i="8"/>
  <c r="AD94" i="8"/>
  <c r="AE101" i="8"/>
  <c r="AF102" i="8"/>
  <c r="AD58" i="8"/>
  <c r="AC92" i="8"/>
  <c r="AG102" i="8"/>
  <c r="T23" i="9"/>
  <c r="AC42" i="8"/>
  <c r="AE58" i="8"/>
  <c r="AD92" i="8"/>
  <c r="AH102" i="8"/>
  <c r="U23" i="9"/>
  <c r="AE92" i="8"/>
  <c r="AG94" i="8"/>
  <c r="AI102" i="8"/>
  <c r="AD106" i="8"/>
  <c r="V23" i="9"/>
  <c r="AF92" i="8"/>
  <c r="AG93" i="8"/>
  <c r="AH94" i="8"/>
  <c r="AE106" i="8"/>
  <c r="U21" i="9"/>
  <c r="W23" i="9"/>
  <c r="AC49" i="8"/>
  <c r="AH93" i="8"/>
  <c r="AC102" i="8"/>
  <c r="AF106" i="8"/>
  <c r="X23" i="9"/>
  <c r="AI93" i="8"/>
  <c r="AC101" i="8"/>
  <c r="Y23" i="9"/>
  <c r="N49" i="9"/>
  <c r="AD27" i="8"/>
  <c r="AE27" i="8"/>
  <c r="AF27" i="8"/>
  <c r="AG27" i="8"/>
  <c r="AH27" i="8"/>
  <c r="J49" i="9"/>
  <c r="AC17" i="8"/>
  <c r="AL75" i="8"/>
  <c r="AD17" i="8"/>
  <c r="AL50" i="8"/>
  <c r="AL66" i="8"/>
  <c r="AE17" i="8"/>
  <c r="AG17" i="8"/>
  <c r="AH17" i="8"/>
  <c r="R49" i="9"/>
  <c r="AI17" i="8"/>
  <c r="M49" i="9"/>
  <c r="Y103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03" i="8"/>
  <c r="H41" i="9"/>
  <c r="F67" i="9"/>
  <c r="O65" i="9"/>
  <c r="X65" i="9" s="1"/>
  <c r="Y85" i="9"/>
  <c r="AA85" i="9"/>
  <c r="W85" i="9"/>
  <c r="K85" i="9"/>
  <c r="X85" i="9"/>
  <c r="Z85" i="9"/>
  <c r="O85" i="9"/>
  <c r="G103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U103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03" i="8"/>
  <c r="Q103" i="8"/>
  <c r="F103" i="8"/>
  <c r="T95" i="8"/>
  <c r="X95" i="8"/>
  <c r="AI95" i="8" s="1"/>
  <c r="AJ94" i="8"/>
  <c r="T93" i="8"/>
  <c r="AC93" i="8" s="1"/>
  <c r="AF99" i="8"/>
  <c r="T90" i="8"/>
  <c r="AC90" i="8" s="1"/>
  <c r="AA103" i="8"/>
  <c r="X92" i="8"/>
  <c r="AG99" i="8"/>
  <c r="AH100" i="8"/>
  <c r="X90" i="8"/>
  <c r="AG90" i="8" s="1"/>
  <c r="AD115" i="8"/>
  <c r="AJ93" i="8"/>
  <c r="AJ115" i="8"/>
  <c r="AI115" i="8"/>
  <c r="AH115" i="8"/>
  <c r="AE115" i="8"/>
  <c r="AC115" i="8"/>
  <c r="AJ102" i="8"/>
  <c r="AJ27" i="8"/>
  <c r="AL34" i="8"/>
  <c r="Q111" i="8" l="1"/>
  <c r="W10" i="9"/>
  <c r="V10" i="9"/>
  <c r="U10" i="9"/>
  <c r="T10" i="9"/>
  <c r="AG91" i="8"/>
  <c r="AI91" i="8"/>
  <c r="T91" i="8"/>
  <c r="AF91" i="8" s="1"/>
  <c r="AL91" i="8" s="1"/>
  <c r="AH91" i="8"/>
  <c r="AL94" i="8"/>
  <c r="V32" i="9"/>
  <c r="Z45" i="9"/>
  <c r="X22" i="9"/>
  <c r="C21" i="8"/>
  <c r="V47" i="9"/>
  <c r="Z22" i="9"/>
  <c r="AH95" i="8"/>
  <c r="AC107" i="8"/>
  <c r="U20" i="9"/>
  <c r="AD93" i="8"/>
  <c r="AI100" i="8"/>
  <c r="AD107" i="8"/>
  <c r="AH99" i="8"/>
  <c r="AH92" i="8"/>
  <c r="AI92" i="8"/>
  <c r="K33" i="9"/>
  <c r="W22" i="9"/>
  <c r="AC22" i="9" s="1"/>
  <c r="V22" i="9"/>
  <c r="U47" i="9"/>
  <c r="N48" i="9"/>
  <c r="AG100" i="8"/>
  <c r="AI90" i="8"/>
  <c r="Y22" i="9"/>
  <c r="Y20" i="9"/>
  <c r="X19" i="9"/>
  <c r="J44" i="9"/>
  <c r="W45" i="9"/>
  <c r="V45" i="9"/>
  <c r="K48" i="9"/>
  <c r="AF107" i="8"/>
  <c r="U22" i="9"/>
  <c r="T45" i="9"/>
  <c r="AF101" i="8"/>
  <c r="AG95" i="8"/>
  <c r="X20" i="9"/>
  <c r="T32" i="9"/>
  <c r="U32" i="9"/>
  <c r="J48" i="9"/>
  <c r="AE107" i="8"/>
  <c r="AI99" i="8"/>
  <c r="AD99" i="8"/>
  <c r="AH90" i="8"/>
  <c r="AF90" i="8"/>
  <c r="AD90" i="8"/>
  <c r="AC95" i="8"/>
  <c r="AF95" i="8"/>
  <c r="AD95" i="8"/>
  <c r="U19" i="9"/>
  <c r="W19" i="9"/>
  <c r="V19" i="9"/>
  <c r="AF93" i="8"/>
  <c r="AL93" i="8" s="1"/>
  <c r="AE93" i="8"/>
  <c r="V20" i="9"/>
  <c r="W20" i="9"/>
  <c r="AG92" i="8"/>
  <c r="AE99" i="8"/>
  <c r="AE90" i="8"/>
  <c r="Y15" i="9"/>
  <c r="K28" i="9"/>
  <c r="W28" i="9" s="1"/>
  <c r="W15" i="9"/>
  <c r="U15" i="9"/>
  <c r="Y19" i="9"/>
  <c r="V15" i="9"/>
  <c r="AC99" i="8"/>
  <c r="X45" i="9"/>
  <c r="T15" i="9"/>
  <c r="AE95" i="8"/>
  <c r="T47" i="9"/>
  <c r="Y45" i="9"/>
  <c r="X15" i="9"/>
  <c r="W47" i="9"/>
  <c r="Q47" i="9"/>
  <c r="AC23" i="9"/>
  <c r="AC21" i="9"/>
  <c r="AL102" i="8"/>
  <c r="AC34" i="9"/>
  <c r="K41" i="9"/>
  <c r="O48" i="9"/>
  <c r="N41" i="9"/>
  <c r="AA20" i="9"/>
  <c r="O33" i="9"/>
  <c r="AI101" i="8"/>
  <c r="N46" i="9"/>
  <c r="AJ90" i="8"/>
  <c r="O27" i="9"/>
  <c r="Z27" i="9" s="1"/>
  <c r="O32" i="9"/>
  <c r="K38" i="9"/>
  <c r="S103" i="8"/>
  <c r="AE100" i="8"/>
  <c r="O28" i="9"/>
  <c r="Z28" i="9" s="1"/>
  <c r="O44" i="9"/>
  <c r="Z44" i="9" s="1"/>
  <c r="K27" i="9"/>
  <c r="T27" i="9" s="1"/>
  <c r="AA15" i="9"/>
  <c r="O38" i="9"/>
  <c r="R103" i="8"/>
  <c r="AJ92" i="8"/>
  <c r="AL92" i="8" s="1"/>
  <c r="Z103" i="8"/>
  <c r="AJ100" i="8"/>
  <c r="W103" i="8"/>
  <c r="AJ99" i="8"/>
  <c r="V103" i="8"/>
  <c r="AL27" i="8"/>
  <c r="AA73" i="9"/>
  <c r="AA72" i="9"/>
  <c r="O7" i="9"/>
  <c r="O6" i="9"/>
  <c r="AJ116" i="8"/>
  <c r="AA112" i="8"/>
  <c r="AH116" i="8"/>
  <c r="AJ112" i="8"/>
  <c r="W112" i="8"/>
  <c r="V112" i="8"/>
  <c r="T112" i="8"/>
  <c r="S112" i="8"/>
  <c r="Q109" i="8"/>
  <c r="R109" i="8"/>
  <c r="S109" i="8"/>
  <c r="R112" i="8"/>
  <c r="Y112" i="8"/>
  <c r="U112" i="8"/>
  <c r="AJ95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C91" i="8"/>
  <c r="AD91" i="8"/>
  <c r="AE91" i="8"/>
  <c r="W48" i="9"/>
  <c r="C28" i="8"/>
  <c r="C87" i="8" s="1"/>
  <c r="C25" i="8"/>
  <c r="O41" i="9"/>
  <c r="U27" i="9"/>
  <c r="AG101" i="8"/>
  <c r="Y27" i="9"/>
  <c r="AC20" i="9"/>
  <c r="X28" i="9"/>
  <c r="V28" i="9"/>
  <c r="X27" i="9"/>
  <c r="AG107" i="8"/>
  <c r="T103" i="8"/>
  <c r="AF100" i="8"/>
  <c r="AL100" i="8" s="1"/>
  <c r="AD100" i="8"/>
  <c r="X44" i="9"/>
  <c r="X32" i="9"/>
  <c r="Z32" i="9"/>
  <c r="T28" i="9"/>
  <c r="AI107" i="8"/>
  <c r="Y28" i="9"/>
  <c r="AH106" i="8"/>
  <c r="AI106" i="8"/>
  <c r="AG106" i="8"/>
  <c r="Y44" i="9"/>
  <c r="AH107" i="8"/>
  <c r="AF108" i="8"/>
  <c r="AD108" i="8"/>
  <c r="AE108" i="8"/>
  <c r="AC108" i="8"/>
  <c r="W27" i="9"/>
  <c r="V27" i="9"/>
  <c r="Y32" i="9"/>
  <c r="V48" i="9"/>
  <c r="U48" i="9"/>
  <c r="T48" i="9"/>
  <c r="Z48" i="9"/>
  <c r="Y48" i="9"/>
  <c r="X48" i="9"/>
  <c r="AI108" i="8"/>
  <c r="AG108" i="8"/>
  <c r="AH108" i="8"/>
  <c r="W46" i="9"/>
  <c r="AC100" i="8"/>
  <c r="O46" i="9"/>
  <c r="AA46" i="9" s="1"/>
  <c r="AH101" i="8"/>
  <c r="U33" i="9"/>
  <c r="W33" i="9"/>
  <c r="V33" i="9"/>
  <c r="T33" i="9"/>
  <c r="AA33" i="9"/>
  <c r="X33" i="9"/>
  <c r="Y33" i="9"/>
  <c r="Z33" i="9"/>
  <c r="U28" i="9"/>
  <c r="AC15" i="9"/>
  <c r="K49" i="9"/>
  <c r="O49" i="9"/>
  <c r="AL99" i="8"/>
  <c r="AJ107" i="8"/>
  <c r="AL107" i="8" s="1"/>
  <c r="AJ101" i="8"/>
  <c r="AL101" i="8" s="1"/>
  <c r="O9" i="9"/>
  <c r="O8" i="9"/>
  <c r="AJ106" i="8"/>
  <c r="O47" i="9"/>
  <c r="AA28" i="9"/>
  <c r="AC28" i="9" s="1"/>
  <c r="K44" i="9"/>
  <c r="W44" i="9" s="1"/>
  <c r="X103" i="8"/>
  <c r="Z112" i="8"/>
  <c r="AC123" i="8"/>
  <c r="AL95" i="8"/>
  <c r="AE112" i="8"/>
  <c r="AG112" i="8"/>
  <c r="AD116" i="8"/>
  <c r="AJ108" i="8"/>
  <c r="AE116" i="8"/>
  <c r="AG116" i="8"/>
  <c r="AD112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16" i="8"/>
  <c r="AF116" i="8"/>
  <c r="AF112" i="8"/>
  <c r="AH112" i="8"/>
  <c r="AI116" i="8"/>
  <c r="AI112" i="8"/>
  <c r="E112" i="8"/>
  <c r="F112" i="8"/>
  <c r="AC112" i="8" s="1"/>
  <c r="G112" i="8"/>
  <c r="X112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5" i="8"/>
  <c r="C32" i="8"/>
  <c r="U29" i="9"/>
  <c r="U35" i="9" s="1"/>
  <c r="C29" i="8"/>
  <c r="AC33" i="9"/>
  <c r="W29" i="9"/>
  <c r="W35" i="9" s="1"/>
  <c r="V29" i="9"/>
  <c r="V35" i="9" s="1"/>
  <c r="X46" i="9"/>
  <c r="T44" i="9"/>
  <c r="V44" i="9"/>
  <c r="Y46" i="9"/>
  <c r="AL108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H123" i="8"/>
  <c r="AI123" i="8"/>
  <c r="AF123" i="8"/>
  <c r="AE123" i="8"/>
  <c r="AD123" i="8"/>
  <c r="AJ123" i="8"/>
  <c r="AG123" i="8"/>
  <c r="AC14" i="9"/>
  <c r="X10" i="9" l="1"/>
  <c r="X16" i="9" s="1"/>
  <c r="X24" i="9" s="1"/>
  <c r="X29" i="9" s="1"/>
  <c r="X35" i="9" s="1"/>
  <c r="C96" i="8"/>
  <c r="C117" i="8" s="1"/>
  <c r="C113" i="8" l="1"/>
  <c r="C118" i="8" s="1"/>
  <c r="D111" i="8" s="1"/>
  <c r="AA57" i="9"/>
  <c r="AA56" i="9"/>
  <c r="X8" i="8"/>
  <c r="X4" i="10" s="1"/>
  <c r="T8" i="8"/>
  <c r="T4" i="10" s="1"/>
  <c r="C120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A63" i="8"/>
  <c r="R68" i="9" s="1"/>
  <c r="Z63" i="8"/>
  <c r="Q68" i="9" s="1"/>
  <c r="Z68" i="9" s="1"/>
  <c r="Y63" i="8"/>
  <c r="P68" i="9" s="1"/>
  <c r="Y68" i="9" s="1"/>
  <c r="W63" i="8"/>
  <c r="N68" i="9" s="1"/>
  <c r="W68" i="9" s="1"/>
  <c r="V63" i="8"/>
  <c r="M68" i="9" s="1"/>
  <c r="V68" i="9" s="1"/>
  <c r="U63" i="8"/>
  <c r="L68" i="9" s="1"/>
  <c r="U68" i="9" s="1"/>
  <c r="S63" i="8"/>
  <c r="J68" i="9" s="1"/>
  <c r="R63" i="8"/>
  <c r="I68" i="9" s="1"/>
  <c r="Q63" i="8"/>
  <c r="H68" i="9" s="1"/>
  <c r="G63" i="8"/>
  <c r="F68" i="9" s="1"/>
  <c r="F63" i="8"/>
  <c r="E68" i="9" s="1"/>
  <c r="E63" i="8"/>
  <c r="D68" i="9" s="1"/>
  <c r="D63" i="8"/>
  <c r="C68" i="9" s="1"/>
  <c r="AA55" i="9"/>
  <c r="AA58" i="9" s="1"/>
  <c r="R4" i="9"/>
  <c r="AA4" i="9" s="1"/>
  <c r="R3" i="9"/>
  <c r="AA3" i="9" s="1"/>
  <c r="AJ8" i="8"/>
  <c r="AJ84" i="8" s="1"/>
  <c r="AJ7" i="8"/>
  <c r="AJ83" i="8" s="1"/>
  <c r="AA84" i="8"/>
  <c r="AA83" i="8"/>
  <c r="AA76" i="8"/>
  <c r="R87" i="9" s="1"/>
  <c r="AA39" i="8"/>
  <c r="AA38" i="8"/>
  <c r="AA11" i="8"/>
  <c r="Y109" i="8"/>
  <c r="G109" i="8"/>
  <c r="F109" i="8"/>
  <c r="E109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S76" i="8"/>
  <c r="J87" i="9" s="1"/>
  <c r="Z84" i="8"/>
  <c r="Y84" i="8"/>
  <c r="X84" i="8"/>
  <c r="W84" i="8"/>
  <c r="V84" i="8"/>
  <c r="U84" i="8"/>
  <c r="T84" i="8"/>
  <c r="S84" i="8"/>
  <c r="R84" i="8"/>
  <c r="Q84" i="8"/>
  <c r="Z83" i="8"/>
  <c r="Y83" i="8"/>
  <c r="X83" i="8"/>
  <c r="W83" i="8"/>
  <c r="V83" i="8"/>
  <c r="U83" i="8"/>
  <c r="T83" i="8"/>
  <c r="S83" i="8"/>
  <c r="R83" i="8"/>
  <c r="Q83" i="8"/>
  <c r="W76" i="8"/>
  <c r="N87" i="9" s="1"/>
  <c r="V76" i="8"/>
  <c r="M87" i="9" s="1"/>
  <c r="U76" i="8"/>
  <c r="L87" i="9" s="1"/>
  <c r="R76" i="8"/>
  <c r="I87" i="9" s="1"/>
  <c r="Q76" i="8"/>
  <c r="H87" i="9" s="1"/>
  <c r="Z39" i="8"/>
  <c r="Y39" i="8"/>
  <c r="X39" i="8"/>
  <c r="W39" i="8"/>
  <c r="V39" i="8"/>
  <c r="U39" i="8"/>
  <c r="T39" i="8"/>
  <c r="S39" i="8"/>
  <c r="R39" i="8"/>
  <c r="Q39" i="8"/>
  <c r="Z38" i="8"/>
  <c r="Y38" i="8"/>
  <c r="X38" i="8"/>
  <c r="W38" i="8"/>
  <c r="V38" i="8"/>
  <c r="U38" i="8"/>
  <c r="T38" i="8"/>
  <c r="S38" i="8"/>
  <c r="R38" i="8"/>
  <c r="Q38" i="8"/>
  <c r="G39" i="8"/>
  <c r="F39" i="8"/>
  <c r="E39" i="8"/>
  <c r="D39" i="8"/>
  <c r="G38" i="8"/>
  <c r="F38" i="8"/>
  <c r="E38" i="8"/>
  <c r="D38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R20" i="8" l="1"/>
  <c r="R14" i="8"/>
  <c r="R15" i="8" s="1"/>
  <c r="Z20" i="8"/>
  <c r="Z14" i="8"/>
  <c r="Z15" i="8" s="1"/>
  <c r="V20" i="8"/>
  <c r="V24" i="8" s="1"/>
  <c r="V14" i="8"/>
  <c r="V15" i="8" s="1"/>
  <c r="S20" i="8"/>
  <c r="S14" i="8"/>
  <c r="S15" i="8" s="1"/>
  <c r="Q20" i="8"/>
  <c r="Q14" i="8"/>
  <c r="Q15" i="8" s="1"/>
  <c r="U20" i="8"/>
  <c r="U24" i="8" s="1"/>
  <c r="U14" i="8"/>
  <c r="U15" i="8" s="1"/>
  <c r="AA20" i="8"/>
  <c r="AA24" i="8" s="1"/>
  <c r="AA14" i="8"/>
  <c r="AA15" i="8" s="1"/>
  <c r="S12" i="10"/>
  <c r="Q12" i="10"/>
  <c r="R12" i="10"/>
  <c r="U12" i="10"/>
  <c r="AA12" i="10"/>
  <c r="V12" i="10"/>
  <c r="Z12" i="10"/>
  <c r="AC10" i="8"/>
  <c r="AE10" i="8"/>
  <c r="AF10" i="8"/>
  <c r="AD10" i="8"/>
  <c r="AI10" i="8"/>
  <c r="AH10" i="8"/>
  <c r="AG10" i="8"/>
  <c r="AL42" i="8"/>
  <c r="AL72" i="8"/>
  <c r="AL49" i="8"/>
  <c r="AL58" i="8"/>
  <c r="AA70" i="8"/>
  <c r="R69" i="9" s="1"/>
  <c r="U87" i="9"/>
  <c r="AA87" i="9"/>
  <c r="AH124" i="8"/>
  <c r="V87" i="9"/>
  <c r="W87" i="9"/>
  <c r="K58" i="9"/>
  <c r="S55" i="8"/>
  <c r="AH63" i="8"/>
  <c r="AI63" i="8"/>
  <c r="AJ63" i="8"/>
  <c r="AF63" i="8"/>
  <c r="T63" i="8"/>
  <c r="K68" i="9" s="1"/>
  <c r="T68" i="9" s="1"/>
  <c r="X63" i="8"/>
  <c r="O68" i="9" s="1"/>
  <c r="X68" i="9" s="1"/>
  <c r="S70" i="8"/>
  <c r="J69" i="9" s="1"/>
  <c r="AJ76" i="8"/>
  <c r="AJ10" i="8"/>
  <c r="R70" i="8"/>
  <c r="I69" i="9" s="1"/>
  <c r="AJ38" i="8"/>
  <c r="AJ39" i="8"/>
  <c r="Q70" i="8"/>
  <c r="H69" i="9" s="1"/>
  <c r="R55" i="8"/>
  <c r="D109" i="8"/>
  <c r="Z109" i="8"/>
  <c r="U109" i="8"/>
  <c r="V109" i="8"/>
  <c r="Z55" i="8"/>
  <c r="W55" i="8"/>
  <c r="Q55" i="8"/>
  <c r="V55" i="8"/>
  <c r="U55" i="8"/>
  <c r="G70" i="8"/>
  <c r="F69" i="9" s="1"/>
  <c r="AF124" i="8"/>
  <c r="V58" i="9"/>
  <c r="U58" i="9"/>
  <c r="AG124" i="8"/>
  <c r="AD124" i="8"/>
  <c r="AE124" i="8"/>
  <c r="AC124" i="8"/>
  <c r="T11" i="8"/>
  <c r="T76" i="8"/>
  <c r="K87" i="9" s="1"/>
  <c r="T55" i="8"/>
  <c r="X55" i="8"/>
  <c r="T20" i="8" l="1"/>
  <c r="T24" i="8" s="1"/>
  <c r="T14" i="8"/>
  <c r="T15" i="8" s="1"/>
  <c r="T12" i="10"/>
  <c r="S24" i="8"/>
  <c r="AA77" i="8"/>
  <c r="AA69" i="9"/>
  <c r="AA9" i="9"/>
  <c r="AC9" i="9" s="1"/>
  <c r="AA8" i="9"/>
  <c r="AC8" i="9" s="1"/>
  <c r="AA7" i="9"/>
  <c r="AC7" i="9" s="1"/>
  <c r="R24" i="8"/>
  <c r="AA21" i="8"/>
  <c r="AA28" i="8"/>
  <c r="AA87" i="8" s="1"/>
  <c r="Q24" i="8"/>
  <c r="AG63" i="8"/>
  <c r="AL17" i="8"/>
  <c r="AL106" i="8"/>
  <c r="AA48" i="9"/>
  <c r="AJ55" i="8"/>
  <c r="AJ70" i="8"/>
  <c r="AJ77" i="8" s="1"/>
  <c r="AL63" i="8"/>
  <c r="AJ11" i="8"/>
  <c r="AL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R77" i="8"/>
  <c r="R79" i="8" s="1"/>
  <c r="AA88" i="9"/>
  <c r="AA97" i="9" s="1"/>
  <c r="T87" i="9"/>
  <c r="T88" i="9" s="1"/>
  <c r="T97" i="9" s="1"/>
  <c r="AA19" i="9"/>
  <c r="AA55" i="8"/>
  <c r="AA68" i="9"/>
  <c r="AA38" i="9"/>
  <c r="S77" i="8"/>
  <c r="S79" i="8" s="1"/>
  <c r="AA109" i="8"/>
  <c r="Q77" i="8"/>
  <c r="Q79" i="8" s="1"/>
  <c r="W109" i="8"/>
  <c r="AA44" i="9"/>
  <c r="T58" i="9"/>
  <c r="V70" i="8"/>
  <c r="M69" i="9" s="1"/>
  <c r="V69" i="9" s="1"/>
  <c r="U70" i="8"/>
  <c r="L69" i="9" s="1"/>
  <c r="U69" i="9" s="1"/>
  <c r="T70" i="8"/>
  <c r="K69" i="9" s="1"/>
  <c r="T69" i="9" s="1"/>
  <c r="W70" i="8"/>
  <c r="N69" i="9" s="1"/>
  <c r="W69" i="9" s="1"/>
  <c r="U39" i="9"/>
  <c r="X39" i="9"/>
  <c r="Y38" i="9"/>
  <c r="AA41" i="9"/>
  <c r="V39" i="9"/>
  <c r="Z38" i="9"/>
  <c r="W39" i="9"/>
  <c r="X38" i="9"/>
  <c r="T39" i="9"/>
  <c r="V21" i="8"/>
  <c r="V28" i="8"/>
  <c r="V87" i="8" s="1"/>
  <c r="U21" i="8"/>
  <c r="AJ20" i="8" l="1"/>
  <c r="AJ24" i="8" s="1"/>
  <c r="AJ25" i="8" s="1"/>
  <c r="AJ14" i="8"/>
  <c r="AA35" i="8"/>
  <c r="AA32" i="8"/>
  <c r="V35" i="8"/>
  <c r="V32" i="8"/>
  <c r="AC19" i="9"/>
  <c r="U28" i="8"/>
  <c r="U87" i="8" s="1"/>
  <c r="R28" i="8"/>
  <c r="R87" i="8" s="1"/>
  <c r="S25" i="8"/>
  <c r="S21" i="8"/>
  <c r="R21" i="8"/>
  <c r="AA79" i="8"/>
  <c r="R24" i="9"/>
  <c r="R29" i="9" s="1"/>
  <c r="R35" i="9" s="1"/>
  <c r="AA25" i="8"/>
  <c r="Q28" i="8"/>
  <c r="Q87" i="8" s="1"/>
  <c r="Q21" i="8"/>
  <c r="AJ79" i="8"/>
  <c r="Y40" i="9"/>
  <c r="Z40" i="9"/>
  <c r="X40" i="9"/>
  <c r="AC40" i="9"/>
  <c r="U40" i="9"/>
  <c r="V40" i="9"/>
  <c r="T40" i="9"/>
  <c r="Z39" i="9"/>
  <c r="AI124" i="8"/>
  <c r="U77" i="8"/>
  <c r="U79" i="8" s="1"/>
  <c r="Y39" i="9"/>
  <c r="V77" i="8"/>
  <c r="V79" i="8" s="1"/>
  <c r="AG103" i="8"/>
  <c r="AI103" i="8"/>
  <c r="AH103" i="8"/>
  <c r="AJ103" i="8"/>
  <c r="Z41" i="9"/>
  <c r="V25" i="8"/>
  <c r="AI109" i="8"/>
  <c r="AJ109" i="8"/>
  <c r="AE103" i="8"/>
  <c r="AG109" i="8"/>
  <c r="AE109" i="8"/>
  <c r="AH109" i="8"/>
  <c r="X109" i="8"/>
  <c r="W77" i="8"/>
  <c r="W79" i="8" s="1"/>
  <c r="T77" i="8"/>
  <c r="T79" i="8" s="1"/>
  <c r="Y41" i="9"/>
  <c r="AL90" i="8"/>
  <c r="X41" i="9"/>
  <c r="AF103" i="8"/>
  <c r="AD103" i="8"/>
  <c r="AC103" i="8"/>
  <c r="V38" i="9"/>
  <c r="U38" i="9"/>
  <c r="W38" i="9"/>
  <c r="T38" i="9"/>
  <c r="W41" i="9"/>
  <c r="AC41" i="9" s="1"/>
  <c r="T41" i="9"/>
  <c r="U41" i="9"/>
  <c r="V41" i="9"/>
  <c r="T21" i="8"/>
  <c r="T28" i="8"/>
  <c r="T87" i="8" s="1"/>
  <c r="U25" i="8"/>
  <c r="AJ15" i="8" l="1"/>
  <c r="U32" i="8"/>
  <c r="U35" i="8"/>
  <c r="Q35" i="8"/>
  <c r="Q32" i="8"/>
  <c r="R32" i="8"/>
  <c r="R35" i="8"/>
  <c r="T35" i="8"/>
  <c r="T32" i="8"/>
  <c r="AA96" i="8"/>
  <c r="AA117" i="8" s="1"/>
  <c r="V96" i="8"/>
  <c r="V117" i="8" s="1"/>
  <c r="X42" i="9"/>
  <c r="Y42" i="9"/>
  <c r="Z42" i="9"/>
  <c r="T42" i="9"/>
  <c r="AC38" i="9"/>
  <c r="W42" i="9"/>
  <c r="U42" i="9"/>
  <c r="V42" i="9"/>
  <c r="S28" i="8"/>
  <c r="S87" i="8" s="1"/>
  <c r="R25" i="8"/>
  <c r="AA29" i="8"/>
  <c r="R17" i="9"/>
  <c r="R25" i="9"/>
  <c r="Q25" i="8"/>
  <c r="AL31" i="8"/>
  <c r="AL103" i="8"/>
  <c r="AA39" i="9"/>
  <c r="AC39" i="9" s="1"/>
  <c r="AJ124" i="8"/>
  <c r="AA32" i="9"/>
  <c r="AC32" i="9" s="1"/>
  <c r="AA27" i="9"/>
  <c r="AA45" i="9"/>
  <c r="R30" i="9"/>
  <c r="R29" i="8"/>
  <c r="T25" i="8"/>
  <c r="AC109" i="8"/>
  <c r="T109" i="8"/>
  <c r="AF109" i="8"/>
  <c r="AL109" i="8" s="1"/>
  <c r="AD109" i="8"/>
  <c r="V29" i="8"/>
  <c r="U29" i="8"/>
  <c r="S35" i="8" l="1"/>
  <c r="S32" i="8"/>
  <c r="Q96" i="8"/>
  <c r="Q117" i="8" s="1"/>
  <c r="U96" i="8"/>
  <c r="U117" i="8" s="1"/>
  <c r="R96" i="8"/>
  <c r="R117" i="8" s="1"/>
  <c r="S29" i="8"/>
  <c r="AJ21" i="8"/>
  <c r="AJ28" i="8"/>
  <c r="AC27" i="9"/>
  <c r="AA6" i="9"/>
  <c r="AA10" i="9" s="1"/>
  <c r="AA16" i="9" s="1"/>
  <c r="AA24" i="9" s="1"/>
  <c r="AA29" i="9" s="1"/>
  <c r="AA35" i="9" s="1"/>
  <c r="AA42" i="9" s="1"/>
  <c r="Q29" i="8"/>
  <c r="V17" i="9"/>
  <c r="R36" i="9"/>
  <c r="R42" i="9"/>
  <c r="R50" i="9" s="1"/>
  <c r="T29" i="8"/>
  <c r="AJ87" i="8" l="1"/>
  <c r="AJ29" i="8"/>
  <c r="AJ35" i="8"/>
  <c r="AJ32" i="8"/>
  <c r="S96" i="8"/>
  <c r="S117" i="8" s="1"/>
  <c r="U17" i="9"/>
  <c r="W25" i="9"/>
  <c r="W17" i="9"/>
  <c r="T17" i="9"/>
  <c r="V25" i="9"/>
  <c r="T25" i="9"/>
  <c r="Y11" i="9"/>
  <c r="AC6" i="9"/>
  <c r="R51" i="9"/>
  <c r="T30" i="9"/>
  <c r="T96" i="8"/>
  <c r="T117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D117" i="8"/>
  <c r="AE117" i="8"/>
  <c r="AC117" i="8"/>
  <c r="T96" i="9" a="1"/>
  <c r="T96" i="9" s="1"/>
  <c r="T94" i="9"/>
  <c r="T95" i="9" a="1"/>
  <c r="T95" i="9" s="1"/>
  <c r="T93" i="9"/>
  <c r="T36" i="9"/>
  <c r="T92" i="9"/>
  <c r="B84" i="8"/>
  <c r="B83" i="8"/>
  <c r="G84" i="8"/>
  <c r="F84" i="8"/>
  <c r="E84" i="8"/>
  <c r="D84" i="8"/>
  <c r="G83" i="8"/>
  <c r="F83" i="8"/>
  <c r="E83" i="8"/>
  <c r="D83" i="8"/>
  <c r="B39" i="8"/>
  <c r="B38" i="8"/>
  <c r="AI39" i="8"/>
  <c r="AH39" i="8"/>
  <c r="AG39" i="8"/>
  <c r="AE39" i="8"/>
  <c r="AD39" i="8"/>
  <c r="AC39" i="8"/>
  <c r="AF39" i="8"/>
  <c r="AI38" i="8"/>
  <c r="AH38" i="8"/>
  <c r="AG38" i="8"/>
  <c r="AF38" i="8"/>
  <c r="AE38" i="8"/>
  <c r="AD38" i="8"/>
  <c r="AC38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C83" i="8"/>
  <c r="AC84" i="8"/>
  <c r="AF83" i="8"/>
  <c r="AG83" i="8"/>
  <c r="AG84" i="8"/>
  <c r="AH84" i="8"/>
  <c r="AE83" i="8"/>
  <c r="AH83" i="8"/>
  <c r="AE84" i="8"/>
  <c r="AD84" i="8"/>
  <c r="AI83" i="8"/>
  <c r="AF84" i="8"/>
  <c r="AD83" i="8"/>
  <c r="AI84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X76" i="8" l="1"/>
  <c r="O87" i="9" s="1"/>
  <c r="Z76" i="8"/>
  <c r="Q87" i="9" s="1"/>
  <c r="Z87" i="9" l="1"/>
  <c r="X87" i="9"/>
  <c r="X88" i="9" s="1"/>
  <c r="X97" i="9" s="1"/>
  <c r="Y55" i="8"/>
  <c r="Y76" i="8"/>
  <c r="P87" i="9" s="1"/>
  <c r="R11" i="9" l="1"/>
  <c r="R12" i="9"/>
  <c r="Y87" i="9"/>
  <c r="Y88" i="9" s="1"/>
  <c r="Y97" i="9" s="1"/>
  <c r="Z88" i="9"/>
  <c r="Z97" i="9" s="1"/>
  <c r="AD11" i="8" l="1"/>
  <c r="F55" i="8"/>
  <c r="E55" i="8"/>
  <c r="D55" i="8"/>
  <c r="G55" i="8"/>
  <c r="AD20" i="8" l="1"/>
  <c r="AD24" i="8" s="1"/>
  <c r="AD25" i="8" s="1"/>
  <c r="AD14" i="8"/>
  <c r="AD15" i="8" s="1"/>
  <c r="AE11" i="8"/>
  <c r="AE46" i="8"/>
  <c r="AE55" i="8" s="1"/>
  <c r="AE76" i="8"/>
  <c r="AC46" i="8"/>
  <c r="AC55" i="8" s="1"/>
  <c r="AE63" i="8"/>
  <c r="AE70" i="8" s="1"/>
  <c r="AD63" i="8"/>
  <c r="AD70" i="8" s="1"/>
  <c r="AD46" i="8"/>
  <c r="AD55" i="8" s="1"/>
  <c r="AC76" i="8"/>
  <c r="AC11" i="8"/>
  <c r="AC63" i="8"/>
  <c r="AC70" i="8" s="1"/>
  <c r="AD76" i="8"/>
  <c r="AG76" i="8"/>
  <c r="AG55" i="8"/>
  <c r="AH76" i="8"/>
  <c r="AG11" i="8"/>
  <c r="AG70" i="8"/>
  <c r="AH70" i="8"/>
  <c r="AF11" i="8"/>
  <c r="AH11" i="8"/>
  <c r="AH55" i="8"/>
  <c r="AG20" i="8" l="1"/>
  <c r="AG24" i="8" s="1"/>
  <c r="AG25" i="8" s="1"/>
  <c r="AG14" i="8"/>
  <c r="AG15" i="8" s="1"/>
  <c r="AH20" i="8"/>
  <c r="AH24" i="8" s="1"/>
  <c r="AH25" i="8" s="1"/>
  <c r="AH14" i="8"/>
  <c r="AH15" i="8" s="1"/>
  <c r="AF20" i="8"/>
  <c r="AF24" i="8" s="1"/>
  <c r="AF25" i="8" s="1"/>
  <c r="AF14" i="8"/>
  <c r="AC20" i="8"/>
  <c r="AC24" i="8" s="1"/>
  <c r="AC25" i="8" s="1"/>
  <c r="AC14" i="8"/>
  <c r="AC15" i="8" s="1"/>
  <c r="AE20" i="8"/>
  <c r="AE24" i="8" s="1"/>
  <c r="AE25" i="8" s="1"/>
  <c r="AE14" i="8"/>
  <c r="AE15" i="8" s="1"/>
  <c r="AL11" i="8"/>
  <c r="AL12" i="10" s="1"/>
  <c r="AE77" i="8"/>
  <c r="AE79" i="8" s="1"/>
  <c r="AC77" i="8"/>
  <c r="AC79" i="8" s="1"/>
  <c r="AD77" i="8"/>
  <c r="AD79" i="8" s="1"/>
  <c r="AG77" i="8"/>
  <c r="AG79" i="8" s="1"/>
  <c r="AH77" i="8"/>
  <c r="AH79" i="8" s="1"/>
  <c r="AF15" i="8" l="1"/>
  <c r="AL15" i="8" s="1"/>
  <c r="AL14" i="8"/>
  <c r="AC21" i="8"/>
  <c r="AD21" i="8"/>
  <c r="Z17" i="9"/>
  <c r="AD28" i="8" l="1"/>
  <c r="AH21" i="8"/>
  <c r="AG28" i="8"/>
  <c r="AF28" i="8"/>
  <c r="AL20" i="8"/>
  <c r="AG21" i="8"/>
  <c r="AF21" i="8"/>
  <c r="AL21" i="8" s="1"/>
  <c r="AE21" i="8"/>
  <c r="AH28" i="8"/>
  <c r="Z94" i="9"/>
  <c r="Z25" i="9"/>
  <c r="AF87" i="8" l="1"/>
  <c r="AF29" i="8"/>
  <c r="AG87" i="8"/>
  <c r="AG29" i="8"/>
  <c r="AH87" i="8"/>
  <c r="AH29" i="8"/>
  <c r="AD87" i="8"/>
  <c r="AD29" i="8"/>
  <c r="AF32" i="8"/>
  <c r="AF35" i="8"/>
  <c r="AH35" i="8"/>
  <c r="AH32" i="8"/>
  <c r="AG32" i="8"/>
  <c r="AG35" i="8"/>
  <c r="AD35" i="8"/>
  <c r="AD32" i="8"/>
  <c r="AC28" i="8"/>
  <c r="AE28" i="8"/>
  <c r="AL25" i="8"/>
  <c r="AL24" i="8"/>
  <c r="Z30" i="9"/>
  <c r="AE87" i="8" l="1"/>
  <c r="AE29" i="8"/>
  <c r="AC87" i="8"/>
  <c r="AC29" i="8"/>
  <c r="AE32" i="8"/>
  <c r="AE35" i="8"/>
  <c r="AC32" i="8"/>
  <c r="AC35" i="8"/>
  <c r="AL35" i="8"/>
  <c r="AL32" i="8"/>
  <c r="AL28" i="8"/>
  <c r="AL29" i="8"/>
  <c r="Z96" i="9" a="1"/>
  <c r="Z96" i="9" s="1"/>
  <c r="Z36" i="9"/>
  <c r="Z95" i="9" a="1"/>
  <c r="Z95" i="9" s="1"/>
  <c r="Z92" i="9"/>
  <c r="Z93" i="9"/>
  <c r="AF70" i="8" l="1"/>
  <c r="AL70" i="8" s="1"/>
  <c r="W11" i="8" l="1"/>
  <c r="G11" i="8"/>
  <c r="F11" i="8"/>
  <c r="E11" i="8"/>
  <c r="D11" i="8"/>
  <c r="G76" i="8"/>
  <c r="F87" i="9" s="1"/>
  <c r="F76" i="8"/>
  <c r="E87" i="9" s="1"/>
  <c r="E76" i="8"/>
  <c r="D87" i="9" s="1"/>
  <c r="D76" i="8"/>
  <c r="C87" i="9" s="1"/>
  <c r="Z70" i="8"/>
  <c r="Q69" i="9" s="1"/>
  <c r="Z69" i="9" s="1"/>
  <c r="X70" i="8"/>
  <c r="O69" i="9" s="1"/>
  <c r="X69" i="9" s="1"/>
  <c r="AI11" i="8"/>
  <c r="P88" i="9"/>
  <c r="P97" i="9" s="1"/>
  <c r="H88" i="9"/>
  <c r="H97" i="9" s="1"/>
  <c r="F20" i="8" l="1"/>
  <c r="F24" i="8" s="1"/>
  <c r="F14" i="8"/>
  <c r="F15" i="8" s="1"/>
  <c r="D20" i="8"/>
  <c r="D24" i="8" s="1"/>
  <c r="D14" i="8"/>
  <c r="D15" i="8" s="1"/>
  <c r="E20" i="8"/>
  <c r="E24" i="8" s="1"/>
  <c r="E14" i="8"/>
  <c r="E15" i="8" s="1"/>
  <c r="G20" i="8"/>
  <c r="G24" i="8" s="1"/>
  <c r="G14" i="8"/>
  <c r="G15" i="8" s="1"/>
  <c r="AI20" i="8"/>
  <c r="AI24" i="8" s="1"/>
  <c r="AI25" i="8" s="1"/>
  <c r="AI14" i="8"/>
  <c r="AI15" i="8" s="1"/>
  <c r="W20" i="8"/>
  <c r="W24" i="8" s="1"/>
  <c r="W14" i="8"/>
  <c r="W15" i="8" s="1"/>
  <c r="D12" i="10"/>
  <c r="E12" i="10"/>
  <c r="F12" i="10"/>
  <c r="G12" i="10"/>
  <c r="W12" i="10"/>
  <c r="D70" i="8"/>
  <c r="C69" i="9" s="1"/>
  <c r="F70" i="8"/>
  <c r="E69" i="9" s="1"/>
  <c r="E70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F76" i="8"/>
  <c r="Z24" i="8"/>
  <c r="Y70" i="8"/>
  <c r="P69" i="9" s="1"/>
  <c r="Y69" i="9" s="1"/>
  <c r="AI70" i="8"/>
  <c r="AI76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F77" i="8" l="1"/>
  <c r="AL77" i="8" s="1"/>
  <c r="AL76" i="8"/>
  <c r="E77" i="8"/>
  <c r="E79" i="8" s="1"/>
  <c r="Z28" i="8"/>
  <c r="Z87" i="8" s="1"/>
  <c r="G28" i="8"/>
  <c r="G87" i="8" s="1"/>
  <c r="W21" i="8"/>
  <c r="D28" i="8"/>
  <c r="D87" i="8" s="1"/>
  <c r="E28" i="8"/>
  <c r="E87" i="8" s="1"/>
  <c r="F21" i="8"/>
  <c r="D77" i="8"/>
  <c r="D79" i="8" s="1"/>
  <c r="O88" i="9"/>
  <c r="O97" i="9" s="1"/>
  <c r="X77" i="8"/>
  <c r="X79" i="8" s="1"/>
  <c r="AL46" i="8"/>
  <c r="Z77" i="8"/>
  <c r="Z79" i="8" s="1"/>
  <c r="F77" i="8"/>
  <c r="F79" i="8" s="1"/>
  <c r="G77" i="8"/>
  <c r="G79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I55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E35" i="8" l="1"/>
  <c r="E32" i="8"/>
  <c r="D32" i="8"/>
  <c r="D35" i="8"/>
  <c r="G32" i="8"/>
  <c r="G35" i="8"/>
  <c r="Z32" i="8"/>
  <c r="Z35" i="8"/>
  <c r="R92" i="9"/>
  <c r="M17" i="9"/>
  <c r="M25" i="9"/>
  <c r="Z21" i="8"/>
  <c r="G21" i="8"/>
  <c r="D21" i="8"/>
  <c r="F28" i="8"/>
  <c r="F87" i="8" s="1"/>
  <c r="W28" i="8"/>
  <c r="W87" i="8" s="1"/>
  <c r="E21" i="8"/>
  <c r="AF55" i="8"/>
  <c r="AI28" i="8"/>
  <c r="E25" i="8"/>
  <c r="Z25" i="8"/>
  <c r="AI21" i="8"/>
  <c r="G25" i="8"/>
  <c r="AI77" i="8"/>
  <c r="Y77" i="8"/>
  <c r="Y79" i="8" s="1"/>
  <c r="O17" i="9"/>
  <c r="K17" i="9"/>
  <c r="G29" i="8"/>
  <c r="D2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I87" i="8" l="1"/>
  <c r="AI29" i="8"/>
  <c r="W32" i="8"/>
  <c r="W35" i="8"/>
  <c r="F32" i="8"/>
  <c r="F35" i="8"/>
  <c r="AI35" i="8"/>
  <c r="AI32" i="8"/>
  <c r="Z96" i="8"/>
  <c r="Z117" i="8" s="1"/>
  <c r="G96" i="8"/>
  <c r="G117" i="8" s="1"/>
  <c r="E96" i="8"/>
  <c r="D96" i="8"/>
  <c r="AF79" i="8"/>
  <c r="AL55" i="8"/>
  <c r="F25" i="8"/>
  <c r="F29" i="8"/>
  <c r="W25" i="8"/>
  <c r="E29" i="8"/>
  <c r="Z29" i="8"/>
  <c r="D29" i="8"/>
  <c r="AI79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96" i="8" l="1"/>
  <c r="F117" i="8" s="1"/>
  <c r="W96" i="8"/>
  <c r="W117" i="8" s="1"/>
  <c r="AF117" i="8" s="1"/>
  <c r="W29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17" i="8"/>
  <c r="D117" i="8"/>
  <c r="AE96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F96" i="8" l="1"/>
  <c r="AC96" i="8"/>
  <c r="AD96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13" i="8" l="1"/>
  <c r="D118" i="8" s="1"/>
  <c r="D120" i="8" s="1"/>
  <c r="E111" i="8" l="1"/>
  <c r="E113" i="8" s="1"/>
  <c r="E118" i="8" s="1"/>
  <c r="E120" i="8" s="1"/>
  <c r="F111" i="8" l="1"/>
  <c r="F113" i="8" l="1"/>
  <c r="F118" i="8" l="1"/>
  <c r="F120" i="8" s="1"/>
  <c r="G111" i="8" l="1"/>
  <c r="G113" i="8" s="1"/>
  <c r="G118" i="8" s="1"/>
  <c r="Q113" i="8"/>
  <c r="Q118" i="8" s="1"/>
  <c r="G120" i="8" l="1"/>
  <c r="Q120" i="8"/>
  <c r="R111" i="8"/>
  <c r="R113" i="8" s="1"/>
  <c r="R118" i="8" s="1"/>
  <c r="AD111" i="8"/>
  <c r="R120" i="8" l="1"/>
  <c r="S111" i="8"/>
  <c r="S113" i="8" s="1"/>
  <c r="S118" i="8" s="1"/>
  <c r="S120" i="8" s="1"/>
  <c r="AE111" i="8"/>
  <c r="AF111" i="8" l="1"/>
  <c r="T111" i="8"/>
  <c r="T113" i="8" s="1"/>
  <c r="T118" i="8" s="1"/>
  <c r="T120" i="8" s="1"/>
  <c r="AG111" i="8" l="1"/>
  <c r="U111" i="8"/>
  <c r="U113" i="8" s="1"/>
  <c r="U118" i="8" s="1"/>
  <c r="U120" i="8" s="1"/>
  <c r="AH111" i="8" l="1"/>
  <c r="AD113" i="8"/>
  <c r="AD118" i="8" s="1"/>
  <c r="AD120" i="8" s="1"/>
  <c r="V111" i="8"/>
  <c r="V113" i="8" s="1"/>
  <c r="V118" i="8" s="1"/>
  <c r="V120" i="8" s="1"/>
  <c r="AI111" i="8" l="1"/>
  <c r="AE113" i="8"/>
  <c r="AE118" i="8" s="1"/>
  <c r="AE120" i="8" s="1"/>
  <c r="W111" i="8"/>
  <c r="W113" i="8" s="1"/>
  <c r="W118" i="8" s="1"/>
  <c r="W120" i="8" s="1"/>
  <c r="AJ111" i="8" l="1"/>
  <c r="AF113" i="8"/>
  <c r="AF118" i="8" s="1"/>
  <c r="AF120" i="8" s="1"/>
  <c r="X111" i="8"/>
  <c r="X113" i="8" s="1"/>
  <c r="Y11" i="8" l="1"/>
  <c r="Y20" i="8" l="1"/>
  <c r="Y24" i="8" s="1"/>
  <c r="Y14" i="8"/>
  <c r="Y15" i="8" s="1"/>
  <c r="Y12" i="10"/>
  <c r="Y28" i="8" l="1"/>
  <c r="Y87" i="8" s="1"/>
  <c r="Y32" i="8" l="1"/>
  <c r="Y35" i="8"/>
  <c r="Y21" i="8"/>
  <c r="Y25" i="8"/>
  <c r="Y29" i="8" l="1"/>
  <c r="Y96" i="8" l="1"/>
  <c r="Y117" i="8" s="1"/>
  <c r="X11" i="8"/>
  <c r="X20" i="8" l="1"/>
  <c r="X24" i="8" s="1"/>
  <c r="X14" i="8"/>
  <c r="X15" i="8" s="1"/>
  <c r="X12" i="10"/>
  <c r="X28" i="8" l="1"/>
  <c r="X87" i="8" s="1"/>
  <c r="X32" i="8" l="1"/>
  <c r="X35" i="8"/>
  <c r="X21" i="8"/>
  <c r="X25" i="8"/>
  <c r="X29" i="8" l="1"/>
  <c r="AJ96" i="8" l="1"/>
  <c r="AL96" i="8" s="1"/>
  <c r="AL87" i="8"/>
  <c r="AG96" i="8"/>
  <c r="AH96" i="8"/>
  <c r="X96" i="8"/>
  <c r="X117" i="8" s="1"/>
  <c r="X118" i="8" l="1"/>
  <c r="X120" i="8" s="1"/>
  <c r="AJ117" i="8"/>
  <c r="AI117" i="8"/>
  <c r="AH117" i="8"/>
  <c r="AG117" i="8"/>
  <c r="AG113" i="8"/>
  <c r="AI96" i="8"/>
  <c r="Y111" i="8" l="1"/>
  <c r="Y113" i="8" s="1"/>
  <c r="Y118" i="8" s="1"/>
  <c r="Y120" i="8" s="1"/>
  <c r="AG118" i="8"/>
  <c r="AG120" i="8" s="1"/>
  <c r="AH113" i="8"/>
  <c r="AH118" i="8" s="1"/>
  <c r="AH120" i="8" s="1"/>
  <c r="Z111" i="8" l="1"/>
  <c r="Z113" i="8" s="1"/>
  <c r="Z118" i="8" s="1"/>
  <c r="Z120" i="8" s="1"/>
  <c r="AI113" i="8"/>
  <c r="AI118" i="8" s="1"/>
  <c r="AI120" i="8" s="1"/>
  <c r="AC113" i="8"/>
  <c r="AC118" i="8" s="1"/>
  <c r="AC120" i="8" s="1"/>
  <c r="AA111" i="8" l="1"/>
  <c r="AA113" i="8" s="1"/>
  <c r="AA118" i="8" s="1"/>
  <c r="AJ113" i="8"/>
  <c r="AJ118" i="8" s="1"/>
  <c r="AJ120" i="8" s="1"/>
  <c r="AA120" i="8" l="1"/>
  <c r="C88" i="9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<sst xmlns="http://schemas.openxmlformats.org/spreadsheetml/2006/main" count="253" uniqueCount="199">
  <si>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</si>
  <si>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</si>
  <si>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</si>
  <si>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</si>
  <si>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</si>
  <si>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</si>
  <si>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</si>
  <si>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</si>
  <si>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</si>
  <si>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</si>
  <si>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</si>
  <si>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</si>
  <si>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</si>
  <si>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</si>
  <si>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</si>
  <si>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</si>
  <si>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</si>
  <si>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</si>
  <si>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</si>
  <si>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</si>
  <si>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</si>
  <si>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</si>
  <si>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</si>
  <si>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</si>
  <si>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</si>
  <si>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</si>
  <si>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</si>
  <si>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</si>
  <si>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</si>
  <si>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</si>
  <si>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</si>
  <si>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</si>
  <si>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</si>
  <si>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</si>
  <si>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</si>
  <si>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</si>
  <si>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</si>
  <si>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</si>
  <si>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</si>
  <si>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</si>
  <si>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</si>
  <si>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</si>
  <si>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</si>
  <si>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</si>
  <si>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</si>
  <si>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</si>
  <si>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</si>
  <si>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</si>
  <si>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</si>
  <si>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</si>
  <si>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</si>
  <si>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</si>
  <si>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</si>
  <si>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</si>
  <si>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</si>
  <si>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</si>
  <si>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</si>
  <si>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</si>
  <si>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</si>
  <si>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</si>
  <si>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</si>
  <si>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</si>
  <si>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</si>
  <si>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</si>
  <si>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</si>
  <si>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</si>
  <si>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</si>
  <si>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</si>
  <si>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</si>
  <si>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</si>
  <si>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</si>
  <si>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</si>
  <si>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</si>
  <si>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</si>
  <si>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</si>
  <si>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</si>
  <si>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</si>
  <si>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</si>
  <si>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</si>
  <si>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</si>
  <si>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</si>
  <si>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</si>
  <si>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</si>
  <si>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</si>
  <si>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</si>
  <si>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</si>
  <si>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</si>
  <si>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</si>
  <si>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</si>
  <si>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</si>
  <si>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</si>
  <si>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</si>
  <si>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</si>
  <si>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</si>
  <si>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</si>
  <si>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</si>
  <si>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</si>
  <si>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</si>
  <si>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</si>
  <si>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</si>
  <si>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</si>
  <si>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</si>
  <si>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</si>
  <si>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</si>
  <si>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</si>
  <si>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</si>
  <si>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</si>
  <si>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</si>
  <si>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</si>
  <si>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</si>
  <si>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</si>
  <si>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</si>
  <si>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</si>
  <si>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</si>
  <si>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</si>
  <si>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</si>
  <si>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</si>
  <si>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</si>
  <si>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</si>
  <si>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</si>
  <si>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</si>
  <si>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</si>
  <si>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</si>
  <si>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</si>
  <si>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</si>
  <si>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</si>
  <si>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</si>
  <si>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</si>
  <si>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</si>
  <si>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</si>
  <si>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</si>
  <si>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</si>
  <si>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</si>
  <si>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</si>
  <si>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</si>
  <si>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</si>
  <si>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</si>
  <si>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</si>
  <si>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</si>
  <si>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</si>
  <si>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</si>
  <si>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</si>
  <si>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</si>
  <si>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</si>
  <si>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</si>
  <si>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</si>
  <si>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</si>
  <si>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</si>
  <si>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</si>
  <si>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</si>
  <si>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</si>
  <si>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</si>
  <si>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LT Debt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</si>
  <si>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</si>
  <si>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</si>
  <si>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</si>
  <si>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</si>
  <si>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</si>
  <si>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</si>
  <si>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</si>
  <si>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</si>
  <si>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</si>
  <si>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ST Investments</t>
  </si>
  <si>
    <t>LT Investments</t>
  </si>
  <si>
    <t>Intangibles</t>
  </si>
  <si>
    <t>4Q22</t>
  </si>
  <si>
    <t>1Q22</t>
  </si>
  <si>
    <t>2Q22</t>
  </si>
  <si>
    <t>3Q22</t>
  </si>
  <si>
    <t>Cost Of Sales</t>
  </si>
  <si>
    <t>R&amp;D</t>
  </si>
  <si>
    <t>Interest Income</t>
  </si>
  <si>
    <t xml:space="preserve">Cash &amp; CEs </t>
  </si>
  <si>
    <t>A/R</t>
  </si>
  <si>
    <t>Other LT Assets</t>
  </si>
  <si>
    <t>A/P</t>
  </si>
  <si>
    <t>4Q21</t>
  </si>
  <si>
    <t>3Q21</t>
  </si>
  <si>
    <t>2Q21</t>
  </si>
  <si>
    <t>1Q21</t>
  </si>
  <si>
    <t>Sales and Marketing</t>
  </si>
  <si>
    <t>General and Administrative</t>
  </si>
  <si>
    <t>Prepaid Expenses</t>
  </si>
  <si>
    <t>Professional Services and Other</t>
  </si>
  <si>
    <t>U.S. Revenues</t>
  </si>
  <si>
    <t>Euro Revenues</t>
  </si>
  <si>
    <t>APac Revenues</t>
  </si>
  <si>
    <t>Rest of World Revenues</t>
  </si>
  <si>
    <t>Family of Apps Revenues</t>
  </si>
  <si>
    <t xml:space="preserve">Advertising </t>
  </si>
  <si>
    <t>Other Revenues</t>
  </si>
  <si>
    <t>LT Operating Lease</t>
  </si>
  <si>
    <t>Partner Payables</t>
  </si>
  <si>
    <t>ST Operating Lease Liabilities</t>
  </si>
  <si>
    <t>Accrued Expenses &amp; Other</t>
  </si>
  <si>
    <t>Deffered Revenues</t>
  </si>
  <si>
    <t>LT Operating Lease Liabilities</t>
  </si>
  <si>
    <t>LT Income Taxes</t>
  </si>
  <si>
    <t>Meta Platforms, Inc. (NASDAQ: META)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</si>
</sst>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2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41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7.875" style="5" bestFit="1" customWidth="1" outlineLevel="1"/>
    <col min="4" max="4" width="9" style="5" customWidth="1" outlineLevel="1"/>
    <col min="5" max="7" width="9" style="5" bestFit="1" customWidth="1"/>
    <col min="8" max="8" width="1.5" style="5" customWidth="1"/>
    <col min="9" max="20" width="8.875" style="5" customWidth="1" outlineLevel="2"/>
    <col min="21" max="22" width="8.875" style="5" customWidth="1" outlineLevel="1"/>
    <col min="23" max="27" width="8.875" style="5" bestFit="1" customWidth="1"/>
    <col min="28" max="28" width="1.5" style="5" customWidth="1"/>
    <col min="29" max="31" width="8.75" style="5" customWidth="1" outlineLevel="1"/>
    <col min="32" max="32" width="9" style="5" bestFit="1" customWidth="1"/>
    <col min="33" max="35" width="9" style="5" customWidth="1" outlineLevel="1"/>
    <col min="36" max="36" width="9" style="5" bestFit="1" customWidth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198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 t="s">
        <v>1</v>
      </c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2" t="s">
        <v>22</v>
      </c>
    </row>
    <row r="7" spans="1:38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179</v>
      </c>
      <c r="J7" s="4" t="s">
        <v>178</v>
      </c>
      <c r="K7" s="4" t="s">
        <v>177</v>
      </c>
      <c r="L7" s="4" t="s">
        <v>176</v>
      </c>
      <c r="M7" s="4" t="s">
        <v>166</v>
      </c>
      <c r="N7" s="4" t="s">
        <v>167</v>
      </c>
      <c r="O7" s="4" t="s">
        <v>168</v>
      </c>
      <c r="P7" s="4" t="s">
        <v>165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>T7</f>
        <v>4Q23</v>
      </c>
      <c r="AD7" s="4" t="str">
        <f>U7</f>
        <v>1Q24</v>
      </c>
      <c r="AE7" s="4" t="str">
        <f>V7</f>
        <v>2Q24</v>
      </c>
      <c r="AF7" s="4" t="str">
        <f>W7</f>
        <v>3Q24</v>
      </c>
      <c r="AG7" s="4" t="str">
        <f>X7</f>
        <v>4Q24</v>
      </c>
      <c r="AH7" s="4" t="str">
        <f>Y7</f>
        <v>1Q25</v>
      </c>
      <c r="AI7" s="4" t="str">
        <f>Z7</f>
        <v>2Q25</v>
      </c>
      <c r="AJ7" s="4" t="str">
        <f>AA7</f>
        <v>3Q25</v>
      </c>
      <c r="AK7" s="38"/>
      <c r="AL7" s="162"/>
    </row>
    <row r="8" spans="1:38" ht="12.75" customHeight="1">
      <c r="B8" s="6" t="s">
        <v>76</v>
      </c>
      <c r="C8" s="3"/>
      <c r="D8" s="3"/>
      <c r="E8" s="3"/>
      <c r="F8" s="85"/>
      <c r="G8" s="85"/>
      <c r="H8" s="3"/>
      <c r="I8" s="3"/>
      <c r="J8" s="3"/>
      <c r="K8" s="3"/>
      <c r="L8" s="3">
        <f>D8</f>
        <v>0</v>
      </c>
      <c r="M8" s="3"/>
      <c r="N8" s="3"/>
      <c r="O8" s="3"/>
      <c r="P8" s="3">
        <f>E8</f>
        <v>0</v>
      </c>
      <c r="Q8" s="3"/>
      <c r="R8" s="3"/>
      <c r="S8" s="3"/>
      <c r="T8" s="3">
        <f>F8</f>
        <v>0</v>
      </c>
      <c r="U8" s="3"/>
      <c r="V8" s="3"/>
      <c r="W8" s="3"/>
      <c r="X8" s="3">
        <f>G8</f>
        <v>0</v>
      </c>
      <c r="Y8" s="3"/>
      <c r="Z8" s="3"/>
      <c r="AA8" s="3"/>
      <c r="AB8" s="3"/>
      <c r="AC8" s="3">
        <f>T8</f>
        <v>0</v>
      </c>
      <c r="AD8" s="3">
        <f>U8</f>
        <v>0</v>
      </c>
      <c r="AE8" s="3">
        <f>V8</f>
        <v>0</v>
      </c>
      <c r="AF8" s="3">
        <f>W8</f>
        <v>0</v>
      </c>
      <c r="AG8" s="3">
        <f>X8</f>
        <v>0</v>
      </c>
      <c r="AH8" s="3">
        <f>Y8</f>
        <v>0</v>
      </c>
      <c r="AI8" s="3">
        <f>Z8</f>
        <v>0</v>
      </c>
      <c r="AJ8" s="3">
        <f>AA8</f>
        <v>0</v>
      </c>
      <c r="AK8" s="38"/>
      <c r="AL8" s="162"/>
    </row>
    <row r="9" spans="1:38" ht="5.0999999999999996" customHeight="1">
      <c r="AL9" s="100"/>
    </row>
    <row r="10" spans="1:38" ht="12.75" customHeight="1">
      <c r="B10" s="9" t="s">
        <v>56</v>
      </c>
      <c r="C10" s="95">
        <v>85965</v>
      </c>
      <c r="D10" s="95">
        <v>117929</v>
      </c>
      <c r="E10" s="95">
        <v>116609</v>
      </c>
      <c r="F10" s="95">
        <v>134902</v>
      </c>
      <c r="G10" s="95">
        <v>164501</v>
      </c>
      <c r="H10" s="11"/>
      <c r="I10" s="95">
        <v>26171</v>
      </c>
      <c r="J10" s="95">
        <v>29077</v>
      </c>
      <c r="K10" s="95">
        <v>29010</v>
      </c>
      <c r="L10" s="32">
        <v>33671</v>
      </c>
      <c r="M10" s="95">
        <v>27908</v>
      </c>
      <c r="N10" s="95">
        <v>28822</v>
      </c>
      <c r="O10" s="95">
        <v>27714</v>
      </c>
      <c r="P10" s="32">
        <v>32165</v>
      </c>
      <c r="Q10" s="95">
        <v>28645</v>
      </c>
      <c r="R10" s="95">
        <v>31999</v>
      </c>
      <c r="S10" s="95">
        <v>34146</v>
      </c>
      <c r="T10" s="32">
        <v>40112</v>
      </c>
      <c r="U10" s="95">
        <v>36455</v>
      </c>
      <c r="V10" s="95">
        <v>39071</v>
      </c>
      <c r="W10" s="95">
        <v>40589</v>
      </c>
      <c r="X10" s="32">
        <v>48386</v>
      </c>
      <c r="Y10" s="82">
        <v>42314</v>
      </c>
      <c r="Z10" s="82">
        <v>47516</v>
      </c>
      <c r="AA10" s="82">
        <v>51242</v>
      </c>
      <c r="AC10" s="32">
        <f>SUM(Q10:T10)</f>
        <v>134902</v>
      </c>
      <c r="AD10" s="32">
        <f>SUM(R10:U10)</f>
        <v>142712</v>
      </c>
      <c r="AE10" s="32">
        <f>SUM(S10:V10)</f>
        <v>149784</v>
      </c>
      <c r="AF10" s="32">
        <f>SUM(T10:W10)</f>
        <v>156227</v>
      </c>
      <c r="AG10" s="32">
        <f>SUM(U10:X10)</f>
        <v>164501</v>
      </c>
      <c r="AH10" s="32">
        <f>SUM(V10:Y10)</f>
        <v>170360</v>
      </c>
      <c r="AI10" s="32">
        <f>SUM(W10:Z10)</f>
        <v>178805</v>
      </c>
      <c r="AJ10" s="32">
        <f>SUM(X10:AA10)</f>
        <v>189458</v>
      </c>
      <c r="AK10" s="40"/>
      <c r="AL10" s="12">
        <f>SUM(AJ10/AF10)-1</f>
        <v>0.21270971086944002</v>
      </c>
    </row>
    <row r="11" spans="1:38" ht="12.75" customHeight="1">
      <c r="B11" s="13" t="s">
        <v>12</v>
      </c>
      <c r="C11" s="14">
        <f t="shared" ref="C11" si="0">+SUM(C10:C10)</f>
        <v>85965</v>
      </c>
      <c r="D11" s="14">
        <f t="shared" ref="D11:G11" si="1">+SUM(D10:D10)</f>
        <v>117929</v>
      </c>
      <c r="E11" s="14">
        <f t="shared" si="1"/>
        <v>116609</v>
      </c>
      <c r="F11" s="14">
        <f t="shared" si="1"/>
        <v>134902</v>
      </c>
      <c r="G11" s="14">
        <f t="shared" si="1"/>
        <v>164501</v>
      </c>
      <c r="H11" s="11"/>
      <c r="I11" s="14">
        <f t="shared" ref="I11:L11" si="2">+SUM(I10:I10)</f>
        <v>26171</v>
      </c>
      <c r="J11" s="14">
        <f t="shared" si="2"/>
        <v>29077</v>
      </c>
      <c r="K11" s="14">
        <f t="shared" si="2"/>
        <v>29010</v>
      </c>
      <c r="L11" s="14">
        <f t="shared" si="2"/>
        <v>33671</v>
      </c>
      <c r="M11" s="14">
        <f t="shared" ref="M11:P11" si="3">+SUM(M10:M10)</f>
        <v>27908</v>
      </c>
      <c r="N11" s="14">
        <f t="shared" ref="N11" si="4">+SUM(N10:N10)</f>
        <v>28822</v>
      </c>
      <c r="O11" s="14">
        <f t="shared" si="3"/>
        <v>27714</v>
      </c>
      <c r="P11" s="14">
        <f t="shared" si="3"/>
        <v>32165</v>
      </c>
      <c r="Q11" s="14">
        <f t="shared" ref="Q11:Z11" si="5">+SUM(Q10:Q10)</f>
        <v>28645</v>
      </c>
      <c r="R11" s="14">
        <f t="shared" si="5"/>
        <v>31999</v>
      </c>
      <c r="S11" s="14">
        <f t="shared" si="5"/>
        <v>34146</v>
      </c>
      <c r="T11" s="14">
        <f t="shared" si="5"/>
        <v>40112</v>
      </c>
      <c r="U11" s="14">
        <f t="shared" si="5"/>
        <v>36455</v>
      </c>
      <c r="V11" s="14">
        <f t="shared" si="5"/>
        <v>39071</v>
      </c>
      <c r="W11" s="14">
        <f t="shared" si="5"/>
        <v>40589</v>
      </c>
      <c r="X11" s="14">
        <f t="shared" si="5"/>
        <v>48386</v>
      </c>
      <c r="Y11" s="14">
        <f t="shared" si="5"/>
        <v>42314</v>
      </c>
      <c r="Z11" s="14">
        <f t="shared" si="5"/>
        <v>47516</v>
      </c>
      <c r="AA11" s="14">
        <f>+SUM(AA10:AA10)</f>
        <v>51242</v>
      </c>
      <c r="AC11" s="14">
        <f t="shared" ref="AC11:AI11" si="6">+SUM(AC10:AC10)</f>
        <v>134902</v>
      </c>
      <c r="AD11" s="14">
        <f t="shared" si="6"/>
        <v>142712</v>
      </c>
      <c r="AE11" s="14">
        <f t="shared" si="6"/>
        <v>149784</v>
      </c>
      <c r="AF11" s="14">
        <f t="shared" si="6"/>
        <v>156227</v>
      </c>
      <c r="AG11" s="14">
        <f t="shared" si="6"/>
        <v>164501</v>
      </c>
      <c r="AH11" s="14">
        <f t="shared" si="6"/>
        <v>170360</v>
      </c>
      <c r="AI11" s="14">
        <f t="shared" si="6"/>
        <v>178805</v>
      </c>
      <c r="AJ11" s="14">
        <f>+SUM(AJ10:AJ10)</f>
        <v>189458</v>
      </c>
      <c r="AK11" s="40"/>
      <c r="AL11" s="15">
        <f>SUM(AJ11/AF11)-1</f>
        <v>0.21270971086944002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169</v>
      </c>
      <c r="C13" s="82">
        <v>-16692</v>
      </c>
      <c r="D13" s="82">
        <v>-22649</v>
      </c>
      <c r="E13" s="82">
        <v>-25249</v>
      </c>
      <c r="F13" s="82">
        <v>-25959</v>
      </c>
      <c r="G13" s="82">
        <v>-30161</v>
      </c>
      <c r="H13" s="32"/>
      <c r="I13" s="82">
        <v>-5131</v>
      </c>
      <c r="J13" s="82">
        <v>-5399</v>
      </c>
      <c r="K13" s="82">
        <v>-5771</v>
      </c>
      <c r="L13" s="32">
        <f t="shared" ref="L13" si="7">SUM(D13-SUM(I13:K13))</f>
        <v>-6348</v>
      </c>
      <c r="M13" s="82">
        <v>-6005</v>
      </c>
      <c r="N13" s="82">
        <v>-5192</v>
      </c>
      <c r="O13" s="82">
        <v>-5716</v>
      </c>
      <c r="P13" s="32">
        <f t="shared" ref="P13" si="8">SUM(E13-SUM(M13:O13))</f>
        <v>-8336</v>
      </c>
      <c r="Q13" s="82">
        <v>-6108</v>
      </c>
      <c r="R13" s="82">
        <v>-5945</v>
      </c>
      <c r="S13" s="82">
        <v>-6210</v>
      </c>
      <c r="T13" s="32">
        <f t="shared" ref="T13" si="9">SUM(F13-SUM(Q13:S13))</f>
        <v>-7696</v>
      </c>
      <c r="U13" s="82">
        <v>-6640</v>
      </c>
      <c r="V13" s="82">
        <v>-7308</v>
      </c>
      <c r="W13" s="82">
        <v>-7375</v>
      </c>
      <c r="X13" s="32">
        <f t="shared" ref="X13" si="10">SUM(G13-SUM(U13:W13))</f>
        <v>-8838</v>
      </c>
      <c r="Y13" s="82">
        <v>-7572</v>
      </c>
      <c r="Z13" s="82">
        <v>-8491</v>
      </c>
      <c r="AA13" s="82">
        <v>-9206</v>
      </c>
      <c r="AB13" s="5"/>
      <c r="AC13" s="32">
        <f>SUM(Q13:T13)</f>
        <v>-25959</v>
      </c>
      <c r="AD13" s="32">
        <f>SUM(R13:U13)</f>
        <v>-26491</v>
      </c>
      <c r="AE13" s="32">
        <f>SUM(S13:V13)</f>
        <v>-27854</v>
      </c>
      <c r="AF13" s="32">
        <f>SUM(T13:W13)</f>
        <v>-29019</v>
      </c>
      <c r="AG13" s="32">
        <f>SUM(U13:X13)</f>
        <v>-30161</v>
      </c>
      <c r="AH13" s="32">
        <f>SUM(V13:Y13)</f>
        <v>-31093</v>
      </c>
      <c r="AI13" s="32">
        <f>SUM(W13:Z13)</f>
        <v>-32276</v>
      </c>
      <c r="AJ13" s="32">
        <f>SUM(X13:AA13)</f>
        <v>-34107</v>
      </c>
      <c r="AK13" s="11"/>
      <c r="AL13" s="75">
        <f t="shared" ref="AL13" si="11">SUM(AJ13/AF13)-1</f>
        <v>0.17533340225369587</v>
      </c>
    </row>
    <row r="14" spans="1:38" s="20" customFormat="1">
      <c r="B14" s="25" t="s">
        <v>20</v>
      </c>
      <c r="C14" s="26">
        <f>SUM(C11+C13)</f>
        <v>69273</v>
      </c>
      <c r="D14" s="26">
        <f t="shared" ref="D14:G14" si="12">SUM(D11+D13)</f>
        <v>95280</v>
      </c>
      <c r="E14" s="26">
        <f t="shared" si="12"/>
        <v>91360</v>
      </c>
      <c r="F14" s="26">
        <f t="shared" si="12"/>
        <v>108943</v>
      </c>
      <c r="G14" s="26">
        <f t="shared" si="12"/>
        <v>134340</v>
      </c>
      <c r="H14" s="32"/>
      <c r="I14" s="26">
        <f t="shared" ref="I14" si="13">SUM(I11+I13)</f>
        <v>21040</v>
      </c>
      <c r="J14" s="26">
        <f t="shared" ref="J14" si="14">SUM(J11+J13)</f>
        <v>23678</v>
      </c>
      <c r="K14" s="26">
        <f t="shared" ref="K14" si="15">SUM(K11+K13)</f>
        <v>23239</v>
      </c>
      <c r="L14" s="26">
        <f t="shared" ref="L14" si="16">SUM(L11+L13)</f>
        <v>27323</v>
      </c>
      <c r="M14" s="26">
        <f t="shared" ref="M14" si="17">SUM(M11+M13)</f>
        <v>21903</v>
      </c>
      <c r="N14" s="26">
        <f t="shared" ref="N14" si="18">SUM(N11+N13)</f>
        <v>23630</v>
      </c>
      <c r="O14" s="26">
        <f t="shared" ref="O14" si="19">SUM(O11+O13)</f>
        <v>21998</v>
      </c>
      <c r="P14" s="26">
        <f t="shared" ref="P14" si="20">SUM(P11+P13)</f>
        <v>23829</v>
      </c>
      <c r="Q14" s="26">
        <f t="shared" ref="Q14" si="21">SUM(Q11+Q13)</f>
        <v>22537</v>
      </c>
      <c r="R14" s="26">
        <f t="shared" ref="R14" si="22">SUM(R11+R13)</f>
        <v>26054</v>
      </c>
      <c r="S14" s="26">
        <f t="shared" ref="S14" si="23">SUM(S11+S13)</f>
        <v>27936</v>
      </c>
      <c r="T14" s="26">
        <f t="shared" ref="T14" si="24">SUM(T11+T13)</f>
        <v>32416</v>
      </c>
      <c r="U14" s="26">
        <f t="shared" ref="U14" si="25">SUM(U11+U13)</f>
        <v>29815</v>
      </c>
      <c r="V14" s="26">
        <f t="shared" ref="V14" si="26">SUM(V11+V13)</f>
        <v>31763</v>
      </c>
      <c r="W14" s="26">
        <f t="shared" ref="W14" si="27">SUM(W11+W13)</f>
        <v>33214</v>
      </c>
      <c r="X14" s="26">
        <f t="shared" ref="X14" si="28">SUM(X11+X13)</f>
        <v>39548</v>
      </c>
      <c r="Y14" s="26">
        <f t="shared" ref="Y14" si="29">SUM(Y11+Y13)</f>
        <v>34742</v>
      </c>
      <c r="Z14" s="26">
        <f t="shared" ref="Z14" si="30">SUM(Z11+Z13)</f>
        <v>39025</v>
      </c>
      <c r="AA14" s="26">
        <f t="shared" ref="AA14" si="31">SUM(AA11+AA13)</f>
        <v>42036</v>
      </c>
      <c r="AB14" s="5"/>
      <c r="AC14" s="26">
        <f t="shared" ref="AC14" si="32">SUM(AC11+AC13)</f>
        <v>108943</v>
      </c>
      <c r="AD14" s="26">
        <f t="shared" ref="AD14" si="33">SUM(AD11+AD13)</f>
        <v>116221</v>
      </c>
      <c r="AE14" s="26">
        <f t="shared" ref="AE14" si="34">SUM(AE11+AE13)</f>
        <v>121930</v>
      </c>
      <c r="AF14" s="26">
        <f t="shared" ref="AF14" si="35">SUM(AF11+AF13)</f>
        <v>127208</v>
      </c>
      <c r="AG14" s="26">
        <f t="shared" ref="AG14" si="36">SUM(AG11+AG13)</f>
        <v>134340</v>
      </c>
      <c r="AH14" s="26">
        <f t="shared" ref="AH14" si="37">SUM(AH11+AH13)</f>
        <v>139267</v>
      </c>
      <c r="AI14" s="26">
        <f t="shared" ref="AI14" si="38">SUM(AI11+AI13)</f>
        <v>146529</v>
      </c>
      <c r="AJ14" s="26">
        <f t="shared" ref="AJ14" si="39">SUM(AJ11+AJ13)</f>
        <v>155351</v>
      </c>
      <c r="AK14" s="11"/>
      <c r="AL14" s="76">
        <f>SUM(AJ14/AF14)-1</f>
        <v>0.22123608578076848</v>
      </c>
    </row>
    <row r="15" spans="1:38" s="20" customFormat="1">
      <c r="B15" s="16" t="s">
        <v>29</v>
      </c>
      <c r="C15" s="17">
        <f>C14/C11</f>
        <v>0.80582795323678236</v>
      </c>
      <c r="D15" s="17">
        <f t="shared" ref="D15:G15" si="40">D14/D11</f>
        <v>0.80794376277251567</v>
      </c>
      <c r="E15" s="17">
        <f t="shared" si="40"/>
        <v>0.78347297378418479</v>
      </c>
      <c r="F15" s="17">
        <f t="shared" si="40"/>
        <v>0.8075714222176098</v>
      </c>
      <c r="G15" s="17">
        <f t="shared" si="40"/>
        <v>0.81665157050717019</v>
      </c>
      <c r="H15" s="32"/>
      <c r="I15" s="17">
        <f t="shared" ref="I15" si="41">I14/I11</f>
        <v>0.80394329601467274</v>
      </c>
      <c r="J15" s="17">
        <f t="shared" ref="J15" si="42">J14/J11</f>
        <v>0.81432059703545756</v>
      </c>
      <c r="K15" s="17">
        <f t="shared" ref="K15" si="43">K14/K11</f>
        <v>0.80106859703550504</v>
      </c>
      <c r="L15" s="17">
        <f t="shared" ref="L15" si="44">L14/L11</f>
        <v>0.81146981081642955</v>
      </c>
      <c r="M15" s="17">
        <f t="shared" ref="M15" si="45">M14/M11</f>
        <v>0.78482872294682526</v>
      </c>
      <c r="N15" s="17">
        <f t="shared" ref="N15" si="46">N14/N11</f>
        <v>0.81985982929706469</v>
      </c>
      <c r="O15" s="17">
        <f t="shared" ref="O15" si="47">O14/O11</f>
        <v>0.79375045103557773</v>
      </c>
      <c r="P15" s="17">
        <f t="shared" ref="P15" si="48">P14/P11</f>
        <v>0.74083631276231932</v>
      </c>
      <c r="Q15" s="17">
        <f t="shared" ref="Q15" si="49">Q14/Q11</f>
        <v>0.7867690696456624</v>
      </c>
      <c r="R15" s="17">
        <f t="shared" ref="R15" si="50">R14/R11</f>
        <v>0.81421294415450485</v>
      </c>
      <c r="S15" s="17">
        <f t="shared" ref="S15" si="51">S14/S11</f>
        <v>0.81813389562467054</v>
      </c>
      <c r="T15" s="17">
        <f t="shared" ref="T15" si="52">T14/T11</f>
        <v>0.8081372157957718</v>
      </c>
      <c r="U15" s="17">
        <f t="shared" ref="U15" si="53">U14/U11</f>
        <v>0.81785763269784661</v>
      </c>
      <c r="V15" s="17">
        <f t="shared" ref="V15" si="54">V14/V11</f>
        <v>0.81295590079598679</v>
      </c>
      <c r="W15" s="17">
        <f t="shared" ref="W15" si="55">W14/W11</f>
        <v>0.81830052477272164</v>
      </c>
      <c r="X15" s="17">
        <f t="shared" ref="X15" si="56">X14/X11</f>
        <v>0.81734385979415536</v>
      </c>
      <c r="Y15" s="17">
        <f t="shared" ref="Y15" si="57">Y14/Y11</f>
        <v>0.82105213404546962</v>
      </c>
      <c r="Z15" s="17">
        <f t="shared" ref="Z15" si="58">Z14/Z11</f>
        <v>0.82130229817324696</v>
      </c>
      <c r="AA15" s="17">
        <f t="shared" ref="AA15" si="59">AA14/AA11</f>
        <v>0.82034268763904605</v>
      </c>
      <c r="AB15" s="5"/>
      <c r="AC15" s="17">
        <f t="shared" ref="AC15" si="60">AC14/AC11</f>
        <v>0.8075714222176098</v>
      </c>
      <c r="AD15" s="17">
        <f t="shared" ref="AD15" si="61">AD14/AD11</f>
        <v>0.81437440439486519</v>
      </c>
      <c r="AE15" s="17">
        <f t="shared" ref="AE15" si="62">AE14/AE11</f>
        <v>0.81403888265769375</v>
      </c>
      <c r="AF15" s="17">
        <f t="shared" ref="AF15" si="63">AF14/AF11</f>
        <v>0.81425105775570161</v>
      </c>
      <c r="AG15" s="17">
        <f t="shared" ref="AG15" si="64">AG14/AG11</f>
        <v>0.81665157050717019</v>
      </c>
      <c r="AH15" s="17">
        <f t="shared" ref="AH15" si="65">AH14/AH11</f>
        <v>0.81748649917821081</v>
      </c>
      <c r="AI15" s="17">
        <f t="shared" ref="AI15" si="66">AI14/AI11</f>
        <v>0.81949050641760579</v>
      </c>
      <c r="AJ15" s="17">
        <f t="shared" ref="AJ15" si="67">AJ14/AJ11</f>
        <v>0.81997593134098323</v>
      </c>
      <c r="AK15" s="11"/>
      <c r="AL15" s="77">
        <f>SUM(AJ15-AF15)*1000</f>
        <v>5.7248735852816202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170</v>
      </c>
      <c r="C17" s="82">
        <v>-18447</v>
      </c>
      <c r="D17" s="82">
        <v>-24655</v>
      </c>
      <c r="E17" s="82">
        <v>-35338</v>
      </c>
      <c r="F17" s="82">
        <v>-38483</v>
      </c>
      <c r="G17" s="82">
        <v>-43873</v>
      </c>
      <c r="H17" s="32"/>
      <c r="I17" s="82">
        <v>-5197</v>
      </c>
      <c r="J17" s="82">
        <v>-6096</v>
      </c>
      <c r="K17" s="82">
        <v>-6316</v>
      </c>
      <c r="L17" s="32">
        <f t="shared" ref="L17:L19" si="68">SUM(D17-SUM(I17:K17))</f>
        <v>-7046</v>
      </c>
      <c r="M17" s="82">
        <v>-7707</v>
      </c>
      <c r="N17" s="82">
        <v>-8690</v>
      </c>
      <c r="O17" s="82">
        <v>-9170</v>
      </c>
      <c r="P17" s="32">
        <f t="shared" ref="P17:P19" si="69">SUM(E17-SUM(M17:O17))</f>
        <v>-9771</v>
      </c>
      <c r="Q17" s="82">
        <v>-9381</v>
      </c>
      <c r="R17" s="82">
        <v>-9344</v>
      </c>
      <c r="S17" s="82">
        <v>-9241</v>
      </c>
      <c r="T17" s="32">
        <f t="shared" ref="T17:T19" si="70">SUM(F17-SUM(Q17:S17))</f>
        <v>-10517</v>
      </c>
      <c r="U17" s="82">
        <v>-9978</v>
      </c>
      <c r="V17" s="82">
        <v>-10537</v>
      </c>
      <c r="W17" s="82">
        <v>-11177</v>
      </c>
      <c r="X17" s="32">
        <f t="shared" ref="X17:X19" si="71">SUM(G17-SUM(U17:W17))</f>
        <v>-12181</v>
      </c>
      <c r="Y17" s="82">
        <v>-12150</v>
      </c>
      <c r="Z17" s="82">
        <v>-12942</v>
      </c>
      <c r="AA17" s="82">
        <v>-15144</v>
      </c>
      <c r="AC17" s="32">
        <f>SUM(Q17:T17)</f>
        <v>-38483</v>
      </c>
      <c r="AD17" s="32">
        <f>SUM(R17:U17)</f>
        <v>-39080</v>
      </c>
      <c r="AE17" s="32">
        <f>SUM(S17:V17)</f>
        <v>-40273</v>
      </c>
      <c r="AF17" s="32">
        <f>SUM(T17:W17)</f>
        <v>-42209</v>
      </c>
      <c r="AG17" s="32">
        <f>SUM(U17:X17)</f>
        <v>-43873</v>
      </c>
      <c r="AH17" s="32">
        <f>SUM(V17:Y17)</f>
        <v>-46045</v>
      </c>
      <c r="AI17" s="32">
        <f>SUM(W17:Z17)</f>
        <v>-48450</v>
      </c>
      <c r="AJ17" s="32">
        <f>SUM(X17:AA17)</f>
        <v>-52417</v>
      </c>
      <c r="AK17" s="11"/>
      <c r="AL17" s="75">
        <f>SUM(AJ17/AF17)-1</f>
        <v>0.24184415645952284</v>
      </c>
    </row>
    <row r="18" spans="2:38" ht="12.75" customHeight="1">
      <c r="B18" s="9" t="s">
        <v>180</v>
      </c>
      <c r="C18" s="82">
        <v>-11591</v>
      </c>
      <c r="D18" s="82">
        <v>-14043</v>
      </c>
      <c r="E18" s="82">
        <v>-15262</v>
      </c>
      <c r="F18" s="82">
        <v>-12301</v>
      </c>
      <c r="G18" s="82">
        <v>-11347</v>
      </c>
      <c r="H18" s="32"/>
      <c r="I18" s="82">
        <v>-2843</v>
      </c>
      <c r="J18" s="82">
        <v>-3259</v>
      </c>
      <c r="K18" s="82">
        <v>-3554</v>
      </c>
      <c r="L18" s="32">
        <f t="shared" si="68"/>
        <v>-4387</v>
      </c>
      <c r="M18" s="82">
        <v>-3312</v>
      </c>
      <c r="N18" s="82">
        <v>-3595</v>
      </c>
      <c r="O18" s="82">
        <v>-3780</v>
      </c>
      <c r="P18" s="32">
        <f t="shared" si="69"/>
        <v>-4575</v>
      </c>
      <c r="Q18" s="82">
        <v>-3044</v>
      </c>
      <c r="R18" s="82">
        <v>-3154</v>
      </c>
      <c r="S18" s="82">
        <v>-2877</v>
      </c>
      <c r="T18" s="32">
        <f t="shared" si="70"/>
        <v>-3226</v>
      </c>
      <c r="U18" s="82">
        <v>-2564</v>
      </c>
      <c r="V18" s="82">
        <v>-2721</v>
      </c>
      <c r="W18" s="82">
        <v>-2822</v>
      </c>
      <c r="X18" s="32">
        <f t="shared" si="71"/>
        <v>-3240</v>
      </c>
      <c r="Y18" s="82">
        <v>-2757</v>
      </c>
      <c r="Z18" s="82">
        <v>-2979</v>
      </c>
      <c r="AA18" s="82">
        <v>-2845</v>
      </c>
      <c r="AC18" s="32">
        <f>SUM(Q18:T18)</f>
        <v>-12301</v>
      </c>
      <c r="AD18" s="32">
        <f>SUM(R18:U18)</f>
        <v>-11821</v>
      </c>
      <c r="AE18" s="32">
        <f>SUM(S18:V18)</f>
        <v>-11388</v>
      </c>
      <c r="AF18" s="32">
        <f>SUM(T18:W18)</f>
        <v>-11333</v>
      </c>
      <c r="AG18" s="32">
        <f>SUM(U18:X18)</f>
        <v>-11347</v>
      </c>
      <c r="AH18" s="32">
        <f>SUM(V18:Y18)</f>
        <v>-11540</v>
      </c>
      <c r="AI18" s="32">
        <f>SUM(W18:Z18)</f>
        <v>-11798</v>
      </c>
      <c r="AJ18" s="32">
        <f>SUM(X18:AA18)</f>
        <v>-11821</v>
      </c>
      <c r="AK18" s="11"/>
      <c r="AL18" s="75">
        <f t="shared" ref="AL18:AL19" si="72">SUM(AJ18/AF18)-1</f>
        <v>4.3060090002647211E-2</v>
      </c>
    </row>
    <row r="19" spans="2:38" ht="12.75" customHeight="1">
      <c r="B19" s="9" t="s">
        <v>181</v>
      </c>
      <c r="C19" s="82">
        <v>-6564</v>
      </c>
      <c r="D19" s="82">
        <v>-9829</v>
      </c>
      <c r="E19" s="82">
        <v>-11816</v>
      </c>
      <c r="F19" s="82">
        <v>-11408</v>
      </c>
      <c r="G19" s="82">
        <v>-9740</v>
      </c>
      <c r="H19" s="32"/>
      <c r="I19" s="82">
        <v>-1622</v>
      </c>
      <c r="J19" s="82">
        <v>-1956</v>
      </c>
      <c r="K19" s="82">
        <v>-2946</v>
      </c>
      <c r="L19" s="32">
        <f t="shared" si="68"/>
        <v>-3305</v>
      </c>
      <c r="M19" s="82">
        <v>-2360</v>
      </c>
      <c r="N19" s="82">
        <v>-2987</v>
      </c>
      <c r="O19" s="82">
        <v>-3384</v>
      </c>
      <c r="P19" s="32">
        <f t="shared" si="69"/>
        <v>-3085</v>
      </c>
      <c r="Q19" s="82">
        <v>-2885</v>
      </c>
      <c r="R19" s="82">
        <v>-4164</v>
      </c>
      <c r="S19" s="82">
        <v>-2070</v>
      </c>
      <c r="T19" s="32">
        <f t="shared" si="70"/>
        <v>-2289</v>
      </c>
      <c r="U19" s="82">
        <v>-3455</v>
      </c>
      <c r="V19" s="82">
        <v>-3658</v>
      </c>
      <c r="W19" s="82">
        <v>-1865</v>
      </c>
      <c r="X19" s="32">
        <f t="shared" si="71"/>
        <v>-762</v>
      </c>
      <c r="Y19" s="82">
        <v>-2280</v>
      </c>
      <c r="Z19" s="82">
        <v>-2663</v>
      </c>
      <c r="AA19" s="82">
        <v>-3512</v>
      </c>
      <c r="AC19" s="32">
        <f>SUM(Q19:T19)</f>
        <v>-11408</v>
      </c>
      <c r="AD19" s="32">
        <f>SUM(R19:U19)</f>
        <v>-11978</v>
      </c>
      <c r="AE19" s="32">
        <f>SUM(S19:V19)</f>
        <v>-11472</v>
      </c>
      <c r="AF19" s="32">
        <f>SUM(T19:W19)</f>
        <v>-11267</v>
      </c>
      <c r="AG19" s="32">
        <f>SUM(U19:X19)</f>
        <v>-9740</v>
      </c>
      <c r="AH19" s="32">
        <f>SUM(V19:Y19)</f>
        <v>-8565</v>
      </c>
      <c r="AI19" s="32">
        <f>SUM(W19:Z19)</f>
        <v>-7570</v>
      </c>
      <c r="AJ19" s="32">
        <f>SUM(X19:AA19)</f>
        <v>-9217</v>
      </c>
      <c r="AK19" s="11"/>
      <c r="AL19" s="75">
        <f t="shared" si="72"/>
        <v>-0.1819472796662821</v>
      </c>
    </row>
    <row r="20" spans="2:38" ht="12.75" customHeight="1">
      <c r="B20" s="25" t="s">
        <v>77</v>
      </c>
      <c r="C20" s="26">
        <f>+SUM(C11+SUM(C17:C19))</f>
        <v>49363</v>
      </c>
      <c r="D20" s="26">
        <f>+SUM(D11+SUM(D17:D19))</f>
        <v>69402</v>
      </c>
      <c r="E20" s="26">
        <f>+SUM(E11+SUM(E17:E19))</f>
        <v>54193</v>
      </c>
      <c r="F20" s="26">
        <f>+SUM(F11+SUM(F17:F19))</f>
        <v>72710</v>
      </c>
      <c r="G20" s="26">
        <f>+SUM(G11+SUM(G17:G19))</f>
        <v>99541</v>
      </c>
      <c r="H20" s="32"/>
      <c r="I20" s="26">
        <f>+SUM(I11+SUM(I17:I19))</f>
        <v>16509</v>
      </c>
      <c r="J20" s="26">
        <f>+SUM(J11+SUM(J17:J19))</f>
        <v>17766</v>
      </c>
      <c r="K20" s="26">
        <f>+SUM(K11+SUM(K17:K19))</f>
        <v>16194</v>
      </c>
      <c r="L20" s="26">
        <f>+SUM(L11+SUM(L17:L19))</f>
        <v>18933</v>
      </c>
      <c r="M20" s="26">
        <f>+SUM(M11+SUM(M17:M19))</f>
        <v>14529</v>
      </c>
      <c r="N20" s="26">
        <f>+SUM(N11+SUM(N17:N19))</f>
        <v>13550</v>
      </c>
      <c r="O20" s="26">
        <f>+SUM(O11+SUM(O17:O19))</f>
        <v>11380</v>
      </c>
      <c r="P20" s="26">
        <f>+SUM(P11+SUM(P17:P19))</f>
        <v>14734</v>
      </c>
      <c r="Q20" s="26">
        <f>+SUM(Q11+SUM(Q17:Q19))</f>
        <v>13335</v>
      </c>
      <c r="R20" s="26">
        <f>+SUM(R11+SUM(R17:R19))</f>
        <v>15337</v>
      </c>
      <c r="S20" s="26">
        <f>+SUM(S11+SUM(S17:S19))</f>
        <v>19958</v>
      </c>
      <c r="T20" s="26">
        <f>+SUM(T11+SUM(T17:T19))</f>
        <v>24080</v>
      </c>
      <c r="U20" s="26">
        <f>+SUM(U11+SUM(U17:U19))</f>
        <v>20458</v>
      </c>
      <c r="V20" s="26">
        <f>+SUM(V11+SUM(V17:V19))</f>
        <v>22155</v>
      </c>
      <c r="W20" s="26">
        <f>+SUM(W11+SUM(W17:W19))</f>
        <v>24725</v>
      </c>
      <c r="X20" s="26">
        <f>+SUM(X11+SUM(X17:X19))</f>
        <v>32203</v>
      </c>
      <c r="Y20" s="26">
        <f>+SUM(Y11+SUM(Y17:Y19))</f>
        <v>25127</v>
      </c>
      <c r="Z20" s="26">
        <f>+SUM(Z11+SUM(Z17:Z19))</f>
        <v>28932</v>
      </c>
      <c r="AA20" s="26">
        <f>+SUM(AA11+SUM(AA17:AA19))</f>
        <v>29741</v>
      </c>
      <c r="AC20" s="26">
        <f>+SUM(AC11+SUM(AC17:AC19))</f>
        <v>72710</v>
      </c>
      <c r="AD20" s="26">
        <f>+SUM(AD11+SUM(AD17:AD19))</f>
        <v>79833</v>
      </c>
      <c r="AE20" s="26">
        <f>+SUM(AE11+SUM(AE17:AE19))</f>
        <v>86651</v>
      </c>
      <c r="AF20" s="26">
        <f>+SUM(AF11+SUM(AF17:AF19))</f>
        <v>91418</v>
      </c>
      <c r="AG20" s="26">
        <f>+SUM(AG11+SUM(AG17:AG19))</f>
        <v>99541</v>
      </c>
      <c r="AH20" s="26">
        <f>+SUM(AH11+SUM(AH17:AH19))</f>
        <v>104210</v>
      </c>
      <c r="AI20" s="26">
        <f>+SUM(AI11+SUM(AI17:AI19))</f>
        <v>110987</v>
      </c>
      <c r="AJ20" s="26">
        <f>+SUM(AJ11+SUM(AJ17:AJ19))</f>
        <v>116003</v>
      </c>
      <c r="AK20" s="11"/>
      <c r="AL20" s="76">
        <f>SUM(AJ20/AF20)-1</f>
        <v>0.26892953247719276</v>
      </c>
    </row>
    <row r="21" spans="2:38" ht="12.75" customHeight="1">
      <c r="B21" s="16" t="s">
        <v>31</v>
      </c>
      <c r="C21" s="17">
        <f>C20/C11</f>
        <v>0.57422206712033963</v>
      </c>
      <c r="D21" s="17">
        <f>D20/D11</f>
        <v>0.58850664382806606</v>
      </c>
      <c r="E21" s="17">
        <f>E20/E11</f>
        <v>0.4647411434794913</v>
      </c>
      <c r="F21" s="17">
        <f>F20/F11</f>
        <v>0.53898385494655376</v>
      </c>
      <c r="G21" s="17">
        <f>G20/G11</f>
        <v>0.60510878353323083</v>
      </c>
      <c r="H21" s="32"/>
      <c r="I21" s="17">
        <f>I20/I11</f>
        <v>0.63081273164953577</v>
      </c>
      <c r="J21" s="17">
        <f>J20/J11</f>
        <v>0.61099838360215974</v>
      </c>
      <c r="K21" s="17">
        <f>K20/K11</f>
        <v>0.55822130299896588</v>
      </c>
      <c r="L21" s="17">
        <f>L20/L11</f>
        <v>0.56229396216328587</v>
      </c>
      <c r="M21" s="17">
        <f>M20/M11</f>
        <v>0.52060341120825571</v>
      </c>
      <c r="N21" s="17">
        <f>N20/N11</f>
        <v>0.47012698632988686</v>
      </c>
      <c r="O21" s="17">
        <f>O20/O11</f>
        <v>0.41062278992566936</v>
      </c>
      <c r="P21" s="17">
        <f>P20/P11</f>
        <v>0.45807554795585265</v>
      </c>
      <c r="Q21" s="17">
        <f>Q20/Q11</f>
        <v>0.46552626985512308</v>
      </c>
      <c r="R21" s="17">
        <f>R20/R11</f>
        <v>0.47929622800712524</v>
      </c>
      <c r="S21" s="17">
        <f>S20/S11</f>
        <v>0.58449013061559185</v>
      </c>
      <c r="T21" s="17">
        <f>T20/T11</f>
        <v>0.60031910650179499</v>
      </c>
      <c r="U21" s="17">
        <f>U20/U11</f>
        <v>0.56118502263064052</v>
      </c>
      <c r="V21" s="17">
        <f>V20/V11</f>
        <v>0.56704461109262627</v>
      </c>
      <c r="W21" s="17">
        <f>W20/W11</f>
        <v>0.6091551898297568</v>
      </c>
      <c r="X21" s="17">
        <f>X20/X11</f>
        <v>0.6655437523250527</v>
      </c>
      <c r="Y21" s="17">
        <f>Y20/Y11</f>
        <v>0.59382237557309636</v>
      </c>
      <c r="Z21" s="17">
        <f>Z20/Z11</f>
        <v>0.60888963717484634</v>
      </c>
      <c r="AA21" s="17">
        <f>AA20/AA11</f>
        <v>0.58040279458256894</v>
      </c>
      <c r="AC21" s="17">
        <f>AC20/AC11</f>
        <v>0.53898385494655376</v>
      </c>
      <c r="AD21" s="17">
        <f>AD20/AD11</f>
        <v>0.55939934973933514</v>
      </c>
      <c r="AE21" s="17">
        <f>AE20/AE11</f>
        <v>0.57850638252416808</v>
      </c>
      <c r="AF21" s="17">
        <f>AF20/AF11</f>
        <v>0.58516133574862217</v>
      </c>
      <c r="AG21" s="17">
        <f>AG20/AG11</f>
        <v>0.60510878353323083</v>
      </c>
      <c r="AH21" s="17">
        <f>AH20/AH11</f>
        <v>0.61170462549894344</v>
      </c>
      <c r="AI21" s="17">
        <f>AI20/AI11</f>
        <v>0.6207153043818685</v>
      </c>
      <c r="AJ21" s="17">
        <f>AJ20/AJ11</f>
        <v>0.6122887394567661</v>
      </c>
      <c r="AK21" s="11"/>
      <c r="AL21" s="77">
        <f>SUM(AJ21-AF21)*1000</f>
        <v>27.127403708143927</v>
      </c>
    </row>
    <row r="22" spans="2:38" ht="5.0999999999999996" customHeight="1">
      <c r="B22" s="16"/>
      <c r="C22" s="17"/>
      <c r="D22" s="17"/>
      <c r="E22" s="17"/>
      <c r="F22" s="17"/>
      <c r="G22" s="17"/>
      <c r="H22" s="3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32"/>
      <c r="Z22" s="82"/>
      <c r="AA22" s="82"/>
      <c r="AC22" s="32"/>
      <c r="AD22" s="32"/>
      <c r="AE22" s="32"/>
      <c r="AF22" s="32"/>
      <c r="AG22" s="32"/>
      <c r="AH22" s="32"/>
      <c r="AI22" s="32"/>
      <c r="AJ22" s="32"/>
      <c r="AK22" s="11"/>
      <c r="AL22" s="75"/>
    </row>
    <row r="23" spans="2:38" ht="12.75" customHeight="1">
      <c r="B23" s="9" t="s">
        <v>171</v>
      </c>
      <c r="C23" s="82">
        <v>509</v>
      </c>
      <c r="D23" s="82">
        <v>531</v>
      </c>
      <c r="E23" s="82">
        <v>-125</v>
      </c>
      <c r="F23" s="82">
        <v>677</v>
      </c>
      <c r="G23" s="82">
        <v>1283</v>
      </c>
      <c r="H23" s="32"/>
      <c r="I23" s="82">
        <v>125</v>
      </c>
      <c r="J23" s="82">
        <v>146</v>
      </c>
      <c r="K23" s="82">
        <v>142</v>
      </c>
      <c r="L23" s="32">
        <f t="shared" ref="L23" si="73">SUM(D23-SUM(I23:K23))</f>
        <v>118</v>
      </c>
      <c r="M23" s="82">
        <v>384</v>
      </c>
      <c r="N23" s="82">
        <v>-172</v>
      </c>
      <c r="O23" s="82">
        <v>-88</v>
      </c>
      <c r="P23" s="32">
        <f t="shared" ref="P23" si="74">SUM(E23-SUM(M23:O23))</f>
        <v>-249</v>
      </c>
      <c r="Q23" s="82">
        <v>80</v>
      </c>
      <c r="R23" s="82">
        <v>-99</v>
      </c>
      <c r="S23" s="82">
        <v>272</v>
      </c>
      <c r="T23" s="32">
        <f t="shared" ref="T23" si="75">SUM(F23-SUM(Q23:S23))</f>
        <v>424</v>
      </c>
      <c r="U23" s="82">
        <v>365</v>
      </c>
      <c r="V23" s="82">
        <v>259</v>
      </c>
      <c r="W23" s="82">
        <v>472</v>
      </c>
      <c r="X23" s="32">
        <f t="shared" ref="X23" si="76">SUM(G23-SUM(U23:W23))</f>
        <v>187</v>
      </c>
      <c r="Y23" s="82">
        <v>827</v>
      </c>
      <c r="Z23" s="82">
        <v>93</v>
      </c>
      <c r="AA23" s="82">
        <v>1128</v>
      </c>
      <c r="AC23" s="32">
        <f>SUM(Q23:T23)</f>
        <v>677</v>
      </c>
      <c r="AD23" s="32">
        <f>SUM(R23:U23)</f>
        <v>962</v>
      </c>
      <c r="AE23" s="32">
        <f>SUM(S23:V23)</f>
        <v>1320</v>
      </c>
      <c r="AF23" s="32">
        <f>SUM(T23:W23)</f>
        <v>1520</v>
      </c>
      <c r="AG23" s="32">
        <f>SUM(U23:X23)</f>
        <v>1283</v>
      </c>
      <c r="AH23" s="32">
        <f>SUM(V23:Y23)</f>
        <v>1745</v>
      </c>
      <c r="AI23" s="32">
        <f>SUM(W23:Z23)</f>
        <v>1579</v>
      </c>
      <c r="AJ23" s="32">
        <f>SUM(X23:AA23)</f>
        <v>2235</v>
      </c>
      <c r="AK23" s="11"/>
      <c r="AL23" s="75">
        <f t="shared" ref="AL23" si="77">SUM(AJ23/AF23)-1</f>
        <v>0.47039473684210531</v>
      </c>
    </row>
    <row r="24" spans="2:38" ht="12.75" customHeight="1">
      <c r="B24" s="25" t="s">
        <v>156</v>
      </c>
      <c r="C24" s="26">
        <f>SUM(C20+SUM(C23:C23))</f>
        <v>49872</v>
      </c>
      <c r="D24" s="26">
        <f>SUM(D20+SUM(D23:D23))</f>
        <v>69933</v>
      </c>
      <c r="E24" s="26">
        <f>SUM(E20+SUM(E23:E23))</f>
        <v>54068</v>
      </c>
      <c r="F24" s="26">
        <f>SUM(F20+SUM(F23:F23))</f>
        <v>73387</v>
      </c>
      <c r="G24" s="26">
        <f>SUM(G20+SUM(G23:G23))</f>
        <v>100824</v>
      </c>
      <c r="I24" s="26">
        <f>SUM(I20+SUM(I23:I23))</f>
        <v>16634</v>
      </c>
      <c r="J24" s="26">
        <f>SUM(J20+SUM(J23:J23))</f>
        <v>17912</v>
      </c>
      <c r="K24" s="26">
        <f>SUM(K20+SUM(K23:K23))</f>
        <v>16336</v>
      </c>
      <c r="L24" s="26">
        <f>SUM(L20+SUM(L23:L23))</f>
        <v>19051</v>
      </c>
      <c r="M24" s="26">
        <f>SUM(M20+SUM(M23:M23))</f>
        <v>14913</v>
      </c>
      <c r="N24" s="26">
        <f>SUM(N20+SUM(N23:N23))</f>
        <v>13378</v>
      </c>
      <c r="O24" s="26">
        <f>SUM(O20+SUM(O23:O23))</f>
        <v>11292</v>
      </c>
      <c r="P24" s="26">
        <f>SUM(P20+SUM(P23:P23))</f>
        <v>14485</v>
      </c>
      <c r="Q24" s="26">
        <f>SUM(Q20+SUM(Q23:Q23))</f>
        <v>13415</v>
      </c>
      <c r="R24" s="26">
        <f>SUM(R20+SUM(R23:R23))</f>
        <v>15238</v>
      </c>
      <c r="S24" s="26">
        <f>SUM(S20+SUM(S23:S23))</f>
        <v>20230</v>
      </c>
      <c r="T24" s="26">
        <f>SUM(T20+SUM(T23:T23))</f>
        <v>24504</v>
      </c>
      <c r="U24" s="26">
        <f>SUM(U20+SUM(U23:U23))</f>
        <v>20823</v>
      </c>
      <c r="V24" s="26">
        <f>SUM(V20+SUM(V23:V23))</f>
        <v>22414</v>
      </c>
      <c r="W24" s="26">
        <f>SUM(W20+SUM(W23:W23))</f>
        <v>25197</v>
      </c>
      <c r="X24" s="26">
        <f>SUM(X20+SUM(X23:X23))</f>
        <v>32390</v>
      </c>
      <c r="Y24" s="26">
        <f>SUM(Y20+SUM(Y23:Y23))</f>
        <v>25954</v>
      </c>
      <c r="Z24" s="26">
        <f>SUM(Z20+SUM(Z23:Z23))</f>
        <v>29025</v>
      </c>
      <c r="AA24" s="26">
        <f>SUM(AA20+SUM(AA23:AA23))</f>
        <v>30869</v>
      </c>
      <c r="AC24" s="26">
        <f>SUM(AC20+SUM(AC23:AC23))</f>
        <v>73387</v>
      </c>
      <c r="AD24" s="26">
        <f>SUM(AD20+SUM(AD23:AD23))</f>
        <v>80795</v>
      </c>
      <c r="AE24" s="26">
        <f>SUM(AE20+SUM(AE23:AE23))</f>
        <v>87971</v>
      </c>
      <c r="AF24" s="26">
        <f>SUM(AF20+SUM(AF23:AF23))</f>
        <v>92938</v>
      </c>
      <c r="AG24" s="26">
        <f>SUM(AG20+SUM(AG23:AG23))</f>
        <v>100824</v>
      </c>
      <c r="AH24" s="26">
        <f>SUM(AH20+SUM(AH23:AH23))</f>
        <v>105955</v>
      </c>
      <c r="AI24" s="26">
        <f>SUM(AI20+SUM(AI23:AI23))</f>
        <v>112566</v>
      </c>
      <c r="AJ24" s="26">
        <f>SUM(AJ20+SUM(AJ23:AJ23))</f>
        <v>118238</v>
      </c>
      <c r="AK24" s="42"/>
      <c r="AL24" s="76">
        <f>SUM(AJ24/AF24)-1</f>
        <v>0.27222449374852054</v>
      </c>
    </row>
    <row r="25" spans="2:38" ht="12.75" customHeight="1">
      <c r="B25" s="16" t="s">
        <v>157</v>
      </c>
      <c r="C25" s="17">
        <f>C24/C11</f>
        <v>0.5801430814866515</v>
      </c>
      <c r="D25" s="17">
        <f>D24/D11</f>
        <v>0.59300935308533098</v>
      </c>
      <c r="E25" s="17">
        <f>E24/E11</f>
        <v>0.46366918505432686</v>
      </c>
      <c r="F25" s="17">
        <f>F24/F11</f>
        <v>0.54400231279002531</v>
      </c>
      <c r="G25" s="17">
        <f>G24/G11</f>
        <v>0.61290812821806551</v>
      </c>
      <c r="H25" s="27"/>
      <c r="I25" s="17">
        <f>I24/I11</f>
        <v>0.63558901073707541</v>
      </c>
      <c r="J25" s="17">
        <f>J24/J11</f>
        <v>0.61601953433985623</v>
      </c>
      <c r="K25" s="17">
        <f>K24/K11</f>
        <v>0.56311616683902099</v>
      </c>
      <c r="L25" s="17">
        <f>L24/L11</f>
        <v>0.56579846158415259</v>
      </c>
      <c r="M25" s="17">
        <f>M24/M11</f>
        <v>0.53436290669342124</v>
      </c>
      <c r="N25" s="17">
        <f>N24/N11</f>
        <v>0.46415932273957394</v>
      </c>
      <c r="O25" s="17">
        <f>O24/O11</f>
        <v>0.4074474994587573</v>
      </c>
      <c r="P25" s="17">
        <f>P24/P11</f>
        <v>0.45033421420799002</v>
      </c>
      <c r="Q25" s="17">
        <f>Q24/Q11</f>
        <v>0.46831907837318903</v>
      </c>
      <c r="R25" s="17">
        <f>R24/R11</f>
        <v>0.47620238132441639</v>
      </c>
      <c r="S25" s="17">
        <f>S24/S11</f>
        <v>0.59245592455924556</v>
      </c>
      <c r="T25" s="17">
        <f>T24/T11</f>
        <v>0.61088950937375353</v>
      </c>
      <c r="U25" s="17">
        <f>U24/U11</f>
        <v>0.57119736661637632</v>
      </c>
      <c r="V25" s="17">
        <f>V24/V11</f>
        <v>0.57367356863146579</v>
      </c>
      <c r="W25" s="17">
        <f>W24/W11</f>
        <v>0.6207839562443026</v>
      </c>
      <c r="X25" s="17">
        <f>X24/X11</f>
        <v>0.66940850659281614</v>
      </c>
      <c r="Y25" s="17">
        <f>Y24/Y11</f>
        <v>0.61336673441414191</v>
      </c>
      <c r="Z25" s="17">
        <f>Z24/Z11</f>
        <v>0.61084687263237647</v>
      </c>
      <c r="AA25" s="17">
        <f>AA24/AA11</f>
        <v>0.60241598688575781</v>
      </c>
      <c r="AB25" s="28"/>
      <c r="AC25" s="17">
        <f>AC24/AC11</f>
        <v>0.54400231279002531</v>
      </c>
      <c r="AD25" s="17">
        <f>AD24/AD11</f>
        <v>0.56614019844161667</v>
      </c>
      <c r="AE25" s="17">
        <f>AE24/AE11</f>
        <v>0.58731907279816264</v>
      </c>
      <c r="AF25" s="17">
        <f>AF24/AF11</f>
        <v>0.59489076792103801</v>
      </c>
      <c r="AG25" s="17">
        <f>AG24/AG11</f>
        <v>0.61290812821806551</v>
      </c>
      <c r="AH25" s="17">
        <f>AH24/AH11</f>
        <v>0.62194764029114813</v>
      </c>
      <c r="AI25" s="17">
        <f>AI24/AI11</f>
        <v>0.6295461536310506</v>
      </c>
      <c r="AJ25" s="17">
        <f>AJ24/AJ11</f>
        <v>0.62408554930380344</v>
      </c>
      <c r="AK25" s="43"/>
      <c r="AL25" s="77">
        <f>SUM(AJ25-AF25)*1000</f>
        <v>29.194781382765434</v>
      </c>
    </row>
    <row r="26" spans="2:38" ht="5.0999999999999996" customHeight="1">
      <c r="B26" s="16"/>
      <c r="C26" s="17"/>
      <c r="D26" s="17"/>
      <c r="E26" s="17"/>
      <c r="F26" s="17"/>
      <c r="G26" s="17"/>
      <c r="H26" s="2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28"/>
      <c r="AC26" s="17"/>
      <c r="AD26" s="17"/>
      <c r="AE26" s="17"/>
      <c r="AF26" s="17"/>
      <c r="AG26" s="17"/>
      <c r="AH26" s="17"/>
      <c r="AI26" s="17"/>
      <c r="AJ26" s="17"/>
      <c r="AK26" s="43"/>
      <c r="AL26" s="77"/>
    </row>
    <row r="27" spans="2:38" ht="12.75" customHeight="1">
      <c r="B27" s="9" t="s">
        <v>104</v>
      </c>
      <c r="C27" s="82">
        <v>-4034</v>
      </c>
      <c r="D27" s="82">
        <v>-7914</v>
      </c>
      <c r="E27" s="82">
        <v>-5619</v>
      </c>
      <c r="F27" s="82">
        <v>-8330</v>
      </c>
      <c r="G27" s="82">
        <v>-8303</v>
      </c>
      <c r="H27" s="32"/>
      <c r="I27" s="82">
        <v>-2006</v>
      </c>
      <c r="J27" s="82">
        <v>-2119</v>
      </c>
      <c r="K27" s="82">
        <v>-1371</v>
      </c>
      <c r="L27" s="32">
        <f t="shared" ref="L27" si="78">SUM(D27-SUM(I27:K27))</f>
        <v>-2418</v>
      </c>
      <c r="M27" s="82">
        <v>-1443</v>
      </c>
      <c r="N27" s="82">
        <v>-1499</v>
      </c>
      <c r="O27" s="82">
        <v>-1181</v>
      </c>
      <c r="P27" s="32">
        <f t="shared" ref="P27" si="79">SUM(E27-SUM(M27:O27))</f>
        <v>-1496</v>
      </c>
      <c r="Q27" s="82">
        <v>-1598</v>
      </c>
      <c r="R27" s="82">
        <v>-1505</v>
      </c>
      <c r="S27" s="82">
        <v>-2437</v>
      </c>
      <c r="T27" s="32">
        <f t="shared" ref="T27" si="80">SUM(F27-SUM(Q27:S27))</f>
        <v>-2790</v>
      </c>
      <c r="U27" s="82">
        <v>-1814</v>
      </c>
      <c r="V27" s="82">
        <v>-1641</v>
      </c>
      <c r="W27" s="82">
        <v>-2134</v>
      </c>
      <c r="X27" s="32">
        <f t="shared" ref="X27" si="81">SUM(G27-SUM(U27:W27))</f>
        <v>-2714</v>
      </c>
      <c r="Y27" s="82">
        <v>-1738</v>
      </c>
      <c r="Z27" s="82">
        <v>-2197</v>
      </c>
      <c r="AA27" s="82">
        <v>-18954</v>
      </c>
      <c r="AC27" s="32">
        <f>SUM(Q27:T27)</f>
        <v>-8330</v>
      </c>
      <c r="AD27" s="32">
        <f>SUM(R27:U27)</f>
        <v>-8546</v>
      </c>
      <c r="AE27" s="32">
        <f>SUM(S27:V27)</f>
        <v>-8682</v>
      </c>
      <c r="AF27" s="32">
        <f>SUM(T27:W27)</f>
        <v>-8379</v>
      </c>
      <c r="AG27" s="32">
        <f>SUM(U27:X27)</f>
        <v>-8303</v>
      </c>
      <c r="AH27" s="32">
        <f>SUM(V27:Y27)</f>
        <v>-8227</v>
      </c>
      <c r="AI27" s="32">
        <f>SUM(W27:Z27)</f>
        <v>-8783</v>
      </c>
      <c r="AJ27" s="32">
        <f>SUM(X27:AA27)</f>
        <v>-25603</v>
      </c>
      <c r="AK27" s="11"/>
      <c r="AL27" s="75">
        <f>SUM(AJ27/AF27)-1</f>
        <v>2.0556152285475595</v>
      </c>
    </row>
    <row r="28" spans="2:38" ht="12.75" customHeight="1">
      <c r="B28" s="13" t="s">
        <v>105</v>
      </c>
      <c r="C28" s="14">
        <f t="shared" ref="C28:G28" si="82">SUM(C24+SUM(C27:C27))</f>
        <v>45838</v>
      </c>
      <c r="D28" s="14">
        <f t="shared" si="82"/>
        <v>62019</v>
      </c>
      <c r="E28" s="14">
        <f t="shared" si="82"/>
        <v>48449</v>
      </c>
      <c r="F28" s="14">
        <f t="shared" si="82"/>
        <v>65057</v>
      </c>
      <c r="G28" s="14">
        <f t="shared" si="82"/>
        <v>92521</v>
      </c>
      <c r="H28" s="11"/>
      <c r="I28" s="14">
        <f t="shared" ref="I28:L28" si="83">SUM(I24+SUM(I27:I27))</f>
        <v>14628</v>
      </c>
      <c r="J28" s="14">
        <f t="shared" si="83"/>
        <v>15793</v>
      </c>
      <c r="K28" s="14">
        <f t="shared" si="83"/>
        <v>14965</v>
      </c>
      <c r="L28" s="14">
        <f t="shared" si="83"/>
        <v>16633</v>
      </c>
      <c r="M28" s="14">
        <f t="shared" ref="M28:P28" si="84">SUM(M24+SUM(M27:M27))</f>
        <v>13470</v>
      </c>
      <c r="N28" s="14">
        <f t="shared" ref="N28" si="85">SUM(N24+SUM(N27:N27))</f>
        <v>11879</v>
      </c>
      <c r="O28" s="14">
        <f t="shared" si="84"/>
        <v>10111</v>
      </c>
      <c r="P28" s="14">
        <f t="shared" si="84"/>
        <v>12989</v>
      </c>
      <c r="Q28" s="14">
        <f t="shared" ref="Q28:AA28" si="86">SUM(Q24+SUM(Q27:Q27))</f>
        <v>11817</v>
      </c>
      <c r="R28" s="14">
        <f t="shared" si="86"/>
        <v>13733</v>
      </c>
      <c r="S28" s="14">
        <f t="shared" si="86"/>
        <v>17793</v>
      </c>
      <c r="T28" s="14">
        <f t="shared" si="86"/>
        <v>21714</v>
      </c>
      <c r="U28" s="14">
        <f t="shared" si="86"/>
        <v>19009</v>
      </c>
      <c r="V28" s="14">
        <f t="shared" si="86"/>
        <v>20773</v>
      </c>
      <c r="W28" s="14">
        <f t="shared" si="86"/>
        <v>23063</v>
      </c>
      <c r="X28" s="14">
        <f t="shared" si="86"/>
        <v>29676</v>
      </c>
      <c r="Y28" s="14">
        <f t="shared" si="86"/>
        <v>24216</v>
      </c>
      <c r="Z28" s="14">
        <f t="shared" si="86"/>
        <v>26828</v>
      </c>
      <c r="AA28" s="14">
        <f t="shared" si="86"/>
        <v>11915</v>
      </c>
      <c r="AB28" s="32"/>
      <c r="AC28" s="14">
        <f t="shared" ref="AC28:AJ28" si="87">SUM(AC24+SUM(AC27:AC27))</f>
        <v>65057</v>
      </c>
      <c r="AD28" s="14">
        <f t="shared" si="87"/>
        <v>72249</v>
      </c>
      <c r="AE28" s="14">
        <f t="shared" si="87"/>
        <v>79289</v>
      </c>
      <c r="AF28" s="14">
        <f t="shared" si="87"/>
        <v>84559</v>
      </c>
      <c r="AG28" s="14">
        <f t="shared" si="87"/>
        <v>92521</v>
      </c>
      <c r="AH28" s="14">
        <f t="shared" si="87"/>
        <v>97728</v>
      </c>
      <c r="AI28" s="14">
        <f t="shared" si="87"/>
        <v>103783</v>
      </c>
      <c r="AJ28" s="14">
        <f t="shared" si="87"/>
        <v>92635</v>
      </c>
      <c r="AK28" s="36"/>
      <c r="AL28" s="76">
        <f>SUM(AJ28/AF28)-1</f>
        <v>9.5507278941330931E-2</v>
      </c>
    </row>
    <row r="29" spans="2:38" ht="12.75" customHeight="1">
      <c r="B29" s="16" t="s">
        <v>103</v>
      </c>
      <c r="C29" s="17">
        <f>C28/C11</f>
        <v>0.53321700692142149</v>
      </c>
      <c r="D29" s="17">
        <f>D28/D11</f>
        <v>0.52590117782733681</v>
      </c>
      <c r="E29" s="17">
        <f>E28/E11</f>
        <v>0.41548250992633501</v>
      </c>
      <c r="F29" s="17">
        <f>F28/F11</f>
        <v>0.48225378422855109</v>
      </c>
      <c r="G29" s="17">
        <f>G28/G11</f>
        <v>0.56243427091628617</v>
      </c>
      <c r="H29" s="27"/>
      <c r="I29" s="17">
        <f>I28/I11</f>
        <v>0.55893928394023917</v>
      </c>
      <c r="J29" s="17">
        <f>J28/J11</f>
        <v>0.54314406575643981</v>
      </c>
      <c r="K29" s="17">
        <f>K28/K11</f>
        <v>0.5158566011720096</v>
      </c>
      <c r="L29" s="17">
        <f>L28/L11</f>
        <v>0.49398592260402124</v>
      </c>
      <c r="M29" s="17">
        <f>M28/M11</f>
        <v>0.4826573025655726</v>
      </c>
      <c r="N29" s="17">
        <f>N28/N11</f>
        <v>0.41215044063562556</v>
      </c>
      <c r="O29" s="17">
        <f>O28/O11</f>
        <v>0.36483365807894924</v>
      </c>
      <c r="P29" s="17">
        <f>P28/P11</f>
        <v>0.40382403233328151</v>
      </c>
      <c r="Q29" s="17">
        <f>Q28/Q11</f>
        <v>0.41253272822482107</v>
      </c>
      <c r="R29" s="17">
        <f>R28/R11</f>
        <v>0.42916966155192349</v>
      </c>
      <c r="S29" s="17">
        <f>S28/S11</f>
        <v>0.52108592514496577</v>
      </c>
      <c r="T29" s="17">
        <f>T28/T11</f>
        <v>0.54133426406063023</v>
      </c>
      <c r="U29" s="17">
        <f>U28/U11</f>
        <v>0.52143738856123989</v>
      </c>
      <c r="V29" s="17">
        <f>V28/V11</f>
        <v>0.53167310793171407</v>
      </c>
      <c r="W29" s="17">
        <f>W28/W11</f>
        <v>0.56820813520904678</v>
      </c>
      <c r="X29" s="17">
        <f>X28/X11</f>
        <v>0.61331790187244239</v>
      </c>
      <c r="Y29" s="17">
        <f>Y28/Y11</f>
        <v>0.5722928581556932</v>
      </c>
      <c r="Z29" s="17">
        <f>Z28/Z11</f>
        <v>0.56460981564104717</v>
      </c>
      <c r="AA29" s="17">
        <f>AA28/AA11</f>
        <v>0.23252410132313336</v>
      </c>
      <c r="AB29" s="28"/>
      <c r="AC29" s="17">
        <f>AC28/AC11</f>
        <v>0.48225378422855109</v>
      </c>
      <c r="AD29" s="17">
        <f>AD28/AD11</f>
        <v>0.50625735747519485</v>
      </c>
      <c r="AE29" s="17">
        <f>AE28/AE11</f>
        <v>0.52935560540511672</v>
      </c>
      <c r="AF29" s="17">
        <f>AF28/AF11</f>
        <v>0.54125727307059601</v>
      </c>
      <c r="AG29" s="17">
        <f>AG28/AG11</f>
        <v>0.56243427091628617</v>
      </c>
      <c r="AH29" s="17">
        <f>AH28/AH11</f>
        <v>0.57365578774360182</v>
      </c>
      <c r="AI29" s="17">
        <f>AI28/AI11</f>
        <v>0.58042560331086934</v>
      </c>
      <c r="AJ29" s="17">
        <f>AJ28/AJ11</f>
        <v>0.48894741842519185</v>
      </c>
      <c r="AK29" s="43"/>
      <c r="AL29" s="77">
        <f>SUM(AJ29-AF29)*1000</f>
        <v>-52.309854645404165</v>
      </c>
    </row>
    <row r="30" spans="2:38" ht="5.0999999999999996" customHeight="1">
      <c r="B30" s="16"/>
      <c r="C30" s="17"/>
      <c r="D30" s="17"/>
      <c r="E30" s="17"/>
      <c r="F30" s="17"/>
      <c r="G30" s="17"/>
      <c r="H30" s="2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28"/>
      <c r="AC30" s="17"/>
      <c r="AD30" s="17"/>
      <c r="AE30" s="17"/>
      <c r="AF30" s="17"/>
      <c r="AG30" s="17"/>
      <c r="AH30" s="17"/>
      <c r="AI30" s="17"/>
      <c r="AJ30" s="17"/>
      <c r="AK30" s="43"/>
      <c r="AL30" s="77"/>
    </row>
    <row r="31" spans="2:38" ht="12.75" customHeight="1">
      <c r="B31" s="44" t="s">
        <v>84</v>
      </c>
      <c r="C31" s="82"/>
      <c r="D31" s="82"/>
      <c r="E31" s="82"/>
      <c r="F31" s="82"/>
      <c r="G31" s="82"/>
      <c r="H31" s="27"/>
      <c r="I31" s="82"/>
      <c r="J31" s="82"/>
      <c r="K31" s="82"/>
      <c r="L31" s="32">
        <f>D31</f>
        <v>0</v>
      </c>
      <c r="M31" s="82"/>
      <c r="N31" s="82"/>
      <c r="O31" s="82"/>
      <c r="P31" s="32">
        <f>E31</f>
        <v>0</v>
      </c>
      <c r="Q31" s="82"/>
      <c r="R31" s="82"/>
      <c r="S31" s="82"/>
      <c r="T31" s="32">
        <f>F31</f>
        <v>0</v>
      </c>
      <c r="U31" s="82"/>
      <c r="V31" s="82"/>
      <c r="W31" s="82"/>
      <c r="X31" s="32">
        <f>G31</f>
        <v>0</v>
      </c>
      <c r="Y31" s="82"/>
      <c r="Z31" s="82"/>
      <c r="AA31" s="82"/>
      <c r="AB31" s="132"/>
      <c r="AC31" s="32">
        <f>T31</f>
        <v>0</v>
      </c>
      <c r="AD31" s="32">
        <f>U31</f>
        <v>0</v>
      </c>
      <c r="AE31" s="32">
        <f>V31</f>
        <v>0</v>
      </c>
      <c r="AF31" s="32">
        <f>W31</f>
        <v>0</v>
      </c>
      <c r="AG31" s="32">
        <f>X31</f>
        <v>0</v>
      </c>
      <c r="AH31" s="32">
        <f>Y31</f>
        <v>0</v>
      </c>
      <c r="AI31" s="32">
        <f>Z31</f>
        <v>0</v>
      </c>
      <c r="AJ31" s="32">
        <f>AA31</f>
        <v>0</v>
      </c>
      <c r="AK31" s="43"/>
      <c r="AL31" s="75" t="e">
        <f>SUM(AJ31/AF31)-1</f>
        <v>#DIV/0!</v>
      </c>
    </row>
    <row r="32" spans="2:38" ht="12.75" customHeight="1">
      <c r="B32" s="13" t="s">
        <v>62</v>
      </c>
      <c r="C32" s="144" t="e">
        <f t="shared" ref="C32:G32" si="88">C28/C31</f>
        <v>#DIV/0!</v>
      </c>
      <c r="D32" s="144" t="e">
        <f t="shared" si="88"/>
        <v>#DIV/0!</v>
      </c>
      <c r="E32" s="144" t="e">
        <f t="shared" si="88"/>
        <v>#DIV/0!</v>
      </c>
      <c r="F32" s="144" t="e">
        <f t="shared" si="88"/>
        <v>#DIV/0!</v>
      </c>
      <c r="G32" s="144" t="e">
        <f t="shared" si="88"/>
        <v>#DIV/0!</v>
      </c>
      <c r="H32" s="27"/>
      <c r="I32" s="144" t="e">
        <f t="shared" ref="I32" si="89">I28/I31</f>
        <v>#DIV/0!</v>
      </c>
      <c r="J32" s="144" t="e">
        <f t="shared" ref="J32" si="90">J28/J31</f>
        <v>#DIV/0!</v>
      </c>
      <c r="K32" s="144" t="e">
        <f t="shared" ref="K32" si="91">K28/K31</f>
        <v>#DIV/0!</v>
      </c>
      <c r="L32" s="144" t="e">
        <f t="shared" ref="L32" si="92">L28/L31</f>
        <v>#DIV/0!</v>
      </c>
      <c r="M32" s="144" t="e">
        <f t="shared" ref="M32" si="93">M28/M31</f>
        <v>#DIV/0!</v>
      </c>
      <c r="N32" s="144" t="e">
        <f t="shared" ref="N32:O32" si="94">N28/N31</f>
        <v>#DIV/0!</v>
      </c>
      <c r="O32" s="144" t="e">
        <f t="shared" si="94"/>
        <v>#DIV/0!</v>
      </c>
      <c r="P32" s="144" t="e">
        <f t="shared" ref="P32:AA32" si="95">P28/P31</f>
        <v>#DIV/0!</v>
      </c>
      <c r="Q32" s="144" t="e">
        <f t="shared" si="95"/>
        <v>#DIV/0!</v>
      </c>
      <c r="R32" s="144" t="e">
        <f t="shared" si="95"/>
        <v>#DIV/0!</v>
      </c>
      <c r="S32" s="144" t="e">
        <f t="shared" si="95"/>
        <v>#DIV/0!</v>
      </c>
      <c r="T32" s="144" t="e">
        <f t="shared" si="95"/>
        <v>#DIV/0!</v>
      </c>
      <c r="U32" s="144" t="e">
        <f t="shared" si="95"/>
        <v>#DIV/0!</v>
      </c>
      <c r="V32" s="144" t="e">
        <f t="shared" si="95"/>
        <v>#DIV/0!</v>
      </c>
      <c r="W32" s="144" t="e">
        <f t="shared" si="95"/>
        <v>#DIV/0!</v>
      </c>
      <c r="X32" s="144" t="e">
        <f t="shared" si="95"/>
        <v>#DIV/0!</v>
      </c>
      <c r="Y32" s="144" t="e">
        <f t="shared" si="95"/>
        <v>#DIV/0!</v>
      </c>
      <c r="Z32" s="144" t="e">
        <f t="shared" si="95"/>
        <v>#DIV/0!</v>
      </c>
      <c r="AA32" s="144" t="e">
        <f t="shared" si="95"/>
        <v>#DIV/0!</v>
      </c>
      <c r="AB32" s="132"/>
      <c r="AC32" s="144" t="e">
        <f t="shared" ref="AC32:AJ32" si="96">AC28/AC31</f>
        <v>#DIV/0!</v>
      </c>
      <c r="AD32" s="144" t="e">
        <f t="shared" si="96"/>
        <v>#DIV/0!</v>
      </c>
      <c r="AE32" s="144" t="e">
        <f t="shared" si="96"/>
        <v>#DIV/0!</v>
      </c>
      <c r="AF32" s="144" t="e">
        <f t="shared" si="96"/>
        <v>#DIV/0!</v>
      </c>
      <c r="AG32" s="144" t="e">
        <f t="shared" si="96"/>
        <v>#DIV/0!</v>
      </c>
      <c r="AH32" s="144" t="e">
        <f t="shared" si="96"/>
        <v>#DIV/0!</v>
      </c>
      <c r="AI32" s="144" t="e">
        <f t="shared" si="96"/>
        <v>#DIV/0!</v>
      </c>
      <c r="AJ32" s="144" t="e">
        <f t="shared" si="96"/>
        <v>#DIV/0!</v>
      </c>
      <c r="AK32" s="43"/>
      <c r="AL32" s="76" t="e">
        <f>SUM(AJ32/AF32)-1</f>
        <v>#DIV/0!</v>
      </c>
    </row>
    <row r="33" spans="1:38" ht="12.75" customHeight="1">
      <c r="B33" s="25"/>
      <c r="C33" s="48"/>
      <c r="D33" s="48"/>
      <c r="E33" s="48"/>
      <c r="F33" s="48"/>
      <c r="G33" s="48"/>
      <c r="H33" s="143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132"/>
      <c r="AC33" s="132"/>
      <c r="AD33" s="132"/>
      <c r="AE33" s="132"/>
      <c r="AF33" s="48"/>
      <c r="AG33" s="132"/>
      <c r="AH33" s="132"/>
      <c r="AI33" s="132"/>
      <c r="AJ33" s="132"/>
      <c r="AK33" s="43"/>
      <c r="AL33" s="75"/>
    </row>
    <row r="34" spans="1:38" ht="12.75" customHeight="1">
      <c r="B34" s="44" t="s">
        <v>63</v>
      </c>
      <c r="C34" s="82"/>
      <c r="D34" s="82"/>
      <c r="E34" s="82"/>
      <c r="F34" s="82"/>
      <c r="G34" s="82"/>
      <c r="H34" s="143"/>
      <c r="I34" s="82"/>
      <c r="J34" s="82"/>
      <c r="K34" s="82"/>
      <c r="L34" s="32">
        <f>D34</f>
        <v>0</v>
      </c>
      <c r="M34" s="82"/>
      <c r="N34" s="82"/>
      <c r="O34" s="82"/>
      <c r="P34" s="32">
        <f>E34</f>
        <v>0</v>
      </c>
      <c r="Q34" s="82"/>
      <c r="R34" s="82"/>
      <c r="S34" s="82"/>
      <c r="T34" s="32">
        <f>F34</f>
        <v>0</v>
      </c>
      <c r="U34" s="82"/>
      <c r="V34" s="82"/>
      <c r="W34" s="82"/>
      <c r="X34" s="32">
        <f>G34</f>
        <v>0</v>
      </c>
      <c r="Y34" s="82"/>
      <c r="Z34" s="82"/>
      <c r="AA34" s="82"/>
      <c r="AB34" s="132"/>
      <c r="AC34" s="32">
        <f>T34</f>
        <v>0</v>
      </c>
      <c r="AD34" s="32">
        <f>U34</f>
        <v>0</v>
      </c>
      <c r="AE34" s="32">
        <f>V34</f>
        <v>0</v>
      </c>
      <c r="AF34" s="32">
        <f>W34</f>
        <v>0</v>
      </c>
      <c r="AG34" s="32">
        <f>X34</f>
        <v>0</v>
      </c>
      <c r="AH34" s="32">
        <f>Y34</f>
        <v>0</v>
      </c>
      <c r="AI34" s="32">
        <f>Z34</f>
        <v>0</v>
      </c>
      <c r="AJ34" s="32">
        <f>AA34</f>
        <v>0</v>
      </c>
      <c r="AK34" s="43"/>
      <c r="AL34" s="75" t="e">
        <f>SUM(AJ34/AF34)-1</f>
        <v>#DIV/0!</v>
      </c>
    </row>
    <row r="35" spans="1:38" ht="12.75" customHeight="1">
      <c r="B35" s="13" t="s">
        <v>83</v>
      </c>
      <c r="C35" s="144" t="e">
        <f t="shared" ref="C35:G35" si="97">C28/C34</f>
        <v>#DIV/0!</v>
      </c>
      <c r="D35" s="144" t="e">
        <f t="shared" si="97"/>
        <v>#DIV/0!</v>
      </c>
      <c r="E35" s="144" t="e">
        <f t="shared" si="97"/>
        <v>#DIV/0!</v>
      </c>
      <c r="F35" s="144" t="e">
        <f t="shared" si="97"/>
        <v>#DIV/0!</v>
      </c>
      <c r="G35" s="144" t="e">
        <f t="shared" si="97"/>
        <v>#DIV/0!</v>
      </c>
      <c r="H35" s="27"/>
      <c r="I35" s="144" t="e">
        <f t="shared" ref="I35" si="98">I28/I34</f>
        <v>#DIV/0!</v>
      </c>
      <c r="J35" s="144" t="e">
        <f t="shared" ref="J35" si="99">J28/J34</f>
        <v>#DIV/0!</v>
      </c>
      <c r="K35" s="144" t="e">
        <f t="shared" ref="K35" si="100">K28/K34</f>
        <v>#DIV/0!</v>
      </c>
      <c r="L35" s="144" t="e">
        <f t="shared" ref="L35" si="101">L28/L34</f>
        <v>#DIV/0!</v>
      </c>
      <c r="M35" s="144" t="e">
        <f t="shared" ref="M35" si="102">M28/M34</f>
        <v>#DIV/0!</v>
      </c>
      <c r="N35" s="144" t="e">
        <f t="shared" ref="N35:O35" si="103">N28/N34</f>
        <v>#DIV/0!</v>
      </c>
      <c r="O35" s="144" t="e">
        <f t="shared" si="103"/>
        <v>#DIV/0!</v>
      </c>
      <c r="P35" s="144" t="e">
        <f t="shared" ref="P35:AA35" si="104">P28/P34</f>
        <v>#DIV/0!</v>
      </c>
      <c r="Q35" s="144" t="e">
        <f t="shared" si="104"/>
        <v>#DIV/0!</v>
      </c>
      <c r="R35" s="144" t="e">
        <f t="shared" si="104"/>
        <v>#DIV/0!</v>
      </c>
      <c r="S35" s="144" t="e">
        <f t="shared" si="104"/>
        <v>#DIV/0!</v>
      </c>
      <c r="T35" s="144" t="e">
        <f t="shared" si="104"/>
        <v>#DIV/0!</v>
      </c>
      <c r="U35" s="144" t="e">
        <f t="shared" si="104"/>
        <v>#DIV/0!</v>
      </c>
      <c r="V35" s="144" t="e">
        <f t="shared" si="104"/>
        <v>#DIV/0!</v>
      </c>
      <c r="W35" s="144" t="e">
        <f t="shared" si="104"/>
        <v>#DIV/0!</v>
      </c>
      <c r="X35" s="144" t="e">
        <f t="shared" si="104"/>
        <v>#DIV/0!</v>
      </c>
      <c r="Y35" s="144" t="e">
        <f t="shared" si="104"/>
        <v>#DIV/0!</v>
      </c>
      <c r="Z35" s="144" t="e">
        <f t="shared" si="104"/>
        <v>#DIV/0!</v>
      </c>
      <c r="AA35" s="144" t="e">
        <f t="shared" si="104"/>
        <v>#DIV/0!</v>
      </c>
      <c r="AB35" s="132"/>
      <c r="AC35" s="144" t="e">
        <f t="shared" ref="AC35:AJ35" si="105">AC28/AC34</f>
        <v>#DIV/0!</v>
      </c>
      <c r="AD35" s="144" t="e">
        <f t="shared" si="105"/>
        <v>#DIV/0!</v>
      </c>
      <c r="AE35" s="144" t="e">
        <f t="shared" si="105"/>
        <v>#DIV/0!</v>
      </c>
      <c r="AF35" s="144" t="e">
        <f t="shared" si="105"/>
        <v>#DIV/0!</v>
      </c>
      <c r="AG35" s="144" t="e">
        <f t="shared" si="105"/>
        <v>#DIV/0!</v>
      </c>
      <c r="AH35" s="144" t="e">
        <f t="shared" si="105"/>
        <v>#DIV/0!</v>
      </c>
      <c r="AI35" s="144" t="e">
        <f t="shared" si="105"/>
        <v>#DIV/0!</v>
      </c>
      <c r="AJ35" s="144" t="e">
        <f t="shared" si="105"/>
        <v>#DIV/0!</v>
      </c>
      <c r="AK35" s="43"/>
      <c r="AL35" s="76" t="e">
        <f>SUM(AJ35/AF35)-1</f>
        <v>#DIV/0!</v>
      </c>
    </row>
    <row r="36" spans="1:38">
      <c r="B36" s="16"/>
      <c r="C36" s="17"/>
      <c r="D36" s="17"/>
      <c r="E36" s="17"/>
      <c r="F36" s="17"/>
      <c r="G36" s="17"/>
      <c r="H36" s="2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8"/>
      <c r="AC36" s="17"/>
      <c r="AD36" s="17"/>
      <c r="AE36" s="17"/>
      <c r="AF36" s="17"/>
      <c r="AG36" s="17"/>
      <c r="AH36" s="17"/>
      <c r="AI36" s="17"/>
      <c r="AJ36" s="17"/>
      <c r="AK36" s="43"/>
    </row>
    <row r="37" spans="1:38" ht="12.75" customHeight="1">
      <c r="A37" s="5" t="s">
        <v>16</v>
      </c>
      <c r="B37" s="106" t="s">
        <v>73</v>
      </c>
      <c r="C37" s="107"/>
      <c r="D37" s="107"/>
      <c r="E37" s="107"/>
      <c r="F37" s="107"/>
      <c r="G37" s="107"/>
      <c r="H37" s="108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6"/>
      <c r="AC37" s="107"/>
      <c r="AD37" s="107"/>
      <c r="AE37" s="107" t="s">
        <v>10</v>
      </c>
      <c r="AF37" s="107"/>
      <c r="AG37" s="107"/>
      <c r="AH37" s="107"/>
      <c r="AI37" s="107"/>
      <c r="AJ37" s="107"/>
      <c r="AK37" s="108"/>
      <c r="AL37" s="163" t="s">
        <v>22</v>
      </c>
    </row>
    <row r="38" spans="1:38" ht="12.75" customHeight="1">
      <c r="B38" s="110" t="str">
        <f>B7</f>
        <v>Fiscal Period</v>
      </c>
      <c r="C38" s="109">
        <f>C7</f>
        <v>2020</v>
      </c>
      <c r="D38" s="109">
        <f>D7</f>
        <v>2021</v>
      </c>
      <c r="E38" s="109">
        <f>E7</f>
        <v>2022</v>
      </c>
      <c r="F38" s="109">
        <f>F7</f>
        <v>2023</v>
      </c>
      <c r="G38" s="109">
        <f>G7</f>
        <v>2024</v>
      </c>
      <c r="H38" s="108"/>
      <c r="I38" s="109" t="str">
        <f>I7</f>
        <v>1Q21</v>
      </c>
      <c r="J38" s="109" t="str">
        <f>J7</f>
        <v>2Q21</v>
      </c>
      <c r="K38" s="109" t="str">
        <f>K7</f>
        <v>3Q21</v>
      </c>
      <c r="L38" s="109" t="str">
        <f>L7</f>
        <v>4Q21</v>
      </c>
      <c r="M38" s="109" t="str">
        <f>M7</f>
        <v>1Q22</v>
      </c>
      <c r="N38" s="109" t="str">
        <f>N7</f>
        <v>2Q22</v>
      </c>
      <c r="O38" s="109" t="str">
        <f>O7</f>
        <v>3Q22</v>
      </c>
      <c r="P38" s="109" t="str">
        <f>P7</f>
        <v>4Q22</v>
      </c>
      <c r="Q38" s="109" t="str">
        <f>Q7</f>
        <v>1Q23</v>
      </c>
      <c r="R38" s="109" t="str">
        <f>R7</f>
        <v>2Q23</v>
      </c>
      <c r="S38" s="109" t="str">
        <f>S7</f>
        <v>3Q23</v>
      </c>
      <c r="T38" s="109" t="str">
        <f>T7</f>
        <v>4Q23</v>
      </c>
      <c r="U38" s="109" t="str">
        <f>U7</f>
        <v>1Q24</v>
      </c>
      <c r="V38" s="109" t="str">
        <f>V7</f>
        <v>2Q24</v>
      </c>
      <c r="W38" s="109" t="str">
        <f>W7</f>
        <v>3Q24</v>
      </c>
      <c r="X38" s="109" t="str">
        <f>X7</f>
        <v>4Q24</v>
      </c>
      <c r="Y38" s="109" t="str">
        <f>Y7</f>
        <v>1Q25</v>
      </c>
      <c r="Z38" s="109" t="str">
        <f>Z7</f>
        <v>2Q25</v>
      </c>
      <c r="AA38" s="109" t="str">
        <f>AA7</f>
        <v>3Q25</v>
      </c>
      <c r="AB38" s="111"/>
      <c r="AC38" s="109" t="str">
        <f>AC7</f>
        <v>4Q23</v>
      </c>
      <c r="AD38" s="109" t="str">
        <f>AD7</f>
        <v>1Q24</v>
      </c>
      <c r="AE38" s="109" t="str">
        <f>AE7</f>
        <v>2Q24</v>
      </c>
      <c r="AF38" s="109" t="str">
        <f>AF7</f>
        <v>3Q24</v>
      </c>
      <c r="AG38" s="109" t="str">
        <f>AG7</f>
        <v>4Q24</v>
      </c>
      <c r="AH38" s="109" t="str">
        <f>AH7</f>
        <v>1Q25</v>
      </c>
      <c r="AI38" s="109" t="str">
        <f>AI7</f>
        <v>2Q25</v>
      </c>
      <c r="AJ38" s="109" t="str">
        <f>AJ7</f>
        <v>3Q25</v>
      </c>
      <c r="AK38" s="108"/>
      <c r="AL38" s="163"/>
    </row>
    <row r="39" spans="1:38" ht="12.75" customHeight="1">
      <c r="B39" s="110" t="str">
        <f>B8</f>
        <v>Fiscal Period End Date</v>
      </c>
      <c r="C39" s="112">
        <f>C8</f>
        <v>0</v>
      </c>
      <c r="D39" s="112">
        <f>D8</f>
        <v>0</v>
      </c>
      <c r="E39" s="112">
        <f>E8</f>
        <v>0</v>
      </c>
      <c r="F39" s="112">
        <f>F8</f>
        <v>0</v>
      </c>
      <c r="G39" s="112">
        <f>G8</f>
        <v>0</v>
      </c>
      <c r="H39" s="108"/>
      <c r="I39" s="112">
        <f>I8</f>
        <v>0</v>
      </c>
      <c r="J39" s="112">
        <f>J8</f>
        <v>0</v>
      </c>
      <c r="K39" s="112">
        <f>K8</f>
        <v>0</v>
      </c>
      <c r="L39" s="112">
        <f>L8</f>
        <v>0</v>
      </c>
      <c r="M39" s="112">
        <f>M8</f>
        <v>0</v>
      </c>
      <c r="N39" s="112">
        <f>N8</f>
        <v>0</v>
      </c>
      <c r="O39" s="112">
        <f>O8</f>
        <v>0</v>
      </c>
      <c r="P39" s="112">
        <f>P8</f>
        <v>0</v>
      </c>
      <c r="Q39" s="112">
        <f>Q8</f>
        <v>0</v>
      </c>
      <c r="R39" s="112">
        <f>R8</f>
        <v>0</v>
      </c>
      <c r="S39" s="112">
        <f>S8</f>
        <v>0</v>
      </c>
      <c r="T39" s="112">
        <f>T8</f>
        <v>0</v>
      </c>
      <c r="U39" s="112">
        <f>U8</f>
        <v>0</v>
      </c>
      <c r="V39" s="112">
        <f>V8</f>
        <v>0</v>
      </c>
      <c r="W39" s="112">
        <f>W8</f>
        <v>0</v>
      </c>
      <c r="X39" s="112">
        <f>X8</f>
        <v>0</v>
      </c>
      <c r="Y39" s="112">
        <f>Y8</f>
        <v>0</v>
      </c>
      <c r="Z39" s="112">
        <f>Z8</f>
        <v>0</v>
      </c>
      <c r="AA39" s="112">
        <f>AA8</f>
        <v>0</v>
      </c>
      <c r="AB39" s="113"/>
      <c r="AC39" s="112">
        <f>AC8</f>
        <v>0</v>
      </c>
      <c r="AD39" s="112">
        <f>AD8</f>
        <v>0</v>
      </c>
      <c r="AE39" s="112">
        <f>AE8</f>
        <v>0</v>
      </c>
      <c r="AF39" s="112">
        <f>AF8</f>
        <v>0</v>
      </c>
      <c r="AG39" s="112">
        <f>AG8</f>
        <v>0</v>
      </c>
      <c r="AH39" s="112">
        <f>AH8</f>
        <v>0</v>
      </c>
      <c r="AI39" s="112">
        <f>AI8</f>
        <v>0</v>
      </c>
      <c r="AJ39" s="112">
        <f>AJ8</f>
        <v>0</v>
      </c>
      <c r="AK39" s="108"/>
      <c r="AL39" s="163"/>
    </row>
    <row r="40" spans="1:38" ht="5.0999999999999996" customHeight="1">
      <c r="B40" s="46"/>
      <c r="C40" s="47"/>
      <c r="D40" s="47"/>
      <c r="E40" s="47"/>
      <c r="F40" s="47"/>
      <c r="G40" s="47"/>
    </row>
    <row r="41" spans="1:38">
      <c r="B41" s="78" t="s">
        <v>78</v>
      </c>
      <c r="C41" s="47"/>
      <c r="D41" s="47"/>
      <c r="E41" s="47"/>
      <c r="F41" s="47"/>
      <c r="G41" s="47"/>
    </row>
    <row r="42" spans="1:38" s="122" customFormat="1" ht="12.75" customHeight="1">
      <c r="B42" s="114" t="s">
        <v>172</v>
      </c>
      <c r="C42" s="123">
        <v>17576</v>
      </c>
      <c r="D42" s="123">
        <v>16601</v>
      </c>
      <c r="E42" s="123">
        <v>14681</v>
      </c>
      <c r="F42" s="123">
        <v>41862</v>
      </c>
      <c r="G42" s="123">
        <v>43889</v>
      </c>
      <c r="I42" s="82">
        <v>19513</v>
      </c>
      <c r="J42" s="82">
        <v>16186</v>
      </c>
      <c r="K42" s="82">
        <v>14496</v>
      </c>
      <c r="L42" s="32">
        <v>16601</v>
      </c>
      <c r="M42" s="82">
        <v>14886</v>
      </c>
      <c r="N42" s="82">
        <v>12681</v>
      </c>
      <c r="O42" s="82">
        <v>14308</v>
      </c>
      <c r="P42" s="32">
        <v>14681</v>
      </c>
      <c r="Q42" s="82">
        <v>11551</v>
      </c>
      <c r="R42" s="82">
        <v>28785</v>
      </c>
      <c r="S42" s="82">
        <v>36890</v>
      </c>
      <c r="T42" s="32">
        <v>41862</v>
      </c>
      <c r="U42" s="82">
        <v>32307</v>
      </c>
      <c r="V42" s="82">
        <v>32045</v>
      </c>
      <c r="W42" s="82">
        <v>43852</v>
      </c>
      <c r="X42" s="32">
        <v>43889</v>
      </c>
      <c r="Y42" s="82">
        <v>28750</v>
      </c>
      <c r="Z42" s="82">
        <v>12005</v>
      </c>
      <c r="AA42" s="82">
        <v>10187</v>
      </c>
      <c r="AC42" s="96">
        <f>T42</f>
        <v>41862</v>
      </c>
      <c r="AD42" s="96">
        <f>U42</f>
        <v>32307</v>
      </c>
      <c r="AE42" s="96">
        <f>V42</f>
        <v>32045</v>
      </c>
      <c r="AF42" s="96">
        <f>W42</f>
        <v>43852</v>
      </c>
      <c r="AG42" s="96">
        <f>X42</f>
        <v>43889</v>
      </c>
      <c r="AH42" s="96">
        <f>Y42</f>
        <v>28750</v>
      </c>
      <c r="AI42" s="96">
        <f>Z42</f>
        <v>12005</v>
      </c>
      <c r="AJ42" s="96">
        <f>AA42</f>
        <v>10187</v>
      </c>
      <c r="AK42" s="124"/>
      <c r="AL42" s="75">
        <f>SUM(AJ42/AF42)-1</f>
        <v>-0.76769588616254669</v>
      </c>
    </row>
    <row r="43" spans="1:38" s="122" customFormat="1" ht="12.75" customHeight="1">
      <c r="B43" s="114" t="s">
        <v>162</v>
      </c>
      <c r="C43" s="123">
        <v>44378</v>
      </c>
      <c r="D43" s="123">
        <v>31397</v>
      </c>
      <c r="E43" s="123">
        <v>26057</v>
      </c>
      <c r="F43" s="123">
        <v>23541</v>
      </c>
      <c r="G43" s="123">
        <v>33926</v>
      </c>
      <c r="I43" s="82">
        <v>44706</v>
      </c>
      <c r="J43" s="82">
        <v>47894</v>
      </c>
      <c r="K43" s="82">
        <v>43579</v>
      </c>
      <c r="L43" s="32">
        <v>31397</v>
      </c>
      <c r="M43" s="82">
        <v>29004</v>
      </c>
      <c r="N43" s="82">
        <v>27808</v>
      </c>
      <c r="O43" s="82">
        <v>27468</v>
      </c>
      <c r="P43" s="32">
        <v>26057</v>
      </c>
      <c r="Q43" s="82">
        <v>25888</v>
      </c>
      <c r="R43" s="82">
        <v>24661</v>
      </c>
      <c r="S43" s="82">
        <v>24233</v>
      </c>
      <c r="T43" s="32">
        <v>23541</v>
      </c>
      <c r="U43" s="82">
        <v>25813</v>
      </c>
      <c r="V43" s="82">
        <v>26035</v>
      </c>
      <c r="W43" s="82">
        <v>27048</v>
      </c>
      <c r="X43" s="32">
        <v>33926</v>
      </c>
      <c r="Y43" s="82">
        <v>41480</v>
      </c>
      <c r="Z43" s="82">
        <v>35066</v>
      </c>
      <c r="AA43" s="82">
        <v>34261</v>
      </c>
      <c r="AC43" s="96">
        <f>T43</f>
        <v>23541</v>
      </c>
      <c r="AD43" s="96">
        <f>U43</f>
        <v>25813</v>
      </c>
      <c r="AE43" s="96">
        <f>V43</f>
        <v>26035</v>
      </c>
      <c r="AF43" s="96">
        <f>W43</f>
        <v>27048</v>
      </c>
      <c r="AG43" s="96">
        <f>X43</f>
        <v>33926</v>
      </c>
      <c r="AH43" s="96">
        <f>Y43</f>
        <v>41480</v>
      </c>
      <c r="AI43" s="96">
        <f>Z43</f>
        <v>35066</v>
      </c>
      <c r="AJ43" s="96">
        <f>AA43</f>
        <v>34261</v>
      </c>
      <c r="AK43" s="124"/>
      <c r="AL43" s="75">
        <f t="shared" ref="AL43:AL45" si="106">SUM(AJ43/AF43)-1</f>
        <v>0.26667406092871926</v>
      </c>
    </row>
    <row r="44" spans="1:38" s="122" customFormat="1" ht="12.75" customHeight="1">
      <c r="B44" s="114" t="s">
        <v>173</v>
      </c>
      <c r="C44" s="123">
        <v>11335</v>
      </c>
      <c r="D44" s="123">
        <v>14039</v>
      </c>
      <c r="E44" s="123">
        <v>13466</v>
      </c>
      <c r="F44" s="123">
        <v>16169</v>
      </c>
      <c r="G44" s="123">
        <v>16994</v>
      </c>
      <c r="I44" s="82">
        <v>10276</v>
      </c>
      <c r="J44" s="82">
        <v>11698</v>
      </c>
      <c r="K44" s="82">
        <v>12088</v>
      </c>
      <c r="L44" s="32">
        <v>14039</v>
      </c>
      <c r="M44" s="82">
        <v>11390</v>
      </c>
      <c r="N44" s="82">
        <v>11525</v>
      </c>
      <c r="O44" s="82">
        <v>11227</v>
      </c>
      <c r="P44" s="32">
        <v>13466</v>
      </c>
      <c r="Q44" s="82">
        <v>11044</v>
      </c>
      <c r="R44" s="82">
        <v>12511</v>
      </c>
      <c r="S44" s="82">
        <v>12944</v>
      </c>
      <c r="T44" s="32">
        <v>16169</v>
      </c>
      <c r="U44" s="82">
        <v>13430</v>
      </c>
      <c r="V44" s="82">
        <v>14505</v>
      </c>
      <c r="W44" s="82">
        <v>14700</v>
      </c>
      <c r="X44" s="32">
        <v>16994</v>
      </c>
      <c r="Y44" s="82">
        <v>14514</v>
      </c>
      <c r="Z44" s="82">
        <v>16561</v>
      </c>
      <c r="AA44" s="82">
        <v>17297</v>
      </c>
      <c r="AC44" s="96">
        <f>T44</f>
        <v>16169</v>
      </c>
      <c r="AD44" s="96">
        <f>U44</f>
        <v>13430</v>
      </c>
      <c r="AE44" s="96">
        <f>V44</f>
        <v>14505</v>
      </c>
      <c r="AF44" s="96">
        <f>W44</f>
        <v>14700</v>
      </c>
      <c r="AG44" s="96">
        <f>X44</f>
        <v>16994</v>
      </c>
      <c r="AH44" s="96">
        <f>Y44</f>
        <v>14514</v>
      </c>
      <c r="AI44" s="96">
        <f>Z44</f>
        <v>16561</v>
      </c>
      <c r="AJ44" s="96">
        <f>AA44</f>
        <v>17297</v>
      </c>
      <c r="AK44" s="124"/>
      <c r="AL44" s="75">
        <f t="shared" ref="AL44" si="107">SUM(AJ44/AF44)-1</f>
        <v>0.17666666666666675</v>
      </c>
    </row>
    <row r="45" spans="1:38" s="122" customFormat="1" ht="12.75" customHeight="1">
      <c r="B45" s="114" t="s">
        <v>182</v>
      </c>
      <c r="C45" s="123">
        <v>2381</v>
      </c>
      <c r="D45" s="123">
        <v>4629</v>
      </c>
      <c r="E45" s="123">
        <v>5345</v>
      </c>
      <c r="F45" s="123">
        <v>3793</v>
      </c>
      <c r="G45" s="123">
        <v>5236</v>
      </c>
      <c r="I45" s="82">
        <v>2827</v>
      </c>
      <c r="J45" s="82">
        <v>4919</v>
      </c>
      <c r="K45" s="82">
        <v>5258</v>
      </c>
      <c r="L45" s="32">
        <v>4629</v>
      </c>
      <c r="M45" s="82">
        <v>3985</v>
      </c>
      <c r="N45" s="82">
        <v>3973</v>
      </c>
      <c r="O45" s="82">
        <v>5312</v>
      </c>
      <c r="P45" s="32">
        <v>5345</v>
      </c>
      <c r="Q45" s="82">
        <v>4000</v>
      </c>
      <c r="R45" s="82">
        <v>3603</v>
      </c>
      <c r="S45" s="82">
        <v>4311</v>
      </c>
      <c r="T45" s="32">
        <v>3793</v>
      </c>
      <c r="U45" s="82">
        <v>3780</v>
      </c>
      <c r="V45" s="82">
        <v>3846</v>
      </c>
      <c r="W45" s="82">
        <v>5467</v>
      </c>
      <c r="X45" s="32">
        <v>5236</v>
      </c>
      <c r="Y45" s="82">
        <v>5483</v>
      </c>
      <c r="Z45" s="82">
        <v>9981</v>
      </c>
      <c r="AA45" s="82">
        <v>11373</v>
      </c>
      <c r="AC45" s="96">
        <f>T45</f>
        <v>3793</v>
      </c>
      <c r="AD45" s="96">
        <f>U45</f>
        <v>3780</v>
      </c>
      <c r="AE45" s="96">
        <f>V45</f>
        <v>3846</v>
      </c>
      <c r="AF45" s="96">
        <f>W45</f>
        <v>5467</v>
      </c>
      <c r="AG45" s="96">
        <f>X45</f>
        <v>5236</v>
      </c>
      <c r="AH45" s="96">
        <f>Y45</f>
        <v>5483</v>
      </c>
      <c r="AI45" s="96">
        <f>Z45</f>
        <v>9981</v>
      </c>
      <c r="AJ45" s="96">
        <f>AA45</f>
        <v>11373</v>
      </c>
      <c r="AK45" s="124"/>
      <c r="AL45" s="75">
        <f t="shared" si="106"/>
        <v>1.0802999817084324</v>
      </c>
    </row>
    <row r="46" spans="1:38" ht="12.75" customHeight="1">
      <c r="B46" s="25" t="s">
        <v>18</v>
      </c>
      <c r="C46" s="26">
        <f>SUM(C42:C45)</f>
        <v>75670</v>
      </c>
      <c r="D46" s="26">
        <f>SUM(D42:D45)</f>
        <v>66666</v>
      </c>
      <c r="E46" s="26">
        <f>SUM(E42:E45)</f>
        <v>59549</v>
      </c>
      <c r="F46" s="26">
        <f>SUM(F42:F45)</f>
        <v>85365</v>
      </c>
      <c r="G46" s="26">
        <f>SUM(G42:G45)</f>
        <v>100045</v>
      </c>
      <c r="H46" s="48"/>
      <c r="I46" s="26">
        <f>SUM(I42:I45)</f>
        <v>77322</v>
      </c>
      <c r="J46" s="26">
        <f>SUM(J42:J45)</f>
        <v>80697</v>
      </c>
      <c r="K46" s="26">
        <f>SUM(K42:K45)</f>
        <v>75421</v>
      </c>
      <c r="L46" s="26">
        <f>SUM(L42:L45)</f>
        <v>66666</v>
      </c>
      <c r="M46" s="26">
        <f>SUM(M42:M45)</f>
        <v>59265</v>
      </c>
      <c r="N46" s="26">
        <f>SUM(N42:N45)</f>
        <v>55987</v>
      </c>
      <c r="O46" s="26">
        <f>SUM(O42:O45)</f>
        <v>58315</v>
      </c>
      <c r="P46" s="26">
        <f>SUM(P42:P45)</f>
        <v>59549</v>
      </c>
      <c r="Q46" s="26">
        <f>SUM(Q42:Q45)</f>
        <v>52483</v>
      </c>
      <c r="R46" s="26">
        <f>SUM(R42:R45)</f>
        <v>69560</v>
      </c>
      <c r="S46" s="26">
        <f>SUM(S42:S45)</f>
        <v>78378</v>
      </c>
      <c r="T46" s="26">
        <f>SUM(T42:T45)</f>
        <v>85365</v>
      </c>
      <c r="U46" s="26">
        <f>SUM(U42:U45)</f>
        <v>75330</v>
      </c>
      <c r="V46" s="26">
        <f>SUM(V42:V45)</f>
        <v>76431</v>
      </c>
      <c r="W46" s="26">
        <f>SUM(W42:W45)</f>
        <v>91067</v>
      </c>
      <c r="X46" s="26">
        <f>SUM(X42:X45)</f>
        <v>100045</v>
      </c>
      <c r="Y46" s="26">
        <f>SUM(Y42:Y45)</f>
        <v>90227</v>
      </c>
      <c r="Z46" s="26">
        <f>SUM(Z42:Z45)</f>
        <v>73613</v>
      </c>
      <c r="AA46" s="26">
        <f>SUM(AA42:AA45)</f>
        <v>73118</v>
      </c>
      <c r="AB46" s="48"/>
      <c r="AC46" s="26">
        <f>SUM(AC42:AC45)</f>
        <v>85365</v>
      </c>
      <c r="AD46" s="26">
        <f>SUM(AD42:AD45)</f>
        <v>75330</v>
      </c>
      <c r="AE46" s="26">
        <f>SUM(AE42:AE45)</f>
        <v>76431</v>
      </c>
      <c r="AF46" s="26">
        <f>SUM(AF42:AF45)</f>
        <v>91067</v>
      </c>
      <c r="AG46" s="26">
        <f>SUM(AG42:AG45)</f>
        <v>100045</v>
      </c>
      <c r="AH46" s="26">
        <f>SUM(AH42:AH45)</f>
        <v>90227</v>
      </c>
      <c r="AI46" s="26">
        <f>SUM(AI42:AI45)</f>
        <v>73613</v>
      </c>
      <c r="AJ46" s="26">
        <f>SUM(AJ42:AJ45)</f>
        <v>73118</v>
      </c>
      <c r="AK46" s="42"/>
      <c r="AL46" s="76">
        <f>SUM(AJ46/AF46)-1</f>
        <v>-0.19709664313088171</v>
      </c>
    </row>
    <row r="47" spans="1:38" ht="5.0999999999999996" customHeight="1">
      <c r="B47" s="25"/>
      <c r="C47" s="49"/>
      <c r="D47" s="49"/>
      <c r="E47" s="49"/>
      <c r="F47" s="41"/>
      <c r="G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C47" s="42"/>
      <c r="AD47" s="42"/>
      <c r="AE47" s="42"/>
      <c r="AF47" s="42"/>
      <c r="AG47" s="42"/>
      <c r="AH47" s="42"/>
      <c r="AI47" s="42"/>
      <c r="AJ47" s="42"/>
      <c r="AK47" s="42"/>
      <c r="AL47" s="39"/>
    </row>
    <row r="48" spans="1:38" ht="12.75" customHeight="1">
      <c r="B48" s="78" t="s">
        <v>79</v>
      </c>
      <c r="C48" s="82"/>
      <c r="D48" s="82"/>
      <c r="E48" s="82"/>
      <c r="F48" s="82"/>
      <c r="G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32"/>
      <c r="Z48" s="82"/>
      <c r="AA48" s="82"/>
      <c r="AC48" s="32"/>
      <c r="AD48" s="32"/>
      <c r="AE48" s="32"/>
      <c r="AF48" s="32"/>
      <c r="AG48" s="32"/>
      <c r="AH48" s="32"/>
      <c r="AI48" s="32"/>
      <c r="AJ48" s="32"/>
      <c r="AK48" s="11"/>
      <c r="AL48" s="75"/>
    </row>
    <row r="49" spans="2:38" ht="12.75" customHeight="1">
      <c r="B49" s="9" t="s">
        <v>163</v>
      </c>
      <c r="C49" s="82">
        <v>6234</v>
      </c>
      <c r="D49" s="82">
        <v>6775</v>
      </c>
      <c r="E49" s="82">
        <v>6201</v>
      </c>
      <c r="F49" s="82">
        <v>6141</v>
      </c>
      <c r="G49" s="82">
        <v>6070</v>
      </c>
      <c r="I49" s="82">
        <v>6342</v>
      </c>
      <c r="J49" s="82">
        <v>6393</v>
      </c>
      <c r="K49" s="82">
        <v>6758</v>
      </c>
      <c r="L49" s="32">
        <f t="shared" ref="L49:L54" si="108">D49</f>
        <v>6775</v>
      </c>
      <c r="M49" s="82">
        <v>6775</v>
      </c>
      <c r="N49" s="82">
        <v>6536</v>
      </c>
      <c r="O49" s="82">
        <v>6528</v>
      </c>
      <c r="P49" s="32">
        <f t="shared" ref="P49:P54" si="109">E49</f>
        <v>6201</v>
      </c>
      <c r="Q49" s="82">
        <v>6167</v>
      </c>
      <c r="R49" s="82">
        <v>6208</v>
      </c>
      <c r="S49" s="82">
        <v>6142</v>
      </c>
      <c r="T49" s="32">
        <f t="shared" ref="T49:T54" si="110">F49</f>
        <v>6141</v>
      </c>
      <c r="U49" s="82">
        <v>6218</v>
      </c>
      <c r="V49" s="82">
        <v>6207</v>
      </c>
      <c r="W49" s="82">
        <v>6071</v>
      </c>
      <c r="X49" s="32">
        <f t="shared" ref="X49:X54" si="111">G49</f>
        <v>6070</v>
      </c>
      <c r="Y49" s="82">
        <v>6168</v>
      </c>
      <c r="Z49" s="82">
        <v>21988</v>
      </c>
      <c r="AA49" s="82">
        <v>25074</v>
      </c>
      <c r="AC49" s="32">
        <f>T49</f>
        <v>6141</v>
      </c>
      <c r="AD49" s="32">
        <f>U49</f>
        <v>6218</v>
      </c>
      <c r="AE49" s="32">
        <f>V49</f>
        <v>6207</v>
      </c>
      <c r="AF49" s="32">
        <f>W49</f>
        <v>6071</v>
      </c>
      <c r="AG49" s="32">
        <f>X49</f>
        <v>6070</v>
      </c>
      <c r="AH49" s="32">
        <f>Y49</f>
        <v>6168</v>
      </c>
      <c r="AI49" s="32">
        <f>Z49</f>
        <v>21988</v>
      </c>
      <c r="AJ49" s="32">
        <f>AA49</f>
        <v>25074</v>
      </c>
      <c r="AK49" s="11"/>
      <c r="AL49" s="75">
        <f t="shared" ref="AL49:AL55" si="112">SUM(AJ49/AF49)-1</f>
        <v>3.1301268324822926</v>
      </c>
    </row>
    <row r="50" spans="2:38" ht="12.75" customHeight="1">
      <c r="B50" s="9" t="s">
        <v>151</v>
      </c>
      <c r="C50" s="82">
        <v>45633</v>
      </c>
      <c r="D50" s="82">
        <v>57809</v>
      </c>
      <c r="E50" s="82">
        <v>79518</v>
      </c>
      <c r="F50" s="82">
        <v>96587</v>
      </c>
      <c r="G50" s="82">
        <v>121346</v>
      </c>
      <c r="I50" s="82">
        <v>47720</v>
      </c>
      <c r="J50" s="82">
        <v>50909</v>
      </c>
      <c r="K50" s="82">
        <v>53726</v>
      </c>
      <c r="L50" s="32">
        <f t="shared" si="108"/>
        <v>57809</v>
      </c>
      <c r="M50" s="82">
        <v>61582</v>
      </c>
      <c r="N50" s="82">
        <v>67588</v>
      </c>
      <c r="O50" s="82">
        <v>73738</v>
      </c>
      <c r="P50" s="32">
        <f t="shared" si="109"/>
        <v>79518</v>
      </c>
      <c r="Q50" s="82">
        <v>84156</v>
      </c>
      <c r="R50" s="82">
        <v>87949</v>
      </c>
      <c r="S50" s="82">
        <v>91772</v>
      </c>
      <c r="T50" s="32">
        <f t="shared" si="110"/>
        <v>96587</v>
      </c>
      <c r="U50" s="82">
        <v>98908</v>
      </c>
      <c r="V50" s="82">
        <v>102959</v>
      </c>
      <c r="W50" s="82">
        <v>112162</v>
      </c>
      <c r="X50" s="32">
        <f t="shared" si="111"/>
        <v>121346</v>
      </c>
      <c r="Y50" s="82">
        <v>133567</v>
      </c>
      <c r="Z50" s="82">
        <v>147039</v>
      </c>
      <c r="AA50" s="82">
        <v>160270</v>
      </c>
      <c r="AC50" s="32">
        <f>T50</f>
        <v>96587</v>
      </c>
      <c r="AD50" s="32">
        <f>U50</f>
        <v>98908</v>
      </c>
      <c r="AE50" s="32">
        <f>V50</f>
        <v>102959</v>
      </c>
      <c r="AF50" s="32">
        <f>W50</f>
        <v>112162</v>
      </c>
      <c r="AG50" s="32">
        <f>X50</f>
        <v>121346</v>
      </c>
      <c r="AH50" s="32">
        <f>Y50</f>
        <v>133567</v>
      </c>
      <c r="AI50" s="32">
        <f>Z50</f>
        <v>147039</v>
      </c>
      <c r="AJ50" s="32">
        <f>AA50</f>
        <v>160270</v>
      </c>
      <c r="AK50" s="11"/>
      <c r="AL50" s="75">
        <f t="shared" si="112"/>
        <v>0.42891531891371404</v>
      </c>
    </row>
    <row r="51" spans="2:38" ht="12.75" customHeight="1">
      <c r="B51" s="9" t="s">
        <v>191</v>
      </c>
      <c r="C51" s="82">
        <v>9348</v>
      </c>
      <c r="D51" s="82">
        <v>12155</v>
      </c>
      <c r="E51" s="82">
        <v>12673</v>
      </c>
      <c r="F51" s="82">
        <v>13294</v>
      </c>
      <c r="G51" s="82">
        <v>14922</v>
      </c>
      <c r="I51" s="82">
        <v>10202</v>
      </c>
      <c r="J51" s="82">
        <v>10525</v>
      </c>
      <c r="K51" s="82">
        <v>11063</v>
      </c>
      <c r="L51" s="32">
        <f t="shared" si="108"/>
        <v>12155</v>
      </c>
      <c r="M51" s="82">
        <v>12241</v>
      </c>
      <c r="N51" s="82">
        <v>14130</v>
      </c>
      <c r="O51" s="82">
        <v>13641</v>
      </c>
      <c r="P51" s="32">
        <f t="shared" si="109"/>
        <v>12673</v>
      </c>
      <c r="Q51" s="82">
        <v>12899</v>
      </c>
      <c r="R51" s="82">
        <v>12955</v>
      </c>
      <c r="S51" s="82">
        <v>13033</v>
      </c>
      <c r="T51" s="32">
        <f t="shared" si="110"/>
        <v>13294</v>
      </c>
      <c r="U51" s="82">
        <v>13555</v>
      </c>
      <c r="V51" s="82">
        <v>14058</v>
      </c>
      <c r="W51" s="82">
        <v>14812</v>
      </c>
      <c r="X51" s="32">
        <f t="shared" si="111"/>
        <v>14922</v>
      </c>
      <c r="Y51" s="82">
        <v>15505</v>
      </c>
      <c r="Z51" s="82">
        <v>15662</v>
      </c>
      <c r="AA51" s="82">
        <v>17372</v>
      </c>
      <c r="AC51" s="32">
        <f t="shared" ref="AC51:AC54" si="113">T51</f>
        <v>13294</v>
      </c>
      <c r="AD51" s="32">
        <f t="shared" ref="AD51:AD54" si="114">U51</f>
        <v>13555</v>
      </c>
      <c r="AE51" s="32">
        <f t="shared" ref="AE51:AE54" si="115">V51</f>
        <v>14058</v>
      </c>
      <c r="AF51" s="32">
        <f t="shared" ref="AF51:AF54" si="116">W51</f>
        <v>14812</v>
      </c>
      <c r="AG51" s="32">
        <f t="shared" ref="AG51:AG54" si="117">X51</f>
        <v>14922</v>
      </c>
      <c r="AH51" s="32">
        <f t="shared" ref="AH51:AH54" si="118">Y51</f>
        <v>15505</v>
      </c>
      <c r="AI51" s="32">
        <f t="shared" ref="AI51:AI54" si="119">Z51</f>
        <v>15662</v>
      </c>
      <c r="AJ51" s="32">
        <f t="shared" ref="AJ51:AJ54" si="120">AA51</f>
        <v>17372</v>
      </c>
      <c r="AK51" s="11"/>
      <c r="AL51" s="75">
        <f t="shared" si="112"/>
        <v>0.17283283823926543</v>
      </c>
    </row>
    <row r="52" spans="2:38" ht="12.75" customHeight="1">
      <c r="B52" s="9" t="s">
        <v>164</v>
      </c>
      <c r="C52" s="82">
        <v>623</v>
      </c>
      <c r="D52" s="82">
        <v>634</v>
      </c>
      <c r="E52" s="82">
        <v>897</v>
      </c>
      <c r="F52" s="82">
        <v>0</v>
      </c>
      <c r="G52" s="82">
        <v>0</v>
      </c>
      <c r="I52" s="82">
        <v>505</v>
      </c>
      <c r="J52" s="82">
        <v>514</v>
      </c>
      <c r="K52" s="82">
        <v>365</v>
      </c>
      <c r="L52" s="32">
        <f t="shared" si="108"/>
        <v>634</v>
      </c>
      <c r="M52" s="82">
        <v>910</v>
      </c>
      <c r="N52" s="82">
        <v>965</v>
      </c>
      <c r="O52" s="82">
        <v>875</v>
      </c>
      <c r="P52" s="32">
        <f t="shared" si="109"/>
        <v>897</v>
      </c>
      <c r="Q52" s="82">
        <v>949</v>
      </c>
      <c r="R52" s="82">
        <v>856</v>
      </c>
      <c r="S52" s="82">
        <v>813</v>
      </c>
      <c r="T52" s="32">
        <f t="shared" si="110"/>
        <v>0</v>
      </c>
      <c r="U52" s="82">
        <v>0</v>
      </c>
      <c r="V52" s="82">
        <v>0</v>
      </c>
      <c r="W52" s="82">
        <v>0</v>
      </c>
      <c r="X52" s="32">
        <f t="shared" si="111"/>
        <v>0</v>
      </c>
      <c r="Y52" s="82">
        <v>0</v>
      </c>
      <c r="Z52" s="82">
        <v>0</v>
      </c>
      <c r="AA52" s="82">
        <v>0</v>
      </c>
      <c r="AC52" s="32">
        <f t="shared" ref="AC52" si="121">T52</f>
        <v>0</v>
      </c>
      <c r="AD52" s="32">
        <f t="shared" ref="AD52" si="122">U52</f>
        <v>0</v>
      </c>
      <c r="AE52" s="32">
        <f t="shared" ref="AE52" si="123">V52</f>
        <v>0</v>
      </c>
      <c r="AF52" s="32">
        <f t="shared" ref="AF52" si="124">W52</f>
        <v>0</v>
      </c>
      <c r="AG52" s="32">
        <f t="shared" ref="AG52" si="125">X52</f>
        <v>0</v>
      </c>
      <c r="AH52" s="32">
        <f t="shared" ref="AH52" si="126">Y52</f>
        <v>0</v>
      </c>
      <c r="AI52" s="32">
        <f t="shared" ref="AI52" si="127">Z52</f>
        <v>0</v>
      </c>
      <c r="AJ52" s="32">
        <f t="shared" ref="AJ52" si="128">AA52</f>
        <v>0</v>
      </c>
      <c r="AK52" s="11"/>
      <c r="AL52" s="75" t="e">
        <f t="shared" ref="AL52" si="129">SUM(AJ52/AF52)-1</f>
        <v>#DIV/0!</v>
      </c>
    </row>
    <row r="53" spans="2:38" ht="12.75" customHeight="1">
      <c r="B53" s="9" t="s">
        <v>107</v>
      </c>
      <c r="C53" s="82">
        <v>19050</v>
      </c>
      <c r="D53" s="82">
        <v>19197</v>
      </c>
      <c r="E53" s="82">
        <v>20306</v>
      </c>
      <c r="F53" s="82">
        <v>20654</v>
      </c>
      <c r="G53" s="82">
        <v>20654</v>
      </c>
      <c r="I53" s="82">
        <v>19056</v>
      </c>
      <c r="J53" s="82">
        <v>19219</v>
      </c>
      <c r="K53" s="82">
        <v>19065</v>
      </c>
      <c r="L53" s="32">
        <f t="shared" si="108"/>
        <v>19197</v>
      </c>
      <c r="M53" s="82">
        <v>19923</v>
      </c>
      <c r="N53" s="82">
        <v>20229</v>
      </c>
      <c r="O53" s="82">
        <v>20268</v>
      </c>
      <c r="P53" s="32">
        <f t="shared" si="109"/>
        <v>20306</v>
      </c>
      <c r="Q53" s="82">
        <v>20649</v>
      </c>
      <c r="R53" s="82">
        <v>20659</v>
      </c>
      <c r="S53" s="82">
        <v>20668</v>
      </c>
      <c r="T53" s="32">
        <f t="shared" si="110"/>
        <v>20654</v>
      </c>
      <c r="U53" s="82">
        <v>20654</v>
      </c>
      <c r="V53" s="82">
        <v>20654</v>
      </c>
      <c r="W53" s="82">
        <v>20654</v>
      </c>
      <c r="X53" s="32">
        <f t="shared" si="111"/>
        <v>20654</v>
      </c>
      <c r="Y53" s="82">
        <v>20654</v>
      </c>
      <c r="Z53" s="82">
        <v>20654</v>
      </c>
      <c r="AA53" s="82">
        <v>21158</v>
      </c>
      <c r="AC53" s="32">
        <f t="shared" si="113"/>
        <v>20654</v>
      </c>
      <c r="AD53" s="32">
        <f t="shared" si="114"/>
        <v>20654</v>
      </c>
      <c r="AE53" s="32">
        <f t="shared" si="115"/>
        <v>20654</v>
      </c>
      <c r="AF53" s="32">
        <f t="shared" si="116"/>
        <v>20654</v>
      </c>
      <c r="AG53" s="32">
        <f t="shared" si="117"/>
        <v>20654</v>
      </c>
      <c r="AH53" s="32">
        <f t="shared" si="118"/>
        <v>20654</v>
      </c>
      <c r="AI53" s="32">
        <f t="shared" si="119"/>
        <v>20654</v>
      </c>
      <c r="AJ53" s="32">
        <f t="shared" si="120"/>
        <v>21158</v>
      </c>
      <c r="AK53" s="11"/>
      <c r="AL53" s="75">
        <f t="shared" si="112"/>
        <v>2.4402052871114632E-2</v>
      </c>
    </row>
    <row r="54" spans="2:38" ht="12.75" customHeight="1">
      <c r="B54" s="9" t="s">
        <v>174</v>
      </c>
      <c r="C54" s="82">
        <v>2758</v>
      </c>
      <c r="D54" s="82">
        <v>2751</v>
      </c>
      <c r="E54" s="82">
        <v>6583</v>
      </c>
      <c r="F54" s="82">
        <v>7582</v>
      </c>
      <c r="G54" s="82">
        <v>13017</v>
      </c>
      <c r="I54" s="82">
        <v>2376</v>
      </c>
      <c r="J54" s="82">
        <v>2352</v>
      </c>
      <c r="K54" s="82">
        <v>3187</v>
      </c>
      <c r="L54" s="32">
        <f t="shared" si="108"/>
        <v>2751</v>
      </c>
      <c r="M54" s="82">
        <v>3522</v>
      </c>
      <c r="N54" s="82">
        <v>4344</v>
      </c>
      <c r="O54" s="82">
        <v>5529</v>
      </c>
      <c r="P54" s="32">
        <f t="shared" si="109"/>
        <v>6583</v>
      </c>
      <c r="Q54" s="82">
        <v>7188</v>
      </c>
      <c r="R54" s="82">
        <v>8501</v>
      </c>
      <c r="S54" s="82">
        <v>5468</v>
      </c>
      <c r="T54" s="32">
        <f t="shared" si="110"/>
        <v>7582</v>
      </c>
      <c r="U54" s="82">
        <v>8179</v>
      </c>
      <c r="V54" s="82">
        <v>9929</v>
      </c>
      <c r="W54" s="82">
        <v>11642</v>
      </c>
      <c r="X54" s="32">
        <f t="shared" si="111"/>
        <v>13017</v>
      </c>
      <c r="Y54" s="82">
        <v>14092</v>
      </c>
      <c r="Z54" s="82">
        <v>15788</v>
      </c>
      <c r="AA54" s="82">
        <v>6852</v>
      </c>
      <c r="AC54" s="32">
        <f>T54</f>
        <v>7582</v>
      </c>
      <c r="AD54" s="32">
        <f>U54</f>
        <v>8179</v>
      </c>
      <c r="AE54" s="32">
        <f>V54</f>
        <v>9929</v>
      </c>
      <c r="AF54" s="32">
        <f>W54</f>
        <v>11642</v>
      </c>
      <c r="AG54" s="32">
        <f>X54</f>
        <v>13017</v>
      </c>
      <c r="AH54" s="32">
        <f>Y54</f>
        <v>14092</v>
      </c>
      <c r="AI54" s="32">
        <f>Z54</f>
        <v>15788</v>
      </c>
      <c r="AJ54" s="32">
        <f>AA54</f>
        <v>6852</v>
      </c>
      <c r="AK54" s="11"/>
      <c r="AL54" s="75">
        <f t="shared" ref="AL54" si="130">SUM(AJ54/AF54)-1</f>
        <v>-0.41144133310427766</v>
      </c>
    </row>
    <row r="55" spans="2:38" ht="12.75" customHeight="1">
      <c r="B55" s="13" t="s">
        <v>19</v>
      </c>
      <c r="C55" s="14">
        <f>SUM(C49:C54)+C46</f>
        <v>159316</v>
      </c>
      <c r="D55" s="14">
        <f>SUM(D49:D54)+D46</f>
        <v>165987</v>
      </c>
      <c r="E55" s="14">
        <f>SUM(E49:E54)+E46</f>
        <v>185727</v>
      </c>
      <c r="F55" s="14">
        <f>SUM(F49:F54)+F46</f>
        <v>229623</v>
      </c>
      <c r="G55" s="14">
        <f>SUM(G49:G54)+G46</f>
        <v>276054</v>
      </c>
      <c r="I55" s="14">
        <f>SUM(I49:I54)+I46</f>
        <v>163523</v>
      </c>
      <c r="J55" s="14">
        <f>SUM(J49:J54)+J46</f>
        <v>170609</v>
      </c>
      <c r="K55" s="14">
        <f>SUM(K49:K54)+K46</f>
        <v>169585</v>
      </c>
      <c r="L55" s="14">
        <f>SUM(L49:L54)+L46</f>
        <v>165987</v>
      </c>
      <c r="M55" s="14">
        <f>SUM(M49:M54)+M46</f>
        <v>164218</v>
      </c>
      <c r="N55" s="14">
        <f>SUM(N49:N54)+N46</f>
        <v>169779</v>
      </c>
      <c r="O55" s="14">
        <f>SUM(O49:O54)+O46</f>
        <v>178894</v>
      </c>
      <c r="P55" s="14">
        <f>SUM(P49:P54)+P46</f>
        <v>185727</v>
      </c>
      <c r="Q55" s="14">
        <f>SUM(Q49:Q54)+Q46</f>
        <v>184491</v>
      </c>
      <c r="R55" s="14">
        <f>SUM(R49:R54)+R46</f>
        <v>206688</v>
      </c>
      <c r="S55" s="14">
        <f>SUM(S49:S54)+S46</f>
        <v>216274</v>
      </c>
      <c r="T55" s="14">
        <f>SUM(T49:T54)+T46</f>
        <v>229623</v>
      </c>
      <c r="U55" s="14">
        <f>SUM(U49:U54)+U46</f>
        <v>222844</v>
      </c>
      <c r="V55" s="14">
        <f>SUM(V49:V54)+V46</f>
        <v>230238</v>
      </c>
      <c r="W55" s="14">
        <f>SUM(W49:W54)+W46</f>
        <v>256408</v>
      </c>
      <c r="X55" s="14">
        <f>SUM(X49:X54)+X46</f>
        <v>276054</v>
      </c>
      <c r="Y55" s="14">
        <f>SUM(Y49:Y54)+Y46</f>
        <v>280213</v>
      </c>
      <c r="Z55" s="14">
        <f>SUM(Z49:Z54)+Z46</f>
        <v>294744</v>
      </c>
      <c r="AA55" s="14">
        <f>SUM(AA49:AA54)+AA46</f>
        <v>303844</v>
      </c>
      <c r="AC55" s="14">
        <f>SUM(AC49:AC54)+AC46</f>
        <v>229623</v>
      </c>
      <c r="AD55" s="14">
        <f>SUM(AD49:AD54)+AD46</f>
        <v>222844</v>
      </c>
      <c r="AE55" s="14">
        <f>SUM(AE49:AE54)+AE46</f>
        <v>230238</v>
      </c>
      <c r="AF55" s="14">
        <f>SUM(AF49:AF54)+AF46</f>
        <v>256408</v>
      </c>
      <c r="AG55" s="14">
        <f>SUM(AG49:AG54)+AG46</f>
        <v>276054</v>
      </c>
      <c r="AH55" s="14">
        <f>SUM(AH49:AH54)+AH46</f>
        <v>280213</v>
      </c>
      <c r="AI55" s="14">
        <f>SUM(AI49:AI54)+AI46</f>
        <v>294744</v>
      </c>
      <c r="AJ55" s="34">
        <f>SUM(AJ49:AJ54)+AJ46</f>
        <v>303844</v>
      </c>
      <c r="AK55" s="42"/>
      <c r="AL55" s="76">
        <f t="shared" si="112"/>
        <v>0.1850020280178466</v>
      </c>
    </row>
    <row r="56" spans="2:38" ht="12.75" customHeight="1">
      <c r="B56" s="25"/>
      <c r="C56" s="50"/>
      <c r="D56" s="50"/>
      <c r="E56" s="50"/>
      <c r="F56" s="41"/>
      <c r="G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C56" s="42"/>
      <c r="AD56" s="42"/>
      <c r="AE56" s="42"/>
      <c r="AF56" s="42"/>
      <c r="AG56" s="42"/>
      <c r="AH56" s="42"/>
      <c r="AI56" s="42"/>
      <c r="AJ56" s="42"/>
      <c r="AK56" s="42"/>
      <c r="AL56" s="39"/>
    </row>
    <row r="57" spans="2:38" ht="12.75" customHeight="1">
      <c r="B57" s="78" t="s">
        <v>45</v>
      </c>
      <c r="C57" s="50"/>
      <c r="D57" s="50"/>
      <c r="E57" s="50"/>
      <c r="F57" s="41"/>
      <c r="G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C57" s="42"/>
      <c r="AD57" s="42"/>
      <c r="AE57" s="42"/>
      <c r="AF57" s="42"/>
      <c r="AG57" s="42"/>
      <c r="AH57" s="42"/>
      <c r="AI57" s="42"/>
      <c r="AJ57" s="42"/>
      <c r="AK57" s="42"/>
      <c r="AL57" s="39"/>
    </row>
    <row r="58" spans="2:38" ht="12.75" customHeight="1">
      <c r="B58" s="120" t="s">
        <v>175</v>
      </c>
      <c r="C58" s="121">
        <v>1331</v>
      </c>
      <c r="D58" s="121">
        <v>4083</v>
      </c>
      <c r="E58" s="121">
        <v>4990</v>
      </c>
      <c r="F58" s="121">
        <v>4849</v>
      </c>
      <c r="G58" s="121">
        <v>7687</v>
      </c>
      <c r="I58" s="82">
        <v>878</v>
      </c>
      <c r="J58" s="82">
        <v>973</v>
      </c>
      <c r="K58" s="82">
        <v>2195</v>
      </c>
      <c r="L58" s="32">
        <f t="shared" ref="L58:L62" si="131">D58</f>
        <v>4083</v>
      </c>
      <c r="M58" s="82">
        <v>3246</v>
      </c>
      <c r="N58" s="82">
        <v>4008</v>
      </c>
      <c r="O58" s="82">
        <v>3871</v>
      </c>
      <c r="P58" s="32">
        <f t="shared" ref="P58:P62" si="132">E58</f>
        <v>4990</v>
      </c>
      <c r="Q58" s="82">
        <v>3672</v>
      </c>
      <c r="R58" s="82">
        <v>3093</v>
      </c>
      <c r="S58" s="82">
        <v>4372</v>
      </c>
      <c r="T58" s="32">
        <f t="shared" ref="T58:T62" si="133">F58</f>
        <v>4849</v>
      </c>
      <c r="U58" s="82">
        <v>3785</v>
      </c>
      <c r="V58" s="82">
        <v>3173</v>
      </c>
      <c r="W58" s="82">
        <v>7656</v>
      </c>
      <c r="X58" s="32">
        <f t="shared" ref="X58:X62" si="134">G58</f>
        <v>7687</v>
      </c>
      <c r="Y58" s="82">
        <v>8512</v>
      </c>
      <c r="Z58" s="82">
        <v>10271</v>
      </c>
      <c r="AA58" s="82">
        <v>7798</v>
      </c>
      <c r="AC58" s="97">
        <f>T58</f>
        <v>4849</v>
      </c>
      <c r="AD58" s="97">
        <f>U58</f>
        <v>3785</v>
      </c>
      <c r="AE58" s="97">
        <f>V58</f>
        <v>3173</v>
      </c>
      <c r="AF58" s="97">
        <f>W58</f>
        <v>7656</v>
      </c>
      <c r="AG58" s="97">
        <f>X58</f>
        <v>7687</v>
      </c>
      <c r="AH58" s="97">
        <f>Y58</f>
        <v>8512</v>
      </c>
      <c r="AI58" s="97">
        <f>Z58</f>
        <v>10271</v>
      </c>
      <c r="AJ58" s="97">
        <f>AA58</f>
        <v>7798</v>
      </c>
      <c r="AK58" s="11"/>
      <c r="AL58" s="75">
        <f t="shared" ref="AL58:AL63" si="135">SUM(AJ58/AF58)-1</f>
        <v>1.8547544409613481E-2</v>
      </c>
    </row>
    <row r="59" spans="2:38" ht="12.75" customHeight="1">
      <c r="B59" s="120" t="s">
        <v>192</v>
      </c>
      <c r="C59" s="121">
        <v>1093</v>
      </c>
      <c r="D59" s="121">
        <v>1052</v>
      </c>
      <c r="E59" s="121">
        <v>0</v>
      </c>
      <c r="F59" s="121">
        <v>0</v>
      </c>
      <c r="G59" s="121">
        <v>0</v>
      </c>
      <c r="I59" s="82">
        <v>1006</v>
      </c>
      <c r="J59" s="82">
        <v>949</v>
      </c>
      <c r="K59" s="82">
        <v>909</v>
      </c>
      <c r="L59" s="32">
        <f t="shared" si="131"/>
        <v>1052</v>
      </c>
      <c r="M59" s="82">
        <v>935</v>
      </c>
      <c r="N59" s="82">
        <v>982</v>
      </c>
      <c r="O59" s="82">
        <v>975</v>
      </c>
      <c r="P59" s="32">
        <f t="shared" si="132"/>
        <v>0</v>
      </c>
      <c r="Q59" s="82">
        <v>0</v>
      </c>
      <c r="R59" s="82">
        <v>0</v>
      </c>
      <c r="S59" s="82">
        <v>0</v>
      </c>
      <c r="T59" s="32">
        <f t="shared" si="133"/>
        <v>0</v>
      </c>
      <c r="U59" s="82">
        <v>0</v>
      </c>
      <c r="V59" s="82">
        <v>0</v>
      </c>
      <c r="W59" s="82">
        <v>0</v>
      </c>
      <c r="X59" s="32">
        <f t="shared" si="134"/>
        <v>0</v>
      </c>
      <c r="Y59" s="82">
        <v>0</v>
      </c>
      <c r="Z59" s="82">
        <v>0</v>
      </c>
      <c r="AA59" s="82">
        <v>0</v>
      </c>
      <c r="AC59" s="97">
        <f>T59</f>
        <v>0</v>
      </c>
      <c r="AD59" s="97">
        <f>U59</f>
        <v>0</v>
      </c>
      <c r="AE59" s="97">
        <f>V59</f>
        <v>0</v>
      </c>
      <c r="AF59" s="97">
        <f>W59</f>
        <v>0</v>
      </c>
      <c r="AG59" s="97">
        <f>X59</f>
        <v>0</v>
      </c>
      <c r="AH59" s="97">
        <f>Y59</f>
        <v>0</v>
      </c>
      <c r="AI59" s="97">
        <f>Z59</f>
        <v>0</v>
      </c>
      <c r="AJ59" s="97">
        <f>AA59</f>
        <v>0</v>
      </c>
      <c r="AK59" s="11"/>
      <c r="AL59" s="75" t="e">
        <f t="shared" ref="AL59" si="136">SUM(AJ59/AF59)-1</f>
        <v>#DIV/0!</v>
      </c>
    </row>
    <row r="60" spans="2:38" ht="12.75" customHeight="1">
      <c r="B60" s="120" t="s">
        <v>193</v>
      </c>
      <c r="C60" s="121">
        <v>1023</v>
      </c>
      <c r="D60" s="121">
        <v>1127</v>
      </c>
      <c r="E60" s="121">
        <v>1117</v>
      </c>
      <c r="F60" s="121">
        <v>1623</v>
      </c>
      <c r="G60" s="121">
        <v>1942</v>
      </c>
      <c r="I60" s="82">
        <v>1040</v>
      </c>
      <c r="J60" s="82">
        <v>1051</v>
      </c>
      <c r="K60" s="82">
        <v>1086</v>
      </c>
      <c r="L60" s="32">
        <f t="shared" si="131"/>
        <v>1127</v>
      </c>
      <c r="M60" s="82">
        <v>1159</v>
      </c>
      <c r="N60" s="82">
        <v>1275</v>
      </c>
      <c r="O60" s="82">
        <v>1291</v>
      </c>
      <c r="P60" s="32">
        <f t="shared" si="132"/>
        <v>1117</v>
      </c>
      <c r="Q60" s="82">
        <v>885</v>
      </c>
      <c r="R60" s="82">
        <v>772</v>
      </c>
      <c r="S60" s="82">
        <v>770</v>
      </c>
      <c r="T60" s="32">
        <f t="shared" si="133"/>
        <v>1623</v>
      </c>
      <c r="U60" s="82">
        <v>1676</v>
      </c>
      <c r="V60" s="82">
        <v>1917</v>
      </c>
      <c r="W60" s="82">
        <v>2016</v>
      </c>
      <c r="X60" s="32">
        <f t="shared" si="134"/>
        <v>1942</v>
      </c>
      <c r="Y60" s="82">
        <v>1976</v>
      </c>
      <c r="Z60" s="82">
        <v>1977</v>
      </c>
      <c r="AA60" s="82">
        <v>2113</v>
      </c>
      <c r="AC60" s="97">
        <f>T60</f>
        <v>1623</v>
      </c>
      <c r="AD60" s="97">
        <f>U60</f>
        <v>1676</v>
      </c>
      <c r="AE60" s="97">
        <f>V60</f>
        <v>1917</v>
      </c>
      <c r="AF60" s="97">
        <f>W60</f>
        <v>2016</v>
      </c>
      <c r="AG60" s="97">
        <f>X60</f>
        <v>1942</v>
      </c>
      <c r="AH60" s="97">
        <f>Y60</f>
        <v>1976</v>
      </c>
      <c r="AI60" s="97">
        <f>Z60</f>
        <v>1977</v>
      </c>
      <c r="AJ60" s="97">
        <f>AA60</f>
        <v>2113</v>
      </c>
      <c r="AK60" s="11"/>
      <c r="AL60" s="75">
        <f t="shared" ref="AL60:AL62" si="137">SUM(AJ60/AF60)-1</f>
        <v>4.8115079365079305E-2</v>
      </c>
    </row>
    <row r="61" spans="2:38" ht="12.75" customHeight="1">
      <c r="B61" s="120" t="s">
        <v>194</v>
      </c>
      <c r="C61" s="121">
        <v>11152</v>
      </c>
      <c r="D61" s="121">
        <v>14312</v>
      </c>
      <c r="E61" s="121">
        <v>1367</v>
      </c>
      <c r="F61" s="121">
        <v>25488</v>
      </c>
      <c r="G61" s="121">
        <v>23967</v>
      </c>
      <c r="I61" s="82">
        <v>9411</v>
      </c>
      <c r="J61" s="82">
        <v>11510</v>
      </c>
      <c r="K61" s="82">
        <v>13158</v>
      </c>
      <c r="L61" s="32">
        <f t="shared" si="131"/>
        <v>14312</v>
      </c>
      <c r="M61" s="82">
        <v>15226</v>
      </c>
      <c r="N61" s="82">
        <v>15420</v>
      </c>
      <c r="O61" s="82">
        <v>16036</v>
      </c>
      <c r="P61" s="32">
        <f t="shared" si="132"/>
        <v>1367</v>
      </c>
      <c r="Q61" s="82">
        <v>1479</v>
      </c>
      <c r="R61" s="82">
        <v>1396</v>
      </c>
      <c r="S61" s="82">
        <v>1460</v>
      </c>
      <c r="T61" s="32">
        <f t="shared" si="133"/>
        <v>25488</v>
      </c>
      <c r="U61" s="82">
        <v>22640</v>
      </c>
      <c r="V61" s="82">
        <v>21914</v>
      </c>
      <c r="W61" s="82">
        <v>23658</v>
      </c>
      <c r="X61" s="32">
        <f t="shared" si="134"/>
        <v>23967</v>
      </c>
      <c r="Y61" s="82">
        <v>23402</v>
      </c>
      <c r="Z61" s="82">
        <v>25057</v>
      </c>
      <c r="AA61" s="82">
        <v>27047</v>
      </c>
      <c r="AC61" s="97">
        <f>T61</f>
        <v>25488</v>
      </c>
      <c r="AD61" s="97">
        <f>U61</f>
        <v>22640</v>
      </c>
      <c r="AE61" s="97">
        <f>V61</f>
        <v>21914</v>
      </c>
      <c r="AF61" s="97">
        <f>W61</f>
        <v>23658</v>
      </c>
      <c r="AG61" s="97">
        <f>X61</f>
        <v>23967</v>
      </c>
      <c r="AH61" s="97">
        <f>Y61</f>
        <v>23402</v>
      </c>
      <c r="AI61" s="97">
        <f>Z61</f>
        <v>25057</v>
      </c>
      <c r="AJ61" s="97">
        <f>AA61</f>
        <v>27047</v>
      </c>
      <c r="AK61" s="11"/>
      <c r="AL61" s="75">
        <f t="shared" ref="AL61" si="138">SUM(AJ61/AF61)-1</f>
        <v>0.14324964071350066</v>
      </c>
    </row>
    <row r="62" spans="2:38" ht="12.75" customHeight="1">
      <c r="B62" s="120" t="s">
        <v>195</v>
      </c>
      <c r="C62" s="121">
        <v>382</v>
      </c>
      <c r="D62" s="121">
        <v>561</v>
      </c>
      <c r="E62" s="121">
        <v>0</v>
      </c>
      <c r="F62" s="121">
        <v>0</v>
      </c>
      <c r="G62" s="121">
        <v>0</v>
      </c>
      <c r="I62" s="82">
        <v>382</v>
      </c>
      <c r="J62" s="82">
        <v>391</v>
      </c>
      <c r="K62" s="82">
        <v>464</v>
      </c>
      <c r="L62" s="32">
        <f t="shared" si="131"/>
        <v>561</v>
      </c>
      <c r="M62" s="82">
        <v>520</v>
      </c>
      <c r="N62" s="82">
        <v>532</v>
      </c>
      <c r="O62" s="82">
        <v>514</v>
      </c>
      <c r="P62" s="32">
        <f t="shared" si="132"/>
        <v>0</v>
      </c>
      <c r="Q62" s="82">
        <v>0</v>
      </c>
      <c r="R62" s="82">
        <v>0</v>
      </c>
      <c r="S62" s="82">
        <v>0</v>
      </c>
      <c r="T62" s="32">
        <f t="shared" si="133"/>
        <v>0</v>
      </c>
      <c r="U62" s="82">
        <v>0</v>
      </c>
      <c r="V62" s="82">
        <v>0</v>
      </c>
      <c r="W62" s="82">
        <v>0</v>
      </c>
      <c r="X62" s="32">
        <f t="shared" si="134"/>
        <v>0</v>
      </c>
      <c r="Y62" s="82">
        <v>0</v>
      </c>
      <c r="Z62" s="82">
        <v>0</v>
      </c>
      <c r="AA62" s="82">
        <v>0</v>
      </c>
      <c r="AC62" s="97">
        <f>T62</f>
        <v>0</v>
      </c>
      <c r="AD62" s="97">
        <f>U62</f>
        <v>0</v>
      </c>
      <c r="AE62" s="97">
        <f>V62</f>
        <v>0</v>
      </c>
      <c r="AF62" s="97">
        <f>W62</f>
        <v>0</v>
      </c>
      <c r="AG62" s="97">
        <f>X62</f>
        <v>0</v>
      </c>
      <c r="AH62" s="97">
        <f>Y62</f>
        <v>0</v>
      </c>
      <c r="AI62" s="97">
        <f>Z62</f>
        <v>0</v>
      </c>
      <c r="AJ62" s="97">
        <f>AA62</f>
        <v>0</v>
      </c>
      <c r="AK62" s="11"/>
      <c r="AL62" s="75" t="e">
        <f t="shared" si="137"/>
        <v>#DIV/0!</v>
      </c>
    </row>
    <row r="63" spans="2:38" ht="12.75" customHeight="1">
      <c r="B63" s="25" t="s">
        <v>17</v>
      </c>
      <c r="C63" s="26">
        <f t="shared" ref="C63:G63" si="139">SUM(C58:C62)</f>
        <v>14981</v>
      </c>
      <c r="D63" s="26">
        <f t="shared" si="139"/>
        <v>21135</v>
      </c>
      <c r="E63" s="26">
        <f t="shared" si="139"/>
        <v>7474</v>
      </c>
      <c r="F63" s="26">
        <f t="shared" si="139"/>
        <v>31960</v>
      </c>
      <c r="G63" s="26">
        <f t="shared" si="139"/>
        <v>33596</v>
      </c>
      <c r="I63" s="26">
        <f t="shared" ref="I63" si="140">SUM(I58:I62)</f>
        <v>12717</v>
      </c>
      <c r="J63" s="26">
        <f t="shared" ref="J63" si="141">SUM(J58:J62)</f>
        <v>14874</v>
      </c>
      <c r="K63" s="26">
        <f t="shared" ref="K63" si="142">SUM(K58:K62)</f>
        <v>17812</v>
      </c>
      <c r="L63" s="26">
        <f t="shared" ref="L63" si="143">SUM(L58:L62)</f>
        <v>21135</v>
      </c>
      <c r="M63" s="26">
        <f t="shared" ref="M63" si="144">SUM(M58:M62)</f>
        <v>21086</v>
      </c>
      <c r="N63" s="26">
        <f t="shared" ref="N63:O63" si="145">SUM(N58:N62)</f>
        <v>22217</v>
      </c>
      <c r="O63" s="26">
        <f t="shared" si="145"/>
        <v>22687</v>
      </c>
      <c r="P63" s="26">
        <f t="shared" ref="P63:AA63" si="146">SUM(P58:P62)</f>
        <v>7474</v>
      </c>
      <c r="Q63" s="26">
        <f t="shared" si="146"/>
        <v>6036</v>
      </c>
      <c r="R63" s="26">
        <f t="shared" si="146"/>
        <v>5261</v>
      </c>
      <c r="S63" s="26">
        <f t="shared" si="146"/>
        <v>6602</v>
      </c>
      <c r="T63" s="26">
        <f t="shared" si="146"/>
        <v>31960</v>
      </c>
      <c r="U63" s="26">
        <f t="shared" si="146"/>
        <v>28101</v>
      </c>
      <c r="V63" s="26">
        <f t="shared" si="146"/>
        <v>27004</v>
      </c>
      <c r="W63" s="26">
        <f t="shared" si="146"/>
        <v>33330</v>
      </c>
      <c r="X63" s="26">
        <f t="shared" si="146"/>
        <v>33596</v>
      </c>
      <c r="Y63" s="26">
        <f t="shared" si="146"/>
        <v>33890</v>
      </c>
      <c r="Z63" s="26">
        <f t="shared" si="146"/>
        <v>37305</v>
      </c>
      <c r="AA63" s="26">
        <f t="shared" si="146"/>
        <v>36958</v>
      </c>
      <c r="AB63" s="48"/>
      <c r="AC63" s="26">
        <f t="shared" ref="AC63:AJ63" si="147">SUM(AC58:AC62)</f>
        <v>31960</v>
      </c>
      <c r="AD63" s="26">
        <f t="shared" si="147"/>
        <v>28101</v>
      </c>
      <c r="AE63" s="26">
        <f t="shared" si="147"/>
        <v>27004</v>
      </c>
      <c r="AF63" s="26">
        <f t="shared" si="147"/>
        <v>33330</v>
      </c>
      <c r="AG63" s="26">
        <f t="shared" si="147"/>
        <v>33596</v>
      </c>
      <c r="AH63" s="26">
        <f t="shared" si="147"/>
        <v>33890</v>
      </c>
      <c r="AI63" s="26">
        <f t="shared" si="147"/>
        <v>37305</v>
      </c>
      <c r="AJ63" s="26">
        <f t="shared" si="147"/>
        <v>36958</v>
      </c>
      <c r="AK63" s="42"/>
      <c r="AL63" s="76">
        <f t="shared" si="135"/>
        <v>0.10885088508850882</v>
      </c>
    </row>
    <row r="64" spans="2:38" ht="5.0999999999999996" customHeight="1">
      <c r="B64" s="25"/>
      <c r="C64" s="50"/>
      <c r="D64" s="50"/>
      <c r="E64" s="50"/>
      <c r="F64" s="41"/>
      <c r="G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C64" s="42"/>
      <c r="AD64" s="42"/>
      <c r="AE64" s="42"/>
      <c r="AF64" s="42"/>
      <c r="AG64" s="42"/>
      <c r="AH64" s="42"/>
      <c r="AI64" s="42"/>
      <c r="AJ64" s="42"/>
      <c r="AK64" s="42"/>
      <c r="AL64" s="39"/>
    </row>
    <row r="65" spans="2:38">
      <c r="B65" s="78" t="s">
        <v>80</v>
      </c>
      <c r="C65" s="50"/>
      <c r="D65" s="50"/>
      <c r="E65" s="50"/>
      <c r="F65" s="41"/>
      <c r="G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C65" s="42"/>
      <c r="AD65" s="42"/>
      <c r="AE65" s="42"/>
      <c r="AF65" s="42"/>
      <c r="AG65" s="42"/>
      <c r="AH65" s="42"/>
      <c r="AI65" s="42"/>
      <c r="AJ65" s="42"/>
      <c r="AK65" s="42"/>
      <c r="AL65" s="39"/>
    </row>
    <row r="66" spans="2:38" ht="12.75" customHeight="1">
      <c r="B66" s="120" t="s">
        <v>196</v>
      </c>
      <c r="C66" s="121">
        <v>9631</v>
      </c>
      <c r="D66" s="121">
        <v>12746</v>
      </c>
      <c r="E66" s="121">
        <v>19552</v>
      </c>
      <c r="F66" s="121">
        <v>17226</v>
      </c>
      <c r="G66" s="121">
        <v>18292</v>
      </c>
      <c r="H66" s="51"/>
      <c r="I66" s="82">
        <v>10574</v>
      </c>
      <c r="J66" s="82">
        <v>10956</v>
      </c>
      <c r="K66" s="82">
        <v>11554</v>
      </c>
      <c r="L66" s="32">
        <f t="shared" ref="L66:L69" si="148">D66</f>
        <v>12746</v>
      </c>
      <c r="M66" s="82">
        <v>12894</v>
      </c>
      <c r="N66" s="82">
        <v>14792</v>
      </c>
      <c r="O66" s="82">
        <v>14687</v>
      </c>
      <c r="P66" s="32">
        <f t="shared" ref="P66:P69" si="149">E66</f>
        <v>19552</v>
      </c>
      <c r="Q66" s="82">
        <v>19345</v>
      </c>
      <c r="R66" s="82">
        <v>24660</v>
      </c>
      <c r="S66" s="82">
        <v>23929</v>
      </c>
      <c r="T66" s="32">
        <f t="shared" ref="T66:T69" si="150">F66</f>
        <v>17226</v>
      </c>
      <c r="U66" s="82">
        <v>17570</v>
      </c>
      <c r="V66" s="82">
        <v>17685</v>
      </c>
      <c r="W66" s="82">
        <v>18208</v>
      </c>
      <c r="X66" s="32">
        <f t="shared" ref="X66:X69" si="151">G66</f>
        <v>18292</v>
      </c>
      <c r="Y66" s="82">
        <v>18714</v>
      </c>
      <c r="Z66" s="82">
        <v>18751</v>
      </c>
      <c r="AA66" s="82">
        <v>20113</v>
      </c>
      <c r="AB66" s="121"/>
      <c r="AC66" s="97">
        <f>T66</f>
        <v>17226</v>
      </c>
      <c r="AD66" s="97">
        <f>U66</f>
        <v>17570</v>
      </c>
      <c r="AE66" s="97">
        <f>V66</f>
        <v>17685</v>
      </c>
      <c r="AF66" s="97">
        <f>W66</f>
        <v>18208</v>
      </c>
      <c r="AG66" s="97">
        <f>X66</f>
        <v>18292</v>
      </c>
      <c r="AH66" s="97">
        <f>Y66</f>
        <v>18714</v>
      </c>
      <c r="AI66" s="97">
        <f>Z66</f>
        <v>18751</v>
      </c>
      <c r="AJ66" s="97">
        <f>AA66</f>
        <v>20113</v>
      </c>
      <c r="AK66" s="42"/>
      <c r="AL66" s="75">
        <f t="shared" ref="AL66:AL77" si="152">SUM(AJ66/AF66)-1</f>
        <v>0.1046243409490335</v>
      </c>
    </row>
    <row r="67" spans="2:38" ht="12.75" customHeight="1">
      <c r="B67" s="120" t="s">
        <v>152</v>
      </c>
      <c r="C67" s="121">
        <v>0</v>
      </c>
      <c r="D67" s="121">
        <v>0</v>
      </c>
      <c r="E67" s="121">
        <v>15301</v>
      </c>
      <c r="F67" s="121">
        <v>18385</v>
      </c>
      <c r="G67" s="121">
        <v>28826</v>
      </c>
      <c r="H67" s="51"/>
      <c r="I67" s="82">
        <v>0</v>
      </c>
      <c r="J67" s="82">
        <v>0</v>
      </c>
      <c r="K67" s="82">
        <v>0</v>
      </c>
      <c r="L67" s="32">
        <f t="shared" si="148"/>
        <v>0</v>
      </c>
      <c r="M67" s="82">
        <v>0</v>
      </c>
      <c r="N67" s="82">
        <v>0</v>
      </c>
      <c r="O67" s="82">
        <v>9922</v>
      </c>
      <c r="P67" s="32">
        <f t="shared" si="149"/>
        <v>15301</v>
      </c>
      <c r="Q67" s="82">
        <v>16171</v>
      </c>
      <c r="R67" s="82">
        <v>16440</v>
      </c>
      <c r="S67" s="82">
        <v>16374</v>
      </c>
      <c r="T67" s="32">
        <f t="shared" si="150"/>
        <v>18385</v>
      </c>
      <c r="U67" s="82">
        <v>18387</v>
      </c>
      <c r="V67" s="82">
        <v>18389</v>
      </c>
      <c r="W67" s="82">
        <v>28823</v>
      </c>
      <c r="X67" s="32">
        <f t="shared" si="151"/>
        <v>28826</v>
      </c>
      <c r="Y67" s="82">
        <v>28829</v>
      </c>
      <c r="Z67" s="82">
        <v>28832</v>
      </c>
      <c r="AA67" s="82">
        <v>28834</v>
      </c>
      <c r="AB67" s="121"/>
      <c r="AC67" s="97">
        <f t="shared" ref="AC67:AC69" si="153">T67</f>
        <v>18385</v>
      </c>
      <c r="AD67" s="97">
        <f t="shared" ref="AD67:AD69" si="154">U67</f>
        <v>18387</v>
      </c>
      <c r="AE67" s="97">
        <f t="shared" ref="AE67:AE69" si="155">V67</f>
        <v>18389</v>
      </c>
      <c r="AF67" s="97">
        <f t="shared" ref="AF67:AF69" si="156">W67</f>
        <v>28823</v>
      </c>
      <c r="AG67" s="97">
        <f t="shared" ref="AG67:AG69" si="157">X67</f>
        <v>28826</v>
      </c>
      <c r="AH67" s="97">
        <f t="shared" ref="AH67:AH69" si="158">Y67</f>
        <v>28829</v>
      </c>
      <c r="AI67" s="97">
        <f t="shared" ref="AI67:AI69" si="159">Z67</f>
        <v>28832</v>
      </c>
      <c r="AJ67" s="97">
        <f t="shared" ref="AJ67:AJ69" si="160">AA67</f>
        <v>28834</v>
      </c>
      <c r="AK67" s="42"/>
      <c r="AL67" s="75">
        <f t="shared" si="152"/>
        <v>3.816396627693841E-4</v>
      </c>
    </row>
    <row r="68" spans="2:38" ht="12.75" customHeight="1">
      <c r="B68" s="120" t="s">
        <v>197</v>
      </c>
      <c r="C68" s="121">
        <v>0</v>
      </c>
      <c r="D68" s="121">
        <v>0</v>
      </c>
      <c r="E68" s="121">
        <v>9923</v>
      </c>
      <c r="F68" s="121">
        <v>7514</v>
      </c>
      <c r="G68" s="121">
        <v>9987</v>
      </c>
      <c r="H68" s="51"/>
      <c r="I68" s="82">
        <v>0</v>
      </c>
      <c r="J68" s="82">
        <v>0</v>
      </c>
      <c r="K68" s="82">
        <v>0</v>
      </c>
      <c r="L68" s="32">
        <f t="shared" si="148"/>
        <v>0</v>
      </c>
      <c r="M68" s="82">
        <v>0</v>
      </c>
      <c r="N68" s="82">
        <v>0</v>
      </c>
      <c r="O68" s="82">
        <v>0</v>
      </c>
      <c r="P68" s="32">
        <f t="shared" si="149"/>
        <v>9923</v>
      </c>
      <c r="Q68" s="82">
        <v>9925</v>
      </c>
      <c r="R68" s="82">
        <v>18382</v>
      </c>
      <c r="S68" s="82">
        <v>18383</v>
      </c>
      <c r="T68" s="32">
        <f t="shared" si="150"/>
        <v>7514</v>
      </c>
      <c r="U68" s="82">
        <v>7795</v>
      </c>
      <c r="V68" s="82">
        <v>7897</v>
      </c>
      <c r="W68" s="82">
        <v>9171</v>
      </c>
      <c r="X68" s="32">
        <f t="shared" si="151"/>
        <v>9987</v>
      </c>
      <c r="Y68" s="82">
        <v>10991</v>
      </c>
      <c r="Z68" s="82">
        <v>12046</v>
      </c>
      <c r="AA68" s="82">
        <v>11738</v>
      </c>
      <c r="AB68" s="121"/>
      <c r="AC68" s="97">
        <f t="shared" ref="AC68" si="161">T68</f>
        <v>7514</v>
      </c>
      <c r="AD68" s="97">
        <f t="shared" ref="AD68" si="162">U68</f>
        <v>7795</v>
      </c>
      <c r="AE68" s="97">
        <f t="shared" ref="AE68" si="163">V68</f>
        <v>7897</v>
      </c>
      <c r="AF68" s="97">
        <f t="shared" ref="AF68" si="164">W68</f>
        <v>9171</v>
      </c>
      <c r="AG68" s="97">
        <f t="shared" ref="AG68" si="165">X68</f>
        <v>9987</v>
      </c>
      <c r="AH68" s="97">
        <f t="shared" ref="AH68" si="166">Y68</f>
        <v>10991</v>
      </c>
      <c r="AI68" s="97">
        <f t="shared" ref="AI68" si="167">Z68</f>
        <v>12046</v>
      </c>
      <c r="AJ68" s="97">
        <f t="shared" ref="AJ68" si="168">AA68</f>
        <v>11738</v>
      </c>
      <c r="AK68" s="42"/>
      <c r="AL68" s="75">
        <f t="shared" ref="AL68" si="169">SUM(AJ68/AF68)-1</f>
        <v>0.27990404536037516</v>
      </c>
    </row>
    <row r="69" spans="2:38" ht="12.75" customHeight="1">
      <c r="B69" s="120" t="s">
        <v>153</v>
      </c>
      <c r="C69" s="121">
        <v>6414</v>
      </c>
      <c r="D69" s="121">
        <v>7227</v>
      </c>
      <c r="E69" s="121">
        <v>7764</v>
      </c>
      <c r="F69" s="121">
        <v>1370</v>
      </c>
      <c r="G69" s="121">
        <v>2716</v>
      </c>
      <c r="H69" s="51"/>
      <c r="I69" s="82">
        <v>6575</v>
      </c>
      <c r="J69" s="82">
        <v>6552</v>
      </c>
      <c r="K69" s="82">
        <v>6859</v>
      </c>
      <c r="L69" s="32">
        <f t="shared" si="148"/>
        <v>7227</v>
      </c>
      <c r="M69" s="82">
        <v>7010</v>
      </c>
      <c r="N69" s="82">
        <v>7003</v>
      </c>
      <c r="O69" s="82">
        <v>7504</v>
      </c>
      <c r="P69" s="32">
        <f t="shared" si="149"/>
        <v>7764</v>
      </c>
      <c r="Q69" s="82">
        <v>8219</v>
      </c>
      <c r="R69" s="82">
        <v>7912</v>
      </c>
      <c r="S69" s="82">
        <v>8113</v>
      </c>
      <c r="T69" s="32">
        <f t="shared" si="150"/>
        <v>1370</v>
      </c>
      <c r="U69" s="82">
        <v>1462</v>
      </c>
      <c r="V69" s="82">
        <v>2500</v>
      </c>
      <c r="W69" s="82">
        <v>2347</v>
      </c>
      <c r="X69" s="32">
        <f t="shared" si="151"/>
        <v>2716</v>
      </c>
      <c r="Y69" s="82">
        <v>2760</v>
      </c>
      <c r="Z69" s="82">
        <v>2740</v>
      </c>
      <c r="AA69" s="82">
        <v>12135</v>
      </c>
      <c r="AB69" s="121"/>
      <c r="AC69" s="97">
        <f t="shared" si="153"/>
        <v>1370</v>
      </c>
      <c r="AD69" s="97">
        <f t="shared" si="154"/>
        <v>1462</v>
      </c>
      <c r="AE69" s="97">
        <f t="shared" si="155"/>
        <v>2500</v>
      </c>
      <c r="AF69" s="97">
        <f t="shared" si="156"/>
        <v>2347</v>
      </c>
      <c r="AG69" s="97">
        <f t="shared" si="157"/>
        <v>2716</v>
      </c>
      <c r="AH69" s="97">
        <f t="shared" si="158"/>
        <v>2760</v>
      </c>
      <c r="AI69" s="97">
        <f t="shared" si="159"/>
        <v>2740</v>
      </c>
      <c r="AJ69" s="97">
        <f t="shared" si="160"/>
        <v>12135</v>
      </c>
      <c r="AK69" s="42"/>
      <c r="AL69" s="75">
        <f t="shared" si="152"/>
        <v>4.1704303365999147</v>
      </c>
    </row>
    <row r="70" spans="2:38" ht="12.75" customHeight="1">
      <c r="B70" s="13" t="s">
        <v>15</v>
      </c>
      <c r="C70" s="14">
        <f>SUM(C66:C69)+C63</f>
        <v>31026</v>
      </c>
      <c r="D70" s="14">
        <f>SUM(D66:D69)+D63</f>
        <v>41108</v>
      </c>
      <c r="E70" s="14">
        <f>SUM(E66:E69)+E63</f>
        <v>60014</v>
      </c>
      <c r="F70" s="14">
        <f>SUM(F66:F69)+F63</f>
        <v>76455</v>
      </c>
      <c r="G70" s="14">
        <f>SUM(G66:G69)+G63</f>
        <v>93417</v>
      </c>
      <c r="I70" s="14">
        <f t="shared" ref="I70:L70" si="170">SUM(I66:I69)+I63</f>
        <v>29866</v>
      </c>
      <c r="J70" s="14">
        <f t="shared" si="170"/>
        <v>32382</v>
      </c>
      <c r="K70" s="14">
        <f t="shared" si="170"/>
        <v>36225</v>
      </c>
      <c r="L70" s="14">
        <f t="shared" si="170"/>
        <v>41108</v>
      </c>
      <c r="M70" s="14">
        <f>SUM(M66:M69)+M63</f>
        <v>40990</v>
      </c>
      <c r="N70" s="14">
        <f>SUM(N66:N69)+N63</f>
        <v>44012</v>
      </c>
      <c r="O70" s="14">
        <f>SUM(O66:O69)+O63</f>
        <v>54800</v>
      </c>
      <c r="P70" s="14">
        <f>SUM(P66:P69)+P63</f>
        <v>60014</v>
      </c>
      <c r="Q70" s="14">
        <f>SUM(Q66:Q69)+Q63</f>
        <v>59696</v>
      </c>
      <c r="R70" s="14">
        <f>SUM(R66:R69)+R63</f>
        <v>72655</v>
      </c>
      <c r="S70" s="14">
        <f>SUM(S66:S69)+S63</f>
        <v>73401</v>
      </c>
      <c r="T70" s="14">
        <f>SUM(T66:T69)+T63</f>
        <v>76455</v>
      </c>
      <c r="U70" s="14">
        <f>SUM(U66:U69)+U63</f>
        <v>73315</v>
      </c>
      <c r="V70" s="14">
        <f>SUM(V66:V69)+V63</f>
        <v>73475</v>
      </c>
      <c r="W70" s="14">
        <f>SUM(W66:W69)+W63</f>
        <v>91879</v>
      </c>
      <c r="X70" s="14">
        <f>SUM(X66:X69)+X63</f>
        <v>93417</v>
      </c>
      <c r="Y70" s="14">
        <f>SUM(Y66:Y69)+Y63</f>
        <v>95184</v>
      </c>
      <c r="Z70" s="14">
        <f>SUM(Z66:Z69)+Z63</f>
        <v>99674</v>
      </c>
      <c r="AA70" s="14">
        <f>SUM(AA66:AA69)+AA63</f>
        <v>109778</v>
      </c>
      <c r="AC70" s="14">
        <f>SUM(AC66:AC69)+AC63</f>
        <v>76455</v>
      </c>
      <c r="AD70" s="14">
        <f>SUM(AD66:AD69)+AD63</f>
        <v>73315</v>
      </c>
      <c r="AE70" s="14">
        <f>SUM(AE66:AE69)+AE63</f>
        <v>73475</v>
      </c>
      <c r="AF70" s="14">
        <f>SUM(AF66:AF69)+AF63</f>
        <v>91879</v>
      </c>
      <c r="AG70" s="14">
        <f>SUM(AG66:AG69)+AG63</f>
        <v>93417</v>
      </c>
      <c r="AH70" s="14">
        <f>SUM(AH66:AH69)+AH63</f>
        <v>95184</v>
      </c>
      <c r="AI70" s="14">
        <f>SUM(AI66:AI69)+AI63</f>
        <v>99674</v>
      </c>
      <c r="AJ70" s="14">
        <f>SUM(AJ66:AJ69)+AJ63</f>
        <v>109778</v>
      </c>
      <c r="AK70" s="42"/>
      <c r="AL70" s="76">
        <f t="shared" si="152"/>
        <v>0.19481056607059277</v>
      </c>
    </row>
    <row r="71" spans="2:38" ht="5.0999999999999996" customHeight="1">
      <c r="B71" s="25"/>
      <c r="C71" s="49"/>
      <c r="D71" s="49"/>
      <c r="E71" s="49"/>
      <c r="F71" s="41"/>
      <c r="G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C71" s="42"/>
      <c r="AD71" s="42"/>
      <c r="AE71" s="42"/>
      <c r="AF71" s="42"/>
      <c r="AG71" s="42"/>
      <c r="AH71" s="42"/>
      <c r="AI71" s="42"/>
      <c r="AJ71" s="42"/>
      <c r="AK71" s="42"/>
      <c r="AL71" s="39"/>
    </row>
    <row r="72" spans="2:38" ht="12.75" customHeight="1">
      <c r="B72" s="9" t="s">
        <v>154</v>
      </c>
      <c r="C72" s="82">
        <v>128290</v>
      </c>
      <c r="D72" s="82">
        <v>124879</v>
      </c>
      <c r="E72" s="82">
        <v>125713</v>
      </c>
      <c r="F72" s="82">
        <v>153168</v>
      </c>
      <c r="G72" s="82">
        <v>182637</v>
      </c>
      <c r="H72" s="32"/>
      <c r="I72" s="82">
        <v>133657</v>
      </c>
      <c r="J72" s="82">
        <v>138227</v>
      </c>
      <c r="K72" s="82">
        <v>133360</v>
      </c>
      <c r="L72" s="32">
        <v>124879</v>
      </c>
      <c r="M72" s="82">
        <v>123228</v>
      </c>
      <c r="N72" s="82">
        <v>125767</v>
      </c>
      <c r="O72" s="82">
        <v>124094</v>
      </c>
      <c r="P72" s="32">
        <v>125713</v>
      </c>
      <c r="Q72" s="82">
        <v>124795</v>
      </c>
      <c r="R72" s="82">
        <v>134033</v>
      </c>
      <c r="S72" s="82">
        <v>142873</v>
      </c>
      <c r="T72" s="32">
        <v>153168</v>
      </c>
      <c r="U72" s="82">
        <v>149529</v>
      </c>
      <c r="V72" s="82">
        <v>156763</v>
      </c>
      <c r="W72" s="82">
        <v>164529</v>
      </c>
      <c r="X72" s="32">
        <v>182637</v>
      </c>
      <c r="Y72" s="82">
        <v>185029</v>
      </c>
      <c r="Z72" s="82">
        <v>195070</v>
      </c>
      <c r="AA72" s="82">
        <v>194066</v>
      </c>
      <c r="AC72" s="32">
        <f>T72</f>
        <v>153168</v>
      </c>
      <c r="AD72" s="32">
        <f>U72</f>
        <v>149529</v>
      </c>
      <c r="AE72" s="32">
        <f>V72</f>
        <v>156763</v>
      </c>
      <c r="AF72" s="32">
        <f>W72</f>
        <v>164529</v>
      </c>
      <c r="AG72" s="32">
        <f>X72</f>
        <v>182637</v>
      </c>
      <c r="AH72" s="32">
        <f>Y72</f>
        <v>185029</v>
      </c>
      <c r="AI72" s="32">
        <f>Z72</f>
        <v>195070</v>
      </c>
      <c r="AJ72" s="32">
        <f>AA72</f>
        <v>194066</v>
      </c>
      <c r="AK72" s="11"/>
      <c r="AL72" s="75">
        <f t="shared" si="152"/>
        <v>0.17952458229248336</v>
      </c>
    </row>
    <row r="73" spans="2:38" ht="12.75" customHeight="1">
      <c r="B73" s="9" t="s">
        <v>137</v>
      </c>
      <c r="C73" s="82"/>
      <c r="D73" s="82"/>
      <c r="E73" s="82"/>
      <c r="F73" s="82"/>
      <c r="G73" s="82"/>
      <c r="H73" s="32"/>
      <c r="I73" s="82"/>
      <c r="J73" s="82"/>
      <c r="K73" s="82"/>
      <c r="L73" s="32">
        <f t="shared" ref="L73:L75" si="171">D73</f>
        <v>0</v>
      </c>
      <c r="M73" s="82"/>
      <c r="N73" s="82"/>
      <c r="O73" s="82"/>
      <c r="P73" s="32">
        <f>E73</f>
        <v>0</v>
      </c>
      <c r="Q73" s="82"/>
      <c r="R73" s="82"/>
      <c r="S73" s="82"/>
      <c r="T73" s="32">
        <f>F73</f>
        <v>0</v>
      </c>
      <c r="U73" s="82"/>
      <c r="V73" s="82"/>
      <c r="W73" s="82"/>
      <c r="X73" s="32">
        <f>G73</f>
        <v>0</v>
      </c>
      <c r="Y73" s="82"/>
      <c r="Z73" s="82"/>
      <c r="AA73" s="82"/>
      <c r="AC73" s="32">
        <f>T73</f>
        <v>0</v>
      </c>
      <c r="AD73" s="32">
        <f>U73</f>
        <v>0</v>
      </c>
      <c r="AE73" s="32">
        <f>V73</f>
        <v>0</v>
      </c>
      <c r="AF73" s="32">
        <f>W73</f>
        <v>0</v>
      </c>
      <c r="AG73" s="32">
        <f>X73</f>
        <v>0</v>
      </c>
      <c r="AH73" s="32">
        <f>Y73</f>
        <v>0</v>
      </c>
      <c r="AI73" s="32">
        <f>Z73</f>
        <v>0</v>
      </c>
      <c r="AJ73" s="32">
        <f>AA73</f>
        <v>0</v>
      </c>
      <c r="AK73" s="11"/>
      <c r="AL73" s="75"/>
    </row>
    <row r="74" spans="2:38" ht="12.75" customHeight="1">
      <c r="B74" s="9" t="s">
        <v>155</v>
      </c>
      <c r="C74" s="82"/>
      <c r="D74" s="82"/>
      <c r="E74" s="82"/>
      <c r="F74" s="82"/>
      <c r="G74" s="82"/>
      <c r="H74" s="32"/>
      <c r="I74" s="82"/>
      <c r="J74" s="82"/>
      <c r="K74" s="82"/>
      <c r="L74" s="32">
        <f t="shared" si="171"/>
        <v>0</v>
      </c>
      <c r="M74" s="82"/>
      <c r="N74" s="82"/>
      <c r="O74" s="82"/>
      <c r="P74" s="32">
        <f>E74</f>
        <v>0</v>
      </c>
      <c r="Q74" s="82"/>
      <c r="R74" s="82"/>
      <c r="S74" s="82"/>
      <c r="T74" s="32">
        <f>F74</f>
        <v>0</v>
      </c>
      <c r="U74" s="82"/>
      <c r="V74" s="82"/>
      <c r="W74" s="82"/>
      <c r="X74" s="32">
        <f>G74</f>
        <v>0</v>
      </c>
      <c r="Y74" s="82"/>
      <c r="Z74" s="82"/>
      <c r="AA74" s="82"/>
      <c r="AC74" s="32">
        <f>T74</f>
        <v>0</v>
      </c>
      <c r="AD74" s="32">
        <f>U74</f>
        <v>0</v>
      </c>
      <c r="AE74" s="32">
        <f>V74</f>
        <v>0</v>
      </c>
      <c r="AF74" s="32">
        <f>W74</f>
        <v>0</v>
      </c>
      <c r="AG74" s="32">
        <f>X74</f>
        <v>0</v>
      </c>
      <c r="AH74" s="32">
        <f>Y74</f>
        <v>0</v>
      </c>
      <c r="AI74" s="32">
        <f>Z74</f>
        <v>0</v>
      </c>
      <c r="AJ74" s="32">
        <f>AA74</f>
        <v>0</v>
      </c>
      <c r="AK74" s="11"/>
      <c r="AL74" s="75"/>
    </row>
    <row r="75" spans="2:38" ht="12.75" customHeight="1">
      <c r="B75" s="9" t="s">
        <v>137</v>
      </c>
      <c r="C75" s="82"/>
      <c r="D75" s="82"/>
      <c r="E75" s="82"/>
      <c r="F75" s="82"/>
      <c r="G75" s="82"/>
      <c r="H75" s="32"/>
      <c r="I75" s="82"/>
      <c r="J75" s="82"/>
      <c r="K75" s="82"/>
      <c r="L75" s="32">
        <f t="shared" si="171"/>
        <v>0</v>
      </c>
      <c r="M75" s="82"/>
      <c r="N75" s="82"/>
      <c r="O75" s="82"/>
      <c r="P75" s="32">
        <f>E75</f>
        <v>0</v>
      </c>
      <c r="Q75" s="82"/>
      <c r="R75" s="82"/>
      <c r="S75" s="82"/>
      <c r="T75" s="32">
        <f>F75</f>
        <v>0</v>
      </c>
      <c r="U75" s="82"/>
      <c r="V75" s="82"/>
      <c r="W75" s="82"/>
      <c r="X75" s="32">
        <f>G75</f>
        <v>0</v>
      </c>
      <c r="Y75" s="82"/>
      <c r="Z75" s="82"/>
      <c r="AA75" s="82"/>
      <c r="AC75" s="32">
        <f>T75</f>
        <v>0</v>
      </c>
      <c r="AD75" s="32">
        <f>U75</f>
        <v>0</v>
      </c>
      <c r="AE75" s="32">
        <f>V75</f>
        <v>0</v>
      </c>
      <c r="AF75" s="32">
        <f>W75</f>
        <v>0</v>
      </c>
      <c r="AG75" s="32">
        <f>X75</f>
        <v>0</v>
      </c>
      <c r="AH75" s="32">
        <f>Y75</f>
        <v>0</v>
      </c>
      <c r="AI75" s="32">
        <f>Z75</f>
        <v>0</v>
      </c>
      <c r="AJ75" s="32">
        <f>AA75</f>
        <v>0</v>
      </c>
      <c r="AK75" s="11"/>
      <c r="AL75" s="75" t="e">
        <f t="shared" si="152"/>
        <v>#DIV/0!</v>
      </c>
    </row>
    <row r="76" spans="2:38" ht="12.75" customHeight="1">
      <c r="B76" s="13" t="s">
        <v>14</v>
      </c>
      <c r="C76" s="14">
        <f t="shared" ref="C76:G76" si="172">SUM(C72:C75)</f>
        <v>128290</v>
      </c>
      <c r="D76" s="14">
        <f t="shared" si="172"/>
        <v>124879</v>
      </c>
      <c r="E76" s="14">
        <f t="shared" si="172"/>
        <v>125713</v>
      </c>
      <c r="F76" s="14">
        <f t="shared" si="172"/>
        <v>153168</v>
      </c>
      <c r="G76" s="14">
        <f t="shared" si="172"/>
        <v>182637</v>
      </c>
      <c r="H76" s="52"/>
      <c r="I76" s="14">
        <f t="shared" ref="I76:L76" si="173">SUM(I72:I75)</f>
        <v>133657</v>
      </c>
      <c r="J76" s="14">
        <f t="shared" si="173"/>
        <v>138227</v>
      </c>
      <c r="K76" s="14">
        <f t="shared" si="173"/>
        <v>133360</v>
      </c>
      <c r="L76" s="14">
        <f t="shared" si="173"/>
        <v>124879</v>
      </c>
      <c r="M76" s="14">
        <f t="shared" ref="M76:P76" si="174">SUM(M72:M75)</f>
        <v>123228</v>
      </c>
      <c r="N76" s="14">
        <f t="shared" ref="N76" si="175">SUM(N72:N75)</f>
        <v>125767</v>
      </c>
      <c r="O76" s="14">
        <f t="shared" si="174"/>
        <v>124094</v>
      </c>
      <c r="P76" s="14">
        <f t="shared" si="174"/>
        <v>125713</v>
      </c>
      <c r="Q76" s="14">
        <f t="shared" ref="Q76:AA76" si="176">SUM(Q72:Q75)</f>
        <v>124795</v>
      </c>
      <c r="R76" s="14">
        <f t="shared" si="176"/>
        <v>134033</v>
      </c>
      <c r="S76" s="14">
        <f t="shared" si="176"/>
        <v>142873</v>
      </c>
      <c r="T76" s="14">
        <f t="shared" si="176"/>
        <v>153168</v>
      </c>
      <c r="U76" s="14">
        <f t="shared" si="176"/>
        <v>149529</v>
      </c>
      <c r="V76" s="14">
        <f t="shared" si="176"/>
        <v>156763</v>
      </c>
      <c r="W76" s="14">
        <f t="shared" si="176"/>
        <v>164529</v>
      </c>
      <c r="X76" s="14">
        <f t="shared" si="176"/>
        <v>182637</v>
      </c>
      <c r="Y76" s="14">
        <f t="shared" si="176"/>
        <v>185029</v>
      </c>
      <c r="Z76" s="14">
        <f t="shared" si="176"/>
        <v>195070</v>
      </c>
      <c r="AA76" s="14">
        <f t="shared" si="176"/>
        <v>194066</v>
      </c>
      <c r="AC76" s="14">
        <f t="shared" ref="AC76:AJ76" si="177">SUM(AC72:AC75)</f>
        <v>153168</v>
      </c>
      <c r="AD76" s="14">
        <f t="shared" si="177"/>
        <v>149529</v>
      </c>
      <c r="AE76" s="14">
        <f t="shared" si="177"/>
        <v>156763</v>
      </c>
      <c r="AF76" s="14">
        <f t="shared" si="177"/>
        <v>164529</v>
      </c>
      <c r="AG76" s="14">
        <f t="shared" si="177"/>
        <v>182637</v>
      </c>
      <c r="AH76" s="14">
        <f t="shared" si="177"/>
        <v>185029</v>
      </c>
      <c r="AI76" s="14">
        <f t="shared" si="177"/>
        <v>195070</v>
      </c>
      <c r="AJ76" s="14">
        <f t="shared" si="177"/>
        <v>194066</v>
      </c>
      <c r="AK76" s="42"/>
      <c r="AL76" s="75">
        <f t="shared" si="152"/>
        <v>0.17952458229248336</v>
      </c>
    </row>
    <row r="77" spans="2:38" ht="12.75" customHeight="1">
      <c r="B77" s="25" t="s">
        <v>49</v>
      </c>
      <c r="C77" s="32">
        <f t="shared" ref="C77:G77" si="178">SUM(C76+C70)</f>
        <v>159316</v>
      </c>
      <c r="D77" s="32">
        <f t="shared" si="178"/>
        <v>165987</v>
      </c>
      <c r="E77" s="32">
        <f t="shared" si="178"/>
        <v>185727</v>
      </c>
      <c r="F77" s="32">
        <f t="shared" si="178"/>
        <v>229623</v>
      </c>
      <c r="G77" s="32">
        <f t="shared" si="178"/>
        <v>276054</v>
      </c>
      <c r="H77" s="32"/>
      <c r="I77" s="32">
        <f t="shared" ref="I77:L77" si="179">SUM(I76+I70)</f>
        <v>163523</v>
      </c>
      <c r="J77" s="32">
        <f t="shared" si="179"/>
        <v>170609</v>
      </c>
      <c r="K77" s="32">
        <f t="shared" si="179"/>
        <v>169585</v>
      </c>
      <c r="L77" s="32">
        <f t="shared" si="179"/>
        <v>165987</v>
      </c>
      <c r="M77" s="32">
        <f t="shared" ref="M77:P77" si="180">SUM(M76+M70)</f>
        <v>164218</v>
      </c>
      <c r="N77" s="32">
        <f t="shared" ref="N77" si="181">SUM(N76+N70)</f>
        <v>169779</v>
      </c>
      <c r="O77" s="32">
        <f t="shared" si="180"/>
        <v>178894</v>
      </c>
      <c r="P77" s="32">
        <f t="shared" si="180"/>
        <v>185727</v>
      </c>
      <c r="Q77" s="32">
        <f t="shared" ref="Q77:AA77" si="182">SUM(Q76+Q70)</f>
        <v>184491</v>
      </c>
      <c r="R77" s="32">
        <f t="shared" si="182"/>
        <v>206688</v>
      </c>
      <c r="S77" s="32">
        <f t="shared" si="182"/>
        <v>216274</v>
      </c>
      <c r="T77" s="32">
        <f t="shared" si="182"/>
        <v>229623</v>
      </c>
      <c r="U77" s="32">
        <f t="shared" si="182"/>
        <v>222844</v>
      </c>
      <c r="V77" s="32">
        <f t="shared" si="182"/>
        <v>230238</v>
      </c>
      <c r="W77" s="32">
        <f t="shared" si="182"/>
        <v>256408</v>
      </c>
      <c r="X77" s="32">
        <f t="shared" si="182"/>
        <v>276054</v>
      </c>
      <c r="Y77" s="32">
        <f t="shared" si="182"/>
        <v>280213</v>
      </c>
      <c r="Z77" s="32">
        <f t="shared" si="182"/>
        <v>294744</v>
      </c>
      <c r="AA77" s="32">
        <f t="shared" si="182"/>
        <v>303844</v>
      </c>
      <c r="AB77" s="32"/>
      <c r="AC77" s="32">
        <f t="shared" ref="AC77:AJ77" si="183">SUM(AC76+AC70)</f>
        <v>229623</v>
      </c>
      <c r="AD77" s="32">
        <f t="shared" si="183"/>
        <v>222844</v>
      </c>
      <c r="AE77" s="32">
        <f t="shared" si="183"/>
        <v>230238</v>
      </c>
      <c r="AF77" s="32">
        <f t="shared" si="183"/>
        <v>256408</v>
      </c>
      <c r="AG77" s="32">
        <f t="shared" si="183"/>
        <v>276054</v>
      </c>
      <c r="AH77" s="32">
        <f t="shared" si="183"/>
        <v>280213</v>
      </c>
      <c r="AI77" s="32">
        <f t="shared" si="183"/>
        <v>294744</v>
      </c>
      <c r="AJ77" s="32">
        <f t="shared" si="183"/>
        <v>303844</v>
      </c>
      <c r="AK77" s="11"/>
      <c r="AL77" s="76">
        <f t="shared" si="152"/>
        <v>0.1850020280178466</v>
      </c>
    </row>
    <row r="78" spans="2:38" ht="5.0999999999999996" customHeight="1">
      <c r="B78" s="25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11"/>
    </row>
    <row r="79" spans="2:38" ht="12.75" customHeight="1">
      <c r="B79" s="139" t="s">
        <v>58</v>
      </c>
      <c r="C79" s="69">
        <f>C77-C55</f>
        <v>0</v>
      </c>
      <c r="D79" s="69">
        <f>D77-D55</f>
        <v>0</v>
      </c>
      <c r="E79" s="69">
        <f>E77-E55</f>
        <v>0</v>
      </c>
      <c r="F79" s="69">
        <f>F77-F55</f>
        <v>0</v>
      </c>
      <c r="G79" s="69">
        <f>G77-G55</f>
        <v>0</v>
      </c>
      <c r="H79" s="70"/>
      <c r="I79" s="69">
        <f t="shared" ref="I79:L79" si="184">I77-I55</f>
        <v>0</v>
      </c>
      <c r="J79" s="69">
        <f t="shared" si="184"/>
        <v>0</v>
      </c>
      <c r="K79" s="69">
        <f t="shared" si="184"/>
        <v>0</v>
      </c>
      <c r="L79" s="69">
        <f t="shared" si="184"/>
        <v>0</v>
      </c>
      <c r="M79" s="69">
        <f>M77-M55</f>
        <v>0</v>
      </c>
      <c r="N79" s="69">
        <f>N77-N55</f>
        <v>0</v>
      </c>
      <c r="O79" s="69">
        <f>O77-O55</f>
        <v>0</v>
      </c>
      <c r="P79" s="69">
        <f>P77-P55</f>
        <v>0</v>
      </c>
      <c r="Q79" s="69">
        <f>Q77-Q55</f>
        <v>0</v>
      </c>
      <c r="R79" s="69">
        <f>R77-R55</f>
        <v>0</v>
      </c>
      <c r="S79" s="69">
        <f>S77-S55</f>
        <v>0</v>
      </c>
      <c r="T79" s="69">
        <f>T77-T55</f>
        <v>0</v>
      </c>
      <c r="U79" s="69">
        <f>U77-U55</f>
        <v>0</v>
      </c>
      <c r="V79" s="69">
        <f>V77-V55</f>
        <v>0</v>
      </c>
      <c r="W79" s="69">
        <f>W77-W55</f>
        <v>0</v>
      </c>
      <c r="X79" s="69">
        <f>X77-X55</f>
        <v>0</v>
      </c>
      <c r="Y79" s="69">
        <f>Y77-Y55</f>
        <v>0</v>
      </c>
      <c r="Z79" s="69">
        <f>Z77-Z55</f>
        <v>0</v>
      </c>
      <c r="AA79" s="69">
        <f>AA77-AA55</f>
        <v>0</v>
      </c>
      <c r="AB79" s="28"/>
      <c r="AC79" s="69">
        <f>AC77-AC55</f>
        <v>0</v>
      </c>
      <c r="AD79" s="69">
        <f>AD77-AD55</f>
        <v>0</v>
      </c>
      <c r="AE79" s="69">
        <f>AE77-AE55</f>
        <v>0</v>
      </c>
      <c r="AF79" s="69">
        <f>AF77-AF55</f>
        <v>0</v>
      </c>
      <c r="AG79" s="69">
        <f>AG77-AG55</f>
        <v>0</v>
      </c>
      <c r="AH79" s="69">
        <f>AH77-AH55</f>
        <v>0</v>
      </c>
      <c r="AI79" s="69">
        <f>AI77-AI55</f>
        <v>0</v>
      </c>
      <c r="AJ79" s="69">
        <f>AJ77-AJ55</f>
        <v>0</v>
      </c>
    </row>
    <row r="80" spans="2:38" ht="5.0999999999999996" customHeight="1" thickBot="1">
      <c r="B80" s="116"/>
      <c r="C80" s="117"/>
      <c r="D80" s="117"/>
      <c r="E80" s="117"/>
      <c r="F80" s="117"/>
      <c r="G80" s="117"/>
      <c r="H80" s="118"/>
      <c r="I80" s="117"/>
      <c r="J80" s="117"/>
      <c r="K80" s="117"/>
      <c r="L80" s="117"/>
      <c r="M80" s="117"/>
      <c r="N80" s="117"/>
      <c r="O80" s="117"/>
      <c r="P80" s="117"/>
      <c r="Q80" s="117"/>
      <c r="R80" s="117"/>
      <c r="S80" s="117"/>
      <c r="T80" s="117"/>
      <c r="U80" s="117"/>
      <c r="V80" s="117"/>
      <c r="W80" s="117"/>
      <c r="X80" s="117"/>
      <c r="Y80" s="117"/>
      <c r="Z80" s="117"/>
      <c r="AA80" s="117"/>
      <c r="AB80" s="119"/>
      <c r="AC80" s="117"/>
      <c r="AD80" s="117"/>
      <c r="AE80" s="117"/>
      <c r="AF80" s="117"/>
      <c r="AG80" s="117"/>
      <c r="AH80" s="117"/>
      <c r="AI80" s="117"/>
      <c r="AJ80" s="117"/>
      <c r="AK80" s="73"/>
      <c r="AL80" s="73"/>
    </row>
    <row r="81" spans="1:38">
      <c r="B81" s="68"/>
      <c r="C81" s="53"/>
      <c r="D81" s="53"/>
      <c r="E81" s="24"/>
      <c r="F81" s="24"/>
      <c r="G81" s="24"/>
      <c r="H81" s="53"/>
    </row>
    <row r="82" spans="1:38" ht="12.75" customHeight="1">
      <c r="A82" s="5" t="s">
        <v>16</v>
      </c>
      <c r="B82" s="98" t="s">
        <v>13</v>
      </c>
      <c r="C82" s="102"/>
      <c r="D82" s="102"/>
      <c r="E82" s="102"/>
      <c r="F82" s="102"/>
      <c r="G82" s="102"/>
      <c r="H82" s="103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98"/>
      <c r="AC82" s="102"/>
      <c r="AD82" s="102"/>
      <c r="AE82" s="102" t="s">
        <v>10</v>
      </c>
      <c r="AF82" s="102"/>
      <c r="AG82" s="102"/>
      <c r="AH82" s="102"/>
      <c r="AI82" s="102"/>
      <c r="AJ82" s="102"/>
      <c r="AK82" s="103"/>
      <c r="AL82" s="164" t="s">
        <v>22</v>
      </c>
    </row>
    <row r="83" spans="1:38" ht="12.75" customHeight="1">
      <c r="B83" s="99" t="str">
        <f>B7</f>
        <v>Fiscal Period</v>
      </c>
      <c r="C83" s="104">
        <f>C7</f>
        <v>2020</v>
      </c>
      <c r="D83" s="104">
        <f>D7</f>
        <v>2021</v>
      </c>
      <c r="E83" s="104">
        <f>E7</f>
        <v>2022</v>
      </c>
      <c r="F83" s="104">
        <f>F7</f>
        <v>2023</v>
      </c>
      <c r="G83" s="104">
        <f>G7</f>
        <v>2024</v>
      </c>
      <c r="H83" s="103"/>
      <c r="I83" s="104" t="str">
        <f>I7</f>
        <v>1Q21</v>
      </c>
      <c r="J83" s="104" t="str">
        <f>J7</f>
        <v>2Q21</v>
      </c>
      <c r="K83" s="104" t="str">
        <f>K7</f>
        <v>3Q21</v>
      </c>
      <c r="L83" s="104" t="str">
        <f>L7</f>
        <v>4Q21</v>
      </c>
      <c r="M83" s="104" t="str">
        <f>M7</f>
        <v>1Q22</v>
      </c>
      <c r="N83" s="104" t="str">
        <f>N7</f>
        <v>2Q22</v>
      </c>
      <c r="O83" s="104" t="str">
        <f>O7</f>
        <v>3Q22</v>
      </c>
      <c r="P83" s="104" t="str">
        <f>P7</f>
        <v>4Q22</v>
      </c>
      <c r="Q83" s="104" t="str">
        <f>Q7</f>
        <v>1Q23</v>
      </c>
      <c r="R83" s="104" t="str">
        <f>R7</f>
        <v>2Q23</v>
      </c>
      <c r="S83" s="104" t="str">
        <f>S7</f>
        <v>3Q23</v>
      </c>
      <c r="T83" s="104" t="str">
        <f>T7</f>
        <v>4Q23</v>
      </c>
      <c r="U83" s="104" t="str">
        <f>U7</f>
        <v>1Q24</v>
      </c>
      <c r="V83" s="104" t="str">
        <f>V7</f>
        <v>2Q24</v>
      </c>
      <c r="W83" s="104" t="str">
        <f>W7</f>
        <v>3Q24</v>
      </c>
      <c r="X83" s="104" t="str">
        <f>X7</f>
        <v>4Q24</v>
      </c>
      <c r="Y83" s="104" t="str">
        <f>Y7</f>
        <v>1Q25</v>
      </c>
      <c r="Z83" s="104" t="str">
        <f>Z7</f>
        <v>2Q25</v>
      </c>
      <c r="AA83" s="104" t="str">
        <f>AA7</f>
        <v>3Q25</v>
      </c>
      <c r="AB83" s="104"/>
      <c r="AC83" s="104" t="str">
        <f>AC7</f>
        <v>4Q23</v>
      </c>
      <c r="AD83" s="104" t="str">
        <f>AD7</f>
        <v>1Q24</v>
      </c>
      <c r="AE83" s="104" t="str">
        <f>AE7</f>
        <v>2Q24</v>
      </c>
      <c r="AF83" s="104" t="str">
        <f>AF7</f>
        <v>3Q24</v>
      </c>
      <c r="AG83" s="104" t="str">
        <f>AG7</f>
        <v>4Q24</v>
      </c>
      <c r="AH83" s="104" t="str">
        <f>AH7</f>
        <v>1Q25</v>
      </c>
      <c r="AI83" s="104" t="str">
        <f>AI7</f>
        <v>2Q25</v>
      </c>
      <c r="AJ83" s="104" t="str">
        <f>AJ7</f>
        <v>3Q25</v>
      </c>
      <c r="AK83" s="103"/>
      <c r="AL83" s="164"/>
    </row>
    <row r="84" spans="1:38" ht="12.75" customHeight="1">
      <c r="B84" s="99" t="str">
        <f>B8</f>
        <v>Fiscal Period End Date</v>
      </c>
      <c r="C84" s="105">
        <f>C8</f>
        <v>0</v>
      </c>
      <c r="D84" s="105">
        <f>D8</f>
        <v>0</v>
      </c>
      <c r="E84" s="105">
        <f>E8</f>
        <v>0</v>
      </c>
      <c r="F84" s="105">
        <f>F8</f>
        <v>0</v>
      </c>
      <c r="G84" s="105">
        <f>G8</f>
        <v>0</v>
      </c>
      <c r="H84" s="103"/>
      <c r="I84" s="105">
        <f>I8</f>
        <v>0</v>
      </c>
      <c r="J84" s="105">
        <f>J8</f>
        <v>0</v>
      </c>
      <c r="K84" s="105">
        <f>K8</f>
        <v>0</v>
      </c>
      <c r="L84" s="105">
        <f>L8</f>
        <v>0</v>
      </c>
      <c r="M84" s="105">
        <f>M8</f>
        <v>0</v>
      </c>
      <c r="N84" s="105">
        <f>N8</f>
        <v>0</v>
      </c>
      <c r="O84" s="105">
        <f>O8</f>
        <v>0</v>
      </c>
      <c r="P84" s="105">
        <f>P8</f>
        <v>0</v>
      </c>
      <c r="Q84" s="105">
        <f>Q8</f>
        <v>0</v>
      </c>
      <c r="R84" s="105">
        <f>R8</f>
        <v>0</v>
      </c>
      <c r="S84" s="105">
        <f>S8</f>
        <v>0</v>
      </c>
      <c r="T84" s="105">
        <f>T8</f>
        <v>0</v>
      </c>
      <c r="U84" s="105">
        <f>U8</f>
        <v>0</v>
      </c>
      <c r="V84" s="105">
        <f>V8</f>
        <v>0</v>
      </c>
      <c r="W84" s="105">
        <f>W8</f>
        <v>0</v>
      </c>
      <c r="X84" s="105">
        <f>X8</f>
        <v>0</v>
      </c>
      <c r="Y84" s="105">
        <f>Y8</f>
        <v>0</v>
      </c>
      <c r="Z84" s="105">
        <f>Z8</f>
        <v>0</v>
      </c>
      <c r="AA84" s="105">
        <f>AA8</f>
        <v>0</v>
      </c>
      <c r="AB84" s="105"/>
      <c r="AC84" s="105">
        <f>AC8</f>
        <v>0</v>
      </c>
      <c r="AD84" s="105">
        <f>AD8</f>
        <v>0</v>
      </c>
      <c r="AE84" s="105">
        <f>AE8</f>
        <v>0</v>
      </c>
      <c r="AF84" s="105">
        <f>AF8</f>
        <v>0</v>
      </c>
      <c r="AG84" s="105">
        <f>AG8</f>
        <v>0</v>
      </c>
      <c r="AH84" s="105">
        <f>AH8</f>
        <v>0</v>
      </c>
      <c r="AI84" s="105">
        <f>AI8</f>
        <v>0</v>
      </c>
      <c r="AJ84" s="105">
        <f>AJ8</f>
        <v>0</v>
      </c>
      <c r="AK84" s="103"/>
      <c r="AL84" s="164"/>
    </row>
    <row r="85" spans="1:38" ht="5.0999999999999996" customHeight="1">
      <c r="B85" s="54"/>
      <c r="C85" s="47"/>
      <c r="D85" s="47"/>
      <c r="E85" s="47"/>
      <c r="F85" s="47"/>
      <c r="G85" s="47"/>
    </row>
    <row r="86" spans="1:38" ht="12.75" customHeight="1">
      <c r="B86" s="55" t="s">
        <v>50</v>
      </c>
      <c r="C86" s="56"/>
      <c r="D86" s="56"/>
      <c r="E86" s="56"/>
      <c r="F86" s="56"/>
      <c r="G86" s="56"/>
    </row>
    <row r="87" spans="1:38" ht="12.75" customHeight="1">
      <c r="B87" s="57" t="s">
        <v>105</v>
      </c>
      <c r="C87" s="32">
        <f>C28</f>
        <v>45838</v>
      </c>
      <c r="D87" s="32">
        <f>D28</f>
        <v>62019</v>
      </c>
      <c r="E87" s="32">
        <f>E28</f>
        <v>48449</v>
      </c>
      <c r="F87" s="32">
        <f>F28</f>
        <v>65057</v>
      </c>
      <c r="G87" s="32">
        <f>G28</f>
        <v>92521</v>
      </c>
      <c r="H87" s="32"/>
      <c r="I87" s="32">
        <f>I28</f>
        <v>14628</v>
      </c>
      <c r="J87" s="32">
        <f>J28</f>
        <v>15793</v>
      </c>
      <c r="K87" s="32">
        <f>K28</f>
        <v>14965</v>
      </c>
      <c r="L87" s="32">
        <f>L28</f>
        <v>16633</v>
      </c>
      <c r="M87" s="32">
        <f>M28</f>
        <v>13470</v>
      </c>
      <c r="N87" s="32">
        <f>N28</f>
        <v>11879</v>
      </c>
      <c r="O87" s="32">
        <f>O28</f>
        <v>10111</v>
      </c>
      <c r="P87" s="32">
        <f>P28</f>
        <v>12989</v>
      </c>
      <c r="Q87" s="32">
        <f>Q28</f>
        <v>11817</v>
      </c>
      <c r="R87" s="32">
        <f>R28</f>
        <v>13733</v>
      </c>
      <c r="S87" s="32">
        <f>S28</f>
        <v>17793</v>
      </c>
      <c r="T87" s="32">
        <f>T28</f>
        <v>21714</v>
      </c>
      <c r="U87" s="32">
        <f>U28</f>
        <v>19009</v>
      </c>
      <c r="V87" s="32">
        <f>V28</f>
        <v>20773</v>
      </c>
      <c r="W87" s="32">
        <f>W28</f>
        <v>23063</v>
      </c>
      <c r="X87" s="32">
        <f>X28</f>
        <v>29676</v>
      </c>
      <c r="Y87" s="32">
        <f>Y28</f>
        <v>24216</v>
      </c>
      <c r="Z87" s="32">
        <f>Z28</f>
        <v>26828</v>
      </c>
      <c r="AA87" s="32">
        <f>AA28</f>
        <v>11915</v>
      </c>
      <c r="AB87" s="32"/>
      <c r="AC87" s="32">
        <f>AC28</f>
        <v>65057</v>
      </c>
      <c r="AD87" s="32">
        <f>AD28</f>
        <v>72249</v>
      </c>
      <c r="AE87" s="32">
        <f>AE28</f>
        <v>79289</v>
      </c>
      <c r="AF87" s="32">
        <f>AF28</f>
        <v>84559</v>
      </c>
      <c r="AG87" s="32">
        <f>AG28</f>
        <v>92521</v>
      </c>
      <c r="AH87" s="32">
        <f>AH28</f>
        <v>97728</v>
      </c>
      <c r="AI87" s="32">
        <f>AI28</f>
        <v>103783</v>
      </c>
      <c r="AJ87" s="32">
        <f>AJ28</f>
        <v>92635</v>
      </c>
      <c r="AK87" s="11"/>
      <c r="AL87" s="75">
        <f>SUM(AJ87/AF87)-1</f>
        <v>9.5507278941330931E-2</v>
      </c>
    </row>
    <row r="88" spans="1:38" ht="5.0999999999999996" customHeight="1"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C88" s="32"/>
      <c r="AD88" s="32"/>
      <c r="AE88" s="32"/>
      <c r="AF88" s="32"/>
      <c r="AG88" s="32"/>
      <c r="AH88" s="32"/>
      <c r="AI88" s="32"/>
      <c r="AJ88" s="32"/>
      <c r="AK88" s="11"/>
      <c r="AL88" s="75"/>
    </row>
    <row r="89" spans="1:38" ht="12.75" customHeight="1">
      <c r="B89" s="36" t="s">
        <v>57</v>
      </c>
      <c r="C89" s="32"/>
      <c r="D89" s="32"/>
      <c r="E89" s="32"/>
      <c r="F89" s="32"/>
      <c r="G89" s="32"/>
      <c r="H89" s="32"/>
      <c r="I89" s="82"/>
      <c r="J89" s="82"/>
      <c r="K89" s="82"/>
      <c r="L89" s="82"/>
      <c r="M89" s="82"/>
      <c r="N89" s="82"/>
      <c r="O89" s="82"/>
      <c r="P89" s="82"/>
      <c r="Q89" s="82"/>
      <c r="R89" s="82"/>
      <c r="S89" s="82"/>
      <c r="T89" s="32"/>
      <c r="U89" s="82"/>
      <c r="V89" s="82"/>
      <c r="W89" s="82"/>
      <c r="X89" s="32"/>
      <c r="Y89" s="82"/>
      <c r="Z89" s="82"/>
      <c r="AA89" s="82"/>
      <c r="AC89" s="32"/>
      <c r="AD89" s="32"/>
      <c r="AE89" s="32"/>
      <c r="AF89" s="32"/>
      <c r="AG89" s="32"/>
      <c r="AH89" s="32"/>
      <c r="AI89" s="32"/>
      <c r="AJ89" s="32"/>
      <c r="AK89" s="59"/>
      <c r="AL89" s="75"/>
    </row>
    <row r="90" spans="1:38" ht="12.75" customHeight="1">
      <c r="B90" s="60" t="s">
        <v>138</v>
      </c>
      <c r="C90" s="82"/>
      <c r="D90" s="82"/>
      <c r="E90" s="82"/>
      <c r="F90" s="82"/>
      <c r="G90" s="82"/>
      <c r="H90" s="32"/>
      <c r="I90" s="82"/>
      <c r="J90" s="82"/>
      <c r="K90" s="82"/>
      <c r="L90" s="82"/>
      <c r="M90" s="82"/>
      <c r="N90" s="82"/>
      <c r="O90" s="82"/>
      <c r="P90" s="32">
        <f>SUM(E89-SUM(M90:O90))</f>
        <v>0</v>
      </c>
      <c r="Q90" s="82"/>
      <c r="R90" s="82"/>
      <c r="S90" s="82"/>
      <c r="T90" s="32">
        <f>SUM(F90-SUM(Q90:S90))</f>
        <v>0</v>
      </c>
      <c r="U90" s="82"/>
      <c r="V90" s="82"/>
      <c r="W90" s="82"/>
      <c r="X90" s="32">
        <f>SUM(G90-SUM(U90:W90))</f>
        <v>0</v>
      </c>
      <c r="Y90" s="82"/>
      <c r="Z90" s="82"/>
      <c r="AA90" s="82"/>
      <c r="AC90" s="32">
        <f>SUM(Q90:T90)</f>
        <v>0</v>
      </c>
      <c r="AD90" s="32">
        <f>SUM(R90:U90)</f>
        <v>0</v>
      </c>
      <c r="AE90" s="32">
        <f>SUM(S90:V90)</f>
        <v>0</v>
      </c>
      <c r="AF90" s="32">
        <f>SUM(T90:W90)</f>
        <v>0</v>
      </c>
      <c r="AG90" s="32">
        <f>SUM(U90:X90)</f>
        <v>0</v>
      </c>
      <c r="AH90" s="32">
        <f>SUM(V90:Y90)</f>
        <v>0</v>
      </c>
      <c r="AI90" s="32">
        <f>SUM(W90:Z90)</f>
        <v>0</v>
      </c>
      <c r="AJ90" s="32">
        <f>SUM(X90:AA90)</f>
        <v>0</v>
      </c>
      <c r="AK90" s="11"/>
      <c r="AL90" s="75" t="e">
        <f t="shared" ref="AL90:AL96" si="185">SUM(AJ90/AF90)-1</f>
        <v>#DIV/0!</v>
      </c>
    </row>
    <row r="91" spans="1:38" ht="12.75" customHeight="1">
      <c r="B91" s="60" t="s">
        <v>139</v>
      </c>
      <c r="C91" s="82"/>
      <c r="D91" s="82"/>
      <c r="E91" s="82"/>
      <c r="F91" s="82"/>
      <c r="G91" s="82"/>
      <c r="H91" s="32"/>
      <c r="I91" s="82"/>
      <c r="J91" s="82"/>
      <c r="K91" s="82"/>
      <c r="L91" s="82"/>
      <c r="M91" s="82"/>
      <c r="N91" s="82"/>
      <c r="O91" s="82"/>
      <c r="P91" s="32">
        <f t="shared" ref="P91:P95" si="186">SUM(E90-SUM(M91:O91))</f>
        <v>0</v>
      </c>
      <c r="Q91" s="82"/>
      <c r="R91" s="82"/>
      <c r="S91" s="82"/>
      <c r="T91" s="32">
        <f>SUM(F91-SUM(Q91:S91))</f>
        <v>0</v>
      </c>
      <c r="U91" s="82"/>
      <c r="V91" s="82"/>
      <c r="W91" s="82"/>
      <c r="X91" s="32">
        <f>SUM(G91-SUM(U91:W91))</f>
        <v>0</v>
      </c>
      <c r="Y91" s="82"/>
      <c r="Z91" s="82"/>
      <c r="AA91" s="82"/>
      <c r="AC91" s="32">
        <f>SUM(Q91:T91)</f>
        <v>0</v>
      </c>
      <c r="AD91" s="32">
        <f>SUM(R91:U91)</f>
        <v>0</v>
      </c>
      <c r="AE91" s="32">
        <f>SUM(S91:V91)</f>
        <v>0</v>
      </c>
      <c r="AF91" s="32">
        <f>SUM(T91:W91)</f>
        <v>0</v>
      </c>
      <c r="AG91" s="32">
        <f>SUM(U91:X91)</f>
        <v>0</v>
      </c>
      <c r="AH91" s="32">
        <f>SUM(V91:Y91)</f>
        <v>0</v>
      </c>
      <c r="AI91" s="32">
        <f>SUM(W91:Z91)</f>
        <v>0</v>
      </c>
      <c r="AJ91" s="32">
        <f>SUM(X91:AA91)</f>
        <v>0</v>
      </c>
      <c r="AK91" s="11"/>
      <c r="AL91" s="75" t="e">
        <f t="shared" ref="AL91" si="187">SUM(AJ91/AF91)-1</f>
        <v>#DIV/0!</v>
      </c>
    </row>
    <row r="92" spans="1:38" ht="12.75" customHeight="1">
      <c r="B92" s="60" t="s">
        <v>140</v>
      </c>
      <c r="C92" s="82"/>
      <c r="D92" s="82"/>
      <c r="E92" s="82"/>
      <c r="F92" s="82"/>
      <c r="G92" s="82"/>
      <c r="H92" s="32"/>
      <c r="I92" s="82"/>
      <c r="J92" s="82"/>
      <c r="K92" s="82"/>
      <c r="L92" s="82"/>
      <c r="M92" s="82"/>
      <c r="N92" s="82"/>
      <c r="O92" s="82"/>
      <c r="P92" s="32">
        <f t="shared" si="186"/>
        <v>0</v>
      </c>
      <c r="Q92" s="82"/>
      <c r="R92" s="82"/>
      <c r="S92" s="82"/>
      <c r="T92" s="32">
        <f>SUM(F92-SUM(Q92:S92))</f>
        <v>0</v>
      </c>
      <c r="U92" s="82"/>
      <c r="V92" s="82"/>
      <c r="W92" s="82"/>
      <c r="X92" s="32">
        <f>SUM(G92-SUM(U92:W92))</f>
        <v>0</v>
      </c>
      <c r="Y92" s="82"/>
      <c r="Z92" s="82"/>
      <c r="AA92" s="82"/>
      <c r="AC92" s="32">
        <f>SUM(Q92:T92)</f>
        <v>0</v>
      </c>
      <c r="AD92" s="32">
        <f>SUM(R92:U92)</f>
        <v>0</v>
      </c>
      <c r="AE92" s="32">
        <f>SUM(S92:V92)</f>
        <v>0</v>
      </c>
      <c r="AF92" s="32">
        <f>SUM(T92:W92)</f>
        <v>0</v>
      </c>
      <c r="AG92" s="32">
        <f>SUM(U92:X92)</f>
        <v>0</v>
      </c>
      <c r="AH92" s="32">
        <f>SUM(V92:Y92)</f>
        <v>0</v>
      </c>
      <c r="AI92" s="32">
        <f>SUM(W92:Z92)</f>
        <v>0</v>
      </c>
      <c r="AJ92" s="32">
        <f>SUM(X92:AA92)</f>
        <v>0</v>
      </c>
      <c r="AK92" s="11"/>
      <c r="AL92" s="75" t="e">
        <f t="shared" si="185"/>
        <v>#DIV/0!</v>
      </c>
    </row>
    <row r="93" spans="1:38" ht="12.75" customHeight="1">
      <c r="B93" s="60" t="s">
        <v>141</v>
      </c>
      <c r="C93" s="82"/>
      <c r="D93" s="82"/>
      <c r="E93" s="82"/>
      <c r="F93" s="82"/>
      <c r="G93" s="82"/>
      <c r="H93" s="32"/>
      <c r="I93" s="82"/>
      <c r="J93" s="82"/>
      <c r="K93" s="82"/>
      <c r="L93" s="82"/>
      <c r="M93" s="82"/>
      <c r="N93" s="82"/>
      <c r="O93" s="82"/>
      <c r="P93" s="32">
        <f t="shared" si="186"/>
        <v>0</v>
      </c>
      <c r="Q93" s="82"/>
      <c r="R93" s="82"/>
      <c r="S93" s="82"/>
      <c r="T93" s="32">
        <f>SUM(F93-SUM(Q93:S93))</f>
        <v>0</v>
      </c>
      <c r="U93" s="82"/>
      <c r="V93" s="82"/>
      <c r="W93" s="82"/>
      <c r="X93" s="32">
        <f>SUM(G93-SUM(U93:W93))</f>
        <v>0</v>
      </c>
      <c r="Y93" s="82"/>
      <c r="Z93" s="82"/>
      <c r="AA93" s="82"/>
      <c r="AC93" s="32">
        <f>SUM(Q93:T93)</f>
        <v>0</v>
      </c>
      <c r="AD93" s="32">
        <f>SUM(R93:U93)</f>
        <v>0</v>
      </c>
      <c r="AE93" s="32">
        <f>SUM(S93:V93)</f>
        <v>0</v>
      </c>
      <c r="AF93" s="32">
        <f>SUM(T93:W93)</f>
        <v>0</v>
      </c>
      <c r="AG93" s="32">
        <f>SUM(U93:X93)</f>
        <v>0</v>
      </c>
      <c r="AH93" s="32">
        <f>SUM(V93:Y93)</f>
        <v>0</v>
      </c>
      <c r="AI93" s="32">
        <f>SUM(W93:Z93)</f>
        <v>0</v>
      </c>
      <c r="AJ93" s="32">
        <f>SUM(X93:AA93)</f>
        <v>0</v>
      </c>
      <c r="AK93" s="11"/>
      <c r="AL93" s="75" t="e">
        <f t="shared" si="185"/>
        <v>#DIV/0!</v>
      </c>
    </row>
    <row r="94" spans="1:38" ht="12.75" customHeight="1">
      <c r="B94" s="60" t="s">
        <v>142</v>
      </c>
      <c r="C94" s="82"/>
      <c r="D94" s="82"/>
      <c r="E94" s="82"/>
      <c r="F94" s="82"/>
      <c r="G94" s="82"/>
      <c r="H94" s="32"/>
      <c r="I94" s="82"/>
      <c r="J94" s="82"/>
      <c r="K94" s="82"/>
      <c r="L94" s="82"/>
      <c r="M94" s="82"/>
      <c r="N94" s="82"/>
      <c r="O94" s="82"/>
      <c r="P94" s="32">
        <f t="shared" si="186"/>
        <v>0</v>
      </c>
      <c r="Q94" s="82"/>
      <c r="R94" s="82"/>
      <c r="S94" s="82"/>
      <c r="T94" s="32">
        <f>SUM(F94-SUM(Q94:S94))</f>
        <v>0</v>
      </c>
      <c r="U94" s="82"/>
      <c r="V94" s="82"/>
      <c r="W94" s="82"/>
      <c r="X94" s="32">
        <f>SUM(G94-SUM(U94:W94))</f>
        <v>0</v>
      </c>
      <c r="Y94" s="82"/>
      <c r="Z94" s="82"/>
      <c r="AA94" s="82"/>
      <c r="AC94" s="32">
        <f>SUM(Q94:T94)</f>
        <v>0</v>
      </c>
      <c r="AD94" s="32">
        <f>SUM(R94:U94)</f>
        <v>0</v>
      </c>
      <c r="AE94" s="32">
        <f>SUM(S94:V94)</f>
        <v>0</v>
      </c>
      <c r="AF94" s="32">
        <f>SUM(T94:W94)</f>
        <v>0</v>
      </c>
      <c r="AG94" s="32">
        <f>SUM(U94:X94)</f>
        <v>0</v>
      </c>
      <c r="AH94" s="32">
        <f>SUM(V94:Y94)</f>
        <v>0</v>
      </c>
      <c r="AI94" s="32">
        <f>SUM(W94:Z94)</f>
        <v>0</v>
      </c>
      <c r="AJ94" s="32">
        <f>SUM(X94:AA94)</f>
        <v>0</v>
      </c>
      <c r="AK94" s="11"/>
      <c r="AL94" s="75" t="e">
        <f t="shared" si="185"/>
        <v>#DIV/0!</v>
      </c>
    </row>
    <row r="95" spans="1:38" ht="12.75" customHeight="1">
      <c r="B95" s="60" t="s">
        <v>143</v>
      </c>
      <c r="C95" s="82"/>
      <c r="D95" s="82"/>
      <c r="E95" s="82"/>
      <c r="F95" s="82"/>
      <c r="G95" s="82"/>
      <c r="H95" s="32"/>
      <c r="I95" s="82"/>
      <c r="J95" s="82"/>
      <c r="K95" s="82"/>
      <c r="L95" s="82"/>
      <c r="M95" s="82"/>
      <c r="N95" s="82"/>
      <c r="O95" s="82"/>
      <c r="P95" s="32">
        <f t="shared" si="186"/>
        <v>0</v>
      </c>
      <c r="Q95" s="82"/>
      <c r="R95" s="82"/>
      <c r="S95" s="82"/>
      <c r="T95" s="32">
        <f>SUM(F95-SUM(Q95:S95))</f>
        <v>0</v>
      </c>
      <c r="U95" s="82"/>
      <c r="V95" s="82"/>
      <c r="W95" s="82"/>
      <c r="X95" s="32">
        <f>SUM(G95-SUM(U95:W95))</f>
        <v>0</v>
      </c>
      <c r="Y95" s="82"/>
      <c r="Z95" s="82"/>
      <c r="AA95" s="82"/>
      <c r="AC95" s="32">
        <f>SUM(Q95:T95)</f>
        <v>0</v>
      </c>
      <c r="AD95" s="32">
        <f>SUM(R95:U95)</f>
        <v>0</v>
      </c>
      <c r="AE95" s="32">
        <f>SUM(S95:V95)</f>
        <v>0</v>
      </c>
      <c r="AF95" s="32">
        <f>SUM(T95:W95)</f>
        <v>0</v>
      </c>
      <c r="AG95" s="32">
        <f>SUM(U95:X95)</f>
        <v>0</v>
      </c>
      <c r="AH95" s="32">
        <f>SUM(V95:Y95)</f>
        <v>0</v>
      </c>
      <c r="AI95" s="32">
        <f>SUM(W95:Z95)</f>
        <v>0</v>
      </c>
      <c r="AJ95" s="32">
        <f>SUM(X95:AA95)</f>
        <v>0</v>
      </c>
      <c r="AK95" s="11"/>
      <c r="AL95" s="75" t="e">
        <f t="shared" si="185"/>
        <v>#DIV/0!</v>
      </c>
    </row>
    <row r="96" spans="1:38" ht="12.75" customHeight="1">
      <c r="B96" s="13" t="s">
        <v>51</v>
      </c>
      <c r="C96" s="14">
        <f t="shared" ref="C96:G96" si="188">SUM(C87:C95)</f>
        <v>45838</v>
      </c>
      <c r="D96" s="14">
        <f t="shared" si="188"/>
        <v>62019</v>
      </c>
      <c r="E96" s="14">
        <f t="shared" si="188"/>
        <v>48449</v>
      </c>
      <c r="F96" s="14">
        <f t="shared" si="188"/>
        <v>65057</v>
      </c>
      <c r="G96" s="14">
        <f t="shared" si="188"/>
        <v>92521</v>
      </c>
      <c r="I96" s="14">
        <f t="shared" ref="I96:L96" si="189">SUM(I87:I95)</f>
        <v>14628</v>
      </c>
      <c r="J96" s="14">
        <f t="shared" si="189"/>
        <v>15793</v>
      </c>
      <c r="K96" s="14">
        <f t="shared" si="189"/>
        <v>14965</v>
      </c>
      <c r="L96" s="14">
        <f t="shared" si="189"/>
        <v>16633</v>
      </c>
      <c r="M96" s="14">
        <f t="shared" ref="M96:P96" si="190">SUM(M87:M95)</f>
        <v>13470</v>
      </c>
      <c r="N96" s="14">
        <f t="shared" ref="N96" si="191">SUM(N87:N95)</f>
        <v>11879</v>
      </c>
      <c r="O96" s="14">
        <f t="shared" si="190"/>
        <v>10111</v>
      </c>
      <c r="P96" s="14">
        <f t="shared" si="190"/>
        <v>12989</v>
      </c>
      <c r="Q96" s="14">
        <f t="shared" ref="Q96:AA96" si="192">SUM(Q87:Q95)</f>
        <v>11817</v>
      </c>
      <c r="R96" s="14">
        <f t="shared" si="192"/>
        <v>13733</v>
      </c>
      <c r="S96" s="14">
        <f t="shared" si="192"/>
        <v>17793</v>
      </c>
      <c r="T96" s="14">
        <f t="shared" si="192"/>
        <v>21714</v>
      </c>
      <c r="U96" s="14">
        <f t="shared" si="192"/>
        <v>19009</v>
      </c>
      <c r="V96" s="14">
        <f t="shared" si="192"/>
        <v>20773</v>
      </c>
      <c r="W96" s="14">
        <f t="shared" si="192"/>
        <v>23063</v>
      </c>
      <c r="X96" s="14">
        <f t="shared" si="192"/>
        <v>29676</v>
      </c>
      <c r="Y96" s="14">
        <f t="shared" si="192"/>
        <v>24216</v>
      </c>
      <c r="Z96" s="14">
        <f t="shared" si="192"/>
        <v>26828</v>
      </c>
      <c r="AA96" s="14">
        <f t="shared" si="192"/>
        <v>11915</v>
      </c>
      <c r="AC96" s="14">
        <f t="shared" ref="AC96:AJ96" si="193">SUM(AC87:AC95)</f>
        <v>65057</v>
      </c>
      <c r="AD96" s="14">
        <f t="shared" si="193"/>
        <v>72249</v>
      </c>
      <c r="AE96" s="14">
        <f t="shared" si="193"/>
        <v>79289</v>
      </c>
      <c r="AF96" s="14">
        <f t="shared" si="193"/>
        <v>84559</v>
      </c>
      <c r="AG96" s="14">
        <f t="shared" si="193"/>
        <v>92521</v>
      </c>
      <c r="AH96" s="14">
        <f t="shared" si="193"/>
        <v>97728</v>
      </c>
      <c r="AI96" s="14">
        <f t="shared" si="193"/>
        <v>103783</v>
      </c>
      <c r="AJ96" s="14">
        <f t="shared" si="193"/>
        <v>92635</v>
      </c>
      <c r="AK96" s="42"/>
      <c r="AL96" s="76">
        <f t="shared" si="185"/>
        <v>9.5507278941330931E-2</v>
      </c>
    </row>
    <row r="97" spans="2:38" ht="12.75" customHeight="1">
      <c r="B97" s="53"/>
      <c r="C97" s="61"/>
      <c r="D97" s="61"/>
      <c r="E97" s="61"/>
      <c r="F97" s="61"/>
      <c r="G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C97" s="42"/>
      <c r="AD97" s="42"/>
      <c r="AE97" s="42"/>
      <c r="AF97" s="42"/>
      <c r="AG97" s="42"/>
      <c r="AH97" s="42"/>
      <c r="AI97" s="42"/>
      <c r="AJ97" s="42"/>
      <c r="AK97" s="42"/>
      <c r="AL97" s="39"/>
    </row>
    <row r="98" spans="2:38" ht="12.75" customHeight="1">
      <c r="B98" s="53" t="s">
        <v>52</v>
      </c>
      <c r="C98" s="58"/>
      <c r="D98" s="58"/>
      <c r="E98" s="58"/>
      <c r="F98" s="58"/>
      <c r="G98" s="58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32"/>
      <c r="U98" s="82"/>
      <c r="V98" s="82"/>
      <c r="W98" s="82"/>
      <c r="X98" s="32"/>
      <c r="Y98" s="58"/>
      <c r="Z98" s="58"/>
      <c r="AA98" s="58"/>
      <c r="AC98" s="58"/>
      <c r="AD98" s="58"/>
      <c r="AE98" s="58"/>
      <c r="AF98" s="58"/>
      <c r="AG98" s="58"/>
      <c r="AH98" s="58"/>
      <c r="AI98" s="58"/>
      <c r="AJ98" s="58"/>
      <c r="AK98" s="59"/>
      <c r="AL98" s="75"/>
    </row>
    <row r="99" spans="2:38" ht="12.75" customHeight="1">
      <c r="B99" s="60" t="s">
        <v>144</v>
      </c>
      <c r="C99" s="82"/>
      <c r="D99" s="82"/>
      <c r="E99" s="82"/>
      <c r="F99" s="82"/>
      <c r="G99" s="82"/>
      <c r="H99" s="32"/>
      <c r="I99" s="82"/>
      <c r="J99" s="82"/>
      <c r="K99" s="82"/>
      <c r="L99" s="82"/>
      <c r="M99" s="82"/>
      <c r="N99" s="82"/>
      <c r="O99" s="82"/>
      <c r="P99" s="32">
        <f t="shared" ref="P99:P102" si="194">SUM(E98-SUM(M99:O99))</f>
        <v>0</v>
      </c>
      <c r="Q99" s="82"/>
      <c r="R99" s="82"/>
      <c r="S99" s="82"/>
      <c r="T99" s="32">
        <f>SUM(F99-SUM(Q99:S99))</f>
        <v>0</v>
      </c>
      <c r="U99" s="82"/>
      <c r="V99" s="82"/>
      <c r="W99" s="82"/>
      <c r="X99" s="32">
        <f>SUM(G99-SUM(U99:W99))</f>
        <v>0</v>
      </c>
      <c r="Y99" s="82"/>
      <c r="Z99" s="82"/>
      <c r="AA99" s="82"/>
      <c r="AB99" s="32"/>
      <c r="AC99" s="32">
        <f>SUM(Q99:T99)</f>
        <v>0</v>
      </c>
      <c r="AD99" s="32">
        <f>SUM(R99:U99)</f>
        <v>0</v>
      </c>
      <c r="AE99" s="32">
        <f>SUM(S99:V99)</f>
        <v>0</v>
      </c>
      <c r="AF99" s="32">
        <f>SUM(T99:W99)</f>
        <v>0</v>
      </c>
      <c r="AG99" s="32">
        <f>SUM(U99:X99)</f>
        <v>0</v>
      </c>
      <c r="AH99" s="32">
        <f>SUM(V99:Y99)</f>
        <v>0</v>
      </c>
      <c r="AI99" s="32">
        <f>SUM(W99:Z99)</f>
        <v>0</v>
      </c>
      <c r="AJ99" s="32">
        <f>SUM(X99:AA99)</f>
        <v>0</v>
      </c>
      <c r="AK99" s="59"/>
      <c r="AL99" s="75" t="e">
        <f t="shared" ref="AL99:AL102" si="195">SUM(AJ99/AF99)-1</f>
        <v>#DIV/0!</v>
      </c>
    </row>
    <row r="100" spans="2:38" ht="12.75" customHeight="1">
      <c r="B100" s="60" t="s">
        <v>145</v>
      </c>
      <c r="C100" s="82"/>
      <c r="D100" s="82"/>
      <c r="E100" s="82"/>
      <c r="F100" s="82"/>
      <c r="G100" s="82"/>
      <c r="H100" s="32"/>
      <c r="I100" s="82"/>
      <c r="J100" s="82"/>
      <c r="K100" s="82"/>
      <c r="L100" s="82"/>
      <c r="M100" s="82"/>
      <c r="N100" s="82"/>
      <c r="O100" s="82"/>
      <c r="P100" s="32">
        <f t="shared" si="194"/>
        <v>0</v>
      </c>
      <c r="Q100" s="82"/>
      <c r="R100" s="82"/>
      <c r="S100" s="82"/>
      <c r="T100" s="32">
        <f>SUM(F100-SUM(Q100:S100))</f>
        <v>0</v>
      </c>
      <c r="U100" s="82"/>
      <c r="V100" s="82"/>
      <c r="W100" s="82"/>
      <c r="X100" s="32">
        <f>SUM(G100-SUM(U100:W100))</f>
        <v>0</v>
      </c>
      <c r="Y100" s="82"/>
      <c r="Z100" s="82"/>
      <c r="AA100" s="82"/>
      <c r="AB100" s="32"/>
      <c r="AC100" s="32">
        <f>SUM(Q100:T100)</f>
        <v>0</v>
      </c>
      <c r="AD100" s="32">
        <f>SUM(R100:U100)</f>
        <v>0</v>
      </c>
      <c r="AE100" s="32">
        <f>SUM(S100:V100)</f>
        <v>0</v>
      </c>
      <c r="AF100" s="32">
        <f>SUM(T100:W100)</f>
        <v>0</v>
      </c>
      <c r="AG100" s="32">
        <f>SUM(U100:X100)</f>
        <v>0</v>
      </c>
      <c r="AH100" s="32">
        <f>SUM(V100:Y100)</f>
        <v>0</v>
      </c>
      <c r="AI100" s="32">
        <f>SUM(W100:Z100)</f>
        <v>0</v>
      </c>
      <c r="AJ100" s="32">
        <f>SUM(X100:AA100)</f>
        <v>0</v>
      </c>
      <c r="AK100" s="59"/>
      <c r="AL100" s="75" t="e">
        <f t="shared" si="195"/>
        <v>#DIV/0!</v>
      </c>
    </row>
    <row r="101" spans="2:38" ht="12.75" customHeight="1">
      <c r="B101" s="60" t="s">
        <v>146</v>
      </c>
      <c r="C101" s="82"/>
      <c r="D101" s="82"/>
      <c r="E101" s="82"/>
      <c r="F101" s="82"/>
      <c r="G101" s="82"/>
      <c r="H101" s="32"/>
      <c r="I101" s="82"/>
      <c r="J101" s="82"/>
      <c r="K101" s="82"/>
      <c r="L101" s="82"/>
      <c r="M101" s="82"/>
      <c r="N101" s="82"/>
      <c r="O101" s="82"/>
      <c r="P101" s="32">
        <f t="shared" si="194"/>
        <v>0</v>
      </c>
      <c r="Q101" s="82"/>
      <c r="R101" s="82"/>
      <c r="S101" s="82"/>
      <c r="T101" s="32">
        <f>SUM(F101-SUM(Q101:S101))</f>
        <v>0</v>
      </c>
      <c r="U101" s="82"/>
      <c r="V101" s="82"/>
      <c r="W101" s="82"/>
      <c r="X101" s="32">
        <f>SUM(G101-SUM(U101:W101))</f>
        <v>0</v>
      </c>
      <c r="Y101" s="82"/>
      <c r="Z101" s="82"/>
      <c r="AA101" s="82"/>
      <c r="AB101" s="32"/>
      <c r="AC101" s="32">
        <f>SUM(Q101:T101)</f>
        <v>0</v>
      </c>
      <c r="AD101" s="32">
        <f>SUM(R101:U101)</f>
        <v>0</v>
      </c>
      <c r="AE101" s="32">
        <f>SUM(S101:V101)</f>
        <v>0</v>
      </c>
      <c r="AF101" s="32">
        <f>SUM(T101:W101)</f>
        <v>0</v>
      </c>
      <c r="AG101" s="32">
        <f>SUM(U101:X101)</f>
        <v>0</v>
      </c>
      <c r="AH101" s="32">
        <f>SUM(V101:Y101)</f>
        <v>0</v>
      </c>
      <c r="AI101" s="32">
        <f>SUM(W101:Z101)</f>
        <v>0</v>
      </c>
      <c r="AJ101" s="32">
        <f>SUM(X101:AA101)</f>
        <v>0</v>
      </c>
      <c r="AK101" s="59"/>
      <c r="AL101" s="75" t="e">
        <f t="shared" si="195"/>
        <v>#DIV/0!</v>
      </c>
    </row>
    <row r="102" spans="2:38" ht="12.75" customHeight="1">
      <c r="B102" s="60" t="s">
        <v>147</v>
      </c>
      <c r="C102" s="82"/>
      <c r="D102" s="82"/>
      <c r="E102" s="82"/>
      <c r="F102" s="82"/>
      <c r="G102" s="82"/>
      <c r="H102" s="32"/>
      <c r="I102" s="82"/>
      <c r="J102" s="82"/>
      <c r="K102" s="82"/>
      <c r="L102" s="82"/>
      <c r="M102" s="82"/>
      <c r="N102" s="82"/>
      <c r="O102" s="82"/>
      <c r="P102" s="32">
        <f t="shared" si="194"/>
        <v>0</v>
      </c>
      <c r="Q102" s="82"/>
      <c r="R102" s="82"/>
      <c r="S102" s="82"/>
      <c r="T102" s="32">
        <f>SUM(F102-SUM(Q102:S102))</f>
        <v>0</v>
      </c>
      <c r="U102" s="82"/>
      <c r="V102" s="82"/>
      <c r="W102" s="82"/>
      <c r="X102" s="32">
        <f>SUM(G102-SUM(U102:W102))</f>
        <v>0</v>
      </c>
      <c r="Y102" s="82"/>
      <c r="Z102" s="82"/>
      <c r="AA102" s="82"/>
      <c r="AB102" s="32"/>
      <c r="AC102" s="32">
        <f>SUM(Q102:T102)</f>
        <v>0</v>
      </c>
      <c r="AD102" s="32">
        <f>SUM(R102:U102)</f>
        <v>0</v>
      </c>
      <c r="AE102" s="32">
        <f>SUM(S102:V102)</f>
        <v>0</v>
      </c>
      <c r="AF102" s="32">
        <f>SUM(T102:W102)</f>
        <v>0</v>
      </c>
      <c r="AG102" s="32">
        <f>SUM(U102:X102)</f>
        <v>0</v>
      </c>
      <c r="AH102" s="32">
        <f>SUM(V102:Y102)</f>
        <v>0</v>
      </c>
      <c r="AI102" s="32">
        <f>SUM(W102:Z102)</f>
        <v>0</v>
      </c>
      <c r="AJ102" s="32">
        <f>SUM(X102:AA102)</f>
        <v>0</v>
      </c>
      <c r="AK102" s="59"/>
      <c r="AL102" s="75" t="e">
        <f t="shared" si="195"/>
        <v>#DIV/0!</v>
      </c>
    </row>
    <row r="103" spans="2:38" ht="12.75" customHeight="1">
      <c r="B103" s="13" t="s">
        <v>53</v>
      </c>
      <c r="C103" s="14">
        <f t="shared" ref="C103:G103" si="196">SUM(C99:C102)</f>
        <v>0</v>
      </c>
      <c r="D103" s="14">
        <f t="shared" si="196"/>
        <v>0</v>
      </c>
      <c r="E103" s="14">
        <f t="shared" si="196"/>
        <v>0</v>
      </c>
      <c r="F103" s="14">
        <f t="shared" si="196"/>
        <v>0</v>
      </c>
      <c r="G103" s="14">
        <f t="shared" si="196"/>
        <v>0</v>
      </c>
      <c r="I103" s="14">
        <f t="shared" ref="I103:L103" si="197">SUM(I99:I102)</f>
        <v>0</v>
      </c>
      <c r="J103" s="14">
        <f t="shared" si="197"/>
        <v>0</v>
      </c>
      <c r="K103" s="14">
        <f t="shared" si="197"/>
        <v>0</v>
      </c>
      <c r="L103" s="14">
        <f t="shared" si="197"/>
        <v>0</v>
      </c>
      <c r="M103" s="14">
        <f t="shared" ref="M103:P103" si="198">SUM(M99:M102)</f>
        <v>0</v>
      </c>
      <c r="N103" s="14">
        <f t="shared" ref="N103" si="199">SUM(N99:N102)</f>
        <v>0</v>
      </c>
      <c r="O103" s="14">
        <f t="shared" si="198"/>
        <v>0</v>
      </c>
      <c r="P103" s="14">
        <f t="shared" si="198"/>
        <v>0</v>
      </c>
      <c r="Q103" s="14">
        <f t="shared" ref="Q103:AA103" si="200">SUM(Q99:Q102)</f>
        <v>0</v>
      </c>
      <c r="R103" s="14">
        <f t="shared" si="200"/>
        <v>0</v>
      </c>
      <c r="S103" s="14">
        <f t="shared" si="200"/>
        <v>0</v>
      </c>
      <c r="T103" s="14">
        <f t="shared" si="200"/>
        <v>0</v>
      </c>
      <c r="U103" s="14">
        <f t="shared" si="200"/>
        <v>0</v>
      </c>
      <c r="V103" s="14">
        <f t="shared" si="200"/>
        <v>0</v>
      </c>
      <c r="W103" s="14">
        <f t="shared" si="200"/>
        <v>0</v>
      </c>
      <c r="X103" s="14">
        <f t="shared" si="200"/>
        <v>0</v>
      </c>
      <c r="Y103" s="14">
        <f t="shared" si="200"/>
        <v>0</v>
      </c>
      <c r="Z103" s="14">
        <f t="shared" si="200"/>
        <v>0</v>
      </c>
      <c r="AA103" s="14">
        <f t="shared" si="200"/>
        <v>0</v>
      </c>
      <c r="AC103" s="14">
        <f t="shared" ref="AC103:AJ103" si="201">SUM(AC102:AC102)</f>
        <v>0</v>
      </c>
      <c r="AD103" s="14">
        <f t="shared" si="201"/>
        <v>0</v>
      </c>
      <c r="AE103" s="14">
        <f t="shared" si="201"/>
        <v>0</v>
      </c>
      <c r="AF103" s="14">
        <f t="shared" si="201"/>
        <v>0</v>
      </c>
      <c r="AG103" s="14">
        <f t="shared" si="201"/>
        <v>0</v>
      </c>
      <c r="AH103" s="14">
        <f t="shared" si="201"/>
        <v>0</v>
      </c>
      <c r="AI103" s="14">
        <f t="shared" si="201"/>
        <v>0</v>
      </c>
      <c r="AJ103" s="14">
        <f t="shared" si="201"/>
        <v>0</v>
      </c>
      <c r="AK103" s="42"/>
      <c r="AL103" s="76" t="e">
        <f t="shared" ref="AL103:AL109" si="202">SUM(AJ103/AF103)-1</f>
        <v>#DIV/0!</v>
      </c>
    </row>
    <row r="104" spans="2:38" ht="5.0999999999999996" customHeight="1">
      <c r="B104" s="52"/>
      <c r="C104" s="61"/>
      <c r="D104" s="61"/>
      <c r="E104" s="61"/>
      <c r="F104" s="61"/>
      <c r="G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C104" s="42"/>
      <c r="AD104" s="42"/>
      <c r="AE104" s="42"/>
      <c r="AF104" s="42"/>
      <c r="AG104" s="42"/>
      <c r="AH104" s="42"/>
      <c r="AI104" s="42"/>
      <c r="AJ104" s="42"/>
      <c r="AK104" s="42"/>
      <c r="AL104" s="39"/>
    </row>
    <row r="105" spans="2:38" ht="12.75" customHeight="1">
      <c r="B105" s="53" t="s">
        <v>54</v>
      </c>
      <c r="C105" s="63"/>
      <c r="D105" s="63"/>
      <c r="E105" s="63"/>
      <c r="F105" s="63"/>
      <c r="G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32"/>
      <c r="AC105" s="32"/>
      <c r="AD105" s="32"/>
      <c r="AE105" s="32"/>
      <c r="AF105" s="32"/>
      <c r="AG105" s="32"/>
      <c r="AH105" s="32"/>
      <c r="AI105" s="32"/>
      <c r="AJ105" s="32"/>
      <c r="AK105" s="64"/>
      <c r="AL105" s="75"/>
    </row>
    <row r="106" spans="2:38" ht="12.75" customHeight="1">
      <c r="B106" s="84" t="s">
        <v>148</v>
      </c>
      <c r="C106" s="82"/>
      <c r="D106" s="82"/>
      <c r="E106" s="82"/>
      <c r="F106" s="82"/>
      <c r="G106" s="82"/>
      <c r="I106" s="82"/>
      <c r="J106" s="82"/>
      <c r="K106" s="82"/>
      <c r="L106" s="82"/>
      <c r="M106" s="82"/>
      <c r="N106" s="82"/>
      <c r="O106" s="82"/>
      <c r="P106" s="32">
        <f t="shared" ref="P106:P108" si="203">SUM(E105-SUM(M106:O106))</f>
        <v>0</v>
      </c>
      <c r="Q106" s="82"/>
      <c r="R106" s="82"/>
      <c r="S106" s="82"/>
      <c r="T106" s="32">
        <f>SUM(F106-SUM(Q106:S106))</f>
        <v>0</v>
      </c>
      <c r="U106" s="82"/>
      <c r="V106" s="82"/>
      <c r="W106" s="82"/>
      <c r="X106" s="32">
        <f>SUM(G106-SUM(U106:W106))</f>
        <v>0</v>
      </c>
      <c r="Y106" s="82"/>
      <c r="Z106" s="82"/>
      <c r="AA106" s="82"/>
      <c r="AB106" s="32"/>
      <c r="AC106" s="32">
        <f>SUM(Q106:T106)</f>
        <v>0</v>
      </c>
      <c r="AD106" s="32">
        <f>SUM(R106:U106)</f>
        <v>0</v>
      </c>
      <c r="AE106" s="32">
        <f>SUM(S106:V106)</f>
        <v>0</v>
      </c>
      <c r="AF106" s="32">
        <f>SUM(T106:W106)</f>
        <v>0</v>
      </c>
      <c r="AG106" s="32">
        <f>SUM(U106:X106)</f>
        <v>0</v>
      </c>
      <c r="AH106" s="32">
        <f>SUM(V106:Y106)</f>
        <v>0</v>
      </c>
      <c r="AI106" s="32">
        <f>SUM(W106:Z106)</f>
        <v>0</v>
      </c>
      <c r="AJ106" s="32">
        <f>SUM(X106:AA106)</f>
        <v>0</v>
      </c>
      <c r="AK106" s="64"/>
      <c r="AL106" s="75" t="e">
        <f t="shared" si="202"/>
        <v>#DIV/0!</v>
      </c>
    </row>
    <row r="107" spans="2:38" ht="12.75" customHeight="1">
      <c r="B107" s="84" t="s">
        <v>149</v>
      </c>
      <c r="C107" s="82"/>
      <c r="D107" s="82"/>
      <c r="E107" s="82"/>
      <c r="F107" s="82"/>
      <c r="G107" s="82"/>
      <c r="I107" s="82"/>
      <c r="J107" s="82"/>
      <c r="K107" s="82"/>
      <c r="L107" s="82"/>
      <c r="M107" s="82"/>
      <c r="N107" s="82"/>
      <c r="O107" s="82"/>
      <c r="P107" s="32">
        <f t="shared" si="203"/>
        <v>0</v>
      </c>
      <c r="Q107" s="82"/>
      <c r="R107" s="82"/>
      <c r="S107" s="82"/>
      <c r="T107" s="32">
        <f>SUM(F107-SUM(Q107:S107))</f>
        <v>0</v>
      </c>
      <c r="U107" s="82"/>
      <c r="V107" s="82"/>
      <c r="W107" s="82"/>
      <c r="X107" s="32">
        <f>SUM(G107-SUM(U107:W107))</f>
        <v>0</v>
      </c>
      <c r="Y107" s="82"/>
      <c r="Z107" s="82"/>
      <c r="AA107" s="82"/>
      <c r="AB107" s="32"/>
      <c r="AC107" s="32">
        <f>SUM(Q107:T107)</f>
        <v>0</v>
      </c>
      <c r="AD107" s="32">
        <f>SUM(R107:U107)</f>
        <v>0</v>
      </c>
      <c r="AE107" s="32">
        <f>SUM(S107:V107)</f>
        <v>0</v>
      </c>
      <c r="AF107" s="32">
        <f>SUM(T107:W107)</f>
        <v>0</v>
      </c>
      <c r="AG107" s="32">
        <f>SUM(U107:X107)</f>
        <v>0</v>
      </c>
      <c r="AH107" s="32">
        <f>SUM(V107:Y107)</f>
        <v>0</v>
      </c>
      <c r="AI107" s="32">
        <f>SUM(W107:Z107)</f>
        <v>0</v>
      </c>
      <c r="AJ107" s="32">
        <f>SUM(X107:AA107)</f>
        <v>0</v>
      </c>
      <c r="AK107" s="64"/>
      <c r="AL107" s="75" t="e">
        <f t="shared" ref="AL107" si="204">SUM(AJ107/AF107)-1</f>
        <v>#DIV/0!</v>
      </c>
    </row>
    <row r="108" spans="2:38" ht="12.75" customHeight="1">
      <c r="B108" s="84" t="s">
        <v>150</v>
      </c>
      <c r="C108" s="82"/>
      <c r="D108" s="82"/>
      <c r="E108" s="82"/>
      <c r="F108" s="82"/>
      <c r="G108" s="82"/>
      <c r="I108" s="82"/>
      <c r="J108" s="82"/>
      <c r="K108" s="82"/>
      <c r="L108" s="82"/>
      <c r="M108" s="82"/>
      <c r="N108" s="82"/>
      <c r="O108" s="82"/>
      <c r="P108" s="32">
        <f t="shared" si="203"/>
        <v>0</v>
      </c>
      <c r="Q108" s="82"/>
      <c r="R108" s="82"/>
      <c r="S108" s="82"/>
      <c r="T108" s="32">
        <f>SUM(F108-SUM(Q108:S108))</f>
        <v>0</v>
      </c>
      <c r="U108" s="82"/>
      <c r="V108" s="82"/>
      <c r="W108" s="82"/>
      <c r="X108" s="32">
        <f>SUM(G108-SUM(U108:W108))</f>
        <v>0</v>
      </c>
      <c r="Y108" s="82"/>
      <c r="Z108" s="82"/>
      <c r="AA108" s="82"/>
      <c r="AB108" s="32"/>
      <c r="AC108" s="32">
        <f>SUM(Q108:T108)</f>
        <v>0</v>
      </c>
      <c r="AD108" s="32">
        <f>SUM(R108:U108)</f>
        <v>0</v>
      </c>
      <c r="AE108" s="32">
        <f>SUM(S108:V108)</f>
        <v>0</v>
      </c>
      <c r="AF108" s="32">
        <f>SUM(T108:W108)</f>
        <v>0</v>
      </c>
      <c r="AG108" s="32">
        <f>SUM(U108:X108)</f>
        <v>0</v>
      </c>
      <c r="AH108" s="32">
        <f>SUM(V108:Y108)</f>
        <v>0</v>
      </c>
      <c r="AI108" s="32">
        <f>SUM(W108:Z108)</f>
        <v>0</v>
      </c>
      <c r="AJ108" s="32">
        <f>SUM(X108:AA108)</f>
        <v>0</v>
      </c>
      <c r="AK108" s="64"/>
      <c r="AL108" s="75" t="e">
        <f t="shared" si="202"/>
        <v>#DIV/0!</v>
      </c>
    </row>
    <row r="109" spans="2:38" ht="12.75" customHeight="1">
      <c r="B109" s="13" t="s">
        <v>55</v>
      </c>
      <c r="C109" s="14">
        <f t="shared" ref="C109:G109" si="205">SUM(C106:C108)</f>
        <v>0</v>
      </c>
      <c r="D109" s="14">
        <f t="shared" si="205"/>
        <v>0</v>
      </c>
      <c r="E109" s="14">
        <f t="shared" si="205"/>
        <v>0</v>
      </c>
      <c r="F109" s="14">
        <f t="shared" si="205"/>
        <v>0</v>
      </c>
      <c r="G109" s="14">
        <f t="shared" si="205"/>
        <v>0</v>
      </c>
      <c r="I109" s="14">
        <f t="shared" ref="I109:L109" si="206">SUM(I106:I108)</f>
        <v>0</v>
      </c>
      <c r="J109" s="14">
        <f t="shared" si="206"/>
        <v>0</v>
      </c>
      <c r="K109" s="14">
        <f t="shared" si="206"/>
        <v>0</v>
      </c>
      <c r="L109" s="14">
        <f t="shared" si="206"/>
        <v>0</v>
      </c>
      <c r="M109" s="14">
        <f t="shared" ref="M109:P109" si="207">SUM(M106:M108)</f>
        <v>0</v>
      </c>
      <c r="N109" s="14">
        <f t="shared" ref="N109" si="208">SUM(N106:N108)</f>
        <v>0</v>
      </c>
      <c r="O109" s="14">
        <f t="shared" si="207"/>
        <v>0</v>
      </c>
      <c r="P109" s="14">
        <f t="shared" si="207"/>
        <v>0</v>
      </c>
      <c r="Q109" s="14">
        <f t="shared" ref="Q109:AA109" si="209">SUM(Q106:Q108)</f>
        <v>0</v>
      </c>
      <c r="R109" s="14">
        <f t="shared" si="209"/>
        <v>0</v>
      </c>
      <c r="S109" s="14">
        <f t="shared" si="209"/>
        <v>0</v>
      </c>
      <c r="T109" s="14">
        <f t="shared" si="209"/>
        <v>0</v>
      </c>
      <c r="U109" s="14">
        <f t="shared" si="209"/>
        <v>0</v>
      </c>
      <c r="V109" s="14">
        <f t="shared" si="209"/>
        <v>0</v>
      </c>
      <c r="W109" s="14">
        <f t="shared" si="209"/>
        <v>0</v>
      </c>
      <c r="X109" s="14">
        <f t="shared" si="209"/>
        <v>0</v>
      </c>
      <c r="Y109" s="14">
        <f t="shared" si="209"/>
        <v>0</v>
      </c>
      <c r="Z109" s="14">
        <f t="shared" si="209"/>
        <v>0</v>
      </c>
      <c r="AA109" s="14">
        <f t="shared" si="209"/>
        <v>0</v>
      </c>
      <c r="AC109" s="14">
        <f t="shared" ref="AC109:AJ109" si="210">SUM(AC106:AC108)</f>
        <v>0</v>
      </c>
      <c r="AD109" s="14">
        <f t="shared" si="210"/>
        <v>0</v>
      </c>
      <c r="AE109" s="14">
        <f t="shared" si="210"/>
        <v>0</v>
      </c>
      <c r="AF109" s="14">
        <f t="shared" si="210"/>
        <v>0</v>
      </c>
      <c r="AG109" s="14">
        <f t="shared" si="210"/>
        <v>0</v>
      </c>
      <c r="AH109" s="14">
        <f t="shared" si="210"/>
        <v>0</v>
      </c>
      <c r="AI109" s="14">
        <f t="shared" si="210"/>
        <v>0</v>
      </c>
      <c r="AJ109" s="14">
        <f t="shared" si="210"/>
        <v>0</v>
      </c>
      <c r="AK109" s="42"/>
      <c r="AL109" s="76" t="e">
        <f t="shared" si="202"/>
        <v>#DIV/0!</v>
      </c>
    </row>
    <row r="110" spans="2:38" ht="5.0999999999999996" customHeight="1">
      <c r="B110" s="71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11"/>
      <c r="AL110" s="45"/>
    </row>
    <row r="111" spans="2:38">
      <c r="B111" s="92" t="s">
        <v>81</v>
      </c>
      <c r="C111" s="93"/>
      <c r="D111" s="93">
        <f t="shared" ref="D111:G111" si="211">C118</f>
        <v>45838</v>
      </c>
      <c r="E111" s="93">
        <f t="shared" si="211"/>
        <v>107857</v>
      </c>
      <c r="F111" s="93">
        <f t="shared" si="211"/>
        <v>156306</v>
      </c>
      <c r="G111" s="93">
        <f t="shared" si="211"/>
        <v>221363</v>
      </c>
      <c r="H111" s="93"/>
      <c r="I111" s="93"/>
      <c r="J111" s="93"/>
      <c r="K111" s="93"/>
      <c r="L111" s="93"/>
      <c r="M111" s="93"/>
      <c r="N111" s="93">
        <f t="shared" ref="N111" si="212">M118</f>
        <v>13470</v>
      </c>
      <c r="O111" s="93">
        <f t="shared" ref="O111" si="213">N118</f>
        <v>25349</v>
      </c>
      <c r="P111" s="93">
        <f t="shared" ref="P111" si="214">O118</f>
        <v>35460</v>
      </c>
      <c r="Q111" s="93">
        <f t="shared" ref="Q111" si="215">P118</f>
        <v>48449</v>
      </c>
      <c r="R111" s="93">
        <f t="shared" ref="R111:AA111" si="216">Q118</f>
        <v>60266</v>
      </c>
      <c r="S111" s="93">
        <f t="shared" si="216"/>
        <v>73999</v>
      </c>
      <c r="T111" s="93">
        <f t="shared" si="216"/>
        <v>91792</v>
      </c>
      <c r="U111" s="93">
        <f t="shared" si="216"/>
        <v>113506</v>
      </c>
      <c r="V111" s="93">
        <f t="shared" si="216"/>
        <v>132515</v>
      </c>
      <c r="W111" s="93">
        <f t="shared" si="216"/>
        <v>153288</v>
      </c>
      <c r="X111" s="93">
        <f t="shared" si="216"/>
        <v>176351</v>
      </c>
      <c r="Y111" s="93">
        <f t="shared" si="216"/>
        <v>206027</v>
      </c>
      <c r="Z111" s="93">
        <f t="shared" si="216"/>
        <v>230243</v>
      </c>
      <c r="AA111" s="93">
        <f t="shared" si="216"/>
        <v>257071</v>
      </c>
      <c r="AB111" s="93"/>
      <c r="AC111" s="93"/>
      <c r="AD111" s="93">
        <f t="shared" ref="AD111:AJ111" si="217">Q118</f>
        <v>60266</v>
      </c>
      <c r="AE111" s="93">
        <f t="shared" si="217"/>
        <v>73999</v>
      </c>
      <c r="AF111" s="93">
        <f t="shared" si="217"/>
        <v>91792</v>
      </c>
      <c r="AG111" s="93">
        <f t="shared" si="217"/>
        <v>113506</v>
      </c>
      <c r="AH111" s="93">
        <f t="shared" si="217"/>
        <v>132515</v>
      </c>
      <c r="AI111" s="93">
        <f t="shared" si="217"/>
        <v>153288</v>
      </c>
      <c r="AJ111" s="140">
        <f t="shared" si="217"/>
        <v>176351</v>
      </c>
      <c r="AK111" s="11"/>
      <c r="AL111" s="45"/>
    </row>
    <row r="112" spans="2:38">
      <c r="B112" s="130" t="s">
        <v>94</v>
      </c>
      <c r="C112" s="32"/>
      <c r="D112" s="32"/>
      <c r="E112" s="32">
        <f t="shared" ref="E112:G112" si="218">-D116</f>
        <v>0</v>
      </c>
      <c r="F112" s="32">
        <f t="shared" si="218"/>
        <v>0</v>
      </c>
      <c r="G112" s="32">
        <f t="shared" si="218"/>
        <v>0</v>
      </c>
      <c r="H112" s="32"/>
      <c r="I112" s="32"/>
      <c r="J112" s="32"/>
      <c r="K112" s="32"/>
      <c r="L112" s="32"/>
      <c r="M112" s="32"/>
      <c r="N112" s="32">
        <f t="shared" ref="N112" si="219">-M116</f>
        <v>0</v>
      </c>
      <c r="O112" s="32">
        <f t="shared" ref="O112" si="220">-N116</f>
        <v>0</v>
      </c>
      <c r="P112" s="32">
        <f t="shared" ref="P112" si="221">-O116</f>
        <v>0</v>
      </c>
      <c r="Q112" s="32">
        <f t="shared" ref="Q112" si="222">-P116</f>
        <v>0</v>
      </c>
      <c r="R112" s="32">
        <f t="shared" ref="R112:AA112" si="223">-Q116</f>
        <v>0</v>
      </c>
      <c r="S112" s="32">
        <f t="shared" si="223"/>
        <v>0</v>
      </c>
      <c r="T112" s="32">
        <f t="shared" si="223"/>
        <v>0</v>
      </c>
      <c r="U112" s="32">
        <f t="shared" si="223"/>
        <v>0</v>
      </c>
      <c r="V112" s="32">
        <f t="shared" si="223"/>
        <v>0</v>
      </c>
      <c r="W112" s="32">
        <f t="shared" si="223"/>
        <v>0</v>
      </c>
      <c r="X112" s="32">
        <f t="shared" si="223"/>
        <v>0</v>
      </c>
      <c r="Y112" s="32">
        <f t="shared" si="223"/>
        <v>0</v>
      </c>
      <c r="Z112" s="32">
        <f t="shared" si="223"/>
        <v>0</v>
      </c>
      <c r="AA112" s="32">
        <f t="shared" si="223"/>
        <v>0</v>
      </c>
      <c r="AB112" s="32"/>
      <c r="AC112" s="32">
        <f>F112</f>
        <v>0</v>
      </c>
      <c r="AD112" s="32">
        <f>-Q116</f>
        <v>0</v>
      </c>
      <c r="AE112" s="32">
        <f>-R116</f>
        <v>0</v>
      </c>
      <c r="AF112" s="32">
        <f>-S116</f>
        <v>0</v>
      </c>
      <c r="AG112" s="32">
        <f>-T116</f>
        <v>0</v>
      </c>
      <c r="AH112" s="32">
        <f>-U116</f>
        <v>0</v>
      </c>
      <c r="AI112" s="32">
        <f>-V116</f>
        <v>0</v>
      </c>
      <c r="AJ112" s="134">
        <f>-W116</f>
        <v>0</v>
      </c>
      <c r="AK112" s="11"/>
      <c r="AL112" s="45"/>
    </row>
    <row r="113" spans="2:38">
      <c r="B113" s="145" t="s">
        <v>68</v>
      </c>
      <c r="C113" s="146">
        <f t="shared" ref="C113" si="224">SUM(C111:C112)</f>
        <v>0</v>
      </c>
      <c r="D113" s="146">
        <f t="shared" ref="D113:G113" si="225">SUM(D111:D112)</f>
        <v>45838</v>
      </c>
      <c r="E113" s="146">
        <f t="shared" si="225"/>
        <v>107857</v>
      </c>
      <c r="F113" s="146">
        <f t="shared" si="225"/>
        <v>156306</v>
      </c>
      <c r="G113" s="146">
        <f t="shared" si="225"/>
        <v>221363</v>
      </c>
      <c r="H113" s="32"/>
      <c r="I113" s="146">
        <f t="shared" ref="I113:L113" si="226">SUM(I111:I112)</f>
        <v>0</v>
      </c>
      <c r="J113" s="146">
        <f t="shared" si="226"/>
        <v>0</v>
      </c>
      <c r="K113" s="146">
        <f t="shared" si="226"/>
        <v>0</v>
      </c>
      <c r="L113" s="146">
        <f t="shared" si="226"/>
        <v>0</v>
      </c>
      <c r="M113" s="146">
        <f t="shared" ref="M113:P113" si="227">SUM(M111:M112)</f>
        <v>0</v>
      </c>
      <c r="N113" s="146">
        <f t="shared" ref="N113" si="228">SUM(N111:N112)</f>
        <v>13470</v>
      </c>
      <c r="O113" s="146">
        <f t="shared" si="227"/>
        <v>25349</v>
      </c>
      <c r="P113" s="146">
        <f t="shared" si="227"/>
        <v>35460</v>
      </c>
      <c r="Q113" s="146">
        <f t="shared" ref="Q113:AA113" si="229">SUM(Q111:Q112)</f>
        <v>48449</v>
      </c>
      <c r="R113" s="146">
        <f t="shared" si="229"/>
        <v>60266</v>
      </c>
      <c r="S113" s="146">
        <f t="shared" si="229"/>
        <v>73999</v>
      </c>
      <c r="T113" s="146">
        <f t="shared" si="229"/>
        <v>91792</v>
      </c>
      <c r="U113" s="146">
        <f t="shared" si="229"/>
        <v>113506</v>
      </c>
      <c r="V113" s="146">
        <f t="shared" si="229"/>
        <v>132515</v>
      </c>
      <c r="W113" s="146">
        <f t="shared" si="229"/>
        <v>153288</v>
      </c>
      <c r="X113" s="146">
        <f t="shared" si="229"/>
        <v>176351</v>
      </c>
      <c r="Y113" s="146">
        <f t="shared" si="229"/>
        <v>206027</v>
      </c>
      <c r="Z113" s="146">
        <f t="shared" si="229"/>
        <v>230243</v>
      </c>
      <c r="AA113" s="146">
        <f t="shared" si="229"/>
        <v>257071</v>
      </c>
      <c r="AB113" s="32"/>
      <c r="AC113" s="133">
        <f t="shared" ref="AC113:AJ113" si="230">SUM(AC111:AC112)</f>
        <v>0</v>
      </c>
      <c r="AD113" s="133">
        <f t="shared" si="230"/>
        <v>60266</v>
      </c>
      <c r="AE113" s="133">
        <f t="shared" si="230"/>
        <v>73999</v>
      </c>
      <c r="AF113" s="146">
        <f t="shared" si="230"/>
        <v>91792</v>
      </c>
      <c r="AG113" s="146">
        <f t="shared" si="230"/>
        <v>113506</v>
      </c>
      <c r="AH113" s="146">
        <f t="shared" si="230"/>
        <v>132515</v>
      </c>
      <c r="AI113" s="146">
        <f t="shared" si="230"/>
        <v>153288</v>
      </c>
      <c r="AJ113" s="147">
        <f t="shared" si="230"/>
        <v>176351</v>
      </c>
      <c r="AK113" s="11"/>
      <c r="AL113" s="45"/>
    </row>
    <row r="114" spans="2:38" ht="5.0999999999999996" customHeight="1">
      <c r="B114" s="137"/>
      <c r="C114" s="71"/>
      <c r="D114" s="71"/>
      <c r="E114" s="71"/>
      <c r="F114" s="71"/>
      <c r="G114" s="71"/>
      <c r="H114" s="32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32"/>
      <c r="AC114" s="71"/>
      <c r="AD114" s="71"/>
      <c r="AE114" s="71"/>
      <c r="AF114" s="71"/>
      <c r="AG114" s="71"/>
      <c r="AH114" s="71"/>
      <c r="AI114" s="71"/>
      <c r="AJ114" s="135"/>
      <c r="AK114" s="11"/>
      <c r="AL114" s="45"/>
    </row>
    <row r="115" spans="2:38">
      <c r="B115" s="130" t="s">
        <v>82</v>
      </c>
      <c r="C115" s="82"/>
      <c r="D115" s="82"/>
      <c r="E115" s="82"/>
      <c r="F115" s="82"/>
      <c r="G115" s="82"/>
      <c r="H115" s="32"/>
      <c r="I115" s="82"/>
      <c r="J115" s="82"/>
      <c r="K115" s="82"/>
      <c r="L115" s="82"/>
      <c r="M115" s="82"/>
      <c r="N115" s="82"/>
      <c r="O115" s="82"/>
      <c r="P115" s="32">
        <f t="shared" ref="P115" si="231">SUM(E114-SUM(M115:O115))</f>
        <v>0</v>
      </c>
      <c r="Q115" s="82"/>
      <c r="R115" s="82"/>
      <c r="S115" s="82"/>
      <c r="T115" s="32">
        <f>SUM(F115-SUM(Q115:S115))</f>
        <v>0</v>
      </c>
      <c r="U115" s="82"/>
      <c r="V115" s="82"/>
      <c r="W115" s="82"/>
      <c r="X115" s="32">
        <f>SUM(G115-SUM(U115:W115))</f>
        <v>0</v>
      </c>
      <c r="Y115" s="82"/>
      <c r="Z115" s="82"/>
      <c r="AA115" s="82"/>
      <c r="AB115" s="32"/>
      <c r="AC115" s="32">
        <f>SUM(Q115:T115)</f>
        <v>0</v>
      </c>
      <c r="AD115" s="32">
        <f>SUM(R115:U115)</f>
        <v>0</v>
      </c>
      <c r="AE115" s="32">
        <f>SUM(S115:V115)</f>
        <v>0</v>
      </c>
      <c r="AF115" s="32">
        <f>SUM(T115:W115)</f>
        <v>0</v>
      </c>
      <c r="AG115" s="32">
        <f>SUM(U115:X115)</f>
        <v>0</v>
      </c>
      <c r="AH115" s="32">
        <f>SUM(V115:Y115)</f>
        <v>0</v>
      </c>
      <c r="AI115" s="32">
        <f>SUM(W115:Z115)</f>
        <v>0</v>
      </c>
      <c r="AJ115" s="134">
        <f>SUM(X115:AA115)</f>
        <v>0</v>
      </c>
      <c r="AK115" s="11"/>
      <c r="AL115" s="45"/>
    </row>
    <row r="116" spans="2:38">
      <c r="B116" s="130" t="s">
        <v>92</v>
      </c>
      <c r="C116" s="82"/>
      <c r="D116" s="82"/>
      <c r="E116" s="82"/>
      <c r="F116" s="82"/>
      <c r="G116" s="82"/>
      <c r="H116" s="32"/>
      <c r="I116" s="82"/>
      <c r="J116" s="82"/>
      <c r="K116" s="82"/>
      <c r="L116" s="82"/>
      <c r="M116" s="82"/>
      <c r="N116" s="82"/>
      <c r="O116" s="82"/>
      <c r="P116" s="32">
        <f>E116</f>
        <v>0</v>
      </c>
      <c r="Q116" s="82"/>
      <c r="R116" s="82"/>
      <c r="S116" s="82"/>
      <c r="T116" s="32">
        <f>F116</f>
        <v>0</v>
      </c>
      <c r="U116" s="82"/>
      <c r="V116" s="82"/>
      <c r="W116" s="82"/>
      <c r="X116" s="32">
        <f>G116</f>
        <v>0</v>
      </c>
      <c r="Y116" s="82"/>
      <c r="Z116" s="82"/>
      <c r="AA116" s="82"/>
      <c r="AB116" s="32"/>
      <c r="AC116" s="32">
        <f t="shared" ref="AC116:AJ116" si="232">T116</f>
        <v>0</v>
      </c>
      <c r="AD116" s="32">
        <f t="shared" si="232"/>
        <v>0</v>
      </c>
      <c r="AE116" s="32">
        <f t="shared" si="232"/>
        <v>0</v>
      </c>
      <c r="AF116" s="32">
        <f t="shared" si="232"/>
        <v>0</v>
      </c>
      <c r="AG116" s="32">
        <f t="shared" si="232"/>
        <v>0</v>
      </c>
      <c r="AH116" s="32">
        <f t="shared" si="232"/>
        <v>0</v>
      </c>
      <c r="AI116" s="32">
        <f t="shared" si="232"/>
        <v>0</v>
      </c>
      <c r="AJ116" s="134">
        <f t="shared" si="232"/>
        <v>0</v>
      </c>
      <c r="AK116" s="11"/>
      <c r="AL116" s="45"/>
    </row>
    <row r="117" spans="2:38">
      <c r="B117" s="130" t="s">
        <v>59</v>
      </c>
      <c r="C117" s="32">
        <f t="shared" ref="C117:G117" si="233">+C109+C103+C96</f>
        <v>45838</v>
      </c>
      <c r="D117" s="32">
        <f t="shared" si="233"/>
        <v>62019</v>
      </c>
      <c r="E117" s="32">
        <f t="shared" si="233"/>
        <v>48449</v>
      </c>
      <c r="F117" s="32">
        <f t="shared" si="233"/>
        <v>65057</v>
      </c>
      <c r="G117" s="32">
        <f t="shared" si="233"/>
        <v>92521</v>
      </c>
      <c r="H117" s="32"/>
      <c r="I117" s="32">
        <f t="shared" ref="I117:L117" si="234">+I109+I103+I96</f>
        <v>14628</v>
      </c>
      <c r="J117" s="32">
        <f t="shared" si="234"/>
        <v>15793</v>
      </c>
      <c r="K117" s="32">
        <f t="shared" si="234"/>
        <v>14965</v>
      </c>
      <c r="L117" s="32">
        <f t="shared" si="234"/>
        <v>16633</v>
      </c>
      <c r="M117" s="32">
        <f t="shared" ref="M117:P117" si="235">+M109+M103+M96</f>
        <v>13470</v>
      </c>
      <c r="N117" s="32">
        <f t="shared" ref="N117" si="236">+N109+N103+N96</f>
        <v>11879</v>
      </c>
      <c r="O117" s="32">
        <f t="shared" si="235"/>
        <v>10111</v>
      </c>
      <c r="P117" s="32">
        <f t="shared" si="235"/>
        <v>12989</v>
      </c>
      <c r="Q117" s="32">
        <f t="shared" ref="Q117:AA117" si="237">+Q109+Q103+Q96</f>
        <v>11817</v>
      </c>
      <c r="R117" s="32">
        <f t="shared" si="237"/>
        <v>13733</v>
      </c>
      <c r="S117" s="32">
        <f t="shared" si="237"/>
        <v>17793</v>
      </c>
      <c r="T117" s="32">
        <f t="shared" si="237"/>
        <v>21714</v>
      </c>
      <c r="U117" s="32">
        <f t="shared" si="237"/>
        <v>19009</v>
      </c>
      <c r="V117" s="32">
        <f t="shared" si="237"/>
        <v>20773</v>
      </c>
      <c r="W117" s="32">
        <f t="shared" si="237"/>
        <v>23063</v>
      </c>
      <c r="X117" s="32">
        <f t="shared" si="237"/>
        <v>29676</v>
      </c>
      <c r="Y117" s="32">
        <f t="shared" si="237"/>
        <v>24216</v>
      </c>
      <c r="Z117" s="32">
        <f t="shared" si="237"/>
        <v>26828</v>
      </c>
      <c r="AA117" s="32">
        <f t="shared" si="237"/>
        <v>11915</v>
      </c>
      <c r="AB117" s="32"/>
      <c r="AC117" s="32">
        <f>SUM(Q117:T117)</f>
        <v>65057</v>
      </c>
      <c r="AD117" s="32">
        <f>SUM(R117:U117)</f>
        <v>72249</v>
      </c>
      <c r="AE117" s="32">
        <f>SUM(S117:V117)</f>
        <v>79289</v>
      </c>
      <c r="AF117" s="32">
        <f>SUM(T117:W117)</f>
        <v>84559</v>
      </c>
      <c r="AG117" s="32">
        <f>SUM(U117:X117)</f>
        <v>92521</v>
      </c>
      <c r="AH117" s="32">
        <f>SUM(V117:Y117)</f>
        <v>97728</v>
      </c>
      <c r="AI117" s="32">
        <f>SUM(W117:Z117)</f>
        <v>103783</v>
      </c>
      <c r="AJ117" s="134">
        <f>SUM(X117:AA117)</f>
        <v>92635</v>
      </c>
      <c r="AK117" s="11"/>
      <c r="AL117" s="45"/>
    </row>
    <row r="118" spans="2:38">
      <c r="B118" s="89" t="s">
        <v>69</v>
      </c>
      <c r="C118" s="146">
        <f t="shared" ref="C118:G118" si="238">SUM(C113:C117)</f>
        <v>45838</v>
      </c>
      <c r="D118" s="146">
        <f t="shared" si="238"/>
        <v>107857</v>
      </c>
      <c r="E118" s="146">
        <f t="shared" si="238"/>
        <v>156306</v>
      </c>
      <c r="F118" s="146">
        <f t="shared" si="238"/>
        <v>221363</v>
      </c>
      <c r="G118" s="146">
        <f t="shared" si="238"/>
        <v>313884</v>
      </c>
      <c r="H118" s="32"/>
      <c r="I118" s="146">
        <f t="shared" ref="I118:L118" si="239">SUM(I113:I117)</f>
        <v>14628</v>
      </c>
      <c r="J118" s="146">
        <f t="shared" si="239"/>
        <v>15793</v>
      </c>
      <c r="K118" s="146">
        <f t="shared" si="239"/>
        <v>14965</v>
      </c>
      <c r="L118" s="146">
        <f t="shared" si="239"/>
        <v>16633</v>
      </c>
      <c r="M118" s="146">
        <f t="shared" ref="M118:P118" si="240">SUM(M113:M117)</f>
        <v>13470</v>
      </c>
      <c r="N118" s="146">
        <f t="shared" ref="N118" si="241">SUM(N113:N117)</f>
        <v>25349</v>
      </c>
      <c r="O118" s="146">
        <f t="shared" si="240"/>
        <v>35460</v>
      </c>
      <c r="P118" s="146">
        <f t="shared" si="240"/>
        <v>48449</v>
      </c>
      <c r="Q118" s="146">
        <f t="shared" ref="Q118:AA118" si="242">SUM(Q113:Q117)</f>
        <v>60266</v>
      </c>
      <c r="R118" s="146">
        <f t="shared" si="242"/>
        <v>73999</v>
      </c>
      <c r="S118" s="146">
        <f t="shared" si="242"/>
        <v>91792</v>
      </c>
      <c r="T118" s="146">
        <f t="shared" si="242"/>
        <v>113506</v>
      </c>
      <c r="U118" s="146">
        <f t="shared" si="242"/>
        <v>132515</v>
      </c>
      <c r="V118" s="146">
        <f t="shared" si="242"/>
        <v>153288</v>
      </c>
      <c r="W118" s="146">
        <f t="shared" si="242"/>
        <v>176351</v>
      </c>
      <c r="X118" s="146">
        <f t="shared" si="242"/>
        <v>206027</v>
      </c>
      <c r="Y118" s="146">
        <f t="shared" si="242"/>
        <v>230243</v>
      </c>
      <c r="Z118" s="146">
        <f t="shared" si="242"/>
        <v>257071</v>
      </c>
      <c r="AA118" s="146">
        <f t="shared" si="242"/>
        <v>268986</v>
      </c>
      <c r="AB118" s="32"/>
      <c r="AC118" s="133">
        <f t="shared" ref="AC118:AJ118" si="243">SUM(AC113:AC117)</f>
        <v>65057</v>
      </c>
      <c r="AD118" s="133">
        <f t="shared" si="243"/>
        <v>132515</v>
      </c>
      <c r="AE118" s="133">
        <f t="shared" si="243"/>
        <v>153288</v>
      </c>
      <c r="AF118" s="146">
        <f t="shared" si="243"/>
        <v>176351</v>
      </c>
      <c r="AG118" s="146">
        <f t="shared" si="243"/>
        <v>206027</v>
      </c>
      <c r="AH118" s="146">
        <f t="shared" si="243"/>
        <v>230243</v>
      </c>
      <c r="AI118" s="146">
        <f t="shared" si="243"/>
        <v>257071</v>
      </c>
      <c r="AJ118" s="147">
        <f t="shared" si="243"/>
        <v>268986</v>
      </c>
      <c r="AK118" s="11"/>
      <c r="AL118" s="45"/>
    </row>
    <row r="119" spans="2:38" ht="5.0999999999999996" customHeight="1">
      <c r="B119" s="90"/>
      <c r="C119" s="65"/>
      <c r="D119" s="65"/>
      <c r="E119" s="65"/>
      <c r="F119" s="65"/>
      <c r="G119" s="65"/>
      <c r="H119" s="32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C119" s="11"/>
      <c r="AD119" s="11"/>
      <c r="AE119" s="11"/>
      <c r="AF119" s="11"/>
      <c r="AG119" s="11"/>
      <c r="AH119" s="11"/>
      <c r="AI119" s="11"/>
      <c r="AJ119" s="91"/>
      <c r="AK119" s="11"/>
      <c r="AL119" s="45"/>
    </row>
    <row r="120" spans="2:38">
      <c r="B120" s="138" t="s">
        <v>85</v>
      </c>
      <c r="C120" s="87">
        <f>ROUND(C118-C42,1)</f>
        <v>28262</v>
      </c>
      <c r="D120" s="87">
        <f>ROUND(D118-D42,1)</f>
        <v>91256</v>
      </c>
      <c r="E120" s="87">
        <f>ROUND(E118-E42,1)</f>
        <v>141625</v>
      </c>
      <c r="F120" s="87">
        <f>ROUND(F118-F42,1)</f>
        <v>179501</v>
      </c>
      <c r="G120" s="87">
        <f>ROUND(G118-G42,1)</f>
        <v>269995</v>
      </c>
      <c r="H120" s="88"/>
      <c r="I120" s="87">
        <f>I118-I42</f>
        <v>-4885</v>
      </c>
      <c r="J120" s="87">
        <f>J118-J42</f>
        <v>-393</v>
      </c>
      <c r="K120" s="87">
        <f>K118-K42</f>
        <v>469</v>
      </c>
      <c r="L120" s="87">
        <f>L118-L42</f>
        <v>32</v>
      </c>
      <c r="M120" s="87">
        <f>M118-M42</f>
        <v>-1416</v>
      </c>
      <c r="N120" s="87">
        <f>N118-N42</f>
        <v>12668</v>
      </c>
      <c r="O120" s="87">
        <f>O118-O42</f>
        <v>21152</v>
      </c>
      <c r="P120" s="87">
        <f>P118-P42</f>
        <v>33768</v>
      </c>
      <c r="Q120" s="87">
        <f>Q118-Q42</f>
        <v>48715</v>
      </c>
      <c r="R120" s="87">
        <f>R118-R42</f>
        <v>45214</v>
      </c>
      <c r="S120" s="87">
        <f>S118-S42</f>
        <v>54902</v>
      </c>
      <c r="T120" s="87">
        <f>T118-T42</f>
        <v>71644</v>
      </c>
      <c r="U120" s="87">
        <f>U118-U42</f>
        <v>100208</v>
      </c>
      <c r="V120" s="87">
        <f>V118-V42</f>
        <v>121243</v>
      </c>
      <c r="W120" s="87">
        <f>W118-W42</f>
        <v>132499</v>
      </c>
      <c r="X120" s="87">
        <f>X118-X42</f>
        <v>162138</v>
      </c>
      <c r="Y120" s="87">
        <f>Y118-Y42</f>
        <v>201493</v>
      </c>
      <c r="Z120" s="87">
        <f>Z118-Z42</f>
        <v>245066</v>
      </c>
      <c r="AA120" s="87">
        <f>AA118-AA42</f>
        <v>258799</v>
      </c>
      <c r="AB120" s="87"/>
      <c r="AC120" s="87">
        <f>AC118-AC42</f>
        <v>23195</v>
      </c>
      <c r="AD120" s="87">
        <f>AD118-AD42</f>
        <v>100208</v>
      </c>
      <c r="AE120" s="87">
        <f>AE118-AE42</f>
        <v>121243</v>
      </c>
      <c r="AF120" s="87">
        <f>AF118-AF42</f>
        <v>132499</v>
      </c>
      <c r="AG120" s="87">
        <f>AG118-AG42</f>
        <v>162138</v>
      </c>
      <c r="AH120" s="87">
        <f>AH118-AH42</f>
        <v>201493</v>
      </c>
      <c r="AI120" s="87">
        <f>AI118-AI42</f>
        <v>245066</v>
      </c>
      <c r="AJ120" s="136">
        <f>AJ118-AJ42</f>
        <v>258799</v>
      </c>
      <c r="AK120" s="11"/>
      <c r="AL120" s="45"/>
    </row>
    <row r="121" spans="2:38" ht="5.0999999999999996" customHeight="1">
      <c r="B121" s="8"/>
      <c r="C121" s="65"/>
      <c r="D121" s="65"/>
      <c r="E121" s="65"/>
      <c r="F121" s="65"/>
      <c r="G121" s="65"/>
      <c r="H121" s="32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C121" s="11"/>
      <c r="AD121" s="11"/>
      <c r="AE121" s="11"/>
      <c r="AF121" s="11"/>
      <c r="AG121" s="11"/>
      <c r="AH121" s="11"/>
      <c r="AI121" s="11"/>
      <c r="AJ121" s="11"/>
      <c r="AK121" s="11"/>
      <c r="AL121" s="45"/>
    </row>
    <row r="122" spans="2:38" ht="12.75" customHeight="1">
      <c r="B122" s="72" t="s">
        <v>60</v>
      </c>
      <c r="C122" s="62"/>
      <c r="D122" s="62"/>
      <c r="E122" s="62"/>
      <c r="F122" s="62"/>
      <c r="G122" s="62"/>
      <c r="H122" s="11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82"/>
      <c r="Z122" s="62"/>
      <c r="AA122" s="62"/>
      <c r="AC122" s="62"/>
      <c r="AD122" s="62"/>
      <c r="AE122" s="62"/>
      <c r="AF122" s="62"/>
      <c r="AG122" s="62"/>
      <c r="AH122" s="62"/>
      <c r="AI122" s="62"/>
      <c r="AJ122" s="62"/>
      <c r="AK122" s="66"/>
      <c r="AL122" s="45"/>
    </row>
    <row r="123" spans="2:38" ht="12.75" customHeight="1">
      <c r="B123" s="8" t="s">
        <v>93</v>
      </c>
      <c r="C123" s="82"/>
      <c r="D123" s="82"/>
      <c r="E123" s="82"/>
      <c r="F123" s="82"/>
      <c r="G123" s="82"/>
      <c r="H123" s="11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32">
        <f>SUM(F123-SUM(Q123:S123))</f>
        <v>0</v>
      </c>
      <c r="U123" s="82"/>
      <c r="V123" s="82"/>
      <c r="W123" s="82"/>
      <c r="X123" s="32">
        <f>SUM(G123-SUM(U123:W123))</f>
        <v>0</v>
      </c>
      <c r="Y123" s="82"/>
      <c r="Z123" s="82"/>
      <c r="AA123" s="82"/>
      <c r="AC123" s="32">
        <f>SUM(Q123:T123)</f>
        <v>0</v>
      </c>
      <c r="AD123" s="32">
        <f>SUM(R123:U123)</f>
        <v>0</v>
      </c>
      <c r="AE123" s="32">
        <f>SUM(S123:V123)</f>
        <v>0</v>
      </c>
      <c r="AF123" s="32">
        <f>SUM(T123:W123)</f>
        <v>0</v>
      </c>
      <c r="AG123" s="32">
        <f>SUM(U123:X123)</f>
        <v>0</v>
      </c>
      <c r="AH123" s="32">
        <f>SUM(V123:Y123)</f>
        <v>0</v>
      </c>
      <c r="AI123" s="32">
        <f>SUM(W123:Z123)</f>
        <v>0</v>
      </c>
      <c r="AJ123" s="32">
        <f>SUM(X123:AA123)</f>
        <v>0</v>
      </c>
      <c r="AK123" s="66"/>
      <c r="AL123" s="45"/>
    </row>
    <row r="124" spans="2:38" ht="12.75" customHeight="1">
      <c r="B124" s="8" t="s">
        <v>109</v>
      </c>
      <c r="C124" s="82"/>
      <c r="D124" s="82"/>
      <c r="E124" s="82"/>
      <c r="F124" s="82"/>
      <c r="G124" s="82"/>
      <c r="H124" s="3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32">
        <f>SUM(F124-SUM(Q124:S124))</f>
        <v>0</v>
      </c>
      <c r="U124" s="82"/>
      <c r="V124" s="82"/>
      <c r="W124" s="82"/>
      <c r="X124" s="32">
        <f>SUM(G124-SUM(U124:W124))</f>
        <v>0</v>
      </c>
      <c r="Y124" s="82"/>
      <c r="Z124" s="82"/>
      <c r="AA124" s="82"/>
      <c r="AB124" s="32"/>
      <c r="AC124" s="32">
        <f>SUM(Q124:T124)</f>
        <v>0</v>
      </c>
      <c r="AD124" s="32">
        <f>SUM(R124:U124)</f>
        <v>0</v>
      </c>
      <c r="AE124" s="32">
        <f>SUM(S124:V124)</f>
        <v>0</v>
      </c>
      <c r="AF124" s="32">
        <f>SUM(T124:W124)</f>
        <v>0</v>
      </c>
      <c r="AG124" s="32">
        <f>SUM(U124:X124)</f>
        <v>0</v>
      </c>
      <c r="AH124" s="32">
        <f>SUM(V124:Y124)</f>
        <v>0</v>
      </c>
      <c r="AI124" s="32">
        <f>SUM(W124:Z124)</f>
        <v>0</v>
      </c>
      <c r="AJ124" s="32">
        <f>SUM(X124:AA124)</f>
        <v>0</v>
      </c>
      <c r="AK124" s="11"/>
      <c r="AL124" s="45"/>
    </row>
    <row r="125" spans="2:38" ht="5.0999999999999996" customHeight="1" thickBot="1">
      <c r="B125" s="73"/>
      <c r="C125" s="74"/>
      <c r="D125" s="74"/>
      <c r="E125" s="74"/>
      <c r="F125" s="74"/>
      <c r="G125" s="74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L125" s="45"/>
    </row>
    <row r="126" spans="2:38" ht="12.75" customHeight="1">
      <c r="B126" s="53"/>
      <c r="C126" s="67"/>
      <c r="D126" s="67"/>
      <c r="E126" s="67"/>
      <c r="F126" s="67"/>
      <c r="G126" s="67"/>
    </row>
    <row r="127" spans="2:38" ht="12.75" customHeight="1">
      <c r="C127" s="56"/>
      <c r="D127" s="56"/>
      <c r="E127" s="56"/>
      <c r="F127" s="56"/>
      <c r="G127" s="56"/>
    </row>
    <row r="128" spans="2:38" ht="12.75" customHeight="1"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</row>
    <row r="129" spans="3:22" ht="12.75" customHeight="1"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</row>
    <row r="130" spans="3:22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</row>
    <row r="131" spans="3:22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</row>
    <row r="132" spans="3:22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86"/>
    </row>
    <row r="133" spans="3:22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</row>
    <row r="134" spans="3:22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86"/>
    </row>
    <row r="135" spans="3:22"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86"/>
    </row>
    <row r="136" spans="3:22"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86"/>
    </row>
    <row r="137" spans="3:22"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</row>
    <row r="138" spans="3:22"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86"/>
    </row>
    <row r="139" spans="3:22"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86"/>
    </row>
    <row r="140" spans="3:22"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</row>
    <row r="141" spans="3:22"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</row>
  </sheetData>
  <mergeCells count="3">
    <mergeCell ref="AL6:AL8"/>
    <mergeCell ref="AL37:AL39"/>
    <mergeCell ref="AL82:AL84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46 AC21:AG22 AC25:AJ26" formulaRange="1"/>
    <ignoredError sqref="D21:G22 Q21:AA22 Q25:AA25 D25:G25 AJ103:AL105 AJ96:AL97 AK102 AJ98:AK98 AK106:AL106 M28:AJ30 M32:AJ33 M31:O31 Q31:AJ31 M35:AJ35 M34:O34 Q34:S34 Y34:AJ34 C28:H30 H27 AB27 C32:H35 C31:F31 H31" evalError="1"/>
    <ignoredError sqref="AC116:AJ116 AC115:AJ115" formula="1"/>
    <ignoredError sqref="AC27:AJ27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L39"/>
  <sheetViews>
    <sheetView showGridLines="0" topLeftCell="L1" zoomScaleNormal="100" workbookViewId="0">
      <selection activeCell="AK12" sqref="AK12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3" width="8.75" style="8" customWidth="1" outlineLevel="1"/>
    <col min="34" max="34" width="8.75" style="8" customWidth="1"/>
    <col min="35" max="37" width="8.75" style="8" customWidth="1" outlineLevel="1"/>
    <col min="38" max="38" width="8.75" style="8" customWidth="1"/>
    <col min="39" max="16384" width="9" style="8"/>
  </cols>
  <sheetData>
    <row r="2" spans="1:38" s="5" customFormat="1" ht="12.75" customHeight="1">
      <c r="B2" s="1" t="str">
        <f>'Historical Financials'!B2</f>
        <v>Meta Platforms, Inc. (NASDAQ: META)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 t="shared" ref="AC3:AK4" si="0">R3</f>
        <v>2Q23</v>
      </c>
      <c r="AD3" s="4" t="str">
        <f t="shared" si="0"/>
        <v>3Q23</v>
      </c>
      <c r="AE3" s="4" t="str">
        <f t="shared" si="0"/>
        <v>4Q23</v>
      </c>
      <c r="AF3" s="4" t="str">
        <f t="shared" si="0"/>
        <v>1Q24</v>
      </c>
      <c r="AG3" s="4" t="str">
        <f t="shared" si="0"/>
        <v>2Q24</v>
      </c>
      <c r="AH3" s="4" t="str">
        <f t="shared" si="0"/>
        <v>3Q24</v>
      </c>
      <c r="AI3" s="4" t="str">
        <f t="shared" si="0"/>
        <v>4Q24</v>
      </c>
      <c r="AJ3" s="4" t="str">
        <f t="shared" si="0"/>
        <v>1Q25</v>
      </c>
      <c r="AK3" s="4" t="str">
        <f t="shared" si="0"/>
        <v>2Q25</v>
      </c>
      <c r="AL3" s="4" t="str">
        <f>AA3</f>
        <v>3Q25</v>
      </c>
    </row>
    <row r="4" spans="1:38" s="5" customFormat="1" ht="12.75" customHeight="1">
      <c r="B4" s="6" t="s">
        <v>158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/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/>
      <c r="AC4" s="3">
        <f t="shared" si="0"/>
        <v>0</v>
      </c>
      <c r="AD4" s="3">
        <f t="shared" si="0"/>
        <v>0</v>
      </c>
      <c r="AE4" s="3">
        <f t="shared" si="0"/>
        <v>0</v>
      </c>
      <c r="AF4" s="3">
        <f t="shared" si="0"/>
        <v>0</v>
      </c>
      <c r="AG4" s="3">
        <f t="shared" si="0"/>
        <v>0</v>
      </c>
      <c r="AH4" s="3">
        <f t="shared" si="0"/>
        <v>0</v>
      </c>
      <c r="AI4" s="3">
        <f t="shared" si="0"/>
        <v>0</v>
      </c>
      <c r="AJ4" s="3">
        <f t="shared" si="0"/>
        <v>0</v>
      </c>
      <c r="AK4" s="3">
        <f t="shared" si="0"/>
        <v>0</v>
      </c>
      <c r="AL4" s="3">
        <f>AA4</f>
        <v>0</v>
      </c>
    </row>
    <row r="5" spans="1:38" ht="5.0999999999999996" customHeight="1"/>
    <row r="6" spans="1:38">
      <c r="A6" s="36" t="s">
        <v>16</v>
      </c>
      <c r="B6" s="1" t="s">
        <v>159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5.0999999999999996" customHeight="1"/>
    <row r="8" spans="1:38" ht="12.75" customHeight="1">
      <c r="A8" s="80" t="s">
        <v>16</v>
      </c>
      <c r="B8" s="78" t="s">
        <v>160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ht="12.75" customHeight="1">
      <c r="A9" s="80"/>
      <c r="B9" s="9" t="s">
        <v>188</v>
      </c>
      <c r="C9" s="171">
        <f>C20</f>
        <v>85236</v>
      </c>
      <c r="D9" s="171">
        <f t="shared" ref="D9:AA9" si="1">D20</f>
        <v>115655</v>
      </c>
      <c r="E9" s="171">
        <f t="shared" si="1"/>
        <v>114450</v>
      </c>
      <c r="F9" s="171">
        <f t="shared" si="1"/>
        <v>133006</v>
      </c>
      <c r="G9" s="171">
        <f t="shared" si="1"/>
        <v>162355</v>
      </c>
      <c r="H9" s="10"/>
      <c r="I9" s="171">
        <f t="shared" si="1"/>
        <v>25637</v>
      </c>
      <c r="J9" s="171">
        <f t="shared" si="1"/>
        <v>28772</v>
      </c>
      <c r="K9" s="171">
        <f t="shared" si="1"/>
        <v>28452</v>
      </c>
      <c r="L9" s="171">
        <f t="shared" si="1"/>
        <v>32794</v>
      </c>
      <c r="M9" s="171">
        <f t="shared" si="1"/>
        <v>27213</v>
      </c>
      <c r="N9" s="171">
        <f t="shared" si="1"/>
        <v>28370</v>
      </c>
      <c r="O9" s="171">
        <f t="shared" si="1"/>
        <v>27429</v>
      </c>
      <c r="P9" s="171">
        <f t="shared" si="1"/>
        <v>31438</v>
      </c>
      <c r="Q9" s="171">
        <f t="shared" si="1"/>
        <v>28306</v>
      </c>
      <c r="R9" s="171">
        <f t="shared" si="1"/>
        <v>31723</v>
      </c>
      <c r="S9" s="171">
        <f t="shared" si="1"/>
        <v>33936</v>
      </c>
      <c r="T9" s="171">
        <f t="shared" si="1"/>
        <v>39041</v>
      </c>
      <c r="U9" s="171">
        <f t="shared" si="1"/>
        <v>36015</v>
      </c>
      <c r="V9" s="171">
        <f t="shared" si="1"/>
        <v>38718</v>
      </c>
      <c r="W9" s="171">
        <f t="shared" si="1"/>
        <v>40319</v>
      </c>
      <c r="X9" s="171">
        <f t="shared" si="1"/>
        <v>47303</v>
      </c>
      <c r="Y9" s="171">
        <f t="shared" si="1"/>
        <v>41902</v>
      </c>
      <c r="Z9" s="171">
        <f t="shared" si="1"/>
        <v>47146</v>
      </c>
      <c r="AA9" s="171">
        <f t="shared" si="1"/>
        <v>50772</v>
      </c>
      <c r="AB9" s="5"/>
      <c r="AC9" s="32">
        <f t="shared" ref="AC9:AK10" si="2">SUM(O9:R9)</f>
        <v>118896</v>
      </c>
      <c r="AD9" s="32">
        <f t="shared" si="2"/>
        <v>125403</v>
      </c>
      <c r="AE9" s="32">
        <f t="shared" si="2"/>
        <v>133006</v>
      </c>
      <c r="AF9" s="32">
        <f t="shared" si="2"/>
        <v>140715</v>
      </c>
      <c r="AG9" s="32">
        <f t="shared" si="2"/>
        <v>147710</v>
      </c>
      <c r="AH9" s="32">
        <f t="shared" si="2"/>
        <v>154093</v>
      </c>
      <c r="AI9" s="32">
        <f t="shared" si="2"/>
        <v>162355</v>
      </c>
      <c r="AJ9" s="32">
        <f t="shared" si="2"/>
        <v>168242</v>
      </c>
      <c r="AK9" s="32">
        <f t="shared" si="2"/>
        <v>176670</v>
      </c>
      <c r="AL9" s="32">
        <f>SUM(X9:AA9)</f>
        <v>187123</v>
      </c>
    </row>
    <row r="10" spans="1:38">
      <c r="B10" s="9" t="s">
        <v>183</v>
      </c>
      <c r="C10" s="81">
        <v>729</v>
      </c>
      <c r="D10" s="81">
        <v>2274</v>
      </c>
      <c r="E10" s="81">
        <v>2159</v>
      </c>
      <c r="F10" s="81">
        <v>1896</v>
      </c>
      <c r="G10" s="81">
        <v>2146</v>
      </c>
      <c r="H10" s="81"/>
      <c r="I10" s="95">
        <v>534</v>
      </c>
      <c r="J10" s="95">
        <v>305</v>
      </c>
      <c r="K10" s="95">
        <v>558</v>
      </c>
      <c r="L10" s="32">
        <f t="shared" ref="L10" si="3">SUM(D10-SUM(I10:K10))</f>
        <v>877</v>
      </c>
      <c r="M10" s="95">
        <v>695</v>
      </c>
      <c r="N10" s="95">
        <v>452</v>
      </c>
      <c r="O10" s="95">
        <v>285</v>
      </c>
      <c r="P10" s="32">
        <f t="shared" ref="P10" si="4">SUM(E10-SUM(M10:O10))</f>
        <v>727</v>
      </c>
      <c r="Q10" s="95">
        <v>339</v>
      </c>
      <c r="R10" s="95">
        <v>276</v>
      </c>
      <c r="S10" s="95">
        <v>210</v>
      </c>
      <c r="T10" s="32">
        <f t="shared" ref="T10" si="5">SUM(F10-SUM(Q10:S10))</f>
        <v>1071</v>
      </c>
      <c r="U10" s="95">
        <v>440</v>
      </c>
      <c r="V10" s="95">
        <v>353</v>
      </c>
      <c r="W10" s="95">
        <v>270</v>
      </c>
      <c r="X10" s="32">
        <f t="shared" ref="X10" si="6">SUM(G10-SUM(U10:W10))</f>
        <v>1083</v>
      </c>
      <c r="Y10" s="82">
        <v>412</v>
      </c>
      <c r="Z10" s="82">
        <v>370</v>
      </c>
      <c r="AA10" s="81">
        <v>470</v>
      </c>
      <c r="AB10" s="5"/>
      <c r="AC10" s="32">
        <f t="shared" si="2"/>
        <v>1627</v>
      </c>
      <c r="AD10" s="32">
        <f t="shared" si="2"/>
        <v>1552</v>
      </c>
      <c r="AE10" s="32">
        <f t="shared" si="2"/>
        <v>1896</v>
      </c>
      <c r="AF10" s="32">
        <f t="shared" si="2"/>
        <v>1997</v>
      </c>
      <c r="AG10" s="32">
        <f t="shared" si="2"/>
        <v>2074</v>
      </c>
      <c r="AH10" s="32">
        <f t="shared" si="2"/>
        <v>2134</v>
      </c>
      <c r="AI10" s="32">
        <f t="shared" si="2"/>
        <v>2146</v>
      </c>
      <c r="AJ10" s="32">
        <f t="shared" si="2"/>
        <v>2118</v>
      </c>
      <c r="AK10" s="32">
        <f t="shared" si="2"/>
        <v>2135</v>
      </c>
      <c r="AL10" s="32">
        <f>SUM(X10:AA10)</f>
        <v>2335</v>
      </c>
    </row>
    <row r="11" spans="1:38">
      <c r="B11" s="13" t="s">
        <v>65</v>
      </c>
      <c r="C11" s="14">
        <f>SUM(C9:C10)</f>
        <v>85965</v>
      </c>
      <c r="D11" s="14">
        <f>SUM(D9:D10)</f>
        <v>117929</v>
      </c>
      <c r="E11" s="14">
        <f>SUM(E9:E10)</f>
        <v>116609</v>
      </c>
      <c r="F11" s="14">
        <f>SUM(F9:F10)</f>
        <v>134902</v>
      </c>
      <c r="G11" s="14">
        <f>SUM(G9:G10)</f>
        <v>164501</v>
      </c>
      <c r="H11" s="11"/>
      <c r="I11" s="14">
        <f t="shared" ref="I11" si="7">SUM(I9:I10)</f>
        <v>26171</v>
      </c>
      <c r="J11" s="14">
        <f t="shared" ref="J11:L11" si="8">SUM(J9:J10)</f>
        <v>29077</v>
      </c>
      <c r="K11" s="14">
        <f t="shared" si="8"/>
        <v>29010</v>
      </c>
      <c r="L11" s="14">
        <f t="shared" si="8"/>
        <v>33671</v>
      </c>
      <c r="M11" s="14">
        <f>SUM(M9:M10)</f>
        <v>27908</v>
      </c>
      <c r="N11" s="14">
        <f>SUM(N9:N10)</f>
        <v>28822</v>
      </c>
      <c r="O11" s="14">
        <f>SUM(O9:O10)</f>
        <v>27714</v>
      </c>
      <c r="P11" s="14">
        <f>SUM(P9:P10)</f>
        <v>32165</v>
      </c>
      <c r="Q11" s="14">
        <f>SUM(Q9:Q10)</f>
        <v>28645</v>
      </c>
      <c r="R11" s="14">
        <f>SUM(R9:R10)</f>
        <v>31999</v>
      </c>
      <c r="S11" s="14">
        <f>SUM(S9:S10)</f>
        <v>34146</v>
      </c>
      <c r="T11" s="14">
        <f>SUM(T9:T10)</f>
        <v>40112</v>
      </c>
      <c r="U11" s="14">
        <f>SUM(U9:U10)</f>
        <v>36455</v>
      </c>
      <c r="V11" s="14">
        <f>SUM(V9:V10)</f>
        <v>39071</v>
      </c>
      <c r="W11" s="14">
        <f>SUM(W9:W10)</f>
        <v>40589</v>
      </c>
      <c r="X11" s="14">
        <f>SUM(X9:X10)</f>
        <v>48386</v>
      </c>
      <c r="Y11" s="14">
        <f>SUM(Y9:Y10)</f>
        <v>42314</v>
      </c>
      <c r="Z11" s="14">
        <f>SUM(Z9:Z10)</f>
        <v>47516</v>
      </c>
      <c r="AA11" s="14">
        <f>SUM(AA9:AA10)</f>
        <v>51242</v>
      </c>
      <c r="AB11" s="5"/>
      <c r="AC11" s="14">
        <f t="shared" ref="AC11:AK11" si="9">SUM(AC9:AC10)</f>
        <v>120523</v>
      </c>
      <c r="AD11" s="14">
        <f t="shared" si="9"/>
        <v>126955</v>
      </c>
      <c r="AE11" s="14">
        <f t="shared" si="9"/>
        <v>134902</v>
      </c>
      <c r="AF11" s="14">
        <f t="shared" si="9"/>
        <v>142712</v>
      </c>
      <c r="AG11" s="14">
        <f t="shared" si="9"/>
        <v>149784</v>
      </c>
      <c r="AH11" s="14">
        <f t="shared" si="9"/>
        <v>156227</v>
      </c>
      <c r="AI11" s="14">
        <f t="shared" si="9"/>
        <v>164501</v>
      </c>
      <c r="AJ11" s="14">
        <f t="shared" si="9"/>
        <v>170360</v>
      </c>
      <c r="AK11" s="14">
        <f t="shared" si="9"/>
        <v>178805</v>
      </c>
      <c r="AL11" s="14">
        <f>SUM(AL9:AL10)</f>
        <v>189458</v>
      </c>
    </row>
    <row r="12" spans="1:38" outlineLevel="1">
      <c r="B12" s="131" t="s">
        <v>161</v>
      </c>
      <c r="C12" s="79">
        <f>C11-'Historical Financials'!C11</f>
        <v>0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79">
        <f>G11-'Historical Financials'!G11</f>
        <v>0</v>
      </c>
      <c r="H12" s="11"/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/>
      <c r="AC12" s="79">
        <f>AC11-'Historical Financials'!AC11</f>
        <v>-14379</v>
      </c>
      <c r="AD12" s="79">
        <f>AD11-'Historical Financials'!AD11</f>
        <v>-15757</v>
      </c>
      <c r="AE12" s="79">
        <f>AE11-'Historical Financials'!AE11</f>
        <v>-14882</v>
      </c>
      <c r="AF12" s="79">
        <f>AF11-'Historical Financials'!AF11</f>
        <v>-13515</v>
      </c>
      <c r="AG12" s="79">
        <f>AG11-'Historical Financials'!AG11</f>
        <v>-14717</v>
      </c>
      <c r="AH12" s="79">
        <f>AH11-'Historical Financials'!AH11</f>
        <v>-14133</v>
      </c>
      <c r="AI12" s="79">
        <f>AI11-'Historical Financials'!AI11</f>
        <v>-14304</v>
      </c>
      <c r="AJ12" s="79">
        <f>AJ11-'Historical Financials'!AJ11</f>
        <v>-19098</v>
      </c>
      <c r="AK12" s="79">
        <f>AK11-'Historical Financials'!AK11</f>
        <v>178805</v>
      </c>
      <c r="AL12" s="79">
        <f>AL11-'Historical Financials'!AL11</f>
        <v>189457.78729028912</v>
      </c>
    </row>
    <row r="13" spans="1:38">
      <c r="B13" s="18"/>
      <c r="C13" s="19"/>
      <c r="D13" s="19"/>
      <c r="E13" s="19"/>
      <c r="F13" s="19"/>
      <c r="G13" s="19"/>
      <c r="H13" s="20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1"/>
      <c r="Y13" s="21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</row>
    <row r="14" spans="1:38">
      <c r="B14" s="152" t="str">
        <f>B9&amp;"(%)"</f>
        <v>Family of Apps Revenues(%)</v>
      </c>
      <c r="C14" s="153">
        <f>SUM(C9/C$11)</f>
        <v>0.99151980457162803</v>
      </c>
      <c r="D14" s="153">
        <f>SUM(D9/D$11)</f>
        <v>0.9807172112033512</v>
      </c>
      <c r="E14" s="153">
        <f>SUM(E9/E$11)</f>
        <v>0.98148513408055982</v>
      </c>
      <c r="F14" s="153">
        <f>SUM(F9/F$11)</f>
        <v>0.98594535292286256</v>
      </c>
      <c r="G14" s="153">
        <f>SUM(G9/G$11)</f>
        <v>0.98695448659886564</v>
      </c>
      <c r="H14" s="154"/>
      <c r="I14" s="153">
        <f t="shared" ref="I14" si="10">SUM(I9/I$11)</f>
        <v>0.9795957357380306</v>
      </c>
      <c r="J14" s="153">
        <f t="shared" ref="J14:L14" si="11">SUM(J9/J$11)</f>
        <v>0.98951060976029159</v>
      </c>
      <c r="K14" s="153">
        <f t="shared" si="11"/>
        <v>0.98076525336091003</v>
      </c>
      <c r="L14" s="153">
        <f t="shared" si="11"/>
        <v>0.97395384752457603</v>
      </c>
      <c r="M14" s="153">
        <f>SUM(M9/M$11)</f>
        <v>0.97509674645263011</v>
      </c>
      <c r="N14" s="153">
        <f>SUM(N9/N$11)</f>
        <v>0.98431753521615428</v>
      </c>
      <c r="O14" s="153">
        <f>SUM(O9/O$11)</f>
        <v>0.98971638882875079</v>
      </c>
      <c r="P14" s="153">
        <f>SUM(P9/P$11)</f>
        <v>0.97739779263174253</v>
      </c>
      <c r="Q14" s="153">
        <f>SUM(Q9/Q$11)</f>
        <v>0.98816547390469545</v>
      </c>
      <c r="R14" s="153">
        <f>SUM(R9/R$11)</f>
        <v>0.99137473046032687</v>
      </c>
      <c r="S14" s="153">
        <f>SUM(S9/S$11)</f>
        <v>0.99384993849938497</v>
      </c>
      <c r="T14" s="153">
        <f>SUM(T9/T$11)</f>
        <v>0.97329976067012369</v>
      </c>
      <c r="U14" s="153">
        <f>SUM(U9/U$11)</f>
        <v>0.98793032505829104</v>
      </c>
      <c r="V14" s="153">
        <f>SUM(V9/V$11)</f>
        <v>0.99096516597988282</v>
      </c>
      <c r="W14" s="153">
        <f>SUM(W9/W$11)</f>
        <v>0.9933479514154081</v>
      </c>
      <c r="X14" s="153">
        <f>SUM(X9/X$11)</f>
        <v>0.977617492663167</v>
      </c>
      <c r="Y14" s="153">
        <f>SUM(Y9/Y$11)</f>
        <v>0.99026326983976931</v>
      </c>
      <c r="Z14" s="153">
        <f>SUM(Z9/Z$11)</f>
        <v>0.99221314925498783</v>
      </c>
      <c r="AA14" s="153">
        <f>SUM(AA9/AA$11)</f>
        <v>0.99082783654033801</v>
      </c>
      <c r="AB14" s="154"/>
      <c r="AC14" s="155">
        <f t="shared" ref="AC14:AC15" si="12">R14</f>
        <v>0.99137473046032687</v>
      </c>
      <c r="AD14" s="155">
        <f t="shared" ref="AD14:AD15" si="13">S14</f>
        <v>0.99384993849938497</v>
      </c>
      <c r="AE14" s="155">
        <f t="shared" ref="AE14:AE15" si="14">T14</f>
        <v>0.97329976067012369</v>
      </c>
      <c r="AF14" s="155">
        <f t="shared" ref="AF14:AF15" si="15">U14</f>
        <v>0.98793032505829104</v>
      </c>
      <c r="AG14" s="155">
        <f t="shared" ref="AG14:AG15" si="16">V14</f>
        <v>0.99096516597988282</v>
      </c>
      <c r="AH14" s="155">
        <f t="shared" ref="AH14:AH15" si="17">W14</f>
        <v>0.9933479514154081</v>
      </c>
      <c r="AI14" s="155">
        <f t="shared" ref="AI14:AI15" si="18">X14</f>
        <v>0.977617492663167</v>
      </c>
      <c r="AJ14" s="155">
        <f t="shared" ref="AJ14:AJ15" si="19">Y14</f>
        <v>0.99026326983976931</v>
      </c>
      <c r="AK14" s="155">
        <f t="shared" ref="AK14:AK15" si="20">Z14</f>
        <v>0.99221314925498783</v>
      </c>
      <c r="AL14" s="156">
        <f t="shared" ref="AC14:AL15" si="21">AA14</f>
        <v>0.99082783654033801</v>
      </c>
    </row>
    <row r="15" spans="1:38" ht="12.75" customHeight="1">
      <c r="B15" s="157" t="str">
        <f>B10&amp;"(%)"</f>
        <v>Professional Services and Other(%)</v>
      </c>
      <c r="C15" s="158">
        <f>SUM(C10/C$11)</f>
        <v>8.4801954283720126E-3</v>
      </c>
      <c r="D15" s="158">
        <f>SUM(D10/D$11)</f>
        <v>1.9282788796648832E-2</v>
      </c>
      <c r="E15" s="158">
        <f>SUM(E10/E$11)</f>
        <v>1.8514865919440182E-2</v>
      </c>
      <c r="F15" s="158">
        <f>SUM(F10/F$11)</f>
        <v>1.4054647077137477E-2</v>
      </c>
      <c r="G15" s="158">
        <f>SUM(G10/G$11)</f>
        <v>1.3045513401134339E-2</v>
      </c>
      <c r="H15" s="159"/>
      <c r="I15" s="158">
        <f t="shared" ref="I15" si="22">SUM(I10/I$11)</f>
        <v>2.0404264261969354E-2</v>
      </c>
      <c r="J15" s="158">
        <f t="shared" ref="J15:L15" si="23">SUM(J10/J$11)</f>
        <v>1.048939023970836E-2</v>
      </c>
      <c r="K15" s="158">
        <f t="shared" si="23"/>
        <v>1.9234746639089969E-2</v>
      </c>
      <c r="L15" s="158">
        <f t="shared" si="23"/>
        <v>2.6046152475423957E-2</v>
      </c>
      <c r="M15" s="158">
        <f>SUM(M10/M$11)</f>
        <v>2.4903253547369931E-2</v>
      </c>
      <c r="N15" s="158">
        <f>SUM(N10/N$11)</f>
        <v>1.5682464783845673E-2</v>
      </c>
      <c r="O15" s="158">
        <f>SUM(O10/O$11)</f>
        <v>1.0283611171249188E-2</v>
      </c>
      <c r="P15" s="158">
        <f>SUM(P10/P$11)</f>
        <v>2.2602207368257424E-2</v>
      </c>
      <c r="Q15" s="158">
        <f>SUM(Q10/Q$11)</f>
        <v>1.183452609530459E-2</v>
      </c>
      <c r="R15" s="158">
        <f>SUM(R10/R$11)</f>
        <v>8.6252695396731149E-3</v>
      </c>
      <c r="S15" s="158">
        <f>SUM(S10/S$11)</f>
        <v>6.1500615006150061E-3</v>
      </c>
      <c r="T15" s="158">
        <f>SUM(T10/T$11)</f>
        <v>2.6700239329876346E-2</v>
      </c>
      <c r="U15" s="158">
        <f>SUM(U10/U$11)</f>
        <v>1.2069674941708956E-2</v>
      </c>
      <c r="V15" s="158">
        <f>SUM(V10/V$11)</f>
        <v>9.0348340201172224E-3</v>
      </c>
      <c r="W15" s="158">
        <f>SUM(W10/W$11)</f>
        <v>6.6520485845918843E-3</v>
      </c>
      <c r="X15" s="158">
        <f>SUM(X10/X$11)</f>
        <v>2.2382507336832967E-2</v>
      </c>
      <c r="Y15" s="158">
        <f>SUM(Y10/Y$11)</f>
        <v>9.7367301602306559E-3</v>
      </c>
      <c r="Z15" s="158">
        <f>SUM(Z10/Z$11)</f>
        <v>7.7868507450122061E-3</v>
      </c>
      <c r="AA15" s="158">
        <f>SUM(AA10/AA$11)</f>
        <v>9.1721634596619965E-3</v>
      </c>
      <c r="AB15" s="159"/>
      <c r="AC15" s="160">
        <f t="shared" si="12"/>
        <v>8.6252695396731149E-3</v>
      </c>
      <c r="AD15" s="160">
        <f t="shared" si="13"/>
        <v>6.1500615006150061E-3</v>
      </c>
      <c r="AE15" s="160">
        <f t="shared" si="14"/>
        <v>2.6700239329876346E-2</v>
      </c>
      <c r="AF15" s="160">
        <f t="shared" si="15"/>
        <v>1.2069674941708956E-2</v>
      </c>
      <c r="AG15" s="160">
        <f t="shared" si="16"/>
        <v>9.0348340201172224E-3</v>
      </c>
      <c r="AH15" s="160">
        <f t="shared" si="17"/>
        <v>6.6520485845918843E-3</v>
      </c>
      <c r="AI15" s="160">
        <f t="shared" si="18"/>
        <v>2.2382507336832967E-2</v>
      </c>
      <c r="AJ15" s="160">
        <f t="shared" si="19"/>
        <v>9.7367301602306559E-3</v>
      </c>
      <c r="AK15" s="160">
        <f t="shared" si="20"/>
        <v>7.7868507450122061E-3</v>
      </c>
      <c r="AL15" s="161">
        <f t="shared" si="21"/>
        <v>9.1721634596619965E-3</v>
      </c>
    </row>
    <row r="16" spans="1:38">
      <c r="B16" s="18"/>
      <c r="C16" s="19"/>
      <c r="D16" s="19"/>
      <c r="E16" s="19"/>
      <c r="F16" s="19"/>
      <c r="G16" s="19"/>
      <c r="H16" s="20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/>
      <c r="U16" s="21"/>
      <c r="V16" s="21"/>
      <c r="W16" s="21"/>
      <c r="X16" s="21"/>
      <c r="Y16" s="21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</row>
    <row r="17" spans="1:38" ht="12.75" customHeight="1">
      <c r="A17" s="80" t="s">
        <v>16</v>
      </c>
      <c r="B17" s="78" t="s">
        <v>188</v>
      </c>
      <c r="C17" s="10"/>
      <c r="D17" s="10"/>
      <c r="E17" s="10"/>
      <c r="F17" s="10"/>
      <c r="G17" s="10"/>
      <c r="H17" s="10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32"/>
      <c r="U17" s="95"/>
      <c r="V17" s="95"/>
      <c r="W17" s="95"/>
      <c r="X17" s="32"/>
      <c r="Y17" s="95"/>
      <c r="Z17" s="95"/>
      <c r="AA17" s="95"/>
      <c r="AB17" s="5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spans="1:38" ht="12.75" customHeight="1">
      <c r="A18" s="80"/>
      <c r="B18" s="9" t="s">
        <v>189</v>
      </c>
      <c r="C18" s="81">
        <v>84169</v>
      </c>
      <c r="D18" s="81">
        <v>114934</v>
      </c>
      <c r="E18" s="81">
        <v>113642</v>
      </c>
      <c r="F18" s="81">
        <v>131948</v>
      </c>
      <c r="G18" s="81">
        <v>160633</v>
      </c>
      <c r="H18" s="10"/>
      <c r="I18" s="95">
        <v>25439</v>
      </c>
      <c r="J18" s="95">
        <v>28580</v>
      </c>
      <c r="K18" s="95">
        <v>28276</v>
      </c>
      <c r="L18" s="32">
        <f t="shared" ref="L18:L19" si="24">SUM(D18-SUM(I18:K18))</f>
        <v>32639</v>
      </c>
      <c r="M18" s="95">
        <v>26998</v>
      </c>
      <c r="N18" s="95">
        <v>28152</v>
      </c>
      <c r="O18" s="95">
        <v>27237</v>
      </c>
      <c r="P18" s="32">
        <f t="shared" ref="P18:P19" si="25">SUM(E18-SUM(M18:O18))</f>
        <v>31255</v>
      </c>
      <c r="Q18" s="95">
        <v>28101</v>
      </c>
      <c r="R18" s="95">
        <v>31498</v>
      </c>
      <c r="S18" s="95">
        <v>33643</v>
      </c>
      <c r="T18" s="32">
        <f t="shared" ref="T18:T19" si="26">SUM(F18-SUM(Q18:S18))</f>
        <v>38706</v>
      </c>
      <c r="U18" s="95">
        <v>35635</v>
      </c>
      <c r="V18" s="95">
        <v>38329</v>
      </c>
      <c r="W18" s="95">
        <v>39885</v>
      </c>
      <c r="X18" s="32">
        <f t="shared" ref="X18:X19" si="27">SUM(G18-SUM(U18:W18))</f>
        <v>46784</v>
      </c>
      <c r="Y18" s="82">
        <v>41392</v>
      </c>
      <c r="Z18" s="82">
        <v>46563</v>
      </c>
      <c r="AA18" s="81">
        <v>50082</v>
      </c>
      <c r="AB18" s="5"/>
      <c r="AC18" s="32">
        <f t="shared" ref="AC18:AK19" si="28">SUM(O18:R18)</f>
        <v>118091</v>
      </c>
      <c r="AD18" s="32">
        <f t="shared" si="28"/>
        <v>124497</v>
      </c>
      <c r="AE18" s="32">
        <f t="shared" si="28"/>
        <v>131948</v>
      </c>
      <c r="AF18" s="32">
        <f t="shared" si="28"/>
        <v>139482</v>
      </c>
      <c r="AG18" s="32">
        <f t="shared" si="28"/>
        <v>146313</v>
      </c>
      <c r="AH18" s="32">
        <f t="shared" si="28"/>
        <v>152555</v>
      </c>
      <c r="AI18" s="32">
        <f t="shared" si="28"/>
        <v>160633</v>
      </c>
      <c r="AJ18" s="32">
        <f t="shared" si="28"/>
        <v>166390</v>
      </c>
      <c r="AK18" s="32">
        <f t="shared" si="28"/>
        <v>174624</v>
      </c>
      <c r="AL18" s="32">
        <f>SUM(X18:AA18)</f>
        <v>184821</v>
      </c>
    </row>
    <row r="19" spans="1:38">
      <c r="B19" s="9" t="s">
        <v>190</v>
      </c>
      <c r="C19" s="81">
        <v>1067</v>
      </c>
      <c r="D19" s="81">
        <v>721</v>
      </c>
      <c r="E19" s="81">
        <v>808</v>
      </c>
      <c r="F19" s="81">
        <v>1058</v>
      </c>
      <c r="G19" s="81">
        <v>1722</v>
      </c>
      <c r="H19" s="81"/>
      <c r="I19" s="95">
        <v>198</v>
      </c>
      <c r="J19" s="95">
        <v>192</v>
      </c>
      <c r="K19" s="95">
        <v>176</v>
      </c>
      <c r="L19" s="32">
        <f t="shared" si="24"/>
        <v>155</v>
      </c>
      <c r="M19" s="95">
        <v>215</v>
      </c>
      <c r="N19" s="95">
        <v>218</v>
      </c>
      <c r="O19" s="95">
        <v>192</v>
      </c>
      <c r="P19" s="32">
        <f t="shared" si="25"/>
        <v>183</v>
      </c>
      <c r="Q19" s="95">
        <v>205</v>
      </c>
      <c r="R19" s="95">
        <v>225</v>
      </c>
      <c r="S19" s="95">
        <v>293</v>
      </c>
      <c r="T19" s="32">
        <f t="shared" si="26"/>
        <v>335</v>
      </c>
      <c r="U19" s="95">
        <v>380</v>
      </c>
      <c r="V19" s="95">
        <v>389</v>
      </c>
      <c r="W19" s="95">
        <v>434</v>
      </c>
      <c r="X19" s="32">
        <f t="shared" si="27"/>
        <v>519</v>
      </c>
      <c r="Y19" s="82">
        <v>510</v>
      </c>
      <c r="Z19" s="82">
        <v>583</v>
      </c>
      <c r="AA19" s="81">
        <v>690</v>
      </c>
      <c r="AB19" s="5"/>
      <c r="AC19" s="32">
        <f t="shared" si="28"/>
        <v>805</v>
      </c>
      <c r="AD19" s="32">
        <f t="shared" si="28"/>
        <v>906</v>
      </c>
      <c r="AE19" s="32">
        <f t="shared" si="28"/>
        <v>1058</v>
      </c>
      <c r="AF19" s="32">
        <f t="shared" si="28"/>
        <v>1233</v>
      </c>
      <c r="AG19" s="32">
        <f t="shared" si="28"/>
        <v>1397</v>
      </c>
      <c r="AH19" s="32">
        <f t="shared" si="28"/>
        <v>1538</v>
      </c>
      <c r="AI19" s="32">
        <f t="shared" si="28"/>
        <v>1722</v>
      </c>
      <c r="AJ19" s="32">
        <f t="shared" si="28"/>
        <v>1852</v>
      </c>
      <c r="AK19" s="32">
        <f t="shared" si="28"/>
        <v>2046</v>
      </c>
      <c r="AL19" s="32">
        <f>SUM(X19:AA19)</f>
        <v>2302</v>
      </c>
    </row>
    <row r="20" spans="1:38">
      <c r="B20" s="13" t="s">
        <v>65</v>
      </c>
      <c r="C20" s="14">
        <f>SUM(C18:C19)</f>
        <v>85236</v>
      </c>
      <c r="D20" s="14">
        <f>SUM(D18:D19)</f>
        <v>115655</v>
      </c>
      <c r="E20" s="14">
        <f>SUM(E18:E19)</f>
        <v>114450</v>
      </c>
      <c r="F20" s="14">
        <f>SUM(F18:F19)</f>
        <v>133006</v>
      </c>
      <c r="G20" s="14">
        <f>SUM(G18:G19)</f>
        <v>162355</v>
      </c>
      <c r="H20" s="11"/>
      <c r="I20" s="14">
        <f t="shared" ref="I20" si="29">SUM(I18:I19)</f>
        <v>25637</v>
      </c>
      <c r="J20" s="14">
        <f t="shared" ref="J20" si="30">SUM(J18:J19)</f>
        <v>28772</v>
      </c>
      <c r="K20" s="14">
        <f t="shared" ref="K20" si="31">SUM(K18:K19)</f>
        <v>28452</v>
      </c>
      <c r="L20" s="14">
        <f t="shared" ref="L20" si="32">SUM(L18:L19)</f>
        <v>32794</v>
      </c>
      <c r="M20" s="14">
        <f>SUM(M18:M19)</f>
        <v>27213</v>
      </c>
      <c r="N20" s="14">
        <f>SUM(N18:N19)</f>
        <v>28370</v>
      </c>
      <c r="O20" s="14">
        <f>SUM(O18:O19)</f>
        <v>27429</v>
      </c>
      <c r="P20" s="14">
        <f>SUM(P18:P19)</f>
        <v>31438</v>
      </c>
      <c r="Q20" s="14">
        <f>SUM(Q18:Q19)</f>
        <v>28306</v>
      </c>
      <c r="R20" s="14">
        <f>SUM(R18:R19)</f>
        <v>31723</v>
      </c>
      <c r="S20" s="14">
        <f>SUM(S18:S19)</f>
        <v>33936</v>
      </c>
      <c r="T20" s="14">
        <f>SUM(T18:T19)</f>
        <v>39041</v>
      </c>
      <c r="U20" s="14">
        <f>SUM(U18:U19)</f>
        <v>36015</v>
      </c>
      <c r="V20" s="14">
        <f>SUM(V18:V19)</f>
        <v>38718</v>
      </c>
      <c r="W20" s="14">
        <f>SUM(W18:W19)</f>
        <v>40319</v>
      </c>
      <c r="X20" s="14">
        <f>SUM(X18:X19)</f>
        <v>47303</v>
      </c>
      <c r="Y20" s="14">
        <f>SUM(Y18:Y19)</f>
        <v>41902</v>
      </c>
      <c r="Z20" s="14">
        <f>SUM(Z18:Z19)</f>
        <v>47146</v>
      </c>
      <c r="AA20" s="14">
        <f>SUM(AA18:AA19)</f>
        <v>50772</v>
      </c>
      <c r="AB20" s="5"/>
      <c r="AC20" s="14">
        <f t="shared" ref="AC20:AK20" si="33">SUM(AC18:AC19)</f>
        <v>118896</v>
      </c>
      <c r="AD20" s="14">
        <f t="shared" si="33"/>
        <v>125403</v>
      </c>
      <c r="AE20" s="14">
        <f t="shared" si="33"/>
        <v>133006</v>
      </c>
      <c r="AF20" s="14">
        <f t="shared" si="33"/>
        <v>140715</v>
      </c>
      <c r="AG20" s="14">
        <f t="shared" si="33"/>
        <v>147710</v>
      </c>
      <c r="AH20" s="14">
        <f t="shared" si="33"/>
        <v>154093</v>
      </c>
      <c r="AI20" s="14">
        <f t="shared" si="33"/>
        <v>162355</v>
      </c>
      <c r="AJ20" s="14">
        <f t="shared" si="33"/>
        <v>168242</v>
      </c>
      <c r="AK20" s="14">
        <f t="shared" si="33"/>
        <v>176670</v>
      </c>
      <c r="AL20" s="14">
        <f>SUM(AL18:AL19)</f>
        <v>187123</v>
      </c>
    </row>
    <row r="21" spans="1:38" outlineLevel="1">
      <c r="B21" s="131" t="s">
        <v>161</v>
      </c>
      <c r="C21" s="79">
        <f>C20-C9</f>
        <v>0</v>
      </c>
      <c r="D21" s="79">
        <f t="shared" ref="D21:G21" si="34">D20-D9</f>
        <v>0</v>
      </c>
      <c r="E21" s="79">
        <f t="shared" si="34"/>
        <v>0</v>
      </c>
      <c r="F21" s="79">
        <f t="shared" si="34"/>
        <v>0</v>
      </c>
      <c r="G21" s="79">
        <f t="shared" si="34"/>
        <v>0</v>
      </c>
      <c r="H21" s="11"/>
      <c r="I21" s="79">
        <f t="shared" ref="I21" si="35">I20-I9</f>
        <v>0</v>
      </c>
      <c r="J21" s="79">
        <f t="shared" ref="J21" si="36">J20-J9</f>
        <v>0</v>
      </c>
      <c r="K21" s="79">
        <f t="shared" ref="K21" si="37">K20-K9</f>
        <v>0</v>
      </c>
      <c r="L21" s="79">
        <f t="shared" ref="L21" si="38">L20-L9</f>
        <v>0</v>
      </c>
      <c r="M21" s="79">
        <f t="shared" ref="M21" si="39">M20-M9</f>
        <v>0</v>
      </c>
      <c r="N21" s="79">
        <f t="shared" ref="N21" si="40">N20-N9</f>
        <v>0</v>
      </c>
      <c r="O21" s="79">
        <f t="shared" ref="O21" si="41">O20-O9</f>
        <v>0</v>
      </c>
      <c r="P21" s="79">
        <f t="shared" ref="P21" si="42">P20-P9</f>
        <v>0</v>
      </c>
      <c r="Q21" s="79">
        <f t="shared" ref="Q21" si="43">Q20-Q9</f>
        <v>0</v>
      </c>
      <c r="R21" s="79">
        <f t="shared" ref="R21" si="44">R20-R9</f>
        <v>0</v>
      </c>
      <c r="S21" s="79">
        <f t="shared" ref="S21" si="45">S20-S9</f>
        <v>0</v>
      </c>
      <c r="T21" s="79">
        <f t="shared" ref="T21" si="46">T20-T9</f>
        <v>0</v>
      </c>
      <c r="U21" s="79">
        <f t="shared" ref="U21" si="47">U20-U9</f>
        <v>0</v>
      </c>
      <c r="V21" s="79">
        <f t="shared" ref="V21" si="48">V20-V9</f>
        <v>0</v>
      </c>
      <c r="W21" s="79">
        <f t="shared" ref="W21" si="49">W20-W9</f>
        <v>0</v>
      </c>
      <c r="X21" s="79">
        <f t="shared" ref="X21" si="50">X20-X9</f>
        <v>0</v>
      </c>
      <c r="Y21" s="79">
        <f t="shared" ref="Y21" si="51">Y20-Y9</f>
        <v>0</v>
      </c>
      <c r="Z21" s="79">
        <f t="shared" ref="Z21" si="52">Z20-Z9</f>
        <v>0</v>
      </c>
      <c r="AA21" s="79">
        <f t="shared" ref="AA21" si="53">AA20-AA9</f>
        <v>0</v>
      </c>
      <c r="AB21" s="79"/>
      <c r="AC21" s="79">
        <f t="shared" ref="AC21" si="54">AC20-AC9</f>
        <v>0</v>
      </c>
      <c r="AD21" s="79">
        <f t="shared" ref="AD21" si="55">AD20-AD9</f>
        <v>0</v>
      </c>
      <c r="AE21" s="79">
        <f t="shared" ref="AE21" si="56">AE20-AE9</f>
        <v>0</v>
      </c>
      <c r="AF21" s="79">
        <f t="shared" ref="AF21" si="57">AF20-AF9</f>
        <v>0</v>
      </c>
      <c r="AG21" s="79">
        <f t="shared" ref="AG21" si="58">AG20-AG9</f>
        <v>0</v>
      </c>
      <c r="AH21" s="79">
        <f t="shared" ref="AH21" si="59">AH20-AH9</f>
        <v>0</v>
      </c>
      <c r="AI21" s="79">
        <f t="shared" ref="AI21" si="60">AI20-AI9</f>
        <v>0</v>
      </c>
      <c r="AJ21" s="79">
        <f t="shared" ref="AJ21" si="61">AJ20-AJ9</f>
        <v>0</v>
      </c>
      <c r="AK21" s="79">
        <f t="shared" ref="AK21" si="62">AK20-AK9</f>
        <v>0</v>
      </c>
      <c r="AL21" s="79">
        <f t="shared" ref="AL21" si="63">AL20-AL9</f>
        <v>0</v>
      </c>
    </row>
    <row r="22" spans="1:38">
      <c r="B22" s="18"/>
      <c r="C22" s="19"/>
      <c r="D22" s="19"/>
      <c r="E22" s="19"/>
      <c r="F22" s="19"/>
      <c r="G22" s="19"/>
      <c r="H22" s="20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/>
      <c r="U22" s="21"/>
      <c r="V22" s="21"/>
      <c r="W22" s="21"/>
      <c r="X22" s="21"/>
      <c r="Y22" s="21"/>
      <c r="Z22" s="21"/>
      <c r="AA22" s="21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</row>
    <row r="23" spans="1:38">
      <c r="B23" s="152" t="str">
        <f>B18&amp;"(%)"</f>
        <v>Advertising (%)</v>
      </c>
      <c r="C23" s="153">
        <f>SUM(C18/C$11)</f>
        <v>0.97910777642063629</v>
      </c>
      <c r="D23" s="153">
        <f>SUM(D18/D$11)</f>
        <v>0.97460336304047346</v>
      </c>
      <c r="E23" s="153">
        <f>SUM(E18/E$11)</f>
        <v>0.97455599482029687</v>
      </c>
      <c r="F23" s="153">
        <f>SUM(F18/F$11)</f>
        <v>0.97810262264458647</v>
      </c>
      <c r="G23" s="153">
        <f>SUM(G18/G$11)</f>
        <v>0.97648646512787152</v>
      </c>
      <c r="H23" s="154"/>
      <c r="I23" s="153">
        <f t="shared" ref="I23:L23" si="64">SUM(I18/I$11)</f>
        <v>0.97203010966336789</v>
      </c>
      <c r="J23" s="153">
        <f t="shared" si="64"/>
        <v>0.98290745262578672</v>
      </c>
      <c r="K23" s="153">
        <f t="shared" si="64"/>
        <v>0.97469837986901064</v>
      </c>
      <c r="L23" s="153">
        <f t="shared" si="64"/>
        <v>0.96935047964123433</v>
      </c>
      <c r="M23" s="153">
        <f>SUM(M18/M$11)</f>
        <v>0.96739286226171706</v>
      </c>
      <c r="N23" s="153">
        <f>SUM(N18/N$11)</f>
        <v>0.97675386857261814</v>
      </c>
      <c r="O23" s="153">
        <f>SUM(O18/O$11)</f>
        <v>0.98278848235548821</v>
      </c>
      <c r="P23" s="153">
        <f>SUM(P18/P$11)</f>
        <v>0.97170837867247006</v>
      </c>
      <c r="Q23" s="153">
        <f>SUM(Q18/Q$11)</f>
        <v>0.9810089020771513</v>
      </c>
      <c r="R23" s="153">
        <f>SUM(R18/R$11)</f>
        <v>0.98434326072689771</v>
      </c>
      <c r="S23" s="153">
        <f>SUM(S18/S$11)</f>
        <v>0.98526913840566976</v>
      </c>
      <c r="T23" s="153">
        <f>SUM(T18/T$11)</f>
        <v>0.96494814519345828</v>
      </c>
      <c r="U23" s="153">
        <f>SUM(U18/U$11)</f>
        <v>0.97750651488136053</v>
      </c>
      <c r="V23" s="153">
        <f>SUM(V18/V$11)</f>
        <v>0.9810089324562975</v>
      </c>
      <c r="W23" s="153">
        <f>SUM(W18/W$11)</f>
        <v>0.98265539924610112</v>
      </c>
      <c r="X23" s="153">
        <f>SUM(X18/X$11)</f>
        <v>0.96689124953498951</v>
      </c>
      <c r="Y23" s="153">
        <f>SUM(Y18/Y$11)</f>
        <v>0.97821052134045472</v>
      </c>
      <c r="Z23" s="153">
        <f>SUM(Z18/Z$11)</f>
        <v>0.97994359794595509</v>
      </c>
      <c r="AA23" s="153">
        <f>SUM(AA18/AA$11)</f>
        <v>0.97736231997189804</v>
      </c>
      <c r="AB23" s="154"/>
      <c r="AC23" s="155">
        <f t="shared" ref="AC23:AC24" si="65">R23</f>
        <v>0.98434326072689771</v>
      </c>
      <c r="AD23" s="155">
        <f t="shared" ref="AD23:AD24" si="66">S23</f>
        <v>0.98526913840566976</v>
      </c>
      <c r="AE23" s="155">
        <f t="shared" ref="AE23:AE24" si="67">T23</f>
        <v>0.96494814519345828</v>
      </c>
      <c r="AF23" s="155">
        <f t="shared" ref="AF23:AF24" si="68">U23</f>
        <v>0.97750651488136053</v>
      </c>
      <c r="AG23" s="155">
        <f t="shared" ref="AG23:AG24" si="69">V23</f>
        <v>0.9810089324562975</v>
      </c>
      <c r="AH23" s="155">
        <f t="shared" ref="AH23:AH24" si="70">W23</f>
        <v>0.98265539924610112</v>
      </c>
      <c r="AI23" s="155">
        <f t="shared" ref="AI23:AI24" si="71">X23</f>
        <v>0.96689124953498951</v>
      </c>
      <c r="AJ23" s="155">
        <f t="shared" ref="AJ23:AJ24" si="72">Y23</f>
        <v>0.97821052134045472</v>
      </c>
      <c r="AK23" s="155">
        <f t="shared" ref="AK23:AK24" si="73">Z23</f>
        <v>0.97994359794595509</v>
      </c>
      <c r="AL23" s="156">
        <f t="shared" ref="AL23:AL24" si="74">AA23</f>
        <v>0.97736231997189804</v>
      </c>
    </row>
    <row r="24" spans="1:38" ht="12.75" customHeight="1">
      <c r="B24" s="157" t="str">
        <f>B19&amp;"(%)"</f>
        <v>Other Revenues(%)</v>
      </c>
      <c r="C24" s="158">
        <f>SUM(C19/C$11)</f>
        <v>1.2412028150991683E-2</v>
      </c>
      <c r="D24" s="158">
        <f>SUM(D19/D$11)</f>
        <v>6.1138481628776635E-3</v>
      </c>
      <c r="E24" s="158">
        <f>SUM(E19/E$11)</f>
        <v>6.9291392602629301E-3</v>
      </c>
      <c r="F24" s="158">
        <f>SUM(F19/F$11)</f>
        <v>7.8427302782760819E-3</v>
      </c>
      <c r="G24" s="158">
        <f>SUM(G19/G$11)</f>
        <v>1.0468021470994097E-2</v>
      </c>
      <c r="H24" s="159"/>
      <c r="I24" s="158">
        <f t="shared" ref="I24:L24" si="75">SUM(I19/I$11)</f>
        <v>7.5656260746627948E-3</v>
      </c>
      <c r="J24" s="158">
        <f t="shared" si="75"/>
        <v>6.6031571345049351E-3</v>
      </c>
      <c r="K24" s="158">
        <f t="shared" si="75"/>
        <v>6.0668734918993454E-3</v>
      </c>
      <c r="L24" s="158">
        <f t="shared" si="75"/>
        <v>4.6033678833417484E-3</v>
      </c>
      <c r="M24" s="158">
        <f>SUM(M19/M$11)</f>
        <v>7.7038841909130001E-3</v>
      </c>
      <c r="N24" s="158">
        <f>SUM(N19/N$11)</f>
        <v>7.563666643536188E-3</v>
      </c>
      <c r="O24" s="158">
        <f>SUM(O19/O$11)</f>
        <v>6.9279064732626107E-3</v>
      </c>
      <c r="P24" s="158">
        <f>SUM(P19/P$11)</f>
        <v>5.6894139592725008E-3</v>
      </c>
      <c r="Q24" s="158">
        <f>SUM(Q19/Q$11)</f>
        <v>7.1565718275440737E-3</v>
      </c>
      <c r="R24" s="158">
        <f>SUM(R19/R$11)</f>
        <v>7.0314697334291701E-3</v>
      </c>
      <c r="S24" s="158">
        <f>SUM(S19/S$11)</f>
        <v>8.5808000937152226E-3</v>
      </c>
      <c r="T24" s="158">
        <f>SUM(T19/T$11)</f>
        <v>8.3516154766653371E-3</v>
      </c>
      <c r="U24" s="158">
        <f>SUM(U19/U$11)</f>
        <v>1.0423810176930462E-2</v>
      </c>
      <c r="V24" s="158">
        <f>SUM(V19/V$11)</f>
        <v>9.9562335235852673E-3</v>
      </c>
      <c r="W24" s="158">
        <f>SUM(W19/W$11)</f>
        <v>1.0692552169306955E-2</v>
      </c>
      <c r="X24" s="158">
        <f>SUM(X19/X$11)</f>
        <v>1.0726243128177573E-2</v>
      </c>
      <c r="Y24" s="158">
        <f>SUM(Y19/Y$11)</f>
        <v>1.2052748499314647E-2</v>
      </c>
      <c r="Z24" s="158">
        <f>SUM(Z19/Z$11)</f>
        <v>1.2269551309032747E-2</v>
      </c>
      <c r="AA24" s="158">
        <f>SUM(AA19/AA$11)</f>
        <v>1.3465516568439952E-2</v>
      </c>
      <c r="AB24" s="159"/>
      <c r="AC24" s="160">
        <f t="shared" si="65"/>
        <v>7.0314697334291701E-3</v>
      </c>
      <c r="AD24" s="160">
        <f t="shared" si="66"/>
        <v>8.5808000937152226E-3</v>
      </c>
      <c r="AE24" s="160">
        <f t="shared" si="67"/>
        <v>8.3516154766653371E-3</v>
      </c>
      <c r="AF24" s="160">
        <f t="shared" si="68"/>
        <v>1.0423810176930462E-2</v>
      </c>
      <c r="AG24" s="160">
        <f t="shared" si="69"/>
        <v>9.9562335235852673E-3</v>
      </c>
      <c r="AH24" s="160">
        <f t="shared" si="70"/>
        <v>1.0692552169306955E-2</v>
      </c>
      <c r="AI24" s="160">
        <f t="shared" si="71"/>
        <v>1.0726243128177573E-2</v>
      </c>
      <c r="AJ24" s="160">
        <f t="shared" si="72"/>
        <v>1.2052748499314647E-2</v>
      </c>
      <c r="AK24" s="160">
        <f t="shared" si="73"/>
        <v>1.2269551309032747E-2</v>
      </c>
      <c r="AL24" s="161">
        <f t="shared" si="74"/>
        <v>1.3465516568439952E-2</v>
      </c>
    </row>
    <row r="26" spans="1:38">
      <c r="A26" s="36" t="s">
        <v>16</v>
      </c>
      <c r="B26" s="1" t="s">
        <v>159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8" spans="1:38" ht="12.75" customHeight="1">
      <c r="A28" s="80" t="s">
        <v>16</v>
      </c>
      <c r="B28" s="78" t="s">
        <v>160</v>
      </c>
      <c r="C28" s="10"/>
      <c r="D28" s="10"/>
      <c r="E28" s="10"/>
      <c r="F28" s="10"/>
      <c r="G28" s="10"/>
      <c r="H28" s="10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32"/>
      <c r="U28" s="95"/>
      <c r="V28" s="95"/>
      <c r="W28" s="95"/>
      <c r="X28" s="32"/>
      <c r="Y28" s="95"/>
      <c r="Z28" s="95"/>
      <c r="AA28" s="95"/>
      <c r="AB28" s="5"/>
      <c r="AC28" s="11"/>
      <c r="AD28" s="11"/>
      <c r="AE28" s="11"/>
      <c r="AF28" s="11"/>
      <c r="AG28" s="11"/>
      <c r="AH28" s="11"/>
      <c r="AI28" s="11"/>
      <c r="AJ28" s="11"/>
      <c r="AK28" s="11"/>
      <c r="AL28" s="11"/>
    </row>
    <row r="29" spans="1:38" ht="12.75" customHeight="1">
      <c r="A29" s="80"/>
      <c r="B29" s="9" t="s">
        <v>184</v>
      </c>
      <c r="C29" s="81">
        <v>38433</v>
      </c>
      <c r="D29" s="81">
        <v>51541</v>
      </c>
      <c r="E29" s="81">
        <v>50150</v>
      </c>
      <c r="F29" s="81">
        <v>52888</v>
      </c>
      <c r="G29" s="81">
        <v>63207</v>
      </c>
      <c r="H29" s="10"/>
      <c r="I29" s="95">
        <v>11436</v>
      </c>
      <c r="J29" s="95">
        <v>12612</v>
      </c>
      <c r="K29" s="95">
        <v>12668</v>
      </c>
      <c r="L29" s="32">
        <f t="shared" ref="L29:L32" si="76">SUM(D29-SUM(I29:K29))</f>
        <v>14825</v>
      </c>
      <c r="M29" s="95">
        <v>11780</v>
      </c>
      <c r="N29" s="95">
        <v>12186</v>
      </c>
      <c r="O29" s="95">
        <v>11966</v>
      </c>
      <c r="P29" s="32">
        <f t="shared" ref="P29:P32" si="77">SUM(E29-SUM(M29:O29))</f>
        <v>14218</v>
      </c>
      <c r="Q29" s="95">
        <v>11449</v>
      </c>
      <c r="R29" s="95">
        <v>12404</v>
      </c>
      <c r="S29" s="95">
        <v>12908</v>
      </c>
      <c r="T29" s="32">
        <f t="shared" ref="T29:T32" si="78">SUM(F29-SUM(Q29:S29))</f>
        <v>16127</v>
      </c>
      <c r="U29" s="95">
        <v>13646</v>
      </c>
      <c r="V29" s="95">
        <v>14640</v>
      </c>
      <c r="W29" s="95">
        <v>15619</v>
      </c>
      <c r="X29" s="32">
        <f t="shared" ref="X29:X32" si="79">SUM(G29-SUM(U29:W29))</f>
        <v>19302</v>
      </c>
      <c r="Y29" s="82">
        <v>16869</v>
      </c>
      <c r="Z29" s="82">
        <v>18454</v>
      </c>
      <c r="AA29" s="81"/>
      <c r="AB29" s="5"/>
      <c r="AC29" s="32">
        <f t="shared" ref="AC29:AK32" si="80">SUM(O29:R29)</f>
        <v>50037</v>
      </c>
      <c r="AD29" s="32">
        <f t="shared" si="80"/>
        <v>50979</v>
      </c>
      <c r="AE29" s="32">
        <f t="shared" si="80"/>
        <v>52888</v>
      </c>
      <c r="AF29" s="32">
        <f t="shared" si="80"/>
        <v>55085</v>
      </c>
      <c r="AG29" s="32">
        <f t="shared" si="80"/>
        <v>57321</v>
      </c>
      <c r="AH29" s="32">
        <f t="shared" si="80"/>
        <v>60032</v>
      </c>
      <c r="AI29" s="32">
        <f t="shared" si="80"/>
        <v>63207</v>
      </c>
      <c r="AJ29" s="32">
        <f t="shared" si="80"/>
        <v>66430</v>
      </c>
      <c r="AK29" s="32">
        <f t="shared" si="80"/>
        <v>70244</v>
      </c>
      <c r="AL29" s="32">
        <f>SUM(X29:AA29)</f>
        <v>54625</v>
      </c>
    </row>
    <row r="30" spans="1:38" ht="12.75" customHeight="1">
      <c r="A30" s="80"/>
      <c r="B30" s="9" t="s">
        <v>185</v>
      </c>
      <c r="C30" s="81">
        <v>20349</v>
      </c>
      <c r="D30" s="81">
        <v>29057</v>
      </c>
      <c r="E30" s="81">
        <v>26681</v>
      </c>
      <c r="F30" s="81">
        <v>31210</v>
      </c>
      <c r="G30" s="81">
        <v>38361</v>
      </c>
      <c r="H30" s="10"/>
      <c r="I30" s="95">
        <v>6384</v>
      </c>
      <c r="J30" s="95">
        <v>7220</v>
      </c>
      <c r="K30" s="95">
        <v>7018</v>
      </c>
      <c r="L30" s="32">
        <f t="shared" si="76"/>
        <v>8435</v>
      </c>
      <c r="M30" s="95">
        <v>6638</v>
      </c>
      <c r="N30" s="95">
        <v>6650</v>
      </c>
      <c r="O30" s="95">
        <v>5996</v>
      </c>
      <c r="P30" s="32">
        <f t="shared" si="77"/>
        <v>7397</v>
      </c>
      <c r="Q30" s="95">
        <v>6759</v>
      </c>
      <c r="R30" s="95">
        <v>7515</v>
      </c>
      <c r="S30" s="95">
        <v>7578</v>
      </c>
      <c r="T30" s="32">
        <f t="shared" si="78"/>
        <v>9358</v>
      </c>
      <c r="U30" s="95">
        <v>8404</v>
      </c>
      <c r="V30" s="95">
        <v>9153</v>
      </c>
      <c r="W30" s="95">
        <v>9205</v>
      </c>
      <c r="X30" s="32">
        <f t="shared" si="79"/>
        <v>11599</v>
      </c>
      <c r="Y30" s="82">
        <v>9621</v>
      </c>
      <c r="Z30" s="82">
        <v>11128</v>
      </c>
      <c r="AA30" s="81"/>
      <c r="AB30" s="5"/>
      <c r="AC30" s="32">
        <f t="shared" si="80"/>
        <v>27667</v>
      </c>
      <c r="AD30" s="32">
        <f t="shared" si="80"/>
        <v>29249</v>
      </c>
      <c r="AE30" s="32">
        <f t="shared" si="80"/>
        <v>31210</v>
      </c>
      <c r="AF30" s="32">
        <f t="shared" si="80"/>
        <v>32855</v>
      </c>
      <c r="AG30" s="32">
        <f t="shared" si="80"/>
        <v>34493</v>
      </c>
      <c r="AH30" s="32">
        <f t="shared" si="80"/>
        <v>36120</v>
      </c>
      <c r="AI30" s="32">
        <f t="shared" si="80"/>
        <v>38361</v>
      </c>
      <c r="AJ30" s="32">
        <f t="shared" si="80"/>
        <v>39578</v>
      </c>
      <c r="AK30" s="32">
        <f t="shared" si="80"/>
        <v>41553</v>
      </c>
      <c r="AL30" s="32">
        <f t="shared" ref="AL30:AL31" si="81">SUM(X30:AA30)</f>
        <v>32348</v>
      </c>
    </row>
    <row r="31" spans="1:38" ht="12.75" customHeight="1">
      <c r="A31" s="80"/>
      <c r="B31" s="9" t="s">
        <v>186</v>
      </c>
      <c r="C31" s="81">
        <v>19848</v>
      </c>
      <c r="D31" s="81">
        <v>26739</v>
      </c>
      <c r="E31" s="81">
        <v>27760</v>
      </c>
      <c r="F31" s="81">
        <v>36154</v>
      </c>
      <c r="G31" s="81">
        <v>45009</v>
      </c>
      <c r="H31" s="10"/>
      <c r="I31" s="95">
        <v>6101</v>
      </c>
      <c r="J31" s="95">
        <v>6677</v>
      </c>
      <c r="K31" s="95">
        <v>6592</v>
      </c>
      <c r="L31" s="32">
        <f t="shared" si="76"/>
        <v>7369</v>
      </c>
      <c r="M31" s="95">
        <v>6722</v>
      </c>
      <c r="N31" s="95">
        <v>6960</v>
      </c>
      <c r="O31" s="95">
        <v>6797</v>
      </c>
      <c r="P31" s="32">
        <f t="shared" si="77"/>
        <v>7281</v>
      </c>
      <c r="Q31" s="95">
        <v>7292</v>
      </c>
      <c r="R31" s="95">
        <v>8551</v>
      </c>
      <c r="S31" s="95">
        <v>9790</v>
      </c>
      <c r="T31" s="32">
        <f t="shared" si="78"/>
        <v>10521</v>
      </c>
      <c r="U31" s="95">
        <v>10312</v>
      </c>
      <c r="V31" s="95">
        <v>10967</v>
      </c>
      <c r="W31" s="95">
        <v>11243</v>
      </c>
      <c r="X31" s="32">
        <f t="shared" si="79"/>
        <v>12487</v>
      </c>
      <c r="Y31" s="82">
        <v>11239</v>
      </c>
      <c r="Z31" s="82">
        <v>12858</v>
      </c>
      <c r="AA31" s="81"/>
      <c r="AB31" s="5"/>
      <c r="AC31" s="32">
        <f t="shared" si="80"/>
        <v>29921</v>
      </c>
      <c r="AD31" s="32">
        <f t="shared" si="80"/>
        <v>32914</v>
      </c>
      <c r="AE31" s="32">
        <f t="shared" si="80"/>
        <v>36154</v>
      </c>
      <c r="AF31" s="32">
        <f t="shared" si="80"/>
        <v>39174</v>
      </c>
      <c r="AG31" s="32">
        <f t="shared" si="80"/>
        <v>41590</v>
      </c>
      <c r="AH31" s="32">
        <f t="shared" si="80"/>
        <v>43043</v>
      </c>
      <c r="AI31" s="32">
        <f t="shared" si="80"/>
        <v>45009</v>
      </c>
      <c r="AJ31" s="32">
        <f t="shared" si="80"/>
        <v>45936</v>
      </c>
      <c r="AK31" s="32">
        <f t="shared" si="80"/>
        <v>47827</v>
      </c>
      <c r="AL31" s="32">
        <f t="shared" si="81"/>
        <v>36584</v>
      </c>
    </row>
    <row r="32" spans="1:38">
      <c r="B32" s="9" t="s">
        <v>187</v>
      </c>
      <c r="C32" s="81">
        <v>7335</v>
      </c>
      <c r="D32" s="81">
        <v>10592</v>
      </c>
      <c r="E32" s="81">
        <v>12018</v>
      </c>
      <c r="F32" s="81">
        <v>14650</v>
      </c>
      <c r="G32" s="81">
        <v>17924</v>
      </c>
      <c r="H32" s="81"/>
      <c r="I32" s="95">
        <v>2250</v>
      </c>
      <c r="J32" s="95">
        <v>2568</v>
      </c>
      <c r="K32" s="95">
        <v>2732</v>
      </c>
      <c r="L32" s="32">
        <f t="shared" si="76"/>
        <v>3042</v>
      </c>
      <c r="M32" s="95">
        <v>2768</v>
      </c>
      <c r="N32" s="95">
        <v>3026</v>
      </c>
      <c r="O32" s="95">
        <v>2955</v>
      </c>
      <c r="P32" s="32">
        <f t="shared" si="77"/>
        <v>3269</v>
      </c>
      <c r="Q32" s="95">
        <v>3145</v>
      </c>
      <c r="R32" s="95">
        <v>3529</v>
      </c>
      <c r="S32" s="95">
        <v>3870</v>
      </c>
      <c r="T32" s="32">
        <f t="shared" si="78"/>
        <v>4106</v>
      </c>
      <c r="U32" s="95">
        <v>4093</v>
      </c>
      <c r="V32" s="95">
        <v>4311</v>
      </c>
      <c r="W32" s="95">
        <v>4522</v>
      </c>
      <c r="X32" s="32">
        <f t="shared" si="79"/>
        <v>4998</v>
      </c>
      <c r="Y32" s="82">
        <v>4585</v>
      </c>
      <c r="Z32" s="82">
        <v>5076</v>
      </c>
      <c r="AA32" s="81"/>
      <c r="AB32" s="5"/>
      <c r="AC32" s="32">
        <f t="shared" si="80"/>
        <v>12898</v>
      </c>
      <c r="AD32" s="32">
        <f t="shared" si="80"/>
        <v>13813</v>
      </c>
      <c r="AE32" s="32">
        <f t="shared" si="80"/>
        <v>14650</v>
      </c>
      <c r="AF32" s="32">
        <f t="shared" si="80"/>
        <v>15598</v>
      </c>
      <c r="AG32" s="32">
        <f t="shared" si="80"/>
        <v>16380</v>
      </c>
      <c r="AH32" s="32">
        <f t="shared" si="80"/>
        <v>17032</v>
      </c>
      <c r="AI32" s="32">
        <f t="shared" si="80"/>
        <v>17924</v>
      </c>
      <c r="AJ32" s="32">
        <f t="shared" si="80"/>
        <v>18416</v>
      </c>
      <c r="AK32" s="32">
        <f t="shared" si="80"/>
        <v>19181</v>
      </c>
      <c r="AL32" s="32">
        <f>SUM(X32:AA32)</f>
        <v>14659</v>
      </c>
    </row>
    <row r="33" spans="2:38">
      <c r="B33" s="13" t="s">
        <v>65</v>
      </c>
      <c r="C33" s="14">
        <f>SUM(C29:C32)</f>
        <v>85965</v>
      </c>
      <c r="D33" s="14">
        <f>SUM(D29:D32)</f>
        <v>117929</v>
      </c>
      <c r="E33" s="14">
        <f>SUM(E29:E32)</f>
        <v>116609</v>
      </c>
      <c r="F33" s="14">
        <f>SUM(F29:F32)</f>
        <v>134902</v>
      </c>
      <c r="G33" s="14">
        <f>SUM(G29:G32)</f>
        <v>164501</v>
      </c>
      <c r="H33" s="11"/>
      <c r="I33" s="14">
        <f>SUM(I29:I32)</f>
        <v>26171</v>
      </c>
      <c r="J33" s="14">
        <f>SUM(J29:J32)</f>
        <v>29077</v>
      </c>
      <c r="K33" s="14">
        <f>SUM(K29:K32)</f>
        <v>29010</v>
      </c>
      <c r="L33" s="14">
        <f>SUM(L29:L32)</f>
        <v>33671</v>
      </c>
      <c r="M33" s="14">
        <f>SUM(M29:M32)</f>
        <v>27908</v>
      </c>
      <c r="N33" s="14">
        <f>SUM(N29:N32)</f>
        <v>28822</v>
      </c>
      <c r="O33" s="14">
        <f>SUM(O29:O32)</f>
        <v>27714</v>
      </c>
      <c r="P33" s="14">
        <f>SUM(P29:P32)</f>
        <v>32165</v>
      </c>
      <c r="Q33" s="14">
        <f>SUM(Q29:Q32)</f>
        <v>28645</v>
      </c>
      <c r="R33" s="14">
        <f>SUM(R29:R32)</f>
        <v>31999</v>
      </c>
      <c r="S33" s="14">
        <f>SUM(S29:S32)</f>
        <v>34146</v>
      </c>
      <c r="T33" s="14">
        <f>SUM(T29:T32)</f>
        <v>40112</v>
      </c>
      <c r="U33" s="14">
        <f>SUM(U29:U32)</f>
        <v>36455</v>
      </c>
      <c r="V33" s="14">
        <f>SUM(V29:V32)</f>
        <v>39071</v>
      </c>
      <c r="W33" s="14">
        <f>SUM(W29:W32)</f>
        <v>40589</v>
      </c>
      <c r="X33" s="14">
        <f>SUM(X29:X32)</f>
        <v>48386</v>
      </c>
      <c r="Y33" s="14">
        <f>SUM(Y29:Y32)</f>
        <v>42314</v>
      </c>
      <c r="Z33" s="14">
        <f>SUM(Z29:Z32)</f>
        <v>47516</v>
      </c>
      <c r="AA33" s="14">
        <f>SUM(AA29:AA32)</f>
        <v>0</v>
      </c>
      <c r="AB33" s="5"/>
      <c r="AC33" s="14">
        <f t="shared" ref="AC33:AK33" si="82">SUM(AC29:AC32)</f>
        <v>120523</v>
      </c>
      <c r="AD33" s="14">
        <f t="shared" si="82"/>
        <v>126955</v>
      </c>
      <c r="AE33" s="14">
        <f t="shared" si="82"/>
        <v>134902</v>
      </c>
      <c r="AF33" s="14">
        <f t="shared" si="82"/>
        <v>142712</v>
      </c>
      <c r="AG33" s="14">
        <f t="shared" si="82"/>
        <v>149784</v>
      </c>
      <c r="AH33" s="14">
        <f t="shared" si="82"/>
        <v>156227</v>
      </c>
      <c r="AI33" s="14">
        <f t="shared" si="82"/>
        <v>164501</v>
      </c>
      <c r="AJ33" s="14">
        <f t="shared" si="82"/>
        <v>170360</v>
      </c>
      <c r="AK33" s="14">
        <f t="shared" si="82"/>
        <v>178805</v>
      </c>
      <c r="AL33" s="14">
        <f>SUM(AL29:AL32)</f>
        <v>138216</v>
      </c>
    </row>
    <row r="34" spans="2:38" outlineLevel="1">
      <c r="B34" s="131" t="s">
        <v>161</v>
      </c>
      <c r="C34" s="79">
        <f>C33-C11</f>
        <v>0</v>
      </c>
      <c r="D34" s="79">
        <f t="shared" ref="D34:G34" si="83">D33-D11</f>
        <v>0</v>
      </c>
      <c r="E34" s="79">
        <f t="shared" si="83"/>
        <v>0</v>
      </c>
      <c r="F34" s="79">
        <f t="shared" si="83"/>
        <v>0</v>
      </c>
      <c r="G34" s="79">
        <f t="shared" si="83"/>
        <v>0</v>
      </c>
      <c r="H34" s="11"/>
      <c r="I34" s="79">
        <f t="shared" ref="I34" si="84">I33-I11</f>
        <v>0</v>
      </c>
      <c r="J34" s="79">
        <f t="shared" ref="J34" si="85">J33-J11</f>
        <v>0</v>
      </c>
      <c r="K34" s="79">
        <f t="shared" ref="K34" si="86">K33-K11</f>
        <v>0</v>
      </c>
      <c r="L34" s="79">
        <f t="shared" ref="L34" si="87">L33-L11</f>
        <v>0</v>
      </c>
      <c r="M34" s="79">
        <f t="shared" ref="M34" si="88">M33-M11</f>
        <v>0</v>
      </c>
      <c r="N34" s="79">
        <f t="shared" ref="N34" si="89">N33-N11</f>
        <v>0</v>
      </c>
      <c r="O34" s="79">
        <f t="shared" ref="O34" si="90">O33-O11</f>
        <v>0</v>
      </c>
      <c r="P34" s="79">
        <f t="shared" ref="P34" si="91">P33-P11</f>
        <v>0</v>
      </c>
      <c r="Q34" s="79">
        <f t="shared" ref="Q34" si="92">Q33-Q11</f>
        <v>0</v>
      </c>
      <c r="R34" s="79">
        <f t="shared" ref="R34" si="93">R33-R11</f>
        <v>0</v>
      </c>
      <c r="S34" s="79">
        <f t="shared" ref="S34" si="94">S33-S11</f>
        <v>0</v>
      </c>
      <c r="T34" s="79">
        <f t="shared" ref="T34" si="95">T33-T11</f>
        <v>0</v>
      </c>
      <c r="U34" s="79">
        <f t="shared" ref="U34" si="96">U33-U11</f>
        <v>0</v>
      </c>
      <c r="V34" s="79">
        <f t="shared" ref="V34" si="97">V33-V11</f>
        <v>0</v>
      </c>
      <c r="W34" s="79">
        <f t="shared" ref="W34" si="98">W33-W11</f>
        <v>0</v>
      </c>
      <c r="X34" s="79">
        <f t="shared" ref="X34" si="99">X33-X11</f>
        <v>0</v>
      </c>
      <c r="Y34" s="79">
        <f t="shared" ref="Y34" si="100">Y33-Y11</f>
        <v>0</v>
      </c>
      <c r="Z34" s="79">
        <f t="shared" ref="Z34" si="101">Z33-Z11</f>
        <v>0</v>
      </c>
      <c r="AA34" s="79">
        <f t="shared" ref="AA34" si="102">AA33-AA11</f>
        <v>-51242</v>
      </c>
      <c r="AB34" s="79"/>
      <c r="AC34" s="79">
        <f t="shared" ref="AC34" si="103">AC33-AC11</f>
        <v>0</v>
      </c>
      <c r="AD34" s="79">
        <f t="shared" ref="AD34" si="104">AD33-AD11</f>
        <v>0</v>
      </c>
      <c r="AE34" s="79">
        <f t="shared" ref="AE34" si="105">AE33-AE11</f>
        <v>0</v>
      </c>
      <c r="AF34" s="79">
        <f t="shared" ref="AF34" si="106">AF33-AF11</f>
        <v>0</v>
      </c>
      <c r="AG34" s="79">
        <f t="shared" ref="AG34" si="107">AG33-AG11</f>
        <v>0</v>
      </c>
      <c r="AH34" s="79">
        <f t="shared" ref="AH34" si="108">AH33-AH11</f>
        <v>0</v>
      </c>
      <c r="AI34" s="79">
        <f t="shared" ref="AI34" si="109">AI33-AI11</f>
        <v>0</v>
      </c>
      <c r="AJ34" s="79">
        <f t="shared" ref="AJ34" si="110">AJ33-AJ11</f>
        <v>0</v>
      </c>
      <c r="AK34" s="79">
        <f t="shared" ref="AK34" si="111">AK33-AK11</f>
        <v>0</v>
      </c>
      <c r="AL34" s="79">
        <f t="shared" ref="AL34" si="112">AL33-AL11</f>
        <v>-51242</v>
      </c>
    </row>
    <row r="35" spans="2:38">
      <c r="B35" s="18"/>
      <c r="C35" s="19"/>
      <c r="D35" s="19"/>
      <c r="E35" s="19"/>
      <c r="F35" s="19"/>
      <c r="G35" s="19"/>
      <c r="H35" s="20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/>
      <c r="U35" s="21"/>
      <c r="V35" s="21"/>
      <c r="W35" s="21"/>
      <c r="X35" s="21"/>
      <c r="Y35" s="21"/>
      <c r="Z35" s="21"/>
      <c r="AA35" s="21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</row>
    <row r="36" spans="2:38">
      <c r="B36" s="152" t="str">
        <f>B29&amp;"(%)"</f>
        <v>U.S. Revenues(%)</v>
      </c>
      <c r="C36" s="153">
        <f>SUM(C29/C$11)</f>
        <v>0.4470772989007154</v>
      </c>
      <c r="D36" s="153">
        <f>SUM(D29/D$11)</f>
        <v>0.43705110702202171</v>
      </c>
      <c r="E36" s="153">
        <f>SUM(E29/E$11)</f>
        <v>0.43006972017597267</v>
      </c>
      <c r="F36" s="153">
        <f>SUM(F29/F$11)</f>
        <v>0.39204756045129058</v>
      </c>
      <c r="G36" s="153">
        <f>SUM(G29/G$11)</f>
        <v>0.38423474629333559</v>
      </c>
      <c r="H36" s="154"/>
      <c r="I36" s="153">
        <f>SUM(I29/I$11)</f>
        <v>0.43697222116082685</v>
      </c>
      <c r="J36" s="153">
        <f>SUM(J29/J$11)</f>
        <v>0.43374488427279295</v>
      </c>
      <c r="K36" s="153">
        <f>SUM(K29/K$11)</f>
        <v>0.43667700792830061</v>
      </c>
      <c r="L36" s="153">
        <f>SUM(L29/L$11)</f>
        <v>0.44028986368091239</v>
      </c>
      <c r="M36" s="153">
        <f>SUM(M29/M$11)</f>
        <v>0.42210118962304716</v>
      </c>
      <c r="N36" s="153">
        <f>SUM(N29/N$11)</f>
        <v>0.42280202622996321</v>
      </c>
      <c r="O36" s="153">
        <f>SUM(O29/O$11)</f>
        <v>0.43176733780760629</v>
      </c>
      <c r="P36" s="153">
        <f>SUM(P29/P$11)</f>
        <v>0.44203326597233017</v>
      </c>
      <c r="Q36" s="153">
        <f>SUM(Q29/Q$11)</f>
        <v>0.39968580904171758</v>
      </c>
      <c r="R36" s="153">
        <f>SUM(R29/R$11)</f>
        <v>0.38763711365980186</v>
      </c>
      <c r="S36" s="153">
        <f>SUM(S29/S$11)</f>
        <v>0.37802378023780236</v>
      </c>
      <c r="T36" s="153">
        <f>SUM(T29/T$11)</f>
        <v>0.40204926206621461</v>
      </c>
      <c r="U36" s="153">
        <f>SUM(U29/U$11)</f>
        <v>0.37432450966945552</v>
      </c>
      <c r="V36" s="153">
        <f>SUM(V29/V$11)</f>
        <v>0.3747024647436718</v>
      </c>
      <c r="W36" s="153">
        <f>SUM(W29/W$11)</f>
        <v>0.38480869201015055</v>
      </c>
      <c r="X36" s="153">
        <f>SUM(X29/X$11)</f>
        <v>0.39891704211962137</v>
      </c>
      <c r="Y36" s="153">
        <f>SUM(Y29/Y$11)</f>
        <v>0.39866238124497805</v>
      </c>
      <c r="Z36" s="153">
        <f>SUM(Z29/Z$11)</f>
        <v>0.38837444229312229</v>
      </c>
      <c r="AA36" s="153">
        <f>SUM(AA29/AA$11)</f>
        <v>0</v>
      </c>
      <c r="AB36" s="154"/>
      <c r="AC36" s="155">
        <f t="shared" ref="AC36:AC39" si="113">R36</f>
        <v>0.38763711365980186</v>
      </c>
      <c r="AD36" s="155">
        <f t="shared" ref="AD36:AD39" si="114">S36</f>
        <v>0.37802378023780236</v>
      </c>
      <c r="AE36" s="155">
        <f t="shared" ref="AE36:AE39" si="115">T36</f>
        <v>0.40204926206621461</v>
      </c>
      <c r="AF36" s="155">
        <f t="shared" ref="AF36:AF39" si="116">U36</f>
        <v>0.37432450966945552</v>
      </c>
      <c r="AG36" s="155">
        <f t="shared" ref="AG36:AG39" si="117">V36</f>
        <v>0.3747024647436718</v>
      </c>
      <c r="AH36" s="155">
        <f t="shared" ref="AH36:AH39" si="118">W36</f>
        <v>0.38480869201015055</v>
      </c>
      <c r="AI36" s="155">
        <f t="shared" ref="AI36:AI39" si="119">X36</f>
        <v>0.39891704211962137</v>
      </c>
      <c r="AJ36" s="155">
        <f t="shared" ref="AJ36:AJ39" si="120">Y36</f>
        <v>0.39866238124497805</v>
      </c>
      <c r="AK36" s="155">
        <f t="shared" ref="AK36:AK39" si="121">Z36</f>
        <v>0.38837444229312229</v>
      </c>
      <c r="AL36" s="156">
        <f t="shared" ref="AL36:AL39" si="122">AA36</f>
        <v>0</v>
      </c>
    </row>
    <row r="37" spans="2:38">
      <c r="B37" s="166" t="str">
        <f t="shared" ref="B37:B38" si="123">B30&amp;"(%)"</f>
        <v>Euro Revenues(%)</v>
      </c>
      <c r="C37" s="167">
        <f t="shared" ref="C37:G37" si="124">SUM(C30/C$11)</f>
        <v>0.23671261559937185</v>
      </c>
      <c r="D37" s="167">
        <f t="shared" si="124"/>
        <v>0.24639401673888525</v>
      </c>
      <c r="E37" s="167">
        <f t="shared" si="124"/>
        <v>0.22880738193449907</v>
      </c>
      <c r="F37" s="167">
        <f t="shared" si="124"/>
        <v>0.23135313042060163</v>
      </c>
      <c r="G37" s="167">
        <f t="shared" si="124"/>
        <v>0.23319615078327791</v>
      </c>
      <c r="H37" s="168"/>
      <c r="I37" s="167">
        <f t="shared" ref="I37:AA37" si="125">SUM(I30/I$11)</f>
        <v>0.24393412555882465</v>
      </c>
      <c r="J37" s="167">
        <f t="shared" si="125"/>
        <v>0.24830622141211267</v>
      </c>
      <c r="K37" s="167">
        <f t="shared" si="125"/>
        <v>0.24191658048948639</v>
      </c>
      <c r="L37" s="167">
        <f t="shared" si="125"/>
        <v>0.25051231029669446</v>
      </c>
      <c r="M37" s="167">
        <f t="shared" si="125"/>
        <v>0.2378529453920023</v>
      </c>
      <c r="N37" s="167">
        <f t="shared" si="125"/>
        <v>0.23072652834640206</v>
      </c>
      <c r="O37" s="167">
        <f t="shared" si="125"/>
        <v>0.21635274590459697</v>
      </c>
      <c r="P37" s="167">
        <f t="shared" si="125"/>
        <v>0.22997046479092181</v>
      </c>
      <c r="Q37" s="167">
        <f t="shared" si="125"/>
        <v>0.23595740967009948</v>
      </c>
      <c r="R37" s="167">
        <f t="shared" si="125"/>
        <v>0.23485108909653427</v>
      </c>
      <c r="S37" s="167">
        <f t="shared" si="125"/>
        <v>0.22192936215076436</v>
      </c>
      <c r="T37" s="167">
        <f t="shared" si="125"/>
        <v>0.23329676904666932</v>
      </c>
      <c r="U37" s="167">
        <f t="shared" si="125"/>
        <v>0.23053079138664107</v>
      </c>
      <c r="V37" s="167">
        <f t="shared" si="125"/>
        <v>0.23426582375675054</v>
      </c>
      <c r="W37" s="167">
        <f t="shared" si="125"/>
        <v>0.22678558230062332</v>
      </c>
      <c r="X37" s="167">
        <f t="shared" si="125"/>
        <v>0.2397181002769396</v>
      </c>
      <c r="Y37" s="167">
        <f t="shared" si="125"/>
        <v>0.22737155551354163</v>
      </c>
      <c r="Z37" s="167">
        <f t="shared" si="125"/>
        <v>0.23419479754188063</v>
      </c>
      <c r="AA37" s="167">
        <f t="shared" si="125"/>
        <v>0</v>
      </c>
      <c r="AB37" s="168"/>
      <c r="AC37" s="169">
        <f t="shared" si="113"/>
        <v>0.23485108909653427</v>
      </c>
      <c r="AD37" s="169">
        <f t="shared" si="114"/>
        <v>0.22192936215076436</v>
      </c>
      <c r="AE37" s="169">
        <f t="shared" si="115"/>
        <v>0.23329676904666932</v>
      </c>
      <c r="AF37" s="169">
        <f t="shared" si="116"/>
        <v>0.23053079138664107</v>
      </c>
      <c r="AG37" s="169">
        <f t="shared" si="117"/>
        <v>0.23426582375675054</v>
      </c>
      <c r="AH37" s="169">
        <f t="shared" si="118"/>
        <v>0.22678558230062332</v>
      </c>
      <c r="AI37" s="169">
        <f t="shared" si="119"/>
        <v>0.2397181002769396</v>
      </c>
      <c r="AJ37" s="169">
        <f t="shared" si="120"/>
        <v>0.22737155551354163</v>
      </c>
      <c r="AK37" s="169">
        <f t="shared" si="121"/>
        <v>0.23419479754188063</v>
      </c>
      <c r="AL37" s="170">
        <f t="shared" ref="AL37:AL38" si="126">AA37</f>
        <v>0</v>
      </c>
    </row>
    <row r="38" spans="2:38">
      <c r="B38" s="166" t="str">
        <f t="shared" si="123"/>
        <v>APac Revenues(%)</v>
      </c>
      <c r="C38" s="167">
        <f t="shared" ref="C38:G38" si="127">SUM(C31/C$11)</f>
        <v>0.23088466236258942</v>
      </c>
      <c r="D38" s="167">
        <f t="shared" si="127"/>
        <v>0.22673812209041033</v>
      </c>
      <c r="E38" s="167">
        <f t="shared" si="127"/>
        <v>0.23806052706051847</v>
      </c>
      <c r="F38" s="167">
        <f t="shared" si="127"/>
        <v>0.26800195697617529</v>
      </c>
      <c r="G38" s="167">
        <f t="shared" si="127"/>
        <v>0.2736092789709485</v>
      </c>
      <c r="H38" s="168"/>
      <c r="I38" s="167">
        <f t="shared" ref="I38:AA38" si="128">SUM(I31/I$11)</f>
        <v>0.2331206297046349</v>
      </c>
      <c r="J38" s="167">
        <f t="shared" si="128"/>
        <v>0.22963166764109089</v>
      </c>
      <c r="K38" s="167">
        <f t="shared" si="128"/>
        <v>0.22723198896932092</v>
      </c>
      <c r="L38" s="167">
        <f t="shared" si="128"/>
        <v>0.21885301891835704</v>
      </c>
      <c r="M38" s="167">
        <f t="shared" si="128"/>
        <v>0.24086283502938224</v>
      </c>
      <c r="N38" s="167">
        <f t="shared" si="128"/>
        <v>0.24148220109638471</v>
      </c>
      <c r="O38" s="167">
        <f t="shared" si="128"/>
        <v>0.2452551057227394</v>
      </c>
      <c r="P38" s="167">
        <f t="shared" si="128"/>
        <v>0.22636406031400591</v>
      </c>
      <c r="Q38" s="167">
        <f t="shared" si="128"/>
        <v>0.25456449642171408</v>
      </c>
      <c r="R38" s="167">
        <f t="shared" si="128"/>
        <v>0.26722710084690149</v>
      </c>
      <c r="S38" s="167">
        <f t="shared" si="128"/>
        <v>0.28671000995724244</v>
      </c>
      <c r="T38" s="167">
        <f t="shared" si="128"/>
        <v>0.26229058635819708</v>
      </c>
      <c r="U38" s="167">
        <f t="shared" si="128"/>
        <v>0.28286929090659718</v>
      </c>
      <c r="V38" s="167">
        <f t="shared" si="128"/>
        <v>0.28069412095927926</v>
      </c>
      <c r="W38" s="167">
        <f t="shared" si="128"/>
        <v>0.27699623050580208</v>
      </c>
      <c r="X38" s="167">
        <f t="shared" si="128"/>
        <v>0.25807051626503535</v>
      </c>
      <c r="Y38" s="167">
        <f t="shared" si="128"/>
        <v>0.26560949094862218</v>
      </c>
      <c r="Z38" s="167">
        <f t="shared" si="128"/>
        <v>0.27060358616045121</v>
      </c>
      <c r="AA38" s="167">
        <f t="shared" si="128"/>
        <v>0</v>
      </c>
      <c r="AB38" s="168"/>
      <c r="AC38" s="169">
        <f t="shared" si="113"/>
        <v>0.26722710084690149</v>
      </c>
      <c r="AD38" s="169">
        <f t="shared" si="114"/>
        <v>0.28671000995724244</v>
      </c>
      <c r="AE38" s="169">
        <f t="shared" si="115"/>
        <v>0.26229058635819708</v>
      </c>
      <c r="AF38" s="169">
        <f t="shared" si="116"/>
        <v>0.28286929090659718</v>
      </c>
      <c r="AG38" s="169">
        <f t="shared" si="117"/>
        <v>0.28069412095927926</v>
      </c>
      <c r="AH38" s="169">
        <f t="shared" si="118"/>
        <v>0.27699623050580208</v>
      </c>
      <c r="AI38" s="169">
        <f t="shared" si="119"/>
        <v>0.25807051626503535</v>
      </c>
      <c r="AJ38" s="169">
        <f t="shared" si="120"/>
        <v>0.26560949094862218</v>
      </c>
      <c r="AK38" s="169">
        <f t="shared" si="121"/>
        <v>0.27060358616045121</v>
      </c>
      <c r="AL38" s="170">
        <f t="shared" si="126"/>
        <v>0</v>
      </c>
    </row>
    <row r="39" spans="2:38" ht="12.75" customHeight="1">
      <c r="B39" s="157" t="str">
        <f>B32&amp;"(%)"</f>
        <v>Rest of World Revenues(%)</v>
      </c>
      <c r="C39" s="158">
        <f>SUM(C32/C$11)</f>
        <v>8.5325423137323331E-2</v>
      </c>
      <c r="D39" s="158">
        <f>SUM(D32/D$11)</f>
        <v>8.9816754148682676E-2</v>
      </c>
      <c r="E39" s="158">
        <f>SUM(E32/E$11)</f>
        <v>0.10306237082900976</v>
      </c>
      <c r="F39" s="158">
        <f>SUM(F32/F$11)</f>
        <v>0.10859735215193252</v>
      </c>
      <c r="G39" s="158">
        <f>SUM(G32/G$11)</f>
        <v>0.10895982395243797</v>
      </c>
      <c r="H39" s="159"/>
      <c r="I39" s="158">
        <f>SUM(I32/I$11)</f>
        <v>8.597302357571357E-2</v>
      </c>
      <c r="J39" s="158">
        <f>SUM(J32/J$11)</f>
        <v>8.8317226674003504E-2</v>
      </c>
      <c r="K39" s="158">
        <f>SUM(K32/K$11)</f>
        <v>9.4174422612892106E-2</v>
      </c>
      <c r="L39" s="158">
        <f>SUM(L32/L$11)</f>
        <v>9.0344807104036112E-2</v>
      </c>
      <c r="M39" s="158">
        <f>SUM(M32/M$11)</f>
        <v>9.9183029955568297E-2</v>
      </c>
      <c r="N39" s="158">
        <f>SUM(N32/N$11)</f>
        <v>0.10498924432725001</v>
      </c>
      <c r="O39" s="158">
        <f>SUM(O32/O$11)</f>
        <v>0.10662481056505738</v>
      </c>
      <c r="P39" s="158">
        <f>SUM(P32/P$11)</f>
        <v>0.10163220892274211</v>
      </c>
      <c r="Q39" s="158">
        <f>SUM(Q32/Q$11)</f>
        <v>0.10979228486646884</v>
      </c>
      <c r="R39" s="158">
        <f>SUM(R32/R$11)</f>
        <v>0.1102846963967624</v>
      </c>
      <c r="S39" s="158">
        <f>SUM(S32/S$11)</f>
        <v>0.11333684765419083</v>
      </c>
      <c r="T39" s="158">
        <f>SUM(T32/T$11)</f>
        <v>0.10236338252891902</v>
      </c>
      <c r="U39" s="158">
        <f>SUM(U32/U$11)</f>
        <v>0.11227540803730626</v>
      </c>
      <c r="V39" s="158">
        <f>SUM(V32/V$11)</f>
        <v>0.11033759054029843</v>
      </c>
      <c r="W39" s="158">
        <f>SUM(W32/W$11)</f>
        <v>0.11140949518342408</v>
      </c>
      <c r="X39" s="158">
        <f>SUM(X32/X$11)</f>
        <v>0.10329434133840366</v>
      </c>
      <c r="Y39" s="158">
        <f>SUM(Y32/Y$11)</f>
        <v>0.10835657229285815</v>
      </c>
      <c r="Z39" s="158">
        <f>SUM(Z32/Z$11)</f>
        <v>0.10682717400454583</v>
      </c>
      <c r="AA39" s="158">
        <f>SUM(AA32/AA$11)</f>
        <v>0</v>
      </c>
      <c r="AB39" s="159"/>
      <c r="AC39" s="160">
        <f t="shared" si="113"/>
        <v>0.1102846963967624</v>
      </c>
      <c r="AD39" s="160">
        <f t="shared" si="114"/>
        <v>0.11333684765419083</v>
      </c>
      <c r="AE39" s="160">
        <f t="shared" si="115"/>
        <v>0.10236338252891902</v>
      </c>
      <c r="AF39" s="160">
        <f t="shared" si="116"/>
        <v>0.11227540803730626</v>
      </c>
      <c r="AG39" s="160">
        <f t="shared" si="117"/>
        <v>0.11033759054029843</v>
      </c>
      <c r="AH39" s="160">
        <f t="shared" si="118"/>
        <v>0.11140949518342408</v>
      </c>
      <c r="AI39" s="160">
        <f t="shared" si="119"/>
        <v>0.10329434133840366</v>
      </c>
      <c r="AJ39" s="160">
        <f t="shared" si="120"/>
        <v>0.10835657229285815</v>
      </c>
      <c r="AK39" s="160">
        <f t="shared" si="121"/>
        <v>0.10682717400454583</v>
      </c>
      <c r="AL39" s="161">
        <f t="shared" si="122"/>
        <v>0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12:D14 C15:D1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Meta Platforms, Inc. (NASDAQ: META)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Financials'!Q7</f>
        <v>1Q23</v>
      </c>
      <c r="I3" s="7" t="str">
        <f>'Historical Financials'!R7</f>
        <v>2Q23</v>
      </c>
      <c r="J3" s="7" t="str">
        <f>'Historical Financials'!S7</f>
        <v>3Q23</v>
      </c>
      <c r="K3" s="7" t="str">
        <f>'Historical Financials'!T7</f>
        <v>4Q23</v>
      </c>
      <c r="L3" s="7" t="str">
        <f>'Historical Financials'!U7</f>
        <v>1Q24</v>
      </c>
      <c r="M3" s="7" t="str">
        <f>'Historical Financials'!V7</f>
        <v>2Q24</v>
      </c>
      <c r="N3" s="7" t="str">
        <f>'Historical Financials'!W7</f>
        <v>3Q24</v>
      </c>
      <c r="O3" s="7" t="str">
        <f>'Historical Financials'!X7</f>
        <v>4Q24</v>
      </c>
      <c r="P3" s="7" t="str">
        <f>'Historical Financials'!Y7</f>
        <v>1Q25</v>
      </c>
      <c r="Q3" s="7" t="str">
        <f>'Historical Financials'!Z7</f>
        <v>2Q25</v>
      </c>
      <c r="R3" s="7" t="str">
        <f>'Historical Financials'!AA7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Financials'!Q8</f>
        <v>0</v>
      </c>
      <c r="I4" s="3">
        <f>'Historical Financials'!R8</f>
        <v>0</v>
      </c>
      <c r="J4" s="3">
        <f>'Historical Financials'!S8</f>
        <v>0</v>
      </c>
      <c r="K4" s="3">
        <f>'Historical Financials'!T8</f>
        <v>0</v>
      </c>
      <c r="L4" s="3">
        <f>'Historical Financials'!U8</f>
        <v>0</v>
      </c>
      <c r="M4" s="3">
        <f>'Historical Financials'!V8</f>
        <v>0</v>
      </c>
      <c r="N4" s="3">
        <f>'Historical Financials'!W8</f>
        <v>0</v>
      </c>
      <c r="O4" s="3">
        <f>'Historical Financials'!X8</f>
        <v>0</v>
      </c>
      <c r="P4" s="3">
        <f>'Historical Financials'!Y8</f>
        <v>0</v>
      </c>
      <c r="Q4" s="3">
        <f>'Historical Financials'!Z8</f>
        <v>0</v>
      </c>
      <c r="R4" s="3">
        <f>'Historical Financials'!AA8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Family of Apps Revenues</v>
      </c>
      <c r="C6" s="94">
        <f>'Revenue Drivers'!E9</f>
        <v>114450</v>
      </c>
      <c r="D6" s="94">
        <f>'Revenue Drivers'!F9</f>
        <v>133006</v>
      </c>
      <c r="E6" s="94">
        <f>'Revenue Drivers'!G9</f>
        <v>162355</v>
      </c>
      <c r="F6" s="94" t="e">
        <f>'Revenue Drivers'!#REF!</f>
        <v>#REF!</v>
      </c>
      <c r="G6" s="10"/>
      <c r="H6" s="94">
        <f>'Revenue Drivers'!Q9</f>
        <v>28306</v>
      </c>
      <c r="I6" s="94">
        <f>'Revenue Drivers'!R9</f>
        <v>31723</v>
      </c>
      <c r="J6" s="94">
        <f>'Revenue Drivers'!S9</f>
        <v>33936</v>
      </c>
      <c r="K6" s="94">
        <f>'Revenue Drivers'!T9</f>
        <v>39041</v>
      </c>
      <c r="L6" s="94">
        <f>'Revenue Drivers'!U9</f>
        <v>36015</v>
      </c>
      <c r="M6" s="94">
        <f>'Revenue Drivers'!V9</f>
        <v>38718</v>
      </c>
      <c r="N6" s="94">
        <f>'Revenue Drivers'!W9</f>
        <v>40319</v>
      </c>
      <c r="O6" s="94">
        <f>'Revenue Drivers'!X9</f>
        <v>47303</v>
      </c>
      <c r="P6" s="94">
        <f>'Revenue Drivers'!Y9</f>
        <v>41902</v>
      </c>
      <c r="Q6" s="94">
        <f>'Revenue Drivers'!Z9</f>
        <v>47146</v>
      </c>
      <c r="R6" s="94">
        <f>'Revenue Drivers'!AA9</f>
        <v>50772</v>
      </c>
      <c r="S6" s="5"/>
      <c r="T6" s="142">
        <f t="shared" ref="T6:Z9" si="1">SUM(H6:K6)</f>
        <v>133006</v>
      </c>
      <c r="U6" s="142">
        <f t="shared" si="1"/>
        <v>140715</v>
      </c>
      <c r="V6" s="142">
        <f t="shared" si="1"/>
        <v>147710</v>
      </c>
      <c r="W6" s="142">
        <f t="shared" si="1"/>
        <v>154093</v>
      </c>
      <c r="X6" s="142">
        <f t="shared" si="1"/>
        <v>162355</v>
      </c>
      <c r="Y6" s="142">
        <f t="shared" si="1"/>
        <v>168242</v>
      </c>
      <c r="Z6" s="142">
        <f t="shared" si="1"/>
        <v>176670</v>
      </c>
      <c r="AA6" s="142">
        <f>SUM(O6:R6)</f>
        <v>187123</v>
      </c>
      <c r="AC6" s="126">
        <f t="shared" ref="AC6:AC10" si="2">SUM(AA6/W6)-1</f>
        <v>0.21435107370224471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Drivers'!B10</f>
        <v>Professional Services and Other</v>
      </c>
      <c r="C9" s="94">
        <f>'Revenue Drivers'!E10</f>
        <v>2159</v>
      </c>
      <c r="D9" s="94">
        <f>'Revenue Drivers'!F10</f>
        <v>1896</v>
      </c>
      <c r="E9" s="94">
        <f>'Revenue Drivers'!G10</f>
        <v>2146</v>
      </c>
      <c r="F9" s="94" t="e">
        <f>'Revenue Drivers'!#REF!</f>
        <v>#REF!</v>
      </c>
      <c r="G9" s="10"/>
      <c r="H9" s="94">
        <f>'Revenue Drivers'!Q10</f>
        <v>339</v>
      </c>
      <c r="I9" s="94">
        <f>'Revenue Drivers'!R10</f>
        <v>276</v>
      </c>
      <c r="J9" s="94">
        <f>'Revenue Drivers'!S10</f>
        <v>210</v>
      </c>
      <c r="K9" s="94">
        <f>'Revenue Drivers'!T10</f>
        <v>1071</v>
      </c>
      <c r="L9" s="94">
        <f>'Revenue Drivers'!U10</f>
        <v>440</v>
      </c>
      <c r="M9" s="94">
        <f>'Revenue Drivers'!V10</f>
        <v>353</v>
      </c>
      <c r="N9" s="94">
        <f>'Revenue Drivers'!W10</f>
        <v>270</v>
      </c>
      <c r="O9" s="94">
        <f>'Revenue Drivers'!X10</f>
        <v>1083</v>
      </c>
      <c r="P9" s="94">
        <f>'Revenue Drivers'!Y10</f>
        <v>412</v>
      </c>
      <c r="Q9" s="94">
        <f>'Revenue Drivers'!Z10</f>
        <v>370</v>
      </c>
      <c r="R9" s="94">
        <f>'Revenue Drivers'!AA10</f>
        <v>470</v>
      </c>
      <c r="S9" s="5"/>
      <c r="T9" s="142">
        <f t="shared" si="1"/>
        <v>1896</v>
      </c>
      <c r="U9" s="142">
        <f t="shared" si="1"/>
        <v>1997</v>
      </c>
      <c r="V9" s="142">
        <f t="shared" si="1"/>
        <v>2074</v>
      </c>
      <c r="W9" s="142">
        <f t="shared" si="1"/>
        <v>2134</v>
      </c>
      <c r="X9" s="142">
        <f t="shared" si="1"/>
        <v>2146</v>
      </c>
      <c r="Y9" s="142">
        <f t="shared" si="1"/>
        <v>2118</v>
      </c>
      <c r="Z9" s="142">
        <f t="shared" si="1"/>
        <v>2135</v>
      </c>
      <c r="AA9" s="142">
        <f>SUM(O9:R9)</f>
        <v>2335</v>
      </c>
      <c r="AC9" s="126">
        <f t="shared" si="2"/>
        <v>9.4189315838800303E-2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115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119</v>
      </c>
      <c r="C19" s="141">
        <f>'Historical Financials'!D17</f>
        <v>-24655</v>
      </c>
      <c r="D19" s="141">
        <f>'Historical Financials'!E17</f>
        <v>-35338</v>
      </c>
      <c r="E19" s="141">
        <f>'Historical Financials'!F17</f>
        <v>-38483</v>
      </c>
      <c r="F19" s="141">
        <f>'Historical Financials'!G17</f>
        <v>-43873</v>
      </c>
      <c r="G19" s="94"/>
      <c r="H19" s="141">
        <f>'Historical Financials'!Q17</f>
        <v>-9381</v>
      </c>
      <c r="I19" s="141">
        <f>'Historical Financials'!R17</f>
        <v>-9344</v>
      </c>
      <c r="J19" s="141">
        <f>'Historical Financials'!S17</f>
        <v>-9241</v>
      </c>
      <c r="K19" s="141">
        <f>'Historical Financials'!T17</f>
        <v>-10517</v>
      </c>
      <c r="L19" s="141">
        <f>'Historical Financials'!U17</f>
        <v>-9978</v>
      </c>
      <c r="M19" s="141">
        <f>'Historical Financials'!V17</f>
        <v>-10537</v>
      </c>
      <c r="N19" s="141">
        <f>'Historical Financials'!W17</f>
        <v>-11177</v>
      </c>
      <c r="O19" s="141">
        <f>'Historical Financials'!X17</f>
        <v>-12181</v>
      </c>
      <c r="P19" s="141">
        <f>'Historical Financials'!Y17</f>
        <v>-12150</v>
      </c>
      <c r="Q19" s="141">
        <f>'Historical Financials'!Z17</f>
        <v>-12942</v>
      </c>
      <c r="R19" s="141">
        <f>'Historical Financials'!AA17</f>
        <v>-15144</v>
      </c>
      <c r="S19" s="5"/>
      <c r="T19" s="142">
        <f t="shared" ref="T19:Z23" si="32">SUM(H19:K19)</f>
        <v>-38483</v>
      </c>
      <c r="U19" s="142">
        <f t="shared" si="32"/>
        <v>-39080</v>
      </c>
      <c r="V19" s="142">
        <f t="shared" si="32"/>
        <v>-40273</v>
      </c>
      <c r="W19" s="142">
        <f t="shared" si="32"/>
        <v>-42209</v>
      </c>
      <c r="X19" s="142">
        <f t="shared" si="32"/>
        <v>-43873</v>
      </c>
      <c r="Y19" s="142">
        <f t="shared" si="32"/>
        <v>-46045</v>
      </c>
      <c r="Z19" s="142">
        <f t="shared" si="32"/>
        <v>-48450</v>
      </c>
      <c r="AA19" s="142">
        <f>SUM(O19:R19)</f>
        <v>-52417</v>
      </c>
      <c r="AC19" s="126">
        <f t="shared" ref="AC19:AC23" si="33">SUM(AA19/W19)-1</f>
        <v>0.24184415645952284</v>
      </c>
    </row>
    <row r="20" spans="2:29" ht="12.75" customHeight="1">
      <c r="B20" s="23" t="s">
        <v>120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116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117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118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Financials'!D90</f>
        <v>0</v>
      </c>
      <c r="D27" s="141">
        <f>'Historical Financials'!E90</f>
        <v>0</v>
      </c>
      <c r="E27" s="141">
        <f>'Historical Financials'!F90</f>
        <v>0</v>
      </c>
      <c r="F27" s="141">
        <f>'Historical Financials'!G90</f>
        <v>0</v>
      </c>
      <c r="H27" s="141">
        <f>'Historical Financials'!Q90</f>
        <v>0</v>
      </c>
      <c r="I27" s="141">
        <f>'Historical Financials'!R90</f>
        <v>0</v>
      </c>
      <c r="J27" s="141">
        <f>'Historical Financials'!S90</f>
        <v>0</v>
      </c>
      <c r="K27" s="141">
        <f>'Historical Financials'!T90</f>
        <v>0</v>
      </c>
      <c r="L27" s="141">
        <f>'Historical Financials'!U90</f>
        <v>0</v>
      </c>
      <c r="M27" s="141">
        <f>'Historical Financials'!V90</f>
        <v>0</v>
      </c>
      <c r="N27" s="141">
        <f>'Historical Financials'!W90</f>
        <v>0</v>
      </c>
      <c r="O27" s="141">
        <f>'Historical Financials'!X90</f>
        <v>0</v>
      </c>
      <c r="P27" s="141">
        <f>'Historical Financials'!Y90</f>
        <v>0</v>
      </c>
      <c r="Q27" s="141">
        <f>'Historical Financials'!Z90</f>
        <v>0</v>
      </c>
      <c r="R27" s="141">
        <f>'Historical Financials'!AA90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121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122</v>
      </c>
      <c r="C32" s="141">
        <f>'Historical Financials'!D92</f>
        <v>0</v>
      </c>
      <c r="D32" s="141">
        <f>'Historical Financials'!E92</f>
        <v>0</v>
      </c>
      <c r="E32" s="141">
        <f>'Historical Financials'!F92</f>
        <v>0</v>
      </c>
      <c r="F32" s="141">
        <f>'Historical Financials'!G92</f>
        <v>0</v>
      </c>
      <c r="H32" s="141">
        <f>'Historical Financials'!Q92</f>
        <v>0</v>
      </c>
      <c r="I32" s="141">
        <f>'Historical Financials'!R92</f>
        <v>0</v>
      </c>
      <c r="J32" s="141">
        <f>'Historical Financials'!S92</f>
        <v>0</v>
      </c>
      <c r="K32" s="141">
        <f>'Historical Financials'!T92</f>
        <v>0</v>
      </c>
      <c r="L32" s="141">
        <f>'Historical Financials'!U92</f>
        <v>0</v>
      </c>
      <c r="M32" s="141">
        <f>'Historical Financials'!V92</f>
        <v>0</v>
      </c>
      <c r="N32" s="141">
        <f>'Historical Financials'!W92</f>
        <v>0</v>
      </c>
      <c r="O32" s="141">
        <f>'Historical Financials'!X92</f>
        <v>0</v>
      </c>
      <c r="P32" s="141">
        <f>'Historical Financials'!Y92</f>
        <v>0</v>
      </c>
      <c r="Q32" s="141">
        <f>'Historical Financials'!Z92</f>
        <v>0</v>
      </c>
      <c r="R32" s="141">
        <f>'Historical Financials'!AA92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123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124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Financials'!D99</f>
        <v>0</v>
      </c>
      <c r="D38" s="141">
        <f>'Historical Financials'!E99</f>
        <v>0</v>
      </c>
      <c r="E38" s="141">
        <f>'Historical Financials'!F99</f>
        <v>0</v>
      </c>
      <c r="F38" s="141">
        <f>'Historical Financials'!G99</f>
        <v>0</v>
      </c>
      <c r="H38" s="141">
        <f>'Historical Financials'!Q99</f>
        <v>0</v>
      </c>
      <c r="I38" s="141">
        <f>'Historical Financials'!R99</f>
        <v>0</v>
      </c>
      <c r="J38" s="141">
        <f>'Historical Financials'!S99</f>
        <v>0</v>
      </c>
      <c r="K38" s="141">
        <f>'Historical Financials'!T99</f>
        <v>0</v>
      </c>
      <c r="L38" s="141">
        <f>'Historical Financials'!U99</f>
        <v>0</v>
      </c>
      <c r="M38" s="141">
        <f>'Historical Financials'!V99</f>
        <v>0</v>
      </c>
      <c r="N38" s="141">
        <f>'Historical Financials'!W99</f>
        <v>0</v>
      </c>
      <c r="O38" s="141">
        <f>'Historical Financials'!X99</f>
        <v>0</v>
      </c>
      <c r="P38" s="141">
        <f>'Historical Financials'!Y99</f>
        <v>0</v>
      </c>
      <c r="Q38" s="141">
        <f>'Historical Financials'!Z99</f>
        <v>0</v>
      </c>
      <c r="R38" s="141">
        <f>'Historical Financials'!AA99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Financials'!D124</f>
        <v>0</v>
      </c>
      <c r="D39" s="141">
        <f>-'Historical Financials'!E124</f>
        <v>0</v>
      </c>
      <c r="E39" s="141">
        <f>-'Historical Financials'!F124</f>
        <v>0</v>
      </c>
      <c r="F39" s="141">
        <f>-'Historical Financials'!G124</f>
        <v>0</v>
      </c>
      <c r="H39" s="141">
        <f>-'Historical Financials'!Q124</f>
        <v>0</v>
      </c>
      <c r="I39" s="141">
        <f>-'Historical Financials'!R124</f>
        <v>0</v>
      </c>
      <c r="J39" s="141">
        <f>-'Historical Financials'!S124</f>
        <v>0</v>
      </c>
      <c r="K39" s="141">
        <f>-'Historical Financials'!T124</f>
        <v>0</v>
      </c>
      <c r="L39" s="141">
        <f>-'Historical Financials'!U124</f>
        <v>0</v>
      </c>
      <c r="M39" s="141">
        <f>-'Historical Financials'!V124</f>
        <v>0</v>
      </c>
      <c r="N39" s="141">
        <f>-'Historical Financials'!W124</f>
        <v>0</v>
      </c>
      <c r="O39" s="141">
        <f>-'Historical Financials'!X124</f>
        <v>0</v>
      </c>
      <c r="P39" s="141">
        <f>-'Historical Financials'!Y124</f>
        <v>0</v>
      </c>
      <c r="Q39" s="141">
        <f>-'Historical Financials'!Z124</f>
        <v>0</v>
      </c>
      <c r="R39" s="141">
        <f>-'Historical Financials'!AA124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Financials'!D123</f>
        <v>0</v>
      </c>
      <c r="D40" s="141">
        <f>-'Historical Financials'!E123</f>
        <v>0</v>
      </c>
      <c r="E40" s="141">
        <f>-'Historical Financials'!F123</f>
        <v>0</v>
      </c>
      <c r="F40" s="141">
        <f>-'Historical Financials'!G123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Financials'!D100</f>
        <v>0</v>
      </c>
      <c r="D44" s="141">
        <f>'Historical Financials'!E100</f>
        <v>0</v>
      </c>
      <c r="E44" s="141">
        <f>'Historical Financials'!F100</f>
        <v>0</v>
      </c>
      <c r="F44" s="141">
        <f>'Historical Financials'!G100</f>
        <v>0</v>
      </c>
      <c r="G44" s="32"/>
      <c r="H44" s="141">
        <f>'Historical Financials'!Q100</f>
        <v>0</v>
      </c>
      <c r="I44" s="141">
        <f>'Historical Financials'!R100</f>
        <v>0</v>
      </c>
      <c r="J44" s="141">
        <f>'Historical Financials'!S100</f>
        <v>0</v>
      </c>
      <c r="K44" s="141">
        <f>'Historical Financials'!T100</f>
        <v>0</v>
      </c>
      <c r="L44" s="141">
        <f>'Historical Financials'!U100</f>
        <v>0</v>
      </c>
      <c r="M44" s="141">
        <f>'Historical Financials'!V100</f>
        <v>0</v>
      </c>
      <c r="N44" s="141">
        <f>'Historical Financials'!W100</f>
        <v>0</v>
      </c>
      <c r="O44" s="141">
        <f>'Historical Financials'!X100</f>
        <v>0</v>
      </c>
      <c r="P44" s="141">
        <f>'Historical Financials'!Y100</f>
        <v>0</v>
      </c>
      <c r="Q44" s="141">
        <f>'Historical Financials'!Z100</f>
        <v>0</v>
      </c>
      <c r="R44" s="141">
        <f>'Historical Financials'!AA100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Financials'!D102</f>
        <v>0</v>
      </c>
      <c r="D45" s="141">
        <f>'Historical Financials'!E102</f>
        <v>0</v>
      </c>
      <c r="E45" s="141">
        <f>'Historical Financials'!F102</f>
        <v>0</v>
      </c>
      <c r="F45" s="141">
        <f>'Historical Financials'!G102</f>
        <v>0</v>
      </c>
      <c r="G45" s="32"/>
      <c r="H45" s="141">
        <f>'Historical Financials'!Q102</f>
        <v>0</v>
      </c>
      <c r="I45" s="141">
        <f>'Historical Financials'!R102</f>
        <v>0</v>
      </c>
      <c r="J45" s="141">
        <f>'Historical Financials'!S102</f>
        <v>0</v>
      </c>
      <c r="K45" s="141">
        <f>'Historical Financials'!T102</f>
        <v>0</v>
      </c>
      <c r="L45" s="141">
        <f>'Historical Financials'!U102</f>
        <v>0</v>
      </c>
      <c r="M45" s="141">
        <f>'Historical Financials'!V102</f>
        <v>0</v>
      </c>
      <c r="N45" s="141">
        <f>'Historical Financials'!W102</f>
        <v>0</v>
      </c>
      <c r="O45" s="141">
        <f>'Historical Financials'!X102</f>
        <v>0</v>
      </c>
      <c r="P45" s="141">
        <f>'Historical Financials'!Y102</f>
        <v>0</v>
      </c>
      <c r="Q45" s="141">
        <f>'Historical Financials'!Z102</f>
        <v>0</v>
      </c>
      <c r="R45" s="141">
        <f>'Historical Financials'!AA102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125</v>
      </c>
      <c r="C46" s="141">
        <f>'Historical Financials'!D101</f>
        <v>0</v>
      </c>
      <c r="D46" s="141">
        <f>'Historical Financials'!E101</f>
        <v>0</v>
      </c>
      <c r="E46" s="141">
        <f>'Historical Financials'!F101</f>
        <v>0</v>
      </c>
      <c r="F46" s="141">
        <f>'Historical Financials'!G101</f>
        <v>0</v>
      </c>
      <c r="G46" s="32"/>
      <c r="H46" s="141">
        <f>'Historical Financials'!Q101</f>
        <v>0</v>
      </c>
      <c r="I46" s="141">
        <f>'Historical Financials'!R101</f>
        <v>0</v>
      </c>
      <c r="J46" s="141">
        <f>'Historical Financials'!S101</f>
        <v>0</v>
      </c>
      <c r="K46" s="141">
        <f>'Historical Financials'!T101</f>
        <v>0</v>
      </c>
      <c r="L46" s="141">
        <f>'Historical Financials'!U101</f>
        <v>0</v>
      </c>
      <c r="M46" s="141">
        <f>'Historical Financials'!V101</f>
        <v>0</v>
      </c>
      <c r="N46" s="141">
        <f>'Historical Financials'!W101</f>
        <v>0</v>
      </c>
      <c r="O46" s="141">
        <f>'Historical Financials'!X101</f>
        <v>0</v>
      </c>
      <c r="P46" s="141">
        <f>'Historical Financials'!Y101</f>
        <v>0</v>
      </c>
      <c r="Q46" s="141">
        <f>'Historical Financials'!Z101</f>
        <v>0</v>
      </c>
      <c r="R46" s="141">
        <f>'Historical Financials'!AA101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Financials'!D106</f>
        <v>0</v>
      </c>
      <c r="D47" s="141">
        <f>'Historical Financials'!E106</f>
        <v>0</v>
      </c>
      <c r="E47" s="141">
        <f>'Historical Financials'!F106</f>
        <v>0</v>
      </c>
      <c r="F47" s="141">
        <f>'Historical Financials'!G106</f>
        <v>0</v>
      </c>
      <c r="G47" s="32"/>
      <c r="H47" s="141">
        <f>'Historical Financials'!Q106</f>
        <v>0</v>
      </c>
      <c r="I47" s="141">
        <f>'Historical Financials'!R106</f>
        <v>0</v>
      </c>
      <c r="J47" s="141">
        <f>'Historical Financials'!S106</f>
        <v>0</v>
      </c>
      <c r="K47" s="141">
        <f>'Historical Financials'!T106</f>
        <v>0</v>
      </c>
      <c r="L47" s="141">
        <f>'Historical Financials'!U106</f>
        <v>0</v>
      </c>
      <c r="M47" s="141">
        <f>'Historical Financials'!V106</f>
        <v>0</v>
      </c>
      <c r="N47" s="141">
        <f>'Historical Financials'!W106</f>
        <v>0</v>
      </c>
      <c r="O47" s="141">
        <f>'Historical Financials'!X106</f>
        <v>0</v>
      </c>
      <c r="P47" s="141">
        <f>'Historical Financials'!Y106</f>
        <v>0</v>
      </c>
      <c r="Q47" s="141">
        <f>'Historical Financials'!Z106</f>
        <v>0</v>
      </c>
      <c r="R47" s="141">
        <f>'Historical Financials'!AA106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126</v>
      </c>
      <c r="C48" s="141">
        <f>'Historical Financials'!D107</f>
        <v>0</v>
      </c>
      <c r="D48" s="141">
        <f>'Historical Financials'!E107</f>
        <v>0</v>
      </c>
      <c r="E48" s="141">
        <f>'Historical Financials'!F107</f>
        <v>0</v>
      </c>
      <c r="F48" s="141">
        <f>'Historical Financials'!G107</f>
        <v>0</v>
      </c>
      <c r="G48" s="32"/>
      <c r="H48" s="141">
        <f>'Historical Financials'!Q107</f>
        <v>0</v>
      </c>
      <c r="I48" s="141">
        <f>'Historical Financials'!R107</f>
        <v>0</v>
      </c>
      <c r="J48" s="141">
        <f>'Historical Financials'!S107</f>
        <v>0</v>
      </c>
      <c r="K48" s="141">
        <f>'Historical Financials'!T107</f>
        <v>0</v>
      </c>
      <c r="L48" s="141">
        <f>'Historical Financials'!U107</f>
        <v>0</v>
      </c>
      <c r="M48" s="141">
        <f>'Historical Financials'!V107</f>
        <v>0</v>
      </c>
      <c r="N48" s="141">
        <f>'Historical Financials'!W107</f>
        <v>0</v>
      </c>
      <c r="O48" s="141">
        <f>'Historical Financials'!X107</f>
        <v>0</v>
      </c>
      <c r="P48" s="141">
        <f>'Historical Financials'!Y107</f>
        <v>0</v>
      </c>
      <c r="Q48" s="141">
        <f>'Historical Financials'!Z107</f>
        <v>0</v>
      </c>
      <c r="R48" s="141">
        <f>'Historical Financials'!AA107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Financials'!D108:D108)</f>
        <v>0</v>
      </c>
      <c r="D49" s="141">
        <f>SUM('Historical Financials'!E108:E108)</f>
        <v>0</v>
      </c>
      <c r="E49" s="141">
        <f>SUM('Historical Financials'!F108:F108)</f>
        <v>0</v>
      </c>
      <c r="F49" s="141">
        <f>SUM('Historical Financials'!G108:G108)</f>
        <v>0</v>
      </c>
      <c r="G49" s="32"/>
      <c r="H49" s="141">
        <f>SUM('Historical Financials'!Q108:Q108)</f>
        <v>0</v>
      </c>
      <c r="I49" s="141">
        <f>SUM('Historical Financials'!R108:R108)</f>
        <v>0</v>
      </c>
      <c r="J49" s="141">
        <f>SUM('Historical Financials'!S108:S108)</f>
        <v>0</v>
      </c>
      <c r="K49" s="141">
        <f>SUM('Historical Financials'!T108:T108)</f>
        <v>0</v>
      </c>
      <c r="L49" s="141">
        <f>SUM('Historical Financials'!U108:U108)</f>
        <v>0</v>
      </c>
      <c r="M49" s="141">
        <f>SUM('Historical Financials'!V108:V108)</f>
        <v>0</v>
      </c>
      <c r="N49" s="141">
        <f>SUM('Historical Financials'!W108:W108)</f>
        <v>0</v>
      </c>
      <c r="O49" s="141">
        <f>SUM('Historical Financials'!X108:X108)</f>
        <v>0</v>
      </c>
      <c r="P49" s="141">
        <f>SUM('Historical Financials'!Y108:Y108)</f>
        <v>0</v>
      </c>
      <c r="Q49" s="141">
        <f>SUM('Historical Financials'!Z108:Z108)</f>
        <v>0</v>
      </c>
      <c r="R49" s="141">
        <f>SUM('Historical Financials'!AA108:AA108)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Financials'!D42</f>
        <v>16601</v>
      </c>
      <c r="D55" s="94">
        <f>'Historical Financials'!E42</f>
        <v>14681</v>
      </c>
      <c r="E55" s="94">
        <f>'Historical Financials'!F42</f>
        <v>41862</v>
      </c>
      <c r="F55" s="94">
        <f>'Historical Financials'!G42</f>
        <v>43889</v>
      </c>
      <c r="G55" s="32"/>
      <c r="H55" s="94">
        <f>'Historical Financials'!Q42</f>
        <v>11551</v>
      </c>
      <c r="I55" s="94">
        <f>'Historical Financials'!R42</f>
        <v>28785</v>
      </c>
      <c r="J55" s="94">
        <f>'Historical Financials'!S42</f>
        <v>36890</v>
      </c>
      <c r="K55" s="94">
        <f>'Historical Financials'!T42</f>
        <v>41862</v>
      </c>
      <c r="L55" s="94">
        <f>'Historical Financials'!U42</f>
        <v>32307</v>
      </c>
      <c r="M55" s="94">
        <f>'Historical Financials'!V42</f>
        <v>32045</v>
      </c>
      <c r="N55" s="94">
        <f>'Historical Financials'!W42</f>
        <v>43852</v>
      </c>
      <c r="O55" s="94">
        <f>'Historical Financials'!X42</f>
        <v>43889</v>
      </c>
      <c r="P55" s="94">
        <f>'Historical Financials'!Y42</f>
        <v>28750</v>
      </c>
      <c r="Q55" s="94">
        <f>'Historical Financials'!Z42</f>
        <v>12005</v>
      </c>
      <c r="R55" s="94">
        <f>'Historical Financials'!AA42</f>
        <v>10187</v>
      </c>
      <c r="T55" s="10">
        <f t="shared" ref="T55:Z57" si="102">K55</f>
        <v>41862</v>
      </c>
      <c r="U55" s="10">
        <f t="shared" si="102"/>
        <v>32307</v>
      </c>
      <c r="V55" s="10">
        <f t="shared" si="102"/>
        <v>32045</v>
      </c>
      <c r="W55" s="10">
        <f t="shared" si="102"/>
        <v>43852</v>
      </c>
      <c r="X55" s="10">
        <f t="shared" si="102"/>
        <v>43889</v>
      </c>
      <c r="Y55" s="10">
        <f t="shared" si="102"/>
        <v>28750</v>
      </c>
      <c r="Z55" s="10">
        <f t="shared" si="102"/>
        <v>12005</v>
      </c>
      <c r="AA55" s="10">
        <f>R55</f>
        <v>10187</v>
      </c>
    </row>
    <row r="56" spans="1:27" ht="12.75" customHeight="1">
      <c r="B56" s="8" t="s">
        <v>127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41862</v>
      </c>
      <c r="U58" s="14">
        <f t="shared" si="105"/>
        <v>32307</v>
      </c>
      <c r="V58" s="14">
        <f t="shared" si="105"/>
        <v>32045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131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132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136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Financials'!D49</f>
        <v>6775</v>
      </c>
      <c r="D65" s="94">
        <f>'Historical Financials'!E49</f>
        <v>6201</v>
      </c>
      <c r="E65" s="94">
        <f>'Historical Financials'!F49</f>
        <v>6141</v>
      </c>
      <c r="F65" s="94">
        <f>'Historical Financials'!G49</f>
        <v>6070</v>
      </c>
      <c r="H65" s="94">
        <f>'Historical Financials'!Q49</f>
        <v>6167</v>
      </c>
      <c r="I65" s="94">
        <f>'Historical Financials'!R49</f>
        <v>6208</v>
      </c>
      <c r="J65" s="94">
        <f>'Historical Financials'!S49</f>
        <v>6142</v>
      </c>
      <c r="K65" s="94">
        <f>'Historical Financials'!T49</f>
        <v>6141</v>
      </c>
      <c r="L65" s="94">
        <f>'Historical Financials'!U49</f>
        <v>6218</v>
      </c>
      <c r="M65" s="94">
        <f>'Historical Financials'!V49</f>
        <v>6207</v>
      </c>
      <c r="N65" s="94">
        <f>'Historical Financials'!W49</f>
        <v>6071</v>
      </c>
      <c r="O65" s="94">
        <f>'Historical Financials'!X49</f>
        <v>6070</v>
      </c>
      <c r="P65" s="94">
        <f>'Historical Financials'!Y49</f>
        <v>6168</v>
      </c>
      <c r="Q65" s="94">
        <f>'Historical Financials'!Z49</f>
        <v>21988</v>
      </c>
      <c r="R65" s="94">
        <f>'Historical Financials'!AA49</f>
        <v>25074</v>
      </c>
      <c r="S65" s="10"/>
      <c r="T65" s="10">
        <f t="shared" si="106"/>
        <v>6141</v>
      </c>
      <c r="U65" s="10">
        <f t="shared" si="106"/>
        <v>6218</v>
      </c>
      <c r="V65" s="10">
        <f t="shared" si="106"/>
        <v>6207</v>
      </c>
      <c r="W65" s="10">
        <f t="shared" si="106"/>
        <v>6071</v>
      </c>
      <c r="X65" s="10">
        <f t="shared" si="106"/>
        <v>6070</v>
      </c>
      <c r="Y65" s="10">
        <f t="shared" si="106"/>
        <v>6168</v>
      </c>
      <c r="Z65" s="10">
        <f t="shared" si="106"/>
        <v>21988</v>
      </c>
      <c r="AA65" s="10">
        <f t="shared" si="107"/>
        <v>25074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>
        <f>'Historical Financials'!D58</f>
        <v>4083</v>
      </c>
      <c r="D67" s="94">
        <f>'Historical Financials'!E58</f>
        <v>4990</v>
      </c>
      <c r="E67" s="94">
        <f>'Historical Financials'!F58</f>
        <v>4849</v>
      </c>
      <c r="F67" s="94">
        <f>'Historical Financials'!G58</f>
        <v>7687</v>
      </c>
      <c r="G67" s="94"/>
      <c r="H67" s="94">
        <f>'Historical Financials'!Q58</f>
        <v>3672</v>
      </c>
      <c r="I67" s="94">
        <f>'Historical Financials'!R58</f>
        <v>3093</v>
      </c>
      <c r="J67" s="94">
        <f>'Historical Financials'!S58</f>
        <v>4372</v>
      </c>
      <c r="K67" s="94">
        <f>'Historical Financials'!T58</f>
        <v>4849</v>
      </c>
      <c r="L67" s="94">
        <f>'Historical Financials'!U58</f>
        <v>3785</v>
      </c>
      <c r="M67" s="94">
        <f>'Historical Financials'!V58</f>
        <v>3173</v>
      </c>
      <c r="N67" s="94">
        <f>'Historical Financials'!W58</f>
        <v>7656</v>
      </c>
      <c r="O67" s="94">
        <f>'Historical Financials'!X58</f>
        <v>7687</v>
      </c>
      <c r="P67" s="94">
        <f>'Historical Financials'!Y58</f>
        <v>8512</v>
      </c>
      <c r="Q67" s="94">
        <f>'Historical Financials'!Z58</f>
        <v>10271</v>
      </c>
      <c r="R67" s="94">
        <f>'Historical Financials'!AA58</f>
        <v>7798</v>
      </c>
      <c r="T67" s="10">
        <f t="shared" si="106"/>
        <v>4849</v>
      </c>
      <c r="U67" s="10">
        <f t="shared" si="106"/>
        <v>3785</v>
      </c>
      <c r="V67" s="10">
        <f t="shared" si="106"/>
        <v>3173</v>
      </c>
      <c r="W67" s="10">
        <f t="shared" si="106"/>
        <v>7656</v>
      </c>
      <c r="X67" s="10">
        <f t="shared" si="106"/>
        <v>7687</v>
      </c>
      <c r="Y67" s="10">
        <f t="shared" si="106"/>
        <v>8512</v>
      </c>
      <c r="Z67" s="10">
        <f t="shared" si="106"/>
        <v>10271</v>
      </c>
      <c r="AA67" s="10">
        <f t="shared" si="107"/>
        <v>7798</v>
      </c>
    </row>
    <row r="68" spans="2:27" ht="12.75" customHeight="1">
      <c r="B68" s="8" t="s">
        <v>45</v>
      </c>
      <c r="C68" s="94">
        <f>'Historical Financials'!D63</f>
        <v>21135</v>
      </c>
      <c r="D68" s="94">
        <f>'Historical Financials'!E63</f>
        <v>7474</v>
      </c>
      <c r="E68" s="94">
        <f>'Historical Financials'!F63</f>
        <v>31960</v>
      </c>
      <c r="F68" s="94">
        <f>'Historical Financials'!G63</f>
        <v>33596</v>
      </c>
      <c r="G68" s="94"/>
      <c r="H68" s="94">
        <f>'Historical Financials'!Q63</f>
        <v>6036</v>
      </c>
      <c r="I68" s="94">
        <f>'Historical Financials'!R63</f>
        <v>5261</v>
      </c>
      <c r="J68" s="94">
        <f>'Historical Financials'!S63</f>
        <v>6602</v>
      </c>
      <c r="K68" s="94">
        <f>'Historical Financials'!T63</f>
        <v>31960</v>
      </c>
      <c r="L68" s="94">
        <f>'Historical Financials'!U63</f>
        <v>28101</v>
      </c>
      <c r="M68" s="94">
        <f>'Historical Financials'!V63</f>
        <v>27004</v>
      </c>
      <c r="N68" s="94">
        <f>'Historical Financials'!W63</f>
        <v>33330</v>
      </c>
      <c r="O68" s="94">
        <f>'Historical Financials'!X63</f>
        <v>33596</v>
      </c>
      <c r="P68" s="94">
        <f>'Historical Financials'!Y63</f>
        <v>33890</v>
      </c>
      <c r="Q68" s="94">
        <f>'Historical Financials'!Z63</f>
        <v>37305</v>
      </c>
      <c r="R68" s="94">
        <f>'Historical Financials'!AA63</f>
        <v>36958</v>
      </c>
      <c r="T68" s="10">
        <f t="shared" si="106"/>
        <v>31960</v>
      </c>
      <c r="U68" s="10">
        <f t="shared" si="106"/>
        <v>28101</v>
      </c>
      <c r="V68" s="10">
        <f t="shared" si="106"/>
        <v>27004</v>
      </c>
      <c r="W68" s="10">
        <f t="shared" si="106"/>
        <v>33330</v>
      </c>
      <c r="X68" s="10">
        <f t="shared" si="106"/>
        <v>33596</v>
      </c>
      <c r="Y68" s="10">
        <f t="shared" si="106"/>
        <v>33890</v>
      </c>
      <c r="Z68" s="10">
        <f t="shared" si="106"/>
        <v>37305</v>
      </c>
      <c r="AA68" s="10">
        <f t="shared" si="107"/>
        <v>36958</v>
      </c>
    </row>
    <row r="69" spans="2:27" ht="12.75" customHeight="1">
      <c r="B69" s="8" t="s">
        <v>15</v>
      </c>
      <c r="C69" s="94">
        <f>'Historical Financials'!D70</f>
        <v>41108</v>
      </c>
      <c r="D69" s="94">
        <f>'Historical Financials'!E70</f>
        <v>60014</v>
      </c>
      <c r="E69" s="94">
        <f>'Historical Financials'!F70</f>
        <v>76455</v>
      </c>
      <c r="F69" s="94">
        <f>'Historical Financials'!G70</f>
        <v>93417</v>
      </c>
      <c r="G69" s="94"/>
      <c r="H69" s="94">
        <f>'Historical Financials'!Q70</f>
        <v>59696</v>
      </c>
      <c r="I69" s="94">
        <f>'Historical Financials'!R70</f>
        <v>72655</v>
      </c>
      <c r="J69" s="94">
        <f>'Historical Financials'!S70</f>
        <v>73401</v>
      </c>
      <c r="K69" s="94">
        <f>'Historical Financials'!T70</f>
        <v>76455</v>
      </c>
      <c r="L69" s="94">
        <f>'Historical Financials'!U70</f>
        <v>73315</v>
      </c>
      <c r="M69" s="94">
        <f>'Historical Financials'!V70</f>
        <v>73475</v>
      </c>
      <c r="N69" s="94">
        <f>'Historical Financials'!W70</f>
        <v>91879</v>
      </c>
      <c r="O69" s="94">
        <f>'Historical Financials'!X70</f>
        <v>93417</v>
      </c>
      <c r="P69" s="94">
        <f>'Historical Financials'!Y70</f>
        <v>95184</v>
      </c>
      <c r="Q69" s="94">
        <f>'Historical Financials'!Z70</f>
        <v>99674</v>
      </c>
      <c r="R69" s="94">
        <f>'Historical Financials'!AA70</f>
        <v>109778</v>
      </c>
      <c r="T69" s="10">
        <f t="shared" si="106"/>
        <v>76455</v>
      </c>
      <c r="U69" s="10">
        <f t="shared" si="106"/>
        <v>73315</v>
      </c>
      <c r="V69" s="10">
        <f t="shared" si="106"/>
        <v>73475</v>
      </c>
      <c r="W69" s="10">
        <f t="shared" si="106"/>
        <v>91879</v>
      </c>
      <c r="X69" s="10">
        <f t="shared" si="106"/>
        <v>93417</v>
      </c>
      <c r="Y69" s="10">
        <f t="shared" si="106"/>
        <v>95184</v>
      </c>
      <c r="Z69" s="10">
        <f t="shared" si="106"/>
        <v>99674</v>
      </c>
      <c r="AA69" s="10">
        <f t="shared" si="107"/>
        <v>109778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Financials'!D76</f>
        <v>124879</v>
      </c>
      <c r="D87" s="94">
        <f>'Historical Financials'!E76</f>
        <v>125713</v>
      </c>
      <c r="E87" s="94">
        <f>'Historical Financials'!F76</f>
        <v>153168</v>
      </c>
      <c r="F87" s="94">
        <f>'Historical Financials'!G76</f>
        <v>182637</v>
      </c>
      <c r="H87" s="94">
        <f>'Historical Financials'!Q76</f>
        <v>124795</v>
      </c>
      <c r="I87" s="94">
        <f>'Historical Financials'!R76</f>
        <v>134033</v>
      </c>
      <c r="J87" s="94">
        <f>'Historical Financials'!S76</f>
        <v>142873</v>
      </c>
      <c r="K87" s="94">
        <f>'Historical Financials'!T76</f>
        <v>153168</v>
      </c>
      <c r="L87" s="94">
        <f>'Historical Financials'!U76</f>
        <v>149529</v>
      </c>
      <c r="M87" s="94">
        <f>'Historical Financials'!V76</f>
        <v>156763</v>
      </c>
      <c r="N87" s="94">
        <f>'Historical Financials'!W76</f>
        <v>164529</v>
      </c>
      <c r="O87" s="94">
        <f>'Historical Financials'!X76</f>
        <v>182637</v>
      </c>
      <c r="P87" s="94">
        <f>'Historical Financials'!Y76</f>
        <v>185029</v>
      </c>
      <c r="Q87" s="94">
        <f>'Historical Financials'!Z76</f>
        <v>195070</v>
      </c>
      <c r="R87" s="94">
        <f>'Historical Financials'!AA76</f>
        <v>194066</v>
      </c>
      <c r="T87" s="10">
        <f t="shared" ref="T87:AA87" si="130">K87</f>
        <v>153168</v>
      </c>
      <c r="U87" s="10">
        <f t="shared" si="130"/>
        <v>149529</v>
      </c>
      <c r="V87" s="10">
        <f t="shared" si="130"/>
        <v>156763</v>
      </c>
      <c r="W87" s="142">
        <f t="shared" si="130"/>
        <v>164529</v>
      </c>
      <c r="X87" s="142">
        <f t="shared" si="130"/>
        <v>182637</v>
      </c>
      <c r="Y87" s="142">
        <f t="shared" si="130"/>
        <v>185029</v>
      </c>
      <c r="Z87" s="142">
        <f t="shared" si="130"/>
        <v>195070</v>
      </c>
      <c r="AA87" s="142">
        <f t="shared" si="130"/>
        <v>194066</v>
      </c>
    </row>
    <row r="88" spans="1:27" ht="12.75" customHeight="1">
      <c r="B88" s="13" t="s">
        <v>47</v>
      </c>
      <c r="C88" s="14">
        <f>SUM(C85:C87)</f>
        <v>125206</v>
      </c>
      <c r="D88" s="14">
        <f>SUM(D85:D87)</f>
        <v>128214</v>
      </c>
      <c r="E88" s="14">
        <f>SUM(E85:E87)</f>
        <v>155668</v>
      </c>
      <c r="F88" s="14">
        <f>SUM(F85:F87)</f>
        <v>184387</v>
      </c>
      <c r="H88" s="14">
        <f t="shared" ref="H88:M88" si="131">SUM(H85:H87)</f>
        <v>127295</v>
      </c>
      <c r="I88" s="14">
        <f t="shared" si="131"/>
        <v>136533</v>
      </c>
      <c r="J88" s="14">
        <f t="shared" si="131"/>
        <v>145373</v>
      </c>
      <c r="K88" s="14">
        <f t="shared" si="131"/>
        <v>155668</v>
      </c>
      <c r="L88" s="14">
        <f t="shared" si="131"/>
        <v>152029</v>
      </c>
      <c r="M88" s="14">
        <f t="shared" si="131"/>
        <v>158513</v>
      </c>
      <c r="N88" s="14">
        <f>SUM(N85:N87)</f>
        <v>166279</v>
      </c>
      <c r="O88" s="14">
        <f>SUM(O85:O87)</f>
        <v>184387</v>
      </c>
      <c r="P88" s="14">
        <f>SUM(P85:P87)</f>
        <v>189229</v>
      </c>
      <c r="Q88" s="14">
        <f>SUM(Q85:Q87)</f>
        <v>198320</v>
      </c>
      <c r="R88" s="14">
        <f>SUM(R85:R87)</f>
        <v>197316</v>
      </c>
      <c r="T88" s="14">
        <f t="shared" ref="T88:Y88" si="132">SUM(T85:T87)</f>
        <v>155668</v>
      </c>
      <c r="U88" s="14">
        <f t="shared" si="132"/>
        <v>152029</v>
      </c>
      <c r="V88" s="14">
        <f t="shared" si="132"/>
        <v>158513</v>
      </c>
      <c r="W88" s="14">
        <f t="shared" si="132"/>
        <v>166279</v>
      </c>
      <c r="X88" s="14">
        <f t="shared" si="132"/>
        <v>184387</v>
      </c>
      <c r="Y88" s="14">
        <f t="shared" si="132"/>
        <v>189229</v>
      </c>
      <c r="Z88" s="14">
        <f>SUM(Z85:Z87)</f>
        <v>198320</v>
      </c>
      <c r="AA88" s="14">
        <f>SUM(AA85:AA87)</f>
        <v>197316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382.89296636085629</v>
      </c>
      <c r="D97" s="83">
        <f>D88/D85</f>
        <v>51.265093962415037</v>
      </c>
      <c r="E97" s="83">
        <f>E88/E85</f>
        <v>62.267200000000003</v>
      </c>
      <c r="F97" s="83">
        <f>F88/F85</f>
        <v>105.364</v>
      </c>
      <c r="H97" s="83">
        <f t="shared" ref="H97:Q97" si="138">H88/H85</f>
        <v>50.917999999999999</v>
      </c>
      <c r="I97" s="83">
        <f t="shared" si="138"/>
        <v>54.613199999999999</v>
      </c>
      <c r="J97" s="83">
        <f t="shared" si="138"/>
        <v>58.1492</v>
      </c>
      <c r="K97" s="83">
        <f t="shared" si="138"/>
        <v>62.267200000000003</v>
      </c>
      <c r="L97" s="83">
        <f t="shared" si="138"/>
        <v>60.811599999999999</v>
      </c>
      <c r="M97" s="83">
        <f t="shared" si="138"/>
        <v>90.578857142857146</v>
      </c>
      <c r="N97" s="83">
        <f t="shared" si="138"/>
        <v>95.016571428571424</v>
      </c>
      <c r="O97" s="83">
        <f t="shared" si="138"/>
        <v>105.364</v>
      </c>
      <c r="P97" s="83">
        <f t="shared" si="138"/>
        <v>45.054523809523808</v>
      </c>
      <c r="Q97" s="83">
        <f t="shared" si="138"/>
        <v>61.021538461538462</v>
      </c>
      <c r="R97" s="83">
        <f>R88/R85</f>
        <v>60.712615384615383</v>
      </c>
      <c r="S97" s="83"/>
      <c r="T97" s="83">
        <f t="shared" ref="T97:Y97" si="139">T88/T85</f>
        <v>62.267200000000003</v>
      </c>
      <c r="U97" s="83">
        <f t="shared" si="139"/>
        <v>60.811599999999999</v>
      </c>
      <c r="V97" s="83">
        <f t="shared" si="139"/>
        <v>90.578857142857146</v>
      </c>
      <c r="W97" s="83">
        <f t="shared" si="139"/>
        <v>95.016571428571424</v>
      </c>
      <c r="X97" s="83">
        <f t="shared" si="139"/>
        <v>105.364</v>
      </c>
      <c r="Y97" s="83">
        <f t="shared" si="139"/>
        <v>45.054523809523808</v>
      </c>
      <c r="Z97" s="83">
        <f>Z88/Z85</f>
        <v>61.021538461538462</v>
      </c>
      <c r="AA97" s="83">
        <f>AA88/AA85</f>
        <v>60.712615384615383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2025-12-26T19:02:30Z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