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ABB83F00-C229-49BA-8DDD-0AA9A5A7A0F8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9" i="8" l="1"/>
  <c r="T48" i="8"/>
  <c r="T47" i="8"/>
  <c r="T46" i="8"/>
  <c r="T56" i="8"/>
  <c r="T55" i="8"/>
  <c r="T54" i="8"/>
  <c r="T53" i="8"/>
  <c r="T62" i="8"/>
  <c r="T61" i="8"/>
  <c r="T60" i="8"/>
  <c r="T68" i="8"/>
  <c r="T67" i="8"/>
  <c r="T66" i="8"/>
  <c r="P49" i="8"/>
  <c r="P48" i="8"/>
  <c r="P47" i="8"/>
  <c r="P46" i="8"/>
  <c r="P56" i="8"/>
  <c r="P55" i="8"/>
  <c r="P54" i="8"/>
  <c r="P53" i="8"/>
  <c r="P62" i="8"/>
  <c r="P61" i="8"/>
  <c r="P60" i="8"/>
  <c r="P68" i="8"/>
  <c r="P67" i="8"/>
  <c r="P66" i="8"/>
  <c r="L49" i="8"/>
  <c r="L48" i="8"/>
  <c r="L47" i="8"/>
  <c r="L46" i="8"/>
  <c r="L56" i="8"/>
  <c r="L55" i="8"/>
  <c r="L54" i="8"/>
  <c r="L53" i="8"/>
  <c r="L62" i="8"/>
  <c r="L61" i="8"/>
  <c r="L60" i="8"/>
  <c r="L68" i="8"/>
  <c r="L67" i="8"/>
  <c r="L66" i="8"/>
  <c r="AF68" i="8"/>
  <c r="AE68" i="8"/>
  <c r="AD68" i="8"/>
  <c r="AC68" i="8"/>
  <c r="AB68" i="8"/>
  <c r="AA68" i="8"/>
  <c r="Z68" i="8"/>
  <c r="Y68" i="8"/>
  <c r="AF67" i="8"/>
  <c r="AE67" i="8"/>
  <c r="AD67" i="8"/>
  <c r="AB67" i="8"/>
  <c r="AA67" i="8"/>
  <c r="Z67" i="8"/>
  <c r="AC67" i="8"/>
  <c r="Y67" i="8"/>
  <c r="L74" i="8"/>
  <c r="L73" i="8"/>
  <c r="L72" i="8"/>
  <c r="L63" i="8"/>
  <c r="T13" i="8"/>
  <c r="AE13" i="8" s="1"/>
  <c r="T21" i="8"/>
  <c r="T20" i="8"/>
  <c r="AF20" i="8" s="1"/>
  <c r="T19" i="8"/>
  <c r="T18" i="8"/>
  <c r="T17" i="8"/>
  <c r="T27" i="8"/>
  <c r="AF27" i="8" s="1"/>
  <c r="T26" i="8"/>
  <c r="AF26" i="8" s="1"/>
  <c r="T25" i="8"/>
  <c r="P13" i="8"/>
  <c r="Z13" i="8" s="1"/>
  <c r="P21" i="8"/>
  <c r="P20" i="8"/>
  <c r="AB20" i="8" s="1"/>
  <c r="P19" i="8"/>
  <c r="P18" i="8"/>
  <c r="P17" i="8"/>
  <c r="P27" i="8"/>
  <c r="Y27" i="8" s="1"/>
  <c r="P26" i="8"/>
  <c r="AB26" i="8" s="1"/>
  <c r="P25" i="8"/>
  <c r="L13" i="8"/>
  <c r="L21" i="8"/>
  <c r="L20" i="8"/>
  <c r="L19" i="8"/>
  <c r="L18" i="8"/>
  <c r="L17" i="8"/>
  <c r="L27" i="8"/>
  <c r="L26" i="8"/>
  <c r="L25" i="8"/>
  <c r="AD20" i="8"/>
  <c r="AA20" i="8"/>
  <c r="Y20" i="8"/>
  <c r="L32" i="10"/>
  <c r="L31" i="10"/>
  <c r="L30" i="10"/>
  <c r="B37" i="10"/>
  <c r="AH31" i="10"/>
  <c r="AG31" i="10"/>
  <c r="AF31" i="10"/>
  <c r="Z31" i="10"/>
  <c r="T15" i="10"/>
  <c r="AC15" i="10" s="1"/>
  <c r="T14" i="10"/>
  <c r="T13" i="10"/>
  <c r="T12" i="10"/>
  <c r="T11" i="10"/>
  <c r="T10" i="10"/>
  <c r="T9" i="10"/>
  <c r="P15" i="10"/>
  <c r="Y15" i="10" s="1"/>
  <c r="P14" i="10"/>
  <c r="P13" i="10"/>
  <c r="P12" i="10"/>
  <c r="P11" i="10"/>
  <c r="P10" i="10"/>
  <c r="P9" i="10"/>
  <c r="L15" i="10"/>
  <c r="L14" i="10"/>
  <c r="L13" i="10"/>
  <c r="L12" i="10"/>
  <c r="L11" i="10"/>
  <c r="L10" i="10"/>
  <c r="L9" i="10"/>
  <c r="I33" i="10"/>
  <c r="I38" i="10" s="1"/>
  <c r="I16" i="10"/>
  <c r="I21" i="10" s="1"/>
  <c r="I4" i="10"/>
  <c r="I3" i="10"/>
  <c r="K33" i="10"/>
  <c r="K36" i="10" s="1"/>
  <c r="J33" i="10"/>
  <c r="J38" i="10" s="1"/>
  <c r="K16" i="10"/>
  <c r="K24" i="10" s="1"/>
  <c r="J16" i="10"/>
  <c r="J19" i="10" s="1"/>
  <c r="K4" i="10"/>
  <c r="J4" i="10"/>
  <c r="L3" i="10"/>
  <c r="K3" i="10"/>
  <c r="J3" i="10"/>
  <c r="AA13" i="8"/>
  <c r="L11" i="8"/>
  <c r="L8" i="8"/>
  <c r="L43" i="8" s="1"/>
  <c r="J112" i="8"/>
  <c r="J108" i="8"/>
  <c r="J102" i="8"/>
  <c r="J83" i="8"/>
  <c r="J82" i="8"/>
  <c r="J75" i="8"/>
  <c r="J63" i="8"/>
  <c r="J69" i="8" s="1"/>
  <c r="J50" i="8"/>
  <c r="J57" i="8" s="1"/>
  <c r="J43" i="8"/>
  <c r="J42" i="8"/>
  <c r="J11" i="8"/>
  <c r="J22" i="8" s="1"/>
  <c r="J28" i="8" s="1"/>
  <c r="K112" i="8"/>
  <c r="I112" i="8"/>
  <c r="K108" i="8"/>
  <c r="I108" i="8"/>
  <c r="K102" i="8"/>
  <c r="I102" i="8"/>
  <c r="K83" i="8"/>
  <c r="I83" i="8"/>
  <c r="K82" i="8"/>
  <c r="I82" i="8"/>
  <c r="K75" i="8"/>
  <c r="I75" i="8"/>
  <c r="K63" i="8"/>
  <c r="K69" i="8" s="1"/>
  <c r="I63" i="8"/>
  <c r="I69" i="8" s="1"/>
  <c r="K50" i="8"/>
  <c r="K57" i="8" s="1"/>
  <c r="I50" i="8"/>
  <c r="I57" i="8" s="1"/>
  <c r="K43" i="8"/>
  <c r="I43" i="8"/>
  <c r="K42" i="8"/>
  <c r="I42" i="8"/>
  <c r="K11" i="8"/>
  <c r="K22" i="8" s="1"/>
  <c r="I11" i="8"/>
  <c r="I22" i="8" s="1"/>
  <c r="I28" i="8" s="1"/>
  <c r="L112" i="8"/>
  <c r="L108" i="8"/>
  <c r="L102" i="8"/>
  <c r="L82" i="8"/>
  <c r="L50" i="8"/>
  <c r="L57" i="8" s="1"/>
  <c r="L42" i="8"/>
  <c r="AG15" i="10"/>
  <c r="B24" i="10"/>
  <c r="B23" i="10"/>
  <c r="B22" i="10"/>
  <c r="B21" i="10"/>
  <c r="B20" i="10"/>
  <c r="AH67" i="8" l="1"/>
  <c r="AH68" i="8"/>
  <c r="Z20" i="8"/>
  <c r="L75" i="8"/>
  <c r="Y13" i="8"/>
  <c r="L69" i="8"/>
  <c r="L76" i="8" s="1"/>
  <c r="L78" i="8" s="1"/>
  <c r="L14" i="8"/>
  <c r="L15" i="8" s="1"/>
  <c r="AC20" i="8"/>
  <c r="AE20" i="8"/>
  <c r="Y26" i="8"/>
  <c r="Z26" i="8"/>
  <c r="AF13" i="8"/>
  <c r="Z27" i="8"/>
  <c r="AA26" i="8"/>
  <c r="AA27" i="8"/>
  <c r="AB27" i="8"/>
  <c r="AH20" i="8"/>
  <c r="AC26" i="8"/>
  <c r="AC27" i="8"/>
  <c r="AD26" i="8"/>
  <c r="AD27" i="8"/>
  <c r="AE26" i="8"/>
  <c r="AE27" i="8"/>
  <c r="L83" i="8"/>
  <c r="J76" i="8"/>
  <c r="J78" i="8" s="1"/>
  <c r="L4" i="10"/>
  <c r="I14" i="8"/>
  <c r="I15" i="8" s="1"/>
  <c r="J14" i="8"/>
  <c r="J15" i="8" s="1"/>
  <c r="K14" i="8"/>
  <c r="K15" i="8" s="1"/>
  <c r="J37" i="10"/>
  <c r="K37" i="10"/>
  <c r="AA31" i="10"/>
  <c r="AB31" i="10"/>
  <c r="AD31" i="10"/>
  <c r="AE31" i="10"/>
  <c r="I37" i="10"/>
  <c r="AC31" i="10"/>
  <c r="L33" i="10"/>
  <c r="L38" i="10" s="1"/>
  <c r="Y31" i="10"/>
  <c r="K38" i="10"/>
  <c r="I22" i="10"/>
  <c r="L16" i="10"/>
  <c r="I23" i="10"/>
  <c r="I24" i="10"/>
  <c r="I19" i="10"/>
  <c r="I34" i="10"/>
  <c r="I17" i="10"/>
  <c r="I20" i="10"/>
  <c r="I36" i="10"/>
  <c r="I25" i="10"/>
  <c r="J34" i="10"/>
  <c r="K21" i="10"/>
  <c r="J36" i="10"/>
  <c r="K22" i="10"/>
  <c r="K19" i="10"/>
  <c r="J22" i="10"/>
  <c r="K34" i="10"/>
  <c r="K20" i="10"/>
  <c r="J23" i="10"/>
  <c r="J25" i="10"/>
  <c r="J20" i="10"/>
  <c r="K25" i="10"/>
  <c r="J17" i="10"/>
  <c r="K23" i="10"/>
  <c r="K17" i="10"/>
  <c r="J21" i="10"/>
  <c r="J24" i="10"/>
  <c r="AB13" i="8"/>
  <c r="AC13" i="8"/>
  <c r="AD13" i="8"/>
  <c r="L22" i="8"/>
  <c r="L23" i="8" s="1"/>
  <c r="K76" i="8"/>
  <c r="K78" i="8" s="1"/>
  <c r="J29" i="8"/>
  <c r="J32" i="8"/>
  <c r="J23" i="8"/>
  <c r="I76" i="8"/>
  <c r="I78" i="8" s="1"/>
  <c r="K28" i="8"/>
  <c r="K23" i="8"/>
  <c r="I32" i="8"/>
  <c r="I29" i="8"/>
  <c r="I23" i="8"/>
  <c r="AD15" i="10"/>
  <c r="AF15" i="10"/>
  <c r="AE15" i="10"/>
  <c r="AH15" i="10"/>
  <c r="AB15" i="10"/>
  <c r="AA15" i="10"/>
  <c r="Z15" i="10"/>
  <c r="AF74" i="8"/>
  <c r="AE74" i="8"/>
  <c r="AD74" i="8"/>
  <c r="AB74" i="8"/>
  <c r="AA74" i="8"/>
  <c r="Z74" i="8"/>
  <c r="AF73" i="8"/>
  <c r="AE73" i="8"/>
  <c r="AD73" i="8"/>
  <c r="AB73" i="8"/>
  <c r="AA73" i="8"/>
  <c r="Z73" i="8"/>
  <c r="AF72" i="8"/>
  <c r="AE72" i="8"/>
  <c r="AD72" i="8"/>
  <c r="AB72" i="8"/>
  <c r="AA72" i="8"/>
  <c r="Z72" i="8"/>
  <c r="T74" i="8"/>
  <c r="AC74" i="8" s="1"/>
  <c r="T73" i="8"/>
  <c r="AC73" i="8" s="1"/>
  <c r="T72" i="8"/>
  <c r="AC72" i="8" s="1"/>
  <c r="P74" i="8"/>
  <c r="Y74" i="8" s="1"/>
  <c r="P73" i="8"/>
  <c r="Y73" i="8" s="1"/>
  <c r="P72" i="8"/>
  <c r="Y72" i="8" s="1"/>
  <c r="AC62" i="8"/>
  <c r="AC61" i="8"/>
  <c r="Y62" i="8"/>
  <c r="Y61" i="8"/>
  <c r="AF62" i="8"/>
  <c r="AE62" i="8"/>
  <c r="AD62" i="8"/>
  <c r="AB62" i="8"/>
  <c r="AA62" i="8"/>
  <c r="Z62" i="8"/>
  <c r="AF61" i="8"/>
  <c r="AE61" i="8"/>
  <c r="AD61" i="8"/>
  <c r="AB61" i="8"/>
  <c r="AA61" i="8"/>
  <c r="Z61" i="8"/>
  <c r="AC48" i="8"/>
  <c r="AC47" i="8"/>
  <c r="Y48" i="8"/>
  <c r="Y47" i="8"/>
  <c r="AF48" i="8"/>
  <c r="AE48" i="8"/>
  <c r="AD48" i="8"/>
  <c r="AB48" i="8"/>
  <c r="AA48" i="8"/>
  <c r="Z48" i="8"/>
  <c r="AF47" i="8"/>
  <c r="AE47" i="8"/>
  <c r="AD47" i="8"/>
  <c r="AB47" i="8"/>
  <c r="AA47" i="8"/>
  <c r="Z47" i="8"/>
  <c r="AC21" i="8"/>
  <c r="AF19" i="8"/>
  <c r="AC18" i="8"/>
  <c r="AB21" i="8"/>
  <c r="Y19" i="8"/>
  <c r="AB18" i="8"/>
  <c r="AD9" i="10"/>
  <c r="Y9" i="10"/>
  <c r="AH30" i="10"/>
  <c r="AE32" i="10"/>
  <c r="AF30" i="10"/>
  <c r="AB32" i="10"/>
  <c r="Z30" i="10"/>
  <c r="AH4" i="10"/>
  <c r="AG4" i="10"/>
  <c r="W4" i="10"/>
  <c r="AF4" i="10" s="1"/>
  <c r="V4" i="10"/>
  <c r="AE4" i="10" s="1"/>
  <c r="U4" i="10"/>
  <c r="AD4" i="10" s="1"/>
  <c r="S4" i="10"/>
  <c r="AB4" i="10" s="1"/>
  <c r="R4" i="10"/>
  <c r="AA4" i="10" s="1"/>
  <c r="Q4" i="10"/>
  <c r="Z4" i="10" s="1"/>
  <c r="O4" i="10"/>
  <c r="N4" i="10"/>
  <c r="M4" i="10"/>
  <c r="AH3" i="10"/>
  <c r="AG3" i="10"/>
  <c r="W3" i="10"/>
  <c r="AF3" i="10" s="1"/>
  <c r="V3" i="10"/>
  <c r="AE3" i="10" s="1"/>
  <c r="U3" i="10"/>
  <c r="AD3" i="10" s="1"/>
  <c r="T3" i="10"/>
  <c r="AC3" i="10" s="1"/>
  <c r="S3" i="10"/>
  <c r="AB3" i="10" s="1"/>
  <c r="R3" i="10"/>
  <c r="AA3" i="10" s="1"/>
  <c r="Q3" i="10"/>
  <c r="Z3" i="10" s="1"/>
  <c r="P3" i="10"/>
  <c r="Y3" i="10" s="1"/>
  <c r="O3" i="10"/>
  <c r="N3" i="10"/>
  <c r="M3" i="10"/>
  <c r="G4" i="10"/>
  <c r="F4" i="10"/>
  <c r="E4" i="10"/>
  <c r="D4" i="10"/>
  <c r="C4" i="10"/>
  <c r="G3" i="10"/>
  <c r="F3" i="10"/>
  <c r="E3" i="10"/>
  <c r="D3" i="10"/>
  <c r="C3" i="10"/>
  <c r="D33" i="10"/>
  <c r="C33" i="10"/>
  <c r="D16" i="10"/>
  <c r="C16" i="10"/>
  <c r="B2" i="10"/>
  <c r="B38" i="10"/>
  <c r="B36" i="10"/>
  <c r="W33" i="10"/>
  <c r="W37" i="10" s="1"/>
  <c r="AH37" i="10" s="1"/>
  <c r="V33" i="10"/>
  <c r="U33" i="10"/>
  <c r="U37" i="10" s="1"/>
  <c r="AF37" i="10" s="1"/>
  <c r="S33" i="10"/>
  <c r="R33" i="10"/>
  <c r="Q33" i="10"/>
  <c r="O33" i="10"/>
  <c r="O37" i="10" s="1"/>
  <c r="Z37" i="10" s="1"/>
  <c r="N33" i="10"/>
  <c r="M33" i="10"/>
  <c r="M37" i="10" s="1"/>
  <c r="G33" i="10"/>
  <c r="F33" i="10"/>
  <c r="E33" i="10"/>
  <c r="B25" i="10"/>
  <c r="B19" i="10"/>
  <c r="W16" i="10"/>
  <c r="V16" i="10"/>
  <c r="U16" i="10"/>
  <c r="S16" i="10"/>
  <c r="R16" i="10"/>
  <c r="Q16" i="10"/>
  <c r="O16" i="10"/>
  <c r="N16" i="10"/>
  <c r="M16" i="10"/>
  <c r="G16" i="10"/>
  <c r="F16" i="10"/>
  <c r="E16" i="10"/>
  <c r="L28" i="8" l="1"/>
  <c r="L32" i="8" s="1"/>
  <c r="L36" i="10"/>
  <c r="L34" i="10"/>
  <c r="N38" i="10"/>
  <c r="Y38" i="10" s="1"/>
  <c r="N37" i="10"/>
  <c r="Y37" i="10" s="1"/>
  <c r="R38" i="10"/>
  <c r="AC38" i="10" s="1"/>
  <c r="R37" i="10"/>
  <c r="AC37" i="10" s="1"/>
  <c r="S38" i="10"/>
  <c r="AD38" i="10" s="1"/>
  <c r="S37" i="10"/>
  <c r="AD37" i="10" s="1"/>
  <c r="E38" i="10"/>
  <c r="E37" i="10"/>
  <c r="F38" i="10"/>
  <c r="F37" i="10"/>
  <c r="C38" i="10"/>
  <c r="C37" i="10"/>
  <c r="G38" i="10"/>
  <c r="G37" i="10"/>
  <c r="V38" i="10"/>
  <c r="AG38" i="10" s="1"/>
  <c r="V37" i="10"/>
  <c r="AG37" i="10" s="1"/>
  <c r="D38" i="10"/>
  <c r="D37" i="10"/>
  <c r="Q38" i="10"/>
  <c r="AB38" i="10" s="1"/>
  <c r="Q37" i="10"/>
  <c r="AB37" i="10" s="1"/>
  <c r="L37" i="10"/>
  <c r="L25" i="10"/>
  <c r="L21" i="10"/>
  <c r="L23" i="10"/>
  <c r="L22" i="10"/>
  <c r="L17" i="10"/>
  <c r="L20" i="10"/>
  <c r="L24" i="10"/>
  <c r="L19" i="10"/>
  <c r="AH13" i="8"/>
  <c r="J39" i="8"/>
  <c r="J36" i="8"/>
  <c r="J33" i="8"/>
  <c r="J86" i="8"/>
  <c r="J95" i="8" s="1"/>
  <c r="J116" i="8" s="1"/>
  <c r="J117" i="8" s="1"/>
  <c r="J119" i="8" s="1"/>
  <c r="I36" i="8"/>
  <c r="I33" i="8"/>
  <c r="I86" i="8"/>
  <c r="I95" i="8" s="1"/>
  <c r="I116" i="8" s="1"/>
  <c r="I117" i="8" s="1"/>
  <c r="I119" i="8" s="1"/>
  <c r="I39" i="8"/>
  <c r="K29" i="8"/>
  <c r="K32" i="8"/>
  <c r="V20" i="10"/>
  <c r="AG20" i="10" s="1"/>
  <c r="V22" i="10"/>
  <c r="AG22" i="10" s="1"/>
  <c r="V21" i="10"/>
  <c r="AG21" i="10" s="1"/>
  <c r="V23" i="10"/>
  <c r="AG23" i="10" s="1"/>
  <c r="V24" i="10"/>
  <c r="AG24" i="10" s="1"/>
  <c r="W25" i="10"/>
  <c r="AH25" i="10" s="1"/>
  <c r="W20" i="10"/>
  <c r="AH20" i="10" s="1"/>
  <c r="W22" i="10"/>
  <c r="AH22" i="10" s="1"/>
  <c r="W21" i="10"/>
  <c r="AH21" i="10" s="1"/>
  <c r="W23" i="10"/>
  <c r="AH23" i="10" s="1"/>
  <c r="W24" i="10"/>
  <c r="AH24" i="10" s="1"/>
  <c r="N20" i="10"/>
  <c r="Y20" i="10" s="1"/>
  <c r="N22" i="10"/>
  <c r="Y22" i="10" s="1"/>
  <c r="N21" i="10"/>
  <c r="Y21" i="10" s="1"/>
  <c r="N23" i="10"/>
  <c r="Y23" i="10" s="1"/>
  <c r="N24" i="10"/>
  <c r="Y24" i="10" s="1"/>
  <c r="O25" i="10"/>
  <c r="Z25" i="10" s="1"/>
  <c r="O20" i="10"/>
  <c r="Z20" i="10" s="1"/>
  <c r="O22" i="10"/>
  <c r="Z22" i="10" s="1"/>
  <c r="O21" i="10"/>
  <c r="Z21" i="10" s="1"/>
  <c r="O23" i="10"/>
  <c r="Z23" i="10" s="1"/>
  <c r="O24" i="10"/>
  <c r="Z24" i="10" s="1"/>
  <c r="Q22" i="10"/>
  <c r="AB22" i="10" s="1"/>
  <c r="Q21" i="10"/>
  <c r="AB21" i="10" s="1"/>
  <c r="Q23" i="10"/>
  <c r="AB23" i="10" s="1"/>
  <c r="Q24" i="10"/>
  <c r="AB24" i="10" s="1"/>
  <c r="Q20" i="10"/>
  <c r="AB20" i="10" s="1"/>
  <c r="C20" i="10"/>
  <c r="C22" i="10"/>
  <c r="C21" i="10"/>
  <c r="C23" i="10"/>
  <c r="C24" i="10"/>
  <c r="M25" i="10"/>
  <c r="M24" i="10"/>
  <c r="M20" i="10"/>
  <c r="M22" i="10"/>
  <c r="M21" i="10"/>
  <c r="M23" i="10"/>
  <c r="E22" i="10"/>
  <c r="E21" i="10"/>
  <c r="E23" i="10"/>
  <c r="E24" i="10"/>
  <c r="E20" i="10"/>
  <c r="R25" i="10"/>
  <c r="AC25" i="10" s="1"/>
  <c r="R23" i="10"/>
  <c r="AC23" i="10" s="1"/>
  <c r="R24" i="10"/>
  <c r="AC24" i="10" s="1"/>
  <c r="R20" i="10"/>
  <c r="AC20" i="10" s="1"/>
  <c r="R22" i="10"/>
  <c r="AC22" i="10" s="1"/>
  <c r="R21" i="10"/>
  <c r="AC21" i="10" s="1"/>
  <c r="D24" i="10"/>
  <c r="D22" i="10"/>
  <c r="D21" i="10"/>
  <c r="D23" i="10"/>
  <c r="D20" i="10"/>
  <c r="F25" i="10"/>
  <c r="F20" i="10"/>
  <c r="F23" i="10"/>
  <c r="F24" i="10"/>
  <c r="F22" i="10"/>
  <c r="F21" i="10"/>
  <c r="S23" i="10"/>
  <c r="AD23" i="10" s="1"/>
  <c r="S24" i="10"/>
  <c r="AD24" i="10" s="1"/>
  <c r="S20" i="10"/>
  <c r="AD20" i="10" s="1"/>
  <c r="S22" i="10"/>
  <c r="AD22" i="10" s="1"/>
  <c r="S21" i="10"/>
  <c r="AD21" i="10" s="1"/>
  <c r="G23" i="10"/>
  <c r="G24" i="10"/>
  <c r="G20" i="10"/>
  <c r="G22" i="10"/>
  <c r="G21" i="10"/>
  <c r="U24" i="10"/>
  <c r="AF24" i="10" s="1"/>
  <c r="U20" i="10"/>
  <c r="AF20" i="10" s="1"/>
  <c r="U22" i="10"/>
  <c r="AF22" i="10" s="1"/>
  <c r="U21" i="10"/>
  <c r="AF21" i="10" s="1"/>
  <c r="U23" i="10"/>
  <c r="AF23" i="10" s="1"/>
  <c r="AH61" i="8"/>
  <c r="AH62" i="8"/>
  <c r="AH47" i="8"/>
  <c r="AH48" i="8"/>
  <c r="AF21" i="8"/>
  <c r="AH21" i="8" s="1"/>
  <c r="Z19" i="8"/>
  <c r="AB19" i="8"/>
  <c r="AH19" i="8" s="1"/>
  <c r="AD18" i="8"/>
  <c r="AF18" i="8"/>
  <c r="AH18" i="8" s="1"/>
  <c r="AD21" i="8"/>
  <c r="AE18" i="8"/>
  <c r="AA19" i="8"/>
  <c r="AE21" i="8"/>
  <c r="Y18" i="8"/>
  <c r="AC19" i="8"/>
  <c r="Y21" i="8"/>
  <c r="Z18" i="8"/>
  <c r="AD19" i="8"/>
  <c r="Z21" i="8"/>
  <c r="AA18" i="8"/>
  <c r="AE19" i="8"/>
  <c r="AA21" i="8"/>
  <c r="AA32" i="10"/>
  <c r="Y32" i="10"/>
  <c r="Z32" i="10"/>
  <c r="M34" i="10"/>
  <c r="C34" i="10"/>
  <c r="R34" i="10"/>
  <c r="AF32" i="10"/>
  <c r="F34" i="10"/>
  <c r="G34" i="10"/>
  <c r="S34" i="10"/>
  <c r="U34" i="10"/>
  <c r="N34" i="10"/>
  <c r="V34" i="10"/>
  <c r="W34" i="10"/>
  <c r="D34" i="10"/>
  <c r="O34" i="10"/>
  <c r="E34" i="10"/>
  <c r="Q34" i="10"/>
  <c r="AD32" i="10"/>
  <c r="AC32" i="10"/>
  <c r="Q25" i="10"/>
  <c r="AB25" i="10" s="1"/>
  <c r="Z9" i="10"/>
  <c r="C19" i="10"/>
  <c r="AA9" i="10"/>
  <c r="AB9" i="10"/>
  <c r="C25" i="10"/>
  <c r="D36" i="10"/>
  <c r="AG30" i="10"/>
  <c r="C36" i="10"/>
  <c r="D25" i="10"/>
  <c r="D19" i="10"/>
  <c r="F19" i="10"/>
  <c r="E36" i="10"/>
  <c r="AB30" i="10"/>
  <c r="S36" i="10"/>
  <c r="AD36" i="10" s="1"/>
  <c r="AD30" i="10"/>
  <c r="U25" i="10"/>
  <c r="AF25" i="10" s="1"/>
  <c r="Q19" i="10"/>
  <c r="AB19" i="10" s="1"/>
  <c r="E25" i="10"/>
  <c r="G36" i="10"/>
  <c r="M19" i="10"/>
  <c r="AF9" i="10"/>
  <c r="R19" i="10"/>
  <c r="AC19" i="10" s="1"/>
  <c r="Y30" i="10"/>
  <c r="N36" i="10"/>
  <c r="Y36" i="10" s="1"/>
  <c r="U19" i="10"/>
  <c r="AF19" i="10" s="1"/>
  <c r="AA30" i="10"/>
  <c r="Q36" i="10"/>
  <c r="AB36" i="10" s="1"/>
  <c r="E19" i="10"/>
  <c r="AC30" i="10"/>
  <c r="V36" i="10"/>
  <c r="AG36" i="10" s="1"/>
  <c r="AE9" i="10"/>
  <c r="O19" i="10"/>
  <c r="Z19" i="10" s="1"/>
  <c r="W19" i="10"/>
  <c r="AH19" i="10" s="1"/>
  <c r="G25" i="10"/>
  <c r="S25" i="10"/>
  <c r="AD25" i="10" s="1"/>
  <c r="T33" i="10"/>
  <c r="T37" i="10" s="1"/>
  <c r="AE37" i="10" s="1"/>
  <c r="M38" i="10"/>
  <c r="U38" i="10"/>
  <c r="AF38" i="10" s="1"/>
  <c r="AG9" i="10"/>
  <c r="P16" i="10"/>
  <c r="F36" i="10"/>
  <c r="R36" i="10"/>
  <c r="AC36" i="10" s="1"/>
  <c r="AH9" i="10"/>
  <c r="N25" i="10"/>
  <c r="Y25" i="10" s="1"/>
  <c r="V25" i="10"/>
  <c r="AG25" i="10" s="1"/>
  <c r="AG32" i="10"/>
  <c r="O38" i="10"/>
  <c r="Z38" i="10" s="1"/>
  <c r="W38" i="10"/>
  <c r="AH38" i="10" s="1"/>
  <c r="G19" i="10"/>
  <c r="S19" i="10"/>
  <c r="AD19" i="10" s="1"/>
  <c r="AE30" i="10"/>
  <c r="AH32" i="10"/>
  <c r="P33" i="10"/>
  <c r="P37" i="10" s="1"/>
  <c r="AA37" i="10" s="1"/>
  <c r="M36" i="10"/>
  <c r="U36" i="10"/>
  <c r="AF36" i="10" s="1"/>
  <c r="AC9" i="10"/>
  <c r="T16" i="10"/>
  <c r="N19" i="10"/>
  <c r="Y19" i="10" s="1"/>
  <c r="V19" i="10"/>
  <c r="AG19" i="10" s="1"/>
  <c r="O36" i="10"/>
  <c r="Z36" i="10" s="1"/>
  <c r="W36" i="10"/>
  <c r="AH36" i="10" s="1"/>
  <c r="L29" i="8" l="1"/>
  <c r="K36" i="8"/>
  <c r="K33" i="8"/>
  <c r="K86" i="8"/>
  <c r="K95" i="8" s="1"/>
  <c r="K116" i="8" s="1"/>
  <c r="K117" i="8" s="1"/>
  <c r="K119" i="8" s="1"/>
  <c r="K39" i="8"/>
  <c r="L39" i="8"/>
  <c r="L36" i="8"/>
  <c r="L33" i="8"/>
  <c r="L86" i="8"/>
  <c r="L95" i="8" s="1"/>
  <c r="L116" i="8" s="1"/>
  <c r="L117" i="8" s="1"/>
  <c r="L119" i="8" s="1"/>
  <c r="P22" i="10"/>
  <c r="AA22" i="10" s="1"/>
  <c r="P21" i="10"/>
  <c r="AA21" i="10" s="1"/>
  <c r="P23" i="10"/>
  <c r="AA23" i="10" s="1"/>
  <c r="P24" i="10"/>
  <c r="AA24" i="10" s="1"/>
  <c r="P20" i="10"/>
  <c r="AA20" i="10" s="1"/>
  <c r="T24" i="10"/>
  <c r="AE24" i="10" s="1"/>
  <c r="T20" i="10"/>
  <c r="AE20" i="10" s="1"/>
  <c r="T22" i="10"/>
  <c r="AE22" i="10" s="1"/>
  <c r="T21" i="10"/>
  <c r="AE21" i="10" s="1"/>
  <c r="T23" i="10"/>
  <c r="AE23" i="10" s="1"/>
  <c r="AF33" i="10"/>
  <c r="AF34" i="10" s="1"/>
  <c r="T34" i="10"/>
  <c r="P34" i="10"/>
  <c r="T36" i="10"/>
  <c r="AE36" i="10" s="1"/>
  <c r="Y16" i="10"/>
  <c r="Z33" i="10"/>
  <c r="Z34" i="10" s="1"/>
  <c r="AF16" i="10"/>
  <c r="AD33" i="10"/>
  <c r="AD34" i="10" s="1"/>
  <c r="AD16" i="10"/>
  <c r="AB16" i="10"/>
  <c r="AG16" i="10"/>
  <c r="AG17" i="10" s="1"/>
  <c r="AG33" i="10"/>
  <c r="AG34" i="10" s="1"/>
  <c r="AA33" i="10"/>
  <c r="AA34" i="10" s="1"/>
  <c r="AB33" i="10"/>
  <c r="AB34" i="10" s="1"/>
  <c r="Y33" i="10"/>
  <c r="Y34" i="10" s="1"/>
  <c r="AA16" i="10"/>
  <c r="AH33" i="10"/>
  <c r="AH34" i="10" s="1"/>
  <c r="AE33" i="10"/>
  <c r="AE34" i="10" s="1"/>
  <c r="AH16" i="10"/>
  <c r="AC33" i="10"/>
  <c r="AC34" i="10" s="1"/>
  <c r="Z16" i="10"/>
  <c r="P38" i="10"/>
  <c r="AA38" i="10" s="1"/>
  <c r="P36" i="10"/>
  <c r="AA36" i="10" s="1"/>
  <c r="AC16" i="10"/>
  <c r="AE16" i="10"/>
  <c r="T38" i="10"/>
  <c r="AE38" i="10" s="1"/>
  <c r="P25" i="10"/>
  <c r="AA25" i="10" s="1"/>
  <c r="P19" i="10"/>
  <c r="AA19" i="10" s="1"/>
  <c r="T25" i="10"/>
  <c r="AE25" i="10" s="1"/>
  <c r="T19" i="10"/>
  <c r="AE19" i="10" s="1"/>
  <c r="AC25" i="8" l="1"/>
  <c r="AB25" i="8"/>
  <c r="K14" i="9"/>
  <c r="O14" i="9"/>
  <c r="AF17" i="8"/>
  <c r="AB17" i="8"/>
  <c r="AE38" i="8"/>
  <c r="AD38" i="8"/>
  <c r="AC38" i="8"/>
  <c r="AB38" i="8"/>
  <c r="AA38" i="8"/>
  <c r="Z38" i="8"/>
  <c r="Y38" i="8"/>
  <c r="AE35" i="8"/>
  <c r="AD35" i="8"/>
  <c r="AB35" i="8"/>
  <c r="AA35" i="8"/>
  <c r="Z35" i="8"/>
  <c r="K55" i="9"/>
  <c r="T55" i="9" s="1"/>
  <c r="AC46" i="8"/>
  <c r="Y49" i="8"/>
  <c r="AC49" i="8"/>
  <c r="K63" i="9"/>
  <c r="T63" i="9" s="1"/>
  <c r="K66" i="9"/>
  <c r="T66" i="9" s="1"/>
  <c r="Y56" i="8"/>
  <c r="Y55" i="8"/>
  <c r="Y54" i="8"/>
  <c r="K65" i="9"/>
  <c r="T65" i="9" s="1"/>
  <c r="K67" i="9"/>
  <c r="T67" i="9" s="1"/>
  <c r="AC56" i="8"/>
  <c r="AC55" i="8"/>
  <c r="AC54" i="8"/>
  <c r="AC53" i="8"/>
  <c r="AC60" i="8"/>
  <c r="AC66" i="8"/>
  <c r="K73" i="9"/>
  <c r="T73" i="9" s="1"/>
  <c r="W50" i="8"/>
  <c r="V50" i="8"/>
  <c r="U50" i="8"/>
  <c r="S50" i="8"/>
  <c r="R50" i="8"/>
  <c r="Q50" i="8"/>
  <c r="O50" i="8"/>
  <c r="N50" i="8"/>
  <c r="M50" i="8"/>
  <c r="G50" i="8"/>
  <c r="F50" i="8"/>
  <c r="E50" i="8"/>
  <c r="D50" i="8"/>
  <c r="C50" i="8"/>
  <c r="C57" i="8" s="1"/>
  <c r="T107" i="8"/>
  <c r="P107" i="8"/>
  <c r="T106" i="8"/>
  <c r="P106" i="8"/>
  <c r="T105" i="8"/>
  <c r="P105" i="8"/>
  <c r="K47" i="9" s="1"/>
  <c r="T101" i="8"/>
  <c r="O45" i="9" s="1"/>
  <c r="P101" i="8"/>
  <c r="Z101" i="8" s="1"/>
  <c r="T100" i="8"/>
  <c r="P100" i="8"/>
  <c r="K46" i="9" s="1"/>
  <c r="T99" i="8"/>
  <c r="P99" i="8"/>
  <c r="T98" i="8"/>
  <c r="P98" i="8"/>
  <c r="AF56" i="8"/>
  <c r="AE56" i="8"/>
  <c r="AD56" i="8"/>
  <c r="AB56" i="8"/>
  <c r="AA56" i="8"/>
  <c r="Z56" i="8"/>
  <c r="AF55" i="8"/>
  <c r="AE55" i="8"/>
  <c r="AD55" i="8"/>
  <c r="AB55" i="8"/>
  <c r="AA55" i="8"/>
  <c r="Z55" i="8"/>
  <c r="AF49" i="8"/>
  <c r="AE49" i="8"/>
  <c r="AD49" i="8"/>
  <c r="AB49" i="8"/>
  <c r="AA49" i="8"/>
  <c r="Z49" i="8"/>
  <c r="C108" i="8"/>
  <c r="C102" i="8"/>
  <c r="C83" i="8"/>
  <c r="C82" i="8"/>
  <c r="C75" i="8"/>
  <c r="C63" i="8"/>
  <c r="C69" i="8" s="1"/>
  <c r="C43" i="8"/>
  <c r="C42" i="8"/>
  <c r="C11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E71" i="8"/>
  <c r="AD71" i="8"/>
  <c r="AB71" i="8"/>
  <c r="AA71" i="8"/>
  <c r="Z71" i="8"/>
  <c r="AE66" i="8"/>
  <c r="AD66" i="8"/>
  <c r="AB66" i="8"/>
  <c r="AA66" i="8"/>
  <c r="Z66" i="8"/>
  <c r="AE60" i="8"/>
  <c r="AD60" i="8"/>
  <c r="AE54" i="8"/>
  <c r="AD54" i="8"/>
  <c r="AB54" i="8"/>
  <c r="AA54" i="8"/>
  <c r="Z54" i="8"/>
  <c r="AE53" i="8"/>
  <c r="AD53" i="8"/>
  <c r="AB53" i="8"/>
  <c r="AA53" i="8"/>
  <c r="Z53" i="8"/>
  <c r="AE46" i="8"/>
  <c r="AD46" i="8"/>
  <c r="AB46" i="8"/>
  <c r="AA46" i="8"/>
  <c r="Z46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T93" i="8"/>
  <c r="P93" i="8"/>
  <c r="AA93" i="8" s="1"/>
  <c r="P122" i="8"/>
  <c r="P91" i="8"/>
  <c r="K32" i="9" s="1"/>
  <c r="J27" i="9"/>
  <c r="J38" i="9"/>
  <c r="R45" i="9"/>
  <c r="R46" i="9"/>
  <c r="R38" i="9"/>
  <c r="R32" i="9"/>
  <c r="R27" i="9"/>
  <c r="M46" i="9"/>
  <c r="N38" i="9"/>
  <c r="T92" i="8"/>
  <c r="N32" i="9"/>
  <c r="N27" i="9"/>
  <c r="P47" i="9"/>
  <c r="AB60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P123" i="8"/>
  <c r="K39" i="9" s="1"/>
  <c r="T123" i="8"/>
  <c r="O39" i="9" s="1"/>
  <c r="T122" i="8"/>
  <c r="T115" i="8"/>
  <c r="T114" i="8"/>
  <c r="AC114" i="8" s="1"/>
  <c r="P115" i="8"/>
  <c r="P114" i="8"/>
  <c r="AB114" i="8" s="1"/>
  <c r="AF71" i="8"/>
  <c r="AF66" i="8"/>
  <c r="AF60" i="8"/>
  <c r="AF54" i="8"/>
  <c r="AF53" i="8"/>
  <c r="AF46" i="8"/>
  <c r="D45" i="9"/>
  <c r="K64" i="9"/>
  <c r="T64" i="9" s="1"/>
  <c r="Y66" i="8"/>
  <c r="AC71" i="8"/>
  <c r="Y71" i="8"/>
  <c r="AE31" i="8"/>
  <c r="Y31" i="8"/>
  <c r="P35" i="8"/>
  <c r="Y35" i="8" s="1"/>
  <c r="O23" i="9"/>
  <c r="O34" i="9" s="1"/>
  <c r="K23" i="9"/>
  <c r="K34" i="9" s="1"/>
  <c r="O21" i="9"/>
  <c r="K21" i="9"/>
  <c r="O72" i="9"/>
  <c r="X72" i="9" s="1"/>
  <c r="K72" i="9"/>
  <c r="T72" i="9" s="1"/>
  <c r="AF35" i="8"/>
  <c r="AF38" i="8"/>
  <c r="T35" i="8"/>
  <c r="AC35" i="8" s="1"/>
  <c r="C22" i="8" l="1"/>
  <c r="C28" i="8" s="1"/>
  <c r="C14" i="8"/>
  <c r="C15" i="8" s="1"/>
  <c r="AF25" i="8"/>
  <c r="C17" i="10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D25" i="8"/>
  <c r="AE25" i="8"/>
  <c r="Y25" i="8"/>
  <c r="Z25" i="8"/>
  <c r="AA25" i="8"/>
  <c r="AB50" i="8"/>
  <c r="AD50" i="8"/>
  <c r="AE50" i="8"/>
  <c r="AF50" i="8"/>
  <c r="T50" i="8"/>
  <c r="P50" i="8"/>
  <c r="K56" i="9"/>
  <c r="T56" i="9" s="1"/>
  <c r="AC50" i="8"/>
  <c r="T90" i="8"/>
  <c r="AF90" i="8" s="1"/>
  <c r="AH55" i="8"/>
  <c r="AH56" i="8"/>
  <c r="AH49" i="8"/>
  <c r="W14" i="9"/>
  <c r="C76" i="8"/>
  <c r="C78" i="8" s="1"/>
  <c r="V21" i="9"/>
  <c r="U14" i="9"/>
  <c r="X34" i="9"/>
  <c r="V14" i="9"/>
  <c r="Y93" i="8"/>
  <c r="AB93" i="8"/>
  <c r="AE93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Y105" i="8"/>
  <c r="Z100" i="8"/>
  <c r="AA101" i="8"/>
  <c r="Z23" i="9"/>
  <c r="W34" i="9"/>
  <c r="Y60" i="8"/>
  <c r="Z93" i="8"/>
  <c r="AA100" i="8"/>
  <c r="AB101" i="8"/>
  <c r="Z60" i="8"/>
  <c r="Y91" i="8"/>
  <c r="AC101" i="8"/>
  <c r="T23" i="9"/>
  <c r="Y46" i="8"/>
  <c r="AA60" i="8"/>
  <c r="Z91" i="8"/>
  <c r="AD101" i="8"/>
  <c r="U23" i="9"/>
  <c r="AA91" i="8"/>
  <c r="AC93" i="8"/>
  <c r="AE101" i="8"/>
  <c r="Z105" i="8"/>
  <c r="V23" i="9"/>
  <c r="AB91" i="8"/>
  <c r="AC92" i="8"/>
  <c r="AD93" i="8"/>
  <c r="AA105" i="8"/>
  <c r="U21" i="9"/>
  <c r="W23" i="9"/>
  <c r="Y53" i="8"/>
  <c r="AD92" i="8"/>
  <c r="Y101" i="8"/>
  <c r="AB105" i="8"/>
  <c r="X23" i="9"/>
  <c r="AE92" i="8"/>
  <c r="Y100" i="8"/>
  <c r="Y23" i="9"/>
  <c r="N49" i="9"/>
  <c r="Z31" i="8"/>
  <c r="AA31" i="8"/>
  <c r="AB31" i="8"/>
  <c r="AC31" i="8"/>
  <c r="AD31" i="8"/>
  <c r="J49" i="9"/>
  <c r="Y17" i="8"/>
  <c r="AH74" i="8"/>
  <c r="Z17" i="8"/>
  <c r="AH54" i="8"/>
  <c r="AH66" i="8"/>
  <c r="AA17" i="8"/>
  <c r="AC17" i="8"/>
  <c r="AD17" i="8"/>
  <c r="R49" i="9"/>
  <c r="AE17" i="8"/>
  <c r="M49" i="9"/>
  <c r="U102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D102" i="8"/>
  <c r="H41" i="9"/>
  <c r="F67" i="9"/>
  <c r="O65" i="9"/>
  <c r="X65" i="9" s="1"/>
  <c r="Y85" i="9"/>
  <c r="AA85" i="9"/>
  <c r="W85" i="9"/>
  <c r="K85" i="9"/>
  <c r="X85" i="9"/>
  <c r="Z85" i="9"/>
  <c r="O85" i="9"/>
  <c r="G102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Q102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E102" i="8"/>
  <c r="M102" i="8"/>
  <c r="F102" i="8"/>
  <c r="P94" i="8"/>
  <c r="T94" i="8"/>
  <c r="AE94" i="8" s="1"/>
  <c r="AF93" i="8"/>
  <c r="P92" i="8"/>
  <c r="Y92" i="8" s="1"/>
  <c r="AB98" i="8"/>
  <c r="P89" i="8"/>
  <c r="Y89" i="8" s="1"/>
  <c r="W102" i="8"/>
  <c r="T91" i="8"/>
  <c r="AC98" i="8"/>
  <c r="AD99" i="8"/>
  <c r="T89" i="8"/>
  <c r="AC89" i="8" s="1"/>
  <c r="Z114" i="8"/>
  <c r="AF92" i="8"/>
  <c r="AF114" i="8"/>
  <c r="AE114" i="8"/>
  <c r="AD114" i="8"/>
  <c r="AA114" i="8"/>
  <c r="Y114" i="8"/>
  <c r="AF101" i="8"/>
  <c r="AF31" i="8"/>
  <c r="AH38" i="8"/>
  <c r="W10" i="9" l="1"/>
  <c r="V10" i="9"/>
  <c r="U10" i="9"/>
  <c r="T10" i="9"/>
  <c r="AC90" i="8"/>
  <c r="AE90" i="8"/>
  <c r="P90" i="8"/>
  <c r="AB90" i="8" s="1"/>
  <c r="AH90" i="8" s="1"/>
  <c r="AD90" i="8"/>
  <c r="AH93" i="8"/>
  <c r="V32" i="9"/>
  <c r="Z45" i="9"/>
  <c r="X22" i="9"/>
  <c r="C23" i="8"/>
  <c r="V47" i="9"/>
  <c r="Z22" i="9"/>
  <c r="AD94" i="8"/>
  <c r="Y106" i="8"/>
  <c r="U20" i="9"/>
  <c r="Z92" i="8"/>
  <c r="AE99" i="8"/>
  <c r="Z106" i="8"/>
  <c r="AD98" i="8"/>
  <c r="AD91" i="8"/>
  <c r="AE91" i="8"/>
  <c r="K33" i="9"/>
  <c r="W22" i="9"/>
  <c r="AC22" i="9" s="1"/>
  <c r="V22" i="9"/>
  <c r="U47" i="9"/>
  <c r="N48" i="9"/>
  <c r="AC99" i="8"/>
  <c r="AE89" i="8"/>
  <c r="Y22" i="9"/>
  <c r="Y20" i="9"/>
  <c r="X19" i="9"/>
  <c r="J44" i="9"/>
  <c r="W45" i="9"/>
  <c r="V45" i="9"/>
  <c r="K48" i="9"/>
  <c r="AB106" i="8"/>
  <c r="U22" i="9"/>
  <c r="T45" i="9"/>
  <c r="AB100" i="8"/>
  <c r="AC94" i="8"/>
  <c r="X20" i="9"/>
  <c r="T32" i="9"/>
  <c r="U32" i="9"/>
  <c r="J48" i="9"/>
  <c r="AA106" i="8"/>
  <c r="AE98" i="8"/>
  <c r="Z98" i="8"/>
  <c r="AD89" i="8"/>
  <c r="AB89" i="8"/>
  <c r="Z89" i="8"/>
  <c r="Y94" i="8"/>
  <c r="AB94" i="8"/>
  <c r="Z94" i="8"/>
  <c r="U19" i="9"/>
  <c r="W19" i="9"/>
  <c r="V19" i="9"/>
  <c r="AB92" i="8"/>
  <c r="AH92" i="8" s="1"/>
  <c r="AA92" i="8"/>
  <c r="V20" i="9"/>
  <c r="W20" i="9"/>
  <c r="AC91" i="8"/>
  <c r="AA98" i="8"/>
  <c r="AA89" i="8"/>
  <c r="Y15" i="9"/>
  <c r="K28" i="9"/>
  <c r="W28" i="9" s="1"/>
  <c r="W15" i="9"/>
  <c r="U15" i="9"/>
  <c r="Y19" i="9"/>
  <c r="V15" i="9"/>
  <c r="Y98" i="8"/>
  <c r="X45" i="9"/>
  <c r="T15" i="9"/>
  <c r="AA94" i="8"/>
  <c r="T47" i="9"/>
  <c r="Y45" i="9"/>
  <c r="X15" i="9"/>
  <c r="W47" i="9"/>
  <c r="Q47" i="9"/>
  <c r="AC23" i="9"/>
  <c r="AC21" i="9"/>
  <c r="AH101" i="8"/>
  <c r="AC34" i="9"/>
  <c r="K41" i="9"/>
  <c r="O48" i="9"/>
  <c r="N41" i="9"/>
  <c r="AA20" i="9"/>
  <c r="O33" i="9"/>
  <c r="AE100" i="8"/>
  <c r="N46" i="9"/>
  <c r="AF89" i="8"/>
  <c r="O27" i="9"/>
  <c r="Z27" i="9" s="1"/>
  <c r="O32" i="9"/>
  <c r="K38" i="9"/>
  <c r="O102" i="8"/>
  <c r="AA99" i="8"/>
  <c r="O28" i="9"/>
  <c r="Z28" i="9" s="1"/>
  <c r="O44" i="9"/>
  <c r="Z44" i="9" s="1"/>
  <c r="K27" i="9"/>
  <c r="T27" i="9" s="1"/>
  <c r="AA15" i="9"/>
  <c r="O38" i="9"/>
  <c r="N102" i="8"/>
  <c r="AF91" i="8"/>
  <c r="AH91" i="8" s="1"/>
  <c r="V102" i="8"/>
  <c r="AF99" i="8"/>
  <c r="S102" i="8"/>
  <c r="AF98" i="8"/>
  <c r="R102" i="8"/>
  <c r="AH31" i="8"/>
  <c r="AA73" i="9"/>
  <c r="AA72" i="9"/>
  <c r="O7" i="9"/>
  <c r="O6" i="9"/>
  <c r="AF115" i="8"/>
  <c r="W111" i="8"/>
  <c r="AD115" i="8"/>
  <c r="AF111" i="8"/>
  <c r="S111" i="8"/>
  <c r="R111" i="8"/>
  <c r="P111" i="8"/>
  <c r="O111" i="8"/>
  <c r="M108" i="8"/>
  <c r="N108" i="8"/>
  <c r="O108" i="8"/>
  <c r="N111" i="8"/>
  <c r="U111" i="8"/>
  <c r="Q111" i="8"/>
  <c r="AF94" i="8"/>
  <c r="W16" i="9" l="1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Y90" i="8"/>
  <c r="Z90" i="8"/>
  <c r="AA90" i="8"/>
  <c r="W48" i="9"/>
  <c r="C32" i="8"/>
  <c r="C86" i="8" s="1"/>
  <c r="C29" i="8"/>
  <c r="O41" i="9"/>
  <c r="U27" i="9"/>
  <c r="AC100" i="8"/>
  <c r="Y27" i="9"/>
  <c r="AC20" i="9"/>
  <c r="X28" i="9"/>
  <c r="V28" i="9"/>
  <c r="X27" i="9"/>
  <c r="AC106" i="8"/>
  <c r="P102" i="8"/>
  <c r="AB99" i="8"/>
  <c r="AH99" i="8" s="1"/>
  <c r="Z99" i="8"/>
  <c r="X44" i="9"/>
  <c r="X32" i="9"/>
  <c r="Z32" i="9"/>
  <c r="T28" i="9"/>
  <c r="AE106" i="8"/>
  <c r="Y28" i="9"/>
  <c r="AD105" i="8"/>
  <c r="AE105" i="8"/>
  <c r="AC105" i="8"/>
  <c r="Y44" i="9"/>
  <c r="AD106" i="8"/>
  <c r="AB107" i="8"/>
  <c r="Z107" i="8"/>
  <c r="AA107" i="8"/>
  <c r="Y107" i="8"/>
  <c r="W27" i="9"/>
  <c r="V27" i="9"/>
  <c r="Y32" i="9"/>
  <c r="V48" i="9"/>
  <c r="U48" i="9"/>
  <c r="T48" i="9"/>
  <c r="Z48" i="9"/>
  <c r="Y48" i="9"/>
  <c r="X48" i="9"/>
  <c r="AE107" i="8"/>
  <c r="AC107" i="8"/>
  <c r="AD107" i="8"/>
  <c r="W46" i="9"/>
  <c r="Y99" i="8"/>
  <c r="O46" i="9"/>
  <c r="AA46" i="9" s="1"/>
  <c r="AD100" i="8"/>
  <c r="U33" i="9"/>
  <c r="W33" i="9"/>
  <c r="V33" i="9"/>
  <c r="T33" i="9"/>
  <c r="AA33" i="9"/>
  <c r="X33" i="9"/>
  <c r="Y33" i="9"/>
  <c r="Z33" i="9"/>
  <c r="U28" i="9"/>
  <c r="AC15" i="9"/>
  <c r="K49" i="9"/>
  <c r="O49" i="9"/>
  <c r="AH98" i="8"/>
  <c r="AF106" i="8"/>
  <c r="AH106" i="8" s="1"/>
  <c r="AF100" i="8"/>
  <c r="AH100" i="8" s="1"/>
  <c r="O9" i="9"/>
  <c r="O8" i="9"/>
  <c r="AF105" i="8"/>
  <c r="O47" i="9"/>
  <c r="AA28" i="9"/>
  <c r="AC28" i="9" s="1"/>
  <c r="K44" i="9"/>
  <c r="W44" i="9" s="1"/>
  <c r="T102" i="8"/>
  <c r="V111" i="8"/>
  <c r="Y122" i="8"/>
  <c r="AH94" i="8"/>
  <c r="AA111" i="8"/>
  <c r="AC111" i="8"/>
  <c r="Z115" i="8"/>
  <c r="AF107" i="8"/>
  <c r="AA115" i="8"/>
  <c r="AC115" i="8"/>
  <c r="Z111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Y115" i="8"/>
  <c r="AB115" i="8"/>
  <c r="AB111" i="8"/>
  <c r="AD111" i="8"/>
  <c r="AE115" i="8"/>
  <c r="AE111" i="8"/>
  <c r="E111" i="8"/>
  <c r="F111" i="8"/>
  <c r="Y111" i="8" s="1"/>
  <c r="G111" i="8"/>
  <c r="T111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C39" i="8"/>
  <c r="C36" i="8"/>
  <c r="U29" i="9"/>
  <c r="U35" i="9" s="1"/>
  <c r="C33" i="8"/>
  <c r="AC33" i="9"/>
  <c r="W29" i="9"/>
  <c r="W35" i="9" s="1"/>
  <c r="V29" i="9"/>
  <c r="V35" i="9" s="1"/>
  <c r="X46" i="9"/>
  <c r="T44" i="9"/>
  <c r="V44" i="9"/>
  <c r="Y46" i="9"/>
  <c r="AH107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D122" i="8"/>
  <c r="AE122" i="8"/>
  <c r="AB122" i="8"/>
  <c r="AA122" i="8"/>
  <c r="Z122" i="8"/>
  <c r="AF122" i="8"/>
  <c r="AC122" i="8"/>
  <c r="AC14" i="9"/>
  <c r="X10" i="9" l="1"/>
  <c r="X16" i="9" s="1"/>
  <c r="X24" i="9" s="1"/>
  <c r="X29" i="9" s="1"/>
  <c r="X35" i="9" s="1"/>
  <c r="C95" i="8"/>
  <c r="C116" i="8" s="1"/>
  <c r="C112" i="8" l="1"/>
  <c r="C117" i="8" s="1"/>
  <c r="D110" i="8" s="1"/>
  <c r="AA57" i="9"/>
  <c r="AA56" i="9"/>
  <c r="T8" i="8"/>
  <c r="T4" i="10" s="1"/>
  <c r="AC4" i="10" s="1"/>
  <c r="P8" i="8"/>
  <c r="P4" i="10" s="1"/>
  <c r="Y4" i="10" s="1"/>
  <c r="C119" i="8" l="1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W63" i="8"/>
  <c r="R68" i="9" s="1"/>
  <c r="V63" i="8"/>
  <c r="Q68" i="9" s="1"/>
  <c r="Z68" i="9" s="1"/>
  <c r="U63" i="8"/>
  <c r="P68" i="9" s="1"/>
  <c r="Y68" i="9" s="1"/>
  <c r="S63" i="8"/>
  <c r="N68" i="9" s="1"/>
  <c r="W68" i="9" s="1"/>
  <c r="R63" i="8"/>
  <c r="M68" i="9" s="1"/>
  <c r="V68" i="9" s="1"/>
  <c r="Q63" i="8"/>
  <c r="L68" i="9" s="1"/>
  <c r="U68" i="9" s="1"/>
  <c r="O63" i="8"/>
  <c r="J68" i="9" s="1"/>
  <c r="N63" i="8"/>
  <c r="I68" i="9" s="1"/>
  <c r="M63" i="8"/>
  <c r="H68" i="9" s="1"/>
  <c r="G63" i="8"/>
  <c r="F68" i="9" s="1"/>
  <c r="F63" i="8"/>
  <c r="E68" i="9" s="1"/>
  <c r="E63" i="8"/>
  <c r="D68" i="9" s="1"/>
  <c r="D63" i="8"/>
  <c r="C68" i="9" s="1"/>
  <c r="AA55" i="9"/>
  <c r="AA58" i="9" s="1"/>
  <c r="R4" i="9"/>
  <c r="AA4" i="9" s="1"/>
  <c r="R3" i="9"/>
  <c r="AA3" i="9" s="1"/>
  <c r="AF8" i="8"/>
  <c r="AF83" i="8" s="1"/>
  <c r="AF7" i="8"/>
  <c r="AF82" i="8" s="1"/>
  <c r="W83" i="8"/>
  <c r="W82" i="8"/>
  <c r="W75" i="8"/>
  <c r="R87" i="9" s="1"/>
  <c r="W43" i="8"/>
  <c r="W42" i="8"/>
  <c r="W11" i="8"/>
  <c r="U108" i="8"/>
  <c r="G108" i="8"/>
  <c r="F108" i="8"/>
  <c r="E108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O75" i="8"/>
  <c r="J87" i="9" s="1"/>
  <c r="V83" i="8"/>
  <c r="U83" i="8"/>
  <c r="T83" i="8"/>
  <c r="S83" i="8"/>
  <c r="R83" i="8"/>
  <c r="Q83" i="8"/>
  <c r="P83" i="8"/>
  <c r="O83" i="8"/>
  <c r="N83" i="8"/>
  <c r="M83" i="8"/>
  <c r="V82" i="8"/>
  <c r="U82" i="8"/>
  <c r="T82" i="8"/>
  <c r="S82" i="8"/>
  <c r="R82" i="8"/>
  <c r="Q82" i="8"/>
  <c r="P82" i="8"/>
  <c r="O82" i="8"/>
  <c r="N82" i="8"/>
  <c r="M82" i="8"/>
  <c r="S75" i="8"/>
  <c r="N87" i="9" s="1"/>
  <c r="R75" i="8"/>
  <c r="M87" i="9" s="1"/>
  <c r="Q75" i="8"/>
  <c r="L87" i="9" s="1"/>
  <c r="N75" i="8"/>
  <c r="I87" i="9" s="1"/>
  <c r="M75" i="8"/>
  <c r="H87" i="9" s="1"/>
  <c r="V43" i="8"/>
  <c r="U43" i="8"/>
  <c r="T43" i="8"/>
  <c r="S43" i="8"/>
  <c r="R43" i="8"/>
  <c r="Q43" i="8"/>
  <c r="P43" i="8"/>
  <c r="O43" i="8"/>
  <c r="N43" i="8"/>
  <c r="M43" i="8"/>
  <c r="V42" i="8"/>
  <c r="U42" i="8"/>
  <c r="T42" i="8"/>
  <c r="S42" i="8"/>
  <c r="R42" i="8"/>
  <c r="Q42" i="8"/>
  <c r="P42" i="8"/>
  <c r="O42" i="8"/>
  <c r="N42" i="8"/>
  <c r="M42" i="8"/>
  <c r="G43" i="8"/>
  <c r="F43" i="8"/>
  <c r="E43" i="8"/>
  <c r="D43" i="8"/>
  <c r="G42" i="8"/>
  <c r="F42" i="8"/>
  <c r="E42" i="8"/>
  <c r="D42" i="8"/>
  <c r="R11" i="8"/>
  <c r="Q11" i="8"/>
  <c r="O11" i="8"/>
  <c r="N11" i="8"/>
  <c r="M11" i="8"/>
  <c r="V11" i="8"/>
  <c r="Z8" i="8"/>
  <c r="Y8" i="8"/>
  <c r="Z7" i="8"/>
  <c r="Y7" i="8"/>
  <c r="AD8" i="8"/>
  <c r="AC8" i="8"/>
  <c r="AB8" i="8"/>
  <c r="AA8" i="8"/>
  <c r="AD7" i="8"/>
  <c r="AC7" i="8"/>
  <c r="AB7" i="8"/>
  <c r="AA7" i="8"/>
  <c r="AE8" i="8"/>
  <c r="AE7" i="8"/>
  <c r="N22" i="8" l="1"/>
  <c r="N14" i="8"/>
  <c r="N15" i="8" s="1"/>
  <c r="V22" i="8"/>
  <c r="V14" i="8"/>
  <c r="V15" i="8" s="1"/>
  <c r="R22" i="8"/>
  <c r="R28" i="8" s="1"/>
  <c r="R14" i="8"/>
  <c r="R15" i="8" s="1"/>
  <c r="O22" i="8"/>
  <c r="O14" i="8"/>
  <c r="O15" i="8" s="1"/>
  <c r="M22" i="8"/>
  <c r="M14" i="8"/>
  <c r="M15" i="8" s="1"/>
  <c r="Q22" i="8"/>
  <c r="Q28" i="8" s="1"/>
  <c r="Q14" i="8"/>
  <c r="Q15" i="8" s="1"/>
  <c r="W22" i="8"/>
  <c r="W28" i="8" s="1"/>
  <c r="W14" i="8"/>
  <c r="W15" i="8" s="1"/>
  <c r="O17" i="10"/>
  <c r="M17" i="10"/>
  <c r="N17" i="10"/>
  <c r="Q17" i="10"/>
  <c r="W17" i="10"/>
  <c r="R17" i="10"/>
  <c r="V17" i="10"/>
  <c r="Y10" i="8"/>
  <c r="AA10" i="8"/>
  <c r="AB10" i="8"/>
  <c r="Z10" i="8"/>
  <c r="AE10" i="8"/>
  <c r="AD10" i="8"/>
  <c r="AC10" i="8"/>
  <c r="AH46" i="8"/>
  <c r="AH71" i="8"/>
  <c r="AH53" i="8"/>
  <c r="AH60" i="8"/>
  <c r="W69" i="8"/>
  <c r="R69" i="9" s="1"/>
  <c r="U87" i="9"/>
  <c r="AA87" i="9"/>
  <c r="AD123" i="8"/>
  <c r="V87" i="9"/>
  <c r="W87" i="9"/>
  <c r="K58" i="9"/>
  <c r="O57" i="8"/>
  <c r="AD63" i="8"/>
  <c r="AE63" i="8"/>
  <c r="AF63" i="8"/>
  <c r="AB63" i="8"/>
  <c r="P63" i="8"/>
  <c r="K68" i="9" s="1"/>
  <c r="T68" i="9" s="1"/>
  <c r="T63" i="8"/>
  <c r="O68" i="9" s="1"/>
  <c r="X68" i="9" s="1"/>
  <c r="O69" i="8"/>
  <c r="J69" i="9" s="1"/>
  <c r="AF75" i="8"/>
  <c r="AF10" i="8"/>
  <c r="N69" i="8"/>
  <c r="I69" i="9" s="1"/>
  <c r="AF42" i="8"/>
  <c r="AF43" i="8"/>
  <c r="M69" i="8"/>
  <c r="H69" i="9" s="1"/>
  <c r="N57" i="8"/>
  <c r="D108" i="8"/>
  <c r="V108" i="8"/>
  <c r="Q108" i="8"/>
  <c r="R108" i="8"/>
  <c r="V57" i="8"/>
  <c r="S57" i="8"/>
  <c r="M57" i="8"/>
  <c r="R57" i="8"/>
  <c r="Q57" i="8"/>
  <c r="G69" i="8"/>
  <c r="F69" i="9" s="1"/>
  <c r="AB123" i="8"/>
  <c r="V58" i="9"/>
  <c r="U58" i="9"/>
  <c r="AC123" i="8"/>
  <c r="Z123" i="8"/>
  <c r="AA123" i="8"/>
  <c r="Y123" i="8"/>
  <c r="P11" i="8"/>
  <c r="P75" i="8"/>
  <c r="K87" i="9" s="1"/>
  <c r="P57" i="8"/>
  <c r="T57" i="8"/>
  <c r="P22" i="8" l="1"/>
  <c r="P28" i="8" s="1"/>
  <c r="P14" i="8"/>
  <c r="P15" i="8" s="1"/>
  <c r="P17" i="10"/>
  <c r="O28" i="8"/>
  <c r="W76" i="8"/>
  <c r="AA69" i="9"/>
  <c r="AA9" i="9"/>
  <c r="AC9" i="9" s="1"/>
  <c r="AA8" i="9"/>
  <c r="AC8" i="9" s="1"/>
  <c r="AA7" i="9"/>
  <c r="AC7" i="9" s="1"/>
  <c r="N28" i="8"/>
  <c r="W23" i="8"/>
  <c r="W32" i="8"/>
  <c r="W86" i="8" s="1"/>
  <c r="M28" i="8"/>
  <c r="AC63" i="8"/>
  <c r="AH17" i="8"/>
  <c r="AH105" i="8"/>
  <c r="AA48" i="9"/>
  <c r="AF57" i="8"/>
  <c r="AF69" i="8"/>
  <c r="AF76" i="8" s="1"/>
  <c r="AH63" i="8"/>
  <c r="AF11" i="8"/>
  <c r="AH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N76" i="8"/>
  <c r="N78" i="8" s="1"/>
  <c r="AA88" i="9"/>
  <c r="AA97" i="9" s="1"/>
  <c r="T87" i="9"/>
  <c r="T88" i="9" s="1"/>
  <c r="T97" i="9" s="1"/>
  <c r="AA19" i="9"/>
  <c r="W57" i="8"/>
  <c r="AA68" i="9"/>
  <c r="AA38" i="9"/>
  <c r="O76" i="8"/>
  <c r="O78" i="8" s="1"/>
  <c r="W108" i="8"/>
  <c r="M76" i="8"/>
  <c r="M78" i="8" s="1"/>
  <c r="S108" i="8"/>
  <c r="AA44" i="9"/>
  <c r="T58" i="9"/>
  <c r="R69" i="8"/>
  <c r="M69" i="9" s="1"/>
  <c r="V69" i="9" s="1"/>
  <c r="Q69" i="8"/>
  <c r="L69" i="9" s="1"/>
  <c r="U69" i="9" s="1"/>
  <c r="P69" i="8"/>
  <c r="K69" i="9" s="1"/>
  <c r="T69" i="9" s="1"/>
  <c r="S69" i="8"/>
  <c r="N69" i="9" s="1"/>
  <c r="W69" i="9" s="1"/>
  <c r="U39" i="9"/>
  <c r="X39" i="9"/>
  <c r="Y38" i="9"/>
  <c r="AA41" i="9"/>
  <c r="V39" i="9"/>
  <c r="Z38" i="9"/>
  <c r="W39" i="9"/>
  <c r="X38" i="9"/>
  <c r="T39" i="9"/>
  <c r="R23" i="8"/>
  <c r="R32" i="8"/>
  <c r="R86" i="8" s="1"/>
  <c r="Q23" i="8"/>
  <c r="AF22" i="8" l="1"/>
  <c r="AF28" i="8" s="1"/>
  <c r="AF29" i="8" s="1"/>
  <c r="AF14" i="8"/>
  <c r="AF17" i="10"/>
  <c r="W39" i="8"/>
  <c r="W36" i="8"/>
  <c r="R39" i="8"/>
  <c r="R36" i="8"/>
  <c r="AC19" i="9"/>
  <c r="Q32" i="8"/>
  <c r="Q86" i="8" s="1"/>
  <c r="N32" i="8"/>
  <c r="N86" i="8" s="1"/>
  <c r="O29" i="8"/>
  <c r="O23" i="8"/>
  <c r="N23" i="8"/>
  <c r="W78" i="8"/>
  <c r="R24" i="9"/>
  <c r="R29" i="9" s="1"/>
  <c r="R35" i="9" s="1"/>
  <c r="W29" i="8"/>
  <c r="M32" i="8"/>
  <c r="M86" i="8" s="1"/>
  <c r="M23" i="8"/>
  <c r="AF78" i="8"/>
  <c r="Y40" i="9"/>
  <c r="Z40" i="9"/>
  <c r="X40" i="9"/>
  <c r="AC40" i="9"/>
  <c r="U40" i="9"/>
  <c r="V40" i="9"/>
  <c r="T40" i="9"/>
  <c r="Z39" i="9"/>
  <c r="AE123" i="8"/>
  <c r="Q76" i="8"/>
  <c r="Q78" i="8" s="1"/>
  <c r="Y39" i="9"/>
  <c r="R76" i="8"/>
  <c r="R78" i="8" s="1"/>
  <c r="AC102" i="8"/>
  <c r="AE102" i="8"/>
  <c r="AD102" i="8"/>
  <c r="AF102" i="8"/>
  <c r="Z41" i="9"/>
  <c r="R29" i="8"/>
  <c r="AE108" i="8"/>
  <c r="AF108" i="8"/>
  <c r="AA102" i="8"/>
  <c r="AC108" i="8"/>
  <c r="AA108" i="8"/>
  <c r="AD108" i="8"/>
  <c r="T108" i="8"/>
  <c r="S76" i="8"/>
  <c r="S78" i="8" s="1"/>
  <c r="P76" i="8"/>
  <c r="P78" i="8" s="1"/>
  <c r="Y41" i="9"/>
  <c r="AH89" i="8"/>
  <c r="X41" i="9"/>
  <c r="AB102" i="8"/>
  <c r="Z102" i="8"/>
  <c r="Y102" i="8"/>
  <c r="V38" i="9"/>
  <c r="U38" i="9"/>
  <c r="W38" i="9"/>
  <c r="T38" i="9"/>
  <c r="W41" i="9"/>
  <c r="AC41" i="9" s="1"/>
  <c r="T41" i="9"/>
  <c r="U41" i="9"/>
  <c r="V41" i="9"/>
  <c r="P23" i="8"/>
  <c r="P32" i="8"/>
  <c r="P86" i="8" s="1"/>
  <c r="Q29" i="8"/>
  <c r="AF15" i="8" l="1"/>
  <c r="Q36" i="8"/>
  <c r="Q39" i="8"/>
  <c r="M39" i="8"/>
  <c r="M36" i="8"/>
  <c r="N36" i="8"/>
  <c r="N39" i="8"/>
  <c r="P39" i="8"/>
  <c r="P36" i="8"/>
  <c r="W95" i="8"/>
  <c r="W116" i="8" s="1"/>
  <c r="R95" i="8"/>
  <c r="R116" i="8" s="1"/>
  <c r="X42" i="9"/>
  <c r="Y42" i="9"/>
  <c r="Z42" i="9"/>
  <c r="T42" i="9"/>
  <c r="AC38" i="9"/>
  <c r="W42" i="9"/>
  <c r="U42" i="9"/>
  <c r="V42" i="9"/>
  <c r="O32" i="8"/>
  <c r="O86" i="8" s="1"/>
  <c r="N29" i="8"/>
  <c r="W33" i="8"/>
  <c r="R17" i="9"/>
  <c r="R25" i="9"/>
  <c r="M29" i="8"/>
  <c r="AH35" i="8"/>
  <c r="AH102" i="8"/>
  <c r="AA39" i="9"/>
  <c r="AC39" i="9" s="1"/>
  <c r="AF123" i="8"/>
  <c r="AA32" i="9"/>
  <c r="AC32" i="9" s="1"/>
  <c r="AA27" i="9"/>
  <c r="AA45" i="9"/>
  <c r="R30" i="9"/>
  <c r="N33" i="8"/>
  <c r="P29" i="8"/>
  <c r="Y108" i="8"/>
  <c r="P108" i="8"/>
  <c r="AB108" i="8"/>
  <c r="AH108" i="8" s="1"/>
  <c r="Z108" i="8"/>
  <c r="R33" i="8"/>
  <c r="Q33" i="8"/>
  <c r="O39" i="8" l="1"/>
  <c r="O36" i="8"/>
  <c r="M95" i="8"/>
  <c r="M116" i="8" s="1"/>
  <c r="Q95" i="8"/>
  <c r="Q116" i="8" s="1"/>
  <c r="N95" i="8"/>
  <c r="N116" i="8" s="1"/>
  <c r="O33" i="8"/>
  <c r="AF23" i="8"/>
  <c r="AF32" i="8"/>
  <c r="AC27" i="9"/>
  <c r="AA6" i="9"/>
  <c r="AA10" i="9" s="1"/>
  <c r="AA16" i="9" s="1"/>
  <c r="AA24" i="9" s="1"/>
  <c r="AA29" i="9" s="1"/>
  <c r="AA35" i="9" s="1"/>
  <c r="AA42" i="9" s="1"/>
  <c r="M33" i="8"/>
  <c r="V17" i="9"/>
  <c r="R36" i="9"/>
  <c r="R42" i="9"/>
  <c r="R50" i="9" s="1"/>
  <c r="P33" i="8"/>
  <c r="AF86" i="8" l="1"/>
  <c r="AF33" i="8"/>
  <c r="AF39" i="8"/>
  <c r="AF36" i="8"/>
  <c r="O95" i="8"/>
  <c r="O116" i="8" s="1"/>
  <c r="U17" i="9"/>
  <c r="W25" i="9"/>
  <c r="W17" i="9"/>
  <c r="T17" i="9"/>
  <c r="V25" i="9"/>
  <c r="T25" i="9"/>
  <c r="Y11" i="9"/>
  <c r="AC6" i="9"/>
  <c r="R51" i="9"/>
  <c r="T30" i="9"/>
  <c r="P95" i="8"/>
  <c r="P116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Z116" i="8"/>
  <c r="AA116" i="8"/>
  <c r="Y116" i="8"/>
  <c r="T96" i="9" a="1"/>
  <c r="T96" i="9" s="1"/>
  <c r="T94" i="9"/>
  <c r="T95" i="9" a="1"/>
  <c r="T95" i="9" s="1"/>
  <c r="T93" i="9"/>
  <c r="T36" i="9"/>
  <c r="T92" i="9"/>
  <c r="B83" i="8"/>
  <c r="B82" i="8"/>
  <c r="G83" i="8"/>
  <c r="F83" i="8"/>
  <c r="E83" i="8"/>
  <c r="D83" i="8"/>
  <c r="G82" i="8"/>
  <c r="F82" i="8"/>
  <c r="E82" i="8"/>
  <c r="D82" i="8"/>
  <c r="B43" i="8"/>
  <c r="B42" i="8"/>
  <c r="AE43" i="8"/>
  <c r="AD43" i="8"/>
  <c r="AC43" i="8"/>
  <c r="AA43" i="8"/>
  <c r="Z43" i="8"/>
  <c r="Y43" i="8"/>
  <c r="AB43" i="8"/>
  <c r="AE42" i="8"/>
  <c r="AD42" i="8"/>
  <c r="AC42" i="8"/>
  <c r="AB42" i="8"/>
  <c r="AA42" i="8"/>
  <c r="Z42" i="8"/>
  <c r="Y42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Y82" i="8"/>
  <c r="Y83" i="8"/>
  <c r="AB82" i="8"/>
  <c r="AC82" i="8"/>
  <c r="AC83" i="8"/>
  <c r="AD83" i="8"/>
  <c r="AA82" i="8"/>
  <c r="AD82" i="8"/>
  <c r="AA83" i="8"/>
  <c r="Z83" i="8"/>
  <c r="AE82" i="8"/>
  <c r="AB83" i="8"/>
  <c r="Z82" i="8"/>
  <c r="AE83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T75" i="8" l="1"/>
  <c r="O87" i="9" s="1"/>
  <c r="V75" i="8"/>
  <c r="Q87" i="9" s="1"/>
  <c r="Z87" i="9" l="1"/>
  <c r="X87" i="9"/>
  <c r="X88" i="9" s="1"/>
  <c r="X97" i="9" s="1"/>
  <c r="U57" i="8"/>
  <c r="U75" i="8"/>
  <c r="P87" i="9" s="1"/>
  <c r="R11" i="9" l="1"/>
  <c r="R12" i="9"/>
  <c r="Y87" i="9"/>
  <c r="Y88" i="9" s="1"/>
  <c r="Y97" i="9" s="1"/>
  <c r="Z88" i="9"/>
  <c r="Z97" i="9" s="1"/>
  <c r="Z11" i="8" l="1"/>
  <c r="F57" i="8"/>
  <c r="E57" i="8"/>
  <c r="D57" i="8"/>
  <c r="G57" i="8"/>
  <c r="Z22" i="8" l="1"/>
  <c r="Z28" i="8" s="1"/>
  <c r="Z29" i="8" s="1"/>
  <c r="Z14" i="8"/>
  <c r="Z15" i="8" s="1"/>
  <c r="Z17" i="10"/>
  <c r="AA11" i="8"/>
  <c r="AA50" i="8"/>
  <c r="AA57" i="8" s="1"/>
  <c r="AA75" i="8"/>
  <c r="Y50" i="8"/>
  <c r="Y57" i="8" s="1"/>
  <c r="AA63" i="8"/>
  <c r="AA69" i="8" s="1"/>
  <c r="Z63" i="8"/>
  <c r="Z69" i="8" s="1"/>
  <c r="Z50" i="8"/>
  <c r="Z57" i="8" s="1"/>
  <c r="Y75" i="8"/>
  <c r="Y11" i="8"/>
  <c r="Y63" i="8"/>
  <c r="Y69" i="8" s="1"/>
  <c r="Z75" i="8"/>
  <c r="AC75" i="8"/>
  <c r="AC57" i="8"/>
  <c r="AD75" i="8"/>
  <c r="AC11" i="8"/>
  <c r="AC69" i="8"/>
  <c r="AD69" i="8"/>
  <c r="AB11" i="8"/>
  <c r="AD11" i="8"/>
  <c r="AD57" i="8"/>
  <c r="AC22" i="8" l="1"/>
  <c r="AC28" i="8" s="1"/>
  <c r="AC29" i="8" s="1"/>
  <c r="AC14" i="8"/>
  <c r="AC15" i="8" s="1"/>
  <c r="AD22" i="8"/>
  <c r="AD28" i="8" s="1"/>
  <c r="AD29" i="8" s="1"/>
  <c r="AD14" i="8"/>
  <c r="AD15" i="8" s="1"/>
  <c r="AB22" i="8"/>
  <c r="AB28" i="8" s="1"/>
  <c r="AB29" i="8" s="1"/>
  <c r="AB14" i="8"/>
  <c r="Y22" i="8"/>
  <c r="Y28" i="8" s="1"/>
  <c r="Y29" i="8" s="1"/>
  <c r="Y14" i="8"/>
  <c r="Y15" i="8" s="1"/>
  <c r="AA22" i="8"/>
  <c r="AA28" i="8" s="1"/>
  <c r="AA29" i="8" s="1"/>
  <c r="AA14" i="8"/>
  <c r="AA15" i="8" s="1"/>
  <c r="AB17" i="10"/>
  <c r="AD17" i="10"/>
  <c r="Y17" i="10"/>
  <c r="AA17" i="10"/>
  <c r="AC17" i="10"/>
  <c r="AH11" i="8"/>
  <c r="AH17" i="10" s="1"/>
  <c r="AA76" i="8"/>
  <c r="AA78" i="8" s="1"/>
  <c r="Y76" i="8"/>
  <c r="Y78" i="8" s="1"/>
  <c r="Z76" i="8"/>
  <c r="Z78" i="8" s="1"/>
  <c r="AC76" i="8"/>
  <c r="AC78" i="8" s="1"/>
  <c r="AD76" i="8"/>
  <c r="AD78" i="8" s="1"/>
  <c r="AB15" i="8" l="1"/>
  <c r="AH15" i="8" s="1"/>
  <c r="AH14" i="8"/>
  <c r="Y23" i="8"/>
  <c r="Z23" i="8"/>
  <c r="Z17" i="9"/>
  <c r="Z32" i="8" l="1"/>
  <c r="AD23" i="8"/>
  <c r="AC32" i="8"/>
  <c r="AB32" i="8"/>
  <c r="AH22" i="8"/>
  <c r="AC23" i="8"/>
  <c r="AB23" i="8"/>
  <c r="AH23" i="8" s="1"/>
  <c r="AA23" i="8"/>
  <c r="AD32" i="8"/>
  <c r="Z94" i="9"/>
  <c r="Z25" i="9"/>
  <c r="AB86" i="8" l="1"/>
  <c r="AB33" i="8"/>
  <c r="AC86" i="8"/>
  <c r="AC33" i="8"/>
  <c r="AD86" i="8"/>
  <c r="AD33" i="8"/>
  <c r="Z86" i="8"/>
  <c r="Z33" i="8"/>
  <c r="AB36" i="8"/>
  <c r="AB39" i="8"/>
  <c r="AD39" i="8"/>
  <c r="AD36" i="8"/>
  <c r="AC36" i="8"/>
  <c r="AC39" i="8"/>
  <c r="Z39" i="8"/>
  <c r="Z36" i="8"/>
  <c r="Y32" i="8"/>
  <c r="AA32" i="8"/>
  <c r="AH29" i="8"/>
  <c r="AH28" i="8"/>
  <c r="Z30" i="9"/>
  <c r="AA86" i="8" l="1"/>
  <c r="AA33" i="8"/>
  <c r="Y86" i="8"/>
  <c r="Y33" i="8"/>
  <c r="AA36" i="8"/>
  <c r="AA39" i="8"/>
  <c r="Y36" i="8"/>
  <c r="Y39" i="8"/>
  <c r="AH39" i="8"/>
  <c r="AH36" i="8"/>
  <c r="AH32" i="8"/>
  <c r="AH33" i="8"/>
  <c r="Z96" i="9" a="1"/>
  <c r="Z96" i="9" s="1"/>
  <c r="Z36" i="9"/>
  <c r="Z95" i="9" a="1"/>
  <c r="Z95" i="9" s="1"/>
  <c r="Z92" i="9"/>
  <c r="Z93" i="9"/>
  <c r="AB69" i="8" l="1"/>
  <c r="AH69" i="8" s="1"/>
  <c r="S11" i="8" l="1"/>
  <c r="G11" i="8"/>
  <c r="F11" i="8"/>
  <c r="E11" i="8"/>
  <c r="D11" i="8"/>
  <c r="G75" i="8"/>
  <c r="F87" i="9" s="1"/>
  <c r="F75" i="8"/>
  <c r="E87" i="9" s="1"/>
  <c r="E75" i="8"/>
  <c r="D87" i="9" s="1"/>
  <c r="D75" i="8"/>
  <c r="C87" i="9" s="1"/>
  <c r="V69" i="8"/>
  <c r="Q69" i="9" s="1"/>
  <c r="Z69" i="9" s="1"/>
  <c r="T69" i="8"/>
  <c r="O69" i="9" s="1"/>
  <c r="X69" i="9" s="1"/>
  <c r="AE11" i="8"/>
  <c r="P88" i="9"/>
  <c r="P97" i="9" s="1"/>
  <c r="H88" i="9"/>
  <c r="H97" i="9" s="1"/>
  <c r="F22" i="8" l="1"/>
  <c r="F28" i="8" s="1"/>
  <c r="F14" i="8"/>
  <c r="F15" i="8" s="1"/>
  <c r="D22" i="8"/>
  <c r="D28" i="8" s="1"/>
  <c r="D14" i="8"/>
  <c r="D15" i="8" s="1"/>
  <c r="E22" i="8"/>
  <c r="E28" i="8" s="1"/>
  <c r="E14" i="8"/>
  <c r="E15" i="8" s="1"/>
  <c r="G22" i="8"/>
  <c r="G14" i="8"/>
  <c r="G15" i="8" s="1"/>
  <c r="AE22" i="8"/>
  <c r="AE28" i="8" s="1"/>
  <c r="AE29" i="8" s="1"/>
  <c r="AE14" i="8"/>
  <c r="AE15" i="8" s="1"/>
  <c r="S22" i="8"/>
  <c r="S28" i="8" s="1"/>
  <c r="S14" i="8"/>
  <c r="S15" i="8" s="1"/>
  <c r="D17" i="10"/>
  <c r="E17" i="10"/>
  <c r="F17" i="10"/>
  <c r="G28" i="8"/>
  <c r="G17" i="10"/>
  <c r="AE17" i="10"/>
  <c r="S17" i="10"/>
  <c r="D69" i="8"/>
  <c r="C69" i="9" s="1"/>
  <c r="F69" i="8"/>
  <c r="E69" i="9" s="1"/>
  <c r="E69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AB75" i="8"/>
  <c r="V28" i="8"/>
  <c r="U69" i="8"/>
  <c r="P69" i="9" s="1"/>
  <c r="Y69" i="9" s="1"/>
  <c r="AE69" i="8"/>
  <c r="AE75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AB76" i="8" l="1"/>
  <c r="AH76" i="8" s="1"/>
  <c r="AH75" i="8"/>
  <c r="E76" i="8"/>
  <c r="E78" i="8" s="1"/>
  <c r="V32" i="8"/>
  <c r="V86" i="8" s="1"/>
  <c r="G32" i="8"/>
  <c r="G86" i="8" s="1"/>
  <c r="S23" i="8"/>
  <c r="D32" i="8"/>
  <c r="D86" i="8" s="1"/>
  <c r="E32" i="8"/>
  <c r="E86" i="8" s="1"/>
  <c r="F23" i="8"/>
  <c r="D76" i="8"/>
  <c r="D78" i="8" s="1"/>
  <c r="O88" i="9"/>
  <c r="O97" i="9" s="1"/>
  <c r="T76" i="8"/>
  <c r="T78" i="8" s="1"/>
  <c r="AH50" i="8"/>
  <c r="V76" i="8"/>
  <c r="V78" i="8" s="1"/>
  <c r="F76" i="8"/>
  <c r="F78" i="8" s="1"/>
  <c r="G76" i="8"/>
  <c r="G78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E57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E39" i="8" l="1"/>
  <c r="E36" i="8"/>
  <c r="D36" i="8"/>
  <c r="D39" i="8"/>
  <c r="G36" i="8"/>
  <c r="G39" i="8"/>
  <c r="V36" i="8"/>
  <c r="V39" i="8"/>
  <c r="R92" i="9"/>
  <c r="M17" i="9"/>
  <c r="M25" i="9"/>
  <c r="V23" i="8"/>
  <c r="G23" i="8"/>
  <c r="D23" i="8"/>
  <c r="F32" i="8"/>
  <c r="F86" i="8" s="1"/>
  <c r="S32" i="8"/>
  <c r="S86" i="8" s="1"/>
  <c r="E23" i="8"/>
  <c r="AB57" i="8"/>
  <c r="AE32" i="8"/>
  <c r="E29" i="8"/>
  <c r="V29" i="8"/>
  <c r="AE23" i="8"/>
  <c r="G29" i="8"/>
  <c r="AE76" i="8"/>
  <c r="U76" i="8"/>
  <c r="U78" i="8" s="1"/>
  <c r="O17" i="9"/>
  <c r="K17" i="9"/>
  <c r="G33" i="8"/>
  <c r="D29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AE86" i="8" l="1"/>
  <c r="AE33" i="8"/>
  <c r="S36" i="8"/>
  <c r="S39" i="8"/>
  <c r="F36" i="8"/>
  <c r="F39" i="8"/>
  <c r="AE39" i="8"/>
  <c r="AE36" i="8"/>
  <c r="V95" i="8"/>
  <c r="V116" i="8" s="1"/>
  <c r="G95" i="8"/>
  <c r="G116" i="8" s="1"/>
  <c r="E95" i="8"/>
  <c r="D95" i="8"/>
  <c r="AB78" i="8"/>
  <c r="AH57" i="8"/>
  <c r="F29" i="8"/>
  <c r="F33" i="8"/>
  <c r="S29" i="8"/>
  <c r="E33" i="8"/>
  <c r="V33" i="8"/>
  <c r="D33" i="8"/>
  <c r="AE78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F95" i="8" l="1"/>
  <c r="F116" i="8" s="1"/>
  <c r="S95" i="8"/>
  <c r="S116" i="8" s="1"/>
  <c r="AB116" i="8" s="1"/>
  <c r="S33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E116" i="8"/>
  <c r="D116" i="8"/>
  <c r="AA95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B95" i="8" l="1"/>
  <c r="Y95" i="8"/>
  <c r="Z95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D112" i="8" l="1"/>
  <c r="D117" i="8" s="1"/>
  <c r="D119" i="8" s="1"/>
  <c r="E110" i="8" l="1"/>
  <c r="E112" i="8" s="1"/>
  <c r="E117" i="8" s="1"/>
  <c r="E119" i="8" s="1"/>
  <c r="F110" i="8" l="1"/>
  <c r="F112" i="8" l="1"/>
  <c r="F117" i="8" l="1"/>
  <c r="F119" i="8" s="1"/>
  <c r="G110" i="8" l="1"/>
  <c r="G112" i="8" s="1"/>
  <c r="G117" i="8" s="1"/>
  <c r="M112" i="8"/>
  <c r="M117" i="8" s="1"/>
  <c r="G119" i="8" l="1"/>
  <c r="M119" i="8"/>
  <c r="N110" i="8"/>
  <c r="N112" i="8" s="1"/>
  <c r="N117" i="8" s="1"/>
  <c r="Z110" i="8"/>
  <c r="N119" i="8" l="1"/>
  <c r="O110" i="8"/>
  <c r="O112" i="8" s="1"/>
  <c r="O117" i="8" s="1"/>
  <c r="O119" i="8" s="1"/>
  <c r="AA110" i="8"/>
  <c r="AB110" i="8" l="1"/>
  <c r="P110" i="8"/>
  <c r="P112" i="8" s="1"/>
  <c r="P117" i="8" s="1"/>
  <c r="P119" i="8" s="1"/>
  <c r="AC110" i="8" l="1"/>
  <c r="Q110" i="8"/>
  <c r="Q112" i="8" s="1"/>
  <c r="Q117" i="8" s="1"/>
  <c r="Q119" i="8" s="1"/>
  <c r="AD110" i="8" l="1"/>
  <c r="Z112" i="8"/>
  <c r="Z117" i="8" s="1"/>
  <c r="Z119" i="8" s="1"/>
  <c r="R110" i="8"/>
  <c r="R112" i="8" s="1"/>
  <c r="R117" i="8" s="1"/>
  <c r="R119" i="8" s="1"/>
  <c r="AE110" i="8" l="1"/>
  <c r="AA112" i="8"/>
  <c r="AA117" i="8" s="1"/>
  <c r="AA119" i="8" s="1"/>
  <c r="S110" i="8"/>
  <c r="S112" i="8" s="1"/>
  <c r="S117" i="8" s="1"/>
  <c r="S119" i="8" s="1"/>
  <c r="AF110" i="8" l="1"/>
  <c r="AB112" i="8"/>
  <c r="AB117" i="8" s="1"/>
  <c r="AB119" i="8" s="1"/>
  <c r="T110" i="8"/>
  <c r="T112" i="8" s="1"/>
  <c r="U11" i="8" l="1"/>
  <c r="U22" i="8" l="1"/>
  <c r="U28" i="8" s="1"/>
  <c r="U14" i="8"/>
  <c r="U15" i="8" s="1"/>
  <c r="U17" i="10"/>
  <c r="U32" i="8" l="1"/>
  <c r="U86" i="8" s="1"/>
  <c r="U36" i="8" l="1"/>
  <c r="U39" i="8"/>
  <c r="U23" i="8"/>
  <c r="U29" i="8"/>
  <c r="U33" i="8" l="1"/>
  <c r="U95" i="8" l="1"/>
  <c r="U116" i="8" s="1"/>
  <c r="T11" i="8"/>
  <c r="T22" i="8" l="1"/>
  <c r="T28" i="8" s="1"/>
  <c r="T14" i="8"/>
  <c r="T15" i="8" s="1"/>
  <c r="T17" i="10"/>
  <c r="T32" i="8" l="1"/>
  <c r="T86" i="8" s="1"/>
  <c r="T36" i="8" l="1"/>
  <c r="T39" i="8"/>
  <c r="T23" i="8"/>
  <c r="T29" i="8"/>
  <c r="T33" i="8" l="1"/>
  <c r="AF95" i="8" l="1"/>
  <c r="AH95" i="8" s="1"/>
  <c r="AH86" i="8"/>
  <c r="AC95" i="8"/>
  <c r="AD95" i="8"/>
  <c r="T95" i="8"/>
  <c r="T116" i="8" s="1"/>
  <c r="T117" i="8" l="1"/>
  <c r="T119" i="8" s="1"/>
  <c r="AF116" i="8"/>
  <c r="AE116" i="8"/>
  <c r="AD116" i="8"/>
  <c r="AC116" i="8"/>
  <c r="AC112" i="8"/>
  <c r="AE95" i="8"/>
  <c r="U110" i="8" l="1"/>
  <c r="U112" i="8" s="1"/>
  <c r="U117" i="8" s="1"/>
  <c r="U119" i="8" s="1"/>
  <c r="AC117" i="8"/>
  <c r="AC119" i="8" s="1"/>
  <c r="AD112" i="8"/>
  <c r="AD117" i="8" s="1"/>
  <c r="AD119" i="8" s="1"/>
  <c r="V110" i="8" l="1"/>
  <c r="V112" i="8" s="1"/>
  <c r="V117" i="8" s="1"/>
  <c r="V119" i="8" s="1"/>
  <c r="AE112" i="8"/>
  <c r="AE117" i="8" s="1"/>
  <c r="AE119" i="8" s="1"/>
  <c r="Y112" i="8"/>
  <c r="Y117" i="8" s="1"/>
  <c r="Y119" i="8" s="1"/>
  <c r="W110" i="8" l="1"/>
  <c r="W112" i="8" s="1"/>
  <c r="W117" i="8" s="1"/>
  <c r="AF112" i="8"/>
  <c r="AF117" i="8" s="1"/>
  <c r="AF119" i="8" s="1"/>
  <c r="W119" i="8" l="1"/>
  <c r="C88" i="9"/>
  <c r="C97" i="9" s="1"/>
  <c r="C92" i="9"/>
  <c r="C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<sst xmlns="http://schemas.openxmlformats.org/spreadsheetml/2006/main" count="246" uniqueCount="197">
  <si>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</si>
  <si>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</si>
  <si>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</si>
  <si>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</si>
  <si>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</si>
  <si>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</si>
  <si>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</si>
  <si>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</si>
  <si>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</si>
  <si>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</si>
  <si>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</si>
  <si>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</si>
  <si>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</si>
  <si>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</si>
  <si>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</si>
  <si>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</si>
  <si>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</si>
  <si>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</si>
  <si>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</si>
  <si>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</si>
  <si>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</si>
  <si>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</si>
  <si>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</si>
  <si>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</si>
  <si>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</si>
  <si>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</si>
  <si>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</si>
  <si>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</si>
  <si>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</si>
  <si>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</si>
  <si>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</si>
  <si>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</si>
  <si>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</si>
  <si>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</si>
  <si>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</si>
  <si>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</si>
  <si>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</si>
  <si>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</si>
  <si>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</si>
  <si>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</si>
  <si>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</si>
  <si>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</si>
  <si>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</si>
  <si>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</si>
  <si>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</si>
  <si>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</si>
  <si>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</si>
  <si>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</si>
  <si>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</si>
  <si>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</si>
  <si>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</si>
  <si>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</si>
  <si>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</si>
  <si>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</si>
  <si>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</si>
  <si>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</si>
  <si>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</si>
  <si>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</si>
  <si>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</si>
  <si>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</si>
  <si>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</si>
  <si>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</si>
  <si>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</si>
  <si>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</si>
  <si>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</si>
  <si>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</si>
  <si>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</si>
  <si>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</si>
  <si>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</si>
  <si>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</si>
  <si>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</si>
  <si>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</si>
  <si>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</si>
  <si>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</si>
  <si>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</si>
  <si>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</si>
  <si>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</si>
  <si>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</si>
  <si>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</si>
  <si>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</si>
  <si>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</si>
  <si>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</si>
  <si>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</si>
  <si>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</si>
  <si>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</si>
  <si>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</si>
  <si>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</si>
  <si>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</si>
  <si>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</si>
  <si>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</si>
  <si>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</si>
  <si>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</si>
  <si>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</si>
  <si>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</si>
  <si>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</si>
  <si>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</si>
  <si>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</si>
  <si>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</si>
  <si>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</si>
  <si>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</si>
  <si>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</si>
  <si>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</si>
  <si>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</si>
  <si>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</si>
  <si>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</si>
  <si>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</si>
  <si>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</si>
  <si>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</si>
  <si>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</si>
  <si>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</si>
  <si>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</si>
  <si>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</si>
  <si>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</si>
  <si>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</si>
  <si>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</si>
  <si>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Income from continuing operations, net of tax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</si>
  <si>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</si>
  <si>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</si>
  <si>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</si>
  <si>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</si>
  <si>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</si>
  <si>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</si>
  <si>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</si>
  <si>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</si>
  <si>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</si>
  <si>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</si>
  <si>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</si>
  <si>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</si>
  <si>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</si>
  <si>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</si>
  <si>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</si>
  <si>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</si>
  <si>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</si>
  <si>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</si>
  <si>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</si>
  <si>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</si>
  <si>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</si>
  <si>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</si>
  <si>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</si>
  <si>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</si>
  <si>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</si>
  <si>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</si>
  <si>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</si>
  <si>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</si>
  <si>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</si>
  <si>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</si>
  <si>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</si>
  <si>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</si>
  <si>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</si>
  <si>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</si>
  <si>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</si>
  <si>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</si>
  <si>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</si>
  <si>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LT Debt</t>
  </si>
  <si>
    <t>Other LT Liabilities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</si>
  <si>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</si>
  <si>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</si>
  <si>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</si>
  <si>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</si>
  <si>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</si>
  <si>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</si>
  <si>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</si>
  <si>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</si>
  <si>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</si>
  <si>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>ST Investments</t>
  </si>
  <si>
    <t>Online Stores</t>
  </si>
  <si>
    <t>Physical Stores</t>
  </si>
  <si>
    <t>Third-party Seller Services</t>
  </si>
  <si>
    <t>Advertising Services</t>
  </si>
  <si>
    <t>Subscription Services</t>
  </si>
  <si>
    <t>AWS</t>
  </si>
  <si>
    <t>Other</t>
  </si>
  <si>
    <t>4Q22</t>
  </si>
  <si>
    <t>1Q22</t>
  </si>
  <si>
    <t>2Q22</t>
  </si>
  <si>
    <t>3Q22</t>
  </si>
  <si>
    <t>North America Revenues</t>
  </si>
  <si>
    <t>International Revenues</t>
  </si>
  <si>
    <t>AWS Revenues</t>
  </si>
  <si>
    <t>Cost Of Sales</t>
  </si>
  <si>
    <t>Fullfillment</t>
  </si>
  <si>
    <t>R&amp;D</t>
  </si>
  <si>
    <t>Sales &amp; Marketing</t>
  </si>
  <si>
    <t>General &amp; Admin</t>
  </si>
  <si>
    <t>Other Expenses</t>
  </si>
  <si>
    <t>Interest Income</t>
  </si>
  <si>
    <t>Interest Expenses</t>
  </si>
  <si>
    <t>Other Income (Expenses), net</t>
  </si>
  <si>
    <t xml:space="preserve">Cash &amp; CEs </t>
  </si>
  <si>
    <t>A/R</t>
  </si>
  <si>
    <t>Operating Leases</t>
  </si>
  <si>
    <t>Other LT Assets</t>
  </si>
  <si>
    <t>A/P</t>
  </si>
  <si>
    <t>Accrued Expenses</t>
  </si>
  <si>
    <t>Unearned Revenue</t>
  </si>
  <si>
    <t>LT Lease Liabilities</t>
  </si>
  <si>
    <t>Amazon.com Inc (NASDAQ: AMZN)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</si>
</sst>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H140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4" width="9" style="5" customWidth="1" outlineLevel="1"/>
    <col min="5" max="7" width="9" style="5" bestFit="1" customWidth="1"/>
    <col min="8" max="8" width="1.5" style="5" customWidth="1"/>
    <col min="9" max="16" width="8.875" style="5" customWidth="1" outlineLevel="2"/>
    <col min="17" max="18" width="8.875" style="5" customWidth="1" outlineLevel="1"/>
    <col min="19" max="23" width="8.875" style="5" bestFit="1" customWidth="1"/>
    <col min="24" max="24" width="1.5" style="5" customWidth="1"/>
    <col min="25" max="27" width="8.75" style="5" customWidth="1" outlineLevel="1"/>
    <col min="28" max="28" width="9" style="5" bestFit="1" customWidth="1"/>
    <col min="29" max="31" width="9" style="5" customWidth="1" outlineLevel="1"/>
    <col min="32" max="32" width="9" style="5" bestFit="1" customWidth="1"/>
    <col min="33" max="33" width="1.25" style="5" customWidth="1"/>
    <col min="34" max="34" width="8" style="5" bestFit="1" customWidth="1"/>
    <col min="35" max="35" width="1.375" style="5" customWidth="1"/>
    <col min="36" max="16384" width="9" style="5"/>
  </cols>
  <sheetData>
    <row r="2" spans="1:34" ht="12.75" customHeight="1">
      <c r="B2" s="1" t="s">
        <v>196</v>
      </c>
      <c r="C2" s="101"/>
      <c r="D2" s="101"/>
      <c r="E2" s="101"/>
      <c r="F2" s="101"/>
      <c r="G2" s="101"/>
      <c r="H2" s="3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3"/>
      <c r="Y2" s="101"/>
      <c r="Z2" s="101"/>
      <c r="AA2" s="101"/>
      <c r="AB2" s="101"/>
      <c r="AC2" s="101"/>
      <c r="AD2" s="101"/>
      <c r="AE2" s="101"/>
      <c r="AF2" s="101"/>
      <c r="AG2" s="3"/>
      <c r="AH2" s="1"/>
    </row>
    <row r="3" spans="1:34" ht="12.75" customHeight="1">
      <c r="B3" s="6" t="s">
        <v>74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3"/>
      <c r="Y3" s="4"/>
      <c r="Z3" s="4"/>
      <c r="AA3" s="4"/>
      <c r="AB3" s="4"/>
      <c r="AC3" s="4"/>
      <c r="AD3" s="4"/>
      <c r="AE3" s="4"/>
      <c r="AF3" s="4"/>
      <c r="AG3" s="3"/>
      <c r="AH3" s="1"/>
    </row>
    <row r="4" spans="1:34" ht="12.75" customHeight="1">
      <c r="B4" s="6" t="s">
        <v>71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1"/>
    </row>
    <row r="6" spans="1:34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/>
      <c r="F6" s="2"/>
      <c r="G6" s="2"/>
      <c r="H6" s="3"/>
      <c r="I6" s="2" t="s">
        <v>1</v>
      </c>
      <c r="J6" s="2"/>
      <c r="K6" s="2"/>
      <c r="L6" s="2"/>
      <c r="M6" s="2" t="s">
        <v>1</v>
      </c>
      <c r="N6" s="2"/>
      <c r="O6" s="2"/>
      <c r="P6" s="2"/>
      <c r="Q6" s="2"/>
      <c r="R6" s="2"/>
      <c r="S6" s="2" t="s">
        <v>1</v>
      </c>
      <c r="T6" s="2"/>
      <c r="U6" s="2"/>
      <c r="V6" s="2"/>
      <c r="W6" s="2"/>
      <c r="X6" s="3"/>
      <c r="Y6" s="2"/>
      <c r="Z6" s="2"/>
      <c r="AA6" s="2" t="s">
        <v>10</v>
      </c>
      <c r="AB6" s="2" t="s">
        <v>10</v>
      </c>
      <c r="AC6" s="2"/>
      <c r="AD6" s="2"/>
      <c r="AE6" s="2"/>
      <c r="AF6" s="2"/>
      <c r="AG6" s="38"/>
      <c r="AH6" s="162" t="s">
        <v>22</v>
      </c>
    </row>
    <row r="7" spans="1:34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173</v>
      </c>
      <c r="J7" s="4" t="s">
        <v>174</v>
      </c>
      <c r="K7" s="4" t="s">
        <v>175</v>
      </c>
      <c r="L7" s="4" t="s">
        <v>172</v>
      </c>
      <c r="M7" s="4" t="s">
        <v>6</v>
      </c>
      <c r="N7" s="4" t="s">
        <v>7</v>
      </c>
      <c r="O7" s="4" t="s">
        <v>8</v>
      </c>
      <c r="P7" s="4" t="s">
        <v>9</v>
      </c>
      <c r="Q7" s="4" t="s">
        <v>2</v>
      </c>
      <c r="R7" s="4" t="s">
        <v>3</v>
      </c>
      <c r="S7" s="4" t="s">
        <v>4</v>
      </c>
      <c r="T7" s="4" t="s">
        <v>5</v>
      </c>
      <c r="U7" s="4" t="s">
        <v>24</v>
      </c>
      <c r="V7" s="4" t="s">
        <v>25</v>
      </c>
      <c r="W7" s="4" t="s">
        <v>61</v>
      </c>
      <c r="X7" s="3"/>
      <c r="Y7" s="4" t="str">
        <f>P7</f>
        <v>4Q23</v>
      </c>
      <c r="Z7" s="4" t="str">
        <f>Q7</f>
        <v>1Q24</v>
      </c>
      <c r="AA7" s="4" t="str">
        <f>R7</f>
        <v>2Q24</v>
      </c>
      <c r="AB7" s="4" t="str">
        <f>S7</f>
        <v>3Q24</v>
      </c>
      <c r="AC7" s="4" t="str">
        <f>T7</f>
        <v>4Q24</v>
      </c>
      <c r="AD7" s="4" t="str">
        <f>U7</f>
        <v>1Q25</v>
      </c>
      <c r="AE7" s="4" t="str">
        <f>V7</f>
        <v>2Q25</v>
      </c>
      <c r="AF7" s="4" t="str">
        <f>W7</f>
        <v>3Q25</v>
      </c>
      <c r="AG7" s="38"/>
      <c r="AH7" s="162"/>
    </row>
    <row r="8" spans="1:34" ht="12.75" customHeight="1">
      <c r="B8" s="6" t="s">
        <v>76</v>
      </c>
      <c r="C8" s="3"/>
      <c r="D8" s="3"/>
      <c r="E8" s="3"/>
      <c r="F8" s="85"/>
      <c r="G8" s="85"/>
      <c r="H8" s="3"/>
      <c r="I8" s="3"/>
      <c r="J8" s="3"/>
      <c r="K8" s="3"/>
      <c r="L8" s="3">
        <f>E8</f>
        <v>0</v>
      </c>
      <c r="M8" s="3"/>
      <c r="N8" s="3"/>
      <c r="O8" s="3"/>
      <c r="P8" s="3">
        <f>F8</f>
        <v>0</v>
      </c>
      <c r="Q8" s="3"/>
      <c r="R8" s="3"/>
      <c r="S8" s="3"/>
      <c r="T8" s="3">
        <f>G8</f>
        <v>0</v>
      </c>
      <c r="U8" s="3"/>
      <c r="V8" s="3"/>
      <c r="W8" s="3"/>
      <c r="X8" s="3"/>
      <c r="Y8" s="3">
        <f>P8</f>
        <v>0</v>
      </c>
      <c r="Z8" s="3">
        <f>Q8</f>
        <v>0</v>
      </c>
      <c r="AA8" s="3">
        <f>R8</f>
        <v>0</v>
      </c>
      <c r="AB8" s="3">
        <f>S8</f>
        <v>0</v>
      </c>
      <c r="AC8" s="3">
        <f>T8</f>
        <v>0</v>
      </c>
      <c r="AD8" s="3">
        <f>U8</f>
        <v>0</v>
      </c>
      <c r="AE8" s="3">
        <f>V8</f>
        <v>0</v>
      </c>
      <c r="AF8" s="3">
        <f>W8</f>
        <v>0</v>
      </c>
      <c r="AG8" s="38"/>
      <c r="AH8" s="162"/>
    </row>
    <row r="9" spans="1:34" ht="5.0999999999999996" customHeight="1">
      <c r="AH9" s="100"/>
    </row>
    <row r="10" spans="1:34" ht="12.75" customHeight="1">
      <c r="B10" s="9" t="s">
        <v>56</v>
      </c>
      <c r="C10" s="95">
        <v>386064</v>
      </c>
      <c r="D10" s="95">
        <v>469822</v>
      </c>
      <c r="E10" s="95">
        <v>513983</v>
      </c>
      <c r="F10" s="95">
        <v>574785</v>
      </c>
      <c r="G10" s="95">
        <v>637959</v>
      </c>
      <c r="H10" s="11"/>
      <c r="I10" s="95">
        <v>116444</v>
      </c>
      <c r="J10" s="95">
        <v>121234</v>
      </c>
      <c r="K10" s="95">
        <v>127101</v>
      </c>
      <c r="L10" s="32">
        <v>149204</v>
      </c>
      <c r="M10" s="95">
        <v>127358</v>
      </c>
      <c r="N10" s="95">
        <v>134383</v>
      </c>
      <c r="O10" s="95">
        <v>143083</v>
      </c>
      <c r="P10" s="32">
        <v>169961</v>
      </c>
      <c r="Q10" s="95">
        <v>143313</v>
      </c>
      <c r="R10" s="95">
        <v>147977</v>
      </c>
      <c r="S10" s="95">
        <v>158877</v>
      </c>
      <c r="T10" s="32">
        <v>187792</v>
      </c>
      <c r="U10" s="82">
        <v>155667</v>
      </c>
      <c r="V10" s="82">
        <v>167702</v>
      </c>
      <c r="W10" s="82">
        <v>180169</v>
      </c>
      <c r="Y10" s="32">
        <f>SUM(M10:P10)</f>
        <v>574785</v>
      </c>
      <c r="Z10" s="32">
        <f>SUM(N10:Q10)</f>
        <v>590740</v>
      </c>
      <c r="AA10" s="32">
        <f>SUM(O10:R10)</f>
        <v>604334</v>
      </c>
      <c r="AB10" s="32">
        <f>SUM(P10:S10)</f>
        <v>620128</v>
      </c>
      <c r="AC10" s="32">
        <f>SUM(Q10:T10)</f>
        <v>637959</v>
      </c>
      <c r="AD10" s="32">
        <f>SUM(R10:U10)</f>
        <v>650313</v>
      </c>
      <c r="AE10" s="32">
        <f>SUM(S10:V10)</f>
        <v>670038</v>
      </c>
      <c r="AF10" s="32">
        <f>SUM(T10:W10)</f>
        <v>691330</v>
      </c>
      <c r="AG10" s="40"/>
      <c r="AH10" s="12">
        <f>SUM(AF10/AB10)-1</f>
        <v>0.11481823107487488</v>
      </c>
    </row>
    <row r="11" spans="1:34" ht="12.75" customHeight="1">
      <c r="B11" s="13" t="s">
        <v>12</v>
      </c>
      <c r="C11" s="14">
        <f t="shared" ref="C11" si="0">+SUM(C10:C10)</f>
        <v>386064</v>
      </c>
      <c r="D11" s="14">
        <f t="shared" ref="D11:G11" si="1">+SUM(D10:D10)</f>
        <v>469822</v>
      </c>
      <c r="E11" s="14">
        <f t="shared" si="1"/>
        <v>513983</v>
      </c>
      <c r="F11" s="14">
        <f t="shared" si="1"/>
        <v>574785</v>
      </c>
      <c r="G11" s="14">
        <f t="shared" si="1"/>
        <v>637959</v>
      </c>
      <c r="H11" s="11"/>
      <c r="I11" s="14">
        <f t="shared" ref="I11:L11" si="2">+SUM(I10:I10)</f>
        <v>116444</v>
      </c>
      <c r="J11" s="14">
        <f t="shared" ref="J11" si="3">+SUM(J10:J10)</f>
        <v>121234</v>
      </c>
      <c r="K11" s="14">
        <f t="shared" si="2"/>
        <v>127101</v>
      </c>
      <c r="L11" s="14">
        <f t="shared" si="2"/>
        <v>149204</v>
      </c>
      <c r="M11" s="14">
        <f t="shared" ref="M11:V11" si="4">+SUM(M10:M10)</f>
        <v>127358</v>
      </c>
      <c r="N11" s="14">
        <f t="shared" si="4"/>
        <v>134383</v>
      </c>
      <c r="O11" s="14">
        <f t="shared" si="4"/>
        <v>143083</v>
      </c>
      <c r="P11" s="14">
        <f t="shared" si="4"/>
        <v>169961</v>
      </c>
      <c r="Q11" s="14">
        <f t="shared" si="4"/>
        <v>143313</v>
      </c>
      <c r="R11" s="14">
        <f t="shared" si="4"/>
        <v>147977</v>
      </c>
      <c r="S11" s="14">
        <f t="shared" si="4"/>
        <v>158877</v>
      </c>
      <c r="T11" s="14">
        <f t="shared" si="4"/>
        <v>187792</v>
      </c>
      <c r="U11" s="14">
        <f t="shared" si="4"/>
        <v>155667</v>
      </c>
      <c r="V11" s="14">
        <f t="shared" si="4"/>
        <v>167702</v>
      </c>
      <c r="W11" s="14">
        <f>+SUM(W10:W10)</f>
        <v>180169</v>
      </c>
      <c r="Y11" s="14">
        <f t="shared" ref="Y11:AE11" si="5">+SUM(Y10:Y10)</f>
        <v>574785</v>
      </c>
      <c r="Z11" s="14">
        <f t="shared" si="5"/>
        <v>590740</v>
      </c>
      <c r="AA11" s="14">
        <f t="shared" si="5"/>
        <v>604334</v>
      </c>
      <c r="AB11" s="14">
        <f t="shared" si="5"/>
        <v>620128</v>
      </c>
      <c r="AC11" s="14">
        <f t="shared" si="5"/>
        <v>637959</v>
      </c>
      <c r="AD11" s="14">
        <f t="shared" si="5"/>
        <v>650313</v>
      </c>
      <c r="AE11" s="14">
        <f t="shared" si="5"/>
        <v>670038</v>
      </c>
      <c r="AF11" s="14">
        <f>+SUM(AF10:AF10)</f>
        <v>691330</v>
      </c>
      <c r="AG11" s="40"/>
      <c r="AH11" s="15">
        <f>SUM(AF11/AB11)-1</f>
        <v>0.11481823107487488</v>
      </c>
    </row>
    <row r="12" spans="1:34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2"/>
      <c r="V12" s="21"/>
      <c r="W12" s="21"/>
      <c r="AH12" s="75"/>
    </row>
    <row r="13" spans="1:34" s="20" customFormat="1">
      <c r="B13" s="9" t="s">
        <v>179</v>
      </c>
      <c r="C13" s="82">
        <v>-233307</v>
      </c>
      <c r="D13" s="82">
        <v>-272344</v>
      </c>
      <c r="E13" s="82">
        <v>-288831</v>
      </c>
      <c r="F13" s="82">
        <v>-304739</v>
      </c>
      <c r="G13" s="82">
        <v>-326288</v>
      </c>
      <c r="H13" s="32"/>
      <c r="I13" s="82">
        <v>-66499</v>
      </c>
      <c r="J13" s="82">
        <v>-66424</v>
      </c>
      <c r="K13" s="82">
        <v>-70268</v>
      </c>
      <c r="L13" s="32">
        <f t="shared" ref="L13" si="6">SUM(E13-SUM(I13:K13))</f>
        <v>-85640</v>
      </c>
      <c r="M13" s="82">
        <v>-67791</v>
      </c>
      <c r="N13" s="82">
        <v>-69373</v>
      </c>
      <c r="O13" s="82">
        <v>-75022</v>
      </c>
      <c r="P13" s="32">
        <f>SUM(F13-SUM(M13:O13))</f>
        <v>-92553</v>
      </c>
      <c r="Q13" s="82">
        <v>-72633</v>
      </c>
      <c r="R13" s="82">
        <v>-73785</v>
      </c>
      <c r="S13" s="82">
        <v>-80977</v>
      </c>
      <c r="T13" s="32">
        <f>SUM(G13-SUM(Q13:S13))</f>
        <v>-98893</v>
      </c>
      <c r="U13" s="82">
        <v>-76976</v>
      </c>
      <c r="V13" s="82">
        <v>-80809</v>
      </c>
      <c r="W13" s="82">
        <v>-88670</v>
      </c>
      <c r="X13" s="5"/>
      <c r="Y13" s="32">
        <f>SUM(M13:P13)</f>
        <v>-304739</v>
      </c>
      <c r="Z13" s="32">
        <f>SUM(N13:Q13)</f>
        <v>-309581</v>
      </c>
      <c r="AA13" s="32">
        <f>SUM(O13:R13)</f>
        <v>-313993</v>
      </c>
      <c r="AB13" s="32">
        <f>SUM(P13:S13)</f>
        <v>-319948</v>
      </c>
      <c r="AC13" s="32">
        <f>SUM(Q13:T13)</f>
        <v>-326288</v>
      </c>
      <c r="AD13" s="32">
        <f>SUM(R13:U13)</f>
        <v>-330631</v>
      </c>
      <c r="AE13" s="32">
        <f>SUM(S13:V13)</f>
        <v>-337655</v>
      </c>
      <c r="AF13" s="32">
        <f>SUM(T13:W13)</f>
        <v>-345348</v>
      </c>
      <c r="AG13" s="11"/>
      <c r="AH13" s="75">
        <f t="shared" ref="AH13" si="7">SUM(AF13/AB13)-1</f>
        <v>7.9387900533836708E-2</v>
      </c>
    </row>
    <row r="14" spans="1:34" s="20" customFormat="1">
      <c r="B14" s="25" t="s">
        <v>20</v>
      </c>
      <c r="C14" s="26">
        <f>SUM(C11+C13)</f>
        <v>152757</v>
      </c>
      <c r="D14" s="26">
        <f t="shared" ref="D14:G14" si="8">SUM(D11+D13)</f>
        <v>197478</v>
      </c>
      <c r="E14" s="26">
        <f t="shared" si="8"/>
        <v>225152</v>
      </c>
      <c r="F14" s="26">
        <f t="shared" si="8"/>
        <v>270046</v>
      </c>
      <c r="G14" s="26">
        <f t="shared" si="8"/>
        <v>311671</v>
      </c>
      <c r="H14" s="32"/>
      <c r="I14" s="26">
        <f t="shared" ref="I14" si="9">SUM(I11+I13)</f>
        <v>49945</v>
      </c>
      <c r="J14" s="26">
        <f t="shared" ref="J14" si="10">SUM(J11+J13)</f>
        <v>54810</v>
      </c>
      <c r="K14" s="26">
        <f t="shared" ref="K14" si="11">SUM(K11+K13)</f>
        <v>56833</v>
      </c>
      <c r="L14" s="26">
        <f t="shared" ref="L14" si="12">SUM(L11+L13)</f>
        <v>63564</v>
      </c>
      <c r="M14" s="26">
        <f t="shared" ref="M14" si="13">SUM(M11+M13)</f>
        <v>59567</v>
      </c>
      <c r="N14" s="26">
        <f t="shared" ref="N14" si="14">SUM(N11+N13)</f>
        <v>65010</v>
      </c>
      <c r="O14" s="26">
        <f t="shared" ref="O14" si="15">SUM(O11+O13)</f>
        <v>68061</v>
      </c>
      <c r="P14" s="26">
        <f t="shared" ref="P14" si="16">SUM(P11+P13)</f>
        <v>77408</v>
      </c>
      <c r="Q14" s="26">
        <f t="shared" ref="Q14" si="17">SUM(Q11+Q13)</f>
        <v>70680</v>
      </c>
      <c r="R14" s="26">
        <f t="shared" ref="R14" si="18">SUM(R11+R13)</f>
        <v>74192</v>
      </c>
      <c r="S14" s="26">
        <f t="shared" ref="S14" si="19">SUM(S11+S13)</f>
        <v>77900</v>
      </c>
      <c r="T14" s="26">
        <f t="shared" ref="T14" si="20">SUM(T11+T13)</f>
        <v>88899</v>
      </c>
      <c r="U14" s="26">
        <f t="shared" ref="U14" si="21">SUM(U11+U13)</f>
        <v>78691</v>
      </c>
      <c r="V14" s="26">
        <f t="shared" ref="V14" si="22">SUM(V11+V13)</f>
        <v>86893</v>
      </c>
      <c r="W14" s="26">
        <f t="shared" ref="W14" si="23">SUM(W11+W13)</f>
        <v>91499</v>
      </c>
      <c r="X14" s="5"/>
      <c r="Y14" s="26">
        <f t="shared" ref="Y14" si="24">SUM(Y11+Y13)</f>
        <v>270046</v>
      </c>
      <c r="Z14" s="26">
        <f t="shared" ref="Z14" si="25">SUM(Z11+Z13)</f>
        <v>281159</v>
      </c>
      <c r="AA14" s="26">
        <f t="shared" ref="AA14" si="26">SUM(AA11+AA13)</f>
        <v>290341</v>
      </c>
      <c r="AB14" s="26">
        <f t="shared" ref="AB14" si="27">SUM(AB11+AB13)</f>
        <v>300180</v>
      </c>
      <c r="AC14" s="26">
        <f t="shared" ref="AC14" si="28">SUM(AC11+AC13)</f>
        <v>311671</v>
      </c>
      <c r="AD14" s="26">
        <f t="shared" ref="AD14" si="29">SUM(AD11+AD13)</f>
        <v>319682</v>
      </c>
      <c r="AE14" s="26">
        <f t="shared" ref="AE14" si="30">SUM(AE11+AE13)</f>
        <v>332383</v>
      </c>
      <c r="AF14" s="26">
        <f t="shared" ref="AF14" si="31">SUM(AF11+AF13)</f>
        <v>345982</v>
      </c>
      <c r="AG14" s="11"/>
      <c r="AH14" s="76">
        <f>SUM(AF14/AB14)-1</f>
        <v>0.15258178426277569</v>
      </c>
    </row>
    <row r="15" spans="1:34" s="20" customFormat="1">
      <c r="B15" s="16" t="s">
        <v>29</v>
      </c>
      <c r="C15" s="17">
        <f>C14/C11</f>
        <v>0.3956779186870571</v>
      </c>
      <c r="D15" s="17">
        <f t="shared" ref="D15:G15" si="32">D14/D11</f>
        <v>0.42032514441639601</v>
      </c>
      <c r="E15" s="17">
        <f t="shared" si="32"/>
        <v>0.43805339865326287</v>
      </c>
      <c r="F15" s="17">
        <f t="shared" si="32"/>
        <v>0.46982088955000567</v>
      </c>
      <c r="G15" s="17">
        <f t="shared" si="32"/>
        <v>0.48854393464156787</v>
      </c>
      <c r="H15" s="32"/>
      <c r="I15" s="17">
        <f t="shared" ref="I15" si="33">I14/I11</f>
        <v>0.42891862182680085</v>
      </c>
      <c r="J15" s="17">
        <f t="shared" ref="J15" si="34">J14/J11</f>
        <v>0.4521008957883102</v>
      </c>
      <c r="K15" s="17">
        <f t="shared" ref="K15" si="35">K14/K11</f>
        <v>0.44714833085498934</v>
      </c>
      <c r="L15" s="17">
        <f t="shared" ref="L15" si="36">L14/L11</f>
        <v>0.42602075011393797</v>
      </c>
      <c r="M15" s="17">
        <f t="shared" ref="M15" si="37">M14/M11</f>
        <v>0.46771306082067871</v>
      </c>
      <c r="N15" s="17">
        <f t="shared" ref="N15" si="38">N14/N11</f>
        <v>0.48376654785203488</v>
      </c>
      <c r="O15" s="17">
        <f t="shared" ref="O15" si="39">O14/O11</f>
        <v>0.47567495789157344</v>
      </c>
      <c r="P15" s="17">
        <f t="shared" ref="P15" si="40">P14/P11</f>
        <v>0.45544566106342044</v>
      </c>
      <c r="Q15" s="17">
        <f t="shared" ref="Q15" si="41">Q14/Q11</f>
        <v>0.49318624269954575</v>
      </c>
      <c r="R15" s="17">
        <f t="shared" ref="R15" si="42">R14/R11</f>
        <v>0.50137521371564497</v>
      </c>
      <c r="S15" s="17">
        <f t="shared" ref="S15" si="43">S14/S11</f>
        <v>0.49031640829069029</v>
      </c>
      <c r="T15" s="17">
        <f t="shared" ref="T15" si="44">T14/T11</f>
        <v>0.47339077276987307</v>
      </c>
      <c r="U15" s="17">
        <f t="shared" ref="U15" si="45">U14/U11</f>
        <v>0.50550855351487467</v>
      </c>
      <c r="V15" s="17">
        <f t="shared" ref="V15" si="46">V14/V11</f>
        <v>0.51813931855314788</v>
      </c>
      <c r="W15" s="17">
        <f t="shared" ref="W15" si="47">W14/W11</f>
        <v>0.50785096215220149</v>
      </c>
      <c r="X15" s="5"/>
      <c r="Y15" s="17">
        <f t="shared" ref="Y15" si="48">Y14/Y11</f>
        <v>0.46982088955000567</v>
      </c>
      <c r="Z15" s="17">
        <f t="shared" ref="Z15" si="49">Z14/Z11</f>
        <v>0.47594373159088599</v>
      </c>
      <c r="AA15" s="17">
        <f t="shared" ref="AA15" si="50">AA14/AA11</f>
        <v>0.48043135087550926</v>
      </c>
      <c r="AB15" s="17">
        <f t="shared" ref="AB15" si="51">AB14/AB11</f>
        <v>0.4840613550750813</v>
      </c>
      <c r="AC15" s="17">
        <f t="shared" ref="AC15" si="52">AC14/AC11</f>
        <v>0.48854393464156787</v>
      </c>
      <c r="AD15" s="17">
        <f t="shared" ref="AD15" si="53">AD14/AD11</f>
        <v>0.49158174602076232</v>
      </c>
      <c r="AE15" s="17">
        <f t="shared" ref="AE15" si="54">AE14/AE11</f>
        <v>0.49606589477014734</v>
      </c>
      <c r="AF15" s="17">
        <f t="shared" ref="AF15" si="55">AF14/AF11</f>
        <v>0.50045853644424521</v>
      </c>
      <c r="AG15" s="11"/>
      <c r="AH15" s="77">
        <f>SUM(AF15-AB15)*1000</f>
        <v>16.397181369163903</v>
      </c>
    </row>
    <row r="16" spans="1:34" s="20" customFormat="1" ht="5.0999999999999996" customHeight="1">
      <c r="B16" s="18"/>
      <c r="C16" s="19"/>
      <c r="D16" s="19"/>
      <c r="E16" s="19"/>
      <c r="F16" s="19"/>
      <c r="G16" s="19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2"/>
      <c r="V16" s="21"/>
      <c r="W16" s="21"/>
      <c r="AH16" s="75"/>
    </row>
    <row r="17" spans="2:34" ht="12.75" customHeight="1">
      <c r="B17" s="9" t="s">
        <v>180</v>
      </c>
      <c r="C17" s="82">
        <v>-58517</v>
      </c>
      <c r="D17" s="82">
        <v>-75111</v>
      </c>
      <c r="E17" s="82">
        <v>-84299</v>
      </c>
      <c r="F17" s="82">
        <v>-90619</v>
      </c>
      <c r="G17" s="82">
        <v>-98505</v>
      </c>
      <c r="H17" s="32"/>
      <c r="I17" s="82">
        <v>-20271</v>
      </c>
      <c r="J17" s="82">
        <v>-20342</v>
      </c>
      <c r="K17" s="82">
        <v>-20583</v>
      </c>
      <c r="L17" s="32">
        <f t="shared" ref="L17:L21" si="56">SUM(E17-SUM(I17:K17))</f>
        <v>-23103</v>
      </c>
      <c r="M17" s="82">
        <v>-20905</v>
      </c>
      <c r="N17" s="82">
        <v>-21305</v>
      </c>
      <c r="O17" s="82">
        <v>-22314</v>
      </c>
      <c r="P17" s="32">
        <f t="shared" ref="P17:P21" si="57">SUM(F17-SUM(M17:O17))</f>
        <v>-26095</v>
      </c>
      <c r="Q17" s="82">
        <v>-22317</v>
      </c>
      <c r="R17" s="82">
        <v>-23566</v>
      </c>
      <c r="S17" s="82">
        <v>-24660</v>
      </c>
      <c r="T17" s="32">
        <f t="shared" ref="T17:T21" si="58">SUM(G17-SUM(Q17:S17))</f>
        <v>-27962</v>
      </c>
      <c r="U17" s="82">
        <v>-24593</v>
      </c>
      <c r="V17" s="82">
        <v>-25976</v>
      </c>
      <c r="W17" s="82">
        <v>-27679</v>
      </c>
      <c r="Y17" s="32">
        <f>SUM(M17:P17)</f>
        <v>-90619</v>
      </c>
      <c r="Z17" s="32">
        <f>SUM(N17:Q17)</f>
        <v>-92031</v>
      </c>
      <c r="AA17" s="32">
        <f>SUM(O17:R17)</f>
        <v>-94292</v>
      </c>
      <c r="AB17" s="32">
        <f>SUM(P17:S17)</f>
        <v>-96638</v>
      </c>
      <c r="AC17" s="32">
        <f>SUM(Q17:T17)</f>
        <v>-98505</v>
      </c>
      <c r="AD17" s="32">
        <f>SUM(R17:U17)</f>
        <v>-100781</v>
      </c>
      <c r="AE17" s="32">
        <f>SUM(S17:V17)</f>
        <v>-103191</v>
      </c>
      <c r="AF17" s="32">
        <f>SUM(T17:W17)</f>
        <v>-106210</v>
      </c>
      <c r="AG17" s="11"/>
      <c r="AH17" s="75">
        <f>SUM(AF17/AB17)-1</f>
        <v>9.9050063122167353E-2</v>
      </c>
    </row>
    <row r="18" spans="2:34" ht="12.75" customHeight="1">
      <c r="B18" s="9" t="s">
        <v>181</v>
      </c>
      <c r="C18" s="82">
        <v>-42740</v>
      </c>
      <c r="D18" s="82">
        <v>-56052</v>
      </c>
      <c r="E18" s="82">
        <v>-73213</v>
      </c>
      <c r="F18" s="82">
        <v>-85622</v>
      </c>
      <c r="G18" s="82">
        <v>-88544</v>
      </c>
      <c r="H18" s="32"/>
      <c r="I18" s="82">
        <v>-14842</v>
      </c>
      <c r="J18" s="82">
        <v>-18072</v>
      </c>
      <c r="K18" s="82">
        <v>-19485</v>
      </c>
      <c r="L18" s="32">
        <f t="shared" si="56"/>
        <v>-20814</v>
      </c>
      <c r="M18" s="82">
        <v>-20450</v>
      </c>
      <c r="N18" s="82">
        <v>-21931</v>
      </c>
      <c r="O18" s="82">
        <v>-21203</v>
      </c>
      <c r="P18" s="32">
        <f t="shared" si="57"/>
        <v>-22038</v>
      </c>
      <c r="Q18" s="82">
        <v>-20424</v>
      </c>
      <c r="R18" s="82">
        <v>-22304</v>
      </c>
      <c r="S18" s="82">
        <v>-22245</v>
      </c>
      <c r="T18" s="32">
        <f t="shared" si="58"/>
        <v>-23571</v>
      </c>
      <c r="U18" s="82">
        <v>-22994</v>
      </c>
      <c r="V18" s="82">
        <v>-27166</v>
      </c>
      <c r="W18" s="82">
        <v>-28962</v>
      </c>
      <c r="Y18" s="32">
        <f>SUM(M18:P18)</f>
        <v>-85622</v>
      </c>
      <c r="Z18" s="32">
        <f>SUM(N18:Q18)</f>
        <v>-85596</v>
      </c>
      <c r="AA18" s="32">
        <f>SUM(O18:R18)</f>
        <v>-85969</v>
      </c>
      <c r="AB18" s="32">
        <f>SUM(P18:S18)</f>
        <v>-87011</v>
      </c>
      <c r="AC18" s="32">
        <f>SUM(Q18:T18)</f>
        <v>-88544</v>
      </c>
      <c r="AD18" s="32">
        <f>SUM(R18:U18)</f>
        <v>-91114</v>
      </c>
      <c r="AE18" s="32">
        <f>SUM(S18:V18)</f>
        <v>-95976</v>
      </c>
      <c r="AF18" s="32">
        <f>SUM(T18:W18)</f>
        <v>-102693</v>
      </c>
      <c r="AG18" s="11"/>
      <c r="AH18" s="75">
        <f t="shared" ref="AH18:AH21" si="59">SUM(AF18/AB18)-1</f>
        <v>0.18023008585121425</v>
      </c>
    </row>
    <row r="19" spans="2:34" ht="12.75" customHeight="1">
      <c r="B19" s="9" t="s">
        <v>182</v>
      </c>
      <c r="C19" s="82">
        <v>-22008</v>
      </c>
      <c r="D19" s="82">
        <v>-32551</v>
      </c>
      <c r="E19" s="82">
        <v>-42238</v>
      </c>
      <c r="F19" s="82">
        <v>-44370</v>
      </c>
      <c r="G19" s="82">
        <v>-43907</v>
      </c>
      <c r="H19" s="32"/>
      <c r="I19" s="82">
        <v>-8320</v>
      </c>
      <c r="J19" s="82">
        <v>-10086</v>
      </c>
      <c r="K19" s="82">
        <v>-11014</v>
      </c>
      <c r="L19" s="32">
        <f t="shared" si="56"/>
        <v>-12818</v>
      </c>
      <c r="M19" s="82">
        <v>-10172</v>
      </c>
      <c r="N19" s="82">
        <v>-10745</v>
      </c>
      <c r="O19" s="82">
        <v>-10551</v>
      </c>
      <c r="P19" s="32">
        <f t="shared" si="57"/>
        <v>-12902</v>
      </c>
      <c r="Q19" s="82">
        <v>-9662</v>
      </c>
      <c r="R19" s="82">
        <v>-10512</v>
      </c>
      <c r="S19" s="82">
        <v>-10609</v>
      </c>
      <c r="T19" s="32">
        <f t="shared" si="58"/>
        <v>-13124</v>
      </c>
      <c r="U19" s="82">
        <v>-9763</v>
      </c>
      <c r="V19" s="82">
        <v>-11416</v>
      </c>
      <c r="W19" s="82">
        <v>-11686</v>
      </c>
      <c r="Y19" s="32">
        <f>SUM(M19:P19)</f>
        <v>-44370</v>
      </c>
      <c r="Z19" s="32">
        <f>SUM(N19:Q19)</f>
        <v>-43860</v>
      </c>
      <c r="AA19" s="32">
        <f>SUM(O19:R19)</f>
        <v>-43627</v>
      </c>
      <c r="AB19" s="32">
        <f>SUM(P19:S19)</f>
        <v>-43685</v>
      </c>
      <c r="AC19" s="32">
        <f>SUM(Q19:T19)</f>
        <v>-43907</v>
      </c>
      <c r="AD19" s="32">
        <f>SUM(R19:U19)</f>
        <v>-44008</v>
      </c>
      <c r="AE19" s="32">
        <f>SUM(S19:V19)</f>
        <v>-44912</v>
      </c>
      <c r="AF19" s="32">
        <f>SUM(T19:W19)</f>
        <v>-45989</v>
      </c>
      <c r="AG19" s="11"/>
      <c r="AH19" s="75">
        <f t="shared" si="59"/>
        <v>5.274121552020139E-2</v>
      </c>
    </row>
    <row r="20" spans="2:34" ht="12.75" customHeight="1">
      <c r="B20" s="9" t="s">
        <v>183</v>
      </c>
      <c r="C20" s="82">
        <v>-6668</v>
      </c>
      <c r="D20" s="82">
        <v>-8823</v>
      </c>
      <c r="E20" s="82">
        <v>-11891</v>
      </c>
      <c r="F20" s="82">
        <v>-11816</v>
      </c>
      <c r="G20" s="82">
        <v>-11359</v>
      </c>
      <c r="H20" s="32"/>
      <c r="I20" s="82">
        <v>-2594</v>
      </c>
      <c r="J20" s="82">
        <v>-2903</v>
      </c>
      <c r="K20" s="82">
        <v>-3061</v>
      </c>
      <c r="L20" s="32">
        <f t="shared" si="56"/>
        <v>-3333</v>
      </c>
      <c r="M20" s="82">
        <v>-3043</v>
      </c>
      <c r="N20" s="82">
        <v>-3202</v>
      </c>
      <c r="O20" s="82">
        <v>-2561</v>
      </c>
      <c r="P20" s="32">
        <f t="shared" si="57"/>
        <v>-3010</v>
      </c>
      <c r="Q20" s="82">
        <v>-2742</v>
      </c>
      <c r="R20" s="82">
        <v>-3041</v>
      </c>
      <c r="S20" s="82">
        <v>-2713</v>
      </c>
      <c r="T20" s="32">
        <f t="shared" si="58"/>
        <v>-2863</v>
      </c>
      <c r="U20" s="82">
        <v>-2628</v>
      </c>
      <c r="V20" s="82">
        <v>-2965</v>
      </c>
      <c r="W20" s="82">
        <v>-2875</v>
      </c>
      <c r="Y20" s="32">
        <f>SUM(M20:P20)</f>
        <v>-11816</v>
      </c>
      <c r="Z20" s="32">
        <f>SUM(N20:Q20)</f>
        <v>-11515</v>
      </c>
      <c r="AA20" s="32">
        <f>SUM(O20:R20)</f>
        <v>-11354</v>
      </c>
      <c r="AB20" s="32">
        <f>SUM(P20:S20)</f>
        <v>-11506</v>
      </c>
      <c r="AC20" s="32">
        <f>SUM(Q20:T20)</f>
        <v>-11359</v>
      </c>
      <c r="AD20" s="32">
        <f>SUM(R20:U20)</f>
        <v>-11245</v>
      </c>
      <c r="AE20" s="32">
        <f>SUM(S20:V20)</f>
        <v>-11169</v>
      </c>
      <c r="AF20" s="32">
        <f>SUM(T20:W20)</f>
        <v>-11331</v>
      </c>
      <c r="AG20" s="11"/>
      <c r="AH20" s="75">
        <f t="shared" ref="AH20" si="60">SUM(AF20/AB20)-1</f>
        <v>-1.52094559360334E-2</v>
      </c>
    </row>
    <row r="21" spans="2:34" ht="12.75" customHeight="1">
      <c r="B21" s="9" t="s">
        <v>184</v>
      </c>
      <c r="C21" s="82">
        <v>75</v>
      </c>
      <c r="D21" s="82">
        <v>-62</v>
      </c>
      <c r="E21" s="82">
        <v>-1263</v>
      </c>
      <c r="F21" s="82">
        <v>-767</v>
      </c>
      <c r="G21" s="82">
        <v>-763</v>
      </c>
      <c r="H21" s="32"/>
      <c r="I21" s="82">
        <v>-249</v>
      </c>
      <c r="J21" s="82">
        <v>-90</v>
      </c>
      <c r="K21" s="82">
        <v>-165</v>
      </c>
      <c r="L21" s="32">
        <f t="shared" si="56"/>
        <v>-759</v>
      </c>
      <c r="M21" s="82">
        <v>-223</v>
      </c>
      <c r="N21" s="82">
        <v>-146</v>
      </c>
      <c r="O21" s="82">
        <v>-244</v>
      </c>
      <c r="P21" s="32">
        <f t="shared" si="57"/>
        <v>-154</v>
      </c>
      <c r="Q21" s="82">
        <v>-228</v>
      </c>
      <c r="R21" s="82">
        <v>-97</v>
      </c>
      <c r="S21" s="82">
        <v>-262</v>
      </c>
      <c r="T21" s="32">
        <f t="shared" si="58"/>
        <v>-176</v>
      </c>
      <c r="U21" s="82">
        <v>-308</v>
      </c>
      <c r="V21" s="82">
        <v>-199</v>
      </c>
      <c r="W21" s="82">
        <v>-2875</v>
      </c>
      <c r="Y21" s="32">
        <f>SUM(M21:P21)</f>
        <v>-767</v>
      </c>
      <c r="Z21" s="32">
        <f>SUM(N21:Q21)</f>
        <v>-772</v>
      </c>
      <c r="AA21" s="32">
        <f>SUM(O21:R21)</f>
        <v>-723</v>
      </c>
      <c r="AB21" s="32">
        <f>SUM(P21:S21)</f>
        <v>-741</v>
      </c>
      <c r="AC21" s="32">
        <f>SUM(Q21:T21)</f>
        <v>-763</v>
      </c>
      <c r="AD21" s="32">
        <f>SUM(R21:U21)</f>
        <v>-843</v>
      </c>
      <c r="AE21" s="32">
        <f>SUM(S21:V21)</f>
        <v>-945</v>
      </c>
      <c r="AF21" s="32">
        <f>SUM(T21:W21)</f>
        <v>-3558</v>
      </c>
      <c r="AG21" s="11"/>
      <c r="AH21" s="75">
        <f t="shared" si="59"/>
        <v>3.8016194331983808</v>
      </c>
    </row>
    <row r="22" spans="2:34" ht="12.75" customHeight="1">
      <c r="B22" s="25" t="s">
        <v>77</v>
      </c>
      <c r="C22" s="26">
        <f>+SUM(C11+SUM(C17:C21))</f>
        <v>256206</v>
      </c>
      <c r="D22" s="26">
        <f>+SUM(D11+SUM(D17:D21))</f>
        <v>297223</v>
      </c>
      <c r="E22" s="26">
        <f>+SUM(E11+SUM(E17:E21))</f>
        <v>301079</v>
      </c>
      <c r="F22" s="26">
        <f>+SUM(F11+SUM(F17:F21))</f>
        <v>341591</v>
      </c>
      <c r="G22" s="26">
        <f>+SUM(G11+SUM(G17:G21))</f>
        <v>394881</v>
      </c>
      <c r="H22" s="32"/>
      <c r="I22" s="26">
        <f>+SUM(I11+SUM(I17:I21))</f>
        <v>70168</v>
      </c>
      <c r="J22" s="26">
        <f>+SUM(J11+SUM(J17:J21))</f>
        <v>69741</v>
      </c>
      <c r="K22" s="26">
        <f>+SUM(K11+SUM(K17:K21))</f>
        <v>72793</v>
      </c>
      <c r="L22" s="26">
        <f>+SUM(L11+SUM(L17:L21))</f>
        <v>88377</v>
      </c>
      <c r="M22" s="26">
        <f>+SUM(M11+SUM(M17:M21))</f>
        <v>72565</v>
      </c>
      <c r="N22" s="26">
        <f>+SUM(N11+SUM(N17:N21))</f>
        <v>77054</v>
      </c>
      <c r="O22" s="26">
        <f>+SUM(O11+SUM(O17:O21))</f>
        <v>86210</v>
      </c>
      <c r="P22" s="26">
        <f>+SUM(P11+SUM(P17:P21))</f>
        <v>105762</v>
      </c>
      <c r="Q22" s="26">
        <f>+SUM(Q11+SUM(Q17:Q21))</f>
        <v>87940</v>
      </c>
      <c r="R22" s="26">
        <f>+SUM(R11+SUM(R17:R21))</f>
        <v>88457</v>
      </c>
      <c r="S22" s="26">
        <f>+SUM(S11+SUM(S17:S21))</f>
        <v>98388</v>
      </c>
      <c r="T22" s="26">
        <f>+SUM(T11+SUM(T17:T21))</f>
        <v>120096</v>
      </c>
      <c r="U22" s="26">
        <f>+SUM(U11+SUM(U17:U21))</f>
        <v>95381</v>
      </c>
      <c r="V22" s="26">
        <f>+SUM(V11+SUM(V17:V21))</f>
        <v>99980</v>
      </c>
      <c r="W22" s="26">
        <f>+SUM(W11+SUM(W17:W21))</f>
        <v>106092</v>
      </c>
      <c r="Y22" s="26">
        <f>+SUM(Y11+SUM(Y17:Y21))</f>
        <v>341591</v>
      </c>
      <c r="Z22" s="26">
        <f>+SUM(Z11+SUM(Z17:Z21))</f>
        <v>356966</v>
      </c>
      <c r="AA22" s="26">
        <f>+SUM(AA11+SUM(AA17:AA21))</f>
        <v>368369</v>
      </c>
      <c r="AB22" s="26">
        <f>+SUM(AB11+SUM(AB17:AB21))</f>
        <v>380547</v>
      </c>
      <c r="AC22" s="26">
        <f>+SUM(AC11+SUM(AC17:AC21))</f>
        <v>394881</v>
      </c>
      <c r="AD22" s="26">
        <f>+SUM(AD11+SUM(AD17:AD21))</f>
        <v>402322</v>
      </c>
      <c r="AE22" s="26">
        <f>+SUM(AE11+SUM(AE17:AE21))</f>
        <v>413845</v>
      </c>
      <c r="AF22" s="26">
        <f>+SUM(AF11+SUM(AF17:AF21))</f>
        <v>421549</v>
      </c>
      <c r="AG22" s="11"/>
      <c r="AH22" s="76">
        <f>SUM(AF22/AB22)-1</f>
        <v>0.10774490404601789</v>
      </c>
    </row>
    <row r="23" spans="2:34" ht="12.75" customHeight="1">
      <c r="B23" s="16" t="s">
        <v>31</v>
      </c>
      <c r="C23" s="17">
        <f>C22/C11</f>
        <v>0.66363608106427951</v>
      </c>
      <c r="D23" s="17">
        <f>D22/D11</f>
        <v>0.63262895309287348</v>
      </c>
      <c r="E23" s="17">
        <f>E22/E11</f>
        <v>0.5857761832589794</v>
      </c>
      <c r="F23" s="17">
        <f>F22/F11</f>
        <v>0.59429351844602762</v>
      </c>
      <c r="G23" s="17">
        <f>G22/G11</f>
        <v>0.61897551410043594</v>
      </c>
      <c r="H23" s="32"/>
      <c r="I23" s="17">
        <f>I22/I11</f>
        <v>0.60259008622170318</v>
      </c>
      <c r="J23" s="17">
        <f>J22/J11</f>
        <v>0.57525941567547056</v>
      </c>
      <c r="K23" s="17">
        <f>K22/K11</f>
        <v>0.57271775989173968</v>
      </c>
      <c r="L23" s="17">
        <f>L22/L11</f>
        <v>0.59232326211093533</v>
      </c>
      <c r="M23" s="17">
        <f>M22/M11</f>
        <v>0.56977182430628626</v>
      </c>
      <c r="N23" s="17">
        <f>N22/N11</f>
        <v>0.57339097951377782</v>
      </c>
      <c r="O23" s="17">
        <f>O22/O11</f>
        <v>0.60251741995904473</v>
      </c>
      <c r="P23" s="17">
        <f>P22/P11</f>
        <v>0.62227216832096777</v>
      </c>
      <c r="Q23" s="17">
        <f>Q22/Q11</f>
        <v>0.61362193241366803</v>
      </c>
      <c r="R23" s="17">
        <f>R22/R11</f>
        <v>0.59777532994992466</v>
      </c>
      <c r="S23" s="17">
        <f>S22/S11</f>
        <v>0.61927151192431884</v>
      </c>
      <c r="T23" s="17">
        <f>T22/T11</f>
        <v>0.63951606032205843</v>
      </c>
      <c r="U23" s="17">
        <f>U22/U11</f>
        <v>0.61272459802013268</v>
      </c>
      <c r="V23" s="17">
        <f>V22/V11</f>
        <v>0.59617655126355085</v>
      </c>
      <c r="W23" s="17">
        <f>W22/W11</f>
        <v>0.58884713796491073</v>
      </c>
      <c r="Y23" s="17">
        <f>Y22/Y11</f>
        <v>0.59429351844602762</v>
      </c>
      <c r="Z23" s="17">
        <f>Z22/Z11</f>
        <v>0.60426922165419639</v>
      </c>
      <c r="AA23" s="17">
        <f>AA22/AA11</f>
        <v>0.60954538384403323</v>
      </c>
      <c r="AB23" s="17">
        <f>AB22/AB11</f>
        <v>0.61365879302337578</v>
      </c>
      <c r="AC23" s="17">
        <f>AC22/AC11</f>
        <v>0.61897551410043594</v>
      </c>
      <c r="AD23" s="17">
        <f>AD22/AD11</f>
        <v>0.61865901496663911</v>
      </c>
      <c r="AE23" s="17">
        <f>AE22/AE11</f>
        <v>0.61764407391819565</v>
      </c>
      <c r="AF23" s="17">
        <f>AF22/AF11</f>
        <v>0.60976523512649528</v>
      </c>
      <c r="AG23" s="11"/>
      <c r="AH23" s="77">
        <f>SUM(AF23-AB23)*1000</f>
        <v>-3.8935578968805062</v>
      </c>
    </row>
    <row r="24" spans="2:34" ht="5.0999999999999996" customHeight="1">
      <c r="B24" s="16"/>
      <c r="C24" s="17"/>
      <c r="D24" s="17"/>
      <c r="E24" s="17"/>
      <c r="F24" s="17"/>
      <c r="G24" s="17"/>
      <c r="H24" s="3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32"/>
      <c r="V24" s="82"/>
      <c r="W24" s="82"/>
      <c r="Y24" s="32"/>
      <c r="Z24" s="32"/>
      <c r="AA24" s="32"/>
      <c r="AB24" s="32"/>
      <c r="AC24" s="32"/>
      <c r="AD24" s="32"/>
      <c r="AE24" s="32"/>
      <c r="AF24" s="32"/>
      <c r="AG24" s="11"/>
      <c r="AH24" s="75"/>
    </row>
    <row r="25" spans="2:34" ht="12.75" customHeight="1">
      <c r="B25" s="9" t="s">
        <v>185</v>
      </c>
      <c r="C25" s="82">
        <v>555</v>
      </c>
      <c r="D25" s="82">
        <v>448</v>
      </c>
      <c r="E25" s="82">
        <v>989</v>
      </c>
      <c r="F25" s="82">
        <v>2949</v>
      </c>
      <c r="G25" s="82">
        <v>4677</v>
      </c>
      <c r="H25" s="32"/>
      <c r="I25" s="95">
        <v>108</v>
      </c>
      <c r="J25" s="95">
        <v>159</v>
      </c>
      <c r="K25" s="95">
        <v>277</v>
      </c>
      <c r="L25" s="32">
        <f t="shared" ref="L25:L27" si="61">SUM(E25-SUM(I25:K25))</f>
        <v>445</v>
      </c>
      <c r="M25" s="95">
        <v>611</v>
      </c>
      <c r="N25" s="95">
        <v>661</v>
      </c>
      <c r="O25" s="95">
        <v>776</v>
      </c>
      <c r="P25" s="32">
        <f t="shared" ref="P25:P27" si="62">SUM(F25-SUM(M25:O25))</f>
        <v>901</v>
      </c>
      <c r="Q25" s="95">
        <v>993</v>
      </c>
      <c r="R25" s="95">
        <v>1180</v>
      </c>
      <c r="S25" s="95">
        <v>1256</v>
      </c>
      <c r="T25" s="32">
        <f t="shared" ref="T25:T27" si="63">SUM(G25-SUM(Q25:S25))</f>
        <v>1248</v>
      </c>
      <c r="U25" s="82">
        <v>1066</v>
      </c>
      <c r="V25" s="82">
        <v>1085</v>
      </c>
      <c r="W25" s="82">
        <v>1100</v>
      </c>
      <c r="Y25" s="32">
        <f>SUM(M25:P25)</f>
        <v>2949</v>
      </c>
      <c r="Z25" s="32">
        <f>SUM(N25:Q25)</f>
        <v>3331</v>
      </c>
      <c r="AA25" s="32">
        <f>SUM(O25:R25)</f>
        <v>3850</v>
      </c>
      <c r="AB25" s="32">
        <f>SUM(P25:S25)</f>
        <v>4330</v>
      </c>
      <c r="AC25" s="32">
        <f>SUM(Q25:T25)</f>
        <v>4677</v>
      </c>
      <c r="AD25" s="32">
        <f>SUM(R25:U25)</f>
        <v>4750</v>
      </c>
      <c r="AE25" s="32">
        <f>SUM(S25:V25)</f>
        <v>4655</v>
      </c>
      <c r="AF25" s="32">
        <f>SUM(T25:W25)</f>
        <v>4499</v>
      </c>
      <c r="AG25" s="11"/>
      <c r="AH25" s="75"/>
    </row>
    <row r="26" spans="2:34" ht="12.75" customHeight="1">
      <c r="B26" s="9" t="s">
        <v>186</v>
      </c>
      <c r="C26" s="82">
        <v>-1647</v>
      </c>
      <c r="D26" s="82">
        <v>-1809</v>
      </c>
      <c r="E26" s="82">
        <v>-2367</v>
      </c>
      <c r="F26" s="82">
        <v>-3182</v>
      </c>
      <c r="G26" s="82">
        <v>-2406</v>
      </c>
      <c r="H26" s="32"/>
      <c r="I26" s="95">
        <v>-472</v>
      </c>
      <c r="J26" s="95">
        <v>-584</v>
      </c>
      <c r="K26" s="95">
        <v>-617</v>
      </c>
      <c r="L26" s="32">
        <f t="shared" si="61"/>
        <v>-694</v>
      </c>
      <c r="M26" s="95">
        <v>-823</v>
      </c>
      <c r="N26" s="95">
        <v>-840</v>
      </c>
      <c r="O26" s="95">
        <v>-806</v>
      </c>
      <c r="P26" s="32">
        <f t="shared" si="62"/>
        <v>-713</v>
      </c>
      <c r="Q26" s="95">
        <v>-644</v>
      </c>
      <c r="R26" s="95">
        <v>-589</v>
      </c>
      <c r="S26" s="95">
        <v>-603</v>
      </c>
      <c r="T26" s="32">
        <f t="shared" si="63"/>
        <v>-570</v>
      </c>
      <c r="U26" s="82">
        <v>-541</v>
      </c>
      <c r="V26" s="82">
        <v>-516</v>
      </c>
      <c r="W26" s="82">
        <v>-538</v>
      </c>
      <c r="Y26" s="32">
        <f t="shared" ref="Y26:Y27" si="64">SUM(M26:P26)</f>
        <v>-3182</v>
      </c>
      <c r="Z26" s="32">
        <f t="shared" ref="Z26:Z27" si="65">SUM(N26:Q26)</f>
        <v>-3003</v>
      </c>
      <c r="AA26" s="32">
        <f t="shared" ref="AA26:AA27" si="66">SUM(O26:R26)</f>
        <v>-2752</v>
      </c>
      <c r="AB26" s="32">
        <f t="shared" ref="AB26:AB27" si="67">SUM(P26:S26)</f>
        <v>-2549</v>
      </c>
      <c r="AC26" s="32">
        <f t="shared" ref="AC26:AC27" si="68">SUM(Q26:T26)</f>
        <v>-2406</v>
      </c>
      <c r="AD26" s="32">
        <f t="shared" ref="AD26:AD27" si="69">SUM(R26:U26)</f>
        <v>-2303</v>
      </c>
      <c r="AE26" s="32">
        <f t="shared" ref="AE26:AE27" si="70">SUM(S26:V26)</f>
        <v>-2230</v>
      </c>
      <c r="AF26" s="32">
        <f t="shared" ref="AF26:AF27" si="71">SUM(T26:W26)</f>
        <v>-2165</v>
      </c>
      <c r="AG26" s="11"/>
      <c r="AH26" s="75"/>
    </row>
    <row r="27" spans="2:34" ht="12.75" customHeight="1">
      <c r="B27" s="9" t="s">
        <v>187</v>
      </c>
      <c r="C27" s="82">
        <v>2371</v>
      </c>
      <c r="D27" s="82">
        <v>14633</v>
      </c>
      <c r="E27" s="82">
        <v>-16806</v>
      </c>
      <c r="F27" s="82">
        <v>938</v>
      </c>
      <c r="G27" s="82">
        <v>-2250</v>
      </c>
      <c r="H27" s="32"/>
      <c r="I27" s="95">
        <v>-8570</v>
      </c>
      <c r="J27" s="95">
        <v>-5545</v>
      </c>
      <c r="K27" s="95">
        <v>759</v>
      </c>
      <c r="L27" s="32">
        <f t="shared" si="61"/>
        <v>-3450</v>
      </c>
      <c r="M27" s="95">
        <v>-443</v>
      </c>
      <c r="N27" s="95">
        <v>61</v>
      </c>
      <c r="O27" s="95">
        <v>1031</v>
      </c>
      <c r="P27" s="32">
        <f t="shared" si="62"/>
        <v>289</v>
      </c>
      <c r="Q27" s="95">
        <v>-2673</v>
      </c>
      <c r="R27" s="95">
        <v>-18</v>
      </c>
      <c r="S27" s="95">
        <v>-27</v>
      </c>
      <c r="T27" s="32">
        <f t="shared" si="63"/>
        <v>468</v>
      </c>
      <c r="U27" s="82">
        <v>2749</v>
      </c>
      <c r="V27" s="82">
        <v>1117</v>
      </c>
      <c r="W27" s="82">
        <v>10186</v>
      </c>
      <c r="Y27" s="32">
        <f t="shared" si="64"/>
        <v>938</v>
      </c>
      <c r="Z27" s="32">
        <f t="shared" si="65"/>
        <v>-1292</v>
      </c>
      <c r="AA27" s="32">
        <f t="shared" si="66"/>
        <v>-1371</v>
      </c>
      <c r="AB27" s="32">
        <f t="shared" si="67"/>
        <v>-2429</v>
      </c>
      <c r="AC27" s="32">
        <f t="shared" si="68"/>
        <v>-2250</v>
      </c>
      <c r="AD27" s="32">
        <f t="shared" si="69"/>
        <v>3172</v>
      </c>
      <c r="AE27" s="32">
        <f t="shared" si="70"/>
        <v>4307</v>
      </c>
      <c r="AF27" s="32">
        <f t="shared" si="71"/>
        <v>14520</v>
      </c>
      <c r="AG27" s="11"/>
      <c r="AH27" s="75"/>
    </row>
    <row r="28" spans="2:34" ht="12.75" customHeight="1">
      <c r="B28" s="25" t="s">
        <v>157</v>
      </c>
      <c r="C28" s="26">
        <f>SUM(C22+SUM(C25:C25))</f>
        <v>256761</v>
      </c>
      <c r="D28" s="26">
        <f>SUM(D22+SUM(D25:D25))</f>
        <v>297671</v>
      </c>
      <c r="E28" s="26">
        <f>SUM(E22+SUM(E25:E25))</f>
        <v>302068</v>
      </c>
      <c r="F28" s="26">
        <f>SUM(F22+SUM(F25:F25))</f>
        <v>344540</v>
      </c>
      <c r="G28" s="26">
        <f>SUM(G22+SUM(G25:G25))</f>
        <v>399558</v>
      </c>
      <c r="I28" s="26">
        <f t="shared" ref="I28" si="72">SUM(I22+SUM(I25:I25))</f>
        <v>70276</v>
      </c>
      <c r="J28" s="26">
        <f t="shared" ref="J28:K28" si="73">SUM(J22+SUM(J25:J25))</f>
        <v>69900</v>
      </c>
      <c r="K28" s="26">
        <f t="shared" si="73"/>
        <v>73070</v>
      </c>
      <c r="L28" s="26">
        <f>SUM(L22+SUM(L25:L25))</f>
        <v>88822</v>
      </c>
      <c r="M28" s="26">
        <f>SUM(M22+SUM(M25:M25))</f>
        <v>73176</v>
      </c>
      <c r="N28" s="26">
        <f>SUM(N22+SUM(N25:N25))</f>
        <v>77715</v>
      </c>
      <c r="O28" s="26">
        <f>SUM(O22+SUM(O25:O25))</f>
        <v>86986</v>
      </c>
      <c r="P28" s="26">
        <f>SUM(P22+SUM(P25:P25))</f>
        <v>106663</v>
      </c>
      <c r="Q28" s="26">
        <f>SUM(Q22+SUM(Q25:Q25))</f>
        <v>88933</v>
      </c>
      <c r="R28" s="26">
        <f>SUM(R22+SUM(R25:R25))</f>
        <v>89637</v>
      </c>
      <c r="S28" s="26">
        <f>SUM(S22+SUM(S25:S25))</f>
        <v>99644</v>
      </c>
      <c r="T28" s="26">
        <f>SUM(T22+SUM(T25:T25))</f>
        <v>121344</v>
      </c>
      <c r="U28" s="26">
        <f>SUM(U22+SUM(U25:U25))</f>
        <v>96447</v>
      </c>
      <c r="V28" s="26">
        <f>SUM(V22+SUM(V25:V25))</f>
        <v>101065</v>
      </c>
      <c r="W28" s="26">
        <f>SUM(W22+SUM(W25:W25))</f>
        <v>107192</v>
      </c>
      <c r="Y28" s="26">
        <f t="shared" ref="Y28:AF28" si="74">SUM(Y22+SUM(Y25:Y25))</f>
        <v>344540</v>
      </c>
      <c r="Z28" s="26">
        <f t="shared" si="74"/>
        <v>360297</v>
      </c>
      <c r="AA28" s="26">
        <f t="shared" si="74"/>
        <v>372219</v>
      </c>
      <c r="AB28" s="26">
        <f t="shared" si="74"/>
        <v>384877</v>
      </c>
      <c r="AC28" s="26">
        <f t="shared" si="74"/>
        <v>399558</v>
      </c>
      <c r="AD28" s="26">
        <f t="shared" si="74"/>
        <v>407072</v>
      </c>
      <c r="AE28" s="26">
        <f t="shared" si="74"/>
        <v>418500</v>
      </c>
      <c r="AF28" s="26">
        <f t="shared" si="74"/>
        <v>426048</v>
      </c>
      <c r="AG28" s="42"/>
      <c r="AH28" s="76">
        <f>SUM(AF28/AB28)-1</f>
        <v>0.10697183775595831</v>
      </c>
    </row>
    <row r="29" spans="2:34" ht="12.75" customHeight="1">
      <c r="B29" s="16" t="s">
        <v>158</v>
      </c>
      <c r="C29" s="17">
        <f>C28/C11</f>
        <v>0.66507366654233491</v>
      </c>
      <c r="D29" s="17">
        <f>D28/D11</f>
        <v>0.63358250571493036</v>
      </c>
      <c r="E29" s="17">
        <f>E28/E11</f>
        <v>0.58770037141306231</v>
      </c>
      <c r="F29" s="17">
        <f>F28/F11</f>
        <v>0.599424132501718</v>
      </c>
      <c r="G29" s="17">
        <f>G28/G11</f>
        <v>0.62630670623033768</v>
      </c>
      <c r="H29" s="27"/>
      <c r="I29" s="17">
        <f>I28/I11</f>
        <v>0.60351757067775069</v>
      </c>
      <c r="J29" s="17">
        <f>J28/J11</f>
        <v>0.57657092894732498</v>
      </c>
      <c r="K29" s="17">
        <f>K28/K11</f>
        <v>0.57489712905484613</v>
      </c>
      <c r="L29" s="17">
        <f>L28/L11</f>
        <v>0.5953057558778585</v>
      </c>
      <c r="M29" s="17">
        <f>M28/M11</f>
        <v>0.57456932426702678</v>
      </c>
      <c r="N29" s="17">
        <f>N28/N11</f>
        <v>0.57830975644240712</v>
      </c>
      <c r="O29" s="17">
        <f>O28/O11</f>
        <v>0.6079408455232278</v>
      </c>
      <c r="P29" s="17">
        <f>P28/P11</f>
        <v>0.62757338448232236</v>
      </c>
      <c r="Q29" s="17">
        <f>Q28/Q11</f>
        <v>0.62055082232595782</v>
      </c>
      <c r="R29" s="17">
        <f>R28/R11</f>
        <v>0.60574954215857868</v>
      </c>
      <c r="S29" s="17">
        <f>S28/S11</f>
        <v>0.6271769985586334</v>
      </c>
      <c r="T29" s="17">
        <f>T28/T11</f>
        <v>0.64616171082900231</v>
      </c>
      <c r="U29" s="17">
        <f>U28/U11</f>
        <v>0.619572549095184</v>
      </c>
      <c r="V29" s="17">
        <f>V28/V11</f>
        <v>0.602646360806669</v>
      </c>
      <c r="W29" s="17">
        <f>W28/W11</f>
        <v>0.59495251680366767</v>
      </c>
      <c r="X29" s="28"/>
      <c r="Y29" s="17">
        <f t="shared" ref="Y29:AF29" si="75">Y28/Y11</f>
        <v>0.599424132501718</v>
      </c>
      <c r="Z29" s="17">
        <f t="shared" si="75"/>
        <v>0.60990791211023465</v>
      </c>
      <c r="AA29" s="17">
        <f t="shared" si="75"/>
        <v>0.61591603318694632</v>
      </c>
      <c r="AB29" s="17">
        <f t="shared" si="75"/>
        <v>0.62064122245729914</v>
      </c>
      <c r="AC29" s="17">
        <f t="shared" si="75"/>
        <v>0.62630670623033768</v>
      </c>
      <c r="AD29" s="17">
        <f t="shared" si="75"/>
        <v>0.62596319003310719</v>
      </c>
      <c r="AE29" s="17">
        <f t="shared" si="75"/>
        <v>0.62459144108244602</v>
      </c>
      <c r="AF29" s="17">
        <f t="shared" si="75"/>
        <v>0.61627298106548245</v>
      </c>
      <c r="AG29" s="43"/>
      <c r="AH29" s="77">
        <f>SUM(AF29-AB29)*1000</f>
        <v>-4.3682413918166851</v>
      </c>
    </row>
    <row r="30" spans="2:34" ht="5.0999999999999996" customHeight="1">
      <c r="B30" s="16"/>
      <c r="C30" s="17"/>
      <c r="D30" s="17"/>
      <c r="E30" s="17"/>
      <c r="F30" s="17"/>
      <c r="G30" s="17"/>
      <c r="H30" s="2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28"/>
      <c r="Y30" s="17"/>
      <c r="Z30" s="17"/>
      <c r="AA30" s="17"/>
      <c r="AB30" s="17"/>
      <c r="AC30" s="17"/>
      <c r="AD30" s="17"/>
      <c r="AE30" s="17"/>
      <c r="AF30" s="17"/>
      <c r="AG30" s="43"/>
      <c r="AH30" s="77"/>
    </row>
    <row r="31" spans="2:34" ht="12.75" customHeight="1">
      <c r="B31" s="9" t="s">
        <v>104</v>
      </c>
      <c r="C31" s="82">
        <v>2863</v>
      </c>
      <c r="D31" s="82">
        <v>4791</v>
      </c>
      <c r="E31" s="82">
        <v>-3217</v>
      </c>
      <c r="F31" s="82">
        <v>7120</v>
      </c>
      <c r="G31" s="82">
        <v>9265</v>
      </c>
      <c r="H31" s="32"/>
      <c r="I31" s="82">
        <v>-1422</v>
      </c>
      <c r="J31" s="82">
        <v>-637</v>
      </c>
      <c r="K31" s="82">
        <v>69</v>
      </c>
      <c r="L31" s="32">
        <v>-1227</v>
      </c>
      <c r="M31" s="82">
        <v>948</v>
      </c>
      <c r="N31" s="82">
        <v>804</v>
      </c>
      <c r="O31" s="82">
        <v>2306</v>
      </c>
      <c r="P31" s="32">
        <v>3062</v>
      </c>
      <c r="Q31" s="82">
        <v>2467</v>
      </c>
      <c r="R31" s="82">
        <v>1767</v>
      </c>
      <c r="S31" s="82">
        <v>2706</v>
      </c>
      <c r="T31" s="32">
        <v>2325</v>
      </c>
      <c r="U31" s="82">
        <v>4553</v>
      </c>
      <c r="V31" s="82">
        <v>2678</v>
      </c>
      <c r="W31" s="82">
        <v>-6910</v>
      </c>
      <c r="Y31" s="32">
        <f>SUM(M31:P31)</f>
        <v>7120</v>
      </c>
      <c r="Z31" s="32">
        <f>SUM(N31:Q31)</f>
        <v>8639</v>
      </c>
      <c r="AA31" s="32">
        <f>SUM(O31:R31)</f>
        <v>9602</v>
      </c>
      <c r="AB31" s="32">
        <f>SUM(P31:S31)</f>
        <v>10002</v>
      </c>
      <c r="AC31" s="32">
        <f>SUM(Q31:T31)</f>
        <v>9265</v>
      </c>
      <c r="AD31" s="32">
        <f>SUM(R31:U31)</f>
        <v>11351</v>
      </c>
      <c r="AE31" s="32">
        <f>SUM(S31:V31)</f>
        <v>12262</v>
      </c>
      <c r="AF31" s="32">
        <f>SUM(T31:W31)</f>
        <v>2646</v>
      </c>
      <c r="AG31" s="11"/>
      <c r="AH31" s="75">
        <f>SUM(AF31/AB31)-1</f>
        <v>-0.73545290941811636</v>
      </c>
    </row>
    <row r="32" spans="2:34" ht="12.75" customHeight="1">
      <c r="B32" s="13" t="s">
        <v>105</v>
      </c>
      <c r="C32" s="14">
        <f t="shared" ref="C32:G32" si="76">SUM(C28+SUM(C31:C31))</f>
        <v>259624</v>
      </c>
      <c r="D32" s="14">
        <f t="shared" si="76"/>
        <v>302462</v>
      </c>
      <c r="E32" s="14">
        <f t="shared" si="76"/>
        <v>298851</v>
      </c>
      <c r="F32" s="14">
        <f t="shared" si="76"/>
        <v>351660</v>
      </c>
      <c r="G32" s="14">
        <f t="shared" si="76"/>
        <v>408823</v>
      </c>
      <c r="H32" s="11"/>
      <c r="I32" s="14">
        <f t="shared" ref="I32:L32" si="77">SUM(I28+SUM(I31:I31))</f>
        <v>68854</v>
      </c>
      <c r="J32" s="14">
        <f t="shared" ref="J32" si="78">SUM(J28+SUM(J31:J31))</f>
        <v>69263</v>
      </c>
      <c r="K32" s="14">
        <f t="shared" si="77"/>
        <v>73139</v>
      </c>
      <c r="L32" s="14">
        <f t="shared" si="77"/>
        <v>87595</v>
      </c>
      <c r="M32" s="14">
        <f t="shared" ref="M32:W32" si="79">SUM(M28+SUM(M31:M31))</f>
        <v>74124</v>
      </c>
      <c r="N32" s="14">
        <f t="shared" si="79"/>
        <v>78519</v>
      </c>
      <c r="O32" s="14">
        <f t="shared" si="79"/>
        <v>89292</v>
      </c>
      <c r="P32" s="14">
        <f t="shared" si="79"/>
        <v>109725</v>
      </c>
      <c r="Q32" s="14">
        <f t="shared" si="79"/>
        <v>91400</v>
      </c>
      <c r="R32" s="14">
        <f t="shared" si="79"/>
        <v>91404</v>
      </c>
      <c r="S32" s="14">
        <f t="shared" si="79"/>
        <v>102350</v>
      </c>
      <c r="T32" s="14">
        <f t="shared" si="79"/>
        <v>123669</v>
      </c>
      <c r="U32" s="14">
        <f t="shared" si="79"/>
        <v>101000</v>
      </c>
      <c r="V32" s="14">
        <f t="shared" si="79"/>
        <v>103743</v>
      </c>
      <c r="W32" s="14">
        <f t="shared" si="79"/>
        <v>100282</v>
      </c>
      <c r="X32" s="32"/>
      <c r="Y32" s="14">
        <f t="shared" ref="Y32:AF32" si="80">SUM(Y28+SUM(Y31:Y31))</f>
        <v>351660</v>
      </c>
      <c r="Z32" s="14">
        <f t="shared" si="80"/>
        <v>368936</v>
      </c>
      <c r="AA32" s="14">
        <f t="shared" si="80"/>
        <v>381821</v>
      </c>
      <c r="AB32" s="14">
        <f t="shared" si="80"/>
        <v>394879</v>
      </c>
      <c r="AC32" s="14">
        <f t="shared" si="80"/>
        <v>408823</v>
      </c>
      <c r="AD32" s="14">
        <f t="shared" si="80"/>
        <v>418423</v>
      </c>
      <c r="AE32" s="14">
        <f t="shared" si="80"/>
        <v>430762</v>
      </c>
      <c r="AF32" s="14">
        <f t="shared" si="80"/>
        <v>428694</v>
      </c>
      <c r="AG32" s="36"/>
      <c r="AH32" s="76">
        <f>SUM(AF32/AB32)-1</f>
        <v>8.5633827071077473E-2</v>
      </c>
    </row>
    <row r="33" spans="1:34" ht="12.75" customHeight="1">
      <c r="B33" s="16" t="s">
        <v>103</v>
      </c>
      <c r="C33" s="17">
        <f>C32/C11</f>
        <v>0.6724895354138174</v>
      </c>
      <c r="D33" s="17">
        <f>D32/D11</f>
        <v>0.64377998476018572</v>
      </c>
      <c r="E33" s="17">
        <f>E32/E11</f>
        <v>0.58144140954078249</v>
      </c>
      <c r="F33" s="17">
        <f>F32/F11</f>
        <v>0.6118113729481458</v>
      </c>
      <c r="G33" s="17">
        <f>G32/G11</f>
        <v>0.6408295830923304</v>
      </c>
      <c r="H33" s="27"/>
      <c r="I33" s="17">
        <f>I32/I11</f>
        <v>0.59130569200645799</v>
      </c>
      <c r="J33" s="17">
        <f>J32/J11</f>
        <v>0.57131662734876354</v>
      </c>
      <c r="K33" s="17">
        <f>K32/K11</f>
        <v>0.57544000440594489</v>
      </c>
      <c r="L33" s="17">
        <f>L32/L11</f>
        <v>0.58708211576097158</v>
      </c>
      <c r="M33" s="17">
        <f>M32/M11</f>
        <v>0.58201290849416609</v>
      </c>
      <c r="N33" s="17">
        <f>N32/N11</f>
        <v>0.58429265606512726</v>
      </c>
      <c r="O33" s="17">
        <f>O32/O11</f>
        <v>0.62405736530545208</v>
      </c>
      <c r="P33" s="17">
        <f>P32/P11</f>
        <v>0.64558928224710377</v>
      </c>
      <c r="Q33" s="17">
        <f>Q32/Q11</f>
        <v>0.63776489222889754</v>
      </c>
      <c r="R33" s="17">
        <f>R32/R11</f>
        <v>0.61769058705069035</v>
      </c>
      <c r="S33" s="17">
        <f>S32/S11</f>
        <v>0.64420904221504682</v>
      </c>
      <c r="T33" s="17">
        <f>T32/T11</f>
        <v>0.65854242992246736</v>
      </c>
      <c r="U33" s="17">
        <f>U32/U11</f>
        <v>0.64882088046920672</v>
      </c>
      <c r="V33" s="17">
        <f>V32/V11</f>
        <v>0.61861516260986749</v>
      </c>
      <c r="W33" s="17">
        <f>W32/W11</f>
        <v>0.55659963700747628</v>
      </c>
      <c r="X33" s="28"/>
      <c r="Y33" s="17">
        <f t="shared" ref="Y33:AF33" si="81">Y32/Y11</f>
        <v>0.6118113729481458</v>
      </c>
      <c r="Z33" s="17">
        <f t="shared" si="81"/>
        <v>0.6245319429867624</v>
      </c>
      <c r="AA33" s="17">
        <f t="shared" si="81"/>
        <v>0.63180459811958289</v>
      </c>
      <c r="AB33" s="17">
        <f t="shared" si="81"/>
        <v>0.63677015067856957</v>
      </c>
      <c r="AC33" s="17">
        <f t="shared" si="81"/>
        <v>0.6408295830923304</v>
      </c>
      <c r="AD33" s="17">
        <f t="shared" si="81"/>
        <v>0.64341786186036565</v>
      </c>
      <c r="AE33" s="17">
        <f t="shared" si="81"/>
        <v>0.64289189568352845</v>
      </c>
      <c r="AF33" s="17">
        <f t="shared" si="81"/>
        <v>0.62010038621208396</v>
      </c>
      <c r="AG33" s="43"/>
      <c r="AH33" s="77">
        <f>SUM(AF33-AB33)*1000</f>
        <v>-16.669764466485603</v>
      </c>
    </row>
    <row r="34" spans="1:34" ht="5.0999999999999996" customHeight="1">
      <c r="B34" s="16"/>
      <c r="C34" s="17"/>
      <c r="D34" s="17"/>
      <c r="E34" s="17"/>
      <c r="F34" s="17"/>
      <c r="G34" s="17"/>
      <c r="H34" s="2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28"/>
      <c r="Y34" s="17"/>
      <c r="Z34" s="17"/>
      <c r="AA34" s="17"/>
      <c r="AB34" s="17"/>
      <c r="AC34" s="17"/>
      <c r="AD34" s="17"/>
      <c r="AE34" s="17"/>
      <c r="AF34" s="17"/>
      <c r="AG34" s="43"/>
      <c r="AH34" s="77"/>
    </row>
    <row r="35" spans="1:34" ht="12.75" customHeight="1">
      <c r="B35" s="44" t="s">
        <v>84</v>
      </c>
      <c r="C35" s="82"/>
      <c r="D35" s="82"/>
      <c r="E35" s="82"/>
      <c r="F35" s="82"/>
      <c r="G35" s="82"/>
      <c r="H35" s="27"/>
      <c r="I35" s="82"/>
      <c r="J35" s="82"/>
      <c r="K35" s="82"/>
      <c r="L35" s="82"/>
      <c r="M35" s="82"/>
      <c r="N35" s="82"/>
      <c r="O35" s="82"/>
      <c r="P35" s="32">
        <f>F35</f>
        <v>0</v>
      </c>
      <c r="Q35" s="82"/>
      <c r="R35" s="82"/>
      <c r="S35" s="82"/>
      <c r="T35" s="32">
        <f>G35</f>
        <v>0</v>
      </c>
      <c r="U35" s="82"/>
      <c r="V35" s="82"/>
      <c r="W35" s="82"/>
      <c r="X35" s="132"/>
      <c r="Y35" s="32">
        <f>P35</f>
        <v>0</v>
      </c>
      <c r="Z35" s="32">
        <f>Q35</f>
        <v>0</v>
      </c>
      <c r="AA35" s="32">
        <f>R35</f>
        <v>0</v>
      </c>
      <c r="AB35" s="32">
        <f>S35</f>
        <v>0</v>
      </c>
      <c r="AC35" s="32">
        <f>T35</f>
        <v>0</v>
      </c>
      <c r="AD35" s="32">
        <f>U35</f>
        <v>0</v>
      </c>
      <c r="AE35" s="32">
        <f>V35</f>
        <v>0</v>
      </c>
      <c r="AF35" s="32">
        <f>W35</f>
        <v>0</v>
      </c>
      <c r="AG35" s="43"/>
      <c r="AH35" s="75" t="e">
        <f>SUM(AF35/AB35)-1</f>
        <v>#DIV/0!</v>
      </c>
    </row>
    <row r="36" spans="1:34" ht="12.75" customHeight="1">
      <c r="B36" s="13" t="s">
        <v>62</v>
      </c>
      <c r="C36" s="144" t="e">
        <f t="shared" ref="C36:G36" si="82">C32/C35</f>
        <v>#DIV/0!</v>
      </c>
      <c r="D36" s="144" t="e">
        <f t="shared" si="82"/>
        <v>#DIV/0!</v>
      </c>
      <c r="E36" s="144" t="e">
        <f t="shared" si="82"/>
        <v>#DIV/0!</v>
      </c>
      <c r="F36" s="144" t="e">
        <f t="shared" si="82"/>
        <v>#DIV/0!</v>
      </c>
      <c r="G36" s="144" t="e">
        <f t="shared" si="82"/>
        <v>#DIV/0!</v>
      </c>
      <c r="H36" s="27"/>
      <c r="I36" s="144" t="e">
        <f t="shared" ref="I36" si="83">I32/I35</f>
        <v>#DIV/0!</v>
      </c>
      <c r="J36" s="144" t="e">
        <f t="shared" ref="J36:K36" si="84">J32/J35</f>
        <v>#DIV/0!</v>
      </c>
      <c r="K36" s="144" t="e">
        <f t="shared" si="84"/>
        <v>#DIV/0!</v>
      </c>
      <c r="L36" s="144" t="e">
        <f t="shared" ref="L36:W36" si="85">L32/L35</f>
        <v>#DIV/0!</v>
      </c>
      <c r="M36" s="144" t="e">
        <f t="shared" si="85"/>
        <v>#DIV/0!</v>
      </c>
      <c r="N36" s="144" t="e">
        <f t="shared" si="85"/>
        <v>#DIV/0!</v>
      </c>
      <c r="O36" s="144" t="e">
        <f t="shared" si="85"/>
        <v>#DIV/0!</v>
      </c>
      <c r="P36" s="144" t="e">
        <f t="shared" si="85"/>
        <v>#DIV/0!</v>
      </c>
      <c r="Q36" s="144" t="e">
        <f t="shared" si="85"/>
        <v>#DIV/0!</v>
      </c>
      <c r="R36" s="144" t="e">
        <f t="shared" si="85"/>
        <v>#DIV/0!</v>
      </c>
      <c r="S36" s="144" t="e">
        <f t="shared" si="85"/>
        <v>#DIV/0!</v>
      </c>
      <c r="T36" s="144" t="e">
        <f t="shared" si="85"/>
        <v>#DIV/0!</v>
      </c>
      <c r="U36" s="144" t="e">
        <f t="shared" si="85"/>
        <v>#DIV/0!</v>
      </c>
      <c r="V36" s="144" t="e">
        <f t="shared" si="85"/>
        <v>#DIV/0!</v>
      </c>
      <c r="W36" s="144" t="e">
        <f t="shared" si="85"/>
        <v>#DIV/0!</v>
      </c>
      <c r="X36" s="132"/>
      <c r="Y36" s="144" t="e">
        <f t="shared" ref="Y36:AF36" si="86">Y32/Y35</f>
        <v>#DIV/0!</v>
      </c>
      <c r="Z36" s="144" t="e">
        <f t="shared" si="86"/>
        <v>#DIV/0!</v>
      </c>
      <c r="AA36" s="144" t="e">
        <f t="shared" si="86"/>
        <v>#DIV/0!</v>
      </c>
      <c r="AB36" s="144" t="e">
        <f t="shared" si="86"/>
        <v>#DIV/0!</v>
      </c>
      <c r="AC36" s="144" t="e">
        <f t="shared" si="86"/>
        <v>#DIV/0!</v>
      </c>
      <c r="AD36" s="144" t="e">
        <f t="shared" si="86"/>
        <v>#DIV/0!</v>
      </c>
      <c r="AE36" s="144" t="e">
        <f t="shared" si="86"/>
        <v>#DIV/0!</v>
      </c>
      <c r="AF36" s="144" t="e">
        <f t="shared" si="86"/>
        <v>#DIV/0!</v>
      </c>
      <c r="AG36" s="43"/>
      <c r="AH36" s="76" t="e">
        <f>SUM(AF36/AB36)-1</f>
        <v>#DIV/0!</v>
      </c>
    </row>
    <row r="37" spans="1:34" ht="12.75" customHeight="1">
      <c r="B37" s="25"/>
      <c r="C37" s="48"/>
      <c r="D37" s="48"/>
      <c r="E37" s="48"/>
      <c r="F37" s="48"/>
      <c r="G37" s="48"/>
      <c r="H37" s="143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132"/>
      <c r="Y37" s="132"/>
      <c r="Z37" s="132"/>
      <c r="AA37" s="132"/>
      <c r="AB37" s="48"/>
      <c r="AC37" s="132"/>
      <c r="AD37" s="132"/>
      <c r="AE37" s="132"/>
      <c r="AF37" s="132"/>
      <c r="AG37" s="43"/>
      <c r="AH37" s="75"/>
    </row>
    <row r="38" spans="1:34" ht="12.75" customHeight="1">
      <c r="B38" s="44" t="s">
        <v>63</v>
      </c>
      <c r="C38" s="82"/>
      <c r="D38" s="82"/>
      <c r="E38" s="82"/>
      <c r="F38" s="82"/>
      <c r="G38" s="82"/>
      <c r="H38" s="143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132"/>
      <c r="Y38" s="32">
        <f>P38</f>
        <v>0</v>
      </c>
      <c r="Z38" s="32">
        <f>Q38</f>
        <v>0</v>
      </c>
      <c r="AA38" s="32">
        <f>R38</f>
        <v>0</v>
      </c>
      <c r="AB38" s="32">
        <f>S38</f>
        <v>0</v>
      </c>
      <c r="AC38" s="32">
        <f>T38</f>
        <v>0</v>
      </c>
      <c r="AD38" s="32">
        <f>U38</f>
        <v>0</v>
      </c>
      <c r="AE38" s="32">
        <f>V38</f>
        <v>0</v>
      </c>
      <c r="AF38" s="32">
        <f>W38</f>
        <v>0</v>
      </c>
      <c r="AG38" s="43"/>
      <c r="AH38" s="75" t="e">
        <f>SUM(AF38/AB38)-1</f>
        <v>#DIV/0!</v>
      </c>
    </row>
    <row r="39" spans="1:34" ht="12.75" customHeight="1">
      <c r="B39" s="13" t="s">
        <v>83</v>
      </c>
      <c r="C39" s="144" t="e">
        <f t="shared" ref="C39:G39" si="87">C32/C38</f>
        <v>#DIV/0!</v>
      </c>
      <c r="D39" s="144" t="e">
        <f t="shared" si="87"/>
        <v>#DIV/0!</v>
      </c>
      <c r="E39" s="144" t="e">
        <f t="shared" si="87"/>
        <v>#DIV/0!</v>
      </c>
      <c r="F39" s="144" t="e">
        <f t="shared" si="87"/>
        <v>#DIV/0!</v>
      </c>
      <c r="G39" s="144" t="e">
        <f t="shared" si="87"/>
        <v>#DIV/0!</v>
      </c>
      <c r="H39" s="27"/>
      <c r="I39" s="144" t="e">
        <f t="shared" ref="I39" si="88">I32/I38</f>
        <v>#DIV/0!</v>
      </c>
      <c r="J39" s="144" t="e">
        <f t="shared" ref="J39:K39" si="89">J32/J38</f>
        <v>#DIV/0!</v>
      </c>
      <c r="K39" s="144" t="e">
        <f t="shared" si="89"/>
        <v>#DIV/0!</v>
      </c>
      <c r="L39" s="144" t="e">
        <f t="shared" ref="L39:W39" si="90">L32/L38</f>
        <v>#DIV/0!</v>
      </c>
      <c r="M39" s="144" t="e">
        <f t="shared" si="90"/>
        <v>#DIV/0!</v>
      </c>
      <c r="N39" s="144" t="e">
        <f t="shared" si="90"/>
        <v>#DIV/0!</v>
      </c>
      <c r="O39" s="144" t="e">
        <f t="shared" si="90"/>
        <v>#DIV/0!</v>
      </c>
      <c r="P39" s="144" t="e">
        <f t="shared" si="90"/>
        <v>#DIV/0!</v>
      </c>
      <c r="Q39" s="144" t="e">
        <f t="shared" si="90"/>
        <v>#DIV/0!</v>
      </c>
      <c r="R39" s="144" t="e">
        <f t="shared" si="90"/>
        <v>#DIV/0!</v>
      </c>
      <c r="S39" s="144" t="e">
        <f t="shared" si="90"/>
        <v>#DIV/0!</v>
      </c>
      <c r="T39" s="144" t="e">
        <f t="shared" si="90"/>
        <v>#DIV/0!</v>
      </c>
      <c r="U39" s="144" t="e">
        <f t="shared" si="90"/>
        <v>#DIV/0!</v>
      </c>
      <c r="V39" s="144" t="e">
        <f t="shared" si="90"/>
        <v>#DIV/0!</v>
      </c>
      <c r="W39" s="144" t="e">
        <f t="shared" si="90"/>
        <v>#DIV/0!</v>
      </c>
      <c r="X39" s="132"/>
      <c r="Y39" s="144" t="e">
        <f t="shared" ref="Y39:AF39" si="91">Y32/Y38</f>
        <v>#DIV/0!</v>
      </c>
      <c r="Z39" s="144" t="e">
        <f t="shared" si="91"/>
        <v>#DIV/0!</v>
      </c>
      <c r="AA39" s="144" t="e">
        <f t="shared" si="91"/>
        <v>#DIV/0!</v>
      </c>
      <c r="AB39" s="144" t="e">
        <f t="shared" si="91"/>
        <v>#DIV/0!</v>
      </c>
      <c r="AC39" s="144" t="e">
        <f t="shared" si="91"/>
        <v>#DIV/0!</v>
      </c>
      <c r="AD39" s="144" t="e">
        <f t="shared" si="91"/>
        <v>#DIV/0!</v>
      </c>
      <c r="AE39" s="144" t="e">
        <f t="shared" si="91"/>
        <v>#DIV/0!</v>
      </c>
      <c r="AF39" s="144" t="e">
        <f t="shared" si="91"/>
        <v>#DIV/0!</v>
      </c>
      <c r="AG39" s="43"/>
      <c r="AH39" s="76" t="e">
        <f>SUM(AF39/AB39)-1</f>
        <v>#DIV/0!</v>
      </c>
    </row>
    <row r="40" spans="1:34">
      <c r="B40" s="16"/>
      <c r="C40" s="17"/>
      <c r="D40" s="17"/>
      <c r="E40" s="17"/>
      <c r="F40" s="17"/>
      <c r="G40" s="17"/>
      <c r="H40" s="2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28"/>
      <c r="Y40" s="17"/>
      <c r="Z40" s="17"/>
      <c r="AA40" s="17"/>
      <c r="AB40" s="17"/>
      <c r="AC40" s="17"/>
      <c r="AD40" s="17"/>
      <c r="AE40" s="17"/>
      <c r="AF40" s="17"/>
      <c r="AG40" s="43"/>
    </row>
    <row r="41" spans="1:34" ht="12.75" customHeight="1">
      <c r="A41" s="5" t="s">
        <v>16</v>
      </c>
      <c r="B41" s="106" t="s">
        <v>73</v>
      </c>
      <c r="C41" s="107"/>
      <c r="D41" s="107"/>
      <c r="E41" s="107"/>
      <c r="F41" s="107"/>
      <c r="G41" s="107"/>
      <c r="H41" s="108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6"/>
      <c r="Y41" s="107"/>
      <c r="Z41" s="107"/>
      <c r="AA41" s="107" t="s">
        <v>10</v>
      </c>
      <c r="AB41" s="107"/>
      <c r="AC41" s="107"/>
      <c r="AD41" s="107"/>
      <c r="AE41" s="107"/>
      <c r="AF41" s="107"/>
      <c r="AG41" s="108"/>
      <c r="AH41" s="163" t="s">
        <v>22</v>
      </c>
    </row>
    <row r="42" spans="1:34" ht="12.75" customHeight="1">
      <c r="B42" s="110" t="str">
        <f>B7</f>
        <v>Fiscal Period</v>
      </c>
      <c r="C42" s="109">
        <f>C7</f>
        <v>2020</v>
      </c>
      <c r="D42" s="109">
        <f>D7</f>
        <v>2021</v>
      </c>
      <c r="E42" s="109">
        <f>E7</f>
        <v>2022</v>
      </c>
      <c r="F42" s="109">
        <f>F7</f>
        <v>2023</v>
      </c>
      <c r="G42" s="109">
        <f>G7</f>
        <v>2024</v>
      </c>
      <c r="H42" s="108"/>
      <c r="I42" s="109" t="str">
        <f>I7</f>
        <v>1Q22</v>
      </c>
      <c r="J42" s="109" t="str">
        <f>J7</f>
        <v>2Q22</v>
      </c>
      <c r="K42" s="109" t="str">
        <f>K7</f>
        <v>3Q22</v>
      </c>
      <c r="L42" s="109" t="str">
        <f>L7</f>
        <v>4Q22</v>
      </c>
      <c r="M42" s="109" t="str">
        <f>M7</f>
        <v>1Q23</v>
      </c>
      <c r="N42" s="109" t="str">
        <f>N7</f>
        <v>2Q23</v>
      </c>
      <c r="O42" s="109" t="str">
        <f>O7</f>
        <v>3Q23</v>
      </c>
      <c r="P42" s="109" t="str">
        <f>P7</f>
        <v>4Q23</v>
      </c>
      <c r="Q42" s="109" t="str">
        <f>Q7</f>
        <v>1Q24</v>
      </c>
      <c r="R42" s="109" t="str">
        <f>R7</f>
        <v>2Q24</v>
      </c>
      <c r="S42" s="109" t="str">
        <f>S7</f>
        <v>3Q24</v>
      </c>
      <c r="T42" s="109" t="str">
        <f>T7</f>
        <v>4Q24</v>
      </c>
      <c r="U42" s="109" t="str">
        <f>U7</f>
        <v>1Q25</v>
      </c>
      <c r="V42" s="109" t="str">
        <f>V7</f>
        <v>2Q25</v>
      </c>
      <c r="W42" s="109" t="str">
        <f>W7</f>
        <v>3Q25</v>
      </c>
      <c r="X42" s="111"/>
      <c r="Y42" s="109" t="str">
        <f>Y7</f>
        <v>4Q23</v>
      </c>
      <c r="Z42" s="109" t="str">
        <f>Z7</f>
        <v>1Q24</v>
      </c>
      <c r="AA42" s="109" t="str">
        <f>AA7</f>
        <v>2Q24</v>
      </c>
      <c r="AB42" s="109" t="str">
        <f>AB7</f>
        <v>3Q24</v>
      </c>
      <c r="AC42" s="109" t="str">
        <f>AC7</f>
        <v>4Q24</v>
      </c>
      <c r="AD42" s="109" t="str">
        <f>AD7</f>
        <v>1Q25</v>
      </c>
      <c r="AE42" s="109" t="str">
        <f>AE7</f>
        <v>2Q25</v>
      </c>
      <c r="AF42" s="109" t="str">
        <f>AF7</f>
        <v>3Q25</v>
      </c>
      <c r="AG42" s="108"/>
      <c r="AH42" s="163"/>
    </row>
    <row r="43" spans="1:34" ht="12.75" customHeight="1">
      <c r="B43" s="110" t="str">
        <f>B8</f>
        <v>Fiscal Period End Date</v>
      </c>
      <c r="C43" s="112">
        <f>C8</f>
        <v>0</v>
      </c>
      <c r="D43" s="112">
        <f>D8</f>
        <v>0</v>
      </c>
      <c r="E43" s="112">
        <f>E8</f>
        <v>0</v>
      </c>
      <c r="F43" s="112">
        <f>F8</f>
        <v>0</v>
      </c>
      <c r="G43" s="112">
        <f>G8</f>
        <v>0</v>
      </c>
      <c r="H43" s="108"/>
      <c r="I43" s="112">
        <f>I8</f>
        <v>0</v>
      </c>
      <c r="J43" s="112">
        <f>J8</f>
        <v>0</v>
      </c>
      <c r="K43" s="112">
        <f>K8</f>
        <v>0</v>
      </c>
      <c r="L43" s="112">
        <f>L8</f>
        <v>0</v>
      </c>
      <c r="M43" s="112">
        <f>M8</f>
        <v>0</v>
      </c>
      <c r="N43" s="112">
        <f>N8</f>
        <v>0</v>
      </c>
      <c r="O43" s="112">
        <f>O8</f>
        <v>0</v>
      </c>
      <c r="P43" s="112">
        <f>P8</f>
        <v>0</v>
      </c>
      <c r="Q43" s="112">
        <f>Q8</f>
        <v>0</v>
      </c>
      <c r="R43" s="112">
        <f>R8</f>
        <v>0</v>
      </c>
      <c r="S43" s="112">
        <f>S8</f>
        <v>0</v>
      </c>
      <c r="T43" s="112">
        <f>T8</f>
        <v>0</v>
      </c>
      <c r="U43" s="112">
        <f>U8</f>
        <v>0</v>
      </c>
      <c r="V43" s="112">
        <f>V8</f>
        <v>0</v>
      </c>
      <c r="W43" s="112">
        <f>W8</f>
        <v>0</v>
      </c>
      <c r="X43" s="113"/>
      <c r="Y43" s="112">
        <f>Y8</f>
        <v>0</v>
      </c>
      <c r="Z43" s="112">
        <f>Z8</f>
        <v>0</v>
      </c>
      <c r="AA43" s="112">
        <f>AA8</f>
        <v>0</v>
      </c>
      <c r="AB43" s="112">
        <f>AB8</f>
        <v>0</v>
      </c>
      <c r="AC43" s="112">
        <f>AC8</f>
        <v>0</v>
      </c>
      <c r="AD43" s="112">
        <f>AD8</f>
        <v>0</v>
      </c>
      <c r="AE43" s="112">
        <f>AE8</f>
        <v>0</v>
      </c>
      <c r="AF43" s="112">
        <f>AF8</f>
        <v>0</v>
      </c>
      <c r="AG43" s="108"/>
      <c r="AH43" s="163"/>
    </row>
    <row r="44" spans="1:34" ht="5.0999999999999996" customHeight="1">
      <c r="B44" s="46"/>
      <c r="C44" s="47"/>
      <c r="D44" s="47"/>
      <c r="E44" s="47"/>
      <c r="F44" s="47"/>
      <c r="G44" s="47"/>
    </row>
    <row r="45" spans="1:34">
      <c r="B45" s="78" t="s">
        <v>78</v>
      </c>
      <c r="C45" s="47"/>
      <c r="D45" s="47"/>
      <c r="E45" s="47"/>
      <c r="F45" s="47"/>
      <c r="G45" s="47"/>
    </row>
    <row r="46" spans="1:34" s="122" customFormat="1" ht="12.75" customHeight="1">
      <c r="B46" s="114" t="s">
        <v>188</v>
      </c>
      <c r="C46" s="123">
        <v>42122</v>
      </c>
      <c r="D46" s="123">
        <v>36220</v>
      </c>
      <c r="E46" s="123">
        <v>53888</v>
      </c>
      <c r="F46" s="123">
        <v>73387</v>
      </c>
      <c r="G46" s="123">
        <v>78779</v>
      </c>
      <c r="I46" s="82">
        <v>36393</v>
      </c>
      <c r="J46" s="82">
        <v>37478</v>
      </c>
      <c r="K46" s="82">
        <v>34947</v>
      </c>
      <c r="L46" s="32">
        <f t="shared" ref="L46:L49" si="92">E46</f>
        <v>53888</v>
      </c>
      <c r="M46" s="82">
        <v>49343</v>
      </c>
      <c r="N46" s="82">
        <v>49529</v>
      </c>
      <c r="O46" s="82">
        <v>49605</v>
      </c>
      <c r="P46" s="32">
        <f t="shared" ref="P46:P49" si="93">F46</f>
        <v>73387</v>
      </c>
      <c r="Q46" s="82">
        <v>72852</v>
      </c>
      <c r="R46" s="82">
        <v>71178</v>
      </c>
      <c r="S46" s="82">
        <v>75091</v>
      </c>
      <c r="T46" s="32">
        <f t="shared" ref="T46:T49" si="94">G46</f>
        <v>78779</v>
      </c>
      <c r="U46" s="82">
        <v>66207</v>
      </c>
      <c r="V46" s="82">
        <v>57741</v>
      </c>
      <c r="W46" s="82">
        <v>66922</v>
      </c>
      <c r="Y46" s="96">
        <f>P46</f>
        <v>73387</v>
      </c>
      <c r="Z46" s="96">
        <f>Q46</f>
        <v>72852</v>
      </c>
      <c r="AA46" s="96">
        <f>R46</f>
        <v>71178</v>
      </c>
      <c r="AB46" s="96">
        <f>S46</f>
        <v>75091</v>
      </c>
      <c r="AC46" s="96">
        <f>T46</f>
        <v>78779</v>
      </c>
      <c r="AD46" s="96">
        <f>U46</f>
        <v>66207</v>
      </c>
      <c r="AE46" s="96">
        <f>V46</f>
        <v>57741</v>
      </c>
      <c r="AF46" s="96">
        <f>W46</f>
        <v>66922</v>
      </c>
      <c r="AG46" s="124"/>
      <c r="AH46" s="75">
        <f>SUM(AF46/AB46)-1</f>
        <v>-0.10878800388861509</v>
      </c>
    </row>
    <row r="47" spans="1:34" s="122" customFormat="1" ht="12.75" customHeight="1">
      <c r="B47" s="114" t="s">
        <v>164</v>
      </c>
      <c r="C47" s="123">
        <v>42274</v>
      </c>
      <c r="D47" s="123">
        <v>59829</v>
      </c>
      <c r="E47" s="123">
        <v>16138</v>
      </c>
      <c r="F47" s="123">
        <v>13393</v>
      </c>
      <c r="G47" s="123">
        <v>22423</v>
      </c>
      <c r="I47" s="82">
        <v>29992</v>
      </c>
      <c r="J47" s="82">
        <v>23232</v>
      </c>
      <c r="K47" s="82">
        <v>23715</v>
      </c>
      <c r="L47" s="32">
        <f t="shared" si="92"/>
        <v>16138</v>
      </c>
      <c r="M47" s="82">
        <v>15062</v>
      </c>
      <c r="N47" s="82">
        <v>14441</v>
      </c>
      <c r="O47" s="82">
        <v>14564</v>
      </c>
      <c r="P47" s="32">
        <f t="shared" si="93"/>
        <v>13393</v>
      </c>
      <c r="Q47" s="82">
        <v>12222</v>
      </c>
      <c r="R47" s="82">
        <v>17914</v>
      </c>
      <c r="S47" s="82">
        <v>12960</v>
      </c>
      <c r="T47" s="32">
        <f t="shared" si="94"/>
        <v>22423</v>
      </c>
      <c r="U47" s="82">
        <v>28358</v>
      </c>
      <c r="V47" s="82">
        <v>35439</v>
      </c>
      <c r="W47" s="82">
        <v>27275</v>
      </c>
      <c r="Y47" s="96">
        <f>P47</f>
        <v>13393</v>
      </c>
      <c r="Z47" s="96">
        <f>Q47</f>
        <v>12222</v>
      </c>
      <c r="AA47" s="96">
        <f>R47</f>
        <v>17914</v>
      </c>
      <c r="AB47" s="96">
        <f>S47</f>
        <v>12960</v>
      </c>
      <c r="AC47" s="96">
        <f>T47</f>
        <v>22423</v>
      </c>
      <c r="AD47" s="96">
        <f>U47</f>
        <v>28358</v>
      </c>
      <c r="AE47" s="96">
        <f>V47</f>
        <v>35439</v>
      </c>
      <c r="AF47" s="96">
        <f>W47</f>
        <v>27275</v>
      </c>
      <c r="AG47" s="124"/>
      <c r="AH47" s="75">
        <f t="shared" ref="AH47:AH48" si="95">SUM(AF47/AB47)-1</f>
        <v>1.1045524691358026</v>
      </c>
    </row>
    <row r="48" spans="1:34" s="122" customFormat="1" ht="12.75" customHeight="1">
      <c r="B48" s="114" t="s">
        <v>106</v>
      </c>
      <c r="C48" s="123">
        <v>23795</v>
      </c>
      <c r="D48" s="123">
        <v>32640</v>
      </c>
      <c r="E48" s="123">
        <v>34405</v>
      </c>
      <c r="F48" s="123">
        <v>33318</v>
      </c>
      <c r="G48" s="123">
        <v>34214</v>
      </c>
      <c r="I48" s="82">
        <v>34987</v>
      </c>
      <c r="J48" s="82">
        <v>38153</v>
      </c>
      <c r="K48" s="82">
        <v>36647</v>
      </c>
      <c r="L48" s="32">
        <f t="shared" si="92"/>
        <v>34405</v>
      </c>
      <c r="M48" s="82">
        <v>34170</v>
      </c>
      <c r="N48" s="82">
        <v>36587</v>
      </c>
      <c r="O48" s="82">
        <v>35406</v>
      </c>
      <c r="P48" s="32">
        <f t="shared" si="93"/>
        <v>33318</v>
      </c>
      <c r="Q48" s="82">
        <v>31147</v>
      </c>
      <c r="R48" s="82">
        <v>34109</v>
      </c>
      <c r="S48" s="82">
        <v>36103</v>
      </c>
      <c r="T48" s="32">
        <f t="shared" si="94"/>
        <v>34214</v>
      </c>
      <c r="U48" s="82">
        <v>35864</v>
      </c>
      <c r="V48" s="82">
        <v>40825</v>
      </c>
      <c r="W48" s="82">
        <v>41494</v>
      </c>
      <c r="Y48" s="96">
        <f>P48</f>
        <v>33318</v>
      </c>
      <c r="Z48" s="96">
        <f>Q48</f>
        <v>31147</v>
      </c>
      <c r="AA48" s="96">
        <f>R48</f>
        <v>34109</v>
      </c>
      <c r="AB48" s="96">
        <f>S48</f>
        <v>36103</v>
      </c>
      <c r="AC48" s="96">
        <f>T48</f>
        <v>34214</v>
      </c>
      <c r="AD48" s="96">
        <f>U48</f>
        <v>35864</v>
      </c>
      <c r="AE48" s="96">
        <f>V48</f>
        <v>40825</v>
      </c>
      <c r="AF48" s="96">
        <f>W48</f>
        <v>41494</v>
      </c>
      <c r="AG48" s="124"/>
      <c r="AH48" s="75">
        <f t="shared" si="95"/>
        <v>0.14932277096086199</v>
      </c>
    </row>
    <row r="49" spans="2:34" s="122" customFormat="1" ht="12.75" customHeight="1">
      <c r="B49" s="114" t="s">
        <v>189</v>
      </c>
      <c r="C49" s="123">
        <v>24542</v>
      </c>
      <c r="D49" s="123">
        <v>32891</v>
      </c>
      <c r="E49" s="123">
        <v>42360</v>
      </c>
      <c r="F49" s="123">
        <v>52253</v>
      </c>
      <c r="G49" s="123">
        <v>55451</v>
      </c>
      <c r="I49" s="82">
        <v>32504</v>
      </c>
      <c r="J49" s="82">
        <v>34804</v>
      </c>
      <c r="K49" s="82">
        <v>36154</v>
      </c>
      <c r="L49" s="32">
        <f t="shared" si="92"/>
        <v>42360</v>
      </c>
      <c r="M49" s="82">
        <v>37646</v>
      </c>
      <c r="N49" s="82">
        <v>39925</v>
      </c>
      <c r="O49" s="82">
        <v>43420</v>
      </c>
      <c r="P49" s="32">
        <f t="shared" si="93"/>
        <v>52253</v>
      </c>
      <c r="Q49" s="82">
        <v>47768</v>
      </c>
      <c r="R49" s="82">
        <v>50106</v>
      </c>
      <c r="S49" s="82">
        <v>51638</v>
      </c>
      <c r="T49" s="32">
        <f t="shared" si="94"/>
        <v>55451</v>
      </c>
      <c r="U49" s="82">
        <v>54216</v>
      </c>
      <c r="V49" s="82">
        <v>57415</v>
      </c>
      <c r="W49" s="82">
        <v>61175</v>
      </c>
      <c r="Y49" s="96">
        <f>P49</f>
        <v>52253</v>
      </c>
      <c r="Z49" s="96">
        <f>Q49</f>
        <v>47768</v>
      </c>
      <c r="AA49" s="96">
        <f>R49</f>
        <v>50106</v>
      </c>
      <c r="AB49" s="96">
        <f>S49</f>
        <v>51638</v>
      </c>
      <c r="AC49" s="96">
        <f>T49</f>
        <v>55451</v>
      </c>
      <c r="AD49" s="96">
        <f>U49</f>
        <v>54216</v>
      </c>
      <c r="AE49" s="96">
        <f>V49</f>
        <v>57415</v>
      </c>
      <c r="AF49" s="96">
        <f>W49</f>
        <v>61175</v>
      </c>
      <c r="AG49" s="124"/>
      <c r="AH49" s="75">
        <f t="shared" ref="AH49" si="96">SUM(AF49/AB49)-1</f>
        <v>0.184689569696735</v>
      </c>
    </row>
    <row r="50" spans="2:34" ht="12.75" customHeight="1">
      <c r="B50" s="25" t="s">
        <v>18</v>
      </c>
      <c r="C50" s="26">
        <f>SUM(C46:C49)</f>
        <v>132733</v>
      </c>
      <c r="D50" s="26">
        <f>SUM(D46:D49)</f>
        <v>161580</v>
      </c>
      <c r="E50" s="26">
        <f>SUM(E46:E49)</f>
        <v>146791</v>
      </c>
      <c r="F50" s="26">
        <f>SUM(F46:F49)</f>
        <v>172351</v>
      </c>
      <c r="G50" s="26">
        <f>SUM(G46:G49)</f>
        <v>190867</v>
      </c>
      <c r="H50" s="48"/>
      <c r="I50" s="26">
        <f>SUM(I46:I49)</f>
        <v>133876</v>
      </c>
      <c r="J50" s="26">
        <f>SUM(J46:J49)</f>
        <v>133667</v>
      </c>
      <c r="K50" s="26">
        <f>SUM(K46:K49)</f>
        <v>131463</v>
      </c>
      <c r="L50" s="26">
        <f>SUM(L46:L49)</f>
        <v>146791</v>
      </c>
      <c r="M50" s="26">
        <f>SUM(M46:M49)</f>
        <v>136221</v>
      </c>
      <c r="N50" s="26">
        <f>SUM(N46:N49)</f>
        <v>140482</v>
      </c>
      <c r="O50" s="26">
        <f>SUM(O46:O49)</f>
        <v>142995</v>
      </c>
      <c r="P50" s="26">
        <f>SUM(P46:P49)</f>
        <v>172351</v>
      </c>
      <c r="Q50" s="26">
        <f>SUM(Q46:Q49)</f>
        <v>163989</v>
      </c>
      <c r="R50" s="26">
        <f>SUM(R46:R49)</f>
        <v>173307</v>
      </c>
      <c r="S50" s="26">
        <f>SUM(S46:S49)</f>
        <v>175792</v>
      </c>
      <c r="T50" s="26">
        <f>SUM(T46:T49)</f>
        <v>190867</v>
      </c>
      <c r="U50" s="26">
        <f>SUM(U46:U49)</f>
        <v>184645</v>
      </c>
      <c r="V50" s="26">
        <f>SUM(V46:V49)</f>
        <v>191420</v>
      </c>
      <c r="W50" s="26">
        <f>SUM(W46:W49)</f>
        <v>196866</v>
      </c>
      <c r="X50" s="48"/>
      <c r="Y50" s="26">
        <f>SUM(Y46:Y49)</f>
        <v>172351</v>
      </c>
      <c r="Z50" s="26">
        <f>SUM(Z46:Z49)</f>
        <v>163989</v>
      </c>
      <c r="AA50" s="26">
        <f>SUM(AA46:AA49)</f>
        <v>173307</v>
      </c>
      <c r="AB50" s="26">
        <f>SUM(AB46:AB49)</f>
        <v>175792</v>
      </c>
      <c r="AC50" s="26">
        <f>SUM(AC46:AC49)</f>
        <v>190867</v>
      </c>
      <c r="AD50" s="26">
        <f>SUM(AD46:AD49)</f>
        <v>184645</v>
      </c>
      <c r="AE50" s="26">
        <f>SUM(AE46:AE49)</f>
        <v>191420</v>
      </c>
      <c r="AF50" s="26">
        <f>SUM(AF46:AF49)</f>
        <v>196866</v>
      </c>
      <c r="AG50" s="42"/>
      <c r="AH50" s="76">
        <f>SUM(AF50/AB50)-1</f>
        <v>0.11988031309729674</v>
      </c>
    </row>
    <row r="51" spans="2:34" ht="5.0999999999999996" customHeight="1">
      <c r="B51" s="25"/>
      <c r="C51" s="49"/>
      <c r="D51" s="49"/>
      <c r="E51" s="49"/>
      <c r="F51" s="41"/>
      <c r="G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Y51" s="42"/>
      <c r="Z51" s="42"/>
      <c r="AA51" s="42"/>
      <c r="AB51" s="42"/>
      <c r="AC51" s="42"/>
      <c r="AD51" s="42"/>
      <c r="AE51" s="42"/>
      <c r="AF51" s="42"/>
      <c r="AG51" s="42"/>
      <c r="AH51" s="39"/>
    </row>
    <row r="52" spans="2:34" ht="12.75" customHeight="1">
      <c r="B52" s="78" t="s">
        <v>79</v>
      </c>
      <c r="C52" s="82"/>
      <c r="D52" s="82"/>
      <c r="E52" s="82"/>
      <c r="F52" s="82"/>
      <c r="G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32"/>
      <c r="V52" s="82"/>
      <c r="W52" s="82"/>
      <c r="Y52" s="32"/>
      <c r="Z52" s="32"/>
      <c r="AA52" s="32"/>
      <c r="AB52" s="32"/>
      <c r="AC52" s="32"/>
      <c r="AD52" s="32"/>
      <c r="AE52" s="32"/>
      <c r="AF52" s="32"/>
      <c r="AG52" s="11"/>
      <c r="AH52" s="75"/>
    </row>
    <row r="53" spans="2:34" ht="12.75" customHeight="1">
      <c r="B53" s="9" t="s">
        <v>152</v>
      </c>
      <c r="C53" s="82">
        <v>113114</v>
      </c>
      <c r="D53" s="82">
        <v>160281</v>
      </c>
      <c r="E53" s="82">
        <v>186715</v>
      </c>
      <c r="F53" s="82">
        <v>204177</v>
      </c>
      <c r="G53" s="82">
        <v>252665</v>
      </c>
      <c r="I53" s="82">
        <v>168468</v>
      </c>
      <c r="J53" s="82">
        <v>173706</v>
      </c>
      <c r="K53" s="82">
        <v>177195</v>
      </c>
      <c r="L53" s="32">
        <f t="shared" ref="L53:L56" si="97">E53</f>
        <v>186715</v>
      </c>
      <c r="M53" s="82">
        <v>190754</v>
      </c>
      <c r="N53" s="82">
        <v>193784</v>
      </c>
      <c r="O53" s="82">
        <v>196468</v>
      </c>
      <c r="P53" s="32">
        <f t="shared" ref="P53:P56" si="98">F53</f>
        <v>204177</v>
      </c>
      <c r="Q53" s="82">
        <v>209950</v>
      </c>
      <c r="R53" s="82">
        <v>220717</v>
      </c>
      <c r="S53" s="82">
        <v>237917</v>
      </c>
      <c r="T53" s="32">
        <f t="shared" ref="T53:T56" si="99">G53</f>
        <v>252665</v>
      </c>
      <c r="U53" s="82">
        <v>272781</v>
      </c>
      <c r="V53" s="82">
        <v>297616</v>
      </c>
      <c r="W53" s="82">
        <v>325435</v>
      </c>
      <c r="Y53" s="32">
        <f>P53</f>
        <v>204177</v>
      </c>
      <c r="Z53" s="32">
        <f>Q53</f>
        <v>209950</v>
      </c>
      <c r="AA53" s="32">
        <f>R53</f>
        <v>220717</v>
      </c>
      <c r="AB53" s="32">
        <f>S53</f>
        <v>237917</v>
      </c>
      <c r="AC53" s="32">
        <f>T53</f>
        <v>252665</v>
      </c>
      <c r="AD53" s="32">
        <f>U53</f>
        <v>272781</v>
      </c>
      <c r="AE53" s="32">
        <f>V53</f>
        <v>297616</v>
      </c>
      <c r="AF53" s="32">
        <f>W53</f>
        <v>325435</v>
      </c>
      <c r="AG53" s="11"/>
      <c r="AH53" s="75">
        <f t="shared" ref="AH53:AH57" si="100">SUM(AF53/AB53)-1</f>
        <v>0.36785097323856641</v>
      </c>
    </row>
    <row r="54" spans="2:34" ht="12.75" customHeight="1">
      <c r="B54" s="9" t="s">
        <v>190</v>
      </c>
      <c r="C54" s="82">
        <v>37553</v>
      </c>
      <c r="D54" s="82">
        <v>56082</v>
      </c>
      <c r="E54" s="82">
        <v>66123</v>
      </c>
      <c r="F54" s="82">
        <v>72513</v>
      </c>
      <c r="G54" s="82">
        <v>76141</v>
      </c>
      <c r="I54" s="82">
        <v>56161</v>
      </c>
      <c r="J54" s="82">
        <v>58430</v>
      </c>
      <c r="K54" s="82">
        <v>62033</v>
      </c>
      <c r="L54" s="32">
        <f t="shared" si="97"/>
        <v>66123</v>
      </c>
      <c r="M54" s="82">
        <v>68262</v>
      </c>
      <c r="N54" s="82">
        <v>70332</v>
      </c>
      <c r="O54" s="82">
        <v>70758</v>
      </c>
      <c r="P54" s="32">
        <f t="shared" si="98"/>
        <v>72513</v>
      </c>
      <c r="Q54" s="82">
        <v>73313</v>
      </c>
      <c r="R54" s="82">
        <v>74575</v>
      </c>
      <c r="S54" s="82">
        <v>76527</v>
      </c>
      <c r="T54" s="32">
        <f t="shared" si="99"/>
        <v>76141</v>
      </c>
      <c r="U54" s="82">
        <v>78495</v>
      </c>
      <c r="V54" s="82">
        <v>82125</v>
      </c>
      <c r="W54" s="82">
        <v>83456</v>
      </c>
      <c r="Y54" s="32">
        <f>P54</f>
        <v>72513</v>
      </c>
      <c r="Z54" s="32">
        <f>Q54</f>
        <v>73313</v>
      </c>
      <c r="AA54" s="32">
        <f>R54</f>
        <v>74575</v>
      </c>
      <c r="AB54" s="32">
        <f>S54</f>
        <v>76527</v>
      </c>
      <c r="AC54" s="32">
        <f>T54</f>
        <v>76141</v>
      </c>
      <c r="AD54" s="32">
        <f>U54</f>
        <v>78495</v>
      </c>
      <c r="AE54" s="32">
        <f>V54</f>
        <v>82125</v>
      </c>
      <c r="AF54" s="32">
        <f>W54</f>
        <v>83456</v>
      </c>
      <c r="AG54" s="11"/>
      <c r="AH54" s="75">
        <f t="shared" si="100"/>
        <v>9.054320697270235E-2</v>
      </c>
    </row>
    <row r="55" spans="2:34" ht="12.75" customHeight="1">
      <c r="B55" s="9" t="s">
        <v>107</v>
      </c>
      <c r="C55" s="82">
        <v>15017</v>
      </c>
      <c r="D55" s="82">
        <v>15371</v>
      </c>
      <c r="E55" s="82">
        <v>20288</v>
      </c>
      <c r="F55" s="82">
        <v>22789</v>
      </c>
      <c r="G55" s="82">
        <v>23074</v>
      </c>
      <c r="I55" s="82">
        <v>20229</v>
      </c>
      <c r="J55" s="82">
        <v>20195</v>
      </c>
      <c r="K55" s="82">
        <v>20168</v>
      </c>
      <c r="L55" s="32">
        <f t="shared" si="97"/>
        <v>20288</v>
      </c>
      <c r="M55" s="82">
        <v>22749</v>
      </c>
      <c r="N55" s="82">
        <v>22785</v>
      </c>
      <c r="O55" s="82">
        <v>22749</v>
      </c>
      <c r="P55" s="32">
        <f t="shared" si="98"/>
        <v>22789</v>
      </c>
      <c r="Q55" s="82">
        <v>22770</v>
      </c>
      <c r="R55" s="82">
        <v>22879</v>
      </c>
      <c r="S55" s="82">
        <v>23081</v>
      </c>
      <c r="T55" s="32">
        <f t="shared" si="99"/>
        <v>23074</v>
      </c>
      <c r="U55" s="82">
        <v>23089</v>
      </c>
      <c r="V55" s="82">
        <v>23155</v>
      </c>
      <c r="W55" s="82">
        <v>23260</v>
      </c>
      <c r="Y55" s="32">
        <f>P55</f>
        <v>22789</v>
      </c>
      <c r="Z55" s="32">
        <f>Q55</f>
        <v>22770</v>
      </c>
      <c r="AA55" s="32">
        <f>R55</f>
        <v>22879</v>
      </c>
      <c r="AB55" s="32">
        <f>S55</f>
        <v>23081</v>
      </c>
      <c r="AC55" s="32">
        <f>T55</f>
        <v>23074</v>
      </c>
      <c r="AD55" s="32">
        <f>U55</f>
        <v>23089</v>
      </c>
      <c r="AE55" s="32">
        <f>V55</f>
        <v>23155</v>
      </c>
      <c r="AF55" s="32">
        <f>W55</f>
        <v>23260</v>
      </c>
      <c r="AG55" s="11"/>
      <c r="AH55" s="75">
        <f t="shared" ref="AH55:AH56" si="101">SUM(AF55/AB55)-1</f>
        <v>7.7552965642735394E-3</v>
      </c>
    </row>
    <row r="56" spans="2:34" ht="12.75" customHeight="1">
      <c r="B56" s="9" t="s">
        <v>191</v>
      </c>
      <c r="C56" s="82">
        <v>22778</v>
      </c>
      <c r="D56" s="82">
        <v>27235</v>
      </c>
      <c r="E56" s="82">
        <v>42758</v>
      </c>
      <c r="F56" s="82">
        <v>56024</v>
      </c>
      <c r="G56" s="82">
        <v>82147</v>
      </c>
      <c r="I56" s="82">
        <v>32033</v>
      </c>
      <c r="J56" s="82">
        <v>33730</v>
      </c>
      <c r="K56" s="82">
        <v>37503</v>
      </c>
      <c r="L56" s="32">
        <f t="shared" si="97"/>
        <v>42758</v>
      </c>
      <c r="M56" s="82">
        <v>46392</v>
      </c>
      <c r="N56" s="82">
        <v>50224</v>
      </c>
      <c r="O56" s="82">
        <v>53913</v>
      </c>
      <c r="P56" s="32">
        <f t="shared" si="98"/>
        <v>56024</v>
      </c>
      <c r="Q56" s="82">
        <v>60947</v>
      </c>
      <c r="R56" s="82">
        <v>63340</v>
      </c>
      <c r="S56" s="82">
        <v>71309</v>
      </c>
      <c r="T56" s="32">
        <f t="shared" si="99"/>
        <v>82147</v>
      </c>
      <c r="U56" s="82">
        <v>84246</v>
      </c>
      <c r="V56" s="82">
        <v>87854</v>
      </c>
      <c r="W56" s="82">
        <v>99904</v>
      </c>
      <c r="Y56" s="32">
        <f>P56</f>
        <v>56024</v>
      </c>
      <c r="Z56" s="32">
        <f>Q56</f>
        <v>60947</v>
      </c>
      <c r="AA56" s="32">
        <f>R56</f>
        <v>63340</v>
      </c>
      <c r="AB56" s="32">
        <f>S56</f>
        <v>71309</v>
      </c>
      <c r="AC56" s="32">
        <f>T56</f>
        <v>82147</v>
      </c>
      <c r="AD56" s="32">
        <f>U56</f>
        <v>84246</v>
      </c>
      <c r="AE56" s="32">
        <f>V56</f>
        <v>87854</v>
      </c>
      <c r="AF56" s="32">
        <f>W56</f>
        <v>99904</v>
      </c>
      <c r="AG56" s="11"/>
      <c r="AH56" s="75">
        <f t="shared" si="101"/>
        <v>0.40100127613625203</v>
      </c>
    </row>
    <row r="57" spans="2:34" ht="12.75" customHeight="1">
      <c r="B57" s="13" t="s">
        <v>19</v>
      </c>
      <c r="C57" s="14">
        <f>SUM(C53:C56)+C50</f>
        <v>321195</v>
      </c>
      <c r="D57" s="14">
        <f>SUM(D53:D56)+D50</f>
        <v>420549</v>
      </c>
      <c r="E57" s="14">
        <f>SUM(E53:E56)+E50</f>
        <v>462675</v>
      </c>
      <c r="F57" s="14">
        <f>SUM(F53:F56)+F50</f>
        <v>527854</v>
      </c>
      <c r="G57" s="14">
        <f>SUM(G53:G56)+G50</f>
        <v>624894</v>
      </c>
      <c r="I57" s="14">
        <f>SUM(I53:I56)+I50</f>
        <v>410767</v>
      </c>
      <c r="J57" s="14">
        <f>SUM(J53:J56)+J50</f>
        <v>419728</v>
      </c>
      <c r="K57" s="14">
        <f>SUM(K53:K56)+K50</f>
        <v>428362</v>
      </c>
      <c r="L57" s="14">
        <f>SUM(L53:L56)+L50</f>
        <v>462675</v>
      </c>
      <c r="M57" s="14">
        <f>SUM(M53:M56)+M50</f>
        <v>464378</v>
      </c>
      <c r="N57" s="14">
        <f>SUM(N53:N56)+N50</f>
        <v>477607</v>
      </c>
      <c r="O57" s="14">
        <f>SUM(O53:O56)+O50</f>
        <v>486883</v>
      </c>
      <c r="P57" s="14">
        <f>SUM(P53:P56)+P50</f>
        <v>527854</v>
      </c>
      <c r="Q57" s="14">
        <f>SUM(Q53:Q56)+Q50</f>
        <v>530969</v>
      </c>
      <c r="R57" s="14">
        <f>SUM(R53:R56)+R50</f>
        <v>554818</v>
      </c>
      <c r="S57" s="14">
        <f>SUM(S53:S56)+S50</f>
        <v>584626</v>
      </c>
      <c r="T57" s="14">
        <f>SUM(T53:T56)+T50</f>
        <v>624894</v>
      </c>
      <c r="U57" s="14">
        <f>SUM(U53:U56)+U50</f>
        <v>643256</v>
      </c>
      <c r="V57" s="14">
        <f>SUM(V53:V56)+V50</f>
        <v>682170</v>
      </c>
      <c r="W57" s="14">
        <f>SUM(W53:W56)+W50</f>
        <v>728921</v>
      </c>
      <c r="Y57" s="14">
        <f>SUM(Y53:Y56)+Y50</f>
        <v>527854</v>
      </c>
      <c r="Z57" s="14">
        <f>SUM(Z53:Z56)+Z50</f>
        <v>530969</v>
      </c>
      <c r="AA57" s="14">
        <f>SUM(AA53:AA56)+AA50</f>
        <v>554818</v>
      </c>
      <c r="AB57" s="14">
        <f>SUM(AB53:AB56)+AB50</f>
        <v>584626</v>
      </c>
      <c r="AC57" s="14">
        <f>SUM(AC53:AC56)+AC50</f>
        <v>624894</v>
      </c>
      <c r="AD57" s="14">
        <f>SUM(AD53:AD56)+AD50</f>
        <v>643256</v>
      </c>
      <c r="AE57" s="14">
        <f>SUM(AE53:AE56)+AE50</f>
        <v>682170</v>
      </c>
      <c r="AF57" s="34">
        <f>SUM(AF53:AF56)+AF50</f>
        <v>728921</v>
      </c>
      <c r="AG57" s="42"/>
      <c r="AH57" s="76">
        <f t="shared" si="100"/>
        <v>0.24681591307947293</v>
      </c>
    </row>
    <row r="58" spans="2:34" ht="12.75" customHeight="1">
      <c r="B58" s="25"/>
      <c r="C58" s="50"/>
      <c r="D58" s="50"/>
      <c r="E58" s="50"/>
      <c r="F58" s="41"/>
      <c r="G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Y58" s="42"/>
      <c r="Z58" s="42"/>
      <c r="AA58" s="42"/>
      <c r="AB58" s="42"/>
      <c r="AC58" s="42"/>
      <c r="AD58" s="42"/>
      <c r="AE58" s="42"/>
      <c r="AF58" s="42"/>
      <c r="AG58" s="42"/>
      <c r="AH58" s="39"/>
    </row>
    <row r="59" spans="2:34" ht="12.75" customHeight="1">
      <c r="B59" s="78" t="s">
        <v>45</v>
      </c>
      <c r="C59" s="50"/>
      <c r="D59" s="50"/>
      <c r="E59" s="50"/>
      <c r="F59" s="41"/>
      <c r="G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Y59" s="42"/>
      <c r="Z59" s="42"/>
      <c r="AA59" s="42"/>
      <c r="AB59" s="42"/>
      <c r="AC59" s="42"/>
      <c r="AD59" s="42"/>
      <c r="AE59" s="42"/>
      <c r="AF59" s="42"/>
      <c r="AG59" s="42"/>
      <c r="AH59" s="39"/>
    </row>
    <row r="60" spans="2:34" ht="12.75" customHeight="1">
      <c r="B60" s="120" t="s">
        <v>192</v>
      </c>
      <c r="C60" s="121">
        <v>72539</v>
      </c>
      <c r="D60" s="121">
        <v>78664</v>
      </c>
      <c r="E60" s="121">
        <v>79600</v>
      </c>
      <c r="F60" s="121">
        <v>84981</v>
      </c>
      <c r="G60" s="121">
        <v>94363</v>
      </c>
      <c r="I60" s="82">
        <v>68547</v>
      </c>
      <c r="J60" s="82">
        <v>71219</v>
      </c>
      <c r="K60" s="82">
        <v>6760</v>
      </c>
      <c r="L60" s="32">
        <f t="shared" ref="L60:L62" si="102">E60</f>
        <v>79600</v>
      </c>
      <c r="M60" s="82">
        <v>66907</v>
      </c>
      <c r="N60" s="82">
        <v>69481</v>
      </c>
      <c r="O60" s="82">
        <v>72004</v>
      </c>
      <c r="P60" s="32">
        <f t="shared" ref="P60:P62" si="103">F60</f>
        <v>84981</v>
      </c>
      <c r="Q60" s="82">
        <v>73068</v>
      </c>
      <c r="R60" s="82">
        <v>81817</v>
      </c>
      <c r="S60" s="82">
        <v>84570</v>
      </c>
      <c r="T60" s="32">
        <f t="shared" ref="T60:T62" si="104">G60</f>
        <v>94363</v>
      </c>
      <c r="U60" s="82">
        <v>89241</v>
      </c>
      <c r="V60" s="82">
        <v>98285</v>
      </c>
      <c r="W60" s="82">
        <v>106032</v>
      </c>
      <c r="Y60" s="97">
        <f>P60</f>
        <v>84981</v>
      </c>
      <c r="Z60" s="97">
        <f>Q60</f>
        <v>73068</v>
      </c>
      <c r="AA60" s="97">
        <f>R60</f>
        <v>81817</v>
      </c>
      <c r="AB60" s="97">
        <f>S60</f>
        <v>84570</v>
      </c>
      <c r="AC60" s="97">
        <f>T60</f>
        <v>94363</v>
      </c>
      <c r="AD60" s="97">
        <f>U60</f>
        <v>89241</v>
      </c>
      <c r="AE60" s="97">
        <f>V60</f>
        <v>98285</v>
      </c>
      <c r="AF60" s="97">
        <f>W60</f>
        <v>106032</v>
      </c>
      <c r="AG60" s="11"/>
      <c r="AH60" s="75">
        <f t="shared" ref="AH60:AH63" si="105">SUM(AF60/AB60)-1</f>
        <v>0.25377793543809868</v>
      </c>
    </row>
    <row r="61" spans="2:34" ht="12.75" customHeight="1">
      <c r="B61" s="120" t="s">
        <v>193</v>
      </c>
      <c r="C61" s="121">
        <v>44138</v>
      </c>
      <c r="D61" s="121">
        <v>51775</v>
      </c>
      <c r="E61" s="121">
        <v>62566</v>
      </c>
      <c r="F61" s="121">
        <v>64709</v>
      </c>
      <c r="G61" s="121">
        <v>66965</v>
      </c>
      <c r="I61" s="82">
        <v>58141</v>
      </c>
      <c r="J61" s="82">
        <v>56254</v>
      </c>
      <c r="K61" s="82">
        <v>59974</v>
      </c>
      <c r="L61" s="32">
        <f t="shared" si="102"/>
        <v>62566</v>
      </c>
      <c r="M61" s="82">
        <v>66382</v>
      </c>
      <c r="N61" s="82">
        <v>64235</v>
      </c>
      <c r="O61" s="82">
        <v>58812</v>
      </c>
      <c r="P61" s="32">
        <f t="shared" si="103"/>
        <v>64709</v>
      </c>
      <c r="Q61" s="82">
        <v>63970</v>
      </c>
      <c r="R61" s="82">
        <v>60351</v>
      </c>
      <c r="S61" s="82">
        <v>60602</v>
      </c>
      <c r="T61" s="32">
        <f t="shared" si="104"/>
        <v>66965</v>
      </c>
      <c r="U61" s="82">
        <v>66331</v>
      </c>
      <c r="V61" s="82">
        <v>66974</v>
      </c>
      <c r="W61" s="82">
        <v>68051</v>
      </c>
      <c r="Y61" s="97">
        <f>P61</f>
        <v>64709</v>
      </c>
      <c r="Z61" s="97">
        <f>Q61</f>
        <v>63970</v>
      </c>
      <c r="AA61" s="97">
        <f>R61</f>
        <v>60351</v>
      </c>
      <c r="AB61" s="97">
        <f>S61</f>
        <v>60602</v>
      </c>
      <c r="AC61" s="97">
        <f>T61</f>
        <v>66965</v>
      </c>
      <c r="AD61" s="97">
        <f>U61</f>
        <v>66331</v>
      </c>
      <c r="AE61" s="97">
        <f>V61</f>
        <v>66974</v>
      </c>
      <c r="AF61" s="97">
        <f>W61</f>
        <v>68051</v>
      </c>
      <c r="AG61" s="11"/>
      <c r="AH61" s="75">
        <f t="shared" ref="AH61:AH62" si="106">SUM(AF61/AB61)-1</f>
        <v>0.12291673542127324</v>
      </c>
    </row>
    <row r="62" spans="2:34" ht="12.75" customHeight="1">
      <c r="B62" s="120" t="s">
        <v>194</v>
      </c>
      <c r="C62" s="121">
        <v>9708</v>
      </c>
      <c r="D62" s="121">
        <v>11827</v>
      </c>
      <c r="E62" s="121">
        <v>13227</v>
      </c>
      <c r="F62" s="121">
        <v>15227</v>
      </c>
      <c r="G62" s="121">
        <v>18103</v>
      </c>
      <c r="I62" s="82">
        <v>12820</v>
      </c>
      <c r="J62" s="82">
        <v>12818</v>
      </c>
      <c r="K62" s="82">
        <v>12629</v>
      </c>
      <c r="L62" s="32">
        <f t="shared" si="102"/>
        <v>13227</v>
      </c>
      <c r="M62" s="82">
        <v>14281</v>
      </c>
      <c r="N62" s="82">
        <v>14522</v>
      </c>
      <c r="O62" s="82">
        <v>14398</v>
      </c>
      <c r="P62" s="32">
        <f t="shared" si="103"/>
        <v>15227</v>
      </c>
      <c r="Q62" s="82">
        <v>15927</v>
      </c>
      <c r="R62" s="82">
        <v>16004</v>
      </c>
      <c r="S62" s="82">
        <v>16305</v>
      </c>
      <c r="T62" s="32">
        <f t="shared" si="104"/>
        <v>18103</v>
      </c>
      <c r="U62" s="82">
        <v>20599</v>
      </c>
      <c r="V62" s="82">
        <v>21662</v>
      </c>
      <c r="W62" s="82">
        <v>21113</v>
      </c>
      <c r="Y62" s="97">
        <f>P62</f>
        <v>15227</v>
      </c>
      <c r="Z62" s="97">
        <f>Q62</f>
        <v>15927</v>
      </c>
      <c r="AA62" s="97">
        <f>R62</f>
        <v>16004</v>
      </c>
      <c r="AB62" s="97">
        <f>S62</f>
        <v>16305</v>
      </c>
      <c r="AC62" s="97">
        <f>T62</f>
        <v>18103</v>
      </c>
      <c r="AD62" s="97">
        <f>U62</f>
        <v>20599</v>
      </c>
      <c r="AE62" s="97">
        <f>V62</f>
        <v>21662</v>
      </c>
      <c r="AF62" s="97">
        <f>W62</f>
        <v>21113</v>
      </c>
      <c r="AG62" s="11"/>
      <c r="AH62" s="75">
        <f t="shared" si="106"/>
        <v>0.29487887151180625</v>
      </c>
    </row>
    <row r="63" spans="2:34" ht="12.75" customHeight="1">
      <c r="B63" s="25" t="s">
        <v>17</v>
      </c>
      <c r="C63" s="26">
        <f t="shared" ref="C63:G63" si="107">SUM(C60:C62)</f>
        <v>126385</v>
      </c>
      <c r="D63" s="26">
        <f t="shared" si="107"/>
        <v>142266</v>
      </c>
      <c r="E63" s="26">
        <f t="shared" si="107"/>
        <v>155393</v>
      </c>
      <c r="F63" s="26">
        <f t="shared" si="107"/>
        <v>164917</v>
      </c>
      <c r="G63" s="26">
        <f t="shared" si="107"/>
        <v>179431</v>
      </c>
      <c r="I63" s="26">
        <f t="shared" ref="I63" si="108">SUM(I60:I62)</f>
        <v>139508</v>
      </c>
      <c r="J63" s="26">
        <f t="shared" ref="J63:K63" si="109">SUM(J60:J62)</f>
        <v>140291</v>
      </c>
      <c r="K63" s="26">
        <f t="shared" si="109"/>
        <v>79363</v>
      </c>
      <c r="L63" s="26">
        <f t="shared" ref="L63:W63" si="110">SUM(L60:L62)</f>
        <v>155393</v>
      </c>
      <c r="M63" s="26">
        <f t="shared" si="110"/>
        <v>147570</v>
      </c>
      <c r="N63" s="26">
        <f t="shared" si="110"/>
        <v>148238</v>
      </c>
      <c r="O63" s="26">
        <f t="shared" si="110"/>
        <v>145214</v>
      </c>
      <c r="P63" s="26">
        <f t="shared" si="110"/>
        <v>164917</v>
      </c>
      <c r="Q63" s="26">
        <f t="shared" si="110"/>
        <v>152965</v>
      </c>
      <c r="R63" s="26">
        <f t="shared" si="110"/>
        <v>158172</v>
      </c>
      <c r="S63" s="26">
        <f t="shared" si="110"/>
        <v>161477</v>
      </c>
      <c r="T63" s="26">
        <f t="shared" si="110"/>
        <v>179431</v>
      </c>
      <c r="U63" s="26">
        <f t="shared" si="110"/>
        <v>176171</v>
      </c>
      <c r="V63" s="26">
        <f t="shared" si="110"/>
        <v>186921</v>
      </c>
      <c r="W63" s="26">
        <f t="shared" si="110"/>
        <v>195196</v>
      </c>
      <c r="X63" s="48"/>
      <c r="Y63" s="26">
        <f t="shared" ref="Y63:AF63" si="111">SUM(Y60:Y62)</f>
        <v>164917</v>
      </c>
      <c r="Z63" s="26">
        <f t="shared" si="111"/>
        <v>152965</v>
      </c>
      <c r="AA63" s="26">
        <f t="shared" si="111"/>
        <v>158172</v>
      </c>
      <c r="AB63" s="26">
        <f t="shared" si="111"/>
        <v>161477</v>
      </c>
      <c r="AC63" s="26">
        <f t="shared" si="111"/>
        <v>179431</v>
      </c>
      <c r="AD63" s="26">
        <f t="shared" si="111"/>
        <v>176171</v>
      </c>
      <c r="AE63" s="26">
        <f t="shared" si="111"/>
        <v>186921</v>
      </c>
      <c r="AF63" s="26">
        <f t="shared" si="111"/>
        <v>195196</v>
      </c>
      <c r="AG63" s="42"/>
      <c r="AH63" s="76">
        <f t="shared" si="105"/>
        <v>0.20881611622707874</v>
      </c>
    </row>
    <row r="64" spans="2:34" ht="5.0999999999999996" customHeight="1">
      <c r="B64" s="25"/>
      <c r="C64" s="50"/>
      <c r="D64" s="50"/>
      <c r="E64" s="50"/>
      <c r="F64" s="41"/>
      <c r="G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Y64" s="42"/>
      <c r="Z64" s="42"/>
      <c r="AA64" s="42"/>
      <c r="AB64" s="42"/>
      <c r="AC64" s="42"/>
      <c r="AD64" s="42"/>
      <c r="AE64" s="42"/>
      <c r="AF64" s="42"/>
      <c r="AG64" s="42"/>
      <c r="AH64" s="39"/>
    </row>
    <row r="65" spans="2:34">
      <c r="B65" s="78" t="s">
        <v>80</v>
      </c>
      <c r="C65" s="50"/>
      <c r="D65" s="50"/>
      <c r="E65" s="50"/>
      <c r="F65" s="41"/>
      <c r="G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Y65" s="42"/>
      <c r="Z65" s="42"/>
      <c r="AA65" s="42"/>
      <c r="AB65" s="42"/>
      <c r="AC65" s="42"/>
      <c r="AD65" s="42"/>
      <c r="AE65" s="42"/>
      <c r="AF65" s="42"/>
      <c r="AG65" s="42"/>
      <c r="AH65" s="39"/>
    </row>
    <row r="66" spans="2:34" ht="12.75" customHeight="1">
      <c r="B66" s="120" t="s">
        <v>195</v>
      </c>
      <c r="C66" s="121">
        <v>52573</v>
      </c>
      <c r="D66" s="121">
        <v>67651</v>
      </c>
      <c r="E66" s="121">
        <v>72968</v>
      </c>
      <c r="F66" s="121">
        <v>77297</v>
      </c>
      <c r="G66" s="121">
        <v>78277</v>
      </c>
      <c r="H66" s="51"/>
      <c r="I66" s="82">
        <v>65731</v>
      </c>
      <c r="J66" s="82">
        <v>66524</v>
      </c>
      <c r="K66" s="82">
        <v>69332</v>
      </c>
      <c r="L66" s="32">
        <f t="shared" ref="L66:L68" si="112">E66</f>
        <v>72968</v>
      </c>
      <c r="M66" s="82">
        <v>74267</v>
      </c>
      <c r="N66" s="82">
        <v>75822</v>
      </c>
      <c r="O66" s="82">
        <v>75891</v>
      </c>
      <c r="P66" s="32">
        <f>F66</f>
        <v>77297</v>
      </c>
      <c r="Q66" s="82">
        <v>77052</v>
      </c>
      <c r="R66" s="82">
        <v>78084</v>
      </c>
      <c r="S66" s="82">
        <v>79802</v>
      </c>
      <c r="T66" s="32">
        <f t="shared" ref="T66:T68" si="113">G66</f>
        <v>78277</v>
      </c>
      <c r="U66" s="82">
        <v>79871</v>
      </c>
      <c r="V66" s="82">
        <v>83221</v>
      </c>
      <c r="W66" s="82">
        <v>84677</v>
      </c>
      <c r="X66" s="121"/>
      <c r="Y66" s="97">
        <f>P66</f>
        <v>77297</v>
      </c>
      <c r="Z66" s="97">
        <f>Q66</f>
        <v>77052</v>
      </c>
      <c r="AA66" s="97">
        <f>R66</f>
        <v>78084</v>
      </c>
      <c r="AB66" s="97">
        <f>S66</f>
        <v>79802</v>
      </c>
      <c r="AC66" s="97">
        <f>T66</f>
        <v>78277</v>
      </c>
      <c r="AD66" s="97">
        <f>U66</f>
        <v>79871</v>
      </c>
      <c r="AE66" s="97">
        <f>V66</f>
        <v>83221</v>
      </c>
      <c r="AF66" s="97">
        <f>W66</f>
        <v>84677</v>
      </c>
      <c r="AG66" s="42"/>
      <c r="AH66" s="75">
        <f t="shared" ref="AH66:AH76" si="114">SUM(AF66/AB66)-1</f>
        <v>6.1088694518934394E-2</v>
      </c>
    </row>
    <row r="67" spans="2:34" ht="12.75" customHeight="1">
      <c r="B67" s="120" t="s">
        <v>153</v>
      </c>
      <c r="C67" s="121">
        <v>31816</v>
      </c>
      <c r="D67" s="121">
        <v>48744</v>
      </c>
      <c r="E67" s="121">
        <v>67150</v>
      </c>
      <c r="F67" s="121">
        <v>58314</v>
      </c>
      <c r="G67" s="121">
        <v>52623</v>
      </c>
      <c r="H67" s="51"/>
      <c r="I67" s="82">
        <v>47556</v>
      </c>
      <c r="J67" s="82">
        <v>58053</v>
      </c>
      <c r="K67" s="82">
        <v>58919</v>
      </c>
      <c r="L67" s="32">
        <f t="shared" si="112"/>
        <v>67150</v>
      </c>
      <c r="M67" s="82">
        <v>67084</v>
      </c>
      <c r="N67" s="82">
        <v>63092</v>
      </c>
      <c r="O67" s="82">
        <v>61098</v>
      </c>
      <c r="P67" s="32">
        <f>F67</f>
        <v>58314</v>
      </c>
      <c r="Q67" s="82">
        <v>57634</v>
      </c>
      <c r="R67" s="82">
        <v>54889</v>
      </c>
      <c r="S67" s="82">
        <v>54890</v>
      </c>
      <c r="T67" s="32">
        <f t="shared" si="113"/>
        <v>52623</v>
      </c>
      <c r="U67" s="82">
        <v>53374</v>
      </c>
      <c r="V67" s="82">
        <v>50718</v>
      </c>
      <c r="W67" s="82">
        <v>50742</v>
      </c>
      <c r="X67" s="121"/>
      <c r="Y67" s="97">
        <f t="shared" ref="Y67:Y68" si="115">P67</f>
        <v>58314</v>
      </c>
      <c r="Z67" s="97">
        <f t="shared" ref="Z67:Z68" si="116">Q67</f>
        <v>57634</v>
      </c>
      <c r="AA67" s="97">
        <f t="shared" ref="AA67:AA68" si="117">R67</f>
        <v>54889</v>
      </c>
      <c r="AB67" s="97">
        <f t="shared" ref="AB67:AB68" si="118">S67</f>
        <v>54890</v>
      </c>
      <c r="AC67" s="97">
        <f t="shared" ref="AC67:AC68" si="119">T67</f>
        <v>52623</v>
      </c>
      <c r="AD67" s="97">
        <f t="shared" ref="AD67:AD68" si="120">U67</f>
        <v>53374</v>
      </c>
      <c r="AE67" s="97">
        <f t="shared" ref="AE67:AE68" si="121">V67</f>
        <v>50718</v>
      </c>
      <c r="AF67" s="97">
        <f t="shared" ref="AF67:AF68" si="122">W67</f>
        <v>50742</v>
      </c>
      <c r="AG67" s="42"/>
      <c r="AH67" s="75">
        <f t="shared" si="114"/>
        <v>-7.5569320459100031E-2</v>
      </c>
    </row>
    <row r="68" spans="2:34" ht="12.75" customHeight="1">
      <c r="B68" s="120" t="s">
        <v>154</v>
      </c>
      <c r="C68" s="121">
        <v>17017</v>
      </c>
      <c r="D68" s="121">
        <v>23643</v>
      </c>
      <c r="E68" s="121">
        <v>21121</v>
      </c>
      <c r="F68" s="121">
        <v>25451</v>
      </c>
      <c r="G68" s="121">
        <v>28593</v>
      </c>
      <c r="H68" s="51"/>
      <c r="I68" s="82">
        <v>23971</v>
      </c>
      <c r="J68" s="82">
        <v>23458</v>
      </c>
      <c r="K68" s="82">
        <v>22259</v>
      </c>
      <c r="L68" s="32">
        <f t="shared" si="112"/>
        <v>21121</v>
      </c>
      <c r="M68" s="82">
        <v>20931</v>
      </c>
      <c r="N68" s="82">
        <v>21853</v>
      </c>
      <c r="O68" s="82">
        <v>21707</v>
      </c>
      <c r="P68" s="32">
        <f>F68</f>
        <v>25451</v>
      </c>
      <c r="Q68" s="82">
        <v>26657</v>
      </c>
      <c r="R68" s="82">
        <v>27226</v>
      </c>
      <c r="S68" s="82">
        <v>29306</v>
      </c>
      <c r="T68" s="32">
        <f t="shared" si="113"/>
        <v>28593</v>
      </c>
      <c r="U68" s="82">
        <v>27973</v>
      </c>
      <c r="V68" s="82">
        <v>27535</v>
      </c>
      <c r="W68" s="82">
        <v>27675</v>
      </c>
      <c r="X68" s="121"/>
      <c r="Y68" s="97">
        <f t="shared" si="115"/>
        <v>25451</v>
      </c>
      <c r="Z68" s="97">
        <f t="shared" si="116"/>
        <v>26657</v>
      </c>
      <c r="AA68" s="97">
        <f t="shared" si="117"/>
        <v>27226</v>
      </c>
      <c r="AB68" s="97">
        <f t="shared" si="118"/>
        <v>29306</v>
      </c>
      <c r="AC68" s="97">
        <f t="shared" si="119"/>
        <v>28593</v>
      </c>
      <c r="AD68" s="97">
        <f t="shared" si="120"/>
        <v>27973</v>
      </c>
      <c r="AE68" s="97">
        <f t="shared" si="121"/>
        <v>27535</v>
      </c>
      <c r="AF68" s="97">
        <f t="shared" si="122"/>
        <v>27675</v>
      </c>
      <c r="AG68" s="42"/>
      <c r="AH68" s="75">
        <f t="shared" si="114"/>
        <v>-5.5654132259605582E-2</v>
      </c>
    </row>
    <row r="69" spans="2:34" ht="12.75" customHeight="1">
      <c r="B69" s="13" t="s">
        <v>15</v>
      </c>
      <c r="C69" s="14">
        <f>SUM(C66:C68)+C63</f>
        <v>227791</v>
      </c>
      <c r="D69" s="14">
        <f>SUM(D66:D68)+D63</f>
        <v>282304</v>
      </c>
      <c r="E69" s="14">
        <f>SUM(E66:E68)+E63</f>
        <v>316632</v>
      </c>
      <c r="F69" s="14">
        <f>SUM(F66:F68)+F63</f>
        <v>325979</v>
      </c>
      <c r="G69" s="14">
        <f>SUM(G66:G68)+G63</f>
        <v>338924</v>
      </c>
      <c r="I69" s="14">
        <f>SUM(I66:I68)+I63</f>
        <v>276766</v>
      </c>
      <c r="J69" s="14">
        <f>SUM(J66:J68)+J63</f>
        <v>288326</v>
      </c>
      <c r="K69" s="14">
        <f>SUM(K66:K68)+K63</f>
        <v>229873</v>
      </c>
      <c r="L69" s="14">
        <f>SUM(L66:L68)+L63</f>
        <v>316632</v>
      </c>
      <c r="M69" s="14">
        <f>SUM(M66:M68)+M63</f>
        <v>309852</v>
      </c>
      <c r="N69" s="14">
        <f>SUM(N66:N68)+N63</f>
        <v>309005</v>
      </c>
      <c r="O69" s="14">
        <f>SUM(O66:O68)+O63</f>
        <v>303910</v>
      </c>
      <c r="P69" s="14">
        <f>SUM(P66:P68)+P63</f>
        <v>325979</v>
      </c>
      <c r="Q69" s="14">
        <f>SUM(Q66:Q68)+Q63</f>
        <v>314308</v>
      </c>
      <c r="R69" s="14">
        <f>SUM(R66:R68)+R63</f>
        <v>318371</v>
      </c>
      <c r="S69" s="14">
        <f>SUM(S66:S68)+S63</f>
        <v>325475</v>
      </c>
      <c r="T69" s="14">
        <f>SUM(T66:T68)+T63</f>
        <v>338924</v>
      </c>
      <c r="U69" s="14">
        <f>SUM(U66:U68)+U63</f>
        <v>337389</v>
      </c>
      <c r="V69" s="14">
        <f>SUM(V66:V68)+V63</f>
        <v>348395</v>
      </c>
      <c r="W69" s="14">
        <f>SUM(W66:W68)+W63</f>
        <v>358290</v>
      </c>
      <c r="Y69" s="14">
        <f>SUM(Y66:Y68)+Y63</f>
        <v>325979</v>
      </c>
      <c r="Z69" s="14">
        <f>SUM(Z66:Z68)+Z63</f>
        <v>314308</v>
      </c>
      <c r="AA69" s="14">
        <f>SUM(AA66:AA68)+AA63</f>
        <v>318371</v>
      </c>
      <c r="AB69" s="14">
        <f>SUM(AB66:AB68)+AB63</f>
        <v>325475</v>
      </c>
      <c r="AC69" s="14">
        <f>SUM(AC66:AC68)+AC63</f>
        <v>338924</v>
      </c>
      <c r="AD69" s="14">
        <f>SUM(AD66:AD68)+AD63</f>
        <v>337389</v>
      </c>
      <c r="AE69" s="14">
        <f>SUM(AE66:AE68)+AE63</f>
        <v>348395</v>
      </c>
      <c r="AF69" s="14">
        <f>SUM(AF66:AF68)+AF63</f>
        <v>358290</v>
      </c>
      <c r="AG69" s="42"/>
      <c r="AH69" s="76">
        <f t="shared" si="114"/>
        <v>0.10082187572010137</v>
      </c>
    </row>
    <row r="70" spans="2:34" ht="5.0999999999999996" customHeight="1">
      <c r="B70" s="25"/>
      <c r="C70" s="49"/>
      <c r="D70" s="49"/>
      <c r="E70" s="49"/>
      <c r="F70" s="41"/>
      <c r="G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Y70" s="42"/>
      <c r="Z70" s="42"/>
      <c r="AA70" s="42"/>
      <c r="AB70" s="42"/>
      <c r="AC70" s="42"/>
      <c r="AD70" s="42"/>
      <c r="AE70" s="42"/>
      <c r="AF70" s="42"/>
      <c r="AG70" s="42"/>
      <c r="AH70" s="39"/>
    </row>
    <row r="71" spans="2:34" ht="12.75" customHeight="1">
      <c r="B71" s="9" t="s">
        <v>155</v>
      </c>
      <c r="C71" s="82">
        <v>93404</v>
      </c>
      <c r="D71" s="82">
        <v>138245</v>
      </c>
      <c r="E71" s="82">
        <v>146043</v>
      </c>
      <c r="F71" s="82">
        <v>201875</v>
      </c>
      <c r="G71" s="82">
        <v>285970</v>
      </c>
      <c r="H71" s="32"/>
      <c r="I71" s="82">
        <v>134001</v>
      </c>
      <c r="J71" s="82">
        <v>131402</v>
      </c>
      <c r="K71" s="82">
        <v>137489</v>
      </c>
      <c r="L71" s="32">
        <v>146043</v>
      </c>
      <c r="M71" s="82">
        <v>154526</v>
      </c>
      <c r="N71" s="82">
        <v>168602</v>
      </c>
      <c r="O71" s="82">
        <v>182973</v>
      </c>
      <c r="P71" s="32">
        <v>201875</v>
      </c>
      <c r="Q71" s="82">
        <v>216661</v>
      </c>
      <c r="R71" s="82">
        <v>236447</v>
      </c>
      <c r="S71" s="82">
        <v>259151</v>
      </c>
      <c r="T71" s="32">
        <v>285970</v>
      </c>
      <c r="U71" s="82">
        <v>305867</v>
      </c>
      <c r="V71" s="82">
        <v>333775</v>
      </c>
      <c r="W71" s="82">
        <v>369631</v>
      </c>
      <c r="Y71" s="32">
        <f>P71</f>
        <v>201875</v>
      </c>
      <c r="Z71" s="32">
        <f>Q71</f>
        <v>216661</v>
      </c>
      <c r="AA71" s="32">
        <f>R71</f>
        <v>236447</v>
      </c>
      <c r="AB71" s="32">
        <f>S71</f>
        <v>259151</v>
      </c>
      <c r="AC71" s="32">
        <f>T71</f>
        <v>285970</v>
      </c>
      <c r="AD71" s="32">
        <f>U71</f>
        <v>305867</v>
      </c>
      <c r="AE71" s="32">
        <f>V71</f>
        <v>333775</v>
      </c>
      <c r="AF71" s="32">
        <f>W71</f>
        <v>369631</v>
      </c>
      <c r="AG71" s="11"/>
      <c r="AH71" s="75">
        <f t="shared" si="114"/>
        <v>0.42631515988747881</v>
      </c>
    </row>
    <row r="72" spans="2:34" ht="12.75" customHeight="1">
      <c r="B72" s="9" t="s">
        <v>138</v>
      </c>
      <c r="C72" s="82"/>
      <c r="D72" s="82"/>
      <c r="E72" s="82"/>
      <c r="F72" s="82"/>
      <c r="G72" s="82"/>
      <c r="H72" s="32"/>
      <c r="I72" s="82"/>
      <c r="J72" s="82"/>
      <c r="K72" s="82"/>
      <c r="L72" s="32">
        <f t="shared" ref="L71:L74" si="123">E72</f>
        <v>0</v>
      </c>
      <c r="M72" s="82"/>
      <c r="N72" s="82"/>
      <c r="O72" s="82"/>
      <c r="P72" s="32">
        <f>F72</f>
        <v>0</v>
      </c>
      <c r="Q72" s="82"/>
      <c r="R72" s="82"/>
      <c r="S72" s="82"/>
      <c r="T72" s="32">
        <f>G72</f>
        <v>0</v>
      </c>
      <c r="U72" s="82"/>
      <c r="V72" s="82"/>
      <c r="W72" s="82"/>
      <c r="Y72" s="32">
        <f>P72</f>
        <v>0</v>
      </c>
      <c r="Z72" s="32">
        <f>Q72</f>
        <v>0</v>
      </c>
      <c r="AA72" s="32">
        <f>R72</f>
        <v>0</v>
      </c>
      <c r="AB72" s="32">
        <f>S72</f>
        <v>0</v>
      </c>
      <c r="AC72" s="32">
        <f>T72</f>
        <v>0</v>
      </c>
      <c r="AD72" s="32">
        <f>U72</f>
        <v>0</v>
      </c>
      <c r="AE72" s="32">
        <f>V72</f>
        <v>0</v>
      </c>
      <c r="AF72" s="32">
        <f>W72</f>
        <v>0</v>
      </c>
      <c r="AG72" s="11"/>
      <c r="AH72" s="75"/>
    </row>
    <row r="73" spans="2:34" ht="12.75" customHeight="1">
      <c r="B73" s="9" t="s">
        <v>156</v>
      </c>
      <c r="C73" s="82"/>
      <c r="D73" s="82"/>
      <c r="E73" s="82"/>
      <c r="F73" s="82"/>
      <c r="G73" s="82"/>
      <c r="H73" s="32"/>
      <c r="I73" s="82"/>
      <c r="J73" s="82"/>
      <c r="K73" s="82"/>
      <c r="L73" s="32">
        <f t="shared" si="123"/>
        <v>0</v>
      </c>
      <c r="M73" s="82"/>
      <c r="N73" s="82"/>
      <c r="O73" s="82"/>
      <c r="P73" s="32">
        <f>F73</f>
        <v>0</v>
      </c>
      <c r="Q73" s="82"/>
      <c r="R73" s="82"/>
      <c r="S73" s="82"/>
      <c r="T73" s="32">
        <f>G73</f>
        <v>0</v>
      </c>
      <c r="U73" s="82"/>
      <c r="V73" s="82"/>
      <c r="W73" s="82"/>
      <c r="Y73" s="32">
        <f>P73</f>
        <v>0</v>
      </c>
      <c r="Z73" s="32">
        <f>Q73</f>
        <v>0</v>
      </c>
      <c r="AA73" s="32">
        <f>R73</f>
        <v>0</v>
      </c>
      <c r="AB73" s="32">
        <f>S73</f>
        <v>0</v>
      </c>
      <c r="AC73" s="32">
        <f>T73</f>
        <v>0</v>
      </c>
      <c r="AD73" s="32">
        <f>U73</f>
        <v>0</v>
      </c>
      <c r="AE73" s="32">
        <f>V73</f>
        <v>0</v>
      </c>
      <c r="AF73" s="32">
        <f>W73</f>
        <v>0</v>
      </c>
      <c r="AG73" s="11"/>
      <c r="AH73" s="75"/>
    </row>
    <row r="74" spans="2:34" ht="12.75" customHeight="1">
      <c r="B74" s="9" t="s">
        <v>138</v>
      </c>
      <c r="C74" s="82"/>
      <c r="D74" s="82"/>
      <c r="E74" s="82"/>
      <c r="F74" s="82"/>
      <c r="G74" s="82"/>
      <c r="H74" s="32"/>
      <c r="I74" s="82"/>
      <c r="J74" s="82"/>
      <c r="K74" s="82"/>
      <c r="L74" s="32">
        <f t="shared" si="123"/>
        <v>0</v>
      </c>
      <c r="M74" s="82"/>
      <c r="N74" s="82"/>
      <c r="O74" s="82"/>
      <c r="P74" s="32">
        <f>F74</f>
        <v>0</v>
      </c>
      <c r="Q74" s="82"/>
      <c r="R74" s="82"/>
      <c r="S74" s="82"/>
      <c r="T74" s="32">
        <f>G74</f>
        <v>0</v>
      </c>
      <c r="U74" s="82"/>
      <c r="V74" s="82"/>
      <c r="W74" s="82"/>
      <c r="Y74" s="32">
        <f>P74</f>
        <v>0</v>
      </c>
      <c r="Z74" s="32">
        <f>Q74</f>
        <v>0</v>
      </c>
      <c r="AA74" s="32">
        <f>R74</f>
        <v>0</v>
      </c>
      <c r="AB74" s="32">
        <f>S74</f>
        <v>0</v>
      </c>
      <c r="AC74" s="32">
        <f>T74</f>
        <v>0</v>
      </c>
      <c r="AD74" s="32">
        <f>U74</f>
        <v>0</v>
      </c>
      <c r="AE74" s="32">
        <f>V74</f>
        <v>0</v>
      </c>
      <c r="AF74" s="32">
        <f>W74</f>
        <v>0</v>
      </c>
      <c r="AG74" s="11"/>
      <c r="AH74" s="75" t="e">
        <f t="shared" si="114"/>
        <v>#DIV/0!</v>
      </c>
    </row>
    <row r="75" spans="2:34" ht="12.75" customHeight="1">
      <c r="B75" s="13" t="s">
        <v>14</v>
      </c>
      <c r="C75" s="14">
        <f t="shared" ref="C75:G75" si="124">SUM(C71:C74)</f>
        <v>93404</v>
      </c>
      <c r="D75" s="14">
        <f t="shared" si="124"/>
        <v>138245</v>
      </c>
      <c r="E75" s="14">
        <f t="shared" si="124"/>
        <v>146043</v>
      </c>
      <c r="F75" s="14">
        <f t="shared" si="124"/>
        <v>201875</v>
      </c>
      <c r="G75" s="14">
        <f t="shared" si="124"/>
        <v>285970</v>
      </c>
      <c r="H75" s="52"/>
      <c r="I75" s="14">
        <f t="shared" ref="I75:L75" si="125">SUM(I71:I74)</f>
        <v>134001</v>
      </c>
      <c r="J75" s="14">
        <f t="shared" ref="J75" si="126">SUM(J71:J74)</f>
        <v>131402</v>
      </c>
      <c r="K75" s="14">
        <f t="shared" si="125"/>
        <v>137489</v>
      </c>
      <c r="L75" s="14">
        <f t="shared" si="125"/>
        <v>146043</v>
      </c>
      <c r="M75" s="14">
        <f t="shared" ref="M75:W75" si="127">SUM(M71:M74)</f>
        <v>154526</v>
      </c>
      <c r="N75" s="14">
        <f t="shared" si="127"/>
        <v>168602</v>
      </c>
      <c r="O75" s="14">
        <f t="shared" si="127"/>
        <v>182973</v>
      </c>
      <c r="P75" s="14">
        <f t="shared" si="127"/>
        <v>201875</v>
      </c>
      <c r="Q75" s="14">
        <f t="shared" si="127"/>
        <v>216661</v>
      </c>
      <c r="R75" s="14">
        <f t="shared" si="127"/>
        <v>236447</v>
      </c>
      <c r="S75" s="14">
        <f t="shared" si="127"/>
        <v>259151</v>
      </c>
      <c r="T75" s="14">
        <f t="shared" si="127"/>
        <v>285970</v>
      </c>
      <c r="U75" s="14">
        <f t="shared" si="127"/>
        <v>305867</v>
      </c>
      <c r="V75" s="14">
        <f t="shared" si="127"/>
        <v>333775</v>
      </c>
      <c r="W75" s="14">
        <f t="shared" si="127"/>
        <v>369631</v>
      </c>
      <c r="Y75" s="14">
        <f t="shared" ref="Y75:AF75" si="128">SUM(Y71:Y74)</f>
        <v>201875</v>
      </c>
      <c r="Z75" s="14">
        <f t="shared" si="128"/>
        <v>216661</v>
      </c>
      <c r="AA75" s="14">
        <f t="shared" si="128"/>
        <v>236447</v>
      </c>
      <c r="AB75" s="14">
        <f t="shared" si="128"/>
        <v>259151</v>
      </c>
      <c r="AC75" s="14">
        <f t="shared" si="128"/>
        <v>285970</v>
      </c>
      <c r="AD75" s="14">
        <f t="shared" si="128"/>
        <v>305867</v>
      </c>
      <c r="AE75" s="14">
        <f t="shared" si="128"/>
        <v>333775</v>
      </c>
      <c r="AF75" s="14">
        <f t="shared" si="128"/>
        <v>369631</v>
      </c>
      <c r="AG75" s="42"/>
      <c r="AH75" s="75">
        <f t="shared" si="114"/>
        <v>0.42631515988747881</v>
      </c>
    </row>
    <row r="76" spans="2:34" ht="12.75" customHeight="1">
      <c r="B76" s="25" t="s">
        <v>49</v>
      </c>
      <c r="C76" s="32">
        <f t="shared" ref="C76:G76" si="129">SUM(C75+C69)</f>
        <v>321195</v>
      </c>
      <c r="D76" s="32">
        <f t="shared" si="129"/>
        <v>420549</v>
      </c>
      <c r="E76" s="32">
        <f t="shared" si="129"/>
        <v>462675</v>
      </c>
      <c r="F76" s="32">
        <f t="shared" si="129"/>
        <v>527854</v>
      </c>
      <c r="G76" s="32">
        <f t="shared" si="129"/>
        <v>624894</v>
      </c>
      <c r="H76" s="32"/>
      <c r="I76" s="32">
        <f t="shared" ref="I76:L76" si="130">SUM(I75+I69)</f>
        <v>410767</v>
      </c>
      <c r="J76" s="32">
        <f t="shared" ref="J76" si="131">SUM(J75+J69)</f>
        <v>419728</v>
      </c>
      <c r="K76" s="32">
        <f t="shared" si="130"/>
        <v>367362</v>
      </c>
      <c r="L76" s="32">
        <f t="shared" si="130"/>
        <v>462675</v>
      </c>
      <c r="M76" s="32">
        <f t="shared" ref="M76:W76" si="132">SUM(M75+M69)</f>
        <v>464378</v>
      </c>
      <c r="N76" s="32">
        <f t="shared" si="132"/>
        <v>477607</v>
      </c>
      <c r="O76" s="32">
        <f t="shared" si="132"/>
        <v>486883</v>
      </c>
      <c r="P76" s="32">
        <f t="shared" si="132"/>
        <v>527854</v>
      </c>
      <c r="Q76" s="32">
        <f t="shared" si="132"/>
        <v>530969</v>
      </c>
      <c r="R76" s="32">
        <f t="shared" si="132"/>
        <v>554818</v>
      </c>
      <c r="S76" s="32">
        <f t="shared" si="132"/>
        <v>584626</v>
      </c>
      <c r="T76" s="32">
        <f t="shared" si="132"/>
        <v>624894</v>
      </c>
      <c r="U76" s="32">
        <f t="shared" si="132"/>
        <v>643256</v>
      </c>
      <c r="V76" s="32">
        <f t="shared" si="132"/>
        <v>682170</v>
      </c>
      <c r="W76" s="32">
        <f t="shared" si="132"/>
        <v>727921</v>
      </c>
      <c r="X76" s="32"/>
      <c r="Y76" s="32">
        <f t="shared" ref="Y76:AF76" si="133">SUM(Y75+Y69)</f>
        <v>527854</v>
      </c>
      <c r="Z76" s="32">
        <f t="shared" si="133"/>
        <v>530969</v>
      </c>
      <c r="AA76" s="32">
        <f t="shared" si="133"/>
        <v>554818</v>
      </c>
      <c r="AB76" s="32">
        <f t="shared" si="133"/>
        <v>584626</v>
      </c>
      <c r="AC76" s="32">
        <f t="shared" si="133"/>
        <v>624894</v>
      </c>
      <c r="AD76" s="32">
        <f t="shared" si="133"/>
        <v>643256</v>
      </c>
      <c r="AE76" s="32">
        <f t="shared" si="133"/>
        <v>682170</v>
      </c>
      <c r="AF76" s="32">
        <f t="shared" si="133"/>
        <v>727921</v>
      </c>
      <c r="AG76" s="11"/>
      <c r="AH76" s="76">
        <f t="shared" si="114"/>
        <v>0.24510541782267636</v>
      </c>
    </row>
    <row r="77" spans="2:34" ht="5.0999999999999996" customHeight="1">
      <c r="B77" s="25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11"/>
    </row>
    <row r="78" spans="2:34" ht="12.75" customHeight="1">
      <c r="B78" s="139" t="s">
        <v>58</v>
      </c>
      <c r="C78" s="69">
        <f>C76-C57</f>
        <v>0</v>
      </c>
      <c r="D78" s="69">
        <f>D76-D57</f>
        <v>0</v>
      </c>
      <c r="E78" s="69">
        <f>E76-E57</f>
        <v>0</v>
      </c>
      <c r="F78" s="69">
        <f>F76-F57</f>
        <v>0</v>
      </c>
      <c r="G78" s="69">
        <f>G76-G57</f>
        <v>0</v>
      </c>
      <c r="H78" s="70"/>
      <c r="I78" s="69">
        <f>I76-I57</f>
        <v>0</v>
      </c>
      <c r="J78" s="69">
        <f>J76-J57</f>
        <v>0</v>
      </c>
      <c r="K78" s="69">
        <f>K76-K57</f>
        <v>-61000</v>
      </c>
      <c r="L78" s="69">
        <f>L76-L57</f>
        <v>0</v>
      </c>
      <c r="M78" s="69">
        <f>M76-M57</f>
        <v>0</v>
      </c>
      <c r="N78" s="69">
        <f>N76-N57</f>
        <v>0</v>
      </c>
      <c r="O78" s="69">
        <f>O76-O57</f>
        <v>0</v>
      </c>
      <c r="P78" s="69">
        <f>P76-P57</f>
        <v>0</v>
      </c>
      <c r="Q78" s="69">
        <f>Q76-Q57</f>
        <v>0</v>
      </c>
      <c r="R78" s="69">
        <f>R76-R57</f>
        <v>0</v>
      </c>
      <c r="S78" s="69">
        <f>S76-S57</f>
        <v>0</v>
      </c>
      <c r="T78" s="69">
        <f>T76-T57</f>
        <v>0</v>
      </c>
      <c r="U78" s="69">
        <f>U76-U57</f>
        <v>0</v>
      </c>
      <c r="V78" s="69">
        <f>V76-V57</f>
        <v>0</v>
      </c>
      <c r="W78" s="69">
        <f>W76-W57</f>
        <v>-1000</v>
      </c>
      <c r="X78" s="28"/>
      <c r="Y78" s="69">
        <f>Y76-Y57</f>
        <v>0</v>
      </c>
      <c r="Z78" s="69">
        <f>Z76-Z57</f>
        <v>0</v>
      </c>
      <c r="AA78" s="69">
        <f>AA76-AA57</f>
        <v>0</v>
      </c>
      <c r="AB78" s="69">
        <f>AB76-AB57</f>
        <v>0</v>
      </c>
      <c r="AC78" s="69">
        <f>AC76-AC57</f>
        <v>0</v>
      </c>
      <c r="AD78" s="69">
        <f>AD76-AD57</f>
        <v>0</v>
      </c>
      <c r="AE78" s="69">
        <f>AE76-AE57</f>
        <v>0</v>
      </c>
      <c r="AF78" s="69">
        <f>AF76-AF57</f>
        <v>-1000</v>
      </c>
    </row>
    <row r="79" spans="2:34" ht="5.0999999999999996" customHeight="1" thickBot="1">
      <c r="B79" s="116"/>
      <c r="C79" s="117"/>
      <c r="D79" s="117"/>
      <c r="E79" s="117"/>
      <c r="F79" s="117"/>
      <c r="G79" s="117"/>
      <c r="H79" s="118"/>
      <c r="I79" s="117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9"/>
      <c r="Y79" s="117"/>
      <c r="Z79" s="117"/>
      <c r="AA79" s="117"/>
      <c r="AB79" s="117"/>
      <c r="AC79" s="117"/>
      <c r="AD79" s="117"/>
      <c r="AE79" s="117"/>
      <c r="AF79" s="117"/>
      <c r="AG79" s="73"/>
      <c r="AH79" s="73"/>
    </row>
    <row r="80" spans="2:34">
      <c r="B80" s="68"/>
      <c r="C80" s="53"/>
      <c r="D80" s="53"/>
      <c r="E80" s="24"/>
      <c r="F80" s="24"/>
      <c r="G80" s="24"/>
      <c r="H80" s="53"/>
    </row>
    <row r="81" spans="1:34" ht="12.75" customHeight="1">
      <c r="A81" s="5" t="s">
        <v>16</v>
      </c>
      <c r="B81" s="98" t="s">
        <v>13</v>
      </c>
      <c r="C81" s="102"/>
      <c r="D81" s="102"/>
      <c r="E81" s="102"/>
      <c r="F81" s="102"/>
      <c r="G81" s="102"/>
      <c r="H81" s="103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98"/>
      <c r="Y81" s="102"/>
      <c r="Z81" s="102"/>
      <c r="AA81" s="102" t="s">
        <v>10</v>
      </c>
      <c r="AB81" s="102"/>
      <c r="AC81" s="102"/>
      <c r="AD81" s="102"/>
      <c r="AE81" s="102"/>
      <c r="AF81" s="102"/>
      <c r="AG81" s="103"/>
      <c r="AH81" s="164" t="s">
        <v>22</v>
      </c>
    </row>
    <row r="82" spans="1:34" ht="12.75" customHeight="1">
      <c r="B82" s="99" t="str">
        <f>B7</f>
        <v>Fiscal Period</v>
      </c>
      <c r="C82" s="104">
        <f>C7</f>
        <v>2020</v>
      </c>
      <c r="D82" s="104">
        <f>D7</f>
        <v>2021</v>
      </c>
      <c r="E82" s="104">
        <f>E7</f>
        <v>2022</v>
      </c>
      <c r="F82" s="104">
        <f>F7</f>
        <v>2023</v>
      </c>
      <c r="G82" s="104">
        <f>G7</f>
        <v>2024</v>
      </c>
      <c r="H82" s="103"/>
      <c r="I82" s="104" t="str">
        <f>I7</f>
        <v>1Q22</v>
      </c>
      <c r="J82" s="104" t="str">
        <f>J7</f>
        <v>2Q22</v>
      </c>
      <c r="K82" s="104" t="str">
        <f>K7</f>
        <v>3Q22</v>
      </c>
      <c r="L82" s="104" t="str">
        <f>L7</f>
        <v>4Q22</v>
      </c>
      <c r="M82" s="104" t="str">
        <f>M7</f>
        <v>1Q23</v>
      </c>
      <c r="N82" s="104" t="str">
        <f>N7</f>
        <v>2Q23</v>
      </c>
      <c r="O82" s="104" t="str">
        <f>O7</f>
        <v>3Q23</v>
      </c>
      <c r="P82" s="104" t="str">
        <f>P7</f>
        <v>4Q23</v>
      </c>
      <c r="Q82" s="104" t="str">
        <f>Q7</f>
        <v>1Q24</v>
      </c>
      <c r="R82" s="104" t="str">
        <f>R7</f>
        <v>2Q24</v>
      </c>
      <c r="S82" s="104" t="str">
        <f>S7</f>
        <v>3Q24</v>
      </c>
      <c r="T82" s="104" t="str">
        <f>T7</f>
        <v>4Q24</v>
      </c>
      <c r="U82" s="104" t="str">
        <f>U7</f>
        <v>1Q25</v>
      </c>
      <c r="V82" s="104" t="str">
        <f>V7</f>
        <v>2Q25</v>
      </c>
      <c r="W82" s="104" t="str">
        <f>W7</f>
        <v>3Q25</v>
      </c>
      <c r="X82" s="104"/>
      <c r="Y82" s="104" t="str">
        <f>Y7</f>
        <v>4Q23</v>
      </c>
      <c r="Z82" s="104" t="str">
        <f>Z7</f>
        <v>1Q24</v>
      </c>
      <c r="AA82" s="104" t="str">
        <f>AA7</f>
        <v>2Q24</v>
      </c>
      <c r="AB82" s="104" t="str">
        <f>AB7</f>
        <v>3Q24</v>
      </c>
      <c r="AC82" s="104" t="str">
        <f>AC7</f>
        <v>4Q24</v>
      </c>
      <c r="AD82" s="104" t="str">
        <f>AD7</f>
        <v>1Q25</v>
      </c>
      <c r="AE82" s="104" t="str">
        <f>AE7</f>
        <v>2Q25</v>
      </c>
      <c r="AF82" s="104" t="str">
        <f>AF7</f>
        <v>3Q25</v>
      </c>
      <c r="AG82" s="103"/>
      <c r="AH82" s="164"/>
    </row>
    <row r="83" spans="1:34" ht="12.75" customHeight="1">
      <c r="B83" s="99" t="str">
        <f>B8</f>
        <v>Fiscal Period End Date</v>
      </c>
      <c r="C83" s="105">
        <f>C8</f>
        <v>0</v>
      </c>
      <c r="D83" s="105">
        <f>D8</f>
        <v>0</v>
      </c>
      <c r="E83" s="105">
        <f>E8</f>
        <v>0</v>
      </c>
      <c r="F83" s="105">
        <f>F8</f>
        <v>0</v>
      </c>
      <c r="G83" s="105">
        <f>G8</f>
        <v>0</v>
      </c>
      <c r="H83" s="103"/>
      <c r="I83" s="105">
        <f>I8</f>
        <v>0</v>
      </c>
      <c r="J83" s="105">
        <f>J8</f>
        <v>0</v>
      </c>
      <c r="K83" s="105">
        <f>K8</f>
        <v>0</v>
      </c>
      <c r="L83" s="105">
        <f>L8</f>
        <v>0</v>
      </c>
      <c r="M83" s="105">
        <f>M8</f>
        <v>0</v>
      </c>
      <c r="N83" s="105">
        <f>N8</f>
        <v>0</v>
      </c>
      <c r="O83" s="105">
        <f>O8</f>
        <v>0</v>
      </c>
      <c r="P83" s="105">
        <f>P8</f>
        <v>0</v>
      </c>
      <c r="Q83" s="105">
        <f>Q8</f>
        <v>0</v>
      </c>
      <c r="R83" s="105">
        <f>R8</f>
        <v>0</v>
      </c>
      <c r="S83" s="105">
        <f>S8</f>
        <v>0</v>
      </c>
      <c r="T83" s="105">
        <f>T8</f>
        <v>0</v>
      </c>
      <c r="U83" s="105">
        <f>U8</f>
        <v>0</v>
      </c>
      <c r="V83" s="105">
        <f>V8</f>
        <v>0</v>
      </c>
      <c r="W83" s="105">
        <f>W8</f>
        <v>0</v>
      </c>
      <c r="X83" s="105"/>
      <c r="Y83" s="105">
        <f>Y8</f>
        <v>0</v>
      </c>
      <c r="Z83" s="105">
        <f>Z8</f>
        <v>0</v>
      </c>
      <c r="AA83" s="105">
        <f>AA8</f>
        <v>0</v>
      </c>
      <c r="AB83" s="105">
        <f>AB8</f>
        <v>0</v>
      </c>
      <c r="AC83" s="105">
        <f>AC8</f>
        <v>0</v>
      </c>
      <c r="AD83" s="105">
        <f>AD8</f>
        <v>0</v>
      </c>
      <c r="AE83" s="105">
        <f>AE8</f>
        <v>0</v>
      </c>
      <c r="AF83" s="105">
        <f>AF8</f>
        <v>0</v>
      </c>
      <c r="AG83" s="103"/>
      <c r="AH83" s="164"/>
    </row>
    <row r="84" spans="1:34" ht="5.0999999999999996" customHeight="1">
      <c r="B84" s="54"/>
      <c r="C84" s="47"/>
      <c r="D84" s="47"/>
      <c r="E84" s="47"/>
      <c r="F84" s="47"/>
      <c r="G84" s="47"/>
    </row>
    <row r="85" spans="1:34" ht="12.75" customHeight="1">
      <c r="B85" s="55" t="s">
        <v>50</v>
      </c>
      <c r="C85" s="56"/>
      <c r="D85" s="56"/>
      <c r="E85" s="56"/>
      <c r="F85" s="56"/>
      <c r="G85" s="56"/>
    </row>
    <row r="86" spans="1:34" ht="12.75" customHeight="1">
      <c r="B86" s="57" t="s">
        <v>115</v>
      </c>
      <c r="C86" s="32">
        <f>C32</f>
        <v>259624</v>
      </c>
      <c r="D86" s="32">
        <f>D32</f>
        <v>302462</v>
      </c>
      <c r="E86" s="32">
        <f>E32</f>
        <v>298851</v>
      </c>
      <c r="F86" s="32">
        <f>F32</f>
        <v>351660</v>
      </c>
      <c r="G86" s="32">
        <f>G32</f>
        <v>408823</v>
      </c>
      <c r="H86" s="32"/>
      <c r="I86" s="32">
        <f>I32</f>
        <v>68854</v>
      </c>
      <c r="J86" s="32">
        <f>J32</f>
        <v>69263</v>
      </c>
      <c r="K86" s="32">
        <f>K32</f>
        <v>73139</v>
      </c>
      <c r="L86" s="32">
        <f>L32</f>
        <v>87595</v>
      </c>
      <c r="M86" s="32">
        <f>M32</f>
        <v>74124</v>
      </c>
      <c r="N86" s="32">
        <f>N32</f>
        <v>78519</v>
      </c>
      <c r="O86" s="32">
        <f>O32</f>
        <v>89292</v>
      </c>
      <c r="P86" s="32">
        <f>P32</f>
        <v>109725</v>
      </c>
      <c r="Q86" s="32">
        <f>Q32</f>
        <v>91400</v>
      </c>
      <c r="R86" s="32">
        <f>R32</f>
        <v>91404</v>
      </c>
      <c r="S86" s="32">
        <f>S32</f>
        <v>102350</v>
      </c>
      <c r="T86" s="32">
        <f>T32</f>
        <v>123669</v>
      </c>
      <c r="U86" s="32">
        <f>U32</f>
        <v>101000</v>
      </c>
      <c r="V86" s="32">
        <f>V32</f>
        <v>103743</v>
      </c>
      <c r="W86" s="32">
        <f>W32</f>
        <v>100282</v>
      </c>
      <c r="X86" s="32"/>
      <c r="Y86" s="32">
        <f>Y32</f>
        <v>351660</v>
      </c>
      <c r="Z86" s="32">
        <f>Z32</f>
        <v>368936</v>
      </c>
      <c r="AA86" s="32">
        <f>AA32</f>
        <v>381821</v>
      </c>
      <c r="AB86" s="32">
        <f>AB32</f>
        <v>394879</v>
      </c>
      <c r="AC86" s="32">
        <f>AC32</f>
        <v>408823</v>
      </c>
      <c r="AD86" s="32">
        <f>AD32</f>
        <v>418423</v>
      </c>
      <c r="AE86" s="32">
        <f>AE32</f>
        <v>430762</v>
      </c>
      <c r="AF86" s="32">
        <f>AF32</f>
        <v>428694</v>
      </c>
      <c r="AG86" s="11"/>
      <c r="AH86" s="75">
        <f>SUM(AF86/AB86)-1</f>
        <v>8.5633827071077473E-2</v>
      </c>
    </row>
    <row r="87" spans="1:34" ht="5.0999999999999996" customHeight="1"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Y87" s="32"/>
      <c r="Z87" s="32"/>
      <c r="AA87" s="32"/>
      <c r="AB87" s="32"/>
      <c r="AC87" s="32"/>
      <c r="AD87" s="32"/>
      <c r="AE87" s="32"/>
      <c r="AF87" s="32"/>
      <c r="AG87" s="11"/>
      <c r="AH87" s="75"/>
    </row>
    <row r="88" spans="1:34" ht="12.75" customHeight="1">
      <c r="B88" s="36" t="s">
        <v>57</v>
      </c>
      <c r="C88" s="32"/>
      <c r="D88" s="32"/>
      <c r="E88" s="32"/>
      <c r="F88" s="32"/>
      <c r="G88" s="32"/>
      <c r="H88" s="32"/>
      <c r="I88" s="82"/>
      <c r="J88" s="82"/>
      <c r="K88" s="82"/>
      <c r="L88" s="82"/>
      <c r="M88" s="82"/>
      <c r="N88" s="82"/>
      <c r="O88" s="82"/>
      <c r="P88" s="32"/>
      <c r="Q88" s="82"/>
      <c r="R88" s="82"/>
      <c r="S88" s="82"/>
      <c r="T88" s="32"/>
      <c r="U88" s="82"/>
      <c r="V88" s="82"/>
      <c r="W88" s="82"/>
      <c r="Y88" s="32"/>
      <c r="Z88" s="32"/>
      <c r="AA88" s="32"/>
      <c r="AB88" s="32"/>
      <c r="AC88" s="32"/>
      <c r="AD88" s="32"/>
      <c r="AE88" s="32"/>
      <c r="AF88" s="32"/>
      <c r="AG88" s="59"/>
      <c r="AH88" s="75"/>
    </row>
    <row r="89" spans="1:34" ht="12.75" customHeight="1">
      <c r="B89" s="60" t="s">
        <v>139</v>
      </c>
      <c r="C89" s="82"/>
      <c r="D89" s="82"/>
      <c r="E89" s="82"/>
      <c r="F89" s="82"/>
      <c r="G89" s="82"/>
      <c r="H89" s="32"/>
      <c r="I89" s="82"/>
      <c r="J89" s="82"/>
      <c r="K89" s="82"/>
      <c r="L89" s="82"/>
      <c r="M89" s="82"/>
      <c r="N89" s="82"/>
      <c r="O89" s="82"/>
      <c r="P89" s="32">
        <f>SUM(F89-SUM(M89:O89))</f>
        <v>0</v>
      </c>
      <c r="Q89" s="82"/>
      <c r="R89" s="82"/>
      <c r="S89" s="82"/>
      <c r="T89" s="32">
        <f>SUM(G89-SUM(Q89:S89))</f>
        <v>0</v>
      </c>
      <c r="U89" s="82"/>
      <c r="V89" s="82"/>
      <c r="W89" s="82"/>
      <c r="Y89" s="32">
        <f>SUM(M89:P89)</f>
        <v>0</v>
      </c>
      <c r="Z89" s="32">
        <f>SUM(N89:Q89)</f>
        <v>0</v>
      </c>
      <c r="AA89" s="32">
        <f>SUM(O89:R89)</f>
        <v>0</v>
      </c>
      <c r="AB89" s="32">
        <f>SUM(P89:S89)</f>
        <v>0</v>
      </c>
      <c r="AC89" s="32">
        <f>SUM(Q89:T89)</f>
        <v>0</v>
      </c>
      <c r="AD89" s="32">
        <f>SUM(R89:U89)</f>
        <v>0</v>
      </c>
      <c r="AE89" s="32">
        <f>SUM(S89:V89)</f>
        <v>0</v>
      </c>
      <c r="AF89" s="32">
        <f>SUM(T89:W89)</f>
        <v>0</v>
      </c>
      <c r="AG89" s="11"/>
      <c r="AH89" s="75" t="e">
        <f t="shared" ref="AH89:AH95" si="134">SUM(AF89/AB89)-1</f>
        <v>#DIV/0!</v>
      </c>
    </row>
    <row r="90" spans="1:34" ht="12.75" customHeight="1">
      <c r="B90" s="60" t="s">
        <v>140</v>
      </c>
      <c r="C90" s="82"/>
      <c r="D90" s="82"/>
      <c r="E90" s="82"/>
      <c r="F90" s="82"/>
      <c r="G90" s="82"/>
      <c r="H90" s="32"/>
      <c r="I90" s="82"/>
      <c r="J90" s="82"/>
      <c r="K90" s="82"/>
      <c r="L90" s="82"/>
      <c r="M90" s="82"/>
      <c r="N90" s="82"/>
      <c r="O90" s="82"/>
      <c r="P90" s="32">
        <f>SUM(F90-SUM(M90:O90))</f>
        <v>0</v>
      </c>
      <c r="Q90" s="82"/>
      <c r="R90" s="82"/>
      <c r="S90" s="82"/>
      <c r="T90" s="32">
        <f>SUM(G90-SUM(Q90:S90))</f>
        <v>0</v>
      </c>
      <c r="U90" s="82"/>
      <c r="V90" s="82"/>
      <c r="W90" s="82"/>
      <c r="Y90" s="32">
        <f>SUM(M90:P90)</f>
        <v>0</v>
      </c>
      <c r="Z90" s="32">
        <f>SUM(N90:Q90)</f>
        <v>0</v>
      </c>
      <c r="AA90" s="32">
        <f>SUM(O90:R90)</f>
        <v>0</v>
      </c>
      <c r="AB90" s="32">
        <f>SUM(P90:S90)</f>
        <v>0</v>
      </c>
      <c r="AC90" s="32">
        <f>SUM(Q90:T90)</f>
        <v>0</v>
      </c>
      <c r="AD90" s="32">
        <f>SUM(R90:U90)</f>
        <v>0</v>
      </c>
      <c r="AE90" s="32">
        <f>SUM(S90:V90)</f>
        <v>0</v>
      </c>
      <c r="AF90" s="32">
        <f>SUM(T90:W90)</f>
        <v>0</v>
      </c>
      <c r="AG90" s="11"/>
      <c r="AH90" s="75" t="e">
        <f t="shared" ref="AH90" si="135">SUM(AF90/AB90)-1</f>
        <v>#DIV/0!</v>
      </c>
    </row>
    <row r="91" spans="1:34" ht="12.75" customHeight="1">
      <c r="B91" s="60" t="s">
        <v>141</v>
      </c>
      <c r="C91" s="82"/>
      <c r="D91" s="82"/>
      <c r="E91" s="82"/>
      <c r="F91" s="82"/>
      <c r="G91" s="82"/>
      <c r="H91" s="32"/>
      <c r="I91" s="82"/>
      <c r="J91" s="82"/>
      <c r="K91" s="82"/>
      <c r="L91" s="82"/>
      <c r="M91" s="82"/>
      <c r="N91" s="82"/>
      <c r="O91" s="82"/>
      <c r="P91" s="32">
        <f>SUM(F91-SUM(M91:O91))</f>
        <v>0</v>
      </c>
      <c r="Q91" s="82"/>
      <c r="R91" s="82"/>
      <c r="S91" s="82"/>
      <c r="T91" s="32">
        <f>SUM(G91-SUM(Q91:S91))</f>
        <v>0</v>
      </c>
      <c r="U91" s="82"/>
      <c r="V91" s="82"/>
      <c r="W91" s="82"/>
      <c r="Y91" s="32">
        <f>SUM(M91:P91)</f>
        <v>0</v>
      </c>
      <c r="Z91" s="32">
        <f>SUM(N91:Q91)</f>
        <v>0</v>
      </c>
      <c r="AA91" s="32">
        <f>SUM(O91:R91)</f>
        <v>0</v>
      </c>
      <c r="AB91" s="32">
        <f>SUM(P91:S91)</f>
        <v>0</v>
      </c>
      <c r="AC91" s="32">
        <f>SUM(Q91:T91)</f>
        <v>0</v>
      </c>
      <c r="AD91" s="32">
        <f>SUM(R91:U91)</f>
        <v>0</v>
      </c>
      <c r="AE91" s="32">
        <f>SUM(S91:V91)</f>
        <v>0</v>
      </c>
      <c r="AF91" s="32">
        <f>SUM(T91:W91)</f>
        <v>0</v>
      </c>
      <c r="AG91" s="11"/>
      <c r="AH91" s="75" t="e">
        <f t="shared" si="134"/>
        <v>#DIV/0!</v>
      </c>
    </row>
    <row r="92" spans="1:34" ht="12.75" customHeight="1">
      <c r="B92" s="60" t="s">
        <v>142</v>
      </c>
      <c r="C92" s="82"/>
      <c r="D92" s="82"/>
      <c r="E92" s="82"/>
      <c r="F92" s="82"/>
      <c r="G92" s="82"/>
      <c r="H92" s="32"/>
      <c r="I92" s="82"/>
      <c r="J92" s="82"/>
      <c r="K92" s="82"/>
      <c r="L92" s="82"/>
      <c r="M92" s="82"/>
      <c r="N92" s="82"/>
      <c r="O92" s="82"/>
      <c r="P92" s="32">
        <f>SUM(F92-SUM(M92:O92))</f>
        <v>0</v>
      </c>
      <c r="Q92" s="82"/>
      <c r="R92" s="82"/>
      <c r="S92" s="82"/>
      <c r="T92" s="32">
        <f>SUM(G92-SUM(Q92:S92))</f>
        <v>0</v>
      </c>
      <c r="U92" s="82"/>
      <c r="V92" s="82"/>
      <c r="W92" s="82"/>
      <c r="Y92" s="32">
        <f>SUM(M92:P92)</f>
        <v>0</v>
      </c>
      <c r="Z92" s="32">
        <f>SUM(N92:Q92)</f>
        <v>0</v>
      </c>
      <c r="AA92" s="32">
        <f>SUM(O92:R92)</f>
        <v>0</v>
      </c>
      <c r="AB92" s="32">
        <f>SUM(P92:S92)</f>
        <v>0</v>
      </c>
      <c r="AC92" s="32">
        <f>SUM(Q92:T92)</f>
        <v>0</v>
      </c>
      <c r="AD92" s="32">
        <f>SUM(R92:U92)</f>
        <v>0</v>
      </c>
      <c r="AE92" s="32">
        <f>SUM(S92:V92)</f>
        <v>0</v>
      </c>
      <c r="AF92" s="32">
        <f>SUM(T92:W92)</f>
        <v>0</v>
      </c>
      <c r="AG92" s="11"/>
      <c r="AH92" s="75" t="e">
        <f t="shared" si="134"/>
        <v>#DIV/0!</v>
      </c>
    </row>
    <row r="93" spans="1:34" ht="12.75" customHeight="1">
      <c r="B93" s="60" t="s">
        <v>143</v>
      </c>
      <c r="C93" s="82"/>
      <c r="D93" s="82"/>
      <c r="E93" s="82"/>
      <c r="F93" s="82"/>
      <c r="G93" s="82"/>
      <c r="H93" s="32"/>
      <c r="I93" s="82"/>
      <c r="J93" s="82"/>
      <c r="K93" s="82"/>
      <c r="L93" s="82"/>
      <c r="M93" s="82"/>
      <c r="N93" s="82"/>
      <c r="O93" s="82"/>
      <c r="P93" s="32">
        <f>SUM(F93-SUM(M93:O93))</f>
        <v>0</v>
      </c>
      <c r="Q93" s="82"/>
      <c r="R93" s="82"/>
      <c r="S93" s="82"/>
      <c r="T93" s="32">
        <f>SUM(G93-SUM(Q93:S93))</f>
        <v>0</v>
      </c>
      <c r="U93" s="82"/>
      <c r="V93" s="82"/>
      <c r="W93" s="82"/>
      <c r="Y93" s="32">
        <f>SUM(M93:P93)</f>
        <v>0</v>
      </c>
      <c r="Z93" s="32">
        <f>SUM(N93:Q93)</f>
        <v>0</v>
      </c>
      <c r="AA93" s="32">
        <f>SUM(O93:R93)</f>
        <v>0</v>
      </c>
      <c r="AB93" s="32">
        <f>SUM(P93:S93)</f>
        <v>0</v>
      </c>
      <c r="AC93" s="32">
        <f>SUM(Q93:T93)</f>
        <v>0</v>
      </c>
      <c r="AD93" s="32">
        <f>SUM(R93:U93)</f>
        <v>0</v>
      </c>
      <c r="AE93" s="32">
        <f>SUM(S93:V93)</f>
        <v>0</v>
      </c>
      <c r="AF93" s="32">
        <f>SUM(T93:W93)</f>
        <v>0</v>
      </c>
      <c r="AG93" s="11"/>
      <c r="AH93" s="75" t="e">
        <f t="shared" si="134"/>
        <v>#DIV/0!</v>
      </c>
    </row>
    <row r="94" spans="1:34" ht="12.75" customHeight="1">
      <c r="B94" s="60" t="s">
        <v>144</v>
      </c>
      <c r="C94" s="82"/>
      <c r="D94" s="82"/>
      <c r="E94" s="82"/>
      <c r="F94" s="82"/>
      <c r="G94" s="82"/>
      <c r="H94" s="32"/>
      <c r="I94" s="82"/>
      <c r="J94" s="82"/>
      <c r="K94" s="82"/>
      <c r="L94" s="82"/>
      <c r="M94" s="82"/>
      <c r="N94" s="82"/>
      <c r="O94" s="82"/>
      <c r="P94" s="32">
        <f>SUM(F94-SUM(M94:O94))</f>
        <v>0</v>
      </c>
      <c r="Q94" s="82"/>
      <c r="R94" s="82"/>
      <c r="S94" s="82"/>
      <c r="T94" s="32">
        <f>SUM(G94-SUM(Q94:S94))</f>
        <v>0</v>
      </c>
      <c r="U94" s="82"/>
      <c r="V94" s="82"/>
      <c r="W94" s="82"/>
      <c r="Y94" s="32">
        <f>SUM(M94:P94)</f>
        <v>0</v>
      </c>
      <c r="Z94" s="32">
        <f>SUM(N94:Q94)</f>
        <v>0</v>
      </c>
      <c r="AA94" s="32">
        <f>SUM(O94:R94)</f>
        <v>0</v>
      </c>
      <c r="AB94" s="32">
        <f>SUM(P94:S94)</f>
        <v>0</v>
      </c>
      <c r="AC94" s="32">
        <f>SUM(Q94:T94)</f>
        <v>0</v>
      </c>
      <c r="AD94" s="32">
        <f>SUM(R94:U94)</f>
        <v>0</v>
      </c>
      <c r="AE94" s="32">
        <f>SUM(S94:V94)</f>
        <v>0</v>
      </c>
      <c r="AF94" s="32">
        <f>SUM(T94:W94)</f>
        <v>0</v>
      </c>
      <c r="AG94" s="11"/>
      <c r="AH94" s="75" t="e">
        <f t="shared" si="134"/>
        <v>#DIV/0!</v>
      </c>
    </row>
    <row r="95" spans="1:34" ht="12.75" customHeight="1">
      <c r="B95" s="13" t="s">
        <v>51</v>
      </c>
      <c r="C95" s="14">
        <f t="shared" ref="C95:G95" si="136">SUM(C86:C94)</f>
        <v>259624</v>
      </c>
      <c r="D95" s="14">
        <f t="shared" si="136"/>
        <v>302462</v>
      </c>
      <c r="E95" s="14">
        <f t="shared" si="136"/>
        <v>298851</v>
      </c>
      <c r="F95" s="14">
        <f t="shared" si="136"/>
        <v>351660</v>
      </c>
      <c r="G95" s="14">
        <f t="shared" si="136"/>
        <v>408823</v>
      </c>
      <c r="I95" s="14">
        <f t="shared" ref="I95:L95" si="137">SUM(I86:I94)</f>
        <v>68854</v>
      </c>
      <c r="J95" s="14">
        <f t="shared" ref="J95" si="138">SUM(J86:J94)</f>
        <v>69263</v>
      </c>
      <c r="K95" s="14">
        <f t="shared" si="137"/>
        <v>73139</v>
      </c>
      <c r="L95" s="14">
        <f t="shared" si="137"/>
        <v>87595</v>
      </c>
      <c r="M95" s="14">
        <f t="shared" ref="M95:W95" si="139">SUM(M86:M94)</f>
        <v>74124</v>
      </c>
      <c r="N95" s="14">
        <f t="shared" si="139"/>
        <v>78519</v>
      </c>
      <c r="O95" s="14">
        <f t="shared" si="139"/>
        <v>89292</v>
      </c>
      <c r="P95" s="14">
        <f t="shared" si="139"/>
        <v>109725</v>
      </c>
      <c r="Q95" s="14">
        <f t="shared" si="139"/>
        <v>91400</v>
      </c>
      <c r="R95" s="14">
        <f t="shared" si="139"/>
        <v>91404</v>
      </c>
      <c r="S95" s="14">
        <f t="shared" si="139"/>
        <v>102350</v>
      </c>
      <c r="T95" s="14">
        <f t="shared" si="139"/>
        <v>123669</v>
      </c>
      <c r="U95" s="14">
        <f t="shared" si="139"/>
        <v>101000</v>
      </c>
      <c r="V95" s="14">
        <f t="shared" si="139"/>
        <v>103743</v>
      </c>
      <c r="W95" s="14">
        <f t="shared" si="139"/>
        <v>100282</v>
      </c>
      <c r="Y95" s="14">
        <f t="shared" ref="Y95:AF95" si="140">SUM(Y86:Y94)</f>
        <v>351660</v>
      </c>
      <c r="Z95" s="14">
        <f t="shared" si="140"/>
        <v>368936</v>
      </c>
      <c r="AA95" s="14">
        <f t="shared" si="140"/>
        <v>381821</v>
      </c>
      <c r="AB95" s="14">
        <f t="shared" si="140"/>
        <v>394879</v>
      </c>
      <c r="AC95" s="14">
        <f t="shared" si="140"/>
        <v>408823</v>
      </c>
      <c r="AD95" s="14">
        <f t="shared" si="140"/>
        <v>418423</v>
      </c>
      <c r="AE95" s="14">
        <f t="shared" si="140"/>
        <v>430762</v>
      </c>
      <c r="AF95" s="14">
        <f t="shared" si="140"/>
        <v>428694</v>
      </c>
      <c r="AG95" s="42"/>
      <c r="AH95" s="76">
        <f t="shared" si="134"/>
        <v>8.5633827071077473E-2</v>
      </c>
    </row>
    <row r="96" spans="1:34" ht="12.75" customHeight="1">
      <c r="B96" s="53"/>
      <c r="C96" s="61"/>
      <c r="D96" s="61"/>
      <c r="E96" s="61"/>
      <c r="F96" s="61"/>
      <c r="G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Y96" s="42"/>
      <c r="Z96" s="42"/>
      <c r="AA96" s="42"/>
      <c r="AB96" s="42"/>
      <c r="AC96" s="42"/>
      <c r="AD96" s="42"/>
      <c r="AE96" s="42"/>
      <c r="AF96" s="42"/>
      <c r="AG96" s="42"/>
      <c r="AH96" s="39"/>
    </row>
    <row r="97" spans="2:34" ht="12.75" customHeight="1">
      <c r="B97" s="53" t="s">
        <v>52</v>
      </c>
      <c r="C97" s="58"/>
      <c r="D97" s="58"/>
      <c r="E97" s="58"/>
      <c r="F97" s="58"/>
      <c r="G97" s="58"/>
      <c r="I97" s="82"/>
      <c r="J97" s="82"/>
      <c r="K97" s="82"/>
      <c r="L97" s="82"/>
      <c r="M97" s="82"/>
      <c r="N97" s="82"/>
      <c r="O97" s="82"/>
      <c r="P97" s="32"/>
      <c r="Q97" s="82"/>
      <c r="R97" s="82"/>
      <c r="S97" s="82"/>
      <c r="T97" s="32"/>
      <c r="U97" s="58"/>
      <c r="V97" s="58"/>
      <c r="W97" s="58"/>
      <c r="Y97" s="58"/>
      <c r="Z97" s="58"/>
      <c r="AA97" s="58"/>
      <c r="AB97" s="58"/>
      <c r="AC97" s="58"/>
      <c r="AD97" s="58"/>
      <c r="AE97" s="58"/>
      <c r="AF97" s="58"/>
      <c r="AG97" s="59"/>
      <c r="AH97" s="75"/>
    </row>
    <row r="98" spans="2:34" ht="12.75" customHeight="1">
      <c r="B98" s="60" t="s">
        <v>145</v>
      </c>
      <c r="C98" s="82"/>
      <c r="D98" s="82"/>
      <c r="E98" s="82"/>
      <c r="F98" s="82"/>
      <c r="G98" s="82"/>
      <c r="H98" s="32"/>
      <c r="I98" s="82"/>
      <c r="J98" s="82"/>
      <c r="K98" s="82"/>
      <c r="L98" s="82"/>
      <c r="M98" s="82"/>
      <c r="N98" s="82"/>
      <c r="O98" s="82"/>
      <c r="P98" s="32">
        <f>SUM(F98-SUM(M98:O98))</f>
        <v>0</v>
      </c>
      <c r="Q98" s="82"/>
      <c r="R98" s="82"/>
      <c r="S98" s="82"/>
      <c r="T98" s="32">
        <f>SUM(G98-SUM(Q98:S98))</f>
        <v>0</v>
      </c>
      <c r="U98" s="82"/>
      <c r="V98" s="82"/>
      <c r="W98" s="82"/>
      <c r="X98" s="32"/>
      <c r="Y98" s="32">
        <f>SUM(M98:P98)</f>
        <v>0</v>
      </c>
      <c r="Z98" s="32">
        <f>SUM(N98:Q98)</f>
        <v>0</v>
      </c>
      <c r="AA98" s="32">
        <f>SUM(O98:R98)</f>
        <v>0</v>
      </c>
      <c r="AB98" s="32">
        <f>SUM(P98:S98)</f>
        <v>0</v>
      </c>
      <c r="AC98" s="32">
        <f>SUM(Q98:T98)</f>
        <v>0</v>
      </c>
      <c r="AD98" s="32">
        <f>SUM(R98:U98)</f>
        <v>0</v>
      </c>
      <c r="AE98" s="32">
        <f>SUM(S98:V98)</f>
        <v>0</v>
      </c>
      <c r="AF98" s="32">
        <f>SUM(T98:W98)</f>
        <v>0</v>
      </c>
      <c r="AG98" s="59"/>
      <c r="AH98" s="75" t="e">
        <f t="shared" ref="AH98:AH101" si="141">SUM(AF98/AB98)-1</f>
        <v>#DIV/0!</v>
      </c>
    </row>
    <row r="99" spans="2:34" ht="12.75" customHeight="1">
      <c r="B99" s="60" t="s">
        <v>146</v>
      </c>
      <c r="C99" s="82"/>
      <c r="D99" s="82"/>
      <c r="E99" s="82"/>
      <c r="F99" s="82"/>
      <c r="G99" s="82"/>
      <c r="H99" s="32"/>
      <c r="I99" s="82"/>
      <c r="J99" s="82"/>
      <c r="K99" s="82"/>
      <c r="L99" s="82"/>
      <c r="M99" s="82"/>
      <c r="N99" s="82"/>
      <c r="O99" s="82"/>
      <c r="P99" s="32">
        <f>SUM(F99-SUM(M99:O99))</f>
        <v>0</v>
      </c>
      <c r="Q99" s="82"/>
      <c r="R99" s="82"/>
      <c r="S99" s="82"/>
      <c r="T99" s="32">
        <f>SUM(G99-SUM(Q99:S99))</f>
        <v>0</v>
      </c>
      <c r="U99" s="82"/>
      <c r="V99" s="82"/>
      <c r="W99" s="82"/>
      <c r="X99" s="32"/>
      <c r="Y99" s="32">
        <f>SUM(M99:P99)</f>
        <v>0</v>
      </c>
      <c r="Z99" s="32">
        <f>SUM(N99:Q99)</f>
        <v>0</v>
      </c>
      <c r="AA99" s="32">
        <f>SUM(O99:R99)</f>
        <v>0</v>
      </c>
      <c r="AB99" s="32">
        <f>SUM(P99:S99)</f>
        <v>0</v>
      </c>
      <c r="AC99" s="32">
        <f>SUM(Q99:T99)</f>
        <v>0</v>
      </c>
      <c r="AD99" s="32">
        <f>SUM(R99:U99)</f>
        <v>0</v>
      </c>
      <c r="AE99" s="32">
        <f>SUM(S99:V99)</f>
        <v>0</v>
      </c>
      <c r="AF99" s="32">
        <f>SUM(T99:W99)</f>
        <v>0</v>
      </c>
      <c r="AG99" s="59"/>
      <c r="AH99" s="75" t="e">
        <f t="shared" si="141"/>
        <v>#DIV/0!</v>
      </c>
    </row>
    <row r="100" spans="2:34" ht="12.75" customHeight="1">
      <c r="B100" s="60" t="s">
        <v>147</v>
      </c>
      <c r="C100" s="82"/>
      <c r="D100" s="82"/>
      <c r="E100" s="82"/>
      <c r="F100" s="82"/>
      <c r="G100" s="82"/>
      <c r="H100" s="32"/>
      <c r="I100" s="82"/>
      <c r="J100" s="82"/>
      <c r="K100" s="82"/>
      <c r="L100" s="82"/>
      <c r="M100" s="82"/>
      <c r="N100" s="82"/>
      <c r="O100" s="82"/>
      <c r="P100" s="32">
        <f>SUM(F100-SUM(M100:O100))</f>
        <v>0</v>
      </c>
      <c r="Q100" s="82"/>
      <c r="R100" s="82"/>
      <c r="S100" s="82"/>
      <c r="T100" s="32">
        <f>SUM(G100-SUM(Q100:S100))</f>
        <v>0</v>
      </c>
      <c r="U100" s="82"/>
      <c r="V100" s="82"/>
      <c r="W100" s="82"/>
      <c r="X100" s="32"/>
      <c r="Y100" s="32">
        <f>SUM(M100:P100)</f>
        <v>0</v>
      </c>
      <c r="Z100" s="32">
        <f>SUM(N100:Q100)</f>
        <v>0</v>
      </c>
      <c r="AA100" s="32">
        <f>SUM(O100:R100)</f>
        <v>0</v>
      </c>
      <c r="AB100" s="32">
        <f>SUM(P100:S100)</f>
        <v>0</v>
      </c>
      <c r="AC100" s="32">
        <f>SUM(Q100:T100)</f>
        <v>0</v>
      </c>
      <c r="AD100" s="32">
        <f>SUM(R100:U100)</f>
        <v>0</v>
      </c>
      <c r="AE100" s="32">
        <f>SUM(S100:V100)</f>
        <v>0</v>
      </c>
      <c r="AF100" s="32">
        <f>SUM(T100:W100)</f>
        <v>0</v>
      </c>
      <c r="AG100" s="59"/>
      <c r="AH100" s="75" t="e">
        <f t="shared" si="141"/>
        <v>#DIV/0!</v>
      </c>
    </row>
    <row r="101" spans="2:34" ht="12.75" customHeight="1">
      <c r="B101" s="60" t="s">
        <v>148</v>
      </c>
      <c r="C101" s="82"/>
      <c r="D101" s="82"/>
      <c r="E101" s="82"/>
      <c r="F101" s="82"/>
      <c r="G101" s="82"/>
      <c r="H101" s="32"/>
      <c r="I101" s="82"/>
      <c r="J101" s="82"/>
      <c r="K101" s="82"/>
      <c r="L101" s="82"/>
      <c r="M101" s="82"/>
      <c r="N101" s="82"/>
      <c r="O101" s="82"/>
      <c r="P101" s="32">
        <f>SUM(F101-SUM(M101:O101))</f>
        <v>0</v>
      </c>
      <c r="Q101" s="82"/>
      <c r="R101" s="82"/>
      <c r="S101" s="82"/>
      <c r="T101" s="32">
        <f>SUM(G101-SUM(Q101:S101))</f>
        <v>0</v>
      </c>
      <c r="U101" s="82"/>
      <c r="V101" s="82"/>
      <c r="W101" s="82"/>
      <c r="X101" s="32"/>
      <c r="Y101" s="32">
        <f>SUM(M101:P101)</f>
        <v>0</v>
      </c>
      <c r="Z101" s="32">
        <f>SUM(N101:Q101)</f>
        <v>0</v>
      </c>
      <c r="AA101" s="32">
        <f>SUM(O101:R101)</f>
        <v>0</v>
      </c>
      <c r="AB101" s="32">
        <f>SUM(P101:S101)</f>
        <v>0</v>
      </c>
      <c r="AC101" s="32">
        <f>SUM(Q101:T101)</f>
        <v>0</v>
      </c>
      <c r="AD101" s="32">
        <f>SUM(R101:U101)</f>
        <v>0</v>
      </c>
      <c r="AE101" s="32">
        <f>SUM(S101:V101)</f>
        <v>0</v>
      </c>
      <c r="AF101" s="32">
        <f>SUM(T101:W101)</f>
        <v>0</v>
      </c>
      <c r="AG101" s="59"/>
      <c r="AH101" s="75" t="e">
        <f t="shared" si="141"/>
        <v>#DIV/0!</v>
      </c>
    </row>
    <row r="102" spans="2:34" ht="12.75" customHeight="1">
      <c r="B102" s="13" t="s">
        <v>53</v>
      </c>
      <c r="C102" s="14">
        <f t="shared" ref="C102:G102" si="142">SUM(C98:C101)</f>
        <v>0</v>
      </c>
      <c r="D102" s="14">
        <f t="shared" si="142"/>
        <v>0</v>
      </c>
      <c r="E102" s="14">
        <f t="shared" si="142"/>
        <v>0</v>
      </c>
      <c r="F102" s="14">
        <f t="shared" si="142"/>
        <v>0</v>
      </c>
      <c r="G102" s="14">
        <f t="shared" si="142"/>
        <v>0</v>
      </c>
      <c r="I102" s="14">
        <f t="shared" ref="I102:L102" si="143">SUM(I98:I101)</f>
        <v>0</v>
      </c>
      <c r="J102" s="14">
        <f t="shared" ref="J102" si="144">SUM(J98:J101)</f>
        <v>0</v>
      </c>
      <c r="K102" s="14">
        <f t="shared" si="143"/>
        <v>0</v>
      </c>
      <c r="L102" s="14">
        <f t="shared" si="143"/>
        <v>0</v>
      </c>
      <c r="M102" s="14">
        <f t="shared" ref="M102:W102" si="145">SUM(M98:M101)</f>
        <v>0</v>
      </c>
      <c r="N102" s="14">
        <f t="shared" si="145"/>
        <v>0</v>
      </c>
      <c r="O102" s="14">
        <f t="shared" si="145"/>
        <v>0</v>
      </c>
      <c r="P102" s="14">
        <f t="shared" si="145"/>
        <v>0</v>
      </c>
      <c r="Q102" s="14">
        <f t="shared" si="145"/>
        <v>0</v>
      </c>
      <c r="R102" s="14">
        <f t="shared" si="145"/>
        <v>0</v>
      </c>
      <c r="S102" s="14">
        <f t="shared" si="145"/>
        <v>0</v>
      </c>
      <c r="T102" s="14">
        <f t="shared" si="145"/>
        <v>0</v>
      </c>
      <c r="U102" s="14">
        <f t="shared" si="145"/>
        <v>0</v>
      </c>
      <c r="V102" s="14">
        <f t="shared" si="145"/>
        <v>0</v>
      </c>
      <c r="W102" s="14">
        <f t="shared" si="145"/>
        <v>0</v>
      </c>
      <c r="Y102" s="14">
        <f t="shared" ref="Y102:AF102" si="146">SUM(Y101:Y101)</f>
        <v>0</v>
      </c>
      <c r="Z102" s="14">
        <f t="shared" si="146"/>
        <v>0</v>
      </c>
      <c r="AA102" s="14">
        <f t="shared" si="146"/>
        <v>0</v>
      </c>
      <c r="AB102" s="14">
        <f t="shared" si="146"/>
        <v>0</v>
      </c>
      <c r="AC102" s="14">
        <f t="shared" si="146"/>
        <v>0</v>
      </c>
      <c r="AD102" s="14">
        <f t="shared" si="146"/>
        <v>0</v>
      </c>
      <c r="AE102" s="14">
        <f t="shared" si="146"/>
        <v>0</v>
      </c>
      <c r="AF102" s="14">
        <f t="shared" si="146"/>
        <v>0</v>
      </c>
      <c r="AG102" s="42"/>
      <c r="AH102" s="76" t="e">
        <f t="shared" ref="AH102:AH108" si="147">SUM(AF102/AB102)-1</f>
        <v>#DIV/0!</v>
      </c>
    </row>
    <row r="103" spans="2:34" ht="5.0999999999999996" customHeight="1">
      <c r="B103" s="52"/>
      <c r="C103" s="61"/>
      <c r="D103" s="61"/>
      <c r="E103" s="61"/>
      <c r="F103" s="61"/>
      <c r="G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Y103" s="42"/>
      <c r="Z103" s="42"/>
      <c r="AA103" s="42"/>
      <c r="AB103" s="42"/>
      <c r="AC103" s="42"/>
      <c r="AD103" s="42"/>
      <c r="AE103" s="42"/>
      <c r="AF103" s="42"/>
      <c r="AG103" s="42"/>
      <c r="AH103" s="39"/>
    </row>
    <row r="104" spans="2:34" ht="12.75" customHeight="1">
      <c r="B104" s="53" t="s">
        <v>54</v>
      </c>
      <c r="C104" s="63"/>
      <c r="D104" s="63"/>
      <c r="E104" s="63"/>
      <c r="F104" s="63"/>
      <c r="G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32"/>
      <c r="Y104" s="32"/>
      <c r="Z104" s="32"/>
      <c r="AA104" s="32"/>
      <c r="AB104" s="32"/>
      <c r="AC104" s="32"/>
      <c r="AD104" s="32"/>
      <c r="AE104" s="32"/>
      <c r="AF104" s="32"/>
      <c r="AG104" s="64"/>
      <c r="AH104" s="75"/>
    </row>
    <row r="105" spans="2:34" ht="12.75" customHeight="1">
      <c r="B105" s="84" t="s">
        <v>149</v>
      </c>
      <c r="C105" s="82"/>
      <c r="D105" s="82"/>
      <c r="E105" s="82"/>
      <c r="F105" s="82"/>
      <c r="G105" s="82"/>
      <c r="I105" s="82"/>
      <c r="J105" s="82"/>
      <c r="K105" s="82"/>
      <c r="L105" s="82"/>
      <c r="M105" s="82"/>
      <c r="N105" s="82"/>
      <c r="O105" s="82"/>
      <c r="P105" s="32">
        <f>SUM(F105-SUM(M105:O105))</f>
        <v>0</v>
      </c>
      <c r="Q105" s="82"/>
      <c r="R105" s="82"/>
      <c r="S105" s="82"/>
      <c r="T105" s="32">
        <f>SUM(G105-SUM(Q105:S105))</f>
        <v>0</v>
      </c>
      <c r="U105" s="82"/>
      <c r="V105" s="82"/>
      <c r="W105" s="82"/>
      <c r="X105" s="32"/>
      <c r="Y105" s="32">
        <f>SUM(M105:P105)</f>
        <v>0</v>
      </c>
      <c r="Z105" s="32">
        <f>SUM(N105:Q105)</f>
        <v>0</v>
      </c>
      <c r="AA105" s="32">
        <f>SUM(O105:R105)</f>
        <v>0</v>
      </c>
      <c r="AB105" s="32">
        <f>SUM(P105:S105)</f>
        <v>0</v>
      </c>
      <c r="AC105" s="32">
        <f>SUM(Q105:T105)</f>
        <v>0</v>
      </c>
      <c r="AD105" s="32">
        <f>SUM(R105:U105)</f>
        <v>0</v>
      </c>
      <c r="AE105" s="32">
        <f>SUM(S105:V105)</f>
        <v>0</v>
      </c>
      <c r="AF105" s="32">
        <f>SUM(T105:W105)</f>
        <v>0</v>
      </c>
      <c r="AG105" s="64"/>
      <c r="AH105" s="75" t="e">
        <f t="shared" si="147"/>
        <v>#DIV/0!</v>
      </c>
    </row>
    <row r="106" spans="2:34" ht="12.75" customHeight="1">
      <c r="B106" s="84" t="s">
        <v>150</v>
      </c>
      <c r="C106" s="82"/>
      <c r="D106" s="82"/>
      <c r="E106" s="82"/>
      <c r="F106" s="82"/>
      <c r="G106" s="82"/>
      <c r="I106" s="82"/>
      <c r="J106" s="82"/>
      <c r="K106" s="82"/>
      <c r="L106" s="82"/>
      <c r="M106" s="82"/>
      <c r="N106" s="82"/>
      <c r="O106" s="82"/>
      <c r="P106" s="32">
        <f>SUM(F106-SUM(M106:O106))</f>
        <v>0</v>
      </c>
      <c r="Q106" s="82"/>
      <c r="R106" s="82"/>
      <c r="S106" s="82"/>
      <c r="T106" s="32">
        <f>SUM(G106-SUM(Q106:S106))</f>
        <v>0</v>
      </c>
      <c r="U106" s="82"/>
      <c r="V106" s="82"/>
      <c r="W106" s="82"/>
      <c r="X106" s="32"/>
      <c r="Y106" s="32">
        <f>SUM(M106:P106)</f>
        <v>0</v>
      </c>
      <c r="Z106" s="32">
        <f>SUM(N106:Q106)</f>
        <v>0</v>
      </c>
      <c r="AA106" s="32">
        <f>SUM(O106:R106)</f>
        <v>0</v>
      </c>
      <c r="AB106" s="32">
        <f>SUM(P106:S106)</f>
        <v>0</v>
      </c>
      <c r="AC106" s="32">
        <f>SUM(Q106:T106)</f>
        <v>0</v>
      </c>
      <c r="AD106" s="32">
        <f>SUM(R106:U106)</f>
        <v>0</v>
      </c>
      <c r="AE106" s="32">
        <f>SUM(S106:V106)</f>
        <v>0</v>
      </c>
      <c r="AF106" s="32">
        <f>SUM(T106:W106)</f>
        <v>0</v>
      </c>
      <c r="AG106" s="64"/>
      <c r="AH106" s="75" t="e">
        <f t="shared" ref="AH106" si="148">SUM(AF106/AB106)-1</f>
        <v>#DIV/0!</v>
      </c>
    </row>
    <row r="107" spans="2:34" ht="12.75" customHeight="1">
      <c r="B107" s="84" t="s">
        <v>151</v>
      </c>
      <c r="C107" s="82"/>
      <c r="D107" s="82"/>
      <c r="E107" s="82"/>
      <c r="F107" s="82"/>
      <c r="G107" s="82"/>
      <c r="I107" s="82"/>
      <c r="J107" s="82"/>
      <c r="K107" s="82"/>
      <c r="L107" s="82"/>
      <c r="M107" s="82"/>
      <c r="N107" s="82"/>
      <c r="O107" s="82"/>
      <c r="P107" s="32">
        <f>SUM(F107-SUM(M107:O107))</f>
        <v>0</v>
      </c>
      <c r="Q107" s="82"/>
      <c r="R107" s="82"/>
      <c r="S107" s="82"/>
      <c r="T107" s="32">
        <f>SUM(G107-SUM(Q107:S107))</f>
        <v>0</v>
      </c>
      <c r="U107" s="82"/>
      <c r="V107" s="82"/>
      <c r="W107" s="82"/>
      <c r="X107" s="32"/>
      <c r="Y107" s="32">
        <f>SUM(M107:P107)</f>
        <v>0</v>
      </c>
      <c r="Z107" s="32">
        <f>SUM(N107:Q107)</f>
        <v>0</v>
      </c>
      <c r="AA107" s="32">
        <f>SUM(O107:R107)</f>
        <v>0</v>
      </c>
      <c r="AB107" s="32">
        <f>SUM(P107:S107)</f>
        <v>0</v>
      </c>
      <c r="AC107" s="32">
        <f>SUM(Q107:T107)</f>
        <v>0</v>
      </c>
      <c r="AD107" s="32">
        <f>SUM(R107:U107)</f>
        <v>0</v>
      </c>
      <c r="AE107" s="32">
        <f>SUM(S107:V107)</f>
        <v>0</v>
      </c>
      <c r="AF107" s="32">
        <f>SUM(T107:W107)</f>
        <v>0</v>
      </c>
      <c r="AG107" s="64"/>
      <c r="AH107" s="75" t="e">
        <f t="shared" si="147"/>
        <v>#DIV/0!</v>
      </c>
    </row>
    <row r="108" spans="2:34" ht="12.75" customHeight="1">
      <c r="B108" s="13" t="s">
        <v>55</v>
      </c>
      <c r="C108" s="14">
        <f t="shared" ref="C108:G108" si="149">SUM(C105:C107)</f>
        <v>0</v>
      </c>
      <c r="D108" s="14">
        <f t="shared" si="149"/>
        <v>0</v>
      </c>
      <c r="E108" s="14">
        <f t="shared" si="149"/>
        <v>0</v>
      </c>
      <c r="F108" s="14">
        <f t="shared" si="149"/>
        <v>0</v>
      </c>
      <c r="G108" s="14">
        <f t="shared" si="149"/>
        <v>0</v>
      </c>
      <c r="I108" s="14">
        <f t="shared" ref="I108:L108" si="150">SUM(I105:I107)</f>
        <v>0</v>
      </c>
      <c r="J108" s="14">
        <f t="shared" ref="J108" si="151">SUM(J105:J107)</f>
        <v>0</v>
      </c>
      <c r="K108" s="14">
        <f t="shared" si="150"/>
        <v>0</v>
      </c>
      <c r="L108" s="14">
        <f t="shared" si="150"/>
        <v>0</v>
      </c>
      <c r="M108" s="14">
        <f t="shared" ref="M108:W108" si="152">SUM(M105:M107)</f>
        <v>0</v>
      </c>
      <c r="N108" s="14">
        <f t="shared" si="152"/>
        <v>0</v>
      </c>
      <c r="O108" s="14">
        <f t="shared" si="152"/>
        <v>0</v>
      </c>
      <c r="P108" s="14">
        <f t="shared" si="152"/>
        <v>0</v>
      </c>
      <c r="Q108" s="14">
        <f t="shared" si="152"/>
        <v>0</v>
      </c>
      <c r="R108" s="14">
        <f t="shared" si="152"/>
        <v>0</v>
      </c>
      <c r="S108" s="14">
        <f t="shared" si="152"/>
        <v>0</v>
      </c>
      <c r="T108" s="14">
        <f t="shared" si="152"/>
        <v>0</v>
      </c>
      <c r="U108" s="14">
        <f t="shared" si="152"/>
        <v>0</v>
      </c>
      <c r="V108" s="14">
        <f t="shared" si="152"/>
        <v>0</v>
      </c>
      <c r="W108" s="14">
        <f t="shared" si="152"/>
        <v>0</v>
      </c>
      <c r="Y108" s="14">
        <f t="shared" ref="Y108:AF108" si="153">SUM(Y105:Y107)</f>
        <v>0</v>
      </c>
      <c r="Z108" s="14">
        <f t="shared" si="153"/>
        <v>0</v>
      </c>
      <c r="AA108" s="14">
        <f t="shared" si="153"/>
        <v>0</v>
      </c>
      <c r="AB108" s="14">
        <f t="shared" si="153"/>
        <v>0</v>
      </c>
      <c r="AC108" s="14">
        <f t="shared" si="153"/>
        <v>0</v>
      </c>
      <c r="AD108" s="14">
        <f t="shared" si="153"/>
        <v>0</v>
      </c>
      <c r="AE108" s="14">
        <f t="shared" si="153"/>
        <v>0</v>
      </c>
      <c r="AF108" s="14">
        <f t="shared" si="153"/>
        <v>0</v>
      </c>
      <c r="AG108" s="42"/>
      <c r="AH108" s="76" t="e">
        <f t="shared" si="147"/>
        <v>#DIV/0!</v>
      </c>
    </row>
    <row r="109" spans="2:34" ht="5.0999999999999996" customHeight="1">
      <c r="B109" s="71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11"/>
      <c r="AH109" s="45"/>
    </row>
    <row r="110" spans="2:34">
      <c r="B110" s="92" t="s">
        <v>81</v>
      </c>
      <c r="C110" s="93"/>
      <c r="D110" s="93">
        <f t="shared" ref="D110:G110" si="154">C117</f>
        <v>259624</v>
      </c>
      <c r="E110" s="93">
        <f t="shared" si="154"/>
        <v>562086</v>
      </c>
      <c r="F110" s="93">
        <f t="shared" si="154"/>
        <v>860937</v>
      </c>
      <c r="G110" s="93">
        <f t="shared" si="154"/>
        <v>1212597</v>
      </c>
      <c r="H110" s="93"/>
      <c r="I110" s="93"/>
      <c r="J110" s="93"/>
      <c r="K110" s="93"/>
      <c r="L110" s="93"/>
      <c r="M110" s="93"/>
      <c r="N110" s="93">
        <f t="shared" ref="N110:W110" si="155">M117</f>
        <v>74124</v>
      </c>
      <c r="O110" s="93">
        <f t="shared" si="155"/>
        <v>152643</v>
      </c>
      <c r="P110" s="93">
        <f t="shared" si="155"/>
        <v>241935</v>
      </c>
      <c r="Q110" s="93">
        <f t="shared" si="155"/>
        <v>351660</v>
      </c>
      <c r="R110" s="93">
        <f t="shared" si="155"/>
        <v>443060</v>
      </c>
      <c r="S110" s="93">
        <f t="shared" si="155"/>
        <v>534464</v>
      </c>
      <c r="T110" s="93">
        <f t="shared" si="155"/>
        <v>636814</v>
      </c>
      <c r="U110" s="93">
        <f t="shared" si="155"/>
        <v>760483</v>
      </c>
      <c r="V110" s="93">
        <f t="shared" si="155"/>
        <v>861483</v>
      </c>
      <c r="W110" s="93">
        <f t="shared" si="155"/>
        <v>965226</v>
      </c>
      <c r="X110" s="93"/>
      <c r="Y110" s="93"/>
      <c r="Z110" s="93">
        <f t="shared" ref="Z110:AF110" si="156">M117</f>
        <v>74124</v>
      </c>
      <c r="AA110" s="93">
        <f t="shared" si="156"/>
        <v>152643</v>
      </c>
      <c r="AB110" s="93">
        <f t="shared" si="156"/>
        <v>241935</v>
      </c>
      <c r="AC110" s="93">
        <f t="shared" si="156"/>
        <v>351660</v>
      </c>
      <c r="AD110" s="93">
        <f t="shared" si="156"/>
        <v>443060</v>
      </c>
      <c r="AE110" s="93">
        <f t="shared" si="156"/>
        <v>534464</v>
      </c>
      <c r="AF110" s="140">
        <f t="shared" si="156"/>
        <v>636814</v>
      </c>
      <c r="AG110" s="11"/>
      <c r="AH110" s="45"/>
    </row>
    <row r="111" spans="2:34">
      <c r="B111" s="130" t="s">
        <v>94</v>
      </c>
      <c r="C111" s="32"/>
      <c r="D111" s="32"/>
      <c r="E111" s="32">
        <f t="shared" ref="E111:G111" si="157">-D115</f>
        <v>0</v>
      </c>
      <c r="F111" s="32">
        <f t="shared" si="157"/>
        <v>0</v>
      </c>
      <c r="G111" s="32">
        <f t="shared" si="157"/>
        <v>0</v>
      </c>
      <c r="H111" s="32"/>
      <c r="I111" s="32"/>
      <c r="J111" s="32"/>
      <c r="K111" s="32"/>
      <c r="L111" s="32"/>
      <c r="M111" s="32"/>
      <c r="N111" s="32">
        <f t="shared" ref="N111:W111" si="158">-M115</f>
        <v>0</v>
      </c>
      <c r="O111" s="32">
        <f t="shared" si="158"/>
        <v>0</v>
      </c>
      <c r="P111" s="32">
        <f t="shared" si="158"/>
        <v>0</v>
      </c>
      <c r="Q111" s="32">
        <f t="shared" si="158"/>
        <v>0</v>
      </c>
      <c r="R111" s="32">
        <f t="shared" si="158"/>
        <v>0</v>
      </c>
      <c r="S111" s="32">
        <f t="shared" si="158"/>
        <v>0</v>
      </c>
      <c r="T111" s="32">
        <f t="shared" si="158"/>
        <v>0</v>
      </c>
      <c r="U111" s="32">
        <f t="shared" si="158"/>
        <v>0</v>
      </c>
      <c r="V111" s="32">
        <f t="shared" si="158"/>
        <v>0</v>
      </c>
      <c r="W111" s="32">
        <f t="shared" si="158"/>
        <v>0</v>
      </c>
      <c r="X111" s="32"/>
      <c r="Y111" s="32">
        <f>F111</f>
        <v>0</v>
      </c>
      <c r="Z111" s="32">
        <f>-M115</f>
        <v>0</v>
      </c>
      <c r="AA111" s="32">
        <f>-N115</f>
        <v>0</v>
      </c>
      <c r="AB111" s="32">
        <f>-O115</f>
        <v>0</v>
      </c>
      <c r="AC111" s="32">
        <f>-P115</f>
        <v>0</v>
      </c>
      <c r="AD111" s="32">
        <f>-Q115</f>
        <v>0</v>
      </c>
      <c r="AE111" s="32">
        <f>-R115</f>
        <v>0</v>
      </c>
      <c r="AF111" s="134">
        <f>-S115</f>
        <v>0</v>
      </c>
      <c r="AG111" s="11"/>
      <c r="AH111" s="45"/>
    </row>
    <row r="112" spans="2:34">
      <c r="B112" s="145" t="s">
        <v>68</v>
      </c>
      <c r="C112" s="146">
        <f t="shared" ref="C112" si="159">SUM(C110:C111)</f>
        <v>0</v>
      </c>
      <c r="D112" s="146">
        <f t="shared" ref="D112:G112" si="160">SUM(D110:D111)</f>
        <v>259624</v>
      </c>
      <c r="E112" s="146">
        <f t="shared" si="160"/>
        <v>562086</v>
      </c>
      <c r="F112" s="146">
        <f t="shared" si="160"/>
        <v>860937</v>
      </c>
      <c r="G112" s="146">
        <f t="shared" si="160"/>
        <v>1212597</v>
      </c>
      <c r="H112" s="32"/>
      <c r="I112" s="146">
        <f t="shared" ref="I112:L112" si="161">SUM(I110:I111)</f>
        <v>0</v>
      </c>
      <c r="J112" s="146">
        <f t="shared" ref="J112" si="162">SUM(J110:J111)</f>
        <v>0</v>
      </c>
      <c r="K112" s="146">
        <f t="shared" si="161"/>
        <v>0</v>
      </c>
      <c r="L112" s="146">
        <f t="shared" si="161"/>
        <v>0</v>
      </c>
      <c r="M112" s="146">
        <f t="shared" ref="M112:W112" si="163">SUM(M110:M111)</f>
        <v>0</v>
      </c>
      <c r="N112" s="146">
        <f t="shared" si="163"/>
        <v>74124</v>
      </c>
      <c r="O112" s="146">
        <f t="shared" si="163"/>
        <v>152643</v>
      </c>
      <c r="P112" s="146">
        <f t="shared" si="163"/>
        <v>241935</v>
      </c>
      <c r="Q112" s="146">
        <f t="shared" si="163"/>
        <v>351660</v>
      </c>
      <c r="R112" s="146">
        <f t="shared" si="163"/>
        <v>443060</v>
      </c>
      <c r="S112" s="146">
        <f t="shared" si="163"/>
        <v>534464</v>
      </c>
      <c r="T112" s="146">
        <f t="shared" si="163"/>
        <v>636814</v>
      </c>
      <c r="U112" s="146">
        <f t="shared" si="163"/>
        <v>760483</v>
      </c>
      <c r="V112" s="146">
        <f t="shared" si="163"/>
        <v>861483</v>
      </c>
      <c r="W112" s="146">
        <f t="shared" si="163"/>
        <v>965226</v>
      </c>
      <c r="X112" s="32"/>
      <c r="Y112" s="133">
        <f t="shared" ref="Y112:AF112" si="164">SUM(Y110:Y111)</f>
        <v>0</v>
      </c>
      <c r="Z112" s="133">
        <f t="shared" si="164"/>
        <v>74124</v>
      </c>
      <c r="AA112" s="133">
        <f t="shared" si="164"/>
        <v>152643</v>
      </c>
      <c r="AB112" s="146">
        <f t="shared" si="164"/>
        <v>241935</v>
      </c>
      <c r="AC112" s="146">
        <f t="shared" si="164"/>
        <v>351660</v>
      </c>
      <c r="AD112" s="146">
        <f t="shared" si="164"/>
        <v>443060</v>
      </c>
      <c r="AE112" s="146">
        <f t="shared" si="164"/>
        <v>534464</v>
      </c>
      <c r="AF112" s="147">
        <f t="shared" si="164"/>
        <v>636814</v>
      </c>
      <c r="AG112" s="11"/>
      <c r="AH112" s="45"/>
    </row>
    <row r="113" spans="2:34" ht="5.0999999999999996" customHeight="1">
      <c r="B113" s="137"/>
      <c r="C113" s="71"/>
      <c r="D113" s="71"/>
      <c r="E113" s="71"/>
      <c r="F113" s="71"/>
      <c r="G113" s="71"/>
      <c r="H113" s="32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32"/>
      <c r="Y113" s="71"/>
      <c r="Z113" s="71"/>
      <c r="AA113" s="71"/>
      <c r="AB113" s="71"/>
      <c r="AC113" s="71"/>
      <c r="AD113" s="71"/>
      <c r="AE113" s="71"/>
      <c r="AF113" s="135"/>
      <c r="AG113" s="11"/>
      <c r="AH113" s="45"/>
    </row>
    <row r="114" spans="2:34">
      <c r="B114" s="130" t="s">
        <v>82</v>
      </c>
      <c r="C114" s="82"/>
      <c r="D114" s="82"/>
      <c r="E114" s="82"/>
      <c r="F114" s="82"/>
      <c r="G114" s="82"/>
      <c r="H114" s="32"/>
      <c r="I114" s="82"/>
      <c r="J114" s="82"/>
      <c r="K114" s="82"/>
      <c r="L114" s="82"/>
      <c r="M114" s="82"/>
      <c r="N114" s="82"/>
      <c r="O114" s="82"/>
      <c r="P114" s="32">
        <f>SUM(F114-SUM(M114:O114))</f>
        <v>0</v>
      </c>
      <c r="Q114" s="82"/>
      <c r="R114" s="82"/>
      <c r="S114" s="82"/>
      <c r="T114" s="32">
        <f>SUM(G114-SUM(Q114:S114))</f>
        <v>0</v>
      </c>
      <c r="U114" s="82"/>
      <c r="V114" s="82"/>
      <c r="W114" s="82"/>
      <c r="X114" s="32"/>
      <c r="Y114" s="32">
        <f>SUM(M114:P114)</f>
        <v>0</v>
      </c>
      <c r="Z114" s="32">
        <f>SUM(N114:Q114)</f>
        <v>0</v>
      </c>
      <c r="AA114" s="32">
        <f>SUM(O114:R114)</f>
        <v>0</v>
      </c>
      <c r="AB114" s="32">
        <f>SUM(P114:S114)</f>
        <v>0</v>
      </c>
      <c r="AC114" s="32">
        <f>SUM(Q114:T114)</f>
        <v>0</v>
      </c>
      <c r="AD114" s="32">
        <f>SUM(R114:U114)</f>
        <v>0</v>
      </c>
      <c r="AE114" s="32">
        <f>SUM(S114:V114)</f>
        <v>0</v>
      </c>
      <c r="AF114" s="134">
        <f>SUM(T114:W114)</f>
        <v>0</v>
      </c>
      <c r="AG114" s="11"/>
      <c r="AH114" s="45"/>
    </row>
    <row r="115" spans="2:34">
      <c r="B115" s="130" t="s">
        <v>92</v>
      </c>
      <c r="C115" s="82"/>
      <c r="D115" s="82"/>
      <c r="E115" s="82"/>
      <c r="F115" s="82"/>
      <c r="G115" s="82"/>
      <c r="H115" s="32"/>
      <c r="I115" s="82"/>
      <c r="J115" s="82"/>
      <c r="K115" s="82"/>
      <c r="L115" s="82"/>
      <c r="M115" s="82"/>
      <c r="N115" s="82"/>
      <c r="O115" s="82"/>
      <c r="P115" s="32">
        <f>F115</f>
        <v>0</v>
      </c>
      <c r="Q115" s="82"/>
      <c r="R115" s="82"/>
      <c r="S115" s="82"/>
      <c r="T115" s="32">
        <f>G115</f>
        <v>0</v>
      </c>
      <c r="U115" s="82"/>
      <c r="V115" s="82"/>
      <c r="W115" s="82"/>
      <c r="X115" s="32"/>
      <c r="Y115" s="32">
        <f t="shared" ref="Y115:AF115" si="165">P115</f>
        <v>0</v>
      </c>
      <c r="Z115" s="32">
        <f t="shared" si="165"/>
        <v>0</v>
      </c>
      <c r="AA115" s="32">
        <f t="shared" si="165"/>
        <v>0</v>
      </c>
      <c r="AB115" s="32">
        <f t="shared" si="165"/>
        <v>0</v>
      </c>
      <c r="AC115" s="32">
        <f t="shared" si="165"/>
        <v>0</v>
      </c>
      <c r="AD115" s="32">
        <f t="shared" si="165"/>
        <v>0</v>
      </c>
      <c r="AE115" s="32">
        <f t="shared" si="165"/>
        <v>0</v>
      </c>
      <c r="AF115" s="134">
        <f t="shared" si="165"/>
        <v>0</v>
      </c>
      <c r="AG115" s="11"/>
      <c r="AH115" s="45"/>
    </row>
    <row r="116" spans="2:34">
      <c r="B116" s="130" t="s">
        <v>59</v>
      </c>
      <c r="C116" s="32">
        <f t="shared" ref="C116:G116" si="166">+C108+C102+C95</f>
        <v>259624</v>
      </c>
      <c r="D116" s="32">
        <f t="shared" si="166"/>
        <v>302462</v>
      </c>
      <c r="E116" s="32">
        <f t="shared" si="166"/>
        <v>298851</v>
      </c>
      <c r="F116" s="32">
        <f t="shared" si="166"/>
        <v>351660</v>
      </c>
      <c r="G116" s="32">
        <f t="shared" si="166"/>
        <v>408823</v>
      </c>
      <c r="H116" s="32"/>
      <c r="I116" s="32">
        <f t="shared" ref="I116:L116" si="167">+I108+I102+I95</f>
        <v>68854</v>
      </c>
      <c r="J116" s="32">
        <f t="shared" ref="J116" si="168">+J108+J102+J95</f>
        <v>69263</v>
      </c>
      <c r="K116" s="32">
        <f t="shared" si="167"/>
        <v>73139</v>
      </c>
      <c r="L116" s="32">
        <f t="shared" si="167"/>
        <v>87595</v>
      </c>
      <c r="M116" s="32">
        <f t="shared" ref="M116:W116" si="169">+M108+M102+M95</f>
        <v>74124</v>
      </c>
      <c r="N116" s="32">
        <f t="shared" si="169"/>
        <v>78519</v>
      </c>
      <c r="O116" s="32">
        <f t="shared" si="169"/>
        <v>89292</v>
      </c>
      <c r="P116" s="32">
        <f t="shared" si="169"/>
        <v>109725</v>
      </c>
      <c r="Q116" s="32">
        <f t="shared" si="169"/>
        <v>91400</v>
      </c>
      <c r="R116" s="32">
        <f t="shared" si="169"/>
        <v>91404</v>
      </c>
      <c r="S116" s="32">
        <f t="shared" si="169"/>
        <v>102350</v>
      </c>
      <c r="T116" s="32">
        <f t="shared" si="169"/>
        <v>123669</v>
      </c>
      <c r="U116" s="32">
        <f t="shared" si="169"/>
        <v>101000</v>
      </c>
      <c r="V116" s="32">
        <f t="shared" si="169"/>
        <v>103743</v>
      </c>
      <c r="W116" s="32">
        <f t="shared" si="169"/>
        <v>100282</v>
      </c>
      <c r="X116" s="32"/>
      <c r="Y116" s="32">
        <f>SUM(M116:P116)</f>
        <v>351660</v>
      </c>
      <c r="Z116" s="32">
        <f>SUM(N116:Q116)</f>
        <v>368936</v>
      </c>
      <c r="AA116" s="32">
        <f>SUM(O116:R116)</f>
        <v>381821</v>
      </c>
      <c r="AB116" s="32">
        <f>SUM(P116:S116)</f>
        <v>394879</v>
      </c>
      <c r="AC116" s="32">
        <f>SUM(Q116:T116)</f>
        <v>408823</v>
      </c>
      <c r="AD116" s="32">
        <f>SUM(R116:U116)</f>
        <v>418423</v>
      </c>
      <c r="AE116" s="32">
        <f>SUM(S116:V116)</f>
        <v>430762</v>
      </c>
      <c r="AF116" s="134">
        <f>SUM(T116:W116)</f>
        <v>428694</v>
      </c>
      <c r="AG116" s="11"/>
      <c r="AH116" s="45"/>
    </row>
    <row r="117" spans="2:34">
      <c r="B117" s="89" t="s">
        <v>69</v>
      </c>
      <c r="C117" s="146">
        <f t="shared" ref="C117:G117" si="170">SUM(C112:C116)</f>
        <v>259624</v>
      </c>
      <c r="D117" s="146">
        <f t="shared" si="170"/>
        <v>562086</v>
      </c>
      <c r="E117" s="146">
        <f t="shared" si="170"/>
        <v>860937</v>
      </c>
      <c r="F117" s="146">
        <f t="shared" si="170"/>
        <v>1212597</v>
      </c>
      <c r="G117" s="146">
        <f t="shared" si="170"/>
        <v>1621420</v>
      </c>
      <c r="H117" s="32"/>
      <c r="I117" s="146">
        <f t="shared" ref="I117:L117" si="171">SUM(I112:I116)</f>
        <v>68854</v>
      </c>
      <c r="J117" s="146">
        <f t="shared" ref="J117" si="172">SUM(J112:J116)</f>
        <v>69263</v>
      </c>
      <c r="K117" s="146">
        <f t="shared" si="171"/>
        <v>73139</v>
      </c>
      <c r="L117" s="146">
        <f t="shared" si="171"/>
        <v>87595</v>
      </c>
      <c r="M117" s="146">
        <f t="shared" ref="M117:W117" si="173">SUM(M112:M116)</f>
        <v>74124</v>
      </c>
      <c r="N117" s="146">
        <f t="shared" si="173"/>
        <v>152643</v>
      </c>
      <c r="O117" s="146">
        <f t="shared" si="173"/>
        <v>241935</v>
      </c>
      <c r="P117" s="146">
        <f t="shared" si="173"/>
        <v>351660</v>
      </c>
      <c r="Q117" s="146">
        <f t="shared" si="173"/>
        <v>443060</v>
      </c>
      <c r="R117" s="146">
        <f t="shared" si="173"/>
        <v>534464</v>
      </c>
      <c r="S117" s="146">
        <f t="shared" si="173"/>
        <v>636814</v>
      </c>
      <c r="T117" s="146">
        <f t="shared" si="173"/>
        <v>760483</v>
      </c>
      <c r="U117" s="146">
        <f t="shared" si="173"/>
        <v>861483</v>
      </c>
      <c r="V117" s="146">
        <f t="shared" si="173"/>
        <v>965226</v>
      </c>
      <c r="W117" s="146">
        <f t="shared" si="173"/>
        <v>1065508</v>
      </c>
      <c r="X117" s="32"/>
      <c r="Y117" s="133">
        <f t="shared" ref="Y117:AF117" si="174">SUM(Y112:Y116)</f>
        <v>351660</v>
      </c>
      <c r="Z117" s="133">
        <f t="shared" si="174"/>
        <v>443060</v>
      </c>
      <c r="AA117" s="133">
        <f t="shared" si="174"/>
        <v>534464</v>
      </c>
      <c r="AB117" s="146">
        <f t="shared" si="174"/>
        <v>636814</v>
      </c>
      <c r="AC117" s="146">
        <f t="shared" si="174"/>
        <v>760483</v>
      </c>
      <c r="AD117" s="146">
        <f t="shared" si="174"/>
        <v>861483</v>
      </c>
      <c r="AE117" s="146">
        <f t="shared" si="174"/>
        <v>965226</v>
      </c>
      <c r="AF117" s="147">
        <f t="shared" si="174"/>
        <v>1065508</v>
      </c>
      <c r="AG117" s="11"/>
      <c r="AH117" s="45"/>
    </row>
    <row r="118" spans="2:34" ht="5.0999999999999996" customHeight="1">
      <c r="B118" s="90"/>
      <c r="C118" s="65"/>
      <c r="D118" s="65"/>
      <c r="E118" s="65"/>
      <c r="F118" s="65"/>
      <c r="G118" s="65"/>
      <c r="H118" s="32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Y118" s="11"/>
      <c r="Z118" s="11"/>
      <c r="AA118" s="11"/>
      <c r="AB118" s="11"/>
      <c r="AC118" s="11"/>
      <c r="AD118" s="11"/>
      <c r="AE118" s="11"/>
      <c r="AF118" s="91"/>
      <c r="AG118" s="11"/>
      <c r="AH118" s="45"/>
    </row>
    <row r="119" spans="2:34">
      <c r="B119" s="138" t="s">
        <v>85</v>
      </c>
      <c r="C119" s="87">
        <f>ROUND(C117-C46,1)</f>
        <v>217502</v>
      </c>
      <c r="D119" s="87">
        <f>ROUND(D117-D46,1)</f>
        <v>525866</v>
      </c>
      <c r="E119" s="87">
        <f>ROUND(E117-E46,1)</f>
        <v>807049</v>
      </c>
      <c r="F119" s="87">
        <f>ROUND(F117-F46,1)</f>
        <v>1139210</v>
      </c>
      <c r="G119" s="87">
        <f>ROUND(G117-G46,1)</f>
        <v>1542641</v>
      </c>
      <c r="H119" s="88"/>
      <c r="I119" s="87">
        <f>I117-I46</f>
        <v>32461</v>
      </c>
      <c r="J119" s="87">
        <f>J117-J46</f>
        <v>31785</v>
      </c>
      <c r="K119" s="87">
        <f>K117-K46</f>
        <v>38192</v>
      </c>
      <c r="L119" s="87">
        <f>L117-L46</f>
        <v>33707</v>
      </c>
      <c r="M119" s="87">
        <f>M117-M46</f>
        <v>24781</v>
      </c>
      <c r="N119" s="87">
        <f>N117-N46</f>
        <v>103114</v>
      </c>
      <c r="O119" s="87">
        <f>O117-O46</f>
        <v>192330</v>
      </c>
      <c r="P119" s="87">
        <f>P117-P46</f>
        <v>278273</v>
      </c>
      <c r="Q119" s="87">
        <f>Q117-Q46</f>
        <v>370208</v>
      </c>
      <c r="R119" s="87">
        <f>R117-R46</f>
        <v>463286</v>
      </c>
      <c r="S119" s="87">
        <f>S117-S46</f>
        <v>561723</v>
      </c>
      <c r="T119" s="87">
        <f>T117-T46</f>
        <v>681704</v>
      </c>
      <c r="U119" s="87">
        <f>U117-U46</f>
        <v>795276</v>
      </c>
      <c r="V119" s="87">
        <f>V117-V46</f>
        <v>907485</v>
      </c>
      <c r="W119" s="87">
        <f>W117-W46</f>
        <v>998586</v>
      </c>
      <c r="X119" s="87"/>
      <c r="Y119" s="87">
        <f>Y117-Y46</f>
        <v>278273</v>
      </c>
      <c r="Z119" s="87">
        <f>Z117-Z46</f>
        <v>370208</v>
      </c>
      <c r="AA119" s="87">
        <f>AA117-AA46</f>
        <v>463286</v>
      </c>
      <c r="AB119" s="87">
        <f>AB117-AB46</f>
        <v>561723</v>
      </c>
      <c r="AC119" s="87">
        <f>AC117-AC46</f>
        <v>681704</v>
      </c>
      <c r="AD119" s="87">
        <f>AD117-AD46</f>
        <v>795276</v>
      </c>
      <c r="AE119" s="87">
        <f>AE117-AE46</f>
        <v>907485</v>
      </c>
      <c r="AF119" s="136">
        <f>AF117-AF46</f>
        <v>998586</v>
      </c>
      <c r="AG119" s="11"/>
      <c r="AH119" s="45"/>
    </row>
    <row r="120" spans="2:34" ht="5.0999999999999996" customHeight="1">
      <c r="B120" s="8"/>
      <c r="C120" s="65"/>
      <c r="D120" s="65"/>
      <c r="E120" s="65"/>
      <c r="F120" s="65"/>
      <c r="G120" s="65"/>
      <c r="H120" s="32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Y120" s="11"/>
      <c r="Z120" s="11"/>
      <c r="AA120" s="11"/>
      <c r="AB120" s="11"/>
      <c r="AC120" s="11"/>
      <c r="AD120" s="11"/>
      <c r="AE120" s="11"/>
      <c r="AF120" s="11"/>
      <c r="AG120" s="11"/>
      <c r="AH120" s="45"/>
    </row>
    <row r="121" spans="2:34" ht="12.75" customHeight="1">
      <c r="B121" s="72" t="s">
        <v>60</v>
      </c>
      <c r="C121" s="62"/>
      <c r="D121" s="62"/>
      <c r="E121" s="62"/>
      <c r="F121" s="62"/>
      <c r="G121" s="62"/>
      <c r="H121" s="11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82"/>
      <c r="V121" s="62"/>
      <c r="W121" s="62"/>
      <c r="Y121" s="62"/>
      <c r="Z121" s="62"/>
      <c r="AA121" s="62"/>
      <c r="AB121" s="62"/>
      <c r="AC121" s="62"/>
      <c r="AD121" s="62"/>
      <c r="AE121" s="62"/>
      <c r="AF121" s="62"/>
      <c r="AG121" s="66"/>
      <c r="AH121" s="45"/>
    </row>
    <row r="122" spans="2:34" ht="12.75" customHeight="1">
      <c r="B122" s="8" t="s">
        <v>93</v>
      </c>
      <c r="C122" s="82"/>
      <c r="D122" s="82"/>
      <c r="E122" s="82"/>
      <c r="F122" s="82"/>
      <c r="G122" s="82"/>
      <c r="H122" s="11"/>
      <c r="I122" s="82"/>
      <c r="J122" s="82"/>
      <c r="K122" s="82"/>
      <c r="L122" s="82"/>
      <c r="M122" s="82"/>
      <c r="N122" s="82"/>
      <c r="O122" s="82"/>
      <c r="P122" s="32">
        <f>SUM(F122-SUM(M122:O122))</f>
        <v>0</v>
      </c>
      <c r="Q122" s="82"/>
      <c r="R122" s="82"/>
      <c r="S122" s="82"/>
      <c r="T122" s="32">
        <f>SUM(G122-SUM(Q122:S122))</f>
        <v>0</v>
      </c>
      <c r="U122" s="82"/>
      <c r="V122" s="82"/>
      <c r="W122" s="82"/>
      <c r="Y122" s="32">
        <f>SUM(M122:P122)</f>
        <v>0</v>
      </c>
      <c r="Z122" s="32">
        <f>SUM(N122:Q122)</f>
        <v>0</v>
      </c>
      <c r="AA122" s="32">
        <f>SUM(O122:R122)</f>
        <v>0</v>
      </c>
      <c r="AB122" s="32">
        <f>SUM(P122:S122)</f>
        <v>0</v>
      </c>
      <c r="AC122" s="32">
        <f>SUM(Q122:T122)</f>
        <v>0</v>
      </c>
      <c r="AD122" s="32">
        <f>SUM(R122:U122)</f>
        <v>0</v>
      </c>
      <c r="AE122" s="32">
        <f>SUM(S122:V122)</f>
        <v>0</v>
      </c>
      <c r="AF122" s="32">
        <f>SUM(T122:W122)</f>
        <v>0</v>
      </c>
      <c r="AG122" s="66"/>
      <c r="AH122" s="45"/>
    </row>
    <row r="123" spans="2:34" ht="12.75" customHeight="1">
      <c r="B123" s="8" t="s">
        <v>109</v>
      </c>
      <c r="C123" s="82"/>
      <c r="D123" s="82"/>
      <c r="E123" s="82"/>
      <c r="F123" s="82"/>
      <c r="G123" s="82"/>
      <c r="H123" s="32"/>
      <c r="I123" s="82"/>
      <c r="J123" s="82"/>
      <c r="K123" s="82"/>
      <c r="L123" s="82"/>
      <c r="M123" s="82"/>
      <c r="N123" s="82"/>
      <c r="O123" s="82"/>
      <c r="P123" s="32">
        <f>SUM(F123-SUM(M123:O123))</f>
        <v>0</v>
      </c>
      <c r="Q123" s="82"/>
      <c r="R123" s="82"/>
      <c r="S123" s="82"/>
      <c r="T123" s="32">
        <f>SUM(G123-SUM(Q123:S123))</f>
        <v>0</v>
      </c>
      <c r="U123" s="82"/>
      <c r="V123" s="82"/>
      <c r="W123" s="82"/>
      <c r="X123" s="32"/>
      <c r="Y123" s="32">
        <f>SUM(M123:P123)</f>
        <v>0</v>
      </c>
      <c r="Z123" s="32">
        <f>SUM(N123:Q123)</f>
        <v>0</v>
      </c>
      <c r="AA123" s="32">
        <f>SUM(O123:R123)</f>
        <v>0</v>
      </c>
      <c r="AB123" s="32">
        <f>SUM(P123:S123)</f>
        <v>0</v>
      </c>
      <c r="AC123" s="32">
        <f>SUM(Q123:T123)</f>
        <v>0</v>
      </c>
      <c r="AD123" s="32">
        <f>SUM(R123:U123)</f>
        <v>0</v>
      </c>
      <c r="AE123" s="32">
        <f>SUM(S123:V123)</f>
        <v>0</v>
      </c>
      <c r="AF123" s="32">
        <f>SUM(T123:W123)</f>
        <v>0</v>
      </c>
      <c r="AG123" s="11"/>
      <c r="AH123" s="45"/>
    </row>
    <row r="124" spans="2:34" ht="5.0999999999999996" customHeight="1" thickBot="1">
      <c r="B124" s="73"/>
      <c r="C124" s="74"/>
      <c r="D124" s="74"/>
      <c r="E124" s="74"/>
      <c r="F124" s="74"/>
      <c r="G124" s="74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H124" s="45"/>
    </row>
    <row r="125" spans="2:34" ht="12.75" customHeight="1">
      <c r="B125" s="53"/>
      <c r="C125" s="67"/>
      <c r="D125" s="67"/>
      <c r="E125" s="67"/>
      <c r="F125" s="67"/>
      <c r="G125" s="67"/>
    </row>
    <row r="126" spans="2:34" ht="12.75" customHeight="1">
      <c r="C126" s="56"/>
      <c r="D126" s="56"/>
      <c r="E126" s="56"/>
      <c r="F126" s="56"/>
      <c r="G126" s="56"/>
    </row>
    <row r="127" spans="2:34" ht="12.75" customHeight="1"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</row>
    <row r="128" spans="2:34" ht="12.75" customHeight="1"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</row>
    <row r="129" spans="3:18" ht="12.75" customHeight="1"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</row>
    <row r="130" spans="3:18" ht="12.75" customHeight="1"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</row>
    <row r="131" spans="3:18" ht="12.75" customHeight="1"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86"/>
    </row>
    <row r="132" spans="3:18" ht="12.75" customHeight="1"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</row>
    <row r="133" spans="3:18" ht="12.75" customHeight="1"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86"/>
    </row>
    <row r="134" spans="3:18"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86"/>
    </row>
    <row r="135" spans="3:18"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86"/>
    </row>
    <row r="136" spans="3:18"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</row>
    <row r="137" spans="3:18"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86"/>
    </row>
    <row r="138" spans="3:18"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86"/>
    </row>
    <row r="139" spans="3:18"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</row>
    <row r="140" spans="3:18"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</row>
  </sheetData>
  <mergeCells count="3">
    <mergeCell ref="AH6:AH8"/>
    <mergeCell ref="AH41:AH43"/>
    <mergeCell ref="AH81:AH83"/>
  </mergeCells>
  <dataValidations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H50 Y23:AC24" formulaRange="1"/>
    <ignoredError sqref="D23:G24 M23:W24 M29:W29 D29:G29 AF102:AH104 AF95:AH96 AG101 M33:W33 D33:G33 AF97:AG97 AG105:AH105" evalError="1"/>
    <ignoredError sqref="Y115:AF115 Y114:AF1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H38"/>
  <sheetViews>
    <sheetView showGridLines="0" zoomScale="115" zoomScaleNormal="115" workbookViewId="0">
      <selection activeCell="D15" sqref="D15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7" width="8.625" style="8" bestFit="1" customWidth="1"/>
    <col min="8" max="8" width="1.5" style="8" customWidth="1"/>
    <col min="9" max="14" width="8" style="8" customWidth="1" outlineLevel="1"/>
    <col min="15" max="16" width="8.75" style="8" customWidth="1" outlineLevel="1"/>
    <col min="17" max="17" width="8.5" style="8" customWidth="1" outlineLevel="1"/>
    <col min="18" max="18" width="8.25" style="8" customWidth="1" outlineLevel="1"/>
    <col min="19" max="19" width="8.5" style="8" bestFit="1" customWidth="1"/>
    <col min="20" max="23" width="9.125" style="8" bestFit="1" customWidth="1"/>
    <col min="24" max="24" width="1.5" style="8" customWidth="1"/>
    <col min="25" max="29" width="8.75" style="8" customWidth="1" outlineLevel="1"/>
    <col min="30" max="30" width="8.75" style="8" customWidth="1"/>
    <col min="31" max="33" width="8.75" style="8" customWidth="1" outlineLevel="1"/>
    <col min="34" max="34" width="8.75" style="8" customWidth="1"/>
    <col min="35" max="16384" width="9" style="8"/>
  </cols>
  <sheetData>
    <row r="2" spans="1:34" s="5" customFormat="1" ht="12.75" customHeight="1">
      <c r="B2" s="1" t="str">
        <f>'Historical Financials'!B2</f>
        <v>Amazon.com Inc (NASDAQ: AMZN)</v>
      </c>
      <c r="C2" s="2" t="s">
        <v>0</v>
      </c>
      <c r="D2" s="2" t="s">
        <v>0</v>
      </c>
      <c r="E2" s="2" t="s">
        <v>0</v>
      </c>
      <c r="F2" s="2"/>
      <c r="G2" s="2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 t="s">
        <v>1</v>
      </c>
      <c r="T2" s="2"/>
      <c r="U2" s="2"/>
      <c r="V2" s="2"/>
      <c r="W2" s="2"/>
      <c r="X2" s="3"/>
      <c r="Y2" s="2"/>
      <c r="Z2" s="2"/>
      <c r="AA2" s="2"/>
      <c r="AB2" s="2"/>
      <c r="AC2" s="2"/>
      <c r="AD2" s="2" t="s">
        <v>10</v>
      </c>
      <c r="AE2" s="2"/>
      <c r="AF2" s="2"/>
      <c r="AG2" s="2"/>
      <c r="AH2" s="2"/>
    </row>
    <row r="3" spans="1:34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1Q22</v>
      </c>
      <c r="J3" s="7" t="str">
        <f>'Historical Financials'!J7</f>
        <v>2Q22</v>
      </c>
      <c r="K3" s="7" t="str">
        <f>'Historical Financials'!K7</f>
        <v>3Q22</v>
      </c>
      <c r="L3" s="7" t="str">
        <f>'Historical Financials'!L7</f>
        <v>4Q22</v>
      </c>
      <c r="M3" s="7" t="str">
        <f>'Historical Financials'!M7</f>
        <v>1Q23</v>
      </c>
      <c r="N3" s="7" t="str">
        <f>'Historical Financials'!N7</f>
        <v>2Q23</v>
      </c>
      <c r="O3" s="7" t="str">
        <f>'Historical Financials'!O7</f>
        <v>3Q23</v>
      </c>
      <c r="P3" s="7" t="str">
        <f>'Historical Financials'!P7</f>
        <v>4Q23</v>
      </c>
      <c r="Q3" s="7" t="str">
        <f>'Historical Financials'!Q7</f>
        <v>1Q24</v>
      </c>
      <c r="R3" s="7" t="str">
        <f>'Historical Financials'!R7</f>
        <v>2Q24</v>
      </c>
      <c r="S3" s="7" t="str">
        <f>'Historical Financials'!S7</f>
        <v>3Q24</v>
      </c>
      <c r="T3" s="7" t="str">
        <f>'Historical Financials'!T7</f>
        <v>4Q24</v>
      </c>
      <c r="U3" s="7" t="str">
        <f>'Historical Financials'!U7</f>
        <v>1Q25</v>
      </c>
      <c r="V3" s="7" t="str">
        <f>'Historical Financials'!V7</f>
        <v>2Q25</v>
      </c>
      <c r="W3" s="7" t="str">
        <f>'Historical Financials'!W7</f>
        <v>3Q25</v>
      </c>
      <c r="X3" s="4"/>
      <c r="Y3" s="4" t="str">
        <f>P3</f>
        <v>4Q23</v>
      </c>
      <c r="Z3" s="4" t="str">
        <f>Q3</f>
        <v>1Q24</v>
      </c>
      <c r="AA3" s="4" t="str">
        <f>R3</f>
        <v>2Q24</v>
      </c>
      <c r="AB3" s="4" t="str">
        <f>S3</f>
        <v>3Q24</v>
      </c>
      <c r="AC3" s="4" t="str">
        <f>T3</f>
        <v>4Q24</v>
      </c>
      <c r="AD3" s="4" t="str">
        <f>U3</f>
        <v>1Q25</v>
      </c>
      <c r="AE3" s="4" t="str">
        <f>V3</f>
        <v>2Q25</v>
      </c>
      <c r="AF3" s="4" t="str">
        <f>W3</f>
        <v>3Q25</v>
      </c>
      <c r="AG3" s="4" t="e">
        <f>#REF!</f>
        <v>#REF!</v>
      </c>
      <c r="AH3" s="4" t="e">
        <f>#REF!</f>
        <v>#REF!</v>
      </c>
    </row>
    <row r="4" spans="1:34" s="5" customFormat="1" ht="12.75" customHeight="1">
      <c r="B4" s="6" t="s">
        <v>159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/>
      <c r="I4" s="3">
        <f>'Historical Financials'!I8</f>
        <v>0</v>
      </c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>
        <f>'Historical Financials'!V8</f>
        <v>0</v>
      </c>
      <c r="W4" s="3">
        <f>'Historical Financials'!W8</f>
        <v>0</v>
      </c>
      <c r="X4" s="3"/>
      <c r="Y4" s="3">
        <f>P4</f>
        <v>0</v>
      </c>
      <c r="Z4" s="3">
        <f>Q4</f>
        <v>0</v>
      </c>
      <c r="AA4" s="3">
        <f>R4</f>
        <v>0</v>
      </c>
      <c r="AB4" s="3">
        <f>S4</f>
        <v>0</v>
      </c>
      <c r="AC4" s="3">
        <f>T4</f>
        <v>0</v>
      </c>
      <c r="AD4" s="3">
        <f>U4</f>
        <v>0</v>
      </c>
      <c r="AE4" s="3">
        <f>V4</f>
        <v>0</v>
      </c>
      <c r="AF4" s="3">
        <f>W4</f>
        <v>0</v>
      </c>
      <c r="AG4" s="3" t="e">
        <f>#REF!</f>
        <v>#REF!</v>
      </c>
      <c r="AH4" s="3" t="e">
        <f>#REF!</f>
        <v>#REF!</v>
      </c>
    </row>
    <row r="5" spans="1:34" ht="5.0999999999999996" customHeight="1"/>
    <row r="6" spans="1:34">
      <c r="A6" s="36" t="s">
        <v>16</v>
      </c>
      <c r="B6" s="1" t="s">
        <v>160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ht="5.0999999999999996" customHeight="1"/>
    <row r="8" spans="1:34" ht="12.75" customHeight="1">
      <c r="A8" s="80" t="s">
        <v>16</v>
      </c>
      <c r="B8" s="78" t="s">
        <v>161</v>
      </c>
      <c r="C8" s="10"/>
      <c r="D8" s="10"/>
      <c r="E8" s="10"/>
      <c r="F8" s="10"/>
      <c r="G8" s="10"/>
      <c r="H8" s="10"/>
      <c r="I8" s="95"/>
      <c r="J8" s="95"/>
      <c r="K8" s="95"/>
      <c r="L8" s="95"/>
      <c r="M8" s="95"/>
      <c r="N8" s="95"/>
      <c r="O8" s="95"/>
      <c r="P8" s="32"/>
      <c r="Q8" s="95"/>
      <c r="R8" s="95"/>
      <c r="S8" s="95"/>
      <c r="T8" s="32"/>
      <c r="U8" s="95"/>
      <c r="V8" s="95"/>
      <c r="W8" s="95"/>
      <c r="X8" s="5"/>
      <c r="Y8" s="11"/>
      <c r="Z8" s="11"/>
      <c r="AA8" s="11"/>
      <c r="AB8" s="11"/>
      <c r="AC8" s="11"/>
      <c r="AD8" s="11"/>
      <c r="AE8" s="11"/>
      <c r="AF8" s="11"/>
      <c r="AG8" s="11"/>
      <c r="AH8" s="11"/>
    </row>
    <row r="9" spans="1:34" ht="12.75" customHeight="1">
      <c r="A9" s="80"/>
      <c r="B9" s="9" t="s">
        <v>165</v>
      </c>
      <c r="C9" s="81"/>
      <c r="D9" s="81"/>
      <c r="E9" s="81">
        <v>220004</v>
      </c>
      <c r="F9" s="81">
        <v>231872</v>
      </c>
      <c r="G9" s="81">
        <v>247029</v>
      </c>
      <c r="H9" s="10"/>
      <c r="I9" s="81">
        <v>51129</v>
      </c>
      <c r="J9" s="81">
        <v>50855</v>
      </c>
      <c r="K9" s="81">
        <v>53489</v>
      </c>
      <c r="L9" s="32">
        <f>SUM(E9-SUM(I9:K9))</f>
        <v>64531</v>
      </c>
      <c r="M9" s="81">
        <v>51096</v>
      </c>
      <c r="N9" s="81">
        <v>52966</v>
      </c>
      <c r="O9" s="81">
        <v>57267</v>
      </c>
      <c r="P9" s="32">
        <f>SUM(F9-SUM(M9:O9))</f>
        <v>70543</v>
      </c>
      <c r="Q9" s="81">
        <v>54670</v>
      </c>
      <c r="R9" s="81">
        <v>55392</v>
      </c>
      <c r="S9" s="81">
        <v>61411</v>
      </c>
      <c r="T9" s="32">
        <f>SUM(G9-SUM(Q9:S9))</f>
        <v>75556</v>
      </c>
      <c r="U9" s="81">
        <v>57407</v>
      </c>
      <c r="V9" s="81">
        <v>61485</v>
      </c>
      <c r="W9" s="81">
        <v>67407</v>
      </c>
      <c r="X9" s="5"/>
      <c r="Y9" s="32">
        <f>SUM(M9:P9)</f>
        <v>231872</v>
      </c>
      <c r="Z9" s="32">
        <f>SUM(N9:Q9)</f>
        <v>235446</v>
      </c>
      <c r="AA9" s="32">
        <f>SUM(O9:R9)</f>
        <v>237872</v>
      </c>
      <c r="AB9" s="32">
        <f>SUM(P9:S9)</f>
        <v>242016</v>
      </c>
      <c r="AC9" s="32">
        <f>SUM(Q9:T9)</f>
        <v>247029</v>
      </c>
      <c r="AD9" s="32">
        <f>SUM(R9:U9)</f>
        <v>249766</v>
      </c>
      <c r="AE9" s="32">
        <f>SUM(S9:V9)</f>
        <v>255859</v>
      </c>
      <c r="AF9" s="32">
        <f>SUM(T9:W9)</f>
        <v>261855</v>
      </c>
      <c r="AG9" s="32">
        <f>SUM(U9:W9)</f>
        <v>186299</v>
      </c>
      <c r="AH9" s="32">
        <f>SUM(V9:W9)</f>
        <v>128892</v>
      </c>
    </row>
    <row r="10" spans="1:34" ht="12.75" customHeight="1">
      <c r="A10" s="80"/>
      <c r="B10" s="9" t="s">
        <v>166</v>
      </c>
      <c r="C10" s="81"/>
      <c r="D10" s="81"/>
      <c r="E10" s="81">
        <v>18963</v>
      </c>
      <c r="F10" s="81">
        <v>20030</v>
      </c>
      <c r="G10" s="81">
        <v>21215</v>
      </c>
      <c r="H10" s="10"/>
      <c r="I10" s="81">
        <v>4591</v>
      </c>
      <c r="J10" s="81">
        <v>4721</v>
      </c>
      <c r="K10" s="81">
        <v>4694</v>
      </c>
      <c r="L10" s="32">
        <f>SUM(E10-SUM(I10:K10))</f>
        <v>4957</v>
      </c>
      <c r="M10" s="81">
        <v>4895</v>
      </c>
      <c r="N10" s="81">
        <v>5024</v>
      </c>
      <c r="O10" s="81">
        <v>4959</v>
      </c>
      <c r="P10" s="32">
        <f>SUM(F10-SUM(M10:O10))</f>
        <v>5152</v>
      </c>
      <c r="Q10" s="81">
        <v>5202</v>
      </c>
      <c r="R10" s="81">
        <v>5206</v>
      </c>
      <c r="S10" s="81">
        <v>5228</v>
      </c>
      <c r="T10" s="32">
        <f>SUM(G10-SUM(Q10:S10))</f>
        <v>5579</v>
      </c>
      <c r="U10" s="81">
        <v>5533</v>
      </c>
      <c r="V10" s="81">
        <v>5595</v>
      </c>
      <c r="W10" s="81">
        <v>5578</v>
      </c>
      <c r="X10" s="5"/>
      <c r="Y10" s="32"/>
      <c r="Z10" s="32"/>
      <c r="AA10" s="32"/>
      <c r="AB10" s="32"/>
      <c r="AC10" s="32"/>
      <c r="AD10" s="32"/>
      <c r="AE10" s="32"/>
      <c r="AF10" s="32"/>
      <c r="AG10" s="32"/>
      <c r="AH10" s="32"/>
    </row>
    <row r="11" spans="1:34" ht="12.75" customHeight="1">
      <c r="A11" s="80"/>
      <c r="B11" s="9" t="s">
        <v>167</v>
      </c>
      <c r="C11" s="81"/>
      <c r="D11" s="81"/>
      <c r="E11" s="81">
        <v>117716</v>
      </c>
      <c r="F11" s="81">
        <v>140053</v>
      </c>
      <c r="G11" s="81">
        <v>156146</v>
      </c>
      <c r="H11" s="10"/>
      <c r="I11" s="81">
        <v>25335</v>
      </c>
      <c r="J11" s="81">
        <v>27376</v>
      </c>
      <c r="K11" s="81">
        <v>28666</v>
      </c>
      <c r="L11" s="32">
        <f>SUM(E11-SUM(I11:K11))</f>
        <v>36339</v>
      </c>
      <c r="M11" s="81">
        <v>29820</v>
      </c>
      <c r="N11" s="81">
        <v>32332</v>
      </c>
      <c r="O11" s="81">
        <v>34342</v>
      </c>
      <c r="P11" s="32">
        <f>SUM(F11-SUM(M11:O11))</f>
        <v>43559</v>
      </c>
      <c r="Q11" s="81">
        <v>34596</v>
      </c>
      <c r="R11" s="81">
        <v>36201</v>
      </c>
      <c r="S11" s="81">
        <v>37864</v>
      </c>
      <c r="T11" s="32">
        <f>SUM(G11-SUM(Q11:S11))</f>
        <v>47485</v>
      </c>
      <c r="U11" s="81">
        <v>36512</v>
      </c>
      <c r="V11" s="81">
        <v>40348</v>
      </c>
      <c r="W11" s="81">
        <v>42486</v>
      </c>
      <c r="X11" s="5"/>
      <c r="Y11" s="32"/>
      <c r="Z11" s="32"/>
      <c r="AA11" s="32"/>
      <c r="AB11" s="32"/>
      <c r="AC11" s="32"/>
      <c r="AD11" s="32"/>
      <c r="AE11" s="32"/>
      <c r="AF11" s="32"/>
      <c r="AG11" s="32"/>
      <c r="AH11" s="32"/>
    </row>
    <row r="12" spans="1:34" ht="12.75" customHeight="1">
      <c r="A12" s="80"/>
      <c r="B12" s="9" t="s">
        <v>168</v>
      </c>
      <c r="C12" s="81"/>
      <c r="D12" s="81"/>
      <c r="E12" s="81">
        <v>37739</v>
      </c>
      <c r="F12" s="81">
        <v>46906</v>
      </c>
      <c r="G12" s="81">
        <v>56214</v>
      </c>
      <c r="H12" s="10"/>
      <c r="I12" s="81">
        <v>8410</v>
      </c>
      <c r="J12" s="81">
        <v>8716</v>
      </c>
      <c r="K12" s="81">
        <v>8903</v>
      </c>
      <c r="L12" s="32">
        <f>SUM(E12-SUM(I12:K12))</f>
        <v>11710</v>
      </c>
      <c r="M12" s="81">
        <v>9657</v>
      </c>
      <c r="N12" s="81">
        <v>9894</v>
      </c>
      <c r="O12" s="81">
        <v>12060</v>
      </c>
      <c r="P12" s="32">
        <f>SUM(F12-SUM(M12:O12))</f>
        <v>15295</v>
      </c>
      <c r="Q12" s="81">
        <v>11824</v>
      </c>
      <c r="R12" s="81">
        <v>12771</v>
      </c>
      <c r="S12" s="81">
        <v>14331</v>
      </c>
      <c r="T12" s="32">
        <f>SUM(G12-SUM(Q12:S12))</f>
        <v>17288</v>
      </c>
      <c r="U12" s="81">
        <v>13921</v>
      </c>
      <c r="V12" s="81">
        <v>15694</v>
      </c>
      <c r="W12" s="81">
        <v>17703</v>
      </c>
      <c r="X12" s="5"/>
      <c r="Y12" s="32"/>
      <c r="Z12" s="32"/>
      <c r="AA12" s="32"/>
      <c r="AB12" s="32"/>
      <c r="AC12" s="32"/>
      <c r="AD12" s="32"/>
      <c r="AE12" s="32"/>
      <c r="AF12" s="32"/>
      <c r="AG12" s="32"/>
      <c r="AH12" s="32"/>
    </row>
    <row r="13" spans="1:34" ht="12.75" customHeight="1">
      <c r="A13" s="80"/>
      <c r="B13" s="9" t="s">
        <v>169</v>
      </c>
      <c r="C13" s="81"/>
      <c r="D13" s="81"/>
      <c r="E13" s="81">
        <v>35218</v>
      </c>
      <c r="F13" s="81">
        <v>40209</v>
      </c>
      <c r="G13" s="81">
        <v>44374</v>
      </c>
      <c r="H13" s="10"/>
      <c r="I13" s="81">
        <v>7877</v>
      </c>
      <c r="J13" s="81">
        <v>8757</v>
      </c>
      <c r="K13" s="81">
        <v>9548</v>
      </c>
      <c r="L13" s="32">
        <f>SUM(E13-SUM(I13:K13))</f>
        <v>9036</v>
      </c>
      <c r="M13" s="81">
        <v>9509</v>
      </c>
      <c r="N13" s="81">
        <v>10683</v>
      </c>
      <c r="O13" s="81">
        <v>10170</v>
      </c>
      <c r="P13" s="32">
        <f>SUM(F13-SUM(M13:O13))</f>
        <v>9847</v>
      </c>
      <c r="Q13" s="81">
        <v>10722</v>
      </c>
      <c r="R13" s="81">
        <v>10866</v>
      </c>
      <c r="S13" s="81">
        <v>11278</v>
      </c>
      <c r="T13" s="32">
        <f>SUM(G13-SUM(Q13:S13))</f>
        <v>11508</v>
      </c>
      <c r="U13" s="81">
        <v>11715</v>
      </c>
      <c r="V13" s="81">
        <v>12208</v>
      </c>
      <c r="W13" s="81">
        <v>12574</v>
      </c>
      <c r="X13" s="5"/>
      <c r="Y13" s="32"/>
      <c r="Z13" s="32"/>
      <c r="AA13" s="32"/>
      <c r="AB13" s="32"/>
      <c r="AC13" s="32"/>
      <c r="AD13" s="32"/>
      <c r="AE13" s="32"/>
      <c r="AF13" s="32"/>
      <c r="AG13" s="32"/>
      <c r="AH13" s="32"/>
    </row>
    <row r="14" spans="1:34" ht="12.75" customHeight="1">
      <c r="A14" s="80"/>
      <c r="B14" s="9" t="s">
        <v>170</v>
      </c>
      <c r="C14" s="81"/>
      <c r="D14" s="81"/>
      <c r="E14" s="81">
        <v>80096</v>
      </c>
      <c r="F14" s="81">
        <v>90757</v>
      </c>
      <c r="G14" s="81">
        <v>107556</v>
      </c>
      <c r="H14" s="10"/>
      <c r="I14" s="81">
        <v>18441</v>
      </c>
      <c r="J14" s="81">
        <v>19739</v>
      </c>
      <c r="K14" s="81">
        <v>20538</v>
      </c>
      <c r="L14" s="32">
        <f>SUM(E14-SUM(I14:K14))</f>
        <v>21378</v>
      </c>
      <c r="M14" s="81">
        <v>21354</v>
      </c>
      <c r="N14" s="81">
        <v>22140</v>
      </c>
      <c r="O14" s="81">
        <v>23059</v>
      </c>
      <c r="P14" s="32">
        <f>SUM(F14-SUM(M14:O14))</f>
        <v>24204</v>
      </c>
      <c r="Q14" s="81">
        <v>25037</v>
      </c>
      <c r="R14" s="81">
        <v>26281</v>
      </c>
      <c r="S14" s="81">
        <v>27452</v>
      </c>
      <c r="T14" s="32">
        <f>SUM(G14-SUM(Q14:S14))</f>
        <v>28786</v>
      </c>
      <c r="U14" s="81">
        <v>29267</v>
      </c>
      <c r="V14" s="81">
        <v>30873</v>
      </c>
      <c r="W14" s="81">
        <v>33006</v>
      </c>
      <c r="X14" s="5"/>
      <c r="Y14" s="32"/>
      <c r="Z14" s="32"/>
      <c r="AA14" s="32"/>
      <c r="AB14" s="32"/>
      <c r="AC14" s="32"/>
      <c r="AD14" s="32"/>
      <c r="AE14" s="32"/>
      <c r="AF14" s="32"/>
      <c r="AG14" s="32"/>
      <c r="AH14" s="32"/>
    </row>
    <row r="15" spans="1:34">
      <c r="B15" s="9" t="s">
        <v>171</v>
      </c>
      <c r="C15" s="81"/>
      <c r="D15" s="81"/>
      <c r="E15" s="81">
        <v>4247</v>
      </c>
      <c r="F15" s="81">
        <v>4958</v>
      </c>
      <c r="G15" s="81">
        <v>5425</v>
      </c>
      <c r="H15" s="81"/>
      <c r="I15" s="81">
        <v>661</v>
      </c>
      <c r="J15" s="81">
        <v>1070</v>
      </c>
      <c r="K15" s="81">
        <v>1263</v>
      </c>
      <c r="L15" s="32">
        <f>SUM(E15-SUM(I15:K15))</f>
        <v>1253</v>
      </c>
      <c r="M15" s="81">
        <v>1027</v>
      </c>
      <c r="N15" s="81">
        <v>1344</v>
      </c>
      <c r="O15" s="81">
        <v>1226</v>
      </c>
      <c r="P15" s="32">
        <f>SUM(F15-SUM(M15:O15))</f>
        <v>1361</v>
      </c>
      <c r="Q15" s="81">
        <v>1262</v>
      </c>
      <c r="R15" s="81">
        <v>1260</v>
      </c>
      <c r="S15" s="81">
        <v>1313</v>
      </c>
      <c r="T15" s="32">
        <f>SUM(G15-SUM(Q15:S15))</f>
        <v>1590</v>
      </c>
      <c r="U15" s="81">
        <v>1312</v>
      </c>
      <c r="V15" s="81">
        <v>1499</v>
      </c>
      <c r="W15" s="81">
        <v>1415</v>
      </c>
      <c r="X15" s="5"/>
      <c r="Y15" s="32">
        <f>SUM(M15:P15)</f>
        <v>4958</v>
      </c>
      <c r="Z15" s="32">
        <f>SUM(N15:Q15)</f>
        <v>5193</v>
      </c>
      <c r="AA15" s="32">
        <f>SUM(O15:R15)</f>
        <v>5109</v>
      </c>
      <c r="AB15" s="32">
        <f>SUM(P15:S15)</f>
        <v>5196</v>
      </c>
      <c r="AC15" s="32">
        <f>SUM(Q15:T15)</f>
        <v>5425</v>
      </c>
      <c r="AD15" s="32">
        <f>SUM(R15:U15)</f>
        <v>5475</v>
      </c>
      <c r="AE15" s="32">
        <f>SUM(S15:V15)</f>
        <v>5714</v>
      </c>
      <c r="AF15" s="32">
        <f>SUM(T15:W15)</f>
        <v>5816</v>
      </c>
      <c r="AG15" s="32">
        <f>SUM(U15:W15)</f>
        <v>4226</v>
      </c>
      <c r="AH15" s="32">
        <f>SUM(V15:W15)</f>
        <v>2914</v>
      </c>
    </row>
    <row r="16" spans="1:34">
      <c r="B16" s="13" t="s">
        <v>65</v>
      </c>
      <c r="C16" s="14">
        <f>SUM(C9:C15)</f>
        <v>0</v>
      </c>
      <c r="D16" s="14">
        <f>SUM(D9:D15)</f>
        <v>0</v>
      </c>
      <c r="E16" s="14">
        <f>SUM(E9:E15)</f>
        <v>513983</v>
      </c>
      <c r="F16" s="14">
        <f>SUM(F9:F15)</f>
        <v>574785</v>
      </c>
      <c r="G16" s="14">
        <f>SUM(G9:G15)</f>
        <v>637959</v>
      </c>
      <c r="H16" s="11"/>
      <c r="I16" s="14">
        <f t="shared" ref="I16:L16" si="0">SUM(I9:I15)</f>
        <v>116444</v>
      </c>
      <c r="J16" s="14">
        <f t="shared" si="0"/>
        <v>121234</v>
      </c>
      <c r="K16" s="14">
        <f t="shared" si="0"/>
        <v>127101</v>
      </c>
      <c r="L16" s="14">
        <f t="shared" si="0"/>
        <v>149204</v>
      </c>
      <c r="M16" s="14">
        <f>SUM(M9:M15)</f>
        <v>127358</v>
      </c>
      <c r="N16" s="14">
        <f>SUM(N9:N15)</f>
        <v>134383</v>
      </c>
      <c r="O16" s="14">
        <f>SUM(O9:O15)</f>
        <v>143083</v>
      </c>
      <c r="P16" s="14">
        <f>SUM(P9:P15)</f>
        <v>169961</v>
      </c>
      <c r="Q16" s="14">
        <f>SUM(Q9:Q15)</f>
        <v>143313</v>
      </c>
      <c r="R16" s="14">
        <f>SUM(R9:R15)</f>
        <v>147977</v>
      </c>
      <c r="S16" s="14">
        <f>SUM(S9:S15)</f>
        <v>158877</v>
      </c>
      <c r="T16" s="14">
        <f>SUM(T9:T15)</f>
        <v>187792</v>
      </c>
      <c r="U16" s="14">
        <f>SUM(U9:U15)</f>
        <v>155667</v>
      </c>
      <c r="V16" s="14">
        <f>SUM(V9:V15)</f>
        <v>167702</v>
      </c>
      <c r="W16" s="14">
        <f>SUM(W9:W15)</f>
        <v>180169</v>
      </c>
      <c r="X16" s="5"/>
      <c r="Y16" s="14">
        <f>SUM(Y9:Y15)</f>
        <v>236830</v>
      </c>
      <c r="Z16" s="14">
        <f>SUM(Z9:Z15)</f>
        <v>240639</v>
      </c>
      <c r="AA16" s="14">
        <f>SUM(AA9:AA15)</f>
        <v>242981</v>
      </c>
      <c r="AB16" s="14">
        <f>SUM(AB9:AB15)</f>
        <v>247212</v>
      </c>
      <c r="AC16" s="14">
        <f>SUM(AC9:AC15)</f>
        <v>252454</v>
      </c>
      <c r="AD16" s="14">
        <f>SUM(AD9:AD15)</f>
        <v>255241</v>
      </c>
      <c r="AE16" s="14">
        <f>SUM(AE9:AE15)</f>
        <v>261573</v>
      </c>
      <c r="AF16" s="14">
        <f>SUM(AF9:AF15)</f>
        <v>267671</v>
      </c>
      <c r="AG16" s="14">
        <f>SUM(AG9:AG15)</f>
        <v>190525</v>
      </c>
      <c r="AH16" s="14">
        <f>SUM(AH9:AH15)</f>
        <v>131806</v>
      </c>
    </row>
    <row r="17" spans="1:34" outlineLevel="1">
      <c r="B17" s="131" t="s">
        <v>163</v>
      </c>
      <c r="C17" s="79">
        <f>C16-'Historical Financials'!C11</f>
        <v>-386064</v>
      </c>
      <c r="D17" s="79">
        <f>D16-'Historical Financials'!D11</f>
        <v>-469822</v>
      </c>
      <c r="E17" s="79">
        <f>E16-'Historical Financials'!E11</f>
        <v>0</v>
      </c>
      <c r="F17" s="79">
        <f>F16-'Historical Financials'!F11</f>
        <v>0</v>
      </c>
      <c r="G17" s="79">
        <f>G16-'Historical Financials'!G11</f>
        <v>0</v>
      </c>
      <c r="H17" s="11"/>
      <c r="I17" s="79">
        <f>I16-'Historical Financials'!I11</f>
        <v>0</v>
      </c>
      <c r="J17" s="79">
        <f>J16-'Historical Financials'!J11</f>
        <v>0</v>
      </c>
      <c r="K17" s="79">
        <f>K16-'Historical Financials'!K11</f>
        <v>0</v>
      </c>
      <c r="L17" s="79">
        <f>L16-'Historical Financials'!L11</f>
        <v>0</v>
      </c>
      <c r="M17" s="79">
        <f>M16-'Historical Financials'!M11</f>
        <v>0</v>
      </c>
      <c r="N17" s="79">
        <f>N16-'Historical Financials'!N11</f>
        <v>0</v>
      </c>
      <c r="O17" s="79">
        <f>O16-'Historical Financials'!O11</f>
        <v>0</v>
      </c>
      <c r="P17" s="79">
        <f>P16-'Historical Financials'!P11</f>
        <v>0</v>
      </c>
      <c r="Q17" s="79">
        <f>Q16-'Historical Financials'!Q11</f>
        <v>0</v>
      </c>
      <c r="R17" s="79">
        <f>R16-'Historical Financials'!R11</f>
        <v>0</v>
      </c>
      <c r="S17" s="79">
        <f>S16-'Historical Financials'!S11</f>
        <v>0</v>
      </c>
      <c r="T17" s="79">
        <f>T16-'Historical Financials'!T11</f>
        <v>0</v>
      </c>
      <c r="U17" s="79">
        <f>U16-'Historical Financials'!U11</f>
        <v>0</v>
      </c>
      <c r="V17" s="79">
        <f>V16-'Historical Financials'!V11</f>
        <v>0</v>
      </c>
      <c r="W17" s="79">
        <f>W16-'Historical Financials'!W11</f>
        <v>0</v>
      </c>
      <c r="X17" s="79"/>
      <c r="Y17" s="79">
        <f>Y16-'Historical Financials'!Y11</f>
        <v>-337955</v>
      </c>
      <c r="Z17" s="79">
        <f>Z16-'Historical Financials'!Z11</f>
        <v>-350101</v>
      </c>
      <c r="AA17" s="79">
        <f>AA16-'Historical Financials'!AA11</f>
        <v>-361353</v>
      </c>
      <c r="AB17" s="79">
        <f>AB16-'Historical Financials'!AB11</f>
        <v>-372916</v>
      </c>
      <c r="AC17" s="79">
        <f>AC16-'Historical Financials'!AC11</f>
        <v>-385505</v>
      </c>
      <c r="AD17" s="79">
        <f>AD16-'Historical Financials'!AD11</f>
        <v>-395072</v>
      </c>
      <c r="AE17" s="79">
        <f>AE16-'Historical Financials'!AE11</f>
        <v>-408465</v>
      </c>
      <c r="AF17" s="79">
        <f>AF16-'Historical Financials'!AF11</f>
        <v>-423659</v>
      </c>
      <c r="AG17" s="79">
        <f>AG16-'Historical Financials'!AG11</f>
        <v>190525</v>
      </c>
      <c r="AH17" s="79">
        <f>AH16-'Historical Financials'!AH11</f>
        <v>131805.88518176891</v>
      </c>
    </row>
    <row r="18" spans="1:34">
      <c r="B18" s="18"/>
      <c r="C18" s="19"/>
      <c r="D18" s="19"/>
      <c r="E18" s="19"/>
      <c r="F18" s="19"/>
      <c r="G18" s="19"/>
      <c r="H18" s="20"/>
      <c r="I18" s="21"/>
      <c r="J18" s="21"/>
      <c r="K18" s="21"/>
      <c r="L18" s="21"/>
      <c r="M18" s="21"/>
      <c r="N18" s="21"/>
      <c r="O18" s="21"/>
      <c r="P18" s="22"/>
      <c r="Q18" s="21"/>
      <c r="R18" s="21"/>
      <c r="S18" s="21"/>
      <c r="T18" s="21"/>
      <c r="U18" s="21"/>
      <c r="V18" s="21"/>
      <c r="W18" s="21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</row>
    <row r="19" spans="1:34">
      <c r="B19" s="152" t="str">
        <f>B9&amp;"(%)"</f>
        <v>Online Stores(%)</v>
      </c>
      <c r="C19" s="153" t="e">
        <f>SUM(C9/C$16)</f>
        <v>#DIV/0!</v>
      </c>
      <c r="D19" s="153" t="e">
        <f>SUM(D9/D$16)</f>
        <v>#DIV/0!</v>
      </c>
      <c r="E19" s="153">
        <f>SUM(E9/E$16)</f>
        <v>0.42803750318590306</v>
      </c>
      <c r="F19" s="153">
        <f>SUM(F9/F$16)</f>
        <v>0.40340649112276766</v>
      </c>
      <c r="G19" s="153">
        <f>SUM(G9/G$16)</f>
        <v>0.38721767386305389</v>
      </c>
      <c r="H19" s="154"/>
      <c r="I19" s="153">
        <f t="shared" ref="I19" si="1">SUM(I9/I$16)</f>
        <v>0.43908659956717394</v>
      </c>
      <c r="J19" s="153">
        <f t="shared" ref="J19:L19" si="2">SUM(J9/J$16)</f>
        <v>0.41947803421482421</v>
      </c>
      <c r="K19" s="153">
        <f t="shared" si="2"/>
        <v>0.42083854572347973</v>
      </c>
      <c r="L19" s="153">
        <f t="shared" si="2"/>
        <v>0.4325018096029597</v>
      </c>
      <c r="M19" s="153">
        <f>SUM(M9/M$16)</f>
        <v>0.40119976758428993</v>
      </c>
      <c r="N19" s="153">
        <f>SUM(N9/N$16)</f>
        <v>0.39414211619029194</v>
      </c>
      <c r="O19" s="153">
        <f>SUM(O9/O$16)</f>
        <v>0.4002362265258626</v>
      </c>
      <c r="P19" s="153">
        <f>SUM(P9/P$16)</f>
        <v>0.4150540418095916</v>
      </c>
      <c r="Q19" s="153">
        <f>SUM(Q9/Q$16)</f>
        <v>0.38147272054872899</v>
      </c>
      <c r="R19" s="153">
        <f>SUM(R9/R$16)</f>
        <v>0.37432844293369916</v>
      </c>
      <c r="S19" s="153">
        <f>SUM(S9/S$16)</f>
        <v>0.38653171950628473</v>
      </c>
      <c r="T19" s="153">
        <f>SUM(T9/T$16)</f>
        <v>0.40233875777455907</v>
      </c>
      <c r="U19" s="153">
        <f>SUM(U9/U$16)</f>
        <v>0.3687807949019381</v>
      </c>
      <c r="V19" s="153">
        <f>SUM(V9/V$16)</f>
        <v>0.36663247904020224</v>
      </c>
      <c r="W19" s="153">
        <f>SUM(W9/W$16)</f>
        <v>0.37413206489462669</v>
      </c>
      <c r="X19" s="154"/>
      <c r="Y19" s="155">
        <f t="shared" ref="Y19:AH25" si="3">N19</f>
        <v>0.39414211619029194</v>
      </c>
      <c r="Z19" s="155">
        <f t="shared" si="3"/>
        <v>0.4002362265258626</v>
      </c>
      <c r="AA19" s="155">
        <f t="shared" si="3"/>
        <v>0.4150540418095916</v>
      </c>
      <c r="AB19" s="155">
        <f t="shared" si="3"/>
        <v>0.38147272054872899</v>
      </c>
      <c r="AC19" s="155">
        <f t="shared" si="3"/>
        <v>0.37432844293369916</v>
      </c>
      <c r="AD19" s="155">
        <f t="shared" si="3"/>
        <v>0.38653171950628473</v>
      </c>
      <c r="AE19" s="155">
        <f t="shared" si="3"/>
        <v>0.40233875777455907</v>
      </c>
      <c r="AF19" s="155">
        <f t="shared" si="3"/>
        <v>0.3687807949019381</v>
      </c>
      <c r="AG19" s="155">
        <f t="shared" si="3"/>
        <v>0.36663247904020224</v>
      </c>
      <c r="AH19" s="156">
        <f t="shared" si="3"/>
        <v>0.37413206489462669</v>
      </c>
    </row>
    <row r="20" spans="1:34">
      <c r="B20" s="166" t="str">
        <f>B10&amp;"(%)"</f>
        <v>Physical Stores(%)</v>
      </c>
      <c r="C20" s="167" t="e">
        <f>SUM(C10/C$16)</f>
        <v>#DIV/0!</v>
      </c>
      <c r="D20" s="167" t="e">
        <f>SUM(D10/D$16)</f>
        <v>#DIV/0!</v>
      </c>
      <c r="E20" s="167">
        <f>SUM(E10/E$16)</f>
        <v>3.68942163456768E-2</v>
      </c>
      <c r="F20" s="167">
        <f>SUM(F10/F$16)</f>
        <v>3.4847812660386057E-2</v>
      </c>
      <c r="G20" s="167">
        <f>SUM(G10/G$16)</f>
        <v>3.3254488141087439E-2</v>
      </c>
      <c r="H20" s="168"/>
      <c r="I20" s="167">
        <f t="shared" ref="I20" si="4">SUM(I10/I$16)</f>
        <v>3.9426677201058018E-2</v>
      </c>
      <c r="J20" s="167">
        <f t="shared" ref="J20:L20" si="5">SUM(J10/J$16)</f>
        <v>3.8941221109589717E-2</v>
      </c>
      <c r="K20" s="167">
        <f t="shared" si="5"/>
        <v>3.6931259392136963E-2</v>
      </c>
      <c r="L20" s="167">
        <f t="shared" si="5"/>
        <v>3.3222969893568537E-2</v>
      </c>
      <c r="M20" s="167">
        <f>SUM(M10/M$16)</f>
        <v>3.8434962860597686E-2</v>
      </c>
      <c r="N20" s="167">
        <f>SUM(N10/N$16)</f>
        <v>3.7385681224559653E-2</v>
      </c>
      <c r="O20" s="167">
        <f>SUM(O10/O$16)</f>
        <v>3.4658205377298489E-2</v>
      </c>
      <c r="P20" s="167">
        <f>SUM(P10/P$16)</f>
        <v>3.0312836474249975E-2</v>
      </c>
      <c r="Q20" s="167">
        <f>SUM(Q10/Q$16)</f>
        <v>3.6298172531452136E-2</v>
      </c>
      <c r="R20" s="167">
        <f>SUM(R10/R$16)</f>
        <v>3.5181143015468617E-2</v>
      </c>
      <c r="S20" s="167">
        <f>SUM(S10/S$16)</f>
        <v>3.2905958697608845E-2</v>
      </c>
      <c r="T20" s="167">
        <f>SUM(T10/T$16)</f>
        <v>2.9708400783845956E-2</v>
      </c>
      <c r="U20" s="167">
        <f>SUM(U10/U$16)</f>
        <v>3.5543821105308127E-2</v>
      </c>
      <c r="V20" s="167">
        <f>SUM(V10/V$16)</f>
        <v>3.3362750593314332E-2</v>
      </c>
      <c r="W20" s="167">
        <f>SUM(W10/W$16)</f>
        <v>3.095982105689658E-2</v>
      </c>
      <c r="X20" s="168"/>
      <c r="Y20" s="169">
        <f>N20</f>
        <v>3.7385681224559653E-2</v>
      </c>
      <c r="Z20" s="169">
        <f>O20</f>
        <v>3.4658205377298489E-2</v>
      </c>
      <c r="AA20" s="169">
        <f>P20</f>
        <v>3.0312836474249975E-2</v>
      </c>
      <c r="AB20" s="169">
        <f>Q20</f>
        <v>3.6298172531452136E-2</v>
      </c>
      <c r="AC20" s="169">
        <f>R20</f>
        <v>3.5181143015468617E-2</v>
      </c>
      <c r="AD20" s="169">
        <f>S20</f>
        <v>3.2905958697608845E-2</v>
      </c>
      <c r="AE20" s="169">
        <f>T20</f>
        <v>2.9708400783845956E-2</v>
      </c>
      <c r="AF20" s="169">
        <f>U20</f>
        <v>3.5543821105308127E-2</v>
      </c>
      <c r="AG20" s="169">
        <f>V20</f>
        <v>3.3362750593314332E-2</v>
      </c>
      <c r="AH20" s="170">
        <f>W20</f>
        <v>3.095982105689658E-2</v>
      </c>
    </row>
    <row r="21" spans="1:34">
      <c r="B21" s="166" t="str">
        <f>B11&amp;"(%)"</f>
        <v>Third-party Seller Services(%)</v>
      </c>
      <c r="C21" s="167" t="e">
        <f>SUM(C11/C$16)</f>
        <v>#DIV/0!</v>
      </c>
      <c r="D21" s="167" t="e">
        <f>SUM(D11/D$16)</f>
        <v>#DIV/0!</v>
      </c>
      <c r="E21" s="167">
        <f>SUM(E11/E$16)</f>
        <v>0.22902703007687025</v>
      </c>
      <c r="F21" s="167">
        <f>SUM(F11/F$16)</f>
        <v>0.24366154301173482</v>
      </c>
      <c r="G21" s="167">
        <f>SUM(G11/G$16)</f>
        <v>0.24475867571427004</v>
      </c>
      <c r="H21" s="168"/>
      <c r="I21" s="167">
        <f t="shared" ref="I21" si="6">SUM(I11/I$16)</f>
        <v>0.21757239531448594</v>
      </c>
      <c r="J21" s="167">
        <f t="shared" ref="J21:L21" si="7">SUM(J11/J$16)</f>
        <v>0.22581124107098668</v>
      </c>
      <c r="K21" s="167">
        <f t="shared" si="7"/>
        <v>0.22553717122603284</v>
      </c>
      <c r="L21" s="167">
        <f t="shared" si="7"/>
        <v>0.24355245167689873</v>
      </c>
      <c r="M21" s="167">
        <f>SUM(M11/M$16)</f>
        <v>0.2341431241068484</v>
      </c>
      <c r="N21" s="167">
        <f>SUM(N11/N$16)</f>
        <v>0.24059590870869083</v>
      </c>
      <c r="O21" s="167">
        <f>SUM(O11/O$16)</f>
        <v>0.24001453701697617</v>
      </c>
      <c r="P21" s="167">
        <f>SUM(P11/P$16)</f>
        <v>0.25628820729461466</v>
      </c>
      <c r="Q21" s="167">
        <f>SUM(Q11/Q$16)</f>
        <v>0.24140168721609345</v>
      </c>
      <c r="R21" s="167">
        <f>SUM(R11/R$16)</f>
        <v>0.24463936963176711</v>
      </c>
      <c r="S21" s="167">
        <f>SUM(S11/S$16)</f>
        <v>0.23832272764465592</v>
      </c>
      <c r="T21" s="167">
        <f>SUM(T11/T$16)</f>
        <v>0.25285954673255517</v>
      </c>
      <c r="U21" s="167">
        <f>SUM(U11/U$16)</f>
        <v>0.23455196027417499</v>
      </c>
      <c r="V21" s="167">
        <f>SUM(V11/V$16)</f>
        <v>0.24059343359053559</v>
      </c>
      <c r="W21" s="167">
        <f>SUM(W11/W$16)</f>
        <v>0.2358119321303887</v>
      </c>
      <c r="X21" s="168"/>
      <c r="Y21" s="169">
        <f>N21</f>
        <v>0.24059590870869083</v>
      </c>
      <c r="Z21" s="169">
        <f>O21</f>
        <v>0.24001453701697617</v>
      </c>
      <c r="AA21" s="169">
        <f>P21</f>
        <v>0.25628820729461466</v>
      </c>
      <c r="AB21" s="169">
        <f>Q21</f>
        <v>0.24140168721609345</v>
      </c>
      <c r="AC21" s="169">
        <f>R21</f>
        <v>0.24463936963176711</v>
      </c>
      <c r="AD21" s="169">
        <f>S21</f>
        <v>0.23832272764465592</v>
      </c>
      <c r="AE21" s="169">
        <f>T21</f>
        <v>0.25285954673255517</v>
      </c>
      <c r="AF21" s="169">
        <f>U21</f>
        <v>0.23455196027417499</v>
      </c>
      <c r="AG21" s="169">
        <f>V21</f>
        <v>0.24059343359053559</v>
      </c>
      <c r="AH21" s="170">
        <f>W21</f>
        <v>0.2358119321303887</v>
      </c>
    </row>
    <row r="22" spans="1:34">
      <c r="B22" s="166" t="str">
        <f>B12&amp;"(%)"</f>
        <v>Advertising Services(%)</v>
      </c>
      <c r="C22" s="167" t="e">
        <f>SUM(C12/C$16)</f>
        <v>#DIV/0!</v>
      </c>
      <c r="D22" s="167" t="e">
        <f>SUM(D12/D$16)</f>
        <v>#DIV/0!</v>
      </c>
      <c r="E22" s="167">
        <f>SUM(E12/E$16)</f>
        <v>7.3424607428650368E-2</v>
      </c>
      <c r="F22" s="167">
        <f>SUM(F12/F$16)</f>
        <v>8.1606165783727827E-2</v>
      </c>
      <c r="G22" s="167">
        <f>SUM(G12/G$16)</f>
        <v>8.811538045548381E-2</v>
      </c>
      <c r="H22" s="168"/>
      <c r="I22" s="167">
        <f t="shared" ref="I22" si="8">SUM(I12/I$16)</f>
        <v>7.2223558105183605E-2</v>
      </c>
      <c r="J22" s="167">
        <f t="shared" ref="J22:L22" si="9">SUM(J12/J$16)</f>
        <v>7.1894023128825243E-2</v>
      </c>
      <c r="K22" s="167">
        <f t="shared" si="9"/>
        <v>7.0046655809159641E-2</v>
      </c>
      <c r="L22" s="167">
        <f t="shared" si="9"/>
        <v>7.848315058577518E-2</v>
      </c>
      <c r="M22" s="167">
        <f>SUM(M12/M$16)</f>
        <v>7.5825625402408961E-2</v>
      </c>
      <c r="N22" s="167">
        <f>SUM(N12/N$16)</f>
        <v>7.3625384163175406E-2</v>
      </c>
      <c r="O22" s="167">
        <f>SUM(O12/O$16)</f>
        <v>8.4286742659854766E-2</v>
      </c>
      <c r="P22" s="167">
        <f>SUM(P12/P$16)</f>
        <v>8.9991233282929614E-2</v>
      </c>
      <c r="Q22" s="167">
        <f>SUM(Q12/Q$16)</f>
        <v>8.2504727414819318E-2</v>
      </c>
      <c r="R22" s="167">
        <f>SUM(R12/R$16)</f>
        <v>8.6303952641288845E-2</v>
      </c>
      <c r="S22" s="167">
        <f>SUM(S12/S$16)</f>
        <v>9.0201854264619796E-2</v>
      </c>
      <c r="T22" s="167">
        <f>SUM(T12/T$16)</f>
        <v>9.2059299650677343E-2</v>
      </c>
      <c r="U22" s="167">
        <f>SUM(U12/U$16)</f>
        <v>8.9428074029820059E-2</v>
      </c>
      <c r="V22" s="167">
        <f>SUM(V12/V$16)</f>
        <v>9.358266448819931E-2</v>
      </c>
      <c r="W22" s="167">
        <f>SUM(W12/W$16)</f>
        <v>9.825774689319472E-2</v>
      </c>
      <c r="X22" s="168"/>
      <c r="Y22" s="169">
        <f>N22</f>
        <v>7.3625384163175406E-2</v>
      </c>
      <c r="Z22" s="169">
        <f>O22</f>
        <v>8.4286742659854766E-2</v>
      </c>
      <c r="AA22" s="169">
        <f>P22</f>
        <v>8.9991233282929614E-2</v>
      </c>
      <c r="AB22" s="169">
        <f>Q22</f>
        <v>8.2504727414819318E-2</v>
      </c>
      <c r="AC22" s="169">
        <f>R22</f>
        <v>8.6303952641288845E-2</v>
      </c>
      <c r="AD22" s="169">
        <f>S22</f>
        <v>9.0201854264619796E-2</v>
      </c>
      <c r="AE22" s="169">
        <f>T22</f>
        <v>9.2059299650677343E-2</v>
      </c>
      <c r="AF22" s="169">
        <f>U22</f>
        <v>8.9428074029820059E-2</v>
      </c>
      <c r="AG22" s="169">
        <f>V22</f>
        <v>9.358266448819931E-2</v>
      </c>
      <c r="AH22" s="170">
        <f>W22</f>
        <v>9.825774689319472E-2</v>
      </c>
    </row>
    <row r="23" spans="1:34">
      <c r="B23" s="166" t="str">
        <f>B13&amp;"(%)"</f>
        <v>Subscription Services(%)</v>
      </c>
      <c r="C23" s="167" t="e">
        <f>SUM(C13/C$16)</f>
        <v>#DIV/0!</v>
      </c>
      <c r="D23" s="167" t="e">
        <f>SUM(D13/D$16)</f>
        <v>#DIV/0!</v>
      </c>
      <c r="E23" s="167">
        <f>SUM(E13/E$16)</f>
        <v>6.8519775945897046E-2</v>
      </c>
      <c r="F23" s="167">
        <f>SUM(F13/F$16)</f>
        <v>6.9954852684047081E-2</v>
      </c>
      <c r="G23" s="167">
        <f>SUM(G13/G$16)</f>
        <v>6.9556194050087852E-2</v>
      </c>
      <c r="H23" s="168"/>
      <c r="I23" s="167">
        <f t="shared" ref="I23" si="10">SUM(I13/I$16)</f>
        <v>6.7646250558208235E-2</v>
      </c>
      <c r="J23" s="167">
        <f t="shared" ref="J23:L23" si="11">SUM(J13/J$16)</f>
        <v>7.2232212085718533E-2</v>
      </c>
      <c r="K23" s="167">
        <f t="shared" si="11"/>
        <v>7.5121360178126054E-2</v>
      </c>
      <c r="L23" s="167">
        <f t="shared" si="11"/>
        <v>6.0561379051499963E-2</v>
      </c>
      <c r="M23" s="167">
        <f>SUM(M13/M$16)</f>
        <v>7.4663546852180462E-2</v>
      </c>
      <c r="N23" s="167">
        <f>SUM(N13/N$16)</f>
        <v>7.9496662524277631E-2</v>
      </c>
      <c r="O23" s="167">
        <f>SUM(O13/O$16)</f>
        <v>7.1077626272862598E-2</v>
      </c>
      <c r="P23" s="167">
        <f>SUM(P13/P$16)</f>
        <v>5.7936820800065895E-2</v>
      </c>
      <c r="Q23" s="167">
        <f>SUM(Q13/Q$16)</f>
        <v>7.4815264491009184E-2</v>
      </c>
      <c r="R23" s="167">
        <f>SUM(R13/R$16)</f>
        <v>7.3430330389182105E-2</v>
      </c>
      <c r="S23" s="167">
        <f>SUM(S13/S$16)</f>
        <v>7.0985731100159238E-2</v>
      </c>
      <c r="T23" s="167">
        <f>SUM(T13/T$16)</f>
        <v>6.1280565732299563E-2</v>
      </c>
      <c r="U23" s="167">
        <f>SUM(U13/U$16)</f>
        <v>7.5256798165314415E-2</v>
      </c>
      <c r="V23" s="167">
        <f>SUM(V13/V$16)</f>
        <v>7.2795792536761633E-2</v>
      </c>
      <c r="W23" s="167">
        <f>SUM(W13/W$16)</f>
        <v>6.9790030471390749E-2</v>
      </c>
      <c r="X23" s="168"/>
      <c r="Y23" s="169">
        <f>N23</f>
        <v>7.9496662524277631E-2</v>
      </c>
      <c r="Z23" s="169">
        <f>O23</f>
        <v>7.1077626272862598E-2</v>
      </c>
      <c r="AA23" s="169">
        <f>P23</f>
        <v>5.7936820800065895E-2</v>
      </c>
      <c r="AB23" s="169">
        <f>Q23</f>
        <v>7.4815264491009184E-2</v>
      </c>
      <c r="AC23" s="169">
        <f>R23</f>
        <v>7.3430330389182105E-2</v>
      </c>
      <c r="AD23" s="169">
        <f>S23</f>
        <v>7.0985731100159238E-2</v>
      </c>
      <c r="AE23" s="169">
        <f>T23</f>
        <v>6.1280565732299563E-2</v>
      </c>
      <c r="AF23" s="169">
        <f>U23</f>
        <v>7.5256798165314415E-2</v>
      </c>
      <c r="AG23" s="169">
        <f>V23</f>
        <v>7.2795792536761633E-2</v>
      </c>
      <c r="AH23" s="170">
        <f>W23</f>
        <v>6.9790030471390749E-2</v>
      </c>
    </row>
    <row r="24" spans="1:34">
      <c r="B24" s="166" t="str">
        <f>B14&amp;"(%)"</f>
        <v>AWS(%)</v>
      </c>
      <c r="C24" s="167" t="e">
        <f>SUM(C14/C$16)</f>
        <v>#DIV/0!</v>
      </c>
      <c r="D24" s="167" t="e">
        <f>SUM(D14/D$16)</f>
        <v>#DIV/0!</v>
      </c>
      <c r="E24" s="167">
        <f>SUM(E14/E$16)</f>
        <v>0.15583394781539467</v>
      </c>
      <c r="F24" s="167">
        <f>SUM(F14/F$16)</f>
        <v>0.15789730072983812</v>
      </c>
      <c r="G24" s="167">
        <f>SUM(G14/G$16)</f>
        <v>0.16859390650496348</v>
      </c>
      <c r="H24" s="168"/>
      <c r="I24" s="167">
        <f t="shared" ref="I24" si="12">SUM(I14/I$16)</f>
        <v>0.15836797087011784</v>
      </c>
      <c r="J24" s="167">
        <f t="shared" ref="J24:L24" si="13">SUM(J14/J$16)</f>
        <v>0.16281736146625533</v>
      </c>
      <c r="K24" s="167">
        <f t="shared" si="13"/>
        <v>0.16158802841834446</v>
      </c>
      <c r="L24" s="167">
        <f t="shared" si="13"/>
        <v>0.14328034100962442</v>
      </c>
      <c r="M24" s="167">
        <f>SUM(M14/M$16)</f>
        <v>0.16766909028094035</v>
      </c>
      <c r="N24" s="167">
        <f>SUM(N14/N$16)</f>
        <v>0.16475298214803955</v>
      </c>
      <c r="O24" s="167">
        <f>SUM(O14/O$16)</f>
        <v>0.16115820887177373</v>
      </c>
      <c r="P24" s="167">
        <f>SUM(P14/P$16)</f>
        <v>0.14240914092056414</v>
      </c>
      <c r="Q24" s="167">
        <f>SUM(Q14/Q$16)</f>
        <v>0.17470152742598369</v>
      </c>
      <c r="R24" s="167">
        <f>SUM(R14/R$16)</f>
        <v>0.1776019246234212</v>
      </c>
      <c r="S24" s="167">
        <f>SUM(S14/S$16)</f>
        <v>0.17278775404872951</v>
      </c>
      <c r="T24" s="167">
        <f>SUM(T14/T$16)</f>
        <v>0.15328661497827384</v>
      </c>
      <c r="U24" s="167">
        <f>SUM(U14/U$16)</f>
        <v>0.18801030404645813</v>
      </c>
      <c r="V24" s="167">
        <f>SUM(V14/V$16)</f>
        <v>0.18409440555270659</v>
      </c>
      <c r="W24" s="167">
        <f>SUM(W14/W$16)</f>
        <v>0.18319466722910158</v>
      </c>
      <c r="X24" s="168"/>
      <c r="Y24" s="169">
        <f>N24</f>
        <v>0.16475298214803955</v>
      </c>
      <c r="Z24" s="169">
        <f>O24</f>
        <v>0.16115820887177373</v>
      </c>
      <c r="AA24" s="169">
        <f>P24</f>
        <v>0.14240914092056414</v>
      </c>
      <c r="AB24" s="169">
        <f>Q24</f>
        <v>0.17470152742598369</v>
      </c>
      <c r="AC24" s="169">
        <f>R24</f>
        <v>0.1776019246234212</v>
      </c>
      <c r="AD24" s="169">
        <f>S24</f>
        <v>0.17278775404872951</v>
      </c>
      <c r="AE24" s="169">
        <f>T24</f>
        <v>0.15328661497827384</v>
      </c>
      <c r="AF24" s="169">
        <f>U24</f>
        <v>0.18801030404645813</v>
      </c>
      <c r="AG24" s="169">
        <f>V24</f>
        <v>0.18409440555270659</v>
      </c>
      <c r="AH24" s="170">
        <f>W24</f>
        <v>0.18319466722910158</v>
      </c>
    </row>
    <row r="25" spans="1:34" ht="12.75" customHeight="1">
      <c r="B25" s="157" t="str">
        <f>B15&amp;"(%)"</f>
        <v>Other(%)</v>
      </c>
      <c r="C25" s="158" t="e">
        <f>SUM(C15/C$16)</f>
        <v>#DIV/0!</v>
      </c>
      <c r="D25" s="158" t="e">
        <f>SUM(D15/D$16)</f>
        <v>#DIV/0!</v>
      </c>
      <c r="E25" s="158">
        <f>SUM(E15/E$16)</f>
        <v>8.2629192016078351E-3</v>
      </c>
      <c r="F25" s="158">
        <f>SUM(F15/F$16)</f>
        <v>8.6258340074984556E-3</v>
      </c>
      <c r="G25" s="158">
        <f>SUM(G15/G$16)</f>
        <v>8.5036812710534686E-3</v>
      </c>
      <c r="H25" s="159"/>
      <c r="I25" s="158">
        <f t="shared" ref="I25" si="14">SUM(I15/I$16)</f>
        <v>5.6765483837724574E-3</v>
      </c>
      <c r="J25" s="158">
        <f t="shared" ref="J25:L25" si="15">SUM(J15/J$16)</f>
        <v>8.8259069238002547E-3</v>
      </c>
      <c r="K25" s="158">
        <f t="shared" si="15"/>
        <v>9.9369792527202773E-3</v>
      </c>
      <c r="L25" s="158">
        <f t="shared" si="15"/>
        <v>8.3978981796734679E-3</v>
      </c>
      <c r="M25" s="158">
        <f>SUM(M15/M$16)</f>
        <v>8.063882912734183E-3</v>
      </c>
      <c r="N25" s="158">
        <f>SUM(N15/N$16)</f>
        <v>1.0001265040965003E-2</v>
      </c>
      <c r="O25" s="158">
        <f>SUM(O15/O$16)</f>
        <v>8.5684532753716371E-3</v>
      </c>
      <c r="P25" s="158">
        <f>SUM(P15/P$16)</f>
        <v>8.0077194179841264E-3</v>
      </c>
      <c r="Q25" s="158">
        <f>SUM(Q15/Q$16)</f>
        <v>8.8059003719132244E-3</v>
      </c>
      <c r="R25" s="158">
        <f>SUM(R15/R$16)</f>
        <v>8.5148367651729662E-3</v>
      </c>
      <c r="S25" s="158">
        <f>SUM(S15/S$16)</f>
        <v>8.2642547379419302E-3</v>
      </c>
      <c r="T25" s="158">
        <f>SUM(T15/T$16)</f>
        <v>8.4668143477890437E-3</v>
      </c>
      <c r="U25" s="158">
        <f>SUM(U15/U$16)</f>
        <v>8.428247476986131E-3</v>
      </c>
      <c r="V25" s="158">
        <f>SUM(V15/V$16)</f>
        <v>8.9384741982802829E-3</v>
      </c>
      <c r="W25" s="158">
        <f>SUM(W15/W$16)</f>
        <v>7.8537373244009796E-3</v>
      </c>
      <c r="X25" s="159"/>
      <c r="Y25" s="160">
        <f t="shared" si="3"/>
        <v>1.0001265040965003E-2</v>
      </c>
      <c r="Z25" s="160">
        <f t="shared" si="3"/>
        <v>8.5684532753716371E-3</v>
      </c>
      <c r="AA25" s="160">
        <f t="shared" si="3"/>
        <v>8.0077194179841264E-3</v>
      </c>
      <c r="AB25" s="160">
        <f t="shared" si="3"/>
        <v>8.8059003719132244E-3</v>
      </c>
      <c r="AC25" s="160">
        <f t="shared" si="3"/>
        <v>8.5148367651729662E-3</v>
      </c>
      <c r="AD25" s="160">
        <f t="shared" si="3"/>
        <v>8.2642547379419302E-3</v>
      </c>
      <c r="AE25" s="160">
        <f t="shared" si="3"/>
        <v>8.4668143477890437E-3</v>
      </c>
      <c r="AF25" s="160">
        <f t="shared" si="3"/>
        <v>8.428247476986131E-3</v>
      </c>
      <c r="AG25" s="160">
        <f t="shared" si="3"/>
        <v>8.9384741982802829E-3</v>
      </c>
      <c r="AH25" s="161">
        <f t="shared" si="3"/>
        <v>7.8537373244009796E-3</v>
      </c>
    </row>
    <row r="26" spans="1:34">
      <c r="B26" s="18"/>
      <c r="C26" s="19"/>
      <c r="D26" s="19"/>
      <c r="E26" s="19"/>
      <c r="F26" s="19"/>
      <c r="G26" s="19"/>
      <c r="H26" s="20"/>
      <c r="I26" s="21"/>
      <c r="J26" s="21"/>
      <c r="K26" s="21"/>
      <c r="L26" s="21"/>
      <c r="M26" s="21"/>
      <c r="N26" s="21"/>
      <c r="O26" s="21"/>
      <c r="P26" s="22"/>
      <c r="Q26" s="21"/>
      <c r="R26" s="21"/>
      <c r="S26" s="21"/>
      <c r="T26" s="21"/>
      <c r="U26" s="21"/>
      <c r="V26" s="21"/>
      <c r="W26" s="21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</row>
    <row r="27" spans="1:34">
      <c r="A27" s="36" t="s">
        <v>16</v>
      </c>
      <c r="B27" s="1" t="s">
        <v>162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ht="5.0999999999999996" customHeight="1"/>
    <row r="29" spans="1:34" ht="12.75" customHeight="1">
      <c r="A29" s="80" t="s">
        <v>16</v>
      </c>
      <c r="B29" s="78" t="s">
        <v>162</v>
      </c>
      <c r="C29" s="10"/>
      <c r="D29" s="10"/>
      <c r="E29" s="10"/>
      <c r="F29" s="10"/>
      <c r="G29" s="10"/>
      <c r="H29" s="10"/>
      <c r="I29" s="95"/>
      <c r="J29" s="95"/>
      <c r="K29" s="95"/>
      <c r="L29" s="95"/>
      <c r="M29" s="95"/>
      <c r="N29" s="95"/>
      <c r="O29" s="95"/>
      <c r="P29" s="32"/>
      <c r="Q29" s="95"/>
      <c r="R29" s="95"/>
      <c r="S29" s="95"/>
      <c r="T29" s="32"/>
      <c r="U29" s="95"/>
      <c r="V29" s="95"/>
      <c r="W29" s="95"/>
      <c r="X29" s="5"/>
      <c r="Y29" s="11"/>
      <c r="Z29" s="11"/>
      <c r="AA29" s="11"/>
      <c r="AB29" s="11"/>
      <c r="AC29" s="11"/>
      <c r="AD29" s="11"/>
      <c r="AE29" s="11"/>
      <c r="AF29" s="11"/>
      <c r="AG29" s="11"/>
      <c r="AH29" s="11"/>
    </row>
    <row r="30" spans="1:34" ht="12.75" customHeight="1">
      <c r="A30" s="80"/>
      <c r="B30" s="9" t="s">
        <v>176</v>
      </c>
      <c r="C30" s="81"/>
      <c r="D30" s="81"/>
      <c r="E30" s="81">
        <v>315880</v>
      </c>
      <c r="F30" s="81">
        <v>352828</v>
      </c>
      <c r="G30" s="81">
        <v>387497</v>
      </c>
      <c r="H30" s="10"/>
      <c r="I30" s="81">
        <v>69244</v>
      </c>
      <c r="J30" s="81">
        <v>74430</v>
      </c>
      <c r="K30" s="81">
        <v>78843</v>
      </c>
      <c r="L30" s="32">
        <f t="shared" ref="L30:L32" si="16">SUM(E30-SUM(I30:K30))</f>
        <v>93363</v>
      </c>
      <c r="M30" s="81">
        <v>76881</v>
      </c>
      <c r="N30" s="81">
        <v>82546</v>
      </c>
      <c r="O30" s="81">
        <v>87887</v>
      </c>
      <c r="P30" s="32">
        <v>105514</v>
      </c>
      <c r="Q30" s="81">
        <v>86341</v>
      </c>
      <c r="R30" s="81">
        <v>90033</v>
      </c>
      <c r="S30" s="81">
        <v>95537</v>
      </c>
      <c r="T30" s="32">
        <v>115586</v>
      </c>
      <c r="U30" s="81">
        <v>92887</v>
      </c>
      <c r="V30" s="81">
        <v>100068</v>
      </c>
      <c r="W30" s="81">
        <v>106267</v>
      </c>
      <c r="X30" s="5"/>
      <c r="Y30" s="32">
        <f>SUM(M30:P30)</f>
        <v>352828</v>
      </c>
      <c r="Z30" s="32">
        <f>SUM(N30:Q30)</f>
        <v>362288</v>
      </c>
      <c r="AA30" s="32">
        <f>SUM(O30:R30)</f>
        <v>369775</v>
      </c>
      <c r="AB30" s="32">
        <f>SUM(P30:S30)</f>
        <v>377425</v>
      </c>
      <c r="AC30" s="32">
        <f>SUM(Q30:T30)</f>
        <v>387497</v>
      </c>
      <c r="AD30" s="32">
        <f>SUM(R30:U30)</f>
        <v>394043</v>
      </c>
      <c r="AE30" s="32">
        <f>SUM(S30:V30)</f>
        <v>404078</v>
      </c>
      <c r="AF30" s="32">
        <f>SUM(T30:W30)</f>
        <v>414808</v>
      </c>
      <c r="AG30" s="32">
        <f>SUM(U30:W30)</f>
        <v>299222</v>
      </c>
      <c r="AH30" s="32">
        <f>SUM(V30:W30)</f>
        <v>206335</v>
      </c>
    </row>
    <row r="31" spans="1:34" ht="12.75" customHeight="1">
      <c r="A31" s="80"/>
      <c r="B31" s="9" t="s">
        <v>177</v>
      </c>
      <c r="C31" s="81"/>
      <c r="D31" s="81"/>
      <c r="E31" s="81">
        <v>118007</v>
      </c>
      <c r="F31" s="81">
        <v>131200</v>
      </c>
      <c r="G31" s="81">
        <v>142906</v>
      </c>
      <c r="H31" s="10"/>
      <c r="I31" s="81">
        <v>28759</v>
      </c>
      <c r="J31" s="81">
        <v>27065</v>
      </c>
      <c r="K31" s="81">
        <v>27720</v>
      </c>
      <c r="L31" s="32">
        <f t="shared" si="16"/>
        <v>34463</v>
      </c>
      <c r="M31" s="81">
        <v>29123</v>
      </c>
      <c r="N31" s="81">
        <v>29697</v>
      </c>
      <c r="O31" s="81">
        <v>32137</v>
      </c>
      <c r="P31" s="32">
        <v>40243</v>
      </c>
      <c r="Q31" s="81">
        <v>31935</v>
      </c>
      <c r="R31" s="81">
        <v>31663</v>
      </c>
      <c r="S31" s="81">
        <v>35888</v>
      </c>
      <c r="T31" s="32">
        <v>43420</v>
      </c>
      <c r="U31" s="81">
        <v>33513</v>
      </c>
      <c r="V31" s="81">
        <v>36761</v>
      </c>
      <c r="W31" s="81">
        <v>40896</v>
      </c>
      <c r="X31" s="5"/>
      <c r="Y31" s="32">
        <f>SUM(M31:P31)</f>
        <v>131200</v>
      </c>
      <c r="Z31" s="32">
        <f>SUM(N31:Q31)</f>
        <v>134012</v>
      </c>
      <c r="AA31" s="32">
        <f>SUM(O31:R31)</f>
        <v>135978</v>
      </c>
      <c r="AB31" s="32">
        <f>SUM(P31:S31)</f>
        <v>139729</v>
      </c>
      <c r="AC31" s="32">
        <f>SUM(Q31:T31)</f>
        <v>142906</v>
      </c>
      <c r="AD31" s="32">
        <f>SUM(R31:U31)</f>
        <v>144484</v>
      </c>
      <c r="AE31" s="32">
        <f>SUM(S31:V31)</f>
        <v>149582</v>
      </c>
      <c r="AF31" s="32">
        <f>SUM(T31:W31)</f>
        <v>154590</v>
      </c>
      <c r="AG31" s="32">
        <f>SUM(U31:W31)</f>
        <v>111170</v>
      </c>
      <c r="AH31" s="32">
        <f>SUM(V31:W31)</f>
        <v>77657</v>
      </c>
    </row>
    <row r="32" spans="1:34">
      <c r="B32" s="9" t="s">
        <v>178</v>
      </c>
      <c r="C32" s="81"/>
      <c r="D32" s="81"/>
      <c r="E32" s="81">
        <v>80096</v>
      </c>
      <c r="F32" s="81">
        <v>90757</v>
      </c>
      <c r="G32" s="81">
        <v>107556</v>
      </c>
      <c r="H32" s="81"/>
      <c r="I32" s="81">
        <v>18441</v>
      </c>
      <c r="J32" s="81">
        <v>19739</v>
      </c>
      <c r="K32" s="81">
        <v>20538</v>
      </c>
      <c r="L32" s="32">
        <f t="shared" si="16"/>
        <v>21378</v>
      </c>
      <c r="M32" s="81">
        <v>21354</v>
      </c>
      <c r="N32" s="81">
        <v>22140</v>
      </c>
      <c r="O32" s="81">
        <v>23059</v>
      </c>
      <c r="P32" s="32">
        <v>24204</v>
      </c>
      <c r="Q32" s="81">
        <v>25037</v>
      </c>
      <c r="R32" s="81">
        <v>26281</v>
      </c>
      <c r="S32" s="81">
        <v>27452</v>
      </c>
      <c r="T32" s="32">
        <v>28786</v>
      </c>
      <c r="U32" s="81">
        <v>29267</v>
      </c>
      <c r="V32" s="81">
        <v>30873</v>
      </c>
      <c r="W32" s="81">
        <v>33006</v>
      </c>
      <c r="X32" s="5"/>
      <c r="Y32" s="32">
        <f>SUM(M32:P32)</f>
        <v>90757</v>
      </c>
      <c r="Z32" s="32">
        <f>SUM(N32:Q32)</f>
        <v>94440</v>
      </c>
      <c r="AA32" s="32">
        <f>SUM(O32:R32)</f>
        <v>98581</v>
      </c>
      <c r="AB32" s="32">
        <f>SUM(P32:S32)</f>
        <v>102974</v>
      </c>
      <c r="AC32" s="32">
        <f>SUM(Q32:T32)</f>
        <v>107556</v>
      </c>
      <c r="AD32" s="32">
        <f>SUM(R32:U32)</f>
        <v>111786</v>
      </c>
      <c r="AE32" s="32">
        <f>SUM(S32:V32)</f>
        <v>116378</v>
      </c>
      <c r="AF32" s="32">
        <f>SUM(T32:W32)</f>
        <v>121932</v>
      </c>
      <c r="AG32" s="32">
        <f>SUM(U32:W32)</f>
        <v>93146</v>
      </c>
      <c r="AH32" s="32">
        <f>SUM(V32:W32)</f>
        <v>63879</v>
      </c>
    </row>
    <row r="33" spans="2:34">
      <c r="B33" s="13" t="s">
        <v>65</v>
      </c>
      <c r="C33" s="14">
        <f>SUM(C30:C32)</f>
        <v>0</v>
      </c>
      <c r="D33" s="14">
        <f>SUM(D30:D32)</f>
        <v>0</v>
      </c>
      <c r="E33" s="14">
        <f>SUM(E30:E32)</f>
        <v>513983</v>
      </c>
      <c r="F33" s="14">
        <f>SUM(F30:F32)</f>
        <v>574785</v>
      </c>
      <c r="G33" s="14">
        <f>SUM(G30:G32)</f>
        <v>637959</v>
      </c>
      <c r="H33" s="11"/>
      <c r="I33" s="14">
        <f t="shared" ref="I33:J33" si="17">SUM(I30:I32)</f>
        <v>116444</v>
      </c>
      <c r="J33" s="14">
        <f t="shared" si="17"/>
        <v>121234</v>
      </c>
      <c r="K33" s="14">
        <f t="shared" ref="K33" si="18">SUM(K30:K32)</f>
        <v>127101</v>
      </c>
      <c r="L33" s="14">
        <f t="shared" ref="L33" si="19">SUM(L30:L32)</f>
        <v>149204</v>
      </c>
      <c r="M33" s="14">
        <f>SUM(M30:M32)</f>
        <v>127358</v>
      </c>
      <c r="N33" s="14">
        <f>SUM(N30:N32)</f>
        <v>134383</v>
      </c>
      <c r="O33" s="14">
        <f>SUM(O30:O32)</f>
        <v>143083</v>
      </c>
      <c r="P33" s="14">
        <f>SUM(P30:P32)</f>
        <v>169961</v>
      </c>
      <c r="Q33" s="14">
        <f>SUM(Q30:Q32)</f>
        <v>143313</v>
      </c>
      <c r="R33" s="14">
        <f>SUM(R30:R32)</f>
        <v>147977</v>
      </c>
      <c r="S33" s="14">
        <f>SUM(S30:S32)</f>
        <v>158877</v>
      </c>
      <c r="T33" s="14">
        <f>SUM(T30:T32)</f>
        <v>187792</v>
      </c>
      <c r="U33" s="14">
        <f>SUM(U30:U32)</f>
        <v>155667</v>
      </c>
      <c r="V33" s="14">
        <f>SUM(V30:V32)</f>
        <v>167702</v>
      </c>
      <c r="W33" s="14">
        <f>SUM(W30:W32)</f>
        <v>180169</v>
      </c>
      <c r="X33" s="5"/>
      <c r="Y33" s="14">
        <f t="shared" ref="Y33:AH33" si="20">SUM(Y30:Y32)</f>
        <v>574785</v>
      </c>
      <c r="Z33" s="14">
        <f t="shared" si="20"/>
        <v>590740</v>
      </c>
      <c r="AA33" s="14">
        <f t="shared" si="20"/>
        <v>604334</v>
      </c>
      <c r="AB33" s="14">
        <f t="shared" si="20"/>
        <v>620128</v>
      </c>
      <c r="AC33" s="14">
        <f t="shared" si="20"/>
        <v>637959</v>
      </c>
      <c r="AD33" s="14">
        <f t="shared" si="20"/>
        <v>650313</v>
      </c>
      <c r="AE33" s="14">
        <f t="shared" si="20"/>
        <v>670038</v>
      </c>
      <c r="AF33" s="14">
        <f t="shared" si="20"/>
        <v>691330</v>
      </c>
      <c r="AG33" s="14">
        <f t="shared" si="20"/>
        <v>503538</v>
      </c>
      <c r="AH33" s="14">
        <f t="shared" si="20"/>
        <v>347871</v>
      </c>
    </row>
    <row r="34" spans="2:34" outlineLevel="1">
      <c r="B34" s="131" t="s">
        <v>163</v>
      </c>
      <c r="C34" s="79">
        <f>C33-C16</f>
        <v>0</v>
      </c>
      <c r="D34" s="79">
        <f>D33-D16</f>
        <v>0</v>
      </c>
      <c r="E34" s="79">
        <f>E33-E16</f>
        <v>0</v>
      </c>
      <c r="F34" s="79">
        <f>F33-F16</f>
        <v>0</v>
      </c>
      <c r="G34" s="79">
        <f>G33-G16</f>
        <v>0</v>
      </c>
      <c r="H34" s="11"/>
      <c r="I34" s="79">
        <f t="shared" ref="I34:L34" si="21">I33-I16</f>
        <v>0</v>
      </c>
      <c r="J34" s="79">
        <f t="shared" si="21"/>
        <v>0</v>
      </c>
      <c r="K34" s="79">
        <f t="shared" si="21"/>
        <v>0</v>
      </c>
      <c r="L34" s="79">
        <f t="shared" si="21"/>
        <v>0</v>
      </c>
      <c r="M34" s="79">
        <f>M33-M16</f>
        <v>0</v>
      </c>
      <c r="N34" s="79">
        <f>N33-N16</f>
        <v>0</v>
      </c>
      <c r="O34" s="79">
        <f>O33-O16</f>
        <v>0</v>
      </c>
      <c r="P34" s="79">
        <f>P33-P16</f>
        <v>0</v>
      </c>
      <c r="Q34" s="79">
        <f>Q33-Q16</f>
        <v>0</v>
      </c>
      <c r="R34" s="79">
        <f>R33-R16</f>
        <v>0</v>
      </c>
      <c r="S34" s="79">
        <f>S33-S16</f>
        <v>0</v>
      </c>
      <c r="T34" s="79">
        <f>T33-T16</f>
        <v>0</v>
      </c>
      <c r="U34" s="79">
        <f>U33-U16</f>
        <v>0</v>
      </c>
      <c r="V34" s="79">
        <f>V33-V16</f>
        <v>0</v>
      </c>
      <c r="W34" s="79">
        <f>W33-W16</f>
        <v>0</v>
      </c>
      <c r="X34" s="79"/>
      <c r="Y34" s="79" t="e">
        <f>Y33-#REF!</f>
        <v>#REF!</v>
      </c>
      <c r="Z34" s="79" t="e">
        <f>Z33-#REF!</f>
        <v>#REF!</v>
      </c>
      <c r="AA34" s="79" t="e">
        <f>AA33-#REF!</f>
        <v>#REF!</v>
      </c>
      <c r="AB34" s="79" t="e">
        <f>AB33-#REF!</f>
        <v>#REF!</v>
      </c>
      <c r="AC34" s="79" t="e">
        <f>AC33-#REF!</f>
        <v>#REF!</v>
      </c>
      <c r="AD34" s="79" t="e">
        <f>AD33-#REF!</f>
        <v>#REF!</v>
      </c>
      <c r="AE34" s="79" t="e">
        <f>AE33-#REF!</f>
        <v>#REF!</v>
      </c>
      <c r="AF34" s="79" t="e">
        <f>AF33-#REF!</f>
        <v>#REF!</v>
      </c>
      <c r="AG34" s="79" t="e">
        <f>AG33-#REF!</f>
        <v>#REF!</v>
      </c>
      <c r="AH34" s="79" t="e">
        <f>AH33-#REF!</f>
        <v>#REF!</v>
      </c>
    </row>
    <row r="35" spans="2:34">
      <c r="B35" s="18"/>
      <c r="C35" s="19"/>
      <c r="D35" s="19"/>
      <c r="E35" s="19"/>
      <c r="F35" s="19"/>
      <c r="G35" s="19"/>
      <c r="H35" s="20"/>
      <c r="I35" s="21"/>
      <c r="J35" s="21"/>
      <c r="K35" s="21"/>
      <c r="L35" s="21"/>
      <c r="M35" s="21"/>
      <c r="N35" s="21"/>
      <c r="O35" s="21"/>
      <c r="P35" s="22"/>
      <c r="Q35" s="21"/>
      <c r="R35" s="21"/>
      <c r="S35" s="21"/>
      <c r="T35" s="21"/>
      <c r="U35" s="21"/>
      <c r="V35" s="21"/>
      <c r="W35" s="21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</row>
    <row r="36" spans="2:34">
      <c r="B36" s="152" t="str">
        <f>B30&amp;"(%)"</f>
        <v>North America Revenues(%)</v>
      </c>
      <c r="C36" s="153" t="e">
        <f>SUM(C30/C$33)</f>
        <v>#DIV/0!</v>
      </c>
      <c r="D36" s="153" t="e">
        <f>SUM(D30/D$33)</f>
        <v>#DIV/0!</v>
      </c>
      <c r="E36" s="153">
        <f>SUM(E30/E$33)</f>
        <v>0.61457285552245888</v>
      </c>
      <c r="F36" s="153">
        <f>SUM(F30/F$33)</f>
        <v>0.61384343711126765</v>
      </c>
      <c r="G36" s="153">
        <f>SUM(G30/G$33)</f>
        <v>0.6074011025786924</v>
      </c>
      <c r="H36" s="154"/>
      <c r="I36" s="153">
        <f t="shared" ref="I36:I37" si="22">SUM(I30/I$33)</f>
        <v>0.59465494143107411</v>
      </c>
      <c r="J36" s="153">
        <f t="shared" ref="J36:L37" si="23">SUM(J30/J$33)</f>
        <v>0.61393668442846061</v>
      </c>
      <c r="K36" s="153">
        <f t="shared" si="23"/>
        <v>0.62031770009677345</v>
      </c>
      <c r="L36" s="153">
        <f t="shared" si="23"/>
        <v>0.62574059676684268</v>
      </c>
      <c r="M36" s="153">
        <f>SUM(M30/M$33)</f>
        <v>0.60366054743321973</v>
      </c>
      <c r="N36" s="153">
        <f>SUM(N30/N$33)</f>
        <v>0.61425924410081634</v>
      </c>
      <c r="O36" s="153">
        <f>SUM(O30/O$33)</f>
        <v>0.61423788989607431</v>
      </c>
      <c r="P36" s="153">
        <f>SUM(P30/P$33)</f>
        <v>0.62081301004348055</v>
      </c>
      <c r="Q36" s="153">
        <f>SUM(Q30/Q$33)</f>
        <v>0.60246453566668756</v>
      </c>
      <c r="R36" s="153">
        <f>SUM(R30/R$33)</f>
        <v>0.60842563371334735</v>
      </c>
      <c r="S36" s="153">
        <f>SUM(S30/S$33)</f>
        <v>0.60132681256569542</v>
      </c>
      <c r="T36" s="153">
        <f>SUM(T30/T$33)</f>
        <v>0.6155001278009713</v>
      </c>
      <c r="U36" s="153">
        <f>SUM(U30/U$33)</f>
        <v>0.59670321905092283</v>
      </c>
      <c r="V36" s="153">
        <f>SUM(V30/V$33)</f>
        <v>0.59670129157672536</v>
      </c>
      <c r="W36" s="153">
        <f>SUM(W30/W$33)</f>
        <v>0.58981844823471297</v>
      </c>
      <c r="X36" s="154"/>
      <c r="Y36" s="155">
        <f>N36</f>
        <v>0.61425924410081634</v>
      </c>
      <c r="Z36" s="155">
        <f>O36</f>
        <v>0.61423788989607431</v>
      </c>
      <c r="AA36" s="155">
        <f>P36</f>
        <v>0.62081301004348055</v>
      </c>
      <c r="AB36" s="155">
        <f>Q36</f>
        <v>0.60246453566668756</v>
      </c>
      <c r="AC36" s="155">
        <f>R36</f>
        <v>0.60842563371334735</v>
      </c>
      <c r="AD36" s="155">
        <f>S36</f>
        <v>0.60132681256569542</v>
      </c>
      <c r="AE36" s="155">
        <f>T36</f>
        <v>0.6155001278009713</v>
      </c>
      <c r="AF36" s="155">
        <f>U36</f>
        <v>0.59670321905092283</v>
      </c>
      <c r="AG36" s="155">
        <f>V36</f>
        <v>0.59670129157672536</v>
      </c>
      <c r="AH36" s="156">
        <f>W36</f>
        <v>0.58981844823471297</v>
      </c>
    </row>
    <row r="37" spans="2:34">
      <c r="B37" s="166" t="str">
        <f>B31&amp;"(%)"</f>
        <v>International Revenues(%)</v>
      </c>
      <c r="C37" s="167" t="e">
        <f>SUM(C31/C$33)</f>
        <v>#DIV/0!</v>
      </c>
      <c r="D37" s="167" t="e">
        <f>SUM(D31/D$33)</f>
        <v>#DIV/0!</v>
      </c>
      <c r="E37" s="167">
        <f>SUM(E31/E$33)</f>
        <v>0.22959319666214642</v>
      </c>
      <c r="F37" s="167">
        <f>SUM(F31/F$33)</f>
        <v>0.22825926215889419</v>
      </c>
      <c r="G37" s="167">
        <f>SUM(G31/G$33)</f>
        <v>0.22400499091634415</v>
      </c>
      <c r="H37" s="168"/>
      <c r="I37" s="167">
        <f t="shared" si="22"/>
        <v>0.24697708769880802</v>
      </c>
      <c r="J37" s="167">
        <f t="shared" si="23"/>
        <v>0.223245954105284</v>
      </c>
      <c r="K37" s="167">
        <f t="shared" si="23"/>
        <v>0.21809427148488211</v>
      </c>
      <c r="L37" s="167">
        <f t="shared" si="23"/>
        <v>0.23097906222353287</v>
      </c>
      <c r="M37" s="167">
        <f>SUM(M31/M$33)</f>
        <v>0.22867036228583992</v>
      </c>
      <c r="N37" s="167">
        <f>SUM(N31/N$33)</f>
        <v>0.22098777375114412</v>
      </c>
      <c r="O37" s="167">
        <f>SUM(O31/O$33)</f>
        <v>0.22460390123215196</v>
      </c>
      <c r="P37" s="167">
        <f>SUM(P31/P$33)</f>
        <v>0.23677784903595531</v>
      </c>
      <c r="Q37" s="167">
        <f>SUM(Q31/Q$33)</f>
        <v>0.22283393690732872</v>
      </c>
      <c r="R37" s="167">
        <f>SUM(R31/R$33)</f>
        <v>0.21397244166323146</v>
      </c>
      <c r="S37" s="167">
        <f>SUM(S31/S$33)</f>
        <v>0.22588543338557501</v>
      </c>
      <c r="T37" s="167">
        <f>SUM(T31/T$33)</f>
        <v>0.23121325722075486</v>
      </c>
      <c r="U37" s="167">
        <f>SUM(U31/U$33)</f>
        <v>0.21528647690261904</v>
      </c>
      <c r="V37" s="167">
        <f>SUM(V31/V$33)</f>
        <v>0.21920430287056802</v>
      </c>
      <c r="W37" s="167">
        <f>SUM(W31/W$33)</f>
        <v>0.22698688453618546</v>
      </c>
      <c r="X37" s="168"/>
      <c r="Y37" s="169">
        <f>N37</f>
        <v>0.22098777375114412</v>
      </c>
      <c r="Z37" s="169">
        <f>O37</f>
        <v>0.22460390123215196</v>
      </c>
      <c r="AA37" s="169">
        <f>P37</f>
        <v>0.23677784903595531</v>
      </c>
      <c r="AB37" s="169">
        <f>Q37</f>
        <v>0.22283393690732872</v>
      </c>
      <c r="AC37" s="169">
        <f>R37</f>
        <v>0.21397244166323146</v>
      </c>
      <c r="AD37" s="169">
        <f>S37</f>
        <v>0.22588543338557501</v>
      </c>
      <c r="AE37" s="169">
        <f>T37</f>
        <v>0.23121325722075486</v>
      </c>
      <c r="AF37" s="169">
        <f>U37</f>
        <v>0.21528647690261904</v>
      </c>
      <c r="AG37" s="169">
        <f>V37</f>
        <v>0.21920430287056802</v>
      </c>
      <c r="AH37" s="170">
        <f>W37</f>
        <v>0.22698688453618546</v>
      </c>
    </row>
    <row r="38" spans="2:34" ht="12.75" customHeight="1">
      <c r="B38" s="157" t="str">
        <f>B32&amp;"(%)"</f>
        <v>AWS Revenues(%)</v>
      </c>
      <c r="C38" s="158" t="e">
        <f t="shared" ref="C38:D38" si="24">SUM(C32/C$33)</f>
        <v>#DIV/0!</v>
      </c>
      <c r="D38" s="158" t="e">
        <f t="shared" si="24"/>
        <v>#DIV/0!</v>
      </c>
      <c r="E38" s="158">
        <f>SUM(E32/E$33)</f>
        <v>0.15583394781539467</v>
      </c>
      <c r="F38" s="158">
        <f>SUM(F32/F$33)</f>
        <v>0.15789730072983812</v>
      </c>
      <c r="G38" s="158">
        <f>SUM(G32/G$33)</f>
        <v>0.16859390650496348</v>
      </c>
      <c r="H38" s="159"/>
      <c r="I38" s="158">
        <f t="shared" ref="I38" si="25">SUM(I32/I$33)</f>
        <v>0.15836797087011784</v>
      </c>
      <c r="J38" s="158">
        <f t="shared" ref="J38:L38" si="26">SUM(J32/J$33)</f>
        <v>0.16281736146625533</v>
      </c>
      <c r="K38" s="158">
        <f t="shared" si="26"/>
        <v>0.16158802841834446</v>
      </c>
      <c r="L38" s="158">
        <f t="shared" si="26"/>
        <v>0.14328034100962442</v>
      </c>
      <c r="M38" s="158">
        <f>SUM(M32/M$33)</f>
        <v>0.16766909028094035</v>
      </c>
      <c r="N38" s="158">
        <f>SUM(N32/N$33)</f>
        <v>0.16475298214803955</v>
      </c>
      <c r="O38" s="158">
        <f>SUM(O32/O$33)</f>
        <v>0.16115820887177373</v>
      </c>
      <c r="P38" s="158">
        <f>SUM(P32/P$33)</f>
        <v>0.14240914092056414</v>
      </c>
      <c r="Q38" s="158">
        <f>SUM(Q32/Q$33)</f>
        <v>0.17470152742598369</v>
      </c>
      <c r="R38" s="158">
        <f>SUM(R32/R$33)</f>
        <v>0.1776019246234212</v>
      </c>
      <c r="S38" s="158">
        <f>SUM(S32/S$33)</f>
        <v>0.17278775404872951</v>
      </c>
      <c r="T38" s="158">
        <f>SUM(T32/T$33)</f>
        <v>0.15328661497827384</v>
      </c>
      <c r="U38" s="158">
        <f>SUM(U32/U$33)</f>
        <v>0.18801030404645813</v>
      </c>
      <c r="V38" s="158">
        <f>SUM(V32/V$33)</f>
        <v>0.18409440555270659</v>
      </c>
      <c r="W38" s="158">
        <f>SUM(W32/W$33)</f>
        <v>0.18319466722910158</v>
      </c>
      <c r="X38" s="159"/>
      <c r="Y38" s="160">
        <f>N38</f>
        <v>0.16475298214803955</v>
      </c>
      <c r="Z38" s="160">
        <f>O38</f>
        <v>0.16115820887177373</v>
      </c>
      <c r="AA38" s="160">
        <f>P38</f>
        <v>0.14240914092056414</v>
      </c>
      <c r="AB38" s="160">
        <f>Q38</f>
        <v>0.17470152742598369</v>
      </c>
      <c r="AC38" s="160">
        <f>R38</f>
        <v>0.1776019246234212</v>
      </c>
      <c r="AD38" s="160">
        <f>S38</f>
        <v>0.17278775404872951</v>
      </c>
      <c r="AE38" s="160">
        <f>T38</f>
        <v>0.15328661497827384</v>
      </c>
      <c r="AF38" s="160">
        <f>U38</f>
        <v>0.18801030404645813</v>
      </c>
      <c r="AG38" s="160">
        <f>V38</f>
        <v>0.18409440555270659</v>
      </c>
      <c r="AH38" s="161">
        <f>W38</f>
        <v>0.18319466722910158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17:D38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Amazon.com Inc (NASDAQ: AMZN)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65" t="s">
        <v>22</v>
      </c>
    </row>
    <row r="3" spans="2:29" s="5" customFormat="1" ht="12.75" customHeight="1">
      <c r="B3" s="6" t="s">
        <v>23</v>
      </c>
      <c r="C3" s="7">
        <f>'Historical Financials'!D7</f>
        <v>2021</v>
      </c>
      <c r="D3" s="7">
        <f>'Historical Financials'!E7</f>
        <v>2022</v>
      </c>
      <c r="E3" s="7">
        <f>'Historical Financials'!F7</f>
        <v>2023</v>
      </c>
      <c r="F3" s="7">
        <f>'Historical Financials'!G7</f>
        <v>2024</v>
      </c>
      <c r="G3" s="3"/>
      <c r="H3" s="7" t="str">
        <f>'Historical Financials'!M7</f>
        <v>1Q23</v>
      </c>
      <c r="I3" s="7" t="str">
        <f>'Historical Financials'!N7</f>
        <v>2Q23</v>
      </c>
      <c r="J3" s="7" t="str">
        <f>'Historical Financials'!O7</f>
        <v>3Q23</v>
      </c>
      <c r="K3" s="7" t="str">
        <f>'Historical Financials'!P7</f>
        <v>4Q23</v>
      </c>
      <c r="L3" s="7" t="str">
        <f>'Historical Financials'!Q7</f>
        <v>1Q24</v>
      </c>
      <c r="M3" s="7" t="str">
        <f>'Historical Financials'!R7</f>
        <v>2Q24</v>
      </c>
      <c r="N3" s="7" t="str">
        <f>'Historical Financials'!S7</f>
        <v>3Q24</v>
      </c>
      <c r="O3" s="7" t="str">
        <f>'Historical Financials'!T7</f>
        <v>4Q24</v>
      </c>
      <c r="P3" s="7" t="str">
        <f>'Historical Financials'!U7</f>
        <v>1Q25</v>
      </c>
      <c r="Q3" s="7" t="str">
        <f>'Historical Financials'!V7</f>
        <v>2Q25</v>
      </c>
      <c r="R3" s="7" t="str">
        <f>'Historical Financials'!W7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65"/>
    </row>
    <row r="4" spans="2:29" s="5" customFormat="1" ht="12.75" customHeight="1">
      <c r="B4" s="6" t="s">
        <v>71</v>
      </c>
      <c r="C4" s="3">
        <f>'Historical Financials'!D8</f>
        <v>0</v>
      </c>
      <c r="D4" s="3">
        <f>'Historical Financials'!E8</f>
        <v>0</v>
      </c>
      <c r="E4" s="3">
        <f>'Historical Financials'!F8</f>
        <v>0</v>
      </c>
      <c r="F4" s="3">
        <f>'Historical Financials'!G8</f>
        <v>0</v>
      </c>
      <c r="G4" s="3"/>
      <c r="H4" s="3">
        <f>'Historical Financials'!M8</f>
        <v>0</v>
      </c>
      <c r="I4" s="3">
        <f>'Historical Financials'!N8</f>
        <v>0</v>
      </c>
      <c r="J4" s="3">
        <f>'Historical Financials'!O8</f>
        <v>0</v>
      </c>
      <c r="K4" s="3">
        <f>'Historical Financials'!P8</f>
        <v>0</v>
      </c>
      <c r="L4" s="3">
        <f>'Historical Financials'!Q8</f>
        <v>0</v>
      </c>
      <c r="M4" s="3">
        <f>'Historical Financials'!R8</f>
        <v>0</v>
      </c>
      <c r="N4" s="3">
        <f>'Historical Financials'!S8</f>
        <v>0</v>
      </c>
      <c r="O4" s="3">
        <f>'Historical Financials'!T8</f>
        <v>0</v>
      </c>
      <c r="P4" s="3">
        <f>'Historical Financials'!U8</f>
        <v>0</v>
      </c>
      <c r="Q4" s="3">
        <f>'Historical Financials'!V8</f>
        <v>0</v>
      </c>
      <c r="R4" s="3">
        <f>'Historical Financials'!W8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65"/>
    </row>
    <row r="5" spans="2:29" ht="5.0999999999999996" customHeight="1">
      <c r="AC5" s="125"/>
    </row>
    <row r="6" spans="2:29" ht="12.75" customHeight="1">
      <c r="B6" s="9" t="str">
        <f>'Revenue Drivers'!B9</f>
        <v>Online Stores</v>
      </c>
      <c r="C6" s="94">
        <f>'Revenue Drivers'!E9</f>
        <v>220004</v>
      </c>
      <c r="D6" s="94">
        <f>'Revenue Drivers'!F9</f>
        <v>231872</v>
      </c>
      <c r="E6" s="94">
        <f>'Revenue Drivers'!G9</f>
        <v>247029</v>
      </c>
      <c r="F6" s="94" t="e">
        <f>'Revenue Drivers'!#REF!</f>
        <v>#REF!</v>
      </c>
      <c r="G6" s="10"/>
      <c r="H6" s="94">
        <f>'Revenue Drivers'!M9</f>
        <v>51096</v>
      </c>
      <c r="I6" s="94">
        <f>'Revenue Drivers'!N9</f>
        <v>52966</v>
      </c>
      <c r="J6" s="94">
        <f>'Revenue Drivers'!O9</f>
        <v>57267</v>
      </c>
      <c r="K6" s="94">
        <f>'Revenue Drivers'!P9</f>
        <v>70543</v>
      </c>
      <c r="L6" s="94">
        <f>'Revenue Drivers'!Q9</f>
        <v>54670</v>
      </c>
      <c r="M6" s="94">
        <f>'Revenue Drivers'!R9</f>
        <v>55392</v>
      </c>
      <c r="N6" s="94">
        <f>'Revenue Drivers'!S9</f>
        <v>61411</v>
      </c>
      <c r="O6" s="94">
        <f>'Revenue Drivers'!T9</f>
        <v>75556</v>
      </c>
      <c r="P6" s="94">
        <f>'Revenue Drivers'!U9</f>
        <v>57407</v>
      </c>
      <c r="Q6" s="94">
        <f>'Revenue Drivers'!V9</f>
        <v>61485</v>
      </c>
      <c r="R6" s="94">
        <f>'Revenue Drivers'!W9</f>
        <v>67407</v>
      </c>
      <c r="S6" s="5"/>
      <c r="T6" s="142">
        <f t="shared" ref="T6:Z9" si="1">SUM(H6:K6)</f>
        <v>231872</v>
      </c>
      <c r="U6" s="142">
        <f t="shared" si="1"/>
        <v>235446</v>
      </c>
      <c r="V6" s="142">
        <f t="shared" si="1"/>
        <v>237872</v>
      </c>
      <c r="W6" s="142">
        <f t="shared" si="1"/>
        <v>242016</v>
      </c>
      <c r="X6" s="142">
        <f t="shared" si="1"/>
        <v>247029</v>
      </c>
      <c r="Y6" s="142">
        <f t="shared" si="1"/>
        <v>249766</v>
      </c>
      <c r="Z6" s="142">
        <f t="shared" si="1"/>
        <v>255859</v>
      </c>
      <c r="AA6" s="142">
        <f>SUM(O6:R6)</f>
        <v>261855</v>
      </c>
      <c r="AC6" s="126">
        <f t="shared" ref="AC6:AC10" si="2">SUM(AA6/W6)-1</f>
        <v>8.1973919079730173E-2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Drivers'!B15</f>
        <v>Other</v>
      </c>
      <c r="C9" s="94">
        <f>'Revenue Drivers'!E15</f>
        <v>4247</v>
      </c>
      <c r="D9" s="94">
        <f>'Revenue Drivers'!F15</f>
        <v>4958</v>
      </c>
      <c r="E9" s="94">
        <f>'Revenue Drivers'!G15</f>
        <v>5425</v>
      </c>
      <c r="F9" s="94" t="e">
        <f>'Revenue Drivers'!#REF!</f>
        <v>#REF!</v>
      </c>
      <c r="G9" s="10"/>
      <c r="H9" s="94">
        <f>'Revenue Drivers'!M15</f>
        <v>1027</v>
      </c>
      <c r="I9" s="94">
        <f>'Revenue Drivers'!N15</f>
        <v>1344</v>
      </c>
      <c r="J9" s="94">
        <f>'Revenue Drivers'!O15</f>
        <v>1226</v>
      </c>
      <c r="K9" s="94">
        <f>'Revenue Drivers'!P15</f>
        <v>1361</v>
      </c>
      <c r="L9" s="94">
        <f>'Revenue Drivers'!Q15</f>
        <v>1262</v>
      </c>
      <c r="M9" s="94">
        <f>'Revenue Drivers'!R15</f>
        <v>1260</v>
      </c>
      <c r="N9" s="94">
        <f>'Revenue Drivers'!S15</f>
        <v>1313</v>
      </c>
      <c r="O9" s="94">
        <f>'Revenue Drivers'!T15</f>
        <v>1590</v>
      </c>
      <c r="P9" s="94">
        <f>'Revenue Drivers'!U15</f>
        <v>1312</v>
      </c>
      <c r="Q9" s="94">
        <f>'Revenue Drivers'!V15</f>
        <v>1499</v>
      </c>
      <c r="R9" s="94">
        <f>'Revenue Drivers'!W15</f>
        <v>1415</v>
      </c>
      <c r="S9" s="5"/>
      <c r="T9" s="142">
        <f t="shared" si="1"/>
        <v>4958</v>
      </c>
      <c r="U9" s="142">
        <f t="shared" si="1"/>
        <v>5193</v>
      </c>
      <c r="V9" s="142">
        <f t="shared" si="1"/>
        <v>5109</v>
      </c>
      <c r="W9" s="142">
        <f t="shared" si="1"/>
        <v>5196</v>
      </c>
      <c r="X9" s="142">
        <f t="shared" si="1"/>
        <v>5425</v>
      </c>
      <c r="Y9" s="142">
        <f t="shared" si="1"/>
        <v>5475</v>
      </c>
      <c r="Z9" s="142">
        <f t="shared" si="1"/>
        <v>5714</v>
      </c>
      <c r="AA9" s="142">
        <f>SUM(O9:R9)</f>
        <v>5816</v>
      </c>
      <c r="AC9" s="126">
        <f t="shared" si="2"/>
        <v>0.11932255581216311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116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117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120</v>
      </c>
      <c r="C19" s="141">
        <f>'Historical Financials'!D17</f>
        <v>-75111</v>
      </c>
      <c r="D19" s="141">
        <f>'Historical Financials'!E17</f>
        <v>-84299</v>
      </c>
      <c r="E19" s="141">
        <f>'Historical Financials'!F17</f>
        <v>-90619</v>
      </c>
      <c r="F19" s="141">
        <f>'Historical Financials'!G17</f>
        <v>-98505</v>
      </c>
      <c r="G19" s="94"/>
      <c r="H19" s="141">
        <f>'Historical Financials'!M17</f>
        <v>-20905</v>
      </c>
      <c r="I19" s="141">
        <f>'Historical Financials'!N17</f>
        <v>-21305</v>
      </c>
      <c r="J19" s="141">
        <f>'Historical Financials'!O17</f>
        <v>-22314</v>
      </c>
      <c r="K19" s="141">
        <f>'Historical Financials'!P17</f>
        <v>-26095</v>
      </c>
      <c r="L19" s="141">
        <f>'Historical Financials'!Q17</f>
        <v>-22317</v>
      </c>
      <c r="M19" s="141">
        <f>'Historical Financials'!R17</f>
        <v>-23566</v>
      </c>
      <c r="N19" s="141">
        <f>'Historical Financials'!S17</f>
        <v>-24660</v>
      </c>
      <c r="O19" s="141">
        <f>'Historical Financials'!T17</f>
        <v>-27962</v>
      </c>
      <c r="P19" s="141">
        <f>'Historical Financials'!U17</f>
        <v>-24593</v>
      </c>
      <c r="Q19" s="141">
        <f>'Historical Financials'!V17</f>
        <v>-25976</v>
      </c>
      <c r="R19" s="141">
        <f>'Historical Financials'!W17</f>
        <v>-27679</v>
      </c>
      <c r="S19" s="5"/>
      <c r="T19" s="142">
        <f t="shared" ref="T19:Z23" si="32">SUM(H19:K19)</f>
        <v>-90619</v>
      </c>
      <c r="U19" s="142">
        <f t="shared" si="32"/>
        <v>-92031</v>
      </c>
      <c r="V19" s="142">
        <f t="shared" si="32"/>
        <v>-94292</v>
      </c>
      <c r="W19" s="142">
        <f t="shared" si="32"/>
        <v>-96638</v>
      </c>
      <c r="X19" s="142">
        <f t="shared" si="32"/>
        <v>-98505</v>
      </c>
      <c r="Y19" s="142">
        <f t="shared" si="32"/>
        <v>-100781</v>
      </c>
      <c r="Z19" s="142">
        <f t="shared" si="32"/>
        <v>-103191</v>
      </c>
      <c r="AA19" s="142">
        <f>SUM(O19:R19)</f>
        <v>-106210</v>
      </c>
      <c r="AC19" s="126">
        <f t="shared" ref="AC19:AC23" si="33">SUM(AA19/W19)-1</f>
        <v>9.9050063122167353E-2</v>
      </c>
    </row>
    <row r="20" spans="2:29" ht="12.75" customHeight="1">
      <c r="B20" s="23" t="s">
        <v>121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117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118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119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>
        <f>'Historical Financials'!D89</f>
        <v>0</v>
      </c>
      <c r="D27" s="141">
        <f>'Historical Financials'!E89</f>
        <v>0</v>
      </c>
      <c r="E27" s="141">
        <f>'Historical Financials'!F89</f>
        <v>0</v>
      </c>
      <c r="F27" s="141">
        <f>'Historical Financials'!G89</f>
        <v>0</v>
      </c>
      <c r="H27" s="141">
        <f>'Historical Financials'!M89</f>
        <v>0</v>
      </c>
      <c r="I27" s="141">
        <f>'Historical Financials'!N89</f>
        <v>0</v>
      </c>
      <c r="J27" s="141">
        <f>'Historical Financials'!O89</f>
        <v>0</v>
      </c>
      <c r="K27" s="141">
        <f>'Historical Financials'!P89</f>
        <v>0</v>
      </c>
      <c r="L27" s="141">
        <f>'Historical Financials'!Q89</f>
        <v>0</v>
      </c>
      <c r="M27" s="141">
        <f>'Historical Financials'!R89</f>
        <v>0</v>
      </c>
      <c r="N27" s="141">
        <f>'Historical Financials'!S89</f>
        <v>0</v>
      </c>
      <c r="O27" s="141">
        <f>'Historical Financials'!T89</f>
        <v>0</v>
      </c>
      <c r="P27" s="141">
        <f>'Historical Financials'!U89</f>
        <v>0</v>
      </c>
      <c r="Q27" s="141">
        <f>'Historical Financials'!V89</f>
        <v>0</v>
      </c>
      <c r="R27" s="141">
        <f>'Historical Financials'!W89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122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123</v>
      </c>
      <c r="C32" s="141">
        <f>'Historical Financials'!D91</f>
        <v>0</v>
      </c>
      <c r="D32" s="141">
        <f>'Historical Financials'!E91</f>
        <v>0</v>
      </c>
      <c r="E32" s="141">
        <f>'Historical Financials'!F91</f>
        <v>0</v>
      </c>
      <c r="F32" s="141">
        <f>'Historical Financials'!G91</f>
        <v>0</v>
      </c>
      <c r="H32" s="141">
        <f>'Historical Financials'!M91</f>
        <v>0</v>
      </c>
      <c r="I32" s="141">
        <f>'Historical Financials'!N91</f>
        <v>0</v>
      </c>
      <c r="J32" s="141">
        <f>'Historical Financials'!O91</f>
        <v>0</v>
      </c>
      <c r="K32" s="141">
        <f>'Historical Financials'!P91</f>
        <v>0</v>
      </c>
      <c r="L32" s="141">
        <f>'Historical Financials'!Q91</f>
        <v>0</v>
      </c>
      <c r="M32" s="141">
        <f>'Historical Financials'!R91</f>
        <v>0</v>
      </c>
      <c r="N32" s="141">
        <f>'Historical Financials'!S91</f>
        <v>0</v>
      </c>
      <c r="O32" s="141">
        <f>'Historical Financials'!T91</f>
        <v>0</v>
      </c>
      <c r="P32" s="141">
        <f>'Historical Financials'!U91</f>
        <v>0</v>
      </c>
      <c r="Q32" s="141">
        <f>'Historical Financials'!V91</f>
        <v>0</v>
      </c>
      <c r="R32" s="141">
        <f>'Historical Financials'!W91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124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125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>
        <f>'Historical Financials'!D98</f>
        <v>0</v>
      </c>
      <c r="D38" s="141">
        <f>'Historical Financials'!E98</f>
        <v>0</v>
      </c>
      <c r="E38" s="141">
        <f>'Historical Financials'!F98</f>
        <v>0</v>
      </c>
      <c r="F38" s="141">
        <f>'Historical Financials'!G98</f>
        <v>0</v>
      </c>
      <c r="H38" s="141">
        <f>'Historical Financials'!M98</f>
        <v>0</v>
      </c>
      <c r="I38" s="141">
        <f>'Historical Financials'!N98</f>
        <v>0</v>
      </c>
      <c r="J38" s="141">
        <f>'Historical Financials'!O98</f>
        <v>0</v>
      </c>
      <c r="K38" s="141">
        <f>'Historical Financials'!P98</f>
        <v>0</v>
      </c>
      <c r="L38" s="141">
        <f>'Historical Financials'!Q98</f>
        <v>0</v>
      </c>
      <c r="M38" s="141">
        <f>'Historical Financials'!R98</f>
        <v>0</v>
      </c>
      <c r="N38" s="141">
        <f>'Historical Financials'!S98</f>
        <v>0</v>
      </c>
      <c r="O38" s="141">
        <f>'Historical Financials'!T98</f>
        <v>0</v>
      </c>
      <c r="P38" s="141">
        <f>'Historical Financials'!U98</f>
        <v>0</v>
      </c>
      <c r="Q38" s="141">
        <f>'Historical Financials'!V98</f>
        <v>0</v>
      </c>
      <c r="R38" s="141">
        <f>'Historical Financials'!W98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>
        <f>-'Historical Financials'!D123</f>
        <v>0</v>
      </c>
      <c r="D39" s="141">
        <f>-'Historical Financials'!E123</f>
        <v>0</v>
      </c>
      <c r="E39" s="141">
        <f>-'Historical Financials'!F123</f>
        <v>0</v>
      </c>
      <c r="F39" s="141">
        <f>-'Historical Financials'!G123</f>
        <v>0</v>
      </c>
      <c r="H39" s="141">
        <f>-'Historical Financials'!M123</f>
        <v>0</v>
      </c>
      <c r="I39" s="141">
        <f>-'Historical Financials'!N123</f>
        <v>0</v>
      </c>
      <c r="J39" s="141">
        <f>-'Historical Financials'!O123</f>
        <v>0</v>
      </c>
      <c r="K39" s="141">
        <f>-'Historical Financials'!P123</f>
        <v>0</v>
      </c>
      <c r="L39" s="141">
        <f>-'Historical Financials'!Q123</f>
        <v>0</v>
      </c>
      <c r="M39" s="141">
        <f>-'Historical Financials'!R123</f>
        <v>0</v>
      </c>
      <c r="N39" s="141">
        <f>-'Historical Financials'!S123</f>
        <v>0</v>
      </c>
      <c r="O39" s="141">
        <f>-'Historical Financials'!T123</f>
        <v>0</v>
      </c>
      <c r="P39" s="141">
        <f>-'Historical Financials'!U123</f>
        <v>0</v>
      </c>
      <c r="Q39" s="141">
        <f>-'Historical Financials'!V123</f>
        <v>0</v>
      </c>
      <c r="R39" s="141">
        <f>-'Historical Financials'!W123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>
        <f>-'Historical Financials'!D122</f>
        <v>0</v>
      </c>
      <c r="D40" s="141">
        <f>-'Historical Financials'!E122</f>
        <v>0</v>
      </c>
      <c r="E40" s="141">
        <f>-'Historical Financials'!F122</f>
        <v>0</v>
      </c>
      <c r="F40" s="141">
        <f>-'Historical Financials'!G122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>
        <f>'Historical Financials'!D99</f>
        <v>0</v>
      </c>
      <c r="D44" s="141">
        <f>'Historical Financials'!E99</f>
        <v>0</v>
      </c>
      <c r="E44" s="141">
        <f>'Historical Financials'!F99</f>
        <v>0</v>
      </c>
      <c r="F44" s="141">
        <f>'Historical Financials'!G99</f>
        <v>0</v>
      </c>
      <c r="G44" s="32"/>
      <c r="H44" s="141">
        <f>'Historical Financials'!M99</f>
        <v>0</v>
      </c>
      <c r="I44" s="141">
        <f>'Historical Financials'!N99</f>
        <v>0</v>
      </c>
      <c r="J44" s="141">
        <f>'Historical Financials'!O99</f>
        <v>0</v>
      </c>
      <c r="K44" s="141">
        <f>'Historical Financials'!P99</f>
        <v>0</v>
      </c>
      <c r="L44" s="141">
        <f>'Historical Financials'!Q99</f>
        <v>0</v>
      </c>
      <c r="M44" s="141">
        <f>'Historical Financials'!R99</f>
        <v>0</v>
      </c>
      <c r="N44" s="141">
        <f>'Historical Financials'!S99</f>
        <v>0</v>
      </c>
      <c r="O44" s="141">
        <f>'Historical Financials'!T99</f>
        <v>0</v>
      </c>
      <c r="P44" s="141">
        <f>'Historical Financials'!U99</f>
        <v>0</v>
      </c>
      <c r="Q44" s="141">
        <f>'Historical Financials'!V99</f>
        <v>0</v>
      </c>
      <c r="R44" s="141">
        <f>'Historical Financials'!W99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>
        <f>'Historical Financials'!D101</f>
        <v>0</v>
      </c>
      <c r="D45" s="141">
        <f>'Historical Financials'!E101</f>
        <v>0</v>
      </c>
      <c r="E45" s="141">
        <f>'Historical Financials'!F101</f>
        <v>0</v>
      </c>
      <c r="F45" s="141">
        <f>'Historical Financials'!G101</f>
        <v>0</v>
      </c>
      <c r="G45" s="32"/>
      <c r="H45" s="141">
        <f>'Historical Financials'!M101</f>
        <v>0</v>
      </c>
      <c r="I45" s="141">
        <f>'Historical Financials'!N101</f>
        <v>0</v>
      </c>
      <c r="J45" s="141">
        <f>'Historical Financials'!O101</f>
        <v>0</v>
      </c>
      <c r="K45" s="141">
        <f>'Historical Financials'!P101</f>
        <v>0</v>
      </c>
      <c r="L45" s="141">
        <f>'Historical Financials'!Q101</f>
        <v>0</v>
      </c>
      <c r="M45" s="141">
        <f>'Historical Financials'!R101</f>
        <v>0</v>
      </c>
      <c r="N45" s="141">
        <f>'Historical Financials'!S101</f>
        <v>0</v>
      </c>
      <c r="O45" s="141">
        <f>'Historical Financials'!T101</f>
        <v>0</v>
      </c>
      <c r="P45" s="141">
        <f>'Historical Financials'!U101</f>
        <v>0</v>
      </c>
      <c r="Q45" s="141">
        <f>'Historical Financials'!V101</f>
        <v>0</v>
      </c>
      <c r="R45" s="141">
        <f>'Historical Financials'!W101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126</v>
      </c>
      <c r="C46" s="141">
        <f>'Historical Financials'!D100</f>
        <v>0</v>
      </c>
      <c r="D46" s="141">
        <f>'Historical Financials'!E100</f>
        <v>0</v>
      </c>
      <c r="E46" s="141">
        <f>'Historical Financials'!F100</f>
        <v>0</v>
      </c>
      <c r="F46" s="141">
        <f>'Historical Financials'!G100</f>
        <v>0</v>
      </c>
      <c r="G46" s="32"/>
      <c r="H46" s="141">
        <f>'Historical Financials'!M100</f>
        <v>0</v>
      </c>
      <c r="I46" s="141">
        <f>'Historical Financials'!N100</f>
        <v>0</v>
      </c>
      <c r="J46" s="141">
        <f>'Historical Financials'!O100</f>
        <v>0</v>
      </c>
      <c r="K46" s="141">
        <f>'Historical Financials'!P100</f>
        <v>0</v>
      </c>
      <c r="L46" s="141">
        <f>'Historical Financials'!Q100</f>
        <v>0</v>
      </c>
      <c r="M46" s="141">
        <f>'Historical Financials'!R100</f>
        <v>0</v>
      </c>
      <c r="N46" s="141">
        <f>'Historical Financials'!S100</f>
        <v>0</v>
      </c>
      <c r="O46" s="141">
        <f>'Historical Financials'!T100</f>
        <v>0</v>
      </c>
      <c r="P46" s="141">
        <f>'Historical Financials'!U100</f>
        <v>0</v>
      </c>
      <c r="Q46" s="141">
        <f>'Historical Financials'!V100</f>
        <v>0</v>
      </c>
      <c r="R46" s="141">
        <f>'Historical Financials'!W100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>
        <f>'Historical Financials'!D105</f>
        <v>0</v>
      </c>
      <c r="D47" s="141">
        <f>'Historical Financials'!E105</f>
        <v>0</v>
      </c>
      <c r="E47" s="141">
        <f>'Historical Financials'!F105</f>
        <v>0</v>
      </c>
      <c r="F47" s="141">
        <f>'Historical Financials'!G105</f>
        <v>0</v>
      </c>
      <c r="G47" s="32"/>
      <c r="H47" s="141">
        <f>'Historical Financials'!M105</f>
        <v>0</v>
      </c>
      <c r="I47" s="141">
        <f>'Historical Financials'!N105</f>
        <v>0</v>
      </c>
      <c r="J47" s="141">
        <f>'Historical Financials'!O105</f>
        <v>0</v>
      </c>
      <c r="K47" s="141">
        <f>'Historical Financials'!P105</f>
        <v>0</v>
      </c>
      <c r="L47" s="141">
        <f>'Historical Financials'!Q105</f>
        <v>0</v>
      </c>
      <c r="M47" s="141">
        <f>'Historical Financials'!R105</f>
        <v>0</v>
      </c>
      <c r="N47" s="141">
        <f>'Historical Financials'!S105</f>
        <v>0</v>
      </c>
      <c r="O47" s="141">
        <f>'Historical Financials'!T105</f>
        <v>0</v>
      </c>
      <c r="P47" s="141">
        <f>'Historical Financials'!U105</f>
        <v>0</v>
      </c>
      <c r="Q47" s="141">
        <f>'Historical Financials'!V105</f>
        <v>0</v>
      </c>
      <c r="R47" s="141">
        <f>'Historical Financials'!W105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127</v>
      </c>
      <c r="C48" s="141">
        <f>'Historical Financials'!D106</f>
        <v>0</v>
      </c>
      <c r="D48" s="141">
        <f>'Historical Financials'!E106</f>
        <v>0</v>
      </c>
      <c r="E48" s="141">
        <f>'Historical Financials'!F106</f>
        <v>0</v>
      </c>
      <c r="F48" s="141">
        <f>'Historical Financials'!G106</f>
        <v>0</v>
      </c>
      <c r="G48" s="32"/>
      <c r="H48" s="141">
        <f>'Historical Financials'!M106</f>
        <v>0</v>
      </c>
      <c r="I48" s="141">
        <f>'Historical Financials'!N106</f>
        <v>0</v>
      </c>
      <c r="J48" s="141">
        <f>'Historical Financials'!O106</f>
        <v>0</v>
      </c>
      <c r="K48" s="141">
        <f>'Historical Financials'!P106</f>
        <v>0</v>
      </c>
      <c r="L48" s="141">
        <f>'Historical Financials'!Q106</f>
        <v>0</v>
      </c>
      <c r="M48" s="141">
        <f>'Historical Financials'!R106</f>
        <v>0</v>
      </c>
      <c r="N48" s="141">
        <f>'Historical Financials'!S106</f>
        <v>0</v>
      </c>
      <c r="O48" s="141">
        <f>'Historical Financials'!T106</f>
        <v>0</v>
      </c>
      <c r="P48" s="141">
        <f>'Historical Financials'!U106</f>
        <v>0</v>
      </c>
      <c r="Q48" s="141">
        <f>'Historical Financials'!V106</f>
        <v>0</v>
      </c>
      <c r="R48" s="141">
        <f>'Historical Financials'!W106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>
        <f>SUM('Historical Financials'!D107:D107)</f>
        <v>0</v>
      </c>
      <c r="D49" s="141">
        <f>SUM('Historical Financials'!E107:E107)</f>
        <v>0</v>
      </c>
      <c r="E49" s="141">
        <f>SUM('Historical Financials'!F107:F107)</f>
        <v>0</v>
      </c>
      <c r="F49" s="141">
        <f>SUM('Historical Financials'!G107:G107)</f>
        <v>0</v>
      </c>
      <c r="G49" s="32"/>
      <c r="H49" s="141">
        <f>SUM('Historical Financials'!M107:M107)</f>
        <v>0</v>
      </c>
      <c r="I49" s="141">
        <f>SUM('Historical Financials'!N107:N107)</f>
        <v>0</v>
      </c>
      <c r="J49" s="141">
        <f>SUM('Historical Financials'!O107:O107)</f>
        <v>0</v>
      </c>
      <c r="K49" s="141">
        <f>SUM('Historical Financials'!P107:P107)</f>
        <v>0</v>
      </c>
      <c r="L49" s="141">
        <f>SUM('Historical Financials'!Q107:Q107)</f>
        <v>0</v>
      </c>
      <c r="M49" s="141">
        <f>SUM('Historical Financials'!R107:R107)</f>
        <v>0</v>
      </c>
      <c r="N49" s="141">
        <f>SUM('Historical Financials'!S107:S107)</f>
        <v>0</v>
      </c>
      <c r="O49" s="141">
        <f>SUM('Historical Financials'!T107:T107)</f>
        <v>0</v>
      </c>
      <c r="P49" s="141">
        <f>SUM('Historical Financials'!U107:U107)</f>
        <v>0</v>
      </c>
      <c r="Q49" s="141">
        <f>SUM('Historical Financials'!V107:V107)</f>
        <v>0</v>
      </c>
      <c r="R49" s="141">
        <f>SUM('Historical Financials'!W107:W107)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Financials'!D46</f>
        <v>36220</v>
      </c>
      <c r="D55" s="94">
        <f>'Historical Financials'!E46</f>
        <v>53888</v>
      </c>
      <c r="E55" s="94">
        <f>'Historical Financials'!F46</f>
        <v>73387</v>
      </c>
      <c r="F55" s="94">
        <f>'Historical Financials'!G46</f>
        <v>78779</v>
      </c>
      <c r="G55" s="32"/>
      <c r="H55" s="94">
        <f>'Historical Financials'!M46</f>
        <v>49343</v>
      </c>
      <c r="I55" s="94">
        <f>'Historical Financials'!N46</f>
        <v>49529</v>
      </c>
      <c r="J55" s="94">
        <f>'Historical Financials'!O46</f>
        <v>49605</v>
      </c>
      <c r="K55" s="94">
        <f>'Historical Financials'!P46</f>
        <v>73387</v>
      </c>
      <c r="L55" s="94">
        <f>'Historical Financials'!Q46</f>
        <v>72852</v>
      </c>
      <c r="M55" s="94">
        <f>'Historical Financials'!R46</f>
        <v>71178</v>
      </c>
      <c r="N55" s="94">
        <f>'Historical Financials'!S46</f>
        <v>75091</v>
      </c>
      <c r="O55" s="94">
        <f>'Historical Financials'!T46</f>
        <v>78779</v>
      </c>
      <c r="P55" s="94">
        <f>'Historical Financials'!U46</f>
        <v>66207</v>
      </c>
      <c r="Q55" s="94">
        <f>'Historical Financials'!V46</f>
        <v>57741</v>
      </c>
      <c r="R55" s="94">
        <f>'Historical Financials'!W46</f>
        <v>66922</v>
      </c>
      <c r="T55" s="10">
        <f t="shared" ref="T55:Z57" si="102">K55</f>
        <v>73387</v>
      </c>
      <c r="U55" s="10">
        <f t="shared" si="102"/>
        <v>72852</v>
      </c>
      <c r="V55" s="10">
        <f t="shared" si="102"/>
        <v>71178</v>
      </c>
      <c r="W55" s="10">
        <f t="shared" si="102"/>
        <v>75091</v>
      </c>
      <c r="X55" s="10">
        <f t="shared" si="102"/>
        <v>78779</v>
      </c>
      <c r="Y55" s="10">
        <f t="shared" si="102"/>
        <v>66207</v>
      </c>
      <c r="Z55" s="10">
        <f t="shared" si="102"/>
        <v>57741</v>
      </c>
      <c r="AA55" s="10">
        <f>R55</f>
        <v>66922</v>
      </c>
    </row>
    <row r="56" spans="1:27" ht="12.75" customHeight="1">
      <c r="B56" s="8" t="s">
        <v>128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135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73387</v>
      </c>
      <c r="U58" s="14">
        <f t="shared" si="105"/>
        <v>72852</v>
      </c>
      <c r="V58" s="14">
        <f t="shared" si="105"/>
        <v>71178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132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133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137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>
        <f>'Historical Financials'!D53</f>
        <v>160281</v>
      </c>
      <c r="D65" s="94">
        <f>'Historical Financials'!E53</f>
        <v>186715</v>
      </c>
      <c r="E65" s="94">
        <f>'Historical Financials'!F53</f>
        <v>204177</v>
      </c>
      <c r="F65" s="94">
        <f>'Historical Financials'!G53</f>
        <v>252665</v>
      </c>
      <c r="H65" s="94">
        <f>'Historical Financials'!M53</f>
        <v>190754</v>
      </c>
      <c r="I65" s="94">
        <f>'Historical Financials'!N53</f>
        <v>193784</v>
      </c>
      <c r="J65" s="94">
        <f>'Historical Financials'!O53</f>
        <v>196468</v>
      </c>
      <c r="K65" s="94">
        <f>'Historical Financials'!P53</f>
        <v>204177</v>
      </c>
      <c r="L65" s="94">
        <f>'Historical Financials'!Q53</f>
        <v>209950</v>
      </c>
      <c r="M65" s="94">
        <f>'Historical Financials'!R53</f>
        <v>220717</v>
      </c>
      <c r="N65" s="94">
        <f>'Historical Financials'!S53</f>
        <v>237917</v>
      </c>
      <c r="O65" s="94">
        <f>'Historical Financials'!T53</f>
        <v>252665</v>
      </c>
      <c r="P65" s="94">
        <f>'Historical Financials'!U53</f>
        <v>272781</v>
      </c>
      <c r="Q65" s="94">
        <f>'Historical Financials'!V53</f>
        <v>297616</v>
      </c>
      <c r="R65" s="94">
        <f>'Historical Financials'!W53</f>
        <v>325435</v>
      </c>
      <c r="S65" s="10"/>
      <c r="T65" s="10">
        <f t="shared" si="106"/>
        <v>204177</v>
      </c>
      <c r="U65" s="10">
        <f t="shared" si="106"/>
        <v>209950</v>
      </c>
      <c r="V65" s="10">
        <f t="shared" si="106"/>
        <v>220717</v>
      </c>
      <c r="W65" s="10">
        <f t="shared" si="106"/>
        <v>237917</v>
      </c>
      <c r="X65" s="10">
        <f t="shared" si="106"/>
        <v>252665</v>
      </c>
      <c r="Y65" s="10">
        <f t="shared" si="106"/>
        <v>272781</v>
      </c>
      <c r="Z65" s="10">
        <f t="shared" si="106"/>
        <v>297616</v>
      </c>
      <c r="AA65" s="10">
        <f t="shared" si="107"/>
        <v>325435</v>
      </c>
    </row>
    <row r="66" spans="2:27" ht="12.75" customHeight="1">
      <c r="B66" s="8" t="s">
        <v>108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>
        <f>'Historical Financials'!D60</f>
        <v>78664</v>
      </c>
      <c r="D67" s="94">
        <f>'Historical Financials'!E60</f>
        <v>79600</v>
      </c>
      <c r="E67" s="94">
        <f>'Historical Financials'!F60</f>
        <v>84981</v>
      </c>
      <c r="F67" s="94">
        <f>'Historical Financials'!G60</f>
        <v>94363</v>
      </c>
      <c r="G67" s="94"/>
      <c r="H67" s="94">
        <f>'Historical Financials'!M60</f>
        <v>66907</v>
      </c>
      <c r="I67" s="94">
        <f>'Historical Financials'!N60</f>
        <v>69481</v>
      </c>
      <c r="J67" s="94">
        <f>'Historical Financials'!O60</f>
        <v>72004</v>
      </c>
      <c r="K67" s="94">
        <f>'Historical Financials'!P60</f>
        <v>84981</v>
      </c>
      <c r="L67" s="94">
        <f>'Historical Financials'!Q60</f>
        <v>73068</v>
      </c>
      <c r="M67" s="94">
        <f>'Historical Financials'!R60</f>
        <v>81817</v>
      </c>
      <c r="N67" s="94">
        <f>'Historical Financials'!S60</f>
        <v>84570</v>
      </c>
      <c r="O67" s="94">
        <f>'Historical Financials'!T60</f>
        <v>94363</v>
      </c>
      <c r="P67" s="94">
        <f>'Historical Financials'!U60</f>
        <v>89241</v>
      </c>
      <c r="Q67" s="94">
        <f>'Historical Financials'!V60</f>
        <v>98285</v>
      </c>
      <c r="R67" s="94">
        <f>'Historical Financials'!W60</f>
        <v>106032</v>
      </c>
      <c r="T67" s="10">
        <f t="shared" si="106"/>
        <v>84981</v>
      </c>
      <c r="U67" s="10">
        <f t="shared" si="106"/>
        <v>73068</v>
      </c>
      <c r="V67" s="10">
        <f t="shared" si="106"/>
        <v>81817</v>
      </c>
      <c r="W67" s="10">
        <f t="shared" si="106"/>
        <v>84570</v>
      </c>
      <c r="X67" s="10">
        <f t="shared" si="106"/>
        <v>94363</v>
      </c>
      <c r="Y67" s="10">
        <f t="shared" si="106"/>
        <v>89241</v>
      </c>
      <c r="Z67" s="10">
        <f t="shared" si="106"/>
        <v>98285</v>
      </c>
      <c r="AA67" s="10">
        <f t="shared" si="107"/>
        <v>106032</v>
      </c>
    </row>
    <row r="68" spans="2:27" ht="12.75" customHeight="1">
      <c r="B68" s="8" t="s">
        <v>45</v>
      </c>
      <c r="C68" s="94">
        <f>'Historical Financials'!D63</f>
        <v>142266</v>
      </c>
      <c r="D68" s="94">
        <f>'Historical Financials'!E63</f>
        <v>155393</v>
      </c>
      <c r="E68" s="94">
        <f>'Historical Financials'!F63</f>
        <v>164917</v>
      </c>
      <c r="F68" s="94">
        <f>'Historical Financials'!G63</f>
        <v>179431</v>
      </c>
      <c r="G68" s="94"/>
      <c r="H68" s="94">
        <f>'Historical Financials'!M63</f>
        <v>147570</v>
      </c>
      <c r="I68" s="94">
        <f>'Historical Financials'!N63</f>
        <v>148238</v>
      </c>
      <c r="J68" s="94">
        <f>'Historical Financials'!O63</f>
        <v>145214</v>
      </c>
      <c r="K68" s="94">
        <f>'Historical Financials'!P63</f>
        <v>164917</v>
      </c>
      <c r="L68" s="94">
        <f>'Historical Financials'!Q63</f>
        <v>152965</v>
      </c>
      <c r="M68" s="94">
        <f>'Historical Financials'!R63</f>
        <v>158172</v>
      </c>
      <c r="N68" s="94">
        <f>'Historical Financials'!S63</f>
        <v>161477</v>
      </c>
      <c r="O68" s="94">
        <f>'Historical Financials'!T63</f>
        <v>179431</v>
      </c>
      <c r="P68" s="94">
        <f>'Historical Financials'!U63</f>
        <v>176171</v>
      </c>
      <c r="Q68" s="94">
        <f>'Historical Financials'!V63</f>
        <v>186921</v>
      </c>
      <c r="R68" s="94">
        <f>'Historical Financials'!W63</f>
        <v>195196</v>
      </c>
      <c r="T68" s="10">
        <f t="shared" si="106"/>
        <v>164917</v>
      </c>
      <c r="U68" s="10">
        <f t="shared" si="106"/>
        <v>152965</v>
      </c>
      <c r="V68" s="10">
        <f t="shared" si="106"/>
        <v>158172</v>
      </c>
      <c r="W68" s="10">
        <f t="shared" si="106"/>
        <v>161477</v>
      </c>
      <c r="X68" s="10">
        <f t="shared" si="106"/>
        <v>179431</v>
      </c>
      <c r="Y68" s="10">
        <f t="shared" si="106"/>
        <v>176171</v>
      </c>
      <c r="Z68" s="10">
        <f t="shared" si="106"/>
        <v>186921</v>
      </c>
      <c r="AA68" s="10">
        <f t="shared" si="107"/>
        <v>195196</v>
      </c>
    </row>
    <row r="69" spans="2:27" ht="12.75" customHeight="1">
      <c r="B69" s="8" t="s">
        <v>15</v>
      </c>
      <c r="C69" s="94">
        <f>'Historical Financials'!D69</f>
        <v>282304</v>
      </c>
      <c r="D69" s="94">
        <f>'Historical Financials'!E69</f>
        <v>316632</v>
      </c>
      <c r="E69" s="94">
        <f>'Historical Financials'!F69</f>
        <v>325979</v>
      </c>
      <c r="F69" s="94">
        <f>'Historical Financials'!G69</f>
        <v>338924</v>
      </c>
      <c r="G69" s="94"/>
      <c r="H69" s="94">
        <f>'Historical Financials'!M69</f>
        <v>309852</v>
      </c>
      <c r="I69" s="94">
        <f>'Historical Financials'!N69</f>
        <v>309005</v>
      </c>
      <c r="J69" s="94">
        <f>'Historical Financials'!O69</f>
        <v>303910</v>
      </c>
      <c r="K69" s="94">
        <f>'Historical Financials'!P69</f>
        <v>325979</v>
      </c>
      <c r="L69" s="94">
        <f>'Historical Financials'!Q69</f>
        <v>314308</v>
      </c>
      <c r="M69" s="94">
        <f>'Historical Financials'!R69</f>
        <v>318371</v>
      </c>
      <c r="N69" s="94">
        <f>'Historical Financials'!S69</f>
        <v>325475</v>
      </c>
      <c r="O69" s="94">
        <f>'Historical Financials'!T69</f>
        <v>338924</v>
      </c>
      <c r="P69" s="94">
        <f>'Historical Financials'!U69</f>
        <v>337389</v>
      </c>
      <c r="Q69" s="94">
        <f>'Historical Financials'!V69</f>
        <v>348395</v>
      </c>
      <c r="R69" s="94">
        <f>'Historical Financials'!W69</f>
        <v>358290</v>
      </c>
      <c r="T69" s="10">
        <f t="shared" si="106"/>
        <v>325979</v>
      </c>
      <c r="U69" s="10">
        <f t="shared" si="106"/>
        <v>314308</v>
      </c>
      <c r="V69" s="10">
        <f t="shared" si="106"/>
        <v>318371</v>
      </c>
      <c r="W69" s="10">
        <f t="shared" si="106"/>
        <v>325475</v>
      </c>
      <c r="X69" s="10">
        <f t="shared" si="106"/>
        <v>338924</v>
      </c>
      <c r="Y69" s="10">
        <f t="shared" si="106"/>
        <v>337389</v>
      </c>
      <c r="Z69" s="10">
        <f t="shared" si="106"/>
        <v>348395</v>
      </c>
      <c r="AA69" s="10">
        <f t="shared" si="107"/>
        <v>358290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136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134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129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130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131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Financials'!D75</f>
        <v>138245</v>
      </c>
      <c r="D87" s="94">
        <f>'Historical Financials'!E75</f>
        <v>146043</v>
      </c>
      <c r="E87" s="94">
        <f>'Historical Financials'!F75</f>
        <v>201875</v>
      </c>
      <c r="F87" s="94">
        <f>'Historical Financials'!G75</f>
        <v>285970</v>
      </c>
      <c r="H87" s="94">
        <f>'Historical Financials'!M75</f>
        <v>154526</v>
      </c>
      <c r="I87" s="94">
        <f>'Historical Financials'!N75</f>
        <v>168602</v>
      </c>
      <c r="J87" s="94">
        <f>'Historical Financials'!O75</f>
        <v>182973</v>
      </c>
      <c r="K87" s="94">
        <f>'Historical Financials'!P75</f>
        <v>201875</v>
      </c>
      <c r="L87" s="94">
        <f>'Historical Financials'!Q75</f>
        <v>216661</v>
      </c>
      <c r="M87" s="94">
        <f>'Historical Financials'!R75</f>
        <v>236447</v>
      </c>
      <c r="N87" s="94">
        <f>'Historical Financials'!S75</f>
        <v>259151</v>
      </c>
      <c r="O87" s="94">
        <f>'Historical Financials'!T75</f>
        <v>285970</v>
      </c>
      <c r="P87" s="94">
        <f>'Historical Financials'!U75</f>
        <v>305867</v>
      </c>
      <c r="Q87" s="94">
        <f>'Historical Financials'!V75</f>
        <v>333775</v>
      </c>
      <c r="R87" s="94">
        <f>'Historical Financials'!W75</f>
        <v>369631</v>
      </c>
      <c r="T87" s="10">
        <f t="shared" ref="T87:AA87" si="130">K87</f>
        <v>201875</v>
      </c>
      <c r="U87" s="10">
        <f t="shared" si="130"/>
        <v>216661</v>
      </c>
      <c r="V87" s="10">
        <f t="shared" si="130"/>
        <v>236447</v>
      </c>
      <c r="W87" s="142">
        <f t="shared" si="130"/>
        <v>259151</v>
      </c>
      <c r="X87" s="142">
        <f t="shared" si="130"/>
        <v>285970</v>
      </c>
      <c r="Y87" s="142">
        <f t="shared" si="130"/>
        <v>305867</v>
      </c>
      <c r="Z87" s="142">
        <f t="shared" si="130"/>
        <v>333775</v>
      </c>
      <c r="AA87" s="142">
        <f t="shared" si="130"/>
        <v>369631</v>
      </c>
    </row>
    <row r="88" spans="1:27" ht="12.75" customHeight="1">
      <c r="B88" s="13" t="s">
        <v>47</v>
      </c>
      <c r="C88" s="14">
        <f>SUM(C85:C87)</f>
        <v>138572</v>
      </c>
      <c r="D88" s="14">
        <f>SUM(D85:D87)</f>
        <v>148544</v>
      </c>
      <c r="E88" s="14">
        <f>SUM(E85:E87)</f>
        <v>204375</v>
      </c>
      <c r="F88" s="14">
        <f>SUM(F85:F87)</f>
        <v>287720</v>
      </c>
      <c r="H88" s="14">
        <f t="shared" ref="H88:M88" si="131">SUM(H85:H87)</f>
        <v>157026</v>
      </c>
      <c r="I88" s="14">
        <f t="shared" si="131"/>
        <v>171102</v>
      </c>
      <c r="J88" s="14">
        <f t="shared" si="131"/>
        <v>185473</v>
      </c>
      <c r="K88" s="14">
        <f t="shared" si="131"/>
        <v>204375</v>
      </c>
      <c r="L88" s="14">
        <f t="shared" si="131"/>
        <v>219161</v>
      </c>
      <c r="M88" s="14">
        <f t="shared" si="131"/>
        <v>238197</v>
      </c>
      <c r="N88" s="14">
        <f>SUM(N85:N87)</f>
        <v>260901</v>
      </c>
      <c r="O88" s="14">
        <f>SUM(O85:O87)</f>
        <v>287720</v>
      </c>
      <c r="P88" s="14">
        <f>SUM(P85:P87)</f>
        <v>310067</v>
      </c>
      <c r="Q88" s="14">
        <f>SUM(Q85:Q87)</f>
        <v>337025</v>
      </c>
      <c r="R88" s="14">
        <f>SUM(R85:R87)</f>
        <v>372881</v>
      </c>
      <c r="T88" s="14">
        <f t="shared" ref="T88:Y88" si="132">SUM(T85:T87)</f>
        <v>204375</v>
      </c>
      <c r="U88" s="14">
        <f t="shared" si="132"/>
        <v>219161</v>
      </c>
      <c r="V88" s="14">
        <f t="shared" si="132"/>
        <v>238197</v>
      </c>
      <c r="W88" s="14">
        <f t="shared" si="132"/>
        <v>260901</v>
      </c>
      <c r="X88" s="14">
        <f t="shared" si="132"/>
        <v>287720</v>
      </c>
      <c r="Y88" s="14">
        <f t="shared" si="132"/>
        <v>310067</v>
      </c>
      <c r="Z88" s="14">
        <f>SUM(Z85:Z87)</f>
        <v>337025</v>
      </c>
      <c r="AA88" s="14">
        <f>SUM(AA85:AA87)</f>
        <v>372881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423.76758409785936</v>
      </c>
      <c r="D97" s="83">
        <f>D88/D85</f>
        <v>59.393842463014792</v>
      </c>
      <c r="E97" s="83">
        <f>E88/E85</f>
        <v>81.75</v>
      </c>
      <c r="F97" s="83">
        <f>F88/F85</f>
        <v>164.41142857142856</v>
      </c>
      <c r="H97" s="83">
        <f t="shared" ref="H97:Q97" si="138">H88/H85</f>
        <v>62.810400000000001</v>
      </c>
      <c r="I97" s="83">
        <f t="shared" si="138"/>
        <v>68.440799999999996</v>
      </c>
      <c r="J97" s="83">
        <f t="shared" si="138"/>
        <v>74.1892</v>
      </c>
      <c r="K97" s="83">
        <f t="shared" si="138"/>
        <v>81.75</v>
      </c>
      <c r="L97" s="83">
        <f t="shared" si="138"/>
        <v>87.664400000000001</v>
      </c>
      <c r="M97" s="83">
        <f t="shared" si="138"/>
        <v>136.11257142857144</v>
      </c>
      <c r="N97" s="83">
        <f t="shared" si="138"/>
        <v>149.08628571428571</v>
      </c>
      <c r="O97" s="83">
        <f t="shared" si="138"/>
        <v>164.41142857142856</v>
      </c>
      <c r="P97" s="83">
        <f t="shared" si="138"/>
        <v>73.825476190476195</v>
      </c>
      <c r="Q97" s="83">
        <f t="shared" si="138"/>
        <v>103.7</v>
      </c>
      <c r="R97" s="83">
        <f>R88/R85</f>
        <v>114.73261538461539</v>
      </c>
      <c r="S97" s="83"/>
      <c r="T97" s="83">
        <f t="shared" ref="T97:Y97" si="139">T88/T85</f>
        <v>81.75</v>
      </c>
      <c r="U97" s="83">
        <f t="shared" si="139"/>
        <v>87.664400000000001</v>
      </c>
      <c r="V97" s="83">
        <f t="shared" si="139"/>
        <v>136.11257142857144</v>
      </c>
      <c r="W97" s="83">
        <f t="shared" si="139"/>
        <v>149.08628571428571</v>
      </c>
      <c r="X97" s="83">
        <f t="shared" si="139"/>
        <v>164.41142857142856</v>
      </c>
      <c r="Y97" s="83">
        <f t="shared" si="139"/>
        <v>73.825476190476195</v>
      </c>
      <c r="Z97" s="83">
        <f>Z88/Z85</f>
        <v>103.7</v>
      </c>
      <c r="AA97" s="83">
        <f>AA88/AA85</f>
        <v>114.73261538461539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2025-12-26T04:22:35Z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