
<file path=[Content_Types].xml><?xml version="1.0" encoding="utf-8"?>
<Types xmlns="http://schemas.openxmlformats.org/package/2006/content-types"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/>
  <workbookPr/>
  <mc:AlternateContent xmlns:mc="http://schemas.openxmlformats.org/markup-compatibility/2006">
    <mc:Choice Requires="x15">
      <x15ac:absPath xmlns:x15ac="http://schemas.microsoft.com/office/spreadsheetml/2010/11/ac" url="C:\Users\Felix\Downloads\"/>
    </mc:Choice>
  </mc:AlternateContent>
  <xr:revisionPtr revIDLastSave="0" documentId="8_{D42637E6-4490-41C5-AA07-330C3599CD8F}" xr6:coauthVersionLast="47" xr6:coauthVersionMax="47" xr10:uidLastSave="{00000000-0000-0000-0000-000000000000}"/>
  <bookViews>
    <workbookView xWindow="-120" yWindow="-120" windowWidth="29040" windowHeight="15720" activeTab="2" xr2:uid="{BC9106CE-9107-4097-8948-317996376CB5}"/>
  </bookViews>
  <sheets>
    <sheet name="Historical Financials" sheetId="8" r:id="rId1"/>
    <sheet name="Revenue Drivers" sheetId="10" r:id="rId2"/>
    <sheet name="FCF" sheetId="9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96" i="9" l="1"/>
  <c r="S96" i="9"/>
  <c r="R96" i="9"/>
  <c r="Q96" i="9"/>
  <c r="P96" i="9"/>
  <c r="O96" i="9"/>
  <c r="N96" i="9"/>
  <c r="M96" i="9"/>
  <c r="L96" i="9"/>
  <c r="K96" i="9"/>
  <c r="J96" i="9"/>
  <c r="T95" i="9"/>
  <c r="T95" i="9" a="1"/>
  <c r="S95" i="9" a="1"/>
  <c r="S95" i="9" s="1"/>
  <c r="R95" i="9" a="1"/>
  <c r="R95" i="9" s="1"/>
  <c r="Q95" i="9" a="1"/>
  <c r="Q95" i="9" s="1"/>
  <c r="P95" i="9"/>
  <c r="P95" i="9" a="1"/>
  <c r="O95" i="9" a="1"/>
  <c r="O95" i="9" s="1"/>
  <c r="N95" i="9" a="1"/>
  <c r="N95" i="9" s="1"/>
  <c r="M95" i="9"/>
  <c r="M95" i="9" a="1"/>
  <c r="L95" i="9"/>
  <c r="L95" i="9" a="1"/>
  <c r="K95" i="9" a="1"/>
  <c r="K95" i="9" s="1"/>
  <c r="J95" i="9" a="1"/>
  <c r="J95" i="9" s="1"/>
  <c r="T94" i="9" a="1"/>
  <c r="T94" i="9" s="1"/>
  <c r="S94" i="9" a="1"/>
  <c r="S94" i="9" s="1"/>
  <c r="R94" i="9"/>
  <c r="R94" i="9" a="1"/>
  <c r="Q94" i="9" a="1"/>
  <c r="Q94" i="9" s="1"/>
  <c r="P94" i="9" a="1"/>
  <c r="P94" i="9" s="1"/>
  <c r="O94" i="9" a="1"/>
  <c r="O94" i="9" s="1"/>
  <c r="N94" i="9"/>
  <c r="N94" i="9" a="1"/>
  <c r="M94" i="9" a="1"/>
  <c r="M94" i="9" s="1"/>
  <c r="L94" i="9" a="1"/>
  <c r="L94" i="9" s="1"/>
  <c r="K94" i="9" a="1"/>
  <c r="K94" i="9" s="1"/>
  <c r="J94" i="9"/>
  <c r="J94" i="9" a="1"/>
  <c r="T93" i="9"/>
  <c r="T93" i="9" a="1"/>
  <c r="S93" i="9" a="1"/>
  <c r="S93" i="9" s="1"/>
  <c r="R93" i="9" a="1"/>
  <c r="R93" i="9" s="1"/>
  <c r="Q93" i="9" a="1"/>
  <c r="Q93" i="9" s="1"/>
  <c r="P93" i="9"/>
  <c r="P93" i="9" a="1"/>
  <c r="O93" i="9" a="1"/>
  <c r="O93" i="9" s="1"/>
  <c r="N93" i="9" a="1"/>
  <c r="N93" i="9" s="1"/>
  <c r="M93" i="9" a="1"/>
  <c r="M93" i="9" s="1"/>
  <c r="L93" i="9"/>
  <c r="L93" i="9" a="1"/>
  <c r="K93" i="9" a="1"/>
  <c r="K93" i="9" s="1"/>
  <c r="J93" i="9" a="1"/>
  <c r="J93" i="9" s="1"/>
  <c r="T92" i="9"/>
  <c r="S92" i="9"/>
  <c r="R92" i="9"/>
  <c r="Q92" i="9"/>
  <c r="P92" i="9"/>
  <c r="O92" i="9"/>
  <c r="N92" i="9"/>
  <c r="M92" i="9"/>
  <c r="L92" i="9"/>
  <c r="K92" i="9"/>
  <c r="J92" i="9"/>
  <c r="T91" i="9"/>
  <c r="S91" i="9"/>
  <c r="R91" i="9"/>
  <c r="Q91" i="9"/>
  <c r="P91" i="9"/>
  <c r="O91" i="9"/>
  <c r="N91" i="9"/>
  <c r="M91" i="9"/>
  <c r="L91" i="9"/>
  <c r="K91" i="9"/>
  <c r="J91" i="9"/>
  <c r="AD55" i="9"/>
  <c r="AC55" i="9"/>
  <c r="AB55" i="9"/>
  <c r="Z55" i="9"/>
  <c r="Y55" i="9"/>
  <c r="X55" i="9"/>
  <c r="R55" i="9"/>
  <c r="AA55" i="9" s="1"/>
  <c r="N55" i="9"/>
  <c r="W55" i="9" s="1"/>
  <c r="J55" i="9"/>
  <c r="U84" i="9"/>
  <c r="T84" i="9"/>
  <c r="S84" i="9"/>
  <c r="Q84" i="9"/>
  <c r="P84" i="9"/>
  <c r="O84" i="9"/>
  <c r="M84" i="9"/>
  <c r="L84" i="9"/>
  <c r="K84" i="9"/>
  <c r="I84" i="9"/>
  <c r="H84" i="9"/>
  <c r="G84" i="9"/>
  <c r="E84" i="9"/>
  <c r="D84" i="9"/>
  <c r="C84" i="9"/>
  <c r="AD82" i="9"/>
  <c r="AC82" i="9"/>
  <c r="AB82" i="9"/>
  <c r="Z82" i="9"/>
  <c r="Y82" i="9"/>
  <c r="X82" i="9"/>
  <c r="R82" i="9"/>
  <c r="AA82" i="9" s="1"/>
  <c r="N82" i="9"/>
  <c r="W82" i="9" s="1"/>
  <c r="J82" i="9"/>
  <c r="R75" i="9"/>
  <c r="N75" i="9"/>
  <c r="J75" i="9"/>
  <c r="J56" i="9"/>
  <c r="J83" i="9"/>
  <c r="J81" i="9"/>
  <c r="J80" i="9"/>
  <c r="J79" i="9"/>
  <c r="J78" i="9"/>
  <c r="J77" i="9"/>
  <c r="J76" i="9"/>
  <c r="U86" i="9"/>
  <c r="T86" i="9"/>
  <c r="S86" i="9"/>
  <c r="R86" i="9"/>
  <c r="Q86" i="9"/>
  <c r="P86" i="9"/>
  <c r="O86" i="9"/>
  <c r="N86" i="9"/>
  <c r="M86" i="9"/>
  <c r="L86" i="9"/>
  <c r="K86" i="9"/>
  <c r="J86" i="9"/>
  <c r="I86" i="9"/>
  <c r="H86" i="9"/>
  <c r="G86" i="9"/>
  <c r="E86" i="9"/>
  <c r="D86" i="9"/>
  <c r="C86" i="9"/>
  <c r="U71" i="9"/>
  <c r="T71" i="9"/>
  <c r="S71" i="9"/>
  <c r="R71" i="9"/>
  <c r="Q71" i="9"/>
  <c r="P71" i="9"/>
  <c r="O71" i="9"/>
  <c r="N71" i="9"/>
  <c r="M71" i="9"/>
  <c r="L71" i="9"/>
  <c r="K71" i="9"/>
  <c r="J71" i="9"/>
  <c r="I71" i="9"/>
  <c r="H71" i="9"/>
  <c r="G71" i="9"/>
  <c r="E71" i="9"/>
  <c r="D71" i="9"/>
  <c r="C71" i="9"/>
  <c r="R70" i="9"/>
  <c r="N70" i="9"/>
  <c r="U67" i="9"/>
  <c r="T67" i="9"/>
  <c r="S67" i="9"/>
  <c r="R67" i="9"/>
  <c r="Q67" i="9"/>
  <c r="P67" i="9"/>
  <c r="O67" i="9"/>
  <c r="N67" i="9"/>
  <c r="M67" i="9"/>
  <c r="L67" i="9"/>
  <c r="K67" i="9"/>
  <c r="J67" i="9"/>
  <c r="I67" i="9"/>
  <c r="H67" i="9"/>
  <c r="U66" i="9"/>
  <c r="T66" i="9"/>
  <c r="S66" i="9"/>
  <c r="R66" i="9"/>
  <c r="Q66" i="9"/>
  <c r="P66" i="9"/>
  <c r="O66" i="9"/>
  <c r="N66" i="9"/>
  <c r="M66" i="9"/>
  <c r="L66" i="9"/>
  <c r="K66" i="9"/>
  <c r="J66" i="9"/>
  <c r="I66" i="9"/>
  <c r="H66" i="9"/>
  <c r="U65" i="9"/>
  <c r="T65" i="9"/>
  <c r="AC65" i="9" s="1"/>
  <c r="S65" i="9"/>
  <c r="AB65" i="9" s="1"/>
  <c r="R65" i="9"/>
  <c r="Q65" i="9"/>
  <c r="Z65" i="9" s="1"/>
  <c r="P65" i="9"/>
  <c r="Y65" i="9" s="1"/>
  <c r="O65" i="9"/>
  <c r="N65" i="9"/>
  <c r="W65" i="9" s="1"/>
  <c r="M65" i="9"/>
  <c r="L65" i="9"/>
  <c r="K65" i="9"/>
  <c r="J65" i="9"/>
  <c r="I65" i="9"/>
  <c r="H65" i="9"/>
  <c r="U64" i="9"/>
  <c r="T64" i="9"/>
  <c r="S64" i="9"/>
  <c r="R64" i="9"/>
  <c r="Q64" i="9"/>
  <c r="P64" i="9"/>
  <c r="O64" i="9"/>
  <c r="N64" i="9"/>
  <c r="M64" i="9"/>
  <c r="L64" i="9"/>
  <c r="K64" i="9"/>
  <c r="J64" i="9"/>
  <c r="I64" i="9"/>
  <c r="H64" i="9"/>
  <c r="U63" i="9"/>
  <c r="T63" i="9"/>
  <c r="S63" i="9"/>
  <c r="R63" i="9"/>
  <c r="Q63" i="9"/>
  <c r="P63" i="9"/>
  <c r="O63" i="9"/>
  <c r="N63" i="9"/>
  <c r="M63" i="9"/>
  <c r="L63" i="9"/>
  <c r="K63" i="9"/>
  <c r="J63" i="9"/>
  <c r="I63" i="9"/>
  <c r="H63" i="9"/>
  <c r="U62" i="9"/>
  <c r="T62" i="9"/>
  <c r="S62" i="9"/>
  <c r="R62" i="9"/>
  <c r="Q62" i="9"/>
  <c r="P62" i="9"/>
  <c r="O62" i="9"/>
  <c r="N62" i="9"/>
  <c r="M62" i="9"/>
  <c r="L62" i="9"/>
  <c r="K62" i="9"/>
  <c r="J62" i="9"/>
  <c r="I62" i="9"/>
  <c r="H62" i="9"/>
  <c r="U61" i="9"/>
  <c r="T61" i="9"/>
  <c r="S61" i="9"/>
  <c r="R61" i="9"/>
  <c r="Q61" i="9"/>
  <c r="P61" i="9"/>
  <c r="O61" i="9"/>
  <c r="N61" i="9"/>
  <c r="M61" i="9"/>
  <c r="L61" i="9"/>
  <c r="K61" i="9"/>
  <c r="J61" i="9"/>
  <c r="I61" i="9"/>
  <c r="H61" i="9"/>
  <c r="G67" i="9"/>
  <c r="G66" i="9"/>
  <c r="G65" i="9"/>
  <c r="G64" i="9"/>
  <c r="G63" i="9"/>
  <c r="G62" i="9"/>
  <c r="G61" i="9"/>
  <c r="E67" i="9"/>
  <c r="D67" i="9"/>
  <c r="E66" i="9"/>
  <c r="D66" i="9"/>
  <c r="E65" i="9"/>
  <c r="D65" i="9"/>
  <c r="E64" i="9"/>
  <c r="D64" i="9"/>
  <c r="E63" i="9"/>
  <c r="D63" i="9"/>
  <c r="E62" i="9"/>
  <c r="D62" i="9"/>
  <c r="E61" i="9"/>
  <c r="D61" i="9"/>
  <c r="C67" i="9"/>
  <c r="C66" i="9"/>
  <c r="C65" i="9"/>
  <c r="AD65" i="9"/>
  <c r="AA65" i="9"/>
  <c r="X65" i="9"/>
  <c r="C64" i="9"/>
  <c r="C63" i="9"/>
  <c r="C62" i="9"/>
  <c r="C61" i="9"/>
  <c r="U54" i="9"/>
  <c r="T54" i="9"/>
  <c r="S54" i="9"/>
  <c r="R54" i="9"/>
  <c r="Q54" i="9"/>
  <c r="P54" i="9"/>
  <c r="O54" i="9"/>
  <c r="N54" i="9"/>
  <c r="M54" i="9"/>
  <c r="L54" i="9"/>
  <c r="K54" i="9"/>
  <c r="J54" i="9"/>
  <c r="I54" i="9"/>
  <c r="H54" i="9"/>
  <c r="G54" i="9"/>
  <c r="E54" i="9"/>
  <c r="D54" i="9"/>
  <c r="C54" i="9"/>
  <c r="U53" i="9"/>
  <c r="T53" i="9"/>
  <c r="S53" i="9"/>
  <c r="R53" i="9"/>
  <c r="Q53" i="9"/>
  <c r="P53" i="9"/>
  <c r="O53" i="9"/>
  <c r="N53" i="9"/>
  <c r="M53" i="9"/>
  <c r="L53" i="9"/>
  <c r="K53" i="9"/>
  <c r="J53" i="9"/>
  <c r="I53" i="9"/>
  <c r="H53" i="9"/>
  <c r="G53" i="9"/>
  <c r="E53" i="9"/>
  <c r="D53" i="9"/>
  <c r="C53" i="9"/>
  <c r="U47" i="9"/>
  <c r="T47" i="9"/>
  <c r="S47" i="9"/>
  <c r="R47" i="9"/>
  <c r="Q47" i="9"/>
  <c r="P47" i="9"/>
  <c r="O47" i="9"/>
  <c r="N47" i="9"/>
  <c r="M47" i="9"/>
  <c r="L47" i="9"/>
  <c r="K47" i="9"/>
  <c r="J47" i="9"/>
  <c r="I47" i="9"/>
  <c r="H47" i="9"/>
  <c r="G47" i="9"/>
  <c r="E47" i="9"/>
  <c r="D47" i="9"/>
  <c r="C47" i="9"/>
  <c r="U46" i="9"/>
  <c r="T46" i="9"/>
  <c r="S46" i="9"/>
  <c r="R46" i="9"/>
  <c r="Q46" i="9"/>
  <c r="P46" i="9"/>
  <c r="O46" i="9"/>
  <c r="N46" i="9"/>
  <c r="M46" i="9"/>
  <c r="L46" i="9"/>
  <c r="K46" i="9"/>
  <c r="J46" i="9"/>
  <c r="I46" i="9"/>
  <c r="H46" i="9"/>
  <c r="G46" i="9"/>
  <c r="E46" i="9"/>
  <c r="D46" i="9"/>
  <c r="C46" i="9"/>
  <c r="U45" i="9"/>
  <c r="T45" i="9"/>
  <c r="S45" i="9"/>
  <c r="R45" i="9"/>
  <c r="Q45" i="9"/>
  <c r="P45" i="9"/>
  <c r="O45" i="9"/>
  <c r="N45" i="9"/>
  <c r="M45" i="9"/>
  <c r="L45" i="9"/>
  <c r="K45" i="9"/>
  <c r="J45" i="9"/>
  <c r="I45" i="9"/>
  <c r="H45" i="9"/>
  <c r="G45" i="9"/>
  <c r="E45" i="9"/>
  <c r="D45" i="9"/>
  <c r="C45" i="9"/>
  <c r="U44" i="9"/>
  <c r="T44" i="9"/>
  <c r="S44" i="9"/>
  <c r="R44" i="9"/>
  <c r="Q44" i="9"/>
  <c r="P44" i="9"/>
  <c r="O44" i="9"/>
  <c r="N44" i="9"/>
  <c r="M44" i="9"/>
  <c r="L44" i="9"/>
  <c r="K44" i="9"/>
  <c r="J44" i="9"/>
  <c r="I44" i="9"/>
  <c r="H44" i="9"/>
  <c r="G44" i="9"/>
  <c r="E44" i="9"/>
  <c r="D44" i="9"/>
  <c r="C44" i="9"/>
  <c r="U43" i="9"/>
  <c r="T43" i="9"/>
  <c r="S43" i="9"/>
  <c r="R43" i="9"/>
  <c r="Q43" i="9"/>
  <c r="P43" i="9"/>
  <c r="O43" i="9"/>
  <c r="N43" i="9"/>
  <c r="M43" i="9"/>
  <c r="L43" i="9"/>
  <c r="K43" i="9"/>
  <c r="J43" i="9"/>
  <c r="I43" i="9"/>
  <c r="H43" i="9"/>
  <c r="G43" i="9"/>
  <c r="E43" i="9"/>
  <c r="D43" i="9"/>
  <c r="C43" i="9"/>
  <c r="U40" i="9"/>
  <c r="T40" i="9"/>
  <c r="S40" i="9"/>
  <c r="R40" i="9"/>
  <c r="Q40" i="9"/>
  <c r="P40" i="9"/>
  <c r="O40" i="9"/>
  <c r="N40" i="9"/>
  <c r="M40" i="9"/>
  <c r="L40" i="9"/>
  <c r="K40" i="9"/>
  <c r="J40" i="9"/>
  <c r="I40" i="9"/>
  <c r="H40" i="9"/>
  <c r="G40" i="9"/>
  <c r="E40" i="9"/>
  <c r="D40" i="9"/>
  <c r="C40" i="9"/>
  <c r="U39" i="9"/>
  <c r="T39" i="9"/>
  <c r="S39" i="9"/>
  <c r="R39" i="9"/>
  <c r="Q39" i="9"/>
  <c r="P39" i="9"/>
  <c r="O39" i="9"/>
  <c r="N39" i="9"/>
  <c r="M39" i="9"/>
  <c r="L39" i="9"/>
  <c r="K39" i="9"/>
  <c r="J39" i="9"/>
  <c r="I39" i="9"/>
  <c r="H39" i="9"/>
  <c r="G39" i="9"/>
  <c r="E39" i="9"/>
  <c r="D39" i="9"/>
  <c r="C39" i="9"/>
  <c r="U38" i="9"/>
  <c r="T38" i="9"/>
  <c r="S38" i="9"/>
  <c r="R38" i="9"/>
  <c r="Q38" i="9"/>
  <c r="P38" i="9"/>
  <c r="O38" i="9"/>
  <c r="N38" i="9"/>
  <c r="M38" i="9"/>
  <c r="L38" i="9"/>
  <c r="K38" i="9"/>
  <c r="J38" i="9"/>
  <c r="I38" i="9"/>
  <c r="H38" i="9"/>
  <c r="G38" i="9"/>
  <c r="U37" i="9"/>
  <c r="T37" i="9"/>
  <c r="S37" i="9"/>
  <c r="R37" i="9"/>
  <c r="Q37" i="9"/>
  <c r="P37" i="9"/>
  <c r="O37" i="9"/>
  <c r="N37" i="9"/>
  <c r="M37" i="9"/>
  <c r="L37" i="9"/>
  <c r="K37" i="9"/>
  <c r="J37" i="9"/>
  <c r="I37" i="9"/>
  <c r="H37" i="9"/>
  <c r="G37" i="9"/>
  <c r="U33" i="9"/>
  <c r="T33" i="9"/>
  <c r="S33" i="9"/>
  <c r="R33" i="9"/>
  <c r="Q33" i="9"/>
  <c r="P33" i="9"/>
  <c r="O33" i="9"/>
  <c r="N33" i="9"/>
  <c r="M33" i="9"/>
  <c r="L33" i="9"/>
  <c r="K33" i="9"/>
  <c r="J33" i="9"/>
  <c r="I33" i="9"/>
  <c r="H33" i="9"/>
  <c r="G33" i="9"/>
  <c r="U29" i="9"/>
  <c r="T29" i="9"/>
  <c r="S29" i="9"/>
  <c r="R29" i="9"/>
  <c r="Q29" i="9"/>
  <c r="P29" i="9"/>
  <c r="O29" i="9"/>
  <c r="N29" i="9"/>
  <c r="M29" i="9"/>
  <c r="L29" i="9"/>
  <c r="K29" i="9"/>
  <c r="J29" i="9"/>
  <c r="I29" i="9"/>
  <c r="H29" i="9"/>
  <c r="G29" i="9"/>
  <c r="U25" i="9"/>
  <c r="T25" i="9"/>
  <c r="S25" i="9"/>
  <c r="R25" i="9"/>
  <c r="Q25" i="9"/>
  <c r="P25" i="9"/>
  <c r="O25" i="9"/>
  <c r="N25" i="9"/>
  <c r="M25" i="9"/>
  <c r="L25" i="9"/>
  <c r="K25" i="9"/>
  <c r="J25" i="9"/>
  <c r="I25" i="9"/>
  <c r="H25" i="9"/>
  <c r="G25" i="9"/>
  <c r="U24" i="9"/>
  <c r="T24" i="9"/>
  <c r="S24" i="9"/>
  <c r="R24" i="9"/>
  <c r="Q24" i="9"/>
  <c r="P24" i="9"/>
  <c r="O24" i="9"/>
  <c r="N24" i="9"/>
  <c r="M24" i="9"/>
  <c r="L24" i="9"/>
  <c r="K24" i="9"/>
  <c r="J24" i="9"/>
  <c r="I24" i="9"/>
  <c r="H24" i="9"/>
  <c r="G24" i="9"/>
  <c r="U23" i="9"/>
  <c r="T23" i="9"/>
  <c r="S23" i="9"/>
  <c r="R23" i="9"/>
  <c r="Q23" i="9"/>
  <c r="P23" i="9"/>
  <c r="O23" i="9"/>
  <c r="N23" i="9"/>
  <c r="M23" i="9"/>
  <c r="L23" i="9"/>
  <c r="K23" i="9"/>
  <c r="J23" i="9"/>
  <c r="I23" i="9"/>
  <c r="H23" i="9"/>
  <c r="G23" i="9"/>
  <c r="U22" i="9"/>
  <c r="T22" i="9"/>
  <c r="S22" i="9"/>
  <c r="R22" i="9"/>
  <c r="Q22" i="9"/>
  <c r="P22" i="9"/>
  <c r="O22" i="9"/>
  <c r="N22" i="9"/>
  <c r="M22" i="9"/>
  <c r="L22" i="9"/>
  <c r="K22" i="9"/>
  <c r="J22" i="9"/>
  <c r="I22" i="9"/>
  <c r="H22" i="9"/>
  <c r="G22" i="9"/>
  <c r="U21" i="9"/>
  <c r="T21" i="9"/>
  <c r="S21" i="9"/>
  <c r="R21" i="9"/>
  <c r="Q21" i="9"/>
  <c r="P21" i="9"/>
  <c r="O21" i="9"/>
  <c r="N21" i="9"/>
  <c r="M21" i="9"/>
  <c r="L21" i="9"/>
  <c r="K21" i="9"/>
  <c r="J21" i="9"/>
  <c r="I21" i="9"/>
  <c r="H21" i="9"/>
  <c r="G21" i="9"/>
  <c r="U17" i="9"/>
  <c r="T17" i="9"/>
  <c r="S17" i="9"/>
  <c r="R17" i="9"/>
  <c r="Q17" i="9"/>
  <c r="P17" i="9"/>
  <c r="O17" i="9"/>
  <c r="N17" i="9"/>
  <c r="M17" i="9"/>
  <c r="L17" i="9"/>
  <c r="K17" i="9"/>
  <c r="J17" i="9"/>
  <c r="I17" i="9"/>
  <c r="H17" i="9"/>
  <c r="G17" i="9"/>
  <c r="U12" i="9"/>
  <c r="T12" i="9"/>
  <c r="S12" i="9"/>
  <c r="R12" i="9"/>
  <c r="Q12" i="9"/>
  <c r="P12" i="9"/>
  <c r="O12" i="9"/>
  <c r="N12" i="9"/>
  <c r="M12" i="9"/>
  <c r="L12" i="9"/>
  <c r="K12" i="9"/>
  <c r="J12" i="9"/>
  <c r="I12" i="9"/>
  <c r="H12" i="9"/>
  <c r="U11" i="9"/>
  <c r="T11" i="9"/>
  <c r="S11" i="9"/>
  <c r="R11" i="9"/>
  <c r="Q11" i="9"/>
  <c r="P11" i="9"/>
  <c r="O11" i="9"/>
  <c r="N11" i="9"/>
  <c r="M11" i="9"/>
  <c r="L11" i="9"/>
  <c r="K11" i="9"/>
  <c r="J11" i="9"/>
  <c r="I11" i="9"/>
  <c r="H11" i="9"/>
  <c r="U10" i="9"/>
  <c r="T10" i="9"/>
  <c r="S10" i="9"/>
  <c r="R10" i="9"/>
  <c r="Q10" i="9"/>
  <c r="P10" i="9"/>
  <c r="O10" i="9"/>
  <c r="N10" i="9"/>
  <c r="M10" i="9"/>
  <c r="L10" i="9"/>
  <c r="K10" i="9"/>
  <c r="J10" i="9"/>
  <c r="I10" i="9"/>
  <c r="H10" i="9"/>
  <c r="U9" i="9"/>
  <c r="T9" i="9"/>
  <c r="S9" i="9"/>
  <c r="R9" i="9"/>
  <c r="Q9" i="9"/>
  <c r="P9" i="9"/>
  <c r="O9" i="9"/>
  <c r="N9" i="9"/>
  <c r="M9" i="9"/>
  <c r="L9" i="9"/>
  <c r="K9" i="9"/>
  <c r="J9" i="9"/>
  <c r="I9" i="9"/>
  <c r="H9" i="9"/>
  <c r="U8" i="9"/>
  <c r="T8" i="9"/>
  <c r="S8" i="9"/>
  <c r="R8" i="9"/>
  <c r="Q8" i="9"/>
  <c r="P8" i="9"/>
  <c r="O8" i="9"/>
  <c r="N8" i="9"/>
  <c r="M8" i="9"/>
  <c r="L8" i="9"/>
  <c r="K8" i="9"/>
  <c r="J8" i="9"/>
  <c r="I8" i="9"/>
  <c r="H8" i="9"/>
  <c r="U7" i="9"/>
  <c r="T7" i="9"/>
  <c r="S7" i="9"/>
  <c r="R7" i="9"/>
  <c r="Q7" i="9"/>
  <c r="P7" i="9"/>
  <c r="O7" i="9"/>
  <c r="N7" i="9"/>
  <c r="M7" i="9"/>
  <c r="L7" i="9"/>
  <c r="K7" i="9"/>
  <c r="J7" i="9"/>
  <c r="I7" i="9"/>
  <c r="H7" i="9"/>
  <c r="U6" i="9"/>
  <c r="T6" i="9"/>
  <c r="S6" i="9"/>
  <c r="R6" i="9"/>
  <c r="Q6" i="9"/>
  <c r="P6" i="9"/>
  <c r="O6" i="9"/>
  <c r="N6" i="9"/>
  <c r="M6" i="9"/>
  <c r="L6" i="9"/>
  <c r="K6" i="9"/>
  <c r="J6" i="9"/>
  <c r="I6" i="9"/>
  <c r="H6" i="9"/>
  <c r="G12" i="9"/>
  <c r="G11" i="9"/>
  <c r="G10" i="9"/>
  <c r="G9" i="9"/>
  <c r="G8" i="9"/>
  <c r="G7" i="9"/>
  <c r="G6" i="9"/>
  <c r="J4" i="9"/>
  <c r="I4" i="9"/>
  <c r="H4" i="9"/>
  <c r="G4" i="9"/>
  <c r="J3" i="9"/>
  <c r="I3" i="9"/>
  <c r="H3" i="9"/>
  <c r="G3" i="9"/>
  <c r="E37" i="9"/>
  <c r="D37" i="9"/>
  <c r="C37" i="9"/>
  <c r="E38" i="9"/>
  <c r="D38" i="9"/>
  <c r="C38" i="9"/>
  <c r="L135" i="8"/>
  <c r="L134" i="8"/>
  <c r="K134" i="8"/>
  <c r="J134" i="8"/>
  <c r="I134" i="8"/>
  <c r="M134" i="8"/>
  <c r="N134" i="8"/>
  <c r="O134" i="8"/>
  <c r="U134" i="8"/>
  <c r="Q134" i="8"/>
  <c r="V134" i="8"/>
  <c r="R134" i="8"/>
  <c r="W134" i="8"/>
  <c r="S134" i="8"/>
  <c r="G134" i="8"/>
  <c r="C134" i="8"/>
  <c r="F134" i="8"/>
  <c r="E134" i="8"/>
  <c r="D134" i="8"/>
  <c r="E33" i="9"/>
  <c r="D33" i="9"/>
  <c r="C33" i="9"/>
  <c r="E29" i="9"/>
  <c r="D29" i="9"/>
  <c r="C29" i="9"/>
  <c r="E25" i="9"/>
  <c r="D25" i="9"/>
  <c r="E24" i="9"/>
  <c r="D24" i="9"/>
  <c r="E23" i="9"/>
  <c r="D23" i="9"/>
  <c r="E22" i="9"/>
  <c r="D22" i="9"/>
  <c r="E21" i="9"/>
  <c r="D21" i="9"/>
  <c r="C25" i="9"/>
  <c r="C24" i="9"/>
  <c r="C23" i="9"/>
  <c r="C22" i="9"/>
  <c r="C21" i="9"/>
  <c r="E17" i="9"/>
  <c r="D17" i="9"/>
  <c r="C17" i="9"/>
  <c r="E12" i="9"/>
  <c r="D12" i="9"/>
  <c r="E11" i="9"/>
  <c r="D11" i="9"/>
  <c r="E10" i="9"/>
  <c r="D10" i="9"/>
  <c r="E9" i="9"/>
  <c r="D9" i="9"/>
  <c r="E8" i="9"/>
  <c r="D8" i="9"/>
  <c r="E7" i="9"/>
  <c r="D7" i="9"/>
  <c r="E6" i="9"/>
  <c r="D6" i="9"/>
  <c r="C12" i="9"/>
  <c r="C11" i="9"/>
  <c r="C10" i="9"/>
  <c r="C9" i="9"/>
  <c r="C8" i="9"/>
  <c r="C7" i="9"/>
  <c r="C6" i="9"/>
  <c r="B12" i="9"/>
  <c r="B11" i="9"/>
  <c r="B10" i="9"/>
  <c r="B9" i="9"/>
  <c r="B8" i="9"/>
  <c r="B7" i="9"/>
  <c r="B6" i="9"/>
  <c r="AD32" i="10"/>
  <c r="AC32" i="10"/>
  <c r="AB32" i="10"/>
  <c r="AA32" i="10"/>
  <c r="Z32" i="10"/>
  <c r="Y32" i="10"/>
  <c r="X32" i="10"/>
  <c r="W32" i="10"/>
  <c r="AD31" i="10"/>
  <c r="AC31" i="10"/>
  <c r="AB31" i="10"/>
  <c r="AA31" i="10"/>
  <c r="Z31" i="10"/>
  <c r="Y31" i="10"/>
  <c r="X31" i="10"/>
  <c r="W31" i="10"/>
  <c r="AD30" i="10"/>
  <c r="AC30" i="10"/>
  <c r="AB30" i="10"/>
  <c r="AA30" i="10"/>
  <c r="Z30" i="10"/>
  <c r="Y30" i="10"/>
  <c r="X30" i="10"/>
  <c r="W30" i="10"/>
  <c r="AC17" i="10"/>
  <c r="AB17" i="10"/>
  <c r="AA17" i="10"/>
  <c r="Z17" i="10"/>
  <c r="Y17" i="10"/>
  <c r="X17" i="10"/>
  <c r="W17" i="10"/>
  <c r="AD17" i="10"/>
  <c r="AD15" i="10"/>
  <c r="AC15" i="10"/>
  <c r="AB15" i="10"/>
  <c r="AA15" i="10"/>
  <c r="Z15" i="10"/>
  <c r="Y15" i="10"/>
  <c r="X15" i="10"/>
  <c r="W15" i="10"/>
  <c r="AD14" i="10"/>
  <c r="AC14" i="10"/>
  <c r="AB14" i="10"/>
  <c r="AA14" i="10"/>
  <c r="Z14" i="10"/>
  <c r="Y14" i="10"/>
  <c r="X14" i="10"/>
  <c r="W14" i="10"/>
  <c r="AD13" i="10"/>
  <c r="AC13" i="10"/>
  <c r="AB13" i="10"/>
  <c r="AA13" i="10"/>
  <c r="Z13" i="10"/>
  <c r="Y13" i="10"/>
  <c r="X13" i="10"/>
  <c r="W13" i="10"/>
  <c r="AD12" i="10"/>
  <c r="AC12" i="10"/>
  <c r="AB12" i="10"/>
  <c r="AA12" i="10"/>
  <c r="Z12" i="10"/>
  <c r="Y12" i="10"/>
  <c r="X12" i="10"/>
  <c r="W12" i="10"/>
  <c r="AD11" i="10"/>
  <c r="AC11" i="10"/>
  <c r="AB11" i="10"/>
  <c r="AA11" i="10"/>
  <c r="Z11" i="10"/>
  <c r="Y11" i="10"/>
  <c r="X11" i="10"/>
  <c r="W11" i="10"/>
  <c r="AD10" i="10"/>
  <c r="AC10" i="10"/>
  <c r="AB10" i="10"/>
  <c r="AA10" i="10"/>
  <c r="Z10" i="10"/>
  <c r="Y10" i="10"/>
  <c r="X10" i="10"/>
  <c r="W10" i="10"/>
  <c r="AC9" i="10"/>
  <c r="AB9" i="10"/>
  <c r="AA9" i="10"/>
  <c r="Z9" i="10"/>
  <c r="Y9" i="10"/>
  <c r="X9" i="10"/>
  <c r="W9" i="10"/>
  <c r="AD9" i="10"/>
  <c r="AF123" i="8"/>
  <c r="AE123" i="8"/>
  <c r="AD123" i="8"/>
  <c r="AC123" i="8"/>
  <c r="AB123" i="8"/>
  <c r="AA123" i="8"/>
  <c r="AF128" i="8"/>
  <c r="AE128" i="8"/>
  <c r="AD128" i="8"/>
  <c r="AC128" i="8"/>
  <c r="AB128" i="8"/>
  <c r="AA128" i="8"/>
  <c r="Z128" i="8"/>
  <c r="AF127" i="8"/>
  <c r="AE127" i="8"/>
  <c r="AD127" i="8"/>
  <c r="AC127" i="8"/>
  <c r="AB127" i="8"/>
  <c r="AA127" i="8"/>
  <c r="Z127" i="8"/>
  <c r="AF126" i="8"/>
  <c r="AE126" i="8"/>
  <c r="AD126" i="8"/>
  <c r="AC126" i="8"/>
  <c r="AB126" i="8"/>
  <c r="AA126" i="8"/>
  <c r="Z126" i="8"/>
  <c r="Z123" i="8"/>
  <c r="Y127" i="8"/>
  <c r="Y126" i="8"/>
  <c r="Y128" i="8"/>
  <c r="Y123" i="8"/>
  <c r="Y122" i="8"/>
  <c r="AF110" i="8"/>
  <c r="AE110" i="8"/>
  <c r="AD110" i="8"/>
  <c r="AC110" i="8"/>
  <c r="AB110" i="8"/>
  <c r="AA110" i="8"/>
  <c r="Z110" i="8"/>
  <c r="Y110" i="8"/>
  <c r="W127" i="8"/>
  <c r="V127" i="8"/>
  <c r="S127" i="8"/>
  <c r="R127" i="8"/>
  <c r="Q127" i="8"/>
  <c r="U127" i="8"/>
  <c r="T76" i="8"/>
  <c r="T75" i="8"/>
  <c r="T74" i="8"/>
  <c r="T73" i="8"/>
  <c r="T72" i="8"/>
  <c r="P76" i="8"/>
  <c r="P75" i="8"/>
  <c r="P74" i="8"/>
  <c r="Y74" i="8" s="1"/>
  <c r="P73" i="8"/>
  <c r="Y73" i="8" s="1"/>
  <c r="P72" i="8"/>
  <c r="L76" i="8"/>
  <c r="L75" i="8"/>
  <c r="L74" i="8"/>
  <c r="L73" i="8"/>
  <c r="L72" i="8"/>
  <c r="O127" i="8"/>
  <c r="K127" i="8"/>
  <c r="L123" i="8" s="1"/>
  <c r="J127" i="8"/>
  <c r="I127" i="8"/>
  <c r="J123" i="8" s="1"/>
  <c r="N127" i="8"/>
  <c r="M110" i="8"/>
  <c r="M127" i="8"/>
  <c r="L126" i="8"/>
  <c r="K123" i="8"/>
  <c r="T39" i="8"/>
  <c r="P39" i="8"/>
  <c r="L39" i="8"/>
  <c r="L36" i="8"/>
  <c r="AF73" i="8"/>
  <c r="AE73" i="8"/>
  <c r="AD73" i="8"/>
  <c r="AC73" i="8"/>
  <c r="AB73" i="8"/>
  <c r="AA73" i="8"/>
  <c r="Z73" i="8"/>
  <c r="AF74" i="8"/>
  <c r="AE74" i="8"/>
  <c r="AD74" i="8"/>
  <c r="AC74" i="8"/>
  <c r="AB74" i="8"/>
  <c r="AA74" i="8"/>
  <c r="Z74" i="8"/>
  <c r="L94" i="8"/>
  <c r="L93" i="8"/>
  <c r="L92" i="8"/>
  <c r="L91" i="8"/>
  <c r="L96" i="8"/>
  <c r="L101" i="8"/>
  <c r="L100" i="8"/>
  <c r="L99" i="8"/>
  <c r="L98" i="8"/>
  <c r="L97" i="8"/>
  <c r="L109" i="8"/>
  <c r="L108" i="8"/>
  <c r="L107" i="8"/>
  <c r="L106" i="8"/>
  <c r="L105" i="8"/>
  <c r="L119" i="8"/>
  <c r="L118" i="8"/>
  <c r="L117" i="8"/>
  <c r="L116" i="8"/>
  <c r="L115" i="8"/>
  <c r="L113" i="8"/>
  <c r="L114" i="8"/>
  <c r="G127" i="8"/>
  <c r="F127" i="8"/>
  <c r="G123" i="8" s="1"/>
  <c r="E127" i="8"/>
  <c r="F123" i="8" s="1"/>
  <c r="D127" i="8"/>
  <c r="I123" i="8" s="1"/>
  <c r="C127" i="8"/>
  <c r="D123" i="8" s="1"/>
  <c r="D93" i="8"/>
  <c r="C93" i="8"/>
  <c r="T32" i="8"/>
  <c r="AC32" i="8" s="1"/>
  <c r="P32" i="8"/>
  <c r="Y32" i="8" s="1"/>
  <c r="L32" i="8"/>
  <c r="T31" i="8"/>
  <c r="P31" i="8"/>
  <c r="L31" i="8"/>
  <c r="T116" i="8"/>
  <c r="AF116" i="8" s="1"/>
  <c r="P116" i="8"/>
  <c r="Y116" i="8" s="1"/>
  <c r="E120" i="8"/>
  <c r="F120" i="8"/>
  <c r="G120" i="8"/>
  <c r="T119" i="8"/>
  <c r="AD119" i="8" s="1"/>
  <c r="P119" i="8"/>
  <c r="AB119" i="8" s="1"/>
  <c r="T117" i="8"/>
  <c r="AF117" i="8" s="1"/>
  <c r="P117" i="8"/>
  <c r="Y117" i="8" s="1"/>
  <c r="T115" i="8"/>
  <c r="AE115" i="8" s="1"/>
  <c r="P115" i="8"/>
  <c r="AB115" i="8" s="1"/>
  <c r="T114" i="8"/>
  <c r="AE114" i="8" s="1"/>
  <c r="P114" i="8"/>
  <c r="AB114" i="8" s="1"/>
  <c r="T108" i="8"/>
  <c r="AC108" i="8" s="1"/>
  <c r="P108" i="8"/>
  <c r="Y108" i="8" s="1"/>
  <c r="T107" i="8"/>
  <c r="AF107" i="8" s="1"/>
  <c r="P107" i="8"/>
  <c r="AB107" i="8" s="1"/>
  <c r="T94" i="8"/>
  <c r="AF94" i="8" s="1"/>
  <c r="P94" i="8"/>
  <c r="Z94" i="8" s="1"/>
  <c r="T93" i="8"/>
  <c r="AF93" i="8" s="1"/>
  <c r="P93" i="8"/>
  <c r="Y93" i="8" s="1"/>
  <c r="T92" i="8"/>
  <c r="AF92" i="8" s="1"/>
  <c r="P92" i="8"/>
  <c r="AB92" i="8" s="1"/>
  <c r="T91" i="8"/>
  <c r="AE91" i="8" s="1"/>
  <c r="P91" i="8"/>
  <c r="AA91" i="8" s="1"/>
  <c r="J84" i="9" l="1"/>
  <c r="H57" i="9"/>
  <c r="J87" i="9"/>
  <c r="H13" i="9"/>
  <c r="H18" i="9" s="1"/>
  <c r="H19" i="9" s="1"/>
  <c r="J13" i="9"/>
  <c r="G57" i="9"/>
  <c r="I57" i="9"/>
  <c r="I13" i="9"/>
  <c r="J57" i="9"/>
  <c r="G13" i="9"/>
  <c r="G87" i="9"/>
  <c r="H87" i="9"/>
  <c r="I87" i="9"/>
  <c r="Y21" i="9"/>
  <c r="W7" i="9"/>
  <c r="W21" i="9"/>
  <c r="AA21" i="9"/>
  <c r="Y22" i="9"/>
  <c r="AA11" i="9"/>
  <c r="AB11" i="9"/>
  <c r="X21" i="9"/>
  <c r="X22" i="9"/>
  <c r="AB21" i="9"/>
  <c r="AA22" i="9"/>
  <c r="AB9" i="9"/>
  <c r="X11" i="9"/>
  <c r="W8" i="9"/>
  <c r="Y7" i="9"/>
  <c r="AC9" i="9"/>
  <c r="AA10" i="9"/>
  <c r="AD21" i="9"/>
  <c r="AB22" i="9"/>
  <c r="X7" i="9"/>
  <c r="Z10" i="9"/>
  <c r="AB10" i="9"/>
  <c r="AD22" i="9"/>
  <c r="Z21" i="9"/>
  <c r="Z22" i="9"/>
  <c r="AC21" i="9"/>
  <c r="AC22" i="9"/>
  <c r="W22" i="9"/>
  <c r="AA8" i="9"/>
  <c r="AA12" i="9"/>
  <c r="Y11" i="9"/>
  <c r="W9" i="9"/>
  <c r="AA7" i="9"/>
  <c r="Y8" i="9"/>
  <c r="Y12" i="9"/>
  <c r="AB7" i="9"/>
  <c r="Z8" i="9"/>
  <c r="AD10" i="9"/>
  <c r="Z12" i="9"/>
  <c r="Z7" i="9"/>
  <c r="X8" i="9"/>
  <c r="AD9" i="9"/>
  <c r="Z11" i="9"/>
  <c r="X12" i="9"/>
  <c r="W11" i="9"/>
  <c r="W12" i="9"/>
  <c r="AC7" i="9"/>
  <c r="Y9" i="9"/>
  <c r="AC10" i="9"/>
  <c r="AC11" i="9"/>
  <c r="AD7" i="9"/>
  <c r="Z9" i="9"/>
  <c r="AD11" i="9"/>
  <c r="W10" i="9"/>
  <c r="Y10" i="9"/>
  <c r="AB8" i="9"/>
  <c r="AB12" i="9"/>
  <c r="AC12" i="9"/>
  <c r="AD8" i="9"/>
  <c r="AD12" i="9"/>
  <c r="AC8" i="9"/>
  <c r="X9" i="9"/>
  <c r="AA9" i="9"/>
  <c r="X10" i="9"/>
  <c r="L127" i="8"/>
  <c r="M123" i="8" s="1"/>
  <c r="AH74" i="8"/>
  <c r="AH73" i="8"/>
  <c r="Z116" i="8"/>
  <c r="AF32" i="8"/>
  <c r="Z32" i="8"/>
  <c r="AA32" i="8"/>
  <c r="AD32" i="8"/>
  <c r="AE32" i="8"/>
  <c r="AB32" i="8"/>
  <c r="AA116" i="8"/>
  <c r="AB116" i="8"/>
  <c r="AH116" i="8" s="1"/>
  <c r="AC116" i="8"/>
  <c r="AD116" i="8"/>
  <c r="AE116" i="8"/>
  <c r="AE119" i="8"/>
  <c r="Y119" i="8"/>
  <c r="Z119" i="8"/>
  <c r="AF119" i="8"/>
  <c r="AH119" i="8" s="1"/>
  <c r="AA119" i="8"/>
  <c r="AC119" i="8"/>
  <c r="Z115" i="8"/>
  <c r="Y115" i="8"/>
  <c r="AA115" i="8"/>
  <c r="Z114" i="8"/>
  <c r="Y114" i="8"/>
  <c r="AA114" i="8"/>
  <c r="AD114" i="8"/>
  <c r="Z117" i="8"/>
  <c r="AC117" i="8"/>
  <c r="AF115" i="8"/>
  <c r="AH115" i="8" s="1"/>
  <c r="AF114" i="8"/>
  <c r="AH114" i="8" s="1"/>
  <c r="AD115" i="8"/>
  <c r="AA117" i="8"/>
  <c r="AC115" i="8"/>
  <c r="AB117" i="8"/>
  <c r="AH117" i="8" s="1"/>
  <c r="AD117" i="8"/>
  <c r="AC114" i="8"/>
  <c r="AE117" i="8"/>
  <c r="AA107" i="8"/>
  <c r="Y107" i="8"/>
  <c r="Z107" i="8"/>
  <c r="AC107" i="8"/>
  <c r="AH107" i="8"/>
  <c r="AD108" i="8"/>
  <c r="AE108" i="8"/>
  <c r="AF108" i="8"/>
  <c r="Z108" i="8"/>
  <c r="AD107" i="8"/>
  <c r="AA108" i="8"/>
  <c r="AE107" i="8"/>
  <c r="AB108" i="8"/>
  <c r="AD91" i="8"/>
  <c r="Y92" i="8"/>
  <c r="Z92" i="8"/>
  <c r="AB91" i="8"/>
  <c r="AC92" i="8"/>
  <c r="AA94" i="8"/>
  <c r="AC91" i="8"/>
  <c r="AE92" i="8"/>
  <c r="AB94" i="8"/>
  <c r="AH94" i="8" s="1"/>
  <c r="Z91" i="8"/>
  <c r="AA92" i="8"/>
  <c r="AC94" i="8"/>
  <c r="AD94" i="8"/>
  <c r="AD93" i="8"/>
  <c r="AE94" i="8"/>
  <c r="AE93" i="8"/>
  <c r="AH92" i="8"/>
  <c r="AF91" i="8"/>
  <c r="Z93" i="8"/>
  <c r="Y91" i="8"/>
  <c r="AD92" i="8"/>
  <c r="AA93" i="8"/>
  <c r="AB93" i="8"/>
  <c r="AH93" i="8" s="1"/>
  <c r="Y94" i="8"/>
  <c r="AC93" i="8"/>
  <c r="H15" i="9" l="1"/>
  <c r="J15" i="9"/>
  <c r="H26" i="9"/>
  <c r="H27" i="9" s="1"/>
  <c r="J18" i="9"/>
  <c r="J26" i="9" s="1"/>
  <c r="J27" i="9" s="1"/>
  <c r="G18" i="9"/>
  <c r="I18" i="9"/>
  <c r="I15" i="9"/>
  <c r="H30" i="9"/>
  <c r="AF22" i="9"/>
  <c r="AF21" i="9"/>
  <c r="AF8" i="9"/>
  <c r="AF10" i="9"/>
  <c r="AF7" i="9"/>
  <c r="AF9" i="9"/>
  <c r="AH32" i="8"/>
  <c r="AH108" i="8"/>
  <c r="AH91" i="8"/>
  <c r="J30" i="9" l="1"/>
  <c r="J34" i="9" s="1"/>
  <c r="J19" i="9"/>
  <c r="I26" i="9"/>
  <c r="I19" i="9"/>
  <c r="G26" i="9"/>
  <c r="G19" i="9"/>
  <c r="H34" i="9"/>
  <c r="H31" i="9"/>
  <c r="T8" i="8"/>
  <c r="P8" i="8"/>
  <c r="T50" i="8"/>
  <c r="T49" i="8"/>
  <c r="T48" i="8"/>
  <c r="T47" i="8"/>
  <c r="T57" i="8"/>
  <c r="T56" i="8"/>
  <c r="T55" i="8"/>
  <c r="T54" i="8"/>
  <c r="T63" i="8"/>
  <c r="T62" i="8"/>
  <c r="T61" i="8"/>
  <c r="T69" i="8"/>
  <c r="AC69" i="8" s="1"/>
  <c r="T68" i="8"/>
  <c r="AC68" i="8" s="1"/>
  <c r="T67" i="8"/>
  <c r="P50" i="8"/>
  <c r="P49" i="8"/>
  <c r="P48" i="8"/>
  <c r="P47" i="8"/>
  <c r="P57" i="8"/>
  <c r="P56" i="8"/>
  <c r="P55" i="8"/>
  <c r="P54" i="8"/>
  <c r="P63" i="8"/>
  <c r="P62" i="8"/>
  <c r="P61" i="8"/>
  <c r="P69" i="8"/>
  <c r="Y69" i="8" s="1"/>
  <c r="P68" i="8"/>
  <c r="Y68" i="8" s="1"/>
  <c r="P67" i="8"/>
  <c r="L50" i="8"/>
  <c r="L49" i="8"/>
  <c r="L48" i="8"/>
  <c r="L47" i="8"/>
  <c r="L57" i="8"/>
  <c r="L56" i="8"/>
  <c r="L55" i="8"/>
  <c r="L54" i="8"/>
  <c r="L63" i="8"/>
  <c r="L62" i="8"/>
  <c r="L61" i="8"/>
  <c r="L69" i="8"/>
  <c r="L68" i="8"/>
  <c r="L67" i="8"/>
  <c r="AF69" i="8"/>
  <c r="AE69" i="8"/>
  <c r="AD69" i="8"/>
  <c r="AB69" i="8"/>
  <c r="AA69" i="8"/>
  <c r="Z69" i="8"/>
  <c r="AF68" i="8"/>
  <c r="AE68" i="8"/>
  <c r="AD68" i="8"/>
  <c r="AB68" i="8"/>
  <c r="AA68" i="8"/>
  <c r="Z68" i="8"/>
  <c r="L77" i="8"/>
  <c r="T13" i="8"/>
  <c r="AE13" i="8" s="1"/>
  <c r="T21" i="8"/>
  <c r="T20" i="8"/>
  <c r="AF20" i="8" s="1"/>
  <c r="T19" i="8"/>
  <c r="T18" i="8"/>
  <c r="T17" i="8"/>
  <c r="T27" i="8"/>
  <c r="AF27" i="8" s="1"/>
  <c r="T26" i="8"/>
  <c r="AF26" i="8" s="1"/>
  <c r="T25" i="8"/>
  <c r="P13" i="8"/>
  <c r="Z13" i="8" s="1"/>
  <c r="P21" i="8"/>
  <c r="P20" i="8"/>
  <c r="AB20" i="8" s="1"/>
  <c r="P19" i="8"/>
  <c r="P18" i="8"/>
  <c r="P17" i="8"/>
  <c r="P27" i="8"/>
  <c r="Y27" i="8" s="1"/>
  <c r="P26" i="8"/>
  <c r="AB26" i="8" s="1"/>
  <c r="P25" i="8"/>
  <c r="L13" i="8"/>
  <c r="L21" i="8"/>
  <c r="L20" i="8"/>
  <c r="L19" i="8"/>
  <c r="L18" i="8"/>
  <c r="L17" i="8"/>
  <c r="L27" i="8"/>
  <c r="L26" i="8"/>
  <c r="L25" i="8"/>
  <c r="J32" i="10"/>
  <c r="J31" i="10"/>
  <c r="J30" i="10"/>
  <c r="B37" i="10"/>
  <c r="R15" i="10"/>
  <c r="R14" i="10"/>
  <c r="R13" i="10"/>
  <c r="R12" i="10"/>
  <c r="R11" i="10"/>
  <c r="R10" i="10"/>
  <c r="R9" i="10"/>
  <c r="N15" i="10"/>
  <c r="N14" i="10"/>
  <c r="N13" i="10"/>
  <c r="N12" i="10"/>
  <c r="N11" i="10"/>
  <c r="N10" i="10"/>
  <c r="N9" i="10"/>
  <c r="J15" i="10"/>
  <c r="J14" i="10"/>
  <c r="J13" i="10"/>
  <c r="J12" i="10"/>
  <c r="J11" i="10"/>
  <c r="J10" i="10"/>
  <c r="J9" i="10"/>
  <c r="G33" i="10"/>
  <c r="G38" i="10" s="1"/>
  <c r="G16" i="10"/>
  <c r="G21" i="10" s="1"/>
  <c r="G4" i="10"/>
  <c r="G3" i="10"/>
  <c r="I33" i="10"/>
  <c r="I36" i="10" s="1"/>
  <c r="H33" i="10"/>
  <c r="H38" i="10" s="1"/>
  <c r="I16" i="10"/>
  <c r="I24" i="10" s="1"/>
  <c r="H16" i="10"/>
  <c r="H19" i="10" s="1"/>
  <c r="I4" i="10"/>
  <c r="H4" i="10"/>
  <c r="J3" i="10"/>
  <c r="I3" i="10"/>
  <c r="H3" i="10"/>
  <c r="L11" i="8"/>
  <c r="L8" i="8"/>
  <c r="L44" i="8" s="1"/>
  <c r="J120" i="8"/>
  <c r="J110" i="8"/>
  <c r="J85" i="8"/>
  <c r="J84" i="8"/>
  <c r="J78" i="8"/>
  <c r="J64" i="8"/>
  <c r="J70" i="8" s="1"/>
  <c r="J51" i="8"/>
  <c r="J58" i="8" s="1"/>
  <c r="J44" i="8"/>
  <c r="J43" i="8"/>
  <c r="J11" i="8"/>
  <c r="K120" i="8"/>
  <c r="I120" i="8"/>
  <c r="K110" i="8"/>
  <c r="I110" i="8"/>
  <c r="K85" i="8"/>
  <c r="I85" i="8"/>
  <c r="K84" i="8"/>
  <c r="I84" i="8"/>
  <c r="K78" i="8"/>
  <c r="I78" i="8"/>
  <c r="K64" i="8"/>
  <c r="K70" i="8" s="1"/>
  <c r="I64" i="8"/>
  <c r="I70" i="8" s="1"/>
  <c r="K51" i="8"/>
  <c r="K58" i="8" s="1"/>
  <c r="I51" i="8"/>
  <c r="I58" i="8" s="1"/>
  <c r="K44" i="8"/>
  <c r="I44" i="8"/>
  <c r="K43" i="8"/>
  <c r="I43" i="8"/>
  <c r="K11" i="8"/>
  <c r="I11" i="8"/>
  <c r="L120" i="8"/>
  <c r="L110" i="8"/>
  <c r="L84" i="8"/>
  <c r="L43" i="8"/>
  <c r="B24" i="10"/>
  <c r="B23" i="10"/>
  <c r="B22" i="10"/>
  <c r="B21" i="10"/>
  <c r="B20" i="10"/>
  <c r="J31" i="9" l="1"/>
  <c r="I27" i="9"/>
  <c r="I30" i="9"/>
  <c r="G30" i="9"/>
  <c r="G27" i="9"/>
  <c r="H41" i="9"/>
  <c r="H35" i="9"/>
  <c r="J35" i="9"/>
  <c r="J41" i="9"/>
  <c r="L64" i="8"/>
  <c r="L70" i="8" s="1"/>
  <c r="L51" i="8"/>
  <c r="L58" i="8" s="1"/>
  <c r="AD20" i="8"/>
  <c r="AA13" i="8"/>
  <c r="Y20" i="8"/>
  <c r="AA20" i="8"/>
  <c r="AH68" i="8"/>
  <c r="AH69" i="8"/>
  <c r="Z20" i="8"/>
  <c r="L78" i="8"/>
  <c r="Y13" i="8"/>
  <c r="L14" i="8"/>
  <c r="AC20" i="8"/>
  <c r="AE20" i="8"/>
  <c r="Y26" i="8"/>
  <c r="Z26" i="8"/>
  <c r="AF13" i="8"/>
  <c r="Z27" i="8"/>
  <c r="AA26" i="8"/>
  <c r="AA27" i="8"/>
  <c r="AB27" i="8"/>
  <c r="AH20" i="8"/>
  <c r="AC26" i="8"/>
  <c r="AC27" i="8"/>
  <c r="AD26" i="8"/>
  <c r="AD27" i="8"/>
  <c r="AE26" i="8"/>
  <c r="AE27" i="8"/>
  <c r="L85" i="8"/>
  <c r="J79" i="8"/>
  <c r="J81" i="8" s="1"/>
  <c r="J4" i="10"/>
  <c r="I14" i="8"/>
  <c r="J14" i="8"/>
  <c r="K14" i="8"/>
  <c r="H37" i="10"/>
  <c r="I37" i="10"/>
  <c r="G37" i="10"/>
  <c r="J33" i="10"/>
  <c r="J38" i="10" s="1"/>
  <c r="I38" i="10"/>
  <c r="G22" i="10"/>
  <c r="J16" i="10"/>
  <c r="G23" i="10"/>
  <c r="G24" i="10"/>
  <c r="G19" i="10"/>
  <c r="G34" i="10"/>
  <c r="G17" i="10"/>
  <c r="G20" i="10"/>
  <c r="G36" i="10"/>
  <c r="G25" i="10"/>
  <c r="H34" i="10"/>
  <c r="I21" i="10"/>
  <c r="H36" i="10"/>
  <c r="I22" i="10"/>
  <c r="I19" i="10"/>
  <c r="H22" i="10"/>
  <c r="I34" i="10"/>
  <c r="I20" i="10"/>
  <c r="H23" i="10"/>
  <c r="H25" i="10"/>
  <c r="H20" i="10"/>
  <c r="I25" i="10"/>
  <c r="H17" i="10"/>
  <c r="I23" i="10"/>
  <c r="I17" i="10"/>
  <c r="H21" i="10"/>
  <c r="H24" i="10"/>
  <c r="AB13" i="8"/>
  <c r="AC13" i="8"/>
  <c r="AD13" i="8"/>
  <c r="K79" i="8"/>
  <c r="K81" i="8" s="1"/>
  <c r="I79" i="8"/>
  <c r="I81" i="8" s="1"/>
  <c r="AF77" i="8"/>
  <c r="AE77" i="8"/>
  <c r="AD77" i="8"/>
  <c r="AB77" i="8"/>
  <c r="AA77" i="8"/>
  <c r="Z77" i="8"/>
  <c r="AF76" i="8"/>
  <c r="AE76" i="8"/>
  <c r="AD76" i="8"/>
  <c r="AB76" i="8"/>
  <c r="AA76" i="8"/>
  <c r="Z76" i="8"/>
  <c r="AF75" i="8"/>
  <c r="AE75" i="8"/>
  <c r="AD75" i="8"/>
  <c r="AB75" i="8"/>
  <c r="AA75" i="8"/>
  <c r="Z75" i="8"/>
  <c r="T77" i="8"/>
  <c r="AC77" i="8" s="1"/>
  <c r="AC76" i="8"/>
  <c r="AC75" i="8"/>
  <c r="P77" i="8"/>
  <c r="Y77" i="8" s="1"/>
  <c r="Y76" i="8"/>
  <c r="Y75" i="8"/>
  <c r="AC63" i="8"/>
  <c r="AC62" i="8"/>
  <c r="Y63" i="8"/>
  <c r="Y62" i="8"/>
  <c r="AF63" i="8"/>
  <c r="AE63" i="8"/>
  <c r="AD63" i="8"/>
  <c r="AB63" i="8"/>
  <c r="AA63" i="8"/>
  <c r="Z63" i="8"/>
  <c r="AF62" i="8"/>
  <c r="AE62" i="8"/>
  <c r="AD62" i="8"/>
  <c r="AB62" i="8"/>
  <c r="AA62" i="8"/>
  <c r="Z62" i="8"/>
  <c r="AC49" i="8"/>
  <c r="AC48" i="8"/>
  <c r="Y49" i="8"/>
  <c r="Y48" i="8"/>
  <c r="AF49" i="8"/>
  <c r="AE49" i="8"/>
  <c r="AD49" i="8"/>
  <c r="AB49" i="8"/>
  <c r="AA49" i="8"/>
  <c r="Z49" i="8"/>
  <c r="AF48" i="8"/>
  <c r="AE48" i="8"/>
  <c r="AD48" i="8"/>
  <c r="AB48" i="8"/>
  <c r="AA48" i="8"/>
  <c r="Z48" i="8"/>
  <c r="AC21" i="8"/>
  <c r="AF19" i="8"/>
  <c r="AC18" i="8"/>
  <c r="AB21" i="8"/>
  <c r="Y19" i="8"/>
  <c r="AB18" i="8"/>
  <c r="U4" i="10"/>
  <c r="AD4" i="10" s="1"/>
  <c r="T4" i="10"/>
  <c r="AC4" i="10" s="1"/>
  <c r="S4" i="10"/>
  <c r="AB4" i="10" s="1"/>
  <c r="Q4" i="10"/>
  <c r="Z4" i="10" s="1"/>
  <c r="P4" i="10"/>
  <c r="Y4" i="10" s="1"/>
  <c r="O4" i="10"/>
  <c r="X4" i="10" s="1"/>
  <c r="M4" i="10"/>
  <c r="L4" i="10"/>
  <c r="K4" i="10"/>
  <c r="U3" i="10"/>
  <c r="AD3" i="10" s="1"/>
  <c r="T3" i="10"/>
  <c r="AC3" i="10" s="1"/>
  <c r="S3" i="10"/>
  <c r="AB3" i="10" s="1"/>
  <c r="R3" i="10"/>
  <c r="AA3" i="10" s="1"/>
  <c r="Q3" i="10"/>
  <c r="Z3" i="10" s="1"/>
  <c r="P3" i="10"/>
  <c r="Y3" i="10" s="1"/>
  <c r="O3" i="10"/>
  <c r="X3" i="10" s="1"/>
  <c r="N3" i="10"/>
  <c r="W3" i="10" s="1"/>
  <c r="M3" i="10"/>
  <c r="L3" i="10"/>
  <c r="K3" i="10"/>
  <c r="E4" i="10"/>
  <c r="D4" i="10"/>
  <c r="C4" i="10"/>
  <c r="E3" i="10"/>
  <c r="D3" i="10"/>
  <c r="C3" i="10"/>
  <c r="B2" i="10"/>
  <c r="B38" i="10"/>
  <c r="B36" i="10"/>
  <c r="U33" i="10"/>
  <c r="U37" i="10" s="1"/>
  <c r="AD37" i="10" s="1"/>
  <c r="T33" i="10"/>
  <c r="S33" i="10"/>
  <c r="S37" i="10" s="1"/>
  <c r="AB37" i="10" s="1"/>
  <c r="Q33" i="10"/>
  <c r="P33" i="10"/>
  <c r="O33" i="10"/>
  <c r="M33" i="10"/>
  <c r="M37" i="10" s="1"/>
  <c r="L33" i="10"/>
  <c r="K33" i="10"/>
  <c r="K37" i="10" s="1"/>
  <c r="E33" i="10"/>
  <c r="D33" i="10"/>
  <c r="C33" i="10"/>
  <c r="B25" i="10"/>
  <c r="B19" i="10"/>
  <c r="U16" i="10"/>
  <c r="T16" i="10"/>
  <c r="S16" i="10"/>
  <c r="Q16" i="10"/>
  <c r="P16" i="10"/>
  <c r="O16" i="10"/>
  <c r="M16" i="10"/>
  <c r="L16" i="10"/>
  <c r="K16" i="10"/>
  <c r="E16" i="10"/>
  <c r="D16" i="10"/>
  <c r="C16" i="10"/>
  <c r="H48" i="9" l="1"/>
  <c r="H49" i="9" s="1"/>
  <c r="J48" i="9"/>
  <c r="J49" i="9" s="1"/>
  <c r="G34" i="9"/>
  <c r="G31" i="9"/>
  <c r="I34" i="9"/>
  <c r="I31" i="9"/>
  <c r="L15" i="8"/>
  <c r="L22" i="8"/>
  <c r="K15" i="8"/>
  <c r="K22" i="8"/>
  <c r="I15" i="8"/>
  <c r="I22" i="8"/>
  <c r="J15" i="8"/>
  <c r="J22" i="8"/>
  <c r="L79" i="8"/>
  <c r="L81" i="8" s="1"/>
  <c r="J36" i="10"/>
  <c r="J34" i="10"/>
  <c r="L38" i="10"/>
  <c r="L37" i="10"/>
  <c r="P38" i="10"/>
  <c r="Y38" i="10" s="1"/>
  <c r="P37" i="10"/>
  <c r="Y37" i="10" s="1"/>
  <c r="Q38" i="10"/>
  <c r="Z38" i="10" s="1"/>
  <c r="Q37" i="10"/>
  <c r="Z37" i="10" s="1"/>
  <c r="C38" i="10"/>
  <c r="C37" i="10"/>
  <c r="D38" i="10"/>
  <c r="D37" i="10"/>
  <c r="E38" i="10"/>
  <c r="E37" i="10"/>
  <c r="T38" i="10"/>
  <c r="AC38" i="10" s="1"/>
  <c r="T37" i="10"/>
  <c r="AC37" i="10" s="1"/>
  <c r="O38" i="10"/>
  <c r="X38" i="10" s="1"/>
  <c r="O37" i="10"/>
  <c r="X37" i="10" s="1"/>
  <c r="J37" i="10"/>
  <c r="J25" i="10"/>
  <c r="J21" i="10"/>
  <c r="J23" i="10"/>
  <c r="J22" i="10"/>
  <c r="J17" i="10"/>
  <c r="J20" i="10"/>
  <c r="J24" i="10"/>
  <c r="J19" i="10"/>
  <c r="AH13" i="8"/>
  <c r="T20" i="10"/>
  <c r="AC20" i="10" s="1"/>
  <c r="T22" i="10"/>
  <c r="AC22" i="10" s="1"/>
  <c r="T21" i="10"/>
  <c r="AC21" i="10" s="1"/>
  <c r="T23" i="10"/>
  <c r="AC23" i="10" s="1"/>
  <c r="T24" i="10"/>
  <c r="AC24" i="10" s="1"/>
  <c r="U25" i="10"/>
  <c r="AD25" i="10" s="1"/>
  <c r="U20" i="10"/>
  <c r="AD20" i="10" s="1"/>
  <c r="U22" i="10"/>
  <c r="AD22" i="10" s="1"/>
  <c r="U21" i="10"/>
  <c r="AD21" i="10" s="1"/>
  <c r="U23" i="10"/>
  <c r="AD23" i="10" s="1"/>
  <c r="U24" i="10"/>
  <c r="AD24" i="10" s="1"/>
  <c r="L20" i="10"/>
  <c r="L22" i="10"/>
  <c r="L21" i="10"/>
  <c r="L23" i="10"/>
  <c r="L24" i="10"/>
  <c r="M25" i="10"/>
  <c r="M20" i="10"/>
  <c r="M22" i="10"/>
  <c r="M21" i="10"/>
  <c r="M23" i="10"/>
  <c r="M24" i="10"/>
  <c r="O22" i="10"/>
  <c r="X22" i="10" s="1"/>
  <c r="O21" i="10"/>
  <c r="X21" i="10" s="1"/>
  <c r="O23" i="10"/>
  <c r="X23" i="10" s="1"/>
  <c r="O24" i="10"/>
  <c r="X24" i="10" s="1"/>
  <c r="O20" i="10"/>
  <c r="X20" i="10" s="1"/>
  <c r="K25" i="10"/>
  <c r="K24" i="10"/>
  <c r="K20" i="10"/>
  <c r="K22" i="10"/>
  <c r="K21" i="10"/>
  <c r="K23" i="10"/>
  <c r="C22" i="10"/>
  <c r="C21" i="10"/>
  <c r="C23" i="10"/>
  <c r="C24" i="10"/>
  <c r="C20" i="10"/>
  <c r="P25" i="10"/>
  <c r="Y25" i="10" s="1"/>
  <c r="P23" i="10"/>
  <c r="Y23" i="10" s="1"/>
  <c r="P24" i="10"/>
  <c r="Y24" i="10" s="1"/>
  <c r="P20" i="10"/>
  <c r="Y20" i="10" s="1"/>
  <c r="P22" i="10"/>
  <c r="Y22" i="10" s="1"/>
  <c r="P21" i="10"/>
  <c r="Y21" i="10" s="1"/>
  <c r="D25" i="10"/>
  <c r="D20" i="10"/>
  <c r="D23" i="10"/>
  <c r="D24" i="10"/>
  <c r="D22" i="10"/>
  <c r="D21" i="10"/>
  <c r="Q23" i="10"/>
  <c r="Z23" i="10" s="1"/>
  <c r="Q24" i="10"/>
  <c r="Z24" i="10" s="1"/>
  <c r="Q20" i="10"/>
  <c r="Z20" i="10" s="1"/>
  <c r="Q22" i="10"/>
  <c r="Z22" i="10" s="1"/>
  <c r="Q21" i="10"/>
  <c r="Z21" i="10" s="1"/>
  <c r="E23" i="10"/>
  <c r="E24" i="10"/>
  <c r="E20" i="10"/>
  <c r="E22" i="10"/>
  <c r="E21" i="10"/>
  <c r="S24" i="10"/>
  <c r="AB24" i="10" s="1"/>
  <c r="S20" i="10"/>
  <c r="AB20" i="10" s="1"/>
  <c r="S22" i="10"/>
  <c r="AB22" i="10" s="1"/>
  <c r="S21" i="10"/>
  <c r="AB21" i="10" s="1"/>
  <c r="S23" i="10"/>
  <c r="AB23" i="10" s="1"/>
  <c r="AH62" i="8"/>
  <c r="AH63" i="8"/>
  <c r="AH48" i="8"/>
  <c r="AH49" i="8"/>
  <c r="AF21" i="8"/>
  <c r="AH21" i="8" s="1"/>
  <c r="Z19" i="8"/>
  <c r="AB19" i="8"/>
  <c r="AH19" i="8" s="1"/>
  <c r="AD18" i="8"/>
  <c r="AF18" i="8"/>
  <c r="AH18" i="8" s="1"/>
  <c r="AD21" i="8"/>
  <c r="AE18" i="8"/>
  <c r="AA19" i="8"/>
  <c r="AE21" i="8"/>
  <c r="Y18" i="8"/>
  <c r="AC19" i="8"/>
  <c r="Y21" i="8"/>
  <c r="Z18" i="8"/>
  <c r="AD19" i="8"/>
  <c r="Z21" i="8"/>
  <c r="AA18" i="8"/>
  <c r="AE19" i="8"/>
  <c r="AA21" i="8"/>
  <c r="K34" i="10"/>
  <c r="P34" i="10"/>
  <c r="D34" i="10"/>
  <c r="E34" i="10"/>
  <c r="Q34" i="10"/>
  <c r="S34" i="10"/>
  <c r="L34" i="10"/>
  <c r="T34" i="10"/>
  <c r="U34" i="10"/>
  <c r="M34" i="10"/>
  <c r="C34" i="10"/>
  <c r="O34" i="10"/>
  <c r="O25" i="10"/>
  <c r="X25" i="10" s="1"/>
  <c r="D19" i="10"/>
  <c r="C36" i="10"/>
  <c r="Q36" i="10"/>
  <c r="Z36" i="10" s="1"/>
  <c r="S25" i="10"/>
  <c r="AB25" i="10" s="1"/>
  <c r="O19" i="10"/>
  <c r="X19" i="10" s="1"/>
  <c r="C25" i="10"/>
  <c r="E36" i="10"/>
  <c r="K19" i="10"/>
  <c r="P19" i="10"/>
  <c r="Y19" i="10" s="1"/>
  <c r="L36" i="10"/>
  <c r="S19" i="10"/>
  <c r="AB19" i="10" s="1"/>
  <c r="O36" i="10"/>
  <c r="X36" i="10" s="1"/>
  <c r="C19" i="10"/>
  <c r="T36" i="10"/>
  <c r="AC36" i="10" s="1"/>
  <c r="M19" i="10"/>
  <c r="U19" i="10"/>
  <c r="AD19" i="10" s="1"/>
  <c r="E25" i="10"/>
  <c r="Q25" i="10"/>
  <c r="Z25" i="10" s="1"/>
  <c r="R33" i="10"/>
  <c r="R37" i="10" s="1"/>
  <c r="AA37" i="10" s="1"/>
  <c r="K38" i="10"/>
  <c r="S38" i="10"/>
  <c r="AB38" i="10" s="1"/>
  <c r="N16" i="10"/>
  <c r="D36" i="10"/>
  <c r="P36" i="10"/>
  <c r="Y36" i="10" s="1"/>
  <c r="L25" i="10"/>
  <c r="T25" i="10"/>
  <c r="AC25" i="10" s="1"/>
  <c r="M38" i="10"/>
  <c r="U38" i="10"/>
  <c r="AD38" i="10" s="1"/>
  <c r="E19" i="10"/>
  <c r="Q19" i="10"/>
  <c r="Z19" i="10" s="1"/>
  <c r="N33" i="10"/>
  <c r="N37" i="10" s="1"/>
  <c r="W37" i="10" s="1"/>
  <c r="K36" i="10"/>
  <c r="S36" i="10"/>
  <c r="AB36" i="10" s="1"/>
  <c r="R16" i="10"/>
  <c r="L19" i="10"/>
  <c r="T19" i="10"/>
  <c r="AC19" i="10" s="1"/>
  <c r="M36" i="10"/>
  <c r="U36" i="10"/>
  <c r="AD36" i="10" s="1"/>
  <c r="I35" i="9" l="1"/>
  <c r="I41" i="9"/>
  <c r="G41" i="9"/>
  <c r="G49" i="9" s="1"/>
  <c r="G35" i="9"/>
  <c r="J28" i="8"/>
  <c r="J23" i="8"/>
  <c r="K28" i="8"/>
  <c r="K23" i="8"/>
  <c r="I28" i="8"/>
  <c r="I23" i="8"/>
  <c r="L28" i="8"/>
  <c r="L33" i="8" s="1"/>
  <c r="L88" i="8" s="1"/>
  <c r="L102" i="8" s="1"/>
  <c r="L128" i="8" s="1"/>
  <c r="L23" i="8"/>
  <c r="N22" i="10"/>
  <c r="W22" i="10" s="1"/>
  <c r="N21" i="10"/>
  <c r="W21" i="10" s="1"/>
  <c r="N23" i="10"/>
  <c r="W23" i="10" s="1"/>
  <c r="N24" i="10"/>
  <c r="W24" i="10" s="1"/>
  <c r="N20" i="10"/>
  <c r="W20" i="10" s="1"/>
  <c r="R24" i="10"/>
  <c r="AA24" i="10" s="1"/>
  <c r="R20" i="10"/>
  <c r="AA20" i="10" s="1"/>
  <c r="R22" i="10"/>
  <c r="AA22" i="10" s="1"/>
  <c r="R21" i="10"/>
  <c r="AA21" i="10" s="1"/>
  <c r="R23" i="10"/>
  <c r="AA23" i="10" s="1"/>
  <c r="AB33" i="10"/>
  <c r="AB34" i="10" s="1"/>
  <c r="R34" i="10"/>
  <c r="N34" i="10"/>
  <c r="R36" i="10"/>
  <c r="AA36" i="10" s="1"/>
  <c r="AB16" i="10"/>
  <c r="Z33" i="10"/>
  <c r="Z34" i="10" s="1"/>
  <c r="Z16" i="10"/>
  <c r="X16" i="10"/>
  <c r="AC16" i="10"/>
  <c r="AC33" i="10"/>
  <c r="AC34" i="10" s="1"/>
  <c r="W33" i="10"/>
  <c r="W34" i="10" s="1"/>
  <c r="X33" i="10"/>
  <c r="X34" i="10" s="1"/>
  <c r="W16" i="10"/>
  <c r="AD33" i="10"/>
  <c r="AD34" i="10" s="1"/>
  <c r="AA33" i="10"/>
  <c r="AA34" i="10" s="1"/>
  <c r="AD16" i="10"/>
  <c r="Y33" i="10"/>
  <c r="Y34" i="10" s="1"/>
  <c r="N38" i="10"/>
  <c r="W38" i="10" s="1"/>
  <c r="N36" i="10"/>
  <c r="W36" i="10" s="1"/>
  <c r="Y16" i="10"/>
  <c r="AA16" i="10"/>
  <c r="R38" i="10"/>
  <c r="AA38" i="10" s="1"/>
  <c r="N25" i="10"/>
  <c r="W25" i="10" s="1"/>
  <c r="N19" i="10"/>
  <c r="W19" i="10" s="1"/>
  <c r="R25" i="10"/>
  <c r="AA25" i="10" s="1"/>
  <c r="R19" i="10"/>
  <c r="AA19" i="10" s="1"/>
  <c r="I48" i="9" l="1"/>
  <c r="I49" i="9" s="1"/>
  <c r="L34" i="8"/>
  <c r="L37" i="8"/>
  <c r="L40" i="8"/>
  <c r="K33" i="8"/>
  <c r="K29" i="8"/>
  <c r="I33" i="8"/>
  <c r="I29" i="8"/>
  <c r="L29" i="8"/>
  <c r="J33" i="8"/>
  <c r="J29" i="8"/>
  <c r="AC25" i="8"/>
  <c r="AB25" i="8"/>
  <c r="AF17" i="8"/>
  <c r="AB17" i="8"/>
  <c r="AE39" i="8"/>
  <c r="AD39" i="8"/>
  <c r="AC39" i="8"/>
  <c r="AB39" i="8"/>
  <c r="AA39" i="8"/>
  <c r="Z39" i="8"/>
  <c r="Y39" i="8"/>
  <c r="AE36" i="8"/>
  <c r="AD36" i="8"/>
  <c r="AB36" i="8"/>
  <c r="AA36" i="8"/>
  <c r="Z36" i="8"/>
  <c r="W53" i="9"/>
  <c r="AC47" i="8"/>
  <c r="Y50" i="8"/>
  <c r="AC50" i="8"/>
  <c r="W61" i="9"/>
  <c r="Y57" i="8"/>
  <c r="Y56" i="8"/>
  <c r="Y55" i="8"/>
  <c r="W63" i="9"/>
  <c r="W64" i="9"/>
  <c r="AC57" i="8"/>
  <c r="AC56" i="8"/>
  <c r="AC55" i="8"/>
  <c r="AC54" i="8"/>
  <c r="AC61" i="8"/>
  <c r="AC67" i="8"/>
  <c r="W71" i="9"/>
  <c r="W51" i="8"/>
  <c r="V51" i="8"/>
  <c r="U51" i="8"/>
  <c r="S51" i="8"/>
  <c r="R51" i="8"/>
  <c r="Q51" i="8"/>
  <c r="O51" i="8"/>
  <c r="N51" i="8"/>
  <c r="M51" i="8"/>
  <c r="G51" i="8"/>
  <c r="F51" i="8"/>
  <c r="E51" i="8"/>
  <c r="D51" i="8"/>
  <c r="C51" i="8"/>
  <c r="C58" i="8" s="1"/>
  <c r="T118" i="8"/>
  <c r="P118" i="8"/>
  <c r="T113" i="8"/>
  <c r="P113" i="8"/>
  <c r="T109" i="8"/>
  <c r="P109" i="8"/>
  <c r="T106" i="8"/>
  <c r="P106" i="8"/>
  <c r="T105" i="8"/>
  <c r="P105" i="8"/>
  <c r="AF57" i="8"/>
  <c r="AE57" i="8"/>
  <c r="AD57" i="8"/>
  <c r="AB57" i="8"/>
  <c r="AA57" i="8"/>
  <c r="Z57" i="8"/>
  <c r="AF56" i="8"/>
  <c r="AE56" i="8"/>
  <c r="AD56" i="8"/>
  <c r="AB56" i="8"/>
  <c r="AA56" i="8"/>
  <c r="Z56" i="8"/>
  <c r="AF50" i="8"/>
  <c r="AE50" i="8"/>
  <c r="AD50" i="8"/>
  <c r="AB50" i="8"/>
  <c r="AA50" i="8"/>
  <c r="Z50" i="8"/>
  <c r="C120" i="8"/>
  <c r="C110" i="8"/>
  <c r="C85" i="8"/>
  <c r="C84" i="8"/>
  <c r="C78" i="8"/>
  <c r="C64" i="8"/>
  <c r="C70" i="8" s="1"/>
  <c r="C44" i="8"/>
  <c r="C43" i="8"/>
  <c r="C11" i="8"/>
  <c r="AC83" i="9"/>
  <c r="AB83" i="9"/>
  <c r="Z83" i="9"/>
  <c r="Y83" i="9"/>
  <c r="X83" i="9"/>
  <c r="AC81" i="9"/>
  <c r="AB81" i="9"/>
  <c r="Z81" i="9"/>
  <c r="Y81" i="9"/>
  <c r="X81" i="9"/>
  <c r="AC80" i="9"/>
  <c r="AB80" i="9"/>
  <c r="Z80" i="9"/>
  <c r="Y80" i="9"/>
  <c r="X80" i="9"/>
  <c r="AC79" i="9"/>
  <c r="AB79" i="9"/>
  <c r="Z79" i="9"/>
  <c r="Y79" i="9"/>
  <c r="X79" i="9"/>
  <c r="AC78" i="9"/>
  <c r="AB78" i="9"/>
  <c r="Z78" i="9"/>
  <c r="Y78" i="9"/>
  <c r="X78" i="9"/>
  <c r="AC77" i="9"/>
  <c r="AB77" i="9"/>
  <c r="Z77" i="9"/>
  <c r="Y77" i="9"/>
  <c r="X77" i="9"/>
  <c r="AC76" i="9"/>
  <c r="AB76" i="9"/>
  <c r="Z76" i="9"/>
  <c r="Y76" i="9"/>
  <c r="X76" i="9"/>
  <c r="AC75" i="9"/>
  <c r="AB75" i="9"/>
  <c r="Z75" i="9"/>
  <c r="Y75" i="9"/>
  <c r="X75" i="9"/>
  <c r="AC74" i="9"/>
  <c r="AB74" i="9"/>
  <c r="Z74" i="9"/>
  <c r="Y74" i="9"/>
  <c r="X74" i="9"/>
  <c r="AC73" i="9"/>
  <c r="AB73" i="9"/>
  <c r="Z73" i="9"/>
  <c r="Y73" i="9"/>
  <c r="X73" i="9"/>
  <c r="AE72" i="8"/>
  <c r="AD72" i="8"/>
  <c r="AB72" i="8"/>
  <c r="AA72" i="8"/>
  <c r="Z72" i="8"/>
  <c r="AE67" i="8"/>
  <c r="AD67" i="8"/>
  <c r="AB67" i="8"/>
  <c r="AA67" i="8"/>
  <c r="Z67" i="8"/>
  <c r="AE61" i="8"/>
  <c r="AD61" i="8"/>
  <c r="AE55" i="8"/>
  <c r="AD55" i="8"/>
  <c r="AB55" i="8"/>
  <c r="AA55" i="8"/>
  <c r="Z55" i="8"/>
  <c r="AE54" i="8"/>
  <c r="AD54" i="8"/>
  <c r="AB54" i="8"/>
  <c r="AA54" i="8"/>
  <c r="Z54" i="8"/>
  <c r="AE47" i="8"/>
  <c r="AD47" i="8"/>
  <c r="AB47" i="8"/>
  <c r="AA47" i="8"/>
  <c r="Z47" i="8"/>
  <c r="R56" i="9"/>
  <c r="AA56" i="9" s="1"/>
  <c r="N56" i="9"/>
  <c r="W56" i="9" s="1"/>
  <c r="AD64" i="9"/>
  <c r="AC64" i="9"/>
  <c r="AB64" i="9"/>
  <c r="AD63" i="9"/>
  <c r="AC63" i="9"/>
  <c r="AB63" i="9"/>
  <c r="Z63" i="9"/>
  <c r="Y63" i="9"/>
  <c r="X63" i="9"/>
  <c r="AD62" i="9"/>
  <c r="AC62" i="9"/>
  <c r="AB62" i="9"/>
  <c r="Z62" i="9"/>
  <c r="Y62" i="9"/>
  <c r="X62" i="9"/>
  <c r="AD61" i="9"/>
  <c r="AC61" i="9"/>
  <c r="AB61" i="9"/>
  <c r="Z61" i="9"/>
  <c r="Y61" i="9"/>
  <c r="X61" i="9"/>
  <c r="AC71" i="9"/>
  <c r="AB71" i="9"/>
  <c r="Z71" i="9"/>
  <c r="Y71" i="9"/>
  <c r="X71" i="9"/>
  <c r="AC70" i="9"/>
  <c r="AB70" i="9"/>
  <c r="Z70" i="9"/>
  <c r="Y70" i="9"/>
  <c r="X70" i="9"/>
  <c r="AD73" i="9"/>
  <c r="AD74" i="9"/>
  <c r="Z56" i="9"/>
  <c r="Y56" i="9"/>
  <c r="X56" i="9"/>
  <c r="AC56" i="9"/>
  <c r="AB56" i="9"/>
  <c r="AA73" i="9"/>
  <c r="W73" i="9"/>
  <c r="AA74" i="9"/>
  <c r="W74" i="9"/>
  <c r="AD83" i="9"/>
  <c r="R83" i="9"/>
  <c r="AA83" i="9" s="1"/>
  <c r="N83" i="9"/>
  <c r="W83" i="9" s="1"/>
  <c r="AD81" i="9"/>
  <c r="R81" i="9"/>
  <c r="AA81" i="9" s="1"/>
  <c r="N81" i="9"/>
  <c r="W81" i="9" s="1"/>
  <c r="AD80" i="9"/>
  <c r="AD79" i="9"/>
  <c r="AD78" i="9"/>
  <c r="AD77" i="9"/>
  <c r="AD76" i="9"/>
  <c r="AD75" i="9"/>
  <c r="AA75" i="9"/>
  <c r="W75" i="9"/>
  <c r="AC54" i="9"/>
  <c r="AB54" i="9"/>
  <c r="Z54" i="9"/>
  <c r="Y54" i="9"/>
  <c r="X54" i="9"/>
  <c r="AC53" i="9"/>
  <c r="AB53" i="9"/>
  <c r="Z53" i="9"/>
  <c r="Y53" i="9"/>
  <c r="X53" i="9"/>
  <c r="T100" i="8"/>
  <c r="P100" i="8"/>
  <c r="AA100" i="8" s="1"/>
  <c r="P134" i="8"/>
  <c r="P98" i="8"/>
  <c r="T99" i="8"/>
  <c r="AB61" i="8"/>
  <c r="Y64" i="9"/>
  <c r="X64" i="9"/>
  <c r="R76" i="9"/>
  <c r="N76" i="9"/>
  <c r="R80" i="9"/>
  <c r="AA80" i="9" s="1"/>
  <c r="R79" i="9"/>
  <c r="AA79" i="9" s="1"/>
  <c r="R78" i="9"/>
  <c r="AA78" i="9" s="1"/>
  <c r="R77" i="9"/>
  <c r="AA77" i="9" s="1"/>
  <c r="N80" i="9"/>
  <c r="W80" i="9" s="1"/>
  <c r="N79" i="9"/>
  <c r="W79" i="9" s="1"/>
  <c r="N78" i="9"/>
  <c r="W78" i="9" s="1"/>
  <c r="N77" i="9"/>
  <c r="W77" i="9" s="1"/>
  <c r="P135" i="8"/>
  <c r="T135" i="8"/>
  <c r="T134" i="8"/>
  <c r="T127" i="8"/>
  <c r="T126" i="8"/>
  <c r="P127" i="8"/>
  <c r="P126" i="8"/>
  <c r="AF72" i="8"/>
  <c r="AF67" i="8"/>
  <c r="AF61" i="8"/>
  <c r="AF55" i="8"/>
  <c r="AF54" i="8"/>
  <c r="AF47" i="8"/>
  <c r="W62" i="9"/>
  <c r="Y67" i="8"/>
  <c r="AC72" i="8"/>
  <c r="Y72" i="8"/>
  <c r="AE31" i="8"/>
  <c r="Y31" i="8"/>
  <c r="P36" i="8"/>
  <c r="Y36" i="8" s="1"/>
  <c r="AA70" i="9"/>
  <c r="W70" i="9"/>
  <c r="AF36" i="8"/>
  <c r="AF39" i="8"/>
  <c r="T36" i="8"/>
  <c r="AC36" i="8" s="1"/>
  <c r="AA76" i="9" l="1"/>
  <c r="AA84" i="9" s="1"/>
  <c r="R84" i="9"/>
  <c r="X84" i="9"/>
  <c r="W84" i="9"/>
  <c r="Y84" i="9"/>
  <c r="Z84" i="9"/>
  <c r="AD84" i="9"/>
  <c r="AB84" i="9"/>
  <c r="AC84" i="9"/>
  <c r="W76" i="9"/>
  <c r="N84" i="9"/>
  <c r="J40" i="8"/>
  <c r="J37" i="8"/>
  <c r="J88" i="8"/>
  <c r="J102" i="8" s="1"/>
  <c r="J128" i="8" s="1"/>
  <c r="J34" i="8"/>
  <c r="I88" i="8"/>
  <c r="I40" i="8"/>
  <c r="I37" i="8"/>
  <c r="I34" i="8"/>
  <c r="K34" i="8"/>
  <c r="K37" i="8"/>
  <c r="K88" i="8"/>
  <c r="K102" i="8" s="1"/>
  <c r="K128" i="8" s="1"/>
  <c r="K40" i="8"/>
  <c r="C14" i="8"/>
  <c r="AF25" i="8"/>
  <c r="X6" i="9"/>
  <c r="W6" i="9"/>
  <c r="Y6" i="9"/>
  <c r="Z6" i="9"/>
  <c r="AD25" i="8"/>
  <c r="AE25" i="8"/>
  <c r="Y25" i="8"/>
  <c r="Z25" i="8"/>
  <c r="AA25" i="8"/>
  <c r="AB51" i="8"/>
  <c r="AD51" i="8"/>
  <c r="AE51" i="8"/>
  <c r="AF51" i="8"/>
  <c r="T51" i="8"/>
  <c r="P51" i="8"/>
  <c r="W54" i="9"/>
  <c r="AC51" i="8"/>
  <c r="T97" i="8"/>
  <c r="AF97" i="8" s="1"/>
  <c r="AH56" i="8"/>
  <c r="AH57" i="8"/>
  <c r="AH50" i="8"/>
  <c r="Z17" i="9"/>
  <c r="C79" i="8"/>
  <c r="C81" i="8" s="1"/>
  <c r="Y23" i="9"/>
  <c r="X17" i="9"/>
  <c r="Y17" i="9"/>
  <c r="Y100" i="8"/>
  <c r="AB100" i="8"/>
  <c r="AE100" i="8"/>
  <c r="X45" i="9"/>
  <c r="W17" i="9"/>
  <c r="Y45" i="9"/>
  <c r="Z23" i="9"/>
  <c r="AB23" i="9"/>
  <c r="AA17" i="9"/>
  <c r="AC23" i="9"/>
  <c r="AB17" i="9"/>
  <c r="AA23" i="9"/>
  <c r="W23" i="9"/>
  <c r="AC17" i="9"/>
  <c r="W45" i="9"/>
  <c r="Y113" i="8"/>
  <c r="Z109" i="8"/>
  <c r="AC25" i="9"/>
  <c r="Y61" i="8"/>
  <c r="Z100" i="8"/>
  <c r="AA109" i="8"/>
  <c r="Z61" i="8"/>
  <c r="Y98" i="8"/>
  <c r="W25" i="9"/>
  <c r="Y47" i="8"/>
  <c r="AA61" i="8"/>
  <c r="Z98" i="8"/>
  <c r="X25" i="9"/>
  <c r="AA98" i="8"/>
  <c r="AC100" i="8"/>
  <c r="Z113" i="8"/>
  <c r="Y25" i="9"/>
  <c r="AB98" i="8"/>
  <c r="AC99" i="8"/>
  <c r="AD100" i="8"/>
  <c r="AA113" i="8"/>
  <c r="X23" i="9"/>
  <c r="Z25" i="9"/>
  <c r="Y54" i="8"/>
  <c r="AD99" i="8"/>
  <c r="AB113" i="8"/>
  <c r="AA25" i="9"/>
  <c r="AE99" i="8"/>
  <c r="Y109" i="8"/>
  <c r="AB25" i="9"/>
  <c r="Z31" i="8"/>
  <c r="AA31" i="8"/>
  <c r="AB31" i="8"/>
  <c r="AC31" i="8"/>
  <c r="AD31" i="8"/>
  <c r="Y17" i="8"/>
  <c r="AH77" i="8"/>
  <c r="Z17" i="8"/>
  <c r="AH55" i="8"/>
  <c r="AH67" i="8"/>
  <c r="AA17" i="8"/>
  <c r="AC17" i="8"/>
  <c r="AD17" i="8"/>
  <c r="AE17" i="8"/>
  <c r="U110" i="8"/>
  <c r="Z64" i="9"/>
  <c r="AA61" i="9"/>
  <c r="AA64" i="9"/>
  <c r="AA71" i="9"/>
  <c r="AA62" i="9"/>
  <c r="D110" i="8"/>
  <c r="AA63" i="9"/>
  <c r="G110" i="8"/>
  <c r="W24" i="9"/>
  <c r="Z33" i="9"/>
  <c r="X44" i="9"/>
  <c r="AA54" i="9"/>
  <c r="AA53" i="9"/>
  <c r="Q110" i="8"/>
  <c r="AD24" i="9"/>
  <c r="AD25" i="9"/>
  <c r="AD23" i="9"/>
  <c r="E110" i="8"/>
  <c r="F110" i="8"/>
  <c r="P101" i="8"/>
  <c r="T101" i="8"/>
  <c r="AE101" i="8" s="1"/>
  <c r="AF100" i="8"/>
  <c r="P99" i="8"/>
  <c r="Y99" i="8" s="1"/>
  <c r="AB105" i="8"/>
  <c r="P96" i="8"/>
  <c r="Y96" i="8" s="1"/>
  <c r="W110" i="8"/>
  <c r="T98" i="8"/>
  <c r="AC105" i="8"/>
  <c r="AD106" i="8"/>
  <c r="T96" i="8"/>
  <c r="AC96" i="8" s="1"/>
  <c r="AF99" i="8"/>
  <c r="AF31" i="8"/>
  <c r="AH39" i="8"/>
  <c r="I102" i="8" l="1"/>
  <c r="I128" i="8" s="1"/>
  <c r="C15" i="8"/>
  <c r="C22" i="8"/>
  <c r="C28" i="8" s="1"/>
  <c r="C33" i="8" s="1"/>
  <c r="Z13" i="9"/>
  <c r="Y13" i="9"/>
  <c r="X13" i="9"/>
  <c r="W13" i="9"/>
  <c r="AC97" i="8"/>
  <c r="AE97" i="8"/>
  <c r="P97" i="8"/>
  <c r="AB97" i="8" s="1"/>
  <c r="AH97" i="8" s="1"/>
  <c r="AD97" i="8"/>
  <c r="AH100" i="8"/>
  <c r="Y33" i="9"/>
  <c r="AC44" i="9"/>
  <c r="AA24" i="9"/>
  <c r="Y46" i="9"/>
  <c r="AC24" i="9"/>
  <c r="AD101" i="8"/>
  <c r="Y118" i="8"/>
  <c r="Z99" i="8"/>
  <c r="AE106" i="8"/>
  <c r="Z118" i="8"/>
  <c r="AD105" i="8"/>
  <c r="AD98" i="8"/>
  <c r="AE98" i="8"/>
  <c r="Z24" i="9"/>
  <c r="AF24" i="9" s="1"/>
  <c r="Y24" i="9"/>
  <c r="X46" i="9"/>
  <c r="AC106" i="8"/>
  <c r="AE96" i="8"/>
  <c r="AB24" i="9"/>
  <c r="Z44" i="9"/>
  <c r="Y44" i="9"/>
  <c r="AB118" i="8"/>
  <c r="X24" i="9"/>
  <c r="W44" i="9"/>
  <c r="AB109" i="8"/>
  <c r="AC101" i="8"/>
  <c r="W33" i="9"/>
  <c r="X33" i="9"/>
  <c r="AA118" i="8"/>
  <c r="AE105" i="8"/>
  <c r="Z105" i="8"/>
  <c r="AD96" i="8"/>
  <c r="AB96" i="8"/>
  <c r="Z96" i="8"/>
  <c r="Y101" i="8"/>
  <c r="AB101" i="8"/>
  <c r="Z101" i="8"/>
  <c r="AB99" i="8"/>
  <c r="AH99" i="8" s="1"/>
  <c r="AA99" i="8"/>
  <c r="AC98" i="8"/>
  <c r="AA105" i="8"/>
  <c r="AA96" i="8"/>
  <c r="Y105" i="8"/>
  <c r="AA44" i="9"/>
  <c r="AA101" i="8"/>
  <c r="W46" i="9"/>
  <c r="AB44" i="9"/>
  <c r="Z46" i="9"/>
  <c r="AF25" i="9"/>
  <c r="AF23" i="9"/>
  <c r="AE109" i="8"/>
  <c r="AF96" i="8"/>
  <c r="AC29" i="9"/>
  <c r="O110" i="8"/>
  <c r="AA106" i="8"/>
  <c r="AC43" i="9"/>
  <c r="W29" i="9"/>
  <c r="N110" i="8"/>
  <c r="AF98" i="8"/>
  <c r="AH98" i="8" s="1"/>
  <c r="V110" i="8"/>
  <c r="AF106" i="8"/>
  <c r="S110" i="8"/>
  <c r="AF105" i="8"/>
  <c r="R110" i="8"/>
  <c r="AH31" i="8"/>
  <c r="AD71" i="9"/>
  <c r="AD70" i="9"/>
  <c r="W123" i="8"/>
  <c r="S123" i="8"/>
  <c r="R123" i="8"/>
  <c r="P123" i="8"/>
  <c r="O123" i="8"/>
  <c r="M120" i="8"/>
  <c r="N120" i="8"/>
  <c r="O120" i="8"/>
  <c r="N123" i="8"/>
  <c r="U123" i="8"/>
  <c r="Q123" i="8"/>
  <c r="AF101" i="8"/>
  <c r="C23" i="8" l="1"/>
  <c r="Z18" i="9"/>
  <c r="Z26" i="9" s="1"/>
  <c r="Y18" i="9"/>
  <c r="Y26" i="9" s="1"/>
  <c r="W18" i="9"/>
  <c r="W26" i="9" s="1"/>
  <c r="X18" i="9"/>
  <c r="X26" i="9" s="1"/>
  <c r="AB6" i="9"/>
  <c r="AA6" i="9"/>
  <c r="AC6" i="9"/>
  <c r="Y97" i="8"/>
  <c r="Z97" i="8"/>
  <c r="AA97" i="8"/>
  <c r="C88" i="8"/>
  <c r="C29" i="8"/>
  <c r="X29" i="9"/>
  <c r="AC109" i="8"/>
  <c r="AB29" i="9"/>
  <c r="AA29" i="9"/>
  <c r="AC118" i="8"/>
  <c r="P110" i="8"/>
  <c r="AB106" i="8"/>
  <c r="AH106" i="8" s="1"/>
  <c r="Z106" i="8"/>
  <c r="AA43" i="9"/>
  <c r="AA33" i="9"/>
  <c r="AC33" i="9"/>
  <c r="AE118" i="8"/>
  <c r="AD113" i="8"/>
  <c r="AE113" i="8"/>
  <c r="AC113" i="8"/>
  <c r="AB43" i="9"/>
  <c r="AD118" i="8"/>
  <c r="Z29" i="9"/>
  <c r="Y29" i="9"/>
  <c r="AB33" i="9"/>
  <c r="Z45" i="9"/>
  <c r="Y106" i="8"/>
  <c r="AD45" i="9"/>
  <c r="AD109" i="8"/>
  <c r="AH105" i="8"/>
  <c r="AF118" i="8"/>
  <c r="AH118" i="8" s="1"/>
  <c r="AF109" i="8"/>
  <c r="AH109" i="8" s="1"/>
  <c r="AF113" i="8"/>
  <c r="Z43" i="9"/>
  <c r="T110" i="8"/>
  <c r="V123" i="8"/>
  <c r="Y134" i="8"/>
  <c r="AH101" i="8"/>
  <c r="E13" i="9"/>
  <c r="E18" i="9" s="1"/>
  <c r="C13" i="9"/>
  <c r="C18" i="9" s="1"/>
  <c r="D13" i="9"/>
  <c r="D18" i="9" s="1"/>
  <c r="N13" i="9"/>
  <c r="L13" i="9"/>
  <c r="M13" i="9"/>
  <c r="K13" i="9"/>
  <c r="T13" i="9"/>
  <c r="S13" i="9"/>
  <c r="U13" i="9"/>
  <c r="U18" i="9" s="1"/>
  <c r="Q13" i="9"/>
  <c r="P13" i="9"/>
  <c r="O13" i="9"/>
  <c r="E123" i="8"/>
  <c r="T123" i="8"/>
  <c r="AD17" i="9"/>
  <c r="M18" i="9" l="1"/>
  <c r="M14" i="9"/>
  <c r="T18" i="9"/>
  <c r="T14" i="9"/>
  <c r="K18" i="9"/>
  <c r="K14" i="9"/>
  <c r="K15" i="9"/>
  <c r="P18" i="9"/>
  <c r="P14" i="9"/>
  <c r="N18" i="9"/>
  <c r="N14" i="9"/>
  <c r="O18" i="9"/>
  <c r="O14" i="9"/>
  <c r="Q18" i="9"/>
  <c r="Q14" i="9"/>
  <c r="L18" i="9"/>
  <c r="L14" i="9"/>
  <c r="S18" i="9"/>
  <c r="S14" i="9"/>
  <c r="W30" i="9"/>
  <c r="W34" i="9" s="1"/>
  <c r="AB13" i="9"/>
  <c r="AB18" i="9" s="1"/>
  <c r="AB26" i="9" s="1"/>
  <c r="AB30" i="9" s="1"/>
  <c r="AB34" i="9" s="1"/>
  <c r="AC13" i="9"/>
  <c r="AC18" i="9" s="1"/>
  <c r="AC26" i="9" s="1"/>
  <c r="AC30" i="9" s="1"/>
  <c r="AC34" i="9" s="1"/>
  <c r="C40" i="8"/>
  <c r="C37" i="8"/>
  <c r="X30" i="9"/>
  <c r="X34" i="9" s="1"/>
  <c r="C34" i="8"/>
  <c r="Z30" i="9"/>
  <c r="Z34" i="9" s="1"/>
  <c r="Y30" i="9"/>
  <c r="Y34" i="9" s="1"/>
  <c r="AA45" i="9"/>
  <c r="W43" i="9"/>
  <c r="Y43" i="9"/>
  <c r="AB45" i="9"/>
  <c r="AA47" i="9"/>
  <c r="AB47" i="9"/>
  <c r="AC47" i="9"/>
  <c r="AC46" i="9"/>
  <c r="AB46" i="9"/>
  <c r="AA46" i="9"/>
  <c r="Z47" i="9"/>
  <c r="Y47" i="9"/>
  <c r="W47" i="9"/>
  <c r="X47" i="9"/>
  <c r="AC45" i="9"/>
  <c r="X43" i="9"/>
  <c r="R13" i="9"/>
  <c r="AD46" i="9"/>
  <c r="AD134" i="8"/>
  <c r="AE134" i="8"/>
  <c r="AB134" i="8"/>
  <c r="AA134" i="8"/>
  <c r="Z134" i="8"/>
  <c r="AF134" i="8"/>
  <c r="AC134" i="8"/>
  <c r="AF17" i="9"/>
  <c r="R18" i="9" l="1"/>
  <c r="R14" i="9"/>
  <c r="AA13" i="9"/>
  <c r="AA18" i="9" s="1"/>
  <c r="AA26" i="9" s="1"/>
  <c r="AA30" i="9" s="1"/>
  <c r="AA34" i="9" s="1"/>
  <c r="C102" i="8"/>
  <c r="C128" i="8" s="1"/>
  <c r="C124" i="8" l="1"/>
  <c r="C129" i="8" s="1"/>
  <c r="D122" i="8" s="1"/>
  <c r="AD56" i="9"/>
  <c r="AD54" i="9"/>
  <c r="R4" i="10"/>
  <c r="AA4" i="10" s="1"/>
  <c r="N4" i="10"/>
  <c r="W4" i="10" s="1"/>
  <c r="C131" i="8" l="1"/>
  <c r="D57" i="9"/>
  <c r="T57" i="9"/>
  <c r="C57" i="9"/>
  <c r="M57" i="9"/>
  <c r="E57" i="9"/>
  <c r="Q57" i="9"/>
  <c r="L57" i="9"/>
  <c r="K57" i="9"/>
  <c r="O57" i="9"/>
  <c r="P57" i="9"/>
  <c r="S57" i="9"/>
  <c r="U57" i="9"/>
  <c r="AD47" i="9" l="1"/>
  <c r="B2" i="9" l="1"/>
  <c r="W64" i="8"/>
  <c r="V64" i="8"/>
  <c r="AC66" i="9" s="1"/>
  <c r="U64" i="8"/>
  <c r="AB66" i="9" s="1"/>
  <c r="S64" i="8"/>
  <c r="Z66" i="9" s="1"/>
  <c r="R64" i="8"/>
  <c r="Y66" i="9" s="1"/>
  <c r="Q64" i="8"/>
  <c r="X66" i="9" s="1"/>
  <c r="O64" i="8"/>
  <c r="N64" i="8"/>
  <c r="M64" i="8"/>
  <c r="G64" i="8"/>
  <c r="F64" i="8"/>
  <c r="E64" i="8"/>
  <c r="D64" i="8"/>
  <c r="AD53" i="9"/>
  <c r="AD57" i="9" s="1"/>
  <c r="U4" i="9"/>
  <c r="AD4" i="9" s="1"/>
  <c r="U3" i="9"/>
  <c r="AD3" i="9" s="1"/>
  <c r="AF8" i="8"/>
  <c r="AF85" i="8" s="1"/>
  <c r="AF7" i="8"/>
  <c r="AF84" i="8" s="1"/>
  <c r="W85" i="8"/>
  <c r="W84" i="8"/>
  <c r="W78" i="8"/>
  <c r="W44" i="8"/>
  <c r="W43" i="8"/>
  <c r="W11" i="8"/>
  <c r="U120" i="8"/>
  <c r="AC57" i="9"/>
  <c r="AB57" i="9"/>
  <c r="Z57" i="9"/>
  <c r="T4" i="9"/>
  <c r="AC4" i="9" s="1"/>
  <c r="S4" i="9"/>
  <c r="AB4" i="9" s="1"/>
  <c r="R4" i="9"/>
  <c r="AA4" i="9" s="1"/>
  <c r="Q4" i="9"/>
  <c r="Z4" i="9" s="1"/>
  <c r="P4" i="9"/>
  <c r="Y4" i="9" s="1"/>
  <c r="O4" i="9"/>
  <c r="X4" i="9" s="1"/>
  <c r="N4" i="9"/>
  <c r="W4" i="9" s="1"/>
  <c r="M4" i="9"/>
  <c r="L4" i="9"/>
  <c r="K4" i="9"/>
  <c r="T3" i="9"/>
  <c r="AC3" i="9" s="1"/>
  <c r="S3" i="9"/>
  <c r="AB3" i="9" s="1"/>
  <c r="R3" i="9"/>
  <c r="AA3" i="9" s="1"/>
  <c r="Q3" i="9"/>
  <c r="Z3" i="9" s="1"/>
  <c r="P3" i="9"/>
  <c r="Y3" i="9" s="1"/>
  <c r="O3" i="9"/>
  <c r="X3" i="9" s="1"/>
  <c r="N3" i="9"/>
  <c r="W3" i="9" s="1"/>
  <c r="M3" i="9"/>
  <c r="L3" i="9"/>
  <c r="K3" i="9"/>
  <c r="E4" i="9"/>
  <c r="D4" i="9"/>
  <c r="C4" i="9"/>
  <c r="E3" i="9"/>
  <c r="D3" i="9"/>
  <c r="C3" i="9"/>
  <c r="O78" i="8"/>
  <c r="V85" i="8"/>
  <c r="U85" i="8"/>
  <c r="T85" i="8"/>
  <c r="S85" i="8"/>
  <c r="R85" i="8"/>
  <c r="Q85" i="8"/>
  <c r="P85" i="8"/>
  <c r="O85" i="8"/>
  <c r="N85" i="8"/>
  <c r="M85" i="8"/>
  <c r="V84" i="8"/>
  <c r="U84" i="8"/>
  <c r="T84" i="8"/>
  <c r="S84" i="8"/>
  <c r="R84" i="8"/>
  <c r="Q84" i="8"/>
  <c r="P84" i="8"/>
  <c r="O84" i="8"/>
  <c r="N84" i="8"/>
  <c r="M84" i="8"/>
  <c r="S78" i="8"/>
  <c r="R78" i="8"/>
  <c r="Q78" i="8"/>
  <c r="N78" i="8"/>
  <c r="M78" i="8"/>
  <c r="V44" i="8"/>
  <c r="U44" i="8"/>
  <c r="T44" i="8"/>
  <c r="S44" i="8"/>
  <c r="R44" i="8"/>
  <c r="Q44" i="8"/>
  <c r="P44" i="8"/>
  <c r="O44" i="8"/>
  <c r="N44" i="8"/>
  <c r="M44" i="8"/>
  <c r="V43" i="8"/>
  <c r="U43" i="8"/>
  <c r="T43" i="8"/>
  <c r="S43" i="8"/>
  <c r="R43" i="8"/>
  <c r="Q43" i="8"/>
  <c r="P43" i="8"/>
  <c r="O43" i="8"/>
  <c r="N43" i="8"/>
  <c r="M43" i="8"/>
  <c r="G44" i="8"/>
  <c r="F44" i="8"/>
  <c r="E44" i="8"/>
  <c r="D44" i="8"/>
  <c r="G43" i="8"/>
  <c r="F43" i="8"/>
  <c r="E43" i="8"/>
  <c r="D43" i="8"/>
  <c r="R11" i="8"/>
  <c r="Q11" i="8"/>
  <c r="O11" i="8"/>
  <c r="N11" i="8"/>
  <c r="M11" i="8"/>
  <c r="V11" i="8"/>
  <c r="Z8" i="8"/>
  <c r="Y8" i="8"/>
  <c r="Z7" i="8"/>
  <c r="Y7" i="8"/>
  <c r="AD8" i="8"/>
  <c r="AC8" i="8"/>
  <c r="AB8" i="8"/>
  <c r="AA8" i="8"/>
  <c r="AD7" i="8"/>
  <c r="AC7" i="8"/>
  <c r="AB7" i="8"/>
  <c r="AA7" i="8"/>
  <c r="AE8" i="8"/>
  <c r="AE7" i="8"/>
  <c r="N14" i="8" l="1"/>
  <c r="V14" i="8"/>
  <c r="R14" i="8"/>
  <c r="O14" i="8"/>
  <c r="M14" i="8"/>
  <c r="Q14" i="8"/>
  <c r="W14" i="8"/>
  <c r="M17" i="10"/>
  <c r="K17" i="10"/>
  <c r="L17" i="10"/>
  <c r="O17" i="10"/>
  <c r="U17" i="10"/>
  <c r="P17" i="10"/>
  <c r="T17" i="10"/>
  <c r="Y10" i="8"/>
  <c r="AA10" i="8"/>
  <c r="AB10" i="8"/>
  <c r="Z10" i="8"/>
  <c r="AE10" i="8"/>
  <c r="AD10" i="8"/>
  <c r="AC10" i="8"/>
  <c r="AH47" i="8"/>
  <c r="AH72" i="8"/>
  <c r="AH54" i="8"/>
  <c r="AH61" i="8"/>
  <c r="W70" i="8"/>
  <c r="X86" i="9"/>
  <c r="AD86" i="9"/>
  <c r="AD135" i="8"/>
  <c r="Y86" i="9"/>
  <c r="Z86" i="9"/>
  <c r="N57" i="9"/>
  <c r="O58" i="8"/>
  <c r="AD64" i="8"/>
  <c r="AE64" i="8"/>
  <c r="AF64" i="8"/>
  <c r="AB64" i="8"/>
  <c r="P64" i="8"/>
  <c r="W66" i="9" s="1"/>
  <c r="T64" i="8"/>
  <c r="AA66" i="9" s="1"/>
  <c r="O70" i="8"/>
  <c r="AF78" i="8"/>
  <c r="AF10" i="8"/>
  <c r="N70" i="8"/>
  <c r="AF43" i="8"/>
  <c r="AF44" i="8"/>
  <c r="M70" i="8"/>
  <c r="N58" i="8"/>
  <c r="D120" i="8"/>
  <c r="V120" i="8"/>
  <c r="Q120" i="8"/>
  <c r="R120" i="8"/>
  <c r="V58" i="8"/>
  <c r="S58" i="8"/>
  <c r="M58" i="8"/>
  <c r="R58" i="8"/>
  <c r="Q58" i="8"/>
  <c r="G70" i="8"/>
  <c r="AB135" i="8"/>
  <c r="Y57" i="9"/>
  <c r="X57" i="9"/>
  <c r="AC135" i="8"/>
  <c r="Z135" i="8"/>
  <c r="AA135" i="8"/>
  <c r="Y135" i="8"/>
  <c r="P11" i="8"/>
  <c r="P78" i="8"/>
  <c r="P58" i="8"/>
  <c r="T58" i="8"/>
  <c r="Q15" i="8" l="1"/>
  <c r="Q22" i="8"/>
  <c r="Q28" i="8" s="1"/>
  <c r="Q33" i="8" s="1"/>
  <c r="M15" i="8"/>
  <c r="M22" i="8"/>
  <c r="M28" i="8" s="1"/>
  <c r="M33" i="8" s="1"/>
  <c r="O15" i="8"/>
  <c r="O22" i="8"/>
  <c r="O28" i="8" s="1"/>
  <c r="O33" i="8" s="1"/>
  <c r="R15" i="8"/>
  <c r="R22" i="8"/>
  <c r="R28" i="8" s="1"/>
  <c r="R33" i="8" s="1"/>
  <c r="R88" i="8" s="1"/>
  <c r="W15" i="8"/>
  <c r="W22" i="8"/>
  <c r="W28" i="8" s="1"/>
  <c r="W33" i="8" s="1"/>
  <c r="W88" i="8" s="1"/>
  <c r="V15" i="8"/>
  <c r="V22" i="8"/>
  <c r="V28" i="8" s="1"/>
  <c r="N15" i="8"/>
  <c r="N22" i="8"/>
  <c r="N28" i="8" s="1"/>
  <c r="N33" i="8" s="1"/>
  <c r="P14" i="8"/>
  <c r="N17" i="10"/>
  <c r="W79" i="8"/>
  <c r="AD67" i="9"/>
  <c r="AF12" i="9"/>
  <c r="AF11" i="9"/>
  <c r="AC64" i="8"/>
  <c r="AH17" i="8"/>
  <c r="AH113" i="8"/>
  <c r="AF58" i="8"/>
  <c r="AF70" i="8"/>
  <c r="AF79" i="8" s="1"/>
  <c r="AH64" i="8"/>
  <c r="AF11" i="8"/>
  <c r="AH10" i="8"/>
  <c r="R57" i="9"/>
  <c r="AA57" i="9"/>
  <c r="Y87" i="9"/>
  <c r="Y96" i="9" s="1"/>
  <c r="X87" i="9"/>
  <c r="X96" i="9" s="1"/>
  <c r="U87" i="9"/>
  <c r="U96" i="9" s="1"/>
  <c r="AD39" i="9"/>
  <c r="Z39" i="9"/>
  <c r="Z87" i="9"/>
  <c r="Z96" i="9" s="1"/>
  <c r="N79" i="8"/>
  <c r="N81" i="8" s="1"/>
  <c r="AD87" i="9"/>
  <c r="AD96" i="9" s="1"/>
  <c r="W86" i="9"/>
  <c r="W87" i="9" s="1"/>
  <c r="W96" i="9" s="1"/>
  <c r="W58" i="8"/>
  <c r="AD66" i="9"/>
  <c r="AD37" i="9"/>
  <c r="O79" i="8"/>
  <c r="O81" i="8" s="1"/>
  <c r="W120" i="8"/>
  <c r="M79" i="8"/>
  <c r="M81" i="8" s="1"/>
  <c r="S120" i="8"/>
  <c r="AD43" i="9"/>
  <c r="W57" i="9"/>
  <c r="R70" i="8"/>
  <c r="Y67" i="9" s="1"/>
  <c r="Q70" i="8"/>
  <c r="X67" i="9" s="1"/>
  <c r="P70" i="8"/>
  <c r="W67" i="9" s="1"/>
  <c r="S70" i="8"/>
  <c r="Z67" i="9" s="1"/>
  <c r="X38" i="9"/>
  <c r="AA38" i="9"/>
  <c r="AB37" i="9"/>
  <c r="AD40" i="9"/>
  <c r="Y38" i="9"/>
  <c r="AC37" i="9"/>
  <c r="Z38" i="9"/>
  <c r="AA37" i="9"/>
  <c r="W38" i="9"/>
  <c r="Q23" i="8"/>
  <c r="R23" i="8" l="1"/>
  <c r="P15" i="8"/>
  <c r="P22" i="8"/>
  <c r="P28" i="8" s="1"/>
  <c r="P33" i="8" s="1"/>
  <c r="P88" i="8" s="1"/>
  <c r="W23" i="8"/>
  <c r="AF14" i="8"/>
  <c r="AF22" i="8" s="1"/>
  <c r="AF28" i="8" s="1"/>
  <c r="W40" i="8"/>
  <c r="W37" i="8"/>
  <c r="R40" i="8"/>
  <c r="R37" i="8"/>
  <c r="Q88" i="8"/>
  <c r="N88" i="8"/>
  <c r="O29" i="8"/>
  <c r="O23" i="8"/>
  <c r="N23" i="8"/>
  <c r="W81" i="8"/>
  <c r="U26" i="9"/>
  <c r="U30" i="9" s="1"/>
  <c r="U34" i="9" s="1"/>
  <c r="W29" i="8"/>
  <c r="M88" i="8"/>
  <c r="M23" i="8"/>
  <c r="AF81" i="8"/>
  <c r="AB39" i="9"/>
  <c r="AC39" i="9"/>
  <c r="AA39" i="9"/>
  <c r="AF39" i="9"/>
  <c r="X39" i="9"/>
  <c r="Y39" i="9"/>
  <c r="W39" i="9"/>
  <c r="AC38" i="9"/>
  <c r="AE135" i="8"/>
  <c r="Q79" i="8"/>
  <c r="Q81" i="8" s="1"/>
  <c r="AB38" i="9"/>
  <c r="R79" i="8"/>
  <c r="R81" i="8" s="1"/>
  <c r="AC40" i="9"/>
  <c r="R29" i="8"/>
  <c r="AE120" i="8"/>
  <c r="AF120" i="8"/>
  <c r="AC120" i="8"/>
  <c r="AA120" i="8"/>
  <c r="AD120" i="8"/>
  <c r="T120" i="8"/>
  <c r="S79" i="8"/>
  <c r="S81" i="8" s="1"/>
  <c r="P79" i="8"/>
  <c r="P81" i="8" s="1"/>
  <c r="AB40" i="9"/>
  <c r="AH96" i="8"/>
  <c r="AA40" i="9"/>
  <c r="Y37" i="9"/>
  <c r="X37" i="9"/>
  <c r="Z37" i="9"/>
  <c r="W37" i="9"/>
  <c r="Z40" i="9"/>
  <c r="AF40" i="9" s="1"/>
  <c r="W40" i="9"/>
  <c r="X40" i="9"/>
  <c r="Y40" i="9"/>
  <c r="Q29" i="8"/>
  <c r="P23" i="8" l="1"/>
  <c r="AF29" i="8"/>
  <c r="AF33" i="8"/>
  <c r="AF15" i="8"/>
  <c r="Q37" i="8"/>
  <c r="Q40" i="8"/>
  <c r="M40" i="8"/>
  <c r="M37" i="8"/>
  <c r="N37" i="8"/>
  <c r="N40" i="8"/>
  <c r="P40" i="8"/>
  <c r="P37" i="8"/>
  <c r="W102" i="8"/>
  <c r="W128" i="8" s="1"/>
  <c r="R102" i="8"/>
  <c r="R128" i="8" s="1"/>
  <c r="AA41" i="9"/>
  <c r="AB41" i="9"/>
  <c r="AC41" i="9"/>
  <c r="W41" i="9"/>
  <c r="AF37" i="9"/>
  <c r="Z41" i="9"/>
  <c r="X41" i="9"/>
  <c r="Y41" i="9"/>
  <c r="O88" i="8"/>
  <c r="N29" i="8"/>
  <c r="W34" i="8"/>
  <c r="U19" i="9"/>
  <c r="U27" i="9"/>
  <c r="M29" i="8"/>
  <c r="AH36" i="8"/>
  <c r="AH110" i="8"/>
  <c r="AD38" i="9"/>
  <c r="AF38" i="9" s="1"/>
  <c r="AF135" i="8"/>
  <c r="AD33" i="9"/>
  <c r="AF33" i="9" s="1"/>
  <c r="AD29" i="9"/>
  <c r="AD44" i="9"/>
  <c r="U31" i="9"/>
  <c r="N34" i="8"/>
  <c r="P29" i="8"/>
  <c r="Y120" i="8"/>
  <c r="P120" i="8"/>
  <c r="AB120" i="8"/>
  <c r="AH120" i="8" s="1"/>
  <c r="Z120" i="8"/>
  <c r="R34" i="8"/>
  <c r="Q34" i="8"/>
  <c r="O40" i="8" l="1"/>
  <c r="O37" i="8"/>
  <c r="M102" i="8"/>
  <c r="M128" i="8" s="1"/>
  <c r="Q102" i="8"/>
  <c r="Q128" i="8" s="1"/>
  <c r="N102" i="8"/>
  <c r="N128" i="8" s="1"/>
  <c r="O34" i="8"/>
  <c r="AF23" i="8"/>
  <c r="AF29" i="9"/>
  <c r="AD6" i="9"/>
  <c r="AD13" i="9" s="1"/>
  <c r="AD18" i="9" s="1"/>
  <c r="AD26" i="9" s="1"/>
  <c r="AD30" i="9" s="1"/>
  <c r="AD34" i="9" s="1"/>
  <c r="AD41" i="9" s="1"/>
  <c r="M34" i="8"/>
  <c r="Y19" i="9"/>
  <c r="U35" i="9"/>
  <c r="U41" i="9"/>
  <c r="U48" i="9" s="1"/>
  <c r="P34" i="8"/>
  <c r="AF88" i="8" l="1"/>
  <c r="AF34" i="8"/>
  <c r="AF40" i="8"/>
  <c r="AF37" i="8"/>
  <c r="O102" i="8"/>
  <c r="O128" i="8" s="1"/>
  <c r="X19" i="9"/>
  <c r="Z27" i="9"/>
  <c r="Z19" i="9"/>
  <c r="W19" i="9"/>
  <c r="Y27" i="9"/>
  <c r="W27" i="9"/>
  <c r="AB14" i="9"/>
  <c r="AF6" i="9"/>
  <c r="U49" i="9"/>
  <c r="W31" i="9"/>
  <c r="P102" i="8"/>
  <c r="P128" i="8" s="1"/>
  <c r="X94" i="9" l="1" a="1"/>
  <c r="X94" i="9" s="1"/>
  <c r="Y93" i="9"/>
  <c r="X27" i="9"/>
  <c r="AA14" i="9"/>
  <c r="AB19" i="9"/>
  <c r="AA19" i="9"/>
  <c r="AF13" i="9"/>
  <c r="AD14" i="9"/>
  <c r="AF14" i="9" s="1"/>
  <c r="X31" i="9"/>
  <c r="Y31" i="9"/>
  <c r="AB27" i="9"/>
  <c r="W95" i="9" a="1"/>
  <c r="W95" i="9" s="1"/>
  <c r="W93" i="9"/>
  <c r="W94" i="9" a="1"/>
  <c r="W94" i="9" s="1"/>
  <c r="W92" i="9"/>
  <c r="W35" i="9"/>
  <c r="W91" i="9"/>
  <c r="B85" i="8"/>
  <c r="B84" i="8"/>
  <c r="G85" i="8"/>
  <c r="F85" i="8"/>
  <c r="E85" i="8"/>
  <c r="D85" i="8"/>
  <c r="G84" i="8"/>
  <c r="F84" i="8"/>
  <c r="E84" i="8"/>
  <c r="D84" i="8"/>
  <c r="B44" i="8"/>
  <c r="B43" i="8"/>
  <c r="AE44" i="8"/>
  <c r="AD44" i="8"/>
  <c r="AC44" i="8"/>
  <c r="AA44" i="8"/>
  <c r="Z44" i="8"/>
  <c r="Y44" i="8"/>
  <c r="AB44" i="8"/>
  <c r="AE43" i="8"/>
  <c r="AD43" i="8"/>
  <c r="AC43" i="8"/>
  <c r="AB43" i="8"/>
  <c r="AA43" i="8"/>
  <c r="Z43" i="8"/>
  <c r="Y43" i="8"/>
  <c r="Y95" i="9" l="1" a="1"/>
  <c r="Y95" i="9" s="1"/>
  <c r="X92" i="9"/>
  <c r="Y35" i="9"/>
  <c r="Y91" i="9"/>
  <c r="Y94" i="9" a="1"/>
  <c r="Y94" i="9" s="1"/>
  <c r="X95" i="9" a="1"/>
  <c r="X95" i="9" s="1"/>
  <c r="Y92" i="9"/>
  <c r="X93" i="9"/>
  <c r="X35" i="9"/>
  <c r="X91" i="9"/>
  <c r="Z91" i="9"/>
  <c r="Z31" i="9"/>
  <c r="AD19" i="9"/>
  <c r="AF19" i="9" s="1"/>
  <c r="AF18" i="9"/>
  <c r="AA27" i="9"/>
  <c r="AB31" i="9"/>
  <c r="Y84" i="8"/>
  <c r="Y85" i="8"/>
  <c r="AB84" i="8"/>
  <c r="AC84" i="8"/>
  <c r="AC85" i="8"/>
  <c r="AD85" i="8"/>
  <c r="AA84" i="8"/>
  <c r="AD84" i="8"/>
  <c r="AA85" i="8"/>
  <c r="Z85" i="8"/>
  <c r="AE84" i="8"/>
  <c r="AB85" i="8"/>
  <c r="Z84" i="8"/>
  <c r="AE85" i="8"/>
  <c r="Z95" i="9" l="1" a="1"/>
  <c r="Z95" i="9" s="1"/>
  <c r="Z94" i="9" a="1"/>
  <c r="Z94" i="9" s="1"/>
  <c r="Z35" i="9"/>
  <c r="Z92" i="9"/>
  <c r="Z93" i="9"/>
  <c r="AA31" i="9"/>
  <c r="AD27" i="9"/>
  <c r="AF27" i="9" s="1"/>
  <c r="AF26" i="9"/>
  <c r="AB93" i="9"/>
  <c r="AB35" i="9"/>
  <c r="AB95" i="9" a="1"/>
  <c r="AB95" i="9" s="1"/>
  <c r="AB94" i="9" a="1"/>
  <c r="AB94" i="9" s="1"/>
  <c r="AB91" i="9"/>
  <c r="AB92" i="9"/>
  <c r="AF30" i="9" l="1"/>
  <c r="AD31" i="9"/>
  <c r="AF31" i="9" s="1"/>
  <c r="AA93" i="9"/>
  <c r="AA92" i="9"/>
  <c r="AA94" i="9" a="1"/>
  <c r="AA94" i="9" s="1"/>
  <c r="AA35" i="9"/>
  <c r="AA95" i="9" a="1"/>
  <c r="AA95" i="9" s="1"/>
  <c r="AA91" i="9"/>
  <c r="AD93" i="9" l="1"/>
  <c r="AF34" i="9"/>
  <c r="AD94" i="9" a="1"/>
  <c r="AD94" i="9" s="1"/>
  <c r="AD35" i="9"/>
  <c r="AF35" i="9" s="1"/>
  <c r="AD92" i="9"/>
  <c r="AD91" i="9"/>
  <c r="AD95" i="9" a="1"/>
  <c r="AD95" i="9" s="1"/>
  <c r="AF41" i="9"/>
  <c r="T78" i="8" l="1"/>
  <c r="V78" i="8"/>
  <c r="AC86" i="9" l="1"/>
  <c r="AA86" i="9"/>
  <c r="AA87" i="9" s="1"/>
  <c r="AA96" i="9" s="1"/>
  <c r="U58" i="8"/>
  <c r="U78" i="8"/>
  <c r="U14" i="9" l="1"/>
  <c r="U15" i="9"/>
  <c r="AB86" i="9"/>
  <c r="AB87" i="9" s="1"/>
  <c r="AB96" i="9" s="1"/>
  <c r="AC87" i="9"/>
  <c r="AC96" i="9" s="1"/>
  <c r="Z11" i="8" l="1"/>
  <c r="F58" i="8"/>
  <c r="E58" i="8"/>
  <c r="D58" i="8"/>
  <c r="G58" i="8"/>
  <c r="Z14" i="8" l="1"/>
  <c r="AA11" i="8"/>
  <c r="AA51" i="8"/>
  <c r="AA58" i="8" s="1"/>
  <c r="AA78" i="8"/>
  <c r="Y51" i="8"/>
  <c r="Y58" i="8" s="1"/>
  <c r="AA64" i="8"/>
  <c r="AA70" i="8" s="1"/>
  <c r="Z64" i="8"/>
  <c r="Z70" i="8" s="1"/>
  <c r="Z51" i="8"/>
  <c r="Z58" i="8" s="1"/>
  <c r="Y78" i="8"/>
  <c r="Y11" i="8"/>
  <c r="Y64" i="8"/>
  <c r="Y70" i="8" s="1"/>
  <c r="Z78" i="8"/>
  <c r="AC78" i="8"/>
  <c r="AC58" i="8"/>
  <c r="AD78" i="8"/>
  <c r="AC11" i="8"/>
  <c r="AC70" i="8"/>
  <c r="AD70" i="8"/>
  <c r="AB11" i="8"/>
  <c r="AD11" i="8"/>
  <c r="AD58" i="8"/>
  <c r="Z15" i="8" l="1"/>
  <c r="Z22" i="8"/>
  <c r="Z28" i="8" s="1"/>
  <c r="Z29" i="8" s="1"/>
  <c r="AC14" i="8"/>
  <c r="AD14" i="8"/>
  <c r="AB14" i="8"/>
  <c r="AB22" i="8" s="1"/>
  <c r="AB28" i="8" s="1"/>
  <c r="Y14" i="8"/>
  <c r="AA14" i="8"/>
  <c r="AH11" i="8"/>
  <c r="AA79" i="8"/>
  <c r="AA81" i="8" s="1"/>
  <c r="Y79" i="8"/>
  <c r="Y81" i="8" s="1"/>
  <c r="Z79" i="8"/>
  <c r="Z81" i="8" s="1"/>
  <c r="AC79" i="8"/>
  <c r="AC81" i="8" s="1"/>
  <c r="AD79" i="8"/>
  <c r="AD81" i="8" s="1"/>
  <c r="Z33" i="8" l="1"/>
  <c r="AD15" i="8"/>
  <c r="AD22" i="8"/>
  <c r="AD28" i="8" s="1"/>
  <c r="AD29" i="8" s="1"/>
  <c r="AC15" i="8"/>
  <c r="AC22" i="8"/>
  <c r="AC28" i="8" s="1"/>
  <c r="AC29" i="8" s="1"/>
  <c r="Y15" i="8"/>
  <c r="Y22" i="8"/>
  <c r="Y28" i="8" s="1"/>
  <c r="Y29" i="8" s="1"/>
  <c r="AA15" i="8"/>
  <c r="AA22" i="8"/>
  <c r="AA28" i="8" s="1"/>
  <c r="AA33" i="8" s="1"/>
  <c r="AB29" i="8"/>
  <c r="AB33" i="8"/>
  <c r="AD33" i="8"/>
  <c r="AB15" i="8"/>
  <c r="AH15" i="8" s="1"/>
  <c r="AH14" i="8"/>
  <c r="Z23" i="8"/>
  <c r="AC19" i="9"/>
  <c r="AC33" i="8" l="1"/>
  <c r="AA29" i="8"/>
  <c r="Y23" i="8"/>
  <c r="Y33" i="8"/>
  <c r="AD23" i="8"/>
  <c r="AH22" i="8"/>
  <c r="AC23" i="8"/>
  <c r="AB23" i="8"/>
  <c r="AH23" i="8" s="1"/>
  <c r="AA23" i="8"/>
  <c r="AC93" i="9"/>
  <c r="AC27" i="9"/>
  <c r="AB88" i="8" l="1"/>
  <c r="AB34" i="8"/>
  <c r="AC88" i="8"/>
  <c r="AC34" i="8"/>
  <c r="AD88" i="8"/>
  <c r="AD34" i="8"/>
  <c r="Z88" i="8"/>
  <c r="Z34" i="8"/>
  <c r="AB37" i="8"/>
  <c r="AB40" i="8"/>
  <c r="AD40" i="8"/>
  <c r="AD37" i="8"/>
  <c r="AC37" i="8"/>
  <c r="AC40" i="8"/>
  <c r="Z40" i="8"/>
  <c r="Z37" i="8"/>
  <c r="AH29" i="8"/>
  <c r="AH28" i="8"/>
  <c r="AC31" i="9"/>
  <c r="AA88" i="8" l="1"/>
  <c r="AA34" i="8"/>
  <c r="Y88" i="8"/>
  <c r="Y34" i="8"/>
  <c r="AA37" i="8"/>
  <c r="AA40" i="8"/>
  <c r="Y37" i="8"/>
  <c r="Y40" i="8"/>
  <c r="AH40" i="8"/>
  <c r="AH37" i="8"/>
  <c r="AH33" i="8"/>
  <c r="AH34" i="8"/>
  <c r="AC95" i="9" a="1"/>
  <c r="AC95" i="9" s="1"/>
  <c r="AC35" i="9"/>
  <c r="AC94" i="9" a="1"/>
  <c r="AC94" i="9" s="1"/>
  <c r="AC91" i="9"/>
  <c r="AC92" i="9"/>
  <c r="AB70" i="8" l="1"/>
  <c r="AH70" i="8" s="1"/>
  <c r="S11" i="8" l="1"/>
  <c r="G11" i="8"/>
  <c r="F11" i="8"/>
  <c r="E11" i="8"/>
  <c r="D11" i="8"/>
  <c r="G78" i="8"/>
  <c r="F78" i="8"/>
  <c r="E78" i="8"/>
  <c r="D78" i="8"/>
  <c r="V70" i="8"/>
  <c r="AC67" i="9" s="1"/>
  <c r="T70" i="8"/>
  <c r="AA67" i="9" s="1"/>
  <c r="AE11" i="8"/>
  <c r="S87" i="9"/>
  <c r="K87" i="9"/>
  <c r="F14" i="8" l="1"/>
  <c r="D14" i="8"/>
  <c r="E14" i="8"/>
  <c r="G14" i="8"/>
  <c r="AE14" i="8"/>
  <c r="S14" i="8"/>
  <c r="C17" i="10"/>
  <c r="D17" i="10"/>
  <c r="E17" i="10"/>
  <c r="Q17" i="10"/>
  <c r="D70" i="8"/>
  <c r="F70" i="8"/>
  <c r="E70" i="8"/>
  <c r="L87" i="9"/>
  <c r="T87" i="9"/>
  <c r="C87" i="9"/>
  <c r="C96" i="9" s="1"/>
  <c r="M87" i="9"/>
  <c r="E87" i="9"/>
  <c r="E96" i="9" s="1"/>
  <c r="M26" i="9"/>
  <c r="M30" i="9" s="1"/>
  <c r="M34" i="9" s="1"/>
  <c r="D87" i="9"/>
  <c r="D96" i="9" s="1"/>
  <c r="S15" i="9"/>
  <c r="AB78" i="8"/>
  <c r="V33" i="8"/>
  <c r="U70" i="8"/>
  <c r="AB67" i="9" s="1"/>
  <c r="AE70" i="8"/>
  <c r="AE78" i="8"/>
  <c r="E26" i="9"/>
  <c r="E30" i="9" s="1"/>
  <c r="E34" i="9" s="1"/>
  <c r="E14" i="9"/>
  <c r="C26" i="9"/>
  <c r="C30" i="9" s="1"/>
  <c r="C34" i="9" s="1"/>
  <c r="D26" i="9"/>
  <c r="D30" i="9" s="1"/>
  <c r="D34" i="9" s="1"/>
  <c r="D14" i="9"/>
  <c r="O87" i="9"/>
  <c r="P87" i="9"/>
  <c r="Q87" i="9"/>
  <c r="AE15" i="8" l="1"/>
  <c r="AE22" i="8"/>
  <c r="AE28" i="8" s="1"/>
  <c r="E15" i="8"/>
  <c r="E22" i="8"/>
  <c r="E28" i="8" s="1"/>
  <c r="E29" i="8" s="1"/>
  <c r="G15" i="8"/>
  <c r="G22" i="8"/>
  <c r="G28" i="8" s="1"/>
  <c r="G33" i="8" s="1"/>
  <c r="G88" i="8" s="1"/>
  <c r="D15" i="8"/>
  <c r="D22" i="8"/>
  <c r="D28" i="8" s="1"/>
  <c r="D33" i="8" s="1"/>
  <c r="D88" i="8" s="1"/>
  <c r="S15" i="8"/>
  <c r="S22" i="8"/>
  <c r="S28" i="8" s="1"/>
  <c r="S33" i="8" s="1"/>
  <c r="S88" i="8" s="1"/>
  <c r="F15" i="8"/>
  <c r="F22" i="8"/>
  <c r="F28" i="8" s="1"/>
  <c r="F29" i="8" s="1"/>
  <c r="AE29" i="8"/>
  <c r="AE33" i="8"/>
  <c r="AB79" i="8"/>
  <c r="AH79" i="8" s="1"/>
  <c r="AH78" i="8"/>
  <c r="E79" i="8"/>
  <c r="E81" i="8" s="1"/>
  <c r="V88" i="8"/>
  <c r="D79" i="8"/>
  <c r="D81" i="8" s="1"/>
  <c r="R87" i="9"/>
  <c r="T79" i="8"/>
  <c r="T81" i="8" s="1"/>
  <c r="AH51" i="8"/>
  <c r="V79" i="8"/>
  <c r="V81" i="8" s="1"/>
  <c r="F79" i="8"/>
  <c r="F81" i="8" s="1"/>
  <c r="G79" i="8"/>
  <c r="G81" i="8" s="1"/>
  <c r="N87" i="9"/>
  <c r="N15" i="9"/>
  <c r="P15" i="9"/>
  <c r="R26" i="9"/>
  <c r="R30" i="9" s="1"/>
  <c r="R34" i="9" s="1"/>
  <c r="M15" i="9"/>
  <c r="O15" i="9"/>
  <c r="L15" i="9"/>
  <c r="P26" i="9"/>
  <c r="P30" i="9" s="1"/>
  <c r="P34" i="9" s="1"/>
  <c r="N26" i="9"/>
  <c r="N30" i="9" s="1"/>
  <c r="N34" i="9" s="1"/>
  <c r="AE58" i="8"/>
  <c r="M19" i="9"/>
  <c r="D19" i="9"/>
  <c r="Q26" i="9"/>
  <c r="Q30" i="9" s="1"/>
  <c r="Q34" i="9" s="1"/>
  <c r="Q15" i="9"/>
  <c r="S26" i="9"/>
  <c r="S30" i="9" s="1"/>
  <c r="S34" i="9" s="1"/>
  <c r="AC14" i="9"/>
  <c r="L26" i="9"/>
  <c r="L30" i="9" s="1"/>
  <c r="L34" i="9" s="1"/>
  <c r="R15" i="9"/>
  <c r="T26" i="9"/>
  <c r="T30" i="9" s="1"/>
  <c r="T34" i="9" s="1"/>
  <c r="T15" i="9"/>
  <c r="K26" i="9"/>
  <c r="K30" i="9" s="1"/>
  <c r="K34" i="9" s="1"/>
  <c r="E19" i="9"/>
  <c r="O26" i="9"/>
  <c r="O30" i="9" s="1"/>
  <c r="O34" i="9" s="1"/>
  <c r="C19" i="9"/>
  <c r="F23" i="8" l="1"/>
  <c r="S23" i="8"/>
  <c r="G29" i="8"/>
  <c r="F33" i="8"/>
  <c r="F88" i="8" s="1"/>
  <c r="E33" i="8"/>
  <c r="E88" i="8" s="1"/>
  <c r="D37" i="8"/>
  <c r="D40" i="8"/>
  <c r="G37" i="8"/>
  <c r="G40" i="8"/>
  <c r="V37" i="8"/>
  <c r="V40" i="8"/>
  <c r="U91" i="9"/>
  <c r="P19" i="9"/>
  <c r="P27" i="9"/>
  <c r="V23" i="8"/>
  <c r="G23" i="8"/>
  <c r="D23" i="8"/>
  <c r="E23" i="8"/>
  <c r="AB58" i="8"/>
  <c r="V29" i="8"/>
  <c r="AE23" i="8"/>
  <c r="AE79" i="8"/>
  <c r="U79" i="8"/>
  <c r="U81" i="8" s="1"/>
  <c r="R19" i="9"/>
  <c r="N19" i="9"/>
  <c r="G34" i="8"/>
  <c r="D29" i="8"/>
  <c r="C93" i="9"/>
  <c r="C27" i="9"/>
  <c r="O19" i="9"/>
  <c r="D93" i="9"/>
  <c r="D27" i="9"/>
  <c r="M27" i="9"/>
  <c r="T19" i="9"/>
  <c r="Q19" i="9"/>
  <c r="R27" i="9"/>
  <c r="N27" i="9"/>
  <c r="E27" i="9"/>
  <c r="E93" i="9"/>
  <c r="S19" i="9"/>
  <c r="K19" i="9"/>
  <c r="L19" i="9"/>
  <c r="E37" i="8" l="1"/>
  <c r="E40" i="8"/>
  <c r="AE88" i="8"/>
  <c r="AE34" i="8"/>
  <c r="S37" i="8"/>
  <c r="S40" i="8"/>
  <c r="F37" i="8"/>
  <c r="F40" i="8"/>
  <c r="AE40" i="8"/>
  <c r="AE37" i="8"/>
  <c r="V102" i="8"/>
  <c r="V128" i="8" s="1"/>
  <c r="G102" i="8"/>
  <c r="G128" i="8" s="1"/>
  <c r="E102" i="8"/>
  <c r="D102" i="8"/>
  <c r="AB81" i="8"/>
  <c r="AH58" i="8"/>
  <c r="F34" i="8"/>
  <c r="S29" i="8"/>
  <c r="E34" i="8"/>
  <c r="V34" i="8"/>
  <c r="D34" i="8"/>
  <c r="AE81" i="8"/>
  <c r="E31" i="9"/>
  <c r="L27" i="9"/>
  <c r="R31" i="9"/>
  <c r="D31" i="9"/>
  <c r="M31" i="9"/>
  <c r="Q27" i="9"/>
  <c r="C31" i="9"/>
  <c r="S27" i="9"/>
  <c r="O27" i="9"/>
  <c r="K27" i="9"/>
  <c r="N31" i="9"/>
  <c r="T27" i="9"/>
  <c r="F102" i="8" l="1"/>
  <c r="F128" i="8" s="1"/>
  <c r="S102" i="8"/>
  <c r="S128" i="8" s="1"/>
  <c r="S34" i="8"/>
  <c r="U95" i="9" a="1"/>
  <c r="U95" i="9" s="1"/>
  <c r="U92" i="9"/>
  <c r="U93" i="9" a="1"/>
  <c r="U93" i="9" s="1"/>
  <c r="U94" i="9" a="1"/>
  <c r="U94" i="9" s="1"/>
  <c r="E128" i="8"/>
  <c r="D128" i="8"/>
  <c r="AA102" i="8"/>
  <c r="P31" i="9"/>
  <c r="K31" i="9"/>
  <c r="O31" i="9"/>
  <c r="L31" i="9"/>
  <c r="D95" i="9" a="1"/>
  <c r="D95" i="9" s="1"/>
  <c r="D94" i="9" a="1"/>
  <c r="D94" i="9" s="1"/>
  <c r="D35" i="9"/>
  <c r="D41" i="9"/>
  <c r="D48" i="9" s="1"/>
  <c r="D91" i="9"/>
  <c r="D92" i="9"/>
  <c r="E94" i="9" a="1"/>
  <c r="E94" i="9" s="1"/>
  <c r="E95" i="9" a="1"/>
  <c r="E95" i="9" s="1"/>
  <c r="E35" i="9"/>
  <c r="E92" i="9"/>
  <c r="E41" i="9"/>
  <c r="E48" i="9" s="1"/>
  <c r="E91" i="9"/>
  <c r="P35" i="9"/>
  <c r="P41" i="9"/>
  <c r="P48" i="9" s="1"/>
  <c r="T31" i="9"/>
  <c r="S31" i="9"/>
  <c r="N41" i="9"/>
  <c r="N48" i="9" s="1"/>
  <c r="N35" i="9"/>
  <c r="M41" i="9"/>
  <c r="M48" i="9" s="1"/>
  <c r="M35" i="9"/>
  <c r="Q31" i="9"/>
  <c r="C95" i="9" a="1"/>
  <c r="C95" i="9" s="1"/>
  <c r="C41" i="9"/>
  <c r="C35" i="9"/>
  <c r="C94" i="9" a="1"/>
  <c r="C94" i="9" s="1"/>
  <c r="C92" i="9"/>
  <c r="C91" i="9"/>
  <c r="R35" i="9"/>
  <c r="R41" i="9"/>
  <c r="R48" i="9" s="1"/>
  <c r="AB102" i="8" l="1"/>
  <c r="Y102" i="8"/>
  <c r="Z102" i="8"/>
  <c r="O41" i="9"/>
  <c r="O48" i="9" s="1"/>
  <c r="Y48" i="9" s="1"/>
  <c r="Y49" i="9" s="1"/>
  <c r="O35" i="9"/>
  <c r="E49" i="9"/>
  <c r="D49" i="9"/>
  <c r="S41" i="9"/>
  <c r="S48" i="9" s="1"/>
  <c r="S35" i="9"/>
  <c r="L41" i="9"/>
  <c r="L48" i="9" s="1"/>
  <c r="L35" i="9"/>
  <c r="C49" i="9"/>
  <c r="Q35" i="9"/>
  <c r="Q41" i="9"/>
  <c r="Q48" i="9" s="1"/>
  <c r="R49" i="9"/>
  <c r="K41" i="9"/>
  <c r="K48" i="9" s="1"/>
  <c r="K35" i="9"/>
  <c r="T35" i="9"/>
  <c r="T41" i="9"/>
  <c r="T48" i="9" s="1"/>
  <c r="AC48" i="9" l="1"/>
  <c r="AC49" i="9" s="1"/>
  <c r="X48" i="9"/>
  <c r="X49" i="9" s="1"/>
  <c r="W48" i="9"/>
  <c r="W49" i="9" s="1"/>
  <c r="AA48" i="9"/>
  <c r="AA49" i="9" s="1"/>
  <c r="AB48" i="9"/>
  <c r="AB49" i="9" s="1"/>
  <c r="Z48" i="9"/>
  <c r="Z49" i="9" s="1"/>
  <c r="AD48" i="9"/>
  <c r="AD49" i="9" s="1"/>
  <c r="S49" i="9"/>
  <c r="T49" i="9"/>
  <c r="Q49" i="9"/>
  <c r="P49" i="9"/>
  <c r="K49" i="9"/>
  <c r="M49" i="9"/>
  <c r="N49" i="9"/>
  <c r="L49" i="9" l="1"/>
  <c r="O49" i="9"/>
  <c r="D124" i="8" l="1"/>
  <c r="D129" i="8" s="1"/>
  <c r="D131" i="8" s="1"/>
  <c r="E122" i="8" l="1"/>
  <c r="E124" i="8" l="1"/>
  <c r="E129" i="8" s="1"/>
  <c r="E131" i="8" s="1"/>
  <c r="I122" i="8"/>
  <c r="I124" i="8" s="1"/>
  <c r="I129" i="8" s="1"/>
  <c r="F122" i="8"/>
  <c r="I131" i="8" l="1"/>
  <c r="J122" i="8"/>
  <c r="J124" i="8" s="1"/>
  <c r="J129" i="8" s="1"/>
  <c r="F124" i="8"/>
  <c r="K122" i="8" l="1"/>
  <c r="K124" i="8" s="1"/>
  <c r="K129" i="8" s="1"/>
  <c r="J131" i="8"/>
  <c r="F129" i="8"/>
  <c r="F131" i="8" s="1"/>
  <c r="K131" i="8" l="1"/>
  <c r="L122" i="8"/>
  <c r="L124" i="8" s="1"/>
  <c r="L129" i="8" s="1"/>
  <c r="G122" i="8"/>
  <c r="G124" i="8" s="1"/>
  <c r="G129" i="8" s="1"/>
  <c r="L131" i="8" l="1"/>
  <c r="M122" i="8"/>
  <c r="M124" i="8" s="1"/>
  <c r="M129" i="8" s="1"/>
  <c r="M131" i="8" s="1"/>
  <c r="G131" i="8"/>
  <c r="N122" i="8"/>
  <c r="N124" i="8" s="1"/>
  <c r="N129" i="8" s="1"/>
  <c r="N131" i="8" l="1"/>
  <c r="O122" i="8"/>
  <c r="O124" i="8" s="1"/>
  <c r="O129" i="8" s="1"/>
  <c r="O131" i="8" s="1"/>
  <c r="P122" i="8" l="1"/>
  <c r="P124" i="8" s="1"/>
  <c r="P129" i="8" s="1"/>
  <c r="P131" i="8" s="1"/>
  <c r="Q122" i="8" l="1"/>
  <c r="Q124" i="8" s="1"/>
  <c r="Q129" i="8" s="1"/>
  <c r="Q131" i="8" s="1"/>
  <c r="R122" i="8" l="1"/>
  <c r="R124" i="8" s="1"/>
  <c r="R129" i="8" s="1"/>
  <c r="R131" i="8" s="1"/>
  <c r="S122" i="8" l="1"/>
  <c r="S124" i="8" s="1"/>
  <c r="S129" i="8" s="1"/>
  <c r="S131" i="8" s="1"/>
  <c r="T122" i="8" l="1"/>
  <c r="T124" i="8" s="1"/>
  <c r="U11" i="8" l="1"/>
  <c r="U14" i="8" l="1"/>
  <c r="S17" i="10"/>
  <c r="U15" i="8" l="1"/>
  <c r="U22" i="8"/>
  <c r="U28" i="8" s="1"/>
  <c r="U33" i="8" s="1"/>
  <c r="U88" i="8" s="1"/>
  <c r="U37" i="8" l="1"/>
  <c r="U40" i="8"/>
  <c r="U23" i="8"/>
  <c r="U29" i="8"/>
  <c r="U34" i="8" l="1"/>
  <c r="U102" i="8" l="1"/>
  <c r="U128" i="8" s="1"/>
  <c r="T11" i="8"/>
  <c r="T14" i="8" l="1"/>
  <c r="R17" i="10"/>
  <c r="T15" i="8" l="1"/>
  <c r="T22" i="8"/>
  <c r="T28" i="8" s="1"/>
  <c r="T33" i="8" s="1"/>
  <c r="T88" i="8" s="1"/>
  <c r="T37" i="8" l="1"/>
  <c r="T40" i="8"/>
  <c r="T23" i="8"/>
  <c r="T29" i="8"/>
  <c r="T34" i="8" l="1"/>
  <c r="AF102" i="8" l="1"/>
  <c r="AH102" i="8" s="1"/>
  <c r="AH88" i="8"/>
  <c r="AC102" i="8"/>
  <c r="AD102" i="8"/>
  <c r="T102" i="8"/>
  <c r="T128" i="8" s="1"/>
  <c r="T129" i="8" l="1"/>
  <c r="T131" i="8" s="1"/>
  <c r="AE102" i="8"/>
  <c r="U122" i="8" l="1"/>
  <c r="U124" i="8" s="1"/>
  <c r="U129" i="8" s="1"/>
  <c r="U131" i="8" s="1"/>
  <c r="V122" i="8" l="1"/>
  <c r="V124" i="8" s="1"/>
  <c r="V129" i="8" s="1"/>
  <c r="V131" i="8" s="1"/>
  <c r="Y124" i="8"/>
  <c r="Y129" i="8" s="1"/>
  <c r="Y131" i="8" l="1"/>
  <c r="Z122" i="8"/>
  <c r="Z124" i="8" s="1"/>
  <c r="Z129" i="8" s="1"/>
  <c r="W122" i="8"/>
  <c r="W124" i="8" s="1"/>
  <c r="W129" i="8" s="1"/>
  <c r="Z131" i="8" l="1"/>
  <c r="AA122" i="8"/>
  <c r="AA124" i="8" s="1"/>
  <c r="AA129" i="8" s="1"/>
  <c r="W131" i="8"/>
  <c r="AA131" i="8" l="1"/>
  <c r="AB122" i="8"/>
  <c r="AB124" i="8" s="1"/>
  <c r="AB129" i="8" s="1"/>
  <c r="AB131" i="8" l="1"/>
  <c r="AC122" i="8"/>
  <c r="AC124" i="8" s="1"/>
  <c r="AC129" i="8" s="1"/>
  <c r="AC131" i="8" l="1"/>
  <c r="AD122" i="8"/>
  <c r="AD124" i="8" s="1"/>
  <c r="AD129" i="8" s="1"/>
  <c r="AD131" i="8" l="1"/>
  <c r="AE122" i="8"/>
  <c r="AE124" i="8" s="1"/>
  <c r="AE129" i="8" s="1"/>
  <c r="AE131" i="8" l="1"/>
  <c r="AF122" i="8"/>
  <c r="AF124" i="8" s="1"/>
  <c r="AF129" i="8" s="1"/>
  <c r="AF131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<sst xmlns="http://schemas.openxmlformats.org/spreadsheetml/2006/main" count="251" uniqueCount="203">
  <si>
    <t>FYE</t>
  </si>
  <si>
    <t>Quarterly</t>
  </si>
  <si>
    <t>1Q24</t>
  </si>
  <si>
    <t>2Q24</t>
  </si>
  <si>
    <t>3Q24</t>
  </si>
  <si>
    <t>4Q24</t>
  </si>
  <si>
    <t>1Q23</t>
  </si>
  <si>
    <t>2Q23</t>
  </si>
  <si>
    <t>3Q23</t>
  </si>
  <si>
    <t>4Q23</t>
  </si>
  <si>
    <t>LTM</t>
  </si>
  <si>
    <t>EBITDA</t>
  </si>
  <si>
    <t>Total Revenue</t>
  </si>
  <si>
    <t>Cash-Flows Statement</t>
  </si>
  <si>
    <t>Total stockholders' equity</t>
  </si>
  <si>
    <t>Total Liabilities</t>
  </si>
  <si>
    <t>X</t>
  </si>
  <si>
    <t>Total Current Liabilities</t>
  </si>
  <si>
    <t>Total Current Assets</t>
  </si>
  <si>
    <t>Total Assets</t>
  </si>
  <si>
    <t>Gross Profit</t>
  </si>
  <si>
    <t>Total Debt</t>
  </si>
  <si>
    <t>Variance</t>
  </si>
  <si>
    <t>FCF Analysis</t>
  </si>
  <si>
    <t>1Q25</t>
  </si>
  <si>
    <t>2Q25</t>
  </si>
  <si>
    <t>Y/Y Growth (%)</t>
  </si>
  <si>
    <t>Q/Q Growth (%)</t>
  </si>
  <si>
    <t>N/A</t>
  </si>
  <si>
    <t>Gross Margin (%)</t>
  </si>
  <si>
    <t>Earning before Interest &amp; Taxes (EBIT)</t>
  </si>
  <si>
    <t>Operating Margin (%)</t>
  </si>
  <si>
    <t>EBITDA Margin (%)</t>
  </si>
  <si>
    <t>Adj. EBITDA</t>
  </si>
  <si>
    <t>Adj. EBITDA Margin (%)</t>
  </si>
  <si>
    <t>(-) Capital Expenditures</t>
  </si>
  <si>
    <t>(-) Cash Taxes</t>
  </si>
  <si>
    <t>(+/-) Changes in NWC</t>
  </si>
  <si>
    <t>Discretionary Cash-Flows</t>
  </si>
  <si>
    <t>Free-Cash Flows</t>
  </si>
  <si>
    <t>Capitalization</t>
  </si>
  <si>
    <t>Cash &amp; Cash Equivelants</t>
  </si>
  <si>
    <t>Total Liquidity</t>
  </si>
  <si>
    <t>Balance Sheet Metrics:</t>
  </si>
  <si>
    <t>Accounts Payable</t>
  </si>
  <si>
    <t>Current Liabilities</t>
  </si>
  <si>
    <t>Total Shareholder Equity</t>
  </si>
  <si>
    <t>Total Book Capitalization</t>
  </si>
  <si>
    <t>Debt-to-Book Capitalization</t>
  </si>
  <si>
    <t>Total liabilities and stockholders' equity</t>
  </si>
  <si>
    <t>Cash-Flows From Operating Activities</t>
  </si>
  <si>
    <t>Net cash used in operating activities</t>
  </si>
  <si>
    <t>Cash flows from investing activities:</t>
  </si>
  <si>
    <t>Net cash used in investing activities</t>
  </si>
  <si>
    <t>Cash flows from financing activities:</t>
  </si>
  <si>
    <t>Net cash provided by financing activities</t>
  </si>
  <si>
    <t>Consolidated Revenue</t>
  </si>
  <si>
    <t>Adjustments to reconcile net income:</t>
  </si>
  <si>
    <t>Balance Check</t>
  </si>
  <si>
    <t>Net Change in Cash</t>
  </si>
  <si>
    <t>Cash paid during the period for:</t>
  </si>
  <si>
    <t>3Q25</t>
  </si>
  <si>
    <t>Basic EPS</t>
  </si>
  <si>
    <t>Fully Diluted Shares</t>
  </si>
  <si>
    <t>Segment Anaysis</t>
  </si>
  <si>
    <t>Total Net Revenue</t>
  </si>
  <si>
    <t xml:space="preserve">(+/-) Other </t>
  </si>
  <si>
    <t>Credit Metrics</t>
  </si>
  <si>
    <t>Adjusted Cash Position BOP</t>
  </si>
  <si>
    <t>Adjusted Cash Position EOP</t>
  </si>
  <si>
    <t xml:space="preserve">(-) Cash Interest </t>
  </si>
  <si>
    <t>$ mm except per share</t>
  </si>
  <si>
    <t>Income Statement</t>
  </si>
  <si>
    <t xml:space="preserve">Balance Sheet </t>
  </si>
  <si>
    <t>Historical Financials</t>
  </si>
  <si>
    <t>Fiscal Period</t>
  </si>
  <si>
    <t>Fiscal Period End Date</t>
  </si>
  <si>
    <t>Operating Profit</t>
  </si>
  <si>
    <t>Current Assets</t>
  </si>
  <si>
    <t>Non-Current Assets</t>
  </si>
  <si>
    <t>Non-Current Liabilities</t>
  </si>
  <si>
    <t>Unrestricted Cash BOP</t>
  </si>
  <si>
    <t>EOP FX Adjustment</t>
  </si>
  <si>
    <t>Fully Diluted EPS</t>
  </si>
  <si>
    <t>Basic Shares</t>
  </si>
  <si>
    <t>Cash Position Variance Check</t>
  </si>
  <si>
    <t>(+/-) Divestiture / Acquisitions</t>
  </si>
  <si>
    <t>LTM Total Leverage</t>
  </si>
  <si>
    <t>LTM Net Leverage</t>
  </si>
  <si>
    <t xml:space="preserve">LTM Interest Coverage </t>
  </si>
  <si>
    <t>LTM Debt Service Coverage</t>
  </si>
  <si>
    <t>LTM Fixed Charge Coverage</t>
  </si>
  <si>
    <t>EOP Restricted Cash Adjustment</t>
  </si>
  <si>
    <t>Interest paid</t>
  </si>
  <si>
    <t>BOP Restricted Cash Adjustment</t>
  </si>
  <si>
    <t>(-) 'Proceeds from issuance of Debt / (Repayment), net</t>
  </si>
  <si>
    <t>Summary Debt:</t>
  </si>
  <si>
    <t>CPLTD</t>
  </si>
  <si>
    <t>LTD</t>
  </si>
  <si>
    <t>Property and Equipment, net</t>
  </si>
  <si>
    <t>(+) Depreciation and Amortization</t>
  </si>
  <si>
    <t>Margin (%)</t>
  </si>
  <si>
    <t>Income tax provision (benefit)</t>
  </si>
  <si>
    <t>Net Income</t>
  </si>
  <si>
    <t>Inventories</t>
  </si>
  <si>
    <t>Goodwill</t>
  </si>
  <si>
    <t xml:space="preserve">Income taxes paid </t>
  </si>
  <si>
    <t>Income from continuing operations, net of tax</t>
  </si>
  <si>
    <t>(-) Cost of Sales</t>
  </si>
  <si>
    <t>(+) Stock-Based Compensation</t>
  </si>
  <si>
    <t>(-) Share Repurchases</t>
  </si>
  <si>
    <t>L/C Availability</t>
  </si>
  <si>
    <t xml:space="preserve">Revolver Utilization </t>
  </si>
  <si>
    <t>Accounts Receivable</t>
  </si>
  <si>
    <t>Earnings before income taxes (EBT)</t>
  </si>
  <si>
    <t>EBT Margin (%)</t>
  </si>
  <si>
    <t>($ In Millions)</t>
  </si>
  <si>
    <t>Revenue by reportable segment</t>
  </si>
  <si>
    <t>Revenue Segment Anaysis</t>
  </si>
  <si>
    <t>Revenue by Geography</t>
  </si>
  <si>
    <t>Variance  Check</t>
  </si>
  <si>
    <t>Physical Stores</t>
  </si>
  <si>
    <t>Third-party Seller Services</t>
  </si>
  <si>
    <t>Advertising Services</t>
  </si>
  <si>
    <t>Subscription Services</t>
  </si>
  <si>
    <t>AWS</t>
  </si>
  <si>
    <t>Other</t>
  </si>
  <si>
    <t>4Q22</t>
  </si>
  <si>
    <t>1Q22</t>
  </si>
  <si>
    <t>2Q22</t>
  </si>
  <si>
    <t>3Q22</t>
  </si>
  <si>
    <t>North America Revenues</t>
  </si>
  <si>
    <t>International Revenues</t>
  </si>
  <si>
    <t>AWS Revenues</t>
  </si>
  <si>
    <t>Cost Of Sales</t>
  </si>
  <si>
    <t>Interest Income</t>
  </si>
  <si>
    <t>Interest Expenses</t>
  </si>
  <si>
    <t>Other Income (Expenses), net</t>
  </si>
  <si>
    <t>Amazon.com Inc (NASDAQ: AMZN)</t>
  </si>
  <si>
    <t>Changes in Working Capital</t>
  </si>
  <si>
    <t xml:space="preserve">Depreciation and amortization </t>
  </si>
  <si>
    <t xml:space="preserve">Stock-based compensation	</t>
  </si>
  <si>
    <t xml:space="preserve">Non-operating expense (income), net	</t>
  </si>
  <si>
    <t xml:space="preserve">Deferred income taxes	</t>
  </si>
  <si>
    <t xml:space="preserve">Accounts receivable, net and other	</t>
  </si>
  <si>
    <t xml:space="preserve">Other assets	</t>
  </si>
  <si>
    <t xml:space="preserve">Accounts payable	</t>
  </si>
  <si>
    <t xml:space="preserve">Accrued expenses and other	</t>
  </si>
  <si>
    <t xml:space="preserve">Unearned revenue	</t>
  </si>
  <si>
    <t xml:space="preserve">Purchases of property and equipment	</t>
  </si>
  <si>
    <t xml:space="preserve">Proceeds from property and equipment sales and incentives	</t>
  </si>
  <si>
    <t xml:space="preserve">Acquisitions, net of cash acquired, non-marketable investments, and other	</t>
  </si>
  <si>
    <t xml:space="preserve">Sales and maturities of marketable securities	</t>
  </si>
  <si>
    <t xml:space="preserve">Purchases of marketable securities	</t>
  </si>
  <si>
    <t>Common stock repurchased</t>
  </si>
  <si>
    <t>Proceeds from short-term debt, and other</t>
  </si>
  <si>
    <t>Repayments of short-term debt, and other</t>
  </si>
  <si>
    <t>Proceeds from long-term debt</t>
  </si>
  <si>
    <t>Repayments of long-term debt</t>
  </si>
  <si>
    <t>Principal repayments of finance leases</t>
  </si>
  <si>
    <t>Principal repayments of financing obligations</t>
  </si>
  <si>
    <t>Fulfillment</t>
  </si>
  <si>
    <t>Technology and infrastructure</t>
  </si>
  <si>
    <t>Sales and marketing</t>
  </si>
  <si>
    <t>General and administrative</t>
  </si>
  <si>
    <t>Other operating expense (income), net</t>
  </si>
  <si>
    <t>Equity-method investment activity, net of tax</t>
  </si>
  <si>
    <t>Cash and cash equivalents</t>
  </si>
  <si>
    <t>Marketable securities</t>
  </si>
  <si>
    <t>Accounts receivable, net and other</t>
  </si>
  <si>
    <t>Property and equipment, net</t>
  </si>
  <si>
    <t>Operating leases</t>
  </si>
  <si>
    <t>Other assets</t>
  </si>
  <si>
    <t>Accounts payable</t>
  </si>
  <si>
    <t>Accrued expenses and other</t>
  </si>
  <si>
    <t>Unearned revenue</t>
  </si>
  <si>
    <t>Long-term lease liabilities</t>
  </si>
  <si>
    <t>Long-term debt</t>
  </si>
  <si>
    <t>Other long-term liabilities</t>
  </si>
  <si>
    <t>Preferred stock</t>
  </si>
  <si>
    <t>Common stock</t>
  </si>
  <si>
    <t>Treasury stock</t>
  </si>
  <si>
    <t>Additional paid-in capital</t>
  </si>
  <si>
    <t>Accumulated OCI</t>
  </si>
  <si>
    <t>Retained earnings</t>
  </si>
  <si>
    <t xml:space="preserve">Online Stores </t>
  </si>
  <si>
    <t>(-) Fulfillment</t>
  </si>
  <si>
    <t>(-) Technology and infrastructure</t>
  </si>
  <si>
    <t>(-) Sales and marketing</t>
  </si>
  <si>
    <t>(-) General and administrative</t>
  </si>
  <si>
    <t>(-) Other operating expense (income), net</t>
  </si>
  <si>
    <t>(+/-) Proceeds / (Purchases) of Marketable Securities</t>
  </si>
  <si>
    <t>(-) 'Repayments of Finance Leases &amp; Obligations</t>
  </si>
  <si>
    <t>2014 Notes issuance of $6.0Bn</t>
  </si>
  <si>
    <t>2017 Notes issuance of $17.0Bn</t>
  </si>
  <si>
    <t>2020 Notes issuance of $10.0Bn</t>
  </si>
  <si>
    <t>2021 Notes issuance of $18.5Bn</t>
  </si>
  <si>
    <t>April 2022 Notes issuance of $12.8Bn</t>
  </si>
  <si>
    <t>December 2022 Notes issuance of $8.3Bn</t>
  </si>
  <si>
    <t>2012 Notes issuance of $3.0Bn</t>
  </si>
  <si>
    <t>Other long-term debt</t>
  </si>
  <si>
    <t xml:space="preserve">$15Bn Sr. Unsecured RCF </t>
  </si>
  <si>
    <t>$5Bn Sr. Unsecured 364-day RCF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</si>
</sst>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5" formatCode="&quot;$&quot;#,##0_);\(&quot;$&quot;#,##0\)"/>
    <numFmt numFmtId="7" formatCode="&quot;$&quot;#,##0.00_);\(&quot;$&quot;#,##0.00\)"/>
    <numFmt numFmtId="41" formatCode="_(* #,##0_);_(* \(#,##0\);_(* &quot;-&quot;_);_(@_)"/>
    <numFmt numFmtId="43" formatCode="_(* #,##0.00_);_(* \(#,##0.00\);_(* &quot;-&quot;??_);_(@_)"/>
    <numFmt numFmtId="164" formatCode="_(* #,##0_);_(* \(#,##0\);_(* &quot;-&quot;??_);_(@_)"/>
    <numFmt numFmtId="165" formatCode="_(&quot;$ &quot;#,##0_);_(&quot;$ &quot;\(#,##0\)"/>
    <numFmt numFmtId="166" formatCode="#,##0.0%;\(#,##0.0%\)"/>
    <numFmt numFmtId="167" formatCode="#,##0.0&quot;bps&quot;_);\(#,##0.0&quot;bps&quot;\)"/>
    <numFmt numFmtId="168" formatCode="#,##0.00&quot;bps&quot;_);\(#,##0.00&quot;bps&quot;\)"/>
    <numFmt numFmtId="169" formatCode="_(* #,##0.00&quot;x&quot;_);_(* \(#,##0.00&quot;x&quot;\);_(* &quot;-&quot;_);_(@_)"/>
  </numFmts>
  <fonts count="31">
    <font>
      <sz val="11"/>
      <color theme="1"/>
      <name val="Tw Cen MT"/>
      <family val="2"/>
      <scheme val="minor"/>
    </font>
    <font>
      <sz val="11"/>
      <color theme="1"/>
      <name val="Tw Cen MT"/>
      <family val="2"/>
      <scheme val="minor"/>
    </font>
    <font>
      <b/>
      <sz val="9"/>
      <color theme="0"/>
      <name val="Calibri"/>
      <family val="2"/>
    </font>
    <font>
      <i/>
      <sz val="9"/>
      <color theme="0"/>
      <name val="Calibri"/>
      <family val="2"/>
    </font>
    <font>
      <sz val="9"/>
      <color theme="1"/>
      <name val="Calibri"/>
      <family val="2"/>
    </font>
    <font>
      <b/>
      <i/>
      <sz val="9"/>
      <color theme="0"/>
      <name val="Calibri"/>
      <family val="2"/>
    </font>
    <font>
      <sz val="9"/>
      <name val="Calibri"/>
      <family val="2"/>
    </font>
    <font>
      <i/>
      <sz val="9"/>
      <name val="Calibri"/>
      <family val="2"/>
    </font>
    <font>
      <b/>
      <sz val="9"/>
      <name val="Calibri"/>
      <family val="2"/>
    </font>
    <font>
      <b/>
      <i/>
      <sz val="9"/>
      <name val="Calibri"/>
      <family val="2"/>
    </font>
    <font>
      <i/>
      <sz val="8"/>
      <name val="Calibri"/>
      <family val="2"/>
    </font>
    <font>
      <sz val="9"/>
      <color rgb="FF0000CC"/>
      <name val="Calibri"/>
      <family val="2"/>
    </font>
    <font>
      <sz val="9"/>
      <color rgb="FF0000FF"/>
      <name val="Calibri"/>
      <family val="2"/>
    </font>
    <font>
      <sz val="8"/>
      <name val="Calibri"/>
      <family val="2"/>
    </font>
    <font>
      <sz val="8"/>
      <color theme="1"/>
      <name val="Calibri"/>
      <family val="2"/>
    </font>
    <font>
      <b/>
      <sz val="9"/>
      <color theme="1"/>
      <name val="Calibri"/>
      <family val="2"/>
    </font>
    <font>
      <i/>
      <sz val="9"/>
      <color theme="1"/>
      <name val="Calibri"/>
      <family val="2"/>
    </font>
    <font>
      <b/>
      <sz val="9"/>
      <color indexed="8"/>
      <name val="Calibri"/>
      <family val="2"/>
    </font>
    <font>
      <sz val="9"/>
      <color rgb="FF0000E1"/>
      <name val="Calibri"/>
      <family val="2"/>
    </font>
    <font>
      <sz val="10"/>
      <name val="Arial"/>
      <family val="2"/>
    </font>
    <font>
      <sz val="8"/>
      <color rgb="FFFF0000"/>
      <name val="Calibri"/>
      <family val="2"/>
    </font>
    <font>
      <b/>
      <sz val="8"/>
      <color theme="1"/>
      <name val="Calibri"/>
      <family val="2"/>
    </font>
    <font>
      <i/>
      <sz val="8"/>
      <color theme="1"/>
      <name val="Calibri"/>
      <family val="2"/>
    </font>
    <font>
      <sz val="7"/>
      <color rgb="FFFF0000"/>
      <name val="Calibri"/>
      <family val="2"/>
    </font>
    <font>
      <sz val="9"/>
      <color rgb="FF00B050"/>
      <name val="Calibri"/>
      <family val="2"/>
    </font>
    <font>
      <sz val="10"/>
      <name val="Arial Narrow MT"/>
      <family val="2"/>
    </font>
    <font>
      <i/>
      <sz val="8"/>
      <color rgb="FFFF0000"/>
      <name val="Calibri"/>
      <family val="2"/>
    </font>
    <font>
      <b/>
      <i/>
      <sz val="8"/>
      <name val="Calibri"/>
      <family val="2"/>
    </font>
    <font>
      <b/>
      <sz val="8"/>
      <color theme="0"/>
      <name val="Calibri"/>
      <family val="2"/>
    </font>
    <font>
      <i/>
      <sz val="7"/>
      <color rgb="FFFF0000"/>
      <name val="Calibri"/>
      <family val="2"/>
    </font>
    <font>
      <i/>
      <sz val="8"/>
      <color rgb="FF0000CC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E5672"/>
        <bgColor indexed="64"/>
      </patternFill>
    </fill>
    <fill>
      <patternFill patternType="gray0625"/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9" fillId="0" borderId="0"/>
    <xf numFmtId="0" fontId="25" fillId="0" borderId="0" applyNumberFormat="0" applyFont="0" applyFill="0" applyBorder="0" applyAlignment="0" applyProtection="0"/>
  </cellStyleXfs>
  <cellXfs count="191">
    <xf numFmtId="0" fontId="0" fillId="0" borderId="0" xfId="0"/>
    <xf numFmtId="0" fontId="2" fillId="2" borderId="0" xfId="0" applyFont="1" applyFill="1" applyAlignment="1">
      <alignment vertical="center" wrapText="1"/>
    </xf>
    <xf numFmtId="0" fontId="2" fillId="2" borderId="3" xfId="0" applyFont="1" applyFill="1" applyBorder="1" applyAlignment="1">
      <alignment horizontal="centerContinuous" vertical="center" wrapText="1"/>
    </xf>
    <xf numFmtId="14" fontId="3" fillId="2" borderId="0" xfId="0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4" fillId="0" borderId="0" xfId="0" applyFont="1" applyAlignment="1">
      <alignment wrapText="1"/>
    </xf>
    <xf numFmtId="0" fontId="3" fillId="2" borderId="0" xfId="0" applyFont="1" applyFill="1" applyAlignment="1">
      <alignment vertical="center" wrapText="1"/>
    </xf>
    <xf numFmtId="0" fontId="5" fillId="2" borderId="0" xfId="0" applyFont="1" applyFill="1" applyAlignment="1">
      <alignment horizontal="center" vertical="center" wrapText="1"/>
    </xf>
    <xf numFmtId="0" fontId="4" fillId="0" borderId="0" xfId="0" applyFont="1"/>
    <xf numFmtId="0" fontId="6" fillId="0" borderId="0" xfId="0" applyFont="1" applyAlignment="1">
      <alignment vertical="top" wrapText="1"/>
    </xf>
    <xf numFmtId="41" fontId="4" fillId="0" borderId="0" xfId="0" applyNumberFormat="1" applyFont="1"/>
    <xf numFmtId="37" fontId="4" fillId="0" borderId="0" xfId="0" applyNumberFormat="1" applyFont="1" applyAlignment="1">
      <alignment wrapText="1"/>
    </xf>
    <xf numFmtId="166" fontId="7" fillId="3" borderId="0" xfId="1" applyNumberFormat="1" applyFont="1" applyFill="1" applyBorder="1" applyAlignment="1">
      <alignment horizontal="right" vertical="center" wrapText="1"/>
    </xf>
    <xf numFmtId="0" fontId="8" fillId="3" borderId="4" xfId="0" applyFont="1" applyFill="1" applyBorder="1" applyAlignment="1">
      <alignment vertical="top" wrapText="1"/>
    </xf>
    <xf numFmtId="5" fontId="8" fillId="3" borderId="2" xfId="0" applyNumberFormat="1" applyFont="1" applyFill="1" applyBorder="1" applyAlignment="1">
      <alignment horizontal="right" vertical="top" wrapText="1"/>
    </xf>
    <xf numFmtId="166" fontId="9" fillId="3" borderId="0" xfId="1" applyNumberFormat="1" applyFont="1" applyFill="1" applyBorder="1" applyAlignment="1">
      <alignment horizontal="right" vertical="center" wrapText="1"/>
    </xf>
    <xf numFmtId="0" fontId="10" fillId="0" borderId="0" xfId="0" applyFont="1" applyAlignment="1">
      <alignment horizontal="left" vertical="center" wrapText="1" indent="1"/>
    </xf>
    <xf numFmtId="166" fontId="10" fillId="0" borderId="0" xfId="1" applyNumberFormat="1" applyFont="1" applyBorder="1" applyAlignment="1">
      <alignment horizontal="right" vertical="center" wrapText="1"/>
    </xf>
    <xf numFmtId="9" fontId="6" fillId="0" borderId="0" xfId="1" applyFont="1" applyAlignment="1">
      <alignment horizontal="left" vertical="top" wrapText="1" indent="1"/>
    </xf>
    <xf numFmtId="9" fontId="11" fillId="0" borderId="0" xfId="1" applyFont="1" applyAlignment="1">
      <alignment horizontal="right" vertical="top" wrapText="1"/>
    </xf>
    <xf numFmtId="9" fontId="4" fillId="0" borderId="0" xfId="1" applyFont="1" applyAlignment="1">
      <alignment wrapText="1"/>
    </xf>
    <xf numFmtId="9" fontId="12" fillId="0" borderId="0" xfId="1" applyFont="1" applyAlignment="1">
      <alignment horizontal="right" vertical="top" wrapText="1"/>
    </xf>
    <xf numFmtId="9" fontId="4" fillId="0" borderId="0" xfId="1" applyFont="1"/>
    <xf numFmtId="0" fontId="6" fillId="0" borderId="0" xfId="0" quotePrefix="1" applyFont="1" applyAlignment="1">
      <alignment vertical="top" wrapText="1"/>
    </xf>
    <xf numFmtId="0" fontId="8" fillId="0" borderId="0" xfId="0" applyFont="1" applyAlignment="1">
      <alignment vertical="top" wrapText="1"/>
    </xf>
    <xf numFmtId="5" fontId="8" fillId="0" borderId="2" xfId="0" applyNumberFormat="1" applyFont="1" applyBorder="1" applyAlignment="1">
      <alignment horizontal="right" vertical="top" wrapText="1"/>
    </xf>
    <xf numFmtId="9" fontId="13" fillId="0" borderId="0" xfId="1" applyFont="1" applyBorder="1" applyAlignment="1">
      <alignment horizontal="right" vertical="center" wrapText="1"/>
    </xf>
    <xf numFmtId="0" fontId="14" fillId="0" borderId="0" xfId="0" applyFont="1" applyAlignment="1">
      <alignment wrapText="1"/>
    </xf>
    <xf numFmtId="0" fontId="7" fillId="0" borderId="0" xfId="0" applyFont="1" applyAlignment="1">
      <alignment horizontal="left" vertical="center" wrapText="1" indent="1"/>
    </xf>
    <xf numFmtId="9" fontId="6" fillId="0" borderId="0" xfId="1" applyFont="1" applyBorder="1" applyAlignment="1">
      <alignment horizontal="right" vertical="center" wrapText="1"/>
    </xf>
    <xf numFmtId="0" fontId="4" fillId="0" borderId="0" xfId="0" quotePrefix="1" applyFont="1"/>
    <xf numFmtId="41" fontId="6" fillId="0" borderId="0" xfId="0" applyNumberFormat="1" applyFont="1" applyAlignment="1">
      <alignment horizontal="right" vertical="top" wrapText="1"/>
    </xf>
    <xf numFmtId="0" fontId="2" fillId="2" borderId="0" xfId="0" applyFont="1" applyFill="1" applyAlignment="1">
      <alignment wrapText="1"/>
    </xf>
    <xf numFmtId="41" fontId="8" fillId="3" borderId="2" xfId="0" applyNumberFormat="1" applyFont="1" applyFill="1" applyBorder="1" applyAlignment="1">
      <alignment horizontal="right" vertical="top" wrapText="1"/>
    </xf>
    <xf numFmtId="0" fontId="15" fillId="0" borderId="5" xfId="0" applyFont="1" applyBorder="1"/>
    <xf numFmtId="0" fontId="15" fillId="0" borderId="0" xfId="0" applyFont="1"/>
    <xf numFmtId="0" fontId="4" fillId="0" borderId="1" xfId="0" applyFont="1" applyBorder="1"/>
    <xf numFmtId="0" fontId="4" fillId="2" borderId="0" xfId="0" applyFont="1" applyFill="1" applyAlignment="1">
      <alignment wrapText="1"/>
    </xf>
    <xf numFmtId="0" fontId="4" fillId="3" borderId="0" xfId="0" applyFont="1" applyFill="1" applyAlignment="1">
      <alignment wrapText="1"/>
    </xf>
    <xf numFmtId="165" fontId="4" fillId="0" borderId="0" xfId="0" applyNumberFormat="1" applyFont="1" applyAlignment="1">
      <alignment wrapText="1"/>
    </xf>
    <xf numFmtId="37" fontId="8" fillId="0" borderId="0" xfId="0" applyNumberFormat="1" applyFont="1" applyAlignment="1">
      <alignment horizontal="right" vertical="top" wrapText="1"/>
    </xf>
    <xf numFmtId="165" fontId="15" fillId="0" borderId="0" xfId="0" applyNumberFormat="1" applyFont="1" applyAlignment="1">
      <alignment wrapText="1"/>
    </xf>
    <xf numFmtId="9" fontId="6" fillId="0" borderId="0" xfId="1" applyFont="1" applyFill="1" applyBorder="1" applyAlignment="1">
      <alignment horizontal="right" vertical="center" wrapText="1"/>
    </xf>
    <xf numFmtId="0" fontId="6" fillId="0" borderId="0" xfId="0" applyFont="1" applyAlignment="1">
      <alignment horizontal="left" vertical="top" wrapText="1"/>
    </xf>
    <xf numFmtId="10" fontId="16" fillId="0" borderId="0" xfId="1" applyNumberFormat="1" applyFont="1" applyFill="1" applyAlignment="1">
      <alignment horizont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horizontal="center" vertical="center" wrapText="1"/>
    </xf>
    <xf numFmtId="5" fontId="8" fillId="0" borderId="0" xfId="0" applyNumberFormat="1" applyFont="1" applyAlignment="1">
      <alignment horizontal="right" vertical="top" wrapText="1"/>
    </xf>
    <xf numFmtId="37" fontId="15" fillId="0" borderId="0" xfId="0" applyNumberFormat="1" applyFont="1" applyAlignment="1">
      <alignment wrapText="1"/>
    </xf>
    <xf numFmtId="37" fontId="8" fillId="0" borderId="0" xfId="0" applyNumberFormat="1" applyFont="1" applyAlignment="1">
      <alignment wrapText="1"/>
    </xf>
    <xf numFmtId="0" fontId="12" fillId="0" borderId="0" xfId="0" applyFont="1" applyAlignment="1">
      <alignment wrapText="1"/>
    </xf>
    <xf numFmtId="0" fontId="8" fillId="0" borderId="0" xfId="0" applyFont="1" applyAlignment="1">
      <alignment wrapText="1"/>
    </xf>
    <xf numFmtId="0" fontId="15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17" fillId="0" borderId="0" xfId="0" applyFont="1" applyAlignment="1">
      <alignment wrapText="1"/>
    </xf>
    <xf numFmtId="164" fontId="4" fillId="0" borderId="0" xfId="2" applyNumberFormat="1" applyFont="1" applyBorder="1" applyAlignment="1">
      <alignment wrapText="1"/>
    </xf>
    <xf numFmtId="0" fontId="4" fillId="0" borderId="0" xfId="0" applyFont="1" applyAlignment="1">
      <alignment horizontal="left" wrapText="1" indent="1"/>
    </xf>
    <xf numFmtId="37" fontId="11" fillId="0" borderId="0" xfId="2" applyNumberFormat="1" applyFont="1" applyBorder="1" applyAlignment="1">
      <alignment wrapText="1"/>
    </xf>
    <xf numFmtId="37" fontId="11" fillId="0" borderId="0" xfId="2" applyNumberFormat="1" applyFont="1" applyFill="1" applyBorder="1" applyAlignment="1">
      <alignment wrapText="1"/>
    </xf>
    <xf numFmtId="0" fontId="4" fillId="0" borderId="0" xfId="0" applyFont="1" applyAlignment="1">
      <alignment horizontal="left" indent="1"/>
    </xf>
    <xf numFmtId="37" fontId="8" fillId="0" borderId="0" xfId="2" applyNumberFormat="1" applyFont="1" applyBorder="1" applyAlignment="1">
      <alignment wrapText="1"/>
    </xf>
    <xf numFmtId="37" fontId="6" fillId="0" borderId="0" xfId="2" applyNumberFormat="1" applyFont="1" applyBorder="1" applyAlignment="1">
      <alignment wrapText="1"/>
    </xf>
    <xf numFmtId="37" fontId="15" fillId="0" borderId="0" xfId="2" applyNumberFormat="1" applyFont="1" applyBorder="1" applyAlignment="1">
      <alignment wrapText="1"/>
    </xf>
    <xf numFmtId="37" fontId="15" fillId="0" borderId="0" xfId="2" applyNumberFormat="1" applyFont="1" applyFill="1" applyBorder="1" applyAlignment="1">
      <alignment wrapText="1"/>
    </xf>
    <xf numFmtId="37" fontId="18" fillId="0" borderId="0" xfId="2" applyNumberFormat="1" applyFont="1" applyFill="1" applyBorder="1" applyAlignment="1">
      <alignment wrapText="1"/>
    </xf>
    <xf numFmtId="37" fontId="6" fillId="0" borderId="0" xfId="2" applyNumberFormat="1" applyFont="1" applyFill="1" applyBorder="1" applyAlignment="1">
      <alignment wrapText="1"/>
    </xf>
    <xf numFmtId="164" fontId="15" fillId="0" borderId="0" xfId="2" applyNumberFormat="1" applyFont="1" applyBorder="1" applyAlignment="1">
      <alignment wrapText="1"/>
    </xf>
    <xf numFmtId="43" fontId="20" fillId="0" borderId="0" xfId="0" applyNumberFormat="1" applyFont="1" applyAlignment="1">
      <alignment wrapText="1"/>
    </xf>
    <xf numFmtId="0" fontId="21" fillId="0" borderId="0" xfId="0" applyFont="1" applyAlignment="1">
      <alignment wrapText="1"/>
    </xf>
    <xf numFmtId="41" fontId="8" fillId="0" borderId="0" xfId="0" applyNumberFormat="1" applyFont="1" applyAlignment="1">
      <alignment horizontal="right" vertical="top" wrapText="1"/>
    </xf>
    <xf numFmtId="0" fontId="17" fillId="0" borderId="5" xfId="0" applyFont="1" applyBorder="1"/>
    <xf numFmtId="0" fontId="4" fillId="0" borderId="1" xfId="0" applyFont="1" applyBorder="1" applyAlignment="1">
      <alignment wrapText="1"/>
    </xf>
    <xf numFmtId="164" fontId="4" fillId="0" borderId="1" xfId="2" applyNumberFormat="1" applyFont="1" applyBorder="1" applyAlignment="1">
      <alignment wrapText="1"/>
    </xf>
    <xf numFmtId="166" fontId="7" fillId="4" borderId="0" xfId="1" applyNumberFormat="1" applyFont="1" applyFill="1" applyBorder="1" applyAlignment="1">
      <alignment horizontal="right" vertical="center" wrapText="1"/>
    </xf>
    <xf numFmtId="166" fontId="9" fillId="4" borderId="0" xfId="1" applyNumberFormat="1" applyFont="1" applyFill="1" applyBorder="1" applyAlignment="1">
      <alignment horizontal="right" vertical="center" wrapText="1"/>
    </xf>
    <xf numFmtId="168" fontId="9" fillId="4" borderId="0" xfId="1" applyNumberFormat="1" applyFont="1" applyFill="1" applyBorder="1" applyAlignment="1">
      <alignment horizontal="right" vertical="center" wrapText="1"/>
    </xf>
    <xf numFmtId="0" fontId="8" fillId="0" borderId="5" xfId="0" applyFont="1" applyBorder="1" applyAlignment="1">
      <alignment vertical="top" wrapText="1"/>
    </xf>
    <xf numFmtId="0" fontId="15" fillId="0" borderId="0" xfId="0" applyFont="1" applyAlignment="1">
      <alignment horizontal="center"/>
    </xf>
    <xf numFmtId="41" fontId="11" fillId="0" borderId="0" xfId="0" applyNumberFormat="1" applyFont="1"/>
    <xf numFmtId="41" fontId="11" fillId="0" borderId="0" xfId="0" applyNumberFormat="1" applyFont="1" applyAlignment="1">
      <alignment horizontal="right" vertical="top" wrapText="1"/>
    </xf>
    <xf numFmtId="169" fontId="4" fillId="0" borderId="0" xfId="0" applyNumberFormat="1" applyFont="1"/>
    <xf numFmtId="0" fontId="4" fillId="0" borderId="0" xfId="0" quotePrefix="1" applyFont="1" applyAlignment="1">
      <alignment horizontal="left" indent="1"/>
    </xf>
    <xf numFmtId="14" fontId="3" fillId="2" borderId="0" xfId="0" quotePrefix="1" applyNumberFormat="1" applyFont="1" applyFill="1" applyAlignment="1">
      <alignment horizontal="center" vertical="center" wrapText="1"/>
    </xf>
    <xf numFmtId="3" fontId="4" fillId="0" borderId="0" xfId="0" applyNumberFormat="1" applyFont="1" applyAlignment="1">
      <alignment wrapText="1"/>
    </xf>
    <xf numFmtId="43" fontId="20" fillId="0" borderId="6" xfId="0" applyNumberFormat="1" applyFont="1" applyBorder="1" applyAlignment="1">
      <alignment wrapText="1"/>
    </xf>
    <xf numFmtId="41" fontId="6" fillId="0" borderId="6" xfId="0" applyNumberFormat="1" applyFont="1" applyBorder="1" applyAlignment="1">
      <alignment horizontal="right" vertical="top" wrapText="1"/>
    </xf>
    <xf numFmtId="0" fontId="8" fillId="5" borderId="8" xfId="0" applyFont="1" applyFill="1" applyBorder="1" applyAlignment="1">
      <alignment horizontal="right" vertical="center" wrapText="1"/>
    </xf>
    <xf numFmtId="0" fontId="4" fillId="0" borderId="8" xfId="0" applyFont="1" applyBorder="1"/>
    <xf numFmtId="37" fontId="4" fillId="0" borderId="9" xfId="0" applyNumberFormat="1" applyFont="1" applyBorder="1" applyAlignment="1">
      <alignment wrapText="1"/>
    </xf>
    <xf numFmtId="41" fontId="8" fillId="0" borderId="11" xfId="0" applyNumberFormat="1" applyFont="1" applyBorder="1" applyAlignment="1">
      <alignment horizontal="right" vertical="top" wrapText="1"/>
    </xf>
    <xf numFmtId="41" fontId="6" fillId="0" borderId="12" xfId="0" applyNumberFormat="1" applyFont="1" applyBorder="1" applyAlignment="1">
      <alignment horizontal="right" vertical="top" wrapText="1"/>
    </xf>
    <xf numFmtId="41" fontId="24" fillId="0" borderId="0" xfId="0" applyNumberFormat="1" applyFont="1"/>
    <xf numFmtId="37" fontId="11" fillId="0" borderId="0" xfId="0" applyNumberFormat="1" applyFont="1" applyAlignment="1">
      <alignment horizontal="right" vertical="top" wrapText="1"/>
    </xf>
    <xf numFmtId="41" fontId="6" fillId="0" borderId="0" xfId="0" applyNumberFormat="1" applyFont="1" applyAlignment="1">
      <alignment horizontal="right" vertical="center" wrapText="1"/>
    </xf>
    <xf numFmtId="41" fontId="6" fillId="0" borderId="0" xfId="0" applyNumberFormat="1" applyFont="1" applyAlignment="1">
      <alignment horizontal="right" wrapText="1"/>
    </xf>
    <xf numFmtId="0" fontId="2" fillId="6" borderId="0" xfId="0" applyFont="1" applyFill="1" applyAlignment="1">
      <alignment vertical="center" wrapText="1"/>
    </xf>
    <xf numFmtId="0" fontId="3" fillId="6" borderId="0" xfId="0" applyFont="1" applyFill="1" applyAlignment="1">
      <alignment vertical="center" wrapText="1"/>
    </xf>
    <xf numFmtId="166" fontId="7" fillId="0" borderId="0" xfId="1" applyNumberFormat="1" applyFont="1" applyFill="1" applyBorder="1" applyAlignment="1">
      <alignment horizontal="right" vertical="center" wrapText="1"/>
    </xf>
    <xf numFmtId="0" fontId="2" fillId="2" borderId="0" xfId="0" applyFont="1" applyFill="1" applyAlignment="1">
      <alignment horizontal="centerContinuous" vertical="center" wrapText="1"/>
    </xf>
    <xf numFmtId="0" fontId="2" fillId="6" borderId="3" xfId="0" applyFont="1" applyFill="1" applyBorder="1" applyAlignment="1">
      <alignment horizontal="centerContinuous" vertical="center" wrapText="1"/>
    </xf>
    <xf numFmtId="0" fontId="4" fillId="6" borderId="0" xfId="0" applyFont="1" applyFill="1" applyAlignment="1">
      <alignment wrapText="1"/>
    </xf>
    <xf numFmtId="0" fontId="5" fillId="6" borderId="0" xfId="0" applyFont="1" applyFill="1" applyAlignment="1">
      <alignment horizontal="center" vertical="center" wrapText="1"/>
    </xf>
    <xf numFmtId="14" fontId="3" fillId="6" borderId="0" xfId="0" applyNumberFormat="1" applyFont="1" applyFill="1" applyAlignment="1">
      <alignment horizontal="center" vertical="center" wrapText="1"/>
    </xf>
    <xf numFmtId="0" fontId="2" fillId="7" borderId="0" xfId="0" applyFont="1" applyFill="1" applyAlignment="1">
      <alignment vertical="center" wrapText="1"/>
    </xf>
    <xf numFmtId="0" fontId="2" fillId="7" borderId="3" xfId="0" applyFont="1" applyFill="1" applyBorder="1" applyAlignment="1">
      <alignment horizontal="centerContinuous" vertical="center" wrapText="1"/>
    </xf>
    <xf numFmtId="0" fontId="4" fillId="7" borderId="0" xfId="0" applyFont="1" applyFill="1" applyAlignment="1">
      <alignment wrapText="1"/>
    </xf>
    <xf numFmtId="0" fontId="5" fillId="7" borderId="0" xfId="0" applyFont="1" applyFill="1" applyAlignment="1">
      <alignment horizontal="center" vertical="center" wrapText="1"/>
    </xf>
    <xf numFmtId="0" fontId="3" fillId="7" borderId="0" xfId="0" applyFont="1" applyFill="1" applyAlignment="1">
      <alignment vertical="center" wrapText="1"/>
    </xf>
    <xf numFmtId="0" fontId="5" fillId="7" borderId="0" xfId="0" applyFont="1" applyFill="1" applyAlignment="1">
      <alignment vertical="center" wrapText="1"/>
    </xf>
    <xf numFmtId="14" fontId="3" fillId="7" borderId="0" xfId="0" applyNumberFormat="1" applyFont="1" applyFill="1" applyAlignment="1">
      <alignment horizontal="center" vertical="center" wrapText="1"/>
    </xf>
    <xf numFmtId="14" fontId="3" fillId="7" borderId="0" xfId="0" applyNumberFormat="1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166" fontId="10" fillId="8" borderId="0" xfId="1" applyNumberFormat="1" applyFont="1" applyFill="1" applyBorder="1" applyAlignment="1">
      <alignment horizontal="right" vertical="center" wrapText="1"/>
    </xf>
    <xf numFmtId="0" fontId="20" fillId="0" borderId="1" xfId="0" applyFont="1" applyBorder="1" applyAlignment="1">
      <alignment vertical="top" wrapText="1"/>
    </xf>
    <xf numFmtId="43" fontId="20" fillId="0" borderId="1" xfId="0" applyNumberFormat="1" applyFont="1" applyBorder="1" applyAlignment="1">
      <alignment wrapText="1"/>
    </xf>
    <xf numFmtId="0" fontId="21" fillId="0" borderId="1" xfId="0" applyFont="1" applyBorder="1" applyAlignment="1">
      <alignment wrapText="1"/>
    </xf>
    <xf numFmtId="0" fontId="14" fillId="0" borderId="1" xfId="0" applyFont="1" applyBorder="1" applyAlignment="1">
      <alignment wrapText="1"/>
    </xf>
    <xf numFmtId="0" fontId="6" fillId="0" borderId="0" xfId="0" applyFont="1" applyAlignment="1">
      <alignment wrapText="1"/>
    </xf>
    <xf numFmtId="41" fontId="11" fillId="0" borderId="0" xfId="0" applyNumberFormat="1" applyFont="1" applyAlignment="1">
      <alignment horizontal="right" wrapText="1"/>
    </xf>
    <xf numFmtId="0" fontId="4" fillId="0" borderId="0" xfId="0" applyFont="1" applyAlignment="1">
      <alignment vertical="center" wrapText="1"/>
    </xf>
    <xf numFmtId="41" fontId="11" fillId="0" borderId="0" xfId="0" applyNumberFormat="1" applyFont="1" applyAlignment="1">
      <alignment horizontal="right" vertical="center" wrapText="1"/>
    </xf>
    <xf numFmtId="37" fontId="4" fillId="0" borderId="0" xfId="0" applyNumberFormat="1" applyFont="1" applyAlignment="1">
      <alignment vertical="center" wrapText="1"/>
    </xf>
    <xf numFmtId="0" fontId="14" fillId="3" borderId="0" xfId="0" applyFont="1" applyFill="1"/>
    <xf numFmtId="166" fontId="10" fillId="3" borderId="0" xfId="1" applyNumberFormat="1" applyFont="1" applyFill="1" applyBorder="1" applyAlignment="1">
      <alignment horizontal="right" vertical="center" wrapText="1"/>
    </xf>
    <xf numFmtId="166" fontId="27" fillId="3" borderId="0" xfId="1" applyNumberFormat="1" applyFont="1" applyFill="1" applyBorder="1" applyAlignment="1">
      <alignment horizontal="right" vertical="center" wrapText="1"/>
    </xf>
    <xf numFmtId="167" fontId="27" fillId="3" borderId="0" xfId="1" applyNumberFormat="1" applyFont="1" applyFill="1" applyBorder="1" applyAlignment="1">
      <alignment horizontal="right" vertical="center" wrapText="1"/>
    </xf>
    <xf numFmtId="0" fontId="14" fillId="0" borderId="0" xfId="0" applyFont="1"/>
    <xf numFmtId="41" fontId="7" fillId="0" borderId="8" xfId="0" applyNumberFormat="1" applyFont="1" applyBorder="1" applyAlignment="1">
      <alignment horizontal="right" vertical="top" wrapText="1"/>
    </xf>
    <xf numFmtId="7" fontId="24" fillId="0" borderId="0" xfId="0" applyNumberFormat="1" applyFont="1" applyAlignment="1">
      <alignment horizontal="right"/>
    </xf>
    <xf numFmtId="41" fontId="8" fillId="5" borderId="0" xfId="0" applyNumberFormat="1" applyFont="1" applyFill="1" applyAlignment="1">
      <alignment horizontal="right" vertical="top" wrapText="1"/>
    </xf>
    <xf numFmtId="41" fontId="6" fillId="0" borderId="9" xfId="0" applyNumberFormat="1" applyFont="1" applyBorder="1" applyAlignment="1">
      <alignment horizontal="right" vertical="top" wrapText="1"/>
    </xf>
    <xf numFmtId="41" fontId="8" fillId="0" borderId="9" xfId="0" applyNumberFormat="1" applyFont="1" applyBorder="1" applyAlignment="1">
      <alignment horizontal="right" vertical="top" wrapText="1"/>
    </xf>
    <xf numFmtId="43" fontId="20" fillId="0" borderId="10" xfId="0" applyNumberFormat="1" applyFont="1" applyBorder="1" applyAlignment="1">
      <alignment wrapText="1"/>
    </xf>
    <xf numFmtId="0" fontId="8" fillId="0" borderId="8" xfId="0" applyFont="1" applyBorder="1" applyAlignment="1">
      <alignment horizontal="right" vertical="center" wrapText="1"/>
    </xf>
    <xf numFmtId="0" fontId="26" fillId="0" borderId="7" xfId="0" applyFont="1" applyBorder="1" applyAlignment="1">
      <alignment horizontal="right" vertical="top" wrapText="1"/>
    </xf>
    <xf numFmtId="0" fontId="26" fillId="0" borderId="0" xfId="0" applyFont="1" applyAlignment="1">
      <alignment vertical="top" wrapText="1"/>
    </xf>
    <xf numFmtId="41" fontId="6" fillId="0" borderId="13" xfId="0" applyNumberFormat="1" applyFont="1" applyBorder="1" applyAlignment="1">
      <alignment horizontal="right" vertical="top" wrapText="1"/>
    </xf>
    <xf numFmtId="41" fontId="24" fillId="0" borderId="0" xfId="0" applyNumberFormat="1" applyFont="1" applyAlignment="1">
      <alignment vertical="center"/>
    </xf>
    <xf numFmtId="41" fontId="4" fillId="0" borderId="0" xfId="0" applyNumberFormat="1" applyFont="1" applyAlignment="1">
      <alignment vertical="center"/>
    </xf>
    <xf numFmtId="9" fontId="13" fillId="0" borderId="0" xfId="1" applyFont="1" applyFill="1" applyBorder="1" applyAlignment="1">
      <alignment horizontal="right" vertical="center" wrapText="1"/>
    </xf>
    <xf numFmtId="7" fontId="8" fillId="3" borderId="2" xfId="0" applyNumberFormat="1" applyFont="1" applyFill="1" applyBorder="1" applyAlignment="1">
      <alignment horizontal="right" vertical="top" wrapText="1"/>
    </xf>
    <xf numFmtId="0" fontId="8" fillId="5" borderId="8" xfId="0" applyFont="1" applyFill="1" applyBorder="1" applyAlignment="1">
      <alignment horizontal="right" wrapText="1"/>
    </xf>
    <xf numFmtId="5" fontId="8" fillId="5" borderId="2" xfId="0" applyNumberFormat="1" applyFont="1" applyFill="1" applyBorder="1" applyAlignment="1">
      <alignment horizontal="right" vertical="center" wrapText="1"/>
    </xf>
    <xf numFmtId="5" fontId="8" fillId="5" borderId="14" xfId="0" applyNumberFormat="1" applyFont="1" applyFill="1" applyBorder="1" applyAlignment="1">
      <alignment horizontal="right" vertical="center" wrapText="1"/>
    </xf>
    <xf numFmtId="41" fontId="30" fillId="0" borderId="0" xfId="0" applyNumberFormat="1" applyFont="1" applyAlignment="1">
      <alignment vertical="center"/>
    </xf>
    <xf numFmtId="0" fontId="22" fillId="0" borderId="0" xfId="0" applyFont="1" applyAlignment="1">
      <alignment horizontal="left" vertical="center" indent="1"/>
    </xf>
    <xf numFmtId="41" fontId="30" fillId="8" borderId="0" xfId="0" applyNumberFormat="1" applyFont="1" applyFill="1" applyAlignment="1">
      <alignment vertical="center"/>
    </xf>
    <xf numFmtId="9" fontId="10" fillId="0" borderId="2" xfId="1" applyFont="1" applyBorder="1" applyAlignment="1">
      <alignment horizontal="right"/>
    </xf>
    <xf numFmtId="9" fontId="10" fillId="0" borderId="5" xfId="1" applyFont="1" applyBorder="1" applyAlignment="1">
      <alignment horizontal="right"/>
    </xf>
    <xf numFmtId="9" fontId="10" fillId="0" borderId="0" xfId="1" applyFont="1" applyBorder="1" applyAlignment="1">
      <alignment horizontal="right"/>
    </xf>
    <xf numFmtId="0" fontId="2" fillId="2" borderId="0" xfId="0" applyFont="1" applyFill="1" applyAlignment="1">
      <alignment horizontal="center" vertical="center" wrapText="1"/>
    </xf>
    <xf numFmtId="0" fontId="5" fillId="7" borderId="0" xfId="0" applyFont="1" applyFill="1" applyAlignment="1">
      <alignment horizontal="center" vertical="center" wrapText="1"/>
    </xf>
    <xf numFmtId="0" fontId="5" fillId="6" borderId="0" xfId="0" applyFont="1" applyFill="1" applyAlignment="1">
      <alignment horizontal="center" vertical="center" wrapText="1"/>
    </xf>
    <xf numFmtId="0" fontId="28" fillId="2" borderId="0" xfId="0" applyFont="1" applyFill="1" applyAlignment="1">
      <alignment horizontal="center" vertical="center" wrapText="1"/>
    </xf>
    <xf numFmtId="5" fontId="6" fillId="0" borderId="0" xfId="0" applyNumberFormat="1" applyFont="1" applyAlignment="1">
      <alignment horizontal="right" vertical="top" wrapText="1"/>
    </xf>
    <xf numFmtId="0" fontId="4" fillId="0" borderId="0" xfId="0" applyFont="1" applyAlignment="1"/>
    <xf numFmtId="0" fontId="2" fillId="2" borderId="0" xfId="0" applyFont="1" applyFill="1" applyAlignment="1">
      <alignment vertical="center"/>
    </xf>
    <xf numFmtId="0" fontId="2" fillId="2" borderId="3" xfId="0" applyFont="1" applyFill="1" applyBorder="1" applyAlignment="1">
      <alignment horizontal="centerContinuous" vertical="center"/>
    </xf>
    <xf numFmtId="14" fontId="3" fillId="2" borderId="0" xfId="0" applyNumberFormat="1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5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5" fillId="0" borderId="0" xfId="0" applyFont="1" applyAlignment="1"/>
    <xf numFmtId="0" fontId="8" fillId="0" borderId="5" xfId="0" applyFont="1" applyBorder="1" applyAlignment="1">
      <alignment vertical="top"/>
    </xf>
    <xf numFmtId="41" fontId="4" fillId="0" borderId="0" xfId="0" applyNumberFormat="1" applyFont="1" applyAlignment="1"/>
    <xf numFmtId="37" fontId="11" fillId="0" borderId="0" xfId="0" applyNumberFormat="1" applyFont="1" applyAlignment="1">
      <alignment horizontal="right" vertical="top"/>
    </xf>
    <xf numFmtId="41" fontId="6" fillId="0" borderId="0" xfId="0" applyNumberFormat="1" applyFont="1" applyAlignment="1">
      <alignment horizontal="right" vertical="top"/>
    </xf>
    <xf numFmtId="37" fontId="4" fillId="0" borderId="0" xfId="0" applyNumberFormat="1" applyFont="1" applyAlignment="1"/>
    <xf numFmtId="0" fontId="6" fillId="0" borderId="0" xfId="0" applyFont="1" applyAlignment="1">
      <alignment vertical="top"/>
    </xf>
    <xf numFmtId="41" fontId="11" fillId="0" borderId="0" xfId="0" applyNumberFormat="1" applyFont="1" applyAlignment="1"/>
    <xf numFmtId="0" fontId="8" fillId="3" borderId="4" xfId="0" applyFont="1" applyFill="1" applyBorder="1" applyAlignment="1">
      <alignment vertical="top"/>
    </xf>
    <xf numFmtId="5" fontId="8" fillId="3" borderId="2" xfId="0" applyNumberFormat="1" applyFont="1" applyFill="1" applyBorder="1" applyAlignment="1">
      <alignment horizontal="right" vertical="top"/>
    </xf>
    <xf numFmtId="0" fontId="29" fillId="0" borderId="0" xfId="0" applyFont="1" applyAlignment="1">
      <alignment horizontal="right" vertical="center"/>
    </xf>
    <xf numFmtId="41" fontId="23" fillId="0" borderId="0" xfId="0" applyNumberFormat="1" applyFont="1" applyAlignment="1">
      <alignment horizontal="right" vertical="center"/>
    </xf>
    <xf numFmtId="9" fontId="6" fillId="0" borderId="0" xfId="1" applyFont="1" applyAlignment="1">
      <alignment horizontal="left" vertical="top"/>
    </xf>
    <xf numFmtId="9" fontId="11" fillId="0" borderId="0" xfId="1" applyFont="1" applyAlignment="1">
      <alignment horizontal="right" vertical="top"/>
    </xf>
    <xf numFmtId="9" fontId="4" fillId="0" borderId="0" xfId="1" applyFont="1" applyAlignment="1"/>
    <xf numFmtId="9" fontId="12" fillId="0" borderId="0" xfId="1" applyFont="1" applyAlignment="1">
      <alignment horizontal="right" vertical="top"/>
    </xf>
    <xf numFmtId="0" fontId="22" fillId="9" borderId="15" xfId="0" applyFont="1" applyFill="1" applyBorder="1" applyAlignment="1"/>
    <xf numFmtId="9" fontId="30" fillId="0" borderId="2" xfId="1" applyFont="1" applyBorder="1" applyAlignment="1"/>
    <xf numFmtId="9" fontId="10" fillId="0" borderId="2" xfId="1" applyFont="1" applyBorder="1" applyAlignment="1"/>
    <xf numFmtId="9" fontId="10" fillId="0" borderId="16" xfId="1" applyFont="1" applyBorder="1" applyAlignment="1"/>
    <xf numFmtId="0" fontId="22" fillId="9" borderId="19" xfId="0" applyFont="1" applyFill="1" applyBorder="1" applyAlignment="1"/>
    <xf numFmtId="9" fontId="30" fillId="0" borderId="0" xfId="1" applyFont="1" applyBorder="1" applyAlignment="1"/>
    <xf numFmtId="9" fontId="10" fillId="0" borderId="0" xfId="1" applyFont="1" applyBorder="1" applyAlignment="1"/>
    <xf numFmtId="9" fontId="10" fillId="0" borderId="20" xfId="1" applyFont="1" applyBorder="1" applyAlignment="1"/>
    <xf numFmtId="0" fontId="22" fillId="9" borderId="17" xfId="0" applyFont="1" applyFill="1" applyBorder="1" applyAlignment="1"/>
    <xf numFmtId="9" fontId="30" fillId="0" borderId="5" xfId="1" applyFont="1" applyBorder="1" applyAlignment="1"/>
    <xf numFmtId="9" fontId="10" fillId="0" borderId="5" xfId="1" applyFont="1" applyBorder="1" applyAlignment="1"/>
    <xf numFmtId="9" fontId="10" fillId="0" borderId="18" xfId="1" applyFont="1" applyBorder="1" applyAlignment="1"/>
    <xf numFmtId="169" fontId="4" fillId="8" borderId="0" xfId="0" applyNumberFormat="1" applyFont="1" applyFill="1"/>
  </cellXfs>
  <cellStyles count="5">
    <cellStyle name="%" xfId="3" xr:uid="{B2D0E839-0EB6-4A26-A036-4291FCE77A81}"/>
    <cellStyle name="******************************************" xfId="4" xr:uid="{7C8B12D3-B631-462E-992D-9CE2477EE747}"/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00CC"/>
      <color rgb="FF00B03C"/>
      <color rgb="FF487B79"/>
      <color rgb="FF0E567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egral">
  <a:themeElements>
    <a:clrScheme name="Integral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B9F25"/>
      </a:hlink>
      <a:folHlink>
        <a:srgbClr val="B26B02"/>
      </a:folHlink>
    </a:clrScheme>
    <a:fontScheme name="Inte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e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7A1EF-DD86-43F0-AF53-6181CD7220DC}">
  <sheetPr>
    <tabColor rgb="FF002060"/>
  </sheetPr>
  <dimension ref="A2:AH152"/>
  <sheetViews>
    <sheetView showGridLines="0" topLeftCell="A68" zoomScaleNormal="100" workbookViewId="0">
      <selection activeCell="Q84" sqref="Q84"/>
    </sheetView>
  </sheetViews>
  <sheetFormatPr defaultRowHeight="12" outlineLevelCol="3"/>
  <cols>
    <col min="1" max="1" width="1.625" style="5" bestFit="1" customWidth="1"/>
    <col min="2" max="2" width="36.25" style="5" customWidth="1"/>
    <col min="3" max="4" width="9" style="5" hidden="1" customWidth="1" outlineLevel="1"/>
    <col min="5" max="5" width="9" style="5" bestFit="1" customWidth="1" collapsed="1"/>
    <col min="6" max="7" width="9" style="5" bestFit="1" customWidth="1"/>
    <col min="8" max="8" width="1.5" style="5" customWidth="1"/>
    <col min="9" max="12" width="8.875" style="5" customWidth="1" outlineLevel="3"/>
    <col min="13" max="16" width="8.875" style="5" customWidth="1" outlineLevel="2"/>
    <col min="17" max="18" width="8.875" style="5" customWidth="1" outlineLevel="1"/>
    <col min="19" max="23" width="8.875" style="5" bestFit="1" customWidth="1"/>
    <col min="24" max="24" width="1.5" style="5" customWidth="1"/>
    <col min="25" max="27" width="8.75" style="5" customWidth="1" outlineLevel="1"/>
    <col min="28" max="28" width="9" style="5" bestFit="1" customWidth="1"/>
    <col min="29" max="31" width="9" style="5" customWidth="1" outlineLevel="1"/>
    <col min="32" max="32" width="9" style="5" bestFit="1" customWidth="1"/>
    <col min="33" max="33" width="1.25" style="5" customWidth="1"/>
    <col min="34" max="34" width="8" style="5" bestFit="1" customWidth="1"/>
    <col min="35" max="35" width="1.375" style="5" customWidth="1"/>
    <col min="36" max="16384" width="9" style="5"/>
  </cols>
  <sheetData>
    <row r="2" spans="1:34" ht="12.75" customHeight="1">
      <c r="B2" s="1" t="s">
        <v>138</v>
      </c>
      <c r="C2" s="98"/>
      <c r="D2" s="98"/>
      <c r="E2" s="98"/>
      <c r="F2" s="98"/>
      <c r="G2" s="98"/>
      <c r="H2" s="3"/>
      <c r="I2" s="98"/>
      <c r="J2" s="98"/>
      <c r="K2" s="98"/>
      <c r="L2" s="98"/>
      <c r="M2" s="98"/>
      <c r="N2" s="98"/>
      <c r="O2" s="98"/>
      <c r="P2" s="98"/>
      <c r="Q2" s="98"/>
      <c r="R2" s="98"/>
      <c r="S2" s="98"/>
      <c r="T2" s="98"/>
      <c r="U2" s="98"/>
      <c r="V2" s="98"/>
      <c r="W2" s="98"/>
      <c r="X2" s="3"/>
      <c r="Y2" s="98"/>
      <c r="Z2" s="98"/>
      <c r="AA2" s="98"/>
      <c r="AB2" s="98"/>
      <c r="AC2" s="98"/>
      <c r="AD2" s="98"/>
      <c r="AE2" s="98"/>
      <c r="AF2" s="98"/>
      <c r="AG2" s="3"/>
      <c r="AH2" s="1"/>
    </row>
    <row r="3" spans="1:34" ht="12.75" customHeight="1">
      <c r="B3" s="6" t="s">
        <v>74</v>
      </c>
      <c r="C3" s="7"/>
      <c r="D3" s="7"/>
      <c r="E3" s="7"/>
      <c r="F3" s="7"/>
      <c r="G3" s="7"/>
      <c r="H3" s="3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3"/>
      <c r="Y3" s="4"/>
      <c r="Z3" s="4"/>
      <c r="AA3" s="4"/>
      <c r="AB3" s="4"/>
      <c r="AC3" s="4"/>
      <c r="AD3" s="4"/>
      <c r="AE3" s="4"/>
      <c r="AF3" s="4"/>
      <c r="AG3" s="3"/>
      <c r="AH3" s="1"/>
    </row>
    <row r="4" spans="1:34" ht="12.75" customHeight="1">
      <c r="B4" s="6" t="s">
        <v>71</v>
      </c>
      <c r="C4" s="3"/>
      <c r="D4" s="3"/>
      <c r="E4" s="3"/>
      <c r="F4" s="82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1"/>
    </row>
    <row r="6" spans="1:34" ht="12.75" customHeight="1">
      <c r="A6" s="5" t="s">
        <v>16</v>
      </c>
      <c r="B6" s="1" t="s">
        <v>72</v>
      </c>
      <c r="C6" s="2" t="s">
        <v>0</v>
      </c>
      <c r="D6" s="2" t="s">
        <v>0</v>
      </c>
      <c r="E6" s="2"/>
      <c r="F6" s="2"/>
      <c r="G6" s="2"/>
      <c r="H6" s="3"/>
      <c r="I6" s="2" t="s">
        <v>1</v>
      </c>
      <c r="J6" s="2"/>
      <c r="K6" s="2"/>
      <c r="L6" s="2"/>
      <c r="M6" s="2" t="s">
        <v>1</v>
      </c>
      <c r="N6" s="2"/>
      <c r="O6" s="2"/>
      <c r="P6" s="2"/>
      <c r="Q6" s="2"/>
      <c r="R6" s="2"/>
      <c r="S6" s="2" t="s">
        <v>1</v>
      </c>
      <c r="T6" s="2"/>
      <c r="U6" s="2"/>
      <c r="V6" s="2"/>
      <c r="W6" s="2"/>
      <c r="X6" s="3"/>
      <c r="Y6" s="2"/>
      <c r="Z6" s="2"/>
      <c r="AA6" s="2" t="s">
        <v>10</v>
      </c>
      <c r="AB6" s="2" t="s">
        <v>10</v>
      </c>
      <c r="AC6" s="2"/>
      <c r="AD6" s="2"/>
      <c r="AE6" s="2"/>
      <c r="AF6" s="2"/>
      <c r="AG6" s="37"/>
      <c r="AH6" s="150" t="s">
        <v>22</v>
      </c>
    </row>
    <row r="7" spans="1:34" ht="12.75" customHeight="1">
      <c r="B7" s="6" t="s">
        <v>75</v>
      </c>
      <c r="C7" s="7">
        <v>2020</v>
      </c>
      <c r="D7" s="7">
        <v>2021</v>
      </c>
      <c r="E7" s="7">
        <v>2022</v>
      </c>
      <c r="F7" s="7">
        <v>2023</v>
      </c>
      <c r="G7" s="7">
        <v>2024</v>
      </c>
      <c r="H7" s="3"/>
      <c r="I7" s="4" t="s">
        <v>128</v>
      </c>
      <c r="J7" s="4" t="s">
        <v>129</v>
      </c>
      <c r="K7" s="4" t="s">
        <v>130</v>
      </c>
      <c r="L7" s="4" t="s">
        <v>127</v>
      </c>
      <c r="M7" s="4" t="s">
        <v>6</v>
      </c>
      <c r="N7" s="4" t="s">
        <v>7</v>
      </c>
      <c r="O7" s="4" t="s">
        <v>8</v>
      </c>
      <c r="P7" s="4" t="s">
        <v>9</v>
      </c>
      <c r="Q7" s="4" t="s">
        <v>2</v>
      </c>
      <c r="R7" s="4" t="s">
        <v>3</v>
      </c>
      <c r="S7" s="4" t="s">
        <v>4</v>
      </c>
      <c r="T7" s="4" t="s">
        <v>5</v>
      </c>
      <c r="U7" s="4" t="s">
        <v>24</v>
      </c>
      <c r="V7" s="4" t="s">
        <v>25</v>
      </c>
      <c r="W7" s="4" t="s">
        <v>61</v>
      </c>
      <c r="X7" s="3"/>
      <c r="Y7" s="4" t="str">
        <f t="shared" ref="Y7:AF8" si="0">P7</f>
        <v>4Q23</v>
      </c>
      <c r="Z7" s="4" t="str">
        <f t="shared" si="0"/>
        <v>1Q24</v>
      </c>
      <c r="AA7" s="4" t="str">
        <f t="shared" si="0"/>
        <v>2Q24</v>
      </c>
      <c r="AB7" s="4" t="str">
        <f t="shared" si="0"/>
        <v>3Q24</v>
      </c>
      <c r="AC7" s="4" t="str">
        <f t="shared" si="0"/>
        <v>4Q24</v>
      </c>
      <c r="AD7" s="4" t="str">
        <f t="shared" si="0"/>
        <v>1Q25</v>
      </c>
      <c r="AE7" s="4" t="str">
        <f t="shared" si="0"/>
        <v>2Q25</v>
      </c>
      <c r="AF7" s="4" t="str">
        <f t="shared" si="0"/>
        <v>3Q25</v>
      </c>
      <c r="AG7" s="37"/>
      <c r="AH7" s="150"/>
    </row>
    <row r="8" spans="1:34" ht="12.75" customHeight="1">
      <c r="B8" s="6" t="s">
        <v>76</v>
      </c>
      <c r="C8" s="3">
        <v>44196</v>
      </c>
      <c r="D8" s="3">
        <v>44561</v>
      </c>
      <c r="E8" s="3">
        <v>44926</v>
      </c>
      <c r="F8" s="82">
        <v>45291</v>
      </c>
      <c r="G8" s="82">
        <v>45657</v>
      </c>
      <c r="H8" s="3"/>
      <c r="I8" s="3">
        <v>44651</v>
      </c>
      <c r="J8" s="3">
        <v>44742</v>
      </c>
      <c r="K8" s="3">
        <v>44834</v>
      </c>
      <c r="L8" s="3">
        <f>E8</f>
        <v>44926</v>
      </c>
      <c r="M8" s="3">
        <v>45016</v>
      </c>
      <c r="N8" s="3">
        <v>45107</v>
      </c>
      <c r="O8" s="3">
        <v>45199</v>
      </c>
      <c r="P8" s="3">
        <f>F8</f>
        <v>45291</v>
      </c>
      <c r="Q8" s="3">
        <v>45382</v>
      </c>
      <c r="R8" s="3">
        <v>45473</v>
      </c>
      <c r="S8" s="3">
        <v>45565</v>
      </c>
      <c r="T8" s="3">
        <f>G8</f>
        <v>45657</v>
      </c>
      <c r="U8" s="3">
        <v>45747</v>
      </c>
      <c r="V8" s="3">
        <v>45838</v>
      </c>
      <c r="W8" s="3">
        <v>45930</v>
      </c>
      <c r="X8" s="3"/>
      <c r="Y8" s="3">
        <f t="shared" si="0"/>
        <v>45291</v>
      </c>
      <c r="Z8" s="3">
        <f t="shared" si="0"/>
        <v>45382</v>
      </c>
      <c r="AA8" s="3">
        <f t="shared" si="0"/>
        <v>45473</v>
      </c>
      <c r="AB8" s="3">
        <f t="shared" si="0"/>
        <v>45565</v>
      </c>
      <c r="AC8" s="3">
        <f t="shared" si="0"/>
        <v>45657</v>
      </c>
      <c r="AD8" s="3">
        <f t="shared" si="0"/>
        <v>45747</v>
      </c>
      <c r="AE8" s="3">
        <f t="shared" si="0"/>
        <v>45838</v>
      </c>
      <c r="AF8" s="3">
        <f t="shared" si="0"/>
        <v>45930</v>
      </c>
      <c r="AG8" s="37"/>
      <c r="AH8" s="150"/>
    </row>
    <row r="9" spans="1:34" ht="5.0999999999999996" customHeight="1">
      <c r="AH9" s="97"/>
    </row>
    <row r="10" spans="1:34" ht="12.75" customHeight="1">
      <c r="B10" s="9" t="s">
        <v>56</v>
      </c>
      <c r="C10" s="92">
        <v>386064</v>
      </c>
      <c r="D10" s="92">
        <v>469822</v>
      </c>
      <c r="E10" s="92">
        <v>513983</v>
      </c>
      <c r="F10" s="92">
        <v>574785</v>
      </c>
      <c r="G10" s="92">
        <v>637959</v>
      </c>
      <c r="H10" s="11"/>
      <c r="I10" s="92">
        <v>116444</v>
      </c>
      <c r="J10" s="92">
        <v>121234</v>
      </c>
      <c r="K10" s="92">
        <v>127101</v>
      </c>
      <c r="L10" s="31">
        <v>149204</v>
      </c>
      <c r="M10" s="92">
        <v>127358</v>
      </c>
      <c r="N10" s="92">
        <v>134383</v>
      </c>
      <c r="O10" s="92">
        <v>143083</v>
      </c>
      <c r="P10" s="31">
        <v>169961</v>
      </c>
      <c r="Q10" s="92">
        <v>143313</v>
      </c>
      <c r="R10" s="92">
        <v>147977</v>
      </c>
      <c r="S10" s="92">
        <v>158877</v>
      </c>
      <c r="T10" s="31">
        <v>187792</v>
      </c>
      <c r="U10" s="79">
        <v>155667</v>
      </c>
      <c r="V10" s="79">
        <v>167702</v>
      </c>
      <c r="W10" s="79">
        <v>180169</v>
      </c>
      <c r="Y10" s="31">
        <f t="shared" ref="Y10:AF10" si="1">SUM(M10:P10)</f>
        <v>574785</v>
      </c>
      <c r="Z10" s="31">
        <f t="shared" si="1"/>
        <v>590740</v>
      </c>
      <c r="AA10" s="31">
        <f t="shared" si="1"/>
        <v>604334</v>
      </c>
      <c r="AB10" s="31">
        <f t="shared" si="1"/>
        <v>620128</v>
      </c>
      <c r="AC10" s="31">
        <f t="shared" si="1"/>
        <v>637959</v>
      </c>
      <c r="AD10" s="31">
        <f t="shared" si="1"/>
        <v>650313</v>
      </c>
      <c r="AE10" s="31">
        <f t="shared" si="1"/>
        <v>670038</v>
      </c>
      <c r="AF10" s="31">
        <f t="shared" si="1"/>
        <v>691330</v>
      </c>
      <c r="AG10" s="39"/>
      <c r="AH10" s="12">
        <f>SUM(AF10/AB10)-1</f>
        <v>0.11481823107487488</v>
      </c>
    </row>
    <row r="11" spans="1:34" ht="12.75" customHeight="1">
      <c r="B11" s="13" t="s">
        <v>12</v>
      </c>
      <c r="C11" s="14">
        <f t="shared" ref="C11" si="2">+SUM(C10:C10)</f>
        <v>386064</v>
      </c>
      <c r="D11" s="14">
        <f t="shared" ref="D11:G11" si="3">+SUM(D10:D10)</f>
        <v>469822</v>
      </c>
      <c r="E11" s="14">
        <f t="shared" si="3"/>
        <v>513983</v>
      </c>
      <c r="F11" s="14">
        <f t="shared" si="3"/>
        <v>574785</v>
      </c>
      <c r="G11" s="14">
        <f t="shared" si="3"/>
        <v>637959</v>
      </c>
      <c r="H11" s="11"/>
      <c r="I11" s="14">
        <f t="shared" ref="I11:L11" si="4">+SUM(I10:I10)</f>
        <v>116444</v>
      </c>
      <c r="J11" s="14">
        <f t="shared" ref="J11" si="5">+SUM(J10:J10)</f>
        <v>121234</v>
      </c>
      <c r="K11" s="14">
        <f t="shared" si="4"/>
        <v>127101</v>
      </c>
      <c r="L11" s="14">
        <f t="shared" si="4"/>
        <v>149204</v>
      </c>
      <c r="M11" s="14">
        <f t="shared" ref="M11:V11" si="6">+SUM(M10:M10)</f>
        <v>127358</v>
      </c>
      <c r="N11" s="14">
        <f t="shared" si="6"/>
        <v>134383</v>
      </c>
      <c r="O11" s="14">
        <f t="shared" si="6"/>
        <v>143083</v>
      </c>
      <c r="P11" s="14">
        <f t="shared" si="6"/>
        <v>169961</v>
      </c>
      <c r="Q11" s="14">
        <f t="shared" si="6"/>
        <v>143313</v>
      </c>
      <c r="R11" s="14">
        <f t="shared" si="6"/>
        <v>147977</v>
      </c>
      <c r="S11" s="14">
        <f t="shared" si="6"/>
        <v>158877</v>
      </c>
      <c r="T11" s="14">
        <f t="shared" si="6"/>
        <v>187792</v>
      </c>
      <c r="U11" s="14">
        <f t="shared" si="6"/>
        <v>155667</v>
      </c>
      <c r="V11" s="14">
        <f t="shared" si="6"/>
        <v>167702</v>
      </c>
      <c r="W11" s="14">
        <f>+SUM(W10:W10)</f>
        <v>180169</v>
      </c>
      <c r="Y11" s="14">
        <f t="shared" ref="Y11:AE11" si="7">+SUM(Y10:Y10)</f>
        <v>574785</v>
      </c>
      <c r="Z11" s="14">
        <f t="shared" si="7"/>
        <v>590740</v>
      </c>
      <c r="AA11" s="14">
        <f t="shared" si="7"/>
        <v>604334</v>
      </c>
      <c r="AB11" s="14">
        <f t="shared" si="7"/>
        <v>620128</v>
      </c>
      <c r="AC11" s="14">
        <f t="shared" si="7"/>
        <v>637959</v>
      </c>
      <c r="AD11" s="14">
        <f t="shared" si="7"/>
        <v>650313</v>
      </c>
      <c r="AE11" s="14">
        <f t="shared" si="7"/>
        <v>670038</v>
      </c>
      <c r="AF11" s="14">
        <f>+SUM(AF10:AF10)</f>
        <v>691330</v>
      </c>
      <c r="AG11" s="39"/>
      <c r="AH11" s="15">
        <f>SUM(AF11/AB11)-1</f>
        <v>0.11481823107487488</v>
      </c>
    </row>
    <row r="12" spans="1:34" s="20" customFormat="1" ht="5.0999999999999996" customHeight="1">
      <c r="B12" s="18"/>
      <c r="C12" s="19"/>
      <c r="D12" s="19"/>
      <c r="E12" s="19"/>
      <c r="F12" s="19"/>
      <c r="G12" s="19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2"/>
      <c r="V12" s="21"/>
      <c r="W12" s="21"/>
      <c r="AH12" s="73"/>
    </row>
    <row r="13" spans="1:34" s="20" customFormat="1">
      <c r="B13" s="9" t="s">
        <v>134</v>
      </c>
      <c r="C13" s="79">
        <v>-233307</v>
      </c>
      <c r="D13" s="79">
        <v>-272344</v>
      </c>
      <c r="E13" s="79">
        <v>-288831</v>
      </c>
      <c r="F13" s="79">
        <v>-304739</v>
      </c>
      <c r="G13" s="79">
        <v>-326288</v>
      </c>
      <c r="H13" s="31"/>
      <c r="I13" s="79">
        <v>-66499</v>
      </c>
      <c r="J13" s="79">
        <v>-66424</v>
      </c>
      <c r="K13" s="79">
        <v>-70268</v>
      </c>
      <c r="L13" s="31">
        <f t="shared" ref="L13" si="8">SUM(E13-SUM(I13:K13))</f>
        <v>-85640</v>
      </c>
      <c r="M13" s="79">
        <v>-67791</v>
      </c>
      <c r="N13" s="79">
        <v>-69373</v>
      </c>
      <c r="O13" s="79">
        <v>-75022</v>
      </c>
      <c r="P13" s="31">
        <f>SUM(F13-SUM(M13:O13))</f>
        <v>-92553</v>
      </c>
      <c r="Q13" s="79">
        <v>-72633</v>
      </c>
      <c r="R13" s="79">
        <v>-73785</v>
      </c>
      <c r="S13" s="79">
        <v>-80977</v>
      </c>
      <c r="T13" s="31">
        <f>SUM(G13-SUM(Q13:S13))</f>
        <v>-98893</v>
      </c>
      <c r="U13" s="79">
        <v>-76976</v>
      </c>
      <c r="V13" s="79">
        <v>-80809</v>
      </c>
      <c r="W13" s="79">
        <v>-88670</v>
      </c>
      <c r="X13" s="5"/>
      <c r="Y13" s="31">
        <f t="shared" ref="Y13:AF13" si="9">SUM(M13:P13)</f>
        <v>-304739</v>
      </c>
      <c r="Z13" s="31">
        <f t="shared" si="9"/>
        <v>-309581</v>
      </c>
      <c r="AA13" s="31">
        <f t="shared" si="9"/>
        <v>-313993</v>
      </c>
      <c r="AB13" s="31">
        <f t="shared" si="9"/>
        <v>-319948</v>
      </c>
      <c r="AC13" s="31">
        <f t="shared" si="9"/>
        <v>-326288</v>
      </c>
      <c r="AD13" s="31">
        <f t="shared" si="9"/>
        <v>-330631</v>
      </c>
      <c r="AE13" s="31">
        <f t="shared" si="9"/>
        <v>-337655</v>
      </c>
      <c r="AF13" s="31">
        <f t="shared" si="9"/>
        <v>-345348</v>
      </c>
      <c r="AG13" s="11"/>
      <c r="AH13" s="73">
        <f t="shared" ref="AH13" si="10">SUM(AF13/AB13)-1</f>
        <v>7.9387900533836708E-2</v>
      </c>
    </row>
    <row r="14" spans="1:34" s="20" customFormat="1">
      <c r="B14" s="24" t="s">
        <v>20</v>
      </c>
      <c r="C14" s="25">
        <f>SUM(C11+C13)</f>
        <v>152757</v>
      </c>
      <c r="D14" s="25">
        <f t="shared" ref="D14:G14" si="11">SUM(D11+D13)</f>
        <v>197478</v>
      </c>
      <c r="E14" s="25">
        <f t="shared" si="11"/>
        <v>225152</v>
      </c>
      <c r="F14" s="25">
        <f t="shared" si="11"/>
        <v>270046</v>
      </c>
      <c r="G14" s="25">
        <f t="shared" si="11"/>
        <v>311671</v>
      </c>
      <c r="H14" s="31"/>
      <c r="I14" s="25">
        <f t="shared" ref="I14" si="12">SUM(I11+I13)</f>
        <v>49945</v>
      </c>
      <c r="J14" s="25">
        <f t="shared" ref="J14" si="13">SUM(J11+J13)</f>
        <v>54810</v>
      </c>
      <c r="K14" s="25">
        <f t="shared" ref="K14" si="14">SUM(K11+K13)</f>
        <v>56833</v>
      </c>
      <c r="L14" s="25">
        <f t="shared" ref="L14" si="15">SUM(L11+L13)</f>
        <v>63564</v>
      </c>
      <c r="M14" s="25">
        <f t="shared" ref="M14" si="16">SUM(M11+M13)</f>
        <v>59567</v>
      </c>
      <c r="N14" s="25">
        <f t="shared" ref="N14" si="17">SUM(N11+N13)</f>
        <v>65010</v>
      </c>
      <c r="O14" s="25">
        <f t="shared" ref="O14" si="18">SUM(O11+O13)</f>
        <v>68061</v>
      </c>
      <c r="P14" s="25">
        <f t="shared" ref="P14" si="19">SUM(P11+P13)</f>
        <v>77408</v>
      </c>
      <c r="Q14" s="25">
        <f t="shared" ref="Q14" si="20">SUM(Q11+Q13)</f>
        <v>70680</v>
      </c>
      <c r="R14" s="25">
        <f t="shared" ref="R14" si="21">SUM(R11+R13)</f>
        <v>74192</v>
      </c>
      <c r="S14" s="25">
        <f t="shared" ref="S14" si="22">SUM(S11+S13)</f>
        <v>77900</v>
      </c>
      <c r="T14" s="25">
        <f t="shared" ref="T14" si="23">SUM(T11+T13)</f>
        <v>88899</v>
      </c>
      <c r="U14" s="25">
        <f t="shared" ref="U14" si="24">SUM(U11+U13)</f>
        <v>78691</v>
      </c>
      <c r="V14" s="25">
        <f t="shared" ref="V14" si="25">SUM(V11+V13)</f>
        <v>86893</v>
      </c>
      <c r="W14" s="25">
        <f t="shared" ref="W14" si="26">SUM(W11+W13)</f>
        <v>91499</v>
      </c>
      <c r="X14" s="5"/>
      <c r="Y14" s="25">
        <f t="shared" ref="Y14" si="27">SUM(Y11+Y13)</f>
        <v>270046</v>
      </c>
      <c r="Z14" s="25">
        <f t="shared" ref="Z14" si="28">SUM(Z11+Z13)</f>
        <v>281159</v>
      </c>
      <c r="AA14" s="25">
        <f t="shared" ref="AA14" si="29">SUM(AA11+AA13)</f>
        <v>290341</v>
      </c>
      <c r="AB14" s="25">
        <f t="shared" ref="AB14" si="30">SUM(AB11+AB13)</f>
        <v>300180</v>
      </c>
      <c r="AC14" s="25">
        <f t="shared" ref="AC14" si="31">SUM(AC11+AC13)</f>
        <v>311671</v>
      </c>
      <c r="AD14" s="25">
        <f t="shared" ref="AD14" si="32">SUM(AD11+AD13)</f>
        <v>319682</v>
      </c>
      <c r="AE14" s="25">
        <f t="shared" ref="AE14" si="33">SUM(AE11+AE13)</f>
        <v>332383</v>
      </c>
      <c r="AF14" s="25">
        <f t="shared" ref="AF14" si="34">SUM(AF11+AF13)</f>
        <v>345982</v>
      </c>
      <c r="AG14" s="11"/>
      <c r="AH14" s="74">
        <f>SUM(AF14/AB14)-1</f>
        <v>0.15258178426277569</v>
      </c>
    </row>
    <row r="15" spans="1:34" s="20" customFormat="1">
      <c r="B15" s="16" t="s">
        <v>29</v>
      </c>
      <c r="C15" s="17">
        <f>C14/C11</f>
        <v>0.3956779186870571</v>
      </c>
      <c r="D15" s="17">
        <f t="shared" ref="D15:G15" si="35">D14/D11</f>
        <v>0.42032514441639601</v>
      </c>
      <c r="E15" s="17">
        <f t="shared" si="35"/>
        <v>0.43805339865326287</v>
      </c>
      <c r="F15" s="17">
        <f t="shared" si="35"/>
        <v>0.46982088955000567</v>
      </c>
      <c r="G15" s="17">
        <f t="shared" si="35"/>
        <v>0.48854393464156787</v>
      </c>
      <c r="H15" s="31"/>
      <c r="I15" s="17">
        <f t="shared" ref="I15" si="36">I14/I11</f>
        <v>0.42891862182680085</v>
      </c>
      <c r="J15" s="17">
        <f t="shared" ref="J15" si="37">J14/J11</f>
        <v>0.4521008957883102</v>
      </c>
      <c r="K15" s="17">
        <f t="shared" ref="K15" si="38">K14/K11</f>
        <v>0.44714833085498934</v>
      </c>
      <c r="L15" s="17">
        <f t="shared" ref="L15" si="39">L14/L11</f>
        <v>0.42602075011393797</v>
      </c>
      <c r="M15" s="17">
        <f t="shared" ref="M15" si="40">M14/M11</f>
        <v>0.46771306082067871</v>
      </c>
      <c r="N15" s="17">
        <f t="shared" ref="N15" si="41">N14/N11</f>
        <v>0.48376654785203488</v>
      </c>
      <c r="O15" s="17">
        <f t="shared" ref="O15" si="42">O14/O11</f>
        <v>0.47567495789157344</v>
      </c>
      <c r="P15" s="17">
        <f t="shared" ref="P15" si="43">P14/P11</f>
        <v>0.45544566106342044</v>
      </c>
      <c r="Q15" s="17">
        <f t="shared" ref="Q15" si="44">Q14/Q11</f>
        <v>0.49318624269954575</v>
      </c>
      <c r="R15" s="17">
        <f t="shared" ref="R15" si="45">R14/R11</f>
        <v>0.50137521371564497</v>
      </c>
      <c r="S15" s="17">
        <f t="shared" ref="S15" si="46">S14/S11</f>
        <v>0.49031640829069029</v>
      </c>
      <c r="T15" s="17">
        <f t="shared" ref="T15" si="47">T14/T11</f>
        <v>0.47339077276987307</v>
      </c>
      <c r="U15" s="17">
        <f t="shared" ref="U15" si="48">U14/U11</f>
        <v>0.50550855351487467</v>
      </c>
      <c r="V15" s="17">
        <f t="shared" ref="V15" si="49">V14/V11</f>
        <v>0.51813931855314788</v>
      </c>
      <c r="W15" s="17">
        <f t="shared" ref="W15" si="50">W14/W11</f>
        <v>0.50785096215220149</v>
      </c>
      <c r="X15" s="5"/>
      <c r="Y15" s="17">
        <f t="shared" ref="Y15" si="51">Y14/Y11</f>
        <v>0.46982088955000567</v>
      </c>
      <c r="Z15" s="17">
        <f t="shared" ref="Z15" si="52">Z14/Z11</f>
        <v>0.47594373159088599</v>
      </c>
      <c r="AA15" s="17">
        <f t="shared" ref="AA15" si="53">AA14/AA11</f>
        <v>0.48043135087550926</v>
      </c>
      <c r="AB15" s="17">
        <f t="shared" ref="AB15" si="54">AB14/AB11</f>
        <v>0.4840613550750813</v>
      </c>
      <c r="AC15" s="17">
        <f t="shared" ref="AC15" si="55">AC14/AC11</f>
        <v>0.48854393464156787</v>
      </c>
      <c r="AD15" s="17">
        <f t="shared" ref="AD15" si="56">AD14/AD11</f>
        <v>0.49158174602076232</v>
      </c>
      <c r="AE15" s="17">
        <f t="shared" ref="AE15" si="57">AE14/AE11</f>
        <v>0.49606589477014734</v>
      </c>
      <c r="AF15" s="17">
        <f t="shared" ref="AF15" si="58">AF14/AF11</f>
        <v>0.50045853644424521</v>
      </c>
      <c r="AG15" s="11"/>
      <c r="AH15" s="75">
        <f>SUM(AF15-AB15)*1000</f>
        <v>16.397181369163903</v>
      </c>
    </row>
    <row r="16" spans="1:34" s="20" customFormat="1" ht="5.0999999999999996" customHeight="1">
      <c r="B16" s="18"/>
      <c r="C16" s="19"/>
      <c r="D16" s="19"/>
      <c r="E16" s="19"/>
      <c r="F16" s="19"/>
      <c r="G16" s="19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2"/>
      <c r="V16" s="21"/>
      <c r="W16" s="21"/>
      <c r="AH16" s="73"/>
    </row>
    <row r="17" spans="2:34" ht="12.75" customHeight="1">
      <c r="B17" s="9" t="s">
        <v>161</v>
      </c>
      <c r="C17" s="79">
        <v>-58517</v>
      </c>
      <c r="D17" s="79">
        <v>-75111</v>
      </c>
      <c r="E17" s="79">
        <v>-84299</v>
      </c>
      <c r="F17" s="79">
        <v>-90619</v>
      </c>
      <c r="G17" s="79">
        <v>-98505</v>
      </c>
      <c r="H17" s="31"/>
      <c r="I17" s="79">
        <v>-20271</v>
      </c>
      <c r="J17" s="79">
        <v>-20342</v>
      </c>
      <c r="K17" s="79">
        <v>-20583</v>
      </c>
      <c r="L17" s="31">
        <f t="shared" ref="L17:L21" si="59">SUM(E17-SUM(I17:K17))</f>
        <v>-23103</v>
      </c>
      <c r="M17" s="79">
        <v>-20905</v>
      </c>
      <c r="N17" s="79">
        <v>-21305</v>
      </c>
      <c r="O17" s="79">
        <v>-22314</v>
      </c>
      <c r="P17" s="31">
        <f t="shared" ref="P17:P21" si="60">SUM(F17-SUM(M17:O17))</f>
        <v>-26095</v>
      </c>
      <c r="Q17" s="79">
        <v>-22317</v>
      </c>
      <c r="R17" s="79">
        <v>-23566</v>
      </c>
      <c r="S17" s="79">
        <v>-24660</v>
      </c>
      <c r="T17" s="31">
        <f t="shared" ref="T17:T21" si="61">SUM(G17-SUM(Q17:S17))</f>
        <v>-27962</v>
      </c>
      <c r="U17" s="79">
        <v>-24593</v>
      </c>
      <c r="V17" s="79">
        <v>-25976</v>
      </c>
      <c r="W17" s="79">
        <v>-27679</v>
      </c>
      <c r="Y17" s="31">
        <f t="shared" ref="Y17:AF21" si="62">SUM(M17:P17)</f>
        <v>-90619</v>
      </c>
      <c r="Z17" s="31">
        <f t="shared" si="62"/>
        <v>-92031</v>
      </c>
      <c r="AA17" s="31">
        <f t="shared" si="62"/>
        <v>-94292</v>
      </c>
      <c r="AB17" s="31">
        <f t="shared" si="62"/>
        <v>-96638</v>
      </c>
      <c r="AC17" s="31">
        <f t="shared" si="62"/>
        <v>-98505</v>
      </c>
      <c r="AD17" s="31">
        <f t="shared" si="62"/>
        <v>-100781</v>
      </c>
      <c r="AE17" s="31">
        <f t="shared" si="62"/>
        <v>-103191</v>
      </c>
      <c r="AF17" s="31">
        <f t="shared" si="62"/>
        <v>-106210</v>
      </c>
      <c r="AG17" s="11"/>
      <c r="AH17" s="73">
        <f>SUM(AF17/AB17)-1</f>
        <v>9.9050063122167353E-2</v>
      </c>
    </row>
    <row r="18" spans="2:34" ht="12.75" customHeight="1">
      <c r="B18" s="9" t="s">
        <v>162</v>
      </c>
      <c r="C18" s="79">
        <v>-42740</v>
      </c>
      <c r="D18" s="79">
        <v>-56052</v>
      </c>
      <c r="E18" s="79">
        <v>-73213</v>
      </c>
      <c r="F18" s="79">
        <v>-85622</v>
      </c>
      <c r="G18" s="79">
        <v>-88544</v>
      </c>
      <c r="H18" s="31"/>
      <c r="I18" s="79">
        <v>-14842</v>
      </c>
      <c r="J18" s="79">
        <v>-18072</v>
      </c>
      <c r="K18" s="79">
        <v>-19485</v>
      </c>
      <c r="L18" s="31">
        <f t="shared" si="59"/>
        <v>-20814</v>
      </c>
      <c r="M18" s="79">
        <v>-20450</v>
      </c>
      <c r="N18" s="79">
        <v>-21931</v>
      </c>
      <c r="O18" s="79">
        <v>-21203</v>
      </c>
      <c r="P18" s="31">
        <f t="shared" si="60"/>
        <v>-22038</v>
      </c>
      <c r="Q18" s="79">
        <v>-20424</v>
      </c>
      <c r="R18" s="79">
        <v>-22304</v>
      </c>
      <c r="S18" s="79">
        <v>-22245</v>
      </c>
      <c r="T18" s="31">
        <f t="shared" si="61"/>
        <v>-23571</v>
      </c>
      <c r="U18" s="79">
        <v>-22994</v>
      </c>
      <c r="V18" s="79">
        <v>-27166</v>
      </c>
      <c r="W18" s="79">
        <v>-28962</v>
      </c>
      <c r="Y18" s="31">
        <f t="shared" si="62"/>
        <v>-85622</v>
      </c>
      <c r="Z18" s="31">
        <f t="shared" si="62"/>
        <v>-85596</v>
      </c>
      <c r="AA18" s="31">
        <f t="shared" si="62"/>
        <v>-85969</v>
      </c>
      <c r="AB18" s="31">
        <f t="shared" si="62"/>
        <v>-87011</v>
      </c>
      <c r="AC18" s="31">
        <f t="shared" si="62"/>
        <v>-88544</v>
      </c>
      <c r="AD18" s="31">
        <f t="shared" si="62"/>
        <v>-91114</v>
      </c>
      <c r="AE18" s="31">
        <f t="shared" si="62"/>
        <v>-95976</v>
      </c>
      <c r="AF18" s="31">
        <f t="shared" si="62"/>
        <v>-102693</v>
      </c>
      <c r="AG18" s="11"/>
      <c r="AH18" s="73">
        <f t="shared" ref="AH18:AH21" si="63">SUM(AF18/AB18)-1</f>
        <v>0.18023008585121425</v>
      </c>
    </row>
    <row r="19" spans="2:34" ht="12.75" customHeight="1">
      <c r="B19" s="9" t="s">
        <v>163</v>
      </c>
      <c r="C19" s="79">
        <v>-22008</v>
      </c>
      <c r="D19" s="79">
        <v>-32551</v>
      </c>
      <c r="E19" s="79">
        <v>-42238</v>
      </c>
      <c r="F19" s="79">
        <v>-44370</v>
      </c>
      <c r="G19" s="79">
        <v>-43907</v>
      </c>
      <c r="H19" s="31"/>
      <c r="I19" s="79">
        <v>-8320</v>
      </c>
      <c r="J19" s="79">
        <v>-10086</v>
      </c>
      <c r="K19" s="79">
        <v>-11014</v>
      </c>
      <c r="L19" s="31">
        <f t="shared" si="59"/>
        <v>-12818</v>
      </c>
      <c r="M19" s="79">
        <v>-10172</v>
      </c>
      <c r="N19" s="79">
        <v>-10745</v>
      </c>
      <c r="O19" s="79">
        <v>-10551</v>
      </c>
      <c r="P19" s="31">
        <f t="shared" si="60"/>
        <v>-12902</v>
      </c>
      <c r="Q19" s="79">
        <v>-9662</v>
      </c>
      <c r="R19" s="79">
        <v>-10512</v>
      </c>
      <c r="S19" s="79">
        <v>-10609</v>
      </c>
      <c r="T19" s="31">
        <f t="shared" si="61"/>
        <v>-13124</v>
      </c>
      <c r="U19" s="79">
        <v>-9763</v>
      </c>
      <c r="V19" s="79">
        <v>-11416</v>
      </c>
      <c r="W19" s="79">
        <v>-11686</v>
      </c>
      <c r="Y19" s="31">
        <f t="shared" si="62"/>
        <v>-44370</v>
      </c>
      <c r="Z19" s="31">
        <f t="shared" si="62"/>
        <v>-43860</v>
      </c>
      <c r="AA19" s="31">
        <f t="shared" si="62"/>
        <v>-43627</v>
      </c>
      <c r="AB19" s="31">
        <f t="shared" si="62"/>
        <v>-43685</v>
      </c>
      <c r="AC19" s="31">
        <f t="shared" si="62"/>
        <v>-43907</v>
      </c>
      <c r="AD19" s="31">
        <f t="shared" si="62"/>
        <v>-44008</v>
      </c>
      <c r="AE19" s="31">
        <f t="shared" si="62"/>
        <v>-44912</v>
      </c>
      <c r="AF19" s="31">
        <f t="shared" si="62"/>
        <v>-45989</v>
      </c>
      <c r="AG19" s="11"/>
      <c r="AH19" s="73">
        <f t="shared" si="63"/>
        <v>5.274121552020139E-2</v>
      </c>
    </row>
    <row r="20" spans="2:34" ht="12.75" customHeight="1">
      <c r="B20" s="9" t="s">
        <v>164</v>
      </c>
      <c r="C20" s="79">
        <v>-6668</v>
      </c>
      <c r="D20" s="79">
        <v>-8823</v>
      </c>
      <c r="E20" s="79">
        <v>-11891</v>
      </c>
      <c r="F20" s="79">
        <v>-11816</v>
      </c>
      <c r="G20" s="79">
        <v>-11359</v>
      </c>
      <c r="H20" s="31"/>
      <c r="I20" s="79">
        <v>-2594</v>
      </c>
      <c r="J20" s="79">
        <v>-2903</v>
      </c>
      <c r="K20" s="79">
        <v>-3061</v>
      </c>
      <c r="L20" s="31">
        <f t="shared" si="59"/>
        <v>-3333</v>
      </c>
      <c r="M20" s="79">
        <v>-3043</v>
      </c>
      <c r="N20" s="79">
        <v>-3202</v>
      </c>
      <c r="O20" s="79">
        <v>-2561</v>
      </c>
      <c r="P20" s="31">
        <f t="shared" si="60"/>
        <v>-3010</v>
      </c>
      <c r="Q20" s="79">
        <v>-2742</v>
      </c>
      <c r="R20" s="79">
        <v>-3041</v>
      </c>
      <c r="S20" s="79">
        <v>-2713</v>
      </c>
      <c r="T20" s="31">
        <f t="shared" si="61"/>
        <v>-2863</v>
      </c>
      <c r="U20" s="79">
        <v>-2628</v>
      </c>
      <c r="V20" s="79">
        <v>-2965</v>
      </c>
      <c r="W20" s="79">
        <v>-2875</v>
      </c>
      <c r="Y20" s="31">
        <f t="shared" si="62"/>
        <v>-11816</v>
      </c>
      <c r="Z20" s="31">
        <f t="shared" si="62"/>
        <v>-11515</v>
      </c>
      <c r="AA20" s="31">
        <f t="shared" si="62"/>
        <v>-11354</v>
      </c>
      <c r="AB20" s="31">
        <f t="shared" si="62"/>
        <v>-11506</v>
      </c>
      <c r="AC20" s="31">
        <f t="shared" si="62"/>
        <v>-11359</v>
      </c>
      <c r="AD20" s="31">
        <f t="shared" si="62"/>
        <v>-11245</v>
      </c>
      <c r="AE20" s="31">
        <f t="shared" si="62"/>
        <v>-11169</v>
      </c>
      <c r="AF20" s="31">
        <f t="shared" si="62"/>
        <v>-11331</v>
      </c>
      <c r="AG20" s="11"/>
      <c r="AH20" s="73">
        <f t="shared" ref="AH20" si="64">SUM(AF20/AB20)-1</f>
        <v>-1.52094559360334E-2</v>
      </c>
    </row>
    <row r="21" spans="2:34" ht="12.75" customHeight="1">
      <c r="B21" s="9" t="s">
        <v>165</v>
      </c>
      <c r="C21" s="79">
        <v>75</v>
      </c>
      <c r="D21" s="79">
        <v>-62</v>
      </c>
      <c r="E21" s="79">
        <v>-1263</v>
      </c>
      <c r="F21" s="79">
        <v>-767</v>
      </c>
      <c r="G21" s="79">
        <v>-763</v>
      </c>
      <c r="H21" s="31"/>
      <c r="I21" s="79">
        <v>-249</v>
      </c>
      <c r="J21" s="79">
        <v>-90</v>
      </c>
      <c r="K21" s="79">
        <v>-165</v>
      </c>
      <c r="L21" s="31">
        <f t="shared" si="59"/>
        <v>-759</v>
      </c>
      <c r="M21" s="79">
        <v>-223</v>
      </c>
      <c r="N21" s="79">
        <v>-146</v>
      </c>
      <c r="O21" s="79">
        <v>-244</v>
      </c>
      <c r="P21" s="31">
        <f t="shared" si="60"/>
        <v>-154</v>
      </c>
      <c r="Q21" s="79">
        <v>-228</v>
      </c>
      <c r="R21" s="79">
        <v>-97</v>
      </c>
      <c r="S21" s="79">
        <v>-262</v>
      </c>
      <c r="T21" s="31">
        <f t="shared" si="61"/>
        <v>-176</v>
      </c>
      <c r="U21" s="79">
        <v>-308</v>
      </c>
      <c r="V21" s="79">
        <v>-199</v>
      </c>
      <c r="W21" s="79">
        <v>-2875</v>
      </c>
      <c r="Y21" s="31">
        <f t="shared" si="62"/>
        <v>-767</v>
      </c>
      <c r="Z21" s="31">
        <f t="shared" si="62"/>
        <v>-772</v>
      </c>
      <c r="AA21" s="31">
        <f t="shared" si="62"/>
        <v>-723</v>
      </c>
      <c r="AB21" s="31">
        <f t="shared" si="62"/>
        <v>-741</v>
      </c>
      <c r="AC21" s="31">
        <f t="shared" si="62"/>
        <v>-763</v>
      </c>
      <c r="AD21" s="31">
        <f t="shared" si="62"/>
        <v>-843</v>
      </c>
      <c r="AE21" s="31">
        <f t="shared" si="62"/>
        <v>-945</v>
      </c>
      <c r="AF21" s="31">
        <f t="shared" si="62"/>
        <v>-3558</v>
      </c>
      <c r="AG21" s="11"/>
      <c r="AH21" s="73">
        <f t="shared" si="63"/>
        <v>3.8016194331983808</v>
      </c>
    </row>
    <row r="22" spans="2:34" ht="12.75" customHeight="1">
      <c r="B22" s="24" t="s">
        <v>77</v>
      </c>
      <c r="C22" s="25">
        <f>+SUM(C14+SUM(C17:C21))</f>
        <v>22899</v>
      </c>
      <c r="D22" s="25">
        <f t="shared" ref="D22:G22" si="65">+SUM(D14+SUM(D17:D21))</f>
        <v>24879</v>
      </c>
      <c r="E22" s="25">
        <f t="shared" si="65"/>
        <v>12248</v>
      </c>
      <c r="F22" s="25">
        <f t="shared" si="65"/>
        <v>36852</v>
      </c>
      <c r="G22" s="25">
        <f t="shared" si="65"/>
        <v>68593</v>
      </c>
      <c r="H22" s="31"/>
      <c r="I22" s="25">
        <f t="shared" ref="I22" si="66">+SUM(I14+SUM(I17:I21))</f>
        <v>3669</v>
      </c>
      <c r="J22" s="25">
        <f t="shared" ref="J22" si="67">+SUM(J14+SUM(J17:J21))</f>
        <v>3317</v>
      </c>
      <c r="K22" s="25">
        <f t="shared" ref="K22" si="68">+SUM(K14+SUM(K17:K21))</f>
        <v>2525</v>
      </c>
      <c r="L22" s="25">
        <f t="shared" ref="L22" si="69">+SUM(L14+SUM(L17:L21))</f>
        <v>2737</v>
      </c>
      <c r="M22" s="25">
        <f t="shared" ref="M22" si="70">+SUM(M14+SUM(M17:M21))</f>
        <v>4774</v>
      </c>
      <c r="N22" s="25">
        <f t="shared" ref="N22" si="71">+SUM(N14+SUM(N17:N21))</f>
        <v>7681</v>
      </c>
      <c r="O22" s="25">
        <f t="shared" ref="O22" si="72">+SUM(O14+SUM(O17:O21))</f>
        <v>11188</v>
      </c>
      <c r="P22" s="25">
        <f t="shared" ref="P22" si="73">+SUM(P14+SUM(P17:P21))</f>
        <v>13209</v>
      </c>
      <c r="Q22" s="25">
        <f t="shared" ref="Q22" si="74">+SUM(Q14+SUM(Q17:Q21))</f>
        <v>15307</v>
      </c>
      <c r="R22" s="25">
        <f t="shared" ref="R22" si="75">+SUM(R14+SUM(R17:R21))</f>
        <v>14672</v>
      </c>
      <c r="S22" s="25">
        <f t="shared" ref="S22" si="76">+SUM(S14+SUM(S17:S21))</f>
        <v>17411</v>
      </c>
      <c r="T22" s="25">
        <f t="shared" ref="T22" si="77">+SUM(T14+SUM(T17:T21))</f>
        <v>21203</v>
      </c>
      <c r="U22" s="25">
        <f t="shared" ref="U22" si="78">+SUM(U14+SUM(U17:U21))</f>
        <v>18405</v>
      </c>
      <c r="V22" s="25">
        <f t="shared" ref="V22" si="79">+SUM(V14+SUM(V17:V21))</f>
        <v>19171</v>
      </c>
      <c r="W22" s="25">
        <f t="shared" ref="W22" si="80">+SUM(W14+SUM(W17:W21))</f>
        <v>17422</v>
      </c>
      <c r="Y22" s="25">
        <f t="shared" ref="Y22" si="81">+SUM(Y14+SUM(Y17:Y21))</f>
        <v>36852</v>
      </c>
      <c r="Z22" s="25">
        <f t="shared" ref="Z22" si="82">+SUM(Z14+SUM(Z17:Z21))</f>
        <v>47385</v>
      </c>
      <c r="AA22" s="25">
        <f t="shared" ref="AA22" si="83">+SUM(AA14+SUM(AA17:AA21))</f>
        <v>54376</v>
      </c>
      <c r="AB22" s="25">
        <f t="shared" ref="AB22" si="84">+SUM(AB14+SUM(AB17:AB21))</f>
        <v>60599</v>
      </c>
      <c r="AC22" s="25">
        <f t="shared" ref="AC22" si="85">+SUM(AC14+SUM(AC17:AC21))</f>
        <v>68593</v>
      </c>
      <c r="AD22" s="25">
        <f t="shared" ref="AD22" si="86">+SUM(AD14+SUM(AD17:AD21))</f>
        <v>71691</v>
      </c>
      <c r="AE22" s="25">
        <f t="shared" ref="AE22" si="87">+SUM(AE14+SUM(AE17:AE21))</f>
        <v>76190</v>
      </c>
      <c r="AF22" s="25">
        <f t="shared" ref="AF22" si="88">+SUM(AF14+SUM(AF17:AF21))</f>
        <v>76201</v>
      </c>
      <c r="AG22" s="11"/>
      <c r="AH22" s="74">
        <f>SUM(AF22/AB22)-1</f>
        <v>0.25746299443885223</v>
      </c>
    </row>
    <row r="23" spans="2:34" ht="12.75" customHeight="1">
      <c r="B23" s="16" t="s">
        <v>31</v>
      </c>
      <c r="C23" s="17">
        <f>C22/C11</f>
        <v>5.9313999751336569E-2</v>
      </c>
      <c r="D23" s="17">
        <f>D22/D11</f>
        <v>5.2954097509269465E-2</v>
      </c>
      <c r="E23" s="17">
        <f>E22/E11</f>
        <v>2.3829581912242232E-2</v>
      </c>
      <c r="F23" s="17">
        <f>F22/F11</f>
        <v>6.4114407996033296E-2</v>
      </c>
      <c r="G23" s="17">
        <f>G22/G11</f>
        <v>0.1075194487420038</v>
      </c>
      <c r="H23" s="31"/>
      <c r="I23" s="17">
        <f t="shared" ref="I23:W23" si="89">I22/I11</f>
        <v>3.1508708048504003E-2</v>
      </c>
      <c r="J23" s="17">
        <f t="shared" si="89"/>
        <v>2.7360311463780786E-2</v>
      </c>
      <c r="K23" s="17">
        <f t="shared" si="89"/>
        <v>1.986609074672898E-2</v>
      </c>
      <c r="L23" s="17">
        <f t="shared" si="89"/>
        <v>1.8344012224873328E-2</v>
      </c>
      <c r="M23" s="17">
        <f t="shared" si="89"/>
        <v>3.7484885126964934E-2</v>
      </c>
      <c r="N23" s="17">
        <f t="shared" si="89"/>
        <v>5.7157527365812637E-2</v>
      </c>
      <c r="O23" s="17">
        <f t="shared" si="89"/>
        <v>7.8192377850618167E-2</v>
      </c>
      <c r="P23" s="17">
        <f t="shared" si="89"/>
        <v>7.771782938438819E-2</v>
      </c>
      <c r="Q23" s="17">
        <f t="shared" si="89"/>
        <v>0.10680817511321374</v>
      </c>
      <c r="R23" s="17">
        <f t="shared" si="89"/>
        <v>9.9150543665569649E-2</v>
      </c>
      <c r="S23" s="17">
        <f t="shared" si="89"/>
        <v>0.1095879202150091</v>
      </c>
      <c r="T23" s="17">
        <f t="shared" si="89"/>
        <v>0.1129068330919315</v>
      </c>
      <c r="U23" s="17">
        <f t="shared" si="89"/>
        <v>0.11823315153500742</v>
      </c>
      <c r="V23" s="17">
        <f t="shared" si="89"/>
        <v>0.11431586981669867</v>
      </c>
      <c r="W23" s="17">
        <f t="shared" si="89"/>
        <v>9.6698100117112273E-2</v>
      </c>
      <c r="Y23" s="17">
        <f t="shared" ref="Y23:AF23" si="90">Y22/Y11</f>
        <v>6.4114407996033296E-2</v>
      </c>
      <c r="Z23" s="17">
        <f t="shared" si="90"/>
        <v>8.0212953245082444E-2</v>
      </c>
      <c r="AA23" s="17">
        <f t="shared" si="90"/>
        <v>8.9976734719542512E-2</v>
      </c>
      <c r="AB23" s="17">
        <f t="shared" si="90"/>
        <v>9.7720148098457096E-2</v>
      </c>
      <c r="AC23" s="17">
        <f t="shared" si="90"/>
        <v>0.1075194487420038</v>
      </c>
      <c r="AD23" s="17">
        <f t="shared" si="90"/>
        <v>0.11024076098740145</v>
      </c>
      <c r="AE23" s="17">
        <f t="shared" si="90"/>
        <v>0.11370996868834304</v>
      </c>
      <c r="AF23" s="17">
        <f t="shared" si="90"/>
        <v>0.11022377157074045</v>
      </c>
      <c r="AG23" s="11"/>
      <c r="AH23" s="75">
        <f>SUM(AF23-AB23)*1000</f>
        <v>12.503623472283357</v>
      </c>
    </row>
    <row r="24" spans="2:34" ht="5.0999999999999996" customHeight="1">
      <c r="B24" s="16"/>
      <c r="C24" s="17"/>
      <c r="D24" s="17"/>
      <c r="E24" s="17"/>
      <c r="F24" s="17"/>
      <c r="G24" s="17"/>
      <c r="H24" s="31"/>
      <c r="I24" s="79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31"/>
      <c r="V24" s="79"/>
      <c r="W24" s="79"/>
      <c r="Y24" s="31"/>
      <c r="Z24" s="31"/>
      <c r="AA24" s="31"/>
      <c r="AB24" s="31"/>
      <c r="AC24" s="31"/>
      <c r="AD24" s="31"/>
      <c r="AE24" s="31"/>
      <c r="AF24" s="31"/>
      <c r="AG24" s="11"/>
      <c r="AH24" s="73"/>
    </row>
    <row r="25" spans="2:34" ht="12.75" customHeight="1">
      <c r="B25" s="9" t="s">
        <v>135</v>
      </c>
      <c r="C25" s="79">
        <v>555</v>
      </c>
      <c r="D25" s="79">
        <v>448</v>
      </c>
      <c r="E25" s="79">
        <v>989</v>
      </c>
      <c r="F25" s="79">
        <v>2949</v>
      </c>
      <c r="G25" s="79">
        <v>4677</v>
      </c>
      <c r="H25" s="31"/>
      <c r="I25" s="92">
        <v>108</v>
      </c>
      <c r="J25" s="92">
        <v>159</v>
      </c>
      <c r="K25" s="92">
        <v>277</v>
      </c>
      <c r="L25" s="31">
        <f t="shared" ref="L25:L27" si="91">SUM(E25-SUM(I25:K25))</f>
        <v>445</v>
      </c>
      <c r="M25" s="92">
        <v>611</v>
      </c>
      <c r="N25" s="92">
        <v>661</v>
      </c>
      <c r="O25" s="92">
        <v>776</v>
      </c>
      <c r="P25" s="31">
        <f t="shared" ref="P25:P27" si="92">SUM(F25-SUM(M25:O25))</f>
        <v>901</v>
      </c>
      <c r="Q25" s="92">
        <v>993</v>
      </c>
      <c r="R25" s="92">
        <v>1180</v>
      </c>
      <c r="S25" s="92">
        <v>1256</v>
      </c>
      <c r="T25" s="31">
        <f t="shared" ref="T25:T27" si="93">SUM(G25-SUM(Q25:S25))</f>
        <v>1248</v>
      </c>
      <c r="U25" s="79">
        <v>1066</v>
      </c>
      <c r="V25" s="79">
        <v>1085</v>
      </c>
      <c r="W25" s="79">
        <v>1100</v>
      </c>
      <c r="Y25" s="31">
        <f t="shared" ref="Y25:AF25" si="94">SUM(M25:P25)</f>
        <v>2949</v>
      </c>
      <c r="Z25" s="31">
        <f t="shared" si="94"/>
        <v>3331</v>
      </c>
      <c r="AA25" s="31">
        <f t="shared" si="94"/>
        <v>3850</v>
      </c>
      <c r="AB25" s="31">
        <f t="shared" si="94"/>
        <v>4330</v>
      </c>
      <c r="AC25" s="31">
        <f t="shared" si="94"/>
        <v>4677</v>
      </c>
      <c r="AD25" s="31">
        <f t="shared" si="94"/>
        <v>4750</v>
      </c>
      <c r="AE25" s="31">
        <f t="shared" si="94"/>
        <v>4655</v>
      </c>
      <c r="AF25" s="31">
        <f t="shared" si="94"/>
        <v>4499</v>
      </c>
      <c r="AG25" s="11"/>
      <c r="AH25" s="73"/>
    </row>
    <row r="26" spans="2:34" ht="12.75" customHeight="1">
      <c r="B26" s="9" t="s">
        <v>136</v>
      </c>
      <c r="C26" s="79">
        <v>-1647</v>
      </c>
      <c r="D26" s="79">
        <v>-1809</v>
      </c>
      <c r="E26" s="79">
        <v>-2367</v>
      </c>
      <c r="F26" s="79">
        <v>-3182</v>
      </c>
      <c r="G26" s="79">
        <v>-2406</v>
      </c>
      <c r="H26" s="31"/>
      <c r="I26" s="92">
        <v>-472</v>
      </c>
      <c r="J26" s="92">
        <v>-584</v>
      </c>
      <c r="K26" s="92">
        <v>-617</v>
      </c>
      <c r="L26" s="31">
        <f t="shared" si="91"/>
        <v>-694</v>
      </c>
      <c r="M26" s="92">
        <v>-823</v>
      </c>
      <c r="N26" s="92">
        <v>-840</v>
      </c>
      <c r="O26" s="92">
        <v>-806</v>
      </c>
      <c r="P26" s="31">
        <f t="shared" si="92"/>
        <v>-713</v>
      </c>
      <c r="Q26" s="92">
        <v>-644</v>
      </c>
      <c r="R26" s="92">
        <v>-589</v>
      </c>
      <c r="S26" s="92">
        <v>-603</v>
      </c>
      <c r="T26" s="31">
        <f t="shared" si="93"/>
        <v>-570</v>
      </c>
      <c r="U26" s="79">
        <v>-541</v>
      </c>
      <c r="V26" s="79">
        <v>-516</v>
      </c>
      <c r="W26" s="79">
        <v>-538</v>
      </c>
      <c r="Y26" s="31">
        <f t="shared" ref="Y26:Y27" si="95">SUM(M26:P26)</f>
        <v>-3182</v>
      </c>
      <c r="Z26" s="31">
        <f t="shared" ref="Z26:Z27" si="96">SUM(N26:Q26)</f>
        <v>-3003</v>
      </c>
      <c r="AA26" s="31">
        <f t="shared" ref="AA26:AA27" si="97">SUM(O26:R26)</f>
        <v>-2752</v>
      </c>
      <c r="AB26" s="31">
        <f t="shared" ref="AB26:AB27" si="98">SUM(P26:S26)</f>
        <v>-2549</v>
      </c>
      <c r="AC26" s="31">
        <f t="shared" ref="AC26:AC27" si="99">SUM(Q26:T26)</f>
        <v>-2406</v>
      </c>
      <c r="AD26" s="31">
        <f t="shared" ref="AD26:AD27" si="100">SUM(R26:U26)</f>
        <v>-2303</v>
      </c>
      <c r="AE26" s="31">
        <f t="shared" ref="AE26:AE27" si="101">SUM(S26:V26)</f>
        <v>-2230</v>
      </c>
      <c r="AF26" s="31">
        <f t="shared" ref="AF26:AF27" si="102">SUM(T26:W26)</f>
        <v>-2165</v>
      </c>
      <c r="AG26" s="11"/>
      <c r="AH26" s="73"/>
    </row>
    <row r="27" spans="2:34" ht="12.75" customHeight="1">
      <c r="B27" s="9" t="s">
        <v>137</v>
      </c>
      <c r="C27" s="79">
        <v>2371</v>
      </c>
      <c r="D27" s="79">
        <v>14633</v>
      </c>
      <c r="E27" s="79">
        <v>-16806</v>
      </c>
      <c r="F27" s="79">
        <v>938</v>
      </c>
      <c r="G27" s="79">
        <v>-2250</v>
      </c>
      <c r="H27" s="31"/>
      <c r="I27" s="92">
        <v>-8570</v>
      </c>
      <c r="J27" s="92">
        <v>-5545</v>
      </c>
      <c r="K27" s="92">
        <v>759</v>
      </c>
      <c r="L27" s="31">
        <f t="shared" si="91"/>
        <v>-3450</v>
      </c>
      <c r="M27" s="92">
        <v>-443</v>
      </c>
      <c r="N27" s="92">
        <v>61</v>
      </c>
      <c r="O27" s="92">
        <v>1031</v>
      </c>
      <c r="P27" s="31">
        <f t="shared" si="92"/>
        <v>289</v>
      </c>
      <c r="Q27" s="92">
        <v>-2673</v>
      </c>
      <c r="R27" s="92">
        <v>-18</v>
      </c>
      <c r="S27" s="92">
        <v>-27</v>
      </c>
      <c r="T27" s="31">
        <f t="shared" si="93"/>
        <v>468</v>
      </c>
      <c r="U27" s="79">
        <v>2749</v>
      </c>
      <c r="V27" s="79">
        <v>1117</v>
      </c>
      <c r="W27" s="79">
        <v>10186</v>
      </c>
      <c r="Y27" s="31">
        <f t="shared" si="95"/>
        <v>938</v>
      </c>
      <c r="Z27" s="31">
        <f t="shared" si="96"/>
        <v>-1292</v>
      </c>
      <c r="AA27" s="31">
        <f t="shared" si="97"/>
        <v>-1371</v>
      </c>
      <c r="AB27" s="31">
        <f t="shared" si="98"/>
        <v>-2429</v>
      </c>
      <c r="AC27" s="31">
        <f t="shared" si="99"/>
        <v>-2250</v>
      </c>
      <c r="AD27" s="31">
        <f t="shared" si="100"/>
        <v>3172</v>
      </c>
      <c r="AE27" s="31">
        <f t="shared" si="101"/>
        <v>4307</v>
      </c>
      <c r="AF27" s="31">
        <f t="shared" si="102"/>
        <v>14520</v>
      </c>
      <c r="AG27" s="11"/>
      <c r="AH27" s="73"/>
    </row>
    <row r="28" spans="2:34" ht="12.75" customHeight="1">
      <c r="B28" s="24" t="s">
        <v>114</v>
      </c>
      <c r="C28" s="25">
        <f>SUM(C22+SUM(C25:C27))</f>
        <v>24178</v>
      </c>
      <c r="D28" s="25">
        <f t="shared" ref="D28:G28" si="103">SUM(D22+SUM(D25:D27))</f>
        <v>38151</v>
      </c>
      <c r="E28" s="25">
        <f t="shared" si="103"/>
        <v>-5936</v>
      </c>
      <c r="F28" s="25">
        <f t="shared" si="103"/>
        <v>37557</v>
      </c>
      <c r="G28" s="25">
        <f t="shared" si="103"/>
        <v>68614</v>
      </c>
      <c r="I28" s="25">
        <f t="shared" ref="I28" si="104">SUM(I22+SUM(I25:I27))</f>
        <v>-5265</v>
      </c>
      <c r="J28" s="25">
        <f t="shared" ref="J28" si="105">SUM(J22+SUM(J25:J27))</f>
        <v>-2653</v>
      </c>
      <c r="K28" s="25">
        <f t="shared" ref="K28" si="106">SUM(K22+SUM(K25:K27))</f>
        <v>2944</v>
      </c>
      <c r="L28" s="25">
        <f t="shared" ref="L28" si="107">SUM(L22+SUM(L25:L27))</f>
        <v>-962</v>
      </c>
      <c r="M28" s="25">
        <f t="shared" ref="M28" si="108">SUM(M22+SUM(M25:M27))</f>
        <v>4119</v>
      </c>
      <c r="N28" s="25">
        <f t="shared" ref="N28" si="109">SUM(N22+SUM(N25:N27))</f>
        <v>7563</v>
      </c>
      <c r="O28" s="25">
        <f t="shared" ref="O28" si="110">SUM(O22+SUM(O25:O27))</f>
        <v>12189</v>
      </c>
      <c r="P28" s="25">
        <f t="shared" ref="P28" si="111">SUM(P22+SUM(P25:P27))</f>
        <v>13686</v>
      </c>
      <c r="Q28" s="25">
        <f t="shared" ref="Q28" si="112">SUM(Q22+SUM(Q25:Q27))</f>
        <v>12983</v>
      </c>
      <c r="R28" s="25">
        <f t="shared" ref="R28" si="113">SUM(R22+SUM(R25:R27))</f>
        <v>15245</v>
      </c>
      <c r="S28" s="25">
        <f t="shared" ref="S28" si="114">SUM(S22+SUM(S25:S27))</f>
        <v>18037</v>
      </c>
      <c r="T28" s="25">
        <f t="shared" ref="T28" si="115">SUM(T22+SUM(T25:T27))</f>
        <v>22349</v>
      </c>
      <c r="U28" s="25">
        <f t="shared" ref="U28" si="116">SUM(U22+SUM(U25:U27))</f>
        <v>21679</v>
      </c>
      <c r="V28" s="25">
        <f t="shared" ref="V28" si="117">SUM(V22+SUM(V25:V27))</f>
        <v>20857</v>
      </c>
      <c r="W28" s="25">
        <f t="shared" ref="W28" si="118">SUM(W22+SUM(W25:W27))</f>
        <v>28170</v>
      </c>
      <c r="Y28" s="25">
        <f t="shared" ref="Y28" si="119">SUM(Y22+SUM(Y25:Y27))</f>
        <v>37557</v>
      </c>
      <c r="Z28" s="25">
        <f t="shared" ref="Z28" si="120">SUM(Z22+SUM(Z25:Z27))</f>
        <v>46421</v>
      </c>
      <c r="AA28" s="25">
        <f t="shared" ref="AA28" si="121">SUM(AA22+SUM(AA25:AA27))</f>
        <v>54103</v>
      </c>
      <c r="AB28" s="25">
        <f t="shared" ref="AB28" si="122">SUM(AB22+SUM(AB25:AB27))</f>
        <v>59951</v>
      </c>
      <c r="AC28" s="25">
        <f t="shared" ref="AC28" si="123">SUM(AC22+SUM(AC25:AC27))</f>
        <v>68614</v>
      </c>
      <c r="AD28" s="25">
        <f t="shared" ref="AD28" si="124">SUM(AD22+SUM(AD25:AD27))</f>
        <v>77310</v>
      </c>
      <c r="AE28" s="25">
        <f t="shared" ref="AE28" si="125">SUM(AE22+SUM(AE25:AE27))</f>
        <v>82922</v>
      </c>
      <c r="AF28" s="25">
        <f t="shared" ref="AF28" si="126">SUM(AF22+SUM(AF25:AF27))</f>
        <v>93055</v>
      </c>
      <c r="AG28" s="41"/>
      <c r="AH28" s="74">
        <f>SUM(AF28/AB28)-1</f>
        <v>0.55218428383179607</v>
      </c>
    </row>
    <row r="29" spans="2:34" ht="12.75" customHeight="1">
      <c r="B29" s="16" t="s">
        <v>115</v>
      </c>
      <c r="C29" s="17">
        <f>C28/C11</f>
        <v>6.2626921961125612E-2</v>
      </c>
      <c r="D29" s="17">
        <f>D28/D11</f>
        <v>8.1203093937704071E-2</v>
      </c>
      <c r="E29" s="17">
        <f>E28/E11</f>
        <v>-1.1549020103777752E-2</v>
      </c>
      <c r="F29" s="17">
        <f>F28/F11</f>
        <v>6.5340953573945038E-2</v>
      </c>
      <c r="G29" s="17">
        <f>G28/G11</f>
        <v>0.10755236621789174</v>
      </c>
      <c r="H29" s="26"/>
      <c r="I29" s="17">
        <f t="shared" ref="I29:W29" si="127">I28/I11</f>
        <v>-4.5214867232317678E-2</v>
      </c>
      <c r="J29" s="17">
        <f t="shared" si="127"/>
        <v>-2.1883300064338387E-2</v>
      </c>
      <c r="K29" s="17">
        <f t="shared" si="127"/>
        <v>2.3162681646879252E-2</v>
      </c>
      <c r="L29" s="17">
        <f t="shared" si="127"/>
        <v>-6.4475483231012575E-3</v>
      </c>
      <c r="M29" s="17">
        <f t="shared" si="127"/>
        <v>3.2341902353994249E-2</v>
      </c>
      <c r="N29" s="17">
        <f t="shared" si="127"/>
        <v>5.6279440107751724E-2</v>
      </c>
      <c r="O29" s="17">
        <f t="shared" si="127"/>
        <v>8.5188317270395511E-2</v>
      </c>
      <c r="P29" s="17">
        <f t="shared" si="127"/>
        <v>8.0524355587458296E-2</v>
      </c>
      <c r="Q29" s="17">
        <f t="shared" si="127"/>
        <v>9.0591921179516158E-2</v>
      </c>
      <c r="R29" s="17">
        <f t="shared" si="127"/>
        <v>0.1030227670516364</v>
      </c>
      <c r="S29" s="17">
        <f t="shared" si="127"/>
        <v>0.11352807517765315</v>
      </c>
      <c r="T29" s="17">
        <f t="shared" si="127"/>
        <v>0.11900932947090398</v>
      </c>
      <c r="U29" s="17">
        <f t="shared" si="127"/>
        <v>0.1392652264127914</v>
      </c>
      <c r="V29" s="17">
        <f t="shared" si="127"/>
        <v>0.12436941718047489</v>
      </c>
      <c r="W29" s="17">
        <f t="shared" si="127"/>
        <v>0.15635320171616648</v>
      </c>
      <c r="X29" s="27"/>
      <c r="Y29" s="17">
        <f t="shared" ref="Y29:AF29" si="128">Y28/Y11</f>
        <v>6.5340953573945038E-2</v>
      </c>
      <c r="Z29" s="17">
        <f t="shared" si="128"/>
        <v>7.8581101669093004E-2</v>
      </c>
      <c r="AA29" s="17">
        <f t="shared" si="128"/>
        <v>8.9524997766135941E-2</v>
      </c>
      <c r="AB29" s="17">
        <f t="shared" si="128"/>
        <v>9.667520253883069E-2</v>
      </c>
      <c r="AC29" s="17">
        <f t="shared" si="128"/>
        <v>0.10755236621789174</v>
      </c>
      <c r="AD29" s="17">
        <f t="shared" si="128"/>
        <v>0.11888121566076643</v>
      </c>
      <c r="AE29" s="17">
        <f t="shared" si="128"/>
        <v>0.12375716004166928</v>
      </c>
      <c r="AF29" s="17">
        <f t="shared" si="128"/>
        <v>0.13460286693764192</v>
      </c>
      <c r="AG29" s="42"/>
      <c r="AH29" s="75">
        <f>SUM(AF29-AB29)*1000</f>
        <v>37.927664398811231</v>
      </c>
    </row>
    <row r="30" spans="2:34" ht="5.0999999999999996" customHeight="1">
      <c r="B30" s="16"/>
      <c r="C30" s="17"/>
      <c r="D30" s="17"/>
      <c r="E30" s="17"/>
      <c r="F30" s="17"/>
      <c r="G30" s="17"/>
      <c r="H30" s="26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27"/>
      <c r="Y30" s="17"/>
      <c r="Z30" s="17"/>
      <c r="AA30" s="17"/>
      <c r="AB30" s="17"/>
      <c r="AC30" s="17"/>
      <c r="AD30" s="17"/>
      <c r="AE30" s="17"/>
      <c r="AF30" s="17"/>
      <c r="AG30" s="42"/>
      <c r="AH30" s="75"/>
    </row>
    <row r="31" spans="2:34" ht="12.75" customHeight="1">
      <c r="B31" s="9" t="s">
        <v>102</v>
      </c>
      <c r="C31" s="79">
        <v>-2863</v>
      </c>
      <c r="D31" s="79">
        <v>-4791</v>
      </c>
      <c r="E31" s="79">
        <v>3217</v>
      </c>
      <c r="F31" s="79">
        <v>-7120</v>
      </c>
      <c r="G31" s="79">
        <v>-9265</v>
      </c>
      <c r="H31" s="31"/>
      <c r="I31" s="79">
        <v>1422</v>
      </c>
      <c r="J31" s="79">
        <v>637</v>
      </c>
      <c r="K31" s="79">
        <v>-69</v>
      </c>
      <c r="L31" s="31">
        <f t="shared" ref="L31" si="129">SUM(E31-SUM(I31:K31))</f>
        <v>1227</v>
      </c>
      <c r="M31" s="79">
        <v>-948</v>
      </c>
      <c r="N31" s="79">
        <v>-804</v>
      </c>
      <c r="O31" s="79">
        <v>-2306</v>
      </c>
      <c r="P31" s="31">
        <f t="shared" ref="P31" si="130">SUM(F31-SUM(M31:O31))</f>
        <v>-3062</v>
      </c>
      <c r="Q31" s="79">
        <v>-2467</v>
      </c>
      <c r="R31" s="79">
        <v>-1767</v>
      </c>
      <c r="S31" s="79">
        <v>-2706</v>
      </c>
      <c r="T31" s="31">
        <f t="shared" ref="T31" si="131">SUM(G31-SUM(Q31:S31))</f>
        <v>-2325</v>
      </c>
      <c r="U31" s="79">
        <v>-4553</v>
      </c>
      <c r="V31" s="79">
        <v>-2678</v>
      </c>
      <c r="W31" s="79">
        <v>-6910</v>
      </c>
      <c r="Y31" s="31">
        <f t="shared" ref="Y31:AF31" si="132">SUM(M31:P31)</f>
        <v>-7120</v>
      </c>
      <c r="Z31" s="31">
        <f t="shared" si="132"/>
        <v>-8639</v>
      </c>
      <c r="AA31" s="31">
        <f t="shared" si="132"/>
        <v>-9602</v>
      </c>
      <c r="AB31" s="31">
        <f t="shared" si="132"/>
        <v>-10002</v>
      </c>
      <c r="AC31" s="31">
        <f t="shared" si="132"/>
        <v>-9265</v>
      </c>
      <c r="AD31" s="31">
        <f t="shared" si="132"/>
        <v>-11351</v>
      </c>
      <c r="AE31" s="31">
        <f t="shared" si="132"/>
        <v>-12262</v>
      </c>
      <c r="AF31" s="31">
        <f t="shared" si="132"/>
        <v>-16466</v>
      </c>
      <c r="AG31" s="11"/>
      <c r="AH31" s="73">
        <f>SUM(AF31/AB31)-1</f>
        <v>0.64627074585082989</v>
      </c>
    </row>
    <row r="32" spans="2:34" ht="12.75" customHeight="1">
      <c r="B32" s="9" t="s">
        <v>166</v>
      </c>
      <c r="C32" s="79">
        <v>16</v>
      </c>
      <c r="D32" s="79">
        <v>4</v>
      </c>
      <c r="E32" s="79">
        <v>-3</v>
      </c>
      <c r="F32" s="79">
        <v>-12</v>
      </c>
      <c r="G32" s="79">
        <v>-101</v>
      </c>
      <c r="H32" s="31"/>
      <c r="I32" s="79">
        <v>-1</v>
      </c>
      <c r="J32" s="79">
        <v>-12</v>
      </c>
      <c r="K32" s="79">
        <v>-3</v>
      </c>
      <c r="L32" s="31">
        <f t="shared" ref="L32" si="133">SUM(E32-SUM(I32:K32))</f>
        <v>13</v>
      </c>
      <c r="M32" s="79">
        <v>1</v>
      </c>
      <c r="N32" s="79">
        <v>-9</v>
      </c>
      <c r="O32" s="79">
        <v>-4</v>
      </c>
      <c r="P32" s="31">
        <f t="shared" ref="P32" si="134">SUM(F32-SUM(M32:O32))</f>
        <v>0</v>
      </c>
      <c r="Q32" s="79">
        <v>-85</v>
      </c>
      <c r="R32" s="79">
        <v>7</v>
      </c>
      <c r="S32" s="79">
        <v>-3</v>
      </c>
      <c r="T32" s="31">
        <f t="shared" ref="T32" si="135">SUM(G32-SUM(Q32:S32))</f>
        <v>-20</v>
      </c>
      <c r="U32" s="79">
        <v>1</v>
      </c>
      <c r="V32" s="79">
        <v>-15</v>
      </c>
      <c r="W32" s="79">
        <v>-73</v>
      </c>
      <c r="Y32" s="31">
        <f t="shared" ref="Y32" si="136">SUM(M32:P32)</f>
        <v>-12</v>
      </c>
      <c r="Z32" s="31">
        <f t="shared" ref="Z32" si="137">SUM(N32:Q32)</f>
        <v>-98</v>
      </c>
      <c r="AA32" s="31">
        <f t="shared" ref="AA32" si="138">SUM(O32:R32)</f>
        <v>-82</v>
      </c>
      <c r="AB32" s="31">
        <f t="shared" ref="AB32" si="139">SUM(P32:S32)</f>
        <v>-81</v>
      </c>
      <c r="AC32" s="31">
        <f t="shared" ref="AC32" si="140">SUM(Q32:T32)</f>
        <v>-101</v>
      </c>
      <c r="AD32" s="31">
        <f t="shared" ref="AD32" si="141">SUM(R32:U32)</f>
        <v>-15</v>
      </c>
      <c r="AE32" s="31">
        <f t="shared" ref="AE32" si="142">SUM(S32:V32)</f>
        <v>-37</v>
      </c>
      <c r="AF32" s="31">
        <f t="shared" ref="AF32" si="143">SUM(T32:W32)</f>
        <v>-107</v>
      </c>
      <c r="AG32" s="11"/>
      <c r="AH32" s="73">
        <f>SUM(AF32/AB32)-1</f>
        <v>0.32098765432098775</v>
      </c>
    </row>
    <row r="33" spans="1:34" ht="12.75" customHeight="1">
      <c r="B33" s="13" t="s">
        <v>103</v>
      </c>
      <c r="C33" s="14">
        <f>SUM(C28+SUM(C31:C32))</f>
        <v>21331</v>
      </c>
      <c r="D33" s="14">
        <f t="shared" ref="D33:G33" si="144">SUM(D28+SUM(D31:D32))</f>
        <v>33364</v>
      </c>
      <c r="E33" s="14">
        <f t="shared" si="144"/>
        <v>-2722</v>
      </c>
      <c r="F33" s="14">
        <f t="shared" si="144"/>
        <v>30425</v>
      </c>
      <c r="G33" s="14">
        <f t="shared" si="144"/>
        <v>59248</v>
      </c>
      <c r="H33" s="11"/>
      <c r="I33" s="14">
        <f t="shared" ref="I33" si="145">SUM(I28+SUM(I31:I32))</f>
        <v>-3844</v>
      </c>
      <c r="J33" s="14">
        <f t="shared" ref="J33" si="146">SUM(J28+SUM(J31:J32))</f>
        <v>-2028</v>
      </c>
      <c r="K33" s="14">
        <f t="shared" ref="K33" si="147">SUM(K28+SUM(K31:K32))</f>
        <v>2872</v>
      </c>
      <c r="L33" s="14">
        <f t="shared" ref="L33" si="148">SUM(L28+SUM(L31:L32))</f>
        <v>278</v>
      </c>
      <c r="M33" s="14">
        <f t="shared" ref="M33" si="149">SUM(M28+SUM(M31:M32))</f>
        <v>3172</v>
      </c>
      <c r="N33" s="14">
        <f t="shared" ref="N33" si="150">SUM(N28+SUM(N31:N32))</f>
        <v>6750</v>
      </c>
      <c r="O33" s="14">
        <f t="shared" ref="O33" si="151">SUM(O28+SUM(O31:O32))</f>
        <v>9879</v>
      </c>
      <c r="P33" s="14">
        <f t="shared" ref="P33" si="152">SUM(P28+SUM(P31:P32))</f>
        <v>10624</v>
      </c>
      <c r="Q33" s="14">
        <f t="shared" ref="Q33" si="153">SUM(Q28+SUM(Q31:Q32))</f>
        <v>10431</v>
      </c>
      <c r="R33" s="14">
        <f t="shared" ref="R33" si="154">SUM(R28+SUM(R31:R32))</f>
        <v>13485</v>
      </c>
      <c r="S33" s="14">
        <f t="shared" ref="S33" si="155">SUM(S28+SUM(S31:S32))</f>
        <v>15328</v>
      </c>
      <c r="T33" s="14">
        <f t="shared" ref="T33" si="156">SUM(T28+SUM(T31:T32))</f>
        <v>20004</v>
      </c>
      <c r="U33" s="14">
        <f t="shared" ref="U33" si="157">SUM(U28+SUM(U31:U32))</f>
        <v>17127</v>
      </c>
      <c r="V33" s="14">
        <f t="shared" ref="V33" si="158">SUM(V28+SUM(V31:V32))</f>
        <v>18164</v>
      </c>
      <c r="W33" s="14">
        <f t="shared" ref="W33" si="159">SUM(W28+SUM(W31:W32))</f>
        <v>21187</v>
      </c>
      <c r="X33" s="31"/>
      <c r="Y33" s="14">
        <f t="shared" ref="Y33" si="160">SUM(Y28+SUM(Y31:Y32))</f>
        <v>30425</v>
      </c>
      <c r="Z33" s="14">
        <f t="shared" ref="Z33" si="161">SUM(Z28+SUM(Z31:Z32))</f>
        <v>37684</v>
      </c>
      <c r="AA33" s="14">
        <f t="shared" ref="AA33" si="162">SUM(AA28+SUM(AA31:AA32))</f>
        <v>44419</v>
      </c>
      <c r="AB33" s="14">
        <f t="shared" ref="AB33" si="163">SUM(AB28+SUM(AB31:AB32))</f>
        <v>49868</v>
      </c>
      <c r="AC33" s="14">
        <f t="shared" ref="AC33" si="164">SUM(AC28+SUM(AC31:AC32))</f>
        <v>59248</v>
      </c>
      <c r="AD33" s="14">
        <f t="shared" ref="AD33" si="165">SUM(AD28+SUM(AD31:AD32))</f>
        <v>65944</v>
      </c>
      <c r="AE33" s="14">
        <f t="shared" ref="AE33" si="166">SUM(AE28+SUM(AE31:AE32))</f>
        <v>70623</v>
      </c>
      <c r="AF33" s="14">
        <f t="shared" ref="AF33" si="167">SUM(AF28+SUM(AF31:AF32))</f>
        <v>76482</v>
      </c>
      <c r="AG33" s="35"/>
      <c r="AH33" s="74">
        <f>SUM(AF33/AB33)-1</f>
        <v>0.53368893879842783</v>
      </c>
    </row>
    <row r="34" spans="1:34" ht="12.75" customHeight="1">
      <c r="B34" s="16" t="s">
        <v>101</v>
      </c>
      <c r="C34" s="17">
        <f>C33/C11</f>
        <v>5.5252496995316841E-2</v>
      </c>
      <c r="D34" s="17">
        <f>D33/D11</f>
        <v>7.1014128755145567E-2</v>
      </c>
      <c r="E34" s="17">
        <f>E33/E11</f>
        <v>-5.2958950004183018E-3</v>
      </c>
      <c r="F34" s="17">
        <f>F33/F11</f>
        <v>5.2932835755978319E-2</v>
      </c>
      <c r="G34" s="17">
        <f>G33/G11</f>
        <v>9.2871171971866534E-2</v>
      </c>
      <c r="H34" s="26"/>
      <c r="I34" s="17">
        <f t="shared" ref="I34:W34" si="168">I33/I11</f>
        <v>-3.3011576380062517E-2</v>
      </c>
      <c r="J34" s="17">
        <f t="shared" si="168"/>
        <v>-1.6727980599501788E-2</v>
      </c>
      <c r="K34" s="17">
        <f t="shared" si="168"/>
        <v>2.2596203019645794E-2</v>
      </c>
      <c r="L34" s="17">
        <f t="shared" si="168"/>
        <v>1.8632208251789495E-3</v>
      </c>
      <c r="M34" s="17">
        <f t="shared" si="168"/>
        <v>2.4906170008951147E-2</v>
      </c>
      <c r="N34" s="17">
        <f t="shared" si="168"/>
        <v>5.0229567728060844E-2</v>
      </c>
      <c r="O34" s="17">
        <f t="shared" si="168"/>
        <v>6.9043841686293975E-2</v>
      </c>
      <c r="P34" s="17">
        <f t="shared" si="168"/>
        <v>6.2508457822676972E-2</v>
      </c>
      <c r="Q34" s="17">
        <f t="shared" si="168"/>
        <v>7.2784743882271671E-2</v>
      </c>
      <c r="R34" s="17">
        <f t="shared" si="168"/>
        <v>9.1129026808220201E-2</v>
      </c>
      <c r="S34" s="17">
        <f t="shared" si="168"/>
        <v>9.6477148989469838E-2</v>
      </c>
      <c r="T34" s="17">
        <f t="shared" si="168"/>
        <v>0.10652210956803272</v>
      </c>
      <c r="U34" s="17">
        <f t="shared" si="168"/>
        <v>0.1100233190078822</v>
      </c>
      <c r="V34" s="17">
        <f t="shared" si="168"/>
        <v>0.10831117100571251</v>
      </c>
      <c r="W34" s="17">
        <f t="shared" si="168"/>
        <v>0.11759514677885763</v>
      </c>
      <c r="X34" s="27"/>
      <c r="Y34" s="17">
        <f t="shared" ref="Y34:AF34" si="169">Y33/Y11</f>
        <v>5.2932835755978319E-2</v>
      </c>
      <c r="Z34" s="17">
        <f t="shared" si="169"/>
        <v>6.3791177167620269E-2</v>
      </c>
      <c r="AA34" s="17">
        <f t="shared" si="169"/>
        <v>7.3500746276065884E-2</v>
      </c>
      <c r="AB34" s="17">
        <f t="shared" si="169"/>
        <v>8.0415656122606941E-2</v>
      </c>
      <c r="AC34" s="17">
        <f t="shared" si="169"/>
        <v>9.2871171971866534E-2</v>
      </c>
      <c r="AD34" s="17">
        <f t="shared" si="169"/>
        <v>0.10140347801750849</v>
      </c>
      <c r="AE34" s="17">
        <f t="shared" si="169"/>
        <v>0.105401484691913</v>
      </c>
      <c r="AF34" s="17">
        <f t="shared" si="169"/>
        <v>0.11063023447557606</v>
      </c>
      <c r="AG34" s="42"/>
      <c r="AH34" s="75">
        <f>SUM(AF34-AB34)*1000</f>
        <v>30.214578352969117</v>
      </c>
    </row>
    <row r="35" spans="1:34" ht="5.0999999999999996" customHeight="1">
      <c r="B35" s="16"/>
      <c r="C35" s="17"/>
      <c r="D35" s="17"/>
      <c r="E35" s="17"/>
      <c r="F35" s="17"/>
      <c r="G35" s="17"/>
      <c r="H35" s="26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27"/>
      <c r="Y35" s="17"/>
      <c r="Z35" s="17"/>
      <c r="AA35" s="17"/>
      <c r="AB35" s="17"/>
      <c r="AC35" s="17"/>
      <c r="AD35" s="17"/>
      <c r="AE35" s="17"/>
      <c r="AF35" s="17"/>
      <c r="AG35" s="42"/>
      <c r="AH35" s="75"/>
    </row>
    <row r="36" spans="1:34" ht="12.75" customHeight="1">
      <c r="B36" s="43" t="s">
        <v>84</v>
      </c>
      <c r="C36" s="79">
        <v>500</v>
      </c>
      <c r="D36" s="79">
        <v>506</v>
      </c>
      <c r="E36" s="79">
        <v>10189</v>
      </c>
      <c r="F36" s="79">
        <v>10304</v>
      </c>
      <c r="G36" s="79">
        <v>10473</v>
      </c>
      <c r="H36" s="26"/>
      <c r="I36" s="79">
        <v>10171</v>
      </c>
      <c r="J36" s="79">
        <v>10175</v>
      </c>
      <c r="K36" s="79">
        <v>10191</v>
      </c>
      <c r="L36" s="31">
        <f>E36</f>
        <v>10189</v>
      </c>
      <c r="M36" s="79">
        <v>10250</v>
      </c>
      <c r="N36" s="79">
        <v>10285</v>
      </c>
      <c r="O36" s="79">
        <v>10322</v>
      </c>
      <c r="P36" s="31">
        <f>F36</f>
        <v>10304</v>
      </c>
      <c r="Q36" s="79">
        <v>10393</v>
      </c>
      <c r="R36" s="79">
        <v>10447</v>
      </c>
      <c r="S36" s="79">
        <v>10501</v>
      </c>
      <c r="T36" s="31">
        <f>G36</f>
        <v>10473</v>
      </c>
      <c r="U36" s="79">
        <v>10603</v>
      </c>
      <c r="V36" s="79">
        <v>10637</v>
      </c>
      <c r="W36" s="79">
        <v>10674</v>
      </c>
      <c r="X36" s="128"/>
      <c r="Y36" s="31">
        <f t="shared" ref="Y36:AF36" si="170">P36</f>
        <v>10304</v>
      </c>
      <c r="Z36" s="31">
        <f t="shared" si="170"/>
        <v>10393</v>
      </c>
      <c r="AA36" s="31">
        <f t="shared" si="170"/>
        <v>10447</v>
      </c>
      <c r="AB36" s="31">
        <f t="shared" si="170"/>
        <v>10501</v>
      </c>
      <c r="AC36" s="31">
        <f t="shared" si="170"/>
        <v>10473</v>
      </c>
      <c r="AD36" s="31">
        <f t="shared" si="170"/>
        <v>10603</v>
      </c>
      <c r="AE36" s="31">
        <f t="shared" si="170"/>
        <v>10637</v>
      </c>
      <c r="AF36" s="31">
        <f t="shared" si="170"/>
        <v>10674</v>
      </c>
      <c r="AG36" s="42"/>
      <c r="AH36" s="73">
        <f>SUM(AF36/AB36)-1</f>
        <v>1.6474621464622308E-2</v>
      </c>
    </row>
    <row r="37" spans="1:34" ht="12.75" customHeight="1">
      <c r="B37" s="13" t="s">
        <v>62</v>
      </c>
      <c r="C37" s="140">
        <f t="shared" ref="C37:G37" si="171">C33/C36</f>
        <v>42.661999999999999</v>
      </c>
      <c r="D37" s="140">
        <f t="shared" si="171"/>
        <v>65.936758893280626</v>
      </c>
      <c r="E37" s="140">
        <f t="shared" si="171"/>
        <v>-0.2671508489547551</v>
      </c>
      <c r="F37" s="140">
        <f t="shared" si="171"/>
        <v>2.9527368012422359</v>
      </c>
      <c r="G37" s="140">
        <f t="shared" si="171"/>
        <v>5.6572137878353859</v>
      </c>
      <c r="H37" s="26"/>
      <c r="I37" s="140">
        <f t="shared" ref="I37" si="172">I33/I36</f>
        <v>-0.37793727263789206</v>
      </c>
      <c r="J37" s="140">
        <f t="shared" ref="J37:K37" si="173">J33/J36</f>
        <v>-0.19931203931203931</v>
      </c>
      <c r="K37" s="140">
        <f t="shared" si="173"/>
        <v>0.28181728976547932</v>
      </c>
      <c r="L37" s="140">
        <f t="shared" ref="L37:W37" si="174">L33/L36</f>
        <v>2.7284326234174108E-2</v>
      </c>
      <c r="M37" s="140">
        <f t="shared" si="174"/>
        <v>0.30946341463414634</v>
      </c>
      <c r="N37" s="140">
        <f t="shared" si="174"/>
        <v>0.65629557608167233</v>
      </c>
      <c r="O37" s="140">
        <f t="shared" si="174"/>
        <v>0.9570819608602984</v>
      </c>
      <c r="P37" s="140">
        <f t="shared" si="174"/>
        <v>1.031055900621118</v>
      </c>
      <c r="Q37" s="140">
        <f t="shared" si="174"/>
        <v>1.0036563071297988</v>
      </c>
      <c r="R37" s="140">
        <f t="shared" si="174"/>
        <v>1.2908011869436202</v>
      </c>
      <c r="S37" s="140">
        <f t="shared" si="174"/>
        <v>1.4596705075707075</v>
      </c>
      <c r="T37" s="140">
        <f t="shared" si="174"/>
        <v>1.9100544256659984</v>
      </c>
      <c r="U37" s="140">
        <f t="shared" si="174"/>
        <v>1.6152975572951052</v>
      </c>
      <c r="V37" s="140">
        <f t="shared" si="174"/>
        <v>1.7076243301682805</v>
      </c>
      <c r="W37" s="140">
        <f t="shared" si="174"/>
        <v>1.984916619823871</v>
      </c>
      <c r="X37" s="128"/>
      <c r="Y37" s="140">
        <f t="shared" ref="Y37:AF37" si="175">Y33/Y36</f>
        <v>2.9527368012422359</v>
      </c>
      <c r="Z37" s="140">
        <f t="shared" si="175"/>
        <v>3.6259020494563647</v>
      </c>
      <c r="AA37" s="140">
        <f t="shared" si="175"/>
        <v>4.2518426342490665</v>
      </c>
      <c r="AB37" s="140">
        <f t="shared" si="175"/>
        <v>4.7488810589467674</v>
      </c>
      <c r="AC37" s="140">
        <f t="shared" si="175"/>
        <v>5.6572137878353859</v>
      </c>
      <c r="AD37" s="140">
        <f t="shared" si="175"/>
        <v>6.2193718758841836</v>
      </c>
      <c r="AE37" s="140">
        <f t="shared" si="175"/>
        <v>6.6393720033844126</v>
      </c>
      <c r="AF37" s="140">
        <f t="shared" si="175"/>
        <v>7.1652613827993257</v>
      </c>
      <c r="AG37" s="42"/>
      <c r="AH37" s="74">
        <f>SUM(AF37/AB37)-1</f>
        <v>0.50883151080403688</v>
      </c>
    </row>
    <row r="38" spans="1:34" ht="12.75" customHeight="1">
      <c r="B38" s="24"/>
      <c r="C38" s="47"/>
      <c r="D38" s="47"/>
      <c r="E38" s="47"/>
      <c r="F38" s="47"/>
      <c r="G38" s="47"/>
      <c r="H38" s="139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128"/>
      <c r="Y38" s="128"/>
      <c r="Z38" s="128"/>
      <c r="AA38" s="128"/>
      <c r="AB38" s="47"/>
      <c r="AC38" s="128"/>
      <c r="AD38" s="128"/>
      <c r="AE38" s="128"/>
      <c r="AF38" s="128"/>
      <c r="AG38" s="42"/>
      <c r="AH38" s="73"/>
    </row>
    <row r="39" spans="1:34" ht="12.75" customHeight="1">
      <c r="B39" s="43" t="s">
        <v>63</v>
      </c>
      <c r="C39" s="79">
        <v>510</v>
      </c>
      <c r="D39" s="79">
        <v>515</v>
      </c>
      <c r="E39" s="79">
        <v>10189</v>
      </c>
      <c r="F39" s="79">
        <v>10492</v>
      </c>
      <c r="G39" s="79">
        <v>10721</v>
      </c>
      <c r="H39" s="139"/>
      <c r="I39" s="79">
        <v>10171</v>
      </c>
      <c r="J39" s="79">
        <v>10175</v>
      </c>
      <c r="K39" s="79">
        <v>10331</v>
      </c>
      <c r="L39" s="31">
        <f>E39</f>
        <v>10189</v>
      </c>
      <c r="M39" s="79">
        <v>10347</v>
      </c>
      <c r="N39" s="79">
        <v>10449</v>
      </c>
      <c r="O39" s="79">
        <v>10558</v>
      </c>
      <c r="P39" s="31">
        <f>F39</f>
        <v>10492</v>
      </c>
      <c r="Q39" s="79">
        <v>10670</v>
      </c>
      <c r="R39" s="79">
        <v>10708</v>
      </c>
      <c r="S39" s="79">
        <v>10735</v>
      </c>
      <c r="T39" s="31">
        <f>G39</f>
        <v>10721</v>
      </c>
      <c r="U39" s="79">
        <v>10793</v>
      </c>
      <c r="V39" s="79">
        <v>10806</v>
      </c>
      <c r="W39" s="79">
        <v>10845</v>
      </c>
      <c r="X39" s="128"/>
      <c r="Y39" s="31">
        <f t="shared" ref="Y39:AF39" si="176">P39</f>
        <v>10492</v>
      </c>
      <c r="Z39" s="31">
        <f t="shared" si="176"/>
        <v>10670</v>
      </c>
      <c r="AA39" s="31">
        <f t="shared" si="176"/>
        <v>10708</v>
      </c>
      <c r="AB39" s="31">
        <f t="shared" si="176"/>
        <v>10735</v>
      </c>
      <c r="AC39" s="31">
        <f t="shared" si="176"/>
        <v>10721</v>
      </c>
      <c r="AD39" s="31">
        <f t="shared" si="176"/>
        <v>10793</v>
      </c>
      <c r="AE39" s="31">
        <f t="shared" si="176"/>
        <v>10806</v>
      </c>
      <c r="AF39" s="31">
        <f t="shared" si="176"/>
        <v>10845</v>
      </c>
      <c r="AG39" s="42"/>
      <c r="AH39" s="73">
        <f>SUM(AF39/AB39)-1</f>
        <v>1.0246856078248712E-2</v>
      </c>
    </row>
    <row r="40" spans="1:34" ht="12.75" customHeight="1">
      <c r="B40" s="13" t="s">
        <v>83</v>
      </c>
      <c r="C40" s="140">
        <f t="shared" ref="C40:G40" si="177">C33/C39</f>
        <v>41.825490196078434</v>
      </c>
      <c r="D40" s="140">
        <f t="shared" si="177"/>
        <v>64.784466019417479</v>
      </c>
      <c r="E40" s="140">
        <f t="shared" si="177"/>
        <v>-0.2671508489547551</v>
      </c>
      <c r="F40" s="140">
        <f t="shared" si="177"/>
        <v>2.8998284407167367</v>
      </c>
      <c r="G40" s="140">
        <f t="shared" si="177"/>
        <v>5.5263501539035538</v>
      </c>
      <c r="H40" s="26"/>
      <c r="I40" s="140">
        <f t="shared" ref="I40" si="178">I33/I39</f>
        <v>-0.37793727263789206</v>
      </c>
      <c r="J40" s="140">
        <f t="shared" ref="J40:K40" si="179">J33/J39</f>
        <v>-0.19931203931203931</v>
      </c>
      <c r="K40" s="140">
        <f t="shared" si="179"/>
        <v>0.27799825767108705</v>
      </c>
      <c r="L40" s="140">
        <f t="shared" ref="L40:W40" si="180">L33/L39</f>
        <v>2.7284326234174108E-2</v>
      </c>
      <c r="M40" s="140">
        <f t="shared" si="180"/>
        <v>0.3065622885860636</v>
      </c>
      <c r="N40" s="140">
        <f t="shared" si="180"/>
        <v>0.64599483204134367</v>
      </c>
      <c r="O40" s="140">
        <f t="shared" si="180"/>
        <v>0.93568857738207989</v>
      </c>
      <c r="P40" s="140">
        <f t="shared" si="180"/>
        <v>1.0125810141059854</v>
      </c>
      <c r="Q40" s="140">
        <f t="shared" si="180"/>
        <v>0.97760074976569822</v>
      </c>
      <c r="R40" s="140">
        <f t="shared" si="180"/>
        <v>1.2593388121031004</v>
      </c>
      <c r="S40" s="140">
        <f t="shared" si="180"/>
        <v>1.4278528178854215</v>
      </c>
      <c r="T40" s="140">
        <f t="shared" si="180"/>
        <v>1.8658707210148306</v>
      </c>
      <c r="U40" s="140">
        <f t="shared" si="180"/>
        <v>1.5868618549059577</v>
      </c>
      <c r="V40" s="140">
        <f t="shared" si="180"/>
        <v>1.6809180085137887</v>
      </c>
      <c r="W40" s="140">
        <f t="shared" si="180"/>
        <v>1.9536191793453204</v>
      </c>
      <c r="X40" s="128"/>
      <c r="Y40" s="140">
        <f t="shared" ref="Y40:AF40" si="181">Y33/Y39</f>
        <v>2.8998284407167367</v>
      </c>
      <c r="Z40" s="140">
        <f t="shared" si="181"/>
        <v>3.5317713214620432</v>
      </c>
      <c r="AA40" s="140">
        <f t="shared" si="181"/>
        <v>4.1482069480762043</v>
      </c>
      <c r="AB40" s="140">
        <f t="shared" si="181"/>
        <v>4.6453656264555194</v>
      </c>
      <c r="AC40" s="140">
        <f t="shared" si="181"/>
        <v>5.5263501539035538</v>
      </c>
      <c r="AD40" s="140">
        <f t="shared" si="181"/>
        <v>6.1098860372463637</v>
      </c>
      <c r="AE40" s="140">
        <f t="shared" si="181"/>
        <v>6.5355358134369794</v>
      </c>
      <c r="AF40" s="140">
        <f t="shared" si="181"/>
        <v>7.0522821576763484</v>
      </c>
      <c r="AG40" s="42"/>
      <c r="AH40" s="74">
        <f>SUM(AF40/AB40)-1</f>
        <v>0.51813284997705145</v>
      </c>
    </row>
    <row r="41" spans="1:34">
      <c r="B41" s="16"/>
      <c r="C41" s="17"/>
      <c r="D41" s="17"/>
      <c r="E41" s="17"/>
      <c r="F41" s="17"/>
      <c r="G41" s="17"/>
      <c r="H41" s="26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27"/>
      <c r="Y41" s="17"/>
      <c r="Z41" s="17"/>
      <c r="AA41" s="17"/>
      <c r="AB41" s="17"/>
      <c r="AC41" s="17"/>
      <c r="AD41" s="17"/>
      <c r="AE41" s="17"/>
      <c r="AF41" s="17"/>
      <c r="AG41" s="42"/>
    </row>
    <row r="42" spans="1:34" ht="12.75" customHeight="1">
      <c r="A42" s="5" t="s">
        <v>16</v>
      </c>
      <c r="B42" s="103" t="s">
        <v>73</v>
      </c>
      <c r="C42" s="104"/>
      <c r="D42" s="104"/>
      <c r="E42" s="104"/>
      <c r="F42" s="104"/>
      <c r="G42" s="104"/>
      <c r="H42" s="105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3"/>
      <c r="Y42" s="104"/>
      <c r="Z42" s="104"/>
      <c r="AA42" s="104" t="s">
        <v>10</v>
      </c>
      <c r="AB42" s="104"/>
      <c r="AC42" s="104"/>
      <c r="AD42" s="104"/>
      <c r="AE42" s="104"/>
      <c r="AF42" s="104"/>
      <c r="AG42" s="105"/>
      <c r="AH42" s="151" t="s">
        <v>22</v>
      </c>
    </row>
    <row r="43" spans="1:34" ht="12.75" customHeight="1">
      <c r="B43" s="107" t="str">
        <f>B7</f>
        <v>Fiscal Period</v>
      </c>
      <c r="C43" s="106">
        <f>C7</f>
        <v>2020</v>
      </c>
      <c r="D43" s="106">
        <f>D7</f>
        <v>2021</v>
      </c>
      <c r="E43" s="106">
        <f>E7</f>
        <v>2022</v>
      </c>
      <c r="F43" s="106">
        <f>F7</f>
        <v>2023</v>
      </c>
      <c r="G43" s="106">
        <f>G7</f>
        <v>2024</v>
      </c>
      <c r="H43" s="105"/>
      <c r="I43" s="106" t="str">
        <f t="shared" ref="I43:W43" si="182">I7</f>
        <v>1Q22</v>
      </c>
      <c r="J43" s="106" t="str">
        <f t="shared" si="182"/>
        <v>2Q22</v>
      </c>
      <c r="K43" s="106" t="str">
        <f t="shared" si="182"/>
        <v>3Q22</v>
      </c>
      <c r="L43" s="106" t="str">
        <f t="shared" si="182"/>
        <v>4Q22</v>
      </c>
      <c r="M43" s="106" t="str">
        <f t="shared" si="182"/>
        <v>1Q23</v>
      </c>
      <c r="N43" s="106" t="str">
        <f t="shared" si="182"/>
        <v>2Q23</v>
      </c>
      <c r="O43" s="106" t="str">
        <f t="shared" si="182"/>
        <v>3Q23</v>
      </c>
      <c r="P43" s="106" t="str">
        <f t="shared" si="182"/>
        <v>4Q23</v>
      </c>
      <c r="Q43" s="106" t="str">
        <f t="shared" si="182"/>
        <v>1Q24</v>
      </c>
      <c r="R43" s="106" t="str">
        <f t="shared" si="182"/>
        <v>2Q24</v>
      </c>
      <c r="S43" s="106" t="str">
        <f t="shared" si="182"/>
        <v>3Q24</v>
      </c>
      <c r="T43" s="106" t="str">
        <f t="shared" si="182"/>
        <v>4Q24</v>
      </c>
      <c r="U43" s="106" t="str">
        <f t="shared" si="182"/>
        <v>1Q25</v>
      </c>
      <c r="V43" s="106" t="str">
        <f t="shared" si="182"/>
        <v>2Q25</v>
      </c>
      <c r="W43" s="106" t="str">
        <f t="shared" si="182"/>
        <v>3Q25</v>
      </c>
      <c r="X43" s="108"/>
      <c r="Y43" s="106" t="str">
        <f>Y7</f>
        <v>4Q23</v>
      </c>
      <c r="Z43" s="106" t="str">
        <f>Z7</f>
        <v>1Q24</v>
      </c>
      <c r="AA43" s="106" t="str">
        <f>AA7</f>
        <v>2Q24</v>
      </c>
      <c r="AB43" s="106" t="str">
        <f>AB7</f>
        <v>3Q24</v>
      </c>
      <c r="AC43" s="106" t="str">
        <f>AC7</f>
        <v>4Q24</v>
      </c>
      <c r="AD43" s="106" t="str">
        <f>AD7</f>
        <v>1Q25</v>
      </c>
      <c r="AE43" s="106" t="str">
        <f>AE7</f>
        <v>2Q25</v>
      </c>
      <c r="AF43" s="106" t="str">
        <f>AF7</f>
        <v>3Q25</v>
      </c>
      <c r="AG43" s="105"/>
      <c r="AH43" s="151"/>
    </row>
    <row r="44" spans="1:34" ht="12.75" customHeight="1">
      <c r="B44" s="107" t="str">
        <f>B8</f>
        <v>Fiscal Period End Date</v>
      </c>
      <c r="C44" s="109">
        <f>C8</f>
        <v>44196</v>
      </c>
      <c r="D44" s="109">
        <f>D8</f>
        <v>44561</v>
      </c>
      <c r="E44" s="109">
        <f>E8</f>
        <v>44926</v>
      </c>
      <c r="F44" s="109">
        <f>F8</f>
        <v>45291</v>
      </c>
      <c r="G44" s="109">
        <f>G8</f>
        <v>45657</v>
      </c>
      <c r="H44" s="105"/>
      <c r="I44" s="109">
        <f t="shared" ref="I44:W44" si="183">I8</f>
        <v>44651</v>
      </c>
      <c r="J44" s="109">
        <f t="shared" si="183"/>
        <v>44742</v>
      </c>
      <c r="K44" s="109">
        <f t="shared" si="183"/>
        <v>44834</v>
      </c>
      <c r="L44" s="109">
        <f t="shared" si="183"/>
        <v>44926</v>
      </c>
      <c r="M44" s="109">
        <f t="shared" si="183"/>
        <v>45016</v>
      </c>
      <c r="N44" s="109">
        <f t="shared" si="183"/>
        <v>45107</v>
      </c>
      <c r="O44" s="109">
        <f t="shared" si="183"/>
        <v>45199</v>
      </c>
      <c r="P44" s="109">
        <f t="shared" si="183"/>
        <v>45291</v>
      </c>
      <c r="Q44" s="109">
        <f t="shared" si="183"/>
        <v>45382</v>
      </c>
      <c r="R44" s="109">
        <f t="shared" si="183"/>
        <v>45473</v>
      </c>
      <c r="S44" s="109">
        <f t="shared" si="183"/>
        <v>45565</v>
      </c>
      <c r="T44" s="109">
        <f t="shared" si="183"/>
        <v>45657</v>
      </c>
      <c r="U44" s="109">
        <f t="shared" si="183"/>
        <v>45747</v>
      </c>
      <c r="V44" s="109">
        <f t="shared" si="183"/>
        <v>45838</v>
      </c>
      <c r="W44" s="109">
        <f t="shared" si="183"/>
        <v>45930</v>
      </c>
      <c r="X44" s="110"/>
      <c r="Y44" s="109">
        <f>Y8</f>
        <v>45291</v>
      </c>
      <c r="Z44" s="109">
        <f>Z8</f>
        <v>45382</v>
      </c>
      <c r="AA44" s="109">
        <f>AA8</f>
        <v>45473</v>
      </c>
      <c r="AB44" s="109">
        <f>AB8</f>
        <v>45565</v>
      </c>
      <c r="AC44" s="109">
        <f>AC8</f>
        <v>45657</v>
      </c>
      <c r="AD44" s="109">
        <f>AD8</f>
        <v>45747</v>
      </c>
      <c r="AE44" s="109">
        <f>AE8</f>
        <v>45838</v>
      </c>
      <c r="AF44" s="109">
        <f>AF8</f>
        <v>45930</v>
      </c>
      <c r="AG44" s="105"/>
      <c r="AH44" s="151"/>
    </row>
    <row r="45" spans="1:34" ht="5.0999999999999996" customHeight="1">
      <c r="B45" s="45"/>
      <c r="C45" s="46"/>
      <c r="D45" s="46"/>
      <c r="E45" s="46"/>
      <c r="F45" s="46"/>
      <c r="G45" s="46"/>
    </row>
    <row r="46" spans="1:34">
      <c r="B46" s="76" t="s">
        <v>78</v>
      </c>
      <c r="C46" s="46"/>
      <c r="D46" s="46"/>
      <c r="E46" s="46"/>
      <c r="F46" s="46"/>
      <c r="G46" s="46"/>
    </row>
    <row r="47" spans="1:34" s="119" customFormat="1" ht="12.75" customHeight="1">
      <c r="B47" s="111" t="s">
        <v>167</v>
      </c>
      <c r="C47" s="120">
        <v>42122</v>
      </c>
      <c r="D47" s="120">
        <v>36220</v>
      </c>
      <c r="E47" s="120">
        <v>53888</v>
      </c>
      <c r="F47" s="120">
        <v>73387</v>
      </c>
      <c r="G47" s="120">
        <v>78779</v>
      </c>
      <c r="I47" s="79">
        <v>36393</v>
      </c>
      <c r="J47" s="79">
        <v>37478</v>
      </c>
      <c r="K47" s="79">
        <v>34947</v>
      </c>
      <c r="L47" s="31">
        <f t="shared" ref="L47:L50" si="184">E47</f>
        <v>53888</v>
      </c>
      <c r="M47" s="79">
        <v>49343</v>
      </c>
      <c r="N47" s="79">
        <v>49529</v>
      </c>
      <c r="O47" s="79">
        <v>49605</v>
      </c>
      <c r="P47" s="31">
        <f t="shared" ref="P47:P50" si="185">F47</f>
        <v>73387</v>
      </c>
      <c r="Q47" s="79">
        <v>72852</v>
      </c>
      <c r="R47" s="79">
        <v>71178</v>
      </c>
      <c r="S47" s="79">
        <v>75091</v>
      </c>
      <c r="T47" s="31">
        <f t="shared" ref="T47:T50" si="186">G47</f>
        <v>78779</v>
      </c>
      <c r="U47" s="79">
        <v>66207</v>
      </c>
      <c r="V47" s="79">
        <v>57741</v>
      </c>
      <c r="W47" s="79">
        <v>66922</v>
      </c>
      <c r="Y47" s="93">
        <f t="shared" ref="Y47:AF50" si="187">P47</f>
        <v>73387</v>
      </c>
      <c r="Z47" s="93">
        <f t="shared" si="187"/>
        <v>72852</v>
      </c>
      <c r="AA47" s="93">
        <f t="shared" si="187"/>
        <v>71178</v>
      </c>
      <c r="AB47" s="93">
        <f t="shared" si="187"/>
        <v>75091</v>
      </c>
      <c r="AC47" s="93">
        <f t="shared" si="187"/>
        <v>78779</v>
      </c>
      <c r="AD47" s="93">
        <f t="shared" si="187"/>
        <v>66207</v>
      </c>
      <c r="AE47" s="93">
        <f t="shared" si="187"/>
        <v>57741</v>
      </c>
      <c r="AF47" s="93">
        <f t="shared" si="187"/>
        <v>66922</v>
      </c>
      <c r="AG47" s="121"/>
      <c r="AH47" s="73">
        <f>SUM(AF47/AB47)-1</f>
        <v>-0.10878800388861509</v>
      </c>
    </row>
    <row r="48" spans="1:34" s="119" customFormat="1" ht="12.75" customHeight="1">
      <c r="B48" s="111" t="s">
        <v>168</v>
      </c>
      <c r="C48" s="120">
        <v>42274</v>
      </c>
      <c r="D48" s="120">
        <v>59829</v>
      </c>
      <c r="E48" s="120">
        <v>16138</v>
      </c>
      <c r="F48" s="120">
        <v>13393</v>
      </c>
      <c r="G48" s="120">
        <v>22423</v>
      </c>
      <c r="I48" s="79">
        <v>29992</v>
      </c>
      <c r="J48" s="79">
        <v>23232</v>
      </c>
      <c r="K48" s="79">
        <v>23715</v>
      </c>
      <c r="L48" s="31">
        <f t="shared" si="184"/>
        <v>16138</v>
      </c>
      <c r="M48" s="79">
        <v>15062</v>
      </c>
      <c r="N48" s="79">
        <v>14441</v>
      </c>
      <c r="O48" s="79">
        <v>14564</v>
      </c>
      <c r="P48" s="31">
        <f t="shared" si="185"/>
        <v>13393</v>
      </c>
      <c r="Q48" s="79">
        <v>12222</v>
      </c>
      <c r="R48" s="79">
        <v>17914</v>
      </c>
      <c r="S48" s="79">
        <v>12960</v>
      </c>
      <c r="T48" s="31">
        <f t="shared" si="186"/>
        <v>22423</v>
      </c>
      <c r="U48" s="79">
        <v>28358</v>
      </c>
      <c r="V48" s="79">
        <v>35439</v>
      </c>
      <c r="W48" s="79">
        <v>27275</v>
      </c>
      <c r="Y48" s="93">
        <f t="shared" si="187"/>
        <v>13393</v>
      </c>
      <c r="Z48" s="93">
        <f t="shared" si="187"/>
        <v>12222</v>
      </c>
      <c r="AA48" s="93">
        <f t="shared" si="187"/>
        <v>17914</v>
      </c>
      <c r="AB48" s="93">
        <f t="shared" si="187"/>
        <v>12960</v>
      </c>
      <c r="AC48" s="93">
        <f t="shared" si="187"/>
        <v>22423</v>
      </c>
      <c r="AD48" s="93">
        <f t="shared" si="187"/>
        <v>28358</v>
      </c>
      <c r="AE48" s="93">
        <f t="shared" si="187"/>
        <v>35439</v>
      </c>
      <c r="AF48" s="93">
        <f t="shared" si="187"/>
        <v>27275</v>
      </c>
      <c r="AG48" s="121"/>
      <c r="AH48" s="73">
        <f t="shared" ref="AH48:AH49" si="188">SUM(AF48/AB48)-1</f>
        <v>1.1045524691358026</v>
      </c>
    </row>
    <row r="49" spans="2:34" s="119" customFormat="1" ht="12.75" customHeight="1">
      <c r="B49" s="111" t="s">
        <v>104</v>
      </c>
      <c r="C49" s="120">
        <v>23795</v>
      </c>
      <c r="D49" s="120">
        <v>32640</v>
      </c>
      <c r="E49" s="120">
        <v>34405</v>
      </c>
      <c r="F49" s="120">
        <v>33318</v>
      </c>
      <c r="G49" s="120">
        <v>34214</v>
      </c>
      <c r="I49" s="79">
        <v>34987</v>
      </c>
      <c r="J49" s="79">
        <v>38153</v>
      </c>
      <c r="K49" s="79">
        <v>36647</v>
      </c>
      <c r="L49" s="31">
        <f t="shared" si="184"/>
        <v>34405</v>
      </c>
      <c r="M49" s="79">
        <v>34170</v>
      </c>
      <c r="N49" s="79">
        <v>36587</v>
      </c>
      <c r="O49" s="79">
        <v>35406</v>
      </c>
      <c r="P49" s="31">
        <f t="shared" si="185"/>
        <v>33318</v>
      </c>
      <c r="Q49" s="79">
        <v>31147</v>
      </c>
      <c r="R49" s="79">
        <v>34109</v>
      </c>
      <c r="S49" s="79">
        <v>36103</v>
      </c>
      <c r="T49" s="31">
        <f t="shared" si="186"/>
        <v>34214</v>
      </c>
      <c r="U49" s="79">
        <v>35864</v>
      </c>
      <c r="V49" s="79">
        <v>40825</v>
      </c>
      <c r="W49" s="79">
        <v>41494</v>
      </c>
      <c r="Y49" s="93">
        <f t="shared" si="187"/>
        <v>33318</v>
      </c>
      <c r="Z49" s="93">
        <f t="shared" si="187"/>
        <v>31147</v>
      </c>
      <c r="AA49" s="93">
        <f t="shared" si="187"/>
        <v>34109</v>
      </c>
      <c r="AB49" s="93">
        <f t="shared" si="187"/>
        <v>36103</v>
      </c>
      <c r="AC49" s="93">
        <f t="shared" si="187"/>
        <v>34214</v>
      </c>
      <c r="AD49" s="93">
        <f t="shared" si="187"/>
        <v>35864</v>
      </c>
      <c r="AE49" s="93">
        <f t="shared" si="187"/>
        <v>40825</v>
      </c>
      <c r="AF49" s="93">
        <f t="shared" si="187"/>
        <v>41494</v>
      </c>
      <c r="AG49" s="121"/>
      <c r="AH49" s="73">
        <f t="shared" si="188"/>
        <v>0.14932277096086199</v>
      </c>
    </row>
    <row r="50" spans="2:34" s="119" customFormat="1" ht="12.75" customHeight="1">
      <c r="B50" s="111" t="s">
        <v>169</v>
      </c>
      <c r="C50" s="120">
        <v>24542</v>
      </c>
      <c r="D50" s="120">
        <v>32891</v>
      </c>
      <c r="E50" s="120">
        <v>42360</v>
      </c>
      <c r="F50" s="120">
        <v>52253</v>
      </c>
      <c r="G50" s="120">
        <v>55451</v>
      </c>
      <c r="I50" s="79">
        <v>32504</v>
      </c>
      <c r="J50" s="79">
        <v>34804</v>
      </c>
      <c r="K50" s="79">
        <v>36154</v>
      </c>
      <c r="L50" s="31">
        <f t="shared" si="184"/>
        <v>42360</v>
      </c>
      <c r="M50" s="79">
        <v>37646</v>
      </c>
      <c r="N50" s="79">
        <v>39925</v>
      </c>
      <c r="O50" s="79">
        <v>43420</v>
      </c>
      <c r="P50" s="31">
        <f t="shared" si="185"/>
        <v>52253</v>
      </c>
      <c r="Q50" s="79">
        <v>47768</v>
      </c>
      <c r="R50" s="79">
        <v>50106</v>
      </c>
      <c r="S50" s="79">
        <v>51638</v>
      </c>
      <c r="T50" s="31">
        <f t="shared" si="186"/>
        <v>55451</v>
      </c>
      <c r="U50" s="79">
        <v>54216</v>
      </c>
      <c r="V50" s="79">
        <v>57415</v>
      </c>
      <c r="W50" s="79">
        <v>61175</v>
      </c>
      <c r="Y50" s="93">
        <f t="shared" si="187"/>
        <v>52253</v>
      </c>
      <c r="Z50" s="93">
        <f t="shared" si="187"/>
        <v>47768</v>
      </c>
      <c r="AA50" s="93">
        <f t="shared" si="187"/>
        <v>50106</v>
      </c>
      <c r="AB50" s="93">
        <f t="shared" si="187"/>
        <v>51638</v>
      </c>
      <c r="AC50" s="93">
        <f t="shared" si="187"/>
        <v>55451</v>
      </c>
      <c r="AD50" s="93">
        <f t="shared" si="187"/>
        <v>54216</v>
      </c>
      <c r="AE50" s="93">
        <f t="shared" si="187"/>
        <v>57415</v>
      </c>
      <c r="AF50" s="93">
        <f t="shared" si="187"/>
        <v>61175</v>
      </c>
      <c r="AG50" s="121"/>
      <c r="AH50" s="73">
        <f t="shared" ref="AH50" si="189">SUM(AF50/AB50)-1</f>
        <v>0.184689569696735</v>
      </c>
    </row>
    <row r="51" spans="2:34" ht="12.75" customHeight="1">
      <c r="B51" s="24" t="s">
        <v>18</v>
      </c>
      <c r="C51" s="25">
        <f>SUM(C47:C50)</f>
        <v>132733</v>
      </c>
      <c r="D51" s="25">
        <f>SUM(D47:D50)</f>
        <v>161580</v>
      </c>
      <c r="E51" s="25">
        <f>SUM(E47:E50)</f>
        <v>146791</v>
      </c>
      <c r="F51" s="25">
        <f>SUM(F47:F50)</f>
        <v>172351</v>
      </c>
      <c r="G51" s="25">
        <f>SUM(G47:G50)</f>
        <v>190867</v>
      </c>
      <c r="H51" s="47"/>
      <c r="I51" s="25">
        <f t="shared" ref="I51:W51" si="190">SUM(I47:I50)</f>
        <v>133876</v>
      </c>
      <c r="J51" s="25">
        <f t="shared" si="190"/>
        <v>133667</v>
      </c>
      <c r="K51" s="25">
        <f t="shared" si="190"/>
        <v>131463</v>
      </c>
      <c r="L51" s="25">
        <f t="shared" si="190"/>
        <v>146791</v>
      </c>
      <c r="M51" s="25">
        <f t="shared" si="190"/>
        <v>136221</v>
      </c>
      <c r="N51" s="25">
        <f t="shared" si="190"/>
        <v>140482</v>
      </c>
      <c r="O51" s="25">
        <f t="shared" si="190"/>
        <v>142995</v>
      </c>
      <c r="P51" s="25">
        <f t="shared" si="190"/>
        <v>172351</v>
      </c>
      <c r="Q51" s="25">
        <f t="shared" si="190"/>
        <v>163989</v>
      </c>
      <c r="R51" s="25">
        <f t="shared" si="190"/>
        <v>173307</v>
      </c>
      <c r="S51" s="25">
        <f t="shared" si="190"/>
        <v>175792</v>
      </c>
      <c r="T51" s="25">
        <f t="shared" si="190"/>
        <v>190867</v>
      </c>
      <c r="U51" s="25">
        <f t="shared" si="190"/>
        <v>184645</v>
      </c>
      <c r="V51" s="25">
        <f t="shared" si="190"/>
        <v>191420</v>
      </c>
      <c r="W51" s="25">
        <f t="shared" si="190"/>
        <v>196866</v>
      </c>
      <c r="X51" s="47"/>
      <c r="Y51" s="25">
        <f t="shared" ref="Y51:AF51" si="191">SUM(Y47:Y50)</f>
        <v>172351</v>
      </c>
      <c r="Z51" s="25">
        <f t="shared" si="191"/>
        <v>163989</v>
      </c>
      <c r="AA51" s="25">
        <f t="shared" si="191"/>
        <v>173307</v>
      </c>
      <c r="AB51" s="25">
        <f t="shared" si="191"/>
        <v>175792</v>
      </c>
      <c r="AC51" s="25">
        <f t="shared" si="191"/>
        <v>190867</v>
      </c>
      <c r="AD51" s="25">
        <f t="shared" si="191"/>
        <v>184645</v>
      </c>
      <c r="AE51" s="25">
        <f t="shared" si="191"/>
        <v>191420</v>
      </c>
      <c r="AF51" s="25">
        <f t="shared" si="191"/>
        <v>196866</v>
      </c>
      <c r="AG51" s="41"/>
      <c r="AH51" s="74">
        <f>SUM(AF51/AB51)-1</f>
        <v>0.11988031309729674</v>
      </c>
    </row>
    <row r="52" spans="2:34" ht="5.0999999999999996" customHeight="1">
      <c r="B52" s="24"/>
      <c r="C52" s="48"/>
      <c r="D52" s="48"/>
      <c r="E52" s="48"/>
      <c r="F52" s="40"/>
      <c r="G52" s="40"/>
      <c r="I52" s="40"/>
      <c r="J52" s="40"/>
      <c r="K52" s="40"/>
      <c r="L52" s="40"/>
      <c r="M52" s="40"/>
      <c r="N52" s="40"/>
      <c r="O52" s="40"/>
      <c r="P52" s="40"/>
      <c r="Q52" s="40"/>
      <c r="R52" s="40"/>
      <c r="S52" s="40"/>
      <c r="T52" s="40"/>
      <c r="U52" s="40"/>
      <c r="V52" s="40"/>
      <c r="W52" s="40"/>
      <c r="Y52" s="41"/>
      <c r="Z52" s="41"/>
      <c r="AA52" s="41"/>
      <c r="AB52" s="41"/>
      <c r="AC52" s="41"/>
      <c r="AD52" s="41"/>
      <c r="AE52" s="41"/>
      <c r="AF52" s="41"/>
      <c r="AG52" s="41"/>
      <c r="AH52" s="38"/>
    </row>
    <row r="53" spans="2:34" ht="12.75" customHeight="1">
      <c r="B53" s="76" t="s">
        <v>79</v>
      </c>
      <c r="C53" s="79"/>
      <c r="D53" s="79"/>
      <c r="E53" s="79"/>
      <c r="F53" s="79"/>
      <c r="G53" s="79"/>
      <c r="I53" s="79"/>
      <c r="J53" s="79"/>
      <c r="K53" s="79"/>
      <c r="L53" s="79"/>
      <c r="M53" s="79"/>
      <c r="N53" s="79"/>
      <c r="O53" s="79"/>
      <c r="P53" s="79"/>
      <c r="Q53" s="79"/>
      <c r="R53" s="79"/>
      <c r="S53" s="79"/>
      <c r="T53" s="79"/>
      <c r="U53" s="31"/>
      <c r="V53" s="79"/>
      <c r="W53" s="79"/>
      <c r="Y53" s="31"/>
      <c r="Z53" s="31"/>
      <c r="AA53" s="31"/>
      <c r="AB53" s="31"/>
      <c r="AC53" s="31"/>
      <c r="AD53" s="31"/>
      <c r="AE53" s="31"/>
      <c r="AF53" s="31"/>
      <c r="AG53" s="11"/>
      <c r="AH53" s="73"/>
    </row>
    <row r="54" spans="2:34" ht="12.75" customHeight="1">
      <c r="B54" s="9" t="s">
        <v>170</v>
      </c>
      <c r="C54" s="79">
        <v>113114</v>
      </c>
      <c r="D54" s="79">
        <v>160281</v>
      </c>
      <c r="E54" s="79">
        <v>186715</v>
      </c>
      <c r="F54" s="79">
        <v>204177</v>
      </c>
      <c r="G54" s="79">
        <v>252665</v>
      </c>
      <c r="I54" s="79">
        <v>168468</v>
      </c>
      <c r="J54" s="79">
        <v>173706</v>
      </c>
      <c r="K54" s="79">
        <v>177195</v>
      </c>
      <c r="L54" s="31">
        <f t="shared" ref="L54:L57" si="192">E54</f>
        <v>186715</v>
      </c>
      <c r="M54" s="79">
        <v>190754</v>
      </c>
      <c r="N54" s="79">
        <v>193784</v>
      </c>
      <c r="O54" s="79">
        <v>196468</v>
      </c>
      <c r="P54" s="31">
        <f t="shared" ref="P54:P57" si="193">F54</f>
        <v>204177</v>
      </c>
      <c r="Q54" s="79">
        <v>209950</v>
      </c>
      <c r="R54" s="79">
        <v>220717</v>
      </c>
      <c r="S54" s="79">
        <v>237917</v>
      </c>
      <c r="T54" s="31">
        <f t="shared" ref="T54:T57" si="194">G54</f>
        <v>252665</v>
      </c>
      <c r="U54" s="79">
        <v>272781</v>
      </c>
      <c r="V54" s="79">
        <v>297616</v>
      </c>
      <c r="W54" s="79">
        <v>324435</v>
      </c>
      <c r="Y54" s="31">
        <f t="shared" ref="Y54:AF57" si="195">P54</f>
        <v>204177</v>
      </c>
      <c r="Z54" s="31">
        <f t="shared" si="195"/>
        <v>209950</v>
      </c>
      <c r="AA54" s="31">
        <f t="shared" si="195"/>
        <v>220717</v>
      </c>
      <c r="AB54" s="31">
        <f t="shared" si="195"/>
        <v>237917</v>
      </c>
      <c r="AC54" s="31">
        <f t="shared" si="195"/>
        <v>252665</v>
      </c>
      <c r="AD54" s="31">
        <f t="shared" si="195"/>
        <v>272781</v>
      </c>
      <c r="AE54" s="31">
        <f t="shared" si="195"/>
        <v>297616</v>
      </c>
      <c r="AF54" s="31">
        <f t="shared" si="195"/>
        <v>324435</v>
      </c>
      <c r="AG54" s="11"/>
      <c r="AH54" s="73">
        <f t="shared" ref="AH54:AH58" si="196">SUM(AF54/AB54)-1</f>
        <v>0.36364782676311491</v>
      </c>
    </row>
    <row r="55" spans="2:34" ht="12.75" customHeight="1">
      <c r="B55" s="9" t="s">
        <v>171</v>
      </c>
      <c r="C55" s="79">
        <v>37553</v>
      </c>
      <c r="D55" s="79">
        <v>56082</v>
      </c>
      <c r="E55" s="79">
        <v>66123</v>
      </c>
      <c r="F55" s="79">
        <v>72513</v>
      </c>
      <c r="G55" s="79">
        <v>76141</v>
      </c>
      <c r="I55" s="79">
        <v>56161</v>
      </c>
      <c r="J55" s="79">
        <v>58430</v>
      </c>
      <c r="K55" s="79">
        <v>62033</v>
      </c>
      <c r="L55" s="31">
        <f t="shared" si="192"/>
        <v>66123</v>
      </c>
      <c r="M55" s="79">
        <v>68262</v>
      </c>
      <c r="N55" s="79">
        <v>70332</v>
      </c>
      <c r="O55" s="79">
        <v>70758</v>
      </c>
      <c r="P55" s="31">
        <f t="shared" si="193"/>
        <v>72513</v>
      </c>
      <c r="Q55" s="79">
        <v>73313</v>
      </c>
      <c r="R55" s="79">
        <v>74575</v>
      </c>
      <c r="S55" s="79">
        <v>76527</v>
      </c>
      <c r="T55" s="31">
        <f t="shared" si="194"/>
        <v>76141</v>
      </c>
      <c r="U55" s="79">
        <v>78495</v>
      </c>
      <c r="V55" s="79">
        <v>82125</v>
      </c>
      <c r="W55" s="79">
        <v>83456</v>
      </c>
      <c r="Y55" s="31">
        <f t="shared" si="195"/>
        <v>72513</v>
      </c>
      <c r="Z55" s="31">
        <f t="shared" si="195"/>
        <v>73313</v>
      </c>
      <c r="AA55" s="31">
        <f t="shared" si="195"/>
        <v>74575</v>
      </c>
      <c r="AB55" s="31">
        <f t="shared" si="195"/>
        <v>76527</v>
      </c>
      <c r="AC55" s="31">
        <f t="shared" si="195"/>
        <v>76141</v>
      </c>
      <c r="AD55" s="31">
        <f t="shared" si="195"/>
        <v>78495</v>
      </c>
      <c r="AE55" s="31">
        <f t="shared" si="195"/>
        <v>82125</v>
      </c>
      <c r="AF55" s="31">
        <f t="shared" si="195"/>
        <v>83456</v>
      </c>
      <c r="AG55" s="11"/>
      <c r="AH55" s="73">
        <f t="shared" si="196"/>
        <v>9.054320697270235E-2</v>
      </c>
    </row>
    <row r="56" spans="2:34" ht="12.75" customHeight="1">
      <c r="B56" s="9" t="s">
        <v>105</v>
      </c>
      <c r="C56" s="79">
        <v>15017</v>
      </c>
      <c r="D56" s="79">
        <v>15371</v>
      </c>
      <c r="E56" s="79">
        <v>20288</v>
      </c>
      <c r="F56" s="79">
        <v>22789</v>
      </c>
      <c r="G56" s="79">
        <v>23074</v>
      </c>
      <c r="I56" s="79">
        <v>20229</v>
      </c>
      <c r="J56" s="79">
        <v>20195</v>
      </c>
      <c r="K56" s="79">
        <v>20168</v>
      </c>
      <c r="L56" s="31">
        <f t="shared" si="192"/>
        <v>20288</v>
      </c>
      <c r="M56" s="79">
        <v>22749</v>
      </c>
      <c r="N56" s="79">
        <v>22785</v>
      </c>
      <c r="O56" s="79">
        <v>22749</v>
      </c>
      <c r="P56" s="31">
        <f t="shared" si="193"/>
        <v>22789</v>
      </c>
      <c r="Q56" s="79">
        <v>22770</v>
      </c>
      <c r="R56" s="79">
        <v>22879</v>
      </c>
      <c r="S56" s="79">
        <v>23081</v>
      </c>
      <c r="T56" s="31">
        <f t="shared" si="194"/>
        <v>23074</v>
      </c>
      <c r="U56" s="79">
        <v>23089</v>
      </c>
      <c r="V56" s="79">
        <v>23155</v>
      </c>
      <c r="W56" s="79">
        <v>23260</v>
      </c>
      <c r="Y56" s="31">
        <f t="shared" si="195"/>
        <v>22789</v>
      </c>
      <c r="Z56" s="31">
        <f t="shared" si="195"/>
        <v>22770</v>
      </c>
      <c r="AA56" s="31">
        <f t="shared" si="195"/>
        <v>22879</v>
      </c>
      <c r="AB56" s="31">
        <f t="shared" si="195"/>
        <v>23081</v>
      </c>
      <c r="AC56" s="31">
        <f t="shared" si="195"/>
        <v>23074</v>
      </c>
      <c r="AD56" s="31">
        <f t="shared" si="195"/>
        <v>23089</v>
      </c>
      <c r="AE56" s="31">
        <f t="shared" si="195"/>
        <v>23155</v>
      </c>
      <c r="AF56" s="31">
        <f t="shared" si="195"/>
        <v>23260</v>
      </c>
      <c r="AG56" s="11"/>
      <c r="AH56" s="73">
        <f t="shared" ref="AH56:AH57" si="197">SUM(AF56/AB56)-1</f>
        <v>7.7552965642735394E-3</v>
      </c>
    </row>
    <row r="57" spans="2:34" ht="12.75" customHeight="1">
      <c r="B57" s="9" t="s">
        <v>172</v>
      </c>
      <c r="C57" s="79">
        <v>22778</v>
      </c>
      <c r="D57" s="79">
        <v>27235</v>
      </c>
      <c r="E57" s="79">
        <v>42758</v>
      </c>
      <c r="F57" s="79">
        <v>56024</v>
      </c>
      <c r="G57" s="79">
        <v>82147</v>
      </c>
      <c r="I57" s="79">
        <v>32033</v>
      </c>
      <c r="J57" s="79">
        <v>33730</v>
      </c>
      <c r="K57" s="79">
        <v>37503</v>
      </c>
      <c r="L57" s="31">
        <f t="shared" si="192"/>
        <v>42758</v>
      </c>
      <c r="M57" s="79">
        <v>46392</v>
      </c>
      <c r="N57" s="79">
        <v>50224</v>
      </c>
      <c r="O57" s="79">
        <v>53913</v>
      </c>
      <c r="P57" s="31">
        <f t="shared" si="193"/>
        <v>56024</v>
      </c>
      <c r="Q57" s="79">
        <v>60947</v>
      </c>
      <c r="R57" s="79">
        <v>63340</v>
      </c>
      <c r="S57" s="79">
        <v>71309</v>
      </c>
      <c r="T57" s="31">
        <f t="shared" si="194"/>
        <v>82147</v>
      </c>
      <c r="U57" s="79">
        <v>84246</v>
      </c>
      <c r="V57" s="79">
        <v>87854</v>
      </c>
      <c r="W57" s="79">
        <v>99904</v>
      </c>
      <c r="Y57" s="31">
        <f t="shared" si="195"/>
        <v>56024</v>
      </c>
      <c r="Z57" s="31">
        <f t="shared" si="195"/>
        <v>60947</v>
      </c>
      <c r="AA57" s="31">
        <f t="shared" si="195"/>
        <v>63340</v>
      </c>
      <c r="AB57" s="31">
        <f t="shared" si="195"/>
        <v>71309</v>
      </c>
      <c r="AC57" s="31">
        <f t="shared" si="195"/>
        <v>82147</v>
      </c>
      <c r="AD57" s="31">
        <f t="shared" si="195"/>
        <v>84246</v>
      </c>
      <c r="AE57" s="31">
        <f t="shared" si="195"/>
        <v>87854</v>
      </c>
      <c r="AF57" s="31">
        <f t="shared" si="195"/>
        <v>99904</v>
      </c>
      <c r="AG57" s="11"/>
      <c r="AH57" s="73">
        <f t="shared" si="197"/>
        <v>0.40100127613625203</v>
      </c>
    </row>
    <row r="58" spans="2:34" ht="12.75" customHeight="1">
      <c r="B58" s="13" t="s">
        <v>19</v>
      </c>
      <c r="C58" s="14">
        <f>SUM(C54:C57)+C51</f>
        <v>321195</v>
      </c>
      <c r="D58" s="14">
        <f>SUM(D54:D57)+D51</f>
        <v>420549</v>
      </c>
      <c r="E58" s="14">
        <f>SUM(E54:E57)+E51</f>
        <v>462675</v>
      </c>
      <c r="F58" s="14">
        <f>SUM(F54:F57)+F51</f>
        <v>527854</v>
      </c>
      <c r="G58" s="14">
        <f>SUM(G54:G57)+G51</f>
        <v>624894</v>
      </c>
      <c r="I58" s="14">
        <f t="shared" ref="I58:W58" si="198">SUM(I54:I57)+I51</f>
        <v>410767</v>
      </c>
      <c r="J58" s="14">
        <f t="shared" si="198"/>
        <v>419728</v>
      </c>
      <c r="K58" s="14">
        <f t="shared" si="198"/>
        <v>428362</v>
      </c>
      <c r="L58" s="14">
        <f t="shared" si="198"/>
        <v>462675</v>
      </c>
      <c r="M58" s="14">
        <f t="shared" si="198"/>
        <v>464378</v>
      </c>
      <c r="N58" s="14">
        <f t="shared" si="198"/>
        <v>477607</v>
      </c>
      <c r="O58" s="14">
        <f t="shared" si="198"/>
        <v>486883</v>
      </c>
      <c r="P58" s="14">
        <f t="shared" si="198"/>
        <v>527854</v>
      </c>
      <c r="Q58" s="14">
        <f t="shared" si="198"/>
        <v>530969</v>
      </c>
      <c r="R58" s="14">
        <f t="shared" si="198"/>
        <v>554818</v>
      </c>
      <c r="S58" s="14">
        <f t="shared" si="198"/>
        <v>584626</v>
      </c>
      <c r="T58" s="14">
        <f t="shared" si="198"/>
        <v>624894</v>
      </c>
      <c r="U58" s="14">
        <f t="shared" si="198"/>
        <v>643256</v>
      </c>
      <c r="V58" s="14">
        <f t="shared" si="198"/>
        <v>682170</v>
      </c>
      <c r="W58" s="14">
        <f t="shared" si="198"/>
        <v>727921</v>
      </c>
      <c r="Y58" s="14">
        <f t="shared" ref="Y58:AF58" si="199">SUM(Y54:Y57)+Y51</f>
        <v>527854</v>
      </c>
      <c r="Z58" s="14">
        <f t="shared" si="199"/>
        <v>530969</v>
      </c>
      <c r="AA58" s="14">
        <f t="shared" si="199"/>
        <v>554818</v>
      </c>
      <c r="AB58" s="14">
        <f t="shared" si="199"/>
        <v>584626</v>
      </c>
      <c r="AC58" s="14">
        <f t="shared" si="199"/>
        <v>624894</v>
      </c>
      <c r="AD58" s="14">
        <f t="shared" si="199"/>
        <v>643256</v>
      </c>
      <c r="AE58" s="14">
        <f t="shared" si="199"/>
        <v>682170</v>
      </c>
      <c r="AF58" s="33">
        <f t="shared" si="199"/>
        <v>727921</v>
      </c>
      <c r="AG58" s="41"/>
      <c r="AH58" s="74">
        <f t="shared" si="196"/>
        <v>0.24510541782267636</v>
      </c>
    </row>
    <row r="59" spans="2:34" ht="12.75" customHeight="1">
      <c r="B59" s="24"/>
      <c r="C59" s="49"/>
      <c r="D59" s="49"/>
      <c r="E59" s="49"/>
      <c r="F59" s="40"/>
      <c r="G59" s="40"/>
      <c r="I59" s="40"/>
      <c r="J59" s="40"/>
      <c r="K59" s="40"/>
      <c r="L59" s="40"/>
      <c r="M59" s="40"/>
      <c r="N59" s="40"/>
      <c r="O59" s="40"/>
      <c r="P59" s="40"/>
      <c r="Q59" s="40"/>
      <c r="R59" s="40"/>
      <c r="S59" s="40"/>
      <c r="T59" s="40"/>
      <c r="U59" s="40"/>
      <c r="V59" s="40"/>
      <c r="W59" s="40"/>
      <c r="Y59" s="41"/>
      <c r="Z59" s="41"/>
      <c r="AA59" s="41"/>
      <c r="AB59" s="41"/>
      <c r="AC59" s="41"/>
      <c r="AD59" s="41"/>
      <c r="AE59" s="41"/>
      <c r="AF59" s="41"/>
      <c r="AG59" s="41"/>
      <c r="AH59" s="38"/>
    </row>
    <row r="60" spans="2:34" ht="12.75" customHeight="1">
      <c r="B60" s="76" t="s">
        <v>45</v>
      </c>
      <c r="C60" s="49"/>
      <c r="D60" s="49"/>
      <c r="E60" s="49"/>
      <c r="F60" s="40"/>
      <c r="G60" s="40"/>
      <c r="I60" s="40"/>
      <c r="J60" s="40"/>
      <c r="K60" s="40"/>
      <c r="L60" s="40"/>
      <c r="M60" s="40"/>
      <c r="N60" s="40"/>
      <c r="O60" s="40"/>
      <c r="P60" s="40"/>
      <c r="Q60" s="40"/>
      <c r="R60" s="40"/>
      <c r="S60" s="40"/>
      <c r="T60" s="40"/>
      <c r="U60" s="40"/>
      <c r="V60" s="40"/>
      <c r="W60" s="40"/>
      <c r="Y60" s="41"/>
      <c r="Z60" s="41"/>
      <c r="AA60" s="41"/>
      <c r="AB60" s="41"/>
      <c r="AC60" s="41"/>
      <c r="AD60" s="41"/>
      <c r="AE60" s="41"/>
      <c r="AF60" s="41"/>
      <c r="AG60" s="41"/>
      <c r="AH60" s="38"/>
    </row>
    <row r="61" spans="2:34" ht="12.75" customHeight="1">
      <c r="B61" s="117" t="s">
        <v>173</v>
      </c>
      <c r="C61" s="118">
        <v>72539</v>
      </c>
      <c r="D61" s="118">
        <v>78664</v>
      </c>
      <c r="E61" s="118">
        <v>79600</v>
      </c>
      <c r="F61" s="118">
        <v>84981</v>
      </c>
      <c r="G61" s="118">
        <v>94363</v>
      </c>
      <c r="I61" s="79">
        <v>68547</v>
      </c>
      <c r="J61" s="79">
        <v>71219</v>
      </c>
      <c r="K61" s="79">
        <v>67760</v>
      </c>
      <c r="L61" s="31">
        <f t="shared" ref="L61:L63" si="200">E61</f>
        <v>79600</v>
      </c>
      <c r="M61" s="79">
        <v>66907</v>
      </c>
      <c r="N61" s="79">
        <v>69481</v>
      </c>
      <c r="O61" s="79">
        <v>72004</v>
      </c>
      <c r="P61" s="31">
        <f t="shared" ref="P61:P63" si="201">F61</f>
        <v>84981</v>
      </c>
      <c r="Q61" s="79">
        <v>73068</v>
      </c>
      <c r="R61" s="79">
        <v>81817</v>
      </c>
      <c r="S61" s="79">
        <v>84570</v>
      </c>
      <c r="T61" s="31">
        <f t="shared" ref="T61:T63" si="202">G61</f>
        <v>94363</v>
      </c>
      <c r="U61" s="79">
        <v>89241</v>
      </c>
      <c r="V61" s="79">
        <v>98285</v>
      </c>
      <c r="W61" s="79">
        <v>106032</v>
      </c>
      <c r="Y61" s="94">
        <f t="shared" ref="Y61:AF63" si="203">P61</f>
        <v>84981</v>
      </c>
      <c r="Z61" s="94">
        <f t="shared" si="203"/>
        <v>73068</v>
      </c>
      <c r="AA61" s="94">
        <f t="shared" si="203"/>
        <v>81817</v>
      </c>
      <c r="AB61" s="94">
        <f t="shared" si="203"/>
        <v>84570</v>
      </c>
      <c r="AC61" s="94">
        <f t="shared" si="203"/>
        <v>94363</v>
      </c>
      <c r="AD61" s="94">
        <f t="shared" si="203"/>
        <v>89241</v>
      </c>
      <c r="AE61" s="94">
        <f t="shared" si="203"/>
        <v>98285</v>
      </c>
      <c r="AF61" s="94">
        <f t="shared" si="203"/>
        <v>106032</v>
      </c>
      <c r="AG61" s="11"/>
      <c r="AH61" s="73">
        <f t="shared" ref="AH61:AH64" si="204">SUM(AF61/AB61)-1</f>
        <v>0.25377793543809868</v>
      </c>
    </row>
    <row r="62" spans="2:34" ht="12.75" customHeight="1">
      <c r="B62" s="117" t="s">
        <v>174</v>
      </c>
      <c r="C62" s="118">
        <v>44138</v>
      </c>
      <c r="D62" s="118">
        <v>51775</v>
      </c>
      <c r="E62" s="118">
        <v>62566</v>
      </c>
      <c r="F62" s="118">
        <v>64709</v>
      </c>
      <c r="G62" s="118">
        <v>66965</v>
      </c>
      <c r="I62" s="79">
        <v>58141</v>
      </c>
      <c r="J62" s="79">
        <v>56254</v>
      </c>
      <c r="K62" s="79">
        <v>59974</v>
      </c>
      <c r="L62" s="31">
        <f t="shared" si="200"/>
        <v>62566</v>
      </c>
      <c r="M62" s="79">
        <v>66382</v>
      </c>
      <c r="N62" s="79">
        <v>64235</v>
      </c>
      <c r="O62" s="79">
        <v>58812</v>
      </c>
      <c r="P62" s="31">
        <f t="shared" si="201"/>
        <v>64709</v>
      </c>
      <c r="Q62" s="79">
        <v>63970</v>
      </c>
      <c r="R62" s="79">
        <v>60351</v>
      </c>
      <c r="S62" s="79">
        <v>60602</v>
      </c>
      <c r="T62" s="31">
        <f t="shared" si="202"/>
        <v>66965</v>
      </c>
      <c r="U62" s="79">
        <v>66331</v>
      </c>
      <c r="V62" s="79">
        <v>66974</v>
      </c>
      <c r="W62" s="79">
        <v>68051</v>
      </c>
      <c r="Y62" s="94">
        <f t="shared" si="203"/>
        <v>64709</v>
      </c>
      <c r="Z62" s="94">
        <f t="shared" si="203"/>
        <v>63970</v>
      </c>
      <c r="AA62" s="94">
        <f t="shared" si="203"/>
        <v>60351</v>
      </c>
      <c r="AB62" s="94">
        <f t="shared" si="203"/>
        <v>60602</v>
      </c>
      <c r="AC62" s="94">
        <f t="shared" si="203"/>
        <v>66965</v>
      </c>
      <c r="AD62" s="94">
        <f t="shared" si="203"/>
        <v>66331</v>
      </c>
      <c r="AE62" s="94">
        <f t="shared" si="203"/>
        <v>66974</v>
      </c>
      <c r="AF62" s="94">
        <f t="shared" si="203"/>
        <v>68051</v>
      </c>
      <c r="AG62" s="11"/>
      <c r="AH62" s="73">
        <f t="shared" ref="AH62:AH63" si="205">SUM(AF62/AB62)-1</f>
        <v>0.12291673542127324</v>
      </c>
    </row>
    <row r="63" spans="2:34" ht="12.75" customHeight="1">
      <c r="B63" s="117" t="s">
        <v>175</v>
      </c>
      <c r="C63" s="118">
        <v>9708</v>
      </c>
      <c r="D63" s="118">
        <v>11827</v>
      </c>
      <c r="E63" s="118">
        <v>13227</v>
      </c>
      <c r="F63" s="118">
        <v>15227</v>
      </c>
      <c r="G63" s="118">
        <v>18103</v>
      </c>
      <c r="I63" s="79">
        <v>12820</v>
      </c>
      <c r="J63" s="79">
        <v>12818</v>
      </c>
      <c r="K63" s="79">
        <v>12629</v>
      </c>
      <c r="L63" s="31">
        <f t="shared" si="200"/>
        <v>13227</v>
      </c>
      <c r="M63" s="79">
        <v>14281</v>
      </c>
      <c r="N63" s="79">
        <v>14522</v>
      </c>
      <c r="O63" s="79">
        <v>14398</v>
      </c>
      <c r="P63" s="31">
        <f t="shared" si="201"/>
        <v>15227</v>
      </c>
      <c r="Q63" s="79">
        <v>15927</v>
      </c>
      <c r="R63" s="79">
        <v>16004</v>
      </c>
      <c r="S63" s="79">
        <v>16305</v>
      </c>
      <c r="T63" s="31">
        <f t="shared" si="202"/>
        <v>18103</v>
      </c>
      <c r="U63" s="79">
        <v>20599</v>
      </c>
      <c r="V63" s="79">
        <v>21662</v>
      </c>
      <c r="W63" s="79">
        <v>21113</v>
      </c>
      <c r="Y63" s="94">
        <f t="shared" si="203"/>
        <v>15227</v>
      </c>
      <c r="Z63" s="94">
        <f t="shared" si="203"/>
        <v>15927</v>
      </c>
      <c r="AA63" s="94">
        <f t="shared" si="203"/>
        <v>16004</v>
      </c>
      <c r="AB63" s="94">
        <f t="shared" si="203"/>
        <v>16305</v>
      </c>
      <c r="AC63" s="94">
        <f t="shared" si="203"/>
        <v>18103</v>
      </c>
      <c r="AD63" s="94">
        <f t="shared" si="203"/>
        <v>20599</v>
      </c>
      <c r="AE63" s="94">
        <f t="shared" si="203"/>
        <v>21662</v>
      </c>
      <c r="AF63" s="94">
        <f t="shared" si="203"/>
        <v>21113</v>
      </c>
      <c r="AG63" s="11"/>
      <c r="AH63" s="73">
        <f t="shared" si="205"/>
        <v>0.29487887151180625</v>
      </c>
    </row>
    <row r="64" spans="2:34" ht="12.75" customHeight="1">
      <c r="B64" s="24" t="s">
        <v>17</v>
      </c>
      <c r="C64" s="25">
        <f>SUM(C61:C63)</f>
        <v>126385</v>
      </c>
      <c r="D64" s="25">
        <f>SUM(D61:D63)</f>
        <v>142266</v>
      </c>
      <c r="E64" s="25">
        <f>SUM(E61:E63)</f>
        <v>155393</v>
      </c>
      <c r="F64" s="25">
        <f>SUM(F61:F63)</f>
        <v>164917</v>
      </c>
      <c r="G64" s="25">
        <f>SUM(G61:G63)</f>
        <v>179431</v>
      </c>
      <c r="I64" s="25">
        <f>SUM(I61:I63)</f>
        <v>139508</v>
      </c>
      <c r="J64" s="25">
        <f>SUM(J61:J63)</f>
        <v>140291</v>
      </c>
      <c r="K64" s="25">
        <f>SUM(K61:K63)</f>
        <v>140363</v>
      </c>
      <c r="L64" s="25">
        <f>SUM(L61:L63)</f>
        <v>155393</v>
      </c>
      <c r="M64" s="25">
        <f>SUM(M61:M63)</f>
        <v>147570</v>
      </c>
      <c r="N64" s="25">
        <f>SUM(N61:N63)</f>
        <v>148238</v>
      </c>
      <c r="O64" s="25">
        <f>SUM(O61:O63)</f>
        <v>145214</v>
      </c>
      <c r="P64" s="25">
        <f>SUM(P61:P63)</f>
        <v>164917</v>
      </c>
      <c r="Q64" s="25">
        <f>SUM(Q61:Q63)</f>
        <v>152965</v>
      </c>
      <c r="R64" s="25">
        <f>SUM(R61:R63)</f>
        <v>158172</v>
      </c>
      <c r="S64" s="25">
        <f>SUM(S61:S63)</f>
        <v>161477</v>
      </c>
      <c r="T64" s="25">
        <f>SUM(T61:T63)</f>
        <v>179431</v>
      </c>
      <c r="U64" s="25">
        <f>SUM(U61:U63)</f>
        <v>176171</v>
      </c>
      <c r="V64" s="25">
        <f>SUM(V61:V63)</f>
        <v>186921</v>
      </c>
      <c r="W64" s="25">
        <f>SUM(W61:W63)</f>
        <v>195196</v>
      </c>
      <c r="X64" s="47"/>
      <c r="Y64" s="25">
        <f>SUM(Y61:Y63)</f>
        <v>164917</v>
      </c>
      <c r="Z64" s="25">
        <f>SUM(Z61:Z63)</f>
        <v>152965</v>
      </c>
      <c r="AA64" s="25">
        <f>SUM(AA61:AA63)</f>
        <v>158172</v>
      </c>
      <c r="AB64" s="25">
        <f>SUM(AB61:AB63)</f>
        <v>161477</v>
      </c>
      <c r="AC64" s="25">
        <f>SUM(AC61:AC63)</f>
        <v>179431</v>
      </c>
      <c r="AD64" s="25">
        <f>SUM(AD61:AD63)</f>
        <v>176171</v>
      </c>
      <c r="AE64" s="25">
        <f>SUM(AE61:AE63)</f>
        <v>186921</v>
      </c>
      <c r="AF64" s="25">
        <f>SUM(AF61:AF63)</f>
        <v>195196</v>
      </c>
      <c r="AG64" s="41"/>
      <c r="AH64" s="74">
        <f t="shared" si="204"/>
        <v>0.20881611622707874</v>
      </c>
    </row>
    <row r="65" spans="2:34" ht="5.0999999999999996" customHeight="1">
      <c r="B65" s="24"/>
      <c r="C65" s="49"/>
      <c r="D65" s="49"/>
      <c r="E65" s="49"/>
      <c r="F65" s="40"/>
      <c r="G65" s="40"/>
      <c r="I65" s="40"/>
      <c r="J65" s="40"/>
      <c r="K65" s="40"/>
      <c r="L65" s="40"/>
      <c r="M65" s="40"/>
      <c r="N65" s="40"/>
      <c r="O65" s="40"/>
      <c r="P65" s="40"/>
      <c r="Q65" s="40"/>
      <c r="R65" s="40"/>
      <c r="S65" s="40"/>
      <c r="T65" s="40"/>
      <c r="U65" s="40"/>
      <c r="V65" s="40"/>
      <c r="W65" s="40"/>
      <c r="Y65" s="41"/>
      <c r="Z65" s="41"/>
      <c r="AA65" s="41"/>
      <c r="AB65" s="41"/>
      <c r="AC65" s="41"/>
      <c r="AD65" s="41"/>
      <c r="AE65" s="41"/>
      <c r="AF65" s="41"/>
      <c r="AG65" s="41"/>
      <c r="AH65" s="38"/>
    </row>
    <row r="66" spans="2:34">
      <c r="B66" s="76" t="s">
        <v>80</v>
      </c>
      <c r="C66" s="49"/>
      <c r="D66" s="49"/>
      <c r="E66" s="49"/>
      <c r="F66" s="40"/>
      <c r="G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0"/>
      <c r="W66" s="40"/>
      <c r="Y66" s="41"/>
      <c r="Z66" s="41"/>
      <c r="AA66" s="41"/>
      <c r="AB66" s="41"/>
      <c r="AC66" s="41"/>
      <c r="AD66" s="41"/>
      <c r="AE66" s="41"/>
      <c r="AF66" s="41"/>
      <c r="AG66" s="41"/>
      <c r="AH66" s="38"/>
    </row>
    <row r="67" spans="2:34" ht="12.75" customHeight="1">
      <c r="B67" s="117" t="s">
        <v>176</v>
      </c>
      <c r="C67" s="118">
        <v>52573</v>
      </c>
      <c r="D67" s="118">
        <v>67651</v>
      </c>
      <c r="E67" s="118">
        <v>72968</v>
      </c>
      <c r="F67" s="118">
        <v>77297</v>
      </c>
      <c r="G67" s="118">
        <v>78277</v>
      </c>
      <c r="H67" s="50"/>
      <c r="I67" s="79">
        <v>65731</v>
      </c>
      <c r="J67" s="79">
        <v>66524</v>
      </c>
      <c r="K67" s="79">
        <v>69332</v>
      </c>
      <c r="L67" s="31">
        <f t="shared" ref="L67:L69" si="206">E67</f>
        <v>72968</v>
      </c>
      <c r="M67" s="79">
        <v>74267</v>
      </c>
      <c r="N67" s="79">
        <v>75822</v>
      </c>
      <c r="O67" s="79">
        <v>75891</v>
      </c>
      <c r="P67" s="31">
        <f>F67</f>
        <v>77297</v>
      </c>
      <c r="Q67" s="79">
        <v>77052</v>
      </c>
      <c r="R67" s="79">
        <v>78084</v>
      </c>
      <c r="S67" s="79">
        <v>79802</v>
      </c>
      <c r="T67" s="31">
        <f t="shared" ref="T67:T69" si="207">G67</f>
        <v>78277</v>
      </c>
      <c r="U67" s="79">
        <v>79871</v>
      </c>
      <c r="V67" s="79">
        <v>83221</v>
      </c>
      <c r="W67" s="79">
        <v>84677</v>
      </c>
      <c r="X67" s="118"/>
      <c r="Y67" s="94">
        <f t="shared" ref="Y67:AF67" si="208">P67</f>
        <v>77297</v>
      </c>
      <c r="Z67" s="94">
        <f t="shared" si="208"/>
        <v>77052</v>
      </c>
      <c r="AA67" s="94">
        <f t="shared" si="208"/>
        <v>78084</v>
      </c>
      <c r="AB67" s="94">
        <f t="shared" si="208"/>
        <v>79802</v>
      </c>
      <c r="AC67" s="94">
        <f t="shared" si="208"/>
        <v>78277</v>
      </c>
      <c r="AD67" s="94">
        <f t="shared" si="208"/>
        <v>79871</v>
      </c>
      <c r="AE67" s="94">
        <f t="shared" si="208"/>
        <v>83221</v>
      </c>
      <c r="AF67" s="94">
        <f t="shared" si="208"/>
        <v>84677</v>
      </c>
      <c r="AG67" s="41"/>
      <c r="AH67" s="73">
        <f t="shared" ref="AH67:AH79" si="209">SUM(AF67/AB67)-1</f>
        <v>6.1088694518934394E-2</v>
      </c>
    </row>
    <row r="68" spans="2:34" ht="12.75" customHeight="1">
      <c r="B68" s="117" t="s">
        <v>177</v>
      </c>
      <c r="C68" s="118">
        <v>31816</v>
      </c>
      <c r="D68" s="118">
        <v>48744</v>
      </c>
      <c r="E68" s="118">
        <v>67150</v>
      </c>
      <c r="F68" s="118">
        <v>58314</v>
      </c>
      <c r="G68" s="118">
        <v>52623</v>
      </c>
      <c r="H68" s="50"/>
      <c r="I68" s="79">
        <v>47556</v>
      </c>
      <c r="J68" s="79">
        <v>58053</v>
      </c>
      <c r="K68" s="79">
        <v>58919</v>
      </c>
      <c r="L68" s="31">
        <f t="shared" si="206"/>
        <v>67150</v>
      </c>
      <c r="M68" s="79">
        <v>67084</v>
      </c>
      <c r="N68" s="79">
        <v>63092</v>
      </c>
      <c r="O68" s="79">
        <v>61098</v>
      </c>
      <c r="P68" s="31">
        <f>F68</f>
        <v>58314</v>
      </c>
      <c r="Q68" s="79">
        <v>57634</v>
      </c>
      <c r="R68" s="79">
        <v>54889</v>
      </c>
      <c r="S68" s="79">
        <v>54890</v>
      </c>
      <c r="T68" s="31">
        <f t="shared" si="207"/>
        <v>52623</v>
      </c>
      <c r="U68" s="79">
        <v>53374</v>
      </c>
      <c r="V68" s="79">
        <v>50718</v>
      </c>
      <c r="W68" s="79">
        <v>50742</v>
      </c>
      <c r="X68" s="118"/>
      <c r="Y68" s="94">
        <f t="shared" ref="Y68:Y69" si="210">P68</f>
        <v>58314</v>
      </c>
      <c r="Z68" s="94">
        <f t="shared" ref="Z68:Z69" si="211">Q68</f>
        <v>57634</v>
      </c>
      <c r="AA68" s="94">
        <f t="shared" ref="AA68:AA69" si="212">R68</f>
        <v>54889</v>
      </c>
      <c r="AB68" s="94">
        <f t="shared" ref="AB68:AB69" si="213">S68</f>
        <v>54890</v>
      </c>
      <c r="AC68" s="94">
        <f t="shared" ref="AC68:AC69" si="214">T68</f>
        <v>52623</v>
      </c>
      <c r="AD68" s="94">
        <f t="shared" ref="AD68:AD69" si="215">U68</f>
        <v>53374</v>
      </c>
      <c r="AE68" s="94">
        <f t="shared" ref="AE68:AE69" si="216">V68</f>
        <v>50718</v>
      </c>
      <c r="AF68" s="94">
        <f t="shared" ref="AF68:AF69" si="217">W68</f>
        <v>50742</v>
      </c>
      <c r="AG68" s="41"/>
      <c r="AH68" s="73">
        <f t="shared" si="209"/>
        <v>-7.5569320459100031E-2</v>
      </c>
    </row>
    <row r="69" spans="2:34" ht="12.75" customHeight="1">
      <c r="B69" s="117" t="s">
        <v>178</v>
      </c>
      <c r="C69" s="118">
        <v>17017</v>
      </c>
      <c r="D69" s="118">
        <v>23643</v>
      </c>
      <c r="E69" s="118">
        <v>21121</v>
      </c>
      <c r="F69" s="118">
        <v>25451</v>
      </c>
      <c r="G69" s="118">
        <v>28593</v>
      </c>
      <c r="H69" s="50"/>
      <c r="I69" s="79">
        <v>23971</v>
      </c>
      <c r="J69" s="79">
        <v>23458</v>
      </c>
      <c r="K69" s="79">
        <v>22259</v>
      </c>
      <c r="L69" s="31">
        <f t="shared" si="206"/>
        <v>21121</v>
      </c>
      <c r="M69" s="79">
        <v>20931</v>
      </c>
      <c r="N69" s="79">
        <v>21853</v>
      </c>
      <c r="O69" s="79">
        <v>21707</v>
      </c>
      <c r="P69" s="31">
        <f>F69</f>
        <v>25451</v>
      </c>
      <c r="Q69" s="79">
        <v>26657</v>
      </c>
      <c r="R69" s="79">
        <v>27226</v>
      </c>
      <c r="S69" s="79">
        <v>29306</v>
      </c>
      <c r="T69" s="31">
        <f t="shared" si="207"/>
        <v>28593</v>
      </c>
      <c r="U69" s="79">
        <v>27973</v>
      </c>
      <c r="V69" s="79">
        <v>27535</v>
      </c>
      <c r="W69" s="79">
        <v>27675</v>
      </c>
      <c r="X69" s="118"/>
      <c r="Y69" s="94">
        <f t="shared" si="210"/>
        <v>25451</v>
      </c>
      <c r="Z69" s="94">
        <f t="shared" si="211"/>
        <v>26657</v>
      </c>
      <c r="AA69" s="94">
        <f t="shared" si="212"/>
        <v>27226</v>
      </c>
      <c r="AB69" s="94">
        <f t="shared" si="213"/>
        <v>29306</v>
      </c>
      <c r="AC69" s="94">
        <f t="shared" si="214"/>
        <v>28593</v>
      </c>
      <c r="AD69" s="94">
        <f t="shared" si="215"/>
        <v>27973</v>
      </c>
      <c r="AE69" s="94">
        <f t="shared" si="216"/>
        <v>27535</v>
      </c>
      <c r="AF69" s="94">
        <f t="shared" si="217"/>
        <v>27675</v>
      </c>
      <c r="AG69" s="41"/>
      <c r="AH69" s="73">
        <f t="shared" si="209"/>
        <v>-5.5654132259605582E-2</v>
      </c>
    </row>
    <row r="70" spans="2:34" ht="12.75" customHeight="1">
      <c r="B70" s="13" t="s">
        <v>15</v>
      </c>
      <c r="C70" s="14">
        <f>SUM(C67:C69)+C64</f>
        <v>227791</v>
      </c>
      <c r="D70" s="14">
        <f>SUM(D67:D69)+D64</f>
        <v>282304</v>
      </c>
      <c r="E70" s="14">
        <f>SUM(E67:E69)+E64</f>
        <v>316632</v>
      </c>
      <c r="F70" s="14">
        <f>SUM(F67:F69)+F64</f>
        <v>325979</v>
      </c>
      <c r="G70" s="14">
        <f>SUM(G67:G69)+G64</f>
        <v>338924</v>
      </c>
      <c r="I70" s="14">
        <f t="shared" ref="I70:W70" si="218">SUM(I67:I69)+I64</f>
        <v>276766</v>
      </c>
      <c r="J70" s="14">
        <f t="shared" si="218"/>
        <v>288326</v>
      </c>
      <c r="K70" s="14">
        <f t="shared" si="218"/>
        <v>290873</v>
      </c>
      <c r="L70" s="14">
        <f t="shared" si="218"/>
        <v>316632</v>
      </c>
      <c r="M70" s="14">
        <f t="shared" si="218"/>
        <v>309852</v>
      </c>
      <c r="N70" s="14">
        <f t="shared" si="218"/>
        <v>309005</v>
      </c>
      <c r="O70" s="14">
        <f t="shared" si="218"/>
        <v>303910</v>
      </c>
      <c r="P70" s="14">
        <f t="shared" si="218"/>
        <v>325979</v>
      </c>
      <c r="Q70" s="14">
        <f t="shared" si="218"/>
        <v>314308</v>
      </c>
      <c r="R70" s="14">
        <f t="shared" si="218"/>
        <v>318371</v>
      </c>
      <c r="S70" s="14">
        <f t="shared" si="218"/>
        <v>325475</v>
      </c>
      <c r="T70" s="14">
        <f t="shared" si="218"/>
        <v>338924</v>
      </c>
      <c r="U70" s="14">
        <f t="shared" si="218"/>
        <v>337389</v>
      </c>
      <c r="V70" s="14">
        <f t="shared" si="218"/>
        <v>348395</v>
      </c>
      <c r="W70" s="14">
        <f t="shared" si="218"/>
        <v>358290</v>
      </c>
      <c r="Y70" s="14">
        <f t="shared" ref="Y70:AF70" si="219">SUM(Y67:Y69)+Y64</f>
        <v>325979</v>
      </c>
      <c r="Z70" s="14">
        <f t="shared" si="219"/>
        <v>314308</v>
      </c>
      <c r="AA70" s="14">
        <f t="shared" si="219"/>
        <v>318371</v>
      </c>
      <c r="AB70" s="14">
        <f t="shared" si="219"/>
        <v>325475</v>
      </c>
      <c r="AC70" s="14">
        <f t="shared" si="219"/>
        <v>338924</v>
      </c>
      <c r="AD70" s="14">
        <f t="shared" si="219"/>
        <v>337389</v>
      </c>
      <c r="AE70" s="14">
        <f t="shared" si="219"/>
        <v>348395</v>
      </c>
      <c r="AF70" s="14">
        <f t="shared" si="219"/>
        <v>358290</v>
      </c>
      <c r="AG70" s="41"/>
      <c r="AH70" s="74">
        <f t="shared" si="209"/>
        <v>0.10082187572010137</v>
      </c>
    </row>
    <row r="71" spans="2:34" ht="5.0999999999999996" customHeight="1">
      <c r="B71" s="24"/>
      <c r="C71" s="48"/>
      <c r="D71" s="48"/>
      <c r="E71" s="48"/>
      <c r="F71" s="40"/>
      <c r="G71" s="40"/>
      <c r="I71" s="40"/>
      <c r="J71" s="40"/>
      <c r="K71" s="40"/>
      <c r="L71" s="40"/>
      <c r="M71" s="40"/>
      <c r="N71" s="40"/>
      <c r="O71" s="40"/>
      <c r="P71" s="40"/>
      <c r="Q71" s="40"/>
      <c r="R71" s="40"/>
      <c r="S71" s="40"/>
      <c r="T71" s="40"/>
      <c r="U71" s="40"/>
      <c r="V71" s="40"/>
      <c r="W71" s="40"/>
      <c r="Y71" s="41"/>
      <c r="Z71" s="41"/>
      <c r="AA71" s="41"/>
      <c r="AB71" s="41"/>
      <c r="AC71" s="41"/>
      <c r="AD71" s="41"/>
      <c r="AE71" s="41"/>
      <c r="AF71" s="41"/>
      <c r="AG71" s="41"/>
      <c r="AH71" s="38"/>
    </row>
    <row r="72" spans="2:34" ht="12.75" customHeight="1">
      <c r="B72" s="9" t="s">
        <v>179</v>
      </c>
      <c r="C72" s="79">
        <v>0</v>
      </c>
      <c r="D72" s="79">
        <v>0</v>
      </c>
      <c r="E72" s="79">
        <v>0</v>
      </c>
      <c r="F72" s="79">
        <v>0</v>
      </c>
      <c r="G72" s="79">
        <v>0</v>
      </c>
      <c r="H72" s="31"/>
      <c r="I72" s="79">
        <v>0</v>
      </c>
      <c r="J72" s="79">
        <v>0</v>
      </c>
      <c r="K72" s="79">
        <v>0</v>
      </c>
      <c r="L72" s="31">
        <f t="shared" ref="L72:L76" si="220">E72</f>
        <v>0</v>
      </c>
      <c r="M72" s="79">
        <v>0</v>
      </c>
      <c r="N72" s="79">
        <v>0</v>
      </c>
      <c r="O72" s="79">
        <v>0</v>
      </c>
      <c r="P72" s="31">
        <f t="shared" ref="P72:P77" si="221">F72</f>
        <v>0</v>
      </c>
      <c r="Q72" s="79">
        <v>0</v>
      </c>
      <c r="R72" s="79">
        <v>0</v>
      </c>
      <c r="S72" s="79">
        <v>0</v>
      </c>
      <c r="T72" s="31">
        <f t="shared" ref="T72:T77" si="222">G72</f>
        <v>0</v>
      </c>
      <c r="U72" s="79">
        <v>0</v>
      </c>
      <c r="V72" s="79">
        <v>0</v>
      </c>
      <c r="W72" s="79">
        <v>0</v>
      </c>
      <c r="Y72" s="31">
        <f t="shared" ref="Y72:AF77" si="223">P72</f>
        <v>0</v>
      </c>
      <c r="Z72" s="31">
        <f t="shared" si="223"/>
        <v>0</v>
      </c>
      <c r="AA72" s="31">
        <f t="shared" si="223"/>
        <v>0</v>
      </c>
      <c r="AB72" s="31">
        <f t="shared" si="223"/>
        <v>0</v>
      </c>
      <c r="AC72" s="31">
        <f t="shared" si="223"/>
        <v>0</v>
      </c>
      <c r="AD72" s="31">
        <f t="shared" si="223"/>
        <v>0</v>
      </c>
      <c r="AE72" s="31">
        <f t="shared" si="223"/>
        <v>0</v>
      </c>
      <c r="AF72" s="31">
        <f t="shared" si="223"/>
        <v>0</v>
      </c>
      <c r="AG72" s="11"/>
      <c r="AH72" s="73" t="e">
        <f t="shared" si="209"/>
        <v>#DIV/0!</v>
      </c>
    </row>
    <row r="73" spans="2:34" ht="12.75" customHeight="1">
      <c r="B73" s="9" t="s">
        <v>180</v>
      </c>
      <c r="C73" s="79">
        <v>5</v>
      </c>
      <c r="D73" s="79">
        <v>5</v>
      </c>
      <c r="E73" s="79">
        <v>108</v>
      </c>
      <c r="F73" s="79">
        <v>109</v>
      </c>
      <c r="G73" s="79">
        <v>111</v>
      </c>
      <c r="H73" s="31"/>
      <c r="I73" s="79">
        <v>5</v>
      </c>
      <c r="J73" s="79">
        <v>107</v>
      </c>
      <c r="K73" s="79">
        <v>107</v>
      </c>
      <c r="L73" s="31">
        <f t="shared" si="220"/>
        <v>108</v>
      </c>
      <c r="M73" s="79">
        <v>108</v>
      </c>
      <c r="N73" s="79">
        <v>108</v>
      </c>
      <c r="O73" s="79">
        <v>108</v>
      </c>
      <c r="P73" s="31">
        <f t="shared" si="221"/>
        <v>109</v>
      </c>
      <c r="Q73" s="79">
        <v>109</v>
      </c>
      <c r="R73" s="79">
        <v>110</v>
      </c>
      <c r="S73" s="79">
        <v>110</v>
      </c>
      <c r="T73" s="31">
        <f t="shared" si="222"/>
        <v>111</v>
      </c>
      <c r="U73" s="79">
        <v>111</v>
      </c>
      <c r="V73" s="79">
        <v>112</v>
      </c>
      <c r="W73" s="79">
        <v>112</v>
      </c>
      <c r="Y73" s="31">
        <f t="shared" si="223"/>
        <v>109</v>
      </c>
      <c r="Z73" s="31">
        <f t="shared" si="223"/>
        <v>109</v>
      </c>
      <c r="AA73" s="31">
        <f t="shared" si="223"/>
        <v>110</v>
      </c>
      <c r="AB73" s="31">
        <f t="shared" si="223"/>
        <v>110</v>
      </c>
      <c r="AC73" s="31">
        <f t="shared" si="223"/>
        <v>111</v>
      </c>
      <c r="AD73" s="31">
        <f t="shared" si="223"/>
        <v>111</v>
      </c>
      <c r="AE73" s="31">
        <f t="shared" si="223"/>
        <v>112</v>
      </c>
      <c r="AF73" s="31">
        <f t="shared" si="223"/>
        <v>112</v>
      </c>
      <c r="AG73" s="11"/>
      <c r="AH73" s="73">
        <f t="shared" si="209"/>
        <v>1.8181818181818077E-2</v>
      </c>
    </row>
    <row r="74" spans="2:34" ht="12.75" customHeight="1">
      <c r="B74" s="9" t="s">
        <v>181</v>
      </c>
      <c r="C74" s="79">
        <v>-1837</v>
      </c>
      <c r="D74" s="79">
        <v>-1837</v>
      </c>
      <c r="E74" s="79">
        <v>-7837</v>
      </c>
      <c r="F74" s="79">
        <v>-7837</v>
      </c>
      <c r="G74" s="79">
        <v>-7837</v>
      </c>
      <c r="H74" s="31"/>
      <c r="I74" s="79">
        <v>-4503</v>
      </c>
      <c r="J74" s="79">
        <v>-7837</v>
      </c>
      <c r="K74" s="79">
        <v>-7837</v>
      </c>
      <c r="L74" s="31">
        <f t="shared" si="220"/>
        <v>-7837</v>
      </c>
      <c r="M74" s="79">
        <v>-7837</v>
      </c>
      <c r="N74" s="79">
        <v>-7837</v>
      </c>
      <c r="O74" s="79">
        <v>-7837</v>
      </c>
      <c r="P74" s="31">
        <f t="shared" si="221"/>
        <v>-7837</v>
      </c>
      <c r="Q74" s="79">
        <v>-7837</v>
      </c>
      <c r="R74" s="79">
        <v>-7837</v>
      </c>
      <c r="S74" s="79">
        <v>-7837</v>
      </c>
      <c r="T74" s="31">
        <f t="shared" si="222"/>
        <v>-7837</v>
      </c>
      <c r="U74" s="79">
        <v>-7837</v>
      </c>
      <c r="V74" s="79">
        <v>-7837</v>
      </c>
      <c r="W74" s="79">
        <v>-7837</v>
      </c>
      <c r="Y74" s="31">
        <f t="shared" ref="Y74" si="224">P74</f>
        <v>-7837</v>
      </c>
      <c r="Z74" s="31">
        <f t="shared" ref="Z74" si="225">Q74</f>
        <v>-7837</v>
      </c>
      <c r="AA74" s="31">
        <f t="shared" ref="AA74" si="226">R74</f>
        <v>-7837</v>
      </c>
      <c r="AB74" s="31">
        <f t="shared" ref="AB74" si="227">S74</f>
        <v>-7837</v>
      </c>
      <c r="AC74" s="31">
        <f t="shared" ref="AC74" si="228">T74</f>
        <v>-7837</v>
      </c>
      <c r="AD74" s="31">
        <f t="shared" ref="AD74" si="229">U74</f>
        <v>-7837</v>
      </c>
      <c r="AE74" s="31">
        <f t="shared" ref="AE74" si="230">V74</f>
        <v>-7837</v>
      </c>
      <c r="AF74" s="31">
        <f t="shared" ref="AF74" si="231">W74</f>
        <v>-7837</v>
      </c>
      <c r="AG74" s="11"/>
      <c r="AH74" s="73">
        <f t="shared" ref="AH74" si="232">SUM(AF74/AB74)-1</f>
        <v>0</v>
      </c>
    </row>
    <row r="75" spans="2:34" ht="12.75" customHeight="1">
      <c r="B75" s="9" t="s">
        <v>182</v>
      </c>
      <c r="C75" s="79">
        <v>42865</v>
      </c>
      <c r="D75" s="79">
        <v>55538</v>
      </c>
      <c r="E75" s="79">
        <v>75066</v>
      </c>
      <c r="F75" s="79">
        <v>99025</v>
      </c>
      <c r="G75" s="79">
        <v>120864</v>
      </c>
      <c r="H75" s="31"/>
      <c r="I75" s="79">
        <v>58793</v>
      </c>
      <c r="J75" s="79">
        <v>63871</v>
      </c>
      <c r="K75" s="79">
        <v>69419</v>
      </c>
      <c r="L75" s="31">
        <f t="shared" si="220"/>
        <v>75066</v>
      </c>
      <c r="M75" s="79">
        <v>79863</v>
      </c>
      <c r="N75" s="79">
        <v>86896</v>
      </c>
      <c r="O75" s="79">
        <v>92711</v>
      </c>
      <c r="P75" s="31">
        <f t="shared" si="221"/>
        <v>99025</v>
      </c>
      <c r="Q75" s="79">
        <v>103938</v>
      </c>
      <c r="R75" s="79">
        <v>110633</v>
      </c>
      <c r="S75" s="79">
        <v>115934</v>
      </c>
      <c r="T75" s="31">
        <f t="shared" si="222"/>
        <v>120864</v>
      </c>
      <c r="U75" s="79">
        <v>124514</v>
      </c>
      <c r="V75" s="79">
        <v>130923</v>
      </c>
      <c r="W75" s="79">
        <v>135679</v>
      </c>
      <c r="Y75" s="31">
        <f t="shared" si="223"/>
        <v>99025</v>
      </c>
      <c r="Z75" s="31">
        <f t="shared" si="223"/>
        <v>103938</v>
      </c>
      <c r="AA75" s="31">
        <f t="shared" si="223"/>
        <v>110633</v>
      </c>
      <c r="AB75" s="31">
        <f t="shared" si="223"/>
        <v>115934</v>
      </c>
      <c r="AC75" s="31">
        <f t="shared" si="223"/>
        <v>120864</v>
      </c>
      <c r="AD75" s="31">
        <f t="shared" si="223"/>
        <v>124514</v>
      </c>
      <c r="AE75" s="31">
        <f t="shared" si="223"/>
        <v>130923</v>
      </c>
      <c r="AF75" s="31">
        <f t="shared" si="223"/>
        <v>135679</v>
      </c>
      <c r="AG75" s="11"/>
      <c r="AH75" s="73"/>
    </row>
    <row r="76" spans="2:34" ht="12.75" customHeight="1">
      <c r="B76" s="9" t="s">
        <v>183</v>
      </c>
      <c r="C76" s="79">
        <v>-180</v>
      </c>
      <c r="D76" s="79">
        <v>-1376</v>
      </c>
      <c r="E76" s="79">
        <v>-4487</v>
      </c>
      <c r="F76" s="79">
        <v>-3040</v>
      </c>
      <c r="G76" s="79">
        <v>-34</v>
      </c>
      <c r="H76" s="31"/>
      <c r="I76" s="79">
        <v>-2365</v>
      </c>
      <c r="J76" s="79">
        <v>-4782</v>
      </c>
      <c r="K76" s="79">
        <v>-7115</v>
      </c>
      <c r="L76" s="31">
        <f t="shared" si="220"/>
        <v>-4487</v>
      </c>
      <c r="M76" s="79">
        <v>-3973</v>
      </c>
      <c r="N76" s="79">
        <v>-3680</v>
      </c>
      <c r="O76" s="79">
        <v>-5003</v>
      </c>
      <c r="P76" s="31">
        <f t="shared" si="221"/>
        <v>-3040</v>
      </c>
      <c r="Q76" s="79">
        <v>-3598</v>
      </c>
      <c r="R76" s="79">
        <v>-3993</v>
      </c>
      <c r="S76" s="79">
        <v>-1918</v>
      </c>
      <c r="T76" s="31">
        <f t="shared" si="222"/>
        <v>-34</v>
      </c>
      <c r="U76" s="79">
        <v>-914</v>
      </c>
      <c r="V76" s="79">
        <v>2420</v>
      </c>
      <c r="W76" s="79">
        <v>12333</v>
      </c>
      <c r="Y76" s="31">
        <f t="shared" si="223"/>
        <v>-3040</v>
      </c>
      <c r="Z76" s="31">
        <f t="shared" si="223"/>
        <v>-3598</v>
      </c>
      <c r="AA76" s="31">
        <f t="shared" si="223"/>
        <v>-3993</v>
      </c>
      <c r="AB76" s="31">
        <f t="shared" si="223"/>
        <v>-1918</v>
      </c>
      <c r="AC76" s="31">
        <f t="shared" si="223"/>
        <v>-34</v>
      </c>
      <c r="AD76" s="31">
        <f t="shared" si="223"/>
        <v>-914</v>
      </c>
      <c r="AE76" s="31">
        <f t="shared" si="223"/>
        <v>2420</v>
      </c>
      <c r="AF76" s="31">
        <f t="shared" si="223"/>
        <v>12333</v>
      </c>
      <c r="AG76" s="11"/>
      <c r="AH76" s="73"/>
    </row>
    <row r="77" spans="2:34" ht="12.75" customHeight="1">
      <c r="B77" s="9" t="s">
        <v>184</v>
      </c>
      <c r="C77" s="79">
        <v>52551</v>
      </c>
      <c r="D77" s="79">
        <v>85915</v>
      </c>
      <c r="E77" s="79">
        <v>83193</v>
      </c>
      <c r="F77" s="79">
        <v>113618</v>
      </c>
      <c r="G77" s="79">
        <v>172866</v>
      </c>
      <c r="H77" s="31"/>
      <c r="I77" s="79">
        <v>82071</v>
      </c>
      <c r="J77" s="79">
        <v>80043</v>
      </c>
      <c r="K77" s="79">
        <v>82915</v>
      </c>
      <c r="L77" s="31">
        <f t="shared" ref="L77" si="233">E77</f>
        <v>83193</v>
      </c>
      <c r="M77" s="79">
        <v>86365</v>
      </c>
      <c r="N77" s="79">
        <v>93115</v>
      </c>
      <c r="O77" s="79">
        <v>102994</v>
      </c>
      <c r="P77" s="31">
        <f>F77</f>
        <v>113618</v>
      </c>
      <c r="Q77" s="79">
        <v>124049</v>
      </c>
      <c r="R77" s="79">
        <v>137534</v>
      </c>
      <c r="S77" s="79">
        <v>152862</v>
      </c>
      <c r="T77" s="31">
        <f>G77</f>
        <v>172866</v>
      </c>
      <c r="U77" s="79">
        <v>189993</v>
      </c>
      <c r="V77" s="79">
        <v>208157</v>
      </c>
      <c r="W77" s="79">
        <v>229344</v>
      </c>
      <c r="Y77" s="31">
        <f t="shared" si="223"/>
        <v>113618</v>
      </c>
      <c r="Z77" s="31">
        <f t="shared" si="223"/>
        <v>124049</v>
      </c>
      <c r="AA77" s="31">
        <f t="shared" si="223"/>
        <v>137534</v>
      </c>
      <c r="AB77" s="31">
        <f t="shared" si="223"/>
        <v>152862</v>
      </c>
      <c r="AC77" s="31">
        <f t="shared" si="223"/>
        <v>172866</v>
      </c>
      <c r="AD77" s="31">
        <f t="shared" si="223"/>
        <v>189993</v>
      </c>
      <c r="AE77" s="31">
        <f t="shared" si="223"/>
        <v>208157</v>
      </c>
      <c r="AF77" s="31">
        <f t="shared" si="223"/>
        <v>229344</v>
      </c>
      <c r="AG77" s="11"/>
      <c r="AH77" s="73">
        <f t="shared" si="209"/>
        <v>0.50033363425835065</v>
      </c>
    </row>
    <row r="78" spans="2:34" ht="12.75" customHeight="1">
      <c r="B78" s="13" t="s">
        <v>14</v>
      </c>
      <c r="C78" s="14">
        <f t="shared" ref="C78:G78" si="234">SUM(C72:C77)</f>
        <v>93404</v>
      </c>
      <c r="D78" s="14">
        <f t="shared" si="234"/>
        <v>138245</v>
      </c>
      <c r="E78" s="14">
        <f t="shared" si="234"/>
        <v>146043</v>
      </c>
      <c r="F78" s="14">
        <f t="shared" si="234"/>
        <v>201875</v>
      </c>
      <c r="G78" s="14">
        <f t="shared" si="234"/>
        <v>285970</v>
      </c>
      <c r="H78" s="51"/>
      <c r="I78" s="14">
        <f t="shared" ref="I78:L78" si="235">SUM(I72:I77)</f>
        <v>134001</v>
      </c>
      <c r="J78" s="14">
        <f t="shared" ref="J78" si="236">SUM(J72:J77)</f>
        <v>131402</v>
      </c>
      <c r="K78" s="14">
        <f t="shared" si="235"/>
        <v>137489</v>
      </c>
      <c r="L78" s="14">
        <f t="shared" si="235"/>
        <v>146043</v>
      </c>
      <c r="M78" s="14">
        <f t="shared" ref="M78:W78" si="237">SUM(M72:M77)</f>
        <v>154526</v>
      </c>
      <c r="N78" s="14">
        <f t="shared" si="237"/>
        <v>168602</v>
      </c>
      <c r="O78" s="14">
        <f t="shared" si="237"/>
        <v>182973</v>
      </c>
      <c r="P78" s="14">
        <f t="shared" si="237"/>
        <v>201875</v>
      </c>
      <c r="Q78" s="14">
        <f t="shared" si="237"/>
        <v>216661</v>
      </c>
      <c r="R78" s="14">
        <f t="shared" si="237"/>
        <v>236447</v>
      </c>
      <c r="S78" s="14">
        <f t="shared" si="237"/>
        <v>259151</v>
      </c>
      <c r="T78" s="14">
        <f t="shared" si="237"/>
        <v>285970</v>
      </c>
      <c r="U78" s="14">
        <f t="shared" si="237"/>
        <v>305867</v>
      </c>
      <c r="V78" s="14">
        <f t="shared" si="237"/>
        <v>333775</v>
      </c>
      <c r="W78" s="14">
        <f t="shared" si="237"/>
        <v>369631</v>
      </c>
      <c r="Y78" s="14">
        <f t="shared" ref="Y78:AF78" si="238">SUM(Y72:Y77)</f>
        <v>201875</v>
      </c>
      <c r="Z78" s="14">
        <f t="shared" si="238"/>
        <v>216661</v>
      </c>
      <c r="AA78" s="14">
        <f t="shared" si="238"/>
        <v>236447</v>
      </c>
      <c r="AB78" s="14">
        <f t="shared" si="238"/>
        <v>259151</v>
      </c>
      <c r="AC78" s="14">
        <f t="shared" si="238"/>
        <v>285970</v>
      </c>
      <c r="AD78" s="14">
        <f t="shared" si="238"/>
        <v>305867</v>
      </c>
      <c r="AE78" s="14">
        <f t="shared" si="238"/>
        <v>333775</v>
      </c>
      <c r="AF78" s="14">
        <f t="shared" si="238"/>
        <v>369631</v>
      </c>
      <c r="AG78" s="41"/>
      <c r="AH78" s="73">
        <f t="shared" si="209"/>
        <v>0.42631515988747881</v>
      </c>
    </row>
    <row r="79" spans="2:34" ht="12.75" customHeight="1">
      <c r="B79" s="24" t="s">
        <v>49</v>
      </c>
      <c r="C79" s="31">
        <f t="shared" ref="C79:G79" si="239">SUM(C78+C70)</f>
        <v>321195</v>
      </c>
      <c r="D79" s="31">
        <f t="shared" si="239"/>
        <v>420549</v>
      </c>
      <c r="E79" s="31">
        <f t="shared" si="239"/>
        <v>462675</v>
      </c>
      <c r="F79" s="31">
        <f t="shared" si="239"/>
        <v>527854</v>
      </c>
      <c r="G79" s="31">
        <f t="shared" si="239"/>
        <v>624894</v>
      </c>
      <c r="H79" s="31"/>
      <c r="I79" s="31">
        <f t="shared" ref="I79:L79" si="240">SUM(I78+I70)</f>
        <v>410767</v>
      </c>
      <c r="J79" s="31">
        <f t="shared" ref="J79" si="241">SUM(J78+J70)</f>
        <v>419728</v>
      </c>
      <c r="K79" s="31">
        <f t="shared" si="240"/>
        <v>428362</v>
      </c>
      <c r="L79" s="31">
        <f t="shared" si="240"/>
        <v>462675</v>
      </c>
      <c r="M79" s="31">
        <f t="shared" ref="M79:W79" si="242">SUM(M78+M70)</f>
        <v>464378</v>
      </c>
      <c r="N79" s="31">
        <f t="shared" si="242"/>
        <v>477607</v>
      </c>
      <c r="O79" s="31">
        <f t="shared" si="242"/>
        <v>486883</v>
      </c>
      <c r="P79" s="31">
        <f t="shared" si="242"/>
        <v>527854</v>
      </c>
      <c r="Q79" s="31">
        <f t="shared" si="242"/>
        <v>530969</v>
      </c>
      <c r="R79" s="31">
        <f t="shared" si="242"/>
        <v>554818</v>
      </c>
      <c r="S79" s="31">
        <f t="shared" si="242"/>
        <v>584626</v>
      </c>
      <c r="T79" s="31">
        <f t="shared" si="242"/>
        <v>624894</v>
      </c>
      <c r="U79" s="31">
        <f t="shared" si="242"/>
        <v>643256</v>
      </c>
      <c r="V79" s="31">
        <f t="shared" si="242"/>
        <v>682170</v>
      </c>
      <c r="W79" s="31">
        <f t="shared" si="242"/>
        <v>727921</v>
      </c>
      <c r="X79" s="31"/>
      <c r="Y79" s="31">
        <f t="shared" ref="Y79:AF79" si="243">SUM(Y78+Y70)</f>
        <v>527854</v>
      </c>
      <c r="Z79" s="31">
        <f t="shared" si="243"/>
        <v>530969</v>
      </c>
      <c r="AA79" s="31">
        <f t="shared" si="243"/>
        <v>554818</v>
      </c>
      <c r="AB79" s="31">
        <f t="shared" si="243"/>
        <v>584626</v>
      </c>
      <c r="AC79" s="31">
        <f t="shared" si="243"/>
        <v>624894</v>
      </c>
      <c r="AD79" s="31">
        <f t="shared" si="243"/>
        <v>643256</v>
      </c>
      <c r="AE79" s="31">
        <f t="shared" si="243"/>
        <v>682170</v>
      </c>
      <c r="AF79" s="31">
        <f t="shared" si="243"/>
        <v>727921</v>
      </c>
      <c r="AG79" s="11"/>
      <c r="AH79" s="74">
        <f t="shared" si="209"/>
        <v>0.24510541782267636</v>
      </c>
    </row>
    <row r="80" spans="2:34" ht="5.0999999999999996" customHeight="1">
      <c r="B80" s="24"/>
      <c r="C80" s="31"/>
      <c r="D80" s="31"/>
      <c r="E80" s="31"/>
      <c r="F80" s="31"/>
      <c r="G80" s="31"/>
      <c r="H80" s="31"/>
      <c r="I80" s="31"/>
      <c r="J80" s="31"/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  <c r="AA80" s="31"/>
      <c r="AB80" s="31"/>
      <c r="AC80" s="31"/>
      <c r="AD80" s="31"/>
      <c r="AE80" s="31"/>
      <c r="AF80" s="31"/>
      <c r="AG80" s="11"/>
    </row>
    <row r="81" spans="1:34" ht="12.75" customHeight="1">
      <c r="B81" s="135" t="s">
        <v>58</v>
      </c>
      <c r="C81" s="67">
        <f>C79-C58</f>
        <v>0</v>
      </c>
      <c r="D81" s="67">
        <f>D79-D58</f>
        <v>0</v>
      </c>
      <c r="E81" s="67">
        <f>E79-E58</f>
        <v>0</v>
      </c>
      <c r="F81" s="67">
        <f>F79-F58</f>
        <v>0</v>
      </c>
      <c r="G81" s="67">
        <f>G79-G58</f>
        <v>0</v>
      </c>
      <c r="H81" s="68"/>
      <c r="I81" s="67">
        <f>I79-I58</f>
        <v>0</v>
      </c>
      <c r="J81" s="67">
        <f>J79-J58</f>
        <v>0</v>
      </c>
      <c r="K81" s="67">
        <f>K79-K58</f>
        <v>0</v>
      </c>
      <c r="L81" s="67">
        <f>L79-L58</f>
        <v>0</v>
      </c>
      <c r="M81" s="67">
        <f>M79-M58</f>
        <v>0</v>
      </c>
      <c r="N81" s="67">
        <f>N79-N58</f>
        <v>0</v>
      </c>
      <c r="O81" s="67">
        <f>O79-O58</f>
        <v>0</v>
      </c>
      <c r="P81" s="67">
        <f>P79-P58</f>
        <v>0</v>
      </c>
      <c r="Q81" s="67">
        <f>Q79-Q58</f>
        <v>0</v>
      </c>
      <c r="R81" s="67">
        <f>R79-R58</f>
        <v>0</v>
      </c>
      <c r="S81" s="67">
        <f>S79-S58</f>
        <v>0</v>
      </c>
      <c r="T81" s="67">
        <f>T79-T58</f>
        <v>0</v>
      </c>
      <c r="U81" s="67">
        <f>U79-U58</f>
        <v>0</v>
      </c>
      <c r="V81" s="67">
        <f>V79-V58</f>
        <v>0</v>
      </c>
      <c r="W81" s="67">
        <f>W79-W58</f>
        <v>0</v>
      </c>
      <c r="X81" s="27"/>
      <c r="Y81" s="67">
        <f>Y79-Y58</f>
        <v>0</v>
      </c>
      <c r="Z81" s="67">
        <f>Z79-Z58</f>
        <v>0</v>
      </c>
      <c r="AA81" s="67">
        <f>AA79-AA58</f>
        <v>0</v>
      </c>
      <c r="AB81" s="67">
        <f>AB79-AB58</f>
        <v>0</v>
      </c>
      <c r="AC81" s="67">
        <f>AC79-AC58</f>
        <v>0</v>
      </c>
      <c r="AD81" s="67">
        <f>AD79-AD58</f>
        <v>0</v>
      </c>
      <c r="AE81" s="67">
        <f>AE79-AE58</f>
        <v>0</v>
      </c>
      <c r="AF81" s="67">
        <f>AF79-AF58</f>
        <v>0</v>
      </c>
    </row>
    <row r="82" spans="1:34" ht="5.0999999999999996" customHeight="1" thickBot="1">
      <c r="B82" s="113"/>
      <c r="C82" s="114"/>
      <c r="D82" s="114"/>
      <c r="E82" s="114"/>
      <c r="F82" s="114"/>
      <c r="G82" s="114"/>
      <c r="H82" s="115"/>
      <c r="I82" s="114"/>
      <c r="J82" s="114"/>
      <c r="K82" s="114"/>
      <c r="L82" s="114"/>
      <c r="M82" s="114"/>
      <c r="N82" s="114"/>
      <c r="O82" s="114"/>
      <c r="P82" s="114"/>
      <c r="Q82" s="114"/>
      <c r="R82" s="114"/>
      <c r="S82" s="114"/>
      <c r="T82" s="114"/>
      <c r="U82" s="114"/>
      <c r="V82" s="114"/>
      <c r="W82" s="114"/>
      <c r="X82" s="116"/>
      <c r="Y82" s="114"/>
      <c r="Z82" s="114"/>
      <c r="AA82" s="114"/>
      <c r="AB82" s="114"/>
      <c r="AC82" s="114"/>
      <c r="AD82" s="114"/>
      <c r="AE82" s="114"/>
      <c r="AF82" s="114"/>
      <c r="AG82" s="71"/>
      <c r="AH82" s="71"/>
    </row>
    <row r="83" spans="1:34" ht="12.75" customHeight="1">
      <c r="A83" s="5" t="s">
        <v>16</v>
      </c>
      <c r="B83" s="95" t="s">
        <v>13</v>
      </c>
      <c r="C83" s="99"/>
      <c r="D83" s="99"/>
      <c r="E83" s="99"/>
      <c r="F83" s="99"/>
      <c r="G83" s="99"/>
      <c r="H83" s="100"/>
      <c r="I83" s="99"/>
      <c r="J83" s="99"/>
      <c r="K83" s="99"/>
      <c r="L83" s="99"/>
      <c r="M83" s="99"/>
      <c r="N83" s="99"/>
      <c r="O83" s="99"/>
      <c r="P83" s="99"/>
      <c r="Q83" s="99"/>
      <c r="R83" s="99"/>
      <c r="S83" s="99"/>
      <c r="T83" s="99"/>
      <c r="U83" s="99"/>
      <c r="V83" s="99"/>
      <c r="W83" s="99"/>
      <c r="X83" s="95"/>
      <c r="Y83" s="99"/>
      <c r="Z83" s="99"/>
      <c r="AA83" s="99" t="s">
        <v>10</v>
      </c>
      <c r="AB83" s="99"/>
      <c r="AC83" s="99"/>
      <c r="AD83" s="99"/>
      <c r="AE83" s="99"/>
      <c r="AF83" s="99"/>
      <c r="AG83" s="100"/>
      <c r="AH83" s="152" t="s">
        <v>22</v>
      </c>
    </row>
    <row r="84" spans="1:34" ht="12.75" customHeight="1">
      <c r="B84" s="96" t="str">
        <f>B7</f>
        <v>Fiscal Period</v>
      </c>
      <c r="C84" s="101">
        <f>C7</f>
        <v>2020</v>
      </c>
      <c r="D84" s="101">
        <f>D7</f>
        <v>2021</v>
      </c>
      <c r="E84" s="101">
        <f>E7</f>
        <v>2022</v>
      </c>
      <c r="F84" s="101">
        <f>F7</f>
        <v>2023</v>
      </c>
      <c r="G84" s="101">
        <f>G7</f>
        <v>2024</v>
      </c>
      <c r="H84" s="100"/>
      <c r="I84" s="101" t="str">
        <f t="shared" ref="I84:W84" si="244">I7</f>
        <v>1Q22</v>
      </c>
      <c r="J84" s="101" t="str">
        <f t="shared" si="244"/>
        <v>2Q22</v>
      </c>
      <c r="K84" s="101" t="str">
        <f t="shared" si="244"/>
        <v>3Q22</v>
      </c>
      <c r="L84" s="101" t="str">
        <f t="shared" si="244"/>
        <v>4Q22</v>
      </c>
      <c r="M84" s="101" t="str">
        <f t="shared" si="244"/>
        <v>1Q23</v>
      </c>
      <c r="N84" s="101" t="str">
        <f t="shared" si="244"/>
        <v>2Q23</v>
      </c>
      <c r="O84" s="101" t="str">
        <f t="shared" si="244"/>
        <v>3Q23</v>
      </c>
      <c r="P84" s="101" t="str">
        <f t="shared" si="244"/>
        <v>4Q23</v>
      </c>
      <c r="Q84" s="101" t="str">
        <f t="shared" si="244"/>
        <v>1Q24</v>
      </c>
      <c r="R84" s="101" t="str">
        <f t="shared" si="244"/>
        <v>2Q24</v>
      </c>
      <c r="S84" s="101" t="str">
        <f t="shared" si="244"/>
        <v>3Q24</v>
      </c>
      <c r="T84" s="101" t="str">
        <f t="shared" si="244"/>
        <v>4Q24</v>
      </c>
      <c r="U84" s="101" t="str">
        <f t="shared" si="244"/>
        <v>1Q25</v>
      </c>
      <c r="V84" s="101" t="str">
        <f t="shared" si="244"/>
        <v>2Q25</v>
      </c>
      <c r="W84" s="101" t="str">
        <f t="shared" si="244"/>
        <v>3Q25</v>
      </c>
      <c r="X84" s="101"/>
      <c r="Y84" s="101" t="str">
        <f>Y7</f>
        <v>4Q23</v>
      </c>
      <c r="Z84" s="101" t="str">
        <f>Z7</f>
        <v>1Q24</v>
      </c>
      <c r="AA84" s="101" t="str">
        <f>AA7</f>
        <v>2Q24</v>
      </c>
      <c r="AB84" s="101" t="str">
        <f>AB7</f>
        <v>3Q24</v>
      </c>
      <c r="AC84" s="101" t="str">
        <f>AC7</f>
        <v>4Q24</v>
      </c>
      <c r="AD84" s="101" t="str">
        <f>AD7</f>
        <v>1Q25</v>
      </c>
      <c r="AE84" s="101" t="str">
        <f>AE7</f>
        <v>2Q25</v>
      </c>
      <c r="AF84" s="101" t="str">
        <f>AF7</f>
        <v>3Q25</v>
      </c>
      <c r="AG84" s="100"/>
      <c r="AH84" s="152"/>
    </row>
    <row r="85" spans="1:34" ht="12.75" customHeight="1">
      <c r="B85" s="96" t="str">
        <f>B8</f>
        <v>Fiscal Period End Date</v>
      </c>
      <c r="C85" s="102">
        <f>C8</f>
        <v>44196</v>
      </c>
      <c r="D85" s="102">
        <f>D8</f>
        <v>44561</v>
      </c>
      <c r="E85" s="102">
        <f>E8</f>
        <v>44926</v>
      </c>
      <c r="F85" s="102">
        <f>F8</f>
        <v>45291</v>
      </c>
      <c r="G85" s="102">
        <f>G8</f>
        <v>45657</v>
      </c>
      <c r="H85" s="100"/>
      <c r="I85" s="102">
        <f t="shared" ref="I85:W85" si="245">I8</f>
        <v>44651</v>
      </c>
      <c r="J85" s="102">
        <f t="shared" si="245"/>
        <v>44742</v>
      </c>
      <c r="K85" s="102">
        <f t="shared" si="245"/>
        <v>44834</v>
      </c>
      <c r="L85" s="102">
        <f t="shared" si="245"/>
        <v>44926</v>
      </c>
      <c r="M85" s="102">
        <f t="shared" si="245"/>
        <v>45016</v>
      </c>
      <c r="N85" s="102">
        <f t="shared" si="245"/>
        <v>45107</v>
      </c>
      <c r="O85" s="102">
        <f t="shared" si="245"/>
        <v>45199</v>
      </c>
      <c r="P85" s="102">
        <f t="shared" si="245"/>
        <v>45291</v>
      </c>
      <c r="Q85" s="102">
        <f t="shared" si="245"/>
        <v>45382</v>
      </c>
      <c r="R85" s="102">
        <f t="shared" si="245"/>
        <v>45473</v>
      </c>
      <c r="S85" s="102">
        <f t="shared" si="245"/>
        <v>45565</v>
      </c>
      <c r="T85" s="102">
        <f t="shared" si="245"/>
        <v>45657</v>
      </c>
      <c r="U85" s="102">
        <f t="shared" si="245"/>
        <v>45747</v>
      </c>
      <c r="V85" s="102">
        <f t="shared" si="245"/>
        <v>45838</v>
      </c>
      <c r="W85" s="102">
        <f t="shared" si="245"/>
        <v>45930</v>
      </c>
      <c r="X85" s="102"/>
      <c r="Y85" s="102">
        <f>Y8</f>
        <v>45291</v>
      </c>
      <c r="Z85" s="102">
        <f>Z8</f>
        <v>45382</v>
      </c>
      <c r="AA85" s="102">
        <f>AA8</f>
        <v>45473</v>
      </c>
      <c r="AB85" s="102">
        <f>AB8</f>
        <v>45565</v>
      </c>
      <c r="AC85" s="102">
        <f>AC8</f>
        <v>45657</v>
      </c>
      <c r="AD85" s="102">
        <f>AD8</f>
        <v>45747</v>
      </c>
      <c r="AE85" s="102">
        <f>AE8</f>
        <v>45838</v>
      </c>
      <c r="AF85" s="102">
        <f>AF8</f>
        <v>45930</v>
      </c>
      <c r="AG85" s="100"/>
      <c r="AH85" s="152"/>
    </row>
    <row r="86" spans="1:34" ht="5.0999999999999996" customHeight="1">
      <c r="B86" s="53"/>
      <c r="C86" s="46"/>
      <c r="D86" s="46"/>
      <c r="E86" s="46"/>
      <c r="F86" s="46"/>
      <c r="G86" s="46"/>
    </row>
    <row r="87" spans="1:34" ht="12.75" customHeight="1">
      <c r="B87" s="54" t="s">
        <v>50</v>
      </c>
      <c r="C87" s="55"/>
      <c r="D87" s="55"/>
      <c r="E87" s="55"/>
      <c r="F87" s="55"/>
      <c r="G87" s="55"/>
    </row>
    <row r="88" spans="1:34" ht="12.75" customHeight="1">
      <c r="B88" s="56" t="s">
        <v>107</v>
      </c>
      <c r="C88" s="31">
        <f>C33</f>
        <v>21331</v>
      </c>
      <c r="D88" s="31">
        <f>D33</f>
        <v>33364</v>
      </c>
      <c r="E88" s="31">
        <f>E33</f>
        <v>-2722</v>
      </c>
      <c r="F88" s="31">
        <f>F33</f>
        <v>30425</v>
      </c>
      <c r="G88" s="31">
        <f>G33</f>
        <v>59248</v>
      </c>
      <c r="H88" s="31"/>
      <c r="I88" s="31">
        <f t="shared" ref="I88:W88" si="246">I33</f>
        <v>-3844</v>
      </c>
      <c r="J88" s="31">
        <f t="shared" si="246"/>
        <v>-2028</v>
      </c>
      <c r="K88" s="31">
        <f t="shared" si="246"/>
        <v>2872</v>
      </c>
      <c r="L88" s="31">
        <f t="shared" si="246"/>
        <v>278</v>
      </c>
      <c r="M88" s="31">
        <f t="shared" si="246"/>
        <v>3172</v>
      </c>
      <c r="N88" s="31">
        <f t="shared" si="246"/>
        <v>6750</v>
      </c>
      <c r="O88" s="31">
        <f t="shared" si="246"/>
        <v>9879</v>
      </c>
      <c r="P88" s="31">
        <f t="shared" si="246"/>
        <v>10624</v>
      </c>
      <c r="Q88" s="31">
        <f t="shared" si="246"/>
        <v>10431</v>
      </c>
      <c r="R88" s="31">
        <f t="shared" si="246"/>
        <v>13485</v>
      </c>
      <c r="S88" s="154">
        <f>S33</f>
        <v>15328</v>
      </c>
      <c r="T88" s="31">
        <f t="shared" si="246"/>
        <v>20004</v>
      </c>
      <c r="U88" s="31">
        <f t="shared" si="246"/>
        <v>17127</v>
      </c>
      <c r="V88" s="31">
        <f t="shared" si="246"/>
        <v>18164</v>
      </c>
      <c r="W88" s="31">
        <f t="shared" si="246"/>
        <v>21187</v>
      </c>
      <c r="X88" s="31"/>
      <c r="Y88" s="31">
        <f t="shared" ref="Y88:AF88" si="247">Y33</f>
        <v>30425</v>
      </c>
      <c r="Z88" s="31">
        <f t="shared" si="247"/>
        <v>37684</v>
      </c>
      <c r="AA88" s="31">
        <f t="shared" si="247"/>
        <v>44419</v>
      </c>
      <c r="AB88" s="31">
        <f t="shared" si="247"/>
        <v>49868</v>
      </c>
      <c r="AC88" s="31">
        <f t="shared" si="247"/>
        <v>59248</v>
      </c>
      <c r="AD88" s="31">
        <f t="shared" si="247"/>
        <v>65944</v>
      </c>
      <c r="AE88" s="31">
        <f t="shared" si="247"/>
        <v>70623</v>
      </c>
      <c r="AF88" s="31">
        <f t="shared" si="247"/>
        <v>76482</v>
      </c>
      <c r="AG88" s="11"/>
      <c r="AH88" s="73">
        <f>SUM(AF88/AB88)-1</f>
        <v>0.53368893879842783</v>
      </c>
    </row>
    <row r="89" spans="1:34" ht="5.0999999999999996" customHeight="1">
      <c r="C89" s="31"/>
      <c r="D89" s="31"/>
      <c r="E89" s="31"/>
      <c r="F89" s="31"/>
      <c r="G89" s="31"/>
      <c r="H89" s="31"/>
      <c r="I89" s="31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  <c r="V89" s="31"/>
      <c r="W89" s="31"/>
      <c r="Y89" s="31"/>
      <c r="Z89" s="31"/>
      <c r="AA89" s="31"/>
      <c r="AB89" s="31"/>
      <c r="AC89" s="31"/>
      <c r="AD89" s="31"/>
      <c r="AE89" s="31"/>
      <c r="AF89" s="31"/>
      <c r="AG89" s="11"/>
      <c r="AH89" s="73"/>
    </row>
    <row r="90" spans="1:34" ht="12.75" customHeight="1">
      <c r="B90" s="35" t="s">
        <v>57</v>
      </c>
      <c r="C90" s="31"/>
      <c r="D90" s="31"/>
      <c r="E90" s="31"/>
      <c r="F90" s="31"/>
      <c r="G90" s="31"/>
      <c r="H90" s="31"/>
      <c r="I90" s="79"/>
      <c r="J90" s="79"/>
      <c r="K90" s="79"/>
      <c r="L90" s="79"/>
      <c r="M90" s="79"/>
      <c r="N90" s="79"/>
      <c r="O90" s="79"/>
      <c r="P90" s="31"/>
      <c r="Q90" s="79"/>
      <c r="R90" s="79"/>
      <c r="S90" s="79"/>
      <c r="T90" s="31"/>
      <c r="U90" s="79"/>
      <c r="V90" s="79"/>
      <c r="W90" s="79"/>
      <c r="Y90" s="31"/>
      <c r="Z90" s="31"/>
      <c r="AA90" s="31"/>
      <c r="AB90" s="31"/>
      <c r="AC90" s="31"/>
      <c r="AD90" s="31"/>
      <c r="AE90" s="31"/>
      <c r="AF90" s="31"/>
      <c r="AG90" s="58"/>
      <c r="AH90" s="73"/>
    </row>
    <row r="91" spans="1:34" ht="12.75" customHeight="1">
      <c r="B91" s="59" t="s">
        <v>140</v>
      </c>
      <c r="C91" s="79">
        <v>25251</v>
      </c>
      <c r="D91" s="79">
        <v>34296</v>
      </c>
      <c r="E91" s="79">
        <v>41921</v>
      </c>
      <c r="F91" s="79">
        <v>48663</v>
      </c>
      <c r="G91" s="79">
        <v>52795</v>
      </c>
      <c r="H91" s="31"/>
      <c r="I91" s="79">
        <v>9193</v>
      </c>
      <c r="J91" s="79">
        <v>9716</v>
      </c>
      <c r="K91" s="79">
        <v>10327</v>
      </c>
      <c r="L91" s="31">
        <f t="shared" ref="L91:L94" si="248">SUM(E91-SUM(I91:K91))</f>
        <v>12685</v>
      </c>
      <c r="M91" s="79">
        <v>11123</v>
      </c>
      <c r="N91" s="79">
        <v>11589</v>
      </c>
      <c r="O91" s="79">
        <v>12131</v>
      </c>
      <c r="P91" s="31">
        <f t="shared" ref="P91:P94" si="249">SUM(F91-SUM(M91:O91))</f>
        <v>13820</v>
      </c>
      <c r="Q91" s="79">
        <v>11684</v>
      </c>
      <c r="R91" s="79">
        <v>12038</v>
      </c>
      <c r="S91" s="79">
        <v>13442</v>
      </c>
      <c r="T91" s="31">
        <f t="shared" ref="T91:T94" si="250">SUM(G91-SUM(Q91:S91))</f>
        <v>15631</v>
      </c>
      <c r="U91" s="79">
        <v>14262</v>
      </c>
      <c r="V91" s="79">
        <v>15227</v>
      </c>
      <c r="W91" s="79">
        <v>16796</v>
      </c>
      <c r="Y91" s="31">
        <f t="shared" ref="Y91:Y94" si="251">SUM(M91:P91)</f>
        <v>48663</v>
      </c>
      <c r="Z91" s="31">
        <f t="shared" ref="Z91:Z94" si="252">SUM(N91:Q91)</f>
        <v>49224</v>
      </c>
      <c r="AA91" s="31">
        <f t="shared" ref="AA91:AA94" si="253">SUM(O91:R91)</f>
        <v>49673</v>
      </c>
      <c r="AB91" s="31">
        <f t="shared" ref="AB91:AB94" si="254">SUM(P91:S91)</f>
        <v>50984</v>
      </c>
      <c r="AC91" s="31">
        <f t="shared" ref="AC91:AC94" si="255">SUM(Q91:T91)</f>
        <v>52795</v>
      </c>
      <c r="AD91" s="31">
        <f t="shared" ref="AD91:AD94" si="256">SUM(R91:U91)</f>
        <v>55373</v>
      </c>
      <c r="AE91" s="31">
        <f t="shared" ref="AE91:AE94" si="257">SUM(S91:V91)</f>
        <v>58562</v>
      </c>
      <c r="AF91" s="31">
        <f t="shared" ref="AF91:AF94" si="258">SUM(T91:W91)</f>
        <v>61916</v>
      </c>
      <c r="AG91" s="11"/>
      <c r="AH91" s="73">
        <f t="shared" ref="AH91:AH94" si="259">SUM(AF91/AB91)-1</f>
        <v>0.21442021026204294</v>
      </c>
    </row>
    <row r="92" spans="1:34" ht="12.75" customHeight="1">
      <c r="B92" s="59" t="s">
        <v>141</v>
      </c>
      <c r="C92" s="79">
        <v>9208</v>
      </c>
      <c r="D92" s="79">
        <v>12757</v>
      </c>
      <c r="E92" s="79">
        <v>19621</v>
      </c>
      <c r="F92" s="79">
        <v>24023</v>
      </c>
      <c r="G92" s="79">
        <v>22011</v>
      </c>
      <c r="H92" s="31"/>
      <c r="I92" s="79">
        <v>3250</v>
      </c>
      <c r="J92" s="79">
        <v>5209</v>
      </c>
      <c r="K92" s="79">
        <v>5556</v>
      </c>
      <c r="L92" s="31">
        <f t="shared" si="248"/>
        <v>5606</v>
      </c>
      <c r="M92" s="79">
        <v>4748</v>
      </c>
      <c r="N92" s="79">
        <v>7127</v>
      </c>
      <c r="O92" s="79">
        <v>5829</v>
      </c>
      <c r="P92" s="31">
        <f t="shared" si="249"/>
        <v>6319</v>
      </c>
      <c r="Q92" s="79">
        <v>4961</v>
      </c>
      <c r="R92" s="79">
        <v>6722</v>
      </c>
      <c r="S92" s="79">
        <v>5333</v>
      </c>
      <c r="T92" s="31">
        <f t="shared" si="250"/>
        <v>4995</v>
      </c>
      <c r="U92" s="79">
        <v>3689</v>
      </c>
      <c r="V92" s="79">
        <v>6534</v>
      </c>
      <c r="W92" s="79">
        <v>4847</v>
      </c>
      <c r="Y92" s="31">
        <f t="shared" si="251"/>
        <v>24023</v>
      </c>
      <c r="Z92" s="31">
        <f t="shared" si="252"/>
        <v>24236</v>
      </c>
      <c r="AA92" s="31">
        <f t="shared" si="253"/>
        <v>23831</v>
      </c>
      <c r="AB92" s="31">
        <f t="shared" si="254"/>
        <v>23335</v>
      </c>
      <c r="AC92" s="31">
        <f t="shared" si="255"/>
        <v>22011</v>
      </c>
      <c r="AD92" s="31">
        <f t="shared" si="256"/>
        <v>20739</v>
      </c>
      <c r="AE92" s="31">
        <f t="shared" si="257"/>
        <v>20551</v>
      </c>
      <c r="AF92" s="31">
        <f t="shared" si="258"/>
        <v>20065</v>
      </c>
      <c r="AG92" s="11"/>
      <c r="AH92" s="73">
        <f t="shared" si="259"/>
        <v>-0.14013284765373901</v>
      </c>
    </row>
    <row r="93" spans="1:34" ht="12.75" customHeight="1">
      <c r="B93" s="59" t="s">
        <v>142</v>
      </c>
      <c r="C93" s="79">
        <f>-71-2582</f>
        <v>-2653</v>
      </c>
      <c r="D93" s="79">
        <f>137-14306</f>
        <v>-14169</v>
      </c>
      <c r="E93" s="79">
        <v>16966</v>
      </c>
      <c r="F93" s="79">
        <v>-748</v>
      </c>
      <c r="G93" s="79">
        <v>2012</v>
      </c>
      <c r="H93" s="31"/>
      <c r="I93" s="79">
        <v>8689</v>
      </c>
      <c r="J93" s="79">
        <v>6104</v>
      </c>
      <c r="K93" s="79">
        <v>-1272</v>
      </c>
      <c r="L93" s="31">
        <f t="shared" si="248"/>
        <v>3445</v>
      </c>
      <c r="M93" s="79">
        <v>534</v>
      </c>
      <c r="N93" s="79">
        <v>47</v>
      </c>
      <c r="O93" s="79">
        <v>-990</v>
      </c>
      <c r="P93" s="31">
        <f t="shared" si="249"/>
        <v>-339</v>
      </c>
      <c r="Q93" s="79">
        <v>2734</v>
      </c>
      <c r="R93" s="79">
        <v>-95</v>
      </c>
      <c r="S93" s="79">
        <v>-141</v>
      </c>
      <c r="T93" s="31">
        <f t="shared" si="250"/>
        <v>-486</v>
      </c>
      <c r="U93" s="79">
        <v>-2817</v>
      </c>
      <c r="V93" s="79">
        <v>-1258</v>
      </c>
      <c r="W93" s="79">
        <v>-10112</v>
      </c>
      <c r="Y93" s="31">
        <f t="shared" si="251"/>
        <v>-748</v>
      </c>
      <c r="Z93" s="31">
        <f t="shared" si="252"/>
        <v>1452</v>
      </c>
      <c r="AA93" s="31">
        <f t="shared" si="253"/>
        <v>1310</v>
      </c>
      <c r="AB93" s="31">
        <f t="shared" si="254"/>
        <v>2159</v>
      </c>
      <c r="AC93" s="31">
        <f t="shared" si="255"/>
        <v>2012</v>
      </c>
      <c r="AD93" s="31">
        <f t="shared" si="256"/>
        <v>-3539</v>
      </c>
      <c r="AE93" s="31">
        <f t="shared" si="257"/>
        <v>-4702</v>
      </c>
      <c r="AF93" s="31">
        <f t="shared" si="258"/>
        <v>-14673</v>
      </c>
      <c r="AG93" s="11"/>
      <c r="AH93" s="73">
        <f t="shared" si="259"/>
        <v>-7.7962019453450671</v>
      </c>
    </row>
    <row r="94" spans="1:34" ht="12.75" customHeight="1">
      <c r="B94" s="59" t="s">
        <v>143</v>
      </c>
      <c r="C94" s="79">
        <v>-554</v>
      </c>
      <c r="D94" s="79">
        <v>-310</v>
      </c>
      <c r="E94" s="79">
        <v>-8148</v>
      </c>
      <c r="F94" s="79">
        <v>-5876</v>
      </c>
      <c r="G94" s="79">
        <v>-4648</v>
      </c>
      <c r="H94" s="31"/>
      <c r="I94" s="79">
        <v>-2001</v>
      </c>
      <c r="J94" s="79">
        <v>-1955</v>
      </c>
      <c r="K94" s="79">
        <v>-825</v>
      </c>
      <c r="L94" s="31">
        <f t="shared" si="248"/>
        <v>-3367</v>
      </c>
      <c r="M94" s="79">
        <v>-472</v>
      </c>
      <c r="N94" s="79">
        <v>-2744</v>
      </c>
      <c r="O94" s="79">
        <v>-1196</v>
      </c>
      <c r="P94" s="31">
        <f t="shared" si="249"/>
        <v>-1464</v>
      </c>
      <c r="Q94" s="79">
        <v>-938</v>
      </c>
      <c r="R94" s="79">
        <v>-785</v>
      </c>
      <c r="S94" s="79">
        <v>-1317</v>
      </c>
      <c r="T94" s="31">
        <f t="shared" si="250"/>
        <v>-1608</v>
      </c>
      <c r="U94" s="79">
        <v>507</v>
      </c>
      <c r="V94" s="79">
        <v>11</v>
      </c>
      <c r="W94" s="79">
        <v>10130</v>
      </c>
      <c r="Y94" s="31">
        <f t="shared" si="251"/>
        <v>-5876</v>
      </c>
      <c r="Z94" s="31">
        <f t="shared" si="252"/>
        <v>-6342</v>
      </c>
      <c r="AA94" s="31">
        <f t="shared" si="253"/>
        <v>-4383</v>
      </c>
      <c r="AB94" s="31">
        <f t="shared" si="254"/>
        <v>-4504</v>
      </c>
      <c r="AC94" s="31">
        <f t="shared" si="255"/>
        <v>-4648</v>
      </c>
      <c r="AD94" s="31">
        <f t="shared" si="256"/>
        <v>-3203</v>
      </c>
      <c r="AE94" s="31">
        <f t="shared" si="257"/>
        <v>-2407</v>
      </c>
      <c r="AF94" s="31">
        <f t="shared" si="258"/>
        <v>9040</v>
      </c>
      <c r="AG94" s="11"/>
      <c r="AH94" s="73">
        <f t="shared" si="259"/>
        <v>-3.0071047957371224</v>
      </c>
    </row>
    <row r="95" spans="1:34" ht="12.75" customHeight="1">
      <c r="B95" s="35" t="s">
        <v>139</v>
      </c>
      <c r="C95" s="31"/>
      <c r="D95" s="31"/>
      <c r="E95" s="31"/>
      <c r="F95" s="31"/>
      <c r="G95" s="31"/>
      <c r="H95" s="31"/>
      <c r="I95" s="79"/>
      <c r="J95" s="79"/>
      <c r="K95" s="79"/>
      <c r="L95" s="79"/>
      <c r="M95" s="79"/>
      <c r="N95" s="79"/>
      <c r="O95" s="79"/>
      <c r="P95" s="31"/>
      <c r="Q95" s="79"/>
      <c r="R95" s="79"/>
      <c r="S95" s="79"/>
      <c r="T95" s="31"/>
      <c r="U95" s="79"/>
      <c r="V95" s="79"/>
      <c r="W95" s="79"/>
      <c r="Y95" s="31"/>
      <c r="Z95" s="31"/>
      <c r="AA95" s="31"/>
      <c r="AB95" s="31"/>
      <c r="AC95" s="31"/>
      <c r="AD95" s="31"/>
      <c r="AE95" s="31"/>
      <c r="AF95" s="31"/>
      <c r="AG95" s="58"/>
      <c r="AH95" s="73"/>
    </row>
    <row r="96" spans="1:34" ht="12.75" customHeight="1">
      <c r="B96" s="59" t="s">
        <v>104</v>
      </c>
      <c r="C96" s="79">
        <v>-2849</v>
      </c>
      <c r="D96" s="79">
        <v>-9487</v>
      </c>
      <c r="E96" s="79">
        <v>-2592</v>
      </c>
      <c r="F96" s="79">
        <v>1449</v>
      </c>
      <c r="G96" s="79">
        <v>-1884</v>
      </c>
      <c r="H96" s="31"/>
      <c r="I96" s="79">
        <v>-2614</v>
      </c>
      <c r="J96" s="79">
        <v>-3890</v>
      </c>
      <c r="K96" s="79">
        <v>732</v>
      </c>
      <c r="L96" s="31">
        <f t="shared" ref="L96:L101" si="260">SUM(E96-SUM(I96:K96))</f>
        <v>3180</v>
      </c>
      <c r="M96" s="79">
        <v>371</v>
      </c>
      <c r="N96" s="79">
        <v>-2373</v>
      </c>
      <c r="O96" s="79">
        <v>808</v>
      </c>
      <c r="P96" s="31">
        <f t="shared" ref="P96:P101" si="261">SUM(F96-SUM(M96:O96))</f>
        <v>2643</v>
      </c>
      <c r="Q96" s="79">
        <v>1776</v>
      </c>
      <c r="R96" s="79">
        <v>-3085</v>
      </c>
      <c r="S96" s="79">
        <v>-1509</v>
      </c>
      <c r="T96" s="31">
        <f t="shared" ref="T96:T101" si="262">SUM(G96-SUM(Q96:S96))</f>
        <v>934</v>
      </c>
      <c r="U96" s="79">
        <v>-1222</v>
      </c>
      <c r="V96" s="79">
        <v>-4054</v>
      </c>
      <c r="W96" s="79">
        <v>-827</v>
      </c>
      <c r="Y96" s="31">
        <f t="shared" ref="Y96:AF101" si="263">SUM(M96:P96)</f>
        <v>1449</v>
      </c>
      <c r="Z96" s="31">
        <f t="shared" si="263"/>
        <v>2854</v>
      </c>
      <c r="AA96" s="31">
        <f t="shared" si="263"/>
        <v>2142</v>
      </c>
      <c r="AB96" s="31">
        <f t="shared" si="263"/>
        <v>-175</v>
      </c>
      <c r="AC96" s="31">
        <f t="shared" si="263"/>
        <v>-1884</v>
      </c>
      <c r="AD96" s="31">
        <f t="shared" si="263"/>
        <v>-4882</v>
      </c>
      <c r="AE96" s="31">
        <f t="shared" si="263"/>
        <v>-5851</v>
      </c>
      <c r="AF96" s="31">
        <f t="shared" si="263"/>
        <v>-5169</v>
      </c>
      <c r="AG96" s="11"/>
      <c r="AH96" s="73">
        <f t="shared" ref="AH96:AH102" si="264">SUM(AF96/AB96)-1</f>
        <v>28.537142857142857</v>
      </c>
    </row>
    <row r="97" spans="2:34" ht="12.75" customHeight="1">
      <c r="B97" s="59" t="s">
        <v>144</v>
      </c>
      <c r="C97" s="79">
        <v>-8169</v>
      </c>
      <c r="D97" s="79">
        <v>-18163</v>
      </c>
      <c r="E97" s="79">
        <v>-8622</v>
      </c>
      <c r="F97" s="79">
        <v>-8348</v>
      </c>
      <c r="G97" s="79">
        <v>-3249</v>
      </c>
      <c r="H97" s="31"/>
      <c r="I97" s="79">
        <v>-1516</v>
      </c>
      <c r="J97" s="79">
        <v>-6799</v>
      </c>
      <c r="K97" s="79">
        <v>-4794</v>
      </c>
      <c r="L97" s="31">
        <f t="shared" si="260"/>
        <v>4487</v>
      </c>
      <c r="M97" s="79">
        <v>1521</v>
      </c>
      <c r="N97" s="79">
        <v>-5167</v>
      </c>
      <c r="O97" s="79">
        <v>-6718</v>
      </c>
      <c r="P97" s="31">
        <f t="shared" si="261"/>
        <v>2016</v>
      </c>
      <c r="Q97" s="79">
        <v>3684</v>
      </c>
      <c r="R97" s="79">
        <v>-2209</v>
      </c>
      <c r="S97" s="79">
        <v>-701</v>
      </c>
      <c r="T97" s="31">
        <f t="shared" si="262"/>
        <v>-4023</v>
      </c>
      <c r="U97" s="79">
        <v>1247</v>
      </c>
      <c r="V97" s="79">
        <v>-1125</v>
      </c>
      <c r="W97" s="79">
        <v>-1977</v>
      </c>
      <c r="Y97" s="31">
        <f t="shared" si="263"/>
        <v>-8348</v>
      </c>
      <c r="Z97" s="31">
        <f t="shared" si="263"/>
        <v>-6185</v>
      </c>
      <c r="AA97" s="31">
        <f t="shared" si="263"/>
        <v>-3227</v>
      </c>
      <c r="AB97" s="31">
        <f t="shared" si="263"/>
        <v>2790</v>
      </c>
      <c r="AC97" s="31">
        <f t="shared" si="263"/>
        <v>-3249</v>
      </c>
      <c r="AD97" s="31">
        <f t="shared" si="263"/>
        <v>-5686</v>
      </c>
      <c r="AE97" s="31">
        <f t="shared" si="263"/>
        <v>-4602</v>
      </c>
      <c r="AF97" s="31">
        <f t="shared" si="263"/>
        <v>-5878</v>
      </c>
      <c r="AG97" s="11"/>
      <c r="AH97" s="73">
        <f t="shared" ref="AH97" si="265">SUM(AF97/AB97)-1</f>
        <v>-3.1068100358422939</v>
      </c>
    </row>
    <row r="98" spans="2:34" ht="12.75" customHeight="1">
      <c r="B98" s="59" t="s">
        <v>145</v>
      </c>
      <c r="C98" s="79">
        <v>0</v>
      </c>
      <c r="D98" s="79">
        <v>0</v>
      </c>
      <c r="E98" s="79">
        <v>-13275</v>
      </c>
      <c r="F98" s="79">
        <v>-12265</v>
      </c>
      <c r="G98" s="79">
        <v>-14483</v>
      </c>
      <c r="H98" s="31"/>
      <c r="I98" s="79">
        <v>0</v>
      </c>
      <c r="J98" s="79">
        <v>0</v>
      </c>
      <c r="K98" s="79">
        <v>0</v>
      </c>
      <c r="L98" s="31">
        <f t="shared" si="260"/>
        <v>-13275</v>
      </c>
      <c r="M98" s="79">
        <v>0</v>
      </c>
      <c r="N98" s="79">
        <v>0</v>
      </c>
      <c r="O98" s="79">
        <v>0</v>
      </c>
      <c r="P98" s="31">
        <f t="shared" si="261"/>
        <v>-12265</v>
      </c>
      <c r="Q98" s="79">
        <v>-2701</v>
      </c>
      <c r="R98" s="79">
        <v>-3055</v>
      </c>
      <c r="S98" s="79">
        <v>-4537</v>
      </c>
      <c r="T98" s="31">
        <f t="shared" si="262"/>
        <v>-4190</v>
      </c>
      <c r="U98" s="79">
        <v>-3402</v>
      </c>
      <c r="V98" s="79">
        <v>-2971</v>
      </c>
      <c r="W98" s="79">
        <v>-4039</v>
      </c>
      <c r="Y98" s="31">
        <f t="shared" si="263"/>
        <v>-12265</v>
      </c>
      <c r="Z98" s="31">
        <f t="shared" si="263"/>
        <v>-14966</v>
      </c>
      <c r="AA98" s="31">
        <f t="shared" si="263"/>
        <v>-18021</v>
      </c>
      <c r="AB98" s="31">
        <f t="shared" si="263"/>
        <v>-22558</v>
      </c>
      <c r="AC98" s="31">
        <f t="shared" si="263"/>
        <v>-14483</v>
      </c>
      <c r="AD98" s="31">
        <f t="shared" si="263"/>
        <v>-15184</v>
      </c>
      <c r="AE98" s="31">
        <f t="shared" si="263"/>
        <v>-15100</v>
      </c>
      <c r="AF98" s="31">
        <f t="shared" si="263"/>
        <v>-14602</v>
      </c>
      <c r="AG98" s="11"/>
      <c r="AH98" s="73">
        <f t="shared" si="264"/>
        <v>-0.35269084138664775</v>
      </c>
    </row>
    <row r="99" spans="2:34" ht="12.75" customHeight="1">
      <c r="B99" s="59" t="s">
        <v>146</v>
      </c>
      <c r="C99" s="79">
        <v>17480</v>
      </c>
      <c r="D99" s="79">
        <v>3602</v>
      </c>
      <c r="E99" s="79">
        <v>2945</v>
      </c>
      <c r="F99" s="79">
        <v>5473</v>
      </c>
      <c r="G99" s="79">
        <v>2972</v>
      </c>
      <c r="H99" s="31"/>
      <c r="I99" s="79">
        <v>-9380</v>
      </c>
      <c r="J99" s="79">
        <v>3699</v>
      </c>
      <c r="K99" s="79">
        <v>-1226</v>
      </c>
      <c r="L99" s="31">
        <f t="shared" si="260"/>
        <v>9852</v>
      </c>
      <c r="M99" s="79">
        <v>-11264</v>
      </c>
      <c r="N99" s="79">
        <v>3029</v>
      </c>
      <c r="O99" s="79">
        <v>2820</v>
      </c>
      <c r="P99" s="31">
        <f t="shared" si="261"/>
        <v>10888</v>
      </c>
      <c r="Q99" s="79">
        <v>-11282</v>
      </c>
      <c r="R99" s="79">
        <v>6005</v>
      </c>
      <c r="S99" s="79">
        <v>-477</v>
      </c>
      <c r="T99" s="31">
        <f t="shared" si="262"/>
        <v>8726</v>
      </c>
      <c r="U99" s="79">
        <v>-9043</v>
      </c>
      <c r="V99" s="79">
        <v>7058</v>
      </c>
      <c r="W99" s="79">
        <v>2151</v>
      </c>
      <c r="Y99" s="31">
        <f t="shared" si="263"/>
        <v>5473</v>
      </c>
      <c r="Z99" s="31">
        <f t="shared" si="263"/>
        <v>5455</v>
      </c>
      <c r="AA99" s="31">
        <f t="shared" si="263"/>
        <v>8431</v>
      </c>
      <c r="AB99" s="31">
        <f t="shared" si="263"/>
        <v>5134</v>
      </c>
      <c r="AC99" s="31">
        <f t="shared" si="263"/>
        <v>2972</v>
      </c>
      <c r="AD99" s="31">
        <f t="shared" si="263"/>
        <v>5211</v>
      </c>
      <c r="AE99" s="31">
        <f t="shared" si="263"/>
        <v>6264</v>
      </c>
      <c r="AF99" s="31">
        <f t="shared" si="263"/>
        <v>8892</v>
      </c>
      <c r="AG99" s="11"/>
      <c r="AH99" s="73">
        <f t="shared" si="264"/>
        <v>0.73198285936891305</v>
      </c>
    </row>
    <row r="100" spans="2:34" ht="12.75" customHeight="1">
      <c r="B100" s="59" t="s">
        <v>147</v>
      </c>
      <c r="C100" s="79">
        <v>5754</v>
      </c>
      <c r="D100" s="79">
        <v>2123</v>
      </c>
      <c r="E100" s="79">
        <v>-1558</v>
      </c>
      <c r="F100" s="79">
        <v>-2428</v>
      </c>
      <c r="G100" s="79">
        <v>-2904</v>
      </c>
      <c r="H100" s="31"/>
      <c r="I100" s="79">
        <v>-5903</v>
      </c>
      <c r="J100" s="79">
        <v>-1412</v>
      </c>
      <c r="K100" s="79">
        <v>-20</v>
      </c>
      <c r="L100" s="31">
        <f t="shared" si="260"/>
        <v>5777</v>
      </c>
      <c r="M100" s="79">
        <v>-5763</v>
      </c>
      <c r="N100" s="79">
        <v>-1938</v>
      </c>
      <c r="O100" s="79">
        <v>-1321</v>
      </c>
      <c r="P100" s="31">
        <f t="shared" si="261"/>
        <v>6594</v>
      </c>
      <c r="Q100" s="79">
        <v>-2928</v>
      </c>
      <c r="R100" s="79">
        <v>-4147</v>
      </c>
      <c r="S100" s="79">
        <v>129</v>
      </c>
      <c r="T100" s="31">
        <f t="shared" si="262"/>
        <v>4042</v>
      </c>
      <c r="U100" s="79">
        <v>-4061</v>
      </c>
      <c r="V100" s="79">
        <v>-4952</v>
      </c>
      <c r="W100" s="79">
        <v>-1999</v>
      </c>
      <c r="Y100" s="31">
        <f t="shared" si="263"/>
        <v>-2428</v>
      </c>
      <c r="Z100" s="31">
        <f t="shared" si="263"/>
        <v>407</v>
      </c>
      <c r="AA100" s="31">
        <f t="shared" si="263"/>
        <v>-1802</v>
      </c>
      <c r="AB100" s="31">
        <f t="shared" si="263"/>
        <v>-352</v>
      </c>
      <c r="AC100" s="31">
        <f t="shared" si="263"/>
        <v>-2904</v>
      </c>
      <c r="AD100" s="31">
        <f t="shared" si="263"/>
        <v>-4037</v>
      </c>
      <c r="AE100" s="31">
        <f t="shared" si="263"/>
        <v>-4842</v>
      </c>
      <c r="AF100" s="31">
        <f t="shared" si="263"/>
        <v>-6970</v>
      </c>
      <c r="AG100" s="11"/>
      <c r="AH100" s="73">
        <f t="shared" si="264"/>
        <v>18.801136363636363</v>
      </c>
    </row>
    <row r="101" spans="2:34" ht="12.75" customHeight="1">
      <c r="B101" s="59" t="s">
        <v>148</v>
      </c>
      <c r="C101" s="79">
        <v>1265</v>
      </c>
      <c r="D101" s="79">
        <v>2314</v>
      </c>
      <c r="E101" s="79">
        <v>2216</v>
      </c>
      <c r="F101" s="79">
        <v>4578</v>
      </c>
      <c r="G101" s="79">
        <v>4007</v>
      </c>
      <c r="H101" s="31"/>
      <c r="I101" s="79">
        <v>1336</v>
      </c>
      <c r="J101" s="79">
        <v>321</v>
      </c>
      <c r="K101" s="79">
        <v>54</v>
      </c>
      <c r="L101" s="31">
        <f t="shared" si="260"/>
        <v>505</v>
      </c>
      <c r="M101" s="79">
        <v>818</v>
      </c>
      <c r="N101" s="79">
        <v>156</v>
      </c>
      <c r="O101" s="79">
        <v>-25</v>
      </c>
      <c r="P101" s="31">
        <f t="shared" si="261"/>
        <v>3629</v>
      </c>
      <c r="Q101" s="79">
        <v>1568</v>
      </c>
      <c r="R101" s="79">
        <v>407</v>
      </c>
      <c r="S101" s="79">
        <v>421</v>
      </c>
      <c r="T101" s="31">
        <f t="shared" si="262"/>
        <v>1611</v>
      </c>
      <c r="U101" s="79">
        <v>728</v>
      </c>
      <c r="V101" s="79">
        <v>-119</v>
      </c>
      <c r="W101" s="79">
        <v>-632</v>
      </c>
      <c r="Y101" s="31">
        <f t="shared" si="263"/>
        <v>4578</v>
      </c>
      <c r="Z101" s="31">
        <f t="shared" si="263"/>
        <v>5328</v>
      </c>
      <c r="AA101" s="31">
        <f t="shared" si="263"/>
        <v>5579</v>
      </c>
      <c r="AB101" s="31">
        <f t="shared" si="263"/>
        <v>6025</v>
      </c>
      <c r="AC101" s="31">
        <f t="shared" si="263"/>
        <v>4007</v>
      </c>
      <c r="AD101" s="31">
        <f t="shared" si="263"/>
        <v>3167</v>
      </c>
      <c r="AE101" s="31">
        <f t="shared" si="263"/>
        <v>2641</v>
      </c>
      <c r="AF101" s="31">
        <f t="shared" si="263"/>
        <v>1588</v>
      </c>
      <c r="AG101" s="11"/>
      <c r="AH101" s="73">
        <f t="shared" si="264"/>
        <v>-0.7364315352697095</v>
      </c>
    </row>
    <row r="102" spans="2:34" ht="12.75" customHeight="1">
      <c r="B102" s="13" t="s">
        <v>51</v>
      </c>
      <c r="C102" s="14">
        <f>SUM(C88:C101)</f>
        <v>66064</v>
      </c>
      <c r="D102" s="14">
        <f>SUM(D88:D101)</f>
        <v>46327</v>
      </c>
      <c r="E102" s="14">
        <f>SUM(E88:E101)</f>
        <v>46752</v>
      </c>
      <c r="F102" s="14">
        <f>SUM(F88:F101)</f>
        <v>84946</v>
      </c>
      <c r="G102" s="14">
        <f>SUM(G88:G101)</f>
        <v>115877</v>
      </c>
      <c r="I102" s="14">
        <f>SUM(I88:I101)</f>
        <v>-2790</v>
      </c>
      <c r="J102" s="14">
        <f>SUM(J88:J101)</f>
        <v>8965</v>
      </c>
      <c r="K102" s="14">
        <f>SUM(K88:K101)</f>
        <v>11404</v>
      </c>
      <c r="L102" s="14">
        <f>SUM(L88:L101)</f>
        <v>29173</v>
      </c>
      <c r="M102" s="14">
        <f>SUM(M88:M101)</f>
        <v>4788</v>
      </c>
      <c r="N102" s="14">
        <f>SUM(N88:N101)</f>
        <v>16476</v>
      </c>
      <c r="O102" s="14">
        <f>SUM(O88:O101)</f>
        <v>21217</v>
      </c>
      <c r="P102" s="14">
        <f>SUM(P88:P101)</f>
        <v>42465</v>
      </c>
      <c r="Q102" s="14">
        <f>SUM(Q88:Q101)</f>
        <v>18989</v>
      </c>
      <c r="R102" s="14">
        <f>SUM(R88:R101)</f>
        <v>25281</v>
      </c>
      <c r="S102" s="14">
        <f>SUM(S88:S101)</f>
        <v>25971</v>
      </c>
      <c r="T102" s="14">
        <f>SUM(T88:T101)</f>
        <v>45636</v>
      </c>
      <c r="U102" s="14">
        <f>SUM(U88:U101)</f>
        <v>17015</v>
      </c>
      <c r="V102" s="14">
        <f>SUM(V88:V101)</f>
        <v>32515</v>
      </c>
      <c r="W102" s="14">
        <f>SUM(W88:W101)</f>
        <v>35525</v>
      </c>
      <c r="Y102" s="14">
        <f>SUM(Y88:Y101)</f>
        <v>84946</v>
      </c>
      <c r="Z102" s="14">
        <f>SUM(Z88:Z101)</f>
        <v>99147</v>
      </c>
      <c r="AA102" s="14">
        <f>SUM(AA88:AA101)</f>
        <v>107952</v>
      </c>
      <c r="AB102" s="14">
        <f>SUM(AB88:AB101)</f>
        <v>112706</v>
      </c>
      <c r="AC102" s="14">
        <f>SUM(AC88:AC101)</f>
        <v>115877</v>
      </c>
      <c r="AD102" s="14">
        <f>SUM(AD88:AD101)</f>
        <v>113903</v>
      </c>
      <c r="AE102" s="14">
        <f>SUM(AE88:AE101)</f>
        <v>121137</v>
      </c>
      <c r="AF102" s="14">
        <f>SUM(AF88:AF101)</f>
        <v>130691</v>
      </c>
      <c r="AG102" s="41"/>
      <c r="AH102" s="74">
        <f t="shared" si="264"/>
        <v>0.15957446808510634</v>
      </c>
    </row>
    <row r="103" spans="2:34" ht="12.75" customHeight="1">
      <c r="B103" s="52"/>
      <c r="C103" s="60"/>
      <c r="D103" s="60"/>
      <c r="E103" s="60"/>
      <c r="F103" s="60"/>
      <c r="G103" s="60"/>
      <c r="I103" s="60"/>
      <c r="J103" s="60"/>
      <c r="K103" s="60"/>
      <c r="L103" s="60"/>
      <c r="M103" s="60"/>
      <c r="N103" s="60"/>
      <c r="O103" s="60"/>
      <c r="P103" s="60"/>
      <c r="Q103" s="60"/>
      <c r="R103" s="60"/>
      <c r="S103" s="60"/>
      <c r="T103" s="60"/>
      <c r="U103" s="60"/>
      <c r="V103" s="60"/>
      <c r="W103" s="60"/>
      <c r="Y103" s="41"/>
      <c r="Z103" s="41"/>
      <c r="AA103" s="41"/>
      <c r="AB103" s="41"/>
      <c r="AC103" s="41"/>
      <c r="AD103" s="41"/>
      <c r="AE103" s="41"/>
      <c r="AF103" s="41"/>
      <c r="AG103" s="41"/>
      <c r="AH103" s="38"/>
    </row>
    <row r="104" spans="2:34" ht="12.75" customHeight="1">
      <c r="B104" s="52" t="s">
        <v>52</v>
      </c>
      <c r="C104" s="57"/>
      <c r="D104" s="57"/>
      <c r="E104" s="57"/>
      <c r="F104" s="57"/>
      <c r="G104" s="57"/>
      <c r="I104" s="79"/>
      <c r="J104" s="79"/>
      <c r="K104" s="79"/>
      <c r="L104" s="79"/>
      <c r="M104" s="79"/>
      <c r="N104" s="79"/>
      <c r="O104" s="79"/>
      <c r="P104" s="31"/>
      <c r="Q104" s="79"/>
      <c r="R104" s="79"/>
      <c r="S104" s="79"/>
      <c r="T104" s="31"/>
      <c r="U104" s="57"/>
      <c r="V104" s="57"/>
      <c r="W104" s="57"/>
      <c r="Y104" s="57"/>
      <c r="Z104" s="57"/>
      <c r="AA104" s="57"/>
      <c r="AB104" s="57"/>
      <c r="AC104" s="57"/>
      <c r="AD104" s="57"/>
      <c r="AE104" s="57"/>
      <c r="AF104" s="57"/>
      <c r="AG104" s="58"/>
      <c r="AH104" s="73"/>
    </row>
    <row r="105" spans="2:34" ht="12.75" customHeight="1">
      <c r="B105" s="59" t="s">
        <v>149</v>
      </c>
      <c r="C105" s="79">
        <v>-40140</v>
      </c>
      <c r="D105" s="79">
        <v>-61053</v>
      </c>
      <c r="E105" s="79">
        <v>-63645</v>
      </c>
      <c r="F105" s="79">
        <v>-52729</v>
      </c>
      <c r="G105" s="79">
        <v>-82999</v>
      </c>
      <c r="H105" s="31"/>
      <c r="I105" s="79">
        <v>-14951</v>
      </c>
      <c r="J105" s="79">
        <v>-15724</v>
      </c>
      <c r="K105" s="79">
        <v>-16378</v>
      </c>
      <c r="L105" s="31">
        <f t="shared" ref="L105:L109" si="266">SUM(E105-SUM(I105:K105))</f>
        <v>-16592</v>
      </c>
      <c r="M105" s="79">
        <v>-14207</v>
      </c>
      <c r="N105" s="79">
        <v>-11455</v>
      </c>
      <c r="O105" s="79">
        <v>-12479</v>
      </c>
      <c r="P105" s="31">
        <f>SUM(F105-SUM(M105:O105))</f>
        <v>-14588</v>
      </c>
      <c r="Q105" s="79">
        <v>-14925</v>
      </c>
      <c r="R105" s="79">
        <v>-17620</v>
      </c>
      <c r="S105" s="79">
        <v>-22620</v>
      </c>
      <c r="T105" s="31">
        <f>SUM(G105-SUM(Q105:S105))</f>
        <v>-27834</v>
      </c>
      <c r="U105" s="79">
        <v>-25019</v>
      </c>
      <c r="V105" s="79">
        <v>-32183</v>
      </c>
      <c r="W105" s="79">
        <v>-35095</v>
      </c>
      <c r="X105" s="31"/>
      <c r="Y105" s="31">
        <f t="shared" ref="Y105:AF109" si="267">SUM(M105:P105)</f>
        <v>-52729</v>
      </c>
      <c r="Z105" s="31">
        <f t="shared" si="267"/>
        <v>-53447</v>
      </c>
      <c r="AA105" s="31">
        <f t="shared" si="267"/>
        <v>-59612</v>
      </c>
      <c r="AB105" s="31">
        <f t="shared" si="267"/>
        <v>-69753</v>
      </c>
      <c r="AC105" s="31">
        <f t="shared" si="267"/>
        <v>-82999</v>
      </c>
      <c r="AD105" s="31">
        <f t="shared" si="267"/>
        <v>-93093</v>
      </c>
      <c r="AE105" s="31">
        <f t="shared" si="267"/>
        <v>-107656</v>
      </c>
      <c r="AF105" s="31">
        <f t="shared" si="267"/>
        <v>-120131</v>
      </c>
      <c r="AG105" s="58"/>
      <c r="AH105" s="73">
        <f t="shared" ref="AH105:AH109" si="268">SUM(AF105/AB105)-1</f>
        <v>0.72223416913967853</v>
      </c>
    </row>
    <row r="106" spans="2:34" ht="12.75" customHeight="1">
      <c r="B106" s="59" t="s">
        <v>150</v>
      </c>
      <c r="C106" s="79">
        <v>5096</v>
      </c>
      <c r="D106" s="79">
        <v>5657</v>
      </c>
      <c r="E106" s="79">
        <v>5324</v>
      </c>
      <c r="F106" s="79">
        <v>4596</v>
      </c>
      <c r="G106" s="79">
        <v>5341</v>
      </c>
      <c r="H106" s="31"/>
      <c r="I106" s="79">
        <v>1209</v>
      </c>
      <c r="J106" s="79">
        <v>1626</v>
      </c>
      <c r="K106" s="79">
        <v>1337</v>
      </c>
      <c r="L106" s="31">
        <f t="shared" si="266"/>
        <v>1152</v>
      </c>
      <c r="M106" s="79">
        <v>1137</v>
      </c>
      <c r="N106" s="79">
        <v>1043</v>
      </c>
      <c r="O106" s="79">
        <v>1181</v>
      </c>
      <c r="P106" s="31">
        <f>SUM(F106-SUM(M106:O106))</f>
        <v>1235</v>
      </c>
      <c r="Q106" s="79">
        <v>990</v>
      </c>
      <c r="R106" s="79">
        <v>1227</v>
      </c>
      <c r="S106" s="79">
        <v>1342</v>
      </c>
      <c r="T106" s="31">
        <f>SUM(G106-SUM(Q106:S106))</f>
        <v>1782</v>
      </c>
      <c r="U106" s="79">
        <v>764</v>
      </c>
      <c r="V106" s="79">
        <v>815</v>
      </c>
      <c r="W106" s="79">
        <v>867</v>
      </c>
      <c r="X106" s="31"/>
      <c r="Y106" s="31">
        <f t="shared" si="267"/>
        <v>4596</v>
      </c>
      <c r="Z106" s="31">
        <f t="shared" si="267"/>
        <v>4449</v>
      </c>
      <c r="AA106" s="31">
        <f t="shared" si="267"/>
        <v>4633</v>
      </c>
      <c r="AB106" s="31">
        <f t="shared" si="267"/>
        <v>4794</v>
      </c>
      <c r="AC106" s="31">
        <f t="shared" si="267"/>
        <v>5341</v>
      </c>
      <c r="AD106" s="31">
        <f t="shared" si="267"/>
        <v>5115</v>
      </c>
      <c r="AE106" s="31">
        <f t="shared" si="267"/>
        <v>4703</v>
      </c>
      <c r="AF106" s="31">
        <f t="shared" si="267"/>
        <v>4228</v>
      </c>
      <c r="AG106" s="58"/>
      <c r="AH106" s="73">
        <f t="shared" si="268"/>
        <v>-0.11806424697538587</v>
      </c>
    </row>
    <row r="107" spans="2:34" ht="12.75" customHeight="1">
      <c r="B107" s="59" t="s">
        <v>151</v>
      </c>
      <c r="C107" s="79">
        <v>-2325</v>
      </c>
      <c r="D107" s="79">
        <v>-1985</v>
      </c>
      <c r="E107" s="79">
        <v>-8316</v>
      </c>
      <c r="F107" s="79">
        <v>-5839</v>
      </c>
      <c r="G107" s="79">
        <v>-7082</v>
      </c>
      <c r="H107" s="31"/>
      <c r="I107" s="79">
        <v>-6341</v>
      </c>
      <c r="J107" s="79">
        <v>-259</v>
      </c>
      <c r="K107" s="79">
        <v>-885</v>
      </c>
      <c r="L107" s="31">
        <f t="shared" si="266"/>
        <v>-831</v>
      </c>
      <c r="M107" s="79">
        <v>-3513</v>
      </c>
      <c r="N107" s="79">
        <v>-316</v>
      </c>
      <c r="O107" s="79">
        <v>-1629</v>
      </c>
      <c r="P107" s="31">
        <f t="shared" ref="P107:P108" si="269">SUM(F107-SUM(M107:O107))</f>
        <v>-381</v>
      </c>
      <c r="Q107" s="79">
        <v>-3354</v>
      </c>
      <c r="R107" s="79">
        <v>-571</v>
      </c>
      <c r="S107" s="79">
        <v>-622</v>
      </c>
      <c r="T107" s="31">
        <f t="shared" ref="T107:T108" si="270">SUM(G107-SUM(Q107:S107))</f>
        <v>-2535</v>
      </c>
      <c r="U107" s="79">
        <v>48</v>
      </c>
      <c r="V107" s="79">
        <v>-1700</v>
      </c>
      <c r="W107" s="79">
        <v>-786</v>
      </c>
      <c r="X107" s="31"/>
      <c r="Y107" s="31">
        <f t="shared" ref="Y107:Y108" si="271">SUM(M107:P107)</f>
        <v>-5839</v>
      </c>
      <c r="Z107" s="31">
        <f t="shared" ref="Z107:Z108" si="272">SUM(N107:Q107)</f>
        <v>-5680</v>
      </c>
      <c r="AA107" s="31">
        <f t="shared" ref="AA107:AA108" si="273">SUM(O107:R107)</f>
        <v>-5935</v>
      </c>
      <c r="AB107" s="31">
        <f t="shared" ref="AB107:AB108" si="274">SUM(P107:S107)</f>
        <v>-4928</v>
      </c>
      <c r="AC107" s="31">
        <f t="shared" ref="AC107:AC108" si="275">SUM(Q107:T107)</f>
        <v>-7082</v>
      </c>
      <c r="AD107" s="31">
        <f t="shared" ref="AD107:AD108" si="276">SUM(R107:U107)</f>
        <v>-3680</v>
      </c>
      <c r="AE107" s="31">
        <f t="shared" ref="AE107:AE108" si="277">SUM(S107:V107)</f>
        <v>-4809</v>
      </c>
      <c r="AF107" s="31">
        <f t="shared" ref="AF107:AF108" si="278">SUM(T107:W107)</f>
        <v>-4973</v>
      </c>
      <c r="AG107" s="58"/>
      <c r="AH107" s="73">
        <f t="shared" ref="AH107:AH108" si="279">SUM(AF107/AB107)-1</f>
        <v>9.1314935064934488E-3</v>
      </c>
    </row>
    <row r="108" spans="2:34" ht="12.75" customHeight="1">
      <c r="B108" s="59" t="s">
        <v>152</v>
      </c>
      <c r="C108" s="79">
        <v>50237</v>
      </c>
      <c r="D108" s="79">
        <v>59384</v>
      </c>
      <c r="E108" s="79">
        <v>31601</v>
      </c>
      <c r="F108" s="79">
        <v>5627</v>
      </c>
      <c r="G108" s="79">
        <v>16403</v>
      </c>
      <c r="H108" s="31"/>
      <c r="I108" s="79">
        <v>22753</v>
      </c>
      <c r="J108" s="79">
        <v>2608</v>
      </c>
      <c r="K108" s="79">
        <v>557</v>
      </c>
      <c r="L108" s="31">
        <f t="shared" si="266"/>
        <v>5683</v>
      </c>
      <c r="M108" s="79">
        <v>1115</v>
      </c>
      <c r="N108" s="79">
        <v>1551</v>
      </c>
      <c r="O108" s="79">
        <v>1393</v>
      </c>
      <c r="P108" s="31">
        <f t="shared" si="269"/>
        <v>1568</v>
      </c>
      <c r="Q108" s="79">
        <v>1392</v>
      </c>
      <c r="R108" s="79">
        <v>3265</v>
      </c>
      <c r="S108" s="79">
        <v>8069</v>
      </c>
      <c r="T108" s="31">
        <f t="shared" si="270"/>
        <v>3677</v>
      </c>
      <c r="U108" s="79">
        <v>7737</v>
      </c>
      <c r="V108" s="79">
        <v>11441</v>
      </c>
      <c r="W108" s="79">
        <v>16367</v>
      </c>
      <c r="X108" s="31"/>
      <c r="Y108" s="31">
        <f t="shared" si="271"/>
        <v>5627</v>
      </c>
      <c r="Z108" s="31">
        <f t="shared" si="272"/>
        <v>5904</v>
      </c>
      <c r="AA108" s="31">
        <f t="shared" si="273"/>
        <v>7618</v>
      </c>
      <c r="AB108" s="31">
        <f t="shared" si="274"/>
        <v>14294</v>
      </c>
      <c r="AC108" s="31">
        <f t="shared" si="275"/>
        <v>16403</v>
      </c>
      <c r="AD108" s="31">
        <f t="shared" si="276"/>
        <v>22748</v>
      </c>
      <c r="AE108" s="31">
        <f t="shared" si="277"/>
        <v>30924</v>
      </c>
      <c r="AF108" s="31">
        <f t="shared" si="278"/>
        <v>39222</v>
      </c>
      <c r="AG108" s="58"/>
      <c r="AH108" s="73">
        <f t="shared" si="279"/>
        <v>1.7439485098642789</v>
      </c>
    </row>
    <row r="109" spans="2:34" ht="12.75" customHeight="1">
      <c r="B109" s="59" t="s">
        <v>153</v>
      </c>
      <c r="C109" s="79">
        <v>-72479</v>
      </c>
      <c r="D109" s="79">
        <v>-60157</v>
      </c>
      <c r="E109" s="79">
        <v>-2565</v>
      </c>
      <c r="F109" s="79">
        <v>-1488</v>
      </c>
      <c r="G109" s="79">
        <v>-26005</v>
      </c>
      <c r="H109" s="31"/>
      <c r="I109" s="79">
        <v>-1764</v>
      </c>
      <c r="J109" s="79">
        <v>-329</v>
      </c>
      <c r="K109" s="79">
        <v>-239</v>
      </c>
      <c r="L109" s="31">
        <f t="shared" si="266"/>
        <v>-233</v>
      </c>
      <c r="M109" s="79">
        <v>-338</v>
      </c>
      <c r="N109" s="79">
        <v>-496</v>
      </c>
      <c r="O109" s="79">
        <v>-219</v>
      </c>
      <c r="P109" s="31">
        <f>SUM(F109-SUM(M109:O109))</f>
        <v>-435</v>
      </c>
      <c r="Q109" s="79">
        <v>-1965</v>
      </c>
      <c r="R109" s="79">
        <v>-8439</v>
      </c>
      <c r="S109" s="79">
        <v>-3068</v>
      </c>
      <c r="T109" s="31">
        <f>SUM(G109-SUM(Q109:S109))</f>
        <v>-12533</v>
      </c>
      <c r="U109" s="79">
        <v>-13333</v>
      </c>
      <c r="V109" s="79">
        <v>-17797</v>
      </c>
      <c r="W109" s="79">
        <v>-7426</v>
      </c>
      <c r="X109" s="31"/>
      <c r="Y109" s="31">
        <f t="shared" si="267"/>
        <v>-1488</v>
      </c>
      <c r="Z109" s="31">
        <f t="shared" si="267"/>
        <v>-3115</v>
      </c>
      <c r="AA109" s="31">
        <f t="shared" si="267"/>
        <v>-11058</v>
      </c>
      <c r="AB109" s="31">
        <f t="shared" si="267"/>
        <v>-13907</v>
      </c>
      <c r="AC109" s="31">
        <f t="shared" si="267"/>
        <v>-26005</v>
      </c>
      <c r="AD109" s="31">
        <f t="shared" si="267"/>
        <v>-37373</v>
      </c>
      <c r="AE109" s="31">
        <f t="shared" si="267"/>
        <v>-46731</v>
      </c>
      <c r="AF109" s="31">
        <f t="shared" si="267"/>
        <v>-51089</v>
      </c>
      <c r="AG109" s="58"/>
      <c r="AH109" s="73">
        <f t="shared" si="268"/>
        <v>2.6736176026461496</v>
      </c>
    </row>
    <row r="110" spans="2:34" ht="12.75" customHeight="1">
      <c r="B110" s="13" t="s">
        <v>53</v>
      </c>
      <c r="C110" s="14">
        <f>SUM(C105:C109)</f>
        <v>-59611</v>
      </c>
      <c r="D110" s="14">
        <f>SUM(D105:D109)</f>
        <v>-58154</v>
      </c>
      <c r="E110" s="14">
        <f>SUM(E105:E109)</f>
        <v>-37601</v>
      </c>
      <c r="F110" s="14">
        <f>SUM(F105:F109)</f>
        <v>-49833</v>
      </c>
      <c r="G110" s="14">
        <f>SUM(G105:G109)</f>
        <v>-94342</v>
      </c>
      <c r="I110" s="14">
        <f>SUM(I105:I109)</f>
        <v>906</v>
      </c>
      <c r="J110" s="14">
        <f>SUM(J105:J109)</f>
        <v>-12078</v>
      </c>
      <c r="K110" s="14">
        <f>SUM(K105:K109)</f>
        <v>-15608</v>
      </c>
      <c r="L110" s="14">
        <f>SUM(L105:L109)</f>
        <v>-10821</v>
      </c>
      <c r="M110" s="33">
        <f>SUM(M105:M109)</f>
        <v>-15806</v>
      </c>
      <c r="N110" s="14">
        <f>SUM(N105:N109)</f>
        <v>-9673</v>
      </c>
      <c r="O110" s="14">
        <f>SUM(O105:O109)</f>
        <v>-11753</v>
      </c>
      <c r="P110" s="14">
        <f>SUM(P105:P109)</f>
        <v>-12601</v>
      </c>
      <c r="Q110" s="14">
        <f>SUM(Q105:Q109)</f>
        <v>-17862</v>
      </c>
      <c r="R110" s="14">
        <f>SUM(R105:R109)</f>
        <v>-22138</v>
      </c>
      <c r="S110" s="14">
        <f>SUM(S105:S109)</f>
        <v>-16899</v>
      </c>
      <c r="T110" s="14">
        <f>SUM(T105:T109)</f>
        <v>-37443</v>
      </c>
      <c r="U110" s="14">
        <f>SUM(U105:U109)</f>
        <v>-29803</v>
      </c>
      <c r="V110" s="14">
        <f>SUM(V105:V109)</f>
        <v>-39424</v>
      </c>
      <c r="W110" s="14">
        <f>SUM(W105:W109)</f>
        <v>-26073</v>
      </c>
      <c r="Y110" s="14">
        <f t="shared" ref="Y110:AF110" si="280">SUM(Y105:Y109)</f>
        <v>-49833</v>
      </c>
      <c r="Z110" s="14">
        <f t="shared" si="280"/>
        <v>-51889</v>
      </c>
      <c r="AA110" s="14">
        <f t="shared" si="280"/>
        <v>-64354</v>
      </c>
      <c r="AB110" s="14">
        <f t="shared" si="280"/>
        <v>-69500</v>
      </c>
      <c r="AC110" s="14">
        <f t="shared" si="280"/>
        <v>-94342</v>
      </c>
      <c r="AD110" s="14">
        <f t="shared" si="280"/>
        <v>-106283</v>
      </c>
      <c r="AE110" s="14">
        <f t="shared" si="280"/>
        <v>-123569</v>
      </c>
      <c r="AF110" s="14">
        <f t="shared" si="280"/>
        <v>-132743</v>
      </c>
      <c r="AG110" s="41"/>
      <c r="AH110" s="74">
        <f t="shared" ref="AH110:AH120" si="281">SUM(AF110/AB110)-1</f>
        <v>0.90997122302158284</v>
      </c>
    </row>
    <row r="111" spans="2:34" ht="5.0999999999999996" customHeight="1">
      <c r="B111" s="51"/>
      <c r="C111" s="60"/>
      <c r="D111" s="60"/>
      <c r="E111" s="60"/>
      <c r="F111" s="60"/>
      <c r="G111" s="60"/>
      <c r="I111" s="60"/>
      <c r="J111" s="60"/>
      <c r="K111" s="60"/>
      <c r="L111" s="60"/>
      <c r="M111" s="60"/>
      <c r="N111" s="60"/>
      <c r="O111" s="60"/>
      <c r="P111" s="60"/>
      <c r="Q111" s="60"/>
      <c r="R111" s="60"/>
      <c r="S111" s="60"/>
      <c r="T111" s="60"/>
      <c r="U111" s="60"/>
      <c r="V111" s="60"/>
      <c r="W111" s="60"/>
      <c r="Y111" s="41"/>
      <c r="Z111" s="41"/>
      <c r="AA111" s="41"/>
      <c r="AB111" s="41"/>
      <c r="AC111" s="41"/>
      <c r="AD111" s="41"/>
      <c r="AE111" s="41"/>
      <c r="AF111" s="41"/>
      <c r="AG111" s="41"/>
      <c r="AH111" s="38"/>
    </row>
    <row r="112" spans="2:34" ht="12.75" customHeight="1">
      <c r="B112" s="52" t="s">
        <v>54</v>
      </c>
      <c r="C112" s="62"/>
      <c r="D112" s="62"/>
      <c r="E112" s="62"/>
      <c r="F112" s="62"/>
      <c r="G112" s="62"/>
      <c r="I112" s="62"/>
      <c r="J112" s="62"/>
      <c r="K112" s="62"/>
      <c r="L112" s="62"/>
      <c r="M112" s="62"/>
      <c r="N112" s="62"/>
      <c r="O112" s="62"/>
      <c r="P112" s="62"/>
      <c r="Q112" s="62"/>
      <c r="R112" s="62"/>
      <c r="S112" s="62"/>
      <c r="T112" s="62"/>
      <c r="U112" s="62"/>
      <c r="V112" s="62"/>
      <c r="W112" s="62"/>
      <c r="X112" s="31"/>
      <c r="Y112" s="31"/>
      <c r="Z112" s="31"/>
      <c r="AA112" s="31"/>
      <c r="AB112" s="31"/>
      <c r="AC112" s="31"/>
      <c r="AD112" s="31"/>
      <c r="AE112" s="31"/>
      <c r="AF112" s="31"/>
      <c r="AG112" s="63"/>
      <c r="AH112" s="73"/>
    </row>
    <row r="113" spans="2:34" ht="12.75" customHeight="1">
      <c r="B113" s="81" t="s">
        <v>154</v>
      </c>
      <c r="C113" s="79">
        <v>0</v>
      </c>
      <c r="D113" s="79">
        <v>0</v>
      </c>
      <c r="E113" s="79">
        <v>-6000</v>
      </c>
      <c r="F113" s="79">
        <v>0</v>
      </c>
      <c r="G113" s="79">
        <v>0</v>
      </c>
      <c r="I113" s="79">
        <v>-2666</v>
      </c>
      <c r="J113" s="79">
        <v>-3334</v>
      </c>
      <c r="K113" s="79">
        <v>0</v>
      </c>
      <c r="L113" s="31">
        <f t="shared" ref="L113:L119" si="282">SUM(E113-SUM(I113:K113))</f>
        <v>0</v>
      </c>
      <c r="M113" s="79">
        <v>0</v>
      </c>
      <c r="N113" s="79">
        <v>0</v>
      </c>
      <c r="O113" s="79">
        <v>0</v>
      </c>
      <c r="P113" s="31">
        <f>SUM(F113-SUM(M113:O113))</f>
        <v>0</v>
      </c>
      <c r="Q113" s="79">
        <v>0</v>
      </c>
      <c r="R113" s="79">
        <v>0</v>
      </c>
      <c r="S113" s="79">
        <v>0</v>
      </c>
      <c r="T113" s="31">
        <f>SUM(G113-SUM(Q113:S113))</f>
        <v>0</v>
      </c>
      <c r="U113" s="79">
        <v>0</v>
      </c>
      <c r="V113" s="79">
        <v>0</v>
      </c>
      <c r="W113" s="79">
        <v>0</v>
      </c>
      <c r="X113" s="31"/>
      <c r="Y113" s="31">
        <f t="shared" ref="Y113:AF118" si="283">SUM(M113:P113)</f>
        <v>0</v>
      </c>
      <c r="Z113" s="31">
        <f t="shared" si="283"/>
        <v>0</v>
      </c>
      <c r="AA113" s="31">
        <f t="shared" si="283"/>
        <v>0</v>
      </c>
      <c r="AB113" s="31">
        <f t="shared" si="283"/>
        <v>0</v>
      </c>
      <c r="AC113" s="31">
        <f t="shared" si="283"/>
        <v>0</v>
      </c>
      <c r="AD113" s="31">
        <f t="shared" si="283"/>
        <v>0</v>
      </c>
      <c r="AE113" s="31">
        <f t="shared" si="283"/>
        <v>0</v>
      </c>
      <c r="AF113" s="31">
        <f t="shared" si="283"/>
        <v>0</v>
      </c>
      <c r="AG113" s="63"/>
      <c r="AH113" s="73" t="e">
        <f t="shared" si="281"/>
        <v>#DIV/0!</v>
      </c>
    </row>
    <row r="114" spans="2:34" ht="12.75" customHeight="1">
      <c r="B114" s="81" t="s">
        <v>155</v>
      </c>
      <c r="C114" s="79">
        <v>6796</v>
      </c>
      <c r="D114" s="79">
        <v>7956</v>
      </c>
      <c r="E114" s="79">
        <v>41553</v>
      </c>
      <c r="F114" s="79">
        <v>18129</v>
      </c>
      <c r="G114" s="79">
        <v>5142</v>
      </c>
      <c r="I114" s="79">
        <v>13743</v>
      </c>
      <c r="J114" s="79">
        <v>4865</v>
      </c>
      <c r="K114" s="79">
        <v>12338</v>
      </c>
      <c r="L114" s="31">
        <f t="shared" si="282"/>
        <v>10607</v>
      </c>
      <c r="M114" s="79">
        <v>12780</v>
      </c>
      <c r="N114" s="79">
        <v>4399</v>
      </c>
      <c r="O114" s="79">
        <v>216</v>
      </c>
      <c r="P114" s="31">
        <f t="shared" ref="P114:P117" si="284">SUM(F114-SUM(M114:O114))</f>
        <v>734</v>
      </c>
      <c r="Q114" s="79">
        <v>338</v>
      </c>
      <c r="R114" s="79">
        <v>525</v>
      </c>
      <c r="S114" s="79">
        <v>1725</v>
      </c>
      <c r="T114" s="31">
        <f t="shared" ref="T114:T117" si="285">SUM(G114-SUM(Q114:S114))</f>
        <v>2554</v>
      </c>
      <c r="U114" s="79">
        <v>1815</v>
      </c>
      <c r="V114" s="79">
        <v>2093</v>
      </c>
      <c r="W114" s="79">
        <v>3223</v>
      </c>
      <c r="X114" s="31"/>
      <c r="Y114" s="31">
        <f t="shared" ref="Y114:Y117" si="286">SUM(M114:P114)</f>
        <v>18129</v>
      </c>
      <c r="Z114" s="31">
        <f t="shared" ref="Z114:Z117" si="287">SUM(N114:Q114)</f>
        <v>5687</v>
      </c>
      <c r="AA114" s="31">
        <f t="shared" ref="AA114:AA117" si="288">SUM(O114:R114)</f>
        <v>1813</v>
      </c>
      <c r="AB114" s="31">
        <f t="shared" ref="AB114:AB117" si="289">SUM(P114:S114)</f>
        <v>3322</v>
      </c>
      <c r="AC114" s="31">
        <f t="shared" ref="AC114:AC117" si="290">SUM(Q114:T114)</f>
        <v>5142</v>
      </c>
      <c r="AD114" s="31">
        <f t="shared" ref="AD114:AD117" si="291">SUM(R114:U114)</f>
        <v>6619</v>
      </c>
      <c r="AE114" s="31">
        <f t="shared" ref="AE114:AE117" si="292">SUM(S114:V114)</f>
        <v>8187</v>
      </c>
      <c r="AF114" s="31">
        <f t="shared" ref="AF114:AF117" si="293">SUM(T114:W114)</f>
        <v>9685</v>
      </c>
      <c r="AG114" s="63"/>
      <c r="AH114" s="73">
        <f t="shared" si="281"/>
        <v>1.9154124021673691</v>
      </c>
    </row>
    <row r="115" spans="2:34" ht="12.75" customHeight="1">
      <c r="B115" s="81" t="s">
        <v>156</v>
      </c>
      <c r="C115" s="79">
        <v>-6177</v>
      </c>
      <c r="D115" s="79">
        <v>-7753</v>
      </c>
      <c r="E115" s="79">
        <v>-37554</v>
      </c>
      <c r="F115" s="79">
        <v>-25677</v>
      </c>
      <c r="G115" s="79">
        <v>-5060</v>
      </c>
      <c r="I115" s="79">
        <v>-6231</v>
      </c>
      <c r="J115" s="79">
        <v>-7610</v>
      </c>
      <c r="K115" s="79">
        <v>-7916</v>
      </c>
      <c r="L115" s="31">
        <f t="shared" si="282"/>
        <v>-15797</v>
      </c>
      <c r="M115" s="79">
        <v>-3603</v>
      </c>
      <c r="N115" s="79">
        <v>-7641</v>
      </c>
      <c r="O115" s="79">
        <v>-8095</v>
      </c>
      <c r="P115" s="31">
        <f t="shared" si="284"/>
        <v>-6338</v>
      </c>
      <c r="Q115" s="79">
        <v>-404</v>
      </c>
      <c r="R115" s="79">
        <v>-229</v>
      </c>
      <c r="S115" s="79">
        <v>-1820</v>
      </c>
      <c r="T115" s="31">
        <f t="shared" si="285"/>
        <v>-2607</v>
      </c>
      <c r="U115" s="79">
        <v>-2082</v>
      </c>
      <c r="V115" s="79">
        <v>-1392</v>
      </c>
      <c r="W115" s="79">
        <v>-1826</v>
      </c>
      <c r="X115" s="31"/>
      <c r="Y115" s="31">
        <f t="shared" si="286"/>
        <v>-25677</v>
      </c>
      <c r="Z115" s="31">
        <f t="shared" si="287"/>
        <v>-22478</v>
      </c>
      <c r="AA115" s="31">
        <f t="shared" si="288"/>
        <v>-15066</v>
      </c>
      <c r="AB115" s="31">
        <f t="shared" si="289"/>
        <v>-8791</v>
      </c>
      <c r="AC115" s="31">
        <f t="shared" si="290"/>
        <v>-5060</v>
      </c>
      <c r="AD115" s="31">
        <f t="shared" si="291"/>
        <v>-6738</v>
      </c>
      <c r="AE115" s="31">
        <f t="shared" si="292"/>
        <v>-7901</v>
      </c>
      <c r="AF115" s="31">
        <f t="shared" si="293"/>
        <v>-7907</v>
      </c>
      <c r="AG115" s="63"/>
      <c r="AH115" s="73">
        <f t="shared" si="281"/>
        <v>-0.10055738823797067</v>
      </c>
    </row>
    <row r="116" spans="2:34" ht="12.75" customHeight="1">
      <c r="B116" s="81" t="s">
        <v>157</v>
      </c>
      <c r="C116" s="79">
        <v>10525</v>
      </c>
      <c r="D116" s="79">
        <v>19003</v>
      </c>
      <c r="E116" s="79">
        <v>21166</v>
      </c>
      <c r="F116" s="79">
        <v>0</v>
      </c>
      <c r="G116" s="79">
        <v>0</v>
      </c>
      <c r="I116" s="79">
        <v>0</v>
      </c>
      <c r="J116" s="79">
        <v>12824</v>
      </c>
      <c r="K116" s="79">
        <v>107</v>
      </c>
      <c r="L116" s="31">
        <f t="shared" si="282"/>
        <v>8235</v>
      </c>
      <c r="M116" s="79">
        <v>0</v>
      </c>
      <c r="N116" s="79">
        <v>0</v>
      </c>
      <c r="O116" s="79">
        <v>0</v>
      </c>
      <c r="P116" s="31">
        <f t="shared" ref="P116" si="294">SUM(F116-SUM(M116:O116))</f>
        <v>0</v>
      </c>
      <c r="Q116" s="79">
        <v>0</v>
      </c>
      <c r="R116" s="79">
        <v>0</v>
      </c>
      <c r="S116" s="79">
        <v>0</v>
      </c>
      <c r="T116" s="31">
        <f t="shared" ref="T116" si="295">SUM(G116-SUM(Q116:S116))</f>
        <v>0</v>
      </c>
      <c r="U116" s="79">
        <v>746</v>
      </c>
      <c r="V116" s="79">
        <v>0</v>
      </c>
      <c r="W116" s="79">
        <v>0</v>
      </c>
      <c r="X116" s="31"/>
      <c r="Y116" s="31">
        <f t="shared" ref="Y116" si="296">SUM(M116:P116)</f>
        <v>0</v>
      </c>
      <c r="Z116" s="31">
        <f t="shared" ref="Z116" si="297">SUM(N116:Q116)</f>
        <v>0</v>
      </c>
      <c r="AA116" s="31">
        <f t="shared" ref="AA116" si="298">SUM(O116:R116)</f>
        <v>0</v>
      </c>
      <c r="AB116" s="31">
        <f t="shared" ref="AB116" si="299">SUM(P116:S116)</f>
        <v>0</v>
      </c>
      <c r="AC116" s="31">
        <f t="shared" ref="AC116" si="300">SUM(Q116:T116)</f>
        <v>0</v>
      </c>
      <c r="AD116" s="31">
        <f t="shared" ref="AD116" si="301">SUM(R116:U116)</f>
        <v>746</v>
      </c>
      <c r="AE116" s="31">
        <f t="shared" ref="AE116" si="302">SUM(S116:V116)</f>
        <v>746</v>
      </c>
      <c r="AF116" s="31">
        <f t="shared" ref="AF116" si="303">SUM(T116:W116)</f>
        <v>746</v>
      </c>
      <c r="AG116" s="63"/>
      <c r="AH116" s="73" t="e">
        <f t="shared" ref="AH116" si="304">SUM(AF116/AB116)-1</f>
        <v>#DIV/0!</v>
      </c>
    </row>
    <row r="117" spans="2:34" ht="12.75" customHeight="1">
      <c r="B117" s="81" t="s">
        <v>158</v>
      </c>
      <c r="C117" s="79">
        <v>-1553</v>
      </c>
      <c r="D117" s="79">
        <v>-1590</v>
      </c>
      <c r="E117" s="79">
        <v>-1258</v>
      </c>
      <c r="F117" s="79">
        <v>-3676</v>
      </c>
      <c r="G117" s="79">
        <v>-9182</v>
      </c>
      <c r="I117" s="79">
        <v>0</v>
      </c>
      <c r="J117" s="79">
        <v>-1</v>
      </c>
      <c r="K117" s="79">
        <v>0</v>
      </c>
      <c r="L117" s="31">
        <f t="shared" si="282"/>
        <v>-1257</v>
      </c>
      <c r="M117" s="79">
        <v>-1386</v>
      </c>
      <c r="N117" s="79">
        <v>-2000</v>
      </c>
      <c r="O117" s="79">
        <v>0</v>
      </c>
      <c r="P117" s="31">
        <f t="shared" si="284"/>
        <v>-290</v>
      </c>
      <c r="Q117" s="79">
        <v>-330</v>
      </c>
      <c r="R117" s="79">
        <v>-4169</v>
      </c>
      <c r="S117" s="79">
        <v>-2183</v>
      </c>
      <c r="T117" s="31">
        <f t="shared" si="285"/>
        <v>-2500</v>
      </c>
      <c r="U117" s="79">
        <v>0</v>
      </c>
      <c r="V117" s="79">
        <v>-2751</v>
      </c>
      <c r="W117" s="79">
        <v>-1008</v>
      </c>
      <c r="X117" s="31"/>
      <c r="Y117" s="31">
        <f t="shared" si="286"/>
        <v>-3676</v>
      </c>
      <c r="Z117" s="31">
        <f t="shared" si="287"/>
        <v>-2620</v>
      </c>
      <c r="AA117" s="31">
        <f t="shared" si="288"/>
        <v>-4789</v>
      </c>
      <c r="AB117" s="31">
        <f t="shared" si="289"/>
        <v>-6972</v>
      </c>
      <c r="AC117" s="31">
        <f t="shared" si="290"/>
        <v>-9182</v>
      </c>
      <c r="AD117" s="31">
        <f t="shared" si="291"/>
        <v>-8852</v>
      </c>
      <c r="AE117" s="31">
        <f t="shared" si="292"/>
        <v>-7434</v>
      </c>
      <c r="AF117" s="31">
        <f t="shared" si="293"/>
        <v>-6259</v>
      </c>
      <c r="AG117" s="63"/>
      <c r="AH117" s="73">
        <f t="shared" si="281"/>
        <v>-0.10226620768789441</v>
      </c>
    </row>
    <row r="118" spans="2:34" ht="12.75" customHeight="1">
      <c r="B118" s="81" t="s">
        <v>159</v>
      </c>
      <c r="C118" s="79">
        <v>-10642</v>
      </c>
      <c r="D118" s="79">
        <v>-11163</v>
      </c>
      <c r="E118" s="79">
        <v>-7941</v>
      </c>
      <c r="F118" s="79">
        <v>-4384</v>
      </c>
      <c r="G118" s="79">
        <v>-2043</v>
      </c>
      <c r="I118" s="79">
        <v>-2777</v>
      </c>
      <c r="J118" s="79">
        <v>-2059</v>
      </c>
      <c r="K118" s="79">
        <v>-1465</v>
      </c>
      <c r="L118" s="31">
        <f t="shared" si="282"/>
        <v>-1640</v>
      </c>
      <c r="M118" s="79">
        <v>-1380</v>
      </c>
      <c r="N118" s="79">
        <v>-1220</v>
      </c>
      <c r="O118" s="79">
        <v>-1005</v>
      </c>
      <c r="P118" s="31">
        <f>SUM(F118-SUM(M118:O118))</f>
        <v>-779</v>
      </c>
      <c r="Q118" s="79">
        <v>-770</v>
      </c>
      <c r="R118" s="79">
        <v>-538</v>
      </c>
      <c r="S118" s="79">
        <v>-402</v>
      </c>
      <c r="T118" s="31">
        <f>SUM(G118-SUM(Q118:S118))</f>
        <v>-333</v>
      </c>
      <c r="U118" s="79">
        <v>-410</v>
      </c>
      <c r="V118" s="79">
        <v>-411</v>
      </c>
      <c r="W118" s="79">
        <v>-351</v>
      </c>
      <c r="X118" s="31"/>
      <c r="Y118" s="31">
        <f t="shared" si="283"/>
        <v>-4384</v>
      </c>
      <c r="Z118" s="31">
        <f t="shared" si="283"/>
        <v>-3774</v>
      </c>
      <c r="AA118" s="31">
        <f t="shared" si="283"/>
        <v>-3092</v>
      </c>
      <c r="AB118" s="31">
        <f t="shared" si="283"/>
        <v>-2489</v>
      </c>
      <c r="AC118" s="31">
        <f t="shared" si="283"/>
        <v>-2043</v>
      </c>
      <c r="AD118" s="31">
        <f t="shared" si="283"/>
        <v>-1683</v>
      </c>
      <c r="AE118" s="31">
        <f t="shared" si="283"/>
        <v>-1556</v>
      </c>
      <c r="AF118" s="31">
        <f t="shared" si="283"/>
        <v>-1505</v>
      </c>
      <c r="AG118" s="63"/>
      <c r="AH118" s="73">
        <f t="shared" ref="AH118" si="305">SUM(AF118/AB118)-1</f>
        <v>-0.39533949377259947</v>
      </c>
    </row>
    <row r="119" spans="2:34" ht="12.75" customHeight="1">
      <c r="B119" s="81" t="s">
        <v>160</v>
      </c>
      <c r="C119" s="79">
        <v>-53</v>
      </c>
      <c r="D119" s="79">
        <v>-162</v>
      </c>
      <c r="E119" s="79">
        <v>-248</v>
      </c>
      <c r="F119" s="79">
        <v>-271</v>
      </c>
      <c r="G119" s="79">
        <v>-669</v>
      </c>
      <c r="I119" s="79">
        <v>-79</v>
      </c>
      <c r="J119" s="79">
        <v>-59</v>
      </c>
      <c r="K119" s="79">
        <v>-48</v>
      </c>
      <c r="L119" s="31">
        <f t="shared" si="282"/>
        <v>-62</v>
      </c>
      <c r="M119" s="79">
        <v>-57</v>
      </c>
      <c r="N119" s="79">
        <v>-77</v>
      </c>
      <c r="O119" s="79">
        <v>-64</v>
      </c>
      <c r="P119" s="31">
        <f t="shared" ref="P119" si="306">SUM(F119-SUM(M119:O119))</f>
        <v>-73</v>
      </c>
      <c r="Q119" s="79">
        <v>-90</v>
      </c>
      <c r="R119" s="79">
        <v>-79</v>
      </c>
      <c r="S119" s="79">
        <v>-78</v>
      </c>
      <c r="T119" s="31">
        <f t="shared" ref="T119" si="307">SUM(G119-SUM(Q119:S119))</f>
        <v>-422</v>
      </c>
      <c r="U119" s="79">
        <v>-116</v>
      </c>
      <c r="V119" s="79">
        <v>-78</v>
      </c>
      <c r="W119" s="79">
        <v>-82</v>
      </c>
      <c r="X119" s="31"/>
      <c r="Y119" s="31">
        <f t="shared" ref="Y119" si="308">SUM(M119:P119)</f>
        <v>-271</v>
      </c>
      <c r="Z119" s="31">
        <f t="shared" ref="Z119" si="309">SUM(N119:Q119)</f>
        <v>-304</v>
      </c>
      <c r="AA119" s="31">
        <f t="shared" ref="AA119" si="310">SUM(O119:R119)</f>
        <v>-306</v>
      </c>
      <c r="AB119" s="31">
        <f t="shared" ref="AB119" si="311">SUM(P119:S119)</f>
        <v>-320</v>
      </c>
      <c r="AC119" s="31">
        <f t="shared" ref="AC119" si="312">SUM(Q119:T119)</f>
        <v>-669</v>
      </c>
      <c r="AD119" s="31">
        <f t="shared" ref="AD119" si="313">SUM(R119:U119)</f>
        <v>-695</v>
      </c>
      <c r="AE119" s="31">
        <f t="shared" ref="AE119" si="314">SUM(S119:V119)</f>
        <v>-694</v>
      </c>
      <c r="AF119" s="31">
        <f t="shared" ref="AF119" si="315">SUM(T119:W119)</f>
        <v>-698</v>
      </c>
      <c r="AG119" s="63"/>
      <c r="AH119" s="73">
        <f t="shared" ref="AH119" si="316">SUM(AF119/AB119)-1</f>
        <v>1.1812499999999999</v>
      </c>
    </row>
    <row r="120" spans="2:34" ht="12.75" customHeight="1">
      <c r="B120" s="13" t="s">
        <v>55</v>
      </c>
      <c r="C120" s="14">
        <f>SUM(C113:C119)</f>
        <v>-1104</v>
      </c>
      <c r="D120" s="14">
        <f>SUM(D113:D119)</f>
        <v>6291</v>
      </c>
      <c r="E120" s="14">
        <f>SUM(E113:E119)</f>
        <v>9718</v>
      </c>
      <c r="F120" s="14">
        <f>SUM(F113:F119)</f>
        <v>-15879</v>
      </c>
      <c r="G120" s="14">
        <f>SUM(G113:G119)</f>
        <v>-11812</v>
      </c>
      <c r="I120" s="14">
        <f>SUM(I113:I119)</f>
        <v>1990</v>
      </c>
      <c r="J120" s="14">
        <f>SUM(J113:J119)</f>
        <v>4626</v>
      </c>
      <c r="K120" s="14">
        <f>SUM(K113:K119)</f>
        <v>3016</v>
      </c>
      <c r="L120" s="14">
        <f>SUM(L113:L119)</f>
        <v>86</v>
      </c>
      <c r="M120" s="14">
        <f>SUM(M113:M119)</f>
        <v>6354</v>
      </c>
      <c r="N120" s="14">
        <f>SUM(N113:N119)</f>
        <v>-6539</v>
      </c>
      <c r="O120" s="14">
        <f>SUM(O113:O119)</f>
        <v>-8948</v>
      </c>
      <c r="P120" s="14">
        <f>SUM(P113:P119)</f>
        <v>-6746</v>
      </c>
      <c r="Q120" s="14">
        <f>SUM(Q113:Q119)</f>
        <v>-1256</v>
      </c>
      <c r="R120" s="14">
        <f>SUM(R113:R119)</f>
        <v>-4490</v>
      </c>
      <c r="S120" s="14">
        <f>SUM(S113:S119)</f>
        <v>-2758</v>
      </c>
      <c r="T120" s="14">
        <f>SUM(T113:T119)</f>
        <v>-3308</v>
      </c>
      <c r="U120" s="14">
        <f>SUM(U113:U119)</f>
        <v>-47</v>
      </c>
      <c r="V120" s="14">
        <f>SUM(V113:V119)</f>
        <v>-2539</v>
      </c>
      <c r="W120" s="14">
        <f>SUM(W113:W119)</f>
        <v>-44</v>
      </c>
      <c r="Y120" s="14">
        <f>SUM(Y113:Y119)</f>
        <v>-15879</v>
      </c>
      <c r="Z120" s="14">
        <f>SUM(Z113:Z119)</f>
        <v>-23489</v>
      </c>
      <c r="AA120" s="14">
        <f>SUM(AA113:AA119)</f>
        <v>-21440</v>
      </c>
      <c r="AB120" s="14">
        <f>SUM(AB113:AB119)</f>
        <v>-15250</v>
      </c>
      <c r="AC120" s="14">
        <f>SUM(AC113:AC119)</f>
        <v>-11812</v>
      </c>
      <c r="AD120" s="14">
        <f>SUM(AD113:AD119)</f>
        <v>-10603</v>
      </c>
      <c r="AE120" s="14">
        <f>SUM(AE113:AE119)</f>
        <v>-8652</v>
      </c>
      <c r="AF120" s="14">
        <f>SUM(AF113:AF119)</f>
        <v>-5938</v>
      </c>
      <c r="AG120" s="41"/>
      <c r="AH120" s="74">
        <f t="shared" si="281"/>
        <v>-0.61062295081967211</v>
      </c>
    </row>
    <row r="121" spans="2:34" ht="5.0999999999999996" customHeight="1">
      <c r="B121" s="69"/>
      <c r="C121" s="31"/>
      <c r="D121" s="31"/>
      <c r="E121" s="31"/>
      <c r="F121" s="31"/>
      <c r="G121" s="31"/>
      <c r="H121" s="31"/>
      <c r="I121" s="31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  <c r="V121" s="31"/>
      <c r="W121" s="31"/>
      <c r="X121" s="31"/>
      <c r="Y121" s="31"/>
      <c r="Z121" s="31"/>
      <c r="AA121" s="31"/>
      <c r="AB121" s="31"/>
      <c r="AC121" s="31"/>
      <c r="AD121" s="31"/>
      <c r="AE121" s="31"/>
      <c r="AF121" s="31"/>
      <c r="AG121" s="11"/>
      <c r="AH121" s="44"/>
    </row>
    <row r="122" spans="2:34">
      <c r="B122" s="89" t="s">
        <v>81</v>
      </c>
      <c r="C122" s="90">
        <v>36410</v>
      </c>
      <c r="D122" s="90">
        <f t="shared" ref="D122:G122" si="317">C129</f>
        <v>42122</v>
      </c>
      <c r="E122" s="90">
        <f t="shared" si="317"/>
        <v>36220</v>
      </c>
      <c r="F122" s="90">
        <f t="shared" si="317"/>
        <v>53888</v>
      </c>
      <c r="G122" s="90">
        <f t="shared" si="317"/>
        <v>73387</v>
      </c>
      <c r="H122" s="90"/>
      <c r="I122" s="90">
        <f>E122</f>
        <v>36220</v>
      </c>
      <c r="J122" s="90">
        <f t="shared" ref="J122" si="318">I129</f>
        <v>36342</v>
      </c>
      <c r="K122" s="90">
        <f t="shared" ref="K122" si="319">J129</f>
        <v>37478</v>
      </c>
      <c r="L122" s="90">
        <f t="shared" ref="L122" si="320">K129</f>
        <v>34947</v>
      </c>
      <c r="M122" s="90">
        <f t="shared" ref="M122" si="321">L129</f>
        <v>53888</v>
      </c>
      <c r="N122" s="90">
        <f t="shared" ref="N122:W122" si="322">M129</f>
        <v>49343</v>
      </c>
      <c r="O122" s="90">
        <f t="shared" si="322"/>
        <v>49529</v>
      </c>
      <c r="P122" s="90">
        <f t="shared" si="322"/>
        <v>49605</v>
      </c>
      <c r="Q122" s="90">
        <f t="shared" si="322"/>
        <v>73387</v>
      </c>
      <c r="R122" s="90">
        <f t="shared" si="322"/>
        <v>72852</v>
      </c>
      <c r="S122" s="90">
        <f t="shared" si="322"/>
        <v>71178</v>
      </c>
      <c r="T122" s="90">
        <f t="shared" si="322"/>
        <v>75091</v>
      </c>
      <c r="U122" s="90">
        <f t="shared" si="322"/>
        <v>78779</v>
      </c>
      <c r="V122" s="90">
        <f t="shared" si="322"/>
        <v>66207</v>
      </c>
      <c r="W122" s="90">
        <f t="shared" si="322"/>
        <v>57741</v>
      </c>
      <c r="X122" s="90"/>
      <c r="Y122" s="90">
        <f>P122</f>
        <v>49605</v>
      </c>
      <c r="Z122" s="90">
        <f>Y129</f>
        <v>73387</v>
      </c>
      <c r="AA122" s="90">
        <f t="shared" ref="AA122:AF122" si="323">Z129</f>
        <v>72852</v>
      </c>
      <c r="AB122" s="90">
        <f t="shared" si="323"/>
        <v>71178</v>
      </c>
      <c r="AC122" s="90">
        <f t="shared" si="323"/>
        <v>75091</v>
      </c>
      <c r="AD122" s="90">
        <f t="shared" si="323"/>
        <v>78779</v>
      </c>
      <c r="AE122" s="90">
        <f t="shared" si="323"/>
        <v>66207</v>
      </c>
      <c r="AF122" s="136">
        <f t="shared" si="323"/>
        <v>57741</v>
      </c>
      <c r="AG122" s="11"/>
      <c r="AH122" s="44"/>
    </row>
    <row r="123" spans="2:34">
      <c r="B123" s="127" t="s">
        <v>94</v>
      </c>
      <c r="C123" s="79">
        <v>0</v>
      </c>
      <c r="D123" s="31">
        <f>-C127</f>
        <v>255</v>
      </c>
      <c r="E123" s="31">
        <f t="shared" ref="E123" si="324">-D127</f>
        <v>257</v>
      </c>
      <c r="F123" s="31">
        <f t="shared" ref="F123" si="325">-E127</f>
        <v>365</v>
      </c>
      <c r="G123" s="31">
        <f t="shared" ref="G123" si="326">-F127</f>
        <v>503</v>
      </c>
      <c r="H123" s="31"/>
      <c r="I123" s="79">
        <f>-D127</f>
        <v>257</v>
      </c>
      <c r="J123" s="31">
        <f t="shared" ref="J123" si="327">-I127</f>
        <v>257</v>
      </c>
      <c r="K123" s="31">
        <f t="shared" ref="K123" si="328">-J127</f>
        <v>222</v>
      </c>
      <c r="L123" s="31">
        <f t="shared" ref="L123" si="329">-K127</f>
        <v>231</v>
      </c>
      <c r="M123" s="31">
        <f t="shared" ref="M123" si="330">-L127</f>
        <v>365</v>
      </c>
      <c r="N123" s="31">
        <f t="shared" ref="N123:W123" si="331">-M127</f>
        <v>391</v>
      </c>
      <c r="O123" s="31">
        <f t="shared" si="331"/>
        <v>538</v>
      </c>
      <c r="P123" s="31">
        <f t="shared" si="331"/>
        <v>476</v>
      </c>
      <c r="Q123" s="31">
        <f t="shared" si="331"/>
        <v>503</v>
      </c>
      <c r="R123" s="31">
        <f t="shared" si="331"/>
        <v>480</v>
      </c>
      <c r="S123" s="31">
        <f t="shared" si="331"/>
        <v>495</v>
      </c>
      <c r="T123" s="31">
        <f t="shared" si="331"/>
        <v>3586</v>
      </c>
      <c r="U123" s="31">
        <f t="shared" si="331"/>
        <v>3533</v>
      </c>
      <c r="V123" s="31">
        <f t="shared" si="331"/>
        <v>3686</v>
      </c>
      <c r="W123" s="31">
        <f t="shared" si="331"/>
        <v>3712</v>
      </c>
      <c r="X123" s="31"/>
      <c r="Y123" s="31">
        <f>P123</f>
        <v>476</v>
      </c>
      <c r="Z123" s="31">
        <f>-Y127</f>
        <v>503</v>
      </c>
      <c r="AA123" s="31">
        <f t="shared" ref="AA123:AF123" si="332">-Z127</f>
        <v>480</v>
      </c>
      <c r="AB123" s="31">
        <f t="shared" si="332"/>
        <v>495</v>
      </c>
      <c r="AC123" s="31">
        <f t="shared" si="332"/>
        <v>3586</v>
      </c>
      <c r="AD123" s="31">
        <f t="shared" si="332"/>
        <v>3533</v>
      </c>
      <c r="AE123" s="31">
        <f t="shared" si="332"/>
        <v>3686</v>
      </c>
      <c r="AF123" s="130">
        <f t="shared" si="332"/>
        <v>3712</v>
      </c>
      <c r="AG123" s="11"/>
      <c r="AH123" s="44"/>
    </row>
    <row r="124" spans="2:34">
      <c r="B124" s="141" t="s">
        <v>68</v>
      </c>
      <c r="C124" s="142">
        <f t="shared" ref="C124" si="333">SUM(C122:C123)</f>
        <v>36410</v>
      </c>
      <c r="D124" s="142">
        <f t="shared" ref="D124:G124" si="334">SUM(D122:D123)</f>
        <v>42377</v>
      </c>
      <c r="E124" s="142">
        <f t="shared" si="334"/>
        <v>36477</v>
      </c>
      <c r="F124" s="142">
        <f t="shared" si="334"/>
        <v>54253</v>
      </c>
      <c r="G124" s="142">
        <f t="shared" si="334"/>
        <v>73890</v>
      </c>
      <c r="H124" s="31"/>
      <c r="I124" s="142">
        <f t="shared" ref="I124:L124" si="335">SUM(I122:I123)</f>
        <v>36477</v>
      </c>
      <c r="J124" s="142">
        <f t="shared" ref="J124" si="336">SUM(J122:J123)</f>
        <v>36599</v>
      </c>
      <c r="K124" s="142">
        <f t="shared" si="335"/>
        <v>37700</v>
      </c>
      <c r="L124" s="142">
        <f t="shared" si="335"/>
        <v>35178</v>
      </c>
      <c r="M124" s="142">
        <f t="shared" ref="M124:W124" si="337">SUM(M122:M123)</f>
        <v>54253</v>
      </c>
      <c r="N124" s="142">
        <f t="shared" si="337"/>
        <v>49734</v>
      </c>
      <c r="O124" s="142">
        <f t="shared" si="337"/>
        <v>50067</v>
      </c>
      <c r="P124" s="142">
        <f t="shared" si="337"/>
        <v>50081</v>
      </c>
      <c r="Q124" s="142">
        <f t="shared" si="337"/>
        <v>73890</v>
      </c>
      <c r="R124" s="142">
        <f t="shared" si="337"/>
        <v>73332</v>
      </c>
      <c r="S124" s="142">
        <f t="shared" si="337"/>
        <v>71673</v>
      </c>
      <c r="T124" s="142">
        <f t="shared" si="337"/>
        <v>78677</v>
      </c>
      <c r="U124" s="142">
        <f t="shared" si="337"/>
        <v>82312</v>
      </c>
      <c r="V124" s="142">
        <f t="shared" si="337"/>
        <v>69893</v>
      </c>
      <c r="W124" s="142">
        <f t="shared" si="337"/>
        <v>61453</v>
      </c>
      <c r="X124" s="31"/>
      <c r="Y124" s="129">
        <f t="shared" ref="Y124:AF124" si="338">SUM(Y122:Y123)</f>
        <v>50081</v>
      </c>
      <c r="Z124" s="129">
        <f t="shared" si="338"/>
        <v>73890</v>
      </c>
      <c r="AA124" s="129">
        <f t="shared" si="338"/>
        <v>73332</v>
      </c>
      <c r="AB124" s="142">
        <f t="shared" si="338"/>
        <v>71673</v>
      </c>
      <c r="AC124" s="142">
        <f t="shared" si="338"/>
        <v>78677</v>
      </c>
      <c r="AD124" s="142">
        <f t="shared" si="338"/>
        <v>82312</v>
      </c>
      <c r="AE124" s="142">
        <f t="shared" si="338"/>
        <v>69893</v>
      </c>
      <c r="AF124" s="143">
        <f t="shared" si="338"/>
        <v>61453</v>
      </c>
      <c r="AG124" s="11"/>
      <c r="AH124" s="44"/>
    </row>
    <row r="125" spans="2:34" ht="5.0999999999999996" customHeight="1">
      <c r="B125" s="133"/>
      <c r="C125" s="69"/>
      <c r="D125" s="69"/>
      <c r="E125" s="69"/>
      <c r="F125" s="69"/>
      <c r="G125" s="69"/>
      <c r="H125" s="31"/>
      <c r="I125" s="69"/>
      <c r="J125" s="69"/>
      <c r="K125" s="69"/>
      <c r="L125" s="69"/>
      <c r="M125" s="69"/>
      <c r="N125" s="69"/>
      <c r="O125" s="69"/>
      <c r="P125" s="69"/>
      <c r="Q125" s="69"/>
      <c r="R125" s="69"/>
      <c r="S125" s="69"/>
      <c r="T125" s="69"/>
      <c r="U125" s="69"/>
      <c r="V125" s="69"/>
      <c r="W125" s="69"/>
      <c r="X125" s="31"/>
      <c r="Y125" s="69"/>
      <c r="Z125" s="69"/>
      <c r="AA125" s="69"/>
      <c r="AB125" s="69"/>
      <c r="AC125" s="69"/>
      <c r="AD125" s="69"/>
      <c r="AE125" s="69"/>
      <c r="AF125" s="131"/>
      <c r="AG125" s="11"/>
      <c r="AH125" s="44"/>
    </row>
    <row r="126" spans="2:34">
      <c r="B126" s="127" t="s">
        <v>82</v>
      </c>
      <c r="C126" s="79">
        <v>618</v>
      </c>
      <c r="D126" s="79">
        <v>-364</v>
      </c>
      <c r="E126" s="79">
        <v>-1093</v>
      </c>
      <c r="F126" s="79">
        <v>403</v>
      </c>
      <c r="G126" s="79">
        <v>-1301</v>
      </c>
      <c r="H126" s="31"/>
      <c r="I126" s="79">
        <v>16</v>
      </c>
      <c r="J126" s="79">
        <v>-412</v>
      </c>
      <c r="K126" s="79">
        <v>-1334</v>
      </c>
      <c r="L126" s="31">
        <f>SUM(E126-SUM(I126:K126))</f>
        <v>637</v>
      </c>
      <c r="M126" s="79">
        <v>145</v>
      </c>
      <c r="N126" s="79">
        <v>69</v>
      </c>
      <c r="O126" s="79">
        <v>-502</v>
      </c>
      <c r="P126" s="31">
        <f>SUM(F126-SUM(M126:O126))</f>
        <v>691</v>
      </c>
      <c r="Q126" s="79">
        <v>-429</v>
      </c>
      <c r="R126" s="79">
        <v>-312</v>
      </c>
      <c r="S126" s="79">
        <v>690</v>
      </c>
      <c r="T126" s="31">
        <f>SUM(G126-SUM(Q126:S126))</f>
        <v>-1250</v>
      </c>
      <c r="U126" s="79">
        <v>416</v>
      </c>
      <c r="V126" s="79">
        <v>1008</v>
      </c>
      <c r="W126" s="79">
        <v>-397</v>
      </c>
      <c r="X126" s="31"/>
      <c r="Y126" s="31">
        <f t="shared" ref="Y126:AF128" si="339">P126</f>
        <v>691</v>
      </c>
      <c r="Z126" s="31">
        <f t="shared" ref="Z126:Z128" si="340">Q126</f>
        <v>-429</v>
      </c>
      <c r="AA126" s="31">
        <f t="shared" ref="AA126:AA128" si="341">R126</f>
        <v>-312</v>
      </c>
      <c r="AB126" s="31">
        <f t="shared" ref="AB126:AB128" si="342">S126</f>
        <v>690</v>
      </c>
      <c r="AC126" s="31">
        <f t="shared" ref="AC126:AC128" si="343">T126</f>
        <v>-1250</v>
      </c>
      <c r="AD126" s="31">
        <f t="shared" ref="AD126:AD128" si="344">U126</f>
        <v>416</v>
      </c>
      <c r="AE126" s="31">
        <f t="shared" ref="AE126:AE128" si="345">V126</f>
        <v>1008</v>
      </c>
      <c r="AF126" s="130">
        <f t="shared" ref="AF126:AF128" si="346">W126</f>
        <v>-397</v>
      </c>
      <c r="AG126" s="11"/>
      <c r="AH126" s="44"/>
    </row>
    <row r="127" spans="2:34">
      <c r="B127" s="127" t="s">
        <v>92</v>
      </c>
      <c r="C127" s="79">
        <f>-233 -22</f>
        <v>-255</v>
      </c>
      <c r="D127" s="79">
        <f>-242-15</f>
        <v>-257</v>
      </c>
      <c r="E127" s="79">
        <f>-358 -7</f>
        <v>-365</v>
      </c>
      <c r="F127" s="79">
        <f>-497 -6</f>
        <v>-503</v>
      </c>
      <c r="G127" s="79">
        <f>-3286-247</f>
        <v>-3533</v>
      </c>
      <c r="H127" s="31"/>
      <c r="I127" s="79">
        <f>-242-15</f>
        <v>-257</v>
      </c>
      <c r="J127" s="79">
        <f>-207 -15</f>
        <v>-222</v>
      </c>
      <c r="K127" s="79">
        <f>-224 -7</f>
        <v>-231</v>
      </c>
      <c r="L127" s="31">
        <f>E127</f>
        <v>-365</v>
      </c>
      <c r="M127" s="79">
        <f>-377-14</f>
        <v>-391</v>
      </c>
      <c r="N127" s="79">
        <f>-523 -15</f>
        <v>-538</v>
      </c>
      <c r="O127" s="79">
        <f>-465 -11</f>
        <v>-476</v>
      </c>
      <c r="P127" s="31">
        <f>F127</f>
        <v>-503</v>
      </c>
      <c r="Q127" s="79">
        <f>-474 -6</f>
        <v>-480</v>
      </c>
      <c r="R127" s="79">
        <f>-491 -4</f>
        <v>-495</v>
      </c>
      <c r="S127" s="79">
        <f>-333 -3253</f>
        <v>-3586</v>
      </c>
      <c r="T127" s="31">
        <f>G127</f>
        <v>-3533</v>
      </c>
      <c r="U127" s="79">
        <f>-365 -3321</f>
        <v>-3686</v>
      </c>
      <c r="V127" s="79">
        <f>-356-3356</f>
        <v>-3712</v>
      </c>
      <c r="W127" s="79">
        <f>-3240-302</f>
        <v>-3542</v>
      </c>
      <c r="X127" s="31"/>
      <c r="Y127" s="31">
        <f t="shared" si="339"/>
        <v>-503</v>
      </c>
      <c r="Z127" s="31">
        <f t="shared" si="340"/>
        <v>-480</v>
      </c>
      <c r="AA127" s="31">
        <f t="shared" si="341"/>
        <v>-495</v>
      </c>
      <c r="AB127" s="31">
        <f t="shared" si="342"/>
        <v>-3586</v>
      </c>
      <c r="AC127" s="31">
        <f t="shared" si="343"/>
        <v>-3533</v>
      </c>
      <c r="AD127" s="31">
        <f t="shared" si="344"/>
        <v>-3686</v>
      </c>
      <c r="AE127" s="31">
        <f t="shared" si="345"/>
        <v>-3712</v>
      </c>
      <c r="AF127" s="130">
        <f t="shared" si="346"/>
        <v>-3542</v>
      </c>
      <c r="AG127" s="11"/>
      <c r="AH127" s="44"/>
    </row>
    <row r="128" spans="2:34">
      <c r="B128" s="127" t="s">
        <v>59</v>
      </c>
      <c r="C128" s="31">
        <f>+C120+C110+C102</f>
        <v>5349</v>
      </c>
      <c r="D128" s="31">
        <f>+D120+D110+D102</f>
        <v>-5536</v>
      </c>
      <c r="E128" s="31">
        <f>+E120+E110+E102</f>
        <v>18869</v>
      </c>
      <c r="F128" s="31">
        <f>+F120+F110+F102</f>
        <v>19234</v>
      </c>
      <c r="G128" s="31">
        <f>+G120+G110+G102</f>
        <v>9723</v>
      </c>
      <c r="H128" s="31"/>
      <c r="I128" s="31">
        <f>+I120+I110+I102</f>
        <v>106</v>
      </c>
      <c r="J128" s="31">
        <f>+J120+J110+J102</f>
        <v>1513</v>
      </c>
      <c r="K128" s="31">
        <f>+K120+K110+K102</f>
        <v>-1188</v>
      </c>
      <c r="L128" s="31">
        <f>+L120+L110+L102</f>
        <v>18438</v>
      </c>
      <c r="M128" s="31">
        <f>+M120+M110+M102</f>
        <v>-4664</v>
      </c>
      <c r="N128" s="31">
        <f>+N120+N110+N102</f>
        <v>264</v>
      </c>
      <c r="O128" s="31">
        <f>+O120+O110+O102</f>
        <v>516</v>
      </c>
      <c r="P128" s="31">
        <f>+P120+P110+P102</f>
        <v>23118</v>
      </c>
      <c r="Q128" s="31">
        <f>+Q120+Q110+Q102</f>
        <v>-129</v>
      </c>
      <c r="R128" s="31">
        <f>+R120+R110+R102</f>
        <v>-1347</v>
      </c>
      <c r="S128" s="31">
        <f>+S120+S110+S102</f>
        <v>6314</v>
      </c>
      <c r="T128" s="31">
        <f>+T120+T110+T102</f>
        <v>4885</v>
      </c>
      <c r="U128" s="31">
        <f>+U120+U110+U102</f>
        <v>-12835</v>
      </c>
      <c r="V128" s="31">
        <f>+V120+V110+V102</f>
        <v>-9448</v>
      </c>
      <c r="W128" s="31">
        <f>+W120+W110+W102</f>
        <v>9408</v>
      </c>
      <c r="X128" s="31"/>
      <c r="Y128" s="31">
        <f t="shared" si="339"/>
        <v>23118</v>
      </c>
      <c r="Z128" s="31">
        <f t="shared" si="340"/>
        <v>-129</v>
      </c>
      <c r="AA128" s="31">
        <f t="shared" si="341"/>
        <v>-1347</v>
      </c>
      <c r="AB128" s="31">
        <f t="shared" si="342"/>
        <v>6314</v>
      </c>
      <c r="AC128" s="31">
        <f t="shared" si="343"/>
        <v>4885</v>
      </c>
      <c r="AD128" s="31">
        <f t="shared" si="344"/>
        <v>-12835</v>
      </c>
      <c r="AE128" s="31">
        <f t="shared" si="345"/>
        <v>-9448</v>
      </c>
      <c r="AF128" s="130">
        <f t="shared" si="346"/>
        <v>9408</v>
      </c>
      <c r="AG128" s="11"/>
      <c r="AH128" s="44"/>
    </row>
    <row r="129" spans="2:34">
      <c r="B129" s="86" t="s">
        <v>69</v>
      </c>
      <c r="C129" s="142">
        <f t="shared" ref="C129:G129" si="347">SUM(C124:C128)</f>
        <v>42122</v>
      </c>
      <c r="D129" s="142">
        <f t="shared" si="347"/>
        <v>36220</v>
      </c>
      <c r="E129" s="142">
        <f t="shared" si="347"/>
        <v>53888</v>
      </c>
      <c r="F129" s="142">
        <f t="shared" si="347"/>
        <v>73387</v>
      </c>
      <c r="G129" s="142">
        <f t="shared" si="347"/>
        <v>78779</v>
      </c>
      <c r="H129" s="31"/>
      <c r="I129" s="142">
        <f t="shared" ref="I129:L129" si="348">SUM(I124:I128)</f>
        <v>36342</v>
      </c>
      <c r="J129" s="142">
        <f t="shared" ref="J129" si="349">SUM(J124:J128)</f>
        <v>37478</v>
      </c>
      <c r="K129" s="142">
        <f t="shared" si="348"/>
        <v>34947</v>
      </c>
      <c r="L129" s="142">
        <f t="shared" si="348"/>
        <v>53888</v>
      </c>
      <c r="M129" s="142">
        <f t="shared" ref="M129:W129" si="350">SUM(M124:M128)</f>
        <v>49343</v>
      </c>
      <c r="N129" s="142">
        <f t="shared" si="350"/>
        <v>49529</v>
      </c>
      <c r="O129" s="142">
        <f t="shared" si="350"/>
        <v>49605</v>
      </c>
      <c r="P129" s="142">
        <f t="shared" si="350"/>
        <v>73387</v>
      </c>
      <c r="Q129" s="142">
        <f t="shared" si="350"/>
        <v>72852</v>
      </c>
      <c r="R129" s="142">
        <f t="shared" si="350"/>
        <v>71178</v>
      </c>
      <c r="S129" s="142">
        <f t="shared" si="350"/>
        <v>75091</v>
      </c>
      <c r="T129" s="142">
        <f t="shared" si="350"/>
        <v>78779</v>
      </c>
      <c r="U129" s="142">
        <f t="shared" si="350"/>
        <v>66207</v>
      </c>
      <c r="V129" s="142">
        <f t="shared" si="350"/>
        <v>57741</v>
      </c>
      <c r="W129" s="142">
        <f t="shared" si="350"/>
        <v>66922</v>
      </c>
      <c r="X129" s="31"/>
      <c r="Y129" s="129">
        <f t="shared" ref="Y129:AF129" si="351">SUM(Y124:Y128)</f>
        <v>73387</v>
      </c>
      <c r="Z129" s="129">
        <f t="shared" si="351"/>
        <v>72852</v>
      </c>
      <c r="AA129" s="129">
        <f t="shared" si="351"/>
        <v>71178</v>
      </c>
      <c r="AB129" s="142">
        <f t="shared" si="351"/>
        <v>75091</v>
      </c>
      <c r="AC129" s="142">
        <f t="shared" si="351"/>
        <v>78779</v>
      </c>
      <c r="AD129" s="142">
        <f t="shared" si="351"/>
        <v>66207</v>
      </c>
      <c r="AE129" s="142">
        <f t="shared" si="351"/>
        <v>57741</v>
      </c>
      <c r="AF129" s="143">
        <f t="shared" si="351"/>
        <v>66922</v>
      </c>
      <c r="AG129" s="11"/>
      <c r="AH129" s="44"/>
    </row>
    <row r="130" spans="2:34" ht="5.0999999999999996" customHeight="1">
      <c r="B130" s="87"/>
      <c r="C130" s="64"/>
      <c r="D130" s="64"/>
      <c r="E130" s="64"/>
      <c r="F130" s="64"/>
      <c r="G130" s="64"/>
      <c r="H130" s="31"/>
      <c r="I130" s="64"/>
      <c r="J130" s="64"/>
      <c r="K130" s="64"/>
      <c r="L130" s="64"/>
      <c r="M130" s="64"/>
      <c r="N130" s="64"/>
      <c r="O130" s="64"/>
      <c r="P130" s="64"/>
      <c r="Q130" s="64"/>
      <c r="R130" s="64"/>
      <c r="S130" s="64"/>
      <c r="T130" s="64"/>
      <c r="U130" s="64"/>
      <c r="V130" s="64"/>
      <c r="W130" s="64"/>
      <c r="Y130" s="11"/>
      <c r="Z130" s="11"/>
      <c r="AA130" s="11"/>
      <c r="AB130" s="11"/>
      <c r="AC130" s="11"/>
      <c r="AD130" s="11"/>
      <c r="AE130" s="11"/>
      <c r="AF130" s="88"/>
      <c r="AG130" s="11"/>
      <c r="AH130" s="44"/>
    </row>
    <row r="131" spans="2:34">
      <c r="B131" s="134" t="s">
        <v>85</v>
      </c>
      <c r="C131" s="84">
        <f>ROUND(C129-C47,1)</f>
        <v>0</v>
      </c>
      <c r="D131" s="84">
        <f>ROUND(D129-D47,1)</f>
        <v>0</v>
      </c>
      <c r="E131" s="84">
        <f>ROUND(E129-E47,1)</f>
        <v>0</v>
      </c>
      <c r="F131" s="84">
        <f>ROUND(F129-F47,1)</f>
        <v>0</v>
      </c>
      <c r="G131" s="84">
        <f>ROUND(G129-G47,1)</f>
        <v>0</v>
      </c>
      <c r="H131" s="85"/>
      <c r="I131" s="84">
        <f>I129-I47</f>
        <v>-51</v>
      </c>
      <c r="J131" s="84">
        <f>J129-J47</f>
        <v>0</v>
      </c>
      <c r="K131" s="84">
        <f>K129-K47</f>
        <v>0</v>
      </c>
      <c r="L131" s="84">
        <f>L129-L47</f>
        <v>0</v>
      </c>
      <c r="M131" s="84">
        <f>M129-M47</f>
        <v>0</v>
      </c>
      <c r="N131" s="84">
        <f>N129-N47</f>
        <v>0</v>
      </c>
      <c r="O131" s="84">
        <f>O129-O47</f>
        <v>0</v>
      </c>
      <c r="P131" s="84">
        <f>P129-P47</f>
        <v>0</v>
      </c>
      <c r="Q131" s="84">
        <f>Q129-Q47</f>
        <v>0</v>
      </c>
      <c r="R131" s="84">
        <f>R129-R47</f>
        <v>0</v>
      </c>
      <c r="S131" s="84">
        <f>S129-S47</f>
        <v>0</v>
      </c>
      <c r="T131" s="84">
        <f>T129-T47</f>
        <v>0</v>
      </c>
      <c r="U131" s="84">
        <f>U129-U47</f>
        <v>0</v>
      </c>
      <c r="V131" s="84">
        <f>V129-V47</f>
        <v>0</v>
      </c>
      <c r="W131" s="84">
        <f>W129-W47</f>
        <v>0</v>
      </c>
      <c r="X131" s="84"/>
      <c r="Y131" s="84">
        <f>Y129-Y47</f>
        <v>0</v>
      </c>
      <c r="Z131" s="84">
        <f>Z129-Z47</f>
        <v>0</v>
      </c>
      <c r="AA131" s="84">
        <f>AA129-AA47</f>
        <v>0</v>
      </c>
      <c r="AB131" s="84">
        <f>AB129-AB47</f>
        <v>0</v>
      </c>
      <c r="AC131" s="84">
        <f>AC129-AC47</f>
        <v>0</v>
      </c>
      <c r="AD131" s="84">
        <f>AD129-AD47</f>
        <v>0</v>
      </c>
      <c r="AE131" s="84">
        <f>AE129-AE47</f>
        <v>0</v>
      </c>
      <c r="AF131" s="132">
        <f>AF129-AF47</f>
        <v>0</v>
      </c>
      <c r="AG131" s="11"/>
      <c r="AH131" s="44"/>
    </row>
    <row r="132" spans="2:34" ht="5.0999999999999996" customHeight="1">
      <c r="B132" s="8"/>
      <c r="C132" s="64"/>
      <c r="D132" s="64"/>
      <c r="E132" s="64"/>
      <c r="F132" s="64"/>
      <c r="G132" s="64"/>
      <c r="H132" s="31"/>
      <c r="I132" s="64"/>
      <c r="J132" s="64"/>
      <c r="K132" s="64"/>
      <c r="L132" s="64"/>
      <c r="M132" s="64"/>
      <c r="N132" s="64"/>
      <c r="O132" s="64"/>
      <c r="P132" s="64"/>
      <c r="Q132" s="64"/>
      <c r="R132" s="64"/>
      <c r="S132" s="64"/>
      <c r="T132" s="64"/>
      <c r="U132" s="64"/>
      <c r="V132" s="64"/>
      <c r="W132" s="64"/>
      <c r="Y132" s="11"/>
      <c r="Z132" s="11"/>
      <c r="AA132" s="11"/>
      <c r="AB132" s="11"/>
      <c r="AC132" s="11"/>
      <c r="AD132" s="11"/>
      <c r="AE132" s="11"/>
      <c r="AF132" s="11"/>
      <c r="AG132" s="11"/>
      <c r="AH132" s="44"/>
    </row>
    <row r="133" spans="2:34" ht="12.75" customHeight="1">
      <c r="B133" s="70" t="s">
        <v>60</v>
      </c>
      <c r="C133" s="61"/>
      <c r="D133" s="61"/>
      <c r="E133" s="61"/>
      <c r="F133" s="61"/>
      <c r="G133" s="61"/>
      <c r="H133" s="11"/>
      <c r="I133" s="61"/>
      <c r="J133" s="61"/>
      <c r="K133" s="61"/>
      <c r="L133" s="61"/>
      <c r="M133" s="61"/>
      <c r="N133" s="61"/>
      <c r="O133" s="61"/>
      <c r="P133" s="61"/>
      <c r="Q133" s="61"/>
      <c r="R133" s="61"/>
      <c r="S133" s="61"/>
      <c r="T133" s="61"/>
      <c r="U133" s="79"/>
      <c r="V133" s="61"/>
      <c r="W133" s="61"/>
      <c r="Y133" s="61"/>
      <c r="Z133" s="61"/>
      <c r="AA133" s="61"/>
      <c r="AB133" s="61"/>
      <c r="AC133" s="61"/>
      <c r="AD133" s="61"/>
      <c r="AE133" s="61"/>
      <c r="AF133" s="61"/>
      <c r="AG133" s="65"/>
      <c r="AH133" s="44"/>
    </row>
    <row r="134" spans="2:34" ht="12.75" customHeight="1">
      <c r="B134" s="8" t="s">
        <v>93</v>
      </c>
      <c r="C134" s="79">
        <f>916 +612 +102</f>
        <v>1630</v>
      </c>
      <c r="D134" s="79">
        <f>1098+521+153</f>
        <v>1772</v>
      </c>
      <c r="E134" s="79">
        <f>1561+374 +207</f>
        <v>2142</v>
      </c>
      <c r="F134" s="79">
        <f>2608+308+196</f>
        <v>3112</v>
      </c>
      <c r="G134" s="79">
        <f>1858+287+219</f>
        <v>2364</v>
      </c>
      <c r="H134" s="11"/>
      <c r="I134" s="79">
        <f>279+107+58</f>
        <v>444</v>
      </c>
      <c r="J134" s="79">
        <f>349+95+55</f>
        <v>499</v>
      </c>
      <c r="K134" s="79">
        <f>304+88+39</f>
        <v>431</v>
      </c>
      <c r="L134" s="31">
        <f t="shared" ref="L134:L135" si="352">SUM(E134-SUM(I134:K134))</f>
        <v>768</v>
      </c>
      <c r="M134" s="79">
        <f>402+81+59</f>
        <v>542</v>
      </c>
      <c r="N134" s="79">
        <f>954 +77+41</f>
        <v>1072</v>
      </c>
      <c r="O134" s="79">
        <f>465 +76+50</f>
        <v>591</v>
      </c>
      <c r="P134" s="31">
        <f>SUM(F134-SUM(M134:O134))</f>
        <v>907</v>
      </c>
      <c r="Q134" s="79">
        <f>269 +74+64</f>
        <v>407</v>
      </c>
      <c r="R134" s="79">
        <f>680 +72+50</f>
        <v>802</v>
      </c>
      <c r="S134" s="79">
        <f>266+71+47</f>
        <v>384</v>
      </c>
      <c r="T134" s="31">
        <f>SUM(G134-SUM(Q134:S134))</f>
        <v>771</v>
      </c>
      <c r="U134" s="79">
        <f>236+71+55</f>
        <v>362</v>
      </c>
      <c r="V134" s="79">
        <f>523+72+52</f>
        <v>647</v>
      </c>
      <c r="W134" s="79">
        <f>249+76+52</f>
        <v>377</v>
      </c>
      <c r="Y134" s="31">
        <f t="shared" ref="Y134:AF135" si="353">SUM(M134:P134)</f>
        <v>3112</v>
      </c>
      <c r="Z134" s="31">
        <f t="shared" si="353"/>
        <v>2977</v>
      </c>
      <c r="AA134" s="31">
        <f t="shared" si="353"/>
        <v>2707</v>
      </c>
      <c r="AB134" s="31">
        <f t="shared" si="353"/>
        <v>2500</v>
      </c>
      <c r="AC134" s="31">
        <f t="shared" si="353"/>
        <v>2364</v>
      </c>
      <c r="AD134" s="31">
        <f t="shared" si="353"/>
        <v>2319</v>
      </c>
      <c r="AE134" s="31">
        <f t="shared" si="353"/>
        <v>2164</v>
      </c>
      <c r="AF134" s="31">
        <f t="shared" si="353"/>
        <v>2157</v>
      </c>
      <c r="AG134" s="65"/>
      <c r="AH134" s="44"/>
    </row>
    <row r="135" spans="2:34" ht="12.75" customHeight="1">
      <c r="B135" s="8" t="s">
        <v>106</v>
      </c>
      <c r="C135" s="79">
        <v>1713</v>
      </c>
      <c r="D135" s="79">
        <v>3688</v>
      </c>
      <c r="E135" s="79">
        <v>6035</v>
      </c>
      <c r="F135" s="79">
        <v>11179</v>
      </c>
      <c r="G135" s="79">
        <v>12308</v>
      </c>
      <c r="H135" s="31"/>
      <c r="I135" s="79">
        <v>453</v>
      </c>
      <c r="J135" s="79">
        <v>3145</v>
      </c>
      <c r="K135" s="79">
        <v>742</v>
      </c>
      <c r="L135" s="31">
        <f t="shared" si="352"/>
        <v>1695</v>
      </c>
      <c r="M135" s="79">
        <v>619</v>
      </c>
      <c r="N135" s="79">
        <v>3735</v>
      </c>
      <c r="O135" s="79">
        <v>2628</v>
      </c>
      <c r="P135" s="31">
        <f>SUM(F135-SUM(M135:O135))</f>
        <v>4197</v>
      </c>
      <c r="Q135" s="79">
        <v>458</v>
      </c>
      <c r="R135" s="79">
        <v>5700</v>
      </c>
      <c r="S135" s="79">
        <v>2004</v>
      </c>
      <c r="T135" s="31">
        <f>SUM(G135-SUM(Q135:S135))</f>
        <v>4146</v>
      </c>
      <c r="U135" s="79">
        <v>877</v>
      </c>
      <c r="V135" s="79">
        <v>4761</v>
      </c>
      <c r="W135" s="79">
        <v>1136</v>
      </c>
      <c r="X135" s="31"/>
      <c r="Y135" s="31">
        <f t="shared" si="353"/>
        <v>11179</v>
      </c>
      <c r="Z135" s="31">
        <f t="shared" si="353"/>
        <v>11018</v>
      </c>
      <c r="AA135" s="31">
        <f t="shared" si="353"/>
        <v>12983</v>
      </c>
      <c r="AB135" s="31">
        <f t="shared" si="353"/>
        <v>12359</v>
      </c>
      <c r="AC135" s="31">
        <f t="shared" si="353"/>
        <v>12308</v>
      </c>
      <c r="AD135" s="31">
        <f t="shared" si="353"/>
        <v>12727</v>
      </c>
      <c r="AE135" s="31">
        <f t="shared" si="353"/>
        <v>11788</v>
      </c>
      <c r="AF135" s="31">
        <f t="shared" si="353"/>
        <v>10920</v>
      </c>
      <c r="AG135" s="11"/>
      <c r="AH135" s="44"/>
    </row>
    <row r="136" spans="2:34" ht="5.0999999999999996" customHeight="1" thickBot="1">
      <c r="B136" s="71"/>
      <c r="C136" s="72"/>
      <c r="D136" s="72"/>
      <c r="E136" s="72"/>
      <c r="F136" s="72"/>
      <c r="G136" s="72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  <c r="AA136" s="71"/>
      <c r="AB136" s="71"/>
      <c r="AC136" s="71"/>
      <c r="AD136" s="71"/>
      <c r="AE136" s="71"/>
      <c r="AF136" s="71"/>
      <c r="AH136" s="44"/>
    </row>
    <row r="137" spans="2:34" ht="12.75" customHeight="1">
      <c r="B137" s="52"/>
      <c r="C137" s="66"/>
      <c r="D137" s="66"/>
      <c r="E137" s="66"/>
      <c r="F137" s="66"/>
      <c r="G137" s="66"/>
    </row>
    <row r="138" spans="2:34" ht="12.75" customHeight="1">
      <c r="C138" s="55"/>
      <c r="D138" s="55"/>
      <c r="E138" s="55"/>
      <c r="F138" s="55"/>
      <c r="G138" s="55"/>
    </row>
    <row r="139" spans="2:34" ht="12.75" customHeight="1">
      <c r="C139" s="55"/>
      <c r="D139" s="55"/>
      <c r="E139" s="55"/>
      <c r="F139" s="55"/>
      <c r="G139" s="55"/>
      <c r="H139" s="55"/>
      <c r="I139" s="55"/>
      <c r="J139" s="55"/>
      <c r="K139" s="55"/>
      <c r="L139" s="55"/>
      <c r="M139" s="55"/>
      <c r="N139" s="55"/>
      <c r="O139" s="55"/>
      <c r="P139" s="55"/>
      <c r="Q139" s="55"/>
    </row>
    <row r="140" spans="2:34" ht="12.75" customHeight="1"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  <c r="N140" s="55"/>
      <c r="O140" s="55"/>
      <c r="P140" s="55"/>
      <c r="Q140" s="55"/>
    </row>
    <row r="141" spans="2:34" ht="12.75" customHeight="1"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  <c r="N141" s="55"/>
      <c r="O141" s="55"/>
      <c r="P141" s="55"/>
      <c r="Q141" s="55"/>
    </row>
    <row r="142" spans="2:34" ht="12.75" customHeight="1">
      <c r="C142" s="55"/>
      <c r="D142" s="55"/>
      <c r="E142" s="55"/>
      <c r="F142" s="55"/>
      <c r="G142" s="55"/>
      <c r="H142" s="55"/>
      <c r="I142" s="55"/>
      <c r="J142" s="55"/>
      <c r="K142" s="55"/>
      <c r="L142" s="55"/>
      <c r="M142" s="55"/>
      <c r="N142" s="55"/>
      <c r="O142" s="55"/>
      <c r="P142" s="55"/>
      <c r="Q142" s="55"/>
    </row>
    <row r="143" spans="2:34" ht="12.75" customHeight="1">
      <c r="C143" s="55"/>
      <c r="D143" s="55"/>
      <c r="E143" s="55"/>
      <c r="F143" s="55"/>
      <c r="G143" s="55"/>
      <c r="H143" s="55"/>
      <c r="I143" s="55"/>
      <c r="J143" s="55"/>
      <c r="K143" s="55"/>
      <c r="L143" s="55"/>
      <c r="M143" s="55"/>
      <c r="N143" s="55"/>
      <c r="O143" s="55"/>
      <c r="P143" s="55"/>
      <c r="Q143" s="55"/>
      <c r="R143" s="83"/>
    </row>
    <row r="144" spans="2:34" ht="12.75" customHeight="1">
      <c r="C144" s="55"/>
      <c r="D144" s="55"/>
      <c r="E144" s="55"/>
      <c r="F144" s="55"/>
      <c r="G144" s="55"/>
      <c r="H144" s="55"/>
      <c r="I144" s="55"/>
      <c r="J144" s="55"/>
      <c r="K144" s="55"/>
      <c r="L144" s="55"/>
      <c r="M144" s="55"/>
      <c r="N144" s="55"/>
      <c r="O144" s="55"/>
      <c r="P144" s="55"/>
      <c r="Q144" s="55"/>
    </row>
    <row r="145" spans="3:18" ht="12.75" customHeight="1">
      <c r="C145" s="55"/>
      <c r="D145" s="55"/>
      <c r="E145" s="55"/>
      <c r="F145" s="55"/>
      <c r="G145" s="55"/>
      <c r="H145" s="55"/>
      <c r="I145" s="55"/>
      <c r="J145" s="55"/>
      <c r="K145" s="55"/>
      <c r="L145" s="55"/>
      <c r="M145" s="55"/>
      <c r="N145" s="55"/>
      <c r="O145" s="55"/>
      <c r="P145" s="55"/>
      <c r="Q145" s="55"/>
      <c r="R145" s="83"/>
    </row>
    <row r="146" spans="3:18">
      <c r="E146" s="55"/>
      <c r="F146" s="55"/>
      <c r="G146" s="55"/>
      <c r="H146" s="55"/>
      <c r="I146" s="55"/>
      <c r="J146" s="55"/>
      <c r="K146" s="55"/>
      <c r="L146" s="55"/>
      <c r="M146" s="55"/>
      <c r="N146" s="55"/>
      <c r="O146" s="55"/>
      <c r="P146" s="55"/>
      <c r="Q146" s="55"/>
      <c r="R146" s="83"/>
    </row>
    <row r="147" spans="3:18">
      <c r="E147" s="55"/>
      <c r="F147" s="55"/>
      <c r="G147" s="55"/>
      <c r="H147" s="55"/>
      <c r="I147" s="55"/>
      <c r="J147" s="55"/>
      <c r="K147" s="55"/>
      <c r="L147" s="55"/>
      <c r="M147" s="55"/>
      <c r="N147" s="55"/>
      <c r="O147" s="55"/>
      <c r="P147" s="55"/>
      <c r="Q147" s="55"/>
      <c r="R147" s="83"/>
    </row>
    <row r="148" spans="3:18">
      <c r="E148" s="55"/>
      <c r="F148" s="55"/>
      <c r="G148" s="55"/>
      <c r="H148" s="55"/>
      <c r="I148" s="55"/>
      <c r="J148" s="55"/>
      <c r="K148" s="55"/>
      <c r="L148" s="55"/>
      <c r="M148" s="55"/>
      <c r="N148" s="55"/>
      <c r="O148" s="55"/>
      <c r="P148" s="55"/>
      <c r="Q148" s="55"/>
    </row>
    <row r="149" spans="3:18">
      <c r="E149" s="55"/>
      <c r="F149" s="55"/>
      <c r="G149" s="55"/>
      <c r="H149" s="55"/>
      <c r="I149" s="55"/>
      <c r="J149" s="55"/>
      <c r="K149" s="55"/>
      <c r="L149" s="55"/>
      <c r="M149" s="55"/>
      <c r="N149" s="55"/>
      <c r="O149" s="55"/>
      <c r="P149" s="55"/>
      <c r="Q149" s="55"/>
      <c r="R149" s="83"/>
    </row>
    <row r="150" spans="3:18">
      <c r="E150" s="55"/>
      <c r="F150" s="55"/>
      <c r="G150" s="55"/>
      <c r="H150" s="55"/>
      <c r="I150" s="55"/>
      <c r="J150" s="55"/>
      <c r="K150" s="55"/>
      <c r="L150" s="55"/>
      <c r="M150" s="55"/>
      <c r="N150" s="55"/>
      <c r="O150" s="55"/>
      <c r="P150" s="55"/>
      <c r="Q150" s="55"/>
      <c r="R150" s="83"/>
    </row>
    <row r="151" spans="3:18">
      <c r="E151" s="55"/>
      <c r="F151" s="55"/>
      <c r="G151" s="55"/>
      <c r="H151" s="55"/>
      <c r="I151" s="55"/>
      <c r="J151" s="55"/>
      <c r="K151" s="55"/>
      <c r="L151" s="55"/>
      <c r="M151" s="55"/>
      <c r="N151" s="55"/>
      <c r="O151" s="55"/>
      <c r="P151" s="55"/>
      <c r="Q151" s="55"/>
    </row>
    <row r="152" spans="3:18">
      <c r="E152" s="55"/>
      <c r="F152" s="55"/>
      <c r="G152" s="55"/>
      <c r="H152" s="55"/>
      <c r="I152" s="55"/>
      <c r="J152" s="55"/>
      <c r="K152" s="55"/>
      <c r="L152" s="55"/>
      <c r="M152" s="55"/>
      <c r="N152" s="55"/>
      <c r="O152" s="55"/>
      <c r="P152" s="55"/>
      <c r="Q152" s="55"/>
    </row>
  </sheetData>
  <mergeCells count="3">
    <mergeCell ref="AH6:AH8"/>
    <mergeCell ref="AH42:AH44"/>
    <mergeCell ref="AH83:AH85"/>
  </mergeCells>
  <dataValidations disablePrompts="1" count="1">
    <dataValidation type="list" allowBlank="1" showInputMessage="1" showErrorMessage="1" sqref="B4" xr:uid="{95A5AB56-0215-4703-953B-CB353CAB6883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H51 Y23:AC24 Y10:AF13" formulaRange="1"/>
    <ignoredError sqref="D23:G24 M23:W24 M29:W29 D29:G29 AF111:AH112 AF102:AH103 M34:W34 D34:G34 AF104:AG104 AG113:AH113 AG110:AH110" evalError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177D2-8829-42BE-A7B1-460B1A987ED3}">
  <sheetPr>
    <tabColor rgb="FFC00000"/>
  </sheetPr>
  <dimension ref="A2:AD38"/>
  <sheetViews>
    <sheetView showGridLines="0" topLeftCell="A49" zoomScale="130" zoomScaleNormal="130" workbookViewId="0">
      <selection activeCell="G1" sqref="G1:J1048576"/>
    </sheetView>
  </sheetViews>
  <sheetFormatPr defaultRowHeight="12" outlineLevelRow="1" outlineLevelCol="1"/>
  <cols>
    <col min="1" max="1" width="1.75" style="155" bestFit="1" customWidth="1"/>
    <col min="2" max="2" width="23.75" style="155" bestFit="1" customWidth="1"/>
    <col min="3" max="5" width="8.625" style="155" bestFit="1" customWidth="1"/>
    <col min="6" max="6" width="1.5" style="155" customWidth="1"/>
    <col min="7" max="9" width="7.875" style="155" customWidth="1" outlineLevel="1"/>
    <col min="10" max="10" width="8.625" style="155" customWidth="1" outlineLevel="1"/>
    <col min="11" max="13" width="7.875" style="155" customWidth="1" outlineLevel="1"/>
    <col min="14" max="14" width="8.625" style="155" customWidth="1" outlineLevel="1"/>
    <col min="15" max="16" width="7.875" style="155" customWidth="1" outlineLevel="1"/>
    <col min="17" max="17" width="7.875" style="155" bestFit="1" customWidth="1"/>
    <col min="18" max="18" width="8.625" style="155" bestFit="1" customWidth="1"/>
    <col min="19" max="21" width="7.875" style="155" bestFit="1" customWidth="1"/>
    <col min="22" max="22" width="1.5" style="155" customWidth="1"/>
    <col min="23" max="23" width="8.625" style="155" bestFit="1" customWidth="1" outlineLevel="1"/>
    <col min="24" max="25" width="7.875" style="155" bestFit="1" customWidth="1" outlineLevel="1"/>
    <col min="26" max="26" width="7.875" style="155" bestFit="1" customWidth="1"/>
    <col min="27" max="27" width="8.625" style="155" bestFit="1" customWidth="1" outlineLevel="1"/>
    <col min="28" max="29" width="7.875" style="155" bestFit="1" customWidth="1" outlineLevel="1"/>
    <col min="30" max="30" width="7.875" style="155" bestFit="1" customWidth="1"/>
    <col min="31" max="16384" width="9" style="155"/>
  </cols>
  <sheetData>
    <row r="2" spans="1:30" ht="12.75" customHeight="1">
      <c r="B2" s="156" t="str">
        <f>'Historical Financials'!B2</f>
        <v>Amazon.com Inc (NASDAQ: AMZN)</v>
      </c>
      <c r="C2" s="157" t="s">
        <v>0</v>
      </c>
      <c r="D2" s="157"/>
      <c r="E2" s="157"/>
      <c r="F2" s="158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7" t="s">
        <v>1</v>
      </c>
      <c r="R2" s="157"/>
      <c r="S2" s="157"/>
      <c r="T2" s="157"/>
      <c r="U2" s="157"/>
      <c r="V2" s="158"/>
      <c r="W2" s="157"/>
      <c r="X2" s="157"/>
      <c r="Y2" s="157"/>
      <c r="Z2" s="157" t="s">
        <v>10</v>
      </c>
      <c r="AA2" s="157"/>
      <c r="AB2" s="157"/>
      <c r="AC2" s="157"/>
      <c r="AD2" s="157"/>
    </row>
    <row r="3" spans="1:30" ht="12.75" customHeight="1">
      <c r="B3" s="159" t="s">
        <v>64</v>
      </c>
      <c r="C3" s="160">
        <f>'Historical Financials'!E7</f>
        <v>2022</v>
      </c>
      <c r="D3" s="160">
        <f>'Historical Financials'!F7</f>
        <v>2023</v>
      </c>
      <c r="E3" s="160">
        <f>'Historical Financials'!G7</f>
        <v>2024</v>
      </c>
      <c r="F3" s="158"/>
      <c r="G3" s="160" t="str">
        <f>'Historical Financials'!I7</f>
        <v>1Q22</v>
      </c>
      <c r="H3" s="160" t="str">
        <f>'Historical Financials'!J7</f>
        <v>2Q22</v>
      </c>
      <c r="I3" s="160" t="str">
        <f>'Historical Financials'!K7</f>
        <v>3Q22</v>
      </c>
      <c r="J3" s="160" t="str">
        <f>'Historical Financials'!L7</f>
        <v>4Q22</v>
      </c>
      <c r="K3" s="160" t="str">
        <f>'Historical Financials'!M7</f>
        <v>1Q23</v>
      </c>
      <c r="L3" s="160" t="str">
        <f>'Historical Financials'!N7</f>
        <v>2Q23</v>
      </c>
      <c r="M3" s="160" t="str">
        <f>'Historical Financials'!O7</f>
        <v>3Q23</v>
      </c>
      <c r="N3" s="160" t="str">
        <f>'Historical Financials'!P7</f>
        <v>4Q23</v>
      </c>
      <c r="O3" s="160" t="str">
        <f>'Historical Financials'!Q7</f>
        <v>1Q24</v>
      </c>
      <c r="P3" s="160" t="str">
        <f>'Historical Financials'!R7</f>
        <v>2Q24</v>
      </c>
      <c r="Q3" s="160" t="str">
        <f>'Historical Financials'!S7</f>
        <v>3Q24</v>
      </c>
      <c r="R3" s="160" t="str">
        <f>'Historical Financials'!T7</f>
        <v>4Q24</v>
      </c>
      <c r="S3" s="160" t="str">
        <f>'Historical Financials'!U7</f>
        <v>1Q25</v>
      </c>
      <c r="T3" s="160" t="str">
        <f>'Historical Financials'!V7</f>
        <v>2Q25</v>
      </c>
      <c r="U3" s="160" t="str">
        <f>'Historical Financials'!W7</f>
        <v>3Q25</v>
      </c>
      <c r="V3" s="161"/>
      <c r="W3" s="161" t="str">
        <f>N3</f>
        <v>4Q23</v>
      </c>
      <c r="X3" s="161" t="str">
        <f>O3</f>
        <v>1Q24</v>
      </c>
      <c r="Y3" s="161" t="str">
        <f>P3</f>
        <v>2Q24</v>
      </c>
      <c r="Z3" s="161" t="str">
        <f>Q3</f>
        <v>3Q24</v>
      </c>
      <c r="AA3" s="161" t="str">
        <f>R3</f>
        <v>4Q24</v>
      </c>
      <c r="AB3" s="161" t="str">
        <f>S3</f>
        <v>1Q25</v>
      </c>
      <c r="AC3" s="161" t="str">
        <f>T3</f>
        <v>2Q25</v>
      </c>
      <c r="AD3" s="161" t="str">
        <f>U3</f>
        <v>3Q25</v>
      </c>
    </row>
    <row r="4" spans="1:30" ht="12.75" customHeight="1">
      <c r="B4" s="159" t="s">
        <v>116</v>
      </c>
      <c r="C4" s="158">
        <f>'Historical Financials'!E8</f>
        <v>44926</v>
      </c>
      <c r="D4" s="158">
        <f>'Historical Financials'!F8</f>
        <v>45291</v>
      </c>
      <c r="E4" s="158">
        <f>'Historical Financials'!G8</f>
        <v>45657</v>
      </c>
      <c r="F4" s="158"/>
      <c r="G4" s="158">
        <f>'Historical Financials'!I8</f>
        <v>44651</v>
      </c>
      <c r="H4" s="158">
        <f>'Historical Financials'!J8</f>
        <v>44742</v>
      </c>
      <c r="I4" s="158">
        <f>'Historical Financials'!K8</f>
        <v>44834</v>
      </c>
      <c r="J4" s="158">
        <f>'Historical Financials'!L8</f>
        <v>44926</v>
      </c>
      <c r="K4" s="158">
        <f>'Historical Financials'!M8</f>
        <v>45016</v>
      </c>
      <c r="L4" s="158">
        <f>'Historical Financials'!N8</f>
        <v>45107</v>
      </c>
      <c r="M4" s="158">
        <f>'Historical Financials'!O8</f>
        <v>45199</v>
      </c>
      <c r="N4" s="158">
        <f>'Historical Financials'!P8</f>
        <v>45291</v>
      </c>
      <c r="O4" s="158">
        <f>'Historical Financials'!Q8</f>
        <v>45382</v>
      </c>
      <c r="P4" s="158">
        <f>'Historical Financials'!R8</f>
        <v>45473</v>
      </c>
      <c r="Q4" s="158">
        <f>'Historical Financials'!S8</f>
        <v>45565</v>
      </c>
      <c r="R4" s="158">
        <f>'Historical Financials'!T8</f>
        <v>45657</v>
      </c>
      <c r="S4" s="158">
        <f>'Historical Financials'!U8</f>
        <v>45747</v>
      </c>
      <c r="T4" s="158">
        <f>'Historical Financials'!V8</f>
        <v>45838</v>
      </c>
      <c r="U4" s="158">
        <f>'Historical Financials'!W8</f>
        <v>45930</v>
      </c>
      <c r="V4" s="158"/>
      <c r="W4" s="158">
        <f>N4</f>
        <v>45291</v>
      </c>
      <c r="X4" s="158">
        <f>O4</f>
        <v>45382</v>
      </c>
      <c r="Y4" s="158">
        <f>P4</f>
        <v>45473</v>
      </c>
      <c r="Z4" s="158">
        <f>Q4</f>
        <v>45565</v>
      </c>
      <c r="AA4" s="158">
        <f>R4</f>
        <v>45657</v>
      </c>
      <c r="AB4" s="158">
        <f>S4</f>
        <v>45747</v>
      </c>
      <c r="AC4" s="158">
        <f>T4</f>
        <v>45838</v>
      </c>
      <c r="AD4" s="158">
        <f>U4</f>
        <v>45930</v>
      </c>
    </row>
    <row r="5" spans="1:30" ht="5.0999999999999996" customHeight="1"/>
    <row r="6" spans="1:30">
      <c r="A6" s="162" t="s">
        <v>16</v>
      </c>
      <c r="B6" s="156" t="s">
        <v>117</v>
      </c>
      <c r="C6" s="156"/>
      <c r="D6" s="156"/>
      <c r="E6" s="156"/>
      <c r="F6" s="156"/>
      <c r="G6" s="156"/>
      <c r="H6" s="156"/>
      <c r="I6" s="156"/>
      <c r="J6" s="156"/>
      <c r="K6" s="156"/>
      <c r="L6" s="156"/>
      <c r="M6" s="156"/>
      <c r="N6" s="156"/>
      <c r="O6" s="156"/>
      <c r="P6" s="156"/>
      <c r="Q6" s="156"/>
      <c r="R6" s="156"/>
      <c r="S6" s="156"/>
      <c r="T6" s="156"/>
      <c r="U6" s="156"/>
      <c r="V6" s="156"/>
      <c r="W6" s="156"/>
      <c r="X6" s="156"/>
      <c r="Y6" s="156"/>
      <c r="Z6" s="156"/>
      <c r="AA6" s="156"/>
      <c r="AB6" s="156"/>
      <c r="AC6" s="156"/>
      <c r="AD6" s="156"/>
    </row>
    <row r="7" spans="1:30" ht="5.0999999999999996" customHeight="1"/>
    <row r="8" spans="1:30" ht="12.75" customHeight="1">
      <c r="A8" s="77" t="s">
        <v>16</v>
      </c>
      <c r="B8" s="163" t="s">
        <v>118</v>
      </c>
      <c r="C8" s="164"/>
      <c r="D8" s="164"/>
      <c r="E8" s="164"/>
      <c r="F8" s="164"/>
      <c r="G8" s="165"/>
      <c r="H8" s="165"/>
      <c r="I8" s="165"/>
      <c r="J8" s="165"/>
      <c r="K8" s="165"/>
      <c r="L8" s="165"/>
      <c r="M8" s="165"/>
      <c r="N8" s="166"/>
      <c r="O8" s="165"/>
      <c r="P8" s="165"/>
      <c r="Q8" s="165"/>
      <c r="R8" s="166"/>
      <c r="S8" s="165"/>
      <c r="T8" s="165"/>
      <c r="U8" s="165"/>
      <c r="W8" s="167"/>
      <c r="X8" s="167"/>
      <c r="Y8" s="167"/>
      <c r="Z8" s="167"/>
      <c r="AA8" s="167"/>
      <c r="AB8" s="167"/>
      <c r="AC8" s="167"/>
      <c r="AD8" s="167"/>
    </row>
    <row r="9" spans="1:30" ht="12.75" customHeight="1">
      <c r="A9" s="77"/>
      <c r="B9" s="168" t="s">
        <v>185</v>
      </c>
      <c r="C9" s="169">
        <v>220004</v>
      </c>
      <c r="D9" s="169">
        <v>231872</v>
      </c>
      <c r="E9" s="169">
        <v>247029</v>
      </c>
      <c r="F9" s="164"/>
      <c r="G9" s="169">
        <v>51129</v>
      </c>
      <c r="H9" s="169">
        <v>50855</v>
      </c>
      <c r="I9" s="169">
        <v>53489</v>
      </c>
      <c r="J9" s="166">
        <f t="shared" ref="J9:J15" si="0">SUM(C9-SUM(G9:I9))</f>
        <v>64531</v>
      </c>
      <c r="K9" s="169">
        <v>51096</v>
      </c>
      <c r="L9" s="169">
        <v>52966</v>
      </c>
      <c r="M9" s="169">
        <v>57267</v>
      </c>
      <c r="N9" s="166">
        <f t="shared" ref="N9:N15" si="1">SUM(D9-SUM(K9:M9))</f>
        <v>70543</v>
      </c>
      <c r="O9" s="169">
        <v>54670</v>
      </c>
      <c r="P9" s="169">
        <v>55392</v>
      </c>
      <c r="Q9" s="169">
        <v>61411</v>
      </c>
      <c r="R9" s="166">
        <f t="shared" ref="R9:R15" si="2">SUM(E9-SUM(O9:Q9))</f>
        <v>75556</v>
      </c>
      <c r="S9" s="169">
        <v>57407</v>
      </c>
      <c r="T9" s="169">
        <v>61485</v>
      </c>
      <c r="U9" s="169">
        <v>67407</v>
      </c>
      <c r="W9" s="166">
        <f t="shared" ref="W9:AC9" si="3">SUM(K9:N9)</f>
        <v>231872</v>
      </c>
      <c r="X9" s="166">
        <f t="shared" si="3"/>
        <v>235446</v>
      </c>
      <c r="Y9" s="166">
        <f t="shared" si="3"/>
        <v>237872</v>
      </c>
      <c r="Z9" s="166">
        <f t="shared" si="3"/>
        <v>242016</v>
      </c>
      <c r="AA9" s="166">
        <f t="shared" si="3"/>
        <v>247029</v>
      </c>
      <c r="AB9" s="166">
        <f t="shared" si="3"/>
        <v>249766</v>
      </c>
      <c r="AC9" s="166">
        <f t="shared" si="3"/>
        <v>255859</v>
      </c>
      <c r="AD9" s="166">
        <f>SUM(R9:U9)</f>
        <v>261855</v>
      </c>
    </row>
    <row r="10" spans="1:30" ht="12.75" customHeight="1">
      <c r="A10" s="77"/>
      <c r="B10" s="168" t="s">
        <v>121</v>
      </c>
      <c r="C10" s="169">
        <v>18963</v>
      </c>
      <c r="D10" s="169">
        <v>20030</v>
      </c>
      <c r="E10" s="169">
        <v>21215</v>
      </c>
      <c r="F10" s="164"/>
      <c r="G10" s="169">
        <v>4591</v>
      </c>
      <c r="H10" s="169">
        <v>4721</v>
      </c>
      <c r="I10" s="169">
        <v>4694</v>
      </c>
      <c r="J10" s="166">
        <f t="shared" si="0"/>
        <v>4957</v>
      </c>
      <c r="K10" s="169">
        <v>4895</v>
      </c>
      <c r="L10" s="169">
        <v>5024</v>
      </c>
      <c r="M10" s="169">
        <v>4959</v>
      </c>
      <c r="N10" s="166">
        <f t="shared" si="1"/>
        <v>5152</v>
      </c>
      <c r="O10" s="169">
        <v>5202</v>
      </c>
      <c r="P10" s="169">
        <v>5206</v>
      </c>
      <c r="Q10" s="169">
        <v>5228</v>
      </c>
      <c r="R10" s="166">
        <f t="shared" si="2"/>
        <v>5579</v>
      </c>
      <c r="S10" s="169">
        <v>5533</v>
      </c>
      <c r="T10" s="169">
        <v>5595</v>
      </c>
      <c r="U10" s="169">
        <v>5578</v>
      </c>
      <c r="W10" s="166">
        <f t="shared" ref="W10:W15" si="4">SUM(K10:N10)</f>
        <v>20030</v>
      </c>
      <c r="X10" s="166">
        <f t="shared" ref="X10:X15" si="5">SUM(L10:O10)</f>
        <v>20337</v>
      </c>
      <c r="Y10" s="166">
        <f t="shared" ref="Y10:Y15" si="6">SUM(M10:P10)</f>
        <v>20519</v>
      </c>
      <c r="Z10" s="166">
        <f t="shared" ref="Z10:Z15" si="7">SUM(N10:Q10)</f>
        <v>20788</v>
      </c>
      <c r="AA10" s="166">
        <f t="shared" ref="AA10:AA15" si="8">SUM(O10:R10)</f>
        <v>21215</v>
      </c>
      <c r="AB10" s="166">
        <f t="shared" ref="AB10:AB15" si="9">SUM(P10:S10)</f>
        <v>21546</v>
      </c>
      <c r="AC10" s="166">
        <f t="shared" ref="AC10:AC15" si="10">SUM(Q10:T10)</f>
        <v>21935</v>
      </c>
      <c r="AD10" s="166">
        <f t="shared" ref="AD10:AD15" si="11">SUM(R10:U10)</f>
        <v>22285</v>
      </c>
    </row>
    <row r="11" spans="1:30" ht="12.75" customHeight="1">
      <c r="A11" s="77"/>
      <c r="B11" s="168" t="s">
        <v>122</v>
      </c>
      <c r="C11" s="169">
        <v>117716</v>
      </c>
      <c r="D11" s="169">
        <v>140053</v>
      </c>
      <c r="E11" s="169">
        <v>156146</v>
      </c>
      <c r="F11" s="164"/>
      <c r="G11" s="169">
        <v>25335</v>
      </c>
      <c r="H11" s="169">
        <v>27376</v>
      </c>
      <c r="I11" s="169">
        <v>28666</v>
      </c>
      <c r="J11" s="166">
        <f t="shared" si="0"/>
        <v>36339</v>
      </c>
      <c r="K11" s="169">
        <v>29820</v>
      </c>
      <c r="L11" s="169">
        <v>32332</v>
      </c>
      <c r="M11" s="169">
        <v>34342</v>
      </c>
      <c r="N11" s="166">
        <f t="shared" si="1"/>
        <v>43559</v>
      </c>
      <c r="O11" s="169">
        <v>34596</v>
      </c>
      <c r="P11" s="169">
        <v>36201</v>
      </c>
      <c r="Q11" s="169">
        <v>37864</v>
      </c>
      <c r="R11" s="166">
        <f t="shared" si="2"/>
        <v>47485</v>
      </c>
      <c r="S11" s="169">
        <v>36512</v>
      </c>
      <c r="T11" s="169">
        <v>40348</v>
      </c>
      <c r="U11" s="169">
        <v>42486</v>
      </c>
      <c r="W11" s="166">
        <f t="shared" si="4"/>
        <v>140053</v>
      </c>
      <c r="X11" s="166">
        <f t="shared" si="5"/>
        <v>144829</v>
      </c>
      <c r="Y11" s="166">
        <f t="shared" si="6"/>
        <v>148698</v>
      </c>
      <c r="Z11" s="166">
        <f t="shared" si="7"/>
        <v>152220</v>
      </c>
      <c r="AA11" s="166">
        <f t="shared" si="8"/>
        <v>156146</v>
      </c>
      <c r="AB11" s="166">
        <f t="shared" si="9"/>
        <v>158062</v>
      </c>
      <c r="AC11" s="166">
        <f t="shared" si="10"/>
        <v>162209</v>
      </c>
      <c r="AD11" s="166">
        <f t="shared" si="11"/>
        <v>166831</v>
      </c>
    </row>
    <row r="12" spans="1:30" ht="12.75" customHeight="1">
      <c r="A12" s="77"/>
      <c r="B12" s="168" t="s">
        <v>123</v>
      </c>
      <c r="C12" s="169">
        <v>37739</v>
      </c>
      <c r="D12" s="169">
        <v>46906</v>
      </c>
      <c r="E12" s="169">
        <v>56214</v>
      </c>
      <c r="F12" s="164"/>
      <c r="G12" s="169">
        <v>8410</v>
      </c>
      <c r="H12" s="169">
        <v>8716</v>
      </c>
      <c r="I12" s="169">
        <v>8903</v>
      </c>
      <c r="J12" s="166">
        <f t="shared" si="0"/>
        <v>11710</v>
      </c>
      <c r="K12" s="169">
        <v>9657</v>
      </c>
      <c r="L12" s="169">
        <v>9894</v>
      </c>
      <c r="M12" s="169">
        <v>12060</v>
      </c>
      <c r="N12" s="166">
        <f t="shared" si="1"/>
        <v>15295</v>
      </c>
      <c r="O12" s="169">
        <v>11824</v>
      </c>
      <c r="P12" s="169">
        <v>12771</v>
      </c>
      <c r="Q12" s="169">
        <v>14331</v>
      </c>
      <c r="R12" s="166">
        <f t="shared" si="2"/>
        <v>17288</v>
      </c>
      <c r="S12" s="169">
        <v>13921</v>
      </c>
      <c r="T12" s="169">
        <v>15694</v>
      </c>
      <c r="U12" s="169">
        <v>17703</v>
      </c>
      <c r="W12" s="166">
        <f t="shared" si="4"/>
        <v>46906</v>
      </c>
      <c r="X12" s="166">
        <f t="shared" si="5"/>
        <v>49073</v>
      </c>
      <c r="Y12" s="166">
        <f t="shared" si="6"/>
        <v>51950</v>
      </c>
      <c r="Z12" s="166">
        <f t="shared" si="7"/>
        <v>54221</v>
      </c>
      <c r="AA12" s="166">
        <f t="shared" si="8"/>
        <v>56214</v>
      </c>
      <c r="AB12" s="166">
        <f t="shared" si="9"/>
        <v>58311</v>
      </c>
      <c r="AC12" s="166">
        <f t="shared" si="10"/>
        <v>61234</v>
      </c>
      <c r="AD12" s="166">
        <f t="shared" si="11"/>
        <v>64606</v>
      </c>
    </row>
    <row r="13" spans="1:30" ht="12.75" customHeight="1">
      <c r="A13" s="77"/>
      <c r="B13" s="168" t="s">
        <v>124</v>
      </c>
      <c r="C13" s="169">
        <v>35218</v>
      </c>
      <c r="D13" s="169">
        <v>40209</v>
      </c>
      <c r="E13" s="169">
        <v>44374</v>
      </c>
      <c r="F13" s="164"/>
      <c r="G13" s="169">
        <v>7877</v>
      </c>
      <c r="H13" s="169">
        <v>8757</v>
      </c>
      <c r="I13" s="169">
        <v>9548</v>
      </c>
      <c r="J13" s="166">
        <f t="shared" si="0"/>
        <v>9036</v>
      </c>
      <c r="K13" s="169">
        <v>9509</v>
      </c>
      <c r="L13" s="169">
        <v>10683</v>
      </c>
      <c r="M13" s="169">
        <v>10170</v>
      </c>
      <c r="N13" s="166">
        <f t="shared" si="1"/>
        <v>9847</v>
      </c>
      <c r="O13" s="169">
        <v>10722</v>
      </c>
      <c r="P13" s="169">
        <v>10866</v>
      </c>
      <c r="Q13" s="169">
        <v>11278</v>
      </c>
      <c r="R13" s="166">
        <f t="shared" si="2"/>
        <v>11508</v>
      </c>
      <c r="S13" s="169">
        <v>11715</v>
      </c>
      <c r="T13" s="169">
        <v>12208</v>
      </c>
      <c r="U13" s="169">
        <v>12574</v>
      </c>
      <c r="W13" s="166">
        <f t="shared" si="4"/>
        <v>40209</v>
      </c>
      <c r="X13" s="166">
        <f t="shared" si="5"/>
        <v>41422</v>
      </c>
      <c r="Y13" s="166">
        <f t="shared" si="6"/>
        <v>41605</v>
      </c>
      <c r="Z13" s="166">
        <f t="shared" si="7"/>
        <v>42713</v>
      </c>
      <c r="AA13" s="166">
        <f t="shared" si="8"/>
        <v>44374</v>
      </c>
      <c r="AB13" s="166">
        <f t="shared" si="9"/>
        <v>45367</v>
      </c>
      <c r="AC13" s="166">
        <f t="shared" si="10"/>
        <v>46709</v>
      </c>
      <c r="AD13" s="166">
        <f t="shared" si="11"/>
        <v>48005</v>
      </c>
    </row>
    <row r="14" spans="1:30" ht="12.75" customHeight="1">
      <c r="A14" s="77"/>
      <c r="B14" s="168" t="s">
        <v>125</v>
      </c>
      <c r="C14" s="169">
        <v>80096</v>
      </c>
      <c r="D14" s="169">
        <v>90757</v>
      </c>
      <c r="E14" s="169">
        <v>107556</v>
      </c>
      <c r="F14" s="164"/>
      <c r="G14" s="169">
        <v>18441</v>
      </c>
      <c r="H14" s="169">
        <v>19739</v>
      </c>
      <c r="I14" s="169">
        <v>20538</v>
      </c>
      <c r="J14" s="166">
        <f t="shared" si="0"/>
        <v>21378</v>
      </c>
      <c r="K14" s="169">
        <v>21354</v>
      </c>
      <c r="L14" s="169">
        <v>22140</v>
      </c>
      <c r="M14" s="169">
        <v>23059</v>
      </c>
      <c r="N14" s="166">
        <f t="shared" si="1"/>
        <v>24204</v>
      </c>
      <c r="O14" s="169">
        <v>25037</v>
      </c>
      <c r="P14" s="169">
        <v>26281</v>
      </c>
      <c r="Q14" s="169">
        <v>27452</v>
      </c>
      <c r="R14" s="166">
        <f t="shared" si="2"/>
        <v>28786</v>
      </c>
      <c r="S14" s="169">
        <v>29267</v>
      </c>
      <c r="T14" s="169">
        <v>30873</v>
      </c>
      <c r="U14" s="169">
        <v>33006</v>
      </c>
      <c r="W14" s="166">
        <f t="shared" si="4"/>
        <v>90757</v>
      </c>
      <c r="X14" s="166">
        <f t="shared" si="5"/>
        <v>94440</v>
      </c>
      <c r="Y14" s="166">
        <f t="shared" si="6"/>
        <v>98581</v>
      </c>
      <c r="Z14" s="166">
        <f t="shared" si="7"/>
        <v>102974</v>
      </c>
      <c r="AA14" s="166">
        <f t="shared" si="8"/>
        <v>107556</v>
      </c>
      <c r="AB14" s="166">
        <f t="shared" si="9"/>
        <v>111786</v>
      </c>
      <c r="AC14" s="166">
        <f t="shared" si="10"/>
        <v>116378</v>
      </c>
      <c r="AD14" s="166">
        <f t="shared" si="11"/>
        <v>121932</v>
      </c>
    </row>
    <row r="15" spans="1:30">
      <c r="B15" s="168" t="s">
        <v>126</v>
      </c>
      <c r="C15" s="169">
        <v>4247</v>
      </c>
      <c r="D15" s="169">
        <v>4958</v>
      </c>
      <c r="E15" s="169">
        <v>5425</v>
      </c>
      <c r="F15" s="169"/>
      <c r="G15" s="169">
        <v>661</v>
      </c>
      <c r="H15" s="169">
        <v>1070</v>
      </c>
      <c r="I15" s="169">
        <v>1263</v>
      </c>
      <c r="J15" s="166">
        <f t="shared" si="0"/>
        <v>1253</v>
      </c>
      <c r="K15" s="169">
        <v>1027</v>
      </c>
      <c r="L15" s="169">
        <v>1344</v>
      </c>
      <c r="M15" s="169">
        <v>1226</v>
      </c>
      <c r="N15" s="166">
        <f t="shared" si="1"/>
        <v>1361</v>
      </c>
      <c r="O15" s="169">
        <v>1262</v>
      </c>
      <c r="P15" s="169">
        <v>1260</v>
      </c>
      <c r="Q15" s="169">
        <v>1313</v>
      </c>
      <c r="R15" s="166">
        <f t="shared" si="2"/>
        <v>1590</v>
      </c>
      <c r="S15" s="169">
        <v>1312</v>
      </c>
      <c r="T15" s="169">
        <v>1499</v>
      </c>
      <c r="U15" s="169">
        <v>1415</v>
      </c>
      <c r="W15" s="166">
        <f t="shared" si="4"/>
        <v>4958</v>
      </c>
      <c r="X15" s="166">
        <f t="shared" si="5"/>
        <v>5193</v>
      </c>
      <c r="Y15" s="166">
        <f t="shared" si="6"/>
        <v>5109</v>
      </c>
      <c r="Z15" s="166">
        <f t="shared" si="7"/>
        <v>5196</v>
      </c>
      <c r="AA15" s="166">
        <f t="shared" si="8"/>
        <v>5425</v>
      </c>
      <c r="AB15" s="166">
        <f t="shared" si="9"/>
        <v>5475</v>
      </c>
      <c r="AC15" s="166">
        <f t="shared" si="10"/>
        <v>5714</v>
      </c>
      <c r="AD15" s="166">
        <f t="shared" si="11"/>
        <v>5816</v>
      </c>
    </row>
    <row r="16" spans="1:30">
      <c r="B16" s="170" t="s">
        <v>65</v>
      </c>
      <c r="C16" s="171">
        <f>SUM(C9:C15)</f>
        <v>513983</v>
      </c>
      <c r="D16" s="171">
        <f>SUM(D9:D15)</f>
        <v>574785</v>
      </c>
      <c r="E16" s="171">
        <f>SUM(E9:E15)</f>
        <v>637959</v>
      </c>
      <c r="F16" s="167"/>
      <c r="G16" s="171">
        <f t="shared" ref="G16:J16" si="12">SUM(G9:G15)</f>
        <v>116444</v>
      </c>
      <c r="H16" s="171">
        <f t="shared" si="12"/>
        <v>121234</v>
      </c>
      <c r="I16" s="171">
        <f t="shared" si="12"/>
        <v>127101</v>
      </c>
      <c r="J16" s="171">
        <f t="shared" si="12"/>
        <v>149204</v>
      </c>
      <c r="K16" s="171">
        <f t="shared" ref="K16:U16" si="13">SUM(K9:K15)</f>
        <v>127358</v>
      </c>
      <c r="L16" s="171">
        <f t="shared" si="13"/>
        <v>134383</v>
      </c>
      <c r="M16" s="171">
        <f t="shared" si="13"/>
        <v>143083</v>
      </c>
      <c r="N16" s="171">
        <f t="shared" si="13"/>
        <v>169961</v>
      </c>
      <c r="O16" s="171">
        <f t="shared" si="13"/>
        <v>143313</v>
      </c>
      <c r="P16" s="171">
        <f t="shared" si="13"/>
        <v>147977</v>
      </c>
      <c r="Q16" s="171">
        <f t="shared" si="13"/>
        <v>158877</v>
      </c>
      <c r="R16" s="171">
        <f t="shared" si="13"/>
        <v>187792</v>
      </c>
      <c r="S16" s="171">
        <f t="shared" si="13"/>
        <v>155667</v>
      </c>
      <c r="T16" s="171">
        <f t="shared" si="13"/>
        <v>167702</v>
      </c>
      <c r="U16" s="171">
        <f t="shared" si="13"/>
        <v>180169</v>
      </c>
      <c r="W16" s="171">
        <f t="shared" ref="W16:AD16" si="14">SUM(W9:W15)</f>
        <v>574785</v>
      </c>
      <c r="X16" s="171">
        <f t="shared" si="14"/>
        <v>590740</v>
      </c>
      <c r="Y16" s="171">
        <f t="shared" si="14"/>
        <v>604334</v>
      </c>
      <c r="Z16" s="171">
        <f t="shared" si="14"/>
        <v>620128</v>
      </c>
      <c r="AA16" s="171">
        <f t="shared" si="14"/>
        <v>637959</v>
      </c>
      <c r="AB16" s="171">
        <f t="shared" si="14"/>
        <v>650313</v>
      </c>
      <c r="AC16" s="171">
        <f t="shared" si="14"/>
        <v>670038</v>
      </c>
      <c r="AD16" s="171">
        <f t="shared" si="14"/>
        <v>691330</v>
      </c>
    </row>
    <row r="17" spans="1:30" outlineLevel="1">
      <c r="B17" s="172" t="s">
        <v>120</v>
      </c>
      <c r="C17" s="173">
        <f>C16-'Historical Financials'!E11</f>
        <v>0</v>
      </c>
      <c r="D17" s="173">
        <f>D16-'Historical Financials'!F11</f>
        <v>0</v>
      </c>
      <c r="E17" s="173">
        <f>E16-'Historical Financials'!G11</f>
        <v>0</v>
      </c>
      <c r="F17" s="167"/>
      <c r="G17" s="173">
        <f>G16-'Historical Financials'!I11</f>
        <v>0</v>
      </c>
      <c r="H17" s="173">
        <f>H16-'Historical Financials'!J11</f>
        <v>0</v>
      </c>
      <c r="I17" s="173">
        <f>I16-'Historical Financials'!K11</f>
        <v>0</v>
      </c>
      <c r="J17" s="173">
        <f>J16-'Historical Financials'!L11</f>
        <v>0</v>
      </c>
      <c r="K17" s="173">
        <f>K16-'Historical Financials'!M11</f>
        <v>0</v>
      </c>
      <c r="L17" s="173">
        <f>L16-'Historical Financials'!N11</f>
        <v>0</v>
      </c>
      <c r="M17" s="173">
        <f>M16-'Historical Financials'!O11</f>
        <v>0</v>
      </c>
      <c r="N17" s="173">
        <f>N16-'Historical Financials'!P11</f>
        <v>0</v>
      </c>
      <c r="O17" s="173">
        <f>O16-'Historical Financials'!Q11</f>
        <v>0</v>
      </c>
      <c r="P17" s="173">
        <f>P16-'Historical Financials'!R11</f>
        <v>0</v>
      </c>
      <c r="Q17" s="173">
        <f>Q16-'Historical Financials'!S11</f>
        <v>0</v>
      </c>
      <c r="R17" s="173">
        <f>R16-'Historical Financials'!T11</f>
        <v>0</v>
      </c>
      <c r="S17" s="173">
        <f>S16-'Historical Financials'!U11</f>
        <v>0</v>
      </c>
      <c r="T17" s="173">
        <f>T16-'Historical Financials'!V11</f>
        <v>0</v>
      </c>
      <c r="U17" s="173">
        <f>U16-'Historical Financials'!W11</f>
        <v>0</v>
      </c>
      <c r="V17" s="173"/>
      <c r="W17" s="173">
        <f>W16-'Historical Financials'!Y11</f>
        <v>0</v>
      </c>
      <c r="X17" s="173">
        <f>X16-'Historical Financials'!Z11</f>
        <v>0</v>
      </c>
      <c r="Y17" s="173">
        <f>Y16-'Historical Financials'!AA11</f>
        <v>0</v>
      </c>
      <c r="Z17" s="173">
        <f>Z16-'Historical Financials'!AB11</f>
        <v>0</v>
      </c>
      <c r="AA17" s="173">
        <f>AA16-'Historical Financials'!AC11</f>
        <v>0</v>
      </c>
      <c r="AB17" s="173">
        <f>AB16-'Historical Financials'!AD11</f>
        <v>0</v>
      </c>
      <c r="AC17" s="173">
        <f>AC16-'Historical Financials'!AE11</f>
        <v>0</v>
      </c>
      <c r="AD17" s="173">
        <f>AD16-'Historical Financials'!AF11</f>
        <v>0</v>
      </c>
    </row>
    <row r="18" spans="1:30" ht="5.0999999999999996" customHeight="1">
      <c r="B18" s="174"/>
      <c r="C18" s="175"/>
      <c r="D18" s="175"/>
      <c r="E18" s="175"/>
      <c r="F18" s="176"/>
      <c r="G18" s="177"/>
      <c r="H18" s="177"/>
      <c r="I18" s="177"/>
      <c r="J18" s="177"/>
      <c r="K18" s="177"/>
      <c r="L18" s="177"/>
      <c r="M18" s="177"/>
      <c r="N18" s="176"/>
      <c r="O18" s="177"/>
      <c r="P18" s="177"/>
      <c r="Q18" s="177"/>
      <c r="R18" s="177"/>
      <c r="S18" s="177"/>
      <c r="T18" s="177"/>
      <c r="U18" s="177"/>
      <c r="V18" s="176"/>
      <c r="W18" s="176"/>
      <c r="X18" s="176"/>
      <c r="Y18" s="176"/>
      <c r="Z18" s="176"/>
      <c r="AA18" s="176"/>
      <c r="AB18" s="176"/>
      <c r="AC18" s="176"/>
      <c r="AD18" s="176"/>
    </row>
    <row r="19" spans="1:30">
      <c r="B19" s="178" t="str">
        <f t="shared" ref="B19:B25" si="15">B9&amp;"(%)"</f>
        <v>Online Stores (%)</v>
      </c>
      <c r="C19" s="147">
        <f t="shared" ref="C19:E25" si="16">SUM(C9/C$16)</f>
        <v>0.42803750318590306</v>
      </c>
      <c r="D19" s="147">
        <f t="shared" si="16"/>
        <v>0.40340649112276766</v>
      </c>
      <c r="E19" s="147">
        <f t="shared" si="16"/>
        <v>0.38721767386305389</v>
      </c>
      <c r="F19" s="179"/>
      <c r="G19" s="147">
        <f t="shared" ref="G19" si="17">SUM(G9/G$16)</f>
        <v>0.43908659956717394</v>
      </c>
      <c r="H19" s="147">
        <f t="shared" ref="H19:J19" si="18">SUM(H9/H$16)</f>
        <v>0.41947803421482421</v>
      </c>
      <c r="I19" s="147">
        <f t="shared" si="18"/>
        <v>0.42083854572347973</v>
      </c>
      <c r="J19" s="147">
        <f t="shared" si="18"/>
        <v>0.4325018096029597</v>
      </c>
      <c r="K19" s="147">
        <f t="shared" ref="K19:U19" si="19">SUM(K9/K$16)</f>
        <v>0.40119976758428993</v>
      </c>
      <c r="L19" s="147">
        <f t="shared" si="19"/>
        <v>0.39414211619029194</v>
      </c>
      <c r="M19" s="147">
        <f t="shared" si="19"/>
        <v>0.4002362265258626</v>
      </c>
      <c r="N19" s="147">
        <f t="shared" si="19"/>
        <v>0.4150540418095916</v>
      </c>
      <c r="O19" s="147">
        <f t="shared" si="19"/>
        <v>0.38147272054872899</v>
      </c>
      <c r="P19" s="147">
        <f t="shared" si="19"/>
        <v>0.37432844293369916</v>
      </c>
      <c r="Q19" s="147">
        <f t="shared" si="19"/>
        <v>0.38653171950628473</v>
      </c>
      <c r="R19" s="147">
        <f t="shared" si="19"/>
        <v>0.40233875777455907</v>
      </c>
      <c r="S19" s="147">
        <f t="shared" si="19"/>
        <v>0.3687807949019381</v>
      </c>
      <c r="T19" s="147">
        <f t="shared" si="19"/>
        <v>0.36663247904020224</v>
      </c>
      <c r="U19" s="147">
        <f t="shared" si="19"/>
        <v>0.37413206489462669</v>
      </c>
      <c r="V19" s="179"/>
      <c r="W19" s="180">
        <f>N19</f>
        <v>0.4150540418095916</v>
      </c>
      <c r="X19" s="180">
        <f>O19</f>
        <v>0.38147272054872899</v>
      </c>
      <c r="Y19" s="180">
        <f>P19</f>
        <v>0.37432844293369916</v>
      </c>
      <c r="Z19" s="180">
        <f>Q19</f>
        <v>0.38653171950628473</v>
      </c>
      <c r="AA19" s="180">
        <f>R19</f>
        <v>0.40233875777455907</v>
      </c>
      <c r="AB19" s="180">
        <f>S19</f>
        <v>0.3687807949019381</v>
      </c>
      <c r="AC19" s="180">
        <f>T19</f>
        <v>0.36663247904020224</v>
      </c>
      <c r="AD19" s="181">
        <f>U19</f>
        <v>0.37413206489462669</v>
      </c>
    </row>
    <row r="20" spans="1:30">
      <c r="B20" s="182" t="str">
        <f t="shared" si="15"/>
        <v>Physical Stores(%)</v>
      </c>
      <c r="C20" s="149">
        <f t="shared" si="16"/>
        <v>3.68942163456768E-2</v>
      </c>
      <c r="D20" s="149">
        <f t="shared" si="16"/>
        <v>3.4847812660386057E-2</v>
      </c>
      <c r="E20" s="149">
        <f t="shared" si="16"/>
        <v>3.3254488141087439E-2</v>
      </c>
      <c r="F20" s="183"/>
      <c r="G20" s="149">
        <f t="shared" ref="G20" si="20">SUM(G10/G$16)</f>
        <v>3.9426677201058018E-2</v>
      </c>
      <c r="H20" s="149">
        <f t="shared" ref="H20:J20" si="21">SUM(H10/H$16)</f>
        <v>3.8941221109589717E-2</v>
      </c>
      <c r="I20" s="149">
        <f t="shared" si="21"/>
        <v>3.6931259392136963E-2</v>
      </c>
      <c r="J20" s="149">
        <f t="shared" si="21"/>
        <v>3.3222969893568537E-2</v>
      </c>
      <c r="K20" s="149">
        <f t="shared" ref="K20:U20" si="22">SUM(K10/K$16)</f>
        <v>3.8434962860597686E-2</v>
      </c>
      <c r="L20" s="149">
        <f t="shared" si="22"/>
        <v>3.7385681224559653E-2</v>
      </c>
      <c r="M20" s="149">
        <f t="shared" si="22"/>
        <v>3.4658205377298489E-2</v>
      </c>
      <c r="N20" s="149">
        <f t="shared" si="22"/>
        <v>3.0312836474249975E-2</v>
      </c>
      <c r="O20" s="149">
        <f t="shared" si="22"/>
        <v>3.6298172531452136E-2</v>
      </c>
      <c r="P20" s="149">
        <f t="shared" si="22"/>
        <v>3.5181143015468617E-2</v>
      </c>
      <c r="Q20" s="149">
        <f t="shared" si="22"/>
        <v>3.2905958697608845E-2</v>
      </c>
      <c r="R20" s="149">
        <f t="shared" si="22"/>
        <v>2.9708400783845956E-2</v>
      </c>
      <c r="S20" s="149">
        <f t="shared" si="22"/>
        <v>3.5543821105308127E-2</v>
      </c>
      <c r="T20" s="149">
        <f t="shared" si="22"/>
        <v>3.3362750593314332E-2</v>
      </c>
      <c r="U20" s="149">
        <f t="shared" si="22"/>
        <v>3.095982105689658E-2</v>
      </c>
      <c r="V20" s="183"/>
      <c r="W20" s="184">
        <f>N20</f>
        <v>3.0312836474249975E-2</v>
      </c>
      <c r="X20" s="184">
        <f>O20</f>
        <v>3.6298172531452136E-2</v>
      </c>
      <c r="Y20" s="184">
        <f>P20</f>
        <v>3.5181143015468617E-2</v>
      </c>
      <c r="Z20" s="184">
        <f>Q20</f>
        <v>3.2905958697608845E-2</v>
      </c>
      <c r="AA20" s="184">
        <f>R20</f>
        <v>2.9708400783845956E-2</v>
      </c>
      <c r="AB20" s="184">
        <f>S20</f>
        <v>3.5543821105308127E-2</v>
      </c>
      <c r="AC20" s="184">
        <f>T20</f>
        <v>3.3362750593314332E-2</v>
      </c>
      <c r="AD20" s="185">
        <f>U20</f>
        <v>3.095982105689658E-2</v>
      </c>
    </row>
    <row r="21" spans="1:30">
      <c r="B21" s="182" t="str">
        <f t="shared" si="15"/>
        <v>Third-party Seller Services(%)</v>
      </c>
      <c r="C21" s="149">
        <f t="shared" si="16"/>
        <v>0.22902703007687025</v>
      </c>
      <c r="D21" s="149">
        <f t="shared" si="16"/>
        <v>0.24366154301173482</v>
      </c>
      <c r="E21" s="149">
        <f t="shared" si="16"/>
        <v>0.24475867571427004</v>
      </c>
      <c r="F21" s="183"/>
      <c r="G21" s="149">
        <f t="shared" ref="G21" si="23">SUM(G11/G$16)</f>
        <v>0.21757239531448594</v>
      </c>
      <c r="H21" s="149">
        <f t="shared" ref="H21:J21" si="24">SUM(H11/H$16)</f>
        <v>0.22581124107098668</v>
      </c>
      <c r="I21" s="149">
        <f t="shared" si="24"/>
        <v>0.22553717122603284</v>
      </c>
      <c r="J21" s="149">
        <f t="shared" si="24"/>
        <v>0.24355245167689873</v>
      </c>
      <c r="K21" s="149">
        <f t="shared" ref="K21:U21" si="25">SUM(K11/K$16)</f>
        <v>0.2341431241068484</v>
      </c>
      <c r="L21" s="149">
        <f t="shared" si="25"/>
        <v>0.24059590870869083</v>
      </c>
      <c r="M21" s="149">
        <f t="shared" si="25"/>
        <v>0.24001453701697617</v>
      </c>
      <c r="N21" s="149">
        <f t="shared" si="25"/>
        <v>0.25628820729461466</v>
      </c>
      <c r="O21" s="149">
        <f t="shared" si="25"/>
        <v>0.24140168721609345</v>
      </c>
      <c r="P21" s="149">
        <f t="shared" si="25"/>
        <v>0.24463936963176711</v>
      </c>
      <c r="Q21" s="149">
        <f t="shared" si="25"/>
        <v>0.23832272764465592</v>
      </c>
      <c r="R21" s="149">
        <f t="shared" si="25"/>
        <v>0.25285954673255517</v>
      </c>
      <c r="S21" s="149">
        <f t="shared" si="25"/>
        <v>0.23455196027417499</v>
      </c>
      <c r="T21" s="149">
        <f t="shared" si="25"/>
        <v>0.24059343359053559</v>
      </c>
      <c r="U21" s="149">
        <f t="shared" si="25"/>
        <v>0.2358119321303887</v>
      </c>
      <c r="V21" s="183"/>
      <c r="W21" s="184">
        <f>N21</f>
        <v>0.25628820729461466</v>
      </c>
      <c r="X21" s="184">
        <f>O21</f>
        <v>0.24140168721609345</v>
      </c>
      <c r="Y21" s="184">
        <f>P21</f>
        <v>0.24463936963176711</v>
      </c>
      <c r="Z21" s="184">
        <f>Q21</f>
        <v>0.23832272764465592</v>
      </c>
      <c r="AA21" s="184">
        <f>R21</f>
        <v>0.25285954673255517</v>
      </c>
      <c r="AB21" s="184">
        <f>S21</f>
        <v>0.23455196027417499</v>
      </c>
      <c r="AC21" s="184">
        <f>T21</f>
        <v>0.24059343359053559</v>
      </c>
      <c r="AD21" s="185">
        <f>U21</f>
        <v>0.2358119321303887</v>
      </c>
    </row>
    <row r="22" spans="1:30">
      <c r="B22" s="182" t="str">
        <f t="shared" si="15"/>
        <v>Advertising Services(%)</v>
      </c>
      <c r="C22" s="149">
        <f t="shared" si="16"/>
        <v>7.3424607428650368E-2</v>
      </c>
      <c r="D22" s="149">
        <f t="shared" si="16"/>
        <v>8.1606165783727827E-2</v>
      </c>
      <c r="E22" s="149">
        <f t="shared" si="16"/>
        <v>8.811538045548381E-2</v>
      </c>
      <c r="F22" s="183"/>
      <c r="G22" s="149">
        <f t="shared" ref="G22" si="26">SUM(G12/G$16)</f>
        <v>7.2223558105183605E-2</v>
      </c>
      <c r="H22" s="149">
        <f t="shared" ref="H22:J22" si="27">SUM(H12/H$16)</f>
        <v>7.1894023128825243E-2</v>
      </c>
      <c r="I22" s="149">
        <f t="shared" si="27"/>
        <v>7.0046655809159641E-2</v>
      </c>
      <c r="J22" s="149">
        <f t="shared" si="27"/>
        <v>7.848315058577518E-2</v>
      </c>
      <c r="K22" s="149">
        <f t="shared" ref="K22:U22" si="28">SUM(K12/K$16)</f>
        <v>7.5825625402408961E-2</v>
      </c>
      <c r="L22" s="149">
        <f t="shared" si="28"/>
        <v>7.3625384163175406E-2</v>
      </c>
      <c r="M22" s="149">
        <f t="shared" si="28"/>
        <v>8.4286742659854766E-2</v>
      </c>
      <c r="N22" s="149">
        <f t="shared" si="28"/>
        <v>8.9991233282929614E-2</v>
      </c>
      <c r="O22" s="149">
        <f t="shared" si="28"/>
        <v>8.2504727414819318E-2</v>
      </c>
      <c r="P22" s="149">
        <f t="shared" si="28"/>
        <v>8.6303952641288845E-2</v>
      </c>
      <c r="Q22" s="149">
        <f t="shared" si="28"/>
        <v>9.0201854264619796E-2</v>
      </c>
      <c r="R22" s="149">
        <f t="shared" si="28"/>
        <v>9.2059299650677343E-2</v>
      </c>
      <c r="S22" s="149">
        <f t="shared" si="28"/>
        <v>8.9428074029820059E-2</v>
      </c>
      <c r="T22" s="149">
        <f t="shared" si="28"/>
        <v>9.358266448819931E-2</v>
      </c>
      <c r="U22" s="149">
        <f t="shared" si="28"/>
        <v>9.825774689319472E-2</v>
      </c>
      <c r="V22" s="183"/>
      <c r="W22" s="184">
        <f>N22</f>
        <v>8.9991233282929614E-2</v>
      </c>
      <c r="X22" s="184">
        <f>O22</f>
        <v>8.2504727414819318E-2</v>
      </c>
      <c r="Y22" s="184">
        <f>P22</f>
        <v>8.6303952641288845E-2</v>
      </c>
      <c r="Z22" s="184">
        <f>Q22</f>
        <v>9.0201854264619796E-2</v>
      </c>
      <c r="AA22" s="184">
        <f>R22</f>
        <v>9.2059299650677343E-2</v>
      </c>
      <c r="AB22" s="184">
        <f>S22</f>
        <v>8.9428074029820059E-2</v>
      </c>
      <c r="AC22" s="184">
        <f>T22</f>
        <v>9.358266448819931E-2</v>
      </c>
      <c r="AD22" s="185">
        <f>U22</f>
        <v>9.825774689319472E-2</v>
      </c>
    </row>
    <row r="23" spans="1:30">
      <c r="B23" s="182" t="str">
        <f t="shared" si="15"/>
        <v>Subscription Services(%)</v>
      </c>
      <c r="C23" s="149">
        <f t="shared" si="16"/>
        <v>6.8519775945897046E-2</v>
      </c>
      <c r="D23" s="149">
        <f t="shared" si="16"/>
        <v>6.9954852684047081E-2</v>
      </c>
      <c r="E23" s="149">
        <f t="shared" si="16"/>
        <v>6.9556194050087852E-2</v>
      </c>
      <c r="F23" s="183"/>
      <c r="G23" s="149">
        <f t="shared" ref="G23" si="29">SUM(G13/G$16)</f>
        <v>6.7646250558208235E-2</v>
      </c>
      <c r="H23" s="149">
        <f t="shared" ref="H23:J23" si="30">SUM(H13/H$16)</f>
        <v>7.2232212085718533E-2</v>
      </c>
      <c r="I23" s="149">
        <f t="shared" si="30"/>
        <v>7.5121360178126054E-2</v>
      </c>
      <c r="J23" s="149">
        <f t="shared" si="30"/>
        <v>6.0561379051499963E-2</v>
      </c>
      <c r="K23" s="149">
        <f t="shared" ref="K23:U23" si="31">SUM(K13/K$16)</f>
        <v>7.4663546852180462E-2</v>
      </c>
      <c r="L23" s="149">
        <f t="shared" si="31"/>
        <v>7.9496662524277631E-2</v>
      </c>
      <c r="M23" s="149">
        <f t="shared" si="31"/>
        <v>7.1077626272862598E-2</v>
      </c>
      <c r="N23" s="149">
        <f t="shared" si="31"/>
        <v>5.7936820800065895E-2</v>
      </c>
      <c r="O23" s="149">
        <f t="shared" si="31"/>
        <v>7.4815264491009184E-2</v>
      </c>
      <c r="P23" s="149">
        <f t="shared" si="31"/>
        <v>7.3430330389182105E-2</v>
      </c>
      <c r="Q23" s="149">
        <f t="shared" si="31"/>
        <v>7.0985731100159238E-2</v>
      </c>
      <c r="R23" s="149">
        <f t="shared" si="31"/>
        <v>6.1280565732299563E-2</v>
      </c>
      <c r="S23" s="149">
        <f t="shared" si="31"/>
        <v>7.5256798165314415E-2</v>
      </c>
      <c r="T23" s="149">
        <f t="shared" si="31"/>
        <v>7.2795792536761633E-2</v>
      </c>
      <c r="U23" s="149">
        <f t="shared" si="31"/>
        <v>6.9790030471390749E-2</v>
      </c>
      <c r="V23" s="183"/>
      <c r="W23" s="184">
        <f>N23</f>
        <v>5.7936820800065895E-2</v>
      </c>
      <c r="X23" s="184">
        <f>O23</f>
        <v>7.4815264491009184E-2</v>
      </c>
      <c r="Y23" s="184">
        <f>P23</f>
        <v>7.3430330389182105E-2</v>
      </c>
      <c r="Z23" s="184">
        <f>Q23</f>
        <v>7.0985731100159238E-2</v>
      </c>
      <c r="AA23" s="184">
        <f>R23</f>
        <v>6.1280565732299563E-2</v>
      </c>
      <c r="AB23" s="184">
        <f>S23</f>
        <v>7.5256798165314415E-2</v>
      </c>
      <c r="AC23" s="184">
        <f>T23</f>
        <v>7.2795792536761633E-2</v>
      </c>
      <c r="AD23" s="185">
        <f>U23</f>
        <v>6.9790030471390749E-2</v>
      </c>
    </row>
    <row r="24" spans="1:30">
      <c r="B24" s="182" t="str">
        <f t="shared" si="15"/>
        <v>AWS(%)</v>
      </c>
      <c r="C24" s="149">
        <f t="shared" si="16"/>
        <v>0.15583394781539467</v>
      </c>
      <c r="D24" s="149">
        <f t="shared" si="16"/>
        <v>0.15789730072983812</v>
      </c>
      <c r="E24" s="149">
        <f t="shared" si="16"/>
        <v>0.16859390650496348</v>
      </c>
      <c r="F24" s="183"/>
      <c r="G24" s="149">
        <f t="shared" ref="G24" si="32">SUM(G14/G$16)</f>
        <v>0.15836797087011784</v>
      </c>
      <c r="H24" s="149">
        <f t="shared" ref="H24:J24" si="33">SUM(H14/H$16)</f>
        <v>0.16281736146625533</v>
      </c>
      <c r="I24" s="149">
        <f t="shared" si="33"/>
        <v>0.16158802841834446</v>
      </c>
      <c r="J24" s="149">
        <f t="shared" si="33"/>
        <v>0.14328034100962442</v>
      </c>
      <c r="K24" s="149">
        <f t="shared" ref="K24:U24" si="34">SUM(K14/K$16)</f>
        <v>0.16766909028094035</v>
      </c>
      <c r="L24" s="149">
        <f t="shared" si="34"/>
        <v>0.16475298214803955</v>
      </c>
      <c r="M24" s="149">
        <f t="shared" si="34"/>
        <v>0.16115820887177373</v>
      </c>
      <c r="N24" s="149">
        <f t="shared" si="34"/>
        <v>0.14240914092056414</v>
      </c>
      <c r="O24" s="149">
        <f t="shared" si="34"/>
        <v>0.17470152742598369</v>
      </c>
      <c r="P24" s="149">
        <f t="shared" si="34"/>
        <v>0.1776019246234212</v>
      </c>
      <c r="Q24" s="149">
        <f t="shared" si="34"/>
        <v>0.17278775404872951</v>
      </c>
      <c r="R24" s="149">
        <f t="shared" si="34"/>
        <v>0.15328661497827384</v>
      </c>
      <c r="S24" s="149">
        <f t="shared" si="34"/>
        <v>0.18801030404645813</v>
      </c>
      <c r="T24" s="149">
        <f t="shared" si="34"/>
        <v>0.18409440555270659</v>
      </c>
      <c r="U24" s="149">
        <f t="shared" si="34"/>
        <v>0.18319466722910158</v>
      </c>
      <c r="V24" s="183"/>
      <c r="W24" s="184">
        <f>N24</f>
        <v>0.14240914092056414</v>
      </c>
      <c r="X24" s="184">
        <f>O24</f>
        <v>0.17470152742598369</v>
      </c>
      <c r="Y24" s="184">
        <f>P24</f>
        <v>0.1776019246234212</v>
      </c>
      <c r="Z24" s="184">
        <f>Q24</f>
        <v>0.17278775404872951</v>
      </c>
      <c r="AA24" s="184">
        <f>R24</f>
        <v>0.15328661497827384</v>
      </c>
      <c r="AB24" s="184">
        <f>S24</f>
        <v>0.18801030404645813</v>
      </c>
      <c r="AC24" s="184">
        <f>T24</f>
        <v>0.18409440555270659</v>
      </c>
      <c r="AD24" s="185">
        <f>U24</f>
        <v>0.18319466722910158</v>
      </c>
    </row>
    <row r="25" spans="1:30" ht="12.75" customHeight="1">
      <c r="B25" s="186" t="str">
        <f t="shared" si="15"/>
        <v>Other(%)</v>
      </c>
      <c r="C25" s="148">
        <f t="shared" si="16"/>
        <v>8.2629192016078351E-3</v>
      </c>
      <c r="D25" s="148">
        <f t="shared" si="16"/>
        <v>8.6258340074984556E-3</v>
      </c>
      <c r="E25" s="148">
        <f t="shared" si="16"/>
        <v>8.5036812710534686E-3</v>
      </c>
      <c r="F25" s="187"/>
      <c r="G25" s="148">
        <f t="shared" ref="G25" si="35">SUM(G15/G$16)</f>
        <v>5.6765483837724574E-3</v>
      </c>
      <c r="H25" s="148">
        <f t="shared" ref="H25:J25" si="36">SUM(H15/H$16)</f>
        <v>8.8259069238002547E-3</v>
      </c>
      <c r="I25" s="148">
        <f t="shared" si="36"/>
        <v>9.9369792527202773E-3</v>
      </c>
      <c r="J25" s="148">
        <f t="shared" si="36"/>
        <v>8.3978981796734679E-3</v>
      </c>
      <c r="K25" s="148">
        <f t="shared" ref="K25:U25" si="37">SUM(K15/K$16)</f>
        <v>8.063882912734183E-3</v>
      </c>
      <c r="L25" s="148">
        <f t="shared" si="37"/>
        <v>1.0001265040965003E-2</v>
      </c>
      <c r="M25" s="148">
        <f t="shared" si="37"/>
        <v>8.5684532753716371E-3</v>
      </c>
      <c r="N25" s="148">
        <f t="shared" si="37"/>
        <v>8.0077194179841264E-3</v>
      </c>
      <c r="O25" s="148">
        <f t="shared" si="37"/>
        <v>8.8059003719132244E-3</v>
      </c>
      <c r="P25" s="148">
        <f t="shared" si="37"/>
        <v>8.5148367651729662E-3</v>
      </c>
      <c r="Q25" s="148">
        <f t="shared" si="37"/>
        <v>8.2642547379419302E-3</v>
      </c>
      <c r="R25" s="148">
        <f t="shared" si="37"/>
        <v>8.4668143477890437E-3</v>
      </c>
      <c r="S25" s="148">
        <f t="shared" si="37"/>
        <v>8.428247476986131E-3</v>
      </c>
      <c r="T25" s="148">
        <f t="shared" si="37"/>
        <v>8.9384741982802829E-3</v>
      </c>
      <c r="U25" s="148">
        <f t="shared" si="37"/>
        <v>7.8537373244009796E-3</v>
      </c>
      <c r="V25" s="187"/>
      <c r="W25" s="188">
        <f>N25</f>
        <v>8.0077194179841264E-3</v>
      </c>
      <c r="X25" s="188">
        <f>O25</f>
        <v>8.8059003719132244E-3</v>
      </c>
      <c r="Y25" s="188">
        <f>P25</f>
        <v>8.5148367651729662E-3</v>
      </c>
      <c r="Z25" s="188">
        <f>Q25</f>
        <v>8.2642547379419302E-3</v>
      </c>
      <c r="AA25" s="188">
        <f>R25</f>
        <v>8.4668143477890437E-3</v>
      </c>
      <c r="AB25" s="188">
        <f>S25</f>
        <v>8.428247476986131E-3</v>
      </c>
      <c r="AC25" s="188">
        <f>T25</f>
        <v>8.9384741982802829E-3</v>
      </c>
      <c r="AD25" s="189">
        <f>U25</f>
        <v>7.8537373244009796E-3</v>
      </c>
    </row>
    <row r="26" spans="1:30">
      <c r="B26" s="174"/>
      <c r="C26" s="175"/>
      <c r="D26" s="175"/>
      <c r="E26" s="175"/>
      <c r="F26" s="176"/>
      <c r="G26" s="177"/>
      <c r="H26" s="177"/>
      <c r="I26" s="177"/>
      <c r="J26" s="177"/>
      <c r="K26" s="177"/>
      <c r="L26" s="177"/>
      <c r="M26" s="177"/>
      <c r="N26" s="176"/>
      <c r="O26" s="177"/>
      <c r="P26" s="177"/>
      <c r="Q26" s="177"/>
      <c r="R26" s="177"/>
      <c r="S26" s="177"/>
      <c r="T26" s="177"/>
      <c r="U26" s="177"/>
      <c r="V26" s="176"/>
      <c r="W26" s="176"/>
      <c r="X26" s="176"/>
      <c r="Y26" s="176"/>
      <c r="Z26" s="176"/>
      <c r="AA26" s="176"/>
      <c r="AB26" s="176"/>
      <c r="AC26" s="176"/>
      <c r="AD26" s="176"/>
    </row>
    <row r="27" spans="1:30">
      <c r="A27" s="162" t="s">
        <v>16</v>
      </c>
      <c r="B27" s="156" t="s">
        <v>119</v>
      </c>
      <c r="C27" s="156"/>
      <c r="D27" s="156"/>
      <c r="E27" s="156"/>
      <c r="F27" s="156"/>
      <c r="G27" s="156"/>
      <c r="H27" s="156"/>
      <c r="I27" s="156"/>
      <c r="J27" s="156"/>
      <c r="K27" s="156"/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6"/>
      <c r="AB27" s="156"/>
      <c r="AC27" s="156"/>
      <c r="AD27" s="156"/>
    </row>
    <row r="28" spans="1:30" ht="5.0999999999999996" customHeight="1"/>
    <row r="29" spans="1:30" ht="12.75" customHeight="1">
      <c r="A29" s="77" t="s">
        <v>16</v>
      </c>
      <c r="B29" s="163" t="s">
        <v>119</v>
      </c>
      <c r="C29" s="164"/>
      <c r="D29" s="164"/>
      <c r="E29" s="164"/>
      <c r="F29" s="164"/>
      <c r="G29" s="165"/>
      <c r="H29" s="165"/>
      <c r="I29" s="165"/>
      <c r="J29" s="165"/>
      <c r="K29" s="165"/>
      <c r="L29" s="165"/>
      <c r="M29" s="165"/>
      <c r="N29" s="166"/>
      <c r="O29" s="165"/>
      <c r="P29" s="165"/>
      <c r="Q29" s="165"/>
      <c r="R29" s="166"/>
      <c r="S29" s="165"/>
      <c r="T29" s="165"/>
      <c r="U29" s="165"/>
      <c r="W29" s="167"/>
      <c r="X29" s="167"/>
      <c r="Y29" s="167"/>
      <c r="Z29" s="167"/>
      <c r="AA29" s="167"/>
      <c r="AB29" s="167"/>
      <c r="AC29" s="167"/>
      <c r="AD29" s="167"/>
    </row>
    <row r="30" spans="1:30" ht="12.75" customHeight="1">
      <c r="A30" s="77"/>
      <c r="B30" s="168" t="s">
        <v>131</v>
      </c>
      <c r="C30" s="169">
        <v>315880</v>
      </c>
      <c r="D30" s="169">
        <v>352828</v>
      </c>
      <c r="E30" s="169">
        <v>387497</v>
      </c>
      <c r="F30" s="164"/>
      <c r="G30" s="169">
        <v>69244</v>
      </c>
      <c r="H30" s="169">
        <v>74430</v>
      </c>
      <c r="I30" s="169">
        <v>78843</v>
      </c>
      <c r="J30" s="166">
        <f t="shared" ref="J30:J32" si="38">SUM(C30-SUM(G30:I30))</f>
        <v>93363</v>
      </c>
      <c r="K30" s="169">
        <v>76881</v>
      </c>
      <c r="L30" s="169">
        <v>82546</v>
      </c>
      <c r="M30" s="169">
        <v>87887</v>
      </c>
      <c r="N30" s="166">
        <v>105514</v>
      </c>
      <c r="O30" s="169">
        <v>86341</v>
      </c>
      <c r="P30" s="169">
        <v>90033</v>
      </c>
      <c r="Q30" s="169">
        <v>95537</v>
      </c>
      <c r="R30" s="166">
        <v>115586</v>
      </c>
      <c r="S30" s="169">
        <v>92887</v>
      </c>
      <c r="T30" s="169">
        <v>100068</v>
      </c>
      <c r="U30" s="169">
        <v>106267</v>
      </c>
      <c r="W30" s="166">
        <f t="shared" ref="W30:W32" si="39">SUM(K30:N30)</f>
        <v>352828</v>
      </c>
      <c r="X30" s="166">
        <f t="shared" ref="X30:X32" si="40">SUM(L30:O30)</f>
        <v>362288</v>
      </c>
      <c r="Y30" s="166">
        <f t="shared" ref="Y30:Y32" si="41">SUM(M30:P30)</f>
        <v>369775</v>
      </c>
      <c r="Z30" s="166">
        <f t="shared" ref="Z30:Z32" si="42">SUM(N30:Q30)</f>
        <v>377425</v>
      </c>
      <c r="AA30" s="166">
        <f t="shared" ref="AA30:AA32" si="43">SUM(O30:R30)</f>
        <v>387497</v>
      </c>
      <c r="AB30" s="166">
        <f t="shared" ref="AB30:AB32" si="44">SUM(P30:S30)</f>
        <v>394043</v>
      </c>
      <c r="AC30" s="166">
        <f t="shared" ref="AC30:AC32" si="45">SUM(Q30:T30)</f>
        <v>404078</v>
      </c>
      <c r="AD30" s="166">
        <f t="shared" ref="AD30:AD32" si="46">SUM(R30:U30)</f>
        <v>414808</v>
      </c>
    </row>
    <row r="31" spans="1:30" ht="12.75" customHeight="1">
      <c r="A31" s="77"/>
      <c r="B31" s="168" t="s">
        <v>132</v>
      </c>
      <c r="C31" s="169">
        <v>118007</v>
      </c>
      <c r="D31" s="169">
        <v>131200</v>
      </c>
      <c r="E31" s="169">
        <v>142906</v>
      </c>
      <c r="F31" s="164"/>
      <c r="G31" s="169">
        <v>28759</v>
      </c>
      <c r="H31" s="169">
        <v>27065</v>
      </c>
      <c r="I31" s="169">
        <v>27720</v>
      </c>
      <c r="J31" s="166">
        <f t="shared" si="38"/>
        <v>34463</v>
      </c>
      <c r="K31" s="169">
        <v>29123</v>
      </c>
      <c r="L31" s="169">
        <v>29697</v>
      </c>
      <c r="M31" s="169">
        <v>32137</v>
      </c>
      <c r="N31" s="166">
        <v>40243</v>
      </c>
      <c r="O31" s="169">
        <v>31935</v>
      </c>
      <c r="P31" s="169">
        <v>31663</v>
      </c>
      <c r="Q31" s="169">
        <v>35888</v>
      </c>
      <c r="R31" s="166">
        <v>43420</v>
      </c>
      <c r="S31" s="169">
        <v>33513</v>
      </c>
      <c r="T31" s="169">
        <v>36761</v>
      </c>
      <c r="U31" s="169">
        <v>40896</v>
      </c>
      <c r="W31" s="166">
        <f t="shared" si="39"/>
        <v>131200</v>
      </c>
      <c r="X31" s="166">
        <f t="shared" si="40"/>
        <v>134012</v>
      </c>
      <c r="Y31" s="166">
        <f t="shared" si="41"/>
        <v>135978</v>
      </c>
      <c r="Z31" s="166">
        <f t="shared" si="42"/>
        <v>139729</v>
      </c>
      <c r="AA31" s="166">
        <f t="shared" si="43"/>
        <v>142906</v>
      </c>
      <c r="AB31" s="166">
        <f t="shared" si="44"/>
        <v>144484</v>
      </c>
      <c r="AC31" s="166">
        <f t="shared" si="45"/>
        <v>149582</v>
      </c>
      <c r="AD31" s="166">
        <f t="shared" si="46"/>
        <v>154590</v>
      </c>
    </row>
    <row r="32" spans="1:30">
      <c r="B32" s="168" t="s">
        <v>133</v>
      </c>
      <c r="C32" s="169">
        <v>80096</v>
      </c>
      <c r="D32" s="169">
        <v>90757</v>
      </c>
      <c r="E32" s="169">
        <v>107556</v>
      </c>
      <c r="F32" s="169"/>
      <c r="G32" s="169">
        <v>18441</v>
      </c>
      <c r="H32" s="169">
        <v>19739</v>
      </c>
      <c r="I32" s="169">
        <v>20538</v>
      </c>
      <c r="J32" s="166">
        <f t="shared" si="38"/>
        <v>21378</v>
      </c>
      <c r="K32" s="169">
        <v>21354</v>
      </c>
      <c r="L32" s="169">
        <v>22140</v>
      </c>
      <c r="M32" s="169">
        <v>23059</v>
      </c>
      <c r="N32" s="166">
        <v>24204</v>
      </c>
      <c r="O32" s="169">
        <v>25037</v>
      </c>
      <c r="P32" s="169">
        <v>26281</v>
      </c>
      <c r="Q32" s="169">
        <v>27452</v>
      </c>
      <c r="R32" s="166">
        <v>28786</v>
      </c>
      <c r="S32" s="169">
        <v>29267</v>
      </c>
      <c r="T32" s="169">
        <v>30873</v>
      </c>
      <c r="U32" s="169">
        <v>33006</v>
      </c>
      <c r="W32" s="166">
        <f t="shared" si="39"/>
        <v>90757</v>
      </c>
      <c r="X32" s="166">
        <f t="shared" si="40"/>
        <v>94440</v>
      </c>
      <c r="Y32" s="166">
        <f t="shared" si="41"/>
        <v>98581</v>
      </c>
      <c r="Z32" s="166">
        <f t="shared" si="42"/>
        <v>102974</v>
      </c>
      <c r="AA32" s="166">
        <f t="shared" si="43"/>
        <v>107556</v>
      </c>
      <c r="AB32" s="166">
        <f t="shared" si="44"/>
        <v>111786</v>
      </c>
      <c r="AC32" s="166">
        <f t="shared" si="45"/>
        <v>116378</v>
      </c>
      <c r="AD32" s="166">
        <f t="shared" si="46"/>
        <v>121932</v>
      </c>
    </row>
    <row r="33" spans="2:30">
      <c r="B33" s="170" t="s">
        <v>65</v>
      </c>
      <c r="C33" s="171">
        <f>SUM(C30:C32)</f>
        <v>513983</v>
      </c>
      <c r="D33" s="171">
        <f>SUM(D30:D32)</f>
        <v>574785</v>
      </c>
      <c r="E33" s="171">
        <f>SUM(E30:E32)</f>
        <v>637959</v>
      </c>
      <c r="F33" s="167"/>
      <c r="G33" s="171">
        <f t="shared" ref="G33:H33" si="47">SUM(G30:G32)</f>
        <v>116444</v>
      </c>
      <c r="H33" s="171">
        <f t="shared" si="47"/>
        <v>121234</v>
      </c>
      <c r="I33" s="171">
        <f t="shared" ref="I33" si="48">SUM(I30:I32)</f>
        <v>127101</v>
      </c>
      <c r="J33" s="171">
        <f t="shared" ref="J33" si="49">SUM(J30:J32)</f>
        <v>149204</v>
      </c>
      <c r="K33" s="171">
        <f t="shared" ref="K33:U33" si="50">SUM(K30:K32)</f>
        <v>127358</v>
      </c>
      <c r="L33" s="171">
        <f t="shared" si="50"/>
        <v>134383</v>
      </c>
      <c r="M33" s="171">
        <f t="shared" si="50"/>
        <v>143083</v>
      </c>
      <c r="N33" s="171">
        <f t="shared" si="50"/>
        <v>169961</v>
      </c>
      <c r="O33" s="171">
        <f t="shared" si="50"/>
        <v>143313</v>
      </c>
      <c r="P33" s="171">
        <f t="shared" si="50"/>
        <v>147977</v>
      </c>
      <c r="Q33" s="171">
        <f t="shared" si="50"/>
        <v>158877</v>
      </c>
      <c r="R33" s="171">
        <f t="shared" si="50"/>
        <v>187792</v>
      </c>
      <c r="S33" s="171">
        <f t="shared" si="50"/>
        <v>155667</v>
      </c>
      <c r="T33" s="171">
        <f t="shared" si="50"/>
        <v>167702</v>
      </c>
      <c r="U33" s="171">
        <f t="shared" si="50"/>
        <v>180169</v>
      </c>
      <c r="W33" s="171">
        <f t="shared" ref="W33:AD33" si="51">SUM(W30:W32)</f>
        <v>574785</v>
      </c>
      <c r="X33" s="171">
        <f t="shared" si="51"/>
        <v>590740</v>
      </c>
      <c r="Y33" s="171">
        <f t="shared" si="51"/>
        <v>604334</v>
      </c>
      <c r="Z33" s="171">
        <f t="shared" si="51"/>
        <v>620128</v>
      </c>
      <c r="AA33" s="171">
        <f t="shared" si="51"/>
        <v>637959</v>
      </c>
      <c r="AB33" s="171">
        <f t="shared" si="51"/>
        <v>650313</v>
      </c>
      <c r="AC33" s="171">
        <f t="shared" si="51"/>
        <v>670038</v>
      </c>
      <c r="AD33" s="171">
        <f t="shared" si="51"/>
        <v>691330</v>
      </c>
    </row>
    <row r="34" spans="2:30" outlineLevel="1">
      <c r="B34" s="172" t="s">
        <v>120</v>
      </c>
      <c r="C34" s="173">
        <f>C33-C16</f>
        <v>0</v>
      </c>
      <c r="D34" s="173">
        <f>D33-D16</f>
        <v>0</v>
      </c>
      <c r="E34" s="173">
        <f>E33-E16</f>
        <v>0</v>
      </c>
      <c r="F34" s="167"/>
      <c r="G34" s="173">
        <f t="shared" ref="G34:J34" si="52">G33-G16</f>
        <v>0</v>
      </c>
      <c r="H34" s="173">
        <f t="shared" si="52"/>
        <v>0</v>
      </c>
      <c r="I34" s="173">
        <f t="shared" si="52"/>
        <v>0</v>
      </c>
      <c r="J34" s="173">
        <f t="shared" si="52"/>
        <v>0</v>
      </c>
      <c r="K34" s="173">
        <f t="shared" ref="K34:U34" si="53">K33-K16</f>
        <v>0</v>
      </c>
      <c r="L34" s="173">
        <f t="shared" si="53"/>
        <v>0</v>
      </c>
      <c r="M34" s="173">
        <f t="shared" si="53"/>
        <v>0</v>
      </c>
      <c r="N34" s="173">
        <f t="shared" si="53"/>
        <v>0</v>
      </c>
      <c r="O34" s="173">
        <f t="shared" si="53"/>
        <v>0</v>
      </c>
      <c r="P34" s="173">
        <f t="shared" si="53"/>
        <v>0</v>
      </c>
      <c r="Q34" s="173">
        <f t="shared" si="53"/>
        <v>0</v>
      </c>
      <c r="R34" s="173">
        <f t="shared" si="53"/>
        <v>0</v>
      </c>
      <c r="S34" s="173">
        <f t="shared" si="53"/>
        <v>0</v>
      </c>
      <c r="T34" s="173">
        <f t="shared" si="53"/>
        <v>0</v>
      </c>
      <c r="U34" s="173">
        <f t="shared" si="53"/>
        <v>0</v>
      </c>
      <c r="V34" s="173"/>
      <c r="W34" s="173">
        <f t="shared" ref="W34" si="54">W33-W16</f>
        <v>0</v>
      </c>
      <c r="X34" s="173">
        <f t="shared" ref="X34" si="55">X33-X16</f>
        <v>0</v>
      </c>
      <c r="Y34" s="173">
        <f t="shared" ref="Y34" si="56">Y33-Y16</f>
        <v>0</v>
      </c>
      <c r="Z34" s="173">
        <f t="shared" ref="Z34" si="57">Z33-Z16</f>
        <v>0</v>
      </c>
      <c r="AA34" s="173">
        <f t="shared" ref="AA34" si="58">AA33-AA16</f>
        <v>0</v>
      </c>
      <c r="AB34" s="173">
        <f t="shared" ref="AB34" si="59">AB33-AB16</f>
        <v>0</v>
      </c>
      <c r="AC34" s="173">
        <f t="shared" ref="AC34" si="60">AC33-AC16</f>
        <v>0</v>
      </c>
      <c r="AD34" s="173">
        <f t="shared" ref="AD34" si="61">AD33-AD16</f>
        <v>0</v>
      </c>
    </row>
    <row r="35" spans="2:30" ht="5.0999999999999996" customHeight="1">
      <c r="B35" s="174"/>
      <c r="C35" s="175"/>
      <c r="D35" s="175"/>
      <c r="E35" s="175"/>
      <c r="F35" s="176"/>
      <c r="G35" s="177"/>
      <c r="H35" s="177"/>
      <c r="I35" s="177"/>
      <c r="J35" s="177"/>
      <c r="K35" s="177"/>
      <c r="L35" s="177"/>
      <c r="M35" s="177"/>
      <c r="N35" s="176"/>
      <c r="O35" s="177"/>
      <c r="P35" s="177"/>
      <c r="Q35" s="177"/>
      <c r="R35" s="177"/>
      <c r="S35" s="177"/>
      <c r="T35" s="177"/>
      <c r="U35" s="177"/>
      <c r="V35" s="176"/>
      <c r="W35" s="176"/>
      <c r="X35" s="176"/>
      <c r="Y35" s="176"/>
      <c r="Z35" s="176"/>
      <c r="AA35" s="176"/>
      <c r="AB35" s="176"/>
      <c r="AC35" s="176"/>
      <c r="AD35" s="176"/>
    </row>
    <row r="36" spans="2:30">
      <c r="B36" s="178" t="str">
        <f>B30&amp;"(%)"</f>
        <v>North America Revenues(%)</v>
      </c>
      <c r="C36" s="147">
        <f t="shared" ref="C36:E37" si="62">SUM(C30/C$33)</f>
        <v>0.61457285552245888</v>
      </c>
      <c r="D36" s="147">
        <f t="shared" si="62"/>
        <v>0.61384343711126765</v>
      </c>
      <c r="E36" s="147">
        <f t="shared" si="62"/>
        <v>0.6074011025786924</v>
      </c>
      <c r="F36" s="179"/>
      <c r="G36" s="147">
        <f t="shared" ref="G36:G37" si="63">SUM(G30/G$33)</f>
        <v>0.59465494143107411</v>
      </c>
      <c r="H36" s="147">
        <f t="shared" ref="H36:J37" si="64">SUM(H30/H$33)</f>
        <v>0.61393668442846061</v>
      </c>
      <c r="I36" s="147">
        <f t="shared" si="64"/>
        <v>0.62031770009677345</v>
      </c>
      <c r="J36" s="147">
        <f t="shared" si="64"/>
        <v>0.62574059676684268</v>
      </c>
      <c r="K36" s="147">
        <f t="shared" ref="K36:U36" si="65">SUM(K30/K$33)</f>
        <v>0.60366054743321973</v>
      </c>
      <c r="L36" s="147">
        <f t="shared" si="65"/>
        <v>0.61425924410081634</v>
      </c>
      <c r="M36" s="147">
        <f t="shared" si="65"/>
        <v>0.61423788989607431</v>
      </c>
      <c r="N36" s="147">
        <f t="shared" si="65"/>
        <v>0.62081301004348055</v>
      </c>
      <c r="O36" s="147">
        <f t="shared" si="65"/>
        <v>0.60246453566668756</v>
      </c>
      <c r="P36" s="147">
        <f t="shared" si="65"/>
        <v>0.60842563371334735</v>
      </c>
      <c r="Q36" s="147">
        <f t="shared" si="65"/>
        <v>0.60132681256569542</v>
      </c>
      <c r="R36" s="147">
        <f t="shared" si="65"/>
        <v>0.6155001278009713</v>
      </c>
      <c r="S36" s="147">
        <f t="shared" si="65"/>
        <v>0.59670321905092283</v>
      </c>
      <c r="T36" s="147">
        <f t="shared" si="65"/>
        <v>0.59670129157672536</v>
      </c>
      <c r="U36" s="147">
        <f t="shared" si="65"/>
        <v>0.58981844823471297</v>
      </c>
      <c r="V36" s="179"/>
      <c r="W36" s="180">
        <f>N36</f>
        <v>0.62081301004348055</v>
      </c>
      <c r="X36" s="180">
        <f>O36</f>
        <v>0.60246453566668756</v>
      </c>
      <c r="Y36" s="180">
        <f>P36</f>
        <v>0.60842563371334735</v>
      </c>
      <c r="Z36" s="180">
        <f>Q36</f>
        <v>0.60132681256569542</v>
      </c>
      <c r="AA36" s="180">
        <f>R36</f>
        <v>0.6155001278009713</v>
      </c>
      <c r="AB36" s="180">
        <f>S36</f>
        <v>0.59670321905092283</v>
      </c>
      <c r="AC36" s="180">
        <f>T36</f>
        <v>0.59670129157672536</v>
      </c>
      <c r="AD36" s="181">
        <f>U36</f>
        <v>0.58981844823471297</v>
      </c>
    </row>
    <row r="37" spans="2:30">
      <c r="B37" s="182" t="str">
        <f>B31&amp;"(%)"</f>
        <v>International Revenues(%)</v>
      </c>
      <c r="C37" s="149">
        <f t="shared" si="62"/>
        <v>0.22959319666214642</v>
      </c>
      <c r="D37" s="149">
        <f t="shared" si="62"/>
        <v>0.22825926215889419</v>
      </c>
      <c r="E37" s="149">
        <f t="shared" si="62"/>
        <v>0.22400499091634415</v>
      </c>
      <c r="F37" s="183"/>
      <c r="G37" s="149">
        <f t="shared" si="63"/>
        <v>0.24697708769880802</v>
      </c>
      <c r="H37" s="149">
        <f t="shared" si="64"/>
        <v>0.223245954105284</v>
      </c>
      <c r="I37" s="149">
        <f t="shared" si="64"/>
        <v>0.21809427148488211</v>
      </c>
      <c r="J37" s="149">
        <f t="shared" si="64"/>
        <v>0.23097906222353287</v>
      </c>
      <c r="K37" s="149">
        <f t="shared" ref="K37:U37" si="66">SUM(K31/K$33)</f>
        <v>0.22867036228583992</v>
      </c>
      <c r="L37" s="149">
        <f t="shared" si="66"/>
        <v>0.22098777375114412</v>
      </c>
      <c r="M37" s="149">
        <f t="shared" si="66"/>
        <v>0.22460390123215196</v>
      </c>
      <c r="N37" s="149">
        <f t="shared" si="66"/>
        <v>0.23677784903595531</v>
      </c>
      <c r="O37" s="149">
        <f t="shared" si="66"/>
        <v>0.22283393690732872</v>
      </c>
      <c r="P37" s="149">
        <f t="shared" si="66"/>
        <v>0.21397244166323146</v>
      </c>
      <c r="Q37" s="149">
        <f t="shared" si="66"/>
        <v>0.22588543338557501</v>
      </c>
      <c r="R37" s="149">
        <f t="shared" si="66"/>
        <v>0.23121325722075486</v>
      </c>
      <c r="S37" s="149">
        <f t="shared" si="66"/>
        <v>0.21528647690261904</v>
      </c>
      <c r="T37" s="149">
        <f t="shared" si="66"/>
        <v>0.21920430287056802</v>
      </c>
      <c r="U37" s="149">
        <f t="shared" si="66"/>
        <v>0.22698688453618546</v>
      </c>
      <c r="V37" s="183"/>
      <c r="W37" s="184">
        <f>N37</f>
        <v>0.23677784903595531</v>
      </c>
      <c r="X37" s="184">
        <f>O37</f>
        <v>0.22283393690732872</v>
      </c>
      <c r="Y37" s="184">
        <f>P37</f>
        <v>0.21397244166323146</v>
      </c>
      <c r="Z37" s="184">
        <f>Q37</f>
        <v>0.22588543338557501</v>
      </c>
      <c r="AA37" s="184">
        <f>R37</f>
        <v>0.23121325722075486</v>
      </c>
      <c r="AB37" s="184">
        <f>S37</f>
        <v>0.21528647690261904</v>
      </c>
      <c r="AC37" s="184">
        <f>T37</f>
        <v>0.21920430287056802</v>
      </c>
      <c r="AD37" s="185">
        <f>U37</f>
        <v>0.22698688453618546</v>
      </c>
    </row>
    <row r="38" spans="2:30" ht="12.75" customHeight="1">
      <c r="B38" s="186" t="str">
        <f>B32&amp;"(%)"</f>
        <v>AWS Revenues(%)</v>
      </c>
      <c r="C38" s="148">
        <f>SUM(C32/C$33)</f>
        <v>0.15583394781539467</v>
      </c>
      <c r="D38" s="148">
        <f>SUM(D32/D$33)</f>
        <v>0.15789730072983812</v>
      </c>
      <c r="E38" s="148">
        <f>SUM(E32/E$33)</f>
        <v>0.16859390650496348</v>
      </c>
      <c r="F38" s="187"/>
      <c r="G38" s="148">
        <f t="shared" ref="G38" si="67">SUM(G32/G$33)</f>
        <v>0.15836797087011784</v>
      </c>
      <c r="H38" s="148">
        <f t="shared" ref="H38:J38" si="68">SUM(H32/H$33)</f>
        <v>0.16281736146625533</v>
      </c>
      <c r="I38" s="148">
        <f t="shared" si="68"/>
        <v>0.16158802841834446</v>
      </c>
      <c r="J38" s="148">
        <f t="shared" si="68"/>
        <v>0.14328034100962442</v>
      </c>
      <c r="K38" s="148">
        <f t="shared" ref="K38:U38" si="69">SUM(K32/K$33)</f>
        <v>0.16766909028094035</v>
      </c>
      <c r="L38" s="148">
        <f t="shared" si="69"/>
        <v>0.16475298214803955</v>
      </c>
      <c r="M38" s="148">
        <f t="shared" si="69"/>
        <v>0.16115820887177373</v>
      </c>
      <c r="N38" s="148">
        <f t="shared" si="69"/>
        <v>0.14240914092056414</v>
      </c>
      <c r="O38" s="148">
        <f t="shared" si="69"/>
        <v>0.17470152742598369</v>
      </c>
      <c r="P38" s="148">
        <f t="shared" si="69"/>
        <v>0.1776019246234212</v>
      </c>
      <c r="Q38" s="148">
        <f t="shared" si="69"/>
        <v>0.17278775404872951</v>
      </c>
      <c r="R38" s="148">
        <f t="shared" si="69"/>
        <v>0.15328661497827384</v>
      </c>
      <c r="S38" s="148">
        <f t="shared" si="69"/>
        <v>0.18801030404645813</v>
      </c>
      <c r="T38" s="148">
        <f t="shared" si="69"/>
        <v>0.18409440555270659</v>
      </c>
      <c r="U38" s="148">
        <f t="shared" si="69"/>
        <v>0.18319466722910158</v>
      </c>
      <c r="V38" s="187"/>
      <c r="W38" s="188">
        <f>N38</f>
        <v>0.14240914092056414</v>
      </c>
      <c r="X38" s="188">
        <f>O38</f>
        <v>0.17470152742598369</v>
      </c>
      <c r="Y38" s="188">
        <f>P38</f>
        <v>0.1776019246234212</v>
      </c>
      <c r="Z38" s="188">
        <f>Q38</f>
        <v>0.17278775404872951</v>
      </c>
      <c r="AA38" s="188">
        <f>R38</f>
        <v>0.15328661497827384</v>
      </c>
      <c r="AB38" s="188">
        <f>S38</f>
        <v>0.18801030404645813</v>
      </c>
      <c r="AC38" s="188">
        <f>T38</f>
        <v>0.18409440555270659</v>
      </c>
      <c r="AD38" s="189">
        <f>U38</f>
        <v>0.18319466722910158</v>
      </c>
    </row>
  </sheetData>
  <dataValidations disablePrompts="1" count="1">
    <dataValidation type="list" allowBlank="1" showInputMessage="1" showErrorMessage="1" sqref="B4" xr:uid="{62176FD9-E514-4BEC-85E1-6C6963572068}">
      <formula1>"$ bns except per share, $ mm except per share,$ in thousands except per share"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6C0D2-A617-43BF-9493-F1D2AA08251E}">
  <sheetPr>
    <tabColor theme="6" tint="-0.249977111117893"/>
  </sheetPr>
  <dimension ref="A2:AF97"/>
  <sheetViews>
    <sheetView showGridLines="0" tabSelected="1" zoomScale="115" zoomScaleNormal="115" workbookViewId="0">
      <selection activeCell="D58" sqref="C58:D58"/>
    </sheetView>
  </sheetViews>
  <sheetFormatPr defaultRowHeight="12" outlineLevelCol="1"/>
  <cols>
    <col min="1" max="1" width="1.5" style="8" customWidth="1"/>
    <col min="2" max="2" width="41.625" style="8" customWidth="1"/>
    <col min="3" max="3" width="9" style="8" bestFit="1" customWidth="1"/>
    <col min="4" max="4" width="9.25" style="8" bestFit="1" customWidth="1"/>
    <col min="5" max="5" width="9" style="8"/>
    <col min="6" max="6" width="1.5" style="8" customWidth="1"/>
    <col min="7" max="12" width="8" style="8" customWidth="1" outlineLevel="1"/>
    <col min="13" max="16" width="8.875" style="8" customWidth="1" outlineLevel="1"/>
    <col min="17" max="21" width="8.875" style="8" bestFit="1" customWidth="1"/>
    <col min="22" max="22" width="1.625" style="8" customWidth="1"/>
    <col min="23" max="23" width="9.25" style="8" hidden="1" customWidth="1" outlineLevel="1"/>
    <col min="24" max="24" width="9.75" style="8" hidden="1" customWidth="1" outlineLevel="1"/>
    <col min="25" max="25" width="9" style="8" hidden="1" customWidth="1" outlineLevel="1"/>
    <col min="26" max="26" width="9" style="8" customWidth="1" collapsed="1"/>
    <col min="27" max="28" width="9" style="8" hidden="1" customWidth="1" outlineLevel="1"/>
    <col min="29" max="29" width="8.5" style="8" hidden="1" customWidth="1" outlineLevel="1"/>
    <col min="30" max="30" width="8.5" style="8" bestFit="1" customWidth="1" collapsed="1"/>
    <col min="31" max="31" width="1.5" style="8" customWidth="1"/>
    <col min="32" max="32" width="9.375" style="126" bestFit="1" customWidth="1"/>
    <col min="33" max="16384" width="9" style="8"/>
  </cols>
  <sheetData>
    <row r="2" spans="2:32" s="5" customFormat="1" ht="12.75" customHeight="1">
      <c r="B2" s="1" t="str">
        <f>'Historical Financials'!B2</f>
        <v>Amazon.com Inc (NASDAQ: AMZN)</v>
      </c>
      <c r="C2" s="2" t="s">
        <v>0</v>
      </c>
      <c r="D2" s="2"/>
      <c r="E2" s="2"/>
      <c r="F2" s="3"/>
      <c r="G2" s="2" t="s">
        <v>1</v>
      </c>
      <c r="H2" s="2"/>
      <c r="I2" s="2"/>
      <c r="J2" s="2"/>
      <c r="K2" s="2" t="s">
        <v>1</v>
      </c>
      <c r="L2" s="2"/>
      <c r="M2" s="2"/>
      <c r="N2" s="2"/>
      <c r="O2" s="2"/>
      <c r="P2" s="2"/>
      <c r="Q2" s="2" t="s">
        <v>1</v>
      </c>
      <c r="R2" s="2"/>
      <c r="S2" s="2"/>
      <c r="T2" s="2"/>
      <c r="U2" s="2"/>
      <c r="V2" s="3"/>
      <c r="W2" s="2"/>
      <c r="X2" s="2"/>
      <c r="Y2" s="2" t="s">
        <v>10</v>
      </c>
      <c r="Z2" s="2" t="s">
        <v>10</v>
      </c>
      <c r="AA2" s="2"/>
      <c r="AB2" s="2"/>
      <c r="AC2" s="2"/>
      <c r="AD2" s="2"/>
      <c r="AE2" s="3"/>
      <c r="AF2" s="153" t="s">
        <v>22</v>
      </c>
    </row>
    <row r="3" spans="2:32" s="5" customFormat="1" ht="12.75" customHeight="1">
      <c r="B3" s="6" t="s">
        <v>23</v>
      </c>
      <c r="C3" s="7">
        <f>'Historical Financials'!E7</f>
        <v>2022</v>
      </c>
      <c r="D3" s="7">
        <f>'Historical Financials'!F7</f>
        <v>2023</v>
      </c>
      <c r="E3" s="7">
        <f>'Historical Financials'!G7</f>
        <v>2024</v>
      </c>
      <c r="F3" s="3"/>
      <c r="G3" s="7" t="str">
        <f>'Historical Financials'!I7</f>
        <v>1Q22</v>
      </c>
      <c r="H3" s="7" t="str">
        <f>'Historical Financials'!J7</f>
        <v>2Q22</v>
      </c>
      <c r="I3" s="7" t="str">
        <f>'Historical Financials'!K7</f>
        <v>3Q22</v>
      </c>
      <c r="J3" s="7" t="str">
        <f>'Historical Financials'!L7</f>
        <v>4Q22</v>
      </c>
      <c r="K3" s="7" t="str">
        <f>'Historical Financials'!M7</f>
        <v>1Q23</v>
      </c>
      <c r="L3" s="7" t="str">
        <f>'Historical Financials'!N7</f>
        <v>2Q23</v>
      </c>
      <c r="M3" s="7" t="str">
        <f>'Historical Financials'!O7</f>
        <v>3Q23</v>
      </c>
      <c r="N3" s="7" t="str">
        <f>'Historical Financials'!P7</f>
        <v>4Q23</v>
      </c>
      <c r="O3" s="7" t="str">
        <f>'Historical Financials'!Q7</f>
        <v>1Q24</v>
      </c>
      <c r="P3" s="7" t="str">
        <f>'Historical Financials'!R7</f>
        <v>2Q24</v>
      </c>
      <c r="Q3" s="7" t="str">
        <f>'Historical Financials'!S7</f>
        <v>3Q24</v>
      </c>
      <c r="R3" s="7" t="str">
        <f>'Historical Financials'!T7</f>
        <v>4Q24</v>
      </c>
      <c r="S3" s="7" t="str">
        <f>'Historical Financials'!U7</f>
        <v>1Q25</v>
      </c>
      <c r="T3" s="7" t="str">
        <f>'Historical Financials'!V7</f>
        <v>2Q25</v>
      </c>
      <c r="U3" s="7" t="str">
        <f>'Historical Financials'!W7</f>
        <v>3Q25</v>
      </c>
      <c r="V3" s="3"/>
      <c r="W3" s="4" t="str">
        <f t="shared" ref="W3:AD4" si="0">N3</f>
        <v>4Q23</v>
      </c>
      <c r="X3" s="4" t="str">
        <f t="shared" si="0"/>
        <v>1Q24</v>
      </c>
      <c r="Y3" s="4" t="str">
        <f t="shared" si="0"/>
        <v>2Q24</v>
      </c>
      <c r="Z3" s="4" t="str">
        <f t="shared" si="0"/>
        <v>3Q24</v>
      </c>
      <c r="AA3" s="4" t="str">
        <f t="shared" si="0"/>
        <v>4Q24</v>
      </c>
      <c r="AB3" s="4" t="str">
        <f t="shared" si="0"/>
        <v>1Q25</v>
      </c>
      <c r="AC3" s="4" t="str">
        <f t="shared" si="0"/>
        <v>2Q25</v>
      </c>
      <c r="AD3" s="4" t="str">
        <f t="shared" si="0"/>
        <v>3Q25</v>
      </c>
      <c r="AE3" s="3"/>
      <c r="AF3" s="153"/>
    </row>
    <row r="4" spans="2:32" s="5" customFormat="1" ht="12.75" customHeight="1">
      <c r="B4" s="6" t="s">
        <v>71</v>
      </c>
      <c r="C4" s="3">
        <f>'Historical Financials'!E8</f>
        <v>44926</v>
      </c>
      <c r="D4" s="3">
        <f>'Historical Financials'!F8</f>
        <v>45291</v>
      </c>
      <c r="E4" s="3">
        <f>'Historical Financials'!G8</f>
        <v>45657</v>
      </c>
      <c r="F4" s="3"/>
      <c r="G4" s="3">
        <f>'Historical Financials'!I8</f>
        <v>44651</v>
      </c>
      <c r="H4" s="3">
        <f>'Historical Financials'!J8</f>
        <v>44742</v>
      </c>
      <c r="I4" s="3">
        <f>'Historical Financials'!K8</f>
        <v>44834</v>
      </c>
      <c r="J4" s="3">
        <f>'Historical Financials'!L8</f>
        <v>44926</v>
      </c>
      <c r="K4" s="3">
        <f>'Historical Financials'!M8</f>
        <v>45016</v>
      </c>
      <c r="L4" s="3">
        <f>'Historical Financials'!N8</f>
        <v>45107</v>
      </c>
      <c r="M4" s="3">
        <f>'Historical Financials'!O8</f>
        <v>45199</v>
      </c>
      <c r="N4" s="3">
        <f>'Historical Financials'!P8</f>
        <v>45291</v>
      </c>
      <c r="O4" s="3">
        <f>'Historical Financials'!Q8</f>
        <v>45382</v>
      </c>
      <c r="P4" s="3">
        <f>'Historical Financials'!R8</f>
        <v>45473</v>
      </c>
      <c r="Q4" s="3">
        <f>'Historical Financials'!S8</f>
        <v>45565</v>
      </c>
      <c r="R4" s="3">
        <f>'Historical Financials'!T8</f>
        <v>45657</v>
      </c>
      <c r="S4" s="3">
        <f>'Historical Financials'!U8</f>
        <v>45747</v>
      </c>
      <c r="T4" s="3">
        <f>'Historical Financials'!V8</f>
        <v>45838</v>
      </c>
      <c r="U4" s="3">
        <f>'Historical Financials'!W8</f>
        <v>45930</v>
      </c>
      <c r="V4" s="3"/>
      <c r="W4" s="3">
        <f t="shared" si="0"/>
        <v>45291</v>
      </c>
      <c r="X4" s="3">
        <f t="shared" si="0"/>
        <v>45382</v>
      </c>
      <c r="Y4" s="3">
        <f t="shared" si="0"/>
        <v>45473</v>
      </c>
      <c r="Z4" s="3">
        <f t="shared" si="0"/>
        <v>45565</v>
      </c>
      <c r="AA4" s="3">
        <f t="shared" si="0"/>
        <v>45657</v>
      </c>
      <c r="AB4" s="3">
        <f t="shared" si="0"/>
        <v>45747</v>
      </c>
      <c r="AC4" s="3">
        <f t="shared" si="0"/>
        <v>45838</v>
      </c>
      <c r="AD4" s="3">
        <f t="shared" si="0"/>
        <v>45930</v>
      </c>
      <c r="AE4" s="3"/>
      <c r="AF4" s="153"/>
    </row>
    <row r="5" spans="2:32" ht="5.0999999999999996" customHeight="1">
      <c r="AF5" s="122"/>
    </row>
    <row r="6" spans="2:32" ht="12.75" customHeight="1">
      <c r="B6" s="9" t="str">
        <f>'Revenue Drivers'!B9</f>
        <v xml:space="preserve">Online Stores </v>
      </c>
      <c r="C6" s="91">
        <f>'Revenue Drivers'!C9</f>
        <v>220004</v>
      </c>
      <c r="D6" s="91">
        <f>'Revenue Drivers'!D9</f>
        <v>231872</v>
      </c>
      <c r="E6" s="91">
        <f>'Revenue Drivers'!E9</f>
        <v>247029</v>
      </c>
      <c r="F6" s="10"/>
      <c r="G6" s="91">
        <f>'Revenue Drivers'!G9</f>
        <v>51129</v>
      </c>
      <c r="H6" s="91">
        <f>'Revenue Drivers'!H9</f>
        <v>50855</v>
      </c>
      <c r="I6" s="91">
        <f>'Revenue Drivers'!I9</f>
        <v>53489</v>
      </c>
      <c r="J6" s="91">
        <f>'Revenue Drivers'!J9</f>
        <v>64531</v>
      </c>
      <c r="K6" s="91">
        <f>'Revenue Drivers'!K9</f>
        <v>51096</v>
      </c>
      <c r="L6" s="91">
        <f>'Revenue Drivers'!L9</f>
        <v>52966</v>
      </c>
      <c r="M6" s="91">
        <f>'Revenue Drivers'!M9</f>
        <v>57267</v>
      </c>
      <c r="N6" s="91">
        <f>'Revenue Drivers'!N9</f>
        <v>70543</v>
      </c>
      <c r="O6" s="91">
        <f>'Revenue Drivers'!O9</f>
        <v>54670</v>
      </c>
      <c r="P6" s="91">
        <f>'Revenue Drivers'!P9</f>
        <v>55392</v>
      </c>
      <c r="Q6" s="91">
        <f>'Revenue Drivers'!Q9</f>
        <v>61411</v>
      </c>
      <c r="R6" s="91">
        <f>'Revenue Drivers'!R9</f>
        <v>75556</v>
      </c>
      <c r="S6" s="91">
        <f>'Revenue Drivers'!S9</f>
        <v>57407</v>
      </c>
      <c r="T6" s="91">
        <f>'Revenue Drivers'!T9</f>
        <v>61485</v>
      </c>
      <c r="U6" s="91">
        <f>'Revenue Drivers'!U9</f>
        <v>67407</v>
      </c>
      <c r="V6" s="5"/>
      <c r="W6" s="138">
        <f t="shared" ref="W6:AC6" si="1">SUM(K6:N6)</f>
        <v>231872</v>
      </c>
      <c r="X6" s="138">
        <f t="shared" si="1"/>
        <v>235446</v>
      </c>
      <c r="Y6" s="138">
        <f t="shared" si="1"/>
        <v>237872</v>
      </c>
      <c r="Z6" s="138">
        <f t="shared" si="1"/>
        <v>242016</v>
      </c>
      <c r="AA6" s="138">
        <f t="shared" si="1"/>
        <v>247029</v>
      </c>
      <c r="AB6" s="138">
        <f t="shared" si="1"/>
        <v>249766</v>
      </c>
      <c r="AC6" s="138">
        <f t="shared" si="1"/>
        <v>255859</v>
      </c>
      <c r="AD6" s="138">
        <f>SUM(R6:U6)</f>
        <v>261855</v>
      </c>
      <c r="AF6" s="123">
        <f t="shared" ref="AF6:AF13" si="2">SUM(AD6/Z6)-1</f>
        <v>8.1973919079730173E-2</v>
      </c>
    </row>
    <row r="7" spans="2:32" ht="12.75" customHeight="1">
      <c r="B7" s="9" t="str">
        <f>'Revenue Drivers'!B10</f>
        <v>Physical Stores</v>
      </c>
      <c r="C7" s="91">
        <f>'Revenue Drivers'!C10</f>
        <v>18963</v>
      </c>
      <c r="D7" s="91">
        <f>'Revenue Drivers'!D10</f>
        <v>20030</v>
      </c>
      <c r="E7" s="91">
        <f>'Revenue Drivers'!E10</f>
        <v>21215</v>
      </c>
      <c r="F7" s="10"/>
      <c r="G7" s="91">
        <f>'Revenue Drivers'!G10</f>
        <v>4591</v>
      </c>
      <c r="H7" s="91">
        <f>'Revenue Drivers'!H10</f>
        <v>4721</v>
      </c>
      <c r="I7" s="91">
        <f>'Revenue Drivers'!I10</f>
        <v>4694</v>
      </c>
      <c r="J7" s="91">
        <f>'Revenue Drivers'!J10</f>
        <v>4957</v>
      </c>
      <c r="K7" s="91">
        <f>'Revenue Drivers'!K10</f>
        <v>4895</v>
      </c>
      <c r="L7" s="91">
        <f>'Revenue Drivers'!L10</f>
        <v>5024</v>
      </c>
      <c r="M7" s="91">
        <f>'Revenue Drivers'!M10</f>
        <v>4959</v>
      </c>
      <c r="N7" s="91">
        <f>'Revenue Drivers'!N10</f>
        <v>5152</v>
      </c>
      <c r="O7" s="91">
        <f>'Revenue Drivers'!O10</f>
        <v>5202</v>
      </c>
      <c r="P7" s="91">
        <f>'Revenue Drivers'!P10</f>
        <v>5206</v>
      </c>
      <c r="Q7" s="91">
        <f>'Revenue Drivers'!Q10</f>
        <v>5228</v>
      </c>
      <c r="R7" s="91">
        <f>'Revenue Drivers'!R10</f>
        <v>5579</v>
      </c>
      <c r="S7" s="91">
        <f>'Revenue Drivers'!S10</f>
        <v>5533</v>
      </c>
      <c r="T7" s="91">
        <f>'Revenue Drivers'!T10</f>
        <v>5595</v>
      </c>
      <c r="U7" s="91">
        <f>'Revenue Drivers'!U10</f>
        <v>5578</v>
      </c>
      <c r="V7" s="5"/>
      <c r="W7" s="138">
        <f t="shared" ref="W7:W12" si="3">SUM(K7:N7)</f>
        <v>20030</v>
      </c>
      <c r="X7" s="138">
        <f t="shared" ref="X7:X12" si="4">SUM(L7:O7)</f>
        <v>20337</v>
      </c>
      <c r="Y7" s="138">
        <f t="shared" ref="Y7:Y12" si="5">SUM(M7:P7)</f>
        <v>20519</v>
      </c>
      <c r="Z7" s="138">
        <f t="shared" ref="Z7:Z12" si="6">SUM(N7:Q7)</f>
        <v>20788</v>
      </c>
      <c r="AA7" s="138">
        <f t="shared" ref="AA7:AA12" si="7">SUM(O7:R7)</f>
        <v>21215</v>
      </c>
      <c r="AB7" s="138">
        <f t="shared" ref="AB7:AB12" si="8">SUM(P7:S7)</f>
        <v>21546</v>
      </c>
      <c r="AC7" s="138">
        <f t="shared" ref="AC7:AC12" si="9">SUM(Q7:T7)</f>
        <v>21935</v>
      </c>
      <c r="AD7" s="138">
        <f t="shared" ref="AD7:AD12" si="10">SUM(R7:U7)</f>
        <v>22285</v>
      </c>
      <c r="AF7" s="123">
        <f t="shared" si="2"/>
        <v>7.2012699634404376E-2</v>
      </c>
    </row>
    <row r="8" spans="2:32" ht="12.75" customHeight="1">
      <c r="B8" s="9" t="str">
        <f>'Revenue Drivers'!B11</f>
        <v>Third-party Seller Services</v>
      </c>
      <c r="C8" s="91">
        <f>'Revenue Drivers'!C11</f>
        <v>117716</v>
      </c>
      <c r="D8" s="91">
        <f>'Revenue Drivers'!D11</f>
        <v>140053</v>
      </c>
      <c r="E8" s="91">
        <f>'Revenue Drivers'!E11</f>
        <v>156146</v>
      </c>
      <c r="F8" s="10"/>
      <c r="G8" s="91">
        <f>'Revenue Drivers'!G11</f>
        <v>25335</v>
      </c>
      <c r="H8" s="91">
        <f>'Revenue Drivers'!H11</f>
        <v>27376</v>
      </c>
      <c r="I8" s="91">
        <f>'Revenue Drivers'!I11</f>
        <v>28666</v>
      </c>
      <c r="J8" s="91">
        <f>'Revenue Drivers'!J11</f>
        <v>36339</v>
      </c>
      <c r="K8" s="91">
        <f>'Revenue Drivers'!K11</f>
        <v>29820</v>
      </c>
      <c r="L8" s="91">
        <f>'Revenue Drivers'!L11</f>
        <v>32332</v>
      </c>
      <c r="M8" s="91">
        <f>'Revenue Drivers'!M11</f>
        <v>34342</v>
      </c>
      <c r="N8" s="91">
        <f>'Revenue Drivers'!N11</f>
        <v>43559</v>
      </c>
      <c r="O8" s="91">
        <f>'Revenue Drivers'!O11</f>
        <v>34596</v>
      </c>
      <c r="P8" s="91">
        <f>'Revenue Drivers'!P11</f>
        <v>36201</v>
      </c>
      <c r="Q8" s="91">
        <f>'Revenue Drivers'!Q11</f>
        <v>37864</v>
      </c>
      <c r="R8" s="91">
        <f>'Revenue Drivers'!R11</f>
        <v>47485</v>
      </c>
      <c r="S8" s="91">
        <f>'Revenue Drivers'!S11</f>
        <v>36512</v>
      </c>
      <c r="T8" s="91">
        <f>'Revenue Drivers'!T11</f>
        <v>40348</v>
      </c>
      <c r="U8" s="91">
        <f>'Revenue Drivers'!U11</f>
        <v>42486</v>
      </c>
      <c r="V8" s="5"/>
      <c r="W8" s="138">
        <f t="shared" si="3"/>
        <v>140053</v>
      </c>
      <c r="X8" s="138">
        <f t="shared" si="4"/>
        <v>144829</v>
      </c>
      <c r="Y8" s="138">
        <f t="shared" si="5"/>
        <v>148698</v>
      </c>
      <c r="Z8" s="138">
        <f t="shared" si="6"/>
        <v>152220</v>
      </c>
      <c r="AA8" s="138">
        <f t="shared" si="7"/>
        <v>156146</v>
      </c>
      <c r="AB8" s="138">
        <f t="shared" si="8"/>
        <v>158062</v>
      </c>
      <c r="AC8" s="138">
        <f t="shared" si="9"/>
        <v>162209</v>
      </c>
      <c r="AD8" s="138">
        <f t="shared" si="10"/>
        <v>166831</v>
      </c>
      <c r="AF8" s="123">
        <f t="shared" si="2"/>
        <v>9.5986072789383758E-2</v>
      </c>
    </row>
    <row r="9" spans="2:32" ht="12.75" customHeight="1">
      <c r="B9" s="9" t="str">
        <f>'Revenue Drivers'!B12</f>
        <v>Advertising Services</v>
      </c>
      <c r="C9" s="91">
        <f>'Revenue Drivers'!C12</f>
        <v>37739</v>
      </c>
      <c r="D9" s="91">
        <f>'Revenue Drivers'!D12</f>
        <v>46906</v>
      </c>
      <c r="E9" s="91">
        <f>'Revenue Drivers'!E12</f>
        <v>56214</v>
      </c>
      <c r="F9" s="10"/>
      <c r="G9" s="91">
        <f>'Revenue Drivers'!G12</f>
        <v>8410</v>
      </c>
      <c r="H9" s="91">
        <f>'Revenue Drivers'!H12</f>
        <v>8716</v>
      </c>
      <c r="I9" s="91">
        <f>'Revenue Drivers'!I12</f>
        <v>8903</v>
      </c>
      <c r="J9" s="91">
        <f>'Revenue Drivers'!J12</f>
        <v>11710</v>
      </c>
      <c r="K9" s="91">
        <f>'Revenue Drivers'!K12</f>
        <v>9657</v>
      </c>
      <c r="L9" s="91">
        <f>'Revenue Drivers'!L12</f>
        <v>9894</v>
      </c>
      <c r="M9" s="91">
        <f>'Revenue Drivers'!M12</f>
        <v>12060</v>
      </c>
      <c r="N9" s="91">
        <f>'Revenue Drivers'!N12</f>
        <v>15295</v>
      </c>
      <c r="O9" s="91">
        <f>'Revenue Drivers'!O12</f>
        <v>11824</v>
      </c>
      <c r="P9" s="91">
        <f>'Revenue Drivers'!P12</f>
        <v>12771</v>
      </c>
      <c r="Q9" s="91">
        <f>'Revenue Drivers'!Q12</f>
        <v>14331</v>
      </c>
      <c r="R9" s="91">
        <f>'Revenue Drivers'!R12</f>
        <v>17288</v>
      </c>
      <c r="S9" s="91">
        <f>'Revenue Drivers'!S12</f>
        <v>13921</v>
      </c>
      <c r="T9" s="91">
        <f>'Revenue Drivers'!T12</f>
        <v>15694</v>
      </c>
      <c r="U9" s="91">
        <f>'Revenue Drivers'!U12</f>
        <v>17703</v>
      </c>
      <c r="V9" s="5"/>
      <c r="W9" s="138">
        <f t="shared" si="3"/>
        <v>46906</v>
      </c>
      <c r="X9" s="138">
        <f t="shared" si="4"/>
        <v>49073</v>
      </c>
      <c r="Y9" s="138">
        <f t="shared" si="5"/>
        <v>51950</v>
      </c>
      <c r="Z9" s="138">
        <f t="shared" si="6"/>
        <v>54221</v>
      </c>
      <c r="AA9" s="138">
        <f t="shared" si="7"/>
        <v>56214</v>
      </c>
      <c r="AB9" s="138">
        <f t="shared" si="8"/>
        <v>58311</v>
      </c>
      <c r="AC9" s="138">
        <f t="shared" si="9"/>
        <v>61234</v>
      </c>
      <c r="AD9" s="138">
        <f t="shared" si="10"/>
        <v>64606</v>
      </c>
      <c r="AF9" s="123">
        <f t="shared" si="2"/>
        <v>0.19153095664041597</v>
      </c>
    </row>
    <row r="10" spans="2:32" ht="12.75" customHeight="1">
      <c r="B10" s="9" t="str">
        <f>'Revenue Drivers'!B13</f>
        <v>Subscription Services</v>
      </c>
      <c r="C10" s="91">
        <f>'Revenue Drivers'!C13</f>
        <v>35218</v>
      </c>
      <c r="D10" s="91">
        <f>'Revenue Drivers'!D13</f>
        <v>40209</v>
      </c>
      <c r="E10" s="91">
        <f>'Revenue Drivers'!E13</f>
        <v>44374</v>
      </c>
      <c r="F10" s="10"/>
      <c r="G10" s="91">
        <f>'Revenue Drivers'!G13</f>
        <v>7877</v>
      </c>
      <c r="H10" s="91">
        <f>'Revenue Drivers'!H13</f>
        <v>8757</v>
      </c>
      <c r="I10" s="91">
        <f>'Revenue Drivers'!I13</f>
        <v>9548</v>
      </c>
      <c r="J10" s="91">
        <f>'Revenue Drivers'!J13</f>
        <v>9036</v>
      </c>
      <c r="K10" s="91">
        <f>'Revenue Drivers'!K13</f>
        <v>9509</v>
      </c>
      <c r="L10" s="91">
        <f>'Revenue Drivers'!L13</f>
        <v>10683</v>
      </c>
      <c r="M10" s="91">
        <f>'Revenue Drivers'!M13</f>
        <v>10170</v>
      </c>
      <c r="N10" s="91">
        <f>'Revenue Drivers'!N13</f>
        <v>9847</v>
      </c>
      <c r="O10" s="91">
        <f>'Revenue Drivers'!O13</f>
        <v>10722</v>
      </c>
      <c r="P10" s="91">
        <f>'Revenue Drivers'!P13</f>
        <v>10866</v>
      </c>
      <c r="Q10" s="91">
        <f>'Revenue Drivers'!Q13</f>
        <v>11278</v>
      </c>
      <c r="R10" s="91">
        <f>'Revenue Drivers'!R13</f>
        <v>11508</v>
      </c>
      <c r="S10" s="91">
        <f>'Revenue Drivers'!S13</f>
        <v>11715</v>
      </c>
      <c r="T10" s="91">
        <f>'Revenue Drivers'!T13</f>
        <v>12208</v>
      </c>
      <c r="U10" s="91">
        <f>'Revenue Drivers'!U13</f>
        <v>12574</v>
      </c>
      <c r="V10" s="5"/>
      <c r="W10" s="138">
        <f t="shared" si="3"/>
        <v>40209</v>
      </c>
      <c r="X10" s="138">
        <f t="shared" si="4"/>
        <v>41422</v>
      </c>
      <c r="Y10" s="138">
        <f t="shared" si="5"/>
        <v>41605</v>
      </c>
      <c r="Z10" s="138">
        <f t="shared" si="6"/>
        <v>42713</v>
      </c>
      <c r="AA10" s="138">
        <f t="shared" si="7"/>
        <v>44374</v>
      </c>
      <c r="AB10" s="138">
        <f t="shared" si="8"/>
        <v>45367</v>
      </c>
      <c r="AC10" s="138">
        <f t="shared" si="9"/>
        <v>46709</v>
      </c>
      <c r="AD10" s="138">
        <f t="shared" si="10"/>
        <v>48005</v>
      </c>
      <c r="AF10" s="123">
        <f t="shared" si="2"/>
        <v>0.12389670592091395</v>
      </c>
    </row>
    <row r="11" spans="2:32" ht="12.75" customHeight="1">
      <c r="B11" s="9" t="str">
        <f>'Revenue Drivers'!B14</f>
        <v>AWS</v>
      </c>
      <c r="C11" s="91">
        <f>'Revenue Drivers'!C14</f>
        <v>80096</v>
      </c>
      <c r="D11" s="91">
        <f>'Revenue Drivers'!D14</f>
        <v>90757</v>
      </c>
      <c r="E11" s="91">
        <f>'Revenue Drivers'!E14</f>
        <v>107556</v>
      </c>
      <c r="F11" s="10"/>
      <c r="G11" s="91">
        <f>'Revenue Drivers'!G14</f>
        <v>18441</v>
      </c>
      <c r="H11" s="91">
        <f>'Revenue Drivers'!H14</f>
        <v>19739</v>
      </c>
      <c r="I11" s="91">
        <f>'Revenue Drivers'!I14</f>
        <v>20538</v>
      </c>
      <c r="J11" s="91">
        <f>'Revenue Drivers'!J14</f>
        <v>21378</v>
      </c>
      <c r="K11" s="91">
        <f>'Revenue Drivers'!K14</f>
        <v>21354</v>
      </c>
      <c r="L11" s="91">
        <f>'Revenue Drivers'!L14</f>
        <v>22140</v>
      </c>
      <c r="M11" s="91">
        <f>'Revenue Drivers'!M14</f>
        <v>23059</v>
      </c>
      <c r="N11" s="91">
        <f>'Revenue Drivers'!N14</f>
        <v>24204</v>
      </c>
      <c r="O11" s="91">
        <f>'Revenue Drivers'!O14</f>
        <v>25037</v>
      </c>
      <c r="P11" s="91">
        <f>'Revenue Drivers'!P14</f>
        <v>26281</v>
      </c>
      <c r="Q11" s="91">
        <f>'Revenue Drivers'!Q14</f>
        <v>27452</v>
      </c>
      <c r="R11" s="91">
        <f>'Revenue Drivers'!R14</f>
        <v>28786</v>
      </c>
      <c r="S11" s="91">
        <f>'Revenue Drivers'!S14</f>
        <v>29267</v>
      </c>
      <c r="T11" s="91">
        <f>'Revenue Drivers'!T14</f>
        <v>30873</v>
      </c>
      <c r="U11" s="91">
        <f>'Revenue Drivers'!U14</f>
        <v>33006</v>
      </c>
      <c r="V11" s="5"/>
      <c r="W11" s="138">
        <f t="shared" si="3"/>
        <v>90757</v>
      </c>
      <c r="X11" s="138">
        <f t="shared" si="4"/>
        <v>94440</v>
      </c>
      <c r="Y11" s="138">
        <f t="shared" si="5"/>
        <v>98581</v>
      </c>
      <c r="Z11" s="138">
        <f t="shared" si="6"/>
        <v>102974</v>
      </c>
      <c r="AA11" s="138">
        <f t="shared" si="7"/>
        <v>107556</v>
      </c>
      <c r="AB11" s="138">
        <f t="shared" si="8"/>
        <v>111786</v>
      </c>
      <c r="AC11" s="138">
        <f t="shared" si="9"/>
        <v>116378</v>
      </c>
      <c r="AD11" s="138">
        <f t="shared" si="10"/>
        <v>121932</v>
      </c>
      <c r="AF11" s="123">
        <f t="shared" si="2"/>
        <v>0.18410472546468037</v>
      </c>
    </row>
    <row r="12" spans="2:32" ht="12.75" customHeight="1">
      <c r="B12" s="9" t="str">
        <f>'Revenue Drivers'!B15</f>
        <v>Other</v>
      </c>
      <c r="C12" s="91">
        <f>'Revenue Drivers'!C15</f>
        <v>4247</v>
      </c>
      <c r="D12" s="91">
        <f>'Revenue Drivers'!D15</f>
        <v>4958</v>
      </c>
      <c r="E12" s="91">
        <f>'Revenue Drivers'!E15</f>
        <v>5425</v>
      </c>
      <c r="F12" s="10"/>
      <c r="G12" s="91">
        <f>'Revenue Drivers'!G15</f>
        <v>661</v>
      </c>
      <c r="H12" s="91">
        <f>'Revenue Drivers'!H15</f>
        <v>1070</v>
      </c>
      <c r="I12" s="91">
        <f>'Revenue Drivers'!I15</f>
        <v>1263</v>
      </c>
      <c r="J12" s="91">
        <f>'Revenue Drivers'!J15</f>
        <v>1253</v>
      </c>
      <c r="K12" s="91">
        <f>'Revenue Drivers'!K15</f>
        <v>1027</v>
      </c>
      <c r="L12" s="91">
        <f>'Revenue Drivers'!L15</f>
        <v>1344</v>
      </c>
      <c r="M12" s="91">
        <f>'Revenue Drivers'!M15</f>
        <v>1226</v>
      </c>
      <c r="N12" s="91">
        <f>'Revenue Drivers'!N15</f>
        <v>1361</v>
      </c>
      <c r="O12" s="91">
        <f>'Revenue Drivers'!O15</f>
        <v>1262</v>
      </c>
      <c r="P12" s="91">
        <f>'Revenue Drivers'!P15</f>
        <v>1260</v>
      </c>
      <c r="Q12" s="91">
        <f>'Revenue Drivers'!Q15</f>
        <v>1313</v>
      </c>
      <c r="R12" s="91">
        <f>'Revenue Drivers'!R15</f>
        <v>1590</v>
      </c>
      <c r="S12" s="91">
        <f>'Revenue Drivers'!S15</f>
        <v>1312</v>
      </c>
      <c r="T12" s="91">
        <f>'Revenue Drivers'!T15</f>
        <v>1499</v>
      </c>
      <c r="U12" s="91">
        <f>'Revenue Drivers'!U15</f>
        <v>1415</v>
      </c>
      <c r="V12" s="5"/>
      <c r="W12" s="138">
        <f t="shared" si="3"/>
        <v>4958</v>
      </c>
      <c r="X12" s="138">
        <f t="shared" si="4"/>
        <v>5193</v>
      </c>
      <c r="Y12" s="138">
        <f t="shared" si="5"/>
        <v>5109</v>
      </c>
      <c r="Z12" s="138">
        <f t="shared" si="6"/>
        <v>5196</v>
      </c>
      <c r="AA12" s="138">
        <f t="shared" si="7"/>
        <v>5425</v>
      </c>
      <c r="AB12" s="138">
        <f t="shared" si="8"/>
        <v>5475</v>
      </c>
      <c r="AC12" s="138">
        <f t="shared" si="9"/>
        <v>5714</v>
      </c>
      <c r="AD12" s="138">
        <f t="shared" si="10"/>
        <v>5816</v>
      </c>
      <c r="AF12" s="123">
        <f t="shared" si="2"/>
        <v>0.11932255581216311</v>
      </c>
    </row>
    <row r="13" spans="2:32" ht="12.75" customHeight="1">
      <c r="B13" s="13" t="s">
        <v>12</v>
      </c>
      <c r="C13" s="14">
        <f>SUM(C6:C12)</f>
        <v>513983</v>
      </c>
      <c r="D13" s="14">
        <f>SUM(D6:D12)</f>
        <v>574785</v>
      </c>
      <c r="E13" s="14">
        <f>SUM(E6:E12)</f>
        <v>637959</v>
      </c>
      <c r="F13" s="10"/>
      <c r="G13" s="14">
        <f t="shared" ref="G13:J13" si="11">SUM(G6:G12)</f>
        <v>116444</v>
      </c>
      <c r="H13" s="14">
        <f t="shared" si="11"/>
        <v>121234</v>
      </c>
      <c r="I13" s="14">
        <f t="shared" si="11"/>
        <v>127101</v>
      </c>
      <c r="J13" s="14">
        <f t="shared" si="11"/>
        <v>149204</v>
      </c>
      <c r="K13" s="14">
        <f t="shared" ref="K13:U13" si="12">SUM(K6:K12)</f>
        <v>127358</v>
      </c>
      <c r="L13" s="14">
        <f t="shared" si="12"/>
        <v>134383</v>
      </c>
      <c r="M13" s="14">
        <f t="shared" si="12"/>
        <v>143083</v>
      </c>
      <c r="N13" s="14">
        <f t="shared" si="12"/>
        <v>169961</v>
      </c>
      <c r="O13" s="14">
        <f t="shared" si="12"/>
        <v>143313</v>
      </c>
      <c r="P13" s="14">
        <f t="shared" si="12"/>
        <v>147977</v>
      </c>
      <c r="Q13" s="14">
        <f t="shared" si="12"/>
        <v>158877</v>
      </c>
      <c r="R13" s="14">
        <f t="shared" si="12"/>
        <v>187792</v>
      </c>
      <c r="S13" s="14">
        <f t="shared" si="12"/>
        <v>155667</v>
      </c>
      <c r="T13" s="14">
        <f t="shared" si="12"/>
        <v>167702</v>
      </c>
      <c r="U13" s="14">
        <f t="shared" si="12"/>
        <v>180169</v>
      </c>
      <c r="V13" s="5"/>
      <c r="W13" s="14">
        <f t="shared" ref="W13:AD13" si="13">SUM(W6:W12)</f>
        <v>574785</v>
      </c>
      <c r="X13" s="14">
        <f t="shared" si="13"/>
        <v>590740</v>
      </c>
      <c r="Y13" s="14">
        <f t="shared" si="13"/>
        <v>604334</v>
      </c>
      <c r="Z13" s="14">
        <f t="shared" si="13"/>
        <v>620128</v>
      </c>
      <c r="AA13" s="14">
        <f t="shared" si="13"/>
        <v>637959</v>
      </c>
      <c r="AB13" s="14">
        <f t="shared" si="13"/>
        <v>650313</v>
      </c>
      <c r="AC13" s="14">
        <f t="shared" si="13"/>
        <v>670038</v>
      </c>
      <c r="AD13" s="14">
        <f t="shared" si="13"/>
        <v>691330</v>
      </c>
      <c r="AF13" s="124">
        <f t="shared" si="2"/>
        <v>0.11481823107487488</v>
      </c>
    </row>
    <row r="14" spans="2:32" ht="12.75" customHeight="1">
      <c r="B14" s="16" t="s">
        <v>26</v>
      </c>
      <c r="C14" s="112"/>
      <c r="D14" s="17">
        <f>SUM(D13/C13)-1</f>
        <v>0.1182957412988368</v>
      </c>
      <c r="E14" s="17">
        <f>SUM(E13/D13)-1</f>
        <v>0.1099089224666614</v>
      </c>
      <c r="F14" s="11"/>
      <c r="G14" s="112"/>
      <c r="H14" s="112"/>
      <c r="I14" s="112"/>
      <c r="J14" s="112"/>
      <c r="K14" s="17">
        <f t="shared" ref="K14" si="14">SUM(K13/G13)-1</f>
        <v>9.3727456975026602E-2</v>
      </c>
      <c r="L14" s="17">
        <f t="shared" ref="L14" si="15">SUM(L13/H13)-1</f>
        <v>0.10845967302901816</v>
      </c>
      <c r="M14" s="17">
        <f t="shared" ref="M14" si="16">SUM(M13/I13)-1</f>
        <v>0.125742519728405</v>
      </c>
      <c r="N14" s="17">
        <f t="shared" ref="N14" si="17">SUM(N13/J13)-1</f>
        <v>0.13911825420230017</v>
      </c>
      <c r="O14" s="17">
        <f t="shared" ref="O14" si="18">SUM(O13/K13)-1</f>
        <v>0.12527677884388888</v>
      </c>
      <c r="P14" s="17">
        <f t="shared" ref="P14" si="19">SUM(P13/L13)-1</f>
        <v>0.10115862869559389</v>
      </c>
      <c r="Q14" s="17">
        <f t="shared" ref="Q14" si="20">SUM(Q13/M13)-1</f>
        <v>0.11038348371225104</v>
      </c>
      <c r="R14" s="17">
        <f t="shared" ref="R14" si="21">SUM(R13/N13)-1</f>
        <v>0.10491230341078239</v>
      </c>
      <c r="S14" s="17">
        <f t="shared" ref="S14" si="22">SUM(S13/O13)-1</f>
        <v>8.6202926461660834E-2</v>
      </c>
      <c r="T14" s="17">
        <f t="shared" ref="T14" si="23">SUM(T13/P13)-1</f>
        <v>0.13329774221669588</v>
      </c>
      <c r="U14" s="17">
        <f t="shared" ref="U14" si="24">SUM(U13/Q13)-1</f>
        <v>0.13401562214795093</v>
      </c>
      <c r="V14" s="5"/>
      <c r="W14" s="112"/>
      <c r="X14" s="112"/>
      <c r="Y14" s="112"/>
      <c r="Z14" s="112"/>
      <c r="AA14" s="17">
        <f t="shared" ref="AA14:AD14" si="25">SUM(AA13/W13)-1</f>
        <v>0.1099089224666614</v>
      </c>
      <c r="AB14" s="17">
        <f t="shared" si="25"/>
        <v>0.10084470325354644</v>
      </c>
      <c r="AC14" s="17">
        <f t="shared" si="25"/>
        <v>0.10872133621474211</v>
      </c>
      <c r="AD14" s="17">
        <f t="shared" si="25"/>
        <v>0.11481823107487488</v>
      </c>
      <c r="AF14" s="125">
        <f>SUM(AD14-Z14)*10000</f>
        <v>1148.1823107487487</v>
      </c>
    </row>
    <row r="15" spans="2:32" ht="12.75" customHeight="1">
      <c r="B15" s="16" t="s">
        <v>27</v>
      </c>
      <c r="C15" s="17" t="s">
        <v>28</v>
      </c>
      <c r="D15" s="17" t="s">
        <v>28</v>
      </c>
      <c r="E15" s="17" t="s">
        <v>28</v>
      </c>
      <c r="F15" s="11"/>
      <c r="G15" s="112"/>
      <c r="H15" s="17">
        <f t="shared" ref="H15" si="26">SUM(H13/G13)-1</f>
        <v>4.1135653189515953E-2</v>
      </c>
      <c r="I15" s="17">
        <f t="shared" ref="I15" si="27">SUM(I13/H13)-1</f>
        <v>4.839401488031414E-2</v>
      </c>
      <c r="J15" s="17">
        <f t="shared" ref="J15" si="28">SUM(J13/I13)-1</f>
        <v>0.1739010708019606</v>
      </c>
      <c r="K15" s="17">
        <f t="shared" ref="K15" si="29">SUM(K13/J13)-1</f>
        <v>-0.14641698613978182</v>
      </c>
      <c r="L15" s="17">
        <f t="shared" ref="L15:U15" si="30">SUM(L13/K13)-1</f>
        <v>5.51594717253725E-2</v>
      </c>
      <c r="M15" s="17">
        <f t="shared" si="30"/>
        <v>6.4740331738389445E-2</v>
      </c>
      <c r="N15" s="17">
        <f t="shared" si="30"/>
        <v>0.18784901071406113</v>
      </c>
      <c r="O15" s="17">
        <f t="shared" si="30"/>
        <v>-0.15678891039709109</v>
      </c>
      <c r="P15" s="17">
        <f t="shared" si="30"/>
        <v>3.2544151612205363E-2</v>
      </c>
      <c r="Q15" s="17">
        <f t="shared" si="30"/>
        <v>7.3660095825702543E-2</v>
      </c>
      <c r="R15" s="17">
        <f t="shared" si="30"/>
        <v>0.18199613537516446</v>
      </c>
      <c r="S15" s="17">
        <f t="shared" si="30"/>
        <v>-0.17106692510863086</v>
      </c>
      <c r="T15" s="17">
        <f t="shared" si="30"/>
        <v>7.7312468281652391E-2</v>
      </c>
      <c r="U15" s="17">
        <f t="shared" si="30"/>
        <v>7.4340198685764136E-2</v>
      </c>
      <c r="V15" s="5"/>
      <c r="W15" s="17" t="s">
        <v>28</v>
      </c>
      <c r="X15" s="17" t="s">
        <v>28</v>
      </c>
      <c r="Y15" s="17" t="s">
        <v>28</v>
      </c>
      <c r="Z15" s="17" t="s">
        <v>28</v>
      </c>
      <c r="AA15" s="17" t="s">
        <v>28</v>
      </c>
      <c r="AB15" s="17" t="s">
        <v>28</v>
      </c>
      <c r="AC15" s="17" t="s">
        <v>28</v>
      </c>
      <c r="AD15" s="17" t="s">
        <v>28</v>
      </c>
      <c r="AF15" s="122"/>
    </row>
    <row r="16" spans="2:32" ht="5.0999999999999996" customHeight="1">
      <c r="B16" s="18"/>
      <c r="C16" s="19"/>
      <c r="D16" s="19"/>
      <c r="E16" s="19"/>
      <c r="F16" s="20"/>
      <c r="G16" s="21"/>
      <c r="H16" s="21"/>
      <c r="I16" s="21"/>
      <c r="J16" s="21"/>
      <c r="K16" s="21"/>
      <c r="L16" s="21"/>
      <c r="M16" s="21"/>
      <c r="N16" s="22"/>
      <c r="O16" s="21"/>
      <c r="P16" s="21"/>
      <c r="Q16" s="21"/>
      <c r="R16" s="21"/>
      <c r="S16" s="21"/>
      <c r="T16" s="21"/>
      <c r="U16" s="21"/>
      <c r="V16" s="20"/>
      <c r="W16" s="20"/>
      <c r="X16" s="20"/>
      <c r="Y16" s="20"/>
      <c r="Z16" s="20"/>
      <c r="AA16" s="20"/>
      <c r="AB16" s="20"/>
      <c r="AC16" s="20"/>
      <c r="AD16" s="20"/>
      <c r="AF16" s="122"/>
    </row>
    <row r="17" spans="2:32" ht="12.75" customHeight="1">
      <c r="B17" s="23" t="s">
        <v>108</v>
      </c>
      <c r="C17" s="91">
        <f>'Historical Financials'!E13</f>
        <v>-288831</v>
      </c>
      <c r="D17" s="91">
        <f>'Historical Financials'!F13</f>
        <v>-304739</v>
      </c>
      <c r="E17" s="91">
        <f>'Historical Financials'!G13</f>
        <v>-326288</v>
      </c>
      <c r="F17" s="10"/>
      <c r="G17" s="91">
        <f>'Historical Financials'!I13</f>
        <v>-66499</v>
      </c>
      <c r="H17" s="91">
        <f>'Historical Financials'!J13</f>
        <v>-66424</v>
      </c>
      <c r="I17" s="91">
        <f>'Historical Financials'!K13</f>
        <v>-70268</v>
      </c>
      <c r="J17" s="91">
        <f>'Historical Financials'!L13</f>
        <v>-85640</v>
      </c>
      <c r="K17" s="91">
        <f>'Historical Financials'!M13</f>
        <v>-67791</v>
      </c>
      <c r="L17" s="91">
        <f>'Historical Financials'!N13</f>
        <v>-69373</v>
      </c>
      <c r="M17" s="91">
        <f>'Historical Financials'!O13</f>
        <v>-75022</v>
      </c>
      <c r="N17" s="91">
        <f>'Historical Financials'!P13</f>
        <v>-92553</v>
      </c>
      <c r="O17" s="91">
        <f>'Historical Financials'!Q13</f>
        <v>-72633</v>
      </c>
      <c r="P17" s="91">
        <f>'Historical Financials'!R13</f>
        <v>-73785</v>
      </c>
      <c r="Q17" s="91">
        <f>'Historical Financials'!S13</f>
        <v>-80977</v>
      </c>
      <c r="R17" s="91">
        <f>'Historical Financials'!T13</f>
        <v>-98893</v>
      </c>
      <c r="S17" s="91">
        <f>'Historical Financials'!U13</f>
        <v>-76976</v>
      </c>
      <c r="T17" s="91">
        <f>'Historical Financials'!V13</f>
        <v>-80809</v>
      </c>
      <c r="U17" s="91">
        <f>'Historical Financials'!W13</f>
        <v>-88670</v>
      </c>
      <c r="V17" s="5"/>
      <c r="W17" s="138">
        <f t="shared" ref="W17:AC17" si="31">SUM(K17:N17)</f>
        <v>-304739</v>
      </c>
      <c r="X17" s="138">
        <f t="shared" si="31"/>
        <v>-309581</v>
      </c>
      <c r="Y17" s="138">
        <f t="shared" si="31"/>
        <v>-313993</v>
      </c>
      <c r="Z17" s="138">
        <f t="shared" si="31"/>
        <v>-319948</v>
      </c>
      <c r="AA17" s="138">
        <f t="shared" si="31"/>
        <v>-326288</v>
      </c>
      <c r="AB17" s="138">
        <f t="shared" si="31"/>
        <v>-330631</v>
      </c>
      <c r="AC17" s="138">
        <f t="shared" si="31"/>
        <v>-337655</v>
      </c>
      <c r="AD17" s="138">
        <f>SUM(R17:U17)</f>
        <v>-345348</v>
      </c>
      <c r="AF17" s="123">
        <f t="shared" ref="AF17" si="32">SUM(AD17/Z17)-1</f>
        <v>7.9387900533836708E-2</v>
      </c>
    </row>
    <row r="18" spans="2:32" ht="12.75" customHeight="1">
      <c r="B18" s="24" t="s">
        <v>20</v>
      </c>
      <c r="C18" s="25">
        <f>SUM(C13+SUM(C17:C17))</f>
        <v>225152</v>
      </c>
      <c r="D18" s="25">
        <f>SUM(D13+SUM(D17:D17))</f>
        <v>270046</v>
      </c>
      <c r="E18" s="25">
        <f>SUM(E13+SUM(E17:E17))</f>
        <v>311671</v>
      </c>
      <c r="F18" s="5"/>
      <c r="G18" s="25">
        <f t="shared" ref="G18:J18" si="33">SUM(G13+SUM(G17:G17))</f>
        <v>49945</v>
      </c>
      <c r="H18" s="25">
        <f t="shared" si="33"/>
        <v>54810</v>
      </c>
      <c r="I18" s="25">
        <f t="shared" si="33"/>
        <v>56833</v>
      </c>
      <c r="J18" s="25">
        <f t="shared" si="33"/>
        <v>63564</v>
      </c>
      <c r="K18" s="25">
        <f>SUM(K13+SUM(K17:K17))</f>
        <v>59567</v>
      </c>
      <c r="L18" s="25">
        <f>SUM(L13+SUM(L17:L17))</f>
        <v>65010</v>
      </c>
      <c r="M18" s="25">
        <f>SUM(M13+SUM(M17:M17))</f>
        <v>68061</v>
      </c>
      <c r="N18" s="25">
        <f>SUM(N13+SUM(N17:N17))</f>
        <v>77408</v>
      </c>
      <c r="O18" s="25">
        <f>SUM(O13+SUM(O17:O17))</f>
        <v>70680</v>
      </c>
      <c r="P18" s="25">
        <f>SUM(P13+SUM(P17:P17))</f>
        <v>74192</v>
      </c>
      <c r="Q18" s="25">
        <f>SUM(Q13+SUM(Q17:Q17))</f>
        <v>77900</v>
      </c>
      <c r="R18" s="25">
        <f>SUM(R13+SUM(R17:R17))</f>
        <v>88899</v>
      </c>
      <c r="S18" s="25">
        <f>SUM(S13+SUM(S17:S17))</f>
        <v>78691</v>
      </c>
      <c r="T18" s="25">
        <f>SUM(T13+SUM(T17:T17))</f>
        <v>86893</v>
      </c>
      <c r="U18" s="25">
        <f>SUM(U13+SUM(U17:U17))</f>
        <v>91499</v>
      </c>
      <c r="V18" s="5"/>
      <c r="W18" s="25">
        <f>SUM(W13+SUM(W17:W17))</f>
        <v>270046</v>
      </c>
      <c r="X18" s="25">
        <f>SUM(X13+SUM(X17:X17))</f>
        <v>281159</v>
      </c>
      <c r="Y18" s="25">
        <f>SUM(Y13+SUM(Y17:Y17))</f>
        <v>290341</v>
      </c>
      <c r="Z18" s="25">
        <f>SUM(Z13+SUM(Z17:Z17))</f>
        <v>300180</v>
      </c>
      <c r="AA18" s="25">
        <f>SUM(AA13+SUM(AA17:AA17))</f>
        <v>311671</v>
      </c>
      <c r="AB18" s="25">
        <f>SUM(AB13+SUM(AB17:AB17))</f>
        <v>319682</v>
      </c>
      <c r="AC18" s="25">
        <f>SUM(AC13+SUM(AC17:AC17))</f>
        <v>332383</v>
      </c>
      <c r="AD18" s="25">
        <f>SUM(AD13+SUM(AD17:AD17))</f>
        <v>345982</v>
      </c>
      <c r="AF18" s="124">
        <f>SUM(AD18/Z18)-1</f>
        <v>0.15258178426277569</v>
      </c>
    </row>
    <row r="19" spans="2:32" ht="12.75" customHeight="1">
      <c r="B19" s="16" t="s">
        <v>29</v>
      </c>
      <c r="C19" s="17">
        <f>C18/C13</f>
        <v>0.43805339865326287</v>
      </c>
      <c r="D19" s="17">
        <f>D18/D13</f>
        <v>0.46982088955000567</v>
      </c>
      <c r="E19" s="17">
        <f>E18/E13</f>
        <v>0.48854393464156787</v>
      </c>
      <c r="F19" s="26"/>
      <c r="G19" s="17">
        <f t="shared" ref="G19:J19" si="34">G18/G13</f>
        <v>0.42891862182680085</v>
      </c>
      <c r="H19" s="17">
        <f t="shared" si="34"/>
        <v>0.4521008957883102</v>
      </c>
      <c r="I19" s="17">
        <f t="shared" si="34"/>
        <v>0.44714833085498934</v>
      </c>
      <c r="J19" s="17">
        <f t="shared" si="34"/>
        <v>0.42602075011393797</v>
      </c>
      <c r="K19" s="17">
        <f>K18/K13</f>
        <v>0.46771306082067871</v>
      </c>
      <c r="L19" s="17">
        <f>L18/L13</f>
        <v>0.48376654785203488</v>
      </c>
      <c r="M19" s="17">
        <f>M18/M13</f>
        <v>0.47567495789157344</v>
      </c>
      <c r="N19" s="17">
        <f>N18/N13</f>
        <v>0.45544566106342044</v>
      </c>
      <c r="O19" s="17">
        <f>O18/O13</f>
        <v>0.49318624269954575</v>
      </c>
      <c r="P19" s="17">
        <f>P18/P13</f>
        <v>0.50137521371564497</v>
      </c>
      <c r="Q19" s="17">
        <f>Q18/Q13</f>
        <v>0.49031640829069029</v>
      </c>
      <c r="R19" s="17">
        <f>R18/R13</f>
        <v>0.47339077276987307</v>
      </c>
      <c r="S19" s="17">
        <f>S18/S13</f>
        <v>0.50550855351487467</v>
      </c>
      <c r="T19" s="17">
        <f>T18/T13</f>
        <v>0.51813931855314788</v>
      </c>
      <c r="U19" s="17">
        <f>U18/U13</f>
        <v>0.50785096215220149</v>
      </c>
      <c r="V19" s="27"/>
      <c r="W19" s="17">
        <f>W18/W13</f>
        <v>0.46982088955000567</v>
      </c>
      <c r="X19" s="17">
        <f>X18/X13</f>
        <v>0.47594373159088599</v>
      </c>
      <c r="Y19" s="17">
        <f>Y18/Y13</f>
        <v>0.48043135087550926</v>
      </c>
      <c r="Z19" s="17">
        <f>Z18/Z13</f>
        <v>0.4840613550750813</v>
      </c>
      <c r="AA19" s="17">
        <f>AA18/AA13</f>
        <v>0.48854393464156787</v>
      </c>
      <c r="AB19" s="17">
        <f>AB18/AB13</f>
        <v>0.49158174602076232</v>
      </c>
      <c r="AC19" s="17">
        <f>AC18/AC13</f>
        <v>0.49606589477014734</v>
      </c>
      <c r="AD19" s="17">
        <f>AD18/AD13</f>
        <v>0.50045853644424521</v>
      </c>
      <c r="AF19" s="125">
        <f>SUM(AD19-Z19)*10000</f>
        <v>163.97181369163906</v>
      </c>
    </row>
    <row r="20" spans="2:32" ht="5.0999999999999996" customHeight="1">
      <c r="B20" s="28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5"/>
      <c r="W20" s="29"/>
      <c r="X20" s="29"/>
      <c r="Y20" s="29"/>
      <c r="Z20" s="29"/>
      <c r="AA20" s="29"/>
      <c r="AB20" s="29"/>
      <c r="AC20" s="29"/>
      <c r="AD20" s="29"/>
      <c r="AF20" s="122"/>
    </row>
    <row r="21" spans="2:32" ht="12.75" customHeight="1">
      <c r="B21" s="23" t="s">
        <v>186</v>
      </c>
      <c r="C21" s="137">
        <f>'Historical Financials'!E17</f>
        <v>-84299</v>
      </c>
      <c r="D21" s="137">
        <f>'Historical Financials'!F17</f>
        <v>-90619</v>
      </c>
      <c r="E21" s="137">
        <f>'Historical Financials'!G17</f>
        <v>-98505</v>
      </c>
      <c r="F21" s="91"/>
      <c r="G21" s="137">
        <f>'Historical Financials'!I17</f>
        <v>-20271</v>
      </c>
      <c r="H21" s="137">
        <f>'Historical Financials'!J17</f>
        <v>-20342</v>
      </c>
      <c r="I21" s="137">
        <f>'Historical Financials'!K17</f>
        <v>-20583</v>
      </c>
      <c r="J21" s="137">
        <f>'Historical Financials'!L17</f>
        <v>-23103</v>
      </c>
      <c r="K21" s="137">
        <f>'Historical Financials'!M17</f>
        <v>-20905</v>
      </c>
      <c r="L21" s="137">
        <f>'Historical Financials'!N17</f>
        <v>-21305</v>
      </c>
      <c r="M21" s="137">
        <f>'Historical Financials'!O17</f>
        <v>-22314</v>
      </c>
      <c r="N21" s="137">
        <f>'Historical Financials'!P17</f>
        <v>-26095</v>
      </c>
      <c r="O21" s="137">
        <f>'Historical Financials'!Q17</f>
        <v>-22317</v>
      </c>
      <c r="P21" s="137">
        <f>'Historical Financials'!R17</f>
        <v>-23566</v>
      </c>
      <c r="Q21" s="137">
        <f>'Historical Financials'!S17</f>
        <v>-24660</v>
      </c>
      <c r="R21" s="137">
        <f>'Historical Financials'!T17</f>
        <v>-27962</v>
      </c>
      <c r="S21" s="137">
        <f>'Historical Financials'!U17</f>
        <v>-24593</v>
      </c>
      <c r="T21" s="137">
        <f>'Historical Financials'!V17</f>
        <v>-25976</v>
      </c>
      <c r="U21" s="137">
        <f>'Historical Financials'!W17</f>
        <v>-27679</v>
      </c>
      <c r="V21" s="5"/>
      <c r="W21" s="138">
        <f t="shared" ref="W21:W22" si="35">SUM(K21:N21)</f>
        <v>-90619</v>
      </c>
      <c r="X21" s="138">
        <f t="shared" ref="X21:X22" si="36">SUM(L21:O21)</f>
        <v>-92031</v>
      </c>
      <c r="Y21" s="138">
        <f t="shared" ref="Y21:Y22" si="37">SUM(M21:P21)</f>
        <v>-94292</v>
      </c>
      <c r="Z21" s="138">
        <f t="shared" ref="Z21:Z22" si="38">SUM(N21:Q21)</f>
        <v>-96638</v>
      </c>
      <c r="AA21" s="138">
        <f t="shared" ref="AA21:AA22" si="39">SUM(O21:R21)</f>
        <v>-98505</v>
      </c>
      <c r="AB21" s="138">
        <f t="shared" ref="AB21:AB22" si="40">SUM(P21:S21)</f>
        <v>-100781</v>
      </c>
      <c r="AC21" s="138">
        <f t="shared" ref="AC21:AC22" si="41">SUM(Q21:T21)</f>
        <v>-103191</v>
      </c>
      <c r="AD21" s="138">
        <f t="shared" ref="AD21:AD22" si="42">SUM(R21:U21)</f>
        <v>-106210</v>
      </c>
      <c r="AF21" s="123">
        <f t="shared" ref="AF21:AF22" si="43">SUM(AD21/Z21)-1</f>
        <v>9.9050063122167353E-2</v>
      </c>
    </row>
    <row r="22" spans="2:32" ht="12.75" customHeight="1">
      <c r="B22" s="23" t="s">
        <v>187</v>
      </c>
      <c r="C22" s="137">
        <f>'Historical Financials'!E18</f>
        <v>-73213</v>
      </c>
      <c r="D22" s="137">
        <f>'Historical Financials'!F18</f>
        <v>-85622</v>
      </c>
      <c r="E22" s="137">
        <f>'Historical Financials'!G18</f>
        <v>-88544</v>
      </c>
      <c r="F22" s="91"/>
      <c r="G22" s="137">
        <f>'Historical Financials'!I18</f>
        <v>-14842</v>
      </c>
      <c r="H22" s="137">
        <f>'Historical Financials'!J18</f>
        <v>-18072</v>
      </c>
      <c r="I22" s="137">
        <f>'Historical Financials'!K18</f>
        <v>-19485</v>
      </c>
      <c r="J22" s="137">
        <f>'Historical Financials'!L18</f>
        <v>-20814</v>
      </c>
      <c r="K22" s="137">
        <f>'Historical Financials'!M18</f>
        <v>-20450</v>
      </c>
      <c r="L22" s="137">
        <f>'Historical Financials'!N18</f>
        <v>-21931</v>
      </c>
      <c r="M22" s="137">
        <f>'Historical Financials'!O18</f>
        <v>-21203</v>
      </c>
      <c r="N22" s="137">
        <f>'Historical Financials'!P18</f>
        <v>-22038</v>
      </c>
      <c r="O22" s="137">
        <f>'Historical Financials'!Q18</f>
        <v>-20424</v>
      </c>
      <c r="P22" s="137">
        <f>'Historical Financials'!R18</f>
        <v>-22304</v>
      </c>
      <c r="Q22" s="137">
        <f>'Historical Financials'!S18</f>
        <v>-22245</v>
      </c>
      <c r="R22" s="137">
        <f>'Historical Financials'!T18</f>
        <v>-23571</v>
      </c>
      <c r="S22" s="137">
        <f>'Historical Financials'!U18</f>
        <v>-22994</v>
      </c>
      <c r="T22" s="137">
        <f>'Historical Financials'!V18</f>
        <v>-27166</v>
      </c>
      <c r="U22" s="137">
        <f>'Historical Financials'!W18</f>
        <v>-28962</v>
      </c>
      <c r="V22" s="5"/>
      <c r="W22" s="138">
        <f t="shared" si="35"/>
        <v>-85622</v>
      </c>
      <c r="X22" s="138">
        <f t="shared" si="36"/>
        <v>-85596</v>
      </c>
      <c r="Y22" s="138">
        <f t="shared" si="37"/>
        <v>-85969</v>
      </c>
      <c r="Z22" s="138">
        <f t="shared" si="38"/>
        <v>-87011</v>
      </c>
      <c r="AA22" s="138">
        <f t="shared" si="39"/>
        <v>-88544</v>
      </c>
      <c r="AB22" s="138">
        <f t="shared" si="40"/>
        <v>-91114</v>
      </c>
      <c r="AC22" s="138">
        <f t="shared" si="41"/>
        <v>-95976</v>
      </c>
      <c r="AD22" s="138">
        <f t="shared" si="42"/>
        <v>-102693</v>
      </c>
      <c r="AF22" s="123">
        <f t="shared" si="43"/>
        <v>0.18023008585121425</v>
      </c>
    </row>
    <row r="23" spans="2:32" ht="12.75" customHeight="1">
      <c r="B23" s="23" t="s">
        <v>188</v>
      </c>
      <c r="C23" s="137">
        <f>'Historical Financials'!E19</f>
        <v>-42238</v>
      </c>
      <c r="D23" s="137">
        <f>'Historical Financials'!F19</f>
        <v>-44370</v>
      </c>
      <c r="E23" s="137">
        <f>'Historical Financials'!G19</f>
        <v>-43907</v>
      </c>
      <c r="F23" s="91"/>
      <c r="G23" s="137">
        <f>'Historical Financials'!I19</f>
        <v>-8320</v>
      </c>
      <c r="H23" s="137">
        <f>'Historical Financials'!J19</f>
        <v>-10086</v>
      </c>
      <c r="I23" s="137">
        <f>'Historical Financials'!K19</f>
        <v>-11014</v>
      </c>
      <c r="J23" s="137">
        <f>'Historical Financials'!L19</f>
        <v>-12818</v>
      </c>
      <c r="K23" s="137">
        <f>'Historical Financials'!M19</f>
        <v>-10172</v>
      </c>
      <c r="L23" s="137">
        <f>'Historical Financials'!N19</f>
        <v>-10745</v>
      </c>
      <c r="M23" s="137">
        <f>'Historical Financials'!O19</f>
        <v>-10551</v>
      </c>
      <c r="N23" s="137">
        <f>'Historical Financials'!P19</f>
        <v>-12902</v>
      </c>
      <c r="O23" s="137">
        <f>'Historical Financials'!Q19</f>
        <v>-9662</v>
      </c>
      <c r="P23" s="137">
        <f>'Historical Financials'!R19</f>
        <v>-10512</v>
      </c>
      <c r="Q23" s="137">
        <f>'Historical Financials'!S19</f>
        <v>-10609</v>
      </c>
      <c r="R23" s="137">
        <f>'Historical Financials'!T19</f>
        <v>-13124</v>
      </c>
      <c r="S23" s="137">
        <f>'Historical Financials'!U19</f>
        <v>-9763</v>
      </c>
      <c r="T23" s="137">
        <f>'Historical Financials'!V19</f>
        <v>-11416</v>
      </c>
      <c r="U23" s="137">
        <f>'Historical Financials'!W19</f>
        <v>-11686</v>
      </c>
      <c r="V23" s="5"/>
      <c r="W23" s="138">
        <f t="shared" ref="W23:AC25" si="44">SUM(K23:N23)</f>
        <v>-44370</v>
      </c>
      <c r="X23" s="138">
        <f t="shared" si="44"/>
        <v>-43860</v>
      </c>
      <c r="Y23" s="138">
        <f t="shared" si="44"/>
        <v>-43627</v>
      </c>
      <c r="Z23" s="138">
        <f t="shared" si="44"/>
        <v>-43685</v>
      </c>
      <c r="AA23" s="138">
        <f t="shared" si="44"/>
        <v>-43907</v>
      </c>
      <c r="AB23" s="138">
        <f t="shared" si="44"/>
        <v>-44008</v>
      </c>
      <c r="AC23" s="138">
        <f t="shared" si="44"/>
        <v>-44912</v>
      </c>
      <c r="AD23" s="138">
        <f>SUM(R23:U23)</f>
        <v>-45989</v>
      </c>
      <c r="AF23" s="123">
        <f t="shared" ref="AF23:AF25" si="45">SUM(AD23/Z23)-1</f>
        <v>5.274121552020139E-2</v>
      </c>
    </row>
    <row r="24" spans="2:32" ht="12.75" customHeight="1">
      <c r="B24" s="23" t="s">
        <v>189</v>
      </c>
      <c r="C24" s="137">
        <f>'Historical Financials'!E20</f>
        <v>-11891</v>
      </c>
      <c r="D24" s="137">
        <f>'Historical Financials'!F20</f>
        <v>-11816</v>
      </c>
      <c r="E24" s="137">
        <f>'Historical Financials'!G20</f>
        <v>-11359</v>
      </c>
      <c r="F24" s="91"/>
      <c r="G24" s="137">
        <f>'Historical Financials'!I20</f>
        <v>-2594</v>
      </c>
      <c r="H24" s="137">
        <f>'Historical Financials'!J20</f>
        <v>-2903</v>
      </c>
      <c r="I24" s="137">
        <f>'Historical Financials'!K20</f>
        <v>-3061</v>
      </c>
      <c r="J24" s="137">
        <f>'Historical Financials'!L20</f>
        <v>-3333</v>
      </c>
      <c r="K24" s="137">
        <f>'Historical Financials'!M20</f>
        <v>-3043</v>
      </c>
      <c r="L24" s="137">
        <f>'Historical Financials'!N20</f>
        <v>-3202</v>
      </c>
      <c r="M24" s="137">
        <f>'Historical Financials'!O20</f>
        <v>-2561</v>
      </c>
      <c r="N24" s="137">
        <f>'Historical Financials'!P20</f>
        <v>-3010</v>
      </c>
      <c r="O24" s="137">
        <f>'Historical Financials'!Q20</f>
        <v>-2742</v>
      </c>
      <c r="P24" s="137">
        <f>'Historical Financials'!R20</f>
        <v>-3041</v>
      </c>
      <c r="Q24" s="137">
        <f>'Historical Financials'!S20</f>
        <v>-2713</v>
      </c>
      <c r="R24" s="137">
        <f>'Historical Financials'!T20</f>
        <v>-2863</v>
      </c>
      <c r="S24" s="137">
        <f>'Historical Financials'!U20</f>
        <v>-2628</v>
      </c>
      <c r="T24" s="137">
        <f>'Historical Financials'!V20</f>
        <v>-2965</v>
      </c>
      <c r="U24" s="137">
        <f>'Historical Financials'!W20</f>
        <v>-2875</v>
      </c>
      <c r="V24" s="5"/>
      <c r="W24" s="138">
        <f t="shared" si="44"/>
        <v>-11816</v>
      </c>
      <c r="X24" s="138">
        <f t="shared" si="44"/>
        <v>-11515</v>
      </c>
      <c r="Y24" s="138">
        <f t="shared" si="44"/>
        <v>-11354</v>
      </c>
      <c r="Z24" s="138">
        <f t="shared" si="44"/>
        <v>-11506</v>
      </c>
      <c r="AA24" s="138">
        <f t="shared" si="44"/>
        <v>-11359</v>
      </c>
      <c r="AB24" s="138">
        <f t="shared" si="44"/>
        <v>-11245</v>
      </c>
      <c r="AC24" s="138">
        <f t="shared" si="44"/>
        <v>-11169</v>
      </c>
      <c r="AD24" s="138">
        <f>SUM(R24:U24)</f>
        <v>-11331</v>
      </c>
      <c r="AF24" s="123">
        <f t="shared" si="45"/>
        <v>-1.52094559360334E-2</v>
      </c>
    </row>
    <row r="25" spans="2:32" ht="12.75" customHeight="1">
      <c r="B25" s="23" t="s">
        <v>190</v>
      </c>
      <c r="C25" s="137">
        <f>'Historical Financials'!E21</f>
        <v>-1263</v>
      </c>
      <c r="D25" s="137">
        <f>'Historical Financials'!F21</f>
        <v>-767</v>
      </c>
      <c r="E25" s="137">
        <f>'Historical Financials'!G21</f>
        <v>-763</v>
      </c>
      <c r="F25" s="91"/>
      <c r="G25" s="137">
        <f>'Historical Financials'!I21</f>
        <v>-249</v>
      </c>
      <c r="H25" s="137">
        <f>'Historical Financials'!J21</f>
        <v>-90</v>
      </c>
      <c r="I25" s="137">
        <f>'Historical Financials'!K21</f>
        <v>-165</v>
      </c>
      <c r="J25" s="137">
        <f>'Historical Financials'!L21</f>
        <v>-759</v>
      </c>
      <c r="K25" s="137">
        <f>'Historical Financials'!M21</f>
        <v>-223</v>
      </c>
      <c r="L25" s="137">
        <f>'Historical Financials'!N21</f>
        <v>-146</v>
      </c>
      <c r="M25" s="137">
        <f>'Historical Financials'!O21</f>
        <v>-244</v>
      </c>
      <c r="N25" s="137">
        <f>'Historical Financials'!P21</f>
        <v>-154</v>
      </c>
      <c r="O25" s="137">
        <f>'Historical Financials'!Q21</f>
        <v>-228</v>
      </c>
      <c r="P25" s="137">
        <f>'Historical Financials'!R21</f>
        <v>-97</v>
      </c>
      <c r="Q25" s="137">
        <f>'Historical Financials'!S21</f>
        <v>-262</v>
      </c>
      <c r="R25" s="137">
        <f>'Historical Financials'!T21</f>
        <v>-176</v>
      </c>
      <c r="S25" s="137">
        <f>'Historical Financials'!U21</f>
        <v>-308</v>
      </c>
      <c r="T25" s="137">
        <f>'Historical Financials'!V21</f>
        <v>-199</v>
      </c>
      <c r="U25" s="137">
        <f>'Historical Financials'!W21</f>
        <v>-2875</v>
      </c>
      <c r="V25" s="5"/>
      <c r="W25" s="138">
        <f t="shared" si="44"/>
        <v>-767</v>
      </c>
      <c r="X25" s="138">
        <f t="shared" si="44"/>
        <v>-772</v>
      </c>
      <c r="Y25" s="138">
        <f t="shared" si="44"/>
        <v>-723</v>
      </c>
      <c r="Z25" s="138">
        <f t="shared" si="44"/>
        <v>-741</v>
      </c>
      <c r="AA25" s="138">
        <f t="shared" si="44"/>
        <v>-763</v>
      </c>
      <c r="AB25" s="138">
        <f t="shared" si="44"/>
        <v>-843</v>
      </c>
      <c r="AC25" s="138">
        <f t="shared" si="44"/>
        <v>-945</v>
      </c>
      <c r="AD25" s="138">
        <f>SUM(R25:U25)</f>
        <v>-3558</v>
      </c>
      <c r="AF25" s="123">
        <f t="shared" si="45"/>
        <v>3.8016194331983808</v>
      </c>
    </row>
    <row r="26" spans="2:32" ht="12.75" customHeight="1">
      <c r="B26" s="13" t="s">
        <v>30</v>
      </c>
      <c r="C26" s="14">
        <f>SUM(C18+SUM(C21:C25))</f>
        <v>12248</v>
      </c>
      <c r="D26" s="14">
        <f>SUM(D18+SUM(D21:D25))</f>
        <v>36852</v>
      </c>
      <c r="E26" s="14">
        <f>SUM(E18+SUM(E21:E25))</f>
        <v>68593</v>
      </c>
      <c r="F26" s="11"/>
      <c r="G26" s="14">
        <f t="shared" ref="G26:J26" si="46">SUM(G18+SUM(G21:G25))</f>
        <v>3669</v>
      </c>
      <c r="H26" s="14">
        <f t="shared" si="46"/>
        <v>3317</v>
      </c>
      <c r="I26" s="14">
        <f t="shared" si="46"/>
        <v>2525</v>
      </c>
      <c r="J26" s="14">
        <f t="shared" si="46"/>
        <v>2737</v>
      </c>
      <c r="K26" s="14">
        <f>SUM(K18+SUM(K21:K25))</f>
        <v>4774</v>
      </c>
      <c r="L26" s="14">
        <f>SUM(L18+SUM(L21:L25))</f>
        <v>7681</v>
      </c>
      <c r="M26" s="14">
        <f>SUM(M18+SUM(M21:M25))</f>
        <v>11188</v>
      </c>
      <c r="N26" s="14">
        <f>SUM(N18+SUM(N21:N25))</f>
        <v>13209</v>
      </c>
      <c r="O26" s="14">
        <f>SUM(O18+SUM(O21:O25))</f>
        <v>15307</v>
      </c>
      <c r="P26" s="14">
        <f>SUM(P18+SUM(P21:P25))</f>
        <v>14672</v>
      </c>
      <c r="Q26" s="14">
        <f>SUM(Q18+SUM(Q21:Q25))</f>
        <v>17411</v>
      </c>
      <c r="R26" s="14">
        <f>SUM(R18+SUM(R21:R25))</f>
        <v>21203</v>
      </c>
      <c r="S26" s="14">
        <f>SUM(S18+SUM(S21:S25))</f>
        <v>18405</v>
      </c>
      <c r="T26" s="14">
        <f>SUM(T18+SUM(T21:T25))</f>
        <v>19171</v>
      </c>
      <c r="U26" s="14">
        <f>SUM(U18+SUM(U21:U25))</f>
        <v>17422</v>
      </c>
      <c r="V26" s="5"/>
      <c r="W26" s="14">
        <f>SUM(W18+SUM(W21:W25))</f>
        <v>36852</v>
      </c>
      <c r="X26" s="14">
        <f>SUM(X18+SUM(X21:X25))</f>
        <v>47385</v>
      </c>
      <c r="Y26" s="14">
        <f>SUM(Y18+SUM(Y21:Y25))</f>
        <v>54376</v>
      </c>
      <c r="Z26" s="14">
        <f>SUM(Z18+SUM(Z21:Z25))</f>
        <v>60599</v>
      </c>
      <c r="AA26" s="14">
        <f>SUM(AA18+SUM(AA21:AA25))</f>
        <v>68593</v>
      </c>
      <c r="AB26" s="14">
        <f>SUM(AB18+SUM(AB21:AB25))</f>
        <v>71691</v>
      </c>
      <c r="AC26" s="14">
        <f>SUM(AC18+SUM(AC21:AC25))</f>
        <v>76190</v>
      </c>
      <c r="AD26" s="14">
        <f>SUM(AD18+SUM(AD21:AD25))</f>
        <v>76201</v>
      </c>
      <c r="AF26" s="124">
        <f>SUM(AD26/Z26)-1</f>
        <v>0.25746299443885223</v>
      </c>
    </row>
    <row r="27" spans="2:32" ht="12.75" customHeight="1">
      <c r="B27" s="16" t="s">
        <v>31</v>
      </c>
      <c r="C27" s="17">
        <f>C26/C13</f>
        <v>2.3829581912242232E-2</v>
      </c>
      <c r="D27" s="17">
        <f>D26/D13</f>
        <v>6.4114407996033296E-2</v>
      </c>
      <c r="E27" s="17">
        <f>E26/E13</f>
        <v>0.1075194487420038</v>
      </c>
      <c r="F27" s="26"/>
      <c r="G27" s="17">
        <f t="shared" ref="G27:J27" si="47">G26/G13</f>
        <v>3.1508708048504003E-2</v>
      </c>
      <c r="H27" s="17">
        <f t="shared" si="47"/>
        <v>2.7360311463780786E-2</v>
      </c>
      <c r="I27" s="17">
        <f t="shared" si="47"/>
        <v>1.986609074672898E-2</v>
      </c>
      <c r="J27" s="17">
        <f t="shared" si="47"/>
        <v>1.8344012224873328E-2</v>
      </c>
      <c r="K27" s="17">
        <f>K26/K13</f>
        <v>3.7484885126964934E-2</v>
      </c>
      <c r="L27" s="17">
        <f>L26/L13</f>
        <v>5.7157527365812637E-2</v>
      </c>
      <c r="M27" s="17">
        <f>M26/M13</f>
        <v>7.8192377850618167E-2</v>
      </c>
      <c r="N27" s="17">
        <f>N26/N13</f>
        <v>7.771782938438819E-2</v>
      </c>
      <c r="O27" s="17">
        <f>O26/O13</f>
        <v>0.10680817511321374</v>
      </c>
      <c r="P27" s="17">
        <f>P26/P13</f>
        <v>9.9150543665569649E-2</v>
      </c>
      <c r="Q27" s="17">
        <f>Q26/Q13</f>
        <v>0.1095879202150091</v>
      </c>
      <c r="R27" s="17">
        <f>R26/R13</f>
        <v>0.1129068330919315</v>
      </c>
      <c r="S27" s="17">
        <f>S26/S13</f>
        <v>0.11823315153500742</v>
      </c>
      <c r="T27" s="17">
        <f>T26/T13</f>
        <v>0.11431586981669867</v>
      </c>
      <c r="U27" s="17">
        <f>U26/U13</f>
        <v>9.6698100117112273E-2</v>
      </c>
      <c r="V27" s="27"/>
      <c r="W27" s="17">
        <f>W26/W13</f>
        <v>6.4114407996033296E-2</v>
      </c>
      <c r="X27" s="17">
        <f>X26/X13</f>
        <v>8.0212953245082444E-2</v>
      </c>
      <c r="Y27" s="17">
        <f>Y26/Y13</f>
        <v>8.9976734719542512E-2</v>
      </c>
      <c r="Z27" s="17">
        <f>Z26/Z13</f>
        <v>9.7720148098457096E-2</v>
      </c>
      <c r="AA27" s="17">
        <f>AA26/AA13</f>
        <v>0.1075194487420038</v>
      </c>
      <c r="AB27" s="17">
        <f>AB26/AB13</f>
        <v>0.11024076098740145</v>
      </c>
      <c r="AC27" s="17">
        <f>AC26/AC13</f>
        <v>0.11370996868834304</v>
      </c>
      <c r="AD27" s="17">
        <f>AD26/AD13</f>
        <v>0.11022377157074045</v>
      </c>
      <c r="AF27" s="125">
        <f>SUM(AD27-Z27)*10000</f>
        <v>125.03623472283357</v>
      </c>
    </row>
    <row r="28" spans="2:32" ht="5.0999999999999996" customHeight="1">
      <c r="AF28" s="122"/>
    </row>
    <row r="29" spans="2:32" ht="12.75" customHeight="1">
      <c r="B29" s="30" t="s">
        <v>100</v>
      </c>
      <c r="C29" s="137">
        <f>'Historical Financials'!E91</f>
        <v>41921</v>
      </c>
      <c r="D29" s="137">
        <f>'Historical Financials'!F91</f>
        <v>48663</v>
      </c>
      <c r="E29" s="137">
        <f>'Historical Financials'!G91</f>
        <v>52795</v>
      </c>
      <c r="G29" s="137">
        <f>'Historical Financials'!I91</f>
        <v>9193</v>
      </c>
      <c r="H29" s="137">
        <f>'Historical Financials'!J91</f>
        <v>9716</v>
      </c>
      <c r="I29" s="137">
        <f>'Historical Financials'!K91</f>
        <v>10327</v>
      </c>
      <c r="J29" s="137">
        <f>'Historical Financials'!L91</f>
        <v>12685</v>
      </c>
      <c r="K29" s="137">
        <f>'Historical Financials'!M91</f>
        <v>11123</v>
      </c>
      <c r="L29" s="137">
        <f>'Historical Financials'!N91</f>
        <v>11589</v>
      </c>
      <c r="M29" s="137">
        <f>'Historical Financials'!O91</f>
        <v>12131</v>
      </c>
      <c r="N29" s="137">
        <f>'Historical Financials'!P91</f>
        <v>13820</v>
      </c>
      <c r="O29" s="137">
        <f>'Historical Financials'!Q91</f>
        <v>11684</v>
      </c>
      <c r="P29" s="137">
        <f>'Historical Financials'!R91</f>
        <v>12038</v>
      </c>
      <c r="Q29" s="137">
        <f>'Historical Financials'!S91</f>
        <v>13442</v>
      </c>
      <c r="R29" s="137">
        <f>'Historical Financials'!T91</f>
        <v>15631</v>
      </c>
      <c r="S29" s="137">
        <f>'Historical Financials'!U91</f>
        <v>14262</v>
      </c>
      <c r="T29" s="137">
        <f>'Historical Financials'!V91</f>
        <v>15227</v>
      </c>
      <c r="U29" s="137">
        <f>'Historical Financials'!W91</f>
        <v>16796</v>
      </c>
      <c r="W29" s="10">
        <f t="shared" ref="W29:AC29" si="48">SUM(K29:N29)</f>
        <v>48663</v>
      </c>
      <c r="X29" s="10">
        <f t="shared" si="48"/>
        <v>49224</v>
      </c>
      <c r="Y29" s="10">
        <f t="shared" si="48"/>
        <v>49673</v>
      </c>
      <c r="Z29" s="10">
        <f t="shared" si="48"/>
        <v>50984</v>
      </c>
      <c r="AA29" s="10">
        <f t="shared" si="48"/>
        <v>52795</v>
      </c>
      <c r="AB29" s="10">
        <f t="shared" si="48"/>
        <v>55373</v>
      </c>
      <c r="AC29" s="10">
        <f t="shared" si="48"/>
        <v>58562</v>
      </c>
      <c r="AD29" s="10">
        <f>SUM(R29:U29)</f>
        <v>61916</v>
      </c>
      <c r="AF29" s="123">
        <f>SUM(AD29/Z29)-1</f>
        <v>0.21442021026204294</v>
      </c>
    </row>
    <row r="30" spans="2:32" ht="12.75" customHeight="1">
      <c r="B30" s="24" t="s">
        <v>11</v>
      </c>
      <c r="C30" s="25">
        <f>SUM(C26+SUM(C29:C29))</f>
        <v>54169</v>
      </c>
      <c r="D30" s="25">
        <f>SUM(D26+SUM(D29:D29))</f>
        <v>85515</v>
      </c>
      <c r="E30" s="25">
        <f>SUM(E26+SUM(E29:E29))</f>
        <v>121388</v>
      </c>
      <c r="G30" s="25">
        <f t="shared" ref="G30:J30" si="49">SUM(G26+SUM(G29:G29))</f>
        <v>12862</v>
      </c>
      <c r="H30" s="25">
        <f t="shared" si="49"/>
        <v>13033</v>
      </c>
      <c r="I30" s="25">
        <f t="shared" si="49"/>
        <v>12852</v>
      </c>
      <c r="J30" s="25">
        <f t="shared" si="49"/>
        <v>15422</v>
      </c>
      <c r="K30" s="25">
        <f>SUM(K26+SUM(K29:K29))</f>
        <v>15897</v>
      </c>
      <c r="L30" s="25">
        <f>SUM(L26+SUM(L29:L29))</f>
        <v>19270</v>
      </c>
      <c r="M30" s="25">
        <f>SUM(M26+SUM(M29:M29))</f>
        <v>23319</v>
      </c>
      <c r="N30" s="25">
        <f>SUM(N26+SUM(N29:N29))</f>
        <v>27029</v>
      </c>
      <c r="O30" s="25">
        <f>SUM(O26+SUM(O29:O29))</f>
        <v>26991</v>
      </c>
      <c r="P30" s="25">
        <f>SUM(P26+SUM(P29:P29))</f>
        <v>26710</v>
      </c>
      <c r="Q30" s="25">
        <f>SUM(Q26+SUM(Q29:Q29))</f>
        <v>30853</v>
      </c>
      <c r="R30" s="25">
        <f>SUM(R26+SUM(R29:R29))</f>
        <v>36834</v>
      </c>
      <c r="S30" s="25">
        <f>SUM(S26+SUM(S29:S29))</f>
        <v>32667</v>
      </c>
      <c r="T30" s="25">
        <f>SUM(T26+SUM(T29:T29))</f>
        <v>34398</v>
      </c>
      <c r="U30" s="25">
        <f>SUM(U26+SUM(U29:U29))</f>
        <v>34218</v>
      </c>
      <c r="W30" s="25">
        <f>SUM(W26+SUM(W29:W29))</f>
        <v>85515</v>
      </c>
      <c r="X30" s="25">
        <f>SUM(X26+SUM(X29:X29))</f>
        <v>96609</v>
      </c>
      <c r="Y30" s="25">
        <f>SUM(Y26+SUM(Y29:Y29))</f>
        <v>104049</v>
      </c>
      <c r="Z30" s="25">
        <f>SUM(Z26+SUM(Z29:Z29))</f>
        <v>111583</v>
      </c>
      <c r="AA30" s="25">
        <f>SUM(AA26+SUM(AA29:AA29))</f>
        <v>121388</v>
      </c>
      <c r="AB30" s="25">
        <f>SUM(AB26+SUM(AB29:AB29))</f>
        <v>127064</v>
      </c>
      <c r="AC30" s="25">
        <f>SUM(AC26+SUM(AC29:AC29))</f>
        <v>134752</v>
      </c>
      <c r="AD30" s="25">
        <f>SUM(AD26+SUM(AD29:AD29))</f>
        <v>138117</v>
      </c>
      <c r="AF30" s="124">
        <f>SUM(AD30/Z30)-1</f>
        <v>0.2377960800480361</v>
      </c>
    </row>
    <row r="31" spans="2:32" ht="12.75" customHeight="1">
      <c r="B31" s="16" t="s">
        <v>32</v>
      </c>
      <c r="C31" s="17">
        <f>C30/C13</f>
        <v>0.10539064521589235</v>
      </c>
      <c r="D31" s="17">
        <f>D30/D13</f>
        <v>0.14877736892925181</v>
      </c>
      <c r="E31" s="17">
        <f>E30/E13</f>
        <v>0.19027555062315918</v>
      </c>
      <c r="G31" s="17">
        <f t="shared" ref="G31:J31" si="50">G30/G13</f>
        <v>0.11045652846003229</v>
      </c>
      <c r="H31" s="17">
        <f t="shared" si="50"/>
        <v>0.1075028457363446</v>
      </c>
      <c r="I31" s="17">
        <f t="shared" si="50"/>
        <v>0.1011164349611726</v>
      </c>
      <c r="J31" s="17">
        <f t="shared" si="50"/>
        <v>0.10336184016514302</v>
      </c>
      <c r="K31" s="17">
        <f>K30/K13</f>
        <v>0.12482136968231285</v>
      </c>
      <c r="L31" s="17">
        <f>L30/L13</f>
        <v>0.14339611409181222</v>
      </c>
      <c r="M31" s="17">
        <f>M30/M13</f>
        <v>0.16297533599379382</v>
      </c>
      <c r="N31" s="17">
        <f>N30/N13</f>
        <v>0.1590306011379081</v>
      </c>
      <c r="O31" s="17">
        <f>O30/O13</f>
        <v>0.18833601976094283</v>
      </c>
      <c r="P31" s="17">
        <f>P30/P13</f>
        <v>0.1805010238077539</v>
      </c>
      <c r="Q31" s="17">
        <f>Q30/Q13</f>
        <v>0.19419425089849379</v>
      </c>
      <c r="R31" s="17">
        <f>R30/R13</f>
        <v>0.19614254068330919</v>
      </c>
      <c r="S31" s="17">
        <f>S30/S13</f>
        <v>0.20985179903255025</v>
      </c>
      <c r="T31" s="17">
        <f>T30/T13</f>
        <v>0.20511383287021026</v>
      </c>
      <c r="U31" s="17">
        <f>U30/U13</f>
        <v>0.18992168464053194</v>
      </c>
      <c r="W31" s="17">
        <f>W30/W13</f>
        <v>0.14877736892925181</v>
      </c>
      <c r="X31" s="17">
        <f>X30/X13</f>
        <v>0.16353895114602024</v>
      </c>
      <c r="Y31" s="17">
        <f>Y30/Y13</f>
        <v>0.17217134895604086</v>
      </c>
      <c r="Z31" s="17">
        <f>Z30/Z13</f>
        <v>0.17993543268486506</v>
      </c>
      <c r="AA31" s="17">
        <f>AA30/AA13</f>
        <v>0.19027555062315918</v>
      </c>
      <c r="AB31" s="17">
        <f>AB30/AB13</f>
        <v>0.19538898960961876</v>
      </c>
      <c r="AC31" s="17">
        <f>AC30/AC13</f>
        <v>0.2011109817652133</v>
      </c>
      <c r="AD31" s="17">
        <f>AD30/AD13</f>
        <v>0.19978447340633271</v>
      </c>
      <c r="AF31" s="125">
        <f>SUM(AD31-Z31)*10000</f>
        <v>198.49040721467648</v>
      </c>
    </row>
    <row r="32" spans="2:32" ht="5.0999999999999996" customHeight="1">
      <c r="AF32" s="122"/>
    </row>
    <row r="33" spans="2:32" ht="12.75" customHeight="1">
      <c r="B33" s="30" t="s">
        <v>109</v>
      </c>
      <c r="C33" s="137">
        <f>'Historical Financials'!E92</f>
        <v>19621</v>
      </c>
      <c r="D33" s="137">
        <f>'Historical Financials'!F92</f>
        <v>24023</v>
      </c>
      <c r="E33" s="137">
        <f>'Historical Financials'!G92</f>
        <v>22011</v>
      </c>
      <c r="G33" s="137">
        <f>'Historical Financials'!I92</f>
        <v>3250</v>
      </c>
      <c r="H33" s="137">
        <f>'Historical Financials'!J92</f>
        <v>5209</v>
      </c>
      <c r="I33" s="137">
        <f>'Historical Financials'!K92</f>
        <v>5556</v>
      </c>
      <c r="J33" s="137">
        <f>'Historical Financials'!L92</f>
        <v>5606</v>
      </c>
      <c r="K33" s="137">
        <f>'Historical Financials'!M92</f>
        <v>4748</v>
      </c>
      <c r="L33" s="137">
        <f>'Historical Financials'!N92</f>
        <v>7127</v>
      </c>
      <c r="M33" s="137">
        <f>'Historical Financials'!O92</f>
        <v>5829</v>
      </c>
      <c r="N33" s="137">
        <f>'Historical Financials'!P92</f>
        <v>6319</v>
      </c>
      <c r="O33" s="137">
        <f>'Historical Financials'!Q92</f>
        <v>4961</v>
      </c>
      <c r="P33" s="137">
        <f>'Historical Financials'!R92</f>
        <v>6722</v>
      </c>
      <c r="Q33" s="137">
        <f>'Historical Financials'!S92</f>
        <v>5333</v>
      </c>
      <c r="R33" s="137">
        <f>'Historical Financials'!T92</f>
        <v>4995</v>
      </c>
      <c r="S33" s="137">
        <f>'Historical Financials'!U92</f>
        <v>3689</v>
      </c>
      <c r="T33" s="137">
        <f>'Historical Financials'!V92</f>
        <v>6534</v>
      </c>
      <c r="U33" s="137">
        <f>'Historical Financials'!W92</f>
        <v>4847</v>
      </c>
      <c r="W33" s="138">
        <f t="shared" ref="W33:AC33" si="51">SUM(K33:N33)</f>
        <v>24023</v>
      </c>
      <c r="X33" s="138">
        <f t="shared" si="51"/>
        <v>24236</v>
      </c>
      <c r="Y33" s="138">
        <f t="shared" si="51"/>
        <v>23831</v>
      </c>
      <c r="Z33" s="138">
        <f t="shared" si="51"/>
        <v>23335</v>
      </c>
      <c r="AA33" s="138">
        <f t="shared" si="51"/>
        <v>22011</v>
      </c>
      <c r="AB33" s="138">
        <f t="shared" si="51"/>
        <v>20739</v>
      </c>
      <c r="AC33" s="138">
        <f t="shared" si="51"/>
        <v>20551</v>
      </c>
      <c r="AD33" s="138">
        <f>SUM(R33:U33)</f>
        <v>20065</v>
      </c>
      <c r="AF33" s="123">
        <f t="shared" ref="AF33" si="52">SUM(AD33/Z33)-1</f>
        <v>-0.14013284765373901</v>
      </c>
    </row>
    <row r="34" spans="2:32" ht="12.75" customHeight="1">
      <c r="B34" s="13" t="s">
        <v>33</v>
      </c>
      <c r="C34" s="14">
        <f>+SUM(C30+SUM(C33:C33))</f>
        <v>73790</v>
      </c>
      <c r="D34" s="14">
        <f>+SUM(D30+SUM(D33:D33))</f>
        <v>109538</v>
      </c>
      <c r="E34" s="14">
        <f>+SUM(E30+SUM(E33:E33))</f>
        <v>143399</v>
      </c>
      <c r="F34" s="11"/>
      <c r="G34" s="14">
        <f t="shared" ref="G34:J34" si="53">+SUM(G30+SUM(G33:G33))</f>
        <v>16112</v>
      </c>
      <c r="H34" s="14">
        <f t="shared" si="53"/>
        <v>18242</v>
      </c>
      <c r="I34" s="14">
        <f t="shared" si="53"/>
        <v>18408</v>
      </c>
      <c r="J34" s="14">
        <f t="shared" si="53"/>
        <v>21028</v>
      </c>
      <c r="K34" s="14">
        <f>+SUM(K30+SUM(K33:K33))</f>
        <v>20645</v>
      </c>
      <c r="L34" s="14">
        <f>+SUM(L30+SUM(L33:L33))</f>
        <v>26397</v>
      </c>
      <c r="M34" s="14">
        <f>+SUM(M30+SUM(M33:M33))</f>
        <v>29148</v>
      </c>
      <c r="N34" s="14">
        <f>+SUM(N30+SUM(N33:N33))</f>
        <v>33348</v>
      </c>
      <c r="O34" s="14">
        <f>+SUM(O30+SUM(O33:O33))</f>
        <v>31952</v>
      </c>
      <c r="P34" s="14">
        <f>+SUM(P30+SUM(P33:P33))</f>
        <v>33432</v>
      </c>
      <c r="Q34" s="14">
        <f>+SUM(Q30+SUM(Q33:Q33))</f>
        <v>36186</v>
      </c>
      <c r="R34" s="14">
        <f>+SUM(R30+SUM(R33:R33))</f>
        <v>41829</v>
      </c>
      <c r="S34" s="14">
        <f>+SUM(S30+SUM(S33:S33))</f>
        <v>36356</v>
      </c>
      <c r="T34" s="14">
        <f>+SUM(T30+SUM(T33:T33))</f>
        <v>40932</v>
      </c>
      <c r="U34" s="14">
        <f>+SUM(U30+SUM(U33:U33))</f>
        <v>39065</v>
      </c>
      <c r="W34" s="14">
        <f>+SUM(W30+SUM(W33:W33))</f>
        <v>109538</v>
      </c>
      <c r="X34" s="14">
        <f>+SUM(X30+SUM(X33:X33))</f>
        <v>120845</v>
      </c>
      <c r="Y34" s="14">
        <f>+SUM(Y30+SUM(Y33:Y33))</f>
        <v>127880</v>
      </c>
      <c r="Z34" s="14">
        <f>+SUM(Z30+SUM(Z33:Z33))</f>
        <v>134918</v>
      </c>
      <c r="AA34" s="14">
        <f>+SUM(AA30+SUM(AA33:AA33))</f>
        <v>143399</v>
      </c>
      <c r="AB34" s="14">
        <f>+SUM(AB30+SUM(AB33:AB33))</f>
        <v>147803</v>
      </c>
      <c r="AC34" s="14">
        <f>+SUM(AC30+SUM(AC33:AC33))</f>
        <v>155303</v>
      </c>
      <c r="AD34" s="14">
        <f>+SUM(AD30+SUM(AD33:AD33))</f>
        <v>158182</v>
      </c>
      <c r="AF34" s="124">
        <f>SUM(AD34/Z34)-1</f>
        <v>0.17243066158703813</v>
      </c>
    </row>
    <row r="35" spans="2:32" ht="12.75" customHeight="1">
      <c r="B35" s="16" t="s">
        <v>34</v>
      </c>
      <c r="C35" s="17">
        <f>C34/C13</f>
        <v>0.14356505954477095</v>
      </c>
      <c r="D35" s="17">
        <f>D34/D13</f>
        <v>0.19057212696921458</v>
      </c>
      <c r="E35" s="17">
        <f>E34/E13</f>
        <v>0.22477776785028505</v>
      </c>
      <c r="G35" s="17">
        <f t="shared" ref="G35:J35" si="54">G34/G13</f>
        <v>0.13836694033183333</v>
      </c>
      <c r="H35" s="17">
        <f t="shared" si="54"/>
        <v>0.15046934028407871</v>
      </c>
      <c r="I35" s="17">
        <f t="shared" si="54"/>
        <v>0.14482970236268794</v>
      </c>
      <c r="J35" s="17">
        <f t="shared" si="54"/>
        <v>0.14093455939519048</v>
      </c>
      <c r="K35" s="17">
        <f>K34/K13</f>
        <v>0.16210210587477819</v>
      </c>
      <c r="L35" s="17">
        <f>L34/L13</f>
        <v>0.19643109619520327</v>
      </c>
      <c r="M35" s="17">
        <f>M34/M13</f>
        <v>0.20371392827939028</v>
      </c>
      <c r="N35" s="17">
        <f>N34/N13</f>
        <v>0.1962097187001724</v>
      </c>
      <c r="O35" s="17">
        <f>O34/O13</f>
        <v>0.22295255838618966</v>
      </c>
      <c r="P35" s="17">
        <f>P34/P13</f>
        <v>0.22592700216925604</v>
      </c>
      <c r="Q35" s="17">
        <f>Q34/Q13</f>
        <v>0.22776109820804774</v>
      </c>
      <c r="R35" s="17">
        <f>R34/R13</f>
        <v>0.22274111783249553</v>
      </c>
      <c r="S35" s="17">
        <f>S34/S13</f>
        <v>0.2335498210924602</v>
      </c>
      <c r="T35" s="17">
        <f>T34/T13</f>
        <v>0.24407580112342131</v>
      </c>
      <c r="U35" s="17">
        <f>U34/U13</f>
        <v>0.21682420394185459</v>
      </c>
      <c r="W35" s="17">
        <f>W34/W13</f>
        <v>0.19057212696921458</v>
      </c>
      <c r="X35" s="17">
        <f>X34/X13</f>
        <v>0.20456546027016961</v>
      </c>
      <c r="Y35" s="17">
        <f>Y34/Y13</f>
        <v>0.21160484103161498</v>
      </c>
      <c r="Z35" s="17">
        <f>Z34/Z13</f>
        <v>0.2175647608235719</v>
      </c>
      <c r="AA35" s="17">
        <f>AA34/AA13</f>
        <v>0.22477776785028505</v>
      </c>
      <c r="AB35" s="17">
        <f>AB34/AB13</f>
        <v>0.22727978681035133</v>
      </c>
      <c r="AC35" s="17">
        <f>AC34/AC13</f>
        <v>0.2317823765219286</v>
      </c>
      <c r="AD35" s="17">
        <f>AD34/AD13</f>
        <v>0.22880823919112436</v>
      </c>
      <c r="AF35" s="125">
        <f>SUM(AD35-Z35)*10000</f>
        <v>112.43478367552461</v>
      </c>
    </row>
    <row r="36" spans="2:32" ht="5.0999999999999996" customHeight="1">
      <c r="AF36" s="122"/>
    </row>
    <row r="37" spans="2:32" ht="12.75" customHeight="1">
      <c r="B37" s="23" t="s">
        <v>35</v>
      </c>
      <c r="C37" s="137">
        <f>'Historical Financials'!E105</f>
        <v>-63645</v>
      </c>
      <c r="D37" s="137">
        <f>'Historical Financials'!F105</f>
        <v>-52729</v>
      </c>
      <c r="E37" s="137">
        <f>'Historical Financials'!G105</f>
        <v>-82999</v>
      </c>
      <c r="G37" s="137">
        <f>'Historical Financials'!I105</f>
        <v>-14951</v>
      </c>
      <c r="H37" s="137">
        <f>'Historical Financials'!J105</f>
        <v>-15724</v>
      </c>
      <c r="I37" s="137">
        <f>'Historical Financials'!K105</f>
        <v>-16378</v>
      </c>
      <c r="J37" s="137">
        <f>'Historical Financials'!L105</f>
        <v>-16592</v>
      </c>
      <c r="K37" s="137">
        <f>'Historical Financials'!M105</f>
        <v>-14207</v>
      </c>
      <c r="L37" s="137">
        <f>'Historical Financials'!N105</f>
        <v>-11455</v>
      </c>
      <c r="M37" s="137">
        <f>'Historical Financials'!O105</f>
        <v>-12479</v>
      </c>
      <c r="N37" s="137">
        <f>'Historical Financials'!P105</f>
        <v>-14588</v>
      </c>
      <c r="O37" s="137">
        <f>'Historical Financials'!Q105</f>
        <v>-14925</v>
      </c>
      <c r="P37" s="137">
        <f>'Historical Financials'!R105</f>
        <v>-17620</v>
      </c>
      <c r="Q37" s="137">
        <f>'Historical Financials'!S105</f>
        <v>-22620</v>
      </c>
      <c r="R37" s="137">
        <f>'Historical Financials'!T105</f>
        <v>-27834</v>
      </c>
      <c r="S37" s="137">
        <f>'Historical Financials'!U105</f>
        <v>-25019</v>
      </c>
      <c r="T37" s="137">
        <f>'Historical Financials'!V105</f>
        <v>-32183</v>
      </c>
      <c r="U37" s="137">
        <f>'Historical Financials'!W105</f>
        <v>-35095</v>
      </c>
      <c r="W37" s="10">
        <f t="shared" ref="W37:AD40" si="55">SUM(K37:N37)</f>
        <v>-52729</v>
      </c>
      <c r="X37" s="10">
        <f t="shared" si="55"/>
        <v>-53447</v>
      </c>
      <c r="Y37" s="10">
        <f t="shared" si="55"/>
        <v>-59612</v>
      </c>
      <c r="Z37" s="138">
        <f t="shared" si="55"/>
        <v>-69753</v>
      </c>
      <c r="AA37" s="138">
        <f t="shared" si="55"/>
        <v>-82999</v>
      </c>
      <c r="AB37" s="138">
        <f t="shared" si="55"/>
        <v>-93093</v>
      </c>
      <c r="AC37" s="138">
        <f t="shared" si="55"/>
        <v>-107656</v>
      </c>
      <c r="AD37" s="138">
        <f t="shared" si="55"/>
        <v>-120131</v>
      </c>
      <c r="AF37" s="123">
        <f>SUM(AD37/Z37)-1</f>
        <v>0.72223416913967853</v>
      </c>
    </row>
    <row r="38" spans="2:32" ht="12.75" customHeight="1">
      <c r="B38" s="23" t="s">
        <v>36</v>
      </c>
      <c r="C38" s="137">
        <f>-'Historical Financials'!E135</f>
        <v>-6035</v>
      </c>
      <c r="D38" s="137">
        <f>-'Historical Financials'!F135</f>
        <v>-11179</v>
      </c>
      <c r="E38" s="137">
        <f>-'Historical Financials'!G135</f>
        <v>-12308</v>
      </c>
      <c r="G38" s="137">
        <f>-'Historical Financials'!I135</f>
        <v>-453</v>
      </c>
      <c r="H38" s="137">
        <f>-'Historical Financials'!J135</f>
        <v>-3145</v>
      </c>
      <c r="I38" s="137">
        <f>-'Historical Financials'!K135</f>
        <v>-742</v>
      </c>
      <c r="J38" s="137">
        <f>-'Historical Financials'!L135</f>
        <v>-1695</v>
      </c>
      <c r="K38" s="137">
        <f>-'Historical Financials'!M135</f>
        <v>-619</v>
      </c>
      <c r="L38" s="137">
        <f>-'Historical Financials'!N135</f>
        <v>-3735</v>
      </c>
      <c r="M38" s="137">
        <f>-'Historical Financials'!O135</f>
        <v>-2628</v>
      </c>
      <c r="N38" s="137">
        <f>-'Historical Financials'!P135</f>
        <v>-4197</v>
      </c>
      <c r="O38" s="137">
        <f>-'Historical Financials'!Q135</f>
        <v>-458</v>
      </c>
      <c r="P38" s="137">
        <f>-'Historical Financials'!R135</f>
        <v>-5700</v>
      </c>
      <c r="Q38" s="137">
        <f>-'Historical Financials'!S135</f>
        <v>-2004</v>
      </c>
      <c r="R38" s="137">
        <f>-'Historical Financials'!T135</f>
        <v>-4146</v>
      </c>
      <c r="S38" s="137">
        <f>-'Historical Financials'!U135</f>
        <v>-877</v>
      </c>
      <c r="T38" s="137">
        <f>-'Historical Financials'!V135</f>
        <v>-4761</v>
      </c>
      <c r="U38" s="137">
        <f>-'Historical Financials'!W135</f>
        <v>-1136</v>
      </c>
      <c r="W38" s="10">
        <f t="shared" si="55"/>
        <v>-11179</v>
      </c>
      <c r="X38" s="10">
        <f t="shared" si="55"/>
        <v>-11018</v>
      </c>
      <c r="Y38" s="10">
        <f t="shared" si="55"/>
        <v>-12983</v>
      </c>
      <c r="Z38" s="138">
        <f t="shared" si="55"/>
        <v>-12359</v>
      </c>
      <c r="AA38" s="138">
        <f t="shared" si="55"/>
        <v>-12308</v>
      </c>
      <c r="AB38" s="138">
        <f t="shared" si="55"/>
        <v>-12727</v>
      </c>
      <c r="AC38" s="138">
        <f t="shared" si="55"/>
        <v>-11788</v>
      </c>
      <c r="AD38" s="138">
        <f t="shared" si="55"/>
        <v>-10920</v>
      </c>
      <c r="AF38" s="123">
        <f>SUM(AD38/Z38)-1</f>
        <v>-0.11643336839550122</v>
      </c>
    </row>
    <row r="39" spans="2:32" ht="12.75" customHeight="1">
      <c r="B39" s="23" t="s">
        <v>70</v>
      </c>
      <c r="C39" s="137">
        <f>-'Historical Financials'!E134</f>
        <v>-2142</v>
      </c>
      <c r="D39" s="137">
        <f>-'Historical Financials'!F134</f>
        <v>-3112</v>
      </c>
      <c r="E39" s="137">
        <f>-'Historical Financials'!G134</f>
        <v>-2364</v>
      </c>
      <c r="G39" s="137">
        <f>-'Historical Financials'!I134</f>
        <v>-444</v>
      </c>
      <c r="H39" s="137">
        <f>-'Historical Financials'!J134</f>
        <v>-499</v>
      </c>
      <c r="I39" s="137">
        <f>-'Historical Financials'!K134</f>
        <v>-431</v>
      </c>
      <c r="J39" s="137">
        <f>-'Historical Financials'!L134</f>
        <v>-768</v>
      </c>
      <c r="K39" s="137">
        <f>-'Historical Financials'!M134</f>
        <v>-542</v>
      </c>
      <c r="L39" s="137">
        <f>-'Historical Financials'!N134</f>
        <v>-1072</v>
      </c>
      <c r="M39" s="137">
        <f>-'Historical Financials'!O134</f>
        <v>-591</v>
      </c>
      <c r="N39" s="137">
        <f>-'Historical Financials'!P134</f>
        <v>-907</v>
      </c>
      <c r="O39" s="137">
        <f>-'Historical Financials'!Q134</f>
        <v>-407</v>
      </c>
      <c r="P39" s="137">
        <f>-'Historical Financials'!R134</f>
        <v>-802</v>
      </c>
      <c r="Q39" s="137">
        <f>-'Historical Financials'!S134</f>
        <v>-384</v>
      </c>
      <c r="R39" s="137">
        <f>-'Historical Financials'!T134</f>
        <v>-771</v>
      </c>
      <c r="S39" s="137">
        <f>-'Historical Financials'!U134</f>
        <v>-362</v>
      </c>
      <c r="T39" s="137">
        <f>-'Historical Financials'!V134</f>
        <v>-647</v>
      </c>
      <c r="U39" s="137">
        <f>-'Historical Financials'!W134</f>
        <v>-377</v>
      </c>
      <c r="W39" s="10">
        <f t="shared" si="55"/>
        <v>-3112</v>
      </c>
      <c r="X39" s="10">
        <f t="shared" si="55"/>
        <v>-2977</v>
      </c>
      <c r="Y39" s="10">
        <f t="shared" si="55"/>
        <v>-2707</v>
      </c>
      <c r="Z39" s="138">
        <f t="shared" si="55"/>
        <v>-2500</v>
      </c>
      <c r="AA39" s="138">
        <f t="shared" si="55"/>
        <v>-2364</v>
      </c>
      <c r="AB39" s="138">
        <f t="shared" si="55"/>
        <v>-2319</v>
      </c>
      <c r="AC39" s="138">
        <f t="shared" si="55"/>
        <v>-2164</v>
      </c>
      <c r="AD39" s="138">
        <f t="shared" si="55"/>
        <v>-2157</v>
      </c>
      <c r="AF39" s="123">
        <f>SUM(AD39/Z39)-1</f>
        <v>-0.13719999999999999</v>
      </c>
    </row>
    <row r="40" spans="2:32" ht="12.75" customHeight="1">
      <c r="B40" s="23" t="s">
        <v>37</v>
      </c>
      <c r="C40" s="137">
        <f>SUM('Historical Financials'!E96:E101)</f>
        <v>-20886</v>
      </c>
      <c r="D40" s="137">
        <f>SUM('Historical Financials'!F96:F101)</f>
        <v>-11541</v>
      </c>
      <c r="E40" s="137">
        <f>SUM('Historical Financials'!G96:G101)</f>
        <v>-15541</v>
      </c>
      <c r="G40" s="137">
        <f>SUM('Historical Financials'!I96:I101)</f>
        <v>-18077</v>
      </c>
      <c r="H40" s="137">
        <f>SUM('Historical Financials'!J96:J101)</f>
        <v>-8081</v>
      </c>
      <c r="I40" s="137">
        <f>SUM('Historical Financials'!K96:K101)</f>
        <v>-5254</v>
      </c>
      <c r="J40" s="137">
        <f>SUM('Historical Financials'!L96:L101)</f>
        <v>10526</v>
      </c>
      <c r="K40" s="137">
        <f>SUM('Historical Financials'!M96:M101)</f>
        <v>-14317</v>
      </c>
      <c r="L40" s="137">
        <f>SUM('Historical Financials'!N96:N101)</f>
        <v>-6293</v>
      </c>
      <c r="M40" s="137">
        <f>SUM('Historical Financials'!O96:O101)</f>
        <v>-4436</v>
      </c>
      <c r="N40" s="137">
        <f>SUM('Historical Financials'!P96:P101)</f>
        <v>13505</v>
      </c>
      <c r="O40" s="137">
        <f>SUM('Historical Financials'!Q96:Q101)</f>
        <v>-9883</v>
      </c>
      <c r="P40" s="137">
        <f>SUM('Historical Financials'!R96:R101)</f>
        <v>-6084</v>
      </c>
      <c r="Q40" s="137">
        <f>SUM('Historical Financials'!S96:S101)</f>
        <v>-6674</v>
      </c>
      <c r="R40" s="137">
        <f>SUM('Historical Financials'!T96:T101)</f>
        <v>7100</v>
      </c>
      <c r="S40" s="137">
        <f>SUM('Historical Financials'!U96:U101)</f>
        <v>-15753</v>
      </c>
      <c r="T40" s="137">
        <f>SUM('Historical Financials'!V96:V101)</f>
        <v>-6163</v>
      </c>
      <c r="U40" s="137">
        <f>SUM('Historical Financials'!W96:W101)</f>
        <v>-7323</v>
      </c>
      <c r="W40" s="10">
        <f t="shared" si="55"/>
        <v>-11541</v>
      </c>
      <c r="X40" s="10">
        <f t="shared" si="55"/>
        <v>-7107</v>
      </c>
      <c r="Y40" s="10">
        <f t="shared" si="55"/>
        <v>-6898</v>
      </c>
      <c r="Z40" s="138">
        <f t="shared" si="55"/>
        <v>-9136</v>
      </c>
      <c r="AA40" s="138">
        <f t="shared" si="55"/>
        <v>-15541</v>
      </c>
      <c r="AB40" s="138">
        <f t="shared" si="55"/>
        <v>-21411</v>
      </c>
      <c r="AC40" s="138">
        <f t="shared" si="55"/>
        <v>-21490</v>
      </c>
      <c r="AD40" s="138">
        <f t="shared" si="55"/>
        <v>-22139</v>
      </c>
      <c r="AF40" s="123">
        <f>SUM(AD40/Z40)-1</f>
        <v>1.42327057793345</v>
      </c>
    </row>
    <row r="41" spans="2:32" ht="12.75" customHeight="1">
      <c r="B41" s="13" t="s">
        <v>38</v>
      </c>
      <c r="C41" s="14">
        <f>SUM(C34+SUM(C37:C40))</f>
        <v>-18918</v>
      </c>
      <c r="D41" s="14">
        <f>SUM(D34+SUM(D37:D40))</f>
        <v>30977</v>
      </c>
      <c r="E41" s="14">
        <f>SUM(E34+SUM(E37:E40))</f>
        <v>30187</v>
      </c>
      <c r="G41" s="14">
        <f t="shared" ref="G41:J41" si="56">SUM(G34+SUM(G37:G40))</f>
        <v>-17813</v>
      </c>
      <c r="H41" s="14">
        <f t="shared" si="56"/>
        <v>-9207</v>
      </c>
      <c r="I41" s="14">
        <f t="shared" si="56"/>
        <v>-4397</v>
      </c>
      <c r="J41" s="14">
        <f t="shared" si="56"/>
        <v>12499</v>
      </c>
      <c r="K41" s="14">
        <f t="shared" ref="K41:T41" si="57">SUM(K34+SUM(K37:K40))</f>
        <v>-9040</v>
      </c>
      <c r="L41" s="14">
        <f t="shared" si="57"/>
        <v>3842</v>
      </c>
      <c r="M41" s="14">
        <f t="shared" si="57"/>
        <v>9014</v>
      </c>
      <c r="N41" s="14">
        <f t="shared" si="57"/>
        <v>27161</v>
      </c>
      <c r="O41" s="14">
        <f t="shared" si="57"/>
        <v>6279</v>
      </c>
      <c r="P41" s="14">
        <f t="shared" si="57"/>
        <v>3226</v>
      </c>
      <c r="Q41" s="14">
        <f t="shared" si="57"/>
        <v>4504</v>
      </c>
      <c r="R41" s="14">
        <f t="shared" si="57"/>
        <v>16178</v>
      </c>
      <c r="S41" s="14">
        <f t="shared" si="57"/>
        <v>-5655</v>
      </c>
      <c r="T41" s="14">
        <f t="shared" si="57"/>
        <v>-2822</v>
      </c>
      <c r="U41" s="14">
        <f>SUM(U34+SUM(U37:U40))</f>
        <v>-4866</v>
      </c>
      <c r="W41" s="14">
        <f t="shared" ref="W41:AD41" si="58">SUM(W34+SUM(W37:W40))</f>
        <v>30977</v>
      </c>
      <c r="X41" s="14">
        <f t="shared" si="58"/>
        <v>46296</v>
      </c>
      <c r="Y41" s="14">
        <f t="shared" si="58"/>
        <v>45680</v>
      </c>
      <c r="Z41" s="14">
        <f t="shared" si="58"/>
        <v>41170</v>
      </c>
      <c r="AA41" s="14">
        <f t="shared" si="58"/>
        <v>30187</v>
      </c>
      <c r="AB41" s="14">
        <f t="shared" si="58"/>
        <v>18253</v>
      </c>
      <c r="AC41" s="14">
        <f t="shared" si="58"/>
        <v>12205</v>
      </c>
      <c r="AD41" s="14">
        <f t="shared" si="58"/>
        <v>2835</v>
      </c>
      <c r="AF41" s="124">
        <f>SUM(AD41/Z41)-1</f>
        <v>-0.93113917901384502</v>
      </c>
    </row>
    <row r="42" spans="2:32" ht="5.0999999999999996" customHeight="1"/>
    <row r="43" spans="2:32" ht="12.75" customHeight="1">
      <c r="B43" s="30" t="s">
        <v>191</v>
      </c>
      <c r="C43" s="137">
        <f>SUM('Historical Financials'!E108:E109)</f>
        <v>29036</v>
      </c>
      <c r="D43" s="137">
        <f>SUM('Historical Financials'!F108:F109)</f>
        <v>4139</v>
      </c>
      <c r="E43" s="137">
        <f>SUM('Historical Financials'!G108:G109)</f>
        <v>-9602</v>
      </c>
      <c r="F43" s="31"/>
      <c r="G43" s="137">
        <f>SUM('Historical Financials'!I108:I109)</f>
        <v>20989</v>
      </c>
      <c r="H43" s="137">
        <f>SUM('Historical Financials'!J108:J109)</f>
        <v>2279</v>
      </c>
      <c r="I43" s="137">
        <f>SUM('Historical Financials'!K108:K109)</f>
        <v>318</v>
      </c>
      <c r="J43" s="137">
        <f>SUM('Historical Financials'!L108:L109)</f>
        <v>5450</v>
      </c>
      <c r="K43" s="137">
        <f>SUM('Historical Financials'!M108:M109)</f>
        <v>777</v>
      </c>
      <c r="L43" s="137">
        <f>SUM('Historical Financials'!N108:N109)</f>
        <v>1055</v>
      </c>
      <c r="M43" s="137">
        <f>SUM('Historical Financials'!O108:O109)</f>
        <v>1174</v>
      </c>
      <c r="N43" s="137">
        <f>SUM('Historical Financials'!P108:P109)</f>
        <v>1133</v>
      </c>
      <c r="O43" s="137">
        <f>SUM('Historical Financials'!Q108:Q109)</f>
        <v>-573</v>
      </c>
      <c r="P43" s="137">
        <f>SUM('Historical Financials'!R108:R109)</f>
        <v>-5174</v>
      </c>
      <c r="Q43" s="137">
        <f>SUM('Historical Financials'!S108:S109)</f>
        <v>5001</v>
      </c>
      <c r="R43" s="137">
        <f>SUM('Historical Financials'!T108:T109)</f>
        <v>-8856</v>
      </c>
      <c r="S43" s="137">
        <f>SUM('Historical Financials'!U108:U109)</f>
        <v>-5596</v>
      </c>
      <c r="T43" s="137">
        <f>SUM('Historical Financials'!V108:V109)</f>
        <v>-6356</v>
      </c>
      <c r="U43" s="137">
        <f>SUM('Historical Financials'!W108:W109)</f>
        <v>8941</v>
      </c>
      <c r="W43" s="138">
        <f t="shared" ref="W43:AC48" si="59">SUM(K43:N43)</f>
        <v>4139</v>
      </c>
      <c r="X43" s="138">
        <f t="shared" si="59"/>
        <v>2789</v>
      </c>
      <c r="Y43" s="138">
        <f t="shared" si="59"/>
        <v>-3440</v>
      </c>
      <c r="Z43" s="138">
        <f t="shared" si="59"/>
        <v>387</v>
      </c>
      <c r="AA43" s="138">
        <f t="shared" si="59"/>
        <v>-9602</v>
      </c>
      <c r="AB43" s="138">
        <f t="shared" si="59"/>
        <v>-14625</v>
      </c>
      <c r="AC43" s="138">
        <f t="shared" si="59"/>
        <v>-15807</v>
      </c>
      <c r="AD43" s="138">
        <f t="shared" ref="AD43:AD48" si="60">SUM(R43:U43)</f>
        <v>-11867</v>
      </c>
    </row>
    <row r="44" spans="2:32" ht="12.75" customHeight="1">
      <c r="B44" s="30" t="s">
        <v>86</v>
      </c>
      <c r="C44" s="137">
        <f>'Historical Financials'!E107</f>
        <v>-8316</v>
      </c>
      <c r="D44" s="137">
        <f>'Historical Financials'!F107</f>
        <v>-5839</v>
      </c>
      <c r="E44" s="137">
        <f>'Historical Financials'!G107</f>
        <v>-7082</v>
      </c>
      <c r="F44" s="31"/>
      <c r="G44" s="137">
        <f>'Historical Financials'!I107</f>
        <v>-6341</v>
      </c>
      <c r="H44" s="137">
        <f>'Historical Financials'!J107</f>
        <v>-259</v>
      </c>
      <c r="I44" s="137">
        <f>'Historical Financials'!K107</f>
        <v>-885</v>
      </c>
      <c r="J44" s="137">
        <f>'Historical Financials'!L107</f>
        <v>-831</v>
      </c>
      <c r="K44" s="137">
        <f>'Historical Financials'!M107</f>
        <v>-3513</v>
      </c>
      <c r="L44" s="137">
        <f>'Historical Financials'!N107</f>
        <v>-316</v>
      </c>
      <c r="M44" s="137">
        <f>'Historical Financials'!O107</f>
        <v>-1629</v>
      </c>
      <c r="N44" s="137">
        <f>'Historical Financials'!P107</f>
        <v>-381</v>
      </c>
      <c r="O44" s="137">
        <f>'Historical Financials'!Q107</f>
        <v>-3354</v>
      </c>
      <c r="P44" s="137">
        <f>'Historical Financials'!R107</f>
        <v>-571</v>
      </c>
      <c r="Q44" s="137">
        <f>'Historical Financials'!S107</f>
        <v>-622</v>
      </c>
      <c r="R44" s="137">
        <f>'Historical Financials'!T107</f>
        <v>-2535</v>
      </c>
      <c r="S44" s="137">
        <f>'Historical Financials'!U107</f>
        <v>48</v>
      </c>
      <c r="T44" s="137">
        <f>'Historical Financials'!V107</f>
        <v>-1700</v>
      </c>
      <c r="U44" s="137">
        <f>'Historical Financials'!W107</f>
        <v>-786</v>
      </c>
      <c r="W44" s="138">
        <f t="shared" si="59"/>
        <v>-5839</v>
      </c>
      <c r="X44" s="138">
        <f t="shared" si="59"/>
        <v>-5680</v>
      </c>
      <c r="Y44" s="138">
        <f t="shared" si="59"/>
        <v>-5935</v>
      </c>
      <c r="Z44" s="138">
        <f t="shared" si="59"/>
        <v>-4928</v>
      </c>
      <c r="AA44" s="138">
        <f t="shared" si="59"/>
        <v>-7082</v>
      </c>
      <c r="AB44" s="138">
        <f t="shared" si="59"/>
        <v>-3680</v>
      </c>
      <c r="AC44" s="138">
        <f t="shared" si="59"/>
        <v>-4809</v>
      </c>
      <c r="AD44" s="138">
        <f t="shared" si="60"/>
        <v>-4973</v>
      </c>
    </row>
    <row r="45" spans="2:32" ht="12.75" customHeight="1">
      <c r="B45" s="30" t="s">
        <v>110</v>
      </c>
      <c r="C45" s="137">
        <f>'Historical Financials'!E113</f>
        <v>-6000</v>
      </c>
      <c r="D45" s="137">
        <f>'Historical Financials'!F113</f>
        <v>0</v>
      </c>
      <c r="E45" s="137">
        <f>'Historical Financials'!G113</f>
        <v>0</v>
      </c>
      <c r="F45" s="31"/>
      <c r="G45" s="137">
        <f>'Historical Financials'!I113</f>
        <v>-2666</v>
      </c>
      <c r="H45" s="137">
        <f>'Historical Financials'!J113</f>
        <v>-3334</v>
      </c>
      <c r="I45" s="137">
        <f>'Historical Financials'!K113</f>
        <v>0</v>
      </c>
      <c r="J45" s="137">
        <f>'Historical Financials'!L113</f>
        <v>0</v>
      </c>
      <c r="K45" s="137">
        <f>'Historical Financials'!M113</f>
        <v>0</v>
      </c>
      <c r="L45" s="137">
        <f>'Historical Financials'!N113</f>
        <v>0</v>
      </c>
      <c r="M45" s="137">
        <f>'Historical Financials'!O113</f>
        <v>0</v>
      </c>
      <c r="N45" s="137">
        <f>'Historical Financials'!P113</f>
        <v>0</v>
      </c>
      <c r="O45" s="137">
        <f>'Historical Financials'!Q113</f>
        <v>0</v>
      </c>
      <c r="P45" s="137">
        <f>'Historical Financials'!R113</f>
        <v>0</v>
      </c>
      <c r="Q45" s="137">
        <f>'Historical Financials'!S113</f>
        <v>0</v>
      </c>
      <c r="R45" s="137">
        <f>'Historical Financials'!T113</f>
        <v>0</v>
      </c>
      <c r="S45" s="137">
        <f>'Historical Financials'!U113</f>
        <v>0</v>
      </c>
      <c r="T45" s="137">
        <f>'Historical Financials'!V113</f>
        <v>0</v>
      </c>
      <c r="U45" s="137">
        <f>'Historical Financials'!W113</f>
        <v>0</v>
      </c>
      <c r="W45" s="138">
        <f t="shared" si="59"/>
        <v>0</v>
      </c>
      <c r="X45" s="138">
        <f t="shared" si="59"/>
        <v>0</v>
      </c>
      <c r="Y45" s="138">
        <f t="shared" si="59"/>
        <v>0</v>
      </c>
      <c r="Z45" s="138">
        <f t="shared" si="59"/>
        <v>0</v>
      </c>
      <c r="AA45" s="138">
        <f t="shared" si="59"/>
        <v>0</v>
      </c>
      <c r="AB45" s="138">
        <f t="shared" si="59"/>
        <v>0</v>
      </c>
      <c r="AC45" s="138">
        <f t="shared" si="59"/>
        <v>0</v>
      </c>
      <c r="AD45" s="138">
        <f t="shared" si="60"/>
        <v>0</v>
      </c>
    </row>
    <row r="46" spans="2:32" ht="12.75" customHeight="1">
      <c r="B46" s="30" t="s">
        <v>95</v>
      </c>
      <c r="C46" s="137">
        <f>SUM('Historical Financials'!E114:E117)</f>
        <v>23907</v>
      </c>
      <c r="D46" s="137">
        <f>SUM('Historical Financials'!F114:F117)</f>
        <v>-11224</v>
      </c>
      <c r="E46" s="137">
        <f>SUM('Historical Financials'!G114:G117)</f>
        <v>-9100</v>
      </c>
      <c r="F46" s="31"/>
      <c r="G46" s="137">
        <f>SUM('Historical Financials'!I114:I117)</f>
        <v>7512</v>
      </c>
      <c r="H46" s="137">
        <f>SUM('Historical Financials'!J114:J117)</f>
        <v>10078</v>
      </c>
      <c r="I46" s="137">
        <f>SUM('Historical Financials'!K114:K117)</f>
        <v>4529</v>
      </c>
      <c r="J46" s="137">
        <f>SUM('Historical Financials'!L114:L117)</f>
        <v>1788</v>
      </c>
      <c r="K46" s="137">
        <f>SUM('Historical Financials'!M114:M117)</f>
        <v>7791</v>
      </c>
      <c r="L46" s="137">
        <f>SUM('Historical Financials'!N114:N117)</f>
        <v>-5242</v>
      </c>
      <c r="M46" s="137">
        <f>SUM('Historical Financials'!O114:O117)</f>
        <v>-7879</v>
      </c>
      <c r="N46" s="137">
        <f>SUM('Historical Financials'!P114:P117)</f>
        <v>-5894</v>
      </c>
      <c r="O46" s="137">
        <f>SUM('Historical Financials'!Q114:Q117)</f>
        <v>-396</v>
      </c>
      <c r="P46" s="137">
        <f>SUM('Historical Financials'!R114:R117)</f>
        <v>-3873</v>
      </c>
      <c r="Q46" s="137">
        <f>SUM('Historical Financials'!S114:S117)</f>
        <v>-2278</v>
      </c>
      <c r="R46" s="137">
        <f>SUM('Historical Financials'!T114:T117)</f>
        <v>-2553</v>
      </c>
      <c r="S46" s="137">
        <f>SUM('Historical Financials'!U114:U117)</f>
        <v>479</v>
      </c>
      <c r="T46" s="137">
        <f>SUM('Historical Financials'!V114:V117)</f>
        <v>-2050</v>
      </c>
      <c r="U46" s="137">
        <f>SUM('Historical Financials'!W114:W117)</f>
        <v>389</v>
      </c>
      <c r="W46" s="138">
        <f t="shared" si="59"/>
        <v>-11224</v>
      </c>
      <c r="X46" s="138">
        <f t="shared" si="59"/>
        <v>-19411</v>
      </c>
      <c r="Y46" s="138">
        <f t="shared" si="59"/>
        <v>-18042</v>
      </c>
      <c r="Z46" s="138">
        <f t="shared" si="59"/>
        <v>-12441</v>
      </c>
      <c r="AA46" s="138">
        <f t="shared" si="59"/>
        <v>-9100</v>
      </c>
      <c r="AB46" s="138">
        <f t="shared" si="59"/>
        <v>-8225</v>
      </c>
      <c r="AC46" s="138">
        <f t="shared" si="59"/>
        <v>-6402</v>
      </c>
      <c r="AD46" s="138">
        <f t="shared" si="60"/>
        <v>-3735</v>
      </c>
    </row>
    <row r="47" spans="2:32" ht="12.75" customHeight="1">
      <c r="B47" s="30" t="s">
        <v>192</v>
      </c>
      <c r="C47" s="137">
        <f>SUM('Historical Financials'!E118:E119)</f>
        <v>-8189</v>
      </c>
      <c r="D47" s="137">
        <f>SUM('Historical Financials'!F118:F119)</f>
        <v>-4655</v>
      </c>
      <c r="E47" s="137">
        <f>SUM('Historical Financials'!G118:G119)</f>
        <v>-2712</v>
      </c>
      <c r="F47" s="31"/>
      <c r="G47" s="137">
        <f>SUM('Historical Financials'!I118:I119)</f>
        <v>-2856</v>
      </c>
      <c r="H47" s="137">
        <f>SUM('Historical Financials'!J118:J119)</f>
        <v>-2118</v>
      </c>
      <c r="I47" s="137">
        <f>SUM('Historical Financials'!K118:K119)</f>
        <v>-1513</v>
      </c>
      <c r="J47" s="137">
        <f>SUM('Historical Financials'!L118:L119)</f>
        <v>-1702</v>
      </c>
      <c r="K47" s="137">
        <f>SUM('Historical Financials'!M118:M119)</f>
        <v>-1437</v>
      </c>
      <c r="L47" s="137">
        <f>SUM('Historical Financials'!N118:N119)</f>
        <v>-1297</v>
      </c>
      <c r="M47" s="137">
        <f>SUM('Historical Financials'!O118:O119)</f>
        <v>-1069</v>
      </c>
      <c r="N47" s="137">
        <f>SUM('Historical Financials'!P118:P119)</f>
        <v>-852</v>
      </c>
      <c r="O47" s="137">
        <f>SUM('Historical Financials'!Q118:Q119)</f>
        <v>-860</v>
      </c>
      <c r="P47" s="137">
        <f>SUM('Historical Financials'!R118:R119)</f>
        <v>-617</v>
      </c>
      <c r="Q47" s="137">
        <f>SUM('Historical Financials'!S118:S119)</f>
        <v>-480</v>
      </c>
      <c r="R47" s="137">
        <f>SUM('Historical Financials'!T118:T119)</f>
        <v>-755</v>
      </c>
      <c r="S47" s="137">
        <f>SUM('Historical Financials'!U118:U119)</f>
        <v>-526</v>
      </c>
      <c r="T47" s="137">
        <f>SUM('Historical Financials'!V118:V119)</f>
        <v>-489</v>
      </c>
      <c r="U47" s="137">
        <f>SUM('Historical Financials'!W118:W119)</f>
        <v>-433</v>
      </c>
      <c r="W47" s="138">
        <f t="shared" si="59"/>
        <v>-4655</v>
      </c>
      <c r="X47" s="138">
        <f t="shared" si="59"/>
        <v>-4078</v>
      </c>
      <c r="Y47" s="138">
        <f t="shared" si="59"/>
        <v>-3398</v>
      </c>
      <c r="Z47" s="138">
        <f t="shared" si="59"/>
        <v>-2809</v>
      </c>
      <c r="AA47" s="138">
        <f t="shared" si="59"/>
        <v>-2712</v>
      </c>
      <c r="AB47" s="138">
        <f t="shared" si="59"/>
        <v>-2378</v>
      </c>
      <c r="AC47" s="138">
        <f t="shared" si="59"/>
        <v>-2250</v>
      </c>
      <c r="AD47" s="138">
        <f t="shared" si="60"/>
        <v>-2203</v>
      </c>
    </row>
    <row r="48" spans="2:32" ht="12.75" customHeight="1">
      <c r="B48" s="30" t="s">
        <v>66</v>
      </c>
      <c r="C48" s="93"/>
      <c r="D48" s="93">
        <f>SUM(D53-C53)-SUM(D41:D47)</f>
        <v>6101</v>
      </c>
      <c r="E48" s="93">
        <f>SUM(E53-D53)-SUM(E41:E47)</f>
        <v>3701</v>
      </c>
      <c r="F48" s="31"/>
      <c r="G48" s="93"/>
      <c r="H48" s="93">
        <f t="shared" ref="H48:K48" si="61">SUM(H53-G53)-SUM(H41:H47)</f>
        <v>3646</v>
      </c>
      <c r="I48" s="93">
        <f t="shared" si="61"/>
        <v>-583</v>
      </c>
      <c r="J48" s="93">
        <f t="shared" si="61"/>
        <v>1737</v>
      </c>
      <c r="K48" s="93">
        <f t="shared" si="61"/>
        <v>877</v>
      </c>
      <c r="L48" s="93">
        <f>SUM(L53-K53)-SUM(L41:L47)</f>
        <v>2144</v>
      </c>
      <c r="M48" s="93">
        <f>SUM(M53-L53)-SUM(M41:M47)</f>
        <v>465</v>
      </c>
      <c r="N48" s="93">
        <f>SUM(N53-M53)-SUM(N41:N47)</f>
        <v>2615</v>
      </c>
      <c r="O48" s="93">
        <f>SUM(O53-N53)-SUM(O41:O47)</f>
        <v>-1631</v>
      </c>
      <c r="P48" s="93">
        <f>SUM(P53-O53)-SUM(P41:P47)</f>
        <v>5335</v>
      </c>
      <c r="Q48" s="93">
        <f>SUM(Q53-P53)-SUM(Q41:Q47)</f>
        <v>-2212</v>
      </c>
      <c r="R48" s="93">
        <f>SUM(R53-Q53)-SUM(R41:R47)</f>
        <v>2209</v>
      </c>
      <c r="S48" s="93">
        <f>SUM(S53-R53)-SUM(S41:S47)</f>
        <v>-1322</v>
      </c>
      <c r="T48" s="93">
        <f>SUM(T53-S53)-SUM(T41:T47)</f>
        <v>4951</v>
      </c>
      <c r="U48" s="93">
        <f>SUM(U53-T53)-SUM(U41:U47)</f>
        <v>5936</v>
      </c>
      <c r="W48" s="138">
        <f t="shared" si="59"/>
        <v>6101</v>
      </c>
      <c r="X48" s="138">
        <f t="shared" si="59"/>
        <v>3593</v>
      </c>
      <c r="Y48" s="138">
        <f t="shared" si="59"/>
        <v>6784</v>
      </c>
      <c r="Z48" s="138">
        <f t="shared" si="59"/>
        <v>4107</v>
      </c>
      <c r="AA48" s="138">
        <f t="shared" si="59"/>
        <v>3701</v>
      </c>
      <c r="AB48" s="138">
        <f t="shared" si="59"/>
        <v>4010</v>
      </c>
      <c r="AC48" s="138">
        <f t="shared" si="59"/>
        <v>3626</v>
      </c>
      <c r="AD48" s="138">
        <f t="shared" si="60"/>
        <v>11774</v>
      </c>
    </row>
    <row r="49" spans="1:30" ht="12.75" customHeight="1">
      <c r="B49" s="13" t="s">
        <v>39</v>
      </c>
      <c r="C49" s="14">
        <f>SUM(C41+SUM(C43:C48))</f>
        <v>11520</v>
      </c>
      <c r="D49" s="14">
        <f>SUM(D41+SUM(D43:D48))</f>
        <v>19499</v>
      </c>
      <c r="E49" s="14">
        <f>SUM(E41+SUM(E43:E48))</f>
        <v>5392</v>
      </c>
      <c r="G49" s="14">
        <f>SUM(G41+SUM(G43:G48))</f>
        <v>-1175</v>
      </c>
      <c r="H49" s="14">
        <f>SUM(H41+SUM(H43:H48))</f>
        <v>1085</v>
      </c>
      <c r="I49" s="14">
        <f>SUM(I41+SUM(I43:I48))</f>
        <v>-2531</v>
      </c>
      <c r="J49" s="14">
        <f>SUM(J41+SUM(J43:J48))</f>
        <v>18941</v>
      </c>
      <c r="K49" s="14">
        <f>SUM(K41+SUM(K43:K48))</f>
        <v>-4545</v>
      </c>
      <c r="L49" s="14">
        <f>SUM(L41+SUM(L43:L48))</f>
        <v>186</v>
      </c>
      <c r="M49" s="14">
        <f>SUM(M41+SUM(M43:M48))</f>
        <v>76</v>
      </c>
      <c r="N49" s="14">
        <f>SUM(N41+SUM(N43:N48))</f>
        <v>23782</v>
      </c>
      <c r="O49" s="14">
        <f>SUM(O41+SUM(O43:O48))</f>
        <v>-535</v>
      </c>
      <c r="P49" s="14">
        <f>SUM(P41+SUM(P43:P48))</f>
        <v>-1674</v>
      </c>
      <c r="Q49" s="14">
        <f>SUM(Q41+SUM(Q43:Q48))</f>
        <v>3913</v>
      </c>
      <c r="R49" s="14">
        <f>SUM(R41+SUM(R43:R48))</f>
        <v>3688</v>
      </c>
      <c r="S49" s="14">
        <f>SUM(S41+SUM(S43:S48))</f>
        <v>-12572</v>
      </c>
      <c r="T49" s="14">
        <f>SUM(T41+SUM(T43:T48))</f>
        <v>-8466</v>
      </c>
      <c r="U49" s="14">
        <f>SUM(U41+SUM(U43:U48))</f>
        <v>9181</v>
      </c>
      <c r="W49" s="14">
        <f>SUM(W41+SUM(W43:W48))</f>
        <v>19499</v>
      </c>
      <c r="X49" s="14">
        <f>SUM(X41+SUM(X43:X48))</f>
        <v>23509</v>
      </c>
      <c r="Y49" s="14">
        <f>SUM(Y41+SUM(Y43:Y48))</f>
        <v>21649</v>
      </c>
      <c r="Z49" s="14">
        <f>SUM(Z41+SUM(Z43:Z48))</f>
        <v>25486</v>
      </c>
      <c r="AA49" s="14">
        <f>SUM(AA41+SUM(AA43:AA48))</f>
        <v>5392</v>
      </c>
      <c r="AB49" s="14">
        <f>SUM(AB41+SUM(AB43:AB48))</f>
        <v>-6645</v>
      </c>
      <c r="AC49" s="14">
        <f>SUM(AC41+SUM(AC43:AC48))</f>
        <v>-13437</v>
      </c>
      <c r="AD49" s="14">
        <f>SUM(AD41+SUM(AD43:AD48))</f>
        <v>-8169</v>
      </c>
    </row>
    <row r="50" spans="1:30" ht="5.0999999999999996" customHeight="1"/>
    <row r="51" spans="1:30" ht="12.75" customHeight="1">
      <c r="A51" s="5"/>
      <c r="B51" s="32" t="s">
        <v>40</v>
      </c>
      <c r="C51" s="32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</row>
    <row r="52" spans="1:30" ht="5.0999999999999996" customHeight="1"/>
    <row r="53" spans="1:30" ht="12.75" customHeight="1">
      <c r="B53" s="8" t="s">
        <v>41</v>
      </c>
      <c r="C53" s="91">
        <f>'Historical Financials'!E47</f>
        <v>53888</v>
      </c>
      <c r="D53" s="91">
        <f>'Historical Financials'!F47</f>
        <v>73387</v>
      </c>
      <c r="E53" s="91">
        <f>'Historical Financials'!G47</f>
        <v>78779</v>
      </c>
      <c r="F53" s="31"/>
      <c r="G53" s="91">
        <f>'Historical Financials'!I47</f>
        <v>36393</v>
      </c>
      <c r="H53" s="91">
        <f>'Historical Financials'!J47</f>
        <v>37478</v>
      </c>
      <c r="I53" s="91">
        <f>'Historical Financials'!K47</f>
        <v>34947</v>
      </c>
      <c r="J53" s="91">
        <f>'Historical Financials'!L47</f>
        <v>53888</v>
      </c>
      <c r="K53" s="91">
        <f>'Historical Financials'!M47</f>
        <v>49343</v>
      </c>
      <c r="L53" s="91">
        <f>'Historical Financials'!N47</f>
        <v>49529</v>
      </c>
      <c r="M53" s="91">
        <f>'Historical Financials'!O47</f>
        <v>49605</v>
      </c>
      <c r="N53" s="91">
        <f>'Historical Financials'!P47</f>
        <v>73387</v>
      </c>
      <c r="O53" s="91">
        <f>'Historical Financials'!Q47</f>
        <v>72852</v>
      </c>
      <c r="P53" s="91">
        <f>'Historical Financials'!R47</f>
        <v>71178</v>
      </c>
      <c r="Q53" s="91">
        <f>'Historical Financials'!S47</f>
        <v>75091</v>
      </c>
      <c r="R53" s="91">
        <f>'Historical Financials'!T47</f>
        <v>78779</v>
      </c>
      <c r="S53" s="91">
        <f>'Historical Financials'!U47</f>
        <v>66207</v>
      </c>
      <c r="T53" s="91">
        <f>'Historical Financials'!V47</f>
        <v>57741</v>
      </c>
      <c r="U53" s="91">
        <f>'Historical Financials'!W47</f>
        <v>66922</v>
      </c>
      <c r="W53" s="10">
        <f t="shared" ref="W53:AC56" si="62">N53</f>
        <v>73387</v>
      </c>
      <c r="X53" s="10">
        <f t="shared" si="62"/>
        <v>72852</v>
      </c>
      <c r="Y53" s="10">
        <f t="shared" si="62"/>
        <v>71178</v>
      </c>
      <c r="Z53" s="10">
        <f t="shared" si="62"/>
        <v>75091</v>
      </c>
      <c r="AA53" s="10">
        <f t="shared" si="62"/>
        <v>78779</v>
      </c>
      <c r="AB53" s="10">
        <f t="shared" si="62"/>
        <v>66207</v>
      </c>
      <c r="AC53" s="10">
        <f t="shared" si="62"/>
        <v>57741</v>
      </c>
      <c r="AD53" s="10">
        <f>U53</f>
        <v>66922</v>
      </c>
    </row>
    <row r="54" spans="1:30" ht="12.75" customHeight="1">
      <c r="B54" s="8" t="s">
        <v>168</v>
      </c>
      <c r="C54" s="91">
        <f>'Historical Financials'!E48</f>
        <v>16138</v>
      </c>
      <c r="D54" s="91">
        <f>'Historical Financials'!F48</f>
        <v>13393</v>
      </c>
      <c r="E54" s="91">
        <f>'Historical Financials'!G48</f>
        <v>22423</v>
      </c>
      <c r="F54" s="31"/>
      <c r="G54" s="91">
        <f>'Historical Financials'!I48</f>
        <v>29992</v>
      </c>
      <c r="H54" s="91">
        <f>'Historical Financials'!J48</f>
        <v>23232</v>
      </c>
      <c r="I54" s="91">
        <f>'Historical Financials'!K48</f>
        <v>23715</v>
      </c>
      <c r="J54" s="91">
        <f>'Historical Financials'!L48</f>
        <v>16138</v>
      </c>
      <c r="K54" s="91">
        <f>'Historical Financials'!M48</f>
        <v>15062</v>
      </c>
      <c r="L54" s="91">
        <f>'Historical Financials'!N48</f>
        <v>14441</v>
      </c>
      <c r="M54" s="91">
        <f>'Historical Financials'!O48</f>
        <v>14564</v>
      </c>
      <c r="N54" s="91">
        <f>'Historical Financials'!P48</f>
        <v>13393</v>
      </c>
      <c r="O54" s="91">
        <f>'Historical Financials'!Q48</f>
        <v>12222</v>
      </c>
      <c r="P54" s="91">
        <f>'Historical Financials'!R48</f>
        <v>17914</v>
      </c>
      <c r="Q54" s="91">
        <f>'Historical Financials'!S48</f>
        <v>12960</v>
      </c>
      <c r="R54" s="91">
        <f>'Historical Financials'!T48</f>
        <v>22423</v>
      </c>
      <c r="S54" s="91">
        <f>'Historical Financials'!U48</f>
        <v>28358</v>
      </c>
      <c r="T54" s="91">
        <f>'Historical Financials'!V48</f>
        <v>35439</v>
      </c>
      <c r="U54" s="91">
        <f>'Historical Financials'!W48</f>
        <v>27275</v>
      </c>
      <c r="W54" s="10">
        <f t="shared" si="62"/>
        <v>13393</v>
      </c>
      <c r="X54" s="10">
        <f t="shared" si="62"/>
        <v>12222</v>
      </c>
      <c r="Y54" s="10">
        <f t="shared" si="62"/>
        <v>17914</v>
      </c>
      <c r="Z54" s="10">
        <f t="shared" si="62"/>
        <v>12960</v>
      </c>
      <c r="AA54" s="10">
        <f t="shared" si="62"/>
        <v>22423</v>
      </c>
      <c r="AB54" s="10">
        <f t="shared" si="62"/>
        <v>28358</v>
      </c>
      <c r="AC54" s="10">
        <f t="shared" si="62"/>
        <v>35439</v>
      </c>
      <c r="AD54" s="10">
        <f>U54</f>
        <v>27275</v>
      </c>
    </row>
    <row r="55" spans="1:30" ht="12.75" customHeight="1">
      <c r="B55" s="30" t="s">
        <v>201</v>
      </c>
      <c r="C55" s="78"/>
      <c r="D55" s="78"/>
      <c r="E55" s="78"/>
      <c r="F55" s="91"/>
      <c r="G55" s="78"/>
      <c r="H55" s="78"/>
      <c r="I55" s="78"/>
      <c r="J55" s="10">
        <f>C55</f>
        <v>0</v>
      </c>
      <c r="K55" s="78"/>
      <c r="L55" s="78"/>
      <c r="M55" s="78"/>
      <c r="N55" s="10">
        <f>D55</f>
        <v>0</v>
      </c>
      <c r="O55" s="78"/>
      <c r="P55" s="78"/>
      <c r="Q55" s="78"/>
      <c r="R55" s="10">
        <f>E55</f>
        <v>0</v>
      </c>
      <c r="S55" s="78"/>
      <c r="T55" s="78"/>
      <c r="U55" s="78"/>
      <c r="W55" s="10">
        <f t="shared" ref="W55" si="63">N55</f>
        <v>0</v>
      </c>
      <c r="X55" s="10">
        <f t="shared" ref="X55" si="64">O55</f>
        <v>0</v>
      </c>
      <c r="Y55" s="10">
        <f t="shared" ref="Y55" si="65">P55</f>
        <v>0</v>
      </c>
      <c r="Z55" s="10">
        <f t="shared" ref="Z55" si="66">Q55</f>
        <v>0</v>
      </c>
      <c r="AA55" s="10">
        <f t="shared" ref="AA55" si="67">R55</f>
        <v>0</v>
      </c>
      <c r="AB55" s="10">
        <f t="shared" ref="AB55" si="68">S55</f>
        <v>0</v>
      </c>
      <c r="AC55" s="10">
        <f t="shared" ref="AC55" si="69">T55</f>
        <v>0</v>
      </c>
      <c r="AD55" s="10">
        <f>U55</f>
        <v>0</v>
      </c>
    </row>
    <row r="56" spans="1:30" ht="12.75" customHeight="1">
      <c r="B56" s="30" t="s">
        <v>202</v>
      </c>
      <c r="C56" s="78"/>
      <c r="D56" s="78"/>
      <c r="E56" s="78"/>
      <c r="F56" s="91"/>
      <c r="G56" s="78"/>
      <c r="H56" s="78"/>
      <c r="I56" s="78"/>
      <c r="J56" s="10">
        <f>C56</f>
        <v>0</v>
      </c>
      <c r="K56" s="78"/>
      <c r="L56" s="78"/>
      <c r="M56" s="78"/>
      <c r="N56" s="10">
        <f>D56</f>
        <v>0</v>
      </c>
      <c r="O56" s="78"/>
      <c r="P56" s="78"/>
      <c r="Q56" s="78"/>
      <c r="R56" s="10">
        <f>E56</f>
        <v>0</v>
      </c>
      <c r="S56" s="78"/>
      <c r="T56" s="78"/>
      <c r="U56" s="78"/>
      <c r="W56" s="10">
        <f t="shared" si="62"/>
        <v>0</v>
      </c>
      <c r="X56" s="10">
        <f t="shared" si="62"/>
        <v>0</v>
      </c>
      <c r="Y56" s="10">
        <f t="shared" si="62"/>
        <v>0</v>
      </c>
      <c r="Z56" s="10">
        <f t="shared" si="62"/>
        <v>0</v>
      </c>
      <c r="AA56" s="10">
        <f t="shared" si="62"/>
        <v>0</v>
      </c>
      <c r="AB56" s="10">
        <f t="shared" si="62"/>
        <v>0</v>
      </c>
      <c r="AC56" s="10">
        <f t="shared" si="62"/>
        <v>0</v>
      </c>
      <c r="AD56" s="10">
        <f>U56</f>
        <v>0</v>
      </c>
    </row>
    <row r="57" spans="1:30" ht="12.75" customHeight="1">
      <c r="B57" s="13" t="s">
        <v>42</v>
      </c>
      <c r="C57" s="14">
        <f>SUM(C53:C56)</f>
        <v>70026</v>
      </c>
      <c r="D57" s="14">
        <f>SUM(D53:D56)</f>
        <v>86780</v>
      </c>
      <c r="E57" s="14">
        <f>SUM(E53:E56)</f>
        <v>101202</v>
      </c>
      <c r="F57" s="31"/>
      <c r="G57" s="14">
        <f t="shared" ref="G57:J57" si="70">SUM(G53:G56)</f>
        <v>66385</v>
      </c>
      <c r="H57" s="14">
        <f t="shared" si="70"/>
        <v>60710</v>
      </c>
      <c r="I57" s="14">
        <f t="shared" si="70"/>
        <v>58662</v>
      </c>
      <c r="J57" s="14">
        <f t="shared" si="70"/>
        <v>70026</v>
      </c>
      <c r="K57" s="14">
        <f t="shared" ref="K57:U57" si="71">SUM(K53:K56)</f>
        <v>64405</v>
      </c>
      <c r="L57" s="14">
        <f t="shared" si="71"/>
        <v>63970</v>
      </c>
      <c r="M57" s="14">
        <f t="shared" si="71"/>
        <v>64169</v>
      </c>
      <c r="N57" s="14">
        <f t="shared" si="71"/>
        <v>86780</v>
      </c>
      <c r="O57" s="14">
        <f t="shared" si="71"/>
        <v>85074</v>
      </c>
      <c r="P57" s="14">
        <f t="shared" si="71"/>
        <v>89092</v>
      </c>
      <c r="Q57" s="14">
        <f t="shared" si="71"/>
        <v>88051</v>
      </c>
      <c r="R57" s="14">
        <f t="shared" si="71"/>
        <v>101202</v>
      </c>
      <c r="S57" s="14">
        <f t="shared" si="71"/>
        <v>94565</v>
      </c>
      <c r="T57" s="14">
        <f t="shared" si="71"/>
        <v>93180</v>
      </c>
      <c r="U57" s="14">
        <f t="shared" si="71"/>
        <v>94197</v>
      </c>
      <c r="W57" s="14">
        <f t="shared" ref="W57:Y57" si="72">SUM(W53:W53)</f>
        <v>73387</v>
      </c>
      <c r="X57" s="14">
        <f t="shared" si="72"/>
        <v>72852</v>
      </c>
      <c r="Y57" s="14">
        <f t="shared" si="72"/>
        <v>71178</v>
      </c>
      <c r="Z57" s="14">
        <f>SUM(Z53:Z56)</f>
        <v>88051</v>
      </c>
      <c r="AA57" s="14">
        <f>SUM(AA53:AA56)</f>
        <v>101202</v>
      </c>
      <c r="AB57" s="14">
        <f>SUM(AB53:AB56)</f>
        <v>94565</v>
      </c>
      <c r="AC57" s="14">
        <f>SUM(AC53:AC56)</f>
        <v>93180</v>
      </c>
      <c r="AD57" s="14">
        <f>SUM(AD53:AD56)</f>
        <v>94197</v>
      </c>
    </row>
    <row r="58" spans="1:30" ht="12.75" customHeight="1">
      <c r="B58" s="145" t="s">
        <v>111</v>
      </c>
      <c r="C58" s="144"/>
      <c r="D58" s="144"/>
      <c r="E58" s="144">
        <v>8300</v>
      </c>
      <c r="F58" s="31"/>
      <c r="G58" s="144"/>
      <c r="H58" s="144"/>
      <c r="I58" s="144"/>
      <c r="J58" s="144"/>
      <c r="K58" s="144"/>
      <c r="L58" s="144"/>
      <c r="M58" s="144"/>
      <c r="N58" s="144"/>
      <c r="O58" s="144"/>
      <c r="P58" s="144"/>
      <c r="Q58" s="144"/>
      <c r="R58" s="144"/>
      <c r="S58" s="144"/>
      <c r="T58" s="144"/>
      <c r="U58" s="144"/>
      <c r="W58" s="146"/>
      <c r="X58" s="146"/>
      <c r="Y58" s="146"/>
      <c r="Z58" s="146"/>
      <c r="AA58" s="146"/>
      <c r="AB58" s="146"/>
      <c r="AC58" s="146"/>
      <c r="AD58" s="146"/>
    </row>
    <row r="59" spans="1:30" ht="5.0999999999999996" customHeight="1"/>
    <row r="60" spans="1:30" ht="12.75" customHeight="1">
      <c r="B60" s="34" t="s">
        <v>43</v>
      </c>
    </row>
    <row r="61" spans="1:30" ht="12.75" customHeight="1">
      <c r="B61" s="8" t="s">
        <v>113</v>
      </c>
      <c r="C61" s="91">
        <f>'Historical Financials'!E50</f>
        <v>42360</v>
      </c>
      <c r="D61" s="91">
        <f>'Historical Financials'!F50</f>
        <v>52253</v>
      </c>
      <c r="E61" s="91">
        <f>'Historical Financials'!G50</f>
        <v>55451</v>
      </c>
      <c r="G61" s="91">
        <f>'Historical Financials'!I50</f>
        <v>32504</v>
      </c>
      <c r="H61" s="91">
        <f>'Historical Financials'!J50</f>
        <v>34804</v>
      </c>
      <c r="I61" s="91">
        <f>'Historical Financials'!K50</f>
        <v>36154</v>
      </c>
      <c r="J61" s="91">
        <f>'Historical Financials'!L50</f>
        <v>42360</v>
      </c>
      <c r="K61" s="91">
        <f>'Historical Financials'!M50</f>
        <v>37646</v>
      </c>
      <c r="L61" s="91">
        <f>'Historical Financials'!N50</f>
        <v>39925</v>
      </c>
      <c r="M61" s="91">
        <f>'Historical Financials'!O50</f>
        <v>43420</v>
      </c>
      <c r="N61" s="91">
        <f>'Historical Financials'!P50</f>
        <v>52253</v>
      </c>
      <c r="O61" s="91">
        <f>'Historical Financials'!Q50</f>
        <v>47768</v>
      </c>
      <c r="P61" s="91">
        <f>'Historical Financials'!R50</f>
        <v>50106</v>
      </c>
      <c r="Q61" s="91">
        <f>'Historical Financials'!S50</f>
        <v>51638</v>
      </c>
      <c r="R61" s="91">
        <f>'Historical Financials'!T50</f>
        <v>55451</v>
      </c>
      <c r="S61" s="91">
        <f>'Historical Financials'!U50</f>
        <v>54216</v>
      </c>
      <c r="T61" s="91">
        <f>'Historical Financials'!V50</f>
        <v>57415</v>
      </c>
      <c r="U61" s="91">
        <f>'Historical Financials'!W50</f>
        <v>61175</v>
      </c>
      <c r="V61" s="10"/>
      <c r="W61" s="10">
        <f t="shared" ref="W61:AC67" si="73">N61</f>
        <v>52253</v>
      </c>
      <c r="X61" s="10">
        <f t="shared" si="73"/>
        <v>47768</v>
      </c>
      <c r="Y61" s="10">
        <f t="shared" si="73"/>
        <v>50106</v>
      </c>
      <c r="Z61" s="10">
        <f t="shared" si="73"/>
        <v>51638</v>
      </c>
      <c r="AA61" s="10">
        <f t="shared" si="73"/>
        <v>55451</v>
      </c>
      <c r="AB61" s="10">
        <f t="shared" si="73"/>
        <v>54216</v>
      </c>
      <c r="AC61" s="10">
        <f t="shared" si="73"/>
        <v>57415</v>
      </c>
      <c r="AD61" s="10">
        <f t="shared" ref="AD61:AD67" si="74">U61</f>
        <v>61175</v>
      </c>
    </row>
    <row r="62" spans="1:30" ht="12.75" customHeight="1">
      <c r="B62" s="8" t="s">
        <v>104</v>
      </c>
      <c r="C62" s="91">
        <f>'Historical Financials'!E49</f>
        <v>34405</v>
      </c>
      <c r="D62" s="91">
        <f>'Historical Financials'!F49</f>
        <v>33318</v>
      </c>
      <c r="E62" s="91">
        <f>'Historical Financials'!G49</f>
        <v>34214</v>
      </c>
      <c r="F62" s="91"/>
      <c r="G62" s="91">
        <f>'Historical Financials'!I49</f>
        <v>34987</v>
      </c>
      <c r="H62" s="91">
        <f>'Historical Financials'!J49</f>
        <v>38153</v>
      </c>
      <c r="I62" s="91">
        <f>'Historical Financials'!K49</f>
        <v>36647</v>
      </c>
      <c r="J62" s="91">
        <f>'Historical Financials'!L49</f>
        <v>34405</v>
      </c>
      <c r="K62" s="91">
        <f>'Historical Financials'!M49</f>
        <v>34170</v>
      </c>
      <c r="L62" s="91">
        <f>'Historical Financials'!N49</f>
        <v>36587</v>
      </c>
      <c r="M62" s="91">
        <f>'Historical Financials'!O49</f>
        <v>35406</v>
      </c>
      <c r="N62" s="91">
        <f>'Historical Financials'!P49</f>
        <v>33318</v>
      </c>
      <c r="O62" s="91">
        <f>'Historical Financials'!Q49</f>
        <v>31147</v>
      </c>
      <c r="P62" s="91">
        <f>'Historical Financials'!R49</f>
        <v>34109</v>
      </c>
      <c r="Q62" s="91">
        <f>'Historical Financials'!S49</f>
        <v>36103</v>
      </c>
      <c r="R62" s="91">
        <f>'Historical Financials'!T49</f>
        <v>34214</v>
      </c>
      <c r="S62" s="91">
        <f>'Historical Financials'!U49</f>
        <v>35864</v>
      </c>
      <c r="T62" s="91">
        <f>'Historical Financials'!V49</f>
        <v>40825</v>
      </c>
      <c r="U62" s="91">
        <f>'Historical Financials'!W49</f>
        <v>41494</v>
      </c>
      <c r="W62" s="10">
        <f t="shared" si="73"/>
        <v>33318</v>
      </c>
      <c r="X62" s="10">
        <f t="shared" si="73"/>
        <v>31147</v>
      </c>
      <c r="Y62" s="10">
        <f t="shared" si="73"/>
        <v>34109</v>
      </c>
      <c r="Z62" s="10">
        <f t="shared" si="73"/>
        <v>36103</v>
      </c>
      <c r="AA62" s="10">
        <f t="shared" si="73"/>
        <v>34214</v>
      </c>
      <c r="AB62" s="10">
        <f t="shared" si="73"/>
        <v>35864</v>
      </c>
      <c r="AC62" s="10">
        <f t="shared" si="73"/>
        <v>40825</v>
      </c>
      <c r="AD62" s="10">
        <f t="shared" si="74"/>
        <v>41494</v>
      </c>
    </row>
    <row r="63" spans="1:30" ht="12.75" customHeight="1">
      <c r="B63" s="8" t="s">
        <v>99</v>
      </c>
      <c r="C63" s="91">
        <f>'Historical Financials'!E54</f>
        <v>186715</v>
      </c>
      <c r="D63" s="91">
        <f>'Historical Financials'!F54</f>
        <v>204177</v>
      </c>
      <c r="E63" s="91">
        <f>'Historical Financials'!G54</f>
        <v>252665</v>
      </c>
      <c r="G63" s="91">
        <f>'Historical Financials'!I54</f>
        <v>168468</v>
      </c>
      <c r="H63" s="91">
        <f>'Historical Financials'!J54</f>
        <v>173706</v>
      </c>
      <c r="I63" s="91">
        <f>'Historical Financials'!K54</f>
        <v>177195</v>
      </c>
      <c r="J63" s="91">
        <f>'Historical Financials'!L54</f>
        <v>186715</v>
      </c>
      <c r="K63" s="91">
        <f>'Historical Financials'!M54</f>
        <v>190754</v>
      </c>
      <c r="L63" s="91">
        <f>'Historical Financials'!N54</f>
        <v>193784</v>
      </c>
      <c r="M63" s="91">
        <f>'Historical Financials'!O54</f>
        <v>196468</v>
      </c>
      <c r="N63" s="91">
        <f>'Historical Financials'!P54</f>
        <v>204177</v>
      </c>
      <c r="O63" s="91">
        <f>'Historical Financials'!Q54</f>
        <v>209950</v>
      </c>
      <c r="P63" s="91">
        <f>'Historical Financials'!R54</f>
        <v>220717</v>
      </c>
      <c r="Q63" s="91">
        <f>'Historical Financials'!S54</f>
        <v>237917</v>
      </c>
      <c r="R63" s="91">
        <f>'Historical Financials'!T54</f>
        <v>252665</v>
      </c>
      <c r="S63" s="91">
        <f>'Historical Financials'!U54</f>
        <v>272781</v>
      </c>
      <c r="T63" s="91">
        <f>'Historical Financials'!V54</f>
        <v>297616</v>
      </c>
      <c r="U63" s="91">
        <f>'Historical Financials'!W54</f>
        <v>324435</v>
      </c>
      <c r="V63" s="10"/>
      <c r="W63" s="10">
        <f t="shared" si="73"/>
        <v>204177</v>
      </c>
      <c r="X63" s="10">
        <f t="shared" si="73"/>
        <v>209950</v>
      </c>
      <c r="Y63" s="10">
        <f t="shared" si="73"/>
        <v>220717</v>
      </c>
      <c r="Z63" s="10">
        <f t="shared" si="73"/>
        <v>237917</v>
      </c>
      <c r="AA63" s="10">
        <f t="shared" si="73"/>
        <v>252665</v>
      </c>
      <c r="AB63" s="10">
        <f t="shared" si="73"/>
        <v>272781</v>
      </c>
      <c r="AC63" s="10">
        <f t="shared" si="73"/>
        <v>297616</v>
      </c>
      <c r="AD63" s="10">
        <f t="shared" si="74"/>
        <v>324435</v>
      </c>
    </row>
    <row r="64" spans="1:30" ht="12.75" customHeight="1">
      <c r="B64" s="8" t="s">
        <v>44</v>
      </c>
      <c r="C64" s="91">
        <f>'Historical Financials'!E61</f>
        <v>79600</v>
      </c>
      <c r="D64" s="91">
        <f>'Historical Financials'!F61</f>
        <v>84981</v>
      </c>
      <c r="E64" s="91">
        <f>'Historical Financials'!G61</f>
        <v>94363</v>
      </c>
      <c r="F64" s="91"/>
      <c r="G64" s="91">
        <f>'Historical Financials'!I61</f>
        <v>68547</v>
      </c>
      <c r="H64" s="91">
        <f>'Historical Financials'!J61</f>
        <v>71219</v>
      </c>
      <c r="I64" s="91">
        <f>'Historical Financials'!K61</f>
        <v>67760</v>
      </c>
      <c r="J64" s="91">
        <f>'Historical Financials'!L61</f>
        <v>79600</v>
      </c>
      <c r="K64" s="91">
        <f>'Historical Financials'!M61</f>
        <v>66907</v>
      </c>
      <c r="L64" s="91">
        <f>'Historical Financials'!N61</f>
        <v>69481</v>
      </c>
      <c r="M64" s="91">
        <f>'Historical Financials'!O61</f>
        <v>72004</v>
      </c>
      <c r="N64" s="91">
        <f>'Historical Financials'!P61</f>
        <v>84981</v>
      </c>
      <c r="O64" s="91">
        <f>'Historical Financials'!Q61</f>
        <v>73068</v>
      </c>
      <c r="P64" s="91">
        <f>'Historical Financials'!R61</f>
        <v>81817</v>
      </c>
      <c r="Q64" s="91">
        <f>'Historical Financials'!S61</f>
        <v>84570</v>
      </c>
      <c r="R64" s="91">
        <f>'Historical Financials'!T61</f>
        <v>94363</v>
      </c>
      <c r="S64" s="91">
        <f>'Historical Financials'!U61</f>
        <v>89241</v>
      </c>
      <c r="T64" s="91">
        <f>'Historical Financials'!V61</f>
        <v>98285</v>
      </c>
      <c r="U64" s="91">
        <f>'Historical Financials'!W61</f>
        <v>106032</v>
      </c>
      <c r="W64" s="10">
        <f t="shared" si="73"/>
        <v>84981</v>
      </c>
      <c r="X64" s="10">
        <f t="shared" si="73"/>
        <v>73068</v>
      </c>
      <c r="Y64" s="10">
        <f t="shared" si="73"/>
        <v>81817</v>
      </c>
      <c r="Z64" s="10">
        <f t="shared" si="73"/>
        <v>84570</v>
      </c>
      <c r="AA64" s="10">
        <f t="shared" si="73"/>
        <v>94363</v>
      </c>
      <c r="AB64" s="10">
        <f t="shared" si="73"/>
        <v>89241</v>
      </c>
      <c r="AC64" s="10">
        <f t="shared" si="73"/>
        <v>98285</v>
      </c>
      <c r="AD64" s="10">
        <f t="shared" si="74"/>
        <v>106032</v>
      </c>
    </row>
    <row r="65" spans="2:30" ht="12.75" customHeight="1">
      <c r="B65" s="8" t="s">
        <v>175</v>
      </c>
      <c r="C65" s="91">
        <f>'Historical Financials'!E63</f>
        <v>13227</v>
      </c>
      <c r="D65" s="91">
        <f>'Historical Financials'!F63</f>
        <v>15227</v>
      </c>
      <c r="E65" s="91">
        <f>'Historical Financials'!G63</f>
        <v>18103</v>
      </c>
      <c r="F65" s="91"/>
      <c r="G65" s="91">
        <f>'Historical Financials'!I63</f>
        <v>12820</v>
      </c>
      <c r="H65" s="91">
        <f>'Historical Financials'!J63</f>
        <v>12818</v>
      </c>
      <c r="I65" s="91">
        <f>'Historical Financials'!K63</f>
        <v>12629</v>
      </c>
      <c r="J65" s="91">
        <f>'Historical Financials'!L63</f>
        <v>13227</v>
      </c>
      <c r="K65" s="91">
        <f>'Historical Financials'!M63</f>
        <v>14281</v>
      </c>
      <c r="L65" s="91">
        <f>'Historical Financials'!N63</f>
        <v>14522</v>
      </c>
      <c r="M65" s="91">
        <f>'Historical Financials'!O63</f>
        <v>14398</v>
      </c>
      <c r="N65" s="91">
        <f>'Historical Financials'!P63</f>
        <v>15227</v>
      </c>
      <c r="O65" s="91">
        <f>'Historical Financials'!Q63</f>
        <v>15927</v>
      </c>
      <c r="P65" s="91">
        <f>'Historical Financials'!R63</f>
        <v>16004</v>
      </c>
      <c r="Q65" s="91">
        <f>'Historical Financials'!S63</f>
        <v>16305</v>
      </c>
      <c r="R65" s="91">
        <f>'Historical Financials'!T63</f>
        <v>18103</v>
      </c>
      <c r="S65" s="91">
        <f>'Historical Financials'!U63</f>
        <v>20599</v>
      </c>
      <c r="T65" s="91">
        <f>'Historical Financials'!V63</f>
        <v>21662</v>
      </c>
      <c r="U65" s="91">
        <f>'Historical Financials'!W63</f>
        <v>21113</v>
      </c>
      <c r="W65" s="10">
        <f t="shared" ref="W65" si="75">N65</f>
        <v>15227</v>
      </c>
      <c r="X65" s="10">
        <f t="shared" ref="X65" si="76">O65</f>
        <v>15927</v>
      </c>
      <c r="Y65" s="10">
        <f t="shared" ref="Y65" si="77">P65</f>
        <v>16004</v>
      </c>
      <c r="Z65" s="10">
        <f t="shared" ref="Z65" si="78">Q65</f>
        <v>16305</v>
      </c>
      <c r="AA65" s="10">
        <f t="shared" ref="AA65" si="79">R65</f>
        <v>18103</v>
      </c>
      <c r="AB65" s="10">
        <f t="shared" ref="AB65" si="80">S65</f>
        <v>20599</v>
      </c>
      <c r="AC65" s="10">
        <f t="shared" ref="AC65" si="81">T65</f>
        <v>21662</v>
      </c>
      <c r="AD65" s="10">
        <f t="shared" ref="AD65" si="82">U65</f>
        <v>21113</v>
      </c>
    </row>
    <row r="66" spans="2:30" ht="12.75" customHeight="1">
      <c r="B66" s="8" t="s">
        <v>45</v>
      </c>
      <c r="C66" s="91">
        <f>'Historical Financials'!E64</f>
        <v>155393</v>
      </c>
      <c r="D66" s="91">
        <f>'Historical Financials'!F64</f>
        <v>164917</v>
      </c>
      <c r="E66" s="91">
        <f>'Historical Financials'!G64</f>
        <v>179431</v>
      </c>
      <c r="F66" s="91"/>
      <c r="G66" s="91">
        <f>'Historical Financials'!I64</f>
        <v>139508</v>
      </c>
      <c r="H66" s="91">
        <f>'Historical Financials'!J64</f>
        <v>140291</v>
      </c>
      <c r="I66" s="91">
        <f>'Historical Financials'!K64</f>
        <v>140363</v>
      </c>
      <c r="J66" s="91">
        <f>'Historical Financials'!L64</f>
        <v>155393</v>
      </c>
      <c r="K66" s="91">
        <f>'Historical Financials'!M64</f>
        <v>147570</v>
      </c>
      <c r="L66" s="91">
        <f>'Historical Financials'!N64</f>
        <v>148238</v>
      </c>
      <c r="M66" s="91">
        <f>'Historical Financials'!O64</f>
        <v>145214</v>
      </c>
      <c r="N66" s="91">
        <f>'Historical Financials'!P64</f>
        <v>164917</v>
      </c>
      <c r="O66" s="91">
        <f>'Historical Financials'!Q64</f>
        <v>152965</v>
      </c>
      <c r="P66" s="91">
        <f>'Historical Financials'!R64</f>
        <v>158172</v>
      </c>
      <c r="Q66" s="91">
        <f>'Historical Financials'!S64</f>
        <v>161477</v>
      </c>
      <c r="R66" s="91">
        <f>'Historical Financials'!T64</f>
        <v>179431</v>
      </c>
      <c r="S66" s="91">
        <f>'Historical Financials'!U64</f>
        <v>176171</v>
      </c>
      <c r="T66" s="91">
        <f>'Historical Financials'!V64</f>
        <v>186921</v>
      </c>
      <c r="U66" s="91">
        <f>'Historical Financials'!W64</f>
        <v>195196</v>
      </c>
      <c r="W66" s="10">
        <f t="shared" si="73"/>
        <v>164917</v>
      </c>
      <c r="X66" s="10">
        <f t="shared" si="73"/>
        <v>152965</v>
      </c>
      <c r="Y66" s="10">
        <f t="shared" si="73"/>
        <v>158172</v>
      </c>
      <c r="Z66" s="10">
        <f t="shared" si="73"/>
        <v>161477</v>
      </c>
      <c r="AA66" s="10">
        <f t="shared" si="73"/>
        <v>179431</v>
      </c>
      <c r="AB66" s="10">
        <f t="shared" si="73"/>
        <v>176171</v>
      </c>
      <c r="AC66" s="10">
        <f t="shared" si="73"/>
        <v>186921</v>
      </c>
      <c r="AD66" s="10">
        <f t="shared" si="74"/>
        <v>195196</v>
      </c>
    </row>
    <row r="67" spans="2:30" ht="12.75" customHeight="1">
      <c r="B67" s="8" t="s">
        <v>15</v>
      </c>
      <c r="C67" s="91">
        <f>'Historical Financials'!E70</f>
        <v>316632</v>
      </c>
      <c r="D67" s="91">
        <f>'Historical Financials'!F70</f>
        <v>325979</v>
      </c>
      <c r="E67" s="91">
        <f>'Historical Financials'!G70</f>
        <v>338924</v>
      </c>
      <c r="F67" s="91"/>
      <c r="G67" s="91">
        <f>'Historical Financials'!I70</f>
        <v>276766</v>
      </c>
      <c r="H67" s="91">
        <f>'Historical Financials'!J70</f>
        <v>288326</v>
      </c>
      <c r="I67" s="91">
        <f>'Historical Financials'!K70</f>
        <v>290873</v>
      </c>
      <c r="J67" s="91">
        <f>'Historical Financials'!L70</f>
        <v>316632</v>
      </c>
      <c r="K67" s="91">
        <f>'Historical Financials'!M70</f>
        <v>309852</v>
      </c>
      <c r="L67" s="91">
        <f>'Historical Financials'!N70</f>
        <v>309005</v>
      </c>
      <c r="M67" s="91">
        <f>'Historical Financials'!O70</f>
        <v>303910</v>
      </c>
      <c r="N67" s="91">
        <f>'Historical Financials'!P70</f>
        <v>325979</v>
      </c>
      <c r="O67" s="91">
        <f>'Historical Financials'!Q70</f>
        <v>314308</v>
      </c>
      <c r="P67" s="91">
        <f>'Historical Financials'!R70</f>
        <v>318371</v>
      </c>
      <c r="Q67" s="91">
        <f>'Historical Financials'!S70</f>
        <v>325475</v>
      </c>
      <c r="R67" s="91">
        <f>'Historical Financials'!T70</f>
        <v>338924</v>
      </c>
      <c r="S67" s="91">
        <f>'Historical Financials'!U70</f>
        <v>337389</v>
      </c>
      <c r="T67" s="91">
        <f>'Historical Financials'!V70</f>
        <v>348395</v>
      </c>
      <c r="U67" s="91">
        <f>'Historical Financials'!W70</f>
        <v>358290</v>
      </c>
      <c r="W67" s="10">
        <f t="shared" si="73"/>
        <v>325979</v>
      </c>
      <c r="X67" s="10">
        <f t="shared" si="73"/>
        <v>314308</v>
      </c>
      <c r="Y67" s="10">
        <f t="shared" si="73"/>
        <v>318371</v>
      </c>
      <c r="Z67" s="10">
        <f t="shared" si="73"/>
        <v>325475</v>
      </c>
      <c r="AA67" s="10">
        <f t="shared" si="73"/>
        <v>338924</v>
      </c>
      <c r="AB67" s="10">
        <f t="shared" si="73"/>
        <v>337389</v>
      </c>
      <c r="AC67" s="10">
        <f t="shared" si="73"/>
        <v>348395</v>
      </c>
      <c r="AD67" s="10">
        <f t="shared" si="74"/>
        <v>358290</v>
      </c>
    </row>
    <row r="68" spans="2:30" ht="5.0999999999999996" customHeight="1">
      <c r="E68" s="10"/>
    </row>
    <row r="69" spans="2:30">
      <c r="B69" s="34" t="s">
        <v>96</v>
      </c>
      <c r="E69" s="10"/>
    </row>
    <row r="70" spans="2:30">
      <c r="B70" s="8" t="s">
        <v>97</v>
      </c>
      <c r="C70" s="78">
        <v>0</v>
      </c>
      <c r="D70" s="78">
        <v>0</v>
      </c>
      <c r="E70" s="78">
        <v>0</v>
      </c>
      <c r="G70" s="78">
        <v>0</v>
      </c>
      <c r="H70" s="78">
        <v>0</v>
      </c>
      <c r="I70" s="78">
        <v>0</v>
      </c>
      <c r="J70" s="78">
        <v>0</v>
      </c>
      <c r="K70" s="78">
        <v>0</v>
      </c>
      <c r="L70" s="78">
        <v>0</v>
      </c>
      <c r="M70" s="78">
        <v>0</v>
      </c>
      <c r="N70" s="10">
        <f>D70</f>
        <v>0</v>
      </c>
      <c r="O70" s="78">
        <v>0</v>
      </c>
      <c r="P70" s="78">
        <v>0</v>
      </c>
      <c r="Q70" s="78">
        <v>0</v>
      </c>
      <c r="R70" s="10">
        <f>E70</f>
        <v>0</v>
      </c>
      <c r="S70" s="78">
        <v>0</v>
      </c>
      <c r="T70" s="78">
        <v>0</v>
      </c>
      <c r="U70" s="78">
        <v>0</v>
      </c>
      <c r="W70" s="10">
        <f t="shared" ref="W70:AC71" si="83">N70</f>
        <v>0</v>
      </c>
      <c r="X70" s="10">
        <f t="shared" si="83"/>
        <v>0</v>
      </c>
      <c r="Y70" s="10">
        <f t="shared" si="83"/>
        <v>0</v>
      </c>
      <c r="Z70" s="10">
        <f t="shared" si="83"/>
        <v>0</v>
      </c>
      <c r="AA70" s="10">
        <f t="shared" si="83"/>
        <v>0</v>
      </c>
      <c r="AB70" s="10">
        <f t="shared" si="83"/>
        <v>0</v>
      </c>
      <c r="AC70" s="10">
        <f t="shared" si="83"/>
        <v>0</v>
      </c>
      <c r="AD70" s="10">
        <f>U70</f>
        <v>0</v>
      </c>
    </row>
    <row r="71" spans="2:30">
      <c r="B71" s="8" t="s">
        <v>98</v>
      </c>
      <c r="C71" s="91">
        <f>'Historical Financials'!E68</f>
        <v>67150</v>
      </c>
      <c r="D71" s="91">
        <f>'Historical Financials'!F68</f>
        <v>58314</v>
      </c>
      <c r="E71" s="91">
        <f>'Historical Financials'!G68</f>
        <v>52623</v>
      </c>
      <c r="G71" s="91">
        <f>'Historical Financials'!I68</f>
        <v>47556</v>
      </c>
      <c r="H71" s="91">
        <f>'Historical Financials'!J68</f>
        <v>58053</v>
      </c>
      <c r="I71" s="91">
        <f>'Historical Financials'!K68</f>
        <v>58919</v>
      </c>
      <c r="J71" s="91">
        <f>'Historical Financials'!L68</f>
        <v>67150</v>
      </c>
      <c r="K71" s="91">
        <f>'Historical Financials'!M68</f>
        <v>67084</v>
      </c>
      <c r="L71" s="91">
        <f>'Historical Financials'!N68</f>
        <v>63092</v>
      </c>
      <c r="M71" s="91">
        <f>'Historical Financials'!O68</f>
        <v>61098</v>
      </c>
      <c r="N71" s="91">
        <f>'Historical Financials'!P68</f>
        <v>58314</v>
      </c>
      <c r="O71" s="91">
        <f>'Historical Financials'!Q68</f>
        <v>57634</v>
      </c>
      <c r="P71" s="91">
        <f>'Historical Financials'!R68</f>
        <v>54889</v>
      </c>
      <c r="Q71" s="91">
        <f>'Historical Financials'!S68</f>
        <v>54890</v>
      </c>
      <c r="R71" s="91">
        <f>'Historical Financials'!T68</f>
        <v>52623</v>
      </c>
      <c r="S71" s="91">
        <f>'Historical Financials'!U68</f>
        <v>53374</v>
      </c>
      <c r="T71" s="91">
        <f>'Historical Financials'!V68</f>
        <v>50718</v>
      </c>
      <c r="U71" s="91">
        <f>'Historical Financials'!W68</f>
        <v>50742</v>
      </c>
      <c r="W71" s="10">
        <f t="shared" si="83"/>
        <v>58314</v>
      </c>
      <c r="X71" s="10">
        <f t="shared" si="83"/>
        <v>57634</v>
      </c>
      <c r="Y71" s="10">
        <f t="shared" si="83"/>
        <v>54889</v>
      </c>
      <c r="Z71" s="10">
        <f t="shared" si="83"/>
        <v>54890</v>
      </c>
      <c r="AA71" s="10">
        <f t="shared" si="83"/>
        <v>52623</v>
      </c>
      <c r="AB71" s="10">
        <f t="shared" si="83"/>
        <v>53374</v>
      </c>
      <c r="AC71" s="10">
        <f t="shared" si="83"/>
        <v>50718</v>
      </c>
      <c r="AD71" s="10">
        <f>U71</f>
        <v>50742</v>
      </c>
    </row>
    <row r="72" spans="2:30">
      <c r="E72" s="10"/>
    </row>
    <row r="73" spans="2:30">
      <c r="C73" s="78"/>
      <c r="D73" s="78"/>
      <c r="E73" s="78"/>
      <c r="G73" s="78"/>
      <c r="H73" s="78"/>
      <c r="I73" s="78"/>
      <c r="J73" s="10"/>
      <c r="K73" s="78"/>
      <c r="L73" s="78"/>
      <c r="M73" s="78"/>
      <c r="N73" s="10"/>
      <c r="O73" s="78"/>
      <c r="P73" s="78"/>
      <c r="Q73" s="78"/>
      <c r="R73" s="10"/>
      <c r="S73" s="78"/>
      <c r="T73" s="78"/>
      <c r="U73" s="78"/>
      <c r="W73" s="10">
        <f t="shared" ref="W73:AC83" si="84">N73</f>
        <v>0</v>
      </c>
      <c r="X73" s="10">
        <f t="shared" si="84"/>
        <v>0</v>
      </c>
      <c r="Y73" s="10">
        <f t="shared" si="84"/>
        <v>0</v>
      </c>
      <c r="Z73" s="10">
        <f t="shared" si="84"/>
        <v>0</v>
      </c>
      <c r="AA73" s="10">
        <f t="shared" si="84"/>
        <v>0</v>
      </c>
      <c r="AB73" s="10">
        <f t="shared" si="84"/>
        <v>0</v>
      </c>
      <c r="AC73" s="10">
        <f t="shared" si="84"/>
        <v>0</v>
      </c>
      <c r="AD73" s="10">
        <f t="shared" ref="AD73:AD83" si="85">U73</f>
        <v>0</v>
      </c>
    </row>
    <row r="74" spans="2:30">
      <c r="C74" s="78"/>
      <c r="D74" s="78"/>
      <c r="E74" s="78"/>
      <c r="G74" s="78"/>
      <c r="H74" s="78"/>
      <c r="I74" s="78"/>
      <c r="J74" s="10"/>
      <c r="K74" s="78"/>
      <c r="L74" s="78"/>
      <c r="M74" s="78"/>
      <c r="N74" s="10"/>
      <c r="O74" s="78"/>
      <c r="P74" s="78"/>
      <c r="Q74" s="78"/>
      <c r="R74" s="10"/>
      <c r="S74" s="78"/>
      <c r="T74" s="78"/>
      <c r="U74" s="78"/>
      <c r="W74" s="10">
        <f t="shared" si="84"/>
        <v>0</v>
      </c>
      <c r="X74" s="10">
        <f t="shared" si="84"/>
        <v>0</v>
      </c>
      <c r="Y74" s="10">
        <f t="shared" si="84"/>
        <v>0</v>
      </c>
      <c r="Z74" s="10">
        <f t="shared" si="84"/>
        <v>0</v>
      </c>
      <c r="AA74" s="10">
        <f t="shared" si="84"/>
        <v>0</v>
      </c>
      <c r="AB74" s="10">
        <f t="shared" si="84"/>
        <v>0</v>
      </c>
      <c r="AC74" s="10">
        <f t="shared" si="84"/>
        <v>0</v>
      </c>
      <c r="AD74" s="10">
        <f t="shared" si="85"/>
        <v>0</v>
      </c>
    </row>
    <row r="75" spans="2:30">
      <c r="B75" s="30" t="s">
        <v>199</v>
      </c>
      <c r="C75" s="78">
        <v>0</v>
      </c>
      <c r="D75" s="78">
        <v>0</v>
      </c>
      <c r="E75" s="78">
        <v>0</v>
      </c>
      <c r="G75" s="78">
        <v>1250</v>
      </c>
      <c r="H75" s="78">
        <v>1250</v>
      </c>
      <c r="I75" s="78">
        <v>1250</v>
      </c>
      <c r="J75" s="10">
        <f t="shared" ref="J74:J83" si="86">C75</f>
        <v>0</v>
      </c>
      <c r="K75" s="78">
        <v>0</v>
      </c>
      <c r="L75" s="78">
        <v>0</v>
      </c>
      <c r="M75" s="78">
        <v>0</v>
      </c>
      <c r="N75" s="10">
        <f>D75</f>
        <v>0</v>
      </c>
      <c r="O75" s="78">
        <v>0</v>
      </c>
      <c r="P75" s="78">
        <v>0</v>
      </c>
      <c r="Q75" s="78">
        <v>0</v>
      </c>
      <c r="R75" s="10">
        <f>E75</f>
        <v>0</v>
      </c>
      <c r="S75" s="78">
        <v>0</v>
      </c>
      <c r="T75" s="78">
        <v>0</v>
      </c>
      <c r="U75" s="78">
        <v>0</v>
      </c>
      <c r="W75" s="10">
        <f t="shared" si="84"/>
        <v>0</v>
      </c>
      <c r="X75" s="10">
        <f t="shared" si="84"/>
        <v>0</v>
      </c>
      <c r="Y75" s="10">
        <f t="shared" si="84"/>
        <v>0</v>
      </c>
      <c r="Z75" s="10">
        <f t="shared" si="84"/>
        <v>0</v>
      </c>
      <c r="AA75" s="10">
        <f t="shared" si="84"/>
        <v>0</v>
      </c>
      <c r="AB75" s="10">
        <f t="shared" si="84"/>
        <v>0</v>
      </c>
      <c r="AC75" s="10">
        <f t="shared" si="84"/>
        <v>0</v>
      </c>
      <c r="AD75" s="10">
        <f t="shared" si="85"/>
        <v>0</v>
      </c>
    </row>
    <row r="76" spans="2:30">
      <c r="B76" s="30" t="s">
        <v>193</v>
      </c>
      <c r="C76" s="78">
        <v>4000</v>
      </c>
      <c r="D76" s="78">
        <v>4000</v>
      </c>
      <c r="E76" s="78">
        <v>2750</v>
      </c>
      <c r="G76" s="78">
        <v>4000</v>
      </c>
      <c r="H76" s="78">
        <v>4000</v>
      </c>
      <c r="I76" s="78">
        <v>4000</v>
      </c>
      <c r="J76" s="10">
        <f t="shared" si="86"/>
        <v>4000</v>
      </c>
      <c r="K76" s="78">
        <v>4000</v>
      </c>
      <c r="L76" s="78">
        <v>4000</v>
      </c>
      <c r="M76" s="78">
        <v>4000</v>
      </c>
      <c r="N76" s="10">
        <f>D76</f>
        <v>4000</v>
      </c>
      <c r="O76" s="78">
        <v>4000</v>
      </c>
      <c r="P76" s="78">
        <v>4000</v>
      </c>
      <c r="Q76" s="78">
        <v>4000</v>
      </c>
      <c r="R76" s="10">
        <f>E76</f>
        <v>2750</v>
      </c>
      <c r="S76" s="78">
        <v>2750</v>
      </c>
      <c r="T76" s="78">
        <v>2750</v>
      </c>
      <c r="U76" s="78">
        <v>2750</v>
      </c>
      <c r="W76" s="10">
        <f t="shared" si="84"/>
        <v>4000</v>
      </c>
      <c r="X76" s="10">
        <f t="shared" si="84"/>
        <v>4000</v>
      </c>
      <c r="Y76" s="10">
        <f t="shared" si="84"/>
        <v>4000</v>
      </c>
      <c r="Z76" s="10">
        <f t="shared" si="84"/>
        <v>4000</v>
      </c>
      <c r="AA76" s="10">
        <f t="shared" si="84"/>
        <v>2750</v>
      </c>
      <c r="AB76" s="10">
        <f t="shared" si="84"/>
        <v>2750</v>
      </c>
      <c r="AC76" s="10">
        <f t="shared" si="84"/>
        <v>2750</v>
      </c>
      <c r="AD76" s="10">
        <f t="shared" si="85"/>
        <v>2750</v>
      </c>
    </row>
    <row r="77" spans="2:30">
      <c r="B77" s="30" t="s">
        <v>194</v>
      </c>
      <c r="C77" s="78">
        <v>16000</v>
      </c>
      <c r="D77" s="78">
        <v>15000</v>
      </c>
      <c r="E77" s="78">
        <v>13000</v>
      </c>
      <c r="G77" s="78">
        <v>16000</v>
      </c>
      <c r="H77" s="78">
        <v>16000</v>
      </c>
      <c r="I77" s="78">
        <v>16000</v>
      </c>
      <c r="J77" s="10">
        <f t="shared" si="86"/>
        <v>16000</v>
      </c>
      <c r="K77" s="78">
        <v>15000</v>
      </c>
      <c r="L77" s="78">
        <v>15000</v>
      </c>
      <c r="M77" s="78">
        <v>15000</v>
      </c>
      <c r="N77" s="10">
        <f>D77</f>
        <v>15000</v>
      </c>
      <c r="O77" s="78">
        <v>15000</v>
      </c>
      <c r="P77" s="78">
        <v>15000</v>
      </c>
      <c r="Q77" s="78">
        <v>15000</v>
      </c>
      <c r="R77" s="10">
        <f>E77</f>
        <v>13000</v>
      </c>
      <c r="S77" s="78">
        <v>13000</v>
      </c>
      <c r="T77" s="78">
        <v>13000</v>
      </c>
      <c r="U77" s="78">
        <v>12000</v>
      </c>
      <c r="W77" s="10">
        <f t="shared" si="84"/>
        <v>15000</v>
      </c>
      <c r="X77" s="10">
        <f t="shared" si="84"/>
        <v>15000</v>
      </c>
      <c r="Y77" s="10">
        <f t="shared" si="84"/>
        <v>15000</v>
      </c>
      <c r="Z77" s="10">
        <f t="shared" si="84"/>
        <v>15000</v>
      </c>
      <c r="AA77" s="10">
        <f t="shared" si="84"/>
        <v>13000</v>
      </c>
      <c r="AB77" s="10">
        <f t="shared" si="84"/>
        <v>13000</v>
      </c>
      <c r="AC77" s="10">
        <f t="shared" si="84"/>
        <v>13000</v>
      </c>
      <c r="AD77" s="10">
        <f t="shared" si="85"/>
        <v>12000</v>
      </c>
    </row>
    <row r="78" spans="2:30">
      <c r="B78" s="30" t="s">
        <v>195</v>
      </c>
      <c r="C78" s="78">
        <v>10000</v>
      </c>
      <c r="D78" s="78">
        <v>9000</v>
      </c>
      <c r="E78" s="78">
        <v>9000</v>
      </c>
      <c r="G78" s="78">
        <v>10000</v>
      </c>
      <c r="H78" s="78">
        <v>10000</v>
      </c>
      <c r="I78" s="78">
        <v>10000</v>
      </c>
      <c r="J78" s="10">
        <f t="shared" si="86"/>
        <v>10000</v>
      </c>
      <c r="K78" s="78">
        <v>10000</v>
      </c>
      <c r="L78" s="78">
        <v>9000</v>
      </c>
      <c r="M78" s="78">
        <v>9000</v>
      </c>
      <c r="N78" s="10">
        <f t="shared" ref="N78:N80" si="87">D78</f>
        <v>9000</v>
      </c>
      <c r="O78" s="78">
        <v>9000</v>
      </c>
      <c r="P78" s="78">
        <v>9000</v>
      </c>
      <c r="Q78" s="78">
        <v>9000</v>
      </c>
      <c r="R78" s="10">
        <f t="shared" ref="R78:R80" si="88">E78</f>
        <v>9000</v>
      </c>
      <c r="S78" s="78">
        <v>9000</v>
      </c>
      <c r="T78" s="78">
        <v>7750</v>
      </c>
      <c r="U78" s="78">
        <v>7750</v>
      </c>
      <c r="W78" s="10">
        <f t="shared" si="84"/>
        <v>9000</v>
      </c>
      <c r="X78" s="10">
        <f t="shared" si="84"/>
        <v>9000</v>
      </c>
      <c r="Y78" s="10">
        <f t="shared" si="84"/>
        <v>9000</v>
      </c>
      <c r="Z78" s="10">
        <f t="shared" si="84"/>
        <v>9000</v>
      </c>
      <c r="AA78" s="10">
        <f t="shared" si="84"/>
        <v>9000</v>
      </c>
      <c r="AB78" s="10">
        <f t="shared" si="84"/>
        <v>9000</v>
      </c>
      <c r="AC78" s="10">
        <f t="shared" si="84"/>
        <v>7750</v>
      </c>
      <c r="AD78" s="10">
        <f t="shared" si="85"/>
        <v>7750</v>
      </c>
    </row>
    <row r="79" spans="2:30">
      <c r="B79" s="30" t="s">
        <v>196</v>
      </c>
      <c r="C79" s="78">
        <v>18500</v>
      </c>
      <c r="D79" s="78">
        <v>17500</v>
      </c>
      <c r="E79" s="78">
        <v>15000</v>
      </c>
      <c r="G79" s="78">
        <v>18500</v>
      </c>
      <c r="H79" s="78">
        <v>18500</v>
      </c>
      <c r="I79" s="78">
        <v>18500</v>
      </c>
      <c r="J79" s="10">
        <f t="shared" si="86"/>
        <v>18500</v>
      </c>
      <c r="K79" s="78">
        <v>18500</v>
      </c>
      <c r="L79" s="78">
        <v>17500</v>
      </c>
      <c r="M79" s="78">
        <v>17500</v>
      </c>
      <c r="N79" s="10">
        <f t="shared" si="87"/>
        <v>17500</v>
      </c>
      <c r="O79" s="78">
        <v>17500</v>
      </c>
      <c r="P79" s="78">
        <v>15000</v>
      </c>
      <c r="Q79" s="78">
        <v>15000</v>
      </c>
      <c r="R79" s="10">
        <f t="shared" si="88"/>
        <v>15000</v>
      </c>
      <c r="S79" s="78">
        <v>15000</v>
      </c>
      <c r="T79" s="78">
        <v>15000</v>
      </c>
      <c r="U79" s="78">
        <v>15000</v>
      </c>
      <c r="W79" s="10">
        <f t="shared" si="84"/>
        <v>17500</v>
      </c>
      <c r="X79" s="10">
        <f t="shared" si="84"/>
        <v>17500</v>
      </c>
      <c r="Y79" s="10">
        <f t="shared" si="84"/>
        <v>15000</v>
      </c>
      <c r="Z79" s="10">
        <f t="shared" si="84"/>
        <v>15000</v>
      </c>
      <c r="AA79" s="10">
        <f t="shared" si="84"/>
        <v>15000</v>
      </c>
      <c r="AB79" s="10">
        <f t="shared" si="84"/>
        <v>15000</v>
      </c>
      <c r="AC79" s="10">
        <f t="shared" si="84"/>
        <v>15000</v>
      </c>
      <c r="AD79" s="10">
        <f t="shared" si="85"/>
        <v>15000</v>
      </c>
    </row>
    <row r="80" spans="2:30">
      <c r="B80" s="30" t="s">
        <v>197</v>
      </c>
      <c r="C80" s="78">
        <v>12750</v>
      </c>
      <c r="D80" s="78">
        <v>12750</v>
      </c>
      <c r="E80" s="78">
        <v>11250</v>
      </c>
      <c r="G80" s="78">
        <v>0</v>
      </c>
      <c r="H80" s="78">
        <v>12750</v>
      </c>
      <c r="I80" s="78">
        <v>12750</v>
      </c>
      <c r="J80" s="10">
        <f t="shared" si="86"/>
        <v>12750</v>
      </c>
      <c r="K80" s="78">
        <v>12750</v>
      </c>
      <c r="L80" s="78">
        <v>12750</v>
      </c>
      <c r="M80" s="78">
        <v>12750</v>
      </c>
      <c r="N80" s="10">
        <f t="shared" si="87"/>
        <v>12750</v>
      </c>
      <c r="O80" s="78">
        <v>12750</v>
      </c>
      <c r="P80" s="78">
        <v>11250</v>
      </c>
      <c r="Q80" s="78">
        <v>11250</v>
      </c>
      <c r="R80" s="10">
        <f t="shared" si="88"/>
        <v>11250</v>
      </c>
      <c r="S80" s="78">
        <v>11250</v>
      </c>
      <c r="T80" s="78">
        <v>9750</v>
      </c>
      <c r="U80" s="78">
        <v>9750</v>
      </c>
      <c r="W80" s="10">
        <f t="shared" si="84"/>
        <v>12750</v>
      </c>
      <c r="X80" s="10">
        <f t="shared" si="84"/>
        <v>12750</v>
      </c>
      <c r="Y80" s="10">
        <f t="shared" si="84"/>
        <v>11250</v>
      </c>
      <c r="Z80" s="10">
        <f t="shared" si="84"/>
        <v>11250</v>
      </c>
      <c r="AA80" s="10">
        <f t="shared" si="84"/>
        <v>11250</v>
      </c>
      <c r="AB80" s="10">
        <f t="shared" si="84"/>
        <v>11250</v>
      </c>
      <c r="AC80" s="10">
        <f t="shared" si="84"/>
        <v>9750</v>
      </c>
      <c r="AD80" s="10">
        <f t="shared" si="85"/>
        <v>9750</v>
      </c>
    </row>
    <row r="81" spans="1:30">
      <c r="B81" s="30" t="s">
        <v>198</v>
      </c>
      <c r="C81" s="78">
        <v>8250</v>
      </c>
      <c r="D81" s="78">
        <v>8250</v>
      </c>
      <c r="E81" s="78">
        <v>7000</v>
      </c>
      <c r="G81" s="78">
        <v>0</v>
      </c>
      <c r="H81" s="78">
        <v>0</v>
      </c>
      <c r="I81" s="78">
        <v>0</v>
      </c>
      <c r="J81" s="10">
        <f t="shared" si="86"/>
        <v>8250</v>
      </c>
      <c r="K81" s="78">
        <v>8250</v>
      </c>
      <c r="L81" s="78">
        <v>8250</v>
      </c>
      <c r="M81" s="78">
        <v>8250</v>
      </c>
      <c r="N81" s="10">
        <f>D81</f>
        <v>8250</v>
      </c>
      <c r="O81" s="78">
        <v>8250</v>
      </c>
      <c r="P81" s="78">
        <v>8250</v>
      </c>
      <c r="Q81" s="78">
        <v>8250</v>
      </c>
      <c r="R81" s="10">
        <f>E81</f>
        <v>7000</v>
      </c>
      <c r="S81" s="78">
        <v>7000</v>
      </c>
      <c r="T81" s="78">
        <v>7000</v>
      </c>
      <c r="U81" s="78">
        <v>7000</v>
      </c>
      <c r="W81" s="10">
        <f t="shared" si="84"/>
        <v>8250</v>
      </c>
      <c r="X81" s="10">
        <f t="shared" si="84"/>
        <v>8250</v>
      </c>
      <c r="Y81" s="10">
        <f t="shared" si="84"/>
        <v>8250</v>
      </c>
      <c r="Z81" s="10">
        <f t="shared" si="84"/>
        <v>8250</v>
      </c>
      <c r="AA81" s="10">
        <f t="shared" si="84"/>
        <v>7000</v>
      </c>
      <c r="AB81" s="10">
        <f t="shared" si="84"/>
        <v>7000</v>
      </c>
      <c r="AC81" s="10">
        <f t="shared" si="84"/>
        <v>7000</v>
      </c>
      <c r="AD81" s="10">
        <f t="shared" si="85"/>
        <v>7000</v>
      </c>
    </row>
    <row r="82" spans="1:30">
      <c r="B82" s="30" t="s">
        <v>200</v>
      </c>
      <c r="C82" s="78">
        <v>0</v>
      </c>
      <c r="D82" s="78">
        <v>0</v>
      </c>
      <c r="E82" s="78">
        <v>0</v>
      </c>
      <c r="G82" s="78">
        <v>0</v>
      </c>
      <c r="H82" s="78">
        <v>0</v>
      </c>
      <c r="I82" s="78">
        <v>0</v>
      </c>
      <c r="J82" s="10">
        <f t="shared" ref="J82" si="89">C82</f>
        <v>0</v>
      </c>
      <c r="K82" s="78">
        <v>0</v>
      </c>
      <c r="L82" s="78">
        <v>0</v>
      </c>
      <c r="M82" s="78">
        <v>0</v>
      </c>
      <c r="N82" s="10">
        <f>D82</f>
        <v>0</v>
      </c>
      <c r="O82" s="78">
        <v>0</v>
      </c>
      <c r="P82" s="78">
        <v>0</v>
      </c>
      <c r="Q82" s="78">
        <v>0</v>
      </c>
      <c r="R82" s="10">
        <f>E82</f>
        <v>0</v>
      </c>
      <c r="S82" s="78">
        <v>750</v>
      </c>
      <c r="T82" s="78">
        <v>832</v>
      </c>
      <c r="U82" s="78">
        <v>847</v>
      </c>
      <c r="W82" s="10">
        <f t="shared" ref="W82" si="90">N82</f>
        <v>0</v>
      </c>
      <c r="X82" s="10">
        <f t="shared" ref="X82" si="91">O82</f>
        <v>0</v>
      </c>
      <c r="Y82" s="10">
        <f t="shared" ref="Y82" si="92">P82</f>
        <v>0</v>
      </c>
      <c r="Z82" s="10">
        <f t="shared" ref="Z82" si="93">Q82</f>
        <v>0</v>
      </c>
      <c r="AA82" s="10">
        <f t="shared" ref="AA82" si="94">R82</f>
        <v>0</v>
      </c>
      <c r="AB82" s="10">
        <f t="shared" ref="AB82" si="95">S82</f>
        <v>750</v>
      </c>
      <c r="AC82" s="10">
        <f t="shared" ref="AC82" si="96">T82</f>
        <v>832</v>
      </c>
      <c r="AD82" s="10">
        <f t="shared" ref="AD82" si="97">U82</f>
        <v>847</v>
      </c>
    </row>
    <row r="83" spans="1:30">
      <c r="B83" s="30" t="s">
        <v>112</v>
      </c>
      <c r="C83" s="78">
        <v>1042</v>
      </c>
      <c r="D83" s="78">
        <v>682</v>
      </c>
      <c r="E83" s="78">
        <v>0</v>
      </c>
      <c r="G83" s="78">
        <v>803</v>
      </c>
      <c r="H83" s="78">
        <v>935</v>
      </c>
      <c r="I83" s="78">
        <v>1041</v>
      </c>
      <c r="J83" s="10">
        <f t="shared" si="86"/>
        <v>1042</v>
      </c>
      <c r="K83" s="78">
        <v>972</v>
      </c>
      <c r="L83" s="78">
        <v>972</v>
      </c>
      <c r="M83" s="78">
        <v>972</v>
      </c>
      <c r="N83" s="10">
        <f>D83</f>
        <v>682</v>
      </c>
      <c r="O83" s="78">
        <v>352</v>
      </c>
      <c r="P83" s="78">
        <v>183</v>
      </c>
      <c r="Q83" s="78">
        <v>0</v>
      </c>
      <c r="R83" s="10">
        <f>E83</f>
        <v>0</v>
      </c>
      <c r="S83" s="78">
        <v>0</v>
      </c>
      <c r="T83" s="78">
        <v>0</v>
      </c>
      <c r="U83" s="78">
        <v>0</v>
      </c>
      <c r="W83" s="10">
        <f t="shared" si="84"/>
        <v>682</v>
      </c>
      <c r="X83" s="10">
        <f t="shared" si="84"/>
        <v>352</v>
      </c>
      <c r="Y83" s="10">
        <f t="shared" si="84"/>
        <v>183</v>
      </c>
      <c r="Z83" s="10">
        <f t="shared" si="84"/>
        <v>0</v>
      </c>
      <c r="AA83" s="10">
        <f t="shared" si="84"/>
        <v>0</v>
      </c>
      <c r="AB83" s="10">
        <f t="shared" si="84"/>
        <v>0</v>
      </c>
      <c r="AC83" s="10">
        <f t="shared" si="84"/>
        <v>0</v>
      </c>
      <c r="AD83" s="10">
        <f t="shared" si="85"/>
        <v>0</v>
      </c>
    </row>
    <row r="84" spans="1:30" ht="12.75" customHeight="1">
      <c r="B84" s="13" t="s">
        <v>21</v>
      </c>
      <c r="C84" s="14">
        <f>SUM(C75:C83)</f>
        <v>70542</v>
      </c>
      <c r="D84" s="14">
        <f t="shared" ref="D84:E84" si="98">SUM(D75:D83)</f>
        <v>67182</v>
      </c>
      <c r="E84" s="14">
        <f t="shared" si="98"/>
        <v>58000</v>
      </c>
      <c r="G84" s="14">
        <f t="shared" ref="G84" si="99">SUM(G75:G83)</f>
        <v>50553</v>
      </c>
      <c r="H84" s="14">
        <f t="shared" ref="H84" si="100">SUM(H75:H83)</f>
        <v>63435</v>
      </c>
      <c r="I84" s="14">
        <f t="shared" ref="I84" si="101">SUM(I75:I83)</f>
        <v>63541</v>
      </c>
      <c r="J84" s="14">
        <f t="shared" ref="J84" si="102">SUM(J75:J83)</f>
        <v>70542</v>
      </c>
      <c r="K84" s="14">
        <f t="shared" ref="K84" si="103">SUM(K75:K83)</f>
        <v>69472</v>
      </c>
      <c r="L84" s="14">
        <f t="shared" ref="L84" si="104">SUM(L75:L83)</f>
        <v>67472</v>
      </c>
      <c r="M84" s="14">
        <f t="shared" ref="M84" si="105">SUM(M75:M83)</f>
        <v>67472</v>
      </c>
      <c r="N84" s="14">
        <f t="shared" ref="N84" si="106">SUM(N75:N83)</f>
        <v>67182</v>
      </c>
      <c r="O84" s="14">
        <f t="shared" ref="O84" si="107">SUM(O75:O83)</f>
        <v>66852</v>
      </c>
      <c r="P84" s="14">
        <f t="shared" ref="P84" si="108">SUM(P75:P83)</f>
        <v>62683</v>
      </c>
      <c r="Q84" s="14">
        <f t="shared" ref="Q84" si="109">SUM(Q75:Q83)</f>
        <v>62500</v>
      </c>
      <c r="R84" s="14">
        <f t="shared" ref="R84" si="110">SUM(R75:R83)</f>
        <v>58000</v>
      </c>
      <c r="S84" s="14">
        <f t="shared" ref="S84" si="111">SUM(S75:S83)</f>
        <v>58750</v>
      </c>
      <c r="T84" s="14">
        <f t="shared" ref="T84" si="112">SUM(T75:T83)</f>
        <v>56082</v>
      </c>
      <c r="U84" s="14">
        <f t="shared" ref="U84" si="113">SUM(U75:U83)</f>
        <v>55097</v>
      </c>
      <c r="W84" s="14">
        <f t="shared" ref="W84" si="114">SUM(W75:W83)</f>
        <v>67182</v>
      </c>
      <c r="X84" s="14">
        <f t="shared" ref="X84" si="115">SUM(X75:X83)</f>
        <v>66852</v>
      </c>
      <c r="Y84" s="14">
        <f t="shared" ref="Y84" si="116">SUM(Y75:Y83)</f>
        <v>62683</v>
      </c>
      <c r="Z84" s="14">
        <f t="shared" ref="Z84" si="117">SUM(Z75:Z83)</f>
        <v>62500</v>
      </c>
      <c r="AA84" s="14">
        <f t="shared" ref="AA84" si="118">SUM(AA75:AA83)</f>
        <v>58000</v>
      </c>
      <c r="AB84" s="14">
        <f t="shared" ref="AB84" si="119">SUM(AB75:AB83)</f>
        <v>58750</v>
      </c>
      <c r="AC84" s="14">
        <f t="shared" ref="AC84" si="120">SUM(AC75:AC83)</f>
        <v>56082</v>
      </c>
      <c r="AD84" s="14">
        <f t="shared" ref="AD84" si="121">SUM(AD75:AD83)</f>
        <v>55097</v>
      </c>
    </row>
    <row r="85" spans="1:30" ht="5.0999999999999996" customHeight="1"/>
    <row r="86" spans="1:30" ht="12.75" customHeight="1">
      <c r="B86" s="8" t="s">
        <v>46</v>
      </c>
      <c r="C86" s="91">
        <f>'Historical Financials'!E78</f>
        <v>146043</v>
      </c>
      <c r="D86" s="91">
        <f>'Historical Financials'!F78</f>
        <v>201875</v>
      </c>
      <c r="E86" s="91">
        <f>'Historical Financials'!G78</f>
        <v>285970</v>
      </c>
      <c r="G86" s="91">
        <f>'Historical Financials'!I78</f>
        <v>134001</v>
      </c>
      <c r="H86" s="91">
        <f>'Historical Financials'!J78</f>
        <v>131402</v>
      </c>
      <c r="I86" s="91">
        <f>'Historical Financials'!K78</f>
        <v>137489</v>
      </c>
      <c r="J86" s="91">
        <f>'Historical Financials'!L78</f>
        <v>146043</v>
      </c>
      <c r="K86" s="91">
        <f>'Historical Financials'!M78</f>
        <v>154526</v>
      </c>
      <c r="L86" s="91">
        <f>'Historical Financials'!N78</f>
        <v>168602</v>
      </c>
      <c r="M86" s="91">
        <f>'Historical Financials'!O78</f>
        <v>182973</v>
      </c>
      <c r="N86" s="91">
        <f>'Historical Financials'!P78</f>
        <v>201875</v>
      </c>
      <c r="O86" s="91">
        <f>'Historical Financials'!Q78</f>
        <v>216661</v>
      </c>
      <c r="P86" s="91">
        <f>'Historical Financials'!R78</f>
        <v>236447</v>
      </c>
      <c r="Q86" s="91">
        <f>'Historical Financials'!S78</f>
        <v>259151</v>
      </c>
      <c r="R86" s="91">
        <f>'Historical Financials'!T78</f>
        <v>285970</v>
      </c>
      <c r="S86" s="91">
        <f>'Historical Financials'!U78</f>
        <v>305867</v>
      </c>
      <c r="T86" s="91">
        <f>'Historical Financials'!V78</f>
        <v>333775</v>
      </c>
      <c r="U86" s="91">
        <f>'Historical Financials'!W78</f>
        <v>369631</v>
      </c>
      <c r="W86" s="10">
        <f t="shared" ref="W86:AD86" si="122">N86</f>
        <v>201875</v>
      </c>
      <c r="X86" s="10">
        <f t="shared" si="122"/>
        <v>216661</v>
      </c>
      <c r="Y86" s="10">
        <f t="shared" si="122"/>
        <v>236447</v>
      </c>
      <c r="Z86" s="138">
        <f t="shared" si="122"/>
        <v>259151</v>
      </c>
      <c r="AA86" s="138">
        <f t="shared" si="122"/>
        <v>285970</v>
      </c>
      <c r="AB86" s="138">
        <f t="shared" si="122"/>
        <v>305867</v>
      </c>
      <c r="AC86" s="138">
        <f t="shared" si="122"/>
        <v>333775</v>
      </c>
      <c r="AD86" s="138">
        <f t="shared" si="122"/>
        <v>369631</v>
      </c>
    </row>
    <row r="87" spans="1:30" ht="12.75" customHeight="1">
      <c r="B87" s="13" t="s">
        <v>47</v>
      </c>
      <c r="C87" s="14">
        <f>SUM(C84:C86)</f>
        <v>216585</v>
      </c>
      <c r="D87" s="14">
        <f>SUM(D84:D86)</f>
        <v>269057</v>
      </c>
      <c r="E87" s="14">
        <f>SUM(E84:E86)</f>
        <v>343970</v>
      </c>
      <c r="G87" s="14">
        <f t="shared" ref="G87:J87" si="123">SUM(G84:G86)</f>
        <v>184554</v>
      </c>
      <c r="H87" s="14">
        <f t="shared" si="123"/>
        <v>194837</v>
      </c>
      <c r="I87" s="14">
        <f t="shared" si="123"/>
        <v>201030</v>
      </c>
      <c r="J87" s="14">
        <f t="shared" si="123"/>
        <v>216585</v>
      </c>
      <c r="K87" s="14">
        <f t="shared" ref="K87:P87" si="124">SUM(K84:K86)</f>
        <v>223998</v>
      </c>
      <c r="L87" s="14">
        <f t="shared" si="124"/>
        <v>236074</v>
      </c>
      <c r="M87" s="14">
        <f t="shared" si="124"/>
        <v>250445</v>
      </c>
      <c r="N87" s="14">
        <f t="shared" si="124"/>
        <v>269057</v>
      </c>
      <c r="O87" s="14">
        <f t="shared" si="124"/>
        <v>283513</v>
      </c>
      <c r="P87" s="14">
        <f t="shared" si="124"/>
        <v>299130</v>
      </c>
      <c r="Q87" s="14">
        <f>SUM(Q84:Q86)</f>
        <v>321651</v>
      </c>
      <c r="R87" s="14">
        <f>SUM(R84:R86)</f>
        <v>343970</v>
      </c>
      <c r="S87" s="14">
        <f>SUM(S84:S86)</f>
        <v>364617</v>
      </c>
      <c r="T87" s="14">
        <f>SUM(T84:T86)</f>
        <v>389857</v>
      </c>
      <c r="U87" s="14">
        <f>SUM(U84:U86)</f>
        <v>424728</v>
      </c>
      <c r="W87" s="14">
        <f t="shared" ref="W87:AB87" si="125">SUM(W84:W86)</f>
        <v>269057</v>
      </c>
      <c r="X87" s="14">
        <f t="shared" si="125"/>
        <v>283513</v>
      </c>
      <c r="Y87" s="14">
        <f t="shared" si="125"/>
        <v>299130</v>
      </c>
      <c r="Z87" s="14">
        <f t="shared" si="125"/>
        <v>321651</v>
      </c>
      <c r="AA87" s="14">
        <f t="shared" si="125"/>
        <v>343970</v>
      </c>
      <c r="AB87" s="14">
        <f t="shared" si="125"/>
        <v>364617</v>
      </c>
      <c r="AC87" s="14">
        <f>SUM(AC84:AC86)</f>
        <v>389857</v>
      </c>
      <c r="AD87" s="14">
        <f>SUM(AD84:AD86)</f>
        <v>424728</v>
      </c>
    </row>
    <row r="88" spans="1:30" ht="5.0999999999999996" customHeight="1"/>
    <row r="89" spans="1:30" ht="12.75" customHeight="1">
      <c r="A89" s="5"/>
      <c r="B89" s="32" t="s">
        <v>67</v>
      </c>
      <c r="C89" s="32"/>
      <c r="D89" s="32"/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  <c r="AB89" s="32"/>
      <c r="AC89" s="32"/>
      <c r="AD89" s="32"/>
    </row>
    <row r="90" spans="1:30" ht="5.0999999999999996" customHeight="1"/>
    <row r="91" spans="1:30" ht="12.75" customHeight="1">
      <c r="B91" s="30" t="s">
        <v>87</v>
      </c>
      <c r="C91" s="80">
        <f>C84/C34</f>
        <v>0.95598319555495326</v>
      </c>
      <c r="D91" s="80">
        <f>D84/D34</f>
        <v>0.61332140444411987</v>
      </c>
      <c r="E91" s="80">
        <f>E84/E34</f>
        <v>0.40446586098926773</v>
      </c>
      <c r="G91" s="190"/>
      <c r="H91" s="190"/>
      <c r="I91" s="190"/>
      <c r="J91" s="80">
        <f t="shared" ref="G91:T91" si="126">SUM(J84/SUM(G34:J34))</f>
        <v>0.95598319555495326</v>
      </c>
      <c r="K91" s="80">
        <f t="shared" si="126"/>
        <v>0.8869936034115139</v>
      </c>
      <c r="L91" s="80">
        <f t="shared" si="126"/>
        <v>0.78022155924050052</v>
      </c>
      <c r="M91" s="80">
        <f t="shared" si="126"/>
        <v>0.69402785492398522</v>
      </c>
      <c r="N91" s="80">
        <f t="shared" si="126"/>
        <v>0.61332140444411987</v>
      </c>
      <c r="O91" s="80">
        <f t="shared" si="126"/>
        <v>0.55320451818445115</v>
      </c>
      <c r="P91" s="80">
        <f t="shared" si="126"/>
        <v>0.49017047231779792</v>
      </c>
      <c r="Q91" s="80">
        <f t="shared" si="126"/>
        <v>0.46324434100713024</v>
      </c>
      <c r="R91" s="80">
        <f t="shared" si="126"/>
        <v>0.40446586098926773</v>
      </c>
      <c r="S91" s="80">
        <f t="shared" si="126"/>
        <v>0.39748854894690905</v>
      </c>
      <c r="T91" s="80">
        <f t="shared" si="126"/>
        <v>0.36111343631481685</v>
      </c>
      <c r="U91" s="80">
        <f>SUM(U84/SUM(R34:U34))</f>
        <v>0.34831396745520982</v>
      </c>
      <c r="V91" s="80"/>
      <c r="W91" s="80">
        <f>W84/W34</f>
        <v>0.61332140444411987</v>
      </c>
      <c r="X91" s="80">
        <f>X84/X34</f>
        <v>0.55320451818445115</v>
      </c>
      <c r="Y91" s="80">
        <f>Y84/Y34</f>
        <v>0.49017047231779792</v>
      </c>
      <c r="Z91" s="80">
        <f>Z84/Z34</f>
        <v>0.46324434100713024</v>
      </c>
      <c r="AA91" s="80">
        <f>AA84/AA34</f>
        <v>0.40446586098926773</v>
      </c>
      <c r="AB91" s="80">
        <f>AB84/AB34</f>
        <v>0.39748854894690905</v>
      </c>
      <c r="AC91" s="80">
        <f>AC84/AC34</f>
        <v>0.36111343631481685</v>
      </c>
      <c r="AD91" s="80">
        <f>AD84/AD34</f>
        <v>0.34831396745520982</v>
      </c>
    </row>
    <row r="92" spans="1:30" ht="12.75" customHeight="1">
      <c r="B92" s="30" t="s">
        <v>88</v>
      </c>
      <c r="C92" s="80">
        <f>SUM(C84-C53)/C34</f>
        <v>0.22569453855535981</v>
      </c>
      <c r="D92" s="80">
        <f>SUM(D84-D53)/D34</f>
        <v>-5.6647008344136281E-2</v>
      </c>
      <c r="E92" s="80">
        <f>SUM(E84-E53)/E34</f>
        <v>-0.14490338147406887</v>
      </c>
      <c r="G92" s="190"/>
      <c r="H92" s="190"/>
      <c r="I92" s="190"/>
      <c r="J92" s="80">
        <f t="shared" ref="G92:T92" si="127">SUM(J84-J53)/SUM(G34:J34)</f>
        <v>0.22569453855535981</v>
      </c>
      <c r="K92" s="80">
        <f t="shared" si="127"/>
        <v>0.2569998595559414</v>
      </c>
      <c r="L92" s="80">
        <f t="shared" si="127"/>
        <v>0.20748629709290223</v>
      </c>
      <c r="M92" s="80">
        <f t="shared" si="127"/>
        <v>0.18378283856898928</v>
      </c>
      <c r="N92" s="80">
        <f t="shared" si="127"/>
        <v>-5.6647008344136281E-2</v>
      </c>
      <c r="O92" s="80">
        <f t="shared" si="127"/>
        <v>-4.9650378584136706E-2</v>
      </c>
      <c r="P92" s="80">
        <f t="shared" si="127"/>
        <v>-6.6429465123553327E-2</v>
      </c>
      <c r="Q92" s="80">
        <f t="shared" si="127"/>
        <v>-9.3323351961932435E-2</v>
      </c>
      <c r="R92" s="80">
        <f t="shared" si="127"/>
        <v>-0.14490338147406887</v>
      </c>
      <c r="S92" s="80">
        <f t="shared" si="127"/>
        <v>-5.0452291225482566E-2</v>
      </c>
      <c r="T92" s="80">
        <f t="shared" si="127"/>
        <v>-1.0682343547774351E-2</v>
      </c>
      <c r="U92" s="80">
        <f>SUM(U84-U53)/SUM(R34:U34)</f>
        <v>-7.4755661200389428E-2</v>
      </c>
      <c r="V92" s="80"/>
      <c r="W92" s="80">
        <f>SUM(W84-W53)/W34</f>
        <v>-5.6647008344136281E-2</v>
      </c>
      <c r="X92" s="80">
        <f>SUM(X84-X53)/X34</f>
        <v>-4.9650378584136706E-2</v>
      </c>
      <c r="Y92" s="80">
        <f>SUM(Y84-Y53)/Y34</f>
        <v>-6.6429465123553327E-2</v>
      </c>
      <c r="Z92" s="80">
        <f>SUM(Z84-Z53)/Z34</f>
        <v>-9.3323351961932435E-2</v>
      </c>
      <c r="AA92" s="80">
        <f>SUM(AA84-AA53)/AA34</f>
        <v>-0.14490338147406887</v>
      </c>
      <c r="AB92" s="80">
        <f>SUM(AB84-AB53)/AB34</f>
        <v>-5.0452291225482566E-2</v>
      </c>
      <c r="AC92" s="80">
        <f>SUM(AC84-AC53)/AC34</f>
        <v>-1.0682343547774351E-2</v>
      </c>
      <c r="AD92" s="80">
        <f>SUM(AD84-AD53)/AD34</f>
        <v>-7.4755661200389428E-2</v>
      </c>
    </row>
    <row r="93" spans="1:30" ht="12.75" customHeight="1">
      <c r="B93" s="30" t="s">
        <v>89</v>
      </c>
      <c r="C93" s="80">
        <f>C34/-C39</f>
        <v>34.449112978524745</v>
      </c>
      <c r="D93" s="80">
        <f>D34/-D39</f>
        <v>35.198586118251932</v>
      </c>
      <c r="E93" s="80">
        <f>E34/-E39</f>
        <v>60.659475465313029</v>
      </c>
      <c r="G93" s="190"/>
      <c r="H93" s="190"/>
      <c r="I93" s="190"/>
      <c r="J93" s="80" cm="1">
        <f t="array" ref="J93">SUM(G34:J34)/SUM(-G39:J39)</f>
        <v>34.449112978524745</v>
      </c>
      <c r="K93" s="80" cm="1">
        <f t="array" ref="K93">SUM(H34:K34)/SUM(-H39:K39)</f>
        <v>34.965625000000003</v>
      </c>
      <c r="L93" s="80" cm="1">
        <f t="array" ref="L93">SUM(I34:L34)/SUM(-I39:L39)</f>
        <v>30.742268041237114</v>
      </c>
      <c r="M93" s="80" cm="1">
        <f t="array" ref="M93">SUM(J34:M34)/SUM(-J39:M39)</f>
        <v>32.700302724520689</v>
      </c>
      <c r="N93" s="80" cm="1">
        <f t="array" ref="N93">SUM(K34:N34)/SUM(-K39:N39)</f>
        <v>35.198586118251932</v>
      </c>
      <c r="O93" s="80" cm="1">
        <f t="array" ref="O93">SUM(L34:O34)/SUM(-L39:O39)</f>
        <v>40.592878736983543</v>
      </c>
      <c r="P93" s="80" cm="1">
        <f t="array" ref="P93">SUM(M34:P34)/SUM(-M39:P39)</f>
        <v>47.240487624676767</v>
      </c>
      <c r="Q93" s="80" cm="1">
        <f t="array" ref="Q93">SUM(N34:Q34)/SUM(-N39:Q39)</f>
        <v>53.967199999999998</v>
      </c>
      <c r="R93" s="80" cm="1">
        <f t="array" ref="R93">SUM(O34:R34)/SUM(-O39:R39)</f>
        <v>60.659475465313029</v>
      </c>
      <c r="S93" s="80" cm="1">
        <f t="array" ref="S93">SUM(P34:S34)/SUM(-P39:S39)</f>
        <v>63.73566192324278</v>
      </c>
      <c r="T93" s="80" cm="1">
        <f t="array" ref="T93">SUM(Q34:T34)/SUM(-Q39:T39)</f>
        <v>71.766635859519411</v>
      </c>
      <c r="U93" s="80" cm="1">
        <f t="array" ref="U93">SUM(R34:U34)/SUM(-R39:U39)</f>
        <v>73.33426054705609</v>
      </c>
      <c r="V93" s="80"/>
      <c r="W93" s="80">
        <f>W34/-W39</f>
        <v>35.198586118251932</v>
      </c>
      <c r="X93" s="80">
        <f>X34/-X39</f>
        <v>40.592878736983543</v>
      </c>
      <c r="Y93" s="80">
        <f>Y34/-Y39</f>
        <v>47.240487624676767</v>
      </c>
      <c r="Z93" s="80">
        <f>Z34/-Z39</f>
        <v>53.967199999999998</v>
      </c>
      <c r="AA93" s="80">
        <f>AA34/-AA39</f>
        <v>60.659475465313029</v>
      </c>
      <c r="AB93" s="80">
        <f>AB34/-AB39</f>
        <v>63.73566192324278</v>
      </c>
      <c r="AC93" s="80">
        <f>AC34/-AC39</f>
        <v>71.766635859519411</v>
      </c>
      <c r="AD93" s="80">
        <f>AD34/-AD39</f>
        <v>73.33426054705609</v>
      </c>
    </row>
    <row r="94" spans="1:30" ht="12.75" customHeight="1">
      <c r="B94" s="30" t="s">
        <v>90</v>
      </c>
      <c r="C94" s="80" cm="1">
        <f t="array" ref="C94">SUM(C34+C37)/SUM(-C38:C39)</f>
        <v>1.2406750642044759</v>
      </c>
      <c r="D94" s="80" cm="1">
        <f t="array" ref="D94">SUM(D34+D37)/SUM(-D38:D39)</f>
        <v>3.9751591910992934</v>
      </c>
      <c r="E94" s="80" cm="1">
        <f t="array" ref="E94">SUM(E34+E37)/SUM(-E38:E39)</f>
        <v>4.1166848418756814</v>
      </c>
      <c r="G94" s="190"/>
      <c r="H94" s="190"/>
      <c r="I94" s="190"/>
      <c r="J94" s="80" cm="1">
        <f t="array" ref="J94">SUM(G34:J34+G37:J37)/SUM(-G38:J39)</f>
        <v>1.2406750642044759</v>
      </c>
      <c r="K94" s="80" cm="1">
        <f t="array" ref="K94">SUM(H34:K34+H37:K37)/SUM(-H38:K39)</f>
        <v>1.8270347115270702</v>
      </c>
      <c r="L94" s="80" cm="1">
        <f t="array" ref="L94">SUM(I34:L34+I37:L37)/SUM(-I38:L39)</f>
        <v>2.8994169096209914</v>
      </c>
      <c r="M94" s="80" cm="1">
        <f t="array" ref="M94">SUM(J34:M34+J37:M37)/SUM(-J38:M39)</f>
        <v>3.6467811158798282</v>
      </c>
      <c r="N94" s="80" cm="1">
        <f t="array" ref="N94">SUM(K34:N34+K37:N37)/SUM(-K38:N39)</f>
        <v>3.9751591910992934</v>
      </c>
      <c r="O94" s="80" cm="1">
        <f t="array" ref="O94">SUM(L34:O34+L37:O37)/SUM(-L38:O39)</f>
        <v>4.8158628081457664</v>
      </c>
      <c r="P94" s="80" cm="1">
        <f t="array" ref="P94">SUM(M34:P34+M37:P37)/SUM(-M38:P39)</f>
        <v>4.3510516252390055</v>
      </c>
      <c r="Q94" s="80" cm="1">
        <f t="array" ref="Q94">SUM(N34:Q34+N37:Q37)/SUM(-N38:Q39)</f>
        <v>4.3855575745339523</v>
      </c>
      <c r="R94" s="80" cm="1">
        <f t="array" ref="R94">SUM(O34:R34+O37:R37)/SUM(-O38:R39)</f>
        <v>4.1166848418756814</v>
      </c>
      <c r="S94" s="80" cm="1">
        <f t="array" ref="S94">SUM(P34:S34+P37:S37)/SUM(-P38:S39)</f>
        <v>3.6361823740529045</v>
      </c>
      <c r="T94" s="80" cm="1">
        <f t="array" ref="T94">SUM(Q34:T34+Q37:T37)/SUM(-Q38:T39)</f>
        <v>3.4150659403669725</v>
      </c>
      <c r="U94" s="80" cm="1">
        <f t="array" ref="U94">SUM(R34:U34+R37:U37)/SUM(-R38:U39)</f>
        <v>2.9097652366750784</v>
      </c>
      <c r="V94" s="80"/>
      <c r="W94" s="80" cm="1">
        <f t="array" ref="W94">SUM(W34+W37)/SUM(-W38:W39)</f>
        <v>3.9751591910992934</v>
      </c>
      <c r="X94" s="80" cm="1">
        <f t="array" ref="X94">SUM(X34+X37)/SUM(-X38:X39)</f>
        <v>4.8158628081457664</v>
      </c>
      <c r="Y94" s="80" cm="1">
        <f t="array" ref="Y94">SUM(Y34+Y37)/SUM(-Y38:Y39)</f>
        <v>4.3510516252390055</v>
      </c>
      <c r="Z94" s="80" cm="1">
        <f t="array" ref="Z94">SUM(Z34+Z37)/SUM(-Z38:Z39)</f>
        <v>4.3855575745339523</v>
      </c>
      <c r="AA94" s="80" cm="1">
        <f t="array" ref="AA94">SUM(AA34+AA37)/SUM(-AA38:AA39)</f>
        <v>4.1166848418756814</v>
      </c>
      <c r="AB94" s="80" cm="1">
        <f t="array" ref="AB94">SUM(AB34+AB37)/SUM(-AB38:AB39)</f>
        <v>3.6361823740529045</v>
      </c>
      <c r="AC94" s="80" cm="1">
        <f t="array" ref="AC94">SUM(AC34+AC37)/SUM(-AC38:AC39)</f>
        <v>3.4150659403669725</v>
      </c>
      <c r="AD94" s="80" cm="1">
        <f t="array" ref="AD94">SUM(AD34+AD37)/SUM(-AD38:AD39)</f>
        <v>2.9097652366750784</v>
      </c>
    </row>
    <row r="95" spans="1:30" ht="12.75" customHeight="1">
      <c r="B95" s="30" t="s">
        <v>91</v>
      </c>
      <c r="C95" s="80" cm="1">
        <f t="array" ref="C95">SUM(C34)/SUM(-C37:C39)</f>
        <v>1.0274010748795634</v>
      </c>
      <c r="D95" s="80" cm="1">
        <f t="array" ref="D95">SUM(D34)/SUM(-D37:D39)</f>
        <v>1.6344076395105938</v>
      </c>
      <c r="E95" s="80" cm="1">
        <f t="array" ref="E95">SUM(E34)/SUM(-E37:E39)</f>
        <v>1.468184005487811</v>
      </c>
      <c r="G95" s="190"/>
      <c r="H95" s="190"/>
      <c r="I95" s="190"/>
      <c r="J95" s="80" cm="1">
        <f t="array" ref="J95">SUM(G34:J34)/SUM(-G37:J39)</f>
        <v>1.0274010748795634</v>
      </c>
      <c r="K95" s="80" cm="1">
        <f t="array" ref="K95">SUM(H34:K34)/SUM(-H37:K39)</f>
        <v>1.0978525973479858</v>
      </c>
      <c r="L95" s="80" cm="1">
        <f t="array" ref="L95">SUM(I34:L34)/SUM(-I37:L39)</f>
        <v>1.2673368896183832</v>
      </c>
      <c r="M95" s="80" cm="1">
        <f t="array" ref="M95">SUM(J34:M34)/SUM(-J37:M39)</f>
        <v>1.4645014536854315</v>
      </c>
      <c r="N95" s="80" cm="1">
        <f t="array" ref="N95">SUM(K34:N34)/SUM(-K37:N39)</f>
        <v>1.6344076395105938</v>
      </c>
      <c r="O95" s="80" cm="1">
        <f t="array" ref="O95">SUM(L34:O34)/SUM(-L37:O39)</f>
        <v>1.791835947925625</v>
      </c>
      <c r="P95" s="80" cm="1">
        <f t="array" ref="P95">SUM(M34:P34)/SUM(-M37:P39)</f>
        <v>1.6982284667073915</v>
      </c>
      <c r="Q95" s="80" cm="1">
        <f t="array" ref="Q95">SUM(N34:Q34)/SUM(-N37:Q39)</f>
        <v>1.5945492365149152</v>
      </c>
      <c r="R95" s="80" cm="1">
        <f t="array" ref="R95">SUM(O34:R34)/SUM(-O37:R39)</f>
        <v>1.468184005487811</v>
      </c>
      <c r="S95" s="80" cm="1">
        <f t="array" ref="S95">SUM(P34:S34)/SUM(-P37:S39)</f>
        <v>1.3667871905602973</v>
      </c>
      <c r="T95" s="80" cm="1">
        <f t="array" ref="T95">SUM(Q34:T34)/SUM(-Q37:T39)</f>
        <v>1.2770788106045654</v>
      </c>
      <c r="U95" s="80" cm="1">
        <f t="array" ref="U95">SUM(R34:U34)/SUM(-R37:U39)</f>
        <v>1.187481232358417</v>
      </c>
      <c r="V95" s="80"/>
      <c r="W95" s="80" cm="1">
        <f t="array" ref="W95">SUM(W34)/SUM(-W37:W39)</f>
        <v>1.6344076395105938</v>
      </c>
      <c r="X95" s="80" cm="1">
        <f t="array" ref="X95">SUM(X34)/SUM(-X37:X39)</f>
        <v>1.791835947925625</v>
      </c>
      <c r="Y95" s="80" cm="1">
        <f t="array" ref="Y95">SUM(Y34)/SUM(-Y37:Y39)</f>
        <v>1.6982284667073915</v>
      </c>
      <c r="Z95" s="80" cm="1">
        <f t="array" ref="Z95">SUM(Z34)/SUM(-Z37:Z39)</f>
        <v>1.5945492365149152</v>
      </c>
      <c r="AA95" s="80" cm="1">
        <f t="array" ref="AA95">SUM(AA34)/SUM(-AA37:AA39)</f>
        <v>1.468184005487811</v>
      </c>
      <c r="AB95" s="80" cm="1">
        <f t="array" ref="AB95">SUM(AB34)/SUM(-AB37:AB39)</f>
        <v>1.3667871905602973</v>
      </c>
      <c r="AC95" s="80" cm="1">
        <f t="array" ref="AC95">SUM(AC34)/SUM(-AC37:AC39)</f>
        <v>1.2770788106045654</v>
      </c>
      <c r="AD95" s="80" cm="1">
        <f t="array" ref="AD95">SUM(AD34)/SUM(-AD37:AD39)</f>
        <v>1.187481232358417</v>
      </c>
    </row>
    <row r="96" spans="1:30" ht="12.75" customHeight="1">
      <c r="B96" s="8" t="s">
        <v>48</v>
      </c>
      <c r="C96" s="80">
        <f>C87/C84</f>
        <v>3.0702985455473337</v>
      </c>
      <c r="D96" s="80">
        <f>D87/D84</f>
        <v>4.0048971450686199</v>
      </c>
      <c r="E96" s="80">
        <f>E87/E84</f>
        <v>5.9305172413793104</v>
      </c>
      <c r="G96" s="190"/>
      <c r="H96" s="190"/>
      <c r="I96" s="190"/>
      <c r="J96" s="80">
        <f t="shared" ref="G96:U96" si="128">J87/J84</f>
        <v>3.0702985455473337</v>
      </c>
      <c r="K96" s="80">
        <f t="shared" si="128"/>
        <v>3.2242918010133579</v>
      </c>
      <c r="L96" s="80">
        <f t="shared" si="128"/>
        <v>3.4988439649039602</v>
      </c>
      <c r="M96" s="80">
        <f t="shared" si="128"/>
        <v>3.7118360208679158</v>
      </c>
      <c r="N96" s="80">
        <f t="shared" si="128"/>
        <v>4.0048971450686199</v>
      </c>
      <c r="O96" s="80">
        <f t="shared" si="128"/>
        <v>4.2409052833123919</v>
      </c>
      <c r="P96" s="80">
        <f t="shared" si="128"/>
        <v>4.7721072699136924</v>
      </c>
      <c r="Q96" s="80">
        <f t="shared" si="128"/>
        <v>5.1464160000000003</v>
      </c>
      <c r="R96" s="80">
        <f t="shared" si="128"/>
        <v>5.9305172413793104</v>
      </c>
      <c r="S96" s="80">
        <f t="shared" si="128"/>
        <v>6.2062468085106381</v>
      </c>
      <c r="T96" s="80">
        <f t="shared" si="128"/>
        <v>6.9515530829856278</v>
      </c>
      <c r="U96" s="80">
        <f>U87/U84</f>
        <v>7.7087318728787411</v>
      </c>
      <c r="V96" s="80"/>
      <c r="W96" s="80">
        <f t="shared" ref="W96:AB96" si="129">W87/W84</f>
        <v>4.0048971450686199</v>
      </c>
      <c r="X96" s="80">
        <f t="shared" si="129"/>
        <v>4.2409052833123919</v>
      </c>
      <c r="Y96" s="80">
        <f t="shared" si="129"/>
        <v>4.7721072699136924</v>
      </c>
      <c r="Z96" s="80">
        <f t="shared" si="129"/>
        <v>5.1464160000000003</v>
      </c>
      <c r="AA96" s="80">
        <f t="shared" si="129"/>
        <v>5.9305172413793104</v>
      </c>
      <c r="AB96" s="80">
        <f t="shared" si="129"/>
        <v>6.2062468085106381</v>
      </c>
      <c r="AC96" s="80">
        <f>AC87/AC84</f>
        <v>6.9515530829856278</v>
      </c>
      <c r="AD96" s="80">
        <f>AD87/AD84</f>
        <v>7.7087318728787411</v>
      </c>
    </row>
    <row r="97" spans="2:30" ht="5.0999999999999996" customHeight="1" thickBot="1">
      <c r="B97" s="36"/>
      <c r="C97" s="36"/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36"/>
      <c r="AA97" s="36"/>
      <c r="AB97" s="36"/>
      <c r="AC97" s="36"/>
      <c r="AD97" s="36"/>
    </row>
  </sheetData>
  <mergeCells count="1">
    <mergeCell ref="AF2:AF4"/>
  </mergeCells>
  <dataValidations disablePrompts="1" count="1">
    <dataValidation type="list" allowBlank="1" showInputMessage="1" showErrorMessage="1" sqref="B4" xr:uid="{060857CB-86CD-4220-87C0-9A83C6E53284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C41:F42 AE42:AF42 F37:F39 F44 AE44:AF44 AE40 AE41 F40 AE43:AF43 F43 K41:T42 C43:E47 G43:U47" formulaRange="1"/>
    <ignoredError sqref="C15:F16 F26 F29 V29 F33 AF34:AF41 V33 AF13:AF16 F18 AF26:AF29 F30 AF18:AF20 V92:V96 K16:V16 K27:V28 K19:V20 K31:V32 K35:V35 D14:F14 M15:V15 V14 AF30:AF32 F34 W91:AD96 W16:AD16 W27:AD28 W19:AD20 W31:AD32 W35:AD35 W15:AD15 AA14:AD14 V91 C91:F91 C35:F35 C31:F32 C19:F20 C27:F28 C92:F96" evalError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itus xmlns="http://schemas.titus.com/TitusProperties/">
  <TitusGUID xmlns="">b07cb572-0833-4348-88b4-a0fa7ea20e4a</TitusGUID>
  <TitusMetadata xmlns="">eyJucyI6Imh0dHA6XC9cL3d3dy50aXR1cy5jb21cL25zXC9CYW5rIG9mIEFtZXJpY2EiLCJwcm9wcyI6W3sibiI6IkNsYXNzaWZpY2F0aW9uIiwidmFscyI6W3sidmFsdWUiOiJVbmNsYXNzaWZpZWQifV19LHsibiI6IkF1ZGllbmNlIiwidmFscyI6W119LHsibiI6IkNvbmZpZGVudGlhbFR5cGUiLCJ2YWxzIjpbXX1dfQ==</TitusMetadata>
</titus>
</file>

<file path=customXml/itemProps1.xml><?xml version="1.0" encoding="utf-8"?>
<ds:datastoreItem xmlns:ds="http://schemas.openxmlformats.org/officeDocument/2006/customXml" ds:itemID="{AC203626-EEC5-451D-B6D3-0C3E06066648}">
  <ds:schemaRefs>
    <ds:schemaRef ds:uri="http://schemas.titus.com/TitusProperties/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Historical Financials</vt:lpstr>
      <vt:lpstr>Revenue Drivers</vt:lpstr>
      <vt:lpstr>FCF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Garcia</dc:creator>
  <cp:lastModifiedBy>Felix Garcia</cp:lastModifiedBy>
  <dcterms:created xsi:type="dcterms:W3CDTF">2024-08-10T06:01:52Z</dcterms:created>
  <dcterms:modified xsi:type="dcterms:W3CDTF">2026-01-01T08:36:21Z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b07cb572-0833-4348-88b4-a0fa7ea20e4a</vt:lpwstr>
  </property>
  <property fmtid="{D5CDD505-2E9C-101B-9397-08002B2CF9AE}" pid="3" name="Classification">
    <vt:lpwstr>Unclassified</vt:lpwstr>
  </property>
  <property fmtid="{D5CDD505-2E9C-101B-9397-08002B2CF9AE}" pid="4" name="BAC">
    <vt:lpwstr>B!bac@C</vt:lpwstr>
  </property>
</Properties>
</file>