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13_ncr:1_{5B7DE327-E2BC-47E2-9059-3B15F4D6FD03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82" i="8" l="1"/>
  <c r="AC81" i="8"/>
  <c r="AC80" i="8"/>
  <c r="AC79" i="8"/>
  <c r="AC78" i="8"/>
  <c r="AC77" i="8"/>
  <c r="R39" i="9"/>
  <c r="R65" i="9"/>
  <c r="Q65" i="9"/>
  <c r="P65" i="9"/>
  <c r="O65" i="9"/>
  <c r="N65" i="9"/>
  <c r="M65" i="9"/>
  <c r="L65" i="9"/>
  <c r="K65" i="9"/>
  <c r="J65" i="9"/>
  <c r="I65" i="9"/>
  <c r="H65" i="9"/>
  <c r="F65" i="9"/>
  <c r="E65" i="9"/>
  <c r="D65" i="9"/>
  <c r="C65" i="9"/>
  <c r="R60" i="9"/>
  <c r="Q60" i="9"/>
  <c r="P60" i="9"/>
  <c r="O60" i="9"/>
  <c r="N60" i="9"/>
  <c r="M60" i="9"/>
  <c r="L60" i="9"/>
  <c r="K60" i="9"/>
  <c r="J60" i="9"/>
  <c r="I60" i="9"/>
  <c r="H60" i="9"/>
  <c r="F60" i="9"/>
  <c r="E60" i="9"/>
  <c r="D60" i="9"/>
  <c r="C60" i="9"/>
  <c r="R59" i="9"/>
  <c r="R62" i="9" s="1"/>
  <c r="Q59" i="9"/>
  <c r="Q62" i="9" s="1"/>
  <c r="P59" i="9"/>
  <c r="P62" i="9" s="1"/>
  <c r="O59" i="9"/>
  <c r="O62" i="9" s="1"/>
  <c r="N59" i="9"/>
  <c r="N62" i="9" s="1"/>
  <c r="M59" i="9"/>
  <c r="M62" i="9" s="1"/>
  <c r="L59" i="9"/>
  <c r="K59" i="9"/>
  <c r="K62" i="9" s="1"/>
  <c r="J59" i="9"/>
  <c r="J62" i="9" s="1"/>
  <c r="I59" i="9"/>
  <c r="I62" i="9" s="1"/>
  <c r="H59" i="9"/>
  <c r="H62" i="9" s="1"/>
  <c r="F59" i="9"/>
  <c r="F62" i="9" s="1"/>
  <c r="E59" i="9"/>
  <c r="E62" i="9" s="1"/>
  <c r="D59" i="9"/>
  <c r="D62" i="9" s="1"/>
  <c r="C59" i="9"/>
  <c r="U56" i="9"/>
  <c r="R56" i="9"/>
  <c r="AA56" i="9" s="1"/>
  <c r="Q56" i="9"/>
  <c r="Z56" i="9" s="1"/>
  <c r="P56" i="9"/>
  <c r="Y56" i="9" s="1"/>
  <c r="O56" i="9"/>
  <c r="X56" i="9" s="1"/>
  <c r="N56" i="9"/>
  <c r="W56" i="9" s="1"/>
  <c r="M56" i="9"/>
  <c r="V56" i="9" s="1"/>
  <c r="L56" i="9"/>
  <c r="K56" i="9"/>
  <c r="T56" i="9" s="1"/>
  <c r="J56" i="9"/>
  <c r="I56" i="9"/>
  <c r="R55" i="9"/>
  <c r="AA55" i="9" s="1"/>
  <c r="Q55" i="9"/>
  <c r="Z55" i="9" s="1"/>
  <c r="P55" i="9"/>
  <c r="Y55" i="9" s="1"/>
  <c r="O55" i="9"/>
  <c r="X55" i="9" s="1"/>
  <c r="N55" i="9"/>
  <c r="W55" i="9" s="1"/>
  <c r="M55" i="9"/>
  <c r="V55" i="9" s="1"/>
  <c r="L55" i="9"/>
  <c r="U55" i="9" s="1"/>
  <c r="K55" i="9"/>
  <c r="T55" i="9" s="1"/>
  <c r="J55" i="9"/>
  <c r="I55" i="9"/>
  <c r="R54" i="9"/>
  <c r="AA54" i="9" s="1"/>
  <c r="Q54" i="9"/>
  <c r="Z54" i="9" s="1"/>
  <c r="P54" i="9"/>
  <c r="Y54" i="9" s="1"/>
  <c r="O54" i="9"/>
  <c r="X54" i="9" s="1"/>
  <c r="N54" i="9"/>
  <c r="W54" i="9" s="1"/>
  <c r="M54" i="9"/>
  <c r="V54" i="9" s="1"/>
  <c r="L54" i="9"/>
  <c r="U54" i="9" s="1"/>
  <c r="K54" i="9"/>
  <c r="T54" i="9" s="1"/>
  <c r="J54" i="9"/>
  <c r="I54" i="9"/>
  <c r="R53" i="9"/>
  <c r="AA53" i="9" s="1"/>
  <c r="Q53" i="9"/>
  <c r="Z53" i="9" s="1"/>
  <c r="P53" i="9"/>
  <c r="Y53" i="9" s="1"/>
  <c r="O53" i="9"/>
  <c r="X53" i="9" s="1"/>
  <c r="N53" i="9"/>
  <c r="W53" i="9" s="1"/>
  <c r="M53" i="9"/>
  <c r="V53" i="9" s="1"/>
  <c r="L53" i="9"/>
  <c r="U53" i="9" s="1"/>
  <c r="K53" i="9"/>
  <c r="T53" i="9" s="1"/>
  <c r="J53" i="9"/>
  <c r="I53" i="9"/>
  <c r="R52" i="9"/>
  <c r="AA52" i="9" s="1"/>
  <c r="Q52" i="9"/>
  <c r="Z52" i="9" s="1"/>
  <c r="P52" i="9"/>
  <c r="Y52" i="9" s="1"/>
  <c r="O52" i="9"/>
  <c r="X52" i="9" s="1"/>
  <c r="N52" i="9"/>
  <c r="W52" i="9" s="1"/>
  <c r="M52" i="9"/>
  <c r="V52" i="9" s="1"/>
  <c r="L52" i="9"/>
  <c r="U52" i="9" s="1"/>
  <c r="K52" i="9"/>
  <c r="T52" i="9" s="1"/>
  <c r="J52" i="9"/>
  <c r="I52" i="9"/>
  <c r="R51" i="9"/>
  <c r="Q51" i="9"/>
  <c r="P51" i="9"/>
  <c r="O51" i="9"/>
  <c r="N51" i="9"/>
  <c r="M51" i="9"/>
  <c r="L51" i="9"/>
  <c r="K51" i="9"/>
  <c r="J51" i="9"/>
  <c r="I51" i="9"/>
  <c r="H56" i="9"/>
  <c r="H55" i="9"/>
  <c r="H54" i="9"/>
  <c r="H53" i="9"/>
  <c r="H52" i="9"/>
  <c r="H51" i="9"/>
  <c r="F56" i="9"/>
  <c r="E56" i="9"/>
  <c r="D56" i="9"/>
  <c r="F55" i="9"/>
  <c r="E55" i="9"/>
  <c r="D55" i="9"/>
  <c r="F54" i="9"/>
  <c r="E54" i="9"/>
  <c r="D54" i="9"/>
  <c r="F53" i="9"/>
  <c r="E53" i="9"/>
  <c r="D53" i="9"/>
  <c r="F52" i="9"/>
  <c r="E52" i="9"/>
  <c r="D52" i="9"/>
  <c r="F51" i="9"/>
  <c r="E51" i="9"/>
  <c r="D51" i="9"/>
  <c r="C56" i="9"/>
  <c r="C55" i="9"/>
  <c r="C54" i="9"/>
  <c r="C53" i="9"/>
  <c r="C52" i="9"/>
  <c r="C51" i="9"/>
  <c r="R46" i="9"/>
  <c r="AA46" i="9" s="1"/>
  <c r="Q46" i="9"/>
  <c r="Z46" i="9" s="1"/>
  <c r="P46" i="9"/>
  <c r="Y46" i="9" s="1"/>
  <c r="O46" i="9"/>
  <c r="X46" i="9" s="1"/>
  <c r="N46" i="9"/>
  <c r="W46" i="9" s="1"/>
  <c r="M46" i="9"/>
  <c r="V46" i="9" s="1"/>
  <c r="L46" i="9"/>
  <c r="U46" i="9" s="1"/>
  <c r="K46" i="9"/>
  <c r="T46" i="9" s="1"/>
  <c r="J46" i="9"/>
  <c r="I46" i="9"/>
  <c r="R45" i="9"/>
  <c r="AA45" i="9" s="1"/>
  <c r="Q45" i="9"/>
  <c r="Z45" i="9" s="1"/>
  <c r="P45" i="9"/>
  <c r="Y45" i="9" s="1"/>
  <c r="O45" i="9"/>
  <c r="X45" i="9" s="1"/>
  <c r="N45" i="9"/>
  <c r="W45" i="9" s="1"/>
  <c r="M45" i="9"/>
  <c r="V45" i="9" s="1"/>
  <c r="L45" i="9"/>
  <c r="U45" i="9" s="1"/>
  <c r="K45" i="9"/>
  <c r="T45" i="9" s="1"/>
  <c r="J45" i="9"/>
  <c r="I45" i="9"/>
  <c r="R44" i="9"/>
  <c r="Q44" i="9"/>
  <c r="P44" i="9"/>
  <c r="O44" i="9"/>
  <c r="N44" i="9"/>
  <c r="M44" i="9"/>
  <c r="L44" i="9"/>
  <c r="K44" i="9"/>
  <c r="J44" i="9"/>
  <c r="I44" i="9"/>
  <c r="H46" i="9"/>
  <c r="H45" i="9"/>
  <c r="H44" i="9"/>
  <c r="F46" i="9"/>
  <c r="E46" i="9"/>
  <c r="D46" i="9"/>
  <c r="F45" i="9"/>
  <c r="E45" i="9"/>
  <c r="D45" i="9"/>
  <c r="F44" i="9"/>
  <c r="E44" i="9"/>
  <c r="D44" i="9"/>
  <c r="C46" i="9"/>
  <c r="C45" i="9"/>
  <c r="C44" i="9"/>
  <c r="R38" i="9"/>
  <c r="Q38" i="9"/>
  <c r="P38" i="9"/>
  <c r="O38" i="9"/>
  <c r="N38" i="9"/>
  <c r="M38" i="9"/>
  <c r="L38" i="9"/>
  <c r="K38" i="9"/>
  <c r="J38" i="9"/>
  <c r="I38" i="9"/>
  <c r="H38" i="9"/>
  <c r="F38" i="9"/>
  <c r="E38" i="9"/>
  <c r="D38" i="9"/>
  <c r="C38" i="9"/>
  <c r="R30" i="9"/>
  <c r="Q30" i="9"/>
  <c r="P30" i="9"/>
  <c r="O30" i="9"/>
  <c r="N30" i="9"/>
  <c r="M30" i="9"/>
  <c r="X30" i="9" s="1"/>
  <c r="L30" i="9"/>
  <c r="K30" i="9"/>
  <c r="J30" i="9"/>
  <c r="I30" i="9"/>
  <c r="H30" i="9"/>
  <c r="F30" i="9"/>
  <c r="E30" i="9"/>
  <c r="D30" i="9"/>
  <c r="C30" i="9"/>
  <c r="R37" i="9"/>
  <c r="Q37" i="9"/>
  <c r="P37" i="9"/>
  <c r="O37" i="9"/>
  <c r="N37" i="9"/>
  <c r="M37" i="9"/>
  <c r="L37" i="9"/>
  <c r="K37" i="9"/>
  <c r="J37" i="9"/>
  <c r="I37" i="9"/>
  <c r="H37" i="9"/>
  <c r="F37" i="9"/>
  <c r="E37" i="9"/>
  <c r="D37" i="9"/>
  <c r="C37" i="9"/>
  <c r="R36" i="9"/>
  <c r="Q36" i="9"/>
  <c r="P36" i="9"/>
  <c r="O36" i="9"/>
  <c r="N36" i="9"/>
  <c r="M36" i="9"/>
  <c r="L36" i="9"/>
  <c r="K36" i="9"/>
  <c r="J36" i="9"/>
  <c r="I36" i="9"/>
  <c r="H36" i="9"/>
  <c r="F36" i="9"/>
  <c r="E36" i="9"/>
  <c r="D36" i="9"/>
  <c r="C36" i="9"/>
  <c r="R35" i="9"/>
  <c r="Q35" i="9"/>
  <c r="P35" i="9"/>
  <c r="O35" i="9"/>
  <c r="N35" i="9"/>
  <c r="M35" i="9"/>
  <c r="L35" i="9"/>
  <c r="K35" i="9"/>
  <c r="J35" i="9"/>
  <c r="I35" i="9"/>
  <c r="H35" i="9"/>
  <c r="F35" i="9"/>
  <c r="E35" i="9"/>
  <c r="D35" i="9"/>
  <c r="C35" i="9"/>
  <c r="R34" i="9"/>
  <c r="Q34" i="9"/>
  <c r="P34" i="9"/>
  <c r="O34" i="9"/>
  <c r="N34" i="9"/>
  <c r="M34" i="9"/>
  <c r="L34" i="9"/>
  <c r="K34" i="9"/>
  <c r="J34" i="9"/>
  <c r="I34" i="9"/>
  <c r="H34" i="9"/>
  <c r="F34" i="9"/>
  <c r="E34" i="9"/>
  <c r="D34" i="9"/>
  <c r="C34" i="9"/>
  <c r="R31" i="9"/>
  <c r="Q31" i="9"/>
  <c r="P31" i="9"/>
  <c r="O31" i="9"/>
  <c r="N31" i="9"/>
  <c r="M31" i="9"/>
  <c r="L31" i="9"/>
  <c r="K31" i="9"/>
  <c r="J31" i="9"/>
  <c r="I31" i="9"/>
  <c r="H31" i="9"/>
  <c r="F31" i="9"/>
  <c r="E31" i="9"/>
  <c r="D31" i="9"/>
  <c r="C31" i="9"/>
  <c r="R29" i="9"/>
  <c r="Q29" i="9"/>
  <c r="P29" i="9"/>
  <c r="O29" i="9"/>
  <c r="N29" i="9"/>
  <c r="M29" i="9"/>
  <c r="L29" i="9"/>
  <c r="K29" i="9"/>
  <c r="J29" i="9"/>
  <c r="I29" i="9"/>
  <c r="H29" i="9"/>
  <c r="R28" i="9"/>
  <c r="Q28" i="9"/>
  <c r="P28" i="9"/>
  <c r="O28" i="9"/>
  <c r="N28" i="9"/>
  <c r="M28" i="9"/>
  <c r="L28" i="9"/>
  <c r="K28" i="9"/>
  <c r="J28" i="9"/>
  <c r="I28" i="9"/>
  <c r="H28" i="9"/>
  <c r="F29" i="9"/>
  <c r="E29" i="9"/>
  <c r="D29" i="9"/>
  <c r="C29" i="9"/>
  <c r="F28" i="9"/>
  <c r="E28" i="9"/>
  <c r="D28" i="9"/>
  <c r="C28" i="9"/>
  <c r="R27" i="9"/>
  <c r="Q27" i="9"/>
  <c r="P27" i="9"/>
  <c r="O27" i="9"/>
  <c r="N27" i="9"/>
  <c r="M27" i="9"/>
  <c r="L27" i="9"/>
  <c r="K27" i="9"/>
  <c r="J27" i="9"/>
  <c r="I27" i="9"/>
  <c r="H27" i="9"/>
  <c r="F27" i="9"/>
  <c r="E27" i="9"/>
  <c r="D27" i="9"/>
  <c r="C27" i="9"/>
  <c r="R23" i="9"/>
  <c r="Q23" i="9"/>
  <c r="P23" i="9"/>
  <c r="O23" i="9"/>
  <c r="N23" i="9"/>
  <c r="M23" i="9"/>
  <c r="L23" i="9"/>
  <c r="K23" i="9"/>
  <c r="J23" i="9"/>
  <c r="I23" i="9"/>
  <c r="H23" i="9"/>
  <c r="F23" i="9"/>
  <c r="E23" i="9"/>
  <c r="D23" i="9"/>
  <c r="C23" i="9"/>
  <c r="R19" i="9"/>
  <c r="Q19" i="9"/>
  <c r="P19" i="9"/>
  <c r="O19" i="9"/>
  <c r="N19" i="9"/>
  <c r="M19" i="9"/>
  <c r="L19" i="9"/>
  <c r="K19" i="9"/>
  <c r="J19" i="9"/>
  <c r="I19" i="9"/>
  <c r="H19" i="9"/>
  <c r="F19" i="9"/>
  <c r="E19" i="9"/>
  <c r="D19" i="9"/>
  <c r="C19" i="9"/>
  <c r="R15" i="9"/>
  <c r="Q15" i="9"/>
  <c r="P15" i="9"/>
  <c r="O15" i="9"/>
  <c r="N15" i="9"/>
  <c r="M15" i="9"/>
  <c r="L15" i="9"/>
  <c r="K15" i="9"/>
  <c r="J15" i="9"/>
  <c r="I15" i="9"/>
  <c r="R14" i="9"/>
  <c r="Q14" i="9"/>
  <c r="P14" i="9"/>
  <c r="O14" i="9"/>
  <c r="N14" i="9"/>
  <c r="M14" i="9"/>
  <c r="L14" i="9"/>
  <c r="K14" i="9"/>
  <c r="J14" i="9"/>
  <c r="I14" i="9"/>
  <c r="R13" i="9"/>
  <c r="Q13" i="9"/>
  <c r="P13" i="9"/>
  <c r="O13" i="9"/>
  <c r="N13" i="9"/>
  <c r="M13" i="9"/>
  <c r="L13" i="9"/>
  <c r="K13" i="9"/>
  <c r="J13" i="9"/>
  <c r="I13" i="9"/>
  <c r="R12" i="9"/>
  <c r="Q12" i="9"/>
  <c r="P12" i="9"/>
  <c r="O12" i="9"/>
  <c r="N12" i="9"/>
  <c r="M12" i="9"/>
  <c r="L12" i="9"/>
  <c r="K12" i="9"/>
  <c r="J12" i="9"/>
  <c r="I12" i="9"/>
  <c r="H15" i="9"/>
  <c r="H14" i="9"/>
  <c r="H13" i="9"/>
  <c r="H12" i="9"/>
  <c r="F15" i="9"/>
  <c r="E15" i="9"/>
  <c r="D15" i="9"/>
  <c r="F14" i="9"/>
  <c r="E14" i="9"/>
  <c r="D14" i="9"/>
  <c r="F13" i="9"/>
  <c r="E13" i="9"/>
  <c r="D13" i="9"/>
  <c r="F12" i="9"/>
  <c r="E12" i="9"/>
  <c r="D12" i="9"/>
  <c r="C15" i="9"/>
  <c r="C14" i="9"/>
  <c r="C13" i="9"/>
  <c r="C12" i="9"/>
  <c r="R7" i="9"/>
  <c r="Q7" i="9"/>
  <c r="P7" i="9"/>
  <c r="O7" i="9"/>
  <c r="N7" i="9"/>
  <c r="M7" i="9"/>
  <c r="L7" i="9"/>
  <c r="K7" i="9"/>
  <c r="J7" i="9"/>
  <c r="I7" i="9"/>
  <c r="R6" i="9"/>
  <c r="Q6" i="9"/>
  <c r="P6" i="9"/>
  <c r="O6" i="9"/>
  <c r="N6" i="9"/>
  <c r="M6" i="9"/>
  <c r="L6" i="9"/>
  <c r="K6" i="9"/>
  <c r="J6" i="9"/>
  <c r="I6" i="9"/>
  <c r="H7" i="9"/>
  <c r="H6" i="9"/>
  <c r="F7" i="9"/>
  <c r="E7" i="9"/>
  <c r="D7" i="9"/>
  <c r="F6" i="9"/>
  <c r="E6" i="9"/>
  <c r="D6" i="9"/>
  <c r="C7" i="9"/>
  <c r="C6" i="9"/>
  <c r="B7" i="9"/>
  <c r="B6" i="9"/>
  <c r="AA21" i="10"/>
  <c r="Z21" i="10"/>
  <c r="Y21" i="10"/>
  <c r="X21" i="10"/>
  <c r="W21" i="10"/>
  <c r="V21" i="10"/>
  <c r="U21" i="10"/>
  <c r="T21" i="10"/>
  <c r="AA20" i="10"/>
  <c r="Z20" i="10"/>
  <c r="Y20" i="10"/>
  <c r="X20" i="10"/>
  <c r="W20" i="10"/>
  <c r="V20" i="10"/>
  <c r="U20" i="10"/>
  <c r="T20" i="10"/>
  <c r="AA10" i="10"/>
  <c r="Z10" i="10"/>
  <c r="Y10" i="10"/>
  <c r="X10" i="10"/>
  <c r="W10" i="10"/>
  <c r="V10" i="10"/>
  <c r="U10" i="10"/>
  <c r="T10" i="10"/>
  <c r="Z9" i="10"/>
  <c r="Y9" i="10"/>
  <c r="X9" i="10"/>
  <c r="W9" i="10"/>
  <c r="V9" i="10"/>
  <c r="U9" i="10"/>
  <c r="T9" i="10"/>
  <c r="AA9" i="10"/>
  <c r="AA149" i="8"/>
  <c r="Z146" i="8"/>
  <c r="Y146" i="8"/>
  <c r="X146" i="8"/>
  <c r="W146" i="8"/>
  <c r="V146" i="8"/>
  <c r="U146" i="8"/>
  <c r="T146" i="8"/>
  <c r="AA146" i="8"/>
  <c r="AA151" i="8"/>
  <c r="Z151" i="8"/>
  <c r="Y151" i="8"/>
  <c r="X151" i="8"/>
  <c r="W151" i="8"/>
  <c r="V151" i="8"/>
  <c r="U151" i="8"/>
  <c r="AA150" i="8"/>
  <c r="Z150" i="8"/>
  <c r="Y150" i="8"/>
  <c r="X150" i="8"/>
  <c r="W150" i="8"/>
  <c r="V150" i="8"/>
  <c r="U150" i="8"/>
  <c r="Z149" i="8"/>
  <c r="Y149" i="8"/>
  <c r="X149" i="8"/>
  <c r="W149" i="8"/>
  <c r="V149" i="8"/>
  <c r="U149" i="8"/>
  <c r="T151" i="8"/>
  <c r="T150" i="8"/>
  <c r="T149" i="8"/>
  <c r="R149" i="8"/>
  <c r="R142" i="8"/>
  <c r="R141" i="8"/>
  <c r="R140" i="8"/>
  <c r="R137" i="8"/>
  <c r="R136" i="8"/>
  <c r="R135" i="8"/>
  <c r="R134" i="8"/>
  <c r="R126" i="8"/>
  <c r="R125" i="8"/>
  <c r="R124" i="8"/>
  <c r="R123" i="8"/>
  <c r="R122" i="8"/>
  <c r="R121" i="8"/>
  <c r="R120" i="8"/>
  <c r="R130" i="8"/>
  <c r="R99" i="8"/>
  <c r="R100" i="8"/>
  <c r="R101" i="8"/>
  <c r="R102" i="8"/>
  <c r="R103" i="8"/>
  <c r="R104" i="8"/>
  <c r="R106" i="8"/>
  <c r="R108" i="8"/>
  <c r="R109" i="8"/>
  <c r="R110" i="8"/>
  <c r="R111" i="8"/>
  <c r="R112" i="8"/>
  <c r="R113" i="8"/>
  <c r="R114" i="8"/>
  <c r="R116" i="8"/>
  <c r="Q99" i="8"/>
  <c r="Q100" i="8"/>
  <c r="Q101" i="8"/>
  <c r="Q102" i="8"/>
  <c r="Q103" i="8"/>
  <c r="Q104" i="8"/>
  <c r="Q106" i="8"/>
  <c r="Q108" i="8"/>
  <c r="Q109" i="8"/>
  <c r="Q110" i="8"/>
  <c r="Q111" i="8"/>
  <c r="Q112" i="8"/>
  <c r="Q113" i="8"/>
  <c r="Q114" i="8"/>
  <c r="Q116" i="8"/>
  <c r="Q120" i="8"/>
  <c r="Q121" i="8"/>
  <c r="Q122" i="8"/>
  <c r="Q123" i="8"/>
  <c r="Q124" i="8"/>
  <c r="Q125" i="8"/>
  <c r="Q126" i="8"/>
  <c r="Q130" i="8"/>
  <c r="Q134" i="8"/>
  <c r="Q135" i="8"/>
  <c r="Q136" i="8"/>
  <c r="Q137" i="8"/>
  <c r="Q140" i="8"/>
  <c r="Q141" i="8"/>
  <c r="Q142" i="8"/>
  <c r="Q149" i="8"/>
  <c r="R150" i="8"/>
  <c r="Q150" i="8"/>
  <c r="P150" i="8"/>
  <c r="J150" i="8"/>
  <c r="I150" i="8"/>
  <c r="H150" i="8"/>
  <c r="I146" i="8" s="1"/>
  <c r="N150" i="8"/>
  <c r="N120" i="8"/>
  <c r="N121" i="8"/>
  <c r="O121" i="8" s="1"/>
  <c r="N122" i="8"/>
  <c r="N123" i="8"/>
  <c r="O123" i="8" s="1"/>
  <c r="N124" i="8"/>
  <c r="N125" i="8"/>
  <c r="N126" i="8"/>
  <c r="O126" i="8" s="1"/>
  <c r="N127" i="8"/>
  <c r="N128" i="8"/>
  <c r="N130" i="8"/>
  <c r="N134" i="8"/>
  <c r="N135" i="8"/>
  <c r="N136" i="8"/>
  <c r="N137" i="8"/>
  <c r="N140" i="8"/>
  <c r="O140" i="8" s="1"/>
  <c r="N141" i="8"/>
  <c r="N149" i="8"/>
  <c r="J149" i="8"/>
  <c r="J142" i="8"/>
  <c r="J141" i="8"/>
  <c r="J140" i="8"/>
  <c r="J136" i="8"/>
  <c r="J135" i="8"/>
  <c r="J134" i="8"/>
  <c r="J130" i="8"/>
  <c r="J128" i="8"/>
  <c r="J127" i="8"/>
  <c r="J126" i="8"/>
  <c r="J125" i="8"/>
  <c r="J124" i="8"/>
  <c r="J123" i="8"/>
  <c r="J122" i="8"/>
  <c r="J121" i="8"/>
  <c r="J120" i="8"/>
  <c r="J116" i="8"/>
  <c r="J114" i="8"/>
  <c r="J113" i="8"/>
  <c r="J112" i="8"/>
  <c r="J111" i="8"/>
  <c r="J110" i="8"/>
  <c r="K110" i="8" s="1"/>
  <c r="W110" i="8" s="1"/>
  <c r="J109" i="8"/>
  <c r="J108" i="8"/>
  <c r="K108" i="8" s="1"/>
  <c r="T108" i="8" s="1"/>
  <c r="J107" i="8"/>
  <c r="J106" i="8"/>
  <c r="J104" i="8"/>
  <c r="J103" i="8"/>
  <c r="K103" i="8" s="1"/>
  <c r="T103" i="8" s="1"/>
  <c r="J102" i="8"/>
  <c r="J101" i="8"/>
  <c r="K101" i="8" s="1"/>
  <c r="J100" i="8"/>
  <c r="J99" i="8"/>
  <c r="N116" i="8"/>
  <c r="N114" i="8"/>
  <c r="N113" i="8"/>
  <c r="N112" i="8"/>
  <c r="N111" i="8"/>
  <c r="N110" i="8"/>
  <c r="N109" i="8"/>
  <c r="N108" i="8"/>
  <c r="N107" i="8"/>
  <c r="N106" i="8"/>
  <c r="N104" i="8"/>
  <c r="N103" i="8"/>
  <c r="N102" i="8"/>
  <c r="N101" i="8"/>
  <c r="N100" i="8"/>
  <c r="N99" i="8"/>
  <c r="I149" i="8"/>
  <c r="I142" i="8"/>
  <c r="I141" i="8"/>
  <c r="I140" i="8"/>
  <c r="I136" i="8"/>
  <c r="I135" i="8"/>
  <c r="I134" i="8"/>
  <c r="I130" i="8"/>
  <c r="I128" i="8"/>
  <c r="I127" i="8"/>
  <c r="I126" i="8"/>
  <c r="K126" i="8" s="1"/>
  <c r="T126" i="8" s="1"/>
  <c r="I125" i="8"/>
  <c r="I124" i="8"/>
  <c r="I123" i="8"/>
  <c r="I122" i="8"/>
  <c r="I121" i="8"/>
  <c r="I120" i="8"/>
  <c r="I116" i="8"/>
  <c r="I114" i="8"/>
  <c r="I113" i="8"/>
  <c r="I112" i="8"/>
  <c r="I111" i="8"/>
  <c r="I110" i="8"/>
  <c r="I109" i="8"/>
  <c r="I108" i="8"/>
  <c r="I107" i="8"/>
  <c r="I106" i="8"/>
  <c r="K106" i="8" s="1"/>
  <c r="I104" i="8"/>
  <c r="K104" i="8" s="1"/>
  <c r="I103" i="8"/>
  <c r="I102" i="8"/>
  <c r="I101" i="8"/>
  <c r="I100" i="8"/>
  <c r="I99" i="8"/>
  <c r="M149" i="8"/>
  <c r="M141" i="8"/>
  <c r="M140" i="8"/>
  <c r="M137" i="8"/>
  <c r="M136" i="8"/>
  <c r="M135" i="8"/>
  <c r="M134" i="8"/>
  <c r="M130" i="8"/>
  <c r="M128" i="8"/>
  <c r="M127" i="8"/>
  <c r="M126" i="8"/>
  <c r="M125" i="8"/>
  <c r="M124" i="8"/>
  <c r="M123" i="8"/>
  <c r="M122" i="8"/>
  <c r="M121" i="8"/>
  <c r="M120" i="8"/>
  <c r="M116" i="8"/>
  <c r="M114" i="8"/>
  <c r="M113" i="8"/>
  <c r="M112" i="8"/>
  <c r="M111" i="8"/>
  <c r="M110" i="8"/>
  <c r="M109" i="8"/>
  <c r="M108" i="8"/>
  <c r="M107" i="8"/>
  <c r="M106" i="8"/>
  <c r="O106" i="8" s="1"/>
  <c r="M104" i="8"/>
  <c r="M103" i="8"/>
  <c r="M102" i="8"/>
  <c r="O102" i="8" s="1"/>
  <c r="AA102" i="8" s="1"/>
  <c r="M101" i="8"/>
  <c r="O101" i="8" s="1"/>
  <c r="Z101" i="8" s="1"/>
  <c r="M100" i="8"/>
  <c r="M99" i="8"/>
  <c r="M150" i="8"/>
  <c r="L150" i="8"/>
  <c r="H146" i="8"/>
  <c r="H117" i="8"/>
  <c r="K146" i="8"/>
  <c r="J146" i="8"/>
  <c r="E150" i="8"/>
  <c r="D150" i="8"/>
  <c r="C150" i="8"/>
  <c r="C146" i="8"/>
  <c r="O115" i="8"/>
  <c r="AA115" i="8" s="1"/>
  <c r="K115" i="8"/>
  <c r="W115" i="8" s="1"/>
  <c r="O138" i="8"/>
  <c r="AA138" i="8" s="1"/>
  <c r="K138" i="8"/>
  <c r="W138" i="8" s="1"/>
  <c r="C143" i="8"/>
  <c r="O139" i="8"/>
  <c r="AA139" i="8" s="1"/>
  <c r="K139" i="8"/>
  <c r="U139" i="8" s="1"/>
  <c r="O141" i="8"/>
  <c r="AA141" i="8" s="1"/>
  <c r="K141" i="8"/>
  <c r="T141" i="8" s="1"/>
  <c r="K140" i="8"/>
  <c r="O137" i="8"/>
  <c r="Z137" i="8" s="1"/>
  <c r="K137" i="8"/>
  <c r="W137" i="8" s="1"/>
  <c r="O136" i="8"/>
  <c r="AA136" i="8" s="1"/>
  <c r="K136" i="8"/>
  <c r="U136" i="8" s="1"/>
  <c r="K135" i="8"/>
  <c r="T135" i="8" s="1"/>
  <c r="O127" i="8"/>
  <c r="AA127" i="8" s="1"/>
  <c r="K127" i="8"/>
  <c r="K125" i="8"/>
  <c r="O124" i="8"/>
  <c r="K124" i="8"/>
  <c r="T124" i="8" s="1"/>
  <c r="K123" i="8"/>
  <c r="U123" i="8" s="1"/>
  <c r="O122" i="8"/>
  <c r="K122" i="8"/>
  <c r="W122" i="8" s="1"/>
  <c r="K121" i="8"/>
  <c r="O107" i="8"/>
  <c r="X107" i="8" s="1"/>
  <c r="K107" i="8"/>
  <c r="W107" i="8" s="1"/>
  <c r="K111" i="8"/>
  <c r="T111" i="8" s="1"/>
  <c r="O110" i="8"/>
  <c r="O109" i="8"/>
  <c r="Z109" i="8" s="1"/>
  <c r="K109" i="8"/>
  <c r="W109" i="8" s="1"/>
  <c r="O103" i="8"/>
  <c r="K102" i="8"/>
  <c r="O80" i="8"/>
  <c r="O79" i="8"/>
  <c r="X79" i="8" s="1"/>
  <c r="O78" i="8"/>
  <c r="X78" i="8" s="1"/>
  <c r="O77" i="8"/>
  <c r="X77" i="8" s="1"/>
  <c r="O76" i="8"/>
  <c r="X76" i="8" s="1"/>
  <c r="O75" i="8"/>
  <c r="K80" i="8"/>
  <c r="K79" i="8"/>
  <c r="T79" i="8" s="1"/>
  <c r="K78" i="8"/>
  <c r="T78" i="8" s="1"/>
  <c r="K77" i="8"/>
  <c r="T77" i="8" s="1"/>
  <c r="K76" i="8"/>
  <c r="T76" i="8" s="1"/>
  <c r="K75" i="8"/>
  <c r="AA76" i="8"/>
  <c r="Z76" i="8"/>
  <c r="Y76" i="8"/>
  <c r="W76" i="8"/>
  <c r="V76" i="8"/>
  <c r="U76" i="8"/>
  <c r="AA79" i="8"/>
  <c r="Z79" i="8"/>
  <c r="Y79" i="8"/>
  <c r="W79" i="8"/>
  <c r="V79" i="8"/>
  <c r="U79" i="8"/>
  <c r="AA78" i="8"/>
  <c r="Z78" i="8"/>
  <c r="Y78" i="8"/>
  <c r="W78" i="8"/>
  <c r="V78" i="8"/>
  <c r="U78" i="8"/>
  <c r="AA77" i="8"/>
  <c r="Z77" i="8"/>
  <c r="Y77" i="8"/>
  <c r="W77" i="8"/>
  <c r="V77" i="8"/>
  <c r="U77" i="8"/>
  <c r="AA84" i="8"/>
  <c r="Z84" i="8"/>
  <c r="Y84" i="8"/>
  <c r="W84" i="8"/>
  <c r="V84" i="8"/>
  <c r="U84" i="8"/>
  <c r="O84" i="8"/>
  <c r="K84" i="8"/>
  <c r="O34" i="8"/>
  <c r="K34" i="8"/>
  <c r="O8" i="8"/>
  <c r="K8" i="8"/>
  <c r="C62" i="9" l="1"/>
  <c r="L62" i="9"/>
  <c r="V30" i="9"/>
  <c r="Z30" i="9"/>
  <c r="Y35" i="9"/>
  <c r="W30" i="9"/>
  <c r="W35" i="9"/>
  <c r="Z35" i="9"/>
  <c r="T30" i="9"/>
  <c r="U30" i="9"/>
  <c r="AA30" i="9"/>
  <c r="Y30" i="9"/>
  <c r="X35" i="9"/>
  <c r="U35" i="9"/>
  <c r="AA35" i="9"/>
  <c r="T35" i="9"/>
  <c r="V35" i="9"/>
  <c r="AA140" i="8"/>
  <c r="AA126" i="8"/>
  <c r="AA124" i="8"/>
  <c r="AA121" i="8"/>
  <c r="AA103" i="8"/>
  <c r="AA110" i="8"/>
  <c r="AC110" i="8" s="1"/>
  <c r="Z106" i="8"/>
  <c r="Z122" i="8"/>
  <c r="AA123" i="8"/>
  <c r="W125" i="8"/>
  <c r="O125" i="8"/>
  <c r="Y125" i="8" s="1"/>
  <c r="W127" i="8"/>
  <c r="O135" i="8"/>
  <c r="AA135" i="8" s="1"/>
  <c r="W140" i="8"/>
  <c r="O111" i="8"/>
  <c r="Z111" i="8" s="1"/>
  <c r="O108" i="8"/>
  <c r="AA108" i="8" s="1"/>
  <c r="O104" i="8"/>
  <c r="Y104" i="8" s="1"/>
  <c r="V121" i="8"/>
  <c r="W106" i="8"/>
  <c r="W104" i="8"/>
  <c r="V102" i="8"/>
  <c r="W101" i="8"/>
  <c r="Z115" i="8"/>
  <c r="V115" i="8"/>
  <c r="AC115" i="8"/>
  <c r="T115" i="8"/>
  <c r="U115" i="8"/>
  <c r="X115" i="8"/>
  <c r="Y115" i="8"/>
  <c r="AC138" i="8"/>
  <c r="T138" i="8"/>
  <c r="U138" i="8"/>
  <c r="Z138" i="8"/>
  <c r="V138" i="8"/>
  <c r="X138" i="8"/>
  <c r="Y138" i="8"/>
  <c r="T139" i="8"/>
  <c r="W139" i="8"/>
  <c r="AC139" i="8" s="1"/>
  <c r="V139" i="8"/>
  <c r="Y139" i="8"/>
  <c r="X139" i="8"/>
  <c r="Z139" i="8"/>
  <c r="U137" i="8"/>
  <c r="V140" i="8"/>
  <c r="Y136" i="8"/>
  <c r="X140" i="8"/>
  <c r="T137" i="8"/>
  <c r="U141" i="8"/>
  <c r="U140" i="8"/>
  <c r="V137" i="8"/>
  <c r="V136" i="8"/>
  <c r="W136" i="8"/>
  <c r="AC136" i="8" s="1"/>
  <c r="V141" i="8"/>
  <c r="T140" i="8"/>
  <c r="X141" i="8"/>
  <c r="AC140" i="8"/>
  <c r="Y140" i="8"/>
  <c r="X136" i="8"/>
  <c r="Z140" i="8"/>
  <c r="W141" i="8"/>
  <c r="AC141" i="8" s="1"/>
  <c r="Z136" i="8"/>
  <c r="Y141" i="8"/>
  <c r="X137" i="8"/>
  <c r="Z141" i="8"/>
  <c r="AA137" i="8"/>
  <c r="AC137" i="8" s="1"/>
  <c r="T136" i="8"/>
  <c r="Y137" i="8"/>
  <c r="V135" i="8"/>
  <c r="W135" i="8"/>
  <c r="U135" i="8"/>
  <c r="V123" i="8"/>
  <c r="U126" i="8"/>
  <c r="W123" i="8"/>
  <c r="V126" i="8"/>
  <c r="W121" i="8"/>
  <c r="AC121" i="8" s="1"/>
  <c r="X123" i="8"/>
  <c r="W126" i="8"/>
  <c r="AC126" i="8" s="1"/>
  <c r="T122" i="8"/>
  <c r="Y123" i="8"/>
  <c r="X126" i="8"/>
  <c r="AA125" i="8"/>
  <c r="AC125" i="8" s="1"/>
  <c r="T121" i="8"/>
  <c r="AC127" i="8"/>
  <c r="U121" i="8"/>
  <c r="T123" i="8"/>
  <c r="U124" i="8"/>
  <c r="T127" i="8"/>
  <c r="V124" i="8"/>
  <c r="Z127" i="8"/>
  <c r="X121" i="8"/>
  <c r="U122" i="8"/>
  <c r="Z123" i="8"/>
  <c r="W124" i="8"/>
  <c r="AC124" i="8" s="1"/>
  <c r="T125" i="8"/>
  <c r="Y126" i="8"/>
  <c r="V127" i="8"/>
  <c r="U127" i="8"/>
  <c r="Y121" i="8"/>
  <c r="V122" i="8"/>
  <c r="X124" i="8"/>
  <c r="U125" i="8"/>
  <c r="Z126" i="8"/>
  <c r="Z121" i="8"/>
  <c r="Y124" i="8"/>
  <c r="V125" i="8"/>
  <c r="X127" i="8"/>
  <c r="AA122" i="8"/>
  <c r="AC122" i="8" s="1"/>
  <c r="X122" i="8"/>
  <c r="Z124" i="8"/>
  <c r="Y127" i="8"/>
  <c r="Y122" i="8"/>
  <c r="U110" i="8"/>
  <c r="Y107" i="8"/>
  <c r="V110" i="8"/>
  <c r="T109" i="8"/>
  <c r="U109" i="8"/>
  <c r="V109" i="8"/>
  <c r="T110" i="8"/>
  <c r="Z107" i="8"/>
  <c r="T107" i="8"/>
  <c r="U107" i="8"/>
  <c r="V107" i="8"/>
  <c r="AA107" i="8"/>
  <c r="AC107" i="8" s="1"/>
  <c r="Y110" i="8"/>
  <c r="X109" i="8"/>
  <c r="Y109" i="8"/>
  <c r="V111" i="8"/>
  <c r="AA109" i="8"/>
  <c r="AC109" i="8" s="1"/>
  <c r="X110" i="8"/>
  <c r="U111" i="8"/>
  <c r="Z110" i="8"/>
  <c r="W111" i="8"/>
  <c r="X102" i="8"/>
  <c r="T101" i="8"/>
  <c r="Z104" i="8"/>
  <c r="W102" i="8"/>
  <c r="AC102" i="8" s="1"/>
  <c r="Y102" i="8"/>
  <c r="T102" i="8"/>
  <c r="U103" i="8"/>
  <c r="U102" i="8"/>
  <c r="Z103" i="8"/>
  <c r="AA101" i="8"/>
  <c r="V103" i="8"/>
  <c r="U101" i="8"/>
  <c r="Z102" i="8"/>
  <c r="W103" i="8"/>
  <c r="T104" i="8"/>
  <c r="V101" i="8"/>
  <c r="X103" i="8"/>
  <c r="U104" i="8"/>
  <c r="Y103" i="8"/>
  <c r="V104" i="8"/>
  <c r="X101" i="8"/>
  <c r="Y101" i="8"/>
  <c r="V106" i="8"/>
  <c r="U106" i="8"/>
  <c r="AA106" i="8"/>
  <c r="U108" i="8"/>
  <c r="Y106" i="8"/>
  <c r="V108" i="8"/>
  <c r="X106" i="8"/>
  <c r="W108" i="8"/>
  <c r="T106" i="8"/>
  <c r="AC76" i="8"/>
  <c r="AC84" i="8"/>
  <c r="X84" i="8"/>
  <c r="T84" i="8"/>
  <c r="AC30" i="9" l="1"/>
  <c r="AC123" i="8"/>
  <c r="AC103" i="8"/>
  <c r="AC135" i="8"/>
  <c r="Z125" i="8"/>
  <c r="X125" i="8"/>
  <c r="Z135" i="8"/>
  <c r="Y135" i="8"/>
  <c r="X135" i="8"/>
  <c r="AA111" i="8"/>
  <c r="AC111" i="8" s="1"/>
  <c r="X111" i="8"/>
  <c r="Y111" i="8"/>
  <c r="Z108" i="8"/>
  <c r="Y108" i="8"/>
  <c r="X108" i="8"/>
  <c r="AC108" i="8"/>
  <c r="AA104" i="8"/>
  <c r="AC104" i="8" s="1"/>
  <c r="X104" i="8"/>
  <c r="AC106" i="8"/>
  <c r="AC101" i="8"/>
  <c r="O21" i="10" l="1"/>
  <c r="O20" i="10"/>
  <c r="K21" i="10"/>
  <c r="K20" i="10"/>
  <c r="O10" i="10"/>
  <c r="O9" i="10"/>
  <c r="K10" i="10"/>
  <c r="K9" i="10"/>
  <c r="O27" i="8"/>
  <c r="K27" i="8"/>
  <c r="O23" i="8"/>
  <c r="AA23" i="8" s="1"/>
  <c r="O22" i="8"/>
  <c r="AA22" i="8" s="1"/>
  <c r="O21" i="8"/>
  <c r="Z21" i="8" s="1"/>
  <c r="O20" i="8"/>
  <c r="K23" i="8"/>
  <c r="T23" i="8" s="1"/>
  <c r="K22" i="8"/>
  <c r="T22" i="8" s="1"/>
  <c r="K21" i="8"/>
  <c r="V21" i="8" s="1"/>
  <c r="K20" i="8"/>
  <c r="U21" i="8"/>
  <c r="T21" i="8"/>
  <c r="K10" i="8"/>
  <c r="O10" i="8"/>
  <c r="O16" i="8"/>
  <c r="O15" i="8"/>
  <c r="O14" i="8"/>
  <c r="O13" i="8"/>
  <c r="K16" i="8"/>
  <c r="K15" i="8"/>
  <c r="K14" i="8"/>
  <c r="K13" i="8"/>
  <c r="O48" i="8"/>
  <c r="O47" i="8"/>
  <c r="O46" i="8"/>
  <c r="O45" i="8"/>
  <c r="O44" i="8"/>
  <c r="O43" i="8"/>
  <c r="O42" i="8"/>
  <c r="O56" i="8"/>
  <c r="O55" i="8"/>
  <c r="O54" i="8"/>
  <c r="O53" i="8"/>
  <c r="O52" i="8"/>
  <c r="O66" i="8"/>
  <c r="O65" i="8"/>
  <c r="O64" i="8"/>
  <c r="X64" i="8" s="1"/>
  <c r="O63" i="8"/>
  <c r="X63" i="8" s="1"/>
  <c r="O62" i="8"/>
  <c r="X62" i="8" s="1"/>
  <c r="O61" i="8"/>
  <c r="X61" i="8" s="1"/>
  <c r="O60" i="8"/>
  <c r="O72" i="8"/>
  <c r="O71" i="8"/>
  <c r="X71" i="8" s="1"/>
  <c r="O70" i="8"/>
  <c r="K48" i="8"/>
  <c r="K47" i="8"/>
  <c r="K46" i="8"/>
  <c r="K45" i="8"/>
  <c r="K44" i="8"/>
  <c r="K43" i="8"/>
  <c r="K42" i="8"/>
  <c r="K56" i="8"/>
  <c r="K55" i="8"/>
  <c r="K54" i="8"/>
  <c r="K53" i="8"/>
  <c r="K52" i="8"/>
  <c r="K66" i="8"/>
  <c r="K65" i="8"/>
  <c r="K64" i="8"/>
  <c r="T64" i="8" s="1"/>
  <c r="K63" i="8"/>
  <c r="T63" i="8" s="1"/>
  <c r="K62" i="8"/>
  <c r="T62" i="8" s="1"/>
  <c r="K61" i="8"/>
  <c r="T61" i="8" s="1"/>
  <c r="K60" i="8"/>
  <c r="K72" i="8"/>
  <c r="K71" i="8"/>
  <c r="T71" i="8" s="1"/>
  <c r="K70" i="8"/>
  <c r="AA71" i="8"/>
  <c r="Z71" i="8"/>
  <c r="Y71" i="8"/>
  <c r="W71" i="8"/>
  <c r="V71" i="8"/>
  <c r="U71" i="8"/>
  <c r="AA64" i="8"/>
  <c r="Z64" i="8"/>
  <c r="Y64" i="8"/>
  <c r="W64" i="8"/>
  <c r="V64" i="8"/>
  <c r="U64" i="8"/>
  <c r="AA63" i="8"/>
  <c r="Z63" i="8"/>
  <c r="Y63" i="8"/>
  <c r="W63" i="8"/>
  <c r="V63" i="8"/>
  <c r="U63" i="8"/>
  <c r="AA62" i="8"/>
  <c r="Z62" i="8"/>
  <c r="Y62" i="8"/>
  <c r="W62" i="8"/>
  <c r="V62" i="8"/>
  <c r="U62" i="8"/>
  <c r="AA61" i="8"/>
  <c r="Z61" i="8"/>
  <c r="Y61" i="8"/>
  <c r="W61" i="8"/>
  <c r="V61" i="8"/>
  <c r="U61" i="8"/>
  <c r="W21" i="8" l="1"/>
  <c r="X22" i="8"/>
  <c r="Z22" i="8"/>
  <c r="Y22" i="8"/>
  <c r="Y23" i="8"/>
  <c r="X23" i="8"/>
  <c r="Z23" i="8"/>
  <c r="Y21" i="8"/>
  <c r="U22" i="8"/>
  <c r="V22" i="8"/>
  <c r="W22" i="8"/>
  <c r="AC22" i="8" s="1"/>
  <c r="W23" i="8"/>
  <c r="AC23" i="8" s="1"/>
  <c r="AA21" i="8"/>
  <c r="U23" i="8"/>
  <c r="V23" i="8"/>
  <c r="X21" i="8"/>
  <c r="AC71" i="8"/>
  <c r="AC64" i="8"/>
  <c r="AC63" i="8"/>
  <c r="AC61" i="8"/>
  <c r="AC62" i="8"/>
  <c r="AC21" i="8" l="1"/>
  <c r="AA81" i="8"/>
  <c r="Z81" i="8"/>
  <c r="Y81" i="8"/>
  <c r="W81" i="8"/>
  <c r="V81" i="8"/>
  <c r="U81" i="8"/>
  <c r="AA80" i="8"/>
  <c r="Z80" i="8"/>
  <c r="Y80" i="8"/>
  <c r="W80" i="8"/>
  <c r="V80" i="8"/>
  <c r="U80" i="8"/>
  <c r="O81" i="8"/>
  <c r="X81" i="8" s="1"/>
  <c r="X80" i="8"/>
  <c r="K81" i="8"/>
  <c r="T81" i="8" s="1"/>
  <c r="T80" i="8"/>
  <c r="X66" i="8"/>
  <c r="X65" i="8"/>
  <c r="T66" i="8"/>
  <c r="T65" i="8"/>
  <c r="AA66" i="8"/>
  <c r="Z66" i="8"/>
  <c r="Y66" i="8"/>
  <c r="W66" i="8"/>
  <c r="V66" i="8"/>
  <c r="U66" i="8"/>
  <c r="AA65" i="8"/>
  <c r="Z65" i="8"/>
  <c r="Y65" i="8"/>
  <c r="W65" i="8"/>
  <c r="V65" i="8"/>
  <c r="U65" i="8"/>
  <c r="X47" i="8"/>
  <c r="X46" i="8"/>
  <c r="X44" i="8"/>
  <c r="X43" i="8"/>
  <c r="T47" i="8"/>
  <c r="T46" i="8"/>
  <c r="T44" i="8"/>
  <c r="T43" i="8"/>
  <c r="AA44" i="8"/>
  <c r="Z44" i="8"/>
  <c r="Y44" i="8"/>
  <c r="W44" i="8"/>
  <c r="V44" i="8"/>
  <c r="U44" i="8"/>
  <c r="AA43" i="8"/>
  <c r="Z43" i="8"/>
  <c r="Y43" i="8"/>
  <c r="W43" i="8"/>
  <c r="V43" i="8"/>
  <c r="U43" i="8"/>
  <c r="AA47" i="8"/>
  <c r="Z47" i="8"/>
  <c r="Y47" i="8"/>
  <c r="W47" i="8"/>
  <c r="V47" i="8"/>
  <c r="U47" i="8"/>
  <c r="AA46" i="8"/>
  <c r="Z46" i="8"/>
  <c r="Y46" i="8"/>
  <c r="W46" i="8"/>
  <c r="V46" i="8"/>
  <c r="U46" i="8"/>
  <c r="X16" i="8"/>
  <c r="AA15" i="8"/>
  <c r="X14" i="8"/>
  <c r="W16" i="8"/>
  <c r="T15" i="8"/>
  <c r="W14" i="8"/>
  <c r="R4" i="10"/>
  <c r="AA4" i="10" s="1"/>
  <c r="Q4" i="10"/>
  <c r="Z4" i="10" s="1"/>
  <c r="P4" i="10"/>
  <c r="Y4" i="10" s="1"/>
  <c r="N4" i="10"/>
  <c r="W4" i="10" s="1"/>
  <c r="M4" i="10"/>
  <c r="V4" i="10" s="1"/>
  <c r="L4" i="10"/>
  <c r="U4" i="10" s="1"/>
  <c r="J4" i="10"/>
  <c r="I4" i="10"/>
  <c r="H4" i="10"/>
  <c r="R3" i="10"/>
  <c r="AA3" i="10" s="1"/>
  <c r="Q3" i="10"/>
  <c r="Z3" i="10" s="1"/>
  <c r="P3" i="10"/>
  <c r="Y3" i="10" s="1"/>
  <c r="O3" i="10"/>
  <c r="X3" i="10" s="1"/>
  <c r="N3" i="10"/>
  <c r="W3" i="10" s="1"/>
  <c r="M3" i="10"/>
  <c r="V3" i="10" s="1"/>
  <c r="L3" i="10"/>
  <c r="U3" i="10" s="1"/>
  <c r="K3" i="10"/>
  <c r="T3" i="10" s="1"/>
  <c r="J3" i="10"/>
  <c r="I3" i="10"/>
  <c r="H3" i="10"/>
  <c r="F4" i="10"/>
  <c r="E4" i="10"/>
  <c r="D4" i="10"/>
  <c r="C4" i="10"/>
  <c r="F3" i="10"/>
  <c r="E3" i="10"/>
  <c r="D3" i="10"/>
  <c r="C3" i="10"/>
  <c r="C22" i="10"/>
  <c r="C26" i="10" s="1"/>
  <c r="C11" i="10"/>
  <c r="B2" i="10"/>
  <c r="B26" i="10"/>
  <c r="B25" i="10"/>
  <c r="R22" i="10"/>
  <c r="Q22" i="10"/>
  <c r="Q26" i="10" s="1"/>
  <c r="P22" i="10"/>
  <c r="N22" i="10"/>
  <c r="N26" i="10" s="1"/>
  <c r="M22" i="10"/>
  <c r="M26" i="10" s="1"/>
  <c r="L22" i="10"/>
  <c r="L26" i="10" s="1"/>
  <c r="J22" i="10"/>
  <c r="I22" i="10"/>
  <c r="I26" i="10" s="1"/>
  <c r="H22" i="10"/>
  <c r="F22" i="10"/>
  <c r="F26" i="10" s="1"/>
  <c r="E22" i="10"/>
  <c r="E26" i="10" s="1"/>
  <c r="D22" i="10"/>
  <c r="D26" i="10" s="1"/>
  <c r="B15" i="10"/>
  <c r="B14" i="10"/>
  <c r="R11" i="10"/>
  <c r="R15" i="10" s="1"/>
  <c r="Q11" i="10"/>
  <c r="P11" i="10"/>
  <c r="N11" i="10"/>
  <c r="M11" i="10"/>
  <c r="M15" i="10" s="1"/>
  <c r="L11" i="10"/>
  <c r="J11" i="10"/>
  <c r="J15" i="10" s="1"/>
  <c r="I11" i="10"/>
  <c r="H11" i="10"/>
  <c r="H15" i="10" s="1"/>
  <c r="F11" i="10"/>
  <c r="E11" i="10"/>
  <c r="E15" i="10" s="1"/>
  <c r="D11" i="10"/>
  <c r="AC65" i="8" l="1"/>
  <c r="AC66" i="8"/>
  <c r="AC43" i="8"/>
  <c r="AC44" i="8"/>
  <c r="AC47" i="8"/>
  <c r="AC46" i="8"/>
  <c r="AA16" i="8"/>
  <c r="AC16" i="8" s="1"/>
  <c r="U15" i="8"/>
  <c r="W15" i="8"/>
  <c r="AC15" i="8" s="1"/>
  <c r="Y14" i="8"/>
  <c r="AA14" i="8"/>
  <c r="AC14" i="8" s="1"/>
  <c r="Y16" i="8"/>
  <c r="Z14" i="8"/>
  <c r="V15" i="8"/>
  <c r="Z16" i="8"/>
  <c r="T14" i="8"/>
  <c r="X15" i="8"/>
  <c r="T16" i="8"/>
  <c r="U14" i="8"/>
  <c r="Y15" i="8"/>
  <c r="U16" i="8"/>
  <c r="V14" i="8"/>
  <c r="Z15" i="8"/>
  <c r="V16" i="8"/>
  <c r="H23" i="10"/>
  <c r="M23" i="10"/>
  <c r="E23" i="10"/>
  <c r="F23" i="10"/>
  <c r="N23" i="10"/>
  <c r="P23" i="10"/>
  <c r="I23" i="10"/>
  <c r="Q23" i="10"/>
  <c r="R23" i="10"/>
  <c r="C23" i="10"/>
  <c r="J23" i="10"/>
  <c r="D23" i="10"/>
  <c r="L23" i="10"/>
  <c r="L15" i="10"/>
  <c r="C25" i="10"/>
  <c r="C15" i="10"/>
  <c r="C14" i="10"/>
  <c r="E14" i="10"/>
  <c r="D25" i="10"/>
  <c r="N25" i="10"/>
  <c r="P15" i="10"/>
  <c r="L14" i="10"/>
  <c r="D15" i="10"/>
  <c r="F25" i="10"/>
  <c r="H14" i="10"/>
  <c r="M14" i="10"/>
  <c r="I25" i="10"/>
  <c r="P14" i="10"/>
  <c r="L25" i="10"/>
  <c r="D14" i="10"/>
  <c r="Q25" i="10"/>
  <c r="J14" i="10"/>
  <c r="R14" i="10"/>
  <c r="F15" i="10"/>
  <c r="N15" i="10"/>
  <c r="O22" i="10"/>
  <c r="H26" i="10"/>
  <c r="P26" i="10"/>
  <c r="K11" i="10"/>
  <c r="E25" i="10"/>
  <c r="M25" i="10"/>
  <c r="I15" i="10"/>
  <c r="Q15" i="10"/>
  <c r="J26" i="10"/>
  <c r="R26" i="10"/>
  <c r="F14" i="10"/>
  <c r="N14" i="10"/>
  <c r="K22" i="10"/>
  <c r="H25" i="10"/>
  <c r="P25" i="10"/>
  <c r="O11" i="10"/>
  <c r="I14" i="10"/>
  <c r="Q14" i="10"/>
  <c r="J25" i="10"/>
  <c r="R25" i="10"/>
  <c r="Y22" i="10" l="1"/>
  <c r="O23" i="10"/>
  <c r="K23" i="10"/>
  <c r="O25" i="10"/>
  <c r="Y11" i="10"/>
  <c r="W22" i="10"/>
  <c r="W11" i="10"/>
  <c r="U11" i="10"/>
  <c r="Z11" i="10"/>
  <c r="Z12" i="10" s="1"/>
  <c r="Z22" i="10"/>
  <c r="Z26" i="10" s="1"/>
  <c r="T22" i="10"/>
  <c r="T25" i="10" s="1"/>
  <c r="U22" i="10"/>
  <c r="U25" i="10" s="1"/>
  <c r="T11" i="10"/>
  <c r="T15" i="10" s="1"/>
  <c r="AA22" i="10"/>
  <c r="AA26" i="10" s="1"/>
  <c r="X22" i="10"/>
  <c r="AA11" i="10"/>
  <c r="V22" i="10"/>
  <c r="V25" i="10" s="1"/>
  <c r="K26" i="10"/>
  <c r="K25" i="10"/>
  <c r="V11" i="10"/>
  <c r="X11" i="10"/>
  <c r="O26" i="10"/>
  <c r="K15" i="10"/>
  <c r="K14" i="10"/>
  <c r="O15" i="10"/>
  <c r="O14" i="10"/>
  <c r="T26" i="10" l="1"/>
  <c r="Z25" i="10"/>
  <c r="V26" i="10"/>
  <c r="V15" i="10"/>
  <c r="V12" i="10"/>
  <c r="Y14" i="10"/>
  <c r="Y12" i="10"/>
  <c r="V14" i="10"/>
  <c r="Z23" i="10"/>
  <c r="Z14" i="10"/>
  <c r="W14" i="10"/>
  <c r="W12" i="10"/>
  <c r="U15" i="10"/>
  <c r="U12" i="10"/>
  <c r="Y15" i="10"/>
  <c r="X15" i="10"/>
  <c r="X12" i="10"/>
  <c r="T14" i="10"/>
  <c r="T12" i="10"/>
  <c r="Z15" i="10"/>
  <c r="AA15" i="10"/>
  <c r="AA12" i="10"/>
  <c r="W15" i="10"/>
  <c r="U14" i="10"/>
  <c r="X23" i="10"/>
  <c r="X26" i="10"/>
  <c r="U23" i="10"/>
  <c r="U26" i="10"/>
  <c r="X25" i="10"/>
  <c r="W23" i="10"/>
  <c r="AA14" i="10"/>
  <c r="W25" i="10"/>
  <c r="X14" i="10"/>
  <c r="AA23" i="10"/>
  <c r="AA25" i="10"/>
  <c r="T23" i="10"/>
  <c r="V23" i="10"/>
  <c r="Y23" i="10"/>
  <c r="Y25" i="10"/>
  <c r="Y26" i="10"/>
  <c r="W26" i="10"/>
  <c r="X20" i="8"/>
  <c r="W20" i="8"/>
  <c r="AA13" i="8"/>
  <c r="W13" i="8"/>
  <c r="Z34" i="8"/>
  <c r="Y34" i="8"/>
  <c r="X34" i="8"/>
  <c r="W34" i="8"/>
  <c r="V34" i="8"/>
  <c r="U34" i="8"/>
  <c r="T34" i="8"/>
  <c r="Z31" i="8"/>
  <c r="Y31" i="8"/>
  <c r="W31" i="8"/>
  <c r="V31" i="8"/>
  <c r="U31" i="8"/>
  <c r="T44" i="9"/>
  <c r="X42" i="8"/>
  <c r="T45" i="8"/>
  <c r="X45" i="8"/>
  <c r="T51" i="9"/>
  <c r="X48" i="8"/>
  <c r="T55" i="8"/>
  <c r="T54" i="8"/>
  <c r="T53" i="8"/>
  <c r="X56" i="8"/>
  <c r="X55" i="8"/>
  <c r="X54" i="8"/>
  <c r="X53" i="8"/>
  <c r="X52" i="8"/>
  <c r="X60" i="8"/>
  <c r="X70" i="8"/>
  <c r="T60" i="9"/>
  <c r="R49" i="8"/>
  <c r="Q49" i="8"/>
  <c r="P49" i="8"/>
  <c r="N49" i="8"/>
  <c r="M49" i="8"/>
  <c r="L49" i="8"/>
  <c r="J49" i="8"/>
  <c r="I49" i="8"/>
  <c r="H49" i="8"/>
  <c r="F49" i="8"/>
  <c r="E49" i="8"/>
  <c r="D49" i="8"/>
  <c r="C49" i="8"/>
  <c r="O142" i="8"/>
  <c r="K142" i="8"/>
  <c r="O134" i="8"/>
  <c r="K134" i="8"/>
  <c r="O130" i="8"/>
  <c r="K130" i="8"/>
  <c r="U130" i="8" s="1"/>
  <c r="O129" i="8"/>
  <c r="K129" i="8"/>
  <c r="O128" i="8"/>
  <c r="K128" i="8"/>
  <c r="O120" i="8"/>
  <c r="K120" i="8"/>
  <c r="AA55" i="8"/>
  <c r="Z55" i="8"/>
  <c r="Y55" i="8"/>
  <c r="W55" i="8"/>
  <c r="V55" i="8"/>
  <c r="U55" i="8"/>
  <c r="AA54" i="8"/>
  <c r="Z54" i="8"/>
  <c r="Y54" i="8"/>
  <c r="W54" i="8"/>
  <c r="V54" i="8"/>
  <c r="U54" i="8"/>
  <c r="AA45" i="8"/>
  <c r="Z45" i="8"/>
  <c r="Y45" i="8"/>
  <c r="W45" i="8"/>
  <c r="V45" i="8"/>
  <c r="U45" i="8"/>
  <c r="AA72" i="8"/>
  <c r="Z72" i="8"/>
  <c r="Y72" i="8"/>
  <c r="W72" i="8"/>
  <c r="V72" i="8"/>
  <c r="U72" i="8"/>
  <c r="X72" i="8"/>
  <c r="T72" i="8"/>
  <c r="Z62" i="9"/>
  <c r="Y62" i="9"/>
  <c r="W62" i="9"/>
  <c r="V62" i="9"/>
  <c r="U62" i="9"/>
  <c r="Z75" i="8"/>
  <c r="Y75" i="8"/>
  <c r="W75" i="8"/>
  <c r="V75" i="8"/>
  <c r="U75" i="8"/>
  <c r="Z70" i="8"/>
  <c r="Y70" i="8"/>
  <c r="W70" i="8"/>
  <c r="V70" i="8"/>
  <c r="U70" i="8"/>
  <c r="Z60" i="8"/>
  <c r="Y60" i="8"/>
  <c r="Z56" i="8"/>
  <c r="Y56" i="8"/>
  <c r="W56" i="8"/>
  <c r="V56" i="8"/>
  <c r="U56" i="8"/>
  <c r="Z53" i="8"/>
  <c r="Y53" i="8"/>
  <c r="W53" i="8"/>
  <c r="V53" i="8"/>
  <c r="U53" i="8"/>
  <c r="Z52" i="8"/>
  <c r="Y52" i="8"/>
  <c r="W52" i="8"/>
  <c r="V52" i="8"/>
  <c r="U52" i="8"/>
  <c r="Z48" i="8"/>
  <c r="Y48" i="8"/>
  <c r="W48" i="8"/>
  <c r="V48" i="8"/>
  <c r="U48" i="8"/>
  <c r="Z42" i="8"/>
  <c r="Y42" i="8"/>
  <c r="W42" i="8"/>
  <c r="V42" i="8"/>
  <c r="U42" i="8"/>
  <c r="O47" i="9"/>
  <c r="X47" i="9" s="1"/>
  <c r="K47" i="9"/>
  <c r="T47" i="9" s="1"/>
  <c r="AA51" i="9"/>
  <c r="Z51" i="9"/>
  <c r="Y51" i="9"/>
  <c r="W51" i="9"/>
  <c r="V51" i="9"/>
  <c r="U51" i="9"/>
  <c r="Z60" i="9"/>
  <c r="Y60" i="9"/>
  <c r="W60" i="9"/>
  <c r="V60" i="9"/>
  <c r="U60" i="9"/>
  <c r="Z59" i="9"/>
  <c r="Y59" i="9"/>
  <c r="W59" i="9"/>
  <c r="V59" i="9"/>
  <c r="U59" i="9"/>
  <c r="AA62" i="9"/>
  <c r="W47" i="9"/>
  <c r="V47" i="9"/>
  <c r="U47" i="9"/>
  <c r="Z47" i="9"/>
  <c r="Y47" i="9"/>
  <c r="X62" i="9"/>
  <c r="T62" i="9"/>
  <c r="R63" i="9"/>
  <c r="Q63" i="9"/>
  <c r="P63" i="9"/>
  <c r="N63" i="9"/>
  <c r="M63" i="9"/>
  <c r="L63" i="9"/>
  <c r="J63" i="9"/>
  <c r="I63" i="9"/>
  <c r="H63" i="9"/>
  <c r="F63" i="9"/>
  <c r="E63" i="9"/>
  <c r="D63" i="9"/>
  <c r="C63" i="9"/>
  <c r="Z44" i="9"/>
  <c r="Y44" i="9"/>
  <c r="W44" i="9"/>
  <c r="V44" i="9"/>
  <c r="U44" i="9"/>
  <c r="O114" i="8"/>
  <c r="K114" i="8"/>
  <c r="V114" i="8" s="1"/>
  <c r="K157" i="8"/>
  <c r="K112" i="8"/>
  <c r="O113" i="8"/>
  <c r="W60" i="8"/>
  <c r="K158" i="8"/>
  <c r="O158" i="8"/>
  <c r="O157" i="8"/>
  <c r="O150" i="8"/>
  <c r="O149" i="8"/>
  <c r="K150" i="8"/>
  <c r="K149" i="8"/>
  <c r="AA75" i="8"/>
  <c r="AA70" i="8"/>
  <c r="AA60" i="8"/>
  <c r="AA56" i="8"/>
  <c r="AA53" i="8"/>
  <c r="AA52" i="8"/>
  <c r="AA48" i="8"/>
  <c r="AA42" i="8"/>
  <c r="T70" i="8"/>
  <c r="X75" i="8"/>
  <c r="T75" i="8"/>
  <c r="Z27" i="8"/>
  <c r="T27" i="8"/>
  <c r="K31" i="8"/>
  <c r="T31" i="8" s="1"/>
  <c r="X59" i="9"/>
  <c r="T59" i="9"/>
  <c r="AA31" i="8"/>
  <c r="AA34" i="8"/>
  <c r="O31" i="8"/>
  <c r="X31" i="8" s="1"/>
  <c r="V63" i="9" l="1"/>
  <c r="T63" i="9"/>
  <c r="U63" i="9"/>
  <c r="AA20" i="8"/>
  <c r="T7" i="9"/>
  <c r="U6" i="9"/>
  <c r="T6" i="9"/>
  <c r="V6" i="9"/>
  <c r="U7" i="9"/>
  <c r="W6" i="9"/>
  <c r="V7" i="9"/>
  <c r="W7" i="9"/>
  <c r="Y20" i="8"/>
  <c r="Z20" i="8"/>
  <c r="T20" i="8"/>
  <c r="U20" i="8"/>
  <c r="V20" i="8"/>
  <c r="W49" i="8"/>
  <c r="Y49" i="8"/>
  <c r="Z49" i="8"/>
  <c r="AA49" i="8"/>
  <c r="O49" i="8"/>
  <c r="K49" i="8"/>
  <c r="X49" i="8"/>
  <c r="O100" i="8"/>
  <c r="AA100" i="8" s="1"/>
  <c r="AC54" i="8"/>
  <c r="AC55" i="8"/>
  <c r="AC45" i="8"/>
  <c r="AC72" i="8"/>
  <c r="V14" i="9"/>
  <c r="T114" i="8"/>
  <c r="W114" i="8"/>
  <c r="Z114" i="8"/>
  <c r="U37" i="9"/>
  <c r="V37" i="9"/>
  <c r="W14" i="9"/>
  <c r="Y14" i="9"/>
  <c r="Z14" i="9"/>
  <c r="X14" i="9"/>
  <c r="T14" i="9"/>
  <c r="T37" i="9"/>
  <c r="T134" i="8"/>
  <c r="U129" i="8"/>
  <c r="V130" i="8"/>
  <c r="T48" i="8"/>
  <c r="T60" i="8"/>
  <c r="U114" i="8"/>
  <c r="V129" i="8"/>
  <c r="W130" i="8"/>
  <c r="U60" i="8"/>
  <c r="T112" i="8"/>
  <c r="X130" i="8"/>
  <c r="T42" i="8"/>
  <c r="V60" i="8"/>
  <c r="U112" i="8"/>
  <c r="Y130" i="8"/>
  <c r="T56" i="8"/>
  <c r="V112" i="8"/>
  <c r="X114" i="8"/>
  <c r="Z130" i="8"/>
  <c r="U134" i="8"/>
  <c r="W112" i="8"/>
  <c r="X113" i="8"/>
  <c r="Y114" i="8"/>
  <c r="V134" i="8"/>
  <c r="U14" i="9"/>
  <c r="T52" i="8"/>
  <c r="Y113" i="8"/>
  <c r="T130" i="8"/>
  <c r="W134" i="8"/>
  <c r="Z113" i="8"/>
  <c r="T129" i="8"/>
  <c r="U27" i="8"/>
  <c r="V27" i="8"/>
  <c r="W27" i="8"/>
  <c r="X27" i="8"/>
  <c r="AC48" i="8"/>
  <c r="AC56" i="8"/>
  <c r="Y27" i="8"/>
  <c r="T13" i="8"/>
  <c r="U13" i="8"/>
  <c r="AC53" i="8"/>
  <c r="AC70" i="8"/>
  <c r="V13" i="8"/>
  <c r="X13" i="8"/>
  <c r="Y13" i="8"/>
  <c r="Z13" i="8"/>
  <c r="P131" i="8"/>
  <c r="X51" i="9"/>
  <c r="X60" i="9"/>
  <c r="C131" i="8"/>
  <c r="Y63" i="9"/>
  <c r="AA63" i="9"/>
  <c r="W63" i="9"/>
  <c r="K63" i="9"/>
  <c r="X63" i="9"/>
  <c r="Z63" i="9"/>
  <c r="O63" i="9"/>
  <c r="F131" i="8"/>
  <c r="T15" i="9"/>
  <c r="W23" i="9"/>
  <c r="Z13" i="9"/>
  <c r="U36" i="9"/>
  <c r="X44" i="9"/>
  <c r="T12" i="9"/>
  <c r="L131" i="8"/>
  <c r="T13" i="9"/>
  <c r="AA15" i="9"/>
  <c r="Z12" i="9"/>
  <c r="AA14" i="9"/>
  <c r="D131" i="8"/>
  <c r="H131" i="8"/>
  <c r="E131" i="8"/>
  <c r="K116" i="8"/>
  <c r="O116" i="8"/>
  <c r="Z116" i="8" s="1"/>
  <c r="AA114" i="8"/>
  <c r="K113" i="8"/>
  <c r="T113" i="8" s="1"/>
  <c r="W120" i="8"/>
  <c r="K99" i="8"/>
  <c r="T99" i="8" s="1"/>
  <c r="R131" i="8"/>
  <c r="O112" i="8"/>
  <c r="X120" i="8"/>
  <c r="Y128" i="8"/>
  <c r="O99" i="8"/>
  <c r="X99" i="8" s="1"/>
  <c r="AA113" i="8"/>
  <c r="AA130" i="8"/>
  <c r="AA27" i="8"/>
  <c r="AC34" i="8"/>
  <c r="AC20" i="8" l="1"/>
  <c r="W8" i="9"/>
  <c r="V8" i="9"/>
  <c r="U8" i="9"/>
  <c r="T8" i="9"/>
  <c r="T16" i="9" s="1"/>
  <c r="X100" i="8"/>
  <c r="Z100" i="8"/>
  <c r="K100" i="8"/>
  <c r="W100" i="8" s="1"/>
  <c r="AC100" i="8" s="1"/>
  <c r="Y100" i="8"/>
  <c r="AC114" i="8"/>
  <c r="V23" i="9"/>
  <c r="Z36" i="9"/>
  <c r="X15" i="9"/>
  <c r="V38" i="9"/>
  <c r="Z15" i="9"/>
  <c r="Y116" i="8"/>
  <c r="T142" i="8"/>
  <c r="U13" i="9"/>
  <c r="U113" i="8"/>
  <c r="Z128" i="8"/>
  <c r="U142" i="8"/>
  <c r="Y120" i="8"/>
  <c r="Y112" i="8"/>
  <c r="Z112" i="8"/>
  <c r="W15" i="9"/>
  <c r="AC15" i="9" s="1"/>
  <c r="V15" i="9"/>
  <c r="U38" i="9"/>
  <c r="X128" i="8"/>
  <c r="Z99" i="8"/>
  <c r="Y15" i="9"/>
  <c r="Y13" i="9"/>
  <c r="X12" i="9"/>
  <c r="W36" i="9"/>
  <c r="V36" i="9"/>
  <c r="W142" i="8"/>
  <c r="U15" i="9"/>
  <c r="T36" i="9"/>
  <c r="W129" i="8"/>
  <c r="X116" i="8"/>
  <c r="X13" i="9"/>
  <c r="T23" i="9"/>
  <c r="U23" i="9"/>
  <c r="V142" i="8"/>
  <c r="Z120" i="8"/>
  <c r="U120" i="8"/>
  <c r="Y99" i="8"/>
  <c r="W99" i="8"/>
  <c r="U99" i="8"/>
  <c r="T116" i="8"/>
  <c r="W116" i="8"/>
  <c r="U116" i="8"/>
  <c r="U12" i="9"/>
  <c r="W12" i="9"/>
  <c r="V12" i="9"/>
  <c r="W113" i="8"/>
  <c r="AC113" i="8" s="1"/>
  <c r="V113" i="8"/>
  <c r="V13" i="9"/>
  <c r="W13" i="9"/>
  <c r="X112" i="8"/>
  <c r="V120" i="8"/>
  <c r="V99" i="8"/>
  <c r="Y12" i="9"/>
  <c r="T120" i="8"/>
  <c r="X36" i="9"/>
  <c r="V116" i="8"/>
  <c r="T38" i="9"/>
  <c r="Y36" i="9"/>
  <c r="W38" i="9"/>
  <c r="AC14" i="9"/>
  <c r="AC130" i="8"/>
  <c r="AA13" i="9"/>
  <c r="Z129" i="8"/>
  <c r="AA99" i="8"/>
  <c r="Z19" i="9"/>
  <c r="J131" i="8"/>
  <c r="V128" i="8"/>
  <c r="Z34" i="9"/>
  <c r="T19" i="9"/>
  <c r="I131" i="8"/>
  <c r="AA112" i="8"/>
  <c r="AC112" i="8" s="1"/>
  <c r="Q131" i="8"/>
  <c r="AA128" i="8"/>
  <c r="N131" i="8"/>
  <c r="AA120" i="8"/>
  <c r="M131" i="8"/>
  <c r="AC27" i="8"/>
  <c r="AA60" i="9"/>
  <c r="AA59" i="9"/>
  <c r="R146" i="8"/>
  <c r="N146" i="8"/>
  <c r="M146" i="8"/>
  <c r="H143" i="8"/>
  <c r="I143" i="8"/>
  <c r="J143" i="8"/>
  <c r="P146" i="8"/>
  <c r="L146" i="8"/>
  <c r="AA116" i="8"/>
  <c r="U16" i="9" l="1"/>
  <c r="V16" i="9"/>
  <c r="W16" i="9"/>
  <c r="Y7" i="9"/>
  <c r="X7" i="9"/>
  <c r="Z7" i="9"/>
  <c r="Y6" i="9"/>
  <c r="X6" i="9"/>
  <c r="Z6" i="9"/>
  <c r="T100" i="8"/>
  <c r="U100" i="8"/>
  <c r="V100" i="8"/>
  <c r="U19" i="9"/>
  <c r="X129" i="8"/>
  <c r="Y19" i="9"/>
  <c r="AC13" i="9"/>
  <c r="X19" i="9"/>
  <c r="X142" i="8"/>
  <c r="K131" i="8"/>
  <c r="W128" i="8"/>
  <c r="AC128" i="8" s="1"/>
  <c r="U128" i="8"/>
  <c r="X34" i="9"/>
  <c r="X23" i="9"/>
  <c r="Z23" i="9"/>
  <c r="Z142" i="8"/>
  <c r="Y134" i="8"/>
  <c r="Z134" i="8"/>
  <c r="X134" i="8"/>
  <c r="Y34" i="9"/>
  <c r="Y142" i="8"/>
  <c r="W19" i="9"/>
  <c r="V19" i="9"/>
  <c r="Y23" i="9"/>
  <c r="W37" i="9"/>
  <c r="T128" i="8"/>
  <c r="AA37" i="9"/>
  <c r="Y129" i="8"/>
  <c r="AC120" i="8"/>
  <c r="AA142" i="8"/>
  <c r="AC142" i="8" s="1"/>
  <c r="AA129" i="8"/>
  <c r="AC129" i="8" s="1"/>
  <c r="AA134" i="8"/>
  <c r="W34" i="9"/>
  <c r="O131" i="8"/>
  <c r="Q146" i="8"/>
  <c r="T157" i="8"/>
  <c r="AC116" i="8"/>
  <c r="F8" i="9"/>
  <c r="F16" i="9" s="1"/>
  <c r="C8" i="9"/>
  <c r="C16" i="9" s="1"/>
  <c r="D8" i="9"/>
  <c r="D16" i="9" s="1"/>
  <c r="E8" i="9"/>
  <c r="E16" i="9" s="1"/>
  <c r="K8" i="9"/>
  <c r="K16" i="9" s="1"/>
  <c r="I8" i="9"/>
  <c r="I16" i="9" s="1"/>
  <c r="J8" i="9"/>
  <c r="J16" i="9" s="1"/>
  <c r="H8" i="9"/>
  <c r="H16" i="9" s="1"/>
  <c r="Q8" i="9"/>
  <c r="Q16" i="9" s="1"/>
  <c r="P8" i="9"/>
  <c r="P16" i="9" s="1"/>
  <c r="R8" i="9"/>
  <c r="R16" i="9" s="1"/>
  <c r="N8" i="9"/>
  <c r="N16" i="9" s="1"/>
  <c r="M8" i="9"/>
  <c r="M16" i="9" s="1"/>
  <c r="L8" i="9"/>
  <c r="L16" i="9" s="1"/>
  <c r="D146" i="8"/>
  <c r="E146" i="8"/>
  <c r="F146" i="8"/>
  <c r="O146" i="8"/>
  <c r="T20" i="9" l="1"/>
  <c r="T24" i="9" s="1"/>
  <c r="Y8" i="9"/>
  <c r="Z8" i="9"/>
  <c r="U20" i="9"/>
  <c r="U24" i="9" s="1"/>
  <c r="W20" i="9"/>
  <c r="W24" i="9" s="1"/>
  <c r="V20" i="9"/>
  <c r="V24" i="9" s="1"/>
  <c r="X37" i="9"/>
  <c r="T34" i="9"/>
  <c r="V34" i="9"/>
  <c r="Y37" i="9"/>
  <c r="Z38" i="9"/>
  <c r="Y38" i="9"/>
  <c r="X38" i="9"/>
  <c r="Z37" i="9"/>
  <c r="U34" i="9"/>
  <c r="O8" i="9"/>
  <c r="O16" i="9" s="1"/>
  <c r="AA38" i="9"/>
  <c r="Y157" i="8"/>
  <c r="Z157" i="8"/>
  <c r="W157" i="8"/>
  <c r="V157" i="8"/>
  <c r="U157" i="8"/>
  <c r="AA157" i="8"/>
  <c r="X157" i="8"/>
  <c r="Z16" i="9" l="1"/>
  <c r="Z20" i="9" s="1"/>
  <c r="Z24" i="9" s="1"/>
  <c r="Y16" i="9"/>
  <c r="Y20" i="9" s="1"/>
  <c r="Y24" i="9" s="1"/>
  <c r="X8" i="9"/>
  <c r="X16" i="9" l="1"/>
  <c r="X20" i="9" s="1"/>
  <c r="X24" i="9" s="1"/>
  <c r="AA47" i="9"/>
  <c r="O4" i="10"/>
  <c r="X4" i="10" s="1"/>
  <c r="K4" i="10"/>
  <c r="T4" i="10" s="1"/>
  <c r="E48" i="9" l="1"/>
  <c r="Q48" i="9"/>
  <c r="D48" i="9"/>
  <c r="J48" i="9"/>
  <c r="F48" i="9"/>
  <c r="N48" i="9"/>
  <c r="C48" i="9"/>
  <c r="I48" i="9"/>
  <c r="H48" i="9"/>
  <c r="L48" i="9"/>
  <c r="M48" i="9"/>
  <c r="P48" i="9"/>
  <c r="R48" i="9"/>
  <c r="B2" i="9" l="1"/>
  <c r="R67" i="8"/>
  <c r="Q67" i="8"/>
  <c r="P67" i="8"/>
  <c r="N67" i="8"/>
  <c r="M67" i="8"/>
  <c r="L67" i="8"/>
  <c r="J67" i="8"/>
  <c r="I67" i="8"/>
  <c r="H67" i="8"/>
  <c r="F67" i="8"/>
  <c r="E67" i="8"/>
  <c r="D67" i="8"/>
  <c r="C67" i="8"/>
  <c r="AA44" i="9"/>
  <c r="AA48" i="9" s="1"/>
  <c r="R4" i="9"/>
  <c r="AA4" i="9" s="1"/>
  <c r="R3" i="9"/>
  <c r="AA3" i="9" s="1"/>
  <c r="AA8" i="8"/>
  <c r="AA93" i="8" s="1"/>
  <c r="AA7" i="8"/>
  <c r="AA92" i="8" s="1"/>
  <c r="R93" i="8"/>
  <c r="R92" i="8"/>
  <c r="R82" i="8"/>
  <c r="R39" i="8"/>
  <c r="R38" i="8"/>
  <c r="R11" i="8"/>
  <c r="R17" i="8" s="1"/>
  <c r="R24" i="8" s="1"/>
  <c r="P143" i="8"/>
  <c r="F143" i="8"/>
  <c r="E143" i="8"/>
  <c r="D143" i="8"/>
  <c r="Z48" i="9"/>
  <c r="Y48" i="9"/>
  <c r="W4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J82" i="8"/>
  <c r="Q93" i="8"/>
  <c r="P93" i="8"/>
  <c r="O93" i="8"/>
  <c r="N93" i="8"/>
  <c r="M93" i="8"/>
  <c r="L93" i="8"/>
  <c r="K93" i="8"/>
  <c r="J93" i="8"/>
  <c r="I93" i="8"/>
  <c r="H93" i="8"/>
  <c r="Q92" i="8"/>
  <c r="P92" i="8"/>
  <c r="O92" i="8"/>
  <c r="N92" i="8"/>
  <c r="M92" i="8"/>
  <c r="L92" i="8"/>
  <c r="K92" i="8"/>
  <c r="J92" i="8"/>
  <c r="I92" i="8"/>
  <c r="H92" i="8"/>
  <c r="N82" i="8"/>
  <c r="M82" i="8"/>
  <c r="L82" i="8"/>
  <c r="I82" i="8"/>
  <c r="H82" i="8"/>
  <c r="Q39" i="8"/>
  <c r="P39" i="8"/>
  <c r="O39" i="8"/>
  <c r="N39" i="8"/>
  <c r="M39" i="8"/>
  <c r="L39" i="8"/>
  <c r="K39" i="8"/>
  <c r="J39" i="8"/>
  <c r="I39" i="8"/>
  <c r="H39" i="8"/>
  <c r="Q38" i="8"/>
  <c r="P38" i="8"/>
  <c r="O38" i="8"/>
  <c r="N38" i="8"/>
  <c r="M38" i="8"/>
  <c r="L38" i="8"/>
  <c r="K38" i="8"/>
  <c r="J38" i="8"/>
  <c r="I38" i="8"/>
  <c r="H38" i="8"/>
  <c r="F39" i="8"/>
  <c r="E39" i="8"/>
  <c r="D39" i="8"/>
  <c r="C39" i="8"/>
  <c r="F38" i="8"/>
  <c r="E38" i="8"/>
  <c r="D38" i="8"/>
  <c r="C38" i="8"/>
  <c r="M11" i="8"/>
  <c r="M17" i="8" s="1"/>
  <c r="M24" i="8" s="1"/>
  <c r="L11" i="8"/>
  <c r="L17" i="8" s="1"/>
  <c r="L24" i="8" s="1"/>
  <c r="J11" i="8"/>
  <c r="J17" i="8" s="1"/>
  <c r="J24" i="8" s="1"/>
  <c r="I11" i="8"/>
  <c r="I17" i="8" s="1"/>
  <c r="I24" i="8" s="1"/>
  <c r="H11" i="8"/>
  <c r="H17" i="8" s="1"/>
  <c r="H24" i="8" s="1"/>
  <c r="Q11" i="8"/>
  <c r="Q17" i="8" s="1"/>
  <c r="Q24" i="8" s="1"/>
  <c r="U8" i="8"/>
  <c r="T8" i="8"/>
  <c r="U7" i="8"/>
  <c r="T7" i="8"/>
  <c r="Y8" i="8"/>
  <c r="X8" i="8"/>
  <c r="W8" i="8"/>
  <c r="V8" i="8"/>
  <c r="Y7" i="8"/>
  <c r="X7" i="8"/>
  <c r="W7" i="8"/>
  <c r="V7" i="8"/>
  <c r="Z8" i="8"/>
  <c r="Z7" i="8"/>
  <c r="AA65" i="9" l="1"/>
  <c r="R85" i="8"/>
  <c r="U65" i="9"/>
  <c r="L85" i="8"/>
  <c r="V65" i="9"/>
  <c r="M85" i="8"/>
  <c r="W65" i="9"/>
  <c r="N85" i="8"/>
  <c r="I85" i="8"/>
  <c r="J85" i="8"/>
  <c r="H85" i="8"/>
  <c r="J12" i="10"/>
  <c r="H12" i="10"/>
  <c r="I12" i="10"/>
  <c r="L28" i="8"/>
  <c r="L12" i="10"/>
  <c r="R28" i="8"/>
  <c r="R12" i="10"/>
  <c r="M28" i="8"/>
  <c r="M12" i="10"/>
  <c r="Q12" i="10"/>
  <c r="T10" i="8"/>
  <c r="V10" i="8"/>
  <c r="W10" i="8"/>
  <c r="U10" i="8"/>
  <c r="Z10" i="8"/>
  <c r="Y10" i="8"/>
  <c r="X10" i="8"/>
  <c r="AC42" i="8"/>
  <c r="AC75" i="8"/>
  <c r="AC52" i="8"/>
  <c r="AC60" i="8"/>
  <c r="R73" i="8"/>
  <c r="Y158" i="8"/>
  <c r="K48" i="9"/>
  <c r="J57" i="8"/>
  <c r="Y67" i="8"/>
  <c r="Z67" i="8"/>
  <c r="AA67" i="8"/>
  <c r="W67" i="8"/>
  <c r="K67" i="8"/>
  <c r="O67" i="8"/>
  <c r="J73" i="8"/>
  <c r="AA82" i="8"/>
  <c r="AA85" i="8" s="1"/>
  <c r="AA10" i="8"/>
  <c r="I73" i="8"/>
  <c r="AA38" i="8"/>
  <c r="AA39" i="8"/>
  <c r="H73" i="8"/>
  <c r="I57" i="8"/>
  <c r="Q143" i="8"/>
  <c r="L143" i="8"/>
  <c r="M143" i="8"/>
  <c r="Q57" i="8"/>
  <c r="N57" i="8"/>
  <c r="H57" i="8"/>
  <c r="M57" i="8"/>
  <c r="L57" i="8"/>
  <c r="F73" i="8"/>
  <c r="W158" i="8"/>
  <c r="V48" i="9"/>
  <c r="U48" i="9"/>
  <c r="X158" i="8"/>
  <c r="U158" i="8"/>
  <c r="V158" i="8"/>
  <c r="T158" i="8"/>
  <c r="K11" i="8"/>
  <c r="K17" i="8" s="1"/>
  <c r="K24" i="8" s="1"/>
  <c r="K82" i="8"/>
  <c r="K57" i="8"/>
  <c r="O57" i="8"/>
  <c r="J86" i="8" l="1"/>
  <c r="J88" i="8" s="1"/>
  <c r="H86" i="8"/>
  <c r="H88" i="8" s="1"/>
  <c r="T65" i="9"/>
  <c r="T66" i="9" s="1"/>
  <c r="T75" i="9" s="1"/>
  <c r="K85" i="8"/>
  <c r="I86" i="8"/>
  <c r="I88" i="8" s="1"/>
  <c r="R86" i="8"/>
  <c r="K28" i="8"/>
  <c r="K12" i="10"/>
  <c r="J28" i="8"/>
  <c r="AA7" i="9"/>
  <c r="AC7" i="9" s="1"/>
  <c r="I28" i="8"/>
  <c r="R18" i="8"/>
  <c r="R96" i="8"/>
  <c r="H28" i="8"/>
  <c r="X67" i="8"/>
  <c r="AC13" i="8"/>
  <c r="AC134" i="8"/>
  <c r="AA57" i="8"/>
  <c r="AA73" i="8"/>
  <c r="AA86" i="8" s="1"/>
  <c r="AC67" i="8"/>
  <c r="AA11" i="8"/>
  <c r="AA17" i="8" s="1"/>
  <c r="AC10" i="8"/>
  <c r="O48" i="9"/>
  <c r="X48" i="9"/>
  <c r="V66" i="9"/>
  <c r="V75" i="9" s="1"/>
  <c r="U66" i="9"/>
  <c r="U75" i="9" s="1"/>
  <c r="R66" i="9"/>
  <c r="R75" i="9" s="1"/>
  <c r="AA29" i="9"/>
  <c r="W29" i="9"/>
  <c r="W66" i="9"/>
  <c r="W75" i="9" s="1"/>
  <c r="AA66" i="9"/>
  <c r="AA75" i="9" s="1"/>
  <c r="AA12" i="9"/>
  <c r="R57" i="8"/>
  <c r="AA27" i="9"/>
  <c r="R143" i="8"/>
  <c r="N143" i="8"/>
  <c r="AA34" i="9"/>
  <c r="T48" i="9"/>
  <c r="M73" i="8"/>
  <c r="L73" i="8"/>
  <c r="K73" i="8"/>
  <c r="N73" i="8"/>
  <c r="U28" i="9"/>
  <c r="X28" i="9"/>
  <c r="Y27" i="9"/>
  <c r="AA31" i="9"/>
  <c r="V28" i="9"/>
  <c r="Z27" i="9"/>
  <c r="W28" i="9"/>
  <c r="X27" i="9"/>
  <c r="T28" i="9"/>
  <c r="M18" i="8"/>
  <c r="M96" i="8"/>
  <c r="L18" i="8"/>
  <c r="L86" i="8" l="1"/>
  <c r="L88" i="8" s="1"/>
  <c r="M86" i="8"/>
  <c r="M88" i="8" s="1"/>
  <c r="K86" i="8"/>
  <c r="K88" i="8" s="1"/>
  <c r="N86" i="8"/>
  <c r="N88" i="8" s="1"/>
  <c r="AA24" i="8"/>
  <c r="AA28" i="8" s="1"/>
  <c r="R35" i="8"/>
  <c r="R32" i="8"/>
  <c r="M35" i="8"/>
  <c r="M32" i="8"/>
  <c r="AC12" i="9"/>
  <c r="L96" i="8"/>
  <c r="I96" i="8"/>
  <c r="J25" i="8"/>
  <c r="J18" i="8"/>
  <c r="I18" i="8"/>
  <c r="R88" i="8"/>
  <c r="R20" i="9"/>
  <c r="R24" i="9" s="1"/>
  <c r="R25" i="8"/>
  <c r="H96" i="8"/>
  <c r="H18" i="8"/>
  <c r="AA88" i="8"/>
  <c r="Y29" i="9"/>
  <c r="Z29" i="9"/>
  <c r="X29" i="9"/>
  <c r="AC29" i="9"/>
  <c r="U29" i="9"/>
  <c r="V29" i="9"/>
  <c r="T29" i="9"/>
  <c r="Z28" i="9"/>
  <c r="Z158" i="8"/>
  <c r="Y28" i="9"/>
  <c r="X131" i="8"/>
  <c r="Z131" i="8"/>
  <c r="Y131" i="8"/>
  <c r="AA131" i="8"/>
  <c r="Z31" i="9"/>
  <c r="M25" i="8"/>
  <c r="Z143" i="8"/>
  <c r="AA143" i="8"/>
  <c r="V131" i="8"/>
  <c r="X143" i="8"/>
  <c r="V143" i="8"/>
  <c r="Y143" i="8"/>
  <c r="O143" i="8"/>
  <c r="Y31" i="9"/>
  <c r="AC99" i="8"/>
  <c r="X31" i="9"/>
  <c r="W131" i="8"/>
  <c r="U131" i="8"/>
  <c r="T131" i="8"/>
  <c r="V27" i="9"/>
  <c r="U27" i="9"/>
  <c r="W27" i="9"/>
  <c r="T27" i="9"/>
  <c r="W31" i="9"/>
  <c r="AC31" i="9" s="1"/>
  <c r="T31" i="9"/>
  <c r="U31" i="9"/>
  <c r="V31" i="9"/>
  <c r="K18" i="8"/>
  <c r="K96" i="8"/>
  <c r="L25" i="8"/>
  <c r="L32" i="8" l="1"/>
  <c r="L35" i="8"/>
  <c r="H35" i="8"/>
  <c r="H32" i="8"/>
  <c r="I32" i="8"/>
  <c r="I35" i="8"/>
  <c r="K35" i="8"/>
  <c r="K32" i="8"/>
  <c r="R117" i="8"/>
  <c r="R151" i="8" s="1"/>
  <c r="M117" i="8"/>
  <c r="M151" i="8" s="1"/>
  <c r="X32" i="9"/>
  <c r="Y32" i="9"/>
  <c r="Z32" i="9"/>
  <c r="T32" i="9"/>
  <c r="AC27" i="9"/>
  <c r="W32" i="9"/>
  <c r="U32" i="9"/>
  <c r="V32" i="9"/>
  <c r="J96" i="8"/>
  <c r="I25" i="8"/>
  <c r="R29" i="8"/>
  <c r="R17" i="9"/>
  <c r="H25" i="8"/>
  <c r="AC31" i="8"/>
  <c r="AC131" i="8"/>
  <c r="AA28" i="9"/>
  <c r="AC28" i="9" s="1"/>
  <c r="AA158" i="8"/>
  <c r="AA23" i="9"/>
  <c r="AC23" i="9" s="1"/>
  <c r="AA19" i="9"/>
  <c r="AA36" i="9"/>
  <c r="R21" i="9"/>
  <c r="I29" i="8"/>
  <c r="K25" i="8"/>
  <c r="T143" i="8"/>
  <c r="K143" i="8"/>
  <c r="W143" i="8"/>
  <c r="AC143" i="8" s="1"/>
  <c r="U143" i="8"/>
  <c r="M29" i="8"/>
  <c r="L29" i="8"/>
  <c r="J35" i="8" l="1"/>
  <c r="J32" i="8"/>
  <c r="H151" i="8"/>
  <c r="L117" i="8"/>
  <c r="L151" i="8" s="1"/>
  <c r="I117" i="8"/>
  <c r="I151" i="8" s="1"/>
  <c r="J29" i="8"/>
  <c r="AA18" i="8"/>
  <c r="AA96" i="8"/>
  <c r="AC19" i="9"/>
  <c r="AA6" i="9"/>
  <c r="AA8" i="9" s="1"/>
  <c r="H29" i="8"/>
  <c r="R25" i="9"/>
  <c r="R32" i="9"/>
  <c r="K29" i="8"/>
  <c r="AA16" i="9" l="1"/>
  <c r="AA20" i="9" s="1"/>
  <c r="AA24" i="9" s="1"/>
  <c r="AA32" i="9" s="1"/>
  <c r="AA35" i="8"/>
  <c r="AA32" i="8"/>
  <c r="J117" i="8"/>
  <c r="J151" i="8" s="1"/>
  <c r="AA29" i="8"/>
  <c r="AA25" i="8"/>
  <c r="W17" i="9"/>
  <c r="V17" i="9"/>
  <c r="T17" i="9"/>
  <c r="Y9" i="9"/>
  <c r="AC6" i="9"/>
  <c r="R40" i="9"/>
  <c r="T21" i="9"/>
  <c r="K117" i="8"/>
  <c r="K151" i="8" s="1"/>
  <c r="U73" i="9" l="1" a="1"/>
  <c r="U73" i="9" s="1"/>
  <c r="V72" i="9"/>
  <c r="U17" i="9"/>
  <c r="X9" i="9"/>
  <c r="AC8" i="9"/>
  <c r="AA9" i="9"/>
  <c r="AC9" i="9" s="1"/>
  <c r="U21" i="9"/>
  <c r="V21" i="9"/>
  <c r="Y17" i="9"/>
  <c r="T74" i="9" a="1"/>
  <c r="T74" i="9" s="1"/>
  <c r="T72" i="9"/>
  <c r="T73" i="9" a="1"/>
  <c r="T73" i="9" s="1"/>
  <c r="T71" i="9"/>
  <c r="T25" i="9"/>
  <c r="T70" i="9"/>
  <c r="B93" i="8"/>
  <c r="B92" i="8"/>
  <c r="F93" i="8"/>
  <c r="E93" i="8"/>
  <c r="D93" i="8"/>
  <c r="C93" i="8"/>
  <c r="F92" i="8"/>
  <c r="E92" i="8"/>
  <c r="D92" i="8"/>
  <c r="C92" i="8"/>
  <c r="B39" i="8"/>
  <c r="B38" i="8"/>
  <c r="Z39" i="8"/>
  <c r="Y39" i="8"/>
  <c r="X39" i="8"/>
  <c r="V39" i="8"/>
  <c r="U39" i="8"/>
  <c r="T39" i="8"/>
  <c r="W39" i="8"/>
  <c r="Z38" i="8"/>
  <c r="Y38" i="8"/>
  <c r="X38" i="8"/>
  <c r="W38" i="8"/>
  <c r="V38" i="8"/>
  <c r="U38" i="8"/>
  <c r="T38" i="8"/>
  <c r="V74" i="9" l="1" a="1"/>
  <c r="V74" i="9" s="1"/>
  <c r="U71" i="9"/>
  <c r="V25" i="9"/>
  <c r="V70" i="9"/>
  <c r="V73" i="9" a="1"/>
  <c r="V73" i="9" s="1"/>
  <c r="U74" i="9" a="1"/>
  <c r="U74" i="9" s="1"/>
  <c r="V71" i="9"/>
  <c r="U72" i="9"/>
  <c r="U25" i="9"/>
  <c r="U70" i="9"/>
  <c r="W70" i="9"/>
  <c r="W21" i="9"/>
  <c r="X17" i="9"/>
  <c r="Y21" i="9"/>
  <c r="T92" i="8"/>
  <c r="T93" i="8"/>
  <c r="W92" i="8"/>
  <c r="X92" i="8"/>
  <c r="X93" i="8"/>
  <c r="Y93" i="8"/>
  <c r="V92" i="8"/>
  <c r="Y92" i="8"/>
  <c r="V93" i="8"/>
  <c r="U93" i="8"/>
  <c r="Z92" i="8"/>
  <c r="W93" i="8"/>
  <c r="U92" i="8"/>
  <c r="Z93" i="8"/>
  <c r="W74" i="9" l="1" a="1"/>
  <c r="W74" i="9" s="1"/>
  <c r="W73" i="9" a="1"/>
  <c r="W73" i="9" s="1"/>
  <c r="W25" i="9"/>
  <c r="W71" i="9"/>
  <c r="W72" i="9"/>
  <c r="X21" i="9"/>
  <c r="AA17" i="9"/>
  <c r="AC17" i="9" s="1"/>
  <c r="AC16" i="9"/>
  <c r="Y72" i="9"/>
  <c r="Y25" i="9"/>
  <c r="Y74" i="9" a="1"/>
  <c r="Y74" i="9" s="1"/>
  <c r="Y73" i="9" a="1"/>
  <c r="Y73" i="9" s="1"/>
  <c r="Y70" i="9"/>
  <c r="Y71" i="9"/>
  <c r="AC20" i="9" l="1"/>
  <c r="AA21" i="9"/>
  <c r="AC21" i="9" s="1"/>
  <c r="X72" i="9"/>
  <c r="X71" i="9"/>
  <c r="X73" i="9" a="1"/>
  <c r="X73" i="9" s="1"/>
  <c r="X25" i="9"/>
  <c r="X74" i="9" a="1"/>
  <c r="X74" i="9" s="1"/>
  <c r="X70" i="9"/>
  <c r="AA72" i="9" l="1"/>
  <c r="AC24" i="9"/>
  <c r="AA73" i="9" a="1"/>
  <c r="AA73" i="9" s="1"/>
  <c r="AA25" i="9"/>
  <c r="AC25" i="9" s="1"/>
  <c r="AA71" i="9"/>
  <c r="AA70" i="9"/>
  <c r="AA74" i="9" a="1"/>
  <c r="AA74" i="9" s="1"/>
  <c r="AC32" i="9"/>
  <c r="O82" i="8" l="1"/>
  <c r="Q82" i="8"/>
  <c r="Z65" i="9" l="1"/>
  <c r="Q85" i="8"/>
  <c r="X65" i="9"/>
  <c r="X66" i="9" s="1"/>
  <c r="X75" i="9" s="1"/>
  <c r="O85" i="8"/>
  <c r="P57" i="8"/>
  <c r="P82" i="8"/>
  <c r="Y65" i="9" l="1"/>
  <c r="Y66" i="9" s="1"/>
  <c r="Y75" i="9" s="1"/>
  <c r="P85" i="8"/>
  <c r="R9" i="9"/>
  <c r="R10" i="9"/>
  <c r="Z66" i="9"/>
  <c r="Z75" i="9" s="1"/>
  <c r="U11" i="8" l="1"/>
  <c r="U17" i="8" s="1"/>
  <c r="E57" i="8"/>
  <c r="D57" i="8"/>
  <c r="C57" i="8"/>
  <c r="F57" i="8"/>
  <c r="U24" i="8" l="1"/>
  <c r="U28" i="8" s="1"/>
  <c r="V11" i="8"/>
  <c r="V17" i="8" s="1"/>
  <c r="V49" i="8"/>
  <c r="V57" i="8" s="1"/>
  <c r="V82" i="8"/>
  <c r="V85" i="8" s="1"/>
  <c r="T49" i="8"/>
  <c r="T57" i="8" s="1"/>
  <c r="V67" i="8"/>
  <c r="V73" i="8" s="1"/>
  <c r="U67" i="8"/>
  <c r="U73" i="8" s="1"/>
  <c r="U49" i="8"/>
  <c r="U57" i="8" s="1"/>
  <c r="T82" i="8"/>
  <c r="T85" i="8" s="1"/>
  <c r="T11" i="8"/>
  <c r="T17" i="8" s="1"/>
  <c r="T67" i="8"/>
  <c r="T73" i="8" s="1"/>
  <c r="U82" i="8"/>
  <c r="U85" i="8" s="1"/>
  <c r="X82" i="8"/>
  <c r="X85" i="8" s="1"/>
  <c r="X57" i="8"/>
  <c r="Y82" i="8"/>
  <c r="Y85" i="8" s="1"/>
  <c r="Y86" i="8" s="1"/>
  <c r="X11" i="8"/>
  <c r="X17" i="8" s="1"/>
  <c r="X73" i="8"/>
  <c r="Y73" i="8"/>
  <c r="W11" i="8"/>
  <c r="W17" i="8" s="1"/>
  <c r="Y11" i="8"/>
  <c r="Y17" i="8" s="1"/>
  <c r="Y57" i="8"/>
  <c r="X86" i="8" l="1"/>
  <c r="U86" i="8"/>
  <c r="U88" i="8" s="1"/>
  <c r="T86" i="8"/>
  <c r="T88" i="8" s="1"/>
  <c r="V86" i="8"/>
  <c r="Y24" i="8"/>
  <c r="Y28" i="8" s="1"/>
  <c r="W24" i="8"/>
  <c r="W28" i="8" s="1"/>
  <c r="V24" i="8"/>
  <c r="V28" i="8" s="1"/>
  <c r="T24" i="8"/>
  <c r="T28" i="8" s="1"/>
  <c r="X24" i="8"/>
  <c r="X28" i="8" s="1"/>
  <c r="AC11" i="8"/>
  <c r="V88" i="8"/>
  <c r="X88" i="8"/>
  <c r="Y88" i="8"/>
  <c r="T18" i="8" l="1"/>
  <c r="U18" i="8"/>
  <c r="U96" i="8" l="1"/>
  <c r="U25" i="8"/>
  <c r="Y18" i="8"/>
  <c r="X96" i="8"/>
  <c r="W96" i="8"/>
  <c r="AC17" i="8"/>
  <c r="X18" i="8"/>
  <c r="W18" i="8"/>
  <c r="AC18" i="8" s="1"/>
  <c r="V18" i="8"/>
  <c r="Y96" i="8"/>
  <c r="Z72" i="9"/>
  <c r="Z17" i="9"/>
  <c r="W32" i="8" l="1"/>
  <c r="W35" i="8"/>
  <c r="Y35" i="8"/>
  <c r="Y32" i="8"/>
  <c r="X32" i="8"/>
  <c r="X35" i="8"/>
  <c r="U35" i="8"/>
  <c r="U32" i="8"/>
  <c r="U29" i="8"/>
  <c r="T96" i="8"/>
  <c r="V96" i="8"/>
  <c r="X25" i="8"/>
  <c r="V25" i="8"/>
  <c r="W25" i="8"/>
  <c r="AC25" i="8" s="1"/>
  <c r="AC24" i="8"/>
  <c r="T25" i="8"/>
  <c r="Y25" i="8"/>
  <c r="Z21" i="9"/>
  <c r="X29" i="8"/>
  <c r="Y29" i="8"/>
  <c r="V32" i="8" l="1"/>
  <c r="V35" i="8"/>
  <c r="T32" i="8"/>
  <c r="T35" i="8"/>
  <c r="V29" i="8"/>
  <c r="T29" i="8"/>
  <c r="AC35" i="8"/>
  <c r="AC32" i="8"/>
  <c r="AC28" i="8"/>
  <c r="W29" i="8"/>
  <c r="AC29" i="8" s="1"/>
  <c r="Z74" i="9" a="1"/>
  <c r="Z74" i="9" s="1"/>
  <c r="Z25" i="9"/>
  <c r="Z73" i="9" a="1"/>
  <c r="Z73" i="9" s="1"/>
  <c r="Z70" i="9"/>
  <c r="Z71" i="9"/>
  <c r="W73" i="8" l="1"/>
  <c r="AC73" i="8" s="1"/>
  <c r="N11" i="8" l="1"/>
  <c r="N17" i="8" s="1"/>
  <c r="N24" i="8" s="1"/>
  <c r="F11" i="8"/>
  <c r="F17" i="8" s="1"/>
  <c r="F24" i="8" s="1"/>
  <c r="E11" i="8"/>
  <c r="E17" i="8" s="1"/>
  <c r="E24" i="8" s="1"/>
  <c r="D11" i="8"/>
  <c r="D17" i="8" s="1"/>
  <c r="D24" i="8" s="1"/>
  <c r="C11" i="8"/>
  <c r="C17" i="8" s="1"/>
  <c r="C24" i="8" s="1"/>
  <c r="F82" i="8"/>
  <c r="E82" i="8"/>
  <c r="D82" i="8"/>
  <c r="C82" i="8"/>
  <c r="Q73" i="8"/>
  <c r="O73" i="8"/>
  <c r="Z11" i="8"/>
  <c r="Z17" i="8" s="1"/>
  <c r="P66" i="9"/>
  <c r="P75" i="9" s="1"/>
  <c r="H66" i="9"/>
  <c r="O86" i="8" l="1"/>
  <c r="Q86" i="8"/>
  <c r="F66" i="9"/>
  <c r="F75" i="9" s="1"/>
  <c r="F85" i="8"/>
  <c r="F86" i="8" s="1"/>
  <c r="D66" i="9"/>
  <c r="D75" i="9" s="1"/>
  <c r="D85" i="8"/>
  <c r="E66" i="9"/>
  <c r="E75" i="9" s="1"/>
  <c r="E85" i="8"/>
  <c r="C85" i="8"/>
  <c r="Z24" i="8"/>
  <c r="Z28" i="8" s="1"/>
  <c r="C12" i="10"/>
  <c r="D12" i="10"/>
  <c r="E12" i="10"/>
  <c r="F28" i="8"/>
  <c r="F12" i="10"/>
  <c r="N28" i="8"/>
  <c r="N12" i="10"/>
  <c r="C28" i="8"/>
  <c r="D28" i="8"/>
  <c r="E28" i="8"/>
  <c r="C73" i="8"/>
  <c r="E73" i="8"/>
  <c r="D73" i="8"/>
  <c r="I66" i="9"/>
  <c r="Q66" i="9"/>
  <c r="Q75" i="9" s="1"/>
  <c r="J66" i="9"/>
  <c r="J20" i="9"/>
  <c r="J24" i="9" s="1"/>
  <c r="P9" i="9"/>
  <c r="P10" i="9"/>
  <c r="W82" i="8"/>
  <c r="W85" i="8" s="1"/>
  <c r="Q28" i="8"/>
  <c r="P73" i="8"/>
  <c r="Z73" i="8"/>
  <c r="Z82" i="8"/>
  <c r="Z85" i="8" s="1"/>
  <c r="F20" i="9"/>
  <c r="F24" i="9" s="1"/>
  <c r="F9" i="9"/>
  <c r="D20" i="9"/>
  <c r="D24" i="9" s="1"/>
  <c r="D9" i="9"/>
  <c r="E20" i="9"/>
  <c r="E24" i="9" s="1"/>
  <c r="E9" i="9"/>
  <c r="L66" i="9"/>
  <c r="L75" i="9" s="1"/>
  <c r="C20" i="9"/>
  <c r="C24" i="9" s="1"/>
  <c r="M66" i="9"/>
  <c r="M75" i="9" s="1"/>
  <c r="N66" i="9"/>
  <c r="N75" i="9" s="1"/>
  <c r="Z86" i="8" l="1"/>
  <c r="C86" i="8"/>
  <c r="D86" i="8"/>
  <c r="D88" i="8" s="1"/>
  <c r="P86" i="8"/>
  <c r="E86" i="8"/>
  <c r="E88" i="8" s="1"/>
  <c r="W86" i="8"/>
  <c r="AC86" i="8" s="1"/>
  <c r="AC85" i="8"/>
  <c r="Q96" i="8"/>
  <c r="F96" i="8"/>
  <c r="N18" i="8"/>
  <c r="C96" i="8"/>
  <c r="C117" i="8" s="1"/>
  <c r="D96" i="8"/>
  <c r="E18" i="8"/>
  <c r="C88" i="8"/>
  <c r="O66" i="9"/>
  <c r="O75" i="9" s="1"/>
  <c r="O88" i="8"/>
  <c r="AC49" i="8"/>
  <c r="Q88" i="8"/>
  <c r="F88" i="8"/>
  <c r="K66" i="9"/>
  <c r="K75" i="9" s="1"/>
  <c r="K10" i="9"/>
  <c r="O9" i="9"/>
  <c r="L9" i="9"/>
  <c r="M10" i="9"/>
  <c r="O20" i="9"/>
  <c r="O24" i="9" s="1"/>
  <c r="J10" i="9"/>
  <c r="L10" i="9"/>
  <c r="I10" i="9"/>
  <c r="M20" i="9"/>
  <c r="M24" i="9" s="1"/>
  <c r="K20" i="9"/>
  <c r="K24" i="9" s="1"/>
  <c r="M71" i="9" s="1"/>
  <c r="M9" i="9"/>
  <c r="Z57" i="8"/>
  <c r="N9" i="9"/>
  <c r="N20" i="9"/>
  <c r="N24" i="9" s="1"/>
  <c r="N10" i="9"/>
  <c r="P20" i="9"/>
  <c r="P24" i="9" s="1"/>
  <c r="Z9" i="9"/>
  <c r="I20" i="9"/>
  <c r="I24" i="9" s="1"/>
  <c r="O10" i="9"/>
  <c r="Q9" i="9"/>
  <c r="Q20" i="9"/>
  <c r="Q24" i="9" s="1"/>
  <c r="Q10" i="9"/>
  <c r="H20" i="9"/>
  <c r="H24" i="9" s="1"/>
  <c r="L20" i="9"/>
  <c r="L24" i="9" s="1"/>
  <c r="M70" i="9" l="1"/>
  <c r="N73" i="9" a="1"/>
  <c r="N73" i="9" s="1"/>
  <c r="N74" i="9" a="1"/>
  <c r="N74" i="9" s="1"/>
  <c r="N72" i="9" a="1"/>
  <c r="N72" i="9" s="1"/>
  <c r="N70" i="9"/>
  <c r="N71" i="9"/>
  <c r="P74" i="9" a="1"/>
  <c r="P74" i="9" s="1"/>
  <c r="P72" i="9" a="1"/>
  <c r="P72" i="9" s="1"/>
  <c r="P73" i="9" a="1"/>
  <c r="P73" i="9" s="1"/>
  <c r="P70" i="9"/>
  <c r="P71" i="9"/>
  <c r="M74" i="9" a="1"/>
  <c r="M74" i="9" s="1"/>
  <c r="M73" i="9" a="1"/>
  <c r="M73" i="9" s="1"/>
  <c r="Q74" i="9" a="1"/>
  <c r="Q74" i="9" s="1"/>
  <c r="Q72" i="9" a="1"/>
  <c r="Q72" i="9" s="1"/>
  <c r="Q73" i="9" a="1"/>
  <c r="Q73" i="9" s="1"/>
  <c r="Q71" i="9"/>
  <c r="Q70" i="9"/>
  <c r="L74" i="9" a="1"/>
  <c r="L74" i="9" s="1"/>
  <c r="L72" i="9" a="1"/>
  <c r="L72" i="9" s="1"/>
  <c r="L73" i="9" a="1"/>
  <c r="L73" i="9" s="1"/>
  <c r="L70" i="9"/>
  <c r="L71" i="9"/>
  <c r="O73" i="9" a="1"/>
  <c r="O73" i="9" s="1"/>
  <c r="O74" i="9" a="1"/>
  <c r="O74" i="9" s="1"/>
  <c r="O72" i="9" a="1"/>
  <c r="O72" i="9" s="1"/>
  <c r="O71" i="9"/>
  <c r="O70" i="9"/>
  <c r="K74" i="9" a="1"/>
  <c r="K74" i="9" s="1"/>
  <c r="K72" i="9" a="1"/>
  <c r="K72" i="9" s="1"/>
  <c r="K73" i="9" a="1"/>
  <c r="K73" i="9" s="1"/>
  <c r="K70" i="9"/>
  <c r="K71" i="9"/>
  <c r="M72" i="9" a="1"/>
  <c r="M72" i="9" s="1"/>
  <c r="D35" i="8"/>
  <c r="D32" i="8"/>
  <c r="C32" i="8"/>
  <c r="C35" i="8"/>
  <c r="F32" i="8"/>
  <c r="F35" i="8"/>
  <c r="Q32" i="8"/>
  <c r="Q35" i="8"/>
  <c r="R70" i="9"/>
  <c r="M17" i="9"/>
  <c r="Q18" i="8"/>
  <c r="F18" i="8"/>
  <c r="C18" i="8"/>
  <c r="E96" i="8"/>
  <c r="N96" i="8"/>
  <c r="D18" i="8"/>
  <c r="W57" i="8"/>
  <c r="Z96" i="8"/>
  <c r="D25" i="8"/>
  <c r="Q25" i="8"/>
  <c r="Z18" i="8"/>
  <c r="F25" i="8"/>
  <c r="P88" i="8"/>
  <c r="F29" i="8"/>
  <c r="C25" i="8"/>
  <c r="D72" i="9"/>
  <c r="D17" i="9"/>
  <c r="C72" i="9"/>
  <c r="C17" i="9"/>
  <c r="E72" i="9"/>
  <c r="E17" i="9"/>
  <c r="J17" i="9"/>
  <c r="O17" i="9"/>
  <c r="K17" i="9"/>
  <c r="F17" i="9"/>
  <c r="F72" i="9"/>
  <c r="N32" i="8" l="1"/>
  <c r="N35" i="8"/>
  <c r="E32" i="8"/>
  <c r="E35" i="8"/>
  <c r="Z35" i="8"/>
  <c r="Z32" i="8"/>
  <c r="Q117" i="8"/>
  <c r="Q151" i="8" s="1"/>
  <c r="F117" i="8"/>
  <c r="F151" i="8" s="1"/>
  <c r="D117" i="8"/>
  <c r="W88" i="8"/>
  <c r="AC57" i="8"/>
  <c r="E25" i="8"/>
  <c r="E29" i="8"/>
  <c r="N25" i="8"/>
  <c r="D29" i="8"/>
  <c r="Q29" i="8"/>
  <c r="C29" i="8"/>
  <c r="Z88" i="8"/>
  <c r="Z25" i="8"/>
  <c r="F21" i="9"/>
  <c r="I17" i="9"/>
  <c r="O21" i="9"/>
  <c r="E21" i="9"/>
  <c r="C21" i="9"/>
  <c r="J21" i="9"/>
  <c r="N17" i="9"/>
  <c r="D21" i="9"/>
  <c r="P17" i="9"/>
  <c r="L17" i="9"/>
  <c r="H17" i="9"/>
  <c r="K21" i="9"/>
  <c r="Q17" i="9"/>
  <c r="E117" i="8" l="1"/>
  <c r="E151" i="8" s="1"/>
  <c r="N117" i="8"/>
  <c r="N151" i="8" s="1"/>
  <c r="N29" i="8"/>
  <c r="R74" i="9" a="1"/>
  <c r="R74" i="9" s="1"/>
  <c r="R71" i="9"/>
  <c r="R72" i="9" a="1"/>
  <c r="R72" i="9" s="1"/>
  <c r="R73" i="9" a="1"/>
  <c r="R73" i="9" s="1"/>
  <c r="D151" i="8"/>
  <c r="C151" i="8"/>
  <c r="V117" i="8"/>
  <c r="M21" i="9"/>
  <c r="H21" i="9"/>
  <c r="L21" i="9"/>
  <c r="I21" i="9"/>
  <c r="C73" i="9" a="1"/>
  <c r="C73" i="9" s="1"/>
  <c r="C74" i="9" a="1"/>
  <c r="C74" i="9" s="1"/>
  <c r="C32" i="9"/>
  <c r="C25" i="9"/>
  <c r="E74" i="9" a="1"/>
  <c r="E74" i="9" s="1"/>
  <c r="E73" i="9" a="1"/>
  <c r="E73" i="9" s="1"/>
  <c r="E25" i="9"/>
  <c r="E32" i="9"/>
  <c r="E39" i="9" s="1"/>
  <c r="E70" i="9"/>
  <c r="E71" i="9"/>
  <c r="F73" i="9" a="1"/>
  <c r="F73" i="9" s="1"/>
  <c r="F74" i="9" a="1"/>
  <c r="F74" i="9" s="1"/>
  <c r="F25" i="9"/>
  <c r="F71" i="9"/>
  <c r="F32" i="9"/>
  <c r="F39" i="9" s="1"/>
  <c r="F70" i="9"/>
  <c r="M25" i="9"/>
  <c r="M32" i="9"/>
  <c r="M39" i="9" s="1"/>
  <c r="Q21" i="9"/>
  <c r="P21" i="9"/>
  <c r="K32" i="9"/>
  <c r="K39" i="9" s="1"/>
  <c r="K25" i="9"/>
  <c r="J32" i="9"/>
  <c r="J39" i="9" s="1"/>
  <c r="J25" i="9"/>
  <c r="N21" i="9"/>
  <c r="D74" i="9" a="1"/>
  <c r="D74" i="9" s="1"/>
  <c r="D32" i="9"/>
  <c r="D39" i="9" s="1"/>
  <c r="D25" i="9"/>
  <c r="D73" i="9" a="1"/>
  <c r="D73" i="9" s="1"/>
  <c r="D71" i="9"/>
  <c r="D70" i="9"/>
  <c r="O25" i="9"/>
  <c r="O32" i="9"/>
  <c r="O39" i="9" s="1"/>
  <c r="W117" i="8" l="1"/>
  <c r="T117" i="8"/>
  <c r="U117" i="8"/>
  <c r="Z29" i="8"/>
  <c r="C40" i="9"/>
  <c r="L32" i="9"/>
  <c r="L39" i="9" s="1"/>
  <c r="V39" i="9" s="1"/>
  <c r="V40" i="9" s="1"/>
  <c r="L25" i="9"/>
  <c r="F40" i="9"/>
  <c r="E40" i="9"/>
  <c r="P32" i="9"/>
  <c r="P39" i="9" s="1"/>
  <c r="P25" i="9"/>
  <c r="I32" i="9"/>
  <c r="I39" i="9" s="1"/>
  <c r="I25" i="9"/>
  <c r="D40" i="9"/>
  <c r="N25" i="9"/>
  <c r="N32" i="9"/>
  <c r="N39" i="9" s="1"/>
  <c r="O40" i="9"/>
  <c r="H32" i="9"/>
  <c r="H25" i="9"/>
  <c r="Q25" i="9"/>
  <c r="Q32" i="9"/>
  <c r="Q39" i="9" s="1"/>
  <c r="Z39" i="9" l="1"/>
  <c r="Z40" i="9" s="1"/>
  <c r="U39" i="9"/>
  <c r="U40" i="9" s="1"/>
  <c r="T39" i="9"/>
  <c r="T40" i="9" s="1"/>
  <c r="X39" i="9"/>
  <c r="X40" i="9" s="1"/>
  <c r="Y39" i="9"/>
  <c r="Y40" i="9" s="1"/>
  <c r="W39" i="9"/>
  <c r="W40" i="9" s="1"/>
  <c r="AA39" i="9"/>
  <c r="AA40" i="9" s="1"/>
  <c r="P40" i="9"/>
  <c r="Q40" i="9"/>
  <c r="N40" i="9"/>
  <c r="M40" i="9"/>
  <c r="H40" i="9"/>
  <c r="J40" i="9"/>
  <c r="K40" i="9"/>
  <c r="I40" i="9" l="1"/>
  <c r="L40" i="9"/>
  <c r="C147" i="8" l="1"/>
  <c r="C152" i="8" s="1"/>
  <c r="C154" i="8" s="1"/>
  <c r="D145" i="8" l="1"/>
  <c r="D147" i="8" s="1"/>
  <c r="D152" i="8" s="1"/>
  <c r="D154" i="8" s="1"/>
  <c r="E145" i="8" l="1"/>
  <c r="H145" i="8" s="1"/>
  <c r="E147" i="8" l="1"/>
  <c r="E152" i="8" l="1"/>
  <c r="E154" i="8" s="1"/>
  <c r="F145" i="8" l="1"/>
  <c r="F147" i="8" s="1"/>
  <c r="F152" i="8" s="1"/>
  <c r="F154" i="8" s="1"/>
  <c r="H147" i="8"/>
  <c r="H152" i="8" s="1"/>
  <c r="H154" i="8" s="1"/>
  <c r="I145" i="8" l="1"/>
  <c r="I147" i="8" s="1"/>
  <c r="I152" i="8" s="1"/>
  <c r="I154" i="8" s="1"/>
  <c r="J145" i="8" l="1"/>
  <c r="J147" i="8" s="1"/>
  <c r="J152" i="8" s="1"/>
  <c r="J154" i="8" s="1"/>
  <c r="K145" i="8" l="1"/>
  <c r="K147" i="8" l="1"/>
  <c r="K152" i="8" s="1"/>
  <c r="K154" i="8" s="1"/>
  <c r="T145" i="8"/>
  <c r="L145" i="8"/>
  <c r="L147" i="8" l="1"/>
  <c r="L152" i="8" s="1"/>
  <c r="L154" i="8" s="1"/>
  <c r="U145" i="8"/>
  <c r="M145" i="8"/>
  <c r="M147" i="8" l="1"/>
  <c r="M152" i="8" s="1"/>
  <c r="M154" i="8" s="1"/>
  <c r="V145" i="8"/>
  <c r="N145" i="8"/>
  <c r="N147" i="8" l="1"/>
  <c r="N152" i="8" s="1"/>
  <c r="N154" i="8" s="1"/>
  <c r="W145" i="8"/>
  <c r="O145" i="8"/>
  <c r="O147" i="8" l="1"/>
  <c r="X145" i="8"/>
  <c r="P11" i="8"/>
  <c r="P17" i="8" s="1"/>
  <c r="P24" i="8" s="1"/>
  <c r="P28" i="8" l="1"/>
  <c r="P12" i="10"/>
  <c r="P96" i="8" l="1"/>
  <c r="P32" i="8" l="1"/>
  <c r="P35" i="8"/>
  <c r="P18" i="8"/>
  <c r="P25" i="8"/>
  <c r="P29" i="8" l="1"/>
  <c r="P117" i="8" l="1"/>
  <c r="P151" i="8" s="1"/>
  <c r="O11" i="8"/>
  <c r="O17" i="8" s="1"/>
  <c r="O24" i="8" s="1"/>
  <c r="O28" i="8" l="1"/>
  <c r="O12" i="10"/>
  <c r="O96" i="8" l="1"/>
  <c r="O32" i="8" l="1"/>
  <c r="O35" i="8"/>
  <c r="O18" i="8"/>
  <c r="O25" i="8"/>
  <c r="O29" i="8" l="1"/>
  <c r="AA117" i="8" l="1"/>
  <c r="AC117" i="8" s="1"/>
  <c r="AC96" i="8"/>
  <c r="X117" i="8"/>
  <c r="Y117" i="8"/>
  <c r="O117" i="8"/>
  <c r="O151" i="8" s="1"/>
  <c r="O152" i="8" l="1"/>
  <c r="O154" i="8" s="1"/>
  <c r="Z117" i="8"/>
  <c r="P145" i="8" l="1"/>
  <c r="P147" i="8" l="1"/>
  <c r="P152" i="8" s="1"/>
  <c r="P154" i="8" s="1"/>
  <c r="Y145" i="8"/>
  <c r="Q145" i="8"/>
  <c r="T147" i="8"/>
  <c r="T152" i="8" s="1"/>
  <c r="T154" i="8" s="1"/>
  <c r="Q147" i="8" l="1"/>
  <c r="Q152" i="8" s="1"/>
  <c r="Q154" i="8" s="1"/>
  <c r="Z145" i="8"/>
  <c r="U147" i="8"/>
  <c r="U152" i="8" s="1"/>
  <c r="U154" i="8" s="1"/>
  <c r="R145" i="8"/>
  <c r="R147" i="8" l="1"/>
  <c r="R152" i="8" s="1"/>
  <c r="R154" i="8" s="1"/>
  <c r="AA145" i="8"/>
  <c r="V147" i="8"/>
  <c r="V152" i="8" s="1"/>
  <c r="V154" i="8" s="1"/>
  <c r="C66" i="9"/>
  <c r="C75" i="9" s="1"/>
  <c r="C70" i="9"/>
  <c r="C71" i="9"/>
  <c r="W147" i="8" l="1"/>
  <c r="W152" i="8" s="1"/>
  <c r="W154" i="8" s="1"/>
  <c r="X147" i="8" l="1"/>
  <c r="X152" i="8" s="1"/>
  <c r="X154" i="8" s="1"/>
  <c r="Y147" i="8" l="1"/>
  <c r="Y152" i="8" s="1"/>
  <c r="Y154" i="8" s="1"/>
  <c r="Z147" i="8" l="1"/>
  <c r="Z152" i="8" s="1"/>
  <c r="Z154" i="8" s="1"/>
  <c r="AA147" i="8" l="1"/>
  <c r="AA152" i="8" s="1"/>
  <c r="AA15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<sst xmlns="http://schemas.openxmlformats.org/spreadsheetml/2006/main" count="258" uniqueCount="193">
  <si>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</si>
  <si>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</si>
  <si>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</si>
  <si>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</si>
  <si>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</si>
  <si>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</si>
  <si>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</si>
  <si>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</si>
  <si>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</si>
  <si>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</si>
  <si>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</si>
  <si>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</si>
  <si>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</si>
  <si>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</si>
  <si>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Liabilities</t>
  </si>
  <si>
    <t>X</t>
  </si>
  <si>
    <t>Total Current Liabilities</t>
  </si>
  <si>
    <t>Total Current Assets</t>
  </si>
  <si>
    <t>Total Assets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</si>
  <si>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</si>
  <si>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</si>
  <si>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</si>
  <si>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</si>
  <si>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</si>
  <si>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</si>
  <si>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</si>
  <si>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</si>
  <si>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</si>
  <si>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</si>
  <si>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</si>
  <si>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</si>
  <si>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</si>
  <si>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</si>
  <si>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</si>
  <si>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</si>
  <si>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</si>
  <si>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</si>
  <si>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</si>
  <si>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</si>
  <si>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</si>
  <si>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</si>
  <si>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</si>
  <si>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</si>
  <si>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Book Capitalization</t>
  </si>
  <si>
    <t>Debt-to-Book Capitalization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</si>
  <si>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</si>
  <si>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</si>
  <si>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</si>
  <si>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</si>
  <si>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</si>
  <si>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</si>
  <si>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</si>
  <si>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</si>
  <si>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</si>
  <si>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</si>
  <si>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</si>
  <si>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</si>
  <si>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</si>
  <si>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</si>
  <si>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</si>
  <si>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</si>
  <si>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</si>
  <si>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</si>
  <si>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</si>
  <si>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</si>
  <si>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</si>
  <si>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</si>
  <si>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</si>
  <si>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</si>
  <si>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</si>
  <si>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</si>
  <si>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</si>
  <si>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</si>
  <si>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</si>
  <si>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</si>
  <si>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</si>
  <si>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</si>
  <si>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</si>
  <si>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</si>
  <si>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</si>
  <si>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</si>
  <si>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</si>
  <si>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</si>
  <si>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</si>
  <si>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</si>
  <si>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</si>
  <si>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</si>
  <si>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Interest paid</t>
  </si>
  <si>
    <t>BOP Restricted Cash Adjustment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</si>
  <si>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</si>
  <si>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</si>
  <si>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</si>
  <si>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</si>
  <si>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</si>
  <si>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</si>
  <si>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Net Income</t>
  </si>
  <si>
    <t>Goodwill</t>
  </si>
  <si>
    <t xml:space="preserve">Income taxes paid </t>
  </si>
  <si>
    <t>(+) Stock-Based Compensation</t>
  </si>
  <si>
    <t>(-) Share Repurchases</t>
  </si>
  <si>
    <t>Accounts Receivable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</si>
  <si>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</si>
  <si>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</si>
  <si>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</si>
  <si>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</si>
  <si>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</si>
  <si>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</si>
  <si>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</si>
  <si>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 xml:space="preserve">U.S. </t>
  </si>
  <si>
    <t>International</t>
  </si>
  <si>
    <t>Payment Network</t>
  </si>
  <si>
    <t>Value-Added Services</t>
  </si>
  <si>
    <t>Mastercard Inc (NYSE: MA)</t>
  </si>
  <si>
    <t>General and administrative</t>
  </si>
  <si>
    <t>Advertising and marketing</t>
  </si>
  <si>
    <t>Depreciation and amortization</t>
  </si>
  <si>
    <t>Provision for litigation</t>
  </si>
  <si>
    <t>Investment income</t>
  </si>
  <si>
    <t>Gains (losses) on equity investments, net</t>
  </si>
  <si>
    <t>Interest expense</t>
  </si>
  <si>
    <t>Other income (expense), net</t>
  </si>
  <si>
    <t>Income tax expense</t>
  </si>
  <si>
    <t>Cash and cash equivalents</t>
  </si>
  <si>
    <t>Restricted cash and restricted cash equivalents</t>
  </si>
  <si>
    <t>Restricted security deposits held for customers</t>
  </si>
  <si>
    <t>Investments</t>
  </si>
  <si>
    <t>Accounts receivable</t>
  </si>
  <si>
    <t>Settlement assets</t>
  </si>
  <si>
    <t>Prepaid expenses and other current assets</t>
  </si>
  <si>
    <t>Property, equipment and right-of-use assets, net</t>
  </si>
  <si>
    <t>Deferred income taxes</t>
  </si>
  <si>
    <t>Other intangible assets, net</t>
  </si>
  <si>
    <t>Other assets</t>
  </si>
  <si>
    <t>Accounts payable</t>
  </si>
  <si>
    <t>Settlement obligations</t>
  </si>
  <si>
    <t>Accrued litigation</t>
  </si>
  <si>
    <t>Accrued expenses</t>
  </si>
  <si>
    <t>Short-term debt</t>
  </si>
  <si>
    <t>Other current liabilities</t>
  </si>
  <si>
    <t>Long-term debt</t>
  </si>
  <si>
    <t>Other liabilities</t>
  </si>
  <si>
    <t>Non-controlling interests</t>
  </si>
  <si>
    <t>Mastercard Incorporated Stockholders' Equity</t>
  </si>
  <si>
    <t>Total Equity</t>
  </si>
  <si>
    <t>Total liabilities and equity</t>
  </si>
  <si>
    <t>Class A common stock</t>
  </si>
  <si>
    <t>Class B common stock</t>
  </si>
  <si>
    <t>Additional paid-in-capital</t>
  </si>
  <si>
    <t>Class A treasury stock</t>
  </si>
  <si>
    <t>Retained earnings</t>
  </si>
  <si>
    <t>Accumulated other comprehensive income (loss)</t>
  </si>
  <si>
    <t>Redeemable Non-controlling Interests</t>
  </si>
  <si>
    <t>Changes in Working Capital</t>
  </si>
  <si>
    <t>Amortization of customer incentives</t>
  </si>
  <si>
    <t>(Gains) losses on equity investments, net</t>
  </si>
  <si>
    <t>Share-based compensation</t>
  </si>
  <si>
    <t>Other</t>
  </si>
  <si>
    <t>Income taxes receivable</t>
  </si>
  <si>
    <t>Prepaid expenses</t>
  </si>
  <si>
    <t>Accrued litigation and legal settlements</t>
  </si>
  <si>
    <t>Long-term taxes payable</t>
  </si>
  <si>
    <t>Purchases of investment securities available-for-sale</t>
  </si>
  <si>
    <t>Purchases of investments held-to-maturity</t>
  </si>
  <si>
    <t>Proceeds from sales of investment securities available-for-sale</t>
  </si>
  <si>
    <t>Proceeds from maturities of investment securities available-for-sale</t>
  </si>
  <si>
    <t>Proceeds from maturities of investments held-to-maturity</t>
  </si>
  <si>
    <t>Purchases of property and equipment</t>
  </si>
  <si>
    <t>Capitalized software</t>
  </si>
  <si>
    <t>Purchases of equity investments</t>
  </si>
  <si>
    <t>Proceeds from sales of equity investments</t>
  </si>
  <si>
    <t>Acquisition of businesses, net of cash acquired</t>
  </si>
  <si>
    <t>Other investing activities</t>
  </si>
  <si>
    <t>Purchases of treasury stock</t>
  </si>
  <si>
    <t>Dividends paid</t>
  </si>
  <si>
    <t>Proceeds from debt, net</t>
  </si>
  <si>
    <t>Payment of debt</t>
  </si>
  <si>
    <t>Tax withholdings related to share-based payments</t>
  </si>
  <si>
    <t>Cash proceeds from employee stock plans</t>
  </si>
  <si>
    <t>Other financing activities</t>
  </si>
  <si>
    <t>Contingent consideration paid</t>
  </si>
  <si>
    <t>Acquisition of non-controlling interest</t>
  </si>
  <si>
    <t>Net change in other assets and liabilities</t>
  </si>
  <si>
    <t>EOP Other Restricted Cash Adjustment</t>
  </si>
  <si>
    <t>(-) Provision for litigation</t>
  </si>
  <si>
    <t>(-) Depreciation and amortization</t>
  </si>
  <si>
    <t>(-) Advertising and marketing</t>
  </si>
  <si>
    <t>(-) General and administrative</t>
  </si>
  <si>
    <t xml:space="preserve">(+/-) Proceeds / (Purchases) of investments </t>
  </si>
  <si>
    <t>(+/-) Proceeds / (Purchases) of equity investments</t>
  </si>
  <si>
    <t>(-) Dividends</t>
  </si>
  <si>
    <t>(-) Issuance of Debt / (Repayment)</t>
  </si>
  <si>
    <t>Aggregate Debt Holdings</t>
  </si>
  <si>
    <t>$8.0Bn Sr. Unsecured RCF (CP Backstop)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</si>
</sst>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3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0" fontId="27" fillId="0" borderId="0" xfId="0" applyFont="1" applyAlignment="1">
      <alignment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5" fontId="8" fillId="5" borderId="2" xfId="0" applyNumberFormat="1" applyFont="1" applyFill="1" applyBorder="1" applyAlignment="1">
      <alignment horizontal="right" vertical="center" wrapText="1"/>
    </xf>
    <xf numFmtId="0" fontId="23" fillId="9" borderId="6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7" xfId="1" applyFont="1" applyBorder="1"/>
    <xf numFmtId="0" fontId="23" fillId="9" borderId="8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9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0" fontId="8" fillId="0" borderId="0" xfId="0" applyFont="1" applyFill="1" applyAlignment="1">
      <alignment wrapText="1"/>
    </xf>
    <xf numFmtId="165" fontId="15" fillId="0" borderId="0" xfId="0" applyNumberFormat="1" applyFont="1" applyFill="1" applyAlignment="1">
      <alignment wrapText="1"/>
    </xf>
    <xf numFmtId="41" fontId="11" fillId="0" borderId="0" xfId="0" applyNumberFormat="1" applyFont="1" applyBorder="1" applyAlignment="1">
      <alignment horizontal="right" vertical="top" wrapText="1"/>
    </xf>
    <xf numFmtId="41" fontId="6" fillId="0" borderId="0" xfId="0" applyNumberFormat="1" applyFont="1" applyBorder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8" fillId="5" borderId="0" xfId="0" applyNumberFormat="1" applyFont="1" applyFill="1" applyBorder="1" applyAlignment="1">
      <alignment horizontal="right" vertical="top" wrapText="1"/>
    </xf>
    <xf numFmtId="5" fontId="8" fillId="5" borderId="11" xfId="0" applyNumberFormat="1" applyFont="1" applyFill="1" applyBorder="1" applyAlignment="1">
      <alignment horizontal="right" vertical="center" wrapText="1"/>
    </xf>
    <xf numFmtId="41" fontId="8" fillId="0" borderId="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0" fontId="4" fillId="0" borderId="0" xfId="0" applyFont="1" applyBorder="1" applyAlignment="1">
      <alignment wrapText="1"/>
    </xf>
    <xf numFmtId="37" fontId="4" fillId="0" borderId="0" xfId="0" applyNumberFormat="1" applyFont="1" applyBorder="1" applyAlignment="1">
      <alignment wrapText="1"/>
    </xf>
    <xf numFmtId="37" fontId="4" fillId="0" borderId="10" xfId="0" applyNumberFormat="1" applyFont="1" applyBorder="1" applyAlignment="1">
      <alignment wrapText="1"/>
    </xf>
    <xf numFmtId="43" fontId="21" fillId="0" borderId="12" xfId="0" applyNumberFormat="1" applyFont="1" applyBorder="1" applyAlignment="1">
      <alignment wrapText="1"/>
    </xf>
    <xf numFmtId="41" fontId="6" fillId="0" borderId="12" xfId="0" applyNumberFormat="1" applyFont="1" applyBorder="1" applyAlignment="1">
      <alignment horizontal="right" vertical="top" wrapText="1"/>
    </xf>
    <xf numFmtId="43" fontId="21" fillId="0" borderId="13" xfId="0" applyNumberFormat="1" applyFont="1" applyBorder="1" applyAlignment="1">
      <alignment wrapText="1"/>
    </xf>
    <xf numFmtId="41" fontId="7" fillId="0" borderId="14" xfId="0" applyNumberFormat="1" applyFont="1" applyBorder="1" applyAlignment="1">
      <alignment horizontal="right" vertical="top" wrapText="1"/>
    </xf>
    <xf numFmtId="0" fontId="8" fillId="5" borderId="14" xfId="0" applyFont="1" applyFill="1" applyBorder="1" applyAlignment="1">
      <alignment horizontal="right" wrapText="1"/>
    </xf>
    <xf numFmtId="0" fontId="8" fillId="0" borderId="14" xfId="0" applyFont="1" applyBorder="1" applyAlignment="1">
      <alignment horizontal="right" vertical="center" wrapText="1"/>
    </xf>
    <xf numFmtId="0" fontId="8" fillId="5" borderId="14" xfId="0" applyFont="1" applyFill="1" applyBorder="1" applyAlignment="1">
      <alignment horizontal="right" vertical="center" wrapText="1"/>
    </xf>
    <xf numFmtId="0" fontId="4" fillId="0" borderId="14" xfId="0" applyFont="1" applyBorder="1"/>
    <xf numFmtId="0" fontId="27" fillId="0" borderId="15" xfId="0" applyFont="1" applyBorder="1" applyAlignment="1">
      <alignment horizontal="right" vertical="top" wrapText="1"/>
    </xf>
    <xf numFmtId="41" fontId="8" fillId="0" borderId="16" xfId="0" applyNumberFormat="1" applyFont="1" applyBorder="1" applyAlignment="1">
      <alignment horizontal="right" vertical="top" wrapText="1"/>
    </xf>
    <xf numFmtId="41" fontId="11" fillId="0" borderId="17" xfId="0" applyNumberFormat="1" applyFont="1" applyBorder="1" applyAlignment="1">
      <alignment horizontal="right" vertical="top" wrapText="1"/>
    </xf>
    <xf numFmtId="41" fontId="6" fillId="0" borderId="17" xfId="0" applyNumberFormat="1" applyFont="1" applyBorder="1" applyAlignment="1">
      <alignment horizontal="right" vertical="top" wrapText="1"/>
    </xf>
    <xf numFmtId="41" fontId="6" fillId="0" borderId="18" xfId="0" applyNumberFormat="1" applyFont="1" applyBorder="1" applyAlignment="1">
      <alignment horizontal="right" vertical="top" wrapText="1"/>
    </xf>
    <xf numFmtId="41" fontId="6" fillId="0" borderId="0" xfId="0" applyNumberFormat="1" applyFont="1"/>
    <xf numFmtId="169" fontId="4" fillId="8" borderId="0" xfId="0" applyNumberFormat="1" applyFont="1" applyFill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C175"/>
  <sheetViews>
    <sheetView showGridLines="0" tabSelected="1" zoomScaleNormal="100" workbookViewId="0">
      <selection activeCell="AE48" sqref="AE48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9" style="5" hidden="1" customWidth="1" outlineLevel="1"/>
    <col min="4" max="4" width="9" style="5" bestFit="1" customWidth="1" collapsed="1"/>
    <col min="5" max="6" width="9" style="5" bestFit="1" customWidth="1"/>
    <col min="7" max="7" width="1.5" style="5" customWidth="1"/>
    <col min="8" max="11" width="8.875" style="5" hidden="1" customWidth="1" outlineLevel="2"/>
    <col min="12" max="13" width="8.875" style="5" hidden="1" customWidth="1" outlineLevel="1"/>
    <col min="14" max="14" width="8.875" style="5" bestFit="1" customWidth="1" collapsed="1"/>
    <col min="15" max="18" width="8.875" style="5" bestFit="1" customWidth="1"/>
    <col min="19" max="19" width="1.5" style="5" customWidth="1"/>
    <col min="20" max="22" width="8.75" style="5" hidden="1" customWidth="1" outlineLevel="1"/>
    <col min="23" max="23" width="9" style="5" bestFit="1" customWidth="1" collapsed="1"/>
    <col min="24" max="26" width="9" style="5" hidden="1" customWidth="1" outlineLevel="1"/>
    <col min="27" max="27" width="9" style="5" bestFit="1" customWidth="1" collapsed="1"/>
    <col min="28" max="28" width="1.25" style="5" customWidth="1"/>
    <col min="29" max="29" width="8" style="5" bestFit="1" customWidth="1"/>
    <col min="30" max="30" width="1.375" style="5" customWidth="1"/>
    <col min="31" max="16384" width="9" style="5"/>
  </cols>
  <sheetData>
    <row r="2" spans="1:29" ht="12.75" customHeight="1">
      <c r="B2" s="1" t="s">
        <v>112</v>
      </c>
      <c r="C2" s="92"/>
      <c r="D2" s="92"/>
      <c r="E2" s="92"/>
      <c r="F2" s="92"/>
      <c r="G2" s="3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3"/>
      <c r="T2" s="92"/>
      <c r="U2" s="92"/>
      <c r="V2" s="92"/>
      <c r="W2" s="92"/>
      <c r="X2" s="92"/>
      <c r="Y2" s="92"/>
      <c r="Z2" s="92"/>
      <c r="AA2" s="92"/>
      <c r="AB2" s="3"/>
      <c r="AC2" s="1"/>
    </row>
    <row r="3" spans="1:29" ht="12.75" customHeight="1">
      <c r="B3" s="6" t="s">
        <v>69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4"/>
      <c r="U3" s="4"/>
      <c r="V3" s="4"/>
      <c r="W3" s="4"/>
      <c r="X3" s="4"/>
      <c r="Y3" s="4"/>
      <c r="Z3" s="4"/>
      <c r="AA3" s="4"/>
      <c r="AB3" s="3"/>
      <c r="AC3" s="1"/>
    </row>
    <row r="4" spans="1:29" ht="12.75" customHeight="1">
      <c r="B4" s="6" t="s">
        <v>66</v>
      </c>
      <c r="C4" s="3"/>
      <c r="D4" s="3"/>
      <c r="E4" s="8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"/>
    </row>
    <row r="6" spans="1:29" ht="12.75" customHeight="1">
      <c r="A6" s="5" t="s">
        <v>15</v>
      </c>
      <c r="B6" s="1" t="s">
        <v>67</v>
      </c>
      <c r="C6" s="2" t="s">
        <v>0</v>
      </c>
      <c r="D6" s="2" t="s">
        <v>0</v>
      </c>
      <c r="E6" s="2"/>
      <c r="F6" s="2"/>
      <c r="G6" s="3"/>
      <c r="H6" s="2" t="s">
        <v>1</v>
      </c>
      <c r="I6" s="2"/>
      <c r="J6" s="2"/>
      <c r="K6" s="2"/>
      <c r="L6" s="2"/>
      <c r="M6" s="2"/>
      <c r="N6" s="2" t="s">
        <v>1</v>
      </c>
      <c r="O6" s="2"/>
      <c r="P6" s="2"/>
      <c r="Q6" s="2"/>
      <c r="R6" s="2"/>
      <c r="S6" s="3"/>
      <c r="T6" s="2"/>
      <c r="U6" s="2"/>
      <c r="V6" s="2" t="s">
        <v>10</v>
      </c>
      <c r="W6" s="2" t="s">
        <v>10</v>
      </c>
      <c r="X6" s="2"/>
      <c r="Y6" s="2"/>
      <c r="Z6" s="2"/>
      <c r="AA6" s="2"/>
      <c r="AB6" s="36"/>
      <c r="AC6" s="139" t="s">
        <v>20</v>
      </c>
    </row>
    <row r="7" spans="1:29" ht="12.75" customHeight="1">
      <c r="B7" s="6" t="s">
        <v>70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6</v>
      </c>
      <c r="I7" s="4" t="s">
        <v>7</v>
      </c>
      <c r="J7" s="4" t="s">
        <v>8</v>
      </c>
      <c r="K7" s="4" t="s">
        <v>9</v>
      </c>
      <c r="L7" s="4" t="s">
        <v>2</v>
      </c>
      <c r="M7" s="4" t="s">
        <v>3</v>
      </c>
      <c r="N7" s="4" t="s">
        <v>4</v>
      </c>
      <c r="O7" s="4" t="s">
        <v>5</v>
      </c>
      <c r="P7" s="4" t="s">
        <v>22</v>
      </c>
      <c r="Q7" s="4" t="s">
        <v>23</v>
      </c>
      <c r="R7" s="4" t="s">
        <v>56</v>
      </c>
      <c r="S7" s="3"/>
      <c r="T7" s="4" t="str">
        <f t="shared" ref="T7:AA8" si="0">K7</f>
        <v>4Q23</v>
      </c>
      <c r="U7" s="4" t="str">
        <f t="shared" si="0"/>
        <v>1Q24</v>
      </c>
      <c r="V7" s="4" t="str">
        <f t="shared" si="0"/>
        <v>2Q24</v>
      </c>
      <c r="W7" s="4" t="str">
        <f t="shared" si="0"/>
        <v>3Q24</v>
      </c>
      <c r="X7" s="4" t="str">
        <f t="shared" si="0"/>
        <v>4Q24</v>
      </c>
      <c r="Y7" s="4" t="str">
        <f t="shared" si="0"/>
        <v>1Q25</v>
      </c>
      <c r="Z7" s="4" t="str">
        <f t="shared" si="0"/>
        <v>2Q25</v>
      </c>
      <c r="AA7" s="4" t="str">
        <f t="shared" si="0"/>
        <v>3Q25</v>
      </c>
      <c r="AB7" s="36"/>
      <c r="AC7" s="139"/>
    </row>
    <row r="8" spans="1:29" ht="12.75" customHeight="1">
      <c r="B8" s="6" t="s">
        <v>71</v>
      </c>
      <c r="C8" s="3">
        <v>44561</v>
      </c>
      <c r="D8" s="3">
        <v>44926</v>
      </c>
      <c r="E8" s="83">
        <v>45291</v>
      </c>
      <c r="F8" s="83">
        <v>45657</v>
      </c>
      <c r="G8" s="3"/>
      <c r="H8" s="3">
        <v>45016</v>
      </c>
      <c r="I8" s="3">
        <v>45107</v>
      </c>
      <c r="J8" s="3">
        <v>45199</v>
      </c>
      <c r="K8" s="3">
        <f>E8</f>
        <v>45291</v>
      </c>
      <c r="L8" s="3">
        <v>45382</v>
      </c>
      <c r="M8" s="3">
        <v>45473</v>
      </c>
      <c r="N8" s="3">
        <v>45565</v>
      </c>
      <c r="O8" s="3">
        <f>F8</f>
        <v>45657</v>
      </c>
      <c r="P8" s="3">
        <v>45747</v>
      </c>
      <c r="Q8" s="3">
        <v>45838</v>
      </c>
      <c r="R8" s="3">
        <v>45930</v>
      </c>
      <c r="S8" s="3"/>
      <c r="T8" s="3">
        <f t="shared" si="0"/>
        <v>45291</v>
      </c>
      <c r="U8" s="3">
        <f t="shared" si="0"/>
        <v>45382</v>
      </c>
      <c r="V8" s="3">
        <f t="shared" si="0"/>
        <v>45473</v>
      </c>
      <c r="W8" s="3">
        <f t="shared" si="0"/>
        <v>45565</v>
      </c>
      <c r="X8" s="3">
        <f t="shared" si="0"/>
        <v>45657</v>
      </c>
      <c r="Y8" s="3">
        <f t="shared" si="0"/>
        <v>45747</v>
      </c>
      <c r="Z8" s="3">
        <f t="shared" si="0"/>
        <v>45838</v>
      </c>
      <c r="AA8" s="3">
        <f t="shared" si="0"/>
        <v>45930</v>
      </c>
      <c r="AB8" s="36"/>
      <c r="AC8" s="139"/>
    </row>
    <row r="9" spans="1:29" ht="5.0999999999999996" customHeight="1">
      <c r="AC9" s="91"/>
    </row>
    <row r="10" spans="1:29" ht="12.75" customHeight="1">
      <c r="B10" s="9" t="s">
        <v>51</v>
      </c>
      <c r="C10" s="86">
        <v>18884</v>
      </c>
      <c r="D10" s="86">
        <v>22237</v>
      </c>
      <c r="E10" s="86">
        <v>25098</v>
      </c>
      <c r="F10" s="86">
        <v>28167</v>
      </c>
      <c r="G10" s="11"/>
      <c r="H10" s="86">
        <v>5748</v>
      </c>
      <c r="I10" s="86">
        <v>6269</v>
      </c>
      <c r="J10" s="86">
        <v>6533</v>
      </c>
      <c r="K10" s="30">
        <f>SUM(E10-SUM(H10:J10))</f>
        <v>6548</v>
      </c>
      <c r="L10" s="86">
        <v>6348</v>
      </c>
      <c r="M10" s="86">
        <v>6961</v>
      </c>
      <c r="N10" s="86">
        <v>7369</v>
      </c>
      <c r="O10" s="30">
        <f>SUM(F10-SUM(L10:N10))</f>
        <v>7489</v>
      </c>
      <c r="P10" s="80">
        <v>7250</v>
      </c>
      <c r="Q10" s="80">
        <v>8133</v>
      </c>
      <c r="R10" s="80">
        <v>8602</v>
      </c>
      <c r="T10" s="30">
        <f t="shared" ref="T10:AA10" si="1">SUM(H10:K10)</f>
        <v>25098</v>
      </c>
      <c r="U10" s="30">
        <f t="shared" si="1"/>
        <v>25698</v>
      </c>
      <c r="V10" s="30">
        <f t="shared" si="1"/>
        <v>26390</v>
      </c>
      <c r="W10" s="30">
        <f t="shared" si="1"/>
        <v>27226</v>
      </c>
      <c r="X10" s="30">
        <f t="shared" si="1"/>
        <v>28167</v>
      </c>
      <c r="Y10" s="30">
        <f t="shared" si="1"/>
        <v>29069</v>
      </c>
      <c r="Z10" s="30">
        <f t="shared" si="1"/>
        <v>30241</v>
      </c>
      <c r="AA10" s="30">
        <f t="shared" si="1"/>
        <v>31474</v>
      </c>
      <c r="AB10" s="38"/>
      <c r="AC10" s="12">
        <f>SUM(AA10/W10)-1</f>
        <v>0.15602732681995146</v>
      </c>
    </row>
    <row r="11" spans="1:29" ht="12.75" customHeight="1">
      <c r="B11" s="13" t="s">
        <v>12</v>
      </c>
      <c r="C11" s="14">
        <f t="shared" ref="C11:F11" si="2">+SUM(C10:C10)</f>
        <v>18884</v>
      </c>
      <c r="D11" s="14">
        <f t="shared" si="2"/>
        <v>22237</v>
      </c>
      <c r="E11" s="14">
        <f t="shared" si="2"/>
        <v>25098</v>
      </c>
      <c r="F11" s="14">
        <f t="shared" si="2"/>
        <v>28167</v>
      </c>
      <c r="G11" s="11"/>
      <c r="H11" s="14">
        <f t="shared" ref="H11:Q11" si="3">+SUM(H10:H10)</f>
        <v>5748</v>
      </c>
      <c r="I11" s="14">
        <f t="shared" si="3"/>
        <v>6269</v>
      </c>
      <c r="J11" s="14">
        <f t="shared" si="3"/>
        <v>6533</v>
      </c>
      <c r="K11" s="14">
        <f t="shared" si="3"/>
        <v>6548</v>
      </c>
      <c r="L11" s="14">
        <f t="shared" si="3"/>
        <v>6348</v>
      </c>
      <c r="M11" s="14">
        <f t="shared" si="3"/>
        <v>6961</v>
      </c>
      <c r="N11" s="14">
        <f t="shared" si="3"/>
        <v>7369</v>
      </c>
      <c r="O11" s="14">
        <f t="shared" si="3"/>
        <v>7489</v>
      </c>
      <c r="P11" s="14">
        <f t="shared" si="3"/>
        <v>7250</v>
      </c>
      <c r="Q11" s="14">
        <f t="shared" si="3"/>
        <v>8133</v>
      </c>
      <c r="R11" s="14">
        <f>+SUM(R10:R10)</f>
        <v>8602</v>
      </c>
      <c r="T11" s="14">
        <f t="shared" ref="T11:Z11" si="4">+SUM(T10:T10)</f>
        <v>25098</v>
      </c>
      <c r="U11" s="14">
        <f t="shared" si="4"/>
        <v>25698</v>
      </c>
      <c r="V11" s="14">
        <f t="shared" si="4"/>
        <v>26390</v>
      </c>
      <c r="W11" s="14">
        <f t="shared" si="4"/>
        <v>27226</v>
      </c>
      <c r="X11" s="14">
        <f t="shared" si="4"/>
        <v>28167</v>
      </c>
      <c r="Y11" s="14">
        <f t="shared" si="4"/>
        <v>29069</v>
      </c>
      <c r="Z11" s="14">
        <f t="shared" si="4"/>
        <v>30241</v>
      </c>
      <c r="AA11" s="14">
        <f>+SUM(AA10:AA10)</f>
        <v>31474</v>
      </c>
      <c r="AB11" s="38"/>
      <c r="AC11" s="15">
        <f>SUM(AA11/W11)-1</f>
        <v>0.15602732681995146</v>
      </c>
    </row>
    <row r="12" spans="1:29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2"/>
      <c r="Q12" s="21"/>
      <c r="R12" s="21"/>
      <c r="AC12" s="73"/>
    </row>
    <row r="13" spans="1:29" ht="12.75" customHeight="1">
      <c r="B13" s="9" t="s">
        <v>113</v>
      </c>
      <c r="C13" s="80">
        <v>-7087</v>
      </c>
      <c r="D13" s="80">
        <v>-8078</v>
      </c>
      <c r="E13" s="80">
        <v>-8927</v>
      </c>
      <c r="F13" s="80">
        <v>-10193</v>
      </c>
      <c r="G13" s="30"/>
      <c r="H13" s="80">
        <v>-2043</v>
      </c>
      <c r="I13" s="80">
        <v>-2200</v>
      </c>
      <c r="J13" s="80">
        <v>-2285</v>
      </c>
      <c r="K13" s="30">
        <f t="shared" ref="K13:K16" si="5">SUM(E13-SUM(H13:J13))</f>
        <v>-2399</v>
      </c>
      <c r="L13" s="80">
        <v>-2286</v>
      </c>
      <c r="M13" s="80">
        <v>-2418</v>
      </c>
      <c r="N13" s="80">
        <v>-2744</v>
      </c>
      <c r="O13" s="30">
        <f t="shared" ref="O13:O16" si="6">SUM(F13-SUM(L13:N13))</f>
        <v>-2745</v>
      </c>
      <c r="P13" s="80">
        <v>-2523</v>
      </c>
      <c r="Q13" s="80">
        <v>-2766</v>
      </c>
      <c r="R13" s="80">
        <v>-2923</v>
      </c>
      <c r="T13" s="30">
        <f t="shared" ref="T13:AA16" si="7">SUM(H13:K13)</f>
        <v>-8927</v>
      </c>
      <c r="U13" s="30">
        <f t="shared" si="7"/>
        <v>-9170</v>
      </c>
      <c r="V13" s="30">
        <f t="shared" si="7"/>
        <v>-9388</v>
      </c>
      <c r="W13" s="30">
        <f t="shared" si="7"/>
        <v>-9847</v>
      </c>
      <c r="X13" s="30">
        <f t="shared" si="7"/>
        <v>-10193</v>
      </c>
      <c r="Y13" s="30">
        <f t="shared" si="7"/>
        <v>-10430</v>
      </c>
      <c r="Z13" s="30">
        <f t="shared" si="7"/>
        <v>-10778</v>
      </c>
      <c r="AA13" s="30">
        <f t="shared" si="7"/>
        <v>-10957</v>
      </c>
      <c r="AB13" s="11"/>
      <c r="AC13" s="73">
        <f>SUM(AA13/W13)-1</f>
        <v>0.11272468772214883</v>
      </c>
    </row>
    <row r="14" spans="1:29" ht="12.75" customHeight="1">
      <c r="B14" s="9" t="s">
        <v>114</v>
      </c>
      <c r="C14" s="80">
        <v>-895</v>
      </c>
      <c r="D14" s="80">
        <v>-789</v>
      </c>
      <c r="E14" s="80">
        <v>-825</v>
      </c>
      <c r="F14" s="80">
        <v>-815</v>
      </c>
      <c r="G14" s="30"/>
      <c r="H14" s="80">
        <v>-167</v>
      </c>
      <c r="I14" s="80">
        <v>-201</v>
      </c>
      <c r="J14" s="80">
        <v>-193</v>
      </c>
      <c r="K14" s="30">
        <f t="shared" si="5"/>
        <v>-264</v>
      </c>
      <c r="L14" s="80">
        <v>-116</v>
      </c>
      <c r="M14" s="80">
        <v>-184</v>
      </c>
      <c r="N14" s="80">
        <v>-220</v>
      </c>
      <c r="O14" s="30">
        <f t="shared" si="6"/>
        <v>-295</v>
      </c>
      <c r="P14" s="80">
        <v>-152</v>
      </c>
      <c r="Q14" s="80">
        <v>-213</v>
      </c>
      <c r="R14" s="80">
        <v>-245</v>
      </c>
      <c r="T14" s="30">
        <f t="shared" si="7"/>
        <v>-825</v>
      </c>
      <c r="U14" s="30">
        <f t="shared" si="7"/>
        <v>-774</v>
      </c>
      <c r="V14" s="30">
        <f t="shared" si="7"/>
        <v>-757</v>
      </c>
      <c r="W14" s="30">
        <f t="shared" si="7"/>
        <v>-784</v>
      </c>
      <c r="X14" s="30">
        <f t="shared" si="7"/>
        <v>-815</v>
      </c>
      <c r="Y14" s="30">
        <f t="shared" si="7"/>
        <v>-851</v>
      </c>
      <c r="Z14" s="30">
        <f t="shared" si="7"/>
        <v>-880</v>
      </c>
      <c r="AA14" s="30">
        <f t="shared" si="7"/>
        <v>-905</v>
      </c>
      <c r="AB14" s="11"/>
      <c r="AC14" s="73">
        <f t="shared" ref="AC14:AC16" si="8">SUM(AA14/W14)-1</f>
        <v>0.15433673469387754</v>
      </c>
    </row>
    <row r="15" spans="1:29" ht="12.75" customHeight="1">
      <c r="B15" s="9" t="s">
        <v>115</v>
      </c>
      <c r="C15" s="80">
        <v>-726</v>
      </c>
      <c r="D15" s="80">
        <v>-750</v>
      </c>
      <c r="E15" s="80">
        <v>-799</v>
      </c>
      <c r="F15" s="80">
        <v>-897</v>
      </c>
      <c r="G15" s="30"/>
      <c r="H15" s="80">
        <v>-191</v>
      </c>
      <c r="I15" s="80">
        <v>-192</v>
      </c>
      <c r="J15" s="80">
        <v>-211</v>
      </c>
      <c r="K15" s="30">
        <f t="shared" si="5"/>
        <v>-205</v>
      </c>
      <c r="L15" s="80">
        <v>-216</v>
      </c>
      <c r="M15" s="80">
        <v>-225</v>
      </c>
      <c r="N15" s="80">
        <v>-225</v>
      </c>
      <c r="O15" s="30">
        <f t="shared" si="6"/>
        <v>-231</v>
      </c>
      <c r="P15" s="80">
        <v>-275</v>
      </c>
      <c r="Q15" s="80">
        <v>-281</v>
      </c>
      <c r="R15" s="80">
        <v>-290</v>
      </c>
      <c r="T15" s="30">
        <f t="shared" si="7"/>
        <v>-799</v>
      </c>
      <c r="U15" s="30">
        <f t="shared" si="7"/>
        <v>-824</v>
      </c>
      <c r="V15" s="30">
        <f t="shared" si="7"/>
        <v>-857</v>
      </c>
      <c r="W15" s="30">
        <f t="shared" si="7"/>
        <v>-871</v>
      </c>
      <c r="X15" s="30">
        <f t="shared" si="7"/>
        <v>-897</v>
      </c>
      <c r="Y15" s="30">
        <f t="shared" si="7"/>
        <v>-956</v>
      </c>
      <c r="Z15" s="30">
        <f t="shared" si="7"/>
        <v>-1012</v>
      </c>
      <c r="AA15" s="30">
        <f t="shared" si="7"/>
        <v>-1077</v>
      </c>
      <c r="AB15" s="11"/>
      <c r="AC15" s="73">
        <f t="shared" si="8"/>
        <v>0.23650975889781867</v>
      </c>
    </row>
    <row r="16" spans="1:29" ht="12.75" customHeight="1">
      <c r="B16" s="9" t="s">
        <v>116</v>
      </c>
      <c r="C16" s="80">
        <v>-94</v>
      </c>
      <c r="D16" s="80">
        <v>-356</v>
      </c>
      <c r="E16" s="80">
        <v>-539</v>
      </c>
      <c r="F16" s="80">
        <v>-680</v>
      </c>
      <c r="G16" s="30"/>
      <c r="H16" s="80">
        <v>-211</v>
      </c>
      <c r="I16" s="80">
        <v>-20</v>
      </c>
      <c r="J16" s="80">
        <v>0</v>
      </c>
      <c r="K16" s="30">
        <f t="shared" si="5"/>
        <v>-308</v>
      </c>
      <c r="L16" s="80">
        <v>-126</v>
      </c>
      <c r="M16" s="80">
        <v>-98</v>
      </c>
      <c r="N16" s="80">
        <v>-176</v>
      </c>
      <c r="O16" s="30">
        <f t="shared" si="6"/>
        <v>-280</v>
      </c>
      <c r="P16" s="80">
        <v>-151</v>
      </c>
      <c r="Q16" s="80">
        <v>-96</v>
      </c>
      <c r="R16" s="80">
        <v>-83</v>
      </c>
      <c r="T16" s="30">
        <f t="shared" si="7"/>
        <v>-539</v>
      </c>
      <c r="U16" s="30">
        <f t="shared" si="7"/>
        <v>-454</v>
      </c>
      <c r="V16" s="30">
        <f t="shared" si="7"/>
        <v>-532</v>
      </c>
      <c r="W16" s="30">
        <f t="shared" si="7"/>
        <v>-708</v>
      </c>
      <c r="X16" s="30">
        <f t="shared" si="7"/>
        <v>-680</v>
      </c>
      <c r="Y16" s="30">
        <f t="shared" si="7"/>
        <v>-705</v>
      </c>
      <c r="Z16" s="30">
        <f t="shared" si="7"/>
        <v>-703</v>
      </c>
      <c r="AA16" s="30">
        <f t="shared" si="7"/>
        <v>-610</v>
      </c>
      <c r="AB16" s="11"/>
      <c r="AC16" s="73">
        <f t="shared" si="8"/>
        <v>-0.1384180790960452</v>
      </c>
    </row>
    <row r="17" spans="2:29" ht="12.75" customHeight="1">
      <c r="B17" s="25" t="s">
        <v>72</v>
      </c>
      <c r="C17" s="26">
        <f>+SUM(C11+SUM(C13:C16))</f>
        <v>10082</v>
      </c>
      <c r="D17" s="26">
        <f>+SUM(D11+SUM(D13:D16))</f>
        <v>12264</v>
      </c>
      <c r="E17" s="26">
        <f>+SUM(E11+SUM(E13:E16))</f>
        <v>14008</v>
      </c>
      <c r="F17" s="26">
        <f>+SUM(F11+SUM(F13:F16))</f>
        <v>15582</v>
      </c>
      <c r="G17" s="30"/>
      <c r="H17" s="26">
        <f t="shared" ref="H17:R17" si="9">+SUM(H11+SUM(H13:H16))</f>
        <v>3136</v>
      </c>
      <c r="I17" s="26">
        <f t="shared" si="9"/>
        <v>3656</v>
      </c>
      <c r="J17" s="26">
        <f t="shared" si="9"/>
        <v>3844</v>
      </c>
      <c r="K17" s="26">
        <f t="shared" si="9"/>
        <v>3372</v>
      </c>
      <c r="L17" s="26">
        <f t="shared" si="9"/>
        <v>3604</v>
      </c>
      <c r="M17" s="26">
        <f t="shared" si="9"/>
        <v>4036</v>
      </c>
      <c r="N17" s="26">
        <f t="shared" si="9"/>
        <v>4004</v>
      </c>
      <c r="O17" s="26">
        <f t="shared" si="9"/>
        <v>3938</v>
      </c>
      <c r="P17" s="26">
        <f t="shared" si="9"/>
        <v>4149</v>
      </c>
      <c r="Q17" s="26">
        <f t="shared" si="9"/>
        <v>4777</v>
      </c>
      <c r="R17" s="26">
        <f t="shared" si="9"/>
        <v>5061</v>
      </c>
      <c r="T17" s="26">
        <f t="shared" ref="T17:AA17" si="10">+SUM(T11+SUM(T13:T16))</f>
        <v>14008</v>
      </c>
      <c r="U17" s="26">
        <f t="shared" si="10"/>
        <v>14476</v>
      </c>
      <c r="V17" s="26">
        <f t="shared" si="10"/>
        <v>14856</v>
      </c>
      <c r="W17" s="26">
        <f t="shared" si="10"/>
        <v>15016</v>
      </c>
      <c r="X17" s="26">
        <f t="shared" si="10"/>
        <v>15582</v>
      </c>
      <c r="Y17" s="26">
        <f t="shared" si="10"/>
        <v>16127</v>
      </c>
      <c r="Z17" s="26">
        <f t="shared" si="10"/>
        <v>16868</v>
      </c>
      <c r="AA17" s="26">
        <f t="shared" si="10"/>
        <v>17925</v>
      </c>
      <c r="AB17" s="11"/>
      <c r="AC17" s="74">
        <f>SUM(AA17/W17)-1</f>
        <v>0.19372669152903566</v>
      </c>
    </row>
    <row r="18" spans="2:29" ht="12.75" customHeight="1">
      <c r="B18" s="16" t="s">
        <v>28</v>
      </c>
      <c r="C18" s="17">
        <f>C17/C11</f>
        <v>0.53389112476170308</v>
      </c>
      <c r="D18" s="17">
        <f>D17/D11</f>
        <v>0.55151324369294419</v>
      </c>
      <c r="E18" s="17">
        <f>E17/E11</f>
        <v>0.55813212208144081</v>
      </c>
      <c r="F18" s="17">
        <f>F17/F11</f>
        <v>0.55320055383959954</v>
      </c>
      <c r="G18" s="30"/>
      <c r="H18" s="17">
        <f t="shared" ref="H18:R18" si="11">H17/H11</f>
        <v>0.54558107167710512</v>
      </c>
      <c r="I18" s="17">
        <f t="shared" si="11"/>
        <v>0.58318711118200672</v>
      </c>
      <c r="J18" s="17">
        <f t="shared" si="11"/>
        <v>0.58839736721261293</v>
      </c>
      <c r="K18" s="17">
        <f t="shared" si="11"/>
        <v>0.51496640195479537</v>
      </c>
      <c r="L18" s="17">
        <f t="shared" si="11"/>
        <v>0.56773787019533717</v>
      </c>
      <c r="M18" s="17">
        <f t="shared" si="11"/>
        <v>0.57980175262174971</v>
      </c>
      <c r="N18" s="17">
        <f t="shared" si="11"/>
        <v>0.54335730764011403</v>
      </c>
      <c r="O18" s="17">
        <f t="shared" si="11"/>
        <v>0.52583789558018423</v>
      </c>
      <c r="P18" s="17">
        <f t="shared" si="11"/>
        <v>0.57227586206896552</v>
      </c>
      <c r="Q18" s="17">
        <f t="shared" si="11"/>
        <v>0.58736013771056195</v>
      </c>
      <c r="R18" s="17">
        <f t="shared" si="11"/>
        <v>0.58835154615205765</v>
      </c>
      <c r="T18" s="17">
        <f t="shared" ref="T18:AA18" si="12">T17/T11</f>
        <v>0.55813212208144081</v>
      </c>
      <c r="U18" s="17">
        <f t="shared" si="12"/>
        <v>0.56331232002490461</v>
      </c>
      <c r="V18" s="17">
        <f t="shared" si="12"/>
        <v>0.56294050776809401</v>
      </c>
      <c r="W18" s="17">
        <f t="shared" si="12"/>
        <v>0.55153162418276647</v>
      </c>
      <c r="X18" s="17">
        <f t="shared" si="12"/>
        <v>0.55320055383959954</v>
      </c>
      <c r="Y18" s="17">
        <f t="shared" si="12"/>
        <v>0.55478344628298182</v>
      </c>
      <c r="Z18" s="17">
        <f t="shared" si="12"/>
        <v>0.5577857875070269</v>
      </c>
      <c r="AA18" s="17">
        <f t="shared" si="12"/>
        <v>0.56951769714685141</v>
      </c>
      <c r="AB18" s="11"/>
      <c r="AC18" s="75">
        <f>SUM(AA18-W18)*1000</f>
        <v>17.986072964084943</v>
      </c>
    </row>
    <row r="19" spans="2:29" ht="5.0999999999999996" customHeight="1">
      <c r="B19" s="16"/>
      <c r="C19" s="17"/>
      <c r="D19" s="17"/>
      <c r="E19" s="17"/>
      <c r="F19" s="17"/>
      <c r="G19" s="30"/>
      <c r="H19" s="80"/>
      <c r="I19" s="80"/>
      <c r="J19" s="80"/>
      <c r="K19" s="80"/>
      <c r="L19" s="80"/>
      <c r="M19" s="80"/>
      <c r="N19" s="80"/>
      <c r="O19" s="80"/>
      <c r="P19" s="30"/>
      <c r="Q19" s="80"/>
      <c r="R19" s="80"/>
      <c r="T19" s="30"/>
      <c r="U19" s="30"/>
      <c r="V19" s="30"/>
      <c r="W19" s="30"/>
      <c r="X19" s="30"/>
      <c r="Y19" s="30"/>
      <c r="Z19" s="30"/>
      <c r="AA19" s="30"/>
      <c r="AB19" s="11"/>
      <c r="AC19" s="73"/>
    </row>
    <row r="20" spans="2:29" ht="12.75" customHeight="1">
      <c r="B20" s="9" t="s">
        <v>117</v>
      </c>
      <c r="C20" s="80">
        <v>11</v>
      </c>
      <c r="D20" s="80">
        <v>61</v>
      </c>
      <c r="E20" s="80">
        <v>274</v>
      </c>
      <c r="F20" s="80">
        <v>327</v>
      </c>
      <c r="G20" s="30"/>
      <c r="H20" s="86">
        <v>55</v>
      </c>
      <c r="I20" s="86">
        <v>59</v>
      </c>
      <c r="J20" s="86">
        <v>71</v>
      </c>
      <c r="K20" s="30">
        <f t="shared" ref="K20:K23" si="13">SUM(E20-SUM(H20:J20))</f>
        <v>89</v>
      </c>
      <c r="L20" s="86">
        <v>95</v>
      </c>
      <c r="M20" s="86">
        <v>60</v>
      </c>
      <c r="N20" s="86">
        <v>76</v>
      </c>
      <c r="O20" s="30">
        <f t="shared" ref="O20:O23" si="14">SUM(F20-SUM(L20:N20))</f>
        <v>96</v>
      </c>
      <c r="P20" s="80">
        <v>88</v>
      </c>
      <c r="Q20" s="80">
        <v>70</v>
      </c>
      <c r="R20" s="80">
        <v>81</v>
      </c>
      <c r="T20" s="30">
        <f t="shared" ref="T20:AA20" si="15">SUM(H20:K20)</f>
        <v>274</v>
      </c>
      <c r="U20" s="30">
        <f t="shared" si="15"/>
        <v>314</v>
      </c>
      <c r="V20" s="30">
        <f t="shared" si="15"/>
        <v>315</v>
      </c>
      <c r="W20" s="30">
        <f t="shared" si="15"/>
        <v>320</v>
      </c>
      <c r="X20" s="30">
        <f t="shared" si="15"/>
        <v>327</v>
      </c>
      <c r="Y20" s="30">
        <f t="shared" si="15"/>
        <v>320</v>
      </c>
      <c r="Z20" s="30">
        <f t="shared" si="15"/>
        <v>330</v>
      </c>
      <c r="AA20" s="30">
        <f t="shared" si="15"/>
        <v>335</v>
      </c>
      <c r="AB20" s="11"/>
      <c r="AC20" s="73">
        <f t="shared" ref="AC20:AC23" si="16">SUM(AA20/W20)-1</f>
        <v>4.6875E-2</v>
      </c>
    </row>
    <row r="21" spans="2:29" ht="12.75" customHeight="1">
      <c r="B21" s="9" t="s">
        <v>118</v>
      </c>
      <c r="C21" s="80">
        <v>645</v>
      </c>
      <c r="D21" s="80">
        <v>-145</v>
      </c>
      <c r="E21" s="80">
        <v>-61</v>
      </c>
      <c r="F21" s="80">
        <v>-29</v>
      </c>
      <c r="G21" s="30"/>
      <c r="H21" s="86">
        <v>-212</v>
      </c>
      <c r="I21" s="86">
        <v>123</v>
      </c>
      <c r="J21" s="86">
        <v>-6</v>
      </c>
      <c r="K21" s="30">
        <f t="shared" si="13"/>
        <v>34</v>
      </c>
      <c r="L21" s="86">
        <v>6</v>
      </c>
      <c r="M21" s="86">
        <v>-13</v>
      </c>
      <c r="N21" s="86">
        <v>-62</v>
      </c>
      <c r="O21" s="30">
        <f t="shared" si="14"/>
        <v>40</v>
      </c>
      <c r="P21" s="80">
        <v>-29</v>
      </c>
      <c r="Q21" s="80">
        <v>4</v>
      </c>
      <c r="R21" s="80">
        <v>41</v>
      </c>
      <c r="T21" s="30">
        <f t="shared" ref="T21:T23" si="17">SUM(H21:K21)</f>
        <v>-61</v>
      </c>
      <c r="U21" s="30">
        <f t="shared" ref="U21:U23" si="18">SUM(I21:L21)</f>
        <v>157</v>
      </c>
      <c r="V21" s="30">
        <f t="shared" ref="V21:V23" si="19">SUM(J21:M21)</f>
        <v>21</v>
      </c>
      <c r="W21" s="30">
        <f t="shared" ref="W21:W23" si="20">SUM(K21:N21)</f>
        <v>-35</v>
      </c>
      <c r="X21" s="30">
        <f t="shared" ref="X21:X23" si="21">SUM(L21:O21)</f>
        <v>-29</v>
      </c>
      <c r="Y21" s="30">
        <f t="shared" ref="Y21:Y23" si="22">SUM(M21:P21)</f>
        <v>-64</v>
      </c>
      <c r="Z21" s="30">
        <f t="shared" ref="Z21:Z23" si="23">SUM(N21:Q21)</f>
        <v>-47</v>
      </c>
      <c r="AA21" s="30">
        <f t="shared" ref="AA21:AA23" si="24">SUM(O21:R21)</f>
        <v>56</v>
      </c>
      <c r="AB21" s="11"/>
      <c r="AC21" s="73">
        <f t="shared" si="16"/>
        <v>-2.6</v>
      </c>
    </row>
    <row r="22" spans="2:29" ht="12.75" customHeight="1">
      <c r="B22" s="9" t="s">
        <v>119</v>
      </c>
      <c r="C22" s="80">
        <v>-431</v>
      </c>
      <c r="D22" s="80">
        <v>-471</v>
      </c>
      <c r="E22" s="80">
        <v>-575</v>
      </c>
      <c r="F22" s="80">
        <v>-646</v>
      </c>
      <c r="G22" s="30"/>
      <c r="H22" s="86">
        <v>-132</v>
      </c>
      <c r="I22" s="86">
        <v>-144</v>
      </c>
      <c r="J22" s="86">
        <v>-151</v>
      </c>
      <c r="K22" s="30">
        <f t="shared" si="13"/>
        <v>-148</v>
      </c>
      <c r="L22" s="86">
        <v>-150</v>
      </c>
      <c r="M22" s="86">
        <v>-153</v>
      </c>
      <c r="N22" s="86">
        <v>-159</v>
      </c>
      <c r="O22" s="30">
        <f t="shared" si="14"/>
        <v>-184</v>
      </c>
      <c r="P22" s="80">
        <v>-182</v>
      </c>
      <c r="Q22" s="80">
        <v>-195</v>
      </c>
      <c r="R22" s="80">
        <v>-186</v>
      </c>
      <c r="T22" s="30">
        <f t="shared" si="17"/>
        <v>-575</v>
      </c>
      <c r="U22" s="30">
        <f t="shared" si="18"/>
        <v>-593</v>
      </c>
      <c r="V22" s="30">
        <f t="shared" si="19"/>
        <v>-602</v>
      </c>
      <c r="W22" s="30">
        <f t="shared" si="20"/>
        <v>-610</v>
      </c>
      <c r="X22" s="30">
        <f t="shared" si="21"/>
        <v>-646</v>
      </c>
      <c r="Y22" s="30">
        <f t="shared" si="22"/>
        <v>-678</v>
      </c>
      <c r="Z22" s="30">
        <f t="shared" si="23"/>
        <v>-720</v>
      </c>
      <c r="AA22" s="30">
        <f t="shared" si="24"/>
        <v>-747</v>
      </c>
      <c r="AB22" s="11"/>
      <c r="AC22" s="73">
        <f t="shared" si="16"/>
        <v>0.22459016393442632</v>
      </c>
    </row>
    <row r="23" spans="2:29" ht="12.75" customHeight="1">
      <c r="B23" s="9" t="s">
        <v>120</v>
      </c>
      <c r="C23" s="80">
        <v>0</v>
      </c>
      <c r="D23" s="80">
        <v>23</v>
      </c>
      <c r="E23" s="80">
        <v>-7</v>
      </c>
      <c r="F23" s="80">
        <v>20</v>
      </c>
      <c r="G23" s="30"/>
      <c r="H23" s="86">
        <v>6</v>
      </c>
      <c r="I23" s="86">
        <v>10</v>
      </c>
      <c r="J23" s="86">
        <v>3</v>
      </c>
      <c r="K23" s="30">
        <f t="shared" si="13"/>
        <v>-26</v>
      </c>
      <c r="L23" s="86">
        <v>3</v>
      </c>
      <c r="M23" s="86">
        <v>9</v>
      </c>
      <c r="N23" s="86">
        <v>7</v>
      </c>
      <c r="O23" s="30">
        <f t="shared" si="14"/>
        <v>1</v>
      </c>
      <c r="P23" s="80">
        <v>5</v>
      </c>
      <c r="Q23" s="80">
        <v>16</v>
      </c>
      <c r="R23" s="80">
        <v>2</v>
      </c>
      <c r="T23" s="30">
        <f t="shared" si="17"/>
        <v>-7</v>
      </c>
      <c r="U23" s="30">
        <f t="shared" si="18"/>
        <v>-10</v>
      </c>
      <c r="V23" s="30">
        <f t="shared" si="19"/>
        <v>-11</v>
      </c>
      <c r="W23" s="30">
        <f t="shared" si="20"/>
        <v>-7</v>
      </c>
      <c r="X23" s="30">
        <f t="shared" si="21"/>
        <v>20</v>
      </c>
      <c r="Y23" s="30">
        <f t="shared" si="22"/>
        <v>22</v>
      </c>
      <c r="Z23" s="30">
        <f t="shared" si="23"/>
        <v>29</v>
      </c>
      <c r="AA23" s="30">
        <f t="shared" si="24"/>
        <v>24</v>
      </c>
      <c r="AB23" s="11"/>
      <c r="AC23" s="73">
        <f t="shared" si="16"/>
        <v>-4.4285714285714288</v>
      </c>
    </row>
    <row r="24" spans="2:29" ht="12.75" customHeight="1">
      <c r="B24" s="25" t="s">
        <v>101</v>
      </c>
      <c r="C24" s="26">
        <f>SUM(C17+SUM(C20:C23))</f>
        <v>10307</v>
      </c>
      <c r="D24" s="26">
        <f>SUM(D17+SUM(D20:D23))</f>
        <v>11732</v>
      </c>
      <c r="E24" s="26">
        <f>SUM(E17+SUM(E20:E23))</f>
        <v>13639</v>
      </c>
      <c r="F24" s="26">
        <f>SUM(F17+SUM(F20:F23))</f>
        <v>15254</v>
      </c>
      <c r="H24" s="26">
        <f t="shared" ref="H24:R24" si="25">SUM(H17+SUM(H20:H23))</f>
        <v>2853</v>
      </c>
      <c r="I24" s="26">
        <f t="shared" si="25"/>
        <v>3704</v>
      </c>
      <c r="J24" s="26">
        <f t="shared" si="25"/>
        <v>3761</v>
      </c>
      <c r="K24" s="26">
        <f t="shared" si="25"/>
        <v>3321</v>
      </c>
      <c r="L24" s="26">
        <f t="shared" si="25"/>
        <v>3558</v>
      </c>
      <c r="M24" s="26">
        <f t="shared" si="25"/>
        <v>3939</v>
      </c>
      <c r="N24" s="26">
        <f t="shared" si="25"/>
        <v>3866</v>
      </c>
      <c r="O24" s="26">
        <f t="shared" si="25"/>
        <v>3891</v>
      </c>
      <c r="P24" s="26">
        <f t="shared" si="25"/>
        <v>4031</v>
      </c>
      <c r="Q24" s="26">
        <f t="shared" si="25"/>
        <v>4672</v>
      </c>
      <c r="R24" s="26">
        <f t="shared" si="25"/>
        <v>4999</v>
      </c>
      <c r="T24" s="26">
        <f t="shared" ref="T24:AA24" si="26">SUM(T17+SUM(T20:T23))</f>
        <v>13639</v>
      </c>
      <c r="U24" s="26">
        <f t="shared" si="26"/>
        <v>14344</v>
      </c>
      <c r="V24" s="26">
        <f t="shared" si="26"/>
        <v>14579</v>
      </c>
      <c r="W24" s="26">
        <f t="shared" si="26"/>
        <v>14684</v>
      </c>
      <c r="X24" s="26">
        <f t="shared" si="26"/>
        <v>15254</v>
      </c>
      <c r="Y24" s="26">
        <f t="shared" si="26"/>
        <v>15727</v>
      </c>
      <c r="Z24" s="26">
        <f t="shared" si="26"/>
        <v>16460</v>
      </c>
      <c r="AA24" s="26">
        <f t="shared" si="26"/>
        <v>17593</v>
      </c>
      <c r="AB24" s="40"/>
      <c r="AC24" s="74">
        <f>SUM(AA24/W24)-1</f>
        <v>0.19810678289294481</v>
      </c>
    </row>
    <row r="25" spans="2:29" ht="12.75" customHeight="1">
      <c r="B25" s="16" t="s">
        <v>102</v>
      </c>
      <c r="C25" s="17">
        <f>C24/C11</f>
        <v>0.54580597331073921</v>
      </c>
      <c r="D25" s="17">
        <f>D24/D11</f>
        <v>0.52758915321311328</v>
      </c>
      <c r="E25" s="17">
        <f>E24/E11</f>
        <v>0.54342975535899274</v>
      </c>
      <c r="F25" s="17">
        <f>F24/F11</f>
        <v>0.54155572123406825</v>
      </c>
      <c r="G25" s="27"/>
      <c r="H25" s="17">
        <f t="shared" ref="H25:R25" si="27">H24/H11</f>
        <v>0.49634655532359079</v>
      </c>
      <c r="I25" s="17">
        <f t="shared" si="27"/>
        <v>0.59084383474238311</v>
      </c>
      <c r="J25" s="17">
        <f t="shared" si="27"/>
        <v>0.57569263737945808</v>
      </c>
      <c r="K25" s="17">
        <f t="shared" si="27"/>
        <v>0.50717776420281002</v>
      </c>
      <c r="L25" s="17">
        <f t="shared" si="27"/>
        <v>0.56049149338374293</v>
      </c>
      <c r="M25" s="17">
        <f t="shared" si="27"/>
        <v>0.56586697313604373</v>
      </c>
      <c r="N25" s="17">
        <f t="shared" si="27"/>
        <v>0.52463020762654367</v>
      </c>
      <c r="O25" s="17">
        <f t="shared" si="27"/>
        <v>0.51956202430231002</v>
      </c>
      <c r="P25" s="17">
        <f t="shared" si="27"/>
        <v>0.55600000000000005</v>
      </c>
      <c r="Q25" s="17">
        <f t="shared" si="27"/>
        <v>0.57444977253166118</v>
      </c>
      <c r="R25" s="17">
        <f t="shared" si="27"/>
        <v>0.58114392001860038</v>
      </c>
      <c r="S25" s="28"/>
      <c r="T25" s="17">
        <f t="shared" ref="T25:AA25" si="28">T24/T11</f>
        <v>0.54342975535899274</v>
      </c>
      <c r="U25" s="17">
        <f t="shared" si="28"/>
        <v>0.55817573352011829</v>
      </c>
      <c r="V25" s="17">
        <f t="shared" si="28"/>
        <v>0.55244410761652141</v>
      </c>
      <c r="W25" s="17">
        <f t="shared" si="28"/>
        <v>0.53933739807536918</v>
      </c>
      <c r="X25" s="17">
        <f t="shared" si="28"/>
        <v>0.54155572123406825</v>
      </c>
      <c r="Y25" s="17">
        <f t="shared" si="28"/>
        <v>0.5410230830093915</v>
      </c>
      <c r="Z25" s="17">
        <f t="shared" si="28"/>
        <v>0.54429417016633053</v>
      </c>
      <c r="AA25" s="17">
        <f t="shared" si="28"/>
        <v>0.55896930800025413</v>
      </c>
      <c r="AB25" s="41"/>
      <c r="AC25" s="75">
        <f>SUM(AA25-W25)*1000</f>
        <v>19.631909924884951</v>
      </c>
    </row>
    <row r="26" spans="2:29" ht="5.0999999999999996" customHeight="1">
      <c r="B26" s="16"/>
      <c r="C26" s="17"/>
      <c r="D26" s="17"/>
      <c r="E26" s="17"/>
      <c r="F26" s="17"/>
      <c r="G26" s="2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28"/>
      <c r="T26" s="17"/>
      <c r="U26" s="17"/>
      <c r="V26" s="17"/>
      <c r="W26" s="17"/>
      <c r="X26" s="17"/>
      <c r="Y26" s="17"/>
      <c r="Z26" s="17"/>
      <c r="AA26" s="17"/>
      <c r="AB26" s="41"/>
      <c r="AC26" s="75"/>
    </row>
    <row r="27" spans="2:29" ht="12.75" customHeight="1">
      <c r="B27" s="9" t="s">
        <v>121</v>
      </c>
      <c r="C27" s="80">
        <v>-1620</v>
      </c>
      <c r="D27" s="80">
        <v>-1802</v>
      </c>
      <c r="E27" s="80">
        <v>-2444</v>
      </c>
      <c r="F27" s="80">
        <v>-2380</v>
      </c>
      <c r="G27" s="30"/>
      <c r="H27" s="80">
        <v>-492</v>
      </c>
      <c r="I27" s="80">
        <v>-859</v>
      </c>
      <c r="J27" s="80">
        <v>-563</v>
      </c>
      <c r="K27" s="30">
        <f t="shared" ref="K27" si="29">SUM(E27-SUM(H27:J27))</f>
        <v>-530</v>
      </c>
      <c r="L27" s="80">
        <v>-547</v>
      </c>
      <c r="M27" s="80">
        <v>-681</v>
      </c>
      <c r="N27" s="80">
        <v>-603</v>
      </c>
      <c r="O27" s="30">
        <f t="shared" ref="O27" si="30">SUM(F27-SUM(L27:N27))</f>
        <v>-549</v>
      </c>
      <c r="P27" s="80">
        <v>-751</v>
      </c>
      <c r="Q27" s="80">
        <v>-971</v>
      </c>
      <c r="R27" s="80">
        <v>-1072</v>
      </c>
      <c r="T27" s="30">
        <f t="shared" ref="T27:AA27" si="31">SUM(H27:K27)</f>
        <v>-2444</v>
      </c>
      <c r="U27" s="30">
        <f t="shared" si="31"/>
        <v>-2499</v>
      </c>
      <c r="V27" s="30">
        <f t="shared" si="31"/>
        <v>-2321</v>
      </c>
      <c r="W27" s="30">
        <f t="shared" si="31"/>
        <v>-2361</v>
      </c>
      <c r="X27" s="30">
        <f t="shared" si="31"/>
        <v>-2380</v>
      </c>
      <c r="Y27" s="30">
        <f t="shared" si="31"/>
        <v>-2584</v>
      </c>
      <c r="Z27" s="30">
        <f t="shared" si="31"/>
        <v>-2874</v>
      </c>
      <c r="AA27" s="30">
        <f t="shared" si="31"/>
        <v>-3343</v>
      </c>
      <c r="AB27" s="11"/>
      <c r="AC27" s="73">
        <f>SUM(AA27/W27)-1</f>
        <v>0.41592545531554426</v>
      </c>
    </row>
    <row r="28" spans="2:29" ht="12.75" customHeight="1">
      <c r="B28" s="13" t="s">
        <v>95</v>
      </c>
      <c r="C28" s="14">
        <f>SUM(C24+SUM(C27:C27))</f>
        <v>8687</v>
      </c>
      <c r="D28" s="14">
        <f>SUM(D24+SUM(D27:D27))</f>
        <v>9930</v>
      </c>
      <c r="E28" s="14">
        <f>SUM(E24+SUM(E27:E27))</f>
        <v>11195</v>
      </c>
      <c r="F28" s="14">
        <f>SUM(F24+SUM(F27:F27))</f>
        <v>12874</v>
      </c>
      <c r="G28" s="11"/>
      <c r="H28" s="14">
        <f t="shared" ref="H28:R28" si="32">SUM(H24+SUM(H27:H27))</f>
        <v>2361</v>
      </c>
      <c r="I28" s="14">
        <f t="shared" si="32"/>
        <v>2845</v>
      </c>
      <c r="J28" s="14">
        <f t="shared" si="32"/>
        <v>3198</v>
      </c>
      <c r="K28" s="14">
        <f t="shared" si="32"/>
        <v>2791</v>
      </c>
      <c r="L28" s="14">
        <f t="shared" si="32"/>
        <v>3011</v>
      </c>
      <c r="M28" s="14">
        <f t="shared" si="32"/>
        <v>3258</v>
      </c>
      <c r="N28" s="14">
        <f t="shared" si="32"/>
        <v>3263</v>
      </c>
      <c r="O28" s="14">
        <f t="shared" si="32"/>
        <v>3342</v>
      </c>
      <c r="P28" s="14">
        <f t="shared" si="32"/>
        <v>3280</v>
      </c>
      <c r="Q28" s="14">
        <f t="shared" si="32"/>
        <v>3701</v>
      </c>
      <c r="R28" s="14">
        <f t="shared" si="32"/>
        <v>3927</v>
      </c>
      <c r="S28" s="30"/>
      <c r="T28" s="14">
        <f t="shared" ref="T28:AA28" si="33">SUM(T24+SUM(T27:T27))</f>
        <v>11195</v>
      </c>
      <c r="U28" s="14">
        <f t="shared" si="33"/>
        <v>11845</v>
      </c>
      <c r="V28" s="14">
        <f t="shared" si="33"/>
        <v>12258</v>
      </c>
      <c r="W28" s="14">
        <f t="shared" si="33"/>
        <v>12323</v>
      </c>
      <c r="X28" s="14">
        <f t="shared" si="33"/>
        <v>12874</v>
      </c>
      <c r="Y28" s="14">
        <f t="shared" si="33"/>
        <v>13143</v>
      </c>
      <c r="Z28" s="14">
        <f t="shared" si="33"/>
        <v>13586</v>
      </c>
      <c r="AA28" s="14">
        <f t="shared" si="33"/>
        <v>14250</v>
      </c>
      <c r="AB28" s="34"/>
      <c r="AC28" s="74">
        <f>SUM(AA28/W28)-1</f>
        <v>0.15637425951472861</v>
      </c>
    </row>
    <row r="29" spans="2:29" ht="12.75" customHeight="1">
      <c r="B29" s="16" t="s">
        <v>94</v>
      </c>
      <c r="C29" s="17">
        <f>C28/C11</f>
        <v>0.46001906375767848</v>
      </c>
      <c r="D29" s="17">
        <f>D28/D11</f>
        <v>0.44655304222691911</v>
      </c>
      <c r="E29" s="17">
        <f>E28/E11</f>
        <v>0.44605147820543467</v>
      </c>
      <c r="F29" s="17">
        <f>F28/F11</f>
        <v>0.45705967976710332</v>
      </c>
      <c r="G29" s="27"/>
      <c r="H29" s="17">
        <f t="shared" ref="H29:R29" si="34">H28/H11</f>
        <v>0.41075156576200417</v>
      </c>
      <c r="I29" s="17">
        <f t="shared" si="34"/>
        <v>0.45382038602647951</v>
      </c>
      <c r="J29" s="17">
        <f t="shared" si="34"/>
        <v>0.48951477116179398</v>
      </c>
      <c r="K29" s="17">
        <f t="shared" si="34"/>
        <v>0.42623701893708005</v>
      </c>
      <c r="L29" s="17">
        <f t="shared" si="34"/>
        <v>0.47432262129804664</v>
      </c>
      <c r="M29" s="17">
        <f t="shared" si="34"/>
        <v>0.46803620169515875</v>
      </c>
      <c r="N29" s="17">
        <f t="shared" si="34"/>
        <v>0.44280092278463834</v>
      </c>
      <c r="O29" s="17">
        <f t="shared" si="34"/>
        <v>0.44625450660969423</v>
      </c>
      <c r="P29" s="17">
        <f t="shared" si="34"/>
        <v>0.45241379310344826</v>
      </c>
      <c r="Q29" s="17">
        <f t="shared" si="34"/>
        <v>0.45505963359154061</v>
      </c>
      <c r="R29" s="17">
        <f t="shared" si="34"/>
        <v>0.45652173913043476</v>
      </c>
      <c r="S29" s="28"/>
      <c r="T29" s="17">
        <f t="shared" ref="T29:AA29" si="35">T28/T11</f>
        <v>0.44605147820543467</v>
      </c>
      <c r="U29" s="17">
        <f t="shared" si="35"/>
        <v>0.46093081173632189</v>
      </c>
      <c r="V29" s="17">
        <f t="shared" si="35"/>
        <v>0.46449412656309208</v>
      </c>
      <c r="W29" s="17">
        <f t="shared" si="35"/>
        <v>0.45261882024535371</v>
      </c>
      <c r="X29" s="17">
        <f t="shared" si="35"/>
        <v>0.45705967976710332</v>
      </c>
      <c r="Y29" s="17">
        <f t="shared" si="35"/>
        <v>0.4521311362619973</v>
      </c>
      <c r="Z29" s="17">
        <f t="shared" si="35"/>
        <v>0.44925763036936611</v>
      </c>
      <c r="AA29" s="17">
        <f t="shared" si="35"/>
        <v>0.45275465463557224</v>
      </c>
      <c r="AB29" s="41"/>
      <c r="AC29" s="75">
        <f>SUM(AA29-W29)*1000</f>
        <v>0.1358343902185255</v>
      </c>
    </row>
    <row r="30" spans="2:29" ht="5.0999999999999996" customHeight="1">
      <c r="B30" s="16"/>
      <c r="C30" s="17"/>
      <c r="D30" s="17"/>
      <c r="E30" s="17"/>
      <c r="F30" s="17"/>
      <c r="G30" s="2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28"/>
      <c r="T30" s="17"/>
      <c r="U30" s="17"/>
      <c r="V30" s="17"/>
      <c r="W30" s="17"/>
      <c r="X30" s="17"/>
      <c r="Y30" s="17"/>
      <c r="Z30" s="17"/>
      <c r="AA30" s="17"/>
      <c r="AB30" s="41"/>
      <c r="AC30" s="75"/>
    </row>
    <row r="31" spans="2:29" ht="12.75" customHeight="1">
      <c r="B31" s="42" t="s">
        <v>79</v>
      </c>
      <c r="C31" s="80">
        <v>988</v>
      </c>
      <c r="D31" s="80">
        <v>968</v>
      </c>
      <c r="E31" s="80">
        <v>944</v>
      </c>
      <c r="F31" s="80">
        <v>925</v>
      </c>
      <c r="G31" s="27"/>
      <c r="H31" s="80">
        <v>953</v>
      </c>
      <c r="I31" s="80">
        <v>946</v>
      </c>
      <c r="J31" s="80">
        <v>941</v>
      </c>
      <c r="K31" s="30">
        <f>E31</f>
        <v>944</v>
      </c>
      <c r="L31" s="80">
        <v>933</v>
      </c>
      <c r="M31" s="80">
        <v>929</v>
      </c>
      <c r="N31" s="80">
        <v>923</v>
      </c>
      <c r="O31" s="30">
        <f>F31</f>
        <v>925</v>
      </c>
      <c r="P31" s="80">
        <v>912</v>
      </c>
      <c r="Q31" s="80">
        <v>908</v>
      </c>
      <c r="R31" s="80">
        <v>903</v>
      </c>
      <c r="S31" s="122"/>
      <c r="T31" s="30">
        <f t="shared" ref="T31:AA31" si="36">K31</f>
        <v>944</v>
      </c>
      <c r="U31" s="30">
        <f t="shared" si="36"/>
        <v>933</v>
      </c>
      <c r="V31" s="30">
        <f t="shared" si="36"/>
        <v>929</v>
      </c>
      <c r="W31" s="30">
        <f t="shared" si="36"/>
        <v>923</v>
      </c>
      <c r="X31" s="30">
        <f t="shared" si="36"/>
        <v>925</v>
      </c>
      <c r="Y31" s="30">
        <f t="shared" si="36"/>
        <v>912</v>
      </c>
      <c r="Z31" s="30">
        <f t="shared" si="36"/>
        <v>908</v>
      </c>
      <c r="AA31" s="30">
        <f t="shared" si="36"/>
        <v>903</v>
      </c>
      <c r="AB31" s="41"/>
      <c r="AC31" s="73">
        <f>SUM(AA31/W31)-1</f>
        <v>-2.1668472372697756E-2</v>
      </c>
    </row>
    <row r="32" spans="2:29" ht="12.75" customHeight="1">
      <c r="B32" s="13" t="s">
        <v>57</v>
      </c>
      <c r="C32" s="127">
        <f>C28/C31</f>
        <v>8.7925101214574894</v>
      </c>
      <c r="D32" s="127">
        <f>D28/D31</f>
        <v>10.258264462809917</v>
      </c>
      <c r="E32" s="127">
        <f>E28/E31</f>
        <v>11.859110169491526</v>
      </c>
      <c r="F32" s="127">
        <f>F28/F31</f>
        <v>13.917837837837839</v>
      </c>
      <c r="G32" s="27"/>
      <c r="H32" s="127">
        <f t="shared" ref="H32:R32" si="37">H28/H31</f>
        <v>2.4774396642182581</v>
      </c>
      <c r="I32" s="127">
        <f t="shared" si="37"/>
        <v>3.007399577167019</v>
      </c>
      <c r="J32" s="127">
        <f t="shared" si="37"/>
        <v>3.3985122210414453</v>
      </c>
      <c r="K32" s="127">
        <f t="shared" si="37"/>
        <v>2.9565677966101696</v>
      </c>
      <c r="L32" s="127">
        <f t="shared" si="37"/>
        <v>3.227224008574491</v>
      </c>
      <c r="M32" s="127">
        <f t="shared" si="37"/>
        <v>3.5069967707212055</v>
      </c>
      <c r="N32" s="127">
        <f t="shared" si="37"/>
        <v>3.535211267605634</v>
      </c>
      <c r="O32" s="127">
        <f t="shared" si="37"/>
        <v>3.6129729729729729</v>
      </c>
      <c r="P32" s="127">
        <f t="shared" si="37"/>
        <v>3.5964912280701755</v>
      </c>
      <c r="Q32" s="127">
        <f t="shared" si="37"/>
        <v>4.0759911894273131</v>
      </c>
      <c r="R32" s="127">
        <f t="shared" si="37"/>
        <v>4.3488372093023253</v>
      </c>
      <c r="S32" s="122"/>
      <c r="T32" s="127">
        <f t="shared" ref="T32:AA32" si="38">T28/T31</f>
        <v>11.859110169491526</v>
      </c>
      <c r="U32" s="127">
        <f t="shared" si="38"/>
        <v>12.695605573419078</v>
      </c>
      <c r="V32" s="127">
        <f t="shared" si="38"/>
        <v>13.194833153928956</v>
      </c>
      <c r="W32" s="127">
        <f t="shared" si="38"/>
        <v>13.351029252437703</v>
      </c>
      <c r="X32" s="127">
        <f t="shared" si="38"/>
        <v>13.917837837837839</v>
      </c>
      <c r="Y32" s="127">
        <f t="shared" si="38"/>
        <v>14.411184210526315</v>
      </c>
      <c r="Z32" s="127">
        <f t="shared" si="38"/>
        <v>14.962555066079295</v>
      </c>
      <c r="AA32" s="127">
        <f t="shared" si="38"/>
        <v>15.780730897009967</v>
      </c>
      <c r="AB32" s="41"/>
      <c r="AC32" s="74">
        <f>SUM(AA32/W32)-1</f>
        <v>0.18198609250508802</v>
      </c>
    </row>
    <row r="33" spans="1:29" ht="5.0999999999999996" customHeight="1">
      <c r="B33" s="25"/>
      <c r="C33" s="46"/>
      <c r="D33" s="46"/>
      <c r="E33" s="46"/>
      <c r="F33" s="46"/>
      <c r="G33" s="12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122"/>
      <c r="T33" s="122"/>
      <c r="U33" s="122"/>
      <c r="V33" s="122"/>
      <c r="W33" s="46"/>
      <c r="X33" s="122"/>
      <c r="Y33" s="122"/>
      <c r="Z33" s="122"/>
      <c r="AA33" s="122"/>
      <c r="AB33" s="41"/>
      <c r="AC33" s="73"/>
    </row>
    <row r="34" spans="1:29" ht="12.75" customHeight="1">
      <c r="B34" s="42" t="s">
        <v>58</v>
      </c>
      <c r="C34" s="80">
        <v>992</v>
      </c>
      <c r="D34" s="80">
        <v>971</v>
      </c>
      <c r="E34" s="80">
        <v>946</v>
      </c>
      <c r="F34" s="80">
        <v>927</v>
      </c>
      <c r="G34" s="126"/>
      <c r="H34" s="80">
        <v>956</v>
      </c>
      <c r="I34" s="80">
        <v>949</v>
      </c>
      <c r="J34" s="80">
        <v>943</v>
      </c>
      <c r="K34" s="30">
        <f>E34</f>
        <v>946</v>
      </c>
      <c r="L34" s="80">
        <v>935</v>
      </c>
      <c r="M34" s="80">
        <v>930</v>
      </c>
      <c r="N34" s="80">
        <v>925</v>
      </c>
      <c r="O34" s="30">
        <f>F34</f>
        <v>927</v>
      </c>
      <c r="P34" s="80">
        <v>914</v>
      </c>
      <c r="Q34" s="80">
        <v>909</v>
      </c>
      <c r="R34" s="80">
        <v>905</v>
      </c>
      <c r="S34" s="122"/>
      <c r="T34" s="30">
        <f t="shared" ref="T34:AA34" si="39">K34</f>
        <v>946</v>
      </c>
      <c r="U34" s="30">
        <f t="shared" si="39"/>
        <v>935</v>
      </c>
      <c r="V34" s="30">
        <f t="shared" si="39"/>
        <v>930</v>
      </c>
      <c r="W34" s="30">
        <f t="shared" si="39"/>
        <v>925</v>
      </c>
      <c r="X34" s="30">
        <f t="shared" si="39"/>
        <v>927</v>
      </c>
      <c r="Y34" s="30">
        <f t="shared" si="39"/>
        <v>914</v>
      </c>
      <c r="Z34" s="30">
        <f t="shared" si="39"/>
        <v>909</v>
      </c>
      <c r="AA34" s="30">
        <f t="shared" si="39"/>
        <v>905</v>
      </c>
      <c r="AB34" s="41"/>
      <c r="AC34" s="73">
        <f>SUM(AA34/W34)-1</f>
        <v>-2.1621621621621623E-2</v>
      </c>
    </row>
    <row r="35" spans="1:29" ht="12.75" customHeight="1">
      <c r="B35" s="13" t="s">
        <v>78</v>
      </c>
      <c r="C35" s="127">
        <f>C28/C34</f>
        <v>8.7570564516129039</v>
      </c>
      <c r="D35" s="127">
        <f>D28/D34</f>
        <v>10.226570545829043</v>
      </c>
      <c r="E35" s="127">
        <f>E28/E34</f>
        <v>11.834038054968287</v>
      </c>
      <c r="F35" s="127">
        <f>F28/F34</f>
        <v>13.887810140237324</v>
      </c>
      <c r="G35" s="27"/>
      <c r="H35" s="127">
        <f t="shared" ref="H35:R35" si="40">H28/H34</f>
        <v>2.4696652719665271</v>
      </c>
      <c r="I35" s="127">
        <f t="shared" si="40"/>
        <v>2.9978925184404637</v>
      </c>
      <c r="J35" s="127">
        <f t="shared" si="40"/>
        <v>3.3913043478260869</v>
      </c>
      <c r="K35" s="127">
        <f t="shared" si="40"/>
        <v>2.9503171247357294</v>
      </c>
      <c r="L35" s="127">
        <f t="shared" si="40"/>
        <v>3.2203208556149732</v>
      </c>
      <c r="M35" s="127">
        <f t="shared" si="40"/>
        <v>3.5032258064516131</v>
      </c>
      <c r="N35" s="127">
        <f t="shared" si="40"/>
        <v>3.5275675675675675</v>
      </c>
      <c r="O35" s="127">
        <f t="shared" si="40"/>
        <v>3.6051779935275081</v>
      </c>
      <c r="P35" s="127">
        <f t="shared" si="40"/>
        <v>3.5886214442013129</v>
      </c>
      <c r="Q35" s="127">
        <f t="shared" si="40"/>
        <v>4.0715071507150711</v>
      </c>
      <c r="R35" s="127">
        <f t="shared" si="40"/>
        <v>4.339226519337017</v>
      </c>
      <c r="S35" s="122"/>
      <c r="T35" s="127">
        <f t="shared" ref="T35:AA35" si="41">T28/T34</f>
        <v>11.834038054968287</v>
      </c>
      <c r="U35" s="127">
        <f t="shared" si="41"/>
        <v>12.668449197860962</v>
      </c>
      <c r="V35" s="127">
        <f t="shared" si="41"/>
        <v>13.180645161290322</v>
      </c>
      <c r="W35" s="127">
        <f t="shared" si="41"/>
        <v>13.322162162162162</v>
      </c>
      <c r="X35" s="127">
        <f t="shared" si="41"/>
        <v>13.887810140237324</v>
      </c>
      <c r="Y35" s="127">
        <f t="shared" si="41"/>
        <v>14.379649890590809</v>
      </c>
      <c r="Z35" s="127">
        <f t="shared" si="41"/>
        <v>14.946094609460946</v>
      </c>
      <c r="AA35" s="127">
        <f t="shared" si="41"/>
        <v>15.74585635359116</v>
      </c>
      <c r="AB35" s="41"/>
      <c r="AC35" s="74">
        <f>SUM(AA35/W35)-1</f>
        <v>0.18192949176919782</v>
      </c>
    </row>
    <row r="36" spans="1:29">
      <c r="B36" s="16"/>
      <c r="C36" s="17"/>
      <c r="D36" s="17"/>
      <c r="E36" s="17"/>
      <c r="F36" s="17"/>
      <c r="G36" s="2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28"/>
      <c r="T36" s="17"/>
      <c r="U36" s="17"/>
      <c r="V36" s="17"/>
      <c r="W36" s="17"/>
      <c r="X36" s="17"/>
      <c r="Y36" s="17"/>
      <c r="Z36" s="17"/>
      <c r="AA36" s="17"/>
      <c r="AB36" s="41"/>
    </row>
    <row r="37" spans="1:29" ht="12.75" customHeight="1">
      <c r="A37" s="5" t="s">
        <v>15</v>
      </c>
      <c r="B37" s="97" t="s">
        <v>68</v>
      </c>
      <c r="C37" s="98" t="s">
        <v>0</v>
      </c>
      <c r="D37" s="98" t="s">
        <v>0</v>
      </c>
      <c r="E37" s="98"/>
      <c r="F37" s="98"/>
      <c r="G37" s="99"/>
      <c r="H37" s="98" t="s">
        <v>1</v>
      </c>
      <c r="I37" s="98"/>
      <c r="J37" s="98"/>
      <c r="K37" s="98"/>
      <c r="L37" s="98"/>
      <c r="M37" s="98"/>
      <c r="N37" s="98" t="s">
        <v>1</v>
      </c>
      <c r="O37" s="98"/>
      <c r="P37" s="98"/>
      <c r="Q37" s="98"/>
      <c r="R37" s="98"/>
      <c r="S37" s="97"/>
      <c r="T37" s="98"/>
      <c r="U37" s="98"/>
      <c r="V37" s="98" t="s">
        <v>10</v>
      </c>
      <c r="W37" s="98"/>
      <c r="X37" s="98"/>
      <c r="Y37" s="98"/>
      <c r="Z37" s="98"/>
      <c r="AA37" s="98"/>
      <c r="AB37" s="99"/>
      <c r="AC37" s="140" t="s">
        <v>20</v>
      </c>
    </row>
    <row r="38" spans="1:29" ht="12.75" customHeight="1">
      <c r="B38" s="101" t="str">
        <f t="shared" ref="B38:F39" si="42">B7</f>
        <v>Fiscal Period</v>
      </c>
      <c r="C38" s="100">
        <f t="shared" si="42"/>
        <v>2021</v>
      </c>
      <c r="D38" s="100">
        <f t="shared" si="42"/>
        <v>2022</v>
      </c>
      <c r="E38" s="100">
        <f t="shared" si="42"/>
        <v>2023</v>
      </c>
      <c r="F38" s="100">
        <f t="shared" si="42"/>
        <v>2024</v>
      </c>
      <c r="G38" s="99"/>
      <c r="H38" s="100" t="str">
        <f t="shared" ref="H38:R38" si="43">H7</f>
        <v>1Q23</v>
      </c>
      <c r="I38" s="100" t="str">
        <f t="shared" si="43"/>
        <v>2Q23</v>
      </c>
      <c r="J38" s="100" t="str">
        <f t="shared" si="43"/>
        <v>3Q23</v>
      </c>
      <c r="K38" s="100" t="str">
        <f t="shared" si="43"/>
        <v>4Q23</v>
      </c>
      <c r="L38" s="100" t="str">
        <f t="shared" si="43"/>
        <v>1Q24</v>
      </c>
      <c r="M38" s="100" t="str">
        <f t="shared" si="43"/>
        <v>2Q24</v>
      </c>
      <c r="N38" s="100" t="str">
        <f t="shared" si="43"/>
        <v>3Q24</v>
      </c>
      <c r="O38" s="100" t="str">
        <f t="shared" si="43"/>
        <v>4Q24</v>
      </c>
      <c r="P38" s="100" t="str">
        <f t="shared" si="43"/>
        <v>1Q25</v>
      </c>
      <c r="Q38" s="100" t="str">
        <f t="shared" si="43"/>
        <v>2Q25</v>
      </c>
      <c r="R38" s="100" t="str">
        <f t="shared" si="43"/>
        <v>3Q25</v>
      </c>
      <c r="S38" s="102"/>
      <c r="T38" s="100" t="str">
        <f t="shared" ref="T38:AA39" si="44">T7</f>
        <v>4Q23</v>
      </c>
      <c r="U38" s="100" t="str">
        <f t="shared" si="44"/>
        <v>1Q24</v>
      </c>
      <c r="V38" s="100" t="str">
        <f t="shared" si="44"/>
        <v>2Q24</v>
      </c>
      <c r="W38" s="100" t="str">
        <f t="shared" si="44"/>
        <v>3Q24</v>
      </c>
      <c r="X38" s="100" t="str">
        <f t="shared" si="44"/>
        <v>4Q24</v>
      </c>
      <c r="Y38" s="100" t="str">
        <f t="shared" si="44"/>
        <v>1Q25</v>
      </c>
      <c r="Z38" s="100" t="str">
        <f t="shared" si="44"/>
        <v>2Q25</v>
      </c>
      <c r="AA38" s="100" t="str">
        <f t="shared" si="44"/>
        <v>3Q25</v>
      </c>
      <c r="AB38" s="99"/>
      <c r="AC38" s="140"/>
    </row>
    <row r="39" spans="1:29" ht="12.75" customHeight="1">
      <c r="B39" s="101" t="str">
        <f t="shared" si="42"/>
        <v>Fiscal Period End Date</v>
      </c>
      <c r="C39" s="103">
        <f t="shared" si="42"/>
        <v>44561</v>
      </c>
      <c r="D39" s="103">
        <f t="shared" si="42"/>
        <v>44926</v>
      </c>
      <c r="E39" s="103">
        <f t="shared" si="42"/>
        <v>45291</v>
      </c>
      <c r="F39" s="103">
        <f t="shared" si="42"/>
        <v>45657</v>
      </c>
      <c r="G39" s="99"/>
      <c r="H39" s="103">
        <f t="shared" ref="H39:R39" si="45">H8</f>
        <v>45016</v>
      </c>
      <c r="I39" s="103">
        <f t="shared" si="45"/>
        <v>45107</v>
      </c>
      <c r="J39" s="103">
        <f t="shared" si="45"/>
        <v>45199</v>
      </c>
      <c r="K39" s="103">
        <f t="shared" si="45"/>
        <v>45291</v>
      </c>
      <c r="L39" s="103">
        <f t="shared" si="45"/>
        <v>45382</v>
      </c>
      <c r="M39" s="103">
        <f t="shared" si="45"/>
        <v>45473</v>
      </c>
      <c r="N39" s="103">
        <f t="shared" si="45"/>
        <v>45565</v>
      </c>
      <c r="O39" s="103">
        <f t="shared" si="45"/>
        <v>45657</v>
      </c>
      <c r="P39" s="103">
        <f t="shared" si="45"/>
        <v>45747</v>
      </c>
      <c r="Q39" s="103">
        <f t="shared" si="45"/>
        <v>45838</v>
      </c>
      <c r="R39" s="103">
        <f t="shared" si="45"/>
        <v>45930</v>
      </c>
      <c r="S39" s="104"/>
      <c r="T39" s="103">
        <f t="shared" si="44"/>
        <v>45291</v>
      </c>
      <c r="U39" s="103">
        <f t="shared" si="44"/>
        <v>45382</v>
      </c>
      <c r="V39" s="103">
        <f t="shared" si="44"/>
        <v>45473</v>
      </c>
      <c r="W39" s="103">
        <f t="shared" si="44"/>
        <v>45565</v>
      </c>
      <c r="X39" s="103">
        <f t="shared" si="44"/>
        <v>45657</v>
      </c>
      <c r="Y39" s="103">
        <f t="shared" si="44"/>
        <v>45747</v>
      </c>
      <c r="Z39" s="103">
        <f t="shared" si="44"/>
        <v>45838</v>
      </c>
      <c r="AA39" s="103">
        <f t="shared" si="44"/>
        <v>45930</v>
      </c>
      <c r="AB39" s="99"/>
      <c r="AC39" s="140"/>
    </row>
    <row r="40" spans="1:29" ht="5.0999999999999996" customHeight="1">
      <c r="B40" s="44"/>
      <c r="C40" s="45"/>
      <c r="D40" s="45"/>
      <c r="E40" s="45"/>
      <c r="F40" s="45"/>
    </row>
    <row r="41" spans="1:29">
      <c r="B41" s="76" t="s">
        <v>73</v>
      </c>
      <c r="C41" s="45"/>
      <c r="D41" s="45"/>
      <c r="E41" s="45"/>
      <c r="F41" s="45"/>
    </row>
    <row r="42" spans="1:29" s="113" customFormat="1" ht="12.75" customHeight="1">
      <c r="B42" s="105" t="s">
        <v>122</v>
      </c>
      <c r="C42" s="114">
        <v>7421</v>
      </c>
      <c r="D42" s="114">
        <v>7008</v>
      </c>
      <c r="E42" s="114">
        <v>8588</v>
      </c>
      <c r="F42" s="114">
        <v>8442</v>
      </c>
      <c r="H42" s="80">
        <v>6566</v>
      </c>
      <c r="I42" s="80">
        <v>6170</v>
      </c>
      <c r="J42" s="80">
        <v>6890</v>
      </c>
      <c r="K42" s="30">
        <f t="shared" ref="K42:K48" si="46">E42</f>
        <v>8588</v>
      </c>
      <c r="L42" s="80">
        <v>7293</v>
      </c>
      <c r="M42" s="80">
        <v>6996</v>
      </c>
      <c r="N42" s="80">
        <v>11063</v>
      </c>
      <c r="O42" s="30">
        <f t="shared" ref="O42:O48" si="47">F42</f>
        <v>8442</v>
      </c>
      <c r="P42" s="80">
        <v>7575</v>
      </c>
      <c r="Q42" s="80">
        <v>9031</v>
      </c>
      <c r="R42" s="80">
        <v>10313</v>
      </c>
      <c r="T42" s="87">
        <f t="shared" ref="T42:AA42" si="48">K42</f>
        <v>8588</v>
      </c>
      <c r="U42" s="87">
        <f t="shared" si="48"/>
        <v>7293</v>
      </c>
      <c r="V42" s="87">
        <f t="shared" si="48"/>
        <v>6996</v>
      </c>
      <c r="W42" s="87">
        <f t="shared" si="48"/>
        <v>11063</v>
      </c>
      <c r="X42" s="87">
        <f t="shared" si="48"/>
        <v>8442</v>
      </c>
      <c r="Y42" s="87">
        <f t="shared" si="48"/>
        <v>7575</v>
      </c>
      <c r="Z42" s="87">
        <f t="shared" si="48"/>
        <v>9031</v>
      </c>
      <c r="AA42" s="87">
        <f t="shared" si="48"/>
        <v>10313</v>
      </c>
      <c r="AB42" s="115"/>
      <c r="AC42" s="73">
        <f>SUM(AA42/W42)-1</f>
        <v>-6.7793546054415565E-2</v>
      </c>
    </row>
    <row r="43" spans="1:29" s="113" customFormat="1" ht="12.75" customHeight="1">
      <c r="B43" s="105" t="s">
        <v>123</v>
      </c>
      <c r="C43" s="114">
        <v>586</v>
      </c>
      <c r="D43" s="114">
        <v>589</v>
      </c>
      <c r="E43" s="114">
        <v>32</v>
      </c>
      <c r="F43" s="114">
        <v>492</v>
      </c>
      <c r="H43" s="80">
        <v>596</v>
      </c>
      <c r="I43" s="80">
        <v>598</v>
      </c>
      <c r="J43" s="80">
        <v>0</v>
      </c>
      <c r="K43" s="30">
        <f t="shared" si="46"/>
        <v>32</v>
      </c>
      <c r="L43" s="80">
        <v>0</v>
      </c>
      <c r="M43" s="80">
        <v>0</v>
      </c>
      <c r="N43" s="80">
        <v>0</v>
      </c>
      <c r="O43" s="30">
        <f t="shared" si="47"/>
        <v>492</v>
      </c>
      <c r="P43" s="80">
        <v>507</v>
      </c>
      <c r="Q43" s="80">
        <v>542</v>
      </c>
      <c r="R43" s="80">
        <v>478</v>
      </c>
      <c r="T43" s="87">
        <f t="shared" ref="T43:T44" si="49">K43</f>
        <v>32</v>
      </c>
      <c r="U43" s="87">
        <f t="shared" ref="U43:U44" si="50">L43</f>
        <v>0</v>
      </c>
      <c r="V43" s="87">
        <f t="shared" ref="V43:V44" si="51">M43</f>
        <v>0</v>
      </c>
      <c r="W43" s="87">
        <f t="shared" ref="W43:W44" si="52">N43</f>
        <v>0</v>
      </c>
      <c r="X43" s="87">
        <f t="shared" ref="X43:X44" si="53">O43</f>
        <v>492</v>
      </c>
      <c r="Y43" s="87">
        <f t="shared" ref="Y43:Y44" si="54">P43</f>
        <v>507</v>
      </c>
      <c r="Z43" s="87">
        <f t="shared" ref="Z43:Z44" si="55">Q43</f>
        <v>542</v>
      </c>
      <c r="AA43" s="87">
        <f t="shared" ref="AA43:AA44" si="56">R43</f>
        <v>478</v>
      </c>
      <c r="AB43" s="115"/>
      <c r="AC43" s="73" t="e">
        <f t="shared" ref="AC43:AC44" si="57">SUM(AA43/W43)-1</f>
        <v>#DIV/0!</v>
      </c>
    </row>
    <row r="44" spans="1:29" s="113" customFormat="1" ht="12.75" customHeight="1">
      <c r="B44" s="105" t="s">
        <v>124</v>
      </c>
      <c r="C44" s="114">
        <v>473</v>
      </c>
      <c r="D44" s="114">
        <v>1568</v>
      </c>
      <c r="E44" s="114">
        <v>1845</v>
      </c>
      <c r="F44" s="114">
        <v>1874</v>
      </c>
      <c r="H44" s="80">
        <v>402</v>
      </c>
      <c r="I44" s="80">
        <v>344</v>
      </c>
      <c r="J44" s="80">
        <v>2624</v>
      </c>
      <c r="K44" s="30">
        <f t="shared" si="46"/>
        <v>1845</v>
      </c>
      <c r="L44" s="80">
        <v>1861</v>
      </c>
      <c r="M44" s="80">
        <v>1772</v>
      </c>
      <c r="N44" s="80">
        <v>1868</v>
      </c>
      <c r="O44" s="30">
        <f t="shared" si="47"/>
        <v>1874</v>
      </c>
      <c r="P44" s="80">
        <v>1900</v>
      </c>
      <c r="Q44" s="80">
        <v>1999</v>
      </c>
      <c r="R44" s="80">
        <v>2054</v>
      </c>
      <c r="T44" s="87">
        <f t="shared" si="49"/>
        <v>1845</v>
      </c>
      <c r="U44" s="87">
        <f t="shared" si="50"/>
        <v>1861</v>
      </c>
      <c r="V44" s="87">
        <f t="shared" si="51"/>
        <v>1772</v>
      </c>
      <c r="W44" s="87">
        <f t="shared" si="52"/>
        <v>1868</v>
      </c>
      <c r="X44" s="87">
        <f t="shared" si="53"/>
        <v>1874</v>
      </c>
      <c r="Y44" s="87">
        <f t="shared" si="54"/>
        <v>1900</v>
      </c>
      <c r="Z44" s="87">
        <f t="shared" si="55"/>
        <v>1999</v>
      </c>
      <c r="AA44" s="87">
        <f t="shared" si="56"/>
        <v>2054</v>
      </c>
      <c r="AB44" s="115"/>
      <c r="AC44" s="73">
        <f t="shared" si="57"/>
        <v>9.9571734475374818E-2</v>
      </c>
    </row>
    <row r="45" spans="1:29" s="113" customFormat="1" ht="12.75" customHeight="1">
      <c r="B45" s="105" t="s">
        <v>125</v>
      </c>
      <c r="C45" s="114">
        <v>3006</v>
      </c>
      <c r="D45" s="114">
        <v>400</v>
      </c>
      <c r="E45" s="114">
        <v>592</v>
      </c>
      <c r="F45" s="114">
        <v>330</v>
      </c>
      <c r="H45" s="80">
        <v>3511</v>
      </c>
      <c r="I45" s="80">
        <v>3763</v>
      </c>
      <c r="J45" s="80">
        <v>602</v>
      </c>
      <c r="K45" s="30">
        <f t="shared" si="46"/>
        <v>592</v>
      </c>
      <c r="L45" s="80">
        <v>364</v>
      </c>
      <c r="M45" s="80">
        <v>362</v>
      </c>
      <c r="N45" s="80">
        <v>338</v>
      </c>
      <c r="O45" s="30">
        <f t="shared" si="47"/>
        <v>330</v>
      </c>
      <c r="P45" s="80">
        <v>319</v>
      </c>
      <c r="Q45" s="80">
        <v>336</v>
      </c>
      <c r="R45" s="80">
        <v>335</v>
      </c>
      <c r="T45" s="87">
        <f t="shared" ref="T45:AA45" si="58">K45</f>
        <v>592</v>
      </c>
      <c r="U45" s="87">
        <f t="shared" si="58"/>
        <v>364</v>
      </c>
      <c r="V45" s="87">
        <f t="shared" si="58"/>
        <v>362</v>
      </c>
      <c r="W45" s="87">
        <f t="shared" si="58"/>
        <v>338</v>
      </c>
      <c r="X45" s="87">
        <f t="shared" si="58"/>
        <v>330</v>
      </c>
      <c r="Y45" s="87">
        <f t="shared" si="58"/>
        <v>319</v>
      </c>
      <c r="Z45" s="87">
        <f t="shared" si="58"/>
        <v>336</v>
      </c>
      <c r="AA45" s="87">
        <f t="shared" si="58"/>
        <v>335</v>
      </c>
      <c r="AB45" s="115"/>
      <c r="AC45" s="73">
        <f t="shared" ref="AC45:AC47" si="59">SUM(AA45/W45)-1</f>
        <v>-8.8757396449704595E-3</v>
      </c>
    </row>
    <row r="46" spans="1:29" s="113" customFormat="1" ht="12.75" customHeight="1">
      <c r="B46" s="105" t="s">
        <v>126</v>
      </c>
      <c r="C46" s="114">
        <v>1319</v>
      </c>
      <c r="D46" s="114">
        <v>3425</v>
      </c>
      <c r="E46" s="114">
        <v>4060</v>
      </c>
      <c r="F46" s="114">
        <v>3773</v>
      </c>
      <c r="H46" s="80">
        <v>1236</v>
      </c>
      <c r="I46" s="80">
        <v>1378</v>
      </c>
      <c r="J46" s="80">
        <v>3925</v>
      </c>
      <c r="K46" s="30">
        <f t="shared" si="46"/>
        <v>4060</v>
      </c>
      <c r="L46" s="80">
        <v>4231</v>
      </c>
      <c r="M46" s="80">
        <v>4195</v>
      </c>
      <c r="N46" s="80">
        <v>4014</v>
      </c>
      <c r="O46" s="30">
        <f t="shared" si="47"/>
        <v>3773</v>
      </c>
      <c r="P46" s="80">
        <v>3965</v>
      </c>
      <c r="Q46" s="80">
        <v>4184</v>
      </c>
      <c r="R46" s="80">
        <v>4247</v>
      </c>
      <c r="T46" s="87">
        <f t="shared" ref="T46:T47" si="60">K46</f>
        <v>4060</v>
      </c>
      <c r="U46" s="87">
        <f t="shared" ref="U46:U47" si="61">L46</f>
        <v>4231</v>
      </c>
      <c r="V46" s="87">
        <f t="shared" ref="V46:V47" si="62">M46</f>
        <v>4195</v>
      </c>
      <c r="W46" s="87">
        <f t="shared" ref="W46:W47" si="63">N46</f>
        <v>4014</v>
      </c>
      <c r="X46" s="87">
        <f t="shared" ref="X46:X47" si="64">O46</f>
        <v>3773</v>
      </c>
      <c r="Y46" s="87">
        <f t="shared" ref="Y46:Y47" si="65">P46</f>
        <v>3965</v>
      </c>
      <c r="Z46" s="87">
        <f t="shared" ref="Z46:Z47" si="66">Q46</f>
        <v>4184</v>
      </c>
      <c r="AA46" s="87">
        <f t="shared" ref="AA46:AA47" si="67">R46</f>
        <v>4247</v>
      </c>
      <c r="AB46" s="115"/>
      <c r="AC46" s="73">
        <f t="shared" si="59"/>
        <v>5.8046836073741837E-2</v>
      </c>
    </row>
    <row r="47" spans="1:29" s="113" customFormat="1" ht="12.75" customHeight="1">
      <c r="B47" s="105" t="s">
        <v>127</v>
      </c>
      <c r="C47" s="114">
        <v>1873</v>
      </c>
      <c r="D47" s="114">
        <v>1270</v>
      </c>
      <c r="E47" s="114">
        <v>1233</v>
      </c>
      <c r="F47" s="114">
        <v>1821</v>
      </c>
      <c r="H47" s="80">
        <v>1608</v>
      </c>
      <c r="I47" s="80">
        <v>1723</v>
      </c>
      <c r="J47" s="80">
        <v>1118</v>
      </c>
      <c r="K47" s="30">
        <f t="shared" si="46"/>
        <v>1233</v>
      </c>
      <c r="L47" s="80">
        <v>1647</v>
      </c>
      <c r="M47" s="80">
        <v>1514</v>
      </c>
      <c r="N47" s="80">
        <v>1978</v>
      </c>
      <c r="O47" s="30">
        <f t="shared" si="47"/>
        <v>1821</v>
      </c>
      <c r="P47" s="80">
        <v>2119</v>
      </c>
      <c r="Q47" s="80">
        <v>2418</v>
      </c>
      <c r="R47" s="80">
        <v>1842</v>
      </c>
      <c r="T47" s="87">
        <f t="shared" si="60"/>
        <v>1233</v>
      </c>
      <c r="U47" s="87">
        <f t="shared" si="61"/>
        <v>1647</v>
      </c>
      <c r="V47" s="87">
        <f t="shared" si="62"/>
        <v>1514</v>
      </c>
      <c r="W47" s="87">
        <f t="shared" si="63"/>
        <v>1978</v>
      </c>
      <c r="X47" s="87">
        <f t="shared" si="64"/>
        <v>1821</v>
      </c>
      <c r="Y47" s="87">
        <f t="shared" si="65"/>
        <v>2119</v>
      </c>
      <c r="Z47" s="87">
        <f t="shared" si="66"/>
        <v>2418</v>
      </c>
      <c r="AA47" s="87">
        <f t="shared" si="67"/>
        <v>1842</v>
      </c>
      <c r="AB47" s="115"/>
      <c r="AC47" s="73">
        <f t="shared" si="59"/>
        <v>-6.8756319514661324E-2</v>
      </c>
    </row>
    <row r="48" spans="1:29" s="113" customFormat="1" ht="12.75" customHeight="1">
      <c r="B48" s="105" t="s">
        <v>128</v>
      </c>
      <c r="C48" s="114">
        <v>2271</v>
      </c>
      <c r="D48" s="114">
        <v>2346</v>
      </c>
      <c r="E48" s="114">
        <v>2611</v>
      </c>
      <c r="F48" s="114">
        <v>2992</v>
      </c>
      <c r="H48" s="80">
        <v>2501</v>
      </c>
      <c r="I48" s="80">
        <v>2554</v>
      </c>
      <c r="J48" s="80">
        <v>1824</v>
      </c>
      <c r="K48" s="30">
        <f t="shared" si="46"/>
        <v>2611</v>
      </c>
      <c r="L48" s="80">
        <v>3028</v>
      </c>
      <c r="M48" s="80">
        <v>2941</v>
      </c>
      <c r="N48" s="80">
        <v>3039</v>
      </c>
      <c r="O48" s="30">
        <f t="shared" si="47"/>
        <v>2992</v>
      </c>
      <c r="P48" s="80">
        <v>3419</v>
      </c>
      <c r="Q48" s="80">
        <v>3630</v>
      </c>
      <c r="R48" s="80">
        <v>3954</v>
      </c>
      <c r="T48" s="87">
        <f t="shared" ref="T48:AA48" si="68">K48</f>
        <v>2611</v>
      </c>
      <c r="U48" s="87">
        <f t="shared" si="68"/>
        <v>3028</v>
      </c>
      <c r="V48" s="87">
        <f t="shared" si="68"/>
        <v>2941</v>
      </c>
      <c r="W48" s="87">
        <f t="shared" si="68"/>
        <v>3039</v>
      </c>
      <c r="X48" s="87">
        <f t="shared" si="68"/>
        <v>2992</v>
      </c>
      <c r="Y48" s="87">
        <f t="shared" si="68"/>
        <v>3419</v>
      </c>
      <c r="Z48" s="87">
        <f t="shared" si="68"/>
        <v>3630</v>
      </c>
      <c r="AA48" s="87">
        <f t="shared" si="68"/>
        <v>3954</v>
      </c>
      <c r="AB48" s="115"/>
      <c r="AC48" s="73">
        <f t="shared" ref="AC48" si="69">SUM(AA48/W48)-1</f>
        <v>0.30108588351431398</v>
      </c>
    </row>
    <row r="49" spans="2:29" ht="12.75" customHeight="1">
      <c r="B49" s="25" t="s">
        <v>17</v>
      </c>
      <c r="C49" s="26">
        <f>SUM(C42:C48)</f>
        <v>16949</v>
      </c>
      <c r="D49" s="26">
        <f>SUM(D42:D48)</f>
        <v>16606</v>
      </c>
      <c r="E49" s="26">
        <f>SUM(E42:E48)</f>
        <v>18961</v>
      </c>
      <c r="F49" s="26">
        <f>SUM(F42:F48)</f>
        <v>19724</v>
      </c>
      <c r="G49" s="46"/>
      <c r="H49" s="26">
        <f t="shared" ref="H49:R49" si="70">SUM(H42:H48)</f>
        <v>16420</v>
      </c>
      <c r="I49" s="26">
        <f t="shared" si="70"/>
        <v>16530</v>
      </c>
      <c r="J49" s="26">
        <f t="shared" si="70"/>
        <v>16983</v>
      </c>
      <c r="K49" s="26">
        <f t="shared" si="70"/>
        <v>18961</v>
      </c>
      <c r="L49" s="26">
        <f t="shared" si="70"/>
        <v>18424</v>
      </c>
      <c r="M49" s="26">
        <f t="shared" si="70"/>
        <v>17780</v>
      </c>
      <c r="N49" s="26">
        <f t="shared" si="70"/>
        <v>22300</v>
      </c>
      <c r="O49" s="26">
        <f t="shared" si="70"/>
        <v>19724</v>
      </c>
      <c r="P49" s="26">
        <f t="shared" si="70"/>
        <v>19804</v>
      </c>
      <c r="Q49" s="26">
        <f t="shared" si="70"/>
        <v>22140</v>
      </c>
      <c r="R49" s="26">
        <f t="shared" si="70"/>
        <v>23223</v>
      </c>
      <c r="S49" s="46"/>
      <c r="T49" s="26">
        <f t="shared" ref="T49:AA49" si="71">SUM(T42:T48)</f>
        <v>18961</v>
      </c>
      <c r="U49" s="26">
        <f t="shared" si="71"/>
        <v>18424</v>
      </c>
      <c r="V49" s="26">
        <f t="shared" si="71"/>
        <v>17780</v>
      </c>
      <c r="W49" s="26">
        <f t="shared" si="71"/>
        <v>22300</v>
      </c>
      <c r="X49" s="26">
        <f t="shared" si="71"/>
        <v>19724</v>
      </c>
      <c r="Y49" s="26">
        <f t="shared" si="71"/>
        <v>19804</v>
      </c>
      <c r="Z49" s="26">
        <f t="shared" si="71"/>
        <v>22140</v>
      </c>
      <c r="AA49" s="26">
        <f t="shared" si="71"/>
        <v>23223</v>
      </c>
      <c r="AB49" s="40"/>
      <c r="AC49" s="74">
        <f>SUM(AA49/W49)-1</f>
        <v>4.1390134529148082E-2</v>
      </c>
    </row>
    <row r="50" spans="2:29" ht="5.0999999999999996" customHeight="1">
      <c r="B50" s="25"/>
      <c r="C50" s="47"/>
      <c r="D50" s="47"/>
      <c r="E50" s="39"/>
      <c r="F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T50" s="40"/>
      <c r="U50" s="40"/>
      <c r="V50" s="40"/>
      <c r="W50" s="40"/>
      <c r="X50" s="40"/>
      <c r="Y50" s="40"/>
      <c r="Z50" s="40"/>
      <c r="AA50" s="40"/>
      <c r="AB50" s="40"/>
      <c r="AC50" s="37"/>
    </row>
    <row r="51" spans="2:29" ht="12.75" customHeight="1">
      <c r="B51" s="76" t="s">
        <v>74</v>
      </c>
      <c r="C51" s="80"/>
      <c r="D51" s="80"/>
      <c r="E51" s="80"/>
      <c r="F51" s="80"/>
      <c r="H51" s="80"/>
      <c r="I51" s="80"/>
      <c r="J51" s="80"/>
      <c r="K51" s="80"/>
      <c r="L51" s="80"/>
      <c r="M51" s="80"/>
      <c r="N51" s="80"/>
      <c r="O51" s="80"/>
      <c r="P51" s="30"/>
      <c r="Q51" s="80"/>
      <c r="R51" s="80"/>
      <c r="T51" s="30"/>
      <c r="U51" s="30"/>
      <c r="V51" s="30"/>
      <c r="W51" s="30"/>
      <c r="X51" s="30"/>
      <c r="Y51" s="30"/>
      <c r="Z51" s="30"/>
      <c r="AA51" s="30"/>
      <c r="AB51" s="11"/>
      <c r="AC51" s="73"/>
    </row>
    <row r="52" spans="2:29" ht="12.75" customHeight="1">
      <c r="B52" s="9" t="s">
        <v>129</v>
      </c>
      <c r="C52" s="80">
        <v>1907</v>
      </c>
      <c r="D52" s="80">
        <v>2006</v>
      </c>
      <c r="E52" s="80">
        <v>2061</v>
      </c>
      <c r="F52" s="80">
        <v>2138</v>
      </c>
      <c r="H52" s="80">
        <v>2006</v>
      </c>
      <c r="I52" s="80">
        <v>1986</v>
      </c>
      <c r="J52" s="80">
        <v>1972</v>
      </c>
      <c r="K52" s="30">
        <f t="shared" ref="K52:K56" si="72">E52</f>
        <v>2061</v>
      </c>
      <c r="L52" s="80">
        <v>2077</v>
      </c>
      <c r="M52" s="80">
        <v>2148</v>
      </c>
      <c r="N52" s="80">
        <v>2176</v>
      </c>
      <c r="O52" s="30">
        <f t="shared" ref="O52:O56" si="73">F52</f>
        <v>2138</v>
      </c>
      <c r="P52" s="80">
        <v>2171</v>
      </c>
      <c r="Q52" s="80">
        <v>2225</v>
      </c>
      <c r="R52" s="80">
        <v>2299</v>
      </c>
      <c r="T52" s="30">
        <f t="shared" ref="T52:AA56" si="74">K52</f>
        <v>2061</v>
      </c>
      <c r="U52" s="30">
        <f t="shared" si="74"/>
        <v>2077</v>
      </c>
      <c r="V52" s="30">
        <f t="shared" si="74"/>
        <v>2148</v>
      </c>
      <c r="W52" s="30">
        <f t="shared" si="74"/>
        <v>2176</v>
      </c>
      <c r="X52" s="30">
        <f t="shared" si="74"/>
        <v>2138</v>
      </c>
      <c r="Y52" s="30">
        <f t="shared" si="74"/>
        <v>2171</v>
      </c>
      <c r="Z52" s="30">
        <f t="shared" si="74"/>
        <v>2225</v>
      </c>
      <c r="AA52" s="30">
        <f t="shared" si="74"/>
        <v>2299</v>
      </c>
      <c r="AB52" s="11"/>
      <c r="AC52" s="73">
        <f t="shared" ref="AC52:AC57" si="75">SUM(AA52/W52)-1</f>
        <v>5.6525735294117752E-2</v>
      </c>
    </row>
    <row r="53" spans="2:29" ht="12.75" customHeight="1">
      <c r="B53" s="9" t="s">
        <v>130</v>
      </c>
      <c r="C53" s="80">
        <v>486</v>
      </c>
      <c r="D53" s="80">
        <v>1151</v>
      </c>
      <c r="E53" s="80">
        <v>1355</v>
      </c>
      <c r="F53" s="80">
        <v>1614</v>
      </c>
      <c r="H53" s="80">
        <v>1267</v>
      </c>
      <c r="I53" s="80">
        <v>1121</v>
      </c>
      <c r="J53" s="80">
        <v>1370</v>
      </c>
      <c r="K53" s="30">
        <f t="shared" si="72"/>
        <v>1355</v>
      </c>
      <c r="L53" s="80">
        <v>1329</v>
      </c>
      <c r="M53" s="80">
        <v>1423</v>
      </c>
      <c r="N53" s="80">
        <v>1612</v>
      </c>
      <c r="O53" s="30">
        <f t="shared" si="73"/>
        <v>1614</v>
      </c>
      <c r="P53" s="80">
        <v>1575</v>
      </c>
      <c r="Q53" s="80">
        <v>1570</v>
      </c>
      <c r="R53" s="80">
        <v>1546</v>
      </c>
      <c r="T53" s="30">
        <f t="shared" si="74"/>
        <v>1355</v>
      </c>
      <c r="U53" s="30">
        <f t="shared" si="74"/>
        <v>1329</v>
      </c>
      <c r="V53" s="30">
        <f t="shared" si="74"/>
        <v>1423</v>
      </c>
      <c r="W53" s="30">
        <f t="shared" si="74"/>
        <v>1612</v>
      </c>
      <c r="X53" s="30">
        <f t="shared" si="74"/>
        <v>1614</v>
      </c>
      <c r="Y53" s="30">
        <f t="shared" si="74"/>
        <v>1575</v>
      </c>
      <c r="Z53" s="30">
        <f t="shared" si="74"/>
        <v>1570</v>
      </c>
      <c r="AA53" s="30">
        <f t="shared" si="74"/>
        <v>1546</v>
      </c>
      <c r="AB53" s="11"/>
      <c r="AC53" s="73">
        <f t="shared" si="75"/>
        <v>-4.0942928039702231E-2</v>
      </c>
    </row>
    <row r="54" spans="2:29" ht="12.75" customHeight="1">
      <c r="B54" s="9" t="s">
        <v>96</v>
      </c>
      <c r="C54" s="80">
        <v>7662</v>
      </c>
      <c r="D54" s="80">
        <v>7522</v>
      </c>
      <c r="E54" s="80">
        <v>7660</v>
      </c>
      <c r="F54" s="80">
        <v>9193</v>
      </c>
      <c r="H54" s="80">
        <v>7575</v>
      </c>
      <c r="I54" s="80">
        <v>7579</v>
      </c>
      <c r="J54" s="80">
        <v>7488</v>
      </c>
      <c r="K54" s="30">
        <f t="shared" si="72"/>
        <v>7660</v>
      </c>
      <c r="L54" s="80">
        <v>7545</v>
      </c>
      <c r="M54" s="80">
        <v>7563</v>
      </c>
      <c r="N54" s="80">
        <v>7721</v>
      </c>
      <c r="O54" s="30">
        <f t="shared" si="73"/>
        <v>9193</v>
      </c>
      <c r="P54" s="80">
        <v>9352</v>
      </c>
      <c r="Q54" s="80">
        <v>9598</v>
      </c>
      <c r="R54" s="80">
        <v>9574</v>
      </c>
      <c r="T54" s="30">
        <f t="shared" si="74"/>
        <v>7660</v>
      </c>
      <c r="U54" s="30">
        <f t="shared" si="74"/>
        <v>7545</v>
      </c>
      <c r="V54" s="30">
        <f t="shared" si="74"/>
        <v>7563</v>
      </c>
      <c r="W54" s="30">
        <f t="shared" si="74"/>
        <v>7721</v>
      </c>
      <c r="X54" s="30">
        <f t="shared" si="74"/>
        <v>9193</v>
      </c>
      <c r="Y54" s="30">
        <f t="shared" si="74"/>
        <v>9352</v>
      </c>
      <c r="Z54" s="30">
        <f t="shared" si="74"/>
        <v>9598</v>
      </c>
      <c r="AA54" s="30">
        <f t="shared" si="74"/>
        <v>9574</v>
      </c>
      <c r="AB54" s="11"/>
      <c r="AC54" s="73">
        <f t="shared" ref="AC54:AC55" si="76">SUM(AA54/W54)-1</f>
        <v>0.23999481932392186</v>
      </c>
    </row>
    <row r="55" spans="2:29" ht="12.75" customHeight="1">
      <c r="B55" s="9" t="s">
        <v>131</v>
      </c>
      <c r="C55" s="80">
        <v>3671</v>
      </c>
      <c r="D55" s="80">
        <v>3859</v>
      </c>
      <c r="E55" s="80">
        <v>4086</v>
      </c>
      <c r="F55" s="80">
        <v>5453</v>
      </c>
      <c r="H55" s="80">
        <v>4027</v>
      </c>
      <c r="I55" s="80">
        <v>4049</v>
      </c>
      <c r="J55" s="80">
        <v>4022</v>
      </c>
      <c r="K55" s="30">
        <f t="shared" si="72"/>
        <v>4086</v>
      </c>
      <c r="L55" s="80">
        <v>4123</v>
      </c>
      <c r="M55" s="80">
        <v>4149</v>
      </c>
      <c r="N55" s="80">
        <v>4235</v>
      </c>
      <c r="O55" s="30">
        <f t="shared" si="73"/>
        <v>5453</v>
      </c>
      <c r="P55" s="80">
        <v>5533</v>
      </c>
      <c r="Q55" s="80">
        <v>5629</v>
      </c>
      <c r="R55" s="80">
        <v>5591</v>
      </c>
      <c r="T55" s="30">
        <f t="shared" si="74"/>
        <v>4086</v>
      </c>
      <c r="U55" s="30">
        <f t="shared" si="74"/>
        <v>4123</v>
      </c>
      <c r="V55" s="30">
        <f t="shared" si="74"/>
        <v>4149</v>
      </c>
      <c r="W55" s="30">
        <f t="shared" si="74"/>
        <v>4235</v>
      </c>
      <c r="X55" s="30">
        <f t="shared" si="74"/>
        <v>5453</v>
      </c>
      <c r="Y55" s="30">
        <f t="shared" si="74"/>
        <v>5533</v>
      </c>
      <c r="Z55" s="30">
        <f t="shared" si="74"/>
        <v>5629</v>
      </c>
      <c r="AA55" s="30">
        <f t="shared" si="74"/>
        <v>5591</v>
      </c>
      <c r="AB55" s="11"/>
      <c r="AC55" s="73">
        <f t="shared" si="76"/>
        <v>0.32018890200708383</v>
      </c>
    </row>
    <row r="56" spans="2:29" ht="12.75" customHeight="1">
      <c r="B56" s="9" t="s">
        <v>132</v>
      </c>
      <c r="C56" s="80">
        <v>6994</v>
      </c>
      <c r="D56" s="80">
        <v>7580</v>
      </c>
      <c r="E56" s="80">
        <v>8325</v>
      </c>
      <c r="F56" s="80">
        <v>9959</v>
      </c>
      <c r="H56" s="80">
        <v>7641</v>
      </c>
      <c r="I56" s="80">
        <v>7739</v>
      </c>
      <c r="J56" s="80">
        <v>7839</v>
      </c>
      <c r="K56" s="30">
        <f t="shared" si="72"/>
        <v>8325</v>
      </c>
      <c r="L56" s="80">
        <v>9104</v>
      </c>
      <c r="M56" s="80">
        <v>9270</v>
      </c>
      <c r="N56" s="80">
        <v>9193</v>
      </c>
      <c r="O56" s="30">
        <f t="shared" si="73"/>
        <v>9959</v>
      </c>
      <c r="P56" s="80">
        <v>10035</v>
      </c>
      <c r="Q56" s="80">
        <v>10269</v>
      </c>
      <c r="R56" s="80">
        <v>11056</v>
      </c>
      <c r="T56" s="30">
        <f t="shared" si="74"/>
        <v>8325</v>
      </c>
      <c r="U56" s="30">
        <f t="shared" si="74"/>
        <v>9104</v>
      </c>
      <c r="V56" s="30">
        <f t="shared" si="74"/>
        <v>9270</v>
      </c>
      <c r="W56" s="30">
        <f t="shared" si="74"/>
        <v>9193</v>
      </c>
      <c r="X56" s="30">
        <f t="shared" si="74"/>
        <v>9959</v>
      </c>
      <c r="Y56" s="30">
        <f t="shared" si="74"/>
        <v>10035</v>
      </c>
      <c r="Z56" s="30">
        <f t="shared" si="74"/>
        <v>10269</v>
      </c>
      <c r="AA56" s="30">
        <f t="shared" si="74"/>
        <v>11056</v>
      </c>
      <c r="AB56" s="11"/>
      <c r="AC56" s="73">
        <f t="shared" si="75"/>
        <v>0.20265419340802793</v>
      </c>
    </row>
    <row r="57" spans="2:29" ht="12.75" customHeight="1">
      <c r="B57" s="13" t="s">
        <v>18</v>
      </c>
      <c r="C57" s="14">
        <f>SUM(C52:C56)+C49</f>
        <v>37669</v>
      </c>
      <c r="D57" s="14">
        <f>SUM(D52:D56)+D49</f>
        <v>38724</v>
      </c>
      <c r="E57" s="14">
        <f>SUM(E52:E56)+E49</f>
        <v>42448</v>
      </c>
      <c r="F57" s="14">
        <f>SUM(F52:F56)+F49</f>
        <v>48081</v>
      </c>
      <c r="H57" s="14">
        <f t="shared" ref="H57:R57" si="77">SUM(H52:H56)+H49</f>
        <v>38936</v>
      </c>
      <c r="I57" s="14">
        <f t="shared" si="77"/>
        <v>39004</v>
      </c>
      <c r="J57" s="14">
        <f t="shared" si="77"/>
        <v>39674</v>
      </c>
      <c r="K57" s="14">
        <f t="shared" si="77"/>
        <v>42448</v>
      </c>
      <c r="L57" s="14">
        <f t="shared" si="77"/>
        <v>42602</v>
      </c>
      <c r="M57" s="14">
        <f t="shared" si="77"/>
        <v>42333</v>
      </c>
      <c r="N57" s="14">
        <f t="shared" si="77"/>
        <v>47237</v>
      </c>
      <c r="O57" s="14">
        <f t="shared" si="77"/>
        <v>48081</v>
      </c>
      <c r="P57" s="14">
        <f t="shared" si="77"/>
        <v>48470</v>
      </c>
      <c r="Q57" s="14">
        <f t="shared" si="77"/>
        <v>51431</v>
      </c>
      <c r="R57" s="14">
        <f t="shared" si="77"/>
        <v>53289</v>
      </c>
      <c r="T57" s="14">
        <f t="shared" ref="T57:AA57" si="78">SUM(T52:T56)+T49</f>
        <v>42448</v>
      </c>
      <c r="U57" s="14">
        <f t="shared" si="78"/>
        <v>42602</v>
      </c>
      <c r="V57" s="14">
        <f t="shared" si="78"/>
        <v>42333</v>
      </c>
      <c r="W57" s="14">
        <f t="shared" si="78"/>
        <v>47237</v>
      </c>
      <c r="X57" s="14">
        <f t="shared" si="78"/>
        <v>48081</v>
      </c>
      <c r="Y57" s="14">
        <f t="shared" si="78"/>
        <v>48470</v>
      </c>
      <c r="Z57" s="14">
        <f t="shared" si="78"/>
        <v>51431</v>
      </c>
      <c r="AA57" s="32">
        <f t="shared" si="78"/>
        <v>53289</v>
      </c>
      <c r="AB57" s="40"/>
      <c r="AC57" s="74">
        <f t="shared" si="75"/>
        <v>0.1281199060058853</v>
      </c>
    </row>
    <row r="58" spans="2:29" ht="12.75" customHeight="1">
      <c r="B58" s="25"/>
      <c r="C58" s="48"/>
      <c r="D58" s="48"/>
      <c r="E58" s="39"/>
      <c r="F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T58" s="40"/>
      <c r="U58" s="40"/>
      <c r="V58" s="40"/>
      <c r="W58" s="40"/>
      <c r="X58" s="40"/>
      <c r="Y58" s="40"/>
      <c r="Z58" s="40"/>
      <c r="AA58" s="40"/>
      <c r="AB58" s="40"/>
      <c r="AC58" s="37"/>
    </row>
    <row r="59" spans="2:29" ht="12.75" customHeight="1">
      <c r="B59" s="76" t="s">
        <v>42</v>
      </c>
      <c r="C59" s="48"/>
      <c r="D59" s="48"/>
      <c r="E59" s="39"/>
      <c r="F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T59" s="40"/>
      <c r="U59" s="40"/>
      <c r="V59" s="40"/>
      <c r="W59" s="40"/>
      <c r="X59" s="40"/>
      <c r="Y59" s="40"/>
      <c r="Z59" s="40"/>
      <c r="AA59" s="40"/>
      <c r="AB59" s="40"/>
      <c r="AC59" s="37"/>
    </row>
    <row r="60" spans="2:29" ht="12.75" customHeight="1">
      <c r="B60" s="111" t="s">
        <v>133</v>
      </c>
      <c r="C60" s="112">
        <v>738</v>
      </c>
      <c r="D60" s="112">
        <v>926</v>
      </c>
      <c r="E60" s="112">
        <v>834</v>
      </c>
      <c r="F60" s="112">
        <v>929</v>
      </c>
      <c r="H60" s="80">
        <v>735</v>
      </c>
      <c r="I60" s="80">
        <v>643</v>
      </c>
      <c r="J60" s="80">
        <v>589</v>
      </c>
      <c r="K60" s="30">
        <f t="shared" ref="K60:K66" si="79">E60</f>
        <v>834</v>
      </c>
      <c r="L60" s="80">
        <v>790</v>
      </c>
      <c r="M60" s="80">
        <v>835</v>
      </c>
      <c r="N60" s="80">
        <v>911</v>
      </c>
      <c r="O60" s="30">
        <f t="shared" ref="O60:O66" si="80">F60</f>
        <v>929</v>
      </c>
      <c r="P60" s="80">
        <v>993</v>
      </c>
      <c r="Q60" s="80">
        <v>818</v>
      </c>
      <c r="R60" s="80">
        <v>935</v>
      </c>
      <c r="T60" s="88">
        <f t="shared" ref="T60:AA60" si="81">K60</f>
        <v>834</v>
      </c>
      <c r="U60" s="88">
        <f t="shared" si="81"/>
        <v>790</v>
      </c>
      <c r="V60" s="88">
        <f t="shared" si="81"/>
        <v>835</v>
      </c>
      <c r="W60" s="88">
        <f t="shared" si="81"/>
        <v>911</v>
      </c>
      <c r="X60" s="88">
        <f t="shared" si="81"/>
        <v>929</v>
      </c>
      <c r="Y60" s="88">
        <f t="shared" si="81"/>
        <v>993</v>
      </c>
      <c r="Z60" s="88">
        <f t="shared" si="81"/>
        <v>818</v>
      </c>
      <c r="AA60" s="88">
        <f t="shared" si="81"/>
        <v>935</v>
      </c>
      <c r="AB60" s="11"/>
      <c r="AC60" s="73">
        <f t="shared" ref="AC60:AC67" si="82">SUM(AA60/W60)-1</f>
        <v>2.6344676180021898E-2</v>
      </c>
    </row>
    <row r="61" spans="2:29" ht="12.75" customHeight="1">
      <c r="B61" s="111" t="s">
        <v>134</v>
      </c>
      <c r="C61" s="112">
        <v>913</v>
      </c>
      <c r="D61" s="112">
        <v>1111</v>
      </c>
      <c r="E61" s="112">
        <v>1399</v>
      </c>
      <c r="F61" s="112">
        <v>2316</v>
      </c>
      <c r="H61" s="80">
        <v>870</v>
      </c>
      <c r="I61" s="80">
        <v>1142</v>
      </c>
      <c r="J61" s="80">
        <v>992</v>
      </c>
      <c r="K61" s="30">
        <f t="shared" si="79"/>
        <v>1399</v>
      </c>
      <c r="L61" s="80">
        <v>1824</v>
      </c>
      <c r="M61" s="80">
        <v>1594</v>
      </c>
      <c r="N61" s="80">
        <v>2129</v>
      </c>
      <c r="O61" s="30">
        <f t="shared" si="80"/>
        <v>2316</v>
      </c>
      <c r="P61" s="80">
        <v>2441</v>
      </c>
      <c r="Q61" s="80">
        <v>2676</v>
      </c>
      <c r="R61" s="80">
        <v>2422</v>
      </c>
      <c r="T61" s="88">
        <f t="shared" ref="T61:T64" si="83">K61</f>
        <v>1399</v>
      </c>
      <c r="U61" s="88">
        <f t="shared" ref="U61:U64" si="84">L61</f>
        <v>1824</v>
      </c>
      <c r="V61" s="88">
        <f t="shared" ref="V61:V64" si="85">M61</f>
        <v>1594</v>
      </c>
      <c r="W61" s="88">
        <f t="shared" ref="W61:W64" si="86">N61</f>
        <v>2129</v>
      </c>
      <c r="X61" s="88">
        <f t="shared" ref="X61:X64" si="87">O61</f>
        <v>2316</v>
      </c>
      <c r="Y61" s="88">
        <f t="shared" ref="Y61:Y64" si="88">P61</f>
        <v>2441</v>
      </c>
      <c r="Z61" s="88">
        <f t="shared" ref="Z61:Z64" si="89">Q61</f>
        <v>2676</v>
      </c>
      <c r="AA61" s="88">
        <f t="shared" ref="AA61:AA64" si="90">R61</f>
        <v>2422</v>
      </c>
      <c r="AB61" s="11"/>
      <c r="AC61" s="73">
        <f t="shared" si="82"/>
        <v>0.13762329732268674</v>
      </c>
    </row>
    <row r="62" spans="2:29" ht="12.75" customHeight="1">
      <c r="B62" s="111" t="s">
        <v>124</v>
      </c>
      <c r="C62" s="112">
        <v>1873</v>
      </c>
      <c r="D62" s="112">
        <v>1568</v>
      </c>
      <c r="E62" s="112">
        <v>1845</v>
      </c>
      <c r="F62" s="112">
        <v>1874</v>
      </c>
      <c r="H62" s="80">
        <v>1608</v>
      </c>
      <c r="I62" s="80">
        <v>1723</v>
      </c>
      <c r="J62" s="80">
        <v>1824</v>
      </c>
      <c r="K62" s="30">
        <f t="shared" si="79"/>
        <v>1845</v>
      </c>
      <c r="L62" s="80">
        <v>1861</v>
      </c>
      <c r="M62" s="80">
        <v>1772</v>
      </c>
      <c r="N62" s="80">
        <v>1868</v>
      </c>
      <c r="O62" s="30">
        <f t="shared" si="80"/>
        <v>1874</v>
      </c>
      <c r="P62" s="80">
        <v>1900</v>
      </c>
      <c r="Q62" s="80">
        <v>1999</v>
      </c>
      <c r="R62" s="80">
        <v>2054</v>
      </c>
      <c r="T62" s="88">
        <f t="shared" si="83"/>
        <v>1845</v>
      </c>
      <c r="U62" s="88">
        <f t="shared" si="84"/>
        <v>1861</v>
      </c>
      <c r="V62" s="88">
        <f t="shared" si="85"/>
        <v>1772</v>
      </c>
      <c r="W62" s="88">
        <f t="shared" si="86"/>
        <v>1868</v>
      </c>
      <c r="X62" s="88">
        <f t="shared" si="87"/>
        <v>1874</v>
      </c>
      <c r="Y62" s="88">
        <f t="shared" si="88"/>
        <v>1900</v>
      </c>
      <c r="Z62" s="88">
        <f t="shared" si="89"/>
        <v>1999</v>
      </c>
      <c r="AA62" s="88">
        <f t="shared" si="90"/>
        <v>2054</v>
      </c>
      <c r="AB62" s="11"/>
      <c r="AC62" s="73">
        <f t="shared" si="82"/>
        <v>9.9571734475374818E-2</v>
      </c>
    </row>
    <row r="63" spans="2:29" ht="12.75" customHeight="1">
      <c r="B63" s="111" t="s">
        <v>135</v>
      </c>
      <c r="C63" s="112">
        <v>840</v>
      </c>
      <c r="D63" s="112">
        <v>1094</v>
      </c>
      <c r="E63" s="112">
        <v>723</v>
      </c>
      <c r="F63" s="112">
        <v>930</v>
      </c>
      <c r="H63" s="80">
        <v>1107</v>
      </c>
      <c r="I63" s="80">
        <v>1079</v>
      </c>
      <c r="J63" s="80">
        <v>475</v>
      </c>
      <c r="K63" s="30">
        <f t="shared" si="79"/>
        <v>723</v>
      </c>
      <c r="L63" s="80">
        <v>595</v>
      </c>
      <c r="M63" s="80">
        <v>525</v>
      </c>
      <c r="N63" s="80">
        <v>665</v>
      </c>
      <c r="O63" s="30">
        <f t="shared" si="80"/>
        <v>930</v>
      </c>
      <c r="P63" s="80">
        <v>1057</v>
      </c>
      <c r="Q63" s="80">
        <v>1035</v>
      </c>
      <c r="R63" s="80">
        <v>943</v>
      </c>
      <c r="T63" s="88">
        <f t="shared" si="83"/>
        <v>723</v>
      </c>
      <c r="U63" s="88">
        <f t="shared" si="84"/>
        <v>595</v>
      </c>
      <c r="V63" s="88">
        <f t="shared" si="85"/>
        <v>525</v>
      </c>
      <c r="W63" s="88">
        <f t="shared" si="86"/>
        <v>665</v>
      </c>
      <c r="X63" s="88">
        <f t="shared" si="87"/>
        <v>930</v>
      </c>
      <c r="Y63" s="88">
        <f t="shared" si="88"/>
        <v>1057</v>
      </c>
      <c r="Z63" s="88">
        <f t="shared" si="89"/>
        <v>1035</v>
      </c>
      <c r="AA63" s="88">
        <f t="shared" si="90"/>
        <v>943</v>
      </c>
      <c r="AB63" s="11"/>
      <c r="AC63" s="73">
        <f t="shared" si="82"/>
        <v>0.41804511278195489</v>
      </c>
    </row>
    <row r="64" spans="2:29" ht="12.75" customHeight="1">
      <c r="B64" s="111" t="s">
        <v>136</v>
      </c>
      <c r="C64" s="112">
        <v>6642</v>
      </c>
      <c r="D64" s="112">
        <v>7801</v>
      </c>
      <c r="E64" s="112">
        <v>8517</v>
      </c>
      <c r="F64" s="112">
        <v>10393</v>
      </c>
      <c r="H64" s="80">
        <v>7310</v>
      </c>
      <c r="I64" s="80">
        <v>7117</v>
      </c>
      <c r="J64" s="80">
        <v>7775</v>
      </c>
      <c r="K64" s="30">
        <f t="shared" si="79"/>
        <v>8517</v>
      </c>
      <c r="L64" s="80">
        <v>8062</v>
      </c>
      <c r="M64" s="80">
        <v>8007</v>
      </c>
      <c r="N64" s="80">
        <v>9105</v>
      </c>
      <c r="O64" s="30">
        <f t="shared" si="80"/>
        <v>10393</v>
      </c>
      <c r="P64" s="80">
        <v>9263</v>
      </c>
      <c r="Q64" s="80">
        <v>10116</v>
      </c>
      <c r="R64" s="80">
        <v>11979</v>
      </c>
      <c r="T64" s="88">
        <f t="shared" si="83"/>
        <v>8517</v>
      </c>
      <c r="U64" s="88">
        <f t="shared" si="84"/>
        <v>8062</v>
      </c>
      <c r="V64" s="88">
        <f t="shared" si="85"/>
        <v>8007</v>
      </c>
      <c r="W64" s="88">
        <f t="shared" si="86"/>
        <v>9105</v>
      </c>
      <c r="X64" s="88">
        <f t="shared" si="87"/>
        <v>10393</v>
      </c>
      <c r="Y64" s="88">
        <f t="shared" si="88"/>
        <v>9263</v>
      </c>
      <c r="Z64" s="88">
        <f t="shared" si="89"/>
        <v>10116</v>
      </c>
      <c r="AA64" s="88">
        <f t="shared" si="90"/>
        <v>11979</v>
      </c>
      <c r="AB64" s="11"/>
      <c r="AC64" s="73">
        <f t="shared" si="82"/>
        <v>0.31565074135090621</v>
      </c>
    </row>
    <row r="65" spans="2:29" ht="12.75" customHeight="1">
      <c r="B65" s="111" t="s">
        <v>137</v>
      </c>
      <c r="C65" s="112">
        <v>792</v>
      </c>
      <c r="D65" s="112">
        <v>274</v>
      </c>
      <c r="E65" s="112">
        <v>1337</v>
      </c>
      <c r="F65" s="112">
        <v>750</v>
      </c>
      <c r="H65" s="80">
        <v>276</v>
      </c>
      <c r="I65" s="80">
        <v>1336</v>
      </c>
      <c r="J65" s="80">
        <v>1337</v>
      </c>
      <c r="K65" s="30">
        <f t="shared" si="79"/>
        <v>1337</v>
      </c>
      <c r="L65" s="80">
        <v>2086</v>
      </c>
      <c r="M65" s="80">
        <v>1086</v>
      </c>
      <c r="N65" s="80">
        <v>750</v>
      </c>
      <c r="O65" s="30">
        <f t="shared" si="80"/>
        <v>750</v>
      </c>
      <c r="P65" s="80">
        <v>0</v>
      </c>
      <c r="Q65" s="80">
        <v>0</v>
      </c>
      <c r="R65" s="80">
        <v>0</v>
      </c>
      <c r="T65" s="88">
        <f t="shared" ref="T65:T66" si="91">K65</f>
        <v>1337</v>
      </c>
      <c r="U65" s="88">
        <f t="shared" ref="U65:U66" si="92">L65</f>
        <v>2086</v>
      </c>
      <c r="V65" s="88">
        <f t="shared" ref="V65:V66" si="93">M65</f>
        <v>1086</v>
      </c>
      <c r="W65" s="88">
        <f t="shared" ref="W65:W66" si="94">N65</f>
        <v>750</v>
      </c>
      <c r="X65" s="88">
        <f t="shared" ref="X65:X66" si="95">O65</f>
        <v>750</v>
      </c>
      <c r="Y65" s="88">
        <f t="shared" ref="Y65:Y66" si="96">P65</f>
        <v>0</v>
      </c>
      <c r="Z65" s="88">
        <f t="shared" ref="Z65:Z66" si="97">Q65</f>
        <v>0</v>
      </c>
      <c r="AA65" s="88">
        <f t="shared" ref="AA65:AA66" si="98">R65</f>
        <v>0</v>
      </c>
      <c r="AB65" s="11"/>
      <c r="AC65" s="73">
        <f t="shared" ref="AC65:AC66" si="99">SUM(AA65/W65)-1</f>
        <v>-1</v>
      </c>
    </row>
    <row r="66" spans="2:29" ht="12.75" customHeight="1">
      <c r="B66" s="111" t="s">
        <v>138</v>
      </c>
      <c r="C66" s="112">
        <v>1364</v>
      </c>
      <c r="D66" s="112">
        <v>1397</v>
      </c>
      <c r="E66" s="112">
        <v>1609</v>
      </c>
      <c r="F66" s="112">
        <v>2028</v>
      </c>
      <c r="H66" s="80">
        <v>1745</v>
      </c>
      <c r="I66" s="80">
        <v>1596</v>
      </c>
      <c r="J66" s="80">
        <v>1527</v>
      </c>
      <c r="K66" s="30">
        <f t="shared" si="79"/>
        <v>1609</v>
      </c>
      <c r="L66" s="80">
        <v>1687</v>
      </c>
      <c r="M66" s="80">
        <v>1775</v>
      </c>
      <c r="N66" s="80">
        <v>1866</v>
      </c>
      <c r="O66" s="30">
        <f t="shared" si="80"/>
        <v>2028</v>
      </c>
      <c r="P66" s="80">
        <v>2174</v>
      </c>
      <c r="Q66" s="80">
        <v>2385</v>
      </c>
      <c r="R66" s="80">
        <v>2360</v>
      </c>
      <c r="T66" s="88">
        <f t="shared" si="91"/>
        <v>1609</v>
      </c>
      <c r="U66" s="88">
        <f t="shared" si="92"/>
        <v>1687</v>
      </c>
      <c r="V66" s="88">
        <f t="shared" si="93"/>
        <v>1775</v>
      </c>
      <c r="W66" s="88">
        <f t="shared" si="94"/>
        <v>1866</v>
      </c>
      <c r="X66" s="88">
        <f t="shared" si="95"/>
        <v>2028</v>
      </c>
      <c r="Y66" s="88">
        <f t="shared" si="96"/>
        <v>2174</v>
      </c>
      <c r="Z66" s="88">
        <f t="shared" si="97"/>
        <v>2385</v>
      </c>
      <c r="AA66" s="88">
        <f t="shared" si="98"/>
        <v>2360</v>
      </c>
      <c r="AB66" s="11"/>
      <c r="AC66" s="73">
        <f t="shared" si="99"/>
        <v>0.26473740621650599</v>
      </c>
    </row>
    <row r="67" spans="2:29" ht="12.75" customHeight="1">
      <c r="B67" s="25" t="s">
        <v>16</v>
      </c>
      <c r="C67" s="26">
        <f>SUM(C60:C66)</f>
        <v>13162</v>
      </c>
      <c r="D67" s="26">
        <f>SUM(D60:D66)</f>
        <v>14171</v>
      </c>
      <c r="E67" s="26">
        <f>SUM(E60:E66)</f>
        <v>16264</v>
      </c>
      <c r="F67" s="26">
        <f>SUM(F60:F66)</f>
        <v>19220</v>
      </c>
      <c r="H67" s="26">
        <f t="shared" ref="H67:R67" si="100">SUM(H60:H66)</f>
        <v>13651</v>
      </c>
      <c r="I67" s="26">
        <f t="shared" si="100"/>
        <v>14636</v>
      </c>
      <c r="J67" s="26">
        <f t="shared" si="100"/>
        <v>14519</v>
      </c>
      <c r="K67" s="26">
        <f t="shared" si="100"/>
        <v>16264</v>
      </c>
      <c r="L67" s="26">
        <f t="shared" si="100"/>
        <v>16905</v>
      </c>
      <c r="M67" s="26">
        <f t="shared" si="100"/>
        <v>15594</v>
      </c>
      <c r="N67" s="26">
        <f t="shared" si="100"/>
        <v>17294</v>
      </c>
      <c r="O67" s="26">
        <f t="shared" si="100"/>
        <v>19220</v>
      </c>
      <c r="P67" s="26">
        <f t="shared" si="100"/>
        <v>17828</v>
      </c>
      <c r="Q67" s="26">
        <f t="shared" si="100"/>
        <v>19029</v>
      </c>
      <c r="R67" s="26">
        <f t="shared" si="100"/>
        <v>20693</v>
      </c>
      <c r="S67" s="46"/>
      <c r="T67" s="26">
        <f t="shared" ref="T67:AA67" si="101">SUM(T60:T66)</f>
        <v>16264</v>
      </c>
      <c r="U67" s="26">
        <f t="shared" si="101"/>
        <v>16905</v>
      </c>
      <c r="V67" s="26">
        <f t="shared" si="101"/>
        <v>15594</v>
      </c>
      <c r="W67" s="26">
        <f t="shared" si="101"/>
        <v>17294</v>
      </c>
      <c r="X67" s="26">
        <f t="shared" si="101"/>
        <v>19220</v>
      </c>
      <c r="Y67" s="26">
        <f t="shared" si="101"/>
        <v>17828</v>
      </c>
      <c r="Z67" s="26">
        <f t="shared" si="101"/>
        <v>19029</v>
      </c>
      <c r="AA67" s="26">
        <f t="shared" si="101"/>
        <v>20693</v>
      </c>
      <c r="AB67" s="40"/>
      <c r="AC67" s="74">
        <f t="shared" si="82"/>
        <v>0.19654215334798186</v>
      </c>
    </row>
    <row r="68" spans="2:29" ht="5.0999999999999996" customHeight="1">
      <c r="B68" s="25"/>
      <c r="C68" s="48"/>
      <c r="D68" s="48"/>
      <c r="E68" s="39"/>
      <c r="F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T68" s="40"/>
      <c r="U68" s="40"/>
      <c r="V68" s="40"/>
      <c r="W68" s="40"/>
      <c r="X68" s="40"/>
      <c r="Y68" s="40"/>
      <c r="Z68" s="40"/>
      <c r="AA68" s="40"/>
      <c r="AB68" s="40"/>
      <c r="AC68" s="37"/>
    </row>
    <row r="69" spans="2:29">
      <c r="B69" s="76" t="s">
        <v>75</v>
      </c>
      <c r="C69" s="48"/>
      <c r="D69" s="48"/>
      <c r="E69" s="39"/>
      <c r="F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T69" s="40"/>
      <c r="U69" s="40"/>
      <c r="V69" s="40"/>
      <c r="W69" s="40"/>
      <c r="X69" s="40"/>
      <c r="Y69" s="40"/>
      <c r="Z69" s="40"/>
      <c r="AA69" s="40"/>
      <c r="AB69" s="40"/>
      <c r="AC69" s="37"/>
    </row>
    <row r="70" spans="2:29" ht="12.75" customHeight="1">
      <c r="B70" s="111" t="s">
        <v>139</v>
      </c>
      <c r="C70" s="112">
        <v>13109</v>
      </c>
      <c r="D70" s="112">
        <v>13749</v>
      </c>
      <c r="E70" s="112">
        <v>14344</v>
      </c>
      <c r="F70" s="112">
        <v>17476</v>
      </c>
      <c r="G70" s="49"/>
      <c r="H70" s="80">
        <v>15292</v>
      </c>
      <c r="I70" s="80">
        <v>14284</v>
      </c>
      <c r="J70" s="80">
        <v>14229</v>
      </c>
      <c r="K70" s="30">
        <f t="shared" ref="K70:K72" si="102">E70</f>
        <v>14344</v>
      </c>
      <c r="L70" s="80">
        <v>13543</v>
      </c>
      <c r="M70" s="80">
        <v>14519</v>
      </c>
      <c r="N70" s="80">
        <v>17608</v>
      </c>
      <c r="O70" s="30">
        <f t="shared" ref="O70:O72" si="103">F70</f>
        <v>17476</v>
      </c>
      <c r="P70" s="80">
        <v>18802</v>
      </c>
      <c r="Q70" s="80">
        <v>18970</v>
      </c>
      <c r="R70" s="80">
        <v>18983</v>
      </c>
      <c r="S70" s="112"/>
      <c r="T70" s="88">
        <f t="shared" ref="T70:AA70" si="104">K70</f>
        <v>14344</v>
      </c>
      <c r="U70" s="88">
        <f t="shared" si="104"/>
        <v>13543</v>
      </c>
      <c r="V70" s="88">
        <f t="shared" si="104"/>
        <v>14519</v>
      </c>
      <c r="W70" s="88">
        <f t="shared" si="104"/>
        <v>17608</v>
      </c>
      <c r="X70" s="88">
        <f t="shared" si="104"/>
        <v>17476</v>
      </c>
      <c r="Y70" s="88">
        <f t="shared" si="104"/>
        <v>18802</v>
      </c>
      <c r="Z70" s="88">
        <f t="shared" si="104"/>
        <v>18970</v>
      </c>
      <c r="AA70" s="88">
        <f t="shared" si="104"/>
        <v>18983</v>
      </c>
      <c r="AB70" s="40"/>
      <c r="AC70" s="73">
        <f t="shared" ref="AC70:AC86" si="105">SUM(AA70/W70)-1</f>
        <v>7.808950477055876E-2</v>
      </c>
    </row>
    <row r="71" spans="2:29" ht="12.75" customHeight="1">
      <c r="B71" s="111" t="s">
        <v>130</v>
      </c>
      <c r="C71" s="112">
        <v>395</v>
      </c>
      <c r="D71" s="112">
        <v>393</v>
      </c>
      <c r="E71" s="112">
        <v>369</v>
      </c>
      <c r="F71" s="112">
        <v>317</v>
      </c>
      <c r="G71" s="49"/>
      <c r="H71" s="80">
        <v>389</v>
      </c>
      <c r="I71" s="80">
        <v>395</v>
      </c>
      <c r="J71" s="80">
        <v>385</v>
      </c>
      <c r="K71" s="30">
        <f t="shared" si="102"/>
        <v>369</v>
      </c>
      <c r="L71" s="80">
        <v>345</v>
      </c>
      <c r="M71" s="80">
        <v>337</v>
      </c>
      <c r="N71" s="80">
        <v>349</v>
      </c>
      <c r="O71" s="30">
        <f t="shared" si="103"/>
        <v>317</v>
      </c>
      <c r="P71" s="80">
        <v>315</v>
      </c>
      <c r="Q71" s="80">
        <v>361</v>
      </c>
      <c r="R71" s="80">
        <v>326</v>
      </c>
      <c r="S71" s="112"/>
      <c r="T71" s="88">
        <f t="shared" ref="T71:AA71" si="106">K71</f>
        <v>369</v>
      </c>
      <c r="U71" s="88">
        <f t="shared" si="106"/>
        <v>345</v>
      </c>
      <c r="V71" s="88">
        <f t="shared" si="106"/>
        <v>337</v>
      </c>
      <c r="W71" s="88">
        <f t="shared" si="106"/>
        <v>349</v>
      </c>
      <c r="X71" s="88">
        <f t="shared" si="106"/>
        <v>317</v>
      </c>
      <c r="Y71" s="88">
        <f t="shared" si="106"/>
        <v>315</v>
      </c>
      <c r="Z71" s="88">
        <f t="shared" si="106"/>
        <v>361</v>
      </c>
      <c r="AA71" s="88">
        <f t="shared" si="106"/>
        <v>326</v>
      </c>
      <c r="AB71" s="40"/>
      <c r="AC71" s="73">
        <f t="shared" ref="AC71" si="107">SUM(AA71/W71)-1</f>
        <v>-6.5902578796561584E-2</v>
      </c>
    </row>
    <row r="72" spans="2:29" ht="12.75" customHeight="1">
      <c r="B72" s="111" t="s">
        <v>140</v>
      </c>
      <c r="C72" s="112">
        <v>3591</v>
      </c>
      <c r="D72" s="112">
        <v>4034</v>
      </c>
      <c r="E72" s="112">
        <v>4474</v>
      </c>
      <c r="F72" s="112">
        <v>4553</v>
      </c>
      <c r="G72" s="49"/>
      <c r="H72" s="80">
        <v>4197</v>
      </c>
      <c r="I72" s="80">
        <v>4110</v>
      </c>
      <c r="J72" s="80">
        <v>4160</v>
      </c>
      <c r="K72" s="30">
        <f t="shared" si="102"/>
        <v>4474</v>
      </c>
      <c r="L72" s="80">
        <v>4501</v>
      </c>
      <c r="M72" s="80">
        <v>4401</v>
      </c>
      <c r="N72" s="80">
        <v>4488</v>
      </c>
      <c r="O72" s="30">
        <f t="shared" si="103"/>
        <v>4553</v>
      </c>
      <c r="P72" s="80">
        <v>4829</v>
      </c>
      <c r="Q72" s="80">
        <v>5197</v>
      </c>
      <c r="R72" s="80">
        <v>5368</v>
      </c>
      <c r="S72" s="112"/>
      <c r="T72" s="88">
        <f t="shared" ref="T72:AA72" si="108">K72</f>
        <v>4474</v>
      </c>
      <c r="U72" s="88">
        <f t="shared" si="108"/>
        <v>4501</v>
      </c>
      <c r="V72" s="88">
        <f t="shared" si="108"/>
        <v>4401</v>
      </c>
      <c r="W72" s="88">
        <f t="shared" si="108"/>
        <v>4488</v>
      </c>
      <c r="X72" s="88">
        <f t="shared" si="108"/>
        <v>4553</v>
      </c>
      <c r="Y72" s="88">
        <f t="shared" si="108"/>
        <v>4829</v>
      </c>
      <c r="Z72" s="88">
        <f t="shared" si="108"/>
        <v>5197</v>
      </c>
      <c r="AA72" s="88">
        <f t="shared" si="108"/>
        <v>5368</v>
      </c>
      <c r="AB72" s="40"/>
      <c r="AC72" s="73">
        <f t="shared" ref="AC72" si="109">SUM(AA72/W72)-1</f>
        <v>0.19607843137254899</v>
      </c>
    </row>
    <row r="73" spans="2:29" ht="12.75" customHeight="1">
      <c r="B73" s="13" t="s">
        <v>14</v>
      </c>
      <c r="C73" s="14">
        <f>SUM(C70:C72)+C67</f>
        <v>30257</v>
      </c>
      <c r="D73" s="14">
        <f>SUM(D70:D72)+D67</f>
        <v>32347</v>
      </c>
      <c r="E73" s="14">
        <f>SUM(E70:E72)+E67</f>
        <v>35451</v>
      </c>
      <c r="F73" s="14">
        <f>SUM(F70:F72)+F67</f>
        <v>41566</v>
      </c>
      <c r="H73" s="14">
        <f t="shared" ref="H73:R73" si="110">SUM(H70:H72)+H67</f>
        <v>33529</v>
      </c>
      <c r="I73" s="14">
        <f t="shared" si="110"/>
        <v>33425</v>
      </c>
      <c r="J73" s="14">
        <f t="shared" si="110"/>
        <v>33293</v>
      </c>
      <c r="K73" s="14">
        <f t="shared" si="110"/>
        <v>35451</v>
      </c>
      <c r="L73" s="14">
        <f t="shared" si="110"/>
        <v>35294</v>
      </c>
      <c r="M73" s="14">
        <f t="shared" si="110"/>
        <v>34851</v>
      </c>
      <c r="N73" s="14">
        <f t="shared" si="110"/>
        <v>39739</v>
      </c>
      <c r="O73" s="14">
        <f t="shared" si="110"/>
        <v>41566</v>
      </c>
      <c r="P73" s="14">
        <f t="shared" si="110"/>
        <v>41774</v>
      </c>
      <c r="Q73" s="14">
        <f t="shared" si="110"/>
        <v>43557</v>
      </c>
      <c r="R73" s="14">
        <f t="shared" si="110"/>
        <v>45370</v>
      </c>
      <c r="T73" s="14">
        <f t="shared" ref="T73:AA73" si="111">SUM(T70:T72)+T67</f>
        <v>35451</v>
      </c>
      <c r="U73" s="14">
        <f t="shared" si="111"/>
        <v>35294</v>
      </c>
      <c r="V73" s="14">
        <f t="shared" si="111"/>
        <v>34851</v>
      </c>
      <c r="W73" s="14">
        <f t="shared" si="111"/>
        <v>39739</v>
      </c>
      <c r="X73" s="14">
        <f t="shared" si="111"/>
        <v>41566</v>
      </c>
      <c r="Y73" s="14">
        <f t="shared" si="111"/>
        <v>41774</v>
      </c>
      <c r="Z73" s="14">
        <f t="shared" si="111"/>
        <v>43557</v>
      </c>
      <c r="AA73" s="14">
        <f t="shared" si="111"/>
        <v>45370</v>
      </c>
      <c r="AB73" s="40"/>
      <c r="AC73" s="74">
        <f t="shared" si="105"/>
        <v>0.14169958982359909</v>
      </c>
    </row>
    <row r="74" spans="2:29" ht="5.0999999999999996" customHeight="1">
      <c r="B74" s="25"/>
      <c r="C74" s="47"/>
      <c r="D74" s="47"/>
      <c r="E74" s="39"/>
      <c r="F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T74" s="40"/>
      <c r="U74" s="40"/>
      <c r="V74" s="40"/>
      <c r="W74" s="40"/>
      <c r="X74" s="40"/>
      <c r="Y74" s="40"/>
      <c r="Z74" s="40"/>
      <c r="AA74" s="40"/>
      <c r="AB74" s="40"/>
      <c r="AC74" s="37"/>
    </row>
    <row r="75" spans="2:29" ht="12.75" customHeight="1">
      <c r="B75" s="9" t="s">
        <v>151</v>
      </c>
      <c r="C75" s="80">
        <v>29</v>
      </c>
      <c r="D75" s="80">
        <v>21</v>
      </c>
      <c r="E75" s="80">
        <v>22</v>
      </c>
      <c r="F75" s="80">
        <v>0</v>
      </c>
      <c r="G75" s="30"/>
      <c r="H75" s="80">
        <v>21</v>
      </c>
      <c r="I75" s="80">
        <v>22</v>
      </c>
      <c r="J75" s="80">
        <v>21</v>
      </c>
      <c r="K75" s="30">
        <f t="shared" ref="K75:K81" si="112">E75</f>
        <v>22</v>
      </c>
      <c r="L75" s="80">
        <v>22</v>
      </c>
      <c r="M75" s="80">
        <v>22</v>
      </c>
      <c r="N75" s="80">
        <v>23</v>
      </c>
      <c r="O75" s="30">
        <f t="shared" ref="O75:O81" si="113">F75</f>
        <v>0</v>
      </c>
      <c r="P75" s="80">
        <v>0</v>
      </c>
      <c r="Q75" s="80">
        <v>0</v>
      </c>
      <c r="R75" s="80">
        <v>0</v>
      </c>
      <c r="T75" s="30">
        <f t="shared" ref="T75:AA79" si="114">K75</f>
        <v>22</v>
      </c>
      <c r="U75" s="30">
        <f t="shared" si="114"/>
        <v>22</v>
      </c>
      <c r="V75" s="30">
        <f t="shared" si="114"/>
        <v>22</v>
      </c>
      <c r="W75" s="30">
        <f t="shared" si="114"/>
        <v>23</v>
      </c>
      <c r="X75" s="30">
        <f t="shared" si="114"/>
        <v>0</v>
      </c>
      <c r="Y75" s="30">
        <f t="shared" si="114"/>
        <v>0</v>
      </c>
      <c r="Z75" s="30">
        <f t="shared" si="114"/>
        <v>0</v>
      </c>
      <c r="AA75" s="30">
        <f t="shared" si="114"/>
        <v>0</v>
      </c>
      <c r="AB75" s="11"/>
      <c r="AC75" s="73">
        <f t="shared" si="105"/>
        <v>-1</v>
      </c>
    </row>
    <row r="76" spans="2:29" ht="12.75" customHeight="1">
      <c r="B76" s="9" t="s">
        <v>145</v>
      </c>
      <c r="C76" s="80">
        <v>0</v>
      </c>
      <c r="D76" s="80">
        <v>0</v>
      </c>
      <c r="E76" s="80">
        <v>0</v>
      </c>
      <c r="F76" s="80">
        <v>0</v>
      </c>
      <c r="G76" s="30"/>
      <c r="H76" s="80">
        <v>0</v>
      </c>
      <c r="I76" s="80">
        <v>0</v>
      </c>
      <c r="J76" s="80">
        <v>0</v>
      </c>
      <c r="K76" s="30">
        <f t="shared" si="112"/>
        <v>0</v>
      </c>
      <c r="L76" s="80">
        <v>0</v>
      </c>
      <c r="M76" s="80">
        <v>0</v>
      </c>
      <c r="N76" s="80">
        <v>0</v>
      </c>
      <c r="O76" s="30">
        <f t="shared" si="113"/>
        <v>0</v>
      </c>
      <c r="P76" s="80">
        <v>0</v>
      </c>
      <c r="Q76" s="80">
        <v>0</v>
      </c>
      <c r="R76" s="80">
        <v>0</v>
      </c>
      <c r="T76" s="30">
        <f t="shared" ref="T76" si="115">K76</f>
        <v>0</v>
      </c>
      <c r="U76" s="30">
        <f t="shared" ref="U76" si="116">L76</f>
        <v>0</v>
      </c>
      <c r="V76" s="30">
        <f t="shared" ref="V76" si="117">M76</f>
        <v>0</v>
      </c>
      <c r="W76" s="30">
        <f t="shared" ref="W76" si="118">N76</f>
        <v>0</v>
      </c>
      <c r="X76" s="30">
        <f t="shared" ref="X76" si="119">O76</f>
        <v>0</v>
      </c>
      <c r="Y76" s="30">
        <f t="shared" ref="Y76" si="120">P76</f>
        <v>0</v>
      </c>
      <c r="Z76" s="30">
        <f t="shared" ref="Z76" si="121">Q76</f>
        <v>0</v>
      </c>
      <c r="AA76" s="30">
        <f t="shared" ref="AA76" si="122">R76</f>
        <v>0</v>
      </c>
      <c r="AB76" s="11"/>
      <c r="AC76" s="73" t="e">
        <f t="shared" ref="AC76:AC83" si="123">SUM(AA76/W76)-1</f>
        <v>#DIV/0!</v>
      </c>
    </row>
    <row r="77" spans="2:29" ht="12.75" customHeight="1">
      <c r="B77" s="9" t="s">
        <v>146</v>
      </c>
      <c r="C77" s="80">
        <v>0</v>
      </c>
      <c r="D77" s="80">
        <v>0</v>
      </c>
      <c r="E77" s="80">
        <v>0</v>
      </c>
      <c r="F77" s="80">
        <v>0</v>
      </c>
      <c r="G77" s="30"/>
      <c r="H77" s="80">
        <v>0</v>
      </c>
      <c r="I77" s="80">
        <v>0</v>
      </c>
      <c r="J77" s="80">
        <v>0</v>
      </c>
      <c r="K77" s="30">
        <f t="shared" si="112"/>
        <v>0</v>
      </c>
      <c r="L77" s="80">
        <v>0</v>
      </c>
      <c r="M77" s="80">
        <v>0</v>
      </c>
      <c r="N77" s="80">
        <v>0</v>
      </c>
      <c r="O77" s="30">
        <f t="shared" si="113"/>
        <v>0</v>
      </c>
      <c r="P77" s="80">
        <v>0</v>
      </c>
      <c r="Q77" s="80">
        <v>0</v>
      </c>
      <c r="R77" s="80">
        <v>0</v>
      </c>
      <c r="T77" s="30">
        <f t="shared" si="114"/>
        <v>0</v>
      </c>
      <c r="U77" s="30">
        <f t="shared" si="114"/>
        <v>0</v>
      </c>
      <c r="V77" s="30">
        <f t="shared" si="114"/>
        <v>0</v>
      </c>
      <c r="W77" s="30">
        <f t="shared" si="114"/>
        <v>0</v>
      </c>
      <c r="X77" s="30">
        <f t="shared" si="114"/>
        <v>0</v>
      </c>
      <c r="Y77" s="30">
        <f t="shared" si="114"/>
        <v>0</v>
      </c>
      <c r="Z77" s="30">
        <f t="shared" si="114"/>
        <v>0</v>
      </c>
      <c r="AA77" s="30">
        <f t="shared" si="114"/>
        <v>0</v>
      </c>
      <c r="AB77" s="11"/>
      <c r="AC77" s="73" t="e">
        <f t="shared" si="123"/>
        <v>#DIV/0!</v>
      </c>
    </row>
    <row r="78" spans="2:29" ht="12.75" customHeight="1">
      <c r="B78" s="9" t="s">
        <v>147</v>
      </c>
      <c r="C78" s="80">
        <v>5061</v>
      </c>
      <c r="D78" s="80">
        <v>5298</v>
      </c>
      <c r="E78" s="80">
        <v>5893</v>
      </c>
      <c r="F78" s="80">
        <v>6442</v>
      </c>
      <c r="G78" s="30"/>
      <c r="H78" s="80">
        <v>5376</v>
      </c>
      <c r="I78" s="80">
        <v>5622</v>
      </c>
      <c r="J78" s="80">
        <v>5791</v>
      </c>
      <c r="K78" s="30">
        <f t="shared" si="112"/>
        <v>5893</v>
      </c>
      <c r="L78" s="80">
        <v>5920</v>
      </c>
      <c r="M78" s="80">
        <v>6089</v>
      </c>
      <c r="N78" s="80">
        <v>6290</v>
      </c>
      <c r="O78" s="30">
        <f t="shared" si="113"/>
        <v>6442</v>
      </c>
      <c r="P78" s="80">
        <v>6326</v>
      </c>
      <c r="Q78" s="80">
        <v>6562</v>
      </c>
      <c r="R78" s="80">
        <v>6757</v>
      </c>
      <c r="T78" s="30">
        <f t="shared" si="114"/>
        <v>5893</v>
      </c>
      <c r="U78" s="30">
        <f t="shared" si="114"/>
        <v>5920</v>
      </c>
      <c r="V78" s="30">
        <f t="shared" si="114"/>
        <v>6089</v>
      </c>
      <c r="W78" s="30">
        <f t="shared" si="114"/>
        <v>6290</v>
      </c>
      <c r="X78" s="30">
        <f t="shared" si="114"/>
        <v>6442</v>
      </c>
      <c r="Y78" s="30">
        <f t="shared" si="114"/>
        <v>6326</v>
      </c>
      <c r="Z78" s="30">
        <f t="shared" si="114"/>
        <v>6562</v>
      </c>
      <c r="AA78" s="30">
        <f t="shared" si="114"/>
        <v>6757</v>
      </c>
      <c r="AB78" s="11"/>
      <c r="AC78" s="73">
        <f t="shared" si="123"/>
        <v>7.4244833068362492E-2</v>
      </c>
    </row>
    <row r="79" spans="2:29" ht="12.75" customHeight="1">
      <c r="B79" s="9" t="s">
        <v>148</v>
      </c>
      <c r="C79" s="80">
        <v>-42588</v>
      </c>
      <c r="D79" s="80">
        <v>-51354</v>
      </c>
      <c r="E79" s="80">
        <v>-60429</v>
      </c>
      <c r="F79" s="80">
        <v>-71431</v>
      </c>
      <c r="G79" s="30"/>
      <c r="H79" s="80">
        <v>-54241</v>
      </c>
      <c r="I79" s="80">
        <v>-56659</v>
      </c>
      <c r="J79" s="80">
        <v>-58573</v>
      </c>
      <c r="K79" s="30">
        <f t="shared" si="112"/>
        <v>-60429</v>
      </c>
      <c r="L79" s="80">
        <v>-62434</v>
      </c>
      <c r="M79" s="80">
        <v>-65067</v>
      </c>
      <c r="N79" s="80">
        <v>-68035</v>
      </c>
      <c r="O79" s="30">
        <f t="shared" si="113"/>
        <v>-71431</v>
      </c>
      <c r="P79" s="80">
        <v>-73995</v>
      </c>
      <c r="Q79" s="80">
        <v>-76299</v>
      </c>
      <c r="R79" s="80">
        <v>-79670</v>
      </c>
      <c r="T79" s="30">
        <f t="shared" si="114"/>
        <v>-60429</v>
      </c>
      <c r="U79" s="30">
        <f t="shared" si="114"/>
        <v>-62434</v>
      </c>
      <c r="V79" s="30">
        <f t="shared" si="114"/>
        <v>-65067</v>
      </c>
      <c r="W79" s="30">
        <f t="shared" si="114"/>
        <v>-68035</v>
      </c>
      <c r="X79" s="30">
        <f t="shared" si="114"/>
        <v>-71431</v>
      </c>
      <c r="Y79" s="30">
        <f t="shared" si="114"/>
        <v>-73995</v>
      </c>
      <c r="Z79" s="30">
        <f t="shared" si="114"/>
        <v>-76299</v>
      </c>
      <c r="AA79" s="30">
        <f t="shared" si="114"/>
        <v>-79670</v>
      </c>
      <c r="AB79" s="11"/>
      <c r="AC79" s="73">
        <f t="shared" si="123"/>
        <v>0.17101491879179842</v>
      </c>
    </row>
    <row r="80" spans="2:29" ht="12.75" customHeight="1">
      <c r="B80" s="9" t="s">
        <v>149</v>
      </c>
      <c r="C80" s="80">
        <v>45648</v>
      </c>
      <c r="D80" s="80">
        <v>53607</v>
      </c>
      <c r="E80" s="80">
        <v>62564</v>
      </c>
      <c r="F80" s="80">
        <v>72907</v>
      </c>
      <c r="G80" s="30"/>
      <c r="H80" s="80">
        <v>55424</v>
      </c>
      <c r="I80" s="80">
        <v>57730</v>
      </c>
      <c r="J80" s="80">
        <v>60390</v>
      </c>
      <c r="K80" s="30">
        <f t="shared" si="112"/>
        <v>62564</v>
      </c>
      <c r="L80" s="80">
        <v>64959</v>
      </c>
      <c r="M80" s="80">
        <v>67604</v>
      </c>
      <c r="N80" s="80">
        <v>70258</v>
      </c>
      <c r="O80" s="30">
        <f t="shared" si="113"/>
        <v>72907</v>
      </c>
      <c r="P80" s="80">
        <v>75495</v>
      </c>
      <c r="Q80" s="80">
        <v>78509</v>
      </c>
      <c r="R80" s="80">
        <v>81752</v>
      </c>
      <c r="T80" s="30">
        <f t="shared" ref="T80:T81" si="124">K80</f>
        <v>62564</v>
      </c>
      <c r="U80" s="30">
        <f t="shared" ref="U80:U81" si="125">L80</f>
        <v>64959</v>
      </c>
      <c r="V80" s="30">
        <f t="shared" ref="V80:V81" si="126">M80</f>
        <v>67604</v>
      </c>
      <c r="W80" s="30">
        <f t="shared" ref="W80:W81" si="127">N80</f>
        <v>70258</v>
      </c>
      <c r="X80" s="30">
        <f t="shared" ref="X80:X81" si="128">O80</f>
        <v>72907</v>
      </c>
      <c r="Y80" s="30">
        <f t="shared" ref="Y80:Y81" si="129">P80</f>
        <v>75495</v>
      </c>
      <c r="Z80" s="30">
        <f t="shared" ref="Z80:Z81" si="130">Q80</f>
        <v>78509</v>
      </c>
      <c r="AA80" s="30">
        <f t="shared" ref="AA80:AA81" si="131">R80</f>
        <v>81752</v>
      </c>
      <c r="AB80" s="11"/>
      <c r="AC80" s="73">
        <f t="shared" si="123"/>
        <v>0.1635970280964445</v>
      </c>
    </row>
    <row r="81" spans="1:29" ht="12.75" customHeight="1">
      <c r="B81" s="9" t="s">
        <v>150</v>
      </c>
      <c r="C81" s="80">
        <v>-809</v>
      </c>
      <c r="D81" s="80">
        <v>-1253</v>
      </c>
      <c r="E81" s="80">
        <v>-1099</v>
      </c>
      <c r="F81" s="80">
        <v>-1433</v>
      </c>
      <c r="G81" s="30"/>
      <c r="H81" s="80">
        <v>-1229</v>
      </c>
      <c r="I81" s="80">
        <v>-1189</v>
      </c>
      <c r="J81" s="80">
        <v>-1297</v>
      </c>
      <c r="K81" s="30">
        <f>E81</f>
        <v>-1099</v>
      </c>
      <c r="L81" s="80">
        <v>-1202</v>
      </c>
      <c r="M81" s="80">
        <v>-1205</v>
      </c>
      <c r="N81" s="80">
        <v>-1073</v>
      </c>
      <c r="O81" s="30">
        <f>F81</f>
        <v>-1433</v>
      </c>
      <c r="P81" s="80">
        <v>-1155</v>
      </c>
      <c r="Q81" s="80">
        <v>-919</v>
      </c>
      <c r="R81" s="80">
        <v>-935</v>
      </c>
      <c r="T81" s="30">
        <f t="shared" si="124"/>
        <v>-1099</v>
      </c>
      <c r="U81" s="30">
        <f t="shared" si="125"/>
        <v>-1202</v>
      </c>
      <c r="V81" s="30">
        <f t="shared" si="126"/>
        <v>-1205</v>
      </c>
      <c r="W81" s="30">
        <f t="shared" si="127"/>
        <v>-1073</v>
      </c>
      <c r="X81" s="30">
        <f t="shared" si="128"/>
        <v>-1433</v>
      </c>
      <c r="Y81" s="30">
        <f t="shared" si="129"/>
        <v>-1155</v>
      </c>
      <c r="Z81" s="30">
        <f t="shared" si="130"/>
        <v>-919</v>
      </c>
      <c r="AA81" s="30">
        <f t="shared" si="131"/>
        <v>-935</v>
      </c>
      <c r="AB81" s="11"/>
      <c r="AC81" s="73">
        <f t="shared" si="123"/>
        <v>-0.12861136999068035</v>
      </c>
    </row>
    <row r="82" spans="1:29" ht="12.75" customHeight="1">
      <c r="B82" s="13" t="s">
        <v>142</v>
      </c>
      <c r="C82" s="14">
        <f>SUM(C75:C81)</f>
        <v>7341</v>
      </c>
      <c r="D82" s="14">
        <f>SUM(D75:D81)</f>
        <v>6319</v>
      </c>
      <c r="E82" s="14">
        <f>SUM(E75:E81)</f>
        <v>6951</v>
      </c>
      <c r="F82" s="14">
        <f>SUM(F75:F81)</f>
        <v>6485</v>
      </c>
      <c r="G82" s="50"/>
      <c r="H82" s="14">
        <f>SUM(H75:H81)</f>
        <v>5351</v>
      </c>
      <c r="I82" s="14">
        <f>SUM(I75:I81)</f>
        <v>5526</v>
      </c>
      <c r="J82" s="14">
        <f>SUM(J75:J81)</f>
        <v>6332</v>
      </c>
      <c r="K82" s="14">
        <f>SUM(K75:K81)</f>
        <v>6951</v>
      </c>
      <c r="L82" s="14">
        <f>SUM(L75:L81)</f>
        <v>7265</v>
      </c>
      <c r="M82" s="14">
        <f>SUM(M75:M81)</f>
        <v>7443</v>
      </c>
      <c r="N82" s="14">
        <f>SUM(N75:N81)</f>
        <v>7463</v>
      </c>
      <c r="O82" s="14">
        <f>SUM(O75:O81)</f>
        <v>6485</v>
      </c>
      <c r="P82" s="14">
        <f>SUM(P75:P81)</f>
        <v>6671</v>
      </c>
      <c r="Q82" s="14">
        <f>SUM(Q75:Q81)</f>
        <v>7853</v>
      </c>
      <c r="R82" s="14">
        <f>SUM(R75:R81)</f>
        <v>7904</v>
      </c>
      <c r="T82" s="14">
        <f>SUM(T75:T81)</f>
        <v>6951</v>
      </c>
      <c r="U82" s="14">
        <f>SUM(U75:U81)</f>
        <v>7265</v>
      </c>
      <c r="V82" s="14">
        <f>SUM(V75:V81)</f>
        <v>7443</v>
      </c>
      <c r="W82" s="14">
        <f>SUM(W75:W81)</f>
        <v>7463</v>
      </c>
      <c r="X82" s="14">
        <f>SUM(X75:X81)</f>
        <v>6485</v>
      </c>
      <c r="Y82" s="14">
        <f>SUM(Y75:Y81)</f>
        <v>6671</v>
      </c>
      <c r="Z82" s="14">
        <f>SUM(Z75:Z81)</f>
        <v>7853</v>
      </c>
      <c r="AA82" s="14">
        <f>SUM(AA75:AA81)</f>
        <v>7904</v>
      </c>
      <c r="AB82" s="40"/>
      <c r="AC82" s="74">
        <f t="shared" si="123"/>
        <v>5.9091518156237477E-2</v>
      </c>
    </row>
    <row r="83" spans="1:29" s="143" customFormat="1" ht="5.0999999999999996" customHeight="1">
      <c r="B83" s="144"/>
      <c r="C83" s="145"/>
      <c r="D83" s="145"/>
      <c r="E83" s="145"/>
      <c r="F83" s="145"/>
      <c r="G83" s="146"/>
      <c r="H83" s="145"/>
      <c r="I83" s="145"/>
      <c r="J83" s="145"/>
      <c r="K83" s="145"/>
      <c r="L83" s="145"/>
      <c r="M83" s="145"/>
      <c r="N83" s="145"/>
      <c r="O83" s="145"/>
      <c r="P83" s="145"/>
      <c r="Q83" s="145"/>
      <c r="R83" s="145"/>
      <c r="T83" s="145"/>
      <c r="U83" s="145"/>
      <c r="V83" s="145"/>
      <c r="W83" s="145"/>
      <c r="X83" s="145"/>
      <c r="Y83" s="145"/>
      <c r="Z83" s="145"/>
      <c r="AA83" s="145"/>
      <c r="AB83" s="147"/>
      <c r="AC83" s="74"/>
    </row>
    <row r="84" spans="1:29" ht="12.75" customHeight="1">
      <c r="B84" s="9" t="s">
        <v>141</v>
      </c>
      <c r="C84" s="80">
        <v>71</v>
      </c>
      <c r="D84" s="80">
        <v>58</v>
      </c>
      <c r="E84" s="80">
        <v>46</v>
      </c>
      <c r="F84" s="80">
        <v>30</v>
      </c>
      <c r="G84" s="30"/>
      <c r="H84" s="80">
        <v>56</v>
      </c>
      <c r="I84" s="80">
        <v>53</v>
      </c>
      <c r="J84" s="80">
        <v>49</v>
      </c>
      <c r="K84" s="30">
        <f>E84</f>
        <v>46</v>
      </c>
      <c r="L84" s="80">
        <v>43</v>
      </c>
      <c r="M84" s="80">
        <v>39</v>
      </c>
      <c r="N84" s="80">
        <v>35</v>
      </c>
      <c r="O84" s="30">
        <f>F84</f>
        <v>30</v>
      </c>
      <c r="P84" s="80">
        <v>25</v>
      </c>
      <c r="Q84" s="80">
        <v>21</v>
      </c>
      <c r="R84" s="80">
        <v>15</v>
      </c>
      <c r="T84" s="30">
        <f t="shared" ref="T84" si="132">K84</f>
        <v>46</v>
      </c>
      <c r="U84" s="30">
        <f t="shared" ref="U84" si="133">L84</f>
        <v>43</v>
      </c>
      <c r="V84" s="30">
        <f t="shared" ref="V84" si="134">M84</f>
        <v>39</v>
      </c>
      <c r="W84" s="30">
        <f t="shared" ref="W84" si="135">N84</f>
        <v>35</v>
      </c>
      <c r="X84" s="30">
        <f t="shared" ref="X84" si="136">O84</f>
        <v>30</v>
      </c>
      <c r="Y84" s="30">
        <f t="shared" ref="Y84" si="137">P84</f>
        <v>25</v>
      </c>
      <c r="Z84" s="30">
        <f t="shared" ref="Z84" si="138">Q84</f>
        <v>21</v>
      </c>
      <c r="AA84" s="30">
        <f t="shared" ref="AA84" si="139">R84</f>
        <v>15</v>
      </c>
      <c r="AB84" s="11"/>
      <c r="AC84" s="73">
        <f t="shared" ref="AC84:AC85" si="140">SUM(AA84/W84)-1</f>
        <v>-0.5714285714285714</v>
      </c>
    </row>
    <row r="85" spans="1:29" ht="12.75" customHeight="1">
      <c r="B85" s="13" t="s">
        <v>143</v>
      </c>
      <c r="C85" s="14">
        <f t="shared" ref="C85:D85" si="141">SUM(C82:C84)</f>
        <v>7412</v>
      </c>
      <c r="D85" s="14">
        <f t="shared" si="141"/>
        <v>6377</v>
      </c>
      <c r="E85" s="14">
        <f>SUM(E82:E84)</f>
        <v>6997</v>
      </c>
      <c r="F85" s="14">
        <f>SUM(F82:F84)</f>
        <v>6515</v>
      </c>
      <c r="G85" s="50"/>
      <c r="H85" s="14">
        <f t="shared" ref="H85:R85" si="142">SUM(H82:H84)</f>
        <v>5407</v>
      </c>
      <c r="I85" s="14">
        <f t="shared" si="142"/>
        <v>5579</v>
      </c>
      <c r="J85" s="14">
        <f t="shared" si="142"/>
        <v>6381</v>
      </c>
      <c r="K85" s="14">
        <f t="shared" si="142"/>
        <v>6997</v>
      </c>
      <c r="L85" s="14">
        <f t="shared" si="142"/>
        <v>7308</v>
      </c>
      <c r="M85" s="14">
        <f t="shared" si="142"/>
        <v>7482</v>
      </c>
      <c r="N85" s="14">
        <f t="shared" si="142"/>
        <v>7498</v>
      </c>
      <c r="O85" s="14">
        <f t="shared" si="142"/>
        <v>6515</v>
      </c>
      <c r="P85" s="14">
        <f t="shared" si="142"/>
        <v>6696</v>
      </c>
      <c r="Q85" s="14">
        <f t="shared" si="142"/>
        <v>7874</v>
      </c>
      <c r="R85" s="14">
        <f t="shared" si="142"/>
        <v>7919</v>
      </c>
      <c r="T85" s="14">
        <f t="shared" ref="T85" si="143">SUM(T82:T84)</f>
        <v>6997</v>
      </c>
      <c r="U85" s="14">
        <f t="shared" ref="U85" si="144">SUM(U82:U84)</f>
        <v>7308</v>
      </c>
      <c r="V85" s="14">
        <f t="shared" ref="V85" si="145">SUM(V82:V84)</f>
        <v>7482</v>
      </c>
      <c r="W85" s="14">
        <f t="shared" ref="W85" si="146">SUM(W82:W84)</f>
        <v>7498</v>
      </c>
      <c r="X85" s="14">
        <f t="shared" ref="X85" si="147">SUM(X82:X84)</f>
        <v>6515</v>
      </c>
      <c r="Y85" s="14">
        <f t="shared" ref="Y85" si="148">SUM(Y82:Y84)</f>
        <v>6696</v>
      </c>
      <c r="Z85" s="14">
        <f t="shared" ref="Z85" si="149">SUM(Z82:Z84)</f>
        <v>7874</v>
      </c>
      <c r="AA85" s="14">
        <f t="shared" ref="AA85" si="150">SUM(AA82:AA84)</f>
        <v>7919</v>
      </c>
      <c r="AB85" s="40"/>
      <c r="AC85" s="73">
        <f t="shared" si="140"/>
        <v>5.6148306214990562E-2</v>
      </c>
    </row>
    <row r="86" spans="1:29" ht="12.75" customHeight="1">
      <c r="B86" s="25" t="s">
        <v>144</v>
      </c>
      <c r="C86" s="30">
        <f>SUM(C85+C73)</f>
        <v>37669</v>
      </c>
      <c r="D86" s="30">
        <f>SUM(D85+D73)</f>
        <v>38724</v>
      </c>
      <c r="E86" s="30">
        <f>SUM(E85+E73)</f>
        <v>42448</v>
      </c>
      <c r="F86" s="30">
        <f>SUM(F85+F73)</f>
        <v>48081</v>
      </c>
      <c r="G86" s="30"/>
      <c r="H86" s="30">
        <f>SUM(H85+H73)</f>
        <v>38936</v>
      </c>
      <c r="I86" s="30">
        <f>SUM(I85+I73)</f>
        <v>39004</v>
      </c>
      <c r="J86" s="30">
        <f>SUM(J85+J73)</f>
        <v>39674</v>
      </c>
      <c r="K86" s="30">
        <f>SUM(K85+K73)</f>
        <v>42448</v>
      </c>
      <c r="L86" s="30">
        <f>SUM(L85+L73)</f>
        <v>42602</v>
      </c>
      <c r="M86" s="30">
        <f>SUM(M85+M73)</f>
        <v>42333</v>
      </c>
      <c r="N86" s="30">
        <f>SUM(N85+N73)</f>
        <v>47237</v>
      </c>
      <c r="O86" s="30">
        <f>SUM(O85+O73)</f>
        <v>48081</v>
      </c>
      <c r="P86" s="30">
        <f>SUM(P85+P73)</f>
        <v>48470</v>
      </c>
      <c r="Q86" s="30">
        <f>SUM(Q85+Q73)</f>
        <v>51431</v>
      </c>
      <c r="R86" s="30">
        <f>SUM(R85+R73)</f>
        <v>53289</v>
      </c>
      <c r="S86" s="30"/>
      <c r="T86" s="30">
        <f>SUM(T85+T73)</f>
        <v>42448</v>
      </c>
      <c r="U86" s="30">
        <f>SUM(U85+U73)</f>
        <v>42602</v>
      </c>
      <c r="V86" s="30">
        <f>SUM(V85+V73)</f>
        <v>42333</v>
      </c>
      <c r="W86" s="30">
        <f>SUM(W85+W73)</f>
        <v>47237</v>
      </c>
      <c r="X86" s="30">
        <f>SUM(X85+X73)</f>
        <v>48081</v>
      </c>
      <c r="Y86" s="30">
        <f>SUM(Y85+Y73)</f>
        <v>48470</v>
      </c>
      <c r="Z86" s="30">
        <f>SUM(Z85+Z73)</f>
        <v>51431</v>
      </c>
      <c r="AA86" s="30">
        <f>SUM(AA85+AA73)</f>
        <v>53289</v>
      </c>
      <c r="AB86" s="11"/>
      <c r="AC86" s="74">
        <f t="shared" si="105"/>
        <v>0.1281199060058853</v>
      </c>
    </row>
    <row r="87" spans="1:29" ht="5.0999999999999996" customHeight="1">
      <c r="B87" s="25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11"/>
    </row>
    <row r="88" spans="1:29" ht="12.75" customHeight="1">
      <c r="B88" s="123" t="s">
        <v>53</v>
      </c>
      <c r="C88" s="67">
        <f>C86-C57</f>
        <v>0</v>
      </c>
      <c r="D88" s="67">
        <f>D86-D57</f>
        <v>0</v>
      </c>
      <c r="E88" s="67">
        <f>E86-E57</f>
        <v>0</v>
      </c>
      <c r="F88" s="67">
        <f>F86-F57</f>
        <v>0</v>
      </c>
      <c r="G88" s="68"/>
      <c r="H88" s="67">
        <f>H86-H57</f>
        <v>0</v>
      </c>
      <c r="I88" s="67">
        <f>I86-I57</f>
        <v>0</v>
      </c>
      <c r="J88" s="67">
        <f>J86-J57</f>
        <v>0</v>
      </c>
      <c r="K88" s="67">
        <f>K86-K57</f>
        <v>0</v>
      </c>
      <c r="L88" s="67">
        <f>L86-L57</f>
        <v>0</v>
      </c>
      <c r="M88" s="67">
        <f>M86-M57</f>
        <v>0</v>
      </c>
      <c r="N88" s="67">
        <f>N86-N57</f>
        <v>0</v>
      </c>
      <c r="O88" s="67">
        <f>O86-O57</f>
        <v>0</v>
      </c>
      <c r="P88" s="67">
        <f>P86-P57</f>
        <v>0</v>
      </c>
      <c r="Q88" s="67">
        <f>Q86-Q57</f>
        <v>0</v>
      </c>
      <c r="R88" s="67">
        <f>R86-R57</f>
        <v>0</v>
      </c>
      <c r="S88" s="28"/>
      <c r="T88" s="67">
        <f>T86-T57</f>
        <v>0</v>
      </c>
      <c r="U88" s="67">
        <f>U86-U57</f>
        <v>0</v>
      </c>
      <c r="V88" s="67">
        <f>V86-V57</f>
        <v>0</v>
      </c>
      <c r="W88" s="67">
        <f>W86-W57</f>
        <v>0</v>
      </c>
      <c r="X88" s="67">
        <f>X86-X57</f>
        <v>0</v>
      </c>
      <c r="Y88" s="67">
        <f>Y86-Y57</f>
        <v>0</v>
      </c>
      <c r="Z88" s="67">
        <f>Z86-Z57</f>
        <v>0</v>
      </c>
      <c r="AA88" s="67">
        <f>AA86-AA57</f>
        <v>0</v>
      </c>
    </row>
    <row r="89" spans="1:29" ht="5.0999999999999996" customHeight="1" thickBot="1">
      <c r="B89" s="107"/>
      <c r="C89" s="108"/>
      <c r="D89" s="108"/>
      <c r="E89" s="108"/>
      <c r="F89" s="108"/>
      <c r="G89" s="109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10"/>
      <c r="T89" s="108"/>
      <c r="U89" s="108"/>
      <c r="V89" s="108"/>
      <c r="W89" s="108"/>
      <c r="X89" s="108"/>
      <c r="Y89" s="108"/>
      <c r="Z89" s="108"/>
      <c r="AA89" s="108"/>
      <c r="AB89" s="71"/>
      <c r="AC89" s="71"/>
    </row>
    <row r="90" spans="1:29">
      <c r="B90" s="66"/>
      <c r="C90" s="51"/>
      <c r="D90" s="24"/>
      <c r="E90" s="24"/>
      <c r="F90" s="24"/>
      <c r="G90" s="51"/>
    </row>
    <row r="91" spans="1:29" ht="12.75" customHeight="1">
      <c r="A91" s="5" t="s">
        <v>15</v>
      </c>
      <c r="B91" s="89" t="s">
        <v>13</v>
      </c>
      <c r="C91" s="93" t="s">
        <v>0</v>
      </c>
      <c r="D91" s="93" t="s">
        <v>0</v>
      </c>
      <c r="E91" s="93"/>
      <c r="F91" s="93"/>
      <c r="G91" s="94"/>
      <c r="H91" s="93" t="s">
        <v>1</v>
      </c>
      <c r="I91" s="93"/>
      <c r="J91" s="93"/>
      <c r="K91" s="93"/>
      <c r="L91" s="93"/>
      <c r="M91" s="93"/>
      <c r="N91" s="93" t="s">
        <v>1</v>
      </c>
      <c r="O91" s="93"/>
      <c r="P91" s="93"/>
      <c r="Q91" s="93"/>
      <c r="R91" s="93"/>
      <c r="S91" s="89"/>
      <c r="T91" s="93"/>
      <c r="U91" s="93"/>
      <c r="V91" s="93" t="s">
        <v>10</v>
      </c>
      <c r="W91" s="93"/>
      <c r="X91" s="93"/>
      <c r="Y91" s="93"/>
      <c r="Z91" s="93"/>
      <c r="AA91" s="93"/>
      <c r="AB91" s="94"/>
      <c r="AC91" s="141" t="s">
        <v>20</v>
      </c>
    </row>
    <row r="92" spans="1:29" ht="12.75" customHeight="1">
      <c r="B92" s="90" t="str">
        <f>B7</f>
        <v>Fiscal Period</v>
      </c>
      <c r="C92" s="95">
        <f>C7</f>
        <v>2021</v>
      </c>
      <c r="D92" s="95">
        <f>D7</f>
        <v>2022</v>
      </c>
      <c r="E92" s="95">
        <f>E7</f>
        <v>2023</v>
      </c>
      <c r="F92" s="95">
        <f>F7</f>
        <v>2024</v>
      </c>
      <c r="G92" s="94"/>
      <c r="H92" s="95" t="str">
        <f>H7</f>
        <v>1Q23</v>
      </c>
      <c r="I92" s="95" t="str">
        <f>I7</f>
        <v>2Q23</v>
      </c>
      <c r="J92" s="95" t="str">
        <f>J7</f>
        <v>3Q23</v>
      </c>
      <c r="K92" s="95" t="str">
        <f>K7</f>
        <v>4Q23</v>
      </c>
      <c r="L92" s="95" t="str">
        <f>L7</f>
        <v>1Q24</v>
      </c>
      <c r="M92" s="95" t="str">
        <f>M7</f>
        <v>2Q24</v>
      </c>
      <c r="N92" s="95" t="str">
        <f>N7</f>
        <v>3Q24</v>
      </c>
      <c r="O92" s="95" t="str">
        <f>O7</f>
        <v>4Q24</v>
      </c>
      <c r="P92" s="95" t="str">
        <f>P7</f>
        <v>1Q25</v>
      </c>
      <c r="Q92" s="95" t="str">
        <f>Q7</f>
        <v>2Q25</v>
      </c>
      <c r="R92" s="95" t="str">
        <f>R7</f>
        <v>3Q25</v>
      </c>
      <c r="S92" s="95"/>
      <c r="T92" s="95" t="str">
        <f>T7</f>
        <v>4Q23</v>
      </c>
      <c r="U92" s="95" t="str">
        <f>U7</f>
        <v>1Q24</v>
      </c>
      <c r="V92" s="95" t="str">
        <f>V7</f>
        <v>2Q24</v>
      </c>
      <c r="W92" s="95" t="str">
        <f>W7</f>
        <v>3Q24</v>
      </c>
      <c r="X92" s="95" t="str">
        <f>X7</f>
        <v>4Q24</v>
      </c>
      <c r="Y92" s="95" t="str">
        <f>Y7</f>
        <v>1Q25</v>
      </c>
      <c r="Z92" s="95" t="str">
        <f>Z7</f>
        <v>2Q25</v>
      </c>
      <c r="AA92" s="95" t="str">
        <f>AA7</f>
        <v>3Q25</v>
      </c>
      <c r="AB92" s="94"/>
      <c r="AC92" s="141"/>
    </row>
    <row r="93" spans="1:29" ht="12.75" customHeight="1">
      <c r="B93" s="90" t="str">
        <f>B8</f>
        <v>Fiscal Period End Date</v>
      </c>
      <c r="C93" s="96">
        <f>C8</f>
        <v>44561</v>
      </c>
      <c r="D93" s="96">
        <f>D8</f>
        <v>44926</v>
      </c>
      <c r="E93" s="96">
        <f>E8</f>
        <v>45291</v>
      </c>
      <c r="F93" s="96">
        <f>F8</f>
        <v>45657</v>
      </c>
      <c r="G93" s="94"/>
      <c r="H93" s="96">
        <f>H8</f>
        <v>45016</v>
      </c>
      <c r="I93" s="96">
        <f>I8</f>
        <v>45107</v>
      </c>
      <c r="J93" s="96">
        <f>J8</f>
        <v>45199</v>
      </c>
      <c r="K93" s="96">
        <f>K8</f>
        <v>45291</v>
      </c>
      <c r="L93" s="96">
        <f>L8</f>
        <v>45382</v>
      </c>
      <c r="M93" s="96">
        <f>M8</f>
        <v>45473</v>
      </c>
      <c r="N93" s="96">
        <f>N8</f>
        <v>45565</v>
      </c>
      <c r="O93" s="96">
        <f>O8</f>
        <v>45657</v>
      </c>
      <c r="P93" s="96">
        <f>P8</f>
        <v>45747</v>
      </c>
      <c r="Q93" s="96">
        <f>Q8</f>
        <v>45838</v>
      </c>
      <c r="R93" s="96">
        <f>R8</f>
        <v>45930</v>
      </c>
      <c r="S93" s="96"/>
      <c r="T93" s="96">
        <f>T8</f>
        <v>45291</v>
      </c>
      <c r="U93" s="96">
        <f>U8</f>
        <v>45382</v>
      </c>
      <c r="V93" s="96">
        <f>V8</f>
        <v>45473</v>
      </c>
      <c r="W93" s="96">
        <f>W8</f>
        <v>45565</v>
      </c>
      <c r="X93" s="96">
        <f>X8</f>
        <v>45657</v>
      </c>
      <c r="Y93" s="96">
        <f>Y8</f>
        <v>45747</v>
      </c>
      <c r="Z93" s="96">
        <f>Z8</f>
        <v>45838</v>
      </c>
      <c r="AA93" s="96">
        <f>AA8</f>
        <v>45930</v>
      </c>
      <c r="AB93" s="94"/>
      <c r="AC93" s="141"/>
    </row>
    <row r="94" spans="1:29" ht="5.0999999999999996" customHeight="1">
      <c r="B94" s="52"/>
      <c r="C94" s="45"/>
      <c r="D94" s="45"/>
      <c r="E94" s="45"/>
      <c r="F94" s="45"/>
    </row>
    <row r="95" spans="1:29" ht="12.75" customHeight="1">
      <c r="B95" s="53" t="s">
        <v>45</v>
      </c>
      <c r="C95" s="54"/>
      <c r="D95" s="54"/>
      <c r="E95" s="54"/>
      <c r="F95" s="54"/>
    </row>
    <row r="96" spans="1:29" ht="12.75" customHeight="1">
      <c r="B96" s="55" t="s">
        <v>95</v>
      </c>
      <c r="C96" s="30">
        <f>C28</f>
        <v>8687</v>
      </c>
      <c r="D96" s="30">
        <f>D28</f>
        <v>9930</v>
      </c>
      <c r="E96" s="30">
        <f>E28</f>
        <v>11195</v>
      </c>
      <c r="F96" s="30">
        <f>F28</f>
        <v>12874</v>
      </c>
      <c r="G96" s="30"/>
      <c r="H96" s="30">
        <f>H28</f>
        <v>2361</v>
      </c>
      <c r="I96" s="30">
        <f>I28</f>
        <v>2845</v>
      </c>
      <c r="J96" s="30">
        <f>J28</f>
        <v>3198</v>
      </c>
      <c r="K96" s="30">
        <f>K28</f>
        <v>2791</v>
      </c>
      <c r="L96" s="30">
        <f>L28</f>
        <v>3011</v>
      </c>
      <c r="M96" s="30">
        <f>M28</f>
        <v>3258</v>
      </c>
      <c r="N96" s="30">
        <f>N28</f>
        <v>3263</v>
      </c>
      <c r="O96" s="30">
        <f>O28</f>
        <v>3342</v>
      </c>
      <c r="P96" s="30">
        <f>P28</f>
        <v>3280</v>
      </c>
      <c r="Q96" s="30">
        <f>Q28</f>
        <v>3701</v>
      </c>
      <c r="R96" s="30">
        <f>R28</f>
        <v>3927</v>
      </c>
      <c r="S96" s="30"/>
      <c r="T96" s="30">
        <f>T28</f>
        <v>11195</v>
      </c>
      <c r="U96" s="30">
        <f>U28</f>
        <v>11845</v>
      </c>
      <c r="V96" s="30">
        <f>V28</f>
        <v>12258</v>
      </c>
      <c r="W96" s="30">
        <f>W28</f>
        <v>12323</v>
      </c>
      <c r="X96" s="30">
        <f>X28</f>
        <v>12874</v>
      </c>
      <c r="Y96" s="30">
        <f>Y28</f>
        <v>13143</v>
      </c>
      <c r="Z96" s="30">
        <f>Z28</f>
        <v>13586</v>
      </c>
      <c r="AA96" s="30">
        <f>AA28</f>
        <v>14250</v>
      </c>
      <c r="AB96" s="11"/>
      <c r="AC96" s="73">
        <f>SUM(AA96/W96)-1</f>
        <v>0.15637425951472861</v>
      </c>
    </row>
    <row r="97" spans="2:29" ht="5.0999999999999996" customHeight="1"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T97" s="30"/>
      <c r="U97" s="30"/>
      <c r="V97" s="30"/>
      <c r="W97" s="30"/>
      <c r="X97" s="30"/>
      <c r="Y97" s="30"/>
      <c r="Z97" s="30"/>
      <c r="AA97" s="30"/>
      <c r="AB97" s="11"/>
      <c r="AC97" s="73"/>
    </row>
    <row r="98" spans="2:29" ht="12.75" customHeight="1">
      <c r="B98" s="34" t="s">
        <v>52</v>
      </c>
      <c r="C98" s="30"/>
      <c r="D98" s="30"/>
      <c r="E98" s="30"/>
      <c r="F98" s="30"/>
      <c r="G98" s="30"/>
      <c r="H98" s="80"/>
      <c r="I98" s="80"/>
      <c r="J98" s="80"/>
      <c r="K98" s="30"/>
      <c r="L98" s="80"/>
      <c r="M98" s="80"/>
      <c r="N98" s="80"/>
      <c r="O98" s="30"/>
      <c r="P98" s="80"/>
      <c r="Q98" s="80"/>
      <c r="R98" s="80"/>
      <c r="T98" s="30"/>
      <c r="U98" s="30"/>
      <c r="V98" s="30"/>
      <c r="W98" s="30"/>
      <c r="X98" s="30"/>
      <c r="Y98" s="30"/>
      <c r="Z98" s="30"/>
      <c r="AA98" s="30"/>
      <c r="AB98" s="57"/>
      <c r="AC98" s="73"/>
    </row>
    <row r="99" spans="2:29" ht="12.75" customHeight="1">
      <c r="B99" s="58" t="s">
        <v>153</v>
      </c>
      <c r="C99" s="80">
        <v>1371</v>
      </c>
      <c r="D99" s="80">
        <v>1586</v>
      </c>
      <c r="E99" s="80">
        <v>1622</v>
      </c>
      <c r="F99" s="80">
        <v>1830</v>
      </c>
      <c r="G99" s="30"/>
      <c r="H99" s="80">
        <v>378</v>
      </c>
      <c r="I99" s="80">
        <f>782-H99</f>
        <v>404</v>
      </c>
      <c r="J99" s="80">
        <f>1196-I99-H99</f>
        <v>414</v>
      </c>
      <c r="K99" s="30">
        <f t="shared" ref="K99:K116" si="151">SUM(E99-SUM(H99:J99))</f>
        <v>426</v>
      </c>
      <c r="L99" s="80">
        <v>411</v>
      </c>
      <c r="M99" s="80">
        <f>826-L99</f>
        <v>415</v>
      </c>
      <c r="N99" s="80">
        <f>1328-M99-L99</f>
        <v>502</v>
      </c>
      <c r="O99" s="30">
        <f t="shared" ref="O99:O116" si="152">SUM(F99-SUM(L99:N99))</f>
        <v>502</v>
      </c>
      <c r="P99" s="80">
        <v>476</v>
      </c>
      <c r="Q99" s="80">
        <f>993-P99</f>
        <v>517</v>
      </c>
      <c r="R99" s="80">
        <f>1526-Q99-P99</f>
        <v>533</v>
      </c>
      <c r="T99" s="30">
        <f t="shared" ref="T99:AA116" si="153">SUM(H99:K99)</f>
        <v>1622</v>
      </c>
      <c r="U99" s="30">
        <f t="shared" si="153"/>
        <v>1655</v>
      </c>
      <c r="V99" s="30">
        <f t="shared" si="153"/>
        <v>1666</v>
      </c>
      <c r="W99" s="30">
        <f t="shared" si="153"/>
        <v>1754</v>
      </c>
      <c r="X99" s="30">
        <f t="shared" si="153"/>
        <v>1830</v>
      </c>
      <c r="Y99" s="30">
        <f t="shared" si="153"/>
        <v>1895</v>
      </c>
      <c r="Z99" s="30">
        <f t="shared" si="153"/>
        <v>1997</v>
      </c>
      <c r="AA99" s="30">
        <f t="shared" si="153"/>
        <v>2028</v>
      </c>
      <c r="AB99" s="11"/>
      <c r="AC99" s="73">
        <f t="shared" ref="AC99:AC117" si="154">SUM(AA99/W99)-1</f>
        <v>0.15621436716077541</v>
      </c>
    </row>
    <row r="100" spans="2:29" ht="12.75" customHeight="1">
      <c r="B100" s="58" t="s">
        <v>115</v>
      </c>
      <c r="C100" s="80">
        <v>726</v>
      </c>
      <c r="D100" s="80">
        <v>750</v>
      </c>
      <c r="E100" s="80">
        <v>799</v>
      </c>
      <c r="F100" s="80">
        <v>897</v>
      </c>
      <c r="G100" s="30"/>
      <c r="H100" s="80">
        <v>191</v>
      </c>
      <c r="I100" s="80">
        <f>383-H100</f>
        <v>192</v>
      </c>
      <c r="J100" s="80">
        <f>594-I100-H100</f>
        <v>211</v>
      </c>
      <c r="K100" s="30">
        <f t="shared" si="151"/>
        <v>205</v>
      </c>
      <c r="L100" s="80">
        <v>216</v>
      </c>
      <c r="M100" s="80">
        <f>441-L100</f>
        <v>225</v>
      </c>
      <c r="N100" s="80">
        <f>666-M100-L100</f>
        <v>225</v>
      </c>
      <c r="O100" s="30">
        <f t="shared" si="152"/>
        <v>231</v>
      </c>
      <c r="P100" s="80">
        <v>275</v>
      </c>
      <c r="Q100" s="80">
        <f>556-P100</f>
        <v>281</v>
      </c>
      <c r="R100" s="80">
        <f>846-Q100-P100</f>
        <v>290</v>
      </c>
      <c r="T100" s="30">
        <f t="shared" si="153"/>
        <v>799</v>
      </c>
      <c r="U100" s="30">
        <f t="shared" si="153"/>
        <v>824</v>
      </c>
      <c r="V100" s="30">
        <f t="shared" si="153"/>
        <v>857</v>
      </c>
      <c r="W100" s="30">
        <f t="shared" si="153"/>
        <v>871</v>
      </c>
      <c r="X100" s="30">
        <f t="shared" si="153"/>
        <v>897</v>
      </c>
      <c r="Y100" s="30">
        <f t="shared" si="153"/>
        <v>956</v>
      </c>
      <c r="Z100" s="30">
        <f t="shared" si="153"/>
        <v>1012</v>
      </c>
      <c r="AA100" s="30">
        <f t="shared" si="153"/>
        <v>1077</v>
      </c>
      <c r="AB100" s="11"/>
      <c r="AC100" s="73">
        <f t="shared" ref="AC100" si="155">SUM(AA100/W100)-1</f>
        <v>0.23650975889781867</v>
      </c>
    </row>
    <row r="101" spans="2:29" ht="12.75" customHeight="1">
      <c r="B101" s="58" t="s">
        <v>154</v>
      </c>
      <c r="C101" s="80">
        <v>-645</v>
      </c>
      <c r="D101" s="80">
        <v>145</v>
      </c>
      <c r="E101" s="80">
        <v>61</v>
      </c>
      <c r="F101" s="80">
        <v>29</v>
      </c>
      <c r="G101" s="30"/>
      <c r="H101" s="80">
        <v>212</v>
      </c>
      <c r="I101" s="80">
        <f>89-H101</f>
        <v>-123</v>
      </c>
      <c r="J101" s="80">
        <f>95-I101-H101</f>
        <v>6</v>
      </c>
      <c r="K101" s="30">
        <f t="shared" ref="K101:K104" si="156">SUM(E101-SUM(H101:J101))</f>
        <v>-34</v>
      </c>
      <c r="L101" s="80">
        <v>-6</v>
      </c>
      <c r="M101" s="80">
        <f>7-L101</f>
        <v>13</v>
      </c>
      <c r="N101" s="80">
        <f>69-M101-L101</f>
        <v>62</v>
      </c>
      <c r="O101" s="30">
        <f t="shared" ref="O101:O104" si="157">SUM(F101-SUM(L101:N101))</f>
        <v>-40</v>
      </c>
      <c r="P101" s="80">
        <v>29</v>
      </c>
      <c r="Q101" s="80">
        <f>25-P101</f>
        <v>-4</v>
      </c>
      <c r="R101" s="80">
        <f>-16-Q101-P101</f>
        <v>-41</v>
      </c>
      <c r="T101" s="30">
        <f t="shared" ref="T101:T104" si="158">SUM(H101:K101)</f>
        <v>61</v>
      </c>
      <c r="U101" s="30">
        <f t="shared" ref="U101:U104" si="159">SUM(I101:L101)</f>
        <v>-157</v>
      </c>
      <c r="V101" s="30">
        <f t="shared" ref="V101:V104" si="160">SUM(J101:M101)</f>
        <v>-21</v>
      </c>
      <c r="W101" s="30">
        <f t="shared" ref="W101:W104" si="161">SUM(K101:N101)</f>
        <v>35</v>
      </c>
      <c r="X101" s="30">
        <f t="shared" ref="X101:X104" si="162">SUM(L101:O101)</f>
        <v>29</v>
      </c>
      <c r="Y101" s="30">
        <f t="shared" ref="Y101:Y104" si="163">SUM(M101:P101)</f>
        <v>64</v>
      </c>
      <c r="Z101" s="30">
        <f t="shared" ref="Z101:Z104" si="164">SUM(N101:Q101)</f>
        <v>47</v>
      </c>
      <c r="AA101" s="30">
        <f t="shared" ref="AA101:AA104" si="165">SUM(O101:R101)</f>
        <v>-56</v>
      </c>
      <c r="AB101" s="11"/>
      <c r="AC101" s="73">
        <f t="shared" ref="AC101:AC104" si="166">SUM(AA101/W101)-1</f>
        <v>-2.6</v>
      </c>
    </row>
    <row r="102" spans="2:29" ht="12.75" customHeight="1">
      <c r="B102" s="58" t="s">
        <v>155</v>
      </c>
      <c r="C102" s="80">
        <v>273</v>
      </c>
      <c r="D102" s="80">
        <v>295</v>
      </c>
      <c r="E102" s="80">
        <v>460</v>
      </c>
      <c r="F102" s="80">
        <v>526</v>
      </c>
      <c r="G102" s="30"/>
      <c r="H102" s="80">
        <v>108</v>
      </c>
      <c r="I102" s="80">
        <f>243-H102</f>
        <v>135</v>
      </c>
      <c r="J102" s="80">
        <f>374-I102-H102</f>
        <v>131</v>
      </c>
      <c r="K102" s="30">
        <f t="shared" si="156"/>
        <v>86</v>
      </c>
      <c r="L102" s="80">
        <v>108</v>
      </c>
      <c r="M102" s="80">
        <f>263-L102</f>
        <v>155</v>
      </c>
      <c r="N102" s="80">
        <f>418-M102-L102</f>
        <v>155</v>
      </c>
      <c r="O102" s="30">
        <f t="shared" si="157"/>
        <v>108</v>
      </c>
      <c r="P102" s="80">
        <v>129</v>
      </c>
      <c r="Q102" s="80">
        <f>308-P102</f>
        <v>179</v>
      </c>
      <c r="R102" s="80">
        <f>485-Q102-P102</f>
        <v>177</v>
      </c>
      <c r="T102" s="30">
        <f t="shared" si="158"/>
        <v>460</v>
      </c>
      <c r="U102" s="30">
        <f t="shared" si="159"/>
        <v>460</v>
      </c>
      <c r="V102" s="30">
        <f t="shared" si="160"/>
        <v>480</v>
      </c>
      <c r="W102" s="30">
        <f t="shared" si="161"/>
        <v>504</v>
      </c>
      <c r="X102" s="30">
        <f t="shared" si="162"/>
        <v>526</v>
      </c>
      <c r="Y102" s="30">
        <f t="shared" si="163"/>
        <v>547</v>
      </c>
      <c r="Z102" s="30">
        <f t="shared" si="164"/>
        <v>571</v>
      </c>
      <c r="AA102" s="30">
        <f t="shared" si="165"/>
        <v>593</v>
      </c>
      <c r="AB102" s="11"/>
      <c r="AC102" s="73">
        <f t="shared" si="166"/>
        <v>0.17658730158730163</v>
      </c>
    </row>
    <row r="103" spans="2:29" ht="12.75" customHeight="1">
      <c r="B103" s="58" t="s">
        <v>130</v>
      </c>
      <c r="C103" s="80">
        <v>-69</v>
      </c>
      <c r="D103" s="80">
        <v>-651</v>
      </c>
      <c r="E103" s="80">
        <v>-236</v>
      </c>
      <c r="F103" s="80">
        <v>-527</v>
      </c>
      <c r="G103" s="30"/>
      <c r="H103" s="80">
        <v>-129</v>
      </c>
      <c r="I103" s="80">
        <f>24-H103</f>
        <v>153</v>
      </c>
      <c r="J103" s="80">
        <f>-239-I103-H103</f>
        <v>-263</v>
      </c>
      <c r="K103" s="30">
        <f t="shared" si="156"/>
        <v>3</v>
      </c>
      <c r="L103" s="80">
        <v>3</v>
      </c>
      <c r="M103" s="80">
        <f>-93-L103</f>
        <v>-96</v>
      </c>
      <c r="N103" s="80">
        <f>-261-M103-L103</f>
        <v>-168</v>
      </c>
      <c r="O103" s="30">
        <f t="shared" si="157"/>
        <v>-266</v>
      </c>
      <c r="P103" s="80">
        <v>37</v>
      </c>
      <c r="Q103" s="80">
        <f>81-P103</f>
        <v>44</v>
      </c>
      <c r="R103" s="80">
        <f>77-Q103-P103</f>
        <v>-4</v>
      </c>
      <c r="T103" s="30">
        <f t="shared" si="158"/>
        <v>-236</v>
      </c>
      <c r="U103" s="30">
        <f t="shared" si="159"/>
        <v>-104</v>
      </c>
      <c r="V103" s="30">
        <f t="shared" si="160"/>
        <v>-353</v>
      </c>
      <c r="W103" s="30">
        <f t="shared" si="161"/>
        <v>-258</v>
      </c>
      <c r="X103" s="30">
        <f t="shared" si="162"/>
        <v>-527</v>
      </c>
      <c r="Y103" s="30">
        <f t="shared" si="163"/>
        <v>-493</v>
      </c>
      <c r="Z103" s="30">
        <f t="shared" si="164"/>
        <v>-353</v>
      </c>
      <c r="AA103" s="30">
        <f t="shared" si="165"/>
        <v>-189</v>
      </c>
      <c r="AB103" s="11"/>
      <c r="AC103" s="73">
        <f t="shared" si="166"/>
        <v>-0.26744186046511631</v>
      </c>
    </row>
    <row r="104" spans="2:29" ht="12.75" customHeight="1">
      <c r="B104" s="58" t="s">
        <v>156</v>
      </c>
      <c r="C104" s="80">
        <v>36</v>
      </c>
      <c r="D104" s="80">
        <v>44</v>
      </c>
      <c r="E104" s="80">
        <v>22</v>
      </c>
      <c r="F104" s="80">
        <v>191</v>
      </c>
      <c r="G104" s="30"/>
      <c r="H104" s="80">
        <v>2</v>
      </c>
      <c r="I104" s="80">
        <f>37-H104</f>
        <v>35</v>
      </c>
      <c r="J104" s="80">
        <f>88-I104-H104</f>
        <v>51</v>
      </c>
      <c r="K104" s="30">
        <f t="shared" si="156"/>
        <v>-66</v>
      </c>
      <c r="L104" s="80">
        <v>32</v>
      </c>
      <c r="M104" s="80">
        <f>80-L104</f>
        <v>48</v>
      </c>
      <c r="N104" s="80">
        <f>117-M104-L104</f>
        <v>37</v>
      </c>
      <c r="O104" s="30">
        <f t="shared" si="157"/>
        <v>74</v>
      </c>
      <c r="P104" s="80">
        <v>38</v>
      </c>
      <c r="Q104" s="80">
        <f>60-P104</f>
        <v>22</v>
      </c>
      <c r="R104" s="80">
        <f>99-Q104-P104</f>
        <v>39</v>
      </c>
      <c r="T104" s="30">
        <f t="shared" si="158"/>
        <v>22</v>
      </c>
      <c r="U104" s="30">
        <f t="shared" si="159"/>
        <v>52</v>
      </c>
      <c r="V104" s="30">
        <f t="shared" si="160"/>
        <v>65</v>
      </c>
      <c r="W104" s="30">
        <f t="shared" si="161"/>
        <v>51</v>
      </c>
      <c r="X104" s="30">
        <f t="shared" si="162"/>
        <v>191</v>
      </c>
      <c r="Y104" s="30">
        <f t="shared" si="163"/>
        <v>197</v>
      </c>
      <c r="Z104" s="30">
        <f t="shared" si="164"/>
        <v>171</v>
      </c>
      <c r="AA104" s="30">
        <f t="shared" si="165"/>
        <v>173</v>
      </c>
      <c r="AB104" s="11"/>
      <c r="AC104" s="73">
        <f t="shared" si="166"/>
        <v>2.392156862745098</v>
      </c>
    </row>
    <row r="105" spans="2:29" ht="12.75" customHeight="1">
      <c r="B105" s="34" t="s">
        <v>152</v>
      </c>
      <c r="C105" s="80"/>
      <c r="D105" s="80"/>
      <c r="E105" s="80"/>
      <c r="F105" s="80"/>
      <c r="G105" s="30"/>
      <c r="H105" s="80"/>
      <c r="I105" s="80"/>
      <c r="J105" s="80"/>
      <c r="K105" s="30"/>
      <c r="L105" s="80"/>
      <c r="M105" s="80"/>
      <c r="N105" s="80"/>
      <c r="O105" s="30"/>
      <c r="P105" s="80"/>
      <c r="Q105" s="80"/>
      <c r="R105" s="80"/>
      <c r="T105" s="30"/>
      <c r="U105" s="30"/>
      <c r="V105" s="30"/>
      <c r="W105" s="30"/>
      <c r="X105" s="30"/>
      <c r="Y105" s="30"/>
      <c r="Z105" s="30"/>
      <c r="AA105" s="30"/>
      <c r="AB105" s="11"/>
      <c r="AC105" s="73"/>
    </row>
    <row r="106" spans="2:29" ht="12.75" customHeight="1">
      <c r="B106" s="58" t="s">
        <v>126</v>
      </c>
      <c r="C106" s="80">
        <v>-397</v>
      </c>
      <c r="D106" s="80">
        <v>-481</v>
      </c>
      <c r="E106" s="80">
        <v>-546</v>
      </c>
      <c r="F106" s="80">
        <v>186</v>
      </c>
      <c r="G106" s="30"/>
      <c r="H106" s="80">
        <v>-38</v>
      </c>
      <c r="I106" s="80">
        <f>-268-H106</f>
        <v>-230</v>
      </c>
      <c r="J106" s="80">
        <f>-484-I106-H106</f>
        <v>-216</v>
      </c>
      <c r="K106" s="30">
        <f t="shared" ref="K106:K111" si="167">SUM(E106-SUM(H106:J106))</f>
        <v>-62</v>
      </c>
      <c r="L106" s="80">
        <v>-219</v>
      </c>
      <c r="M106" s="80">
        <f>-234-L106</f>
        <v>-15</v>
      </c>
      <c r="N106" s="80">
        <f>99-M106-L106</f>
        <v>333</v>
      </c>
      <c r="O106" s="30">
        <f t="shared" ref="O106:O111" si="168">SUM(F106-SUM(L106:N106))</f>
        <v>87</v>
      </c>
      <c r="P106" s="80">
        <v>-118</v>
      </c>
      <c r="Q106" s="80">
        <f>-217-P106</f>
        <v>-99</v>
      </c>
      <c r="R106" s="80">
        <f>-264-Q106-P106</f>
        <v>-47</v>
      </c>
      <c r="T106" s="30">
        <f t="shared" ref="T106:T111" si="169">SUM(H106:K106)</f>
        <v>-546</v>
      </c>
      <c r="U106" s="30">
        <f t="shared" ref="U106:U111" si="170">SUM(I106:L106)</f>
        <v>-727</v>
      </c>
      <c r="V106" s="30">
        <f t="shared" ref="V106:V111" si="171">SUM(J106:M106)</f>
        <v>-512</v>
      </c>
      <c r="W106" s="30">
        <f t="shared" ref="W106:W111" si="172">SUM(K106:N106)</f>
        <v>37</v>
      </c>
      <c r="X106" s="30">
        <f t="shared" ref="X106:X111" si="173">SUM(L106:O106)</f>
        <v>186</v>
      </c>
      <c r="Y106" s="30">
        <f t="shared" ref="Y106:Y111" si="174">SUM(M106:P106)</f>
        <v>287</v>
      </c>
      <c r="Z106" s="30">
        <f t="shared" ref="Z106:Z111" si="175">SUM(N106:Q106)</f>
        <v>203</v>
      </c>
      <c r="AA106" s="30">
        <f t="shared" ref="AA106:AA111" si="176">SUM(O106:R106)</f>
        <v>-177</v>
      </c>
      <c r="AB106" s="11"/>
      <c r="AC106" s="73">
        <f t="shared" ref="AC106:AC111" si="177">SUM(AA106/W106)-1</f>
        <v>-5.7837837837837842</v>
      </c>
    </row>
    <row r="107" spans="2:29" ht="12.75" customHeight="1">
      <c r="B107" s="58" t="s">
        <v>157</v>
      </c>
      <c r="C107" s="80">
        <v>-87</v>
      </c>
      <c r="D107" s="80">
        <v>12</v>
      </c>
      <c r="E107" s="80">
        <v>-171</v>
      </c>
      <c r="F107" s="80">
        <v>-165</v>
      </c>
      <c r="G107" s="30"/>
      <c r="H107" s="80">
        <v>35</v>
      </c>
      <c r="I107" s="80">
        <f>0-H107</f>
        <v>-35</v>
      </c>
      <c r="J107" s="80">
        <f>0-I107-H107</f>
        <v>0</v>
      </c>
      <c r="K107" s="30">
        <f t="shared" ref="K107" si="178">SUM(E107-SUM(H107:J107))</f>
        <v>-171</v>
      </c>
      <c r="L107" s="80">
        <v>-417</v>
      </c>
      <c r="M107" s="80">
        <f>0-L107</f>
        <v>417</v>
      </c>
      <c r="N107" s="80">
        <f>0-M107-L107</f>
        <v>0</v>
      </c>
      <c r="O107" s="30">
        <f t="shared" ref="O107" si="179">SUM(F107-SUM(L107:N107))</f>
        <v>-165</v>
      </c>
      <c r="P107" s="80">
        <v>0</v>
      </c>
      <c r="Q107" s="80">
        <v>0</v>
      </c>
      <c r="R107" s="80">
        <v>0</v>
      </c>
      <c r="T107" s="30">
        <f t="shared" ref="T107" si="180">SUM(H107:K107)</f>
        <v>-171</v>
      </c>
      <c r="U107" s="30">
        <f t="shared" ref="U107" si="181">SUM(I107:L107)</f>
        <v>-623</v>
      </c>
      <c r="V107" s="30">
        <f t="shared" ref="V107" si="182">SUM(J107:M107)</f>
        <v>-171</v>
      </c>
      <c r="W107" s="30">
        <f t="shared" ref="W107" si="183">SUM(K107:N107)</f>
        <v>-171</v>
      </c>
      <c r="X107" s="30">
        <f t="shared" ref="X107" si="184">SUM(L107:O107)</f>
        <v>-165</v>
      </c>
      <c r="Y107" s="30">
        <f t="shared" ref="Y107" si="185">SUM(M107:P107)</f>
        <v>252</v>
      </c>
      <c r="Z107" s="30">
        <f t="shared" ref="Z107" si="186">SUM(N107:Q107)</f>
        <v>-165</v>
      </c>
      <c r="AA107" s="30">
        <f t="shared" ref="AA107" si="187">SUM(O107:R107)</f>
        <v>-165</v>
      </c>
      <c r="AB107" s="11"/>
      <c r="AC107" s="73">
        <f t="shared" ref="AC107" si="188">SUM(AA107/W107)-1</f>
        <v>-3.5087719298245612E-2</v>
      </c>
    </row>
    <row r="108" spans="2:29" ht="12.75" customHeight="1">
      <c r="B108" s="58" t="s">
        <v>127</v>
      </c>
      <c r="C108" s="80">
        <v>390</v>
      </c>
      <c r="D108" s="80">
        <v>48</v>
      </c>
      <c r="E108" s="80">
        <v>40</v>
      </c>
      <c r="F108" s="80">
        <v>-593</v>
      </c>
      <c r="G108" s="30"/>
      <c r="H108" s="80">
        <v>0</v>
      </c>
      <c r="I108" s="80">
        <f>-108-H108</f>
        <v>-108</v>
      </c>
      <c r="J108" s="80">
        <f>151-I108-H108</f>
        <v>259</v>
      </c>
      <c r="K108" s="30">
        <f t="shared" si="167"/>
        <v>-111</v>
      </c>
      <c r="L108" s="80">
        <v>0</v>
      </c>
      <c r="M108" s="80">
        <f>-284-L108</f>
        <v>-284</v>
      </c>
      <c r="N108" s="80">
        <f>-743-M108-L108</f>
        <v>-459</v>
      </c>
      <c r="O108" s="30">
        <f t="shared" si="168"/>
        <v>150</v>
      </c>
      <c r="P108" s="80">
        <v>-296</v>
      </c>
      <c r="Q108" s="80">
        <f>-590-P108</f>
        <v>-294</v>
      </c>
      <c r="R108" s="80">
        <f>-14-Q108-P108</f>
        <v>576</v>
      </c>
      <c r="T108" s="30">
        <f t="shared" si="169"/>
        <v>40</v>
      </c>
      <c r="U108" s="30">
        <f t="shared" si="170"/>
        <v>40</v>
      </c>
      <c r="V108" s="30">
        <f t="shared" si="171"/>
        <v>-136</v>
      </c>
      <c r="W108" s="30">
        <f t="shared" si="172"/>
        <v>-854</v>
      </c>
      <c r="X108" s="30">
        <f t="shared" si="173"/>
        <v>-593</v>
      </c>
      <c r="Y108" s="30">
        <f t="shared" si="174"/>
        <v>-889</v>
      </c>
      <c r="Z108" s="30">
        <f t="shared" si="175"/>
        <v>-899</v>
      </c>
      <c r="AA108" s="30">
        <f t="shared" si="176"/>
        <v>136</v>
      </c>
      <c r="AB108" s="11"/>
      <c r="AC108" s="73">
        <f t="shared" si="177"/>
        <v>-1.1592505854800936</v>
      </c>
    </row>
    <row r="109" spans="2:29" ht="12.75" customHeight="1">
      <c r="B109" s="58" t="s">
        <v>158</v>
      </c>
      <c r="C109" s="80">
        <v>-2087</v>
      </c>
      <c r="D109" s="80">
        <v>-2175</v>
      </c>
      <c r="E109" s="80">
        <v>-2438</v>
      </c>
      <c r="F109" s="80">
        <v>-3225</v>
      </c>
      <c r="G109" s="30"/>
      <c r="H109" s="80">
        <v>-761</v>
      </c>
      <c r="I109" s="80">
        <f>-1286-H109</f>
        <v>-525</v>
      </c>
      <c r="J109" s="80">
        <f>-1837-I109-H109</f>
        <v>-551</v>
      </c>
      <c r="K109" s="30">
        <f t="shared" si="167"/>
        <v>-601</v>
      </c>
      <c r="L109" s="80">
        <v>-1490</v>
      </c>
      <c r="M109" s="80">
        <f>-1980-L109</f>
        <v>-490</v>
      </c>
      <c r="N109" s="80">
        <f>-2776-M109-L109</f>
        <v>-796</v>
      </c>
      <c r="O109" s="30">
        <f t="shared" si="168"/>
        <v>-449</v>
      </c>
      <c r="P109" s="80">
        <v>-1458</v>
      </c>
      <c r="Q109" s="80">
        <f>-2238-P109</f>
        <v>-780</v>
      </c>
      <c r="R109" s="80">
        <f>-2939-Q109-P109</f>
        <v>-701</v>
      </c>
      <c r="T109" s="30">
        <f t="shared" si="169"/>
        <v>-2438</v>
      </c>
      <c r="U109" s="30">
        <f t="shared" si="170"/>
        <v>-3167</v>
      </c>
      <c r="V109" s="30">
        <f t="shared" si="171"/>
        <v>-3132</v>
      </c>
      <c r="W109" s="30">
        <f t="shared" si="172"/>
        <v>-3377</v>
      </c>
      <c r="X109" s="30">
        <f t="shared" si="173"/>
        <v>-3225</v>
      </c>
      <c r="Y109" s="30">
        <f t="shared" si="174"/>
        <v>-3193</v>
      </c>
      <c r="Z109" s="30">
        <f t="shared" si="175"/>
        <v>-3483</v>
      </c>
      <c r="AA109" s="30">
        <f t="shared" si="176"/>
        <v>-3388</v>
      </c>
      <c r="AB109" s="11"/>
      <c r="AC109" s="73">
        <f t="shared" si="177"/>
        <v>3.2573289902280145E-3</v>
      </c>
    </row>
    <row r="110" spans="2:29" ht="12.75" customHeight="1">
      <c r="B110" s="58" t="s">
        <v>159</v>
      </c>
      <c r="C110" s="80">
        <v>-1</v>
      </c>
      <c r="D110" s="80">
        <v>240</v>
      </c>
      <c r="E110" s="80">
        <v>-375</v>
      </c>
      <c r="F110" s="80">
        <v>205</v>
      </c>
      <c r="G110" s="30"/>
      <c r="H110" s="80">
        <v>9</v>
      </c>
      <c r="I110" s="80">
        <f>-20-H110</f>
        <v>-29</v>
      </c>
      <c r="J110" s="80">
        <f>-621-I110-H110</f>
        <v>-601</v>
      </c>
      <c r="K110" s="30">
        <f t="shared" si="167"/>
        <v>246</v>
      </c>
      <c r="L110" s="80">
        <v>-127</v>
      </c>
      <c r="M110" s="80">
        <f>-197-L110</f>
        <v>-70</v>
      </c>
      <c r="N110" s="80">
        <f>-59-M110-L110</f>
        <v>138</v>
      </c>
      <c r="O110" s="30">
        <f t="shared" si="168"/>
        <v>264</v>
      </c>
      <c r="P110" s="80">
        <v>119</v>
      </c>
      <c r="Q110" s="80">
        <f>81-P110</f>
        <v>-38</v>
      </c>
      <c r="R110" s="80">
        <f>-4-Q110-P110</f>
        <v>-85</v>
      </c>
      <c r="T110" s="30">
        <f t="shared" si="169"/>
        <v>-375</v>
      </c>
      <c r="U110" s="30">
        <f t="shared" si="170"/>
        <v>-511</v>
      </c>
      <c r="V110" s="30">
        <f t="shared" si="171"/>
        <v>-552</v>
      </c>
      <c r="W110" s="30">
        <f t="shared" si="172"/>
        <v>187</v>
      </c>
      <c r="X110" s="30">
        <f t="shared" si="173"/>
        <v>205</v>
      </c>
      <c r="Y110" s="30">
        <f t="shared" si="174"/>
        <v>451</v>
      </c>
      <c r="Z110" s="30">
        <f t="shared" si="175"/>
        <v>483</v>
      </c>
      <c r="AA110" s="30">
        <f t="shared" si="176"/>
        <v>260</v>
      </c>
      <c r="AB110" s="11"/>
      <c r="AC110" s="73">
        <f t="shared" si="177"/>
        <v>0.39037433155080214</v>
      </c>
    </row>
    <row r="111" spans="2:29" ht="12.75" customHeight="1">
      <c r="B111" s="58" t="s">
        <v>124</v>
      </c>
      <c r="C111" s="80">
        <v>177</v>
      </c>
      <c r="D111" s="80">
        <v>-305</v>
      </c>
      <c r="E111" s="80">
        <v>277</v>
      </c>
      <c r="F111" s="80">
        <v>29</v>
      </c>
      <c r="G111" s="30"/>
      <c r="H111" s="80">
        <v>40</v>
      </c>
      <c r="I111" s="80">
        <f>155-H111</f>
        <v>115</v>
      </c>
      <c r="J111" s="80">
        <f>240-I111-H111</f>
        <v>85</v>
      </c>
      <c r="K111" s="30">
        <f t="shared" si="167"/>
        <v>37</v>
      </c>
      <c r="L111" s="80">
        <v>16</v>
      </c>
      <c r="M111" s="80">
        <f>-73-L111</f>
        <v>-89</v>
      </c>
      <c r="N111" s="80">
        <f>23-M111-L111</f>
        <v>96</v>
      </c>
      <c r="O111" s="30">
        <f t="shared" si="168"/>
        <v>6</v>
      </c>
      <c r="P111" s="80">
        <v>26</v>
      </c>
      <c r="Q111" s="80">
        <f>125-P111</f>
        <v>99</v>
      </c>
      <c r="R111" s="80">
        <f>180-Q111-P111</f>
        <v>55</v>
      </c>
      <c r="T111" s="30">
        <f t="shared" si="169"/>
        <v>277</v>
      </c>
      <c r="U111" s="30">
        <f t="shared" si="170"/>
        <v>253</v>
      </c>
      <c r="V111" s="30">
        <f t="shared" si="171"/>
        <v>49</v>
      </c>
      <c r="W111" s="30">
        <f t="shared" si="172"/>
        <v>60</v>
      </c>
      <c r="X111" s="30">
        <f t="shared" si="173"/>
        <v>29</v>
      </c>
      <c r="Y111" s="30">
        <f t="shared" si="174"/>
        <v>39</v>
      </c>
      <c r="Z111" s="30">
        <f t="shared" si="175"/>
        <v>227</v>
      </c>
      <c r="AA111" s="30">
        <f t="shared" si="176"/>
        <v>186</v>
      </c>
      <c r="AB111" s="11"/>
      <c r="AC111" s="73">
        <f t="shared" si="177"/>
        <v>2.1</v>
      </c>
    </row>
    <row r="112" spans="2:29" ht="12.75" customHeight="1">
      <c r="B112" s="58" t="s">
        <v>133</v>
      </c>
      <c r="C112" s="80">
        <v>100</v>
      </c>
      <c r="D112" s="80">
        <v>190</v>
      </c>
      <c r="E112" s="80">
        <v>-99</v>
      </c>
      <c r="F112" s="80">
        <v>75</v>
      </c>
      <c r="G112" s="30"/>
      <c r="H112" s="80">
        <v>-184</v>
      </c>
      <c r="I112" s="80">
        <f>-287-H112</f>
        <v>-103</v>
      </c>
      <c r="J112" s="80">
        <f>-319-I112-H112</f>
        <v>-32</v>
      </c>
      <c r="K112" s="30">
        <f t="shared" si="151"/>
        <v>220</v>
      </c>
      <c r="L112" s="80">
        <v>-21</v>
      </c>
      <c r="M112" s="80">
        <f>9-L112</f>
        <v>30</v>
      </c>
      <c r="N112" s="80">
        <f>59-M112-L112</f>
        <v>50</v>
      </c>
      <c r="O112" s="30">
        <f t="shared" si="152"/>
        <v>16</v>
      </c>
      <c r="P112" s="80">
        <v>80</v>
      </c>
      <c r="Q112" s="80">
        <f>-168-P112</f>
        <v>-248</v>
      </c>
      <c r="R112" s="80">
        <f>-28-Q112-P112</f>
        <v>140</v>
      </c>
      <c r="T112" s="30">
        <f t="shared" si="153"/>
        <v>-99</v>
      </c>
      <c r="U112" s="30">
        <f t="shared" si="153"/>
        <v>64</v>
      </c>
      <c r="V112" s="30">
        <f t="shared" si="153"/>
        <v>197</v>
      </c>
      <c r="W112" s="30">
        <f t="shared" si="153"/>
        <v>279</v>
      </c>
      <c r="X112" s="30">
        <f t="shared" si="153"/>
        <v>75</v>
      </c>
      <c r="Y112" s="30">
        <f t="shared" si="153"/>
        <v>176</v>
      </c>
      <c r="Z112" s="30">
        <f t="shared" si="153"/>
        <v>-102</v>
      </c>
      <c r="AA112" s="30">
        <f t="shared" si="153"/>
        <v>-12</v>
      </c>
      <c r="AB112" s="11"/>
      <c r="AC112" s="73">
        <f t="shared" si="154"/>
        <v>-1.043010752688172</v>
      </c>
    </row>
    <row r="113" spans="2:29" ht="12.75" customHeight="1">
      <c r="B113" s="58" t="s">
        <v>134</v>
      </c>
      <c r="C113" s="80">
        <v>-568</v>
      </c>
      <c r="D113" s="80">
        <v>201</v>
      </c>
      <c r="E113" s="80">
        <v>282</v>
      </c>
      <c r="F113" s="80">
        <v>922</v>
      </c>
      <c r="G113" s="30"/>
      <c r="H113" s="80">
        <v>-241</v>
      </c>
      <c r="I113" s="80">
        <f>31-H113</f>
        <v>272</v>
      </c>
      <c r="J113" s="80">
        <f>-119-I113-H113</f>
        <v>-150</v>
      </c>
      <c r="K113" s="30">
        <f t="shared" si="151"/>
        <v>401</v>
      </c>
      <c r="L113" s="80">
        <v>430</v>
      </c>
      <c r="M113" s="80">
        <f>199-L113</f>
        <v>-231</v>
      </c>
      <c r="N113" s="80">
        <f>731-M113-L113</f>
        <v>532</v>
      </c>
      <c r="O113" s="30">
        <f t="shared" si="152"/>
        <v>191</v>
      </c>
      <c r="P113" s="80">
        <v>124</v>
      </c>
      <c r="Q113" s="80">
        <f>356-P113</f>
        <v>232</v>
      </c>
      <c r="R113" s="80">
        <f>102-Q113-P113</f>
        <v>-254</v>
      </c>
      <c r="T113" s="30">
        <f t="shared" si="153"/>
        <v>282</v>
      </c>
      <c r="U113" s="30">
        <f t="shared" si="153"/>
        <v>953</v>
      </c>
      <c r="V113" s="30">
        <f t="shared" si="153"/>
        <v>450</v>
      </c>
      <c r="W113" s="30">
        <f t="shared" si="153"/>
        <v>1132</v>
      </c>
      <c r="X113" s="30">
        <f t="shared" si="153"/>
        <v>922</v>
      </c>
      <c r="Y113" s="30">
        <f t="shared" si="153"/>
        <v>616</v>
      </c>
      <c r="Z113" s="30">
        <f t="shared" si="153"/>
        <v>1079</v>
      </c>
      <c r="AA113" s="30">
        <f t="shared" si="153"/>
        <v>293</v>
      </c>
      <c r="AB113" s="11"/>
      <c r="AC113" s="73">
        <f t="shared" si="154"/>
        <v>-0.74116607773851584</v>
      </c>
    </row>
    <row r="114" spans="2:29" ht="12.75" customHeight="1">
      <c r="B114" s="58" t="s">
        <v>136</v>
      </c>
      <c r="C114" s="80">
        <v>1355</v>
      </c>
      <c r="D114" s="80">
        <v>1188</v>
      </c>
      <c r="E114" s="80">
        <v>571</v>
      </c>
      <c r="F114" s="80">
        <v>1587</v>
      </c>
      <c r="G114" s="30"/>
      <c r="H114" s="80">
        <v>-506</v>
      </c>
      <c r="I114" s="80">
        <f>-707-H114</f>
        <v>-201</v>
      </c>
      <c r="J114" s="80">
        <f>43-I114-H114</f>
        <v>750</v>
      </c>
      <c r="K114" s="30">
        <f t="shared" si="151"/>
        <v>528</v>
      </c>
      <c r="L114" s="80">
        <v>-446</v>
      </c>
      <c r="M114" s="80">
        <f>-415-L114</f>
        <v>31</v>
      </c>
      <c r="N114" s="80">
        <f>671-M114-L114</f>
        <v>1086</v>
      </c>
      <c r="O114" s="30">
        <f t="shared" si="152"/>
        <v>916</v>
      </c>
      <c r="P114" s="80">
        <v>-784</v>
      </c>
      <c r="Q114" s="80">
        <f>-203-P114</f>
        <v>581</v>
      </c>
      <c r="R114" s="80">
        <f>658-Q114-P114</f>
        <v>861</v>
      </c>
      <c r="T114" s="30">
        <f t="shared" si="153"/>
        <v>571</v>
      </c>
      <c r="U114" s="30">
        <f t="shared" si="153"/>
        <v>631</v>
      </c>
      <c r="V114" s="30">
        <f t="shared" si="153"/>
        <v>863</v>
      </c>
      <c r="W114" s="30">
        <f t="shared" si="153"/>
        <v>1199</v>
      </c>
      <c r="X114" s="30">
        <f t="shared" si="153"/>
        <v>1587</v>
      </c>
      <c r="Y114" s="30">
        <f t="shared" si="153"/>
        <v>1249</v>
      </c>
      <c r="Z114" s="30">
        <f t="shared" si="153"/>
        <v>1799</v>
      </c>
      <c r="AA114" s="30">
        <f t="shared" si="153"/>
        <v>1574</v>
      </c>
      <c r="AB114" s="11"/>
      <c r="AC114" s="73">
        <f t="shared" si="154"/>
        <v>0.3127606338615514</v>
      </c>
    </row>
    <row r="115" spans="2:29" ht="12.75" customHeight="1">
      <c r="B115" s="58" t="s">
        <v>160</v>
      </c>
      <c r="C115" s="80">
        <v>-52</v>
      </c>
      <c r="D115" s="80">
        <v>-121</v>
      </c>
      <c r="E115" s="80">
        <v>-129</v>
      </c>
      <c r="F115" s="80">
        <v>-163</v>
      </c>
      <c r="G115" s="30"/>
      <c r="H115" s="80">
        <v>0</v>
      </c>
      <c r="I115" s="80">
        <v>0</v>
      </c>
      <c r="J115" s="80">
        <v>0</v>
      </c>
      <c r="K115" s="30">
        <f t="shared" ref="K115" si="189">SUM(E115-SUM(H115:J115))</f>
        <v>-129</v>
      </c>
      <c r="L115" s="80">
        <v>0</v>
      </c>
      <c r="M115" s="80">
        <v>0</v>
      </c>
      <c r="N115" s="80">
        <v>0</v>
      </c>
      <c r="O115" s="30">
        <f t="shared" ref="O115" si="190">SUM(F115-SUM(L115:N115))</f>
        <v>-163</v>
      </c>
      <c r="P115" s="80">
        <v>0</v>
      </c>
      <c r="Q115" s="80">
        <v>0</v>
      </c>
      <c r="R115" s="80">
        <v>0</v>
      </c>
      <c r="T115" s="30">
        <f t="shared" ref="T115" si="191">SUM(H115:K115)</f>
        <v>-129</v>
      </c>
      <c r="U115" s="30">
        <f t="shared" ref="U115" si="192">SUM(I115:L115)</f>
        <v>-129</v>
      </c>
      <c r="V115" s="30">
        <f t="shared" ref="V115" si="193">SUM(J115:M115)</f>
        <v>-129</v>
      </c>
      <c r="W115" s="30">
        <f t="shared" ref="W115" si="194">SUM(K115:N115)</f>
        <v>-129</v>
      </c>
      <c r="X115" s="30">
        <f t="shared" ref="X115" si="195">SUM(L115:O115)</f>
        <v>-163</v>
      </c>
      <c r="Y115" s="30">
        <f t="shared" ref="Y115" si="196">SUM(M115:P115)</f>
        <v>-163</v>
      </c>
      <c r="Z115" s="30">
        <f t="shared" ref="Z115" si="197">SUM(N115:Q115)</f>
        <v>-163</v>
      </c>
      <c r="AA115" s="30">
        <f t="shared" ref="AA115" si="198">SUM(O115:R115)</f>
        <v>-163</v>
      </c>
      <c r="AB115" s="11"/>
      <c r="AC115" s="73">
        <f t="shared" ref="AC115" si="199">SUM(AA115/W115)-1</f>
        <v>0.26356589147286824</v>
      </c>
    </row>
    <row r="116" spans="2:29" ht="12.75" customHeight="1">
      <c r="B116" s="58" t="s">
        <v>181</v>
      </c>
      <c r="C116" s="80">
        <v>254</v>
      </c>
      <c r="D116" s="80">
        <v>299</v>
      </c>
      <c r="E116" s="80">
        <v>645</v>
      </c>
      <c r="F116" s="80">
        <v>102</v>
      </c>
      <c r="G116" s="30"/>
      <c r="H116" s="80">
        <v>442</v>
      </c>
      <c r="I116" s="80">
        <f>343-H116</f>
        <v>-99</v>
      </c>
      <c r="J116" s="80">
        <f>284-I116-H116</f>
        <v>-59</v>
      </c>
      <c r="K116" s="30">
        <f t="shared" si="151"/>
        <v>361</v>
      </c>
      <c r="L116" s="80">
        <v>171</v>
      </c>
      <c r="M116" s="80">
        <f>-8-L116</f>
        <v>-179</v>
      </c>
      <c r="N116" s="80">
        <f>72-M116-L116</f>
        <v>80</v>
      </c>
      <c r="O116" s="30">
        <f t="shared" si="152"/>
        <v>30</v>
      </c>
      <c r="P116" s="80">
        <v>423</v>
      </c>
      <c r="Q116" s="80">
        <f>833-P116</f>
        <v>410</v>
      </c>
      <c r="R116" s="80">
        <f>1030-Q116-P116</f>
        <v>197</v>
      </c>
      <c r="T116" s="30">
        <f t="shared" si="153"/>
        <v>645</v>
      </c>
      <c r="U116" s="30">
        <f t="shared" si="153"/>
        <v>374</v>
      </c>
      <c r="V116" s="30">
        <f t="shared" si="153"/>
        <v>294</v>
      </c>
      <c r="W116" s="30">
        <f t="shared" si="153"/>
        <v>433</v>
      </c>
      <c r="X116" s="30">
        <f t="shared" si="153"/>
        <v>102</v>
      </c>
      <c r="Y116" s="30">
        <f t="shared" si="153"/>
        <v>354</v>
      </c>
      <c r="Z116" s="30">
        <f t="shared" si="153"/>
        <v>943</v>
      </c>
      <c r="AA116" s="30">
        <f t="shared" si="153"/>
        <v>1060</v>
      </c>
      <c r="AB116" s="11"/>
      <c r="AC116" s="73">
        <f t="shared" si="154"/>
        <v>1.4480369515011549</v>
      </c>
    </row>
    <row r="117" spans="2:29" ht="12.75" customHeight="1">
      <c r="B117" s="13" t="s">
        <v>46</v>
      </c>
      <c r="C117" s="14">
        <f>SUM(C96:C116)</f>
        <v>9463</v>
      </c>
      <c r="D117" s="14">
        <f>SUM(D96:D116)</f>
        <v>11195</v>
      </c>
      <c r="E117" s="14">
        <f>SUM(E96:E116)</f>
        <v>11980</v>
      </c>
      <c r="F117" s="14">
        <f>SUM(F96:F116)</f>
        <v>14780</v>
      </c>
      <c r="H117" s="14">
        <f>SUM(H96:H116)</f>
        <v>1919</v>
      </c>
      <c r="I117" s="14">
        <f>SUM(I96:I116)</f>
        <v>2698</v>
      </c>
      <c r="J117" s="14">
        <f>SUM(J96:J116)</f>
        <v>3233</v>
      </c>
      <c r="K117" s="14">
        <f>SUM(K96:K116)</f>
        <v>4130</v>
      </c>
      <c r="L117" s="14">
        <f>SUM(L96:L116)</f>
        <v>1672</v>
      </c>
      <c r="M117" s="14">
        <f>SUM(M96:M116)</f>
        <v>3138</v>
      </c>
      <c r="N117" s="14">
        <f>SUM(N96:N116)</f>
        <v>5136</v>
      </c>
      <c r="O117" s="14">
        <f>SUM(O96:O116)</f>
        <v>4834</v>
      </c>
      <c r="P117" s="14">
        <f>SUM(P96:P116)</f>
        <v>2380</v>
      </c>
      <c r="Q117" s="14">
        <f>SUM(Q96:Q116)</f>
        <v>4603</v>
      </c>
      <c r="R117" s="14">
        <f>SUM(R96:R116)</f>
        <v>5663</v>
      </c>
      <c r="T117" s="14">
        <f>SUM(T96:T116)</f>
        <v>11980</v>
      </c>
      <c r="U117" s="14">
        <f>SUM(U96:U116)</f>
        <v>11733</v>
      </c>
      <c r="V117" s="14">
        <f>SUM(V96:V116)</f>
        <v>12173</v>
      </c>
      <c r="W117" s="14">
        <f>SUM(W96:W116)</f>
        <v>14076</v>
      </c>
      <c r="X117" s="14">
        <f>SUM(X96:X116)</f>
        <v>14780</v>
      </c>
      <c r="Y117" s="14">
        <f>SUM(Y96:Y116)</f>
        <v>15488</v>
      </c>
      <c r="Z117" s="14">
        <f>SUM(Z96:Z116)</f>
        <v>16953</v>
      </c>
      <c r="AA117" s="14">
        <f>SUM(AA96:AA116)</f>
        <v>17480</v>
      </c>
      <c r="AB117" s="40"/>
      <c r="AC117" s="74">
        <f t="shared" si="154"/>
        <v>0.24183006535947715</v>
      </c>
    </row>
    <row r="118" spans="2:29" ht="12.75" customHeight="1">
      <c r="B118" s="51"/>
      <c r="C118" s="59"/>
      <c r="D118" s="59"/>
      <c r="E118" s="59"/>
      <c r="F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T118" s="40"/>
      <c r="U118" s="40"/>
      <c r="V118" s="40"/>
      <c r="W118" s="40"/>
      <c r="X118" s="40"/>
      <c r="Y118" s="40"/>
      <c r="Z118" s="40"/>
      <c r="AA118" s="40"/>
      <c r="AB118" s="40"/>
      <c r="AC118" s="37"/>
    </row>
    <row r="119" spans="2:29" ht="12.75" customHeight="1">
      <c r="B119" s="51" t="s">
        <v>47</v>
      </c>
      <c r="C119" s="56"/>
      <c r="D119" s="56"/>
      <c r="E119" s="56"/>
      <c r="F119" s="56"/>
      <c r="H119" s="80"/>
      <c r="I119" s="80"/>
      <c r="J119" s="80"/>
      <c r="K119" s="30"/>
      <c r="L119" s="80"/>
      <c r="M119" s="80"/>
      <c r="N119" s="80"/>
      <c r="O119" s="30"/>
      <c r="P119" s="56"/>
      <c r="Q119" s="56"/>
      <c r="R119" s="56"/>
      <c r="T119" s="56"/>
      <c r="U119" s="56"/>
      <c r="V119" s="56"/>
      <c r="W119" s="56"/>
      <c r="X119" s="56"/>
      <c r="Y119" s="56"/>
      <c r="Z119" s="56"/>
      <c r="AA119" s="56"/>
      <c r="AB119" s="57"/>
      <c r="AC119" s="73"/>
    </row>
    <row r="120" spans="2:29" ht="12.75" customHeight="1">
      <c r="B120" s="58" t="s">
        <v>161</v>
      </c>
      <c r="C120" s="80">
        <v>-389</v>
      </c>
      <c r="D120" s="80">
        <v>-267</v>
      </c>
      <c r="E120" s="80">
        <v>-300</v>
      </c>
      <c r="F120" s="80">
        <v>-508</v>
      </c>
      <c r="G120" s="30"/>
      <c r="H120" s="80">
        <v>-50</v>
      </c>
      <c r="I120" s="80">
        <f>-157-H120</f>
        <v>-107</v>
      </c>
      <c r="J120" s="80">
        <f>-244-I120-H120</f>
        <v>-87</v>
      </c>
      <c r="K120" s="30">
        <f>SUM(E120-SUM(H120:J120))</f>
        <v>-56</v>
      </c>
      <c r="L120" s="80">
        <v>-95</v>
      </c>
      <c r="M120" s="80">
        <f>-219-L120</f>
        <v>-124</v>
      </c>
      <c r="N120" s="80">
        <f>-414-M120-L120</f>
        <v>-195</v>
      </c>
      <c r="O120" s="30">
        <f>SUM(F120-SUM(L120:N120))</f>
        <v>-94</v>
      </c>
      <c r="P120" s="80">
        <v>-119</v>
      </c>
      <c r="Q120" s="80">
        <f>-247-P120</f>
        <v>-128</v>
      </c>
      <c r="R120" s="80">
        <f>-385-Q120-P120</f>
        <v>-138</v>
      </c>
      <c r="S120" s="30"/>
      <c r="T120" s="30">
        <f t="shared" ref="T120:AA130" si="200">SUM(H120:K120)</f>
        <v>-300</v>
      </c>
      <c r="U120" s="30">
        <f t="shared" si="200"/>
        <v>-345</v>
      </c>
      <c r="V120" s="30">
        <f t="shared" si="200"/>
        <v>-362</v>
      </c>
      <c r="W120" s="30">
        <f t="shared" si="200"/>
        <v>-470</v>
      </c>
      <c r="X120" s="30">
        <f t="shared" si="200"/>
        <v>-508</v>
      </c>
      <c r="Y120" s="30">
        <f t="shared" si="200"/>
        <v>-532</v>
      </c>
      <c r="Z120" s="30">
        <f t="shared" si="200"/>
        <v>-536</v>
      </c>
      <c r="AA120" s="30">
        <f t="shared" si="200"/>
        <v>-479</v>
      </c>
      <c r="AB120" s="57"/>
      <c r="AC120" s="73">
        <f t="shared" ref="AC120:AC130" si="201">SUM(AA120/W120)-1</f>
        <v>1.9148936170212849E-2</v>
      </c>
    </row>
    <row r="121" spans="2:29" ht="12.75" customHeight="1">
      <c r="B121" s="58" t="s">
        <v>162</v>
      </c>
      <c r="C121" s="80">
        <v>-294</v>
      </c>
      <c r="D121" s="80">
        <v>-239</v>
      </c>
      <c r="E121" s="80">
        <v>-347</v>
      </c>
      <c r="F121" s="80">
        <v>-108</v>
      </c>
      <c r="G121" s="30"/>
      <c r="H121" s="80">
        <v>-26</v>
      </c>
      <c r="I121" s="80">
        <f>-31-H121</f>
        <v>-5</v>
      </c>
      <c r="J121" s="80">
        <f>-327-I121-H121</f>
        <v>-296</v>
      </c>
      <c r="K121" s="30">
        <f t="shared" ref="K121:K127" si="202">SUM(E121-SUM(H121:J121))</f>
        <v>-20</v>
      </c>
      <c r="L121" s="80">
        <v>-66</v>
      </c>
      <c r="M121" s="80">
        <f>-81-L121</f>
        <v>-15</v>
      </c>
      <c r="N121" s="80">
        <f>-98-M121-L121</f>
        <v>-17</v>
      </c>
      <c r="O121" s="30">
        <f t="shared" ref="O121:O127" si="203">SUM(F121-SUM(L121:N121))</f>
        <v>-10</v>
      </c>
      <c r="P121" s="80">
        <v>-8</v>
      </c>
      <c r="Q121" s="80">
        <f>-22-P121</f>
        <v>-14</v>
      </c>
      <c r="R121" s="80">
        <f>-28-Q121-P121</f>
        <v>-6</v>
      </c>
      <c r="S121" s="30"/>
      <c r="T121" s="30">
        <f t="shared" ref="T121:T127" si="204">SUM(H121:K121)</f>
        <v>-347</v>
      </c>
      <c r="U121" s="30">
        <f t="shared" ref="U121:U127" si="205">SUM(I121:L121)</f>
        <v>-387</v>
      </c>
      <c r="V121" s="30">
        <f t="shared" ref="V121:V127" si="206">SUM(J121:M121)</f>
        <v>-397</v>
      </c>
      <c r="W121" s="30">
        <f t="shared" ref="W121:W127" si="207">SUM(K121:N121)</f>
        <v>-118</v>
      </c>
      <c r="X121" s="30">
        <f t="shared" ref="X121:X127" si="208">SUM(L121:O121)</f>
        <v>-108</v>
      </c>
      <c r="Y121" s="30">
        <f t="shared" ref="Y121:Y127" si="209">SUM(M121:P121)</f>
        <v>-50</v>
      </c>
      <c r="Z121" s="30">
        <f t="shared" ref="Z121:Z127" si="210">SUM(N121:Q121)</f>
        <v>-49</v>
      </c>
      <c r="AA121" s="30">
        <f t="shared" ref="AA121:AA127" si="211">SUM(O121:R121)</f>
        <v>-38</v>
      </c>
      <c r="AB121" s="57"/>
      <c r="AC121" s="73">
        <f t="shared" ref="AC121:AC127" si="212">SUM(AA121/W121)-1</f>
        <v>-0.67796610169491522</v>
      </c>
    </row>
    <row r="122" spans="2:29" ht="12.75" customHeight="1">
      <c r="B122" s="58" t="s">
        <v>163</v>
      </c>
      <c r="C122" s="80">
        <v>83</v>
      </c>
      <c r="D122" s="80">
        <v>54</v>
      </c>
      <c r="E122" s="80">
        <v>87</v>
      </c>
      <c r="F122" s="80">
        <v>199</v>
      </c>
      <c r="G122" s="30"/>
      <c r="H122" s="80">
        <v>4</v>
      </c>
      <c r="I122" s="80">
        <f>45-H122</f>
        <v>41</v>
      </c>
      <c r="J122" s="80">
        <f>72-I122-H122</f>
        <v>27</v>
      </c>
      <c r="K122" s="30">
        <f t="shared" si="202"/>
        <v>15</v>
      </c>
      <c r="L122" s="80">
        <v>22</v>
      </c>
      <c r="M122" s="80">
        <f>58-L122</f>
        <v>36</v>
      </c>
      <c r="N122" s="80">
        <f>171-M122-L122</f>
        <v>113</v>
      </c>
      <c r="O122" s="30">
        <f t="shared" si="203"/>
        <v>28</v>
      </c>
      <c r="P122" s="80">
        <v>49</v>
      </c>
      <c r="Q122" s="80">
        <f>126-P122</f>
        <v>77</v>
      </c>
      <c r="R122" s="80">
        <f>192-Q122-P122</f>
        <v>66</v>
      </c>
      <c r="S122" s="30"/>
      <c r="T122" s="30">
        <f t="shared" si="204"/>
        <v>87</v>
      </c>
      <c r="U122" s="30">
        <f t="shared" si="205"/>
        <v>105</v>
      </c>
      <c r="V122" s="30">
        <f t="shared" si="206"/>
        <v>100</v>
      </c>
      <c r="W122" s="30">
        <f t="shared" si="207"/>
        <v>186</v>
      </c>
      <c r="X122" s="30">
        <f t="shared" si="208"/>
        <v>199</v>
      </c>
      <c r="Y122" s="30">
        <f t="shared" si="209"/>
        <v>226</v>
      </c>
      <c r="Z122" s="30">
        <f t="shared" si="210"/>
        <v>267</v>
      </c>
      <c r="AA122" s="30">
        <f t="shared" si="211"/>
        <v>220</v>
      </c>
      <c r="AB122" s="57"/>
      <c r="AC122" s="73">
        <f t="shared" si="212"/>
        <v>0.18279569892473124</v>
      </c>
    </row>
    <row r="123" spans="2:29" ht="12.75" customHeight="1">
      <c r="B123" s="58" t="s">
        <v>164</v>
      </c>
      <c r="C123" s="80">
        <v>291</v>
      </c>
      <c r="D123" s="80">
        <v>211</v>
      </c>
      <c r="E123" s="80">
        <v>191</v>
      </c>
      <c r="F123" s="80">
        <v>262</v>
      </c>
      <c r="G123" s="30"/>
      <c r="H123" s="80">
        <v>51</v>
      </c>
      <c r="I123" s="80">
        <f>102-H123</f>
        <v>51</v>
      </c>
      <c r="J123" s="80">
        <f>155-I123-H123</f>
        <v>53</v>
      </c>
      <c r="K123" s="30">
        <f t="shared" si="202"/>
        <v>36</v>
      </c>
      <c r="L123" s="80">
        <v>67</v>
      </c>
      <c r="M123" s="80">
        <f>139-L123</f>
        <v>72</v>
      </c>
      <c r="N123" s="80">
        <f>204-M123-L123</f>
        <v>65</v>
      </c>
      <c r="O123" s="30">
        <f t="shared" si="203"/>
        <v>58</v>
      </c>
      <c r="P123" s="80">
        <v>76</v>
      </c>
      <c r="Q123" s="80">
        <f>125-P123</f>
        <v>49</v>
      </c>
      <c r="R123" s="80">
        <f>183-Q123-P123</f>
        <v>58</v>
      </c>
      <c r="S123" s="30"/>
      <c r="T123" s="30">
        <f t="shared" si="204"/>
        <v>191</v>
      </c>
      <c r="U123" s="30">
        <f t="shared" si="205"/>
        <v>207</v>
      </c>
      <c r="V123" s="30">
        <f t="shared" si="206"/>
        <v>228</v>
      </c>
      <c r="W123" s="30">
        <f t="shared" si="207"/>
        <v>240</v>
      </c>
      <c r="X123" s="30">
        <f t="shared" si="208"/>
        <v>262</v>
      </c>
      <c r="Y123" s="30">
        <f t="shared" si="209"/>
        <v>271</v>
      </c>
      <c r="Z123" s="30">
        <f t="shared" si="210"/>
        <v>248</v>
      </c>
      <c r="AA123" s="30">
        <f t="shared" si="211"/>
        <v>241</v>
      </c>
      <c r="AB123" s="57"/>
      <c r="AC123" s="73">
        <f t="shared" si="212"/>
        <v>4.1666666666666519E-3</v>
      </c>
    </row>
    <row r="124" spans="2:29" ht="12.75" customHeight="1">
      <c r="B124" s="58" t="s">
        <v>165</v>
      </c>
      <c r="C124" s="80">
        <v>296</v>
      </c>
      <c r="D124" s="80">
        <v>265</v>
      </c>
      <c r="E124" s="80">
        <v>157</v>
      </c>
      <c r="F124" s="80">
        <v>378</v>
      </c>
      <c r="G124" s="30"/>
      <c r="H124" s="80">
        <v>24</v>
      </c>
      <c r="I124" s="80">
        <f>91-H124</f>
        <v>67</v>
      </c>
      <c r="J124" s="80">
        <f>116-I124-H124</f>
        <v>25</v>
      </c>
      <c r="K124" s="30">
        <f t="shared" si="202"/>
        <v>41</v>
      </c>
      <c r="L124" s="80">
        <v>284</v>
      </c>
      <c r="M124" s="80">
        <f>306-L124</f>
        <v>22</v>
      </c>
      <c r="N124" s="80">
        <f>363-M124-L124</f>
        <v>57</v>
      </c>
      <c r="O124" s="30">
        <f t="shared" si="203"/>
        <v>15</v>
      </c>
      <c r="P124" s="80">
        <v>16</v>
      </c>
      <c r="Q124" s="80">
        <f>27-P124</f>
        <v>11</v>
      </c>
      <c r="R124" s="80">
        <f>46-Q124-P124</f>
        <v>19</v>
      </c>
      <c r="S124" s="30"/>
      <c r="T124" s="30">
        <f t="shared" si="204"/>
        <v>157</v>
      </c>
      <c r="U124" s="30">
        <f t="shared" si="205"/>
        <v>417</v>
      </c>
      <c r="V124" s="30">
        <f t="shared" si="206"/>
        <v>372</v>
      </c>
      <c r="W124" s="30">
        <f t="shared" si="207"/>
        <v>404</v>
      </c>
      <c r="X124" s="30">
        <f t="shared" si="208"/>
        <v>378</v>
      </c>
      <c r="Y124" s="30">
        <f t="shared" si="209"/>
        <v>110</v>
      </c>
      <c r="Z124" s="30">
        <f t="shared" si="210"/>
        <v>99</v>
      </c>
      <c r="AA124" s="30">
        <f t="shared" si="211"/>
        <v>61</v>
      </c>
      <c r="AB124" s="57"/>
      <c r="AC124" s="73">
        <f t="shared" si="212"/>
        <v>-0.84900990099009899</v>
      </c>
    </row>
    <row r="125" spans="2:29" ht="12.75" customHeight="1">
      <c r="B125" s="58" t="s">
        <v>166</v>
      </c>
      <c r="C125" s="80">
        <v>-407</v>
      </c>
      <c r="D125" s="80">
        <v>-442</v>
      </c>
      <c r="E125" s="80">
        <v>-371</v>
      </c>
      <c r="F125" s="80">
        <v>-474</v>
      </c>
      <c r="G125" s="30"/>
      <c r="H125" s="80">
        <v>-110</v>
      </c>
      <c r="I125" s="80">
        <f>-190-H125</f>
        <v>-80</v>
      </c>
      <c r="J125" s="80">
        <f>-294-I125-H125</f>
        <v>-104</v>
      </c>
      <c r="K125" s="30">
        <f t="shared" si="202"/>
        <v>-77</v>
      </c>
      <c r="L125" s="80">
        <v>-157</v>
      </c>
      <c r="M125" s="80">
        <f>-272-L125</f>
        <v>-115</v>
      </c>
      <c r="N125" s="80">
        <f>-379-M125-L125</f>
        <v>-107</v>
      </c>
      <c r="O125" s="30">
        <f t="shared" si="203"/>
        <v>-95</v>
      </c>
      <c r="P125" s="80">
        <v>-159</v>
      </c>
      <c r="Q125" s="80">
        <f>-199-P125</f>
        <v>-40</v>
      </c>
      <c r="R125" s="80">
        <f>-377-Q125-P125</f>
        <v>-178</v>
      </c>
      <c r="S125" s="30"/>
      <c r="T125" s="30">
        <f t="shared" si="204"/>
        <v>-371</v>
      </c>
      <c r="U125" s="30">
        <f t="shared" si="205"/>
        <v>-418</v>
      </c>
      <c r="V125" s="30">
        <f t="shared" si="206"/>
        <v>-453</v>
      </c>
      <c r="W125" s="30">
        <f t="shared" si="207"/>
        <v>-456</v>
      </c>
      <c r="X125" s="30">
        <f t="shared" si="208"/>
        <v>-474</v>
      </c>
      <c r="Y125" s="30">
        <f t="shared" si="209"/>
        <v>-476</v>
      </c>
      <c r="Z125" s="30">
        <f t="shared" si="210"/>
        <v>-401</v>
      </c>
      <c r="AA125" s="30">
        <f t="shared" si="211"/>
        <v>-472</v>
      </c>
      <c r="AB125" s="57"/>
      <c r="AC125" s="73">
        <f t="shared" si="212"/>
        <v>3.5087719298245723E-2</v>
      </c>
    </row>
    <row r="126" spans="2:29" ht="12.75" customHeight="1">
      <c r="B126" s="58" t="s">
        <v>167</v>
      </c>
      <c r="C126" s="80">
        <v>-407</v>
      </c>
      <c r="D126" s="80">
        <v>-655</v>
      </c>
      <c r="E126" s="80">
        <v>-717</v>
      </c>
      <c r="F126" s="80">
        <v>-720</v>
      </c>
      <c r="G126" s="30"/>
      <c r="H126" s="80">
        <v>-242</v>
      </c>
      <c r="I126" s="80">
        <f>-395-H126</f>
        <v>-153</v>
      </c>
      <c r="J126" s="80">
        <f>-525-I126-H126</f>
        <v>-130</v>
      </c>
      <c r="K126" s="30">
        <f t="shared" si="202"/>
        <v>-192</v>
      </c>
      <c r="L126" s="80">
        <v>-221</v>
      </c>
      <c r="M126" s="80">
        <f>-402-L126</f>
        <v>-181</v>
      </c>
      <c r="N126" s="80">
        <f>-565-M126-L126</f>
        <v>-163</v>
      </c>
      <c r="O126" s="30">
        <f t="shared" si="203"/>
        <v>-155</v>
      </c>
      <c r="P126" s="80">
        <v>-198</v>
      </c>
      <c r="Q126" s="80">
        <f>-367-P126</f>
        <v>-169</v>
      </c>
      <c r="R126" s="80">
        <f>-548-Q126-P126</f>
        <v>-181</v>
      </c>
      <c r="S126" s="30"/>
      <c r="T126" s="30">
        <f t="shared" si="204"/>
        <v>-717</v>
      </c>
      <c r="U126" s="30">
        <f t="shared" si="205"/>
        <v>-696</v>
      </c>
      <c r="V126" s="30">
        <f t="shared" si="206"/>
        <v>-724</v>
      </c>
      <c r="W126" s="30">
        <f t="shared" si="207"/>
        <v>-757</v>
      </c>
      <c r="X126" s="30">
        <f t="shared" si="208"/>
        <v>-720</v>
      </c>
      <c r="Y126" s="30">
        <f t="shared" si="209"/>
        <v>-697</v>
      </c>
      <c r="Z126" s="30">
        <f t="shared" si="210"/>
        <v>-685</v>
      </c>
      <c r="AA126" s="30">
        <f t="shared" si="211"/>
        <v>-703</v>
      </c>
      <c r="AB126" s="57"/>
      <c r="AC126" s="73">
        <f t="shared" si="212"/>
        <v>-7.133421400264206E-2</v>
      </c>
    </row>
    <row r="127" spans="2:29" ht="12.75" customHeight="1">
      <c r="B127" s="58" t="s">
        <v>168</v>
      </c>
      <c r="C127" s="80">
        <v>-228</v>
      </c>
      <c r="D127" s="80">
        <v>-88</v>
      </c>
      <c r="E127" s="80">
        <v>-89</v>
      </c>
      <c r="F127" s="80">
        <v>-42</v>
      </c>
      <c r="G127" s="30"/>
      <c r="H127" s="80">
        <v>-22</v>
      </c>
      <c r="I127" s="80">
        <f>-53-H127</f>
        <v>-31</v>
      </c>
      <c r="J127" s="80">
        <f>-61-I127-H127</f>
        <v>-8</v>
      </c>
      <c r="K127" s="30">
        <f t="shared" si="202"/>
        <v>-28</v>
      </c>
      <c r="L127" s="80">
        <v>-8</v>
      </c>
      <c r="M127" s="80">
        <f>-18-L127</f>
        <v>-10</v>
      </c>
      <c r="N127" s="80">
        <f>-28-M127-L127</f>
        <v>-10</v>
      </c>
      <c r="O127" s="30">
        <f t="shared" si="203"/>
        <v>-14</v>
      </c>
      <c r="P127" s="80">
        <v>0</v>
      </c>
      <c r="Q127" s="80">
        <v>0</v>
      </c>
      <c r="R127" s="80">
        <v>0</v>
      </c>
      <c r="S127" s="30"/>
      <c r="T127" s="30">
        <f t="shared" si="204"/>
        <v>-89</v>
      </c>
      <c r="U127" s="30">
        <f t="shared" si="205"/>
        <v>-75</v>
      </c>
      <c r="V127" s="30">
        <f t="shared" si="206"/>
        <v>-54</v>
      </c>
      <c r="W127" s="30">
        <f t="shared" si="207"/>
        <v>-56</v>
      </c>
      <c r="X127" s="30">
        <f t="shared" si="208"/>
        <v>-42</v>
      </c>
      <c r="Y127" s="30">
        <f t="shared" si="209"/>
        <v>-34</v>
      </c>
      <c r="Z127" s="30">
        <f t="shared" si="210"/>
        <v>-24</v>
      </c>
      <c r="AA127" s="30">
        <f t="shared" si="211"/>
        <v>-14</v>
      </c>
      <c r="AB127" s="57"/>
      <c r="AC127" s="73">
        <f t="shared" si="212"/>
        <v>-0.75</v>
      </c>
    </row>
    <row r="128" spans="2:29" ht="12.75" customHeight="1">
      <c r="B128" s="58" t="s">
        <v>169</v>
      </c>
      <c r="C128" s="80">
        <v>186</v>
      </c>
      <c r="D128" s="80">
        <v>7</v>
      </c>
      <c r="E128" s="80">
        <v>44</v>
      </c>
      <c r="F128" s="80">
        <v>125</v>
      </c>
      <c r="G128" s="30"/>
      <c r="H128" s="80">
        <v>44</v>
      </c>
      <c r="I128" s="80">
        <f>44-H128</f>
        <v>0</v>
      </c>
      <c r="J128" s="80">
        <f>44-I128-H128</f>
        <v>0</v>
      </c>
      <c r="K128" s="30">
        <f>SUM(E128-SUM(H128:J128))</f>
        <v>0</v>
      </c>
      <c r="L128" s="80">
        <v>0</v>
      </c>
      <c r="M128" s="80">
        <f>23-L128</f>
        <v>23</v>
      </c>
      <c r="N128" s="80">
        <f>23-M128-L128</f>
        <v>0</v>
      </c>
      <c r="O128" s="30">
        <f>SUM(F128-SUM(L128:N128))</f>
        <v>102</v>
      </c>
      <c r="P128" s="80">
        <v>0</v>
      </c>
      <c r="Q128" s="80">
        <v>0</v>
      </c>
      <c r="R128" s="80">
        <v>0</v>
      </c>
      <c r="S128" s="30"/>
      <c r="T128" s="30">
        <f t="shared" si="200"/>
        <v>44</v>
      </c>
      <c r="U128" s="30">
        <f t="shared" si="200"/>
        <v>0</v>
      </c>
      <c r="V128" s="30">
        <f t="shared" si="200"/>
        <v>23</v>
      </c>
      <c r="W128" s="30">
        <f t="shared" si="200"/>
        <v>23</v>
      </c>
      <c r="X128" s="30">
        <f t="shared" si="200"/>
        <v>125</v>
      </c>
      <c r="Y128" s="30">
        <f t="shared" si="200"/>
        <v>125</v>
      </c>
      <c r="Z128" s="30">
        <f t="shared" si="200"/>
        <v>102</v>
      </c>
      <c r="AA128" s="30">
        <f t="shared" si="200"/>
        <v>102</v>
      </c>
      <c r="AB128" s="57"/>
      <c r="AC128" s="73">
        <f t="shared" si="201"/>
        <v>3.4347826086956523</v>
      </c>
    </row>
    <row r="129" spans="2:29" ht="12.75" customHeight="1">
      <c r="B129" s="58" t="s">
        <v>170</v>
      </c>
      <c r="C129" s="80">
        <v>-4436</v>
      </c>
      <c r="D129" s="80">
        <v>-313</v>
      </c>
      <c r="E129" s="80">
        <v>0</v>
      </c>
      <c r="F129" s="80">
        <v>-2511</v>
      </c>
      <c r="G129" s="30"/>
      <c r="H129" s="80">
        <v>0</v>
      </c>
      <c r="I129" s="80">
        <v>0</v>
      </c>
      <c r="J129" s="80">
        <v>0</v>
      </c>
      <c r="K129" s="30">
        <f>SUM(E129-SUM(H129:J129))</f>
        <v>0</v>
      </c>
      <c r="L129" s="80">
        <v>0</v>
      </c>
      <c r="M129" s="80">
        <v>0</v>
      </c>
      <c r="N129" s="80">
        <v>0</v>
      </c>
      <c r="O129" s="30">
        <f>SUM(F129-SUM(L129:N129))</f>
        <v>-2511</v>
      </c>
      <c r="P129" s="80">
        <v>0</v>
      </c>
      <c r="Q129" s="80">
        <v>0</v>
      </c>
      <c r="R129" s="80">
        <v>0</v>
      </c>
      <c r="S129" s="30"/>
      <c r="T129" s="30">
        <f t="shared" si="200"/>
        <v>0</v>
      </c>
      <c r="U129" s="30">
        <f t="shared" si="200"/>
        <v>0</v>
      </c>
      <c r="V129" s="30">
        <f t="shared" si="200"/>
        <v>0</v>
      </c>
      <c r="W129" s="30">
        <f t="shared" si="200"/>
        <v>0</v>
      </c>
      <c r="X129" s="30">
        <f t="shared" si="200"/>
        <v>-2511</v>
      </c>
      <c r="Y129" s="30">
        <f t="shared" si="200"/>
        <v>-2511</v>
      </c>
      <c r="Z129" s="30">
        <f t="shared" si="200"/>
        <v>-2511</v>
      </c>
      <c r="AA129" s="30">
        <f t="shared" si="200"/>
        <v>-2511</v>
      </c>
      <c r="AB129" s="57"/>
      <c r="AC129" s="73" t="e">
        <f t="shared" si="201"/>
        <v>#DIV/0!</v>
      </c>
    </row>
    <row r="130" spans="2:29" ht="12.75" customHeight="1">
      <c r="B130" s="58" t="s">
        <v>171</v>
      </c>
      <c r="C130" s="80">
        <v>33</v>
      </c>
      <c r="D130" s="80">
        <v>-3</v>
      </c>
      <c r="E130" s="80">
        <v>-6</v>
      </c>
      <c r="F130" s="80">
        <v>-3</v>
      </c>
      <c r="G130" s="30"/>
      <c r="H130" s="80">
        <v>-70</v>
      </c>
      <c r="I130" s="80">
        <f>-71-H130</f>
        <v>-1</v>
      </c>
      <c r="J130" s="80">
        <f>-73-I130-H130</f>
        <v>-2</v>
      </c>
      <c r="K130" s="30">
        <f>SUM(E130-SUM(H130:J130))</f>
        <v>67</v>
      </c>
      <c r="L130" s="80">
        <v>0</v>
      </c>
      <c r="M130" s="80">
        <f>-2-L130</f>
        <v>-2</v>
      </c>
      <c r="N130" s="80">
        <f>-1-M130-L130</f>
        <v>1</v>
      </c>
      <c r="O130" s="30">
        <f>SUM(F130-SUM(L130:N130))</f>
        <v>-2</v>
      </c>
      <c r="P130" s="80">
        <v>3</v>
      </c>
      <c r="Q130" s="80">
        <f>-10-P130</f>
        <v>-13</v>
      </c>
      <c r="R130" s="80">
        <f>-24-Q130-P130</f>
        <v>-14</v>
      </c>
      <c r="S130" s="30"/>
      <c r="T130" s="30">
        <f t="shared" si="200"/>
        <v>-6</v>
      </c>
      <c r="U130" s="30">
        <f t="shared" si="200"/>
        <v>64</v>
      </c>
      <c r="V130" s="30">
        <f t="shared" si="200"/>
        <v>63</v>
      </c>
      <c r="W130" s="30">
        <f t="shared" si="200"/>
        <v>66</v>
      </c>
      <c r="X130" s="30">
        <f t="shared" si="200"/>
        <v>-3</v>
      </c>
      <c r="Y130" s="30">
        <f t="shared" si="200"/>
        <v>0</v>
      </c>
      <c r="Z130" s="30">
        <f t="shared" si="200"/>
        <v>-11</v>
      </c>
      <c r="AA130" s="30">
        <f t="shared" si="200"/>
        <v>-26</v>
      </c>
      <c r="AB130" s="57"/>
      <c r="AC130" s="73">
        <f t="shared" si="201"/>
        <v>-1.393939393939394</v>
      </c>
    </row>
    <row r="131" spans="2:29" ht="12.75" customHeight="1">
      <c r="B131" s="13" t="s">
        <v>48</v>
      </c>
      <c r="C131" s="14">
        <f t="shared" ref="C131:F131" si="213">SUM(C120:C130)</f>
        <v>-5272</v>
      </c>
      <c r="D131" s="14">
        <f t="shared" si="213"/>
        <v>-1470</v>
      </c>
      <c r="E131" s="14">
        <f t="shared" si="213"/>
        <v>-1351</v>
      </c>
      <c r="F131" s="14">
        <f t="shared" si="213"/>
        <v>-3402</v>
      </c>
      <c r="H131" s="14">
        <f t="shared" ref="H131:R131" si="214">SUM(H120:H130)</f>
        <v>-397</v>
      </c>
      <c r="I131" s="14">
        <f t="shared" si="214"/>
        <v>-218</v>
      </c>
      <c r="J131" s="14">
        <f t="shared" si="214"/>
        <v>-522</v>
      </c>
      <c r="K131" s="14">
        <f t="shared" si="214"/>
        <v>-214</v>
      </c>
      <c r="L131" s="14">
        <f t="shared" si="214"/>
        <v>-174</v>
      </c>
      <c r="M131" s="14">
        <f t="shared" si="214"/>
        <v>-294</v>
      </c>
      <c r="N131" s="14">
        <f t="shared" si="214"/>
        <v>-256</v>
      </c>
      <c r="O131" s="14">
        <f t="shared" si="214"/>
        <v>-2678</v>
      </c>
      <c r="P131" s="14">
        <f t="shared" si="214"/>
        <v>-340</v>
      </c>
      <c r="Q131" s="14">
        <f t="shared" si="214"/>
        <v>-227</v>
      </c>
      <c r="R131" s="14">
        <f t="shared" si="214"/>
        <v>-374</v>
      </c>
      <c r="T131" s="14">
        <f t="shared" ref="T131:AA131" si="215">SUM(T130:T130)</f>
        <v>-6</v>
      </c>
      <c r="U131" s="14">
        <f t="shared" si="215"/>
        <v>64</v>
      </c>
      <c r="V131" s="14">
        <f t="shared" si="215"/>
        <v>63</v>
      </c>
      <c r="W131" s="14">
        <f t="shared" si="215"/>
        <v>66</v>
      </c>
      <c r="X131" s="14">
        <f t="shared" si="215"/>
        <v>-3</v>
      </c>
      <c r="Y131" s="14">
        <f t="shared" si="215"/>
        <v>0</v>
      </c>
      <c r="Z131" s="14">
        <f t="shared" si="215"/>
        <v>-11</v>
      </c>
      <c r="AA131" s="14">
        <f t="shared" si="215"/>
        <v>-26</v>
      </c>
      <c r="AB131" s="40"/>
      <c r="AC131" s="74">
        <f t="shared" ref="AC131:AC143" si="216">SUM(AA131/W131)-1</f>
        <v>-1.393939393939394</v>
      </c>
    </row>
    <row r="132" spans="2:29" ht="5.0999999999999996" customHeight="1">
      <c r="B132" s="50"/>
      <c r="C132" s="59"/>
      <c r="D132" s="59"/>
      <c r="E132" s="59"/>
      <c r="F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T132" s="40"/>
      <c r="U132" s="40"/>
      <c r="V132" s="40"/>
      <c r="W132" s="40"/>
      <c r="X132" s="40"/>
      <c r="Y132" s="40"/>
      <c r="Z132" s="40"/>
      <c r="AA132" s="40"/>
      <c r="AB132" s="40"/>
      <c r="AC132" s="37"/>
    </row>
    <row r="133" spans="2:29" ht="12.75" customHeight="1">
      <c r="B133" s="51" t="s">
        <v>49</v>
      </c>
      <c r="C133" s="61"/>
      <c r="D133" s="61"/>
      <c r="E133" s="61"/>
      <c r="F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30"/>
      <c r="T133" s="30"/>
      <c r="U133" s="30"/>
      <c r="V133" s="30"/>
      <c r="W133" s="30"/>
      <c r="X133" s="30"/>
      <c r="Y133" s="30"/>
      <c r="Z133" s="30"/>
      <c r="AA133" s="30"/>
      <c r="AB133" s="62"/>
      <c r="AC133" s="73"/>
    </row>
    <row r="134" spans="2:29" ht="12.75" customHeight="1">
      <c r="B134" s="82" t="s">
        <v>172</v>
      </c>
      <c r="C134" s="80">
        <v>-5904</v>
      </c>
      <c r="D134" s="80">
        <v>-8753</v>
      </c>
      <c r="E134" s="80">
        <v>-9032</v>
      </c>
      <c r="F134" s="80">
        <v>-11035</v>
      </c>
      <c r="H134" s="80">
        <v>-2878</v>
      </c>
      <c r="I134" s="80">
        <f>-5294-H134</f>
        <v>-2416</v>
      </c>
      <c r="J134" s="80">
        <f>-7200-I134-H134</f>
        <v>-1906</v>
      </c>
      <c r="K134" s="30">
        <f>SUM(E134-SUM(H134:J134))</f>
        <v>-1832</v>
      </c>
      <c r="L134" s="80">
        <v>-1992</v>
      </c>
      <c r="M134" s="80">
        <f>-4631-L134</f>
        <v>-2639</v>
      </c>
      <c r="N134" s="80">
        <f>-7565-M134-L134</f>
        <v>-2934</v>
      </c>
      <c r="O134" s="30">
        <f>SUM(F134-SUM(L134:N134))</f>
        <v>-3470</v>
      </c>
      <c r="P134" s="80">
        <v>-2549</v>
      </c>
      <c r="Q134" s="80">
        <f>-4838-P134</f>
        <v>-2289</v>
      </c>
      <c r="R134" s="80">
        <f>-8169-Q134-P134</f>
        <v>-3331</v>
      </c>
      <c r="S134" s="30"/>
      <c r="T134" s="30">
        <f t="shared" ref="T134:AA142" si="217">SUM(H134:K134)</f>
        <v>-9032</v>
      </c>
      <c r="U134" s="30">
        <f t="shared" si="217"/>
        <v>-8146</v>
      </c>
      <c r="V134" s="30">
        <f t="shared" si="217"/>
        <v>-8369</v>
      </c>
      <c r="W134" s="30">
        <f t="shared" si="217"/>
        <v>-9397</v>
      </c>
      <c r="X134" s="30">
        <f t="shared" si="217"/>
        <v>-11035</v>
      </c>
      <c r="Y134" s="30">
        <f t="shared" si="217"/>
        <v>-11592</v>
      </c>
      <c r="Z134" s="30">
        <f t="shared" si="217"/>
        <v>-11242</v>
      </c>
      <c r="AA134" s="30">
        <f t="shared" si="217"/>
        <v>-11639</v>
      </c>
      <c r="AB134" s="62"/>
      <c r="AC134" s="73">
        <f t="shared" si="216"/>
        <v>0.23858678301585612</v>
      </c>
    </row>
    <row r="135" spans="2:29" ht="12.75" customHeight="1">
      <c r="B135" s="82" t="s">
        <v>173</v>
      </c>
      <c r="C135" s="80">
        <v>-1741</v>
      </c>
      <c r="D135" s="80">
        <v>-1903</v>
      </c>
      <c r="E135" s="80">
        <v>-2158</v>
      </c>
      <c r="F135" s="80">
        <v>-2448</v>
      </c>
      <c r="H135" s="80">
        <v>-545</v>
      </c>
      <c r="I135" s="80">
        <f>-1086-H135</f>
        <v>-541</v>
      </c>
      <c r="J135" s="80">
        <f>-1624-I135-H135</f>
        <v>-538</v>
      </c>
      <c r="K135" s="30">
        <f t="shared" ref="K135" si="218">SUM(E135-SUM(H135:J135))</f>
        <v>-534</v>
      </c>
      <c r="L135" s="80">
        <v>-616</v>
      </c>
      <c r="M135" s="80">
        <f>-1231-L135</f>
        <v>-615</v>
      </c>
      <c r="N135" s="80">
        <f>-1842-M135-L135</f>
        <v>-611</v>
      </c>
      <c r="O135" s="30">
        <f t="shared" ref="O135" si="219">SUM(F135-SUM(L135:N135))</f>
        <v>-606</v>
      </c>
      <c r="P135" s="80">
        <v>-694</v>
      </c>
      <c r="Q135" s="80">
        <f>-1385-P135</f>
        <v>-691</v>
      </c>
      <c r="R135" s="80">
        <f>-2072-Q135-P135</f>
        <v>-687</v>
      </c>
      <c r="S135" s="30"/>
      <c r="T135" s="30">
        <f t="shared" ref="T135" si="220">SUM(H135:K135)</f>
        <v>-2158</v>
      </c>
      <c r="U135" s="30">
        <f t="shared" ref="U135" si="221">SUM(I135:L135)</f>
        <v>-2229</v>
      </c>
      <c r="V135" s="30">
        <f t="shared" ref="V135" si="222">SUM(J135:M135)</f>
        <v>-2303</v>
      </c>
      <c r="W135" s="30">
        <f t="shared" ref="W135" si="223">SUM(K135:N135)</f>
        <v>-2376</v>
      </c>
      <c r="X135" s="30">
        <f t="shared" ref="X135" si="224">SUM(L135:O135)</f>
        <v>-2448</v>
      </c>
      <c r="Y135" s="30">
        <f t="shared" ref="Y135" si="225">SUM(M135:P135)</f>
        <v>-2526</v>
      </c>
      <c r="Z135" s="30">
        <f t="shared" ref="Z135" si="226">SUM(N135:Q135)</f>
        <v>-2602</v>
      </c>
      <c r="AA135" s="30">
        <f t="shared" ref="AA135" si="227">SUM(O135:R135)</f>
        <v>-2678</v>
      </c>
      <c r="AB135" s="62"/>
      <c r="AC135" s="73">
        <f t="shared" si="216"/>
        <v>0.12710437710437716</v>
      </c>
    </row>
    <row r="136" spans="2:29" ht="12.75" customHeight="1">
      <c r="B136" s="82" t="s">
        <v>174</v>
      </c>
      <c r="C136" s="80">
        <v>2024</v>
      </c>
      <c r="D136" s="80">
        <v>1123</v>
      </c>
      <c r="E136" s="80">
        <v>1554</v>
      </c>
      <c r="F136" s="80">
        <v>3960</v>
      </c>
      <c r="H136" s="80">
        <v>1489</v>
      </c>
      <c r="I136" s="80">
        <f>1550-H136</f>
        <v>61</v>
      </c>
      <c r="J136" s="80">
        <f>1554-I136-H136</f>
        <v>4</v>
      </c>
      <c r="K136" s="30">
        <f t="shared" ref="K136:K141" si="228">SUM(E136-SUM(H136:J136))</f>
        <v>0</v>
      </c>
      <c r="L136" s="80">
        <v>0</v>
      </c>
      <c r="M136" s="80">
        <f>983-L136</f>
        <v>983</v>
      </c>
      <c r="N136" s="80">
        <f>3960-M136-L136</f>
        <v>2977</v>
      </c>
      <c r="O136" s="30">
        <f t="shared" ref="O136:O141" si="229">SUM(F136-SUM(L136:N136))</f>
        <v>0</v>
      </c>
      <c r="P136" s="80">
        <v>1242</v>
      </c>
      <c r="Q136" s="80">
        <f>1242-P136</f>
        <v>0</v>
      </c>
      <c r="R136" s="80">
        <f>1242-Q136-P136</f>
        <v>0</v>
      </c>
      <c r="S136" s="30"/>
      <c r="T136" s="30">
        <f t="shared" ref="T136:T141" si="230">SUM(H136:K136)</f>
        <v>1554</v>
      </c>
      <c r="U136" s="30">
        <f t="shared" ref="U136:U141" si="231">SUM(I136:L136)</f>
        <v>65</v>
      </c>
      <c r="V136" s="30">
        <f t="shared" ref="V136:V141" si="232">SUM(J136:M136)</f>
        <v>987</v>
      </c>
      <c r="W136" s="30">
        <f t="shared" ref="W136:W141" si="233">SUM(K136:N136)</f>
        <v>3960</v>
      </c>
      <c r="X136" s="30">
        <f t="shared" ref="X136:X141" si="234">SUM(L136:O136)</f>
        <v>3960</v>
      </c>
      <c r="Y136" s="30">
        <f t="shared" ref="Y136:Y141" si="235">SUM(M136:P136)</f>
        <v>5202</v>
      </c>
      <c r="Z136" s="30">
        <f t="shared" ref="Z136:Z141" si="236">SUM(N136:Q136)</f>
        <v>4219</v>
      </c>
      <c r="AA136" s="30">
        <f t="shared" ref="AA136:AA141" si="237">SUM(O136:R136)</f>
        <v>1242</v>
      </c>
      <c r="AB136" s="62"/>
      <c r="AC136" s="73">
        <f t="shared" ref="AC136:AC141" si="238">SUM(AA136/W136)-1</f>
        <v>-0.68636363636363629</v>
      </c>
    </row>
    <row r="137" spans="2:29" ht="12.75" customHeight="1">
      <c r="B137" s="82" t="s">
        <v>175</v>
      </c>
      <c r="C137" s="80">
        <v>-650</v>
      </c>
      <c r="D137" s="80">
        <v>-724</v>
      </c>
      <c r="E137" s="80">
        <v>0</v>
      </c>
      <c r="F137" s="80">
        <v>-1336</v>
      </c>
      <c r="H137" s="80">
        <v>0</v>
      </c>
      <c r="I137" s="80">
        <v>0</v>
      </c>
      <c r="J137" s="80">
        <v>0</v>
      </c>
      <c r="K137" s="30">
        <f t="shared" si="228"/>
        <v>0</v>
      </c>
      <c r="L137" s="80">
        <v>0</v>
      </c>
      <c r="M137" s="80">
        <f>-1000-L137</f>
        <v>-1000</v>
      </c>
      <c r="N137" s="80">
        <f>-1336-M137-L137</f>
        <v>-336</v>
      </c>
      <c r="O137" s="30">
        <f t="shared" si="229"/>
        <v>0</v>
      </c>
      <c r="P137" s="80">
        <v>-750</v>
      </c>
      <c r="Q137" s="80">
        <f>-750-P137</f>
        <v>0</v>
      </c>
      <c r="R137" s="80">
        <f>-750-Q137-P137</f>
        <v>0</v>
      </c>
      <c r="S137" s="30"/>
      <c r="T137" s="30">
        <f t="shared" si="230"/>
        <v>0</v>
      </c>
      <c r="U137" s="30">
        <f t="shared" si="231"/>
        <v>0</v>
      </c>
      <c r="V137" s="30">
        <f t="shared" si="232"/>
        <v>-1000</v>
      </c>
      <c r="W137" s="30">
        <f t="shared" si="233"/>
        <v>-1336</v>
      </c>
      <c r="X137" s="30">
        <f t="shared" si="234"/>
        <v>-1336</v>
      </c>
      <c r="Y137" s="30">
        <f t="shared" si="235"/>
        <v>-2086</v>
      </c>
      <c r="Z137" s="30">
        <f t="shared" si="236"/>
        <v>-1086</v>
      </c>
      <c r="AA137" s="30">
        <f t="shared" si="237"/>
        <v>-750</v>
      </c>
      <c r="AB137" s="62"/>
      <c r="AC137" s="73">
        <f t="shared" si="238"/>
        <v>-0.43862275449101795</v>
      </c>
    </row>
    <row r="138" spans="2:29" ht="12.75" customHeight="1">
      <c r="B138" s="82" t="s">
        <v>180</v>
      </c>
      <c r="C138" s="80">
        <v>-133</v>
      </c>
      <c r="D138" s="80">
        <v>0</v>
      </c>
      <c r="E138" s="80">
        <v>0</v>
      </c>
      <c r="F138" s="80">
        <v>0</v>
      </c>
      <c r="H138" s="80">
        <v>0</v>
      </c>
      <c r="I138" s="80">
        <v>0</v>
      </c>
      <c r="J138" s="80">
        <v>0</v>
      </c>
      <c r="K138" s="30">
        <f t="shared" si="228"/>
        <v>0</v>
      </c>
      <c r="L138" s="80">
        <v>0</v>
      </c>
      <c r="M138" s="80">
        <v>0</v>
      </c>
      <c r="N138" s="80">
        <v>0</v>
      </c>
      <c r="O138" s="30">
        <f t="shared" si="229"/>
        <v>0</v>
      </c>
      <c r="P138" s="80">
        <v>0</v>
      </c>
      <c r="Q138" s="80">
        <v>0</v>
      </c>
      <c r="R138" s="80">
        <v>0</v>
      </c>
      <c r="S138" s="30"/>
      <c r="T138" s="30">
        <f t="shared" si="230"/>
        <v>0</v>
      </c>
      <c r="U138" s="30">
        <f t="shared" si="231"/>
        <v>0</v>
      </c>
      <c r="V138" s="30">
        <f t="shared" si="232"/>
        <v>0</v>
      </c>
      <c r="W138" s="30">
        <f t="shared" si="233"/>
        <v>0</v>
      </c>
      <c r="X138" s="30">
        <f t="shared" si="234"/>
        <v>0</v>
      </c>
      <c r="Y138" s="30">
        <f t="shared" si="235"/>
        <v>0</v>
      </c>
      <c r="Z138" s="30">
        <f t="shared" si="236"/>
        <v>0</v>
      </c>
      <c r="AA138" s="30">
        <f t="shared" si="237"/>
        <v>0</v>
      </c>
      <c r="AB138" s="62"/>
      <c r="AC138" s="73" t="e">
        <f t="shared" si="238"/>
        <v>#DIV/0!</v>
      </c>
    </row>
    <row r="139" spans="2:29" ht="12.75" customHeight="1">
      <c r="B139" s="82" t="s">
        <v>179</v>
      </c>
      <c r="C139" s="80">
        <v>-64</v>
      </c>
      <c r="D139" s="80">
        <v>0</v>
      </c>
      <c r="E139" s="80">
        <v>0</v>
      </c>
      <c r="F139" s="80">
        <v>0</v>
      </c>
      <c r="H139" s="80">
        <v>0</v>
      </c>
      <c r="I139" s="80">
        <v>0</v>
      </c>
      <c r="J139" s="80">
        <v>0</v>
      </c>
      <c r="K139" s="30">
        <f t="shared" ref="K139" si="239">SUM(E139-SUM(H139:J139))</f>
        <v>0</v>
      </c>
      <c r="L139" s="80">
        <v>0</v>
      </c>
      <c r="M139" s="80">
        <v>0</v>
      </c>
      <c r="N139" s="80">
        <v>0</v>
      </c>
      <c r="O139" s="30">
        <f t="shared" ref="O139" si="240">SUM(F139-SUM(L139:N139))</f>
        <v>0</v>
      </c>
      <c r="P139" s="80">
        <v>0</v>
      </c>
      <c r="Q139" s="80">
        <v>0</v>
      </c>
      <c r="R139" s="80">
        <v>0</v>
      </c>
      <c r="S139" s="30"/>
      <c r="T139" s="30">
        <f t="shared" ref="T139" si="241">SUM(H139:K139)</f>
        <v>0</v>
      </c>
      <c r="U139" s="30">
        <f t="shared" ref="U139" si="242">SUM(I139:L139)</f>
        <v>0</v>
      </c>
      <c r="V139" s="30">
        <f t="shared" ref="V139" si="243">SUM(J139:M139)</f>
        <v>0</v>
      </c>
      <c r="W139" s="30">
        <f t="shared" ref="W139" si="244">SUM(K139:N139)</f>
        <v>0</v>
      </c>
      <c r="X139" s="30">
        <f t="shared" ref="X139" si="245">SUM(L139:O139)</f>
        <v>0</v>
      </c>
      <c r="Y139" s="30">
        <f t="shared" ref="Y139" si="246">SUM(M139:P139)</f>
        <v>0</v>
      </c>
      <c r="Z139" s="30">
        <f t="shared" ref="Z139" si="247">SUM(N139:Q139)</f>
        <v>0</v>
      </c>
      <c r="AA139" s="30">
        <f t="shared" ref="AA139" si="248">SUM(O139:R139)</f>
        <v>0</v>
      </c>
      <c r="AB139" s="62"/>
      <c r="AC139" s="73" t="e">
        <f t="shared" ref="AC139" si="249">SUM(AA139/W139)-1</f>
        <v>#DIV/0!</v>
      </c>
    </row>
    <row r="140" spans="2:29" ht="12.75" customHeight="1">
      <c r="B140" s="82" t="s">
        <v>176</v>
      </c>
      <c r="C140" s="80">
        <v>-133</v>
      </c>
      <c r="D140" s="80">
        <v>-141</v>
      </c>
      <c r="E140" s="80">
        <v>-89</v>
      </c>
      <c r="F140" s="80">
        <v>-178</v>
      </c>
      <c r="H140" s="80">
        <v>-76</v>
      </c>
      <c r="I140" s="80">
        <f>-79-H140</f>
        <v>-3</v>
      </c>
      <c r="J140" s="80">
        <f>-81-I140-H140</f>
        <v>-2</v>
      </c>
      <c r="K140" s="30">
        <f t="shared" si="228"/>
        <v>-8</v>
      </c>
      <c r="L140" s="80">
        <v>-170</v>
      </c>
      <c r="M140" s="80">
        <f>-174-L140</f>
        <v>-4</v>
      </c>
      <c r="N140" s="80">
        <f>-175-M140-L140</f>
        <v>-1</v>
      </c>
      <c r="O140" s="30">
        <f t="shared" si="229"/>
        <v>-3</v>
      </c>
      <c r="P140" s="80">
        <v>-277</v>
      </c>
      <c r="Q140" s="80">
        <f>-279-P140</f>
        <v>-2</v>
      </c>
      <c r="R140" s="80">
        <f>-283-Q140-P140</f>
        <v>-4</v>
      </c>
      <c r="S140" s="30"/>
      <c r="T140" s="30">
        <f t="shared" si="230"/>
        <v>-89</v>
      </c>
      <c r="U140" s="30">
        <f t="shared" si="231"/>
        <v>-183</v>
      </c>
      <c r="V140" s="30">
        <f t="shared" si="232"/>
        <v>-184</v>
      </c>
      <c r="W140" s="30">
        <f t="shared" si="233"/>
        <v>-183</v>
      </c>
      <c r="X140" s="30">
        <f t="shared" si="234"/>
        <v>-178</v>
      </c>
      <c r="Y140" s="30">
        <f t="shared" si="235"/>
        <v>-285</v>
      </c>
      <c r="Z140" s="30">
        <f t="shared" si="236"/>
        <v>-283</v>
      </c>
      <c r="AA140" s="30">
        <f t="shared" si="237"/>
        <v>-286</v>
      </c>
      <c r="AB140" s="62"/>
      <c r="AC140" s="73">
        <f t="shared" si="238"/>
        <v>0.56284153005464477</v>
      </c>
    </row>
    <row r="141" spans="2:29" ht="12.75" customHeight="1">
      <c r="B141" s="82" t="s">
        <v>177</v>
      </c>
      <c r="C141" s="80">
        <v>61</v>
      </c>
      <c r="D141" s="80">
        <v>90</v>
      </c>
      <c r="E141" s="80">
        <v>237</v>
      </c>
      <c r="F141" s="80">
        <v>224</v>
      </c>
      <c r="H141" s="80">
        <v>53</v>
      </c>
      <c r="I141" s="80">
        <f>172-H141</f>
        <v>119</v>
      </c>
      <c r="J141" s="80">
        <f>213-I141-H141</f>
        <v>41</v>
      </c>
      <c r="K141" s="30">
        <f t="shared" si="228"/>
        <v>24</v>
      </c>
      <c r="L141" s="80">
        <v>97</v>
      </c>
      <c r="M141" s="80">
        <f>115-L141</f>
        <v>18</v>
      </c>
      <c r="N141" s="80">
        <f>163-M141-L141</f>
        <v>48</v>
      </c>
      <c r="O141" s="30">
        <f t="shared" si="229"/>
        <v>61</v>
      </c>
      <c r="P141" s="80">
        <v>41</v>
      </c>
      <c r="Q141" s="80">
        <f>117-P141</f>
        <v>76</v>
      </c>
      <c r="R141" s="80">
        <f>139-Q141-P141</f>
        <v>22</v>
      </c>
      <c r="S141" s="30"/>
      <c r="T141" s="30">
        <f t="shared" si="230"/>
        <v>237</v>
      </c>
      <c r="U141" s="30">
        <f t="shared" si="231"/>
        <v>281</v>
      </c>
      <c r="V141" s="30">
        <f t="shared" si="232"/>
        <v>180</v>
      </c>
      <c r="W141" s="30">
        <f t="shared" si="233"/>
        <v>187</v>
      </c>
      <c r="X141" s="30">
        <f t="shared" si="234"/>
        <v>224</v>
      </c>
      <c r="Y141" s="30">
        <f t="shared" si="235"/>
        <v>168</v>
      </c>
      <c r="Z141" s="30">
        <f t="shared" si="236"/>
        <v>226</v>
      </c>
      <c r="AA141" s="30">
        <f t="shared" si="237"/>
        <v>200</v>
      </c>
      <c r="AB141" s="62"/>
      <c r="AC141" s="73">
        <f t="shared" si="238"/>
        <v>6.9518716577540163E-2</v>
      </c>
    </row>
    <row r="142" spans="2:29" ht="12.75" customHeight="1">
      <c r="B142" s="82" t="s">
        <v>178</v>
      </c>
      <c r="C142" s="80">
        <v>-15</v>
      </c>
      <c r="D142" s="80">
        <v>-20</v>
      </c>
      <c r="E142" s="80">
        <v>0</v>
      </c>
      <c r="F142" s="80">
        <v>-23</v>
      </c>
      <c r="H142" s="80">
        <v>2</v>
      </c>
      <c r="I142" s="80">
        <f>3-H142</f>
        <v>1</v>
      </c>
      <c r="J142" s="80">
        <f>0-I142-H142</f>
        <v>-3</v>
      </c>
      <c r="K142" s="30">
        <f>SUM(E142-SUM(H142:J142))</f>
        <v>0</v>
      </c>
      <c r="L142" s="80">
        <v>0</v>
      </c>
      <c r="M142" s="80">
        <v>0</v>
      </c>
      <c r="N142" s="80">
        <v>0</v>
      </c>
      <c r="O142" s="30">
        <f>SUM(F142-SUM(L142:N142))</f>
        <v>-23</v>
      </c>
      <c r="P142" s="80">
        <v>0</v>
      </c>
      <c r="Q142" s="80">
        <f>-100-P142</f>
        <v>-100</v>
      </c>
      <c r="R142" s="80">
        <f>-100-Q142-P142</f>
        <v>0</v>
      </c>
      <c r="S142" s="30"/>
      <c r="T142" s="30">
        <f t="shared" si="217"/>
        <v>0</v>
      </c>
      <c r="U142" s="30">
        <f t="shared" si="217"/>
        <v>-2</v>
      </c>
      <c r="V142" s="30">
        <f t="shared" si="217"/>
        <v>-3</v>
      </c>
      <c r="W142" s="30">
        <f t="shared" si="217"/>
        <v>0</v>
      </c>
      <c r="X142" s="30">
        <f t="shared" si="217"/>
        <v>-23</v>
      </c>
      <c r="Y142" s="30">
        <f t="shared" si="217"/>
        <v>-23</v>
      </c>
      <c r="Z142" s="30">
        <f t="shared" si="217"/>
        <v>-123</v>
      </c>
      <c r="AA142" s="30">
        <f t="shared" si="217"/>
        <v>-123</v>
      </c>
      <c r="AB142" s="62"/>
      <c r="AC142" s="73" t="e">
        <f t="shared" ref="AC142" si="250">SUM(AA142/W142)-1</f>
        <v>#DIV/0!</v>
      </c>
    </row>
    <row r="143" spans="2:29" ht="12.75" customHeight="1">
      <c r="B143" s="13" t="s">
        <v>50</v>
      </c>
      <c r="C143" s="14">
        <f>SUM(C134:C142)</f>
        <v>-6555</v>
      </c>
      <c r="D143" s="14">
        <f>SUM(D134:D142)</f>
        <v>-10328</v>
      </c>
      <c r="E143" s="14">
        <f>SUM(E134:E142)</f>
        <v>-9488</v>
      </c>
      <c r="F143" s="14">
        <f>SUM(F134:F142)</f>
        <v>-10836</v>
      </c>
      <c r="H143" s="14">
        <f>SUM(H134:H142)</f>
        <v>-1955</v>
      </c>
      <c r="I143" s="14">
        <f>SUM(I134:I142)</f>
        <v>-2779</v>
      </c>
      <c r="J143" s="14">
        <f>SUM(J134:J142)</f>
        <v>-2404</v>
      </c>
      <c r="K143" s="14">
        <f>SUM(K134:K142)</f>
        <v>-2350</v>
      </c>
      <c r="L143" s="14">
        <f>SUM(L134:L142)</f>
        <v>-2681</v>
      </c>
      <c r="M143" s="14">
        <f>SUM(M134:M142)</f>
        <v>-3257</v>
      </c>
      <c r="N143" s="14">
        <f>SUM(N134:N142)</f>
        <v>-857</v>
      </c>
      <c r="O143" s="14">
        <f>SUM(O134:O142)</f>
        <v>-4041</v>
      </c>
      <c r="P143" s="14">
        <f>SUM(P134:P142)</f>
        <v>-2987</v>
      </c>
      <c r="Q143" s="14">
        <f>SUM(Q134:Q142)</f>
        <v>-3006</v>
      </c>
      <c r="R143" s="14">
        <f>SUM(R134:R142)</f>
        <v>-4000</v>
      </c>
      <c r="T143" s="14">
        <f>SUM(T134:T142)</f>
        <v>-9488</v>
      </c>
      <c r="U143" s="14">
        <f>SUM(U134:U142)</f>
        <v>-10214</v>
      </c>
      <c r="V143" s="14">
        <f>SUM(V134:V142)</f>
        <v>-10692</v>
      </c>
      <c r="W143" s="14">
        <f>SUM(W134:W142)</f>
        <v>-9145</v>
      </c>
      <c r="X143" s="14">
        <f>SUM(X134:X142)</f>
        <v>-10836</v>
      </c>
      <c r="Y143" s="14">
        <f>SUM(Y134:Y142)</f>
        <v>-11142</v>
      </c>
      <c r="Z143" s="14">
        <f>SUM(Z134:Z142)</f>
        <v>-10891</v>
      </c>
      <c r="AA143" s="14">
        <f>SUM(AA134:AA142)</f>
        <v>-14034</v>
      </c>
      <c r="AB143" s="40"/>
      <c r="AC143" s="74">
        <f t="shared" si="216"/>
        <v>0.53460907599781304</v>
      </c>
    </row>
    <row r="144" spans="2:29" ht="5.0999999999999996" customHeight="1">
      <c r="B144" s="69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11"/>
      <c r="AC144" s="43"/>
    </row>
    <row r="145" spans="2:29">
      <c r="B145" s="167" t="s">
        <v>76</v>
      </c>
      <c r="C145" s="168">
        <v>10113</v>
      </c>
      <c r="D145" s="169">
        <f t="shared" ref="D145:F145" si="251">C152</f>
        <v>8007</v>
      </c>
      <c r="E145" s="169">
        <f t="shared" si="251"/>
        <v>7597</v>
      </c>
      <c r="F145" s="169">
        <f t="shared" si="251"/>
        <v>8620</v>
      </c>
      <c r="G145" s="169"/>
      <c r="H145" s="169">
        <f>E145</f>
        <v>7597</v>
      </c>
      <c r="I145" s="169">
        <f t="shared" ref="I145:R145" si="252">H152</f>
        <v>7162</v>
      </c>
      <c r="J145" s="169">
        <f t="shared" si="252"/>
        <v>6768</v>
      </c>
      <c r="K145" s="169">
        <f t="shared" si="252"/>
        <v>6890</v>
      </c>
      <c r="L145" s="169">
        <f t="shared" si="252"/>
        <v>8620</v>
      </c>
      <c r="M145" s="169">
        <f t="shared" si="252"/>
        <v>7293</v>
      </c>
      <c r="N145" s="169">
        <f t="shared" si="252"/>
        <v>6996</v>
      </c>
      <c r="O145" s="169">
        <f t="shared" si="252"/>
        <v>11063</v>
      </c>
      <c r="P145" s="169">
        <f t="shared" si="252"/>
        <v>8934</v>
      </c>
      <c r="Q145" s="169">
        <f t="shared" si="252"/>
        <v>7575</v>
      </c>
      <c r="R145" s="169">
        <f t="shared" si="252"/>
        <v>9031</v>
      </c>
      <c r="S145" s="169"/>
      <c r="T145" s="169">
        <f>K145</f>
        <v>6890</v>
      </c>
      <c r="U145" s="169">
        <f t="shared" ref="U145:AA145" si="253">L145</f>
        <v>8620</v>
      </c>
      <c r="V145" s="169">
        <f t="shared" si="253"/>
        <v>7293</v>
      </c>
      <c r="W145" s="169">
        <f t="shared" si="253"/>
        <v>6996</v>
      </c>
      <c r="X145" s="169">
        <f t="shared" si="253"/>
        <v>11063</v>
      </c>
      <c r="Y145" s="169">
        <f t="shared" si="253"/>
        <v>8934</v>
      </c>
      <c r="Z145" s="169">
        <f t="shared" si="253"/>
        <v>7575</v>
      </c>
      <c r="AA145" s="170">
        <f t="shared" si="253"/>
        <v>9031</v>
      </c>
      <c r="AB145" s="11"/>
      <c r="AC145" s="43"/>
    </row>
    <row r="146" spans="2:29">
      <c r="B146" s="161" t="s">
        <v>88</v>
      </c>
      <c r="C146" s="148">
        <f>586+1696+24</f>
        <v>2306</v>
      </c>
      <c r="D146" s="149">
        <f t="shared" ref="D146:F146" si="254">-C150</f>
        <v>1895</v>
      </c>
      <c r="E146" s="149">
        <f t="shared" si="254"/>
        <v>1599</v>
      </c>
      <c r="F146" s="149">
        <f t="shared" si="254"/>
        <v>1845</v>
      </c>
      <c r="G146" s="149"/>
      <c r="H146" s="149">
        <f>E146</f>
        <v>1599</v>
      </c>
      <c r="I146" s="149">
        <f t="shared" ref="I146" si="255">-H150</f>
        <v>1638</v>
      </c>
      <c r="J146" s="149">
        <f t="shared" ref="J146" si="256">-I150</f>
        <v>1753</v>
      </c>
      <c r="K146" s="149">
        <f t="shared" ref="K146" si="257">-J150</f>
        <v>1852</v>
      </c>
      <c r="L146" s="149">
        <f t="shared" ref="I146:R146" si="258">-K150</f>
        <v>1845</v>
      </c>
      <c r="M146" s="149">
        <f t="shared" si="258"/>
        <v>1894</v>
      </c>
      <c r="N146" s="149">
        <f t="shared" si="258"/>
        <v>1806</v>
      </c>
      <c r="O146" s="149">
        <f t="shared" si="258"/>
        <v>1904</v>
      </c>
      <c r="P146" s="149">
        <f t="shared" si="258"/>
        <v>1874</v>
      </c>
      <c r="Q146" s="149">
        <f t="shared" si="258"/>
        <v>2407</v>
      </c>
      <c r="R146" s="149">
        <f t="shared" si="258"/>
        <v>2541</v>
      </c>
      <c r="S146" s="149"/>
      <c r="T146" s="149">
        <f t="shared" ref="T146:Z146" si="259">K146</f>
        <v>1852</v>
      </c>
      <c r="U146" s="149">
        <f t="shared" si="259"/>
        <v>1845</v>
      </c>
      <c r="V146" s="149">
        <f t="shared" si="259"/>
        <v>1894</v>
      </c>
      <c r="W146" s="149">
        <f t="shared" si="259"/>
        <v>1806</v>
      </c>
      <c r="X146" s="149">
        <f t="shared" si="259"/>
        <v>1904</v>
      </c>
      <c r="Y146" s="149">
        <f t="shared" si="259"/>
        <v>1874</v>
      </c>
      <c r="Z146" s="149">
        <f t="shared" si="259"/>
        <v>2407</v>
      </c>
      <c r="AA146" s="150">
        <f>R146</f>
        <v>2541</v>
      </c>
      <c r="AB146" s="11"/>
      <c r="AC146" s="43"/>
    </row>
    <row r="147" spans="2:29">
      <c r="B147" s="162" t="s">
        <v>63</v>
      </c>
      <c r="C147" s="128">
        <f t="shared" ref="C147:F147" si="260">SUM(C145:C146)</f>
        <v>12419</v>
      </c>
      <c r="D147" s="128">
        <f t="shared" si="260"/>
        <v>9902</v>
      </c>
      <c r="E147" s="128">
        <f t="shared" si="260"/>
        <v>9196</v>
      </c>
      <c r="F147" s="128">
        <f t="shared" si="260"/>
        <v>10465</v>
      </c>
      <c r="G147" s="149"/>
      <c r="H147" s="128">
        <f t="shared" ref="H147:R147" si="261">SUM(H145:H146)</f>
        <v>9196</v>
      </c>
      <c r="I147" s="128">
        <f t="shared" si="261"/>
        <v>8800</v>
      </c>
      <c r="J147" s="128">
        <f t="shared" si="261"/>
        <v>8521</v>
      </c>
      <c r="K147" s="128">
        <f t="shared" si="261"/>
        <v>8742</v>
      </c>
      <c r="L147" s="128">
        <f t="shared" si="261"/>
        <v>10465</v>
      </c>
      <c r="M147" s="128">
        <f t="shared" si="261"/>
        <v>9187</v>
      </c>
      <c r="N147" s="128">
        <f t="shared" si="261"/>
        <v>8802</v>
      </c>
      <c r="O147" s="128">
        <f t="shared" si="261"/>
        <v>12967</v>
      </c>
      <c r="P147" s="128">
        <f t="shared" si="261"/>
        <v>10808</v>
      </c>
      <c r="Q147" s="128">
        <f t="shared" si="261"/>
        <v>9982</v>
      </c>
      <c r="R147" s="128">
        <f t="shared" si="261"/>
        <v>11572</v>
      </c>
      <c r="S147" s="149"/>
      <c r="T147" s="151">
        <f t="shared" ref="T147:AA147" si="262">SUM(T145:T146)</f>
        <v>8742</v>
      </c>
      <c r="U147" s="151">
        <f t="shared" si="262"/>
        <v>10465</v>
      </c>
      <c r="V147" s="151">
        <f t="shared" si="262"/>
        <v>9187</v>
      </c>
      <c r="W147" s="128">
        <f t="shared" si="262"/>
        <v>8802</v>
      </c>
      <c r="X147" s="128">
        <f t="shared" si="262"/>
        <v>12967</v>
      </c>
      <c r="Y147" s="128">
        <f t="shared" si="262"/>
        <v>10808</v>
      </c>
      <c r="Z147" s="128">
        <f t="shared" si="262"/>
        <v>9982</v>
      </c>
      <c r="AA147" s="152">
        <f t="shared" si="262"/>
        <v>11572</v>
      </c>
      <c r="AB147" s="11"/>
      <c r="AC147" s="43"/>
    </row>
    <row r="148" spans="2:29" ht="5.0999999999999996" customHeight="1">
      <c r="B148" s="163"/>
      <c r="C148" s="153"/>
      <c r="D148" s="153"/>
      <c r="E148" s="153"/>
      <c r="F148" s="153"/>
      <c r="G148" s="149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49"/>
      <c r="T148" s="153"/>
      <c r="U148" s="153"/>
      <c r="V148" s="153"/>
      <c r="W148" s="153"/>
      <c r="X148" s="153"/>
      <c r="Y148" s="153"/>
      <c r="Z148" s="153"/>
      <c r="AA148" s="154"/>
      <c r="AB148" s="11"/>
      <c r="AC148" s="43"/>
    </row>
    <row r="149" spans="2:29">
      <c r="B149" s="161" t="s">
        <v>77</v>
      </c>
      <c r="C149" s="148">
        <v>-153</v>
      </c>
      <c r="D149" s="148">
        <v>-103</v>
      </c>
      <c r="E149" s="148">
        <v>128</v>
      </c>
      <c r="F149" s="148">
        <v>-199</v>
      </c>
      <c r="G149" s="149"/>
      <c r="H149" s="148">
        <v>37</v>
      </c>
      <c r="I149" s="148">
        <f>57-H149</f>
        <v>20</v>
      </c>
      <c r="J149" s="148">
        <f>-29-I149-H149</f>
        <v>-86</v>
      </c>
      <c r="K149" s="149">
        <f>SUM(E149-SUM(H149:J149))</f>
        <v>157</v>
      </c>
      <c r="L149" s="148">
        <v>-95</v>
      </c>
      <c r="M149" s="148">
        <f>-67-L149</f>
        <v>28</v>
      </c>
      <c r="N149" s="148">
        <f>75-M149-L149</f>
        <v>142</v>
      </c>
      <c r="O149" s="149">
        <f>SUM(F149-SUM(L149:N149))</f>
        <v>-274</v>
      </c>
      <c r="P149" s="148">
        <v>121</v>
      </c>
      <c r="Q149" s="148">
        <f>341-P149</f>
        <v>220</v>
      </c>
      <c r="R149" s="148">
        <f>325-Q149-P149</f>
        <v>-16</v>
      </c>
      <c r="S149" s="149"/>
      <c r="T149" s="149">
        <f t="shared" ref="T149:T151" si="263">K149</f>
        <v>157</v>
      </c>
      <c r="U149" s="149">
        <f t="shared" ref="U149:U151" si="264">L149</f>
        <v>-95</v>
      </c>
      <c r="V149" s="149">
        <f t="shared" ref="V149:V151" si="265">M149</f>
        <v>28</v>
      </c>
      <c r="W149" s="149">
        <f t="shared" ref="W149:W151" si="266">N149</f>
        <v>142</v>
      </c>
      <c r="X149" s="149">
        <f t="shared" ref="X149:X151" si="267">O149</f>
        <v>-274</v>
      </c>
      <c r="Y149" s="149">
        <f t="shared" ref="Y149:Y151" si="268">P149</f>
        <v>121</v>
      </c>
      <c r="Z149" s="149">
        <f t="shared" ref="Z149:AA151" si="269">Q149</f>
        <v>220</v>
      </c>
      <c r="AA149" s="150">
        <f t="shared" si="269"/>
        <v>-16</v>
      </c>
      <c r="AB149" s="11"/>
      <c r="AC149" s="43"/>
    </row>
    <row r="150" spans="2:29">
      <c r="B150" s="161" t="s">
        <v>182</v>
      </c>
      <c r="C150" s="148">
        <f>-1873-22</f>
        <v>-1895</v>
      </c>
      <c r="D150" s="148">
        <f>-1568-31</f>
        <v>-1599</v>
      </c>
      <c r="E150" s="148">
        <f>-1845</f>
        <v>-1845</v>
      </c>
      <c r="F150" s="148">
        <v>-1874</v>
      </c>
      <c r="G150" s="149"/>
      <c r="H150" s="148">
        <f>-1608-30</f>
        <v>-1638</v>
      </c>
      <c r="I150" s="148">
        <f>-1723-30</f>
        <v>-1753</v>
      </c>
      <c r="J150" s="148">
        <f>-1824-28</f>
        <v>-1852</v>
      </c>
      <c r="K150" s="149">
        <f>E150</f>
        <v>-1845</v>
      </c>
      <c r="L150" s="148">
        <f>-1861-33</f>
        <v>-1894</v>
      </c>
      <c r="M150" s="148">
        <f>-1772-34</f>
        <v>-1806</v>
      </c>
      <c r="N150" s="148">
        <f>-1868-36</f>
        <v>-1904</v>
      </c>
      <c r="O150" s="149">
        <f>F150</f>
        <v>-1874</v>
      </c>
      <c r="P150" s="149">
        <f>-P44-P43</f>
        <v>-2407</v>
      </c>
      <c r="Q150" s="149">
        <f>-Q44-Q43</f>
        <v>-2541</v>
      </c>
      <c r="R150" s="149">
        <f>-R44-R43</f>
        <v>-2532</v>
      </c>
      <c r="S150" s="149"/>
      <c r="T150" s="149">
        <f t="shared" si="263"/>
        <v>-1845</v>
      </c>
      <c r="U150" s="149">
        <f t="shared" si="264"/>
        <v>-1894</v>
      </c>
      <c r="V150" s="149">
        <f t="shared" si="265"/>
        <v>-1806</v>
      </c>
      <c r="W150" s="149">
        <f t="shared" si="266"/>
        <v>-1904</v>
      </c>
      <c r="X150" s="149">
        <f t="shared" si="267"/>
        <v>-1874</v>
      </c>
      <c r="Y150" s="149">
        <f t="shared" si="268"/>
        <v>-2407</v>
      </c>
      <c r="Z150" s="149">
        <f t="shared" si="269"/>
        <v>-2541</v>
      </c>
      <c r="AA150" s="150">
        <f t="shared" ref="AA149:AA151" si="270">R150</f>
        <v>-2532</v>
      </c>
      <c r="AB150" s="11"/>
      <c r="AC150" s="43"/>
    </row>
    <row r="151" spans="2:29">
      <c r="B151" s="161" t="s">
        <v>54</v>
      </c>
      <c r="C151" s="149">
        <f>+C143+C131+C117</f>
        <v>-2364</v>
      </c>
      <c r="D151" s="149">
        <f>+D143+D131+D117</f>
        <v>-603</v>
      </c>
      <c r="E151" s="149">
        <f>+E143+E131+E117</f>
        <v>1141</v>
      </c>
      <c r="F151" s="149">
        <f>+F143+F131+F117</f>
        <v>542</v>
      </c>
      <c r="G151" s="149"/>
      <c r="H151" s="149">
        <f>+H143+H131+H117</f>
        <v>-433</v>
      </c>
      <c r="I151" s="149">
        <f>+I143+I131+I117</f>
        <v>-299</v>
      </c>
      <c r="J151" s="149">
        <f>+J143+J131+J117</f>
        <v>307</v>
      </c>
      <c r="K151" s="149">
        <f>+K143+K131+K117</f>
        <v>1566</v>
      </c>
      <c r="L151" s="149">
        <f>+L143+L131+L117</f>
        <v>-1183</v>
      </c>
      <c r="M151" s="149">
        <f>+M143+M131+M117</f>
        <v>-413</v>
      </c>
      <c r="N151" s="149">
        <f>+N143+N131+N117</f>
        <v>4023</v>
      </c>
      <c r="O151" s="149">
        <f>+O143+O131+O117</f>
        <v>-1885</v>
      </c>
      <c r="P151" s="149">
        <f>+P143+P131+P117</f>
        <v>-947</v>
      </c>
      <c r="Q151" s="149">
        <f>+Q143+Q131+Q117</f>
        <v>1370</v>
      </c>
      <c r="R151" s="149">
        <f>+R143+R131+R117</f>
        <v>1289</v>
      </c>
      <c r="S151" s="149"/>
      <c r="T151" s="149">
        <f t="shared" si="263"/>
        <v>1566</v>
      </c>
      <c r="U151" s="149">
        <f t="shared" si="264"/>
        <v>-1183</v>
      </c>
      <c r="V151" s="149">
        <f t="shared" si="265"/>
        <v>-413</v>
      </c>
      <c r="W151" s="149">
        <f t="shared" si="266"/>
        <v>4023</v>
      </c>
      <c r="X151" s="149">
        <f t="shared" si="267"/>
        <v>-1885</v>
      </c>
      <c r="Y151" s="149">
        <f t="shared" si="268"/>
        <v>-947</v>
      </c>
      <c r="Z151" s="149">
        <f t="shared" si="269"/>
        <v>1370</v>
      </c>
      <c r="AA151" s="150">
        <f t="shared" si="270"/>
        <v>1289</v>
      </c>
      <c r="AB151" s="11"/>
      <c r="AC151" s="43"/>
    </row>
    <row r="152" spans="2:29">
      <c r="B152" s="164" t="s">
        <v>64</v>
      </c>
      <c r="C152" s="128">
        <f t="shared" ref="C152:F152" si="271">SUM(C147:C151)</f>
        <v>8007</v>
      </c>
      <c r="D152" s="128">
        <f t="shared" si="271"/>
        <v>7597</v>
      </c>
      <c r="E152" s="128">
        <f t="shared" si="271"/>
        <v>8620</v>
      </c>
      <c r="F152" s="128">
        <f t="shared" si="271"/>
        <v>8934</v>
      </c>
      <c r="G152" s="149"/>
      <c r="H152" s="128">
        <f t="shared" ref="H152:R152" si="272">SUM(H147:H151)</f>
        <v>7162</v>
      </c>
      <c r="I152" s="128">
        <f t="shared" si="272"/>
        <v>6768</v>
      </c>
      <c r="J152" s="128">
        <f t="shared" si="272"/>
        <v>6890</v>
      </c>
      <c r="K152" s="128">
        <f t="shared" si="272"/>
        <v>8620</v>
      </c>
      <c r="L152" s="128">
        <f t="shared" si="272"/>
        <v>7293</v>
      </c>
      <c r="M152" s="128">
        <f t="shared" si="272"/>
        <v>6996</v>
      </c>
      <c r="N152" s="128">
        <f t="shared" si="272"/>
        <v>11063</v>
      </c>
      <c r="O152" s="128">
        <f t="shared" si="272"/>
        <v>8934</v>
      </c>
      <c r="P152" s="128">
        <f t="shared" si="272"/>
        <v>7575</v>
      </c>
      <c r="Q152" s="128">
        <f t="shared" si="272"/>
        <v>9031</v>
      </c>
      <c r="R152" s="128">
        <f t="shared" si="272"/>
        <v>10313</v>
      </c>
      <c r="S152" s="149"/>
      <c r="T152" s="151">
        <f t="shared" ref="T152:AA152" si="273">SUM(T147:T151)</f>
        <v>8620</v>
      </c>
      <c r="U152" s="151">
        <f t="shared" si="273"/>
        <v>7293</v>
      </c>
      <c r="V152" s="151">
        <f t="shared" si="273"/>
        <v>6996</v>
      </c>
      <c r="W152" s="128">
        <f t="shared" si="273"/>
        <v>11063</v>
      </c>
      <c r="X152" s="128">
        <f t="shared" si="273"/>
        <v>8934</v>
      </c>
      <c r="Y152" s="128">
        <f t="shared" si="273"/>
        <v>7575</v>
      </c>
      <c r="Z152" s="128">
        <f t="shared" si="273"/>
        <v>9031</v>
      </c>
      <c r="AA152" s="152">
        <f t="shared" si="273"/>
        <v>10313</v>
      </c>
      <c r="AB152" s="11"/>
      <c r="AC152" s="43"/>
    </row>
    <row r="153" spans="2:29" ht="5.0999999999999996" customHeight="1">
      <c r="B153" s="165"/>
      <c r="C153" s="63"/>
      <c r="D153" s="63"/>
      <c r="E153" s="63"/>
      <c r="F153" s="63"/>
      <c r="G153" s="149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155"/>
      <c r="T153" s="156"/>
      <c r="U153" s="156"/>
      <c r="V153" s="156"/>
      <c r="W153" s="156"/>
      <c r="X153" s="156"/>
      <c r="Y153" s="156"/>
      <c r="Z153" s="156"/>
      <c r="AA153" s="157"/>
      <c r="AB153" s="11"/>
      <c r="AC153" s="43"/>
    </row>
    <row r="154" spans="2:29">
      <c r="B154" s="166" t="s">
        <v>80</v>
      </c>
      <c r="C154" s="158">
        <f>ROUND(C152-C42-C43,1)</f>
        <v>0</v>
      </c>
      <c r="D154" s="158">
        <f t="shared" ref="D154:AA154" si="274">ROUND(D152-D42-D43,1)</f>
        <v>0</v>
      </c>
      <c r="E154" s="158">
        <f t="shared" si="274"/>
        <v>0</v>
      </c>
      <c r="F154" s="158">
        <f t="shared" si="274"/>
        <v>0</v>
      </c>
      <c r="G154" s="159"/>
      <c r="H154" s="158">
        <f t="shared" si="274"/>
        <v>0</v>
      </c>
      <c r="I154" s="158">
        <f t="shared" si="274"/>
        <v>0</v>
      </c>
      <c r="J154" s="158">
        <f t="shared" si="274"/>
        <v>0</v>
      </c>
      <c r="K154" s="158">
        <f t="shared" si="274"/>
        <v>0</v>
      </c>
      <c r="L154" s="158">
        <f t="shared" si="274"/>
        <v>0</v>
      </c>
      <c r="M154" s="158">
        <f t="shared" si="274"/>
        <v>0</v>
      </c>
      <c r="N154" s="158">
        <f t="shared" si="274"/>
        <v>0</v>
      </c>
      <c r="O154" s="158">
        <f t="shared" si="274"/>
        <v>0</v>
      </c>
      <c r="P154" s="158">
        <f>ROUND(P152-P42,1)</f>
        <v>0</v>
      </c>
      <c r="Q154" s="158">
        <f t="shared" ref="Q154:AA154" si="275">ROUND(Q152-Q42,1)</f>
        <v>0</v>
      </c>
      <c r="R154" s="158">
        <f t="shared" si="275"/>
        <v>0</v>
      </c>
      <c r="S154" s="158"/>
      <c r="T154" s="158">
        <f t="shared" si="274"/>
        <v>0</v>
      </c>
      <c r="U154" s="158">
        <f t="shared" si="274"/>
        <v>0</v>
      </c>
      <c r="V154" s="158">
        <f t="shared" si="274"/>
        <v>0</v>
      </c>
      <c r="W154" s="158">
        <f t="shared" si="274"/>
        <v>0</v>
      </c>
      <c r="X154" s="158">
        <f t="shared" si="274"/>
        <v>0</v>
      </c>
      <c r="Y154" s="158">
        <f t="shared" si="275"/>
        <v>0</v>
      </c>
      <c r="Z154" s="158">
        <f t="shared" si="275"/>
        <v>0</v>
      </c>
      <c r="AA154" s="160">
        <f t="shared" si="275"/>
        <v>0</v>
      </c>
      <c r="AB154" s="11"/>
      <c r="AC154" s="43"/>
    </row>
    <row r="155" spans="2:29" ht="5.0999999999999996" customHeight="1">
      <c r="B155" s="8"/>
      <c r="C155" s="63"/>
      <c r="D155" s="63"/>
      <c r="E155" s="63"/>
      <c r="F155" s="63"/>
      <c r="G155" s="30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T155" s="11"/>
      <c r="U155" s="11"/>
      <c r="V155" s="11"/>
      <c r="W155" s="11"/>
      <c r="X155" s="11"/>
      <c r="Y155" s="11"/>
      <c r="Z155" s="11"/>
      <c r="AA155" s="11"/>
      <c r="AB155" s="11"/>
      <c r="AC155" s="43"/>
    </row>
    <row r="156" spans="2:29" ht="12.75" customHeight="1">
      <c r="B156" s="70" t="s">
        <v>55</v>
      </c>
      <c r="C156" s="60"/>
      <c r="D156" s="60"/>
      <c r="E156" s="60"/>
      <c r="F156" s="60"/>
      <c r="G156" s="11"/>
      <c r="H156" s="60"/>
      <c r="I156" s="60"/>
      <c r="J156" s="60"/>
      <c r="K156" s="60"/>
      <c r="L156" s="60"/>
      <c r="M156" s="60"/>
      <c r="N156" s="60"/>
      <c r="O156" s="60"/>
      <c r="P156" s="80"/>
      <c r="Q156" s="60"/>
      <c r="R156" s="60"/>
      <c r="T156" s="60"/>
      <c r="U156" s="60"/>
      <c r="V156" s="60"/>
      <c r="W156" s="60"/>
      <c r="X156" s="60"/>
      <c r="Y156" s="60"/>
      <c r="Z156" s="60"/>
      <c r="AA156" s="60"/>
      <c r="AB156" s="64"/>
      <c r="AC156" s="43"/>
    </row>
    <row r="157" spans="2:29" ht="12.75" customHeight="1">
      <c r="B157" s="8" t="s">
        <v>87</v>
      </c>
      <c r="C157" s="80">
        <v>399</v>
      </c>
      <c r="D157" s="80">
        <v>414</v>
      </c>
      <c r="E157" s="80">
        <v>477</v>
      </c>
      <c r="F157" s="80">
        <v>571</v>
      </c>
      <c r="G157" s="11"/>
      <c r="H157" s="80">
        <v>0</v>
      </c>
      <c r="I157" s="80">
        <v>0</v>
      </c>
      <c r="J157" s="80">
        <v>0</v>
      </c>
      <c r="K157" s="30">
        <f>SUM(E157-SUM(H157:J157))</f>
        <v>477</v>
      </c>
      <c r="L157" s="80">
        <v>0</v>
      </c>
      <c r="M157" s="80">
        <v>0</v>
      </c>
      <c r="N157" s="80">
        <v>0</v>
      </c>
      <c r="O157" s="30">
        <f>SUM(F157-SUM(L157:N157))</f>
        <v>571</v>
      </c>
      <c r="P157" s="80">
        <v>0</v>
      </c>
      <c r="Q157" s="80">
        <v>0</v>
      </c>
      <c r="R157" s="80">
        <v>0</v>
      </c>
      <c r="T157" s="30">
        <f t="shared" ref="T157:AA158" si="276">SUM(H157:K157)</f>
        <v>477</v>
      </c>
      <c r="U157" s="30">
        <f t="shared" si="276"/>
        <v>477</v>
      </c>
      <c r="V157" s="30">
        <f t="shared" si="276"/>
        <v>477</v>
      </c>
      <c r="W157" s="30">
        <f t="shared" si="276"/>
        <v>477</v>
      </c>
      <c r="X157" s="30">
        <f t="shared" si="276"/>
        <v>571</v>
      </c>
      <c r="Y157" s="30">
        <f t="shared" si="276"/>
        <v>571</v>
      </c>
      <c r="Z157" s="30">
        <f t="shared" si="276"/>
        <v>571</v>
      </c>
      <c r="AA157" s="30">
        <f t="shared" si="276"/>
        <v>571</v>
      </c>
      <c r="AB157" s="64"/>
      <c r="AC157" s="43"/>
    </row>
    <row r="158" spans="2:29" ht="12.75" customHeight="1">
      <c r="B158" s="8" t="s">
        <v>97</v>
      </c>
      <c r="C158" s="80">
        <v>1820</v>
      </c>
      <c r="D158" s="80">
        <v>2506</v>
      </c>
      <c r="E158" s="80">
        <v>2746</v>
      </c>
      <c r="F158" s="80">
        <v>3252</v>
      </c>
      <c r="G158" s="30"/>
      <c r="H158" s="80">
        <v>0</v>
      </c>
      <c r="I158" s="80">
        <v>0</v>
      </c>
      <c r="J158" s="80">
        <v>0</v>
      </c>
      <c r="K158" s="30">
        <f>SUM(E158-SUM(H158:J158))</f>
        <v>2746</v>
      </c>
      <c r="L158" s="80">
        <v>0</v>
      </c>
      <c r="M158" s="80">
        <v>0</v>
      </c>
      <c r="N158" s="80">
        <v>0</v>
      </c>
      <c r="O158" s="30">
        <f>SUM(F158-SUM(L158:N158))</f>
        <v>3252</v>
      </c>
      <c r="P158" s="80">
        <v>0</v>
      </c>
      <c r="Q158" s="80">
        <v>0</v>
      </c>
      <c r="R158" s="80">
        <v>0</v>
      </c>
      <c r="S158" s="30"/>
      <c r="T158" s="30">
        <f t="shared" si="276"/>
        <v>2746</v>
      </c>
      <c r="U158" s="30">
        <f t="shared" si="276"/>
        <v>2746</v>
      </c>
      <c r="V158" s="30">
        <f t="shared" si="276"/>
        <v>2746</v>
      </c>
      <c r="W158" s="30">
        <f t="shared" si="276"/>
        <v>2746</v>
      </c>
      <c r="X158" s="30">
        <f t="shared" si="276"/>
        <v>3252</v>
      </c>
      <c r="Y158" s="30">
        <f t="shared" si="276"/>
        <v>3252</v>
      </c>
      <c r="Z158" s="30">
        <f t="shared" si="276"/>
        <v>3252</v>
      </c>
      <c r="AA158" s="30">
        <f t="shared" si="276"/>
        <v>3252</v>
      </c>
      <c r="AB158" s="11"/>
      <c r="AC158" s="43"/>
    </row>
    <row r="159" spans="2:29" ht="5.0999999999999996" customHeight="1" thickBot="1">
      <c r="B159" s="71"/>
      <c r="C159" s="72"/>
      <c r="D159" s="72"/>
      <c r="E159" s="72"/>
      <c r="F159" s="72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C159" s="43"/>
    </row>
    <row r="160" spans="2:29" ht="12.75" customHeight="1">
      <c r="B160" s="51"/>
      <c r="C160" s="65"/>
      <c r="D160" s="65"/>
      <c r="E160" s="65"/>
      <c r="F160" s="65"/>
    </row>
    <row r="161" spans="3:13" ht="12.75" customHeight="1">
      <c r="C161" s="54"/>
      <c r="D161" s="54"/>
      <c r="E161" s="54"/>
      <c r="F161" s="54"/>
    </row>
    <row r="162" spans="3:13" ht="12.75" customHeight="1">
      <c r="C162" s="54"/>
      <c r="D162" s="54"/>
      <c r="E162" s="54"/>
      <c r="F162" s="54"/>
      <c r="G162" s="54"/>
      <c r="H162" s="54"/>
      <c r="I162" s="54"/>
      <c r="J162" s="54"/>
      <c r="K162" s="54"/>
      <c r="L162" s="54"/>
    </row>
    <row r="163" spans="3:13" ht="12.75" customHeight="1">
      <c r="C163" s="54"/>
      <c r="D163" s="54"/>
      <c r="E163" s="54"/>
      <c r="F163" s="54"/>
      <c r="G163" s="54"/>
      <c r="H163" s="54"/>
      <c r="I163" s="54"/>
      <c r="J163" s="54"/>
      <c r="K163" s="54"/>
      <c r="L163" s="54"/>
    </row>
    <row r="164" spans="3:13" ht="12.75" customHeight="1">
      <c r="C164" s="54"/>
      <c r="D164" s="54"/>
      <c r="E164" s="54"/>
      <c r="F164" s="54"/>
      <c r="G164" s="54"/>
      <c r="H164" s="54"/>
      <c r="I164" s="54"/>
      <c r="J164" s="54"/>
      <c r="K164" s="54"/>
      <c r="L164" s="54"/>
    </row>
    <row r="165" spans="3:13" ht="12.75" customHeight="1">
      <c r="C165" s="54"/>
      <c r="D165" s="54"/>
      <c r="E165" s="54"/>
      <c r="F165" s="54"/>
      <c r="G165" s="54"/>
      <c r="H165" s="54"/>
      <c r="I165" s="54"/>
      <c r="J165" s="54"/>
      <c r="K165" s="54"/>
      <c r="L165" s="54"/>
    </row>
    <row r="166" spans="3:13" ht="12.75" customHeight="1"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84"/>
    </row>
    <row r="167" spans="3:13" ht="12.75" customHeight="1">
      <c r="C167" s="54"/>
      <c r="D167" s="54"/>
      <c r="E167" s="54"/>
      <c r="F167" s="54"/>
      <c r="G167" s="54"/>
      <c r="H167" s="54"/>
      <c r="I167" s="54"/>
      <c r="J167" s="54"/>
      <c r="K167" s="54"/>
      <c r="L167" s="54"/>
    </row>
    <row r="168" spans="3:13" ht="12.75" customHeight="1"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84"/>
    </row>
    <row r="169" spans="3:13">
      <c r="D169" s="54"/>
      <c r="E169" s="54"/>
      <c r="F169" s="54"/>
      <c r="G169" s="54"/>
      <c r="H169" s="54"/>
      <c r="I169" s="54"/>
      <c r="J169" s="54"/>
      <c r="K169" s="54"/>
      <c r="L169" s="54"/>
      <c r="M169" s="84"/>
    </row>
    <row r="170" spans="3:13">
      <c r="D170" s="54"/>
      <c r="E170" s="54"/>
      <c r="F170" s="54"/>
      <c r="G170" s="54"/>
      <c r="H170" s="54"/>
      <c r="I170" s="54"/>
      <c r="J170" s="54"/>
      <c r="K170" s="54"/>
      <c r="L170" s="54"/>
      <c r="M170" s="84"/>
    </row>
    <row r="171" spans="3:13">
      <c r="D171" s="54"/>
      <c r="E171" s="54"/>
      <c r="F171" s="54"/>
      <c r="G171" s="54"/>
      <c r="H171" s="54"/>
      <c r="I171" s="54"/>
      <c r="J171" s="54"/>
      <c r="K171" s="54"/>
      <c r="L171" s="54"/>
    </row>
    <row r="172" spans="3:13">
      <c r="D172" s="54"/>
      <c r="E172" s="54"/>
      <c r="F172" s="54"/>
      <c r="G172" s="54"/>
      <c r="H172" s="54"/>
      <c r="I172" s="54"/>
      <c r="J172" s="54"/>
      <c r="K172" s="54"/>
      <c r="L172" s="54"/>
      <c r="M172" s="84"/>
    </row>
    <row r="173" spans="3:13">
      <c r="D173" s="54"/>
      <c r="E173" s="54"/>
      <c r="F173" s="54"/>
      <c r="G173" s="54"/>
      <c r="H173" s="54"/>
      <c r="I173" s="54"/>
      <c r="J173" s="54"/>
      <c r="K173" s="54"/>
      <c r="L173" s="54"/>
      <c r="M173" s="84"/>
    </row>
    <row r="174" spans="3:13">
      <c r="D174" s="54"/>
      <c r="E174" s="54"/>
      <c r="F174" s="54"/>
      <c r="G174" s="54"/>
      <c r="H174" s="54"/>
      <c r="I174" s="54"/>
      <c r="J174" s="54"/>
      <c r="K174" s="54"/>
      <c r="L174" s="54"/>
    </row>
    <row r="175" spans="3:13">
      <c r="D175" s="54"/>
      <c r="E175" s="54"/>
      <c r="F175" s="54"/>
      <c r="G175" s="54"/>
      <c r="H175" s="54"/>
      <c r="I175" s="54"/>
      <c r="J175" s="54"/>
      <c r="K175" s="54"/>
      <c r="L175" s="54"/>
    </row>
  </sheetData>
  <mergeCells count="3">
    <mergeCell ref="AC6:AC8"/>
    <mergeCell ref="AC37:AC39"/>
    <mergeCell ref="AC91:AC93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Z29 G49 T18:X19 T25:X25" formulaRange="1"/>
    <ignoredError sqref="C18:F19 H18:R19 H25:R25 C25:F25 AA131:AC133 AA117:AC118 AB130 H29:R29 C29:F29 AA119:AB119 AB134:AC134 AC43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A26"/>
  <sheetViews>
    <sheetView showGridLines="0" zoomScale="115" zoomScaleNormal="115" workbookViewId="0">
      <selection activeCell="C1" sqref="C1:C1048576"/>
    </sheetView>
  </sheetViews>
  <sheetFormatPr defaultRowHeight="12" outlineLevelCol="1"/>
  <cols>
    <col min="1" max="1" width="1.5" style="8" customWidth="1"/>
    <col min="2" max="2" width="46.5" style="8" bestFit="1" customWidth="1"/>
    <col min="3" max="3" width="8.625" style="8" hidden="1" customWidth="1" outlineLevel="1"/>
    <col min="4" max="4" width="8.625" style="8" bestFit="1" customWidth="1" collapsed="1"/>
    <col min="5" max="6" width="8.625" style="8" bestFit="1" customWidth="1"/>
    <col min="7" max="7" width="1.5" style="8" customWidth="1"/>
    <col min="8" max="9" width="8" style="8" hidden="1" customWidth="1" outlineLevel="1"/>
    <col min="10" max="11" width="8.75" style="8" hidden="1" customWidth="1" outlineLevel="1"/>
    <col min="12" max="12" width="8.5" style="8" hidden="1" customWidth="1" outlineLevel="1"/>
    <col min="13" max="13" width="8.25" style="8" hidden="1" customWidth="1" outlineLevel="1"/>
    <col min="14" max="14" width="8.5" style="8" bestFit="1" customWidth="1" collapsed="1"/>
    <col min="15" max="18" width="9.125" style="8" bestFit="1" customWidth="1"/>
    <col min="19" max="19" width="1.5" style="8" customWidth="1"/>
    <col min="20" max="22" width="8.75" style="8" hidden="1" customWidth="1" outlineLevel="1"/>
    <col min="23" max="23" width="8.75" style="8" customWidth="1" collapsed="1"/>
    <col min="24" max="26" width="8.75" style="8" hidden="1" customWidth="1" outlineLevel="1"/>
    <col min="27" max="27" width="8.75" style="8" customWidth="1" collapsed="1"/>
    <col min="28" max="16384" width="9" style="8"/>
  </cols>
  <sheetData>
    <row r="2" spans="1:27" s="5" customFormat="1" ht="12.75" customHeight="1">
      <c r="B2" s="1" t="str">
        <f>'Historical Financials'!B2</f>
        <v>Mastercard Inc (NYSE: MA)</v>
      </c>
      <c r="C2" s="2" t="s">
        <v>0</v>
      </c>
      <c r="D2" s="2" t="s">
        <v>0</v>
      </c>
      <c r="E2" s="2"/>
      <c r="F2" s="2"/>
      <c r="G2" s="3"/>
      <c r="H2" s="2"/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/>
      <c r="W2" s="2" t="s">
        <v>10</v>
      </c>
      <c r="X2" s="2"/>
      <c r="Y2" s="2"/>
      <c r="Z2" s="2"/>
      <c r="AA2" s="2"/>
    </row>
    <row r="3" spans="1:27" s="5" customFormat="1" ht="12.75" customHeight="1">
      <c r="B3" s="6" t="s">
        <v>59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4"/>
      <c r="T3" s="4" t="str">
        <f>K3</f>
        <v>4Q23</v>
      </c>
      <c r="U3" s="4" t="str">
        <f>L3</f>
        <v>1Q24</v>
      </c>
      <c r="V3" s="4" t="str">
        <f>M3</f>
        <v>2Q24</v>
      </c>
      <c r="W3" s="4" t="str">
        <f>N3</f>
        <v>3Q24</v>
      </c>
      <c r="X3" s="4" t="str">
        <f>O3</f>
        <v>4Q24</v>
      </c>
      <c r="Y3" s="4" t="str">
        <f>P3</f>
        <v>1Q25</v>
      </c>
      <c r="Z3" s="4" t="str">
        <f>Q3</f>
        <v>2Q25</v>
      </c>
      <c r="AA3" s="4" t="str">
        <f>R3</f>
        <v>3Q25</v>
      </c>
    </row>
    <row r="4" spans="1:27" s="5" customFormat="1" ht="12.75" customHeight="1">
      <c r="B4" s="6" t="s">
        <v>103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45016</v>
      </c>
      <c r="I4" s="3">
        <f>'Historical Financials'!I8</f>
        <v>45107</v>
      </c>
      <c r="J4" s="3">
        <f>'Historical Financials'!J8</f>
        <v>45199</v>
      </c>
      <c r="K4" s="3">
        <f>'Historical Financials'!K8</f>
        <v>45291</v>
      </c>
      <c r="L4" s="3">
        <f>'Historical Financials'!L8</f>
        <v>45382</v>
      </c>
      <c r="M4" s="3">
        <f>'Historical Financials'!M8</f>
        <v>45473</v>
      </c>
      <c r="N4" s="3">
        <f>'Historical Financials'!N8</f>
        <v>45565</v>
      </c>
      <c r="O4" s="3">
        <f>'Historical Financials'!O8</f>
        <v>45657</v>
      </c>
      <c r="P4" s="3">
        <f>'Historical Financials'!P8</f>
        <v>45747</v>
      </c>
      <c r="Q4" s="3">
        <f>'Historical Financials'!Q8</f>
        <v>45838</v>
      </c>
      <c r="R4" s="3">
        <f>'Historical Financials'!R8</f>
        <v>45930</v>
      </c>
      <c r="S4" s="3"/>
      <c r="T4" s="3">
        <f>K4</f>
        <v>45291</v>
      </c>
      <c r="U4" s="3">
        <f>L4</f>
        <v>45382</v>
      </c>
      <c r="V4" s="3">
        <f>M4</f>
        <v>45473</v>
      </c>
      <c r="W4" s="3">
        <f>N4</f>
        <v>45565</v>
      </c>
      <c r="X4" s="3">
        <f>O4</f>
        <v>45657</v>
      </c>
      <c r="Y4" s="3">
        <f>P4</f>
        <v>45747</v>
      </c>
      <c r="Z4" s="3">
        <f>Q4</f>
        <v>45838</v>
      </c>
      <c r="AA4" s="3">
        <f>R4</f>
        <v>45930</v>
      </c>
    </row>
    <row r="5" spans="1:27" ht="5.0999999999999996" customHeight="1"/>
    <row r="6" spans="1:27">
      <c r="A6" s="34" t="s">
        <v>15</v>
      </c>
      <c r="B6" s="1" t="s">
        <v>104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5.0999999999999996" customHeight="1"/>
    <row r="8" spans="1:27" ht="12.75" customHeight="1">
      <c r="A8" s="78" t="s">
        <v>15</v>
      </c>
      <c r="B8" s="76" t="s">
        <v>105</v>
      </c>
      <c r="C8" s="10"/>
      <c r="D8" s="10"/>
      <c r="E8" s="10"/>
      <c r="F8" s="10"/>
      <c r="G8" s="10"/>
      <c r="H8" s="86"/>
      <c r="I8" s="86"/>
      <c r="J8" s="86"/>
      <c r="K8" s="30"/>
      <c r="L8" s="86"/>
      <c r="M8" s="86"/>
      <c r="N8" s="86"/>
      <c r="O8" s="30"/>
      <c r="P8" s="86"/>
      <c r="Q8" s="86"/>
      <c r="R8" s="86"/>
      <c r="S8" s="5"/>
      <c r="T8" s="11"/>
      <c r="U8" s="11"/>
      <c r="V8" s="11"/>
      <c r="W8" s="11"/>
      <c r="X8" s="11"/>
      <c r="Y8" s="11"/>
      <c r="Z8" s="11"/>
      <c r="AA8" s="11"/>
    </row>
    <row r="9" spans="1:27" ht="12.75" customHeight="1">
      <c r="A9" s="78"/>
      <c r="B9" s="9" t="s">
        <v>110</v>
      </c>
      <c r="C9" s="79">
        <v>11943</v>
      </c>
      <c r="D9" s="79">
        <v>14358</v>
      </c>
      <c r="E9" s="79">
        <v>15824</v>
      </c>
      <c r="F9" s="79">
        <v>17335</v>
      </c>
      <c r="G9" s="10"/>
      <c r="H9" s="79">
        <v>3650</v>
      </c>
      <c r="I9" s="79">
        <v>4073</v>
      </c>
      <c r="J9" s="79">
        <v>4210</v>
      </c>
      <c r="K9" s="30">
        <f t="shared" ref="K9:K10" si="0">SUM(E9-SUM(H9:J9))</f>
        <v>3891</v>
      </c>
      <c r="L9" s="79">
        <v>3920</v>
      </c>
      <c r="M9" s="79">
        <v>4375</v>
      </c>
      <c r="N9" s="79">
        <v>4629</v>
      </c>
      <c r="O9" s="30">
        <f t="shared" ref="O9:O10" si="1">SUM(F9-SUM(L9:N9))</f>
        <v>4411</v>
      </c>
      <c r="P9" s="79">
        <v>4432</v>
      </c>
      <c r="Q9" s="79">
        <v>4945</v>
      </c>
      <c r="R9" s="79">
        <v>5179</v>
      </c>
      <c r="S9" s="5"/>
      <c r="T9" s="30">
        <f t="shared" ref="T9:Z9" si="2">SUM(H9:K9)</f>
        <v>15824</v>
      </c>
      <c r="U9" s="30">
        <f t="shared" si="2"/>
        <v>16094</v>
      </c>
      <c r="V9" s="30">
        <f t="shared" si="2"/>
        <v>16396</v>
      </c>
      <c r="W9" s="30">
        <f t="shared" si="2"/>
        <v>16815</v>
      </c>
      <c r="X9" s="30">
        <f t="shared" si="2"/>
        <v>17335</v>
      </c>
      <c r="Y9" s="30">
        <f t="shared" si="2"/>
        <v>17847</v>
      </c>
      <c r="Z9" s="30">
        <f t="shared" si="2"/>
        <v>18417</v>
      </c>
      <c r="AA9" s="30">
        <f>SUM(O9:R9)</f>
        <v>18967</v>
      </c>
    </row>
    <row r="10" spans="1:27">
      <c r="B10" s="9" t="s">
        <v>111</v>
      </c>
      <c r="C10" s="79">
        <v>6941</v>
      </c>
      <c r="D10" s="79">
        <v>7879</v>
      </c>
      <c r="E10" s="79">
        <v>9274</v>
      </c>
      <c r="F10" s="79">
        <v>10832</v>
      </c>
      <c r="G10" s="79"/>
      <c r="H10" s="79">
        <v>2098</v>
      </c>
      <c r="I10" s="79">
        <v>2196</v>
      </c>
      <c r="J10" s="79">
        <v>2323</v>
      </c>
      <c r="K10" s="30">
        <f t="shared" si="0"/>
        <v>2657</v>
      </c>
      <c r="L10" s="79">
        <v>2428</v>
      </c>
      <c r="M10" s="79">
        <v>2586</v>
      </c>
      <c r="N10" s="79">
        <v>2740</v>
      </c>
      <c r="O10" s="30">
        <f t="shared" si="1"/>
        <v>3078</v>
      </c>
      <c r="P10" s="79">
        <v>2818</v>
      </c>
      <c r="Q10" s="79">
        <v>3188</v>
      </c>
      <c r="R10" s="79">
        <v>3423</v>
      </c>
      <c r="S10" s="5"/>
      <c r="T10" s="30">
        <f t="shared" ref="T10" si="3">SUM(H10:K10)</f>
        <v>9274</v>
      </c>
      <c r="U10" s="30">
        <f t="shared" ref="U10" si="4">SUM(I10:L10)</f>
        <v>9604</v>
      </c>
      <c r="V10" s="30">
        <f t="shared" ref="V10" si="5">SUM(J10:M10)</f>
        <v>9994</v>
      </c>
      <c r="W10" s="30">
        <f t="shared" ref="W10" si="6">SUM(K10:N10)</f>
        <v>10411</v>
      </c>
      <c r="X10" s="30">
        <f t="shared" ref="X10" si="7">SUM(L10:O10)</f>
        <v>10832</v>
      </c>
      <c r="Y10" s="30">
        <f t="shared" ref="Y10" si="8">SUM(M10:P10)</f>
        <v>11222</v>
      </c>
      <c r="Z10" s="30">
        <f t="shared" ref="Z10" si="9">SUM(N10:Q10)</f>
        <v>11824</v>
      </c>
      <c r="AA10" s="30">
        <f>SUM(O10:R10)</f>
        <v>12507</v>
      </c>
    </row>
    <row r="11" spans="1:27">
      <c r="B11" s="13" t="s">
        <v>60</v>
      </c>
      <c r="C11" s="14">
        <f>SUM(C9:C10)</f>
        <v>18884</v>
      </c>
      <c r="D11" s="14">
        <f>SUM(D9:D10)</f>
        <v>22237</v>
      </c>
      <c r="E11" s="14">
        <f>SUM(E9:E10)</f>
        <v>25098</v>
      </c>
      <c r="F11" s="14">
        <f>SUM(F9:F10)</f>
        <v>28167</v>
      </c>
      <c r="G11" s="11"/>
      <c r="H11" s="14">
        <f t="shared" ref="H11:R11" si="10">SUM(H9:H10)</f>
        <v>5748</v>
      </c>
      <c r="I11" s="14">
        <f t="shared" si="10"/>
        <v>6269</v>
      </c>
      <c r="J11" s="14">
        <f t="shared" si="10"/>
        <v>6533</v>
      </c>
      <c r="K11" s="14">
        <f t="shared" si="10"/>
        <v>6548</v>
      </c>
      <c r="L11" s="14">
        <f t="shared" si="10"/>
        <v>6348</v>
      </c>
      <c r="M11" s="14">
        <f t="shared" si="10"/>
        <v>6961</v>
      </c>
      <c r="N11" s="14">
        <f t="shared" si="10"/>
        <v>7369</v>
      </c>
      <c r="O11" s="14">
        <f t="shared" si="10"/>
        <v>7489</v>
      </c>
      <c r="P11" s="14">
        <f t="shared" si="10"/>
        <v>7250</v>
      </c>
      <c r="Q11" s="14">
        <f t="shared" si="10"/>
        <v>8133</v>
      </c>
      <c r="R11" s="14">
        <f t="shared" si="10"/>
        <v>8602</v>
      </c>
      <c r="S11" s="5"/>
      <c r="T11" s="14">
        <f t="shared" ref="T11:AA11" si="11">SUM(T9:T10)</f>
        <v>25098</v>
      </c>
      <c r="U11" s="14">
        <f t="shared" si="11"/>
        <v>25698</v>
      </c>
      <c r="V11" s="14">
        <f t="shared" si="11"/>
        <v>26390</v>
      </c>
      <c r="W11" s="14">
        <f t="shared" si="11"/>
        <v>27226</v>
      </c>
      <c r="X11" s="14">
        <f t="shared" si="11"/>
        <v>28167</v>
      </c>
      <c r="Y11" s="14">
        <f t="shared" si="11"/>
        <v>29069</v>
      </c>
      <c r="Z11" s="14">
        <f t="shared" si="11"/>
        <v>30241</v>
      </c>
      <c r="AA11" s="14">
        <f t="shared" si="11"/>
        <v>31474</v>
      </c>
    </row>
    <row r="12" spans="1:27">
      <c r="B12" s="121" t="s">
        <v>107</v>
      </c>
      <c r="C12" s="77">
        <f>C11-'Historical Financials'!C11</f>
        <v>0</v>
      </c>
      <c r="D12" s="77">
        <f>D11-'Historical Financials'!D11</f>
        <v>0</v>
      </c>
      <c r="E12" s="77">
        <f>E11-'Historical Financials'!E11</f>
        <v>0</v>
      </c>
      <c r="F12" s="77">
        <f>F11-'Historical Financials'!F11</f>
        <v>0</v>
      </c>
      <c r="G12" s="11"/>
      <c r="H12" s="77">
        <f>H11-'Historical Financials'!H11</f>
        <v>0</v>
      </c>
      <c r="I12" s="77">
        <f>I11-'Historical Financials'!I11</f>
        <v>0</v>
      </c>
      <c r="J12" s="77">
        <f>J11-'Historical Financials'!J11</f>
        <v>0</v>
      </c>
      <c r="K12" s="77">
        <f>K11-'Historical Financials'!K11</f>
        <v>0</v>
      </c>
      <c r="L12" s="77">
        <f>L11-'Historical Financials'!L11</f>
        <v>0</v>
      </c>
      <c r="M12" s="77">
        <f>M11-'Historical Financials'!M11</f>
        <v>0</v>
      </c>
      <c r="N12" s="77">
        <f>N11-'Historical Financials'!N11</f>
        <v>0</v>
      </c>
      <c r="O12" s="77">
        <f>O11-'Historical Financials'!O11</f>
        <v>0</v>
      </c>
      <c r="P12" s="77">
        <f>P11-'Historical Financials'!P11</f>
        <v>0</v>
      </c>
      <c r="Q12" s="77">
        <f>Q11-'Historical Financials'!Q11</f>
        <v>0</v>
      </c>
      <c r="R12" s="77">
        <f>R11-'Historical Financials'!R11</f>
        <v>0</v>
      </c>
      <c r="S12" s="77"/>
      <c r="T12" s="77">
        <f>T11-'Historical Financials'!T11</f>
        <v>0</v>
      </c>
      <c r="U12" s="77">
        <f>U11-'Historical Financials'!U11</f>
        <v>0</v>
      </c>
      <c r="V12" s="77">
        <f>V11-'Historical Financials'!V11</f>
        <v>0</v>
      </c>
      <c r="W12" s="77">
        <f>W11-'Historical Financials'!W11</f>
        <v>0</v>
      </c>
      <c r="X12" s="77">
        <f>X11-'Historical Financials'!X11</f>
        <v>0</v>
      </c>
      <c r="Y12" s="77">
        <f>Y11-'Historical Financials'!Y11</f>
        <v>0</v>
      </c>
      <c r="Z12" s="77">
        <f>Z11-'Historical Financials'!Z11</f>
        <v>0</v>
      </c>
      <c r="AA12" s="77">
        <f>AA11-'Historical Financials'!AA11</f>
        <v>0</v>
      </c>
    </row>
    <row r="13" spans="1:27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</row>
    <row r="14" spans="1:27">
      <c r="B14" s="129" t="str">
        <f>B9&amp;"(%)"</f>
        <v>Payment Network(%)</v>
      </c>
      <c r="C14" s="130">
        <f t="shared" ref="C14:F15" si="12">SUM(C9/C$11)</f>
        <v>0.63244016098284261</v>
      </c>
      <c r="D14" s="130">
        <f t="shared" si="12"/>
        <v>0.64568062238611323</v>
      </c>
      <c r="E14" s="130">
        <f t="shared" si="12"/>
        <v>0.63048848513825806</v>
      </c>
      <c r="F14" s="130">
        <f t="shared" si="12"/>
        <v>0.61543650371001524</v>
      </c>
      <c r="G14" s="131"/>
      <c r="H14" s="130">
        <f t="shared" ref="H14:R14" si="13">SUM(H9/H$11)</f>
        <v>0.63500347947112035</v>
      </c>
      <c r="I14" s="130">
        <f t="shared" si="13"/>
        <v>0.64970489711277712</v>
      </c>
      <c r="J14" s="130">
        <f t="shared" si="13"/>
        <v>0.64442063370580127</v>
      </c>
      <c r="K14" s="130">
        <f t="shared" si="13"/>
        <v>0.59422724496029322</v>
      </c>
      <c r="L14" s="130">
        <f t="shared" si="13"/>
        <v>0.6175173282923756</v>
      </c>
      <c r="M14" s="130">
        <f t="shared" si="13"/>
        <v>0.62850165206148545</v>
      </c>
      <c r="N14" s="130">
        <f t="shared" si="13"/>
        <v>0.62817207219432758</v>
      </c>
      <c r="O14" s="130">
        <f t="shared" si="13"/>
        <v>0.58899719588730137</v>
      </c>
      <c r="P14" s="130">
        <f t="shared" si="13"/>
        <v>0.61131034482758617</v>
      </c>
      <c r="Q14" s="130">
        <f t="shared" si="13"/>
        <v>0.60801672199680312</v>
      </c>
      <c r="R14" s="130">
        <f t="shared" si="13"/>
        <v>0.60206928621250877</v>
      </c>
      <c r="S14" s="131"/>
      <c r="T14" s="132">
        <f t="shared" ref="T14:AA14" si="14">SUM(T9/T$11)</f>
        <v>0.63048848513825806</v>
      </c>
      <c r="U14" s="132">
        <f t="shared" si="14"/>
        <v>0.62627441824266483</v>
      </c>
      <c r="V14" s="132">
        <f t="shared" si="14"/>
        <v>0.62129594543387645</v>
      </c>
      <c r="W14" s="132">
        <f t="shared" si="14"/>
        <v>0.61760816866230805</v>
      </c>
      <c r="X14" s="132">
        <f t="shared" si="14"/>
        <v>0.61543650371001524</v>
      </c>
      <c r="Y14" s="132">
        <f t="shared" si="14"/>
        <v>0.61395300835942068</v>
      </c>
      <c r="Z14" s="132">
        <f t="shared" si="14"/>
        <v>0.60900763863628848</v>
      </c>
      <c r="AA14" s="133">
        <f t="shared" si="14"/>
        <v>0.60262438838406307</v>
      </c>
    </row>
    <row r="15" spans="1:27" ht="12.75" customHeight="1">
      <c r="B15" s="134" t="str">
        <f>B10&amp;"(%)"</f>
        <v>Value-Added Services(%)</v>
      </c>
      <c r="C15" s="135">
        <f t="shared" si="12"/>
        <v>0.36755983901715739</v>
      </c>
      <c r="D15" s="135">
        <f t="shared" si="12"/>
        <v>0.35431937761388677</v>
      </c>
      <c r="E15" s="135">
        <f t="shared" si="12"/>
        <v>0.369511514861742</v>
      </c>
      <c r="F15" s="135">
        <f t="shared" si="12"/>
        <v>0.38456349628998471</v>
      </c>
      <c r="G15" s="136"/>
      <c r="H15" s="135">
        <f t="shared" ref="H15:R15" si="15">SUM(H10/H$11)</f>
        <v>0.3649965205288796</v>
      </c>
      <c r="I15" s="135">
        <f t="shared" si="15"/>
        <v>0.35029510288722282</v>
      </c>
      <c r="J15" s="135">
        <f t="shared" si="15"/>
        <v>0.35557936629419867</v>
      </c>
      <c r="K15" s="135">
        <f t="shared" si="15"/>
        <v>0.40577275503970678</v>
      </c>
      <c r="L15" s="135">
        <f t="shared" si="15"/>
        <v>0.38248267170762446</v>
      </c>
      <c r="M15" s="135">
        <f t="shared" si="15"/>
        <v>0.37149834793851461</v>
      </c>
      <c r="N15" s="135">
        <f t="shared" si="15"/>
        <v>0.37182792780567242</v>
      </c>
      <c r="O15" s="135">
        <f t="shared" si="15"/>
        <v>0.41100280411269863</v>
      </c>
      <c r="P15" s="135">
        <f t="shared" si="15"/>
        <v>0.38868965517241377</v>
      </c>
      <c r="Q15" s="135">
        <f t="shared" si="15"/>
        <v>0.39198327800319688</v>
      </c>
      <c r="R15" s="135">
        <f t="shared" si="15"/>
        <v>0.39793071378749129</v>
      </c>
      <c r="S15" s="136"/>
      <c r="T15" s="137">
        <f t="shared" ref="T15:AA15" si="16">SUM(T10/T$11)</f>
        <v>0.369511514861742</v>
      </c>
      <c r="U15" s="137">
        <f t="shared" si="16"/>
        <v>0.37372558175733522</v>
      </c>
      <c r="V15" s="137">
        <f t="shared" si="16"/>
        <v>0.37870405456612355</v>
      </c>
      <c r="W15" s="137">
        <f t="shared" si="16"/>
        <v>0.38239183133769189</v>
      </c>
      <c r="X15" s="137">
        <f t="shared" si="16"/>
        <v>0.38456349628998471</v>
      </c>
      <c r="Y15" s="137">
        <f t="shared" si="16"/>
        <v>0.38604699164057932</v>
      </c>
      <c r="Z15" s="137">
        <f t="shared" si="16"/>
        <v>0.39099236136371152</v>
      </c>
      <c r="AA15" s="138">
        <f t="shared" si="16"/>
        <v>0.39737561161593699</v>
      </c>
    </row>
    <row r="16" spans="1:27">
      <c r="B16" s="18"/>
      <c r="C16" s="19"/>
      <c r="D16" s="19"/>
      <c r="E16" s="19"/>
      <c r="F16" s="19"/>
      <c r="G16" s="20"/>
      <c r="H16" s="21"/>
      <c r="I16" s="21"/>
      <c r="J16" s="21"/>
      <c r="K16" s="22"/>
      <c r="L16" s="21"/>
      <c r="M16" s="21"/>
      <c r="N16" s="21"/>
      <c r="O16" s="21"/>
      <c r="P16" s="21"/>
      <c r="Q16" s="21"/>
      <c r="R16" s="21"/>
      <c r="S16" s="20"/>
      <c r="T16" s="20"/>
      <c r="U16" s="20"/>
      <c r="V16" s="20"/>
      <c r="W16" s="20"/>
      <c r="X16" s="20"/>
      <c r="Y16" s="20"/>
      <c r="Z16" s="20"/>
      <c r="AA16" s="20"/>
    </row>
    <row r="17" spans="1:27">
      <c r="A17" s="34" t="s">
        <v>15</v>
      </c>
      <c r="B17" s="1" t="s">
        <v>106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5.0999999999999996" customHeight="1"/>
    <row r="19" spans="1:27" ht="12.75" customHeight="1">
      <c r="A19" s="78" t="s">
        <v>15</v>
      </c>
      <c r="B19" s="76" t="s">
        <v>106</v>
      </c>
      <c r="C19" s="10"/>
      <c r="D19" s="10"/>
      <c r="E19" s="10"/>
      <c r="F19" s="10"/>
      <c r="G19" s="10"/>
      <c r="H19" s="86"/>
      <c r="I19" s="86"/>
      <c r="J19" s="86"/>
      <c r="K19" s="30"/>
      <c r="L19" s="86"/>
      <c r="M19" s="86"/>
      <c r="N19" s="86"/>
      <c r="O19" s="30"/>
      <c r="P19" s="86"/>
      <c r="Q19" s="86"/>
      <c r="R19" s="86"/>
      <c r="S19" s="5"/>
      <c r="T19" s="11"/>
      <c r="U19" s="11"/>
      <c r="V19" s="11"/>
      <c r="W19" s="11"/>
      <c r="X19" s="11"/>
      <c r="Y19" s="11"/>
      <c r="Z19" s="11"/>
      <c r="AA19" s="11"/>
    </row>
    <row r="20" spans="1:27" ht="12.75" customHeight="1">
      <c r="A20" s="78"/>
      <c r="B20" s="9" t="s">
        <v>108</v>
      </c>
      <c r="C20" s="79">
        <v>6667</v>
      </c>
      <c r="D20" s="79">
        <v>10156</v>
      </c>
      <c r="E20" s="79">
        <v>11135</v>
      </c>
      <c r="F20" s="79">
        <v>12375</v>
      </c>
      <c r="G20" s="10"/>
      <c r="H20" s="79">
        <v>2537</v>
      </c>
      <c r="I20" s="79">
        <v>2814</v>
      </c>
      <c r="J20" s="79">
        <v>2828</v>
      </c>
      <c r="K20" s="30">
        <f t="shared" ref="K20:K21" si="17">SUM(E20-SUM(H20:J20))</f>
        <v>2956</v>
      </c>
      <c r="L20" s="79">
        <v>2773</v>
      </c>
      <c r="M20" s="79">
        <v>3164</v>
      </c>
      <c r="N20" s="79">
        <v>3156</v>
      </c>
      <c r="O20" s="30">
        <f t="shared" ref="O20:O21" si="18">SUM(F20-SUM(L20:N20))</f>
        <v>3282</v>
      </c>
      <c r="P20" s="79">
        <v>3151</v>
      </c>
      <c r="Q20" s="79">
        <v>3406</v>
      </c>
      <c r="R20" s="79">
        <v>3651</v>
      </c>
      <c r="S20" s="5"/>
      <c r="T20" s="30">
        <f t="shared" ref="T20:T21" si="19">SUM(H20:K20)</f>
        <v>11135</v>
      </c>
      <c r="U20" s="30">
        <f t="shared" ref="U20:U21" si="20">SUM(I20:L20)</f>
        <v>11371</v>
      </c>
      <c r="V20" s="30">
        <f t="shared" ref="V20:V21" si="21">SUM(J20:M20)</f>
        <v>11721</v>
      </c>
      <c r="W20" s="30">
        <f t="shared" ref="W20:W21" si="22">SUM(K20:N20)</f>
        <v>12049</v>
      </c>
      <c r="X20" s="30">
        <f t="shared" ref="X20:X21" si="23">SUM(L20:O20)</f>
        <v>12375</v>
      </c>
      <c r="Y20" s="30">
        <f t="shared" ref="Y20:Y21" si="24">SUM(M20:P20)</f>
        <v>12753</v>
      </c>
      <c r="Z20" s="30">
        <f t="shared" ref="Z20:Z21" si="25">SUM(N20:Q20)</f>
        <v>12995</v>
      </c>
      <c r="AA20" s="30">
        <f>SUM(O20:R20)</f>
        <v>13490</v>
      </c>
    </row>
    <row r="21" spans="1:27">
      <c r="B21" s="9" t="s">
        <v>109</v>
      </c>
      <c r="C21" s="79">
        <v>12217</v>
      </c>
      <c r="D21" s="79">
        <v>12081</v>
      </c>
      <c r="E21" s="79">
        <v>13963</v>
      </c>
      <c r="F21" s="79">
        <v>15792</v>
      </c>
      <c r="G21" s="79"/>
      <c r="H21" s="79">
        <v>3211</v>
      </c>
      <c r="I21" s="79">
        <v>3455</v>
      </c>
      <c r="J21" s="79">
        <v>3705</v>
      </c>
      <c r="K21" s="30">
        <f t="shared" si="17"/>
        <v>3592</v>
      </c>
      <c r="L21" s="79">
        <v>3575</v>
      </c>
      <c r="M21" s="79">
        <v>3797</v>
      </c>
      <c r="N21" s="79">
        <v>4213</v>
      </c>
      <c r="O21" s="30">
        <f t="shared" si="18"/>
        <v>4207</v>
      </c>
      <c r="P21" s="79">
        <v>4099</v>
      </c>
      <c r="Q21" s="79">
        <v>4727</v>
      </c>
      <c r="R21" s="79">
        <v>4951</v>
      </c>
      <c r="S21" s="5"/>
      <c r="T21" s="30">
        <f t="shared" si="19"/>
        <v>13963</v>
      </c>
      <c r="U21" s="30">
        <f t="shared" si="20"/>
        <v>14327</v>
      </c>
      <c r="V21" s="30">
        <f t="shared" si="21"/>
        <v>14669</v>
      </c>
      <c r="W21" s="30">
        <f t="shared" si="22"/>
        <v>15177</v>
      </c>
      <c r="X21" s="30">
        <f t="shared" si="23"/>
        <v>15792</v>
      </c>
      <c r="Y21" s="30">
        <f t="shared" si="24"/>
        <v>16316</v>
      </c>
      <c r="Z21" s="30">
        <f t="shared" si="25"/>
        <v>17246</v>
      </c>
      <c r="AA21" s="30">
        <f>SUM(O21:R21)</f>
        <v>17984</v>
      </c>
    </row>
    <row r="22" spans="1:27">
      <c r="B22" s="13" t="s">
        <v>60</v>
      </c>
      <c r="C22" s="14">
        <f>SUM(C20:C21)</f>
        <v>18884</v>
      </c>
      <c r="D22" s="14">
        <f>SUM(D20:D21)</f>
        <v>22237</v>
      </c>
      <c r="E22" s="14">
        <f>SUM(E20:E21)</f>
        <v>25098</v>
      </c>
      <c r="F22" s="14">
        <f>SUM(F20:F21)</f>
        <v>28167</v>
      </c>
      <c r="G22" s="11"/>
      <c r="H22" s="14">
        <f t="shared" ref="H22:R22" si="26">SUM(H20:H21)</f>
        <v>5748</v>
      </c>
      <c r="I22" s="14">
        <f t="shared" si="26"/>
        <v>6269</v>
      </c>
      <c r="J22" s="14">
        <f t="shared" si="26"/>
        <v>6533</v>
      </c>
      <c r="K22" s="14">
        <f t="shared" si="26"/>
        <v>6548</v>
      </c>
      <c r="L22" s="14">
        <f t="shared" si="26"/>
        <v>6348</v>
      </c>
      <c r="M22" s="14">
        <f t="shared" si="26"/>
        <v>6961</v>
      </c>
      <c r="N22" s="14">
        <f t="shared" si="26"/>
        <v>7369</v>
      </c>
      <c r="O22" s="14">
        <f t="shared" si="26"/>
        <v>7489</v>
      </c>
      <c r="P22" s="14">
        <f t="shared" si="26"/>
        <v>7250</v>
      </c>
      <c r="Q22" s="14">
        <f t="shared" si="26"/>
        <v>8133</v>
      </c>
      <c r="R22" s="14">
        <f t="shared" si="26"/>
        <v>8602</v>
      </c>
      <c r="S22" s="5"/>
      <c r="T22" s="14">
        <f t="shared" ref="T22:AA22" si="27">SUM(T20:T21)</f>
        <v>25098</v>
      </c>
      <c r="U22" s="14">
        <f t="shared" si="27"/>
        <v>25698</v>
      </c>
      <c r="V22" s="14">
        <f t="shared" si="27"/>
        <v>26390</v>
      </c>
      <c r="W22" s="14">
        <f t="shared" si="27"/>
        <v>27226</v>
      </c>
      <c r="X22" s="14">
        <f t="shared" si="27"/>
        <v>28167</v>
      </c>
      <c r="Y22" s="14">
        <f t="shared" si="27"/>
        <v>29069</v>
      </c>
      <c r="Z22" s="14">
        <f t="shared" si="27"/>
        <v>30241</v>
      </c>
      <c r="AA22" s="14">
        <f t="shared" si="27"/>
        <v>31474</v>
      </c>
    </row>
    <row r="23" spans="1:27">
      <c r="B23" s="121" t="s">
        <v>107</v>
      </c>
      <c r="C23" s="77">
        <f>C22-C11</f>
        <v>0</v>
      </c>
      <c r="D23" s="77">
        <f>D22-D11</f>
        <v>0</v>
      </c>
      <c r="E23" s="77">
        <f>E22-E11</f>
        <v>0</v>
      </c>
      <c r="F23" s="77">
        <f>F22-F11</f>
        <v>0</v>
      </c>
      <c r="G23" s="11"/>
      <c r="H23" s="77">
        <f t="shared" ref="H23:R23" si="28">H22-H11</f>
        <v>0</v>
      </c>
      <c r="I23" s="77">
        <f t="shared" si="28"/>
        <v>0</v>
      </c>
      <c r="J23" s="77">
        <f t="shared" si="28"/>
        <v>0</v>
      </c>
      <c r="K23" s="77">
        <f t="shared" si="28"/>
        <v>0</v>
      </c>
      <c r="L23" s="77">
        <f t="shared" si="28"/>
        <v>0</v>
      </c>
      <c r="M23" s="77">
        <f t="shared" si="28"/>
        <v>0</v>
      </c>
      <c r="N23" s="77">
        <f t="shared" si="28"/>
        <v>0</v>
      </c>
      <c r="O23" s="77">
        <f t="shared" si="28"/>
        <v>0</v>
      </c>
      <c r="P23" s="77">
        <f t="shared" si="28"/>
        <v>0</v>
      </c>
      <c r="Q23" s="77">
        <f t="shared" si="28"/>
        <v>0</v>
      </c>
      <c r="R23" s="77">
        <f t="shared" si="28"/>
        <v>0</v>
      </c>
      <c r="S23" s="77"/>
      <c r="T23" s="77">
        <f t="shared" ref="T23" si="29">T22-T11</f>
        <v>0</v>
      </c>
      <c r="U23" s="77">
        <f t="shared" ref="U23" si="30">U22-U11</f>
        <v>0</v>
      </c>
      <c r="V23" s="77">
        <f t="shared" ref="V23" si="31">V22-V11</f>
        <v>0</v>
      </c>
      <c r="W23" s="77">
        <f t="shared" ref="W23" si="32">W22-W11</f>
        <v>0</v>
      </c>
      <c r="X23" s="77">
        <f t="shared" ref="X23" si="33">X22-X11</f>
        <v>0</v>
      </c>
      <c r="Y23" s="77">
        <f t="shared" ref="Y23" si="34">Y22-Y11</f>
        <v>0</v>
      </c>
      <c r="Z23" s="77">
        <f t="shared" ref="Z23" si="35">Z22-Z11</f>
        <v>0</v>
      </c>
      <c r="AA23" s="77">
        <f t="shared" ref="AA23" si="36">AA22-AA11</f>
        <v>0</v>
      </c>
    </row>
    <row r="24" spans="1:27">
      <c r="B24" s="18"/>
      <c r="C24" s="19"/>
      <c r="D24" s="19"/>
      <c r="E24" s="19"/>
      <c r="F24" s="19"/>
      <c r="G24" s="20"/>
      <c r="H24" s="21"/>
      <c r="I24" s="21"/>
      <c r="J24" s="21"/>
      <c r="K24" s="22"/>
      <c r="L24" s="21"/>
      <c r="M24" s="21"/>
      <c r="N24" s="21"/>
      <c r="O24" s="21"/>
      <c r="P24" s="21"/>
      <c r="Q24" s="21"/>
      <c r="R24" s="21"/>
      <c r="S24" s="20"/>
      <c r="T24" s="20"/>
      <c r="U24" s="20"/>
      <c r="V24" s="20"/>
      <c r="W24" s="20"/>
      <c r="X24" s="20"/>
      <c r="Y24" s="20"/>
      <c r="Z24" s="20"/>
      <c r="AA24" s="20"/>
    </row>
    <row r="25" spans="1:27">
      <c r="B25" s="129" t="str">
        <f>B20&amp;"(%)"</f>
        <v>U.S. (%)</v>
      </c>
      <c r="C25" s="130">
        <f>SUM(C20/C$22)</f>
        <v>0.3530502012285533</v>
      </c>
      <c r="D25" s="130">
        <f>SUM(D20/D$22)</f>
        <v>0.45671628367135852</v>
      </c>
      <c r="E25" s="130">
        <f>SUM(E20/E$22)</f>
        <v>0.44366084947007728</v>
      </c>
      <c r="F25" s="130">
        <f>SUM(F20/F$22)</f>
        <v>0.43934391308978593</v>
      </c>
      <c r="G25" s="131"/>
      <c r="H25" s="130">
        <f t="shared" ref="H25:R25" si="37">SUM(H20/H$22)</f>
        <v>0.44137091162143355</v>
      </c>
      <c r="I25" s="130">
        <f t="shared" si="37"/>
        <v>0.44887541872706971</v>
      </c>
      <c r="J25" s="130">
        <f t="shared" si="37"/>
        <v>0.43287922853206795</v>
      </c>
      <c r="K25" s="130">
        <f t="shared" si="37"/>
        <v>0.45143555284056203</v>
      </c>
      <c r="L25" s="130">
        <f t="shared" si="37"/>
        <v>0.436830497794581</v>
      </c>
      <c r="M25" s="130">
        <f t="shared" si="37"/>
        <v>0.45453239477086627</v>
      </c>
      <c r="N25" s="130">
        <f t="shared" si="37"/>
        <v>0.428280635092957</v>
      </c>
      <c r="O25" s="130">
        <f t="shared" si="37"/>
        <v>0.4382427560421952</v>
      </c>
      <c r="P25" s="130">
        <f t="shared" si="37"/>
        <v>0.43462068965517242</v>
      </c>
      <c r="Q25" s="130">
        <f t="shared" si="37"/>
        <v>0.4187876552317718</v>
      </c>
      <c r="R25" s="130">
        <f t="shared" si="37"/>
        <v>0.42443617763310859</v>
      </c>
      <c r="S25" s="131"/>
      <c r="T25" s="132">
        <f t="shared" ref="T25:AA25" si="38">SUM(T20/T$22)</f>
        <v>0.44366084947007728</v>
      </c>
      <c r="U25" s="132">
        <f t="shared" si="38"/>
        <v>0.44248579656004361</v>
      </c>
      <c r="V25" s="132">
        <f t="shared" si="38"/>
        <v>0.44414550966275101</v>
      </c>
      <c r="W25" s="132">
        <f t="shared" si="38"/>
        <v>0.44255491074707998</v>
      </c>
      <c r="X25" s="132">
        <f t="shared" si="38"/>
        <v>0.43934391308978593</v>
      </c>
      <c r="Y25" s="132">
        <f t="shared" si="38"/>
        <v>0.43871478207024667</v>
      </c>
      <c r="Z25" s="132">
        <f t="shared" si="38"/>
        <v>0.42971462583909265</v>
      </c>
      <c r="AA25" s="133">
        <f t="shared" si="38"/>
        <v>0.42860773972167504</v>
      </c>
    </row>
    <row r="26" spans="1:27" ht="12.75" customHeight="1">
      <c r="B26" s="134" t="str">
        <f>B21&amp;"(%)"</f>
        <v>International(%)</v>
      </c>
      <c r="C26" s="135">
        <f t="shared" ref="C26" si="39">SUM(C21/C$22)</f>
        <v>0.64694979877144676</v>
      </c>
      <c r="D26" s="135">
        <f>SUM(D21/D$22)</f>
        <v>0.54328371632864148</v>
      </c>
      <c r="E26" s="135">
        <f>SUM(E21/E$22)</f>
        <v>0.55633915052992267</v>
      </c>
      <c r="F26" s="135">
        <f>SUM(F21/F$22)</f>
        <v>0.56065608691021407</v>
      </c>
      <c r="G26" s="136"/>
      <c r="H26" s="135">
        <f t="shared" ref="H26:R26" si="40">SUM(H21/H$22)</f>
        <v>0.55862908837856651</v>
      </c>
      <c r="I26" s="135">
        <f t="shared" si="40"/>
        <v>0.55112458127293029</v>
      </c>
      <c r="J26" s="135">
        <f t="shared" si="40"/>
        <v>0.56712077146793205</v>
      </c>
      <c r="K26" s="135">
        <f t="shared" si="40"/>
        <v>0.54856444715943797</v>
      </c>
      <c r="L26" s="135">
        <f t="shared" si="40"/>
        <v>0.56316950220541906</v>
      </c>
      <c r="M26" s="135">
        <f t="shared" si="40"/>
        <v>0.54546760522913373</v>
      </c>
      <c r="N26" s="135">
        <f t="shared" si="40"/>
        <v>0.571719364907043</v>
      </c>
      <c r="O26" s="135">
        <f t="shared" si="40"/>
        <v>0.5617572439578048</v>
      </c>
      <c r="P26" s="135">
        <f t="shared" si="40"/>
        <v>0.56537931034482758</v>
      </c>
      <c r="Q26" s="135">
        <f t="shared" si="40"/>
        <v>0.58121234476822825</v>
      </c>
      <c r="R26" s="135">
        <f t="shared" si="40"/>
        <v>0.57556382236689141</v>
      </c>
      <c r="S26" s="136"/>
      <c r="T26" s="137">
        <f t="shared" ref="T26:AA26" si="41">SUM(T21/T$22)</f>
        <v>0.55633915052992267</v>
      </c>
      <c r="U26" s="137">
        <f t="shared" si="41"/>
        <v>0.55751420343995639</v>
      </c>
      <c r="V26" s="137">
        <f t="shared" si="41"/>
        <v>0.55585449033724899</v>
      </c>
      <c r="W26" s="137">
        <f t="shared" si="41"/>
        <v>0.55744508925292002</v>
      </c>
      <c r="X26" s="137">
        <f t="shared" si="41"/>
        <v>0.56065608691021407</v>
      </c>
      <c r="Y26" s="137">
        <f t="shared" si="41"/>
        <v>0.56128521792975339</v>
      </c>
      <c r="Z26" s="137">
        <f t="shared" si="41"/>
        <v>0.57028537416090741</v>
      </c>
      <c r="AA26" s="138">
        <f t="shared" si="41"/>
        <v>0.57139226027832501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76"/>
  <sheetViews>
    <sheetView showGridLines="0" zoomScale="115" zoomScaleNormal="115" workbookViewId="0">
      <selection activeCell="R39" sqref="R39"/>
    </sheetView>
  </sheetViews>
  <sheetFormatPr defaultRowHeight="12" outlineLevelCol="1"/>
  <cols>
    <col min="1" max="1" width="1.5" style="8" customWidth="1"/>
    <col min="2" max="2" width="41.625" style="8" customWidth="1"/>
    <col min="3" max="3" width="8.625" style="8" customWidth="1" outlineLevel="1"/>
    <col min="4" max="4" width="9" style="8" bestFit="1" customWidth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0" bestFit="1" customWidth="1"/>
    <col min="30" max="16384" width="9" style="8"/>
  </cols>
  <sheetData>
    <row r="2" spans="2:29" s="5" customFormat="1" ht="12.75" customHeight="1">
      <c r="B2" s="1" t="str">
        <f>'Historical Financials'!B2</f>
        <v>Mastercard Inc (NYSE: MA)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42" t="s">
        <v>20</v>
      </c>
    </row>
    <row r="3" spans="2:29" s="5" customFormat="1" ht="12.75" customHeight="1">
      <c r="B3" s="6" t="s">
        <v>21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42"/>
    </row>
    <row r="4" spans="2:29" s="5" customFormat="1" ht="12.75" customHeight="1">
      <c r="B4" s="6" t="s">
        <v>66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45016</v>
      </c>
      <c r="I4" s="3">
        <f>'Historical Financials'!I8</f>
        <v>45107</v>
      </c>
      <c r="J4" s="3">
        <f>'Historical Financials'!J8</f>
        <v>45199</v>
      </c>
      <c r="K4" s="3">
        <f>'Historical Financials'!K8</f>
        <v>45291</v>
      </c>
      <c r="L4" s="3">
        <f>'Historical Financials'!L8</f>
        <v>45382</v>
      </c>
      <c r="M4" s="3">
        <f>'Historical Financials'!M8</f>
        <v>45473</v>
      </c>
      <c r="N4" s="3">
        <f>'Historical Financials'!N8</f>
        <v>45565</v>
      </c>
      <c r="O4" s="3">
        <f>'Historical Financials'!O8</f>
        <v>45657</v>
      </c>
      <c r="P4" s="3">
        <f>'Historical Financials'!P8</f>
        <v>45747</v>
      </c>
      <c r="Q4" s="3">
        <f>'Historical Financials'!Q8</f>
        <v>45838</v>
      </c>
      <c r="R4" s="3">
        <f>'Historical Financials'!R8</f>
        <v>45930</v>
      </c>
      <c r="S4" s="3"/>
      <c r="T4" s="3">
        <f t="shared" si="0"/>
        <v>45291</v>
      </c>
      <c r="U4" s="3">
        <f t="shared" si="0"/>
        <v>45382</v>
      </c>
      <c r="V4" s="3">
        <f t="shared" si="0"/>
        <v>45473</v>
      </c>
      <c r="W4" s="3">
        <f t="shared" si="0"/>
        <v>45565</v>
      </c>
      <c r="X4" s="3">
        <f t="shared" si="0"/>
        <v>45657</v>
      </c>
      <c r="Y4" s="3">
        <f t="shared" si="0"/>
        <v>45747</v>
      </c>
      <c r="Z4" s="3">
        <f t="shared" si="0"/>
        <v>45838</v>
      </c>
      <c r="AA4" s="3">
        <f t="shared" si="0"/>
        <v>45930</v>
      </c>
      <c r="AB4" s="3"/>
      <c r="AC4" s="142"/>
    </row>
    <row r="5" spans="2:29" ht="5.0999999999999996" customHeight="1">
      <c r="AC5" s="116"/>
    </row>
    <row r="6" spans="2:29" ht="12.75" customHeight="1">
      <c r="B6" s="9" t="str">
        <f>'Revenue Drivers'!B9</f>
        <v>Payment Network</v>
      </c>
      <c r="C6" s="85">
        <f>'Revenue Drivers'!C9</f>
        <v>11943</v>
      </c>
      <c r="D6" s="85">
        <f>'Revenue Drivers'!D9</f>
        <v>14358</v>
      </c>
      <c r="E6" s="85">
        <f>'Revenue Drivers'!E9</f>
        <v>15824</v>
      </c>
      <c r="F6" s="85">
        <f>'Revenue Drivers'!F9</f>
        <v>17335</v>
      </c>
      <c r="G6" s="10"/>
      <c r="H6" s="85">
        <f>'Revenue Drivers'!H9</f>
        <v>3650</v>
      </c>
      <c r="I6" s="85">
        <f>'Revenue Drivers'!I9</f>
        <v>4073</v>
      </c>
      <c r="J6" s="85">
        <f>'Revenue Drivers'!J9</f>
        <v>4210</v>
      </c>
      <c r="K6" s="85">
        <f>'Revenue Drivers'!K9</f>
        <v>3891</v>
      </c>
      <c r="L6" s="85">
        <f>'Revenue Drivers'!L9</f>
        <v>3920</v>
      </c>
      <c r="M6" s="85">
        <f>'Revenue Drivers'!M9</f>
        <v>4375</v>
      </c>
      <c r="N6" s="85">
        <f>'Revenue Drivers'!N9</f>
        <v>4629</v>
      </c>
      <c r="O6" s="85">
        <f>'Revenue Drivers'!O9</f>
        <v>4411</v>
      </c>
      <c r="P6" s="85">
        <f>'Revenue Drivers'!P9</f>
        <v>4432</v>
      </c>
      <c r="Q6" s="85">
        <f>'Revenue Drivers'!Q9</f>
        <v>4945</v>
      </c>
      <c r="R6" s="85">
        <f>'Revenue Drivers'!R9</f>
        <v>5179</v>
      </c>
      <c r="S6" s="5"/>
      <c r="T6" s="125">
        <f t="shared" ref="T6:Z7" si="1">SUM(H6:K6)</f>
        <v>15824</v>
      </c>
      <c r="U6" s="125">
        <f t="shared" si="1"/>
        <v>16094</v>
      </c>
      <c r="V6" s="125">
        <f t="shared" si="1"/>
        <v>16396</v>
      </c>
      <c r="W6" s="125">
        <f t="shared" si="1"/>
        <v>16815</v>
      </c>
      <c r="X6" s="125">
        <f t="shared" si="1"/>
        <v>17335</v>
      </c>
      <c r="Y6" s="125">
        <f t="shared" si="1"/>
        <v>17847</v>
      </c>
      <c r="Z6" s="125">
        <f t="shared" si="1"/>
        <v>18417</v>
      </c>
      <c r="AA6" s="125">
        <f>SUM(O6:R6)</f>
        <v>18967</v>
      </c>
      <c r="AC6" s="117">
        <f t="shared" ref="AC6:AC8" si="2">SUM(AA6/W6)-1</f>
        <v>0.12798096937258396</v>
      </c>
    </row>
    <row r="7" spans="2:29" ht="12.75" customHeight="1">
      <c r="B7" s="9" t="str">
        <f>'Revenue Drivers'!B10</f>
        <v>Value-Added Services</v>
      </c>
      <c r="C7" s="85">
        <f>'Revenue Drivers'!C10</f>
        <v>6941</v>
      </c>
      <c r="D7" s="85">
        <f>'Revenue Drivers'!D10</f>
        <v>7879</v>
      </c>
      <c r="E7" s="85">
        <f>'Revenue Drivers'!E10</f>
        <v>9274</v>
      </c>
      <c r="F7" s="85">
        <f>'Revenue Drivers'!F10</f>
        <v>10832</v>
      </c>
      <c r="G7" s="10"/>
      <c r="H7" s="85">
        <f>'Revenue Drivers'!H10</f>
        <v>2098</v>
      </c>
      <c r="I7" s="85">
        <f>'Revenue Drivers'!I10</f>
        <v>2196</v>
      </c>
      <c r="J7" s="85">
        <f>'Revenue Drivers'!J10</f>
        <v>2323</v>
      </c>
      <c r="K7" s="85">
        <f>'Revenue Drivers'!K10</f>
        <v>2657</v>
      </c>
      <c r="L7" s="85">
        <f>'Revenue Drivers'!L10</f>
        <v>2428</v>
      </c>
      <c r="M7" s="85">
        <f>'Revenue Drivers'!M10</f>
        <v>2586</v>
      </c>
      <c r="N7" s="85">
        <f>'Revenue Drivers'!N10</f>
        <v>2740</v>
      </c>
      <c r="O7" s="85">
        <f>'Revenue Drivers'!O10</f>
        <v>3078</v>
      </c>
      <c r="P7" s="85">
        <f>'Revenue Drivers'!P10</f>
        <v>2818</v>
      </c>
      <c r="Q7" s="85">
        <f>'Revenue Drivers'!Q10</f>
        <v>3188</v>
      </c>
      <c r="R7" s="85">
        <f>'Revenue Drivers'!R10</f>
        <v>3423</v>
      </c>
      <c r="S7" s="5"/>
      <c r="T7" s="125">
        <f t="shared" si="1"/>
        <v>9274</v>
      </c>
      <c r="U7" s="125">
        <f t="shared" si="1"/>
        <v>9604</v>
      </c>
      <c r="V7" s="125">
        <f t="shared" si="1"/>
        <v>9994</v>
      </c>
      <c r="W7" s="125">
        <f t="shared" si="1"/>
        <v>10411</v>
      </c>
      <c r="X7" s="125">
        <f t="shared" si="1"/>
        <v>10832</v>
      </c>
      <c r="Y7" s="125">
        <f t="shared" si="1"/>
        <v>11222</v>
      </c>
      <c r="Z7" s="125">
        <f t="shared" si="1"/>
        <v>11824</v>
      </c>
      <c r="AA7" s="125">
        <f>SUM(O7:R7)</f>
        <v>12507</v>
      </c>
      <c r="AC7" s="117">
        <f t="shared" si="2"/>
        <v>0.20132552108346946</v>
      </c>
    </row>
    <row r="8" spans="2:29" ht="12.75" customHeight="1">
      <c r="B8" s="13" t="s">
        <v>12</v>
      </c>
      <c r="C8" s="14">
        <f>SUM(C6:C7)</f>
        <v>18884</v>
      </c>
      <c r="D8" s="14">
        <f>SUM(D6:D7)</f>
        <v>22237</v>
      </c>
      <c r="E8" s="14">
        <f>SUM(E6:E7)</f>
        <v>25098</v>
      </c>
      <c r="F8" s="14">
        <f>SUM(F6:F7)</f>
        <v>28167</v>
      </c>
      <c r="G8" s="10"/>
      <c r="H8" s="14">
        <f>SUM(H6:H7)</f>
        <v>5748</v>
      </c>
      <c r="I8" s="14">
        <f>SUM(I6:I7)</f>
        <v>6269</v>
      </c>
      <c r="J8" s="14">
        <f>SUM(J6:J7)</f>
        <v>6533</v>
      </c>
      <c r="K8" s="14">
        <f>SUM(K6:K7)</f>
        <v>6548</v>
      </c>
      <c r="L8" s="14">
        <f>SUM(L6:L7)</f>
        <v>6348</v>
      </c>
      <c r="M8" s="14">
        <f>SUM(M6:M7)</f>
        <v>6961</v>
      </c>
      <c r="N8" s="14">
        <f>SUM(N6:N7)</f>
        <v>7369</v>
      </c>
      <c r="O8" s="14">
        <f>SUM(O6:O7)</f>
        <v>7489</v>
      </c>
      <c r="P8" s="14">
        <f>SUM(P6:P7)</f>
        <v>7250</v>
      </c>
      <c r="Q8" s="14">
        <f>SUM(Q6:Q7)</f>
        <v>8133</v>
      </c>
      <c r="R8" s="14">
        <f>SUM(R6:R7)</f>
        <v>8602</v>
      </c>
      <c r="S8" s="5"/>
      <c r="T8" s="14">
        <f>SUM(T6:T7)</f>
        <v>25098</v>
      </c>
      <c r="U8" s="14">
        <f>SUM(U6:U7)</f>
        <v>25698</v>
      </c>
      <c r="V8" s="14">
        <f>SUM(V6:V7)</f>
        <v>26390</v>
      </c>
      <c r="W8" s="14">
        <f>SUM(W6:W7)</f>
        <v>27226</v>
      </c>
      <c r="X8" s="14">
        <f>SUM(X6:X7)</f>
        <v>28167</v>
      </c>
      <c r="Y8" s="14">
        <f>SUM(Y6:Y7)</f>
        <v>29069</v>
      </c>
      <c r="Z8" s="14">
        <f>SUM(Z6:Z7)</f>
        <v>30241</v>
      </c>
      <c r="AA8" s="14">
        <f>SUM(AA6:AA7)</f>
        <v>31474</v>
      </c>
      <c r="AC8" s="118">
        <f t="shared" si="2"/>
        <v>0.15602732681995146</v>
      </c>
    </row>
    <row r="9" spans="2:29" ht="12.75" customHeight="1">
      <c r="B9" s="16" t="s">
        <v>24</v>
      </c>
      <c r="C9" s="106"/>
      <c r="D9" s="17">
        <f>SUM(D8/C8)-1</f>
        <v>0.17755772082185972</v>
      </c>
      <c r="E9" s="17">
        <f>SUM(E8/D8)-1</f>
        <v>0.1286594414714215</v>
      </c>
      <c r="F9" s="17">
        <f>SUM(F8/E8)-1</f>
        <v>0.12228065981353087</v>
      </c>
      <c r="G9" s="11"/>
      <c r="H9" s="106"/>
      <c r="I9" s="106"/>
      <c r="J9" s="106"/>
      <c r="K9" s="106"/>
      <c r="L9" s="17">
        <f t="shared" ref="L9:R9" si="3">SUM(L8/H8)-1</f>
        <v>0.10438413361169108</v>
      </c>
      <c r="M9" s="17">
        <f t="shared" si="3"/>
        <v>0.11038443132876052</v>
      </c>
      <c r="N9" s="17">
        <f t="shared" si="3"/>
        <v>0.1279657125363538</v>
      </c>
      <c r="O9" s="17">
        <f t="shared" si="3"/>
        <v>0.14370800244349424</v>
      </c>
      <c r="P9" s="17">
        <f t="shared" si="3"/>
        <v>0.14209199747952117</v>
      </c>
      <c r="Q9" s="17">
        <f t="shared" si="3"/>
        <v>0.1683666139922424</v>
      </c>
      <c r="R9" s="17">
        <f t="shared" si="3"/>
        <v>0.16732256751255248</v>
      </c>
      <c r="S9" s="5"/>
      <c r="T9" s="106"/>
      <c r="U9" s="106"/>
      <c r="V9" s="106"/>
      <c r="W9" s="106"/>
      <c r="X9" s="17">
        <f t="shared" ref="X9:AA9" si="4">SUM(X8/T8)-1</f>
        <v>0.12228065981353087</v>
      </c>
      <c r="Y9" s="17">
        <f t="shared" si="4"/>
        <v>0.13117752354268819</v>
      </c>
      <c r="Z9" s="17">
        <f t="shared" si="4"/>
        <v>0.14592648730579771</v>
      </c>
      <c r="AA9" s="17">
        <f t="shared" si="4"/>
        <v>0.15602732681995146</v>
      </c>
      <c r="AC9" s="119">
        <f>SUM(AA9-W9)*10000</f>
        <v>1560.2732681995146</v>
      </c>
    </row>
    <row r="10" spans="2:29" ht="12.75" customHeight="1">
      <c r="B10" s="16" t="s">
        <v>25</v>
      </c>
      <c r="C10" s="17" t="s">
        <v>26</v>
      </c>
      <c r="D10" s="17" t="s">
        <v>26</v>
      </c>
      <c r="E10" s="17" t="s">
        <v>26</v>
      </c>
      <c r="F10" s="17" t="s">
        <v>26</v>
      </c>
      <c r="G10" s="11"/>
      <c r="H10" s="106"/>
      <c r="I10" s="17">
        <f t="shared" ref="I10:R10" si="5">SUM(I8/H8)-1</f>
        <v>9.0640222686151795E-2</v>
      </c>
      <c r="J10" s="17">
        <f t="shared" si="5"/>
        <v>4.211197958207058E-2</v>
      </c>
      <c r="K10" s="17">
        <f t="shared" si="5"/>
        <v>2.2960355120158482E-3</v>
      </c>
      <c r="L10" s="17">
        <f t="shared" si="5"/>
        <v>-3.0543677458766072E-2</v>
      </c>
      <c r="M10" s="17">
        <f t="shared" si="5"/>
        <v>9.6565847511027147E-2</v>
      </c>
      <c r="N10" s="17">
        <f t="shared" si="5"/>
        <v>5.8612268352248309E-2</v>
      </c>
      <c r="O10" s="17">
        <f t="shared" si="5"/>
        <v>1.6284434794409108E-2</v>
      </c>
      <c r="P10" s="17">
        <f t="shared" si="5"/>
        <v>-3.1913473093871048E-2</v>
      </c>
      <c r="Q10" s="17">
        <f t="shared" si="5"/>
        <v>0.12179310344827576</v>
      </c>
      <c r="R10" s="17">
        <f t="shared" si="5"/>
        <v>5.7666297799090049E-2</v>
      </c>
      <c r="S10" s="5"/>
      <c r="T10" s="17" t="s">
        <v>26</v>
      </c>
      <c r="U10" s="17" t="s">
        <v>26</v>
      </c>
      <c r="V10" s="17" t="s">
        <v>26</v>
      </c>
      <c r="W10" s="17" t="s">
        <v>26</v>
      </c>
      <c r="X10" s="17" t="s">
        <v>26</v>
      </c>
      <c r="Y10" s="17" t="s">
        <v>26</v>
      </c>
      <c r="Z10" s="17" t="s">
        <v>26</v>
      </c>
      <c r="AA10" s="17" t="s">
        <v>26</v>
      </c>
      <c r="AC10" s="116"/>
    </row>
    <row r="11" spans="2:29" ht="5.0999999999999996" customHeight="1">
      <c r="B11" s="18"/>
      <c r="C11" s="19"/>
      <c r="D11" s="19"/>
      <c r="E11" s="19"/>
      <c r="F11" s="19"/>
      <c r="G11" s="20"/>
      <c r="H11" s="21"/>
      <c r="I11" s="21"/>
      <c r="J11" s="21"/>
      <c r="K11" s="22"/>
      <c r="L11" s="21"/>
      <c r="M11" s="21"/>
      <c r="N11" s="21"/>
      <c r="O11" s="21"/>
      <c r="P11" s="21"/>
      <c r="Q11" s="21"/>
      <c r="R11" s="21"/>
      <c r="S11" s="20"/>
      <c r="T11" s="20"/>
      <c r="U11" s="20"/>
      <c r="V11" s="20"/>
      <c r="W11" s="20"/>
      <c r="X11" s="20"/>
      <c r="Y11" s="20"/>
      <c r="Z11" s="20"/>
      <c r="AA11" s="20"/>
      <c r="AC11" s="116"/>
    </row>
    <row r="12" spans="2:29" ht="12.75" customHeight="1">
      <c r="B12" s="23" t="s">
        <v>186</v>
      </c>
      <c r="C12" s="124">
        <f>'Historical Financials'!C13</f>
        <v>-7087</v>
      </c>
      <c r="D12" s="124">
        <f>'Historical Financials'!D13</f>
        <v>-8078</v>
      </c>
      <c r="E12" s="124">
        <f>'Historical Financials'!E13</f>
        <v>-8927</v>
      </c>
      <c r="F12" s="124">
        <f>'Historical Financials'!F13</f>
        <v>-10193</v>
      </c>
      <c r="G12" s="85"/>
      <c r="H12" s="124">
        <f>'Historical Financials'!H13</f>
        <v>-2043</v>
      </c>
      <c r="I12" s="124">
        <f>'Historical Financials'!I13</f>
        <v>-2200</v>
      </c>
      <c r="J12" s="124">
        <f>'Historical Financials'!J13</f>
        <v>-2285</v>
      </c>
      <c r="K12" s="124">
        <f>'Historical Financials'!K13</f>
        <v>-2399</v>
      </c>
      <c r="L12" s="124">
        <f>'Historical Financials'!L13</f>
        <v>-2286</v>
      </c>
      <c r="M12" s="124">
        <f>'Historical Financials'!M13</f>
        <v>-2418</v>
      </c>
      <c r="N12" s="124">
        <f>'Historical Financials'!N13</f>
        <v>-2744</v>
      </c>
      <c r="O12" s="124">
        <f>'Historical Financials'!O13</f>
        <v>-2745</v>
      </c>
      <c r="P12" s="124">
        <f>'Historical Financials'!P13</f>
        <v>-2523</v>
      </c>
      <c r="Q12" s="124">
        <f>'Historical Financials'!Q13</f>
        <v>-2766</v>
      </c>
      <c r="R12" s="124">
        <f>'Historical Financials'!R13</f>
        <v>-2923</v>
      </c>
      <c r="S12" s="5"/>
      <c r="T12" s="125">
        <f t="shared" ref="T12:Z15" si="6">SUM(H12:K12)</f>
        <v>-8927</v>
      </c>
      <c r="U12" s="125">
        <f t="shared" si="6"/>
        <v>-9170</v>
      </c>
      <c r="V12" s="125">
        <f t="shared" si="6"/>
        <v>-9388</v>
      </c>
      <c r="W12" s="125">
        <f t="shared" si="6"/>
        <v>-9847</v>
      </c>
      <c r="X12" s="125">
        <f t="shared" si="6"/>
        <v>-10193</v>
      </c>
      <c r="Y12" s="125">
        <f t="shared" si="6"/>
        <v>-10430</v>
      </c>
      <c r="Z12" s="125">
        <f t="shared" si="6"/>
        <v>-10778</v>
      </c>
      <c r="AA12" s="125">
        <f>SUM(O12:R12)</f>
        <v>-10957</v>
      </c>
      <c r="AC12" s="117">
        <f t="shared" ref="AC12:AC15" si="7">SUM(AA12/W12)-1</f>
        <v>0.11272468772214883</v>
      </c>
    </row>
    <row r="13" spans="2:29" ht="12.75" customHeight="1">
      <c r="B13" s="23" t="s">
        <v>185</v>
      </c>
      <c r="C13" s="124">
        <f>'Historical Financials'!C14</f>
        <v>-895</v>
      </c>
      <c r="D13" s="124">
        <f>'Historical Financials'!D14</f>
        <v>-789</v>
      </c>
      <c r="E13" s="124">
        <f>'Historical Financials'!E14</f>
        <v>-825</v>
      </c>
      <c r="F13" s="124">
        <f>'Historical Financials'!F14</f>
        <v>-815</v>
      </c>
      <c r="G13" s="85"/>
      <c r="H13" s="124">
        <f>'Historical Financials'!H14</f>
        <v>-167</v>
      </c>
      <c r="I13" s="124">
        <f>'Historical Financials'!I14</f>
        <v>-201</v>
      </c>
      <c r="J13" s="124">
        <f>'Historical Financials'!J14</f>
        <v>-193</v>
      </c>
      <c r="K13" s="124">
        <f>'Historical Financials'!K14</f>
        <v>-264</v>
      </c>
      <c r="L13" s="124">
        <f>'Historical Financials'!L14</f>
        <v>-116</v>
      </c>
      <c r="M13" s="124">
        <f>'Historical Financials'!M14</f>
        <v>-184</v>
      </c>
      <c r="N13" s="124">
        <f>'Historical Financials'!N14</f>
        <v>-220</v>
      </c>
      <c r="O13" s="124">
        <f>'Historical Financials'!O14</f>
        <v>-295</v>
      </c>
      <c r="P13" s="124">
        <f>'Historical Financials'!P14</f>
        <v>-152</v>
      </c>
      <c r="Q13" s="124">
        <f>'Historical Financials'!Q14</f>
        <v>-213</v>
      </c>
      <c r="R13" s="124">
        <f>'Historical Financials'!R14</f>
        <v>-245</v>
      </c>
      <c r="S13" s="5"/>
      <c r="T13" s="125">
        <f t="shared" si="6"/>
        <v>-825</v>
      </c>
      <c r="U13" s="125">
        <f t="shared" si="6"/>
        <v>-774</v>
      </c>
      <c r="V13" s="125">
        <f t="shared" si="6"/>
        <v>-757</v>
      </c>
      <c r="W13" s="125">
        <f t="shared" si="6"/>
        <v>-784</v>
      </c>
      <c r="X13" s="125">
        <f t="shared" si="6"/>
        <v>-815</v>
      </c>
      <c r="Y13" s="125">
        <f t="shared" si="6"/>
        <v>-851</v>
      </c>
      <c r="Z13" s="125">
        <f t="shared" si="6"/>
        <v>-880</v>
      </c>
      <c r="AA13" s="125">
        <f>SUM(O13:R13)</f>
        <v>-905</v>
      </c>
      <c r="AC13" s="117">
        <f t="shared" si="7"/>
        <v>0.15433673469387754</v>
      </c>
    </row>
    <row r="14" spans="2:29" ht="12.75" customHeight="1">
      <c r="B14" s="23" t="s">
        <v>184</v>
      </c>
      <c r="C14" s="124">
        <f>'Historical Financials'!C15</f>
        <v>-726</v>
      </c>
      <c r="D14" s="124">
        <f>'Historical Financials'!D15</f>
        <v>-750</v>
      </c>
      <c r="E14" s="124">
        <f>'Historical Financials'!E15</f>
        <v>-799</v>
      </c>
      <c r="F14" s="124">
        <f>'Historical Financials'!F15</f>
        <v>-897</v>
      </c>
      <c r="G14" s="85"/>
      <c r="H14" s="124">
        <f>'Historical Financials'!H15</f>
        <v>-191</v>
      </c>
      <c r="I14" s="124">
        <f>'Historical Financials'!I15</f>
        <v>-192</v>
      </c>
      <c r="J14" s="124">
        <f>'Historical Financials'!J15</f>
        <v>-211</v>
      </c>
      <c r="K14" s="124">
        <f>'Historical Financials'!K15</f>
        <v>-205</v>
      </c>
      <c r="L14" s="124">
        <f>'Historical Financials'!L15</f>
        <v>-216</v>
      </c>
      <c r="M14" s="124">
        <f>'Historical Financials'!M15</f>
        <v>-225</v>
      </c>
      <c r="N14" s="124">
        <f>'Historical Financials'!N15</f>
        <v>-225</v>
      </c>
      <c r="O14" s="124">
        <f>'Historical Financials'!O15</f>
        <v>-231</v>
      </c>
      <c r="P14" s="124">
        <f>'Historical Financials'!P15</f>
        <v>-275</v>
      </c>
      <c r="Q14" s="124">
        <f>'Historical Financials'!Q15</f>
        <v>-281</v>
      </c>
      <c r="R14" s="124">
        <f>'Historical Financials'!R15</f>
        <v>-290</v>
      </c>
      <c r="S14" s="5"/>
      <c r="T14" s="125">
        <f t="shared" si="6"/>
        <v>-799</v>
      </c>
      <c r="U14" s="125">
        <f t="shared" si="6"/>
        <v>-824</v>
      </c>
      <c r="V14" s="125">
        <f t="shared" si="6"/>
        <v>-857</v>
      </c>
      <c r="W14" s="125">
        <f t="shared" si="6"/>
        <v>-871</v>
      </c>
      <c r="X14" s="125">
        <f t="shared" si="6"/>
        <v>-897</v>
      </c>
      <c r="Y14" s="125">
        <f t="shared" si="6"/>
        <v>-956</v>
      </c>
      <c r="Z14" s="125">
        <f t="shared" si="6"/>
        <v>-1012</v>
      </c>
      <c r="AA14" s="125">
        <f>SUM(O14:R14)</f>
        <v>-1077</v>
      </c>
      <c r="AC14" s="117">
        <f t="shared" si="7"/>
        <v>0.23650975889781867</v>
      </c>
    </row>
    <row r="15" spans="2:29" ht="12.75" customHeight="1">
      <c r="B15" s="23" t="s">
        <v>183</v>
      </c>
      <c r="C15" s="124">
        <f>'Historical Financials'!C16</f>
        <v>-94</v>
      </c>
      <c r="D15" s="124">
        <f>'Historical Financials'!D16</f>
        <v>-356</v>
      </c>
      <c r="E15" s="124">
        <f>'Historical Financials'!E16</f>
        <v>-539</v>
      </c>
      <c r="F15" s="124">
        <f>'Historical Financials'!F16</f>
        <v>-680</v>
      </c>
      <c r="G15" s="85"/>
      <c r="H15" s="124">
        <f>'Historical Financials'!H16</f>
        <v>-211</v>
      </c>
      <c r="I15" s="124">
        <f>'Historical Financials'!I16</f>
        <v>-20</v>
      </c>
      <c r="J15" s="124">
        <f>'Historical Financials'!J16</f>
        <v>0</v>
      </c>
      <c r="K15" s="124">
        <f>'Historical Financials'!K16</f>
        <v>-308</v>
      </c>
      <c r="L15" s="124">
        <f>'Historical Financials'!L16</f>
        <v>-126</v>
      </c>
      <c r="M15" s="124">
        <f>'Historical Financials'!M16</f>
        <v>-98</v>
      </c>
      <c r="N15" s="124">
        <f>'Historical Financials'!N16</f>
        <v>-176</v>
      </c>
      <c r="O15" s="124">
        <f>'Historical Financials'!O16</f>
        <v>-280</v>
      </c>
      <c r="P15" s="124">
        <f>'Historical Financials'!P16</f>
        <v>-151</v>
      </c>
      <c r="Q15" s="124">
        <f>'Historical Financials'!Q16</f>
        <v>-96</v>
      </c>
      <c r="R15" s="124">
        <f>'Historical Financials'!R16</f>
        <v>-83</v>
      </c>
      <c r="S15" s="5"/>
      <c r="T15" s="125">
        <f t="shared" si="6"/>
        <v>-539</v>
      </c>
      <c r="U15" s="125">
        <f t="shared" si="6"/>
        <v>-454</v>
      </c>
      <c r="V15" s="125">
        <f t="shared" si="6"/>
        <v>-532</v>
      </c>
      <c r="W15" s="125">
        <f t="shared" si="6"/>
        <v>-708</v>
      </c>
      <c r="X15" s="125">
        <f t="shared" si="6"/>
        <v>-680</v>
      </c>
      <c r="Y15" s="125">
        <f t="shared" si="6"/>
        <v>-705</v>
      </c>
      <c r="Z15" s="125">
        <f t="shared" si="6"/>
        <v>-703</v>
      </c>
      <c r="AA15" s="125">
        <f>SUM(O15:R15)</f>
        <v>-610</v>
      </c>
      <c r="AC15" s="117">
        <f t="shared" si="7"/>
        <v>-0.1384180790960452</v>
      </c>
    </row>
    <row r="16" spans="2:29" ht="12.75" customHeight="1">
      <c r="B16" s="13" t="s">
        <v>27</v>
      </c>
      <c r="C16" s="14">
        <f>SUM(C8+SUM(C12:C15))</f>
        <v>10082</v>
      </c>
      <c r="D16" s="14">
        <f>SUM(D8+SUM(D12:D15))</f>
        <v>12264</v>
      </c>
      <c r="E16" s="14">
        <f>SUM(E8+SUM(E12:E15))</f>
        <v>14008</v>
      </c>
      <c r="F16" s="14">
        <f>SUM(F8+SUM(F12:F15))</f>
        <v>15582</v>
      </c>
      <c r="G16" s="11"/>
      <c r="H16" s="14">
        <f>SUM(H8+SUM(H12:H15))</f>
        <v>3136</v>
      </c>
      <c r="I16" s="14">
        <f>SUM(I8+SUM(I12:I15))</f>
        <v>3656</v>
      </c>
      <c r="J16" s="14">
        <f>SUM(J8+SUM(J12:J15))</f>
        <v>3844</v>
      </c>
      <c r="K16" s="14">
        <f>SUM(K8+SUM(K12:K15))</f>
        <v>3372</v>
      </c>
      <c r="L16" s="14">
        <f>SUM(L8+SUM(L12:L15))</f>
        <v>3604</v>
      </c>
      <c r="M16" s="14">
        <f>SUM(M8+SUM(M12:M15))</f>
        <v>4036</v>
      </c>
      <c r="N16" s="14">
        <f>SUM(N8+SUM(N12:N15))</f>
        <v>4004</v>
      </c>
      <c r="O16" s="14">
        <f>SUM(O8+SUM(O12:O15))</f>
        <v>3938</v>
      </c>
      <c r="P16" s="14">
        <f>SUM(P8+SUM(P12:P15))</f>
        <v>4149</v>
      </c>
      <c r="Q16" s="14">
        <f>SUM(Q8+SUM(Q12:Q15))</f>
        <v>4777</v>
      </c>
      <c r="R16" s="14">
        <f>SUM(R8+SUM(R12:R15))</f>
        <v>5061</v>
      </c>
      <c r="S16" s="5"/>
      <c r="T16" s="14">
        <f>SUM(T8+SUM(T12:T15))</f>
        <v>14008</v>
      </c>
      <c r="U16" s="14">
        <f>SUM(U8+SUM(U12:U15))</f>
        <v>14476</v>
      </c>
      <c r="V16" s="14">
        <f>SUM(V8+SUM(V12:V15))</f>
        <v>14856</v>
      </c>
      <c r="W16" s="14">
        <f>SUM(W8+SUM(W12:W15))</f>
        <v>15016</v>
      </c>
      <c r="X16" s="14">
        <f>SUM(X8+SUM(X12:X15))</f>
        <v>15582</v>
      </c>
      <c r="Y16" s="14">
        <f>SUM(Y8+SUM(Y12:Y15))</f>
        <v>16127</v>
      </c>
      <c r="Z16" s="14">
        <f>SUM(Z8+SUM(Z12:Z15))</f>
        <v>16868</v>
      </c>
      <c r="AA16" s="14">
        <f>SUM(AA8+SUM(AA12:AA15))</f>
        <v>17925</v>
      </c>
      <c r="AC16" s="118">
        <f>SUM(AA16/W16)-1</f>
        <v>0.19372669152903566</v>
      </c>
    </row>
    <row r="17" spans="2:29" ht="12.75" customHeight="1">
      <c r="B17" s="16" t="s">
        <v>28</v>
      </c>
      <c r="C17" s="17">
        <f>C16/C8</f>
        <v>0.53389112476170308</v>
      </c>
      <c r="D17" s="17">
        <f>D16/D8</f>
        <v>0.55151324369294419</v>
      </c>
      <c r="E17" s="17">
        <f>E16/E8</f>
        <v>0.55813212208144081</v>
      </c>
      <c r="F17" s="17">
        <f>F16/F8</f>
        <v>0.55320055383959954</v>
      </c>
      <c r="G17" s="27"/>
      <c r="H17" s="17">
        <f>H16/H8</f>
        <v>0.54558107167710512</v>
      </c>
      <c r="I17" s="17">
        <f>I16/I8</f>
        <v>0.58318711118200672</v>
      </c>
      <c r="J17" s="17">
        <f>J16/J8</f>
        <v>0.58839736721261293</v>
      </c>
      <c r="K17" s="17">
        <f>K16/K8</f>
        <v>0.51496640195479537</v>
      </c>
      <c r="L17" s="17">
        <f>L16/L8</f>
        <v>0.56773787019533717</v>
      </c>
      <c r="M17" s="17">
        <f>M16/M8</f>
        <v>0.57980175262174971</v>
      </c>
      <c r="N17" s="17">
        <f>N16/N8</f>
        <v>0.54335730764011403</v>
      </c>
      <c r="O17" s="17">
        <f>O16/O8</f>
        <v>0.52583789558018423</v>
      </c>
      <c r="P17" s="17">
        <f>P16/P8</f>
        <v>0.57227586206896552</v>
      </c>
      <c r="Q17" s="17">
        <f>Q16/Q8</f>
        <v>0.58736013771056195</v>
      </c>
      <c r="R17" s="17">
        <f>R16/R8</f>
        <v>0.58835154615205765</v>
      </c>
      <c r="S17" s="28"/>
      <c r="T17" s="17">
        <f>T16/T8</f>
        <v>0.55813212208144081</v>
      </c>
      <c r="U17" s="17">
        <f>U16/U8</f>
        <v>0.56331232002490461</v>
      </c>
      <c r="V17" s="17">
        <f>V16/V8</f>
        <v>0.56294050776809401</v>
      </c>
      <c r="W17" s="17">
        <f>W16/W8</f>
        <v>0.55153162418276647</v>
      </c>
      <c r="X17" s="17">
        <f>X16/X8</f>
        <v>0.55320055383959954</v>
      </c>
      <c r="Y17" s="17">
        <f>Y16/Y8</f>
        <v>0.55478344628298182</v>
      </c>
      <c r="Z17" s="17">
        <f>Z16/Z8</f>
        <v>0.5577857875070269</v>
      </c>
      <c r="AA17" s="17">
        <f>AA16/AA8</f>
        <v>0.56951769714685141</v>
      </c>
      <c r="AC17" s="119">
        <f>SUM(AA17-W17)*10000</f>
        <v>179.86072964084943</v>
      </c>
    </row>
    <row r="18" spans="2:29" ht="5.0999999999999996" customHeight="1">
      <c r="AC18" s="116"/>
    </row>
    <row r="19" spans="2:29" ht="12.75" customHeight="1">
      <c r="B19" s="29" t="s">
        <v>93</v>
      </c>
      <c r="C19" s="124">
        <f>'Historical Financials'!C100</f>
        <v>726</v>
      </c>
      <c r="D19" s="124">
        <f>'Historical Financials'!D100</f>
        <v>750</v>
      </c>
      <c r="E19" s="124">
        <f>'Historical Financials'!E100</f>
        <v>799</v>
      </c>
      <c r="F19" s="124">
        <f>'Historical Financials'!F100</f>
        <v>897</v>
      </c>
      <c r="H19" s="124">
        <f>'Historical Financials'!H100</f>
        <v>191</v>
      </c>
      <c r="I19" s="124">
        <f>'Historical Financials'!I100</f>
        <v>192</v>
      </c>
      <c r="J19" s="124">
        <f>'Historical Financials'!J100</f>
        <v>211</v>
      </c>
      <c r="K19" s="124">
        <f>'Historical Financials'!K100</f>
        <v>205</v>
      </c>
      <c r="L19" s="124">
        <f>'Historical Financials'!L100</f>
        <v>216</v>
      </c>
      <c r="M19" s="124">
        <f>'Historical Financials'!M100</f>
        <v>225</v>
      </c>
      <c r="N19" s="124">
        <f>'Historical Financials'!N100</f>
        <v>225</v>
      </c>
      <c r="O19" s="124">
        <f>'Historical Financials'!O100</f>
        <v>231</v>
      </c>
      <c r="P19" s="124">
        <f>'Historical Financials'!P100</f>
        <v>275</v>
      </c>
      <c r="Q19" s="124">
        <f>'Historical Financials'!Q100</f>
        <v>281</v>
      </c>
      <c r="R19" s="124">
        <f>'Historical Financials'!R100</f>
        <v>290</v>
      </c>
      <c r="T19" s="10">
        <f t="shared" ref="T19:Z19" si="8">SUM(H19:K19)</f>
        <v>799</v>
      </c>
      <c r="U19" s="10">
        <f t="shared" si="8"/>
        <v>824</v>
      </c>
      <c r="V19" s="10">
        <f t="shared" si="8"/>
        <v>857</v>
      </c>
      <c r="W19" s="10">
        <f t="shared" si="8"/>
        <v>871</v>
      </c>
      <c r="X19" s="10">
        <f t="shared" si="8"/>
        <v>897</v>
      </c>
      <c r="Y19" s="10">
        <f t="shared" si="8"/>
        <v>956</v>
      </c>
      <c r="Z19" s="10">
        <f t="shared" si="8"/>
        <v>1012</v>
      </c>
      <c r="AA19" s="10">
        <f>SUM(O19:R19)</f>
        <v>1077</v>
      </c>
      <c r="AC19" s="117">
        <f>SUM(AA19/W19)-1</f>
        <v>0.23650975889781867</v>
      </c>
    </row>
    <row r="20" spans="2:29" ht="12.75" customHeight="1">
      <c r="B20" s="25" t="s">
        <v>11</v>
      </c>
      <c r="C20" s="26">
        <f>SUM(C16+SUM(C19:C19))</f>
        <v>10808</v>
      </c>
      <c r="D20" s="26">
        <f>SUM(D16+SUM(D19:D19))</f>
        <v>13014</v>
      </c>
      <c r="E20" s="26">
        <f>SUM(E16+SUM(E19:E19))</f>
        <v>14807</v>
      </c>
      <c r="F20" s="26">
        <f>SUM(F16+SUM(F19:F19))</f>
        <v>16479</v>
      </c>
      <c r="H20" s="26">
        <f>SUM(H16+SUM(H19:H19))</f>
        <v>3327</v>
      </c>
      <c r="I20" s="26">
        <f>SUM(I16+SUM(I19:I19))</f>
        <v>3848</v>
      </c>
      <c r="J20" s="26">
        <f>SUM(J16+SUM(J19:J19))</f>
        <v>4055</v>
      </c>
      <c r="K20" s="26">
        <f>SUM(K16+SUM(K19:K19))</f>
        <v>3577</v>
      </c>
      <c r="L20" s="26">
        <f>SUM(L16+SUM(L19:L19))</f>
        <v>3820</v>
      </c>
      <c r="M20" s="26">
        <f>SUM(M16+SUM(M19:M19))</f>
        <v>4261</v>
      </c>
      <c r="N20" s="26">
        <f>SUM(N16+SUM(N19:N19))</f>
        <v>4229</v>
      </c>
      <c r="O20" s="26">
        <f>SUM(O16+SUM(O19:O19))</f>
        <v>4169</v>
      </c>
      <c r="P20" s="26">
        <f>SUM(P16+SUM(P19:P19))</f>
        <v>4424</v>
      </c>
      <c r="Q20" s="26">
        <f>SUM(Q16+SUM(Q19:Q19))</f>
        <v>5058</v>
      </c>
      <c r="R20" s="26">
        <f>SUM(R16+SUM(R19:R19))</f>
        <v>5351</v>
      </c>
      <c r="T20" s="26">
        <f>SUM(T16+SUM(T19:T19))</f>
        <v>14807</v>
      </c>
      <c r="U20" s="26">
        <f>SUM(U16+SUM(U19:U19))</f>
        <v>15300</v>
      </c>
      <c r="V20" s="26">
        <f>SUM(V16+SUM(V19:V19))</f>
        <v>15713</v>
      </c>
      <c r="W20" s="26">
        <f>SUM(W16+SUM(W19:W19))</f>
        <v>15887</v>
      </c>
      <c r="X20" s="26">
        <f>SUM(X16+SUM(X19:X19))</f>
        <v>16479</v>
      </c>
      <c r="Y20" s="26">
        <f>SUM(Y16+SUM(Y19:Y19))</f>
        <v>17083</v>
      </c>
      <c r="Z20" s="26">
        <f>SUM(Z16+SUM(Z19:Z19))</f>
        <v>17880</v>
      </c>
      <c r="AA20" s="26">
        <f>SUM(AA16+SUM(AA19:AA19))</f>
        <v>19002</v>
      </c>
      <c r="AC20" s="118">
        <f>SUM(AA20/W20)-1</f>
        <v>0.19607226033864156</v>
      </c>
    </row>
    <row r="21" spans="2:29" ht="12.75" customHeight="1">
      <c r="B21" s="16" t="s">
        <v>29</v>
      </c>
      <c r="C21" s="17">
        <f>C20/C8</f>
        <v>0.57233636941325994</v>
      </c>
      <c r="D21" s="17">
        <f>D20/D8</f>
        <v>0.5852408148581193</v>
      </c>
      <c r="E21" s="17">
        <f>E20/E8</f>
        <v>0.58996732807395014</v>
      </c>
      <c r="F21" s="17">
        <f>F20/F8</f>
        <v>0.58504633081265311</v>
      </c>
      <c r="H21" s="17">
        <f>H20/H8</f>
        <v>0.57881002087682676</v>
      </c>
      <c r="I21" s="17">
        <f>I20/I8</f>
        <v>0.6138140054235125</v>
      </c>
      <c r="J21" s="17">
        <f>J20/J8</f>
        <v>0.62069493341497017</v>
      </c>
      <c r="K21" s="17">
        <f>K20/K8</f>
        <v>0.54627367135003058</v>
      </c>
      <c r="L21" s="17">
        <f>L20/L8</f>
        <v>0.60176433522369255</v>
      </c>
      <c r="M21" s="17">
        <f>M20/M8</f>
        <v>0.61212469472776898</v>
      </c>
      <c r="N21" s="17">
        <f>N20/N8</f>
        <v>0.57389062287963089</v>
      </c>
      <c r="O21" s="17">
        <f>O20/O8</f>
        <v>0.55668313526505542</v>
      </c>
      <c r="P21" s="17">
        <f>P20/P8</f>
        <v>0.61020689655172411</v>
      </c>
      <c r="Q21" s="17">
        <f>Q20/Q8</f>
        <v>0.62191073404647734</v>
      </c>
      <c r="R21" s="17">
        <f>R20/R8</f>
        <v>0.62206463613113228</v>
      </c>
      <c r="T21" s="17">
        <f>T20/T8</f>
        <v>0.58996732807395014</v>
      </c>
      <c r="U21" s="17">
        <f>U20/U8</f>
        <v>0.59537707214569224</v>
      </c>
      <c r="V21" s="17">
        <f>V20/V8</f>
        <v>0.59541492989768852</v>
      </c>
      <c r="W21" s="17">
        <f>W20/W8</f>
        <v>0.58352310291633003</v>
      </c>
      <c r="X21" s="17">
        <f>X20/X8</f>
        <v>0.58504633081265311</v>
      </c>
      <c r="Y21" s="17">
        <f>Y20/Y8</f>
        <v>0.58767071450686303</v>
      </c>
      <c r="Z21" s="17">
        <f>Z20/Z8</f>
        <v>0.59125028934228363</v>
      </c>
      <c r="AA21" s="17">
        <f>AA20/AA8</f>
        <v>0.60373641736036088</v>
      </c>
      <c r="AC21" s="119">
        <f>SUM(AA21-W21)*10000</f>
        <v>202.13314444030851</v>
      </c>
    </row>
    <row r="22" spans="2:29" ht="5.0999999999999996" customHeight="1">
      <c r="AC22" s="116"/>
    </row>
    <row r="23" spans="2:29" ht="12.75" customHeight="1">
      <c r="B23" s="29" t="s">
        <v>98</v>
      </c>
      <c r="C23" s="124">
        <f>'Historical Financials'!C102</f>
        <v>273</v>
      </c>
      <c r="D23" s="124">
        <f>'Historical Financials'!D102</f>
        <v>295</v>
      </c>
      <c r="E23" s="124">
        <f>'Historical Financials'!E102</f>
        <v>460</v>
      </c>
      <c r="F23" s="124">
        <f>'Historical Financials'!F102</f>
        <v>526</v>
      </c>
      <c r="H23" s="124">
        <f>'Historical Financials'!H102</f>
        <v>108</v>
      </c>
      <c r="I23" s="124">
        <f>'Historical Financials'!I102</f>
        <v>135</v>
      </c>
      <c r="J23" s="124">
        <f>'Historical Financials'!J102</f>
        <v>131</v>
      </c>
      <c r="K23" s="124">
        <f>'Historical Financials'!K102</f>
        <v>86</v>
      </c>
      <c r="L23" s="124">
        <f>'Historical Financials'!L102</f>
        <v>108</v>
      </c>
      <c r="M23" s="124">
        <f>'Historical Financials'!M102</f>
        <v>155</v>
      </c>
      <c r="N23" s="124">
        <f>'Historical Financials'!N102</f>
        <v>155</v>
      </c>
      <c r="O23" s="124">
        <f>'Historical Financials'!O102</f>
        <v>108</v>
      </c>
      <c r="P23" s="124">
        <f>'Historical Financials'!P102</f>
        <v>129</v>
      </c>
      <c r="Q23" s="124">
        <f>'Historical Financials'!Q102</f>
        <v>179</v>
      </c>
      <c r="R23" s="124">
        <f>'Historical Financials'!R102</f>
        <v>177</v>
      </c>
      <c r="T23" s="125">
        <f t="shared" ref="T23:Z23" si="9">SUM(H23:K23)</f>
        <v>460</v>
      </c>
      <c r="U23" s="125">
        <f t="shared" si="9"/>
        <v>460</v>
      </c>
      <c r="V23" s="125">
        <f t="shared" si="9"/>
        <v>480</v>
      </c>
      <c r="W23" s="125">
        <f t="shared" si="9"/>
        <v>504</v>
      </c>
      <c r="X23" s="125">
        <f t="shared" si="9"/>
        <v>526</v>
      </c>
      <c r="Y23" s="125">
        <f t="shared" si="9"/>
        <v>547</v>
      </c>
      <c r="Z23" s="125">
        <f t="shared" si="9"/>
        <v>571</v>
      </c>
      <c r="AA23" s="125">
        <f>SUM(O23:R23)</f>
        <v>593</v>
      </c>
      <c r="AC23" s="117">
        <f t="shared" ref="AC23" si="10">SUM(AA23/W23)-1</f>
        <v>0.17658730158730163</v>
      </c>
    </row>
    <row r="24" spans="2:29" ht="12.75" customHeight="1">
      <c r="B24" s="13" t="s">
        <v>30</v>
      </c>
      <c r="C24" s="14">
        <f>+SUM(C20+SUM(C23:C23))</f>
        <v>11081</v>
      </c>
      <c r="D24" s="14">
        <f>+SUM(D20+SUM(D23:D23))</f>
        <v>13309</v>
      </c>
      <c r="E24" s="14">
        <f>+SUM(E20+SUM(E23:E23))</f>
        <v>15267</v>
      </c>
      <c r="F24" s="14">
        <f>+SUM(F20+SUM(F23:F23))</f>
        <v>17005</v>
      </c>
      <c r="G24" s="11"/>
      <c r="H24" s="14">
        <f>+SUM(H20+SUM(H23:H23))</f>
        <v>3435</v>
      </c>
      <c r="I24" s="14">
        <f>+SUM(I20+SUM(I23:I23))</f>
        <v>3983</v>
      </c>
      <c r="J24" s="14">
        <f>+SUM(J20+SUM(J23:J23))</f>
        <v>4186</v>
      </c>
      <c r="K24" s="14">
        <f>+SUM(K20+SUM(K23:K23))</f>
        <v>3663</v>
      </c>
      <c r="L24" s="14">
        <f>+SUM(L20+SUM(L23:L23))</f>
        <v>3928</v>
      </c>
      <c r="M24" s="14">
        <f>+SUM(M20+SUM(M23:M23))</f>
        <v>4416</v>
      </c>
      <c r="N24" s="14">
        <f>+SUM(N20+SUM(N23:N23))</f>
        <v>4384</v>
      </c>
      <c r="O24" s="14">
        <f>+SUM(O20+SUM(O23:O23))</f>
        <v>4277</v>
      </c>
      <c r="P24" s="14">
        <f>+SUM(P20+SUM(P23:P23))</f>
        <v>4553</v>
      </c>
      <c r="Q24" s="14">
        <f>+SUM(Q20+SUM(Q23:Q23))</f>
        <v>5237</v>
      </c>
      <c r="R24" s="14">
        <f>+SUM(R20+SUM(R23:R23))</f>
        <v>5528</v>
      </c>
      <c r="T24" s="14">
        <f>+SUM(T20+SUM(T23:T23))</f>
        <v>15267</v>
      </c>
      <c r="U24" s="14">
        <f>+SUM(U20+SUM(U23:U23))</f>
        <v>15760</v>
      </c>
      <c r="V24" s="14">
        <f>+SUM(V20+SUM(V23:V23))</f>
        <v>16193</v>
      </c>
      <c r="W24" s="14">
        <f>+SUM(W20+SUM(W23:W23))</f>
        <v>16391</v>
      </c>
      <c r="X24" s="14">
        <f>+SUM(X20+SUM(X23:X23))</f>
        <v>17005</v>
      </c>
      <c r="Y24" s="14">
        <f>+SUM(Y20+SUM(Y23:Y23))</f>
        <v>17630</v>
      </c>
      <c r="Z24" s="14">
        <f>+SUM(Z20+SUM(Z23:Z23))</f>
        <v>18451</v>
      </c>
      <c r="AA24" s="14">
        <f>+SUM(AA20+SUM(AA23:AA23))</f>
        <v>19595</v>
      </c>
      <c r="AC24" s="118">
        <f>SUM(AA24/W24)-1</f>
        <v>0.19547312549569895</v>
      </c>
    </row>
    <row r="25" spans="2:29" ht="12.75" customHeight="1">
      <c r="B25" s="16" t="s">
        <v>31</v>
      </c>
      <c r="C25" s="17">
        <f>C24/C8</f>
        <v>0.5867930523194238</v>
      </c>
      <c r="D25" s="17">
        <f>D24/D8</f>
        <v>0.59850699284975495</v>
      </c>
      <c r="E25" s="17">
        <f>E24/E8</f>
        <v>0.60829548171169012</v>
      </c>
      <c r="F25" s="17">
        <f>F24/F8</f>
        <v>0.60372066602762098</v>
      </c>
      <c r="H25" s="17">
        <f>H24/H8</f>
        <v>0.5975991649269311</v>
      </c>
      <c r="I25" s="17">
        <f>I24/I8</f>
        <v>0.63534854043707134</v>
      </c>
      <c r="J25" s="17">
        <f>J24/J8</f>
        <v>0.64074697688657589</v>
      </c>
      <c r="K25" s="17">
        <f>K24/K8</f>
        <v>0.55940745265729996</v>
      </c>
      <c r="L25" s="17">
        <f>L24/L8</f>
        <v>0.61877756773787018</v>
      </c>
      <c r="M25" s="17">
        <f>M24/M8</f>
        <v>0.6343916104008045</v>
      </c>
      <c r="N25" s="17">
        <f>N24/N8</f>
        <v>0.59492468448907587</v>
      </c>
      <c r="O25" s="17">
        <f>O24/O8</f>
        <v>0.57110428628655363</v>
      </c>
      <c r="P25" s="17">
        <f>P24/P8</f>
        <v>0.628</v>
      </c>
      <c r="Q25" s="17">
        <f>Q24/Q8</f>
        <v>0.64391983278003195</v>
      </c>
      <c r="R25" s="17">
        <f>R24/R8</f>
        <v>0.64264124622180885</v>
      </c>
      <c r="T25" s="17">
        <f>T24/T8</f>
        <v>0.60829548171169012</v>
      </c>
      <c r="U25" s="17">
        <f>U24/U8</f>
        <v>0.61327729784419016</v>
      </c>
      <c r="V25" s="17">
        <f>V24/V8</f>
        <v>0.61360363774156879</v>
      </c>
      <c r="W25" s="17">
        <f>W24/W8</f>
        <v>0.60203481965768013</v>
      </c>
      <c r="X25" s="17">
        <f>X24/X8</f>
        <v>0.60372066602762098</v>
      </c>
      <c r="Y25" s="17">
        <f>Y24/Y8</f>
        <v>0.60648801128349783</v>
      </c>
      <c r="Z25" s="17">
        <f>Z24/Z8</f>
        <v>0.61013194008134652</v>
      </c>
      <c r="AA25" s="17">
        <f>AA24/AA8</f>
        <v>0.62257736544449382</v>
      </c>
      <c r="AC25" s="119">
        <f>SUM(AA25-W25)*10000</f>
        <v>205.42545786813693</v>
      </c>
    </row>
    <row r="26" spans="2:29" ht="5.0999999999999996" customHeight="1">
      <c r="AC26" s="116"/>
    </row>
    <row r="27" spans="2:29" ht="12.75" customHeight="1">
      <c r="B27" s="23" t="s">
        <v>32</v>
      </c>
      <c r="C27" s="124">
        <f>SUM('Historical Financials'!C125:C126)</f>
        <v>-814</v>
      </c>
      <c r="D27" s="124">
        <f>SUM('Historical Financials'!D125:D126)</f>
        <v>-1097</v>
      </c>
      <c r="E27" s="124">
        <f>SUM('Historical Financials'!E125:E126)</f>
        <v>-1088</v>
      </c>
      <c r="F27" s="124">
        <f>SUM('Historical Financials'!F125:F126)</f>
        <v>-1194</v>
      </c>
      <c r="H27" s="124">
        <f>SUM('Historical Financials'!H125:H126)</f>
        <v>-352</v>
      </c>
      <c r="I27" s="124">
        <f>SUM('Historical Financials'!I125:I126)</f>
        <v>-233</v>
      </c>
      <c r="J27" s="124">
        <f>SUM('Historical Financials'!J125:J126)</f>
        <v>-234</v>
      </c>
      <c r="K27" s="124">
        <f>SUM('Historical Financials'!K125:K126)</f>
        <v>-269</v>
      </c>
      <c r="L27" s="124">
        <f>SUM('Historical Financials'!L125:L126)</f>
        <v>-378</v>
      </c>
      <c r="M27" s="124">
        <f>SUM('Historical Financials'!M125:M126)</f>
        <v>-296</v>
      </c>
      <c r="N27" s="124">
        <f>SUM('Historical Financials'!N125:N126)</f>
        <v>-270</v>
      </c>
      <c r="O27" s="124">
        <f>SUM('Historical Financials'!O125:O126)</f>
        <v>-250</v>
      </c>
      <c r="P27" s="124">
        <f>SUM('Historical Financials'!P125:P126)</f>
        <v>-357</v>
      </c>
      <c r="Q27" s="124">
        <f>SUM('Historical Financials'!Q125:Q126)</f>
        <v>-209</v>
      </c>
      <c r="R27" s="124">
        <f>SUM('Historical Financials'!R125:R126)</f>
        <v>-359</v>
      </c>
      <c r="T27" s="10">
        <f t="shared" ref="T27:AA31" si="11">SUM(H27:K27)</f>
        <v>-1088</v>
      </c>
      <c r="U27" s="10">
        <f t="shared" si="11"/>
        <v>-1114</v>
      </c>
      <c r="V27" s="10">
        <f t="shared" si="11"/>
        <v>-1177</v>
      </c>
      <c r="W27" s="125">
        <f t="shared" si="11"/>
        <v>-1213</v>
      </c>
      <c r="X27" s="125">
        <f t="shared" si="11"/>
        <v>-1194</v>
      </c>
      <c r="Y27" s="125">
        <f t="shared" si="11"/>
        <v>-1173</v>
      </c>
      <c r="Z27" s="125">
        <f t="shared" si="11"/>
        <v>-1086</v>
      </c>
      <c r="AA27" s="125">
        <f t="shared" si="11"/>
        <v>-1175</v>
      </c>
      <c r="AC27" s="117">
        <f>SUM(AA27/W27)-1</f>
        <v>-3.1327287716405583E-2</v>
      </c>
    </row>
    <row r="28" spans="2:29" ht="12.75" customHeight="1">
      <c r="B28" s="23" t="s">
        <v>33</v>
      </c>
      <c r="C28" s="124">
        <f>-'Historical Financials'!C158</f>
        <v>-1820</v>
      </c>
      <c r="D28" s="124">
        <f>-'Historical Financials'!D158</f>
        <v>-2506</v>
      </c>
      <c r="E28" s="124">
        <f>-'Historical Financials'!E158</f>
        <v>-2746</v>
      </c>
      <c r="F28" s="124">
        <f>-'Historical Financials'!F158</f>
        <v>-3252</v>
      </c>
      <c r="H28" s="124">
        <f>'Historical Financials'!H27</f>
        <v>-492</v>
      </c>
      <c r="I28" s="124">
        <f>'Historical Financials'!I27</f>
        <v>-859</v>
      </c>
      <c r="J28" s="124">
        <f>'Historical Financials'!J27</f>
        <v>-563</v>
      </c>
      <c r="K28" s="124">
        <f>'Historical Financials'!K27</f>
        <v>-530</v>
      </c>
      <c r="L28" s="124">
        <f>'Historical Financials'!L27</f>
        <v>-547</v>
      </c>
      <c r="M28" s="124">
        <f>'Historical Financials'!M27</f>
        <v>-681</v>
      </c>
      <c r="N28" s="124">
        <f>'Historical Financials'!N27</f>
        <v>-603</v>
      </c>
      <c r="O28" s="124">
        <f>'Historical Financials'!O27</f>
        <v>-549</v>
      </c>
      <c r="P28" s="124">
        <f>'Historical Financials'!P27</f>
        <v>-751</v>
      </c>
      <c r="Q28" s="124">
        <f>'Historical Financials'!Q27</f>
        <v>-971</v>
      </c>
      <c r="R28" s="124">
        <f>'Historical Financials'!R27</f>
        <v>-1072</v>
      </c>
      <c r="T28" s="10">
        <f t="shared" si="11"/>
        <v>-2444</v>
      </c>
      <c r="U28" s="10">
        <f t="shared" si="11"/>
        <v>-2499</v>
      </c>
      <c r="V28" s="10">
        <f t="shared" si="11"/>
        <v>-2321</v>
      </c>
      <c r="W28" s="125">
        <f t="shared" si="11"/>
        <v>-2361</v>
      </c>
      <c r="X28" s="125">
        <f t="shared" si="11"/>
        <v>-2380</v>
      </c>
      <c r="Y28" s="125">
        <f t="shared" si="11"/>
        <v>-2584</v>
      </c>
      <c r="Z28" s="125">
        <f t="shared" si="11"/>
        <v>-2874</v>
      </c>
      <c r="AA28" s="125">
        <f t="shared" si="11"/>
        <v>-3343</v>
      </c>
      <c r="AC28" s="117">
        <f>SUM(AA28/W28)-1</f>
        <v>0.41592545531554426</v>
      </c>
    </row>
    <row r="29" spans="2:29" ht="12.75" customHeight="1">
      <c r="B29" s="23" t="s">
        <v>65</v>
      </c>
      <c r="C29" s="124">
        <f>-'Historical Financials'!C157</f>
        <v>-399</v>
      </c>
      <c r="D29" s="124">
        <f>-'Historical Financials'!D157</f>
        <v>-414</v>
      </c>
      <c r="E29" s="124">
        <f>-'Historical Financials'!E157</f>
        <v>-477</v>
      </c>
      <c r="F29" s="124">
        <f>-'Historical Financials'!F157</f>
        <v>-571</v>
      </c>
      <c r="H29" s="124">
        <f>'Historical Financials'!H22</f>
        <v>-132</v>
      </c>
      <c r="I29" s="124">
        <f>'Historical Financials'!I22</f>
        <v>-144</v>
      </c>
      <c r="J29" s="124">
        <f>'Historical Financials'!J22</f>
        <v>-151</v>
      </c>
      <c r="K29" s="124">
        <f>'Historical Financials'!K22</f>
        <v>-148</v>
      </c>
      <c r="L29" s="124">
        <f>'Historical Financials'!L22</f>
        <v>-150</v>
      </c>
      <c r="M29" s="124">
        <f>'Historical Financials'!M22</f>
        <v>-153</v>
      </c>
      <c r="N29" s="124">
        <f>'Historical Financials'!N22</f>
        <v>-159</v>
      </c>
      <c r="O29" s="124">
        <f>'Historical Financials'!O22</f>
        <v>-184</v>
      </c>
      <c r="P29" s="124">
        <f>'Historical Financials'!P22</f>
        <v>-182</v>
      </c>
      <c r="Q29" s="124">
        <f>'Historical Financials'!Q22</f>
        <v>-195</v>
      </c>
      <c r="R29" s="124">
        <f>'Historical Financials'!R22</f>
        <v>-186</v>
      </c>
      <c r="T29" s="10">
        <f t="shared" si="11"/>
        <v>-575</v>
      </c>
      <c r="U29" s="10">
        <f t="shared" si="11"/>
        <v>-593</v>
      </c>
      <c r="V29" s="10">
        <f t="shared" si="11"/>
        <v>-602</v>
      </c>
      <c r="W29" s="125">
        <f t="shared" si="11"/>
        <v>-610</v>
      </c>
      <c r="X29" s="125">
        <f t="shared" si="11"/>
        <v>-646</v>
      </c>
      <c r="Y29" s="125">
        <f t="shared" si="11"/>
        <v>-678</v>
      </c>
      <c r="Z29" s="125">
        <f t="shared" si="11"/>
        <v>-720</v>
      </c>
      <c r="AA29" s="125">
        <f t="shared" si="11"/>
        <v>-747</v>
      </c>
      <c r="AC29" s="117">
        <f>SUM(AA29/W29)-1</f>
        <v>0.22459016393442632</v>
      </c>
    </row>
    <row r="30" spans="2:29" ht="12.75" customHeight="1">
      <c r="B30" s="23" t="s">
        <v>189</v>
      </c>
      <c r="C30" s="124">
        <f>'Historical Financials'!C135</f>
        <v>-1741</v>
      </c>
      <c r="D30" s="124">
        <f>'Historical Financials'!D135</f>
        <v>-1903</v>
      </c>
      <c r="E30" s="124">
        <f>'Historical Financials'!E135</f>
        <v>-2158</v>
      </c>
      <c r="F30" s="124">
        <f>'Historical Financials'!F135</f>
        <v>-2448</v>
      </c>
      <c r="H30" s="124">
        <f>'Historical Financials'!H135</f>
        <v>-545</v>
      </c>
      <c r="I30" s="124">
        <f>'Historical Financials'!I135</f>
        <v>-541</v>
      </c>
      <c r="J30" s="124">
        <f>'Historical Financials'!J135</f>
        <v>-538</v>
      </c>
      <c r="K30" s="124">
        <f>'Historical Financials'!K135</f>
        <v>-534</v>
      </c>
      <c r="L30" s="124">
        <f>'Historical Financials'!L135</f>
        <v>-616</v>
      </c>
      <c r="M30" s="124">
        <f>'Historical Financials'!M135</f>
        <v>-615</v>
      </c>
      <c r="N30" s="124">
        <f>'Historical Financials'!N135</f>
        <v>-611</v>
      </c>
      <c r="O30" s="124">
        <f>'Historical Financials'!O135</f>
        <v>-606</v>
      </c>
      <c r="P30" s="124">
        <f>'Historical Financials'!P135</f>
        <v>-694</v>
      </c>
      <c r="Q30" s="124">
        <f>'Historical Financials'!Q135</f>
        <v>-691</v>
      </c>
      <c r="R30" s="124">
        <f>'Historical Financials'!R135</f>
        <v>-687</v>
      </c>
      <c r="T30" s="10">
        <f t="shared" ref="T30" si="12">SUM(H30:K30)</f>
        <v>-2158</v>
      </c>
      <c r="U30" s="10">
        <f t="shared" ref="U30" si="13">SUM(I30:L30)</f>
        <v>-2229</v>
      </c>
      <c r="V30" s="10">
        <f t="shared" ref="V30" si="14">SUM(J30:M30)</f>
        <v>-2303</v>
      </c>
      <c r="W30" s="125">
        <f t="shared" ref="W30" si="15">SUM(K30:N30)</f>
        <v>-2376</v>
      </c>
      <c r="X30" s="125">
        <f t="shared" ref="X30" si="16">SUM(L30:O30)</f>
        <v>-2448</v>
      </c>
      <c r="Y30" s="125">
        <f t="shared" ref="Y30" si="17">SUM(M30:P30)</f>
        <v>-2526</v>
      </c>
      <c r="Z30" s="125">
        <f t="shared" ref="Z30" si="18">SUM(N30:Q30)</f>
        <v>-2602</v>
      </c>
      <c r="AA30" s="125">
        <f t="shared" ref="AA30" si="19">SUM(O30:R30)</f>
        <v>-2678</v>
      </c>
      <c r="AC30" s="117">
        <f>SUM(AA30/W30)-1</f>
        <v>0.12710437710437716</v>
      </c>
    </row>
    <row r="31" spans="2:29" ht="12.75" customHeight="1">
      <c r="B31" s="23" t="s">
        <v>34</v>
      </c>
      <c r="C31" s="124">
        <f>SUM('Historical Financials'!C106:C116)</f>
        <v>-916</v>
      </c>
      <c r="D31" s="124">
        <f>SUM('Historical Financials'!D106:D116)</f>
        <v>-904</v>
      </c>
      <c r="E31" s="124">
        <f>SUM('Historical Financials'!E106:E116)</f>
        <v>-1943</v>
      </c>
      <c r="F31" s="124">
        <f>SUM('Historical Financials'!F106:F116)</f>
        <v>-1040</v>
      </c>
      <c r="H31" s="124">
        <f>SUM('Historical Financials'!H106:H116)</f>
        <v>-1204</v>
      </c>
      <c r="I31" s="124">
        <f>SUM('Historical Financials'!I106:I116)</f>
        <v>-943</v>
      </c>
      <c r="J31" s="124">
        <f>SUM('Historical Financials'!J106:J116)</f>
        <v>-515</v>
      </c>
      <c r="K31" s="124">
        <f>SUM('Historical Financials'!K106:K116)</f>
        <v>719</v>
      </c>
      <c r="L31" s="124">
        <f>SUM('Historical Financials'!L106:L116)</f>
        <v>-2103</v>
      </c>
      <c r="M31" s="124">
        <f>SUM('Historical Financials'!M106:M116)</f>
        <v>-880</v>
      </c>
      <c r="N31" s="124">
        <f>SUM('Historical Financials'!N106:N116)</f>
        <v>1060</v>
      </c>
      <c r="O31" s="124">
        <f>SUM('Historical Financials'!O106:O116)</f>
        <v>883</v>
      </c>
      <c r="P31" s="124">
        <f>SUM('Historical Financials'!P106:P116)</f>
        <v>-1884</v>
      </c>
      <c r="Q31" s="124">
        <f>SUM('Historical Financials'!Q106:Q116)</f>
        <v>-137</v>
      </c>
      <c r="R31" s="124">
        <f>SUM('Historical Financials'!R106:R116)</f>
        <v>742</v>
      </c>
      <c r="T31" s="10">
        <f t="shared" si="11"/>
        <v>-1943</v>
      </c>
      <c r="U31" s="10">
        <f t="shared" si="11"/>
        <v>-2842</v>
      </c>
      <c r="V31" s="10">
        <f t="shared" si="11"/>
        <v>-2779</v>
      </c>
      <c r="W31" s="125">
        <f t="shared" si="11"/>
        <v>-1204</v>
      </c>
      <c r="X31" s="125">
        <f t="shared" si="11"/>
        <v>-1040</v>
      </c>
      <c r="Y31" s="125">
        <f t="shared" si="11"/>
        <v>-821</v>
      </c>
      <c r="Z31" s="125">
        <f t="shared" si="11"/>
        <v>-78</v>
      </c>
      <c r="AA31" s="125">
        <f t="shared" si="11"/>
        <v>-396</v>
      </c>
      <c r="AC31" s="117">
        <f>SUM(AA31/W31)-1</f>
        <v>-0.67109634551495012</v>
      </c>
    </row>
    <row r="32" spans="2:29" ht="12.75" customHeight="1">
      <c r="B32" s="13" t="s">
        <v>35</v>
      </c>
      <c r="C32" s="14">
        <f>SUM(C24+SUM(C27:C31))</f>
        <v>5391</v>
      </c>
      <c r="D32" s="14">
        <f>SUM(D24+SUM(D27:D31))</f>
        <v>6485</v>
      </c>
      <c r="E32" s="14">
        <f>SUM(E24+SUM(E27:E31))</f>
        <v>6855</v>
      </c>
      <c r="F32" s="14">
        <f>SUM(F24+SUM(F27:F31))</f>
        <v>8500</v>
      </c>
      <c r="H32" s="14">
        <f t="shared" ref="H32:Q32" si="20">SUM(H24+SUM(H27:H31))</f>
        <v>710</v>
      </c>
      <c r="I32" s="14">
        <f t="shared" si="20"/>
        <v>1263</v>
      </c>
      <c r="J32" s="14">
        <f t="shared" si="20"/>
        <v>2185</v>
      </c>
      <c r="K32" s="14">
        <f t="shared" si="20"/>
        <v>2901</v>
      </c>
      <c r="L32" s="14">
        <f t="shared" si="20"/>
        <v>134</v>
      </c>
      <c r="M32" s="14">
        <f t="shared" si="20"/>
        <v>1791</v>
      </c>
      <c r="N32" s="14">
        <f t="shared" si="20"/>
        <v>3801</v>
      </c>
      <c r="O32" s="14">
        <f t="shared" si="20"/>
        <v>3571</v>
      </c>
      <c r="P32" s="14">
        <f t="shared" si="20"/>
        <v>685</v>
      </c>
      <c r="Q32" s="14">
        <f t="shared" si="20"/>
        <v>3034</v>
      </c>
      <c r="R32" s="14">
        <f>SUM(R24+SUM(R27:R31))</f>
        <v>3966</v>
      </c>
      <c r="T32" s="14">
        <f t="shared" ref="T32:AA32" si="21">SUM(T24+SUM(T27:T31))</f>
        <v>7059</v>
      </c>
      <c r="U32" s="14">
        <f t="shared" si="21"/>
        <v>6483</v>
      </c>
      <c r="V32" s="14">
        <f t="shared" si="21"/>
        <v>7011</v>
      </c>
      <c r="W32" s="14">
        <f t="shared" si="21"/>
        <v>8627</v>
      </c>
      <c r="X32" s="14">
        <f t="shared" si="21"/>
        <v>9297</v>
      </c>
      <c r="Y32" s="14">
        <f t="shared" si="21"/>
        <v>9848</v>
      </c>
      <c r="Z32" s="14">
        <f t="shared" si="21"/>
        <v>11091</v>
      </c>
      <c r="AA32" s="14">
        <f t="shared" si="21"/>
        <v>11256</v>
      </c>
      <c r="AC32" s="118">
        <f>SUM(AA32/W32)-1</f>
        <v>0.30474092963950383</v>
      </c>
    </row>
    <row r="33" spans="1:27" ht="5.0999999999999996" customHeight="1"/>
    <row r="34" spans="1:27" ht="12.75" customHeight="1">
      <c r="B34" s="29" t="s">
        <v>187</v>
      </c>
      <c r="C34" s="124">
        <f>SUM('Historical Financials'!C120:C124)</f>
        <v>-13</v>
      </c>
      <c r="D34" s="124">
        <f>SUM('Historical Financials'!D120:D124)</f>
        <v>24</v>
      </c>
      <c r="E34" s="124">
        <f>SUM('Historical Financials'!E120:E124)</f>
        <v>-212</v>
      </c>
      <c r="F34" s="124">
        <f>SUM('Historical Financials'!F120:F124)</f>
        <v>223</v>
      </c>
      <c r="G34" s="30"/>
      <c r="H34" s="124">
        <f>SUM('Historical Financials'!H120:H124)</f>
        <v>3</v>
      </c>
      <c r="I34" s="124">
        <f>SUM('Historical Financials'!I120:I124)</f>
        <v>47</v>
      </c>
      <c r="J34" s="124">
        <f>SUM('Historical Financials'!J120:J124)</f>
        <v>-278</v>
      </c>
      <c r="K34" s="124">
        <f>SUM('Historical Financials'!K120:K124)</f>
        <v>16</v>
      </c>
      <c r="L34" s="124">
        <f>SUM('Historical Financials'!L120:L124)</f>
        <v>212</v>
      </c>
      <c r="M34" s="124">
        <f>SUM('Historical Financials'!M120:M124)</f>
        <v>-9</v>
      </c>
      <c r="N34" s="124">
        <f>SUM('Historical Financials'!N120:N124)</f>
        <v>23</v>
      </c>
      <c r="O34" s="124">
        <f>SUM('Historical Financials'!O120:O124)</f>
        <v>-3</v>
      </c>
      <c r="P34" s="124">
        <f>SUM('Historical Financials'!P120:P124)</f>
        <v>14</v>
      </c>
      <c r="Q34" s="124">
        <f>SUM('Historical Financials'!Q120:Q124)</f>
        <v>-5</v>
      </c>
      <c r="R34" s="124">
        <f>SUM('Historical Financials'!R120:R124)</f>
        <v>-1</v>
      </c>
      <c r="T34" s="125">
        <f t="shared" ref="T34:Z39" si="22">SUM(H34:K34)</f>
        <v>-212</v>
      </c>
      <c r="U34" s="125">
        <f t="shared" si="22"/>
        <v>-3</v>
      </c>
      <c r="V34" s="125">
        <f t="shared" si="22"/>
        <v>-59</v>
      </c>
      <c r="W34" s="125">
        <f t="shared" si="22"/>
        <v>242</v>
      </c>
      <c r="X34" s="125">
        <f t="shared" si="22"/>
        <v>223</v>
      </c>
      <c r="Y34" s="125">
        <f t="shared" si="22"/>
        <v>25</v>
      </c>
      <c r="Z34" s="125">
        <f t="shared" si="22"/>
        <v>29</v>
      </c>
      <c r="AA34" s="125">
        <f t="shared" ref="AA34:AA39" si="23">SUM(O34:R34)</f>
        <v>5</v>
      </c>
    </row>
    <row r="35" spans="1:27" ht="12.75" customHeight="1">
      <c r="B35" s="29" t="s">
        <v>188</v>
      </c>
      <c r="C35" s="124">
        <f>SUM('Historical Financials'!C127:C128)</f>
        <v>-42</v>
      </c>
      <c r="D35" s="124">
        <f>SUM('Historical Financials'!D127:D128)</f>
        <v>-81</v>
      </c>
      <c r="E35" s="124">
        <f>SUM('Historical Financials'!E127:E128)</f>
        <v>-45</v>
      </c>
      <c r="F35" s="124">
        <f>SUM('Historical Financials'!F127:F128)</f>
        <v>83</v>
      </c>
      <c r="G35" s="30"/>
      <c r="H35" s="124">
        <f>SUM('Historical Financials'!H127:H128)</f>
        <v>22</v>
      </c>
      <c r="I35" s="124">
        <f>SUM('Historical Financials'!I127:I128)</f>
        <v>-31</v>
      </c>
      <c r="J35" s="124">
        <f>SUM('Historical Financials'!J127:J128)</f>
        <v>-8</v>
      </c>
      <c r="K35" s="124">
        <f>SUM('Historical Financials'!K127:K128)</f>
        <v>-28</v>
      </c>
      <c r="L35" s="124">
        <f>SUM('Historical Financials'!L127:L128)</f>
        <v>-8</v>
      </c>
      <c r="M35" s="124">
        <f>SUM('Historical Financials'!M127:M128)</f>
        <v>13</v>
      </c>
      <c r="N35" s="124">
        <f>SUM('Historical Financials'!N127:N128)</f>
        <v>-10</v>
      </c>
      <c r="O35" s="124">
        <f>SUM('Historical Financials'!O127:O128)</f>
        <v>88</v>
      </c>
      <c r="P35" s="124">
        <f>SUM('Historical Financials'!P127:P128)</f>
        <v>0</v>
      </c>
      <c r="Q35" s="124">
        <f>SUM('Historical Financials'!Q127:Q128)</f>
        <v>0</v>
      </c>
      <c r="R35" s="124">
        <f>SUM('Historical Financials'!R127:R128)</f>
        <v>0</v>
      </c>
      <c r="T35" s="125">
        <f t="shared" ref="T35" si="24">SUM(H35:K35)</f>
        <v>-45</v>
      </c>
      <c r="U35" s="125">
        <f t="shared" ref="U35" si="25">SUM(I35:L35)</f>
        <v>-75</v>
      </c>
      <c r="V35" s="125">
        <f t="shared" ref="V35" si="26">SUM(J35:M35)</f>
        <v>-31</v>
      </c>
      <c r="W35" s="125">
        <f t="shared" ref="W35" si="27">SUM(K35:N35)</f>
        <v>-33</v>
      </c>
      <c r="X35" s="125">
        <f t="shared" ref="X35" si="28">SUM(L35:O35)</f>
        <v>83</v>
      </c>
      <c r="Y35" s="125">
        <f t="shared" ref="Y35" si="29">SUM(M35:P35)</f>
        <v>91</v>
      </c>
      <c r="Z35" s="125">
        <f t="shared" ref="Z35" si="30">SUM(N35:Q35)</f>
        <v>78</v>
      </c>
      <c r="AA35" s="125">
        <f t="shared" ref="AA35" si="31">SUM(O35:R35)</f>
        <v>88</v>
      </c>
    </row>
    <row r="36" spans="1:27" ht="12.75" customHeight="1">
      <c r="B36" s="29" t="s">
        <v>81</v>
      </c>
      <c r="C36" s="124">
        <f>'Historical Financials'!C129</f>
        <v>-4436</v>
      </c>
      <c r="D36" s="124">
        <f>'Historical Financials'!D129</f>
        <v>-313</v>
      </c>
      <c r="E36" s="124">
        <f>'Historical Financials'!E129</f>
        <v>0</v>
      </c>
      <c r="F36" s="124">
        <f>'Historical Financials'!F129</f>
        <v>-2511</v>
      </c>
      <c r="G36" s="30"/>
      <c r="H36" s="124">
        <f>'Historical Financials'!H129</f>
        <v>0</v>
      </c>
      <c r="I36" s="124">
        <f>'Historical Financials'!I129</f>
        <v>0</v>
      </c>
      <c r="J36" s="124">
        <f>'Historical Financials'!J129</f>
        <v>0</v>
      </c>
      <c r="K36" s="124">
        <f>'Historical Financials'!K129</f>
        <v>0</v>
      </c>
      <c r="L36" s="124">
        <f>'Historical Financials'!L129</f>
        <v>0</v>
      </c>
      <c r="M36" s="124">
        <f>'Historical Financials'!M129</f>
        <v>0</v>
      </c>
      <c r="N36" s="124">
        <f>'Historical Financials'!N129</f>
        <v>0</v>
      </c>
      <c r="O36" s="124">
        <f>'Historical Financials'!O129</f>
        <v>-2511</v>
      </c>
      <c r="P36" s="124">
        <f>'Historical Financials'!P129</f>
        <v>0</v>
      </c>
      <c r="Q36" s="124">
        <f>'Historical Financials'!Q129</f>
        <v>0</v>
      </c>
      <c r="R36" s="124">
        <f>'Historical Financials'!R129</f>
        <v>0</v>
      </c>
      <c r="T36" s="125">
        <f t="shared" si="22"/>
        <v>0</v>
      </c>
      <c r="U36" s="125">
        <f t="shared" si="22"/>
        <v>0</v>
      </c>
      <c r="V36" s="125">
        <f t="shared" si="22"/>
        <v>0</v>
      </c>
      <c r="W36" s="125">
        <f t="shared" si="22"/>
        <v>0</v>
      </c>
      <c r="X36" s="125">
        <f t="shared" si="22"/>
        <v>-2511</v>
      </c>
      <c r="Y36" s="125">
        <f t="shared" si="22"/>
        <v>-2511</v>
      </c>
      <c r="Z36" s="125">
        <f t="shared" si="22"/>
        <v>-2511</v>
      </c>
      <c r="AA36" s="125">
        <f t="shared" si="23"/>
        <v>-2511</v>
      </c>
    </row>
    <row r="37" spans="1:27" ht="12.75" customHeight="1">
      <c r="B37" s="29" t="s">
        <v>99</v>
      </c>
      <c r="C37" s="124">
        <f>'Historical Financials'!C134</f>
        <v>-5904</v>
      </c>
      <c r="D37" s="124">
        <f>'Historical Financials'!D134</f>
        <v>-8753</v>
      </c>
      <c r="E37" s="124">
        <f>'Historical Financials'!E134</f>
        <v>-9032</v>
      </c>
      <c r="F37" s="124">
        <f>'Historical Financials'!F134</f>
        <v>-11035</v>
      </c>
      <c r="G37" s="30"/>
      <c r="H37" s="124">
        <f>'Historical Financials'!H134</f>
        <v>-2878</v>
      </c>
      <c r="I37" s="124">
        <f>'Historical Financials'!I134</f>
        <v>-2416</v>
      </c>
      <c r="J37" s="124">
        <f>'Historical Financials'!J134</f>
        <v>-1906</v>
      </c>
      <c r="K37" s="124">
        <f>'Historical Financials'!K134</f>
        <v>-1832</v>
      </c>
      <c r="L37" s="124">
        <f>'Historical Financials'!L134</f>
        <v>-1992</v>
      </c>
      <c r="M37" s="124">
        <f>'Historical Financials'!M134</f>
        <v>-2639</v>
      </c>
      <c r="N37" s="124">
        <f>'Historical Financials'!N134</f>
        <v>-2934</v>
      </c>
      <c r="O37" s="124">
        <f>'Historical Financials'!O134</f>
        <v>-3470</v>
      </c>
      <c r="P37" s="124">
        <f>'Historical Financials'!P134</f>
        <v>-2549</v>
      </c>
      <c r="Q37" s="124">
        <f>'Historical Financials'!Q134</f>
        <v>-2289</v>
      </c>
      <c r="R37" s="124">
        <f>'Historical Financials'!R134</f>
        <v>-3331</v>
      </c>
      <c r="T37" s="125">
        <f t="shared" si="22"/>
        <v>-9032</v>
      </c>
      <c r="U37" s="125">
        <f t="shared" si="22"/>
        <v>-8146</v>
      </c>
      <c r="V37" s="125">
        <f t="shared" si="22"/>
        <v>-8369</v>
      </c>
      <c r="W37" s="125">
        <f t="shared" si="22"/>
        <v>-9397</v>
      </c>
      <c r="X37" s="125">
        <f t="shared" si="22"/>
        <v>-11035</v>
      </c>
      <c r="Y37" s="125">
        <f t="shared" si="22"/>
        <v>-11592</v>
      </c>
      <c r="Z37" s="125">
        <f t="shared" si="22"/>
        <v>-11242</v>
      </c>
      <c r="AA37" s="125">
        <f t="shared" si="23"/>
        <v>-11639</v>
      </c>
    </row>
    <row r="38" spans="1:27" ht="12.75" customHeight="1">
      <c r="B38" s="29" t="s">
        <v>190</v>
      </c>
      <c r="C38" s="124">
        <f>SUM('Historical Financials'!C136:C137)</f>
        <v>1374</v>
      </c>
      <c r="D38" s="124">
        <f>SUM('Historical Financials'!D136:D137)</f>
        <v>399</v>
      </c>
      <c r="E38" s="124">
        <f>SUM('Historical Financials'!E136:E137)</f>
        <v>1554</v>
      </c>
      <c r="F38" s="124">
        <f>SUM('Historical Financials'!F136:F137)</f>
        <v>2624</v>
      </c>
      <c r="G38" s="30"/>
      <c r="H38" s="124">
        <f>SUM('Historical Financials'!H136:H137)</f>
        <v>1489</v>
      </c>
      <c r="I38" s="124">
        <f>SUM('Historical Financials'!I136:I137)</f>
        <v>61</v>
      </c>
      <c r="J38" s="124">
        <f>SUM('Historical Financials'!J136:J137)</f>
        <v>4</v>
      </c>
      <c r="K38" s="124">
        <f>SUM('Historical Financials'!K136:K137)</f>
        <v>0</v>
      </c>
      <c r="L38" s="124">
        <f>SUM('Historical Financials'!L136:L137)</f>
        <v>0</v>
      </c>
      <c r="M38" s="124">
        <f>SUM('Historical Financials'!M136:M137)</f>
        <v>-17</v>
      </c>
      <c r="N38" s="124">
        <f>SUM('Historical Financials'!N136:N137)</f>
        <v>2641</v>
      </c>
      <c r="O38" s="124">
        <f>SUM('Historical Financials'!O136:O137)</f>
        <v>0</v>
      </c>
      <c r="P38" s="124">
        <f>SUM('Historical Financials'!P136:P137)</f>
        <v>492</v>
      </c>
      <c r="Q38" s="124">
        <f>SUM('Historical Financials'!Q136:Q137)</f>
        <v>0</v>
      </c>
      <c r="R38" s="124">
        <f>SUM('Historical Financials'!R136:R137)</f>
        <v>0</v>
      </c>
      <c r="T38" s="125">
        <f t="shared" si="22"/>
        <v>1554</v>
      </c>
      <c r="U38" s="125">
        <f t="shared" si="22"/>
        <v>65</v>
      </c>
      <c r="V38" s="125">
        <f t="shared" si="22"/>
        <v>-13</v>
      </c>
      <c r="W38" s="125">
        <f t="shared" si="22"/>
        <v>2624</v>
      </c>
      <c r="X38" s="125">
        <f t="shared" si="22"/>
        <v>2624</v>
      </c>
      <c r="Y38" s="125">
        <f t="shared" si="22"/>
        <v>3116</v>
      </c>
      <c r="Z38" s="125">
        <f t="shared" si="22"/>
        <v>3133</v>
      </c>
      <c r="AA38" s="125">
        <f t="shared" si="23"/>
        <v>492</v>
      </c>
    </row>
    <row r="39" spans="1:27" ht="12.75" customHeight="1">
      <c r="B39" s="29" t="s">
        <v>61</v>
      </c>
      <c r="C39" s="87"/>
      <c r="D39" s="87">
        <f>SUM(D44-C44)-SUM(D32:D38)</f>
        <v>1826</v>
      </c>
      <c r="E39" s="87">
        <f>SUM(E44-D44)-SUM(E32:E38)</f>
        <v>2460</v>
      </c>
      <c r="F39" s="87">
        <f>SUM(F44-E44)-SUM(F32:F38)</f>
        <v>1970</v>
      </c>
      <c r="G39" s="30"/>
      <c r="H39" s="87"/>
      <c r="I39" s="87">
        <f>SUM(I44-H44)-SUM(I32:I38)</f>
        <v>680</v>
      </c>
      <c r="J39" s="87">
        <f>SUM(J44-I44)-SUM(J32:J38)</f>
        <v>723</v>
      </c>
      <c r="K39" s="87">
        <f>SUM(K44-J44)-SUM(K32:K38)</f>
        <v>641</v>
      </c>
      <c r="L39" s="87">
        <f>SUM(L44-K44)-SUM(L32:L38)</f>
        <v>359</v>
      </c>
      <c r="M39" s="87">
        <f>SUM(M44-L44)-SUM(M32:M38)</f>
        <v>564</v>
      </c>
      <c r="N39" s="87">
        <f>SUM(N44-M44)-SUM(N32:N38)</f>
        <v>546</v>
      </c>
      <c r="O39" s="87">
        <f>SUM(O44-N44)-SUM(O32:O38)</f>
        <v>-296</v>
      </c>
      <c r="P39" s="87">
        <f>SUM(P44-O44)-SUM(P32:P38)</f>
        <v>491</v>
      </c>
      <c r="Q39" s="87">
        <f>SUM(Q44-P44)-SUM(Q32:Q38)</f>
        <v>716</v>
      </c>
      <c r="R39" s="87">
        <f>SUM(R44-Q44)-SUM(R32:R38)</f>
        <v>648</v>
      </c>
      <c r="T39" s="125">
        <f t="shared" si="22"/>
        <v>2044</v>
      </c>
      <c r="U39" s="125">
        <f t="shared" si="22"/>
        <v>2403</v>
      </c>
      <c r="V39" s="125">
        <f t="shared" si="22"/>
        <v>2287</v>
      </c>
      <c r="W39" s="125">
        <f t="shared" si="22"/>
        <v>2110</v>
      </c>
      <c r="X39" s="125">
        <f t="shared" si="22"/>
        <v>1173</v>
      </c>
      <c r="Y39" s="125">
        <f t="shared" si="22"/>
        <v>1305</v>
      </c>
      <c r="Z39" s="125">
        <f t="shared" si="22"/>
        <v>1457</v>
      </c>
      <c r="AA39" s="125">
        <f t="shared" si="23"/>
        <v>1559</v>
      </c>
    </row>
    <row r="40" spans="1:27" ht="12.75" customHeight="1">
      <c r="B40" s="13" t="s">
        <v>36</v>
      </c>
      <c r="C40" s="14">
        <f>SUM(C32+SUM(C34:C39))</f>
        <v>-3630</v>
      </c>
      <c r="D40" s="14">
        <f>SUM(D32+SUM(D34:D39))</f>
        <v>-413</v>
      </c>
      <c r="E40" s="14">
        <f>SUM(E32+SUM(E34:E39))</f>
        <v>1580</v>
      </c>
      <c r="F40" s="14">
        <f>SUM(F32+SUM(F34:F39))</f>
        <v>-146</v>
      </c>
      <c r="H40" s="14">
        <f>SUM(H32+SUM(H34:H39))</f>
        <v>-654</v>
      </c>
      <c r="I40" s="14">
        <f>SUM(I32+SUM(I34:I39))</f>
        <v>-396</v>
      </c>
      <c r="J40" s="14">
        <f>SUM(J32+SUM(J34:J39))</f>
        <v>720</v>
      </c>
      <c r="K40" s="14">
        <f>SUM(K32+SUM(K34:K39))</f>
        <v>1698</v>
      </c>
      <c r="L40" s="14">
        <f>SUM(L32+SUM(L34:L39))</f>
        <v>-1295</v>
      </c>
      <c r="M40" s="14">
        <f>SUM(M32+SUM(M34:M39))</f>
        <v>-297</v>
      </c>
      <c r="N40" s="14">
        <f>SUM(N32+SUM(N34:N39))</f>
        <v>4067</v>
      </c>
      <c r="O40" s="14">
        <f>SUM(O32+SUM(O34:O39))</f>
        <v>-2621</v>
      </c>
      <c r="P40" s="14">
        <f>SUM(P32+SUM(P34:P39))</f>
        <v>-867</v>
      </c>
      <c r="Q40" s="14">
        <f>SUM(Q32+SUM(Q34:Q39))</f>
        <v>1456</v>
      </c>
      <c r="R40" s="14">
        <f>SUM(R32+SUM(R34:R39))</f>
        <v>1282</v>
      </c>
      <c r="T40" s="14">
        <f>SUM(T32+SUM(T34:T39))</f>
        <v>1368</v>
      </c>
      <c r="U40" s="14">
        <f>SUM(U32+SUM(U34:U39))</f>
        <v>727</v>
      </c>
      <c r="V40" s="14">
        <f>SUM(V32+SUM(V34:V39))</f>
        <v>826</v>
      </c>
      <c r="W40" s="14">
        <f>SUM(W32+SUM(W34:W39))</f>
        <v>4173</v>
      </c>
      <c r="X40" s="14">
        <f>SUM(X32+SUM(X34:X39))</f>
        <v>-146</v>
      </c>
      <c r="Y40" s="14">
        <f>SUM(Y32+SUM(Y34:Y39))</f>
        <v>282</v>
      </c>
      <c r="Z40" s="14">
        <f>SUM(Z32+SUM(Z34:Z39))</f>
        <v>2035</v>
      </c>
      <c r="AA40" s="14">
        <f>SUM(AA32+SUM(AA34:AA39))</f>
        <v>-750</v>
      </c>
    </row>
    <row r="41" spans="1:27" ht="5.0999999999999996" customHeight="1"/>
    <row r="42" spans="1:27" ht="12.75" customHeight="1">
      <c r="A42" s="5"/>
      <c r="B42" s="31" t="s">
        <v>37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</row>
    <row r="43" spans="1:27" ht="5.0999999999999996" customHeight="1"/>
    <row r="44" spans="1:27" ht="12.75" customHeight="1">
      <c r="B44" s="8" t="s">
        <v>38</v>
      </c>
      <c r="C44" s="85">
        <f>'Historical Financials'!C42</f>
        <v>7421</v>
      </c>
      <c r="D44" s="85">
        <f>'Historical Financials'!D42</f>
        <v>7008</v>
      </c>
      <c r="E44" s="85">
        <f>'Historical Financials'!E42</f>
        <v>8588</v>
      </c>
      <c r="F44" s="85">
        <f>'Historical Financials'!F42</f>
        <v>8442</v>
      </c>
      <c r="G44" s="30"/>
      <c r="H44" s="85">
        <f>'Historical Financials'!H42</f>
        <v>6566</v>
      </c>
      <c r="I44" s="85">
        <f>'Historical Financials'!I42</f>
        <v>6170</v>
      </c>
      <c r="J44" s="85">
        <f>'Historical Financials'!J42</f>
        <v>6890</v>
      </c>
      <c r="K44" s="85">
        <f>'Historical Financials'!K42</f>
        <v>8588</v>
      </c>
      <c r="L44" s="85">
        <f>'Historical Financials'!L42</f>
        <v>7293</v>
      </c>
      <c r="M44" s="85">
        <f>'Historical Financials'!M42</f>
        <v>6996</v>
      </c>
      <c r="N44" s="85">
        <f>'Historical Financials'!N42</f>
        <v>11063</v>
      </c>
      <c r="O44" s="85">
        <f>'Historical Financials'!O42</f>
        <v>8442</v>
      </c>
      <c r="P44" s="85">
        <f>'Historical Financials'!P42</f>
        <v>7575</v>
      </c>
      <c r="Q44" s="85">
        <f>'Historical Financials'!Q42</f>
        <v>9031</v>
      </c>
      <c r="R44" s="85">
        <f>'Historical Financials'!R42</f>
        <v>10313</v>
      </c>
      <c r="T44" s="10">
        <f t="shared" ref="T44:Z47" si="32">K44</f>
        <v>8588</v>
      </c>
      <c r="U44" s="10">
        <f t="shared" si="32"/>
        <v>7293</v>
      </c>
      <c r="V44" s="10">
        <f t="shared" si="32"/>
        <v>6996</v>
      </c>
      <c r="W44" s="10">
        <f t="shared" si="32"/>
        <v>11063</v>
      </c>
      <c r="X44" s="10">
        <f t="shared" si="32"/>
        <v>8442</v>
      </c>
      <c r="Y44" s="10">
        <f t="shared" si="32"/>
        <v>7575</v>
      </c>
      <c r="Z44" s="10">
        <f t="shared" si="32"/>
        <v>9031</v>
      </c>
      <c r="AA44" s="10">
        <f>R44</f>
        <v>10313</v>
      </c>
    </row>
    <row r="45" spans="1:27" ht="12.75" customHeight="1">
      <c r="B45" s="8" t="s">
        <v>123</v>
      </c>
      <c r="C45" s="85">
        <f>'Historical Financials'!C43</f>
        <v>586</v>
      </c>
      <c r="D45" s="85">
        <f>'Historical Financials'!D43</f>
        <v>589</v>
      </c>
      <c r="E45" s="85">
        <f>'Historical Financials'!E43</f>
        <v>32</v>
      </c>
      <c r="F45" s="85">
        <f>'Historical Financials'!F43</f>
        <v>492</v>
      </c>
      <c r="G45" s="30"/>
      <c r="H45" s="85">
        <f>'Historical Financials'!H43</f>
        <v>596</v>
      </c>
      <c r="I45" s="85">
        <f>'Historical Financials'!I43</f>
        <v>598</v>
      </c>
      <c r="J45" s="85">
        <f>'Historical Financials'!J43</f>
        <v>0</v>
      </c>
      <c r="K45" s="85">
        <f>'Historical Financials'!K43</f>
        <v>32</v>
      </c>
      <c r="L45" s="85">
        <f>'Historical Financials'!L43</f>
        <v>0</v>
      </c>
      <c r="M45" s="85">
        <f>'Historical Financials'!M43</f>
        <v>0</v>
      </c>
      <c r="N45" s="85">
        <f>'Historical Financials'!N43</f>
        <v>0</v>
      </c>
      <c r="O45" s="85">
        <f>'Historical Financials'!O43</f>
        <v>492</v>
      </c>
      <c r="P45" s="85">
        <f>'Historical Financials'!P43</f>
        <v>507</v>
      </c>
      <c r="Q45" s="85">
        <f>'Historical Financials'!Q43</f>
        <v>542</v>
      </c>
      <c r="R45" s="85">
        <f>'Historical Financials'!R43</f>
        <v>478</v>
      </c>
      <c r="T45" s="10">
        <f t="shared" ref="T45:T46" si="33">K45</f>
        <v>32</v>
      </c>
      <c r="U45" s="10">
        <f t="shared" ref="U45:U46" si="34">L45</f>
        <v>0</v>
      </c>
      <c r="V45" s="10">
        <f t="shared" ref="V45:V46" si="35">M45</f>
        <v>0</v>
      </c>
      <c r="W45" s="10">
        <f t="shared" ref="W45:W46" si="36">N45</f>
        <v>0</v>
      </c>
      <c r="X45" s="10">
        <f t="shared" ref="X45:X46" si="37">O45</f>
        <v>492</v>
      </c>
      <c r="Y45" s="10">
        <f t="shared" ref="Y45:Y46" si="38">P45</f>
        <v>507</v>
      </c>
      <c r="Z45" s="10">
        <f t="shared" ref="Z45:Z46" si="39">Q45</f>
        <v>542</v>
      </c>
      <c r="AA45" s="10">
        <f t="shared" ref="AA45:AA46" si="40">R45</f>
        <v>478</v>
      </c>
    </row>
    <row r="46" spans="1:27" ht="12.75" customHeight="1">
      <c r="B46" s="8" t="s">
        <v>125</v>
      </c>
      <c r="C46" s="85">
        <f>'Historical Financials'!C45</f>
        <v>3006</v>
      </c>
      <c r="D46" s="85">
        <f>'Historical Financials'!D45</f>
        <v>400</v>
      </c>
      <c r="E46" s="85">
        <f>'Historical Financials'!E45</f>
        <v>592</v>
      </c>
      <c r="F46" s="85">
        <f>'Historical Financials'!F45</f>
        <v>330</v>
      </c>
      <c r="G46" s="30"/>
      <c r="H46" s="85">
        <f>'Historical Financials'!H45</f>
        <v>3511</v>
      </c>
      <c r="I46" s="85">
        <f>'Historical Financials'!I45</f>
        <v>3763</v>
      </c>
      <c r="J46" s="85">
        <f>'Historical Financials'!J45</f>
        <v>602</v>
      </c>
      <c r="K46" s="85">
        <f>'Historical Financials'!K45</f>
        <v>592</v>
      </c>
      <c r="L46" s="85">
        <f>'Historical Financials'!L45</f>
        <v>364</v>
      </c>
      <c r="M46" s="85">
        <f>'Historical Financials'!M45</f>
        <v>362</v>
      </c>
      <c r="N46" s="85">
        <f>'Historical Financials'!N45</f>
        <v>338</v>
      </c>
      <c r="O46" s="85">
        <f>'Historical Financials'!O45</f>
        <v>330</v>
      </c>
      <c r="P46" s="85">
        <f>'Historical Financials'!P45</f>
        <v>319</v>
      </c>
      <c r="Q46" s="85">
        <f>'Historical Financials'!Q45</f>
        <v>336</v>
      </c>
      <c r="R46" s="85">
        <f>'Historical Financials'!R45</f>
        <v>335</v>
      </c>
      <c r="T46" s="10">
        <f t="shared" si="33"/>
        <v>592</v>
      </c>
      <c r="U46" s="10">
        <f t="shared" si="34"/>
        <v>364</v>
      </c>
      <c r="V46" s="10">
        <f t="shared" si="35"/>
        <v>362</v>
      </c>
      <c r="W46" s="10">
        <f t="shared" si="36"/>
        <v>338</v>
      </c>
      <c r="X46" s="10">
        <f t="shared" si="37"/>
        <v>330</v>
      </c>
      <c r="Y46" s="10">
        <f t="shared" si="38"/>
        <v>319</v>
      </c>
      <c r="Z46" s="10">
        <f t="shared" si="39"/>
        <v>336</v>
      </c>
      <c r="AA46" s="10">
        <f t="shared" si="40"/>
        <v>335</v>
      </c>
    </row>
    <row r="47" spans="1:27" ht="12.75" customHeight="1">
      <c r="B47" s="29" t="s">
        <v>192</v>
      </c>
      <c r="C47" s="79">
        <v>8000</v>
      </c>
      <c r="D47" s="79">
        <v>8000</v>
      </c>
      <c r="E47" s="79">
        <v>8000</v>
      </c>
      <c r="F47" s="79">
        <v>8000</v>
      </c>
      <c r="G47" s="85"/>
      <c r="H47" s="79">
        <v>8000</v>
      </c>
      <c r="I47" s="79">
        <v>8000</v>
      </c>
      <c r="J47" s="79">
        <v>8000</v>
      </c>
      <c r="K47" s="10">
        <f>E47</f>
        <v>8000</v>
      </c>
      <c r="L47" s="79">
        <v>8000</v>
      </c>
      <c r="M47" s="79">
        <v>8000</v>
      </c>
      <c r="N47" s="79">
        <v>8000</v>
      </c>
      <c r="O47" s="10">
        <f>F47</f>
        <v>8000</v>
      </c>
      <c r="P47" s="79">
        <v>8000</v>
      </c>
      <c r="Q47" s="79">
        <v>8000</v>
      </c>
      <c r="R47" s="79">
        <v>8000</v>
      </c>
      <c r="T47" s="10">
        <f t="shared" si="32"/>
        <v>8000</v>
      </c>
      <c r="U47" s="10">
        <f t="shared" si="32"/>
        <v>8000</v>
      </c>
      <c r="V47" s="10">
        <f t="shared" si="32"/>
        <v>8000</v>
      </c>
      <c r="W47" s="10">
        <f t="shared" si="32"/>
        <v>8000</v>
      </c>
      <c r="X47" s="10">
        <f t="shared" si="32"/>
        <v>8000</v>
      </c>
      <c r="Y47" s="10">
        <f t="shared" si="32"/>
        <v>8000</v>
      </c>
      <c r="Z47" s="10">
        <f t="shared" si="32"/>
        <v>8000</v>
      </c>
      <c r="AA47" s="10">
        <f>R47</f>
        <v>8000</v>
      </c>
    </row>
    <row r="48" spans="1:27" ht="12.75" customHeight="1">
      <c r="B48" s="13" t="s">
        <v>39</v>
      </c>
      <c r="C48" s="14">
        <f>SUM(C44:C47)</f>
        <v>19013</v>
      </c>
      <c r="D48" s="14">
        <f>SUM(D44:D47)</f>
        <v>15997</v>
      </c>
      <c r="E48" s="14">
        <f>SUM(E44:E47)</f>
        <v>17212</v>
      </c>
      <c r="F48" s="14">
        <f>SUM(F44:F47)</f>
        <v>17264</v>
      </c>
      <c r="G48" s="30"/>
      <c r="H48" s="14">
        <f>SUM(H44:H47)</f>
        <v>18673</v>
      </c>
      <c r="I48" s="14">
        <f>SUM(I44:I47)</f>
        <v>18531</v>
      </c>
      <c r="J48" s="14">
        <f>SUM(J44:J47)</f>
        <v>15492</v>
      </c>
      <c r="K48" s="14">
        <f>SUM(K44:K47)</f>
        <v>17212</v>
      </c>
      <c r="L48" s="14">
        <f>SUM(L44:L47)</f>
        <v>15657</v>
      </c>
      <c r="M48" s="14">
        <f>SUM(M44:M47)</f>
        <v>15358</v>
      </c>
      <c r="N48" s="14">
        <f>SUM(N44:N47)</f>
        <v>19401</v>
      </c>
      <c r="O48" s="14">
        <f>SUM(O44:O47)</f>
        <v>17264</v>
      </c>
      <c r="P48" s="14">
        <f>SUM(P44:P47)</f>
        <v>16401</v>
      </c>
      <c r="Q48" s="14">
        <f>SUM(Q44:Q47)</f>
        <v>17909</v>
      </c>
      <c r="R48" s="14">
        <f>SUM(R44:R47)</f>
        <v>19126</v>
      </c>
      <c r="T48" s="14">
        <f>SUM(T44:T44)</f>
        <v>8588</v>
      </c>
      <c r="U48" s="14">
        <f>SUM(U44:U44)</f>
        <v>7293</v>
      </c>
      <c r="V48" s="14">
        <f>SUM(V44:V44)</f>
        <v>6996</v>
      </c>
      <c r="W48" s="14">
        <f>SUM(W44:W47)</f>
        <v>19401</v>
      </c>
      <c r="X48" s="14">
        <f>SUM(X44:X47)</f>
        <v>17264</v>
      </c>
      <c r="Y48" s="14">
        <f>SUM(Y44:Y47)</f>
        <v>16401</v>
      </c>
      <c r="Z48" s="14">
        <f>SUM(Z44:Z47)</f>
        <v>17909</v>
      </c>
      <c r="AA48" s="14">
        <f>SUM(AA44:AA47)</f>
        <v>19126</v>
      </c>
    </row>
    <row r="49" spans="2:27" ht="5.0999999999999996" customHeight="1"/>
    <row r="50" spans="2:27" ht="12.75" customHeight="1">
      <c r="B50" s="33" t="s">
        <v>40</v>
      </c>
    </row>
    <row r="51" spans="2:27" ht="12.75" customHeight="1">
      <c r="B51" s="8" t="s">
        <v>100</v>
      </c>
      <c r="C51" s="85">
        <f>'Historical Financials'!C46</f>
        <v>1319</v>
      </c>
      <c r="D51" s="85">
        <f>'Historical Financials'!D46</f>
        <v>3425</v>
      </c>
      <c r="E51" s="85">
        <f>'Historical Financials'!E46</f>
        <v>4060</v>
      </c>
      <c r="F51" s="85">
        <f>'Historical Financials'!F46</f>
        <v>3773</v>
      </c>
      <c r="H51" s="85">
        <f>'Historical Financials'!H46</f>
        <v>1236</v>
      </c>
      <c r="I51" s="85">
        <f>'Historical Financials'!I46</f>
        <v>1378</v>
      </c>
      <c r="J51" s="85">
        <f>'Historical Financials'!J46</f>
        <v>3925</v>
      </c>
      <c r="K51" s="85">
        <f>'Historical Financials'!K46</f>
        <v>4060</v>
      </c>
      <c r="L51" s="85">
        <f>'Historical Financials'!L46</f>
        <v>4231</v>
      </c>
      <c r="M51" s="85">
        <f>'Historical Financials'!M46</f>
        <v>4195</v>
      </c>
      <c r="N51" s="85">
        <f>'Historical Financials'!N46</f>
        <v>4014</v>
      </c>
      <c r="O51" s="85">
        <f>'Historical Financials'!O46</f>
        <v>3773</v>
      </c>
      <c r="P51" s="85">
        <f>'Historical Financials'!P46</f>
        <v>3965</v>
      </c>
      <c r="Q51" s="85">
        <f>'Historical Financials'!Q46</f>
        <v>4184</v>
      </c>
      <c r="R51" s="85">
        <f>'Historical Financials'!R46</f>
        <v>4247</v>
      </c>
      <c r="S51" s="10"/>
      <c r="T51" s="10">
        <f t="shared" ref="T51:Z51" si="41">K51</f>
        <v>4060</v>
      </c>
      <c r="U51" s="10">
        <f t="shared" si="41"/>
        <v>4231</v>
      </c>
      <c r="V51" s="10">
        <f t="shared" si="41"/>
        <v>4195</v>
      </c>
      <c r="W51" s="10">
        <f t="shared" si="41"/>
        <v>4014</v>
      </c>
      <c r="X51" s="10">
        <f t="shared" si="41"/>
        <v>3773</v>
      </c>
      <c r="Y51" s="10">
        <f t="shared" si="41"/>
        <v>3965</v>
      </c>
      <c r="Z51" s="10">
        <f t="shared" si="41"/>
        <v>4184</v>
      </c>
      <c r="AA51" s="10">
        <f t="shared" ref="AA51" si="42">R51</f>
        <v>4247</v>
      </c>
    </row>
    <row r="52" spans="2:27" ht="12.75" customHeight="1">
      <c r="B52" s="8" t="s">
        <v>92</v>
      </c>
      <c r="C52" s="85">
        <f>'Historical Financials'!C52</f>
        <v>1907</v>
      </c>
      <c r="D52" s="85">
        <f>'Historical Financials'!D52</f>
        <v>2006</v>
      </c>
      <c r="E52" s="85">
        <f>'Historical Financials'!E52</f>
        <v>2061</v>
      </c>
      <c r="F52" s="85">
        <f>'Historical Financials'!F52</f>
        <v>2138</v>
      </c>
      <c r="G52" s="85"/>
      <c r="H52" s="85">
        <f>'Historical Financials'!H52</f>
        <v>2006</v>
      </c>
      <c r="I52" s="85">
        <f>'Historical Financials'!I52</f>
        <v>1986</v>
      </c>
      <c r="J52" s="85">
        <f>'Historical Financials'!J52</f>
        <v>1972</v>
      </c>
      <c r="K52" s="85">
        <f>'Historical Financials'!K52</f>
        <v>2061</v>
      </c>
      <c r="L52" s="85">
        <f>'Historical Financials'!L52</f>
        <v>2077</v>
      </c>
      <c r="M52" s="85">
        <f>'Historical Financials'!M52</f>
        <v>2148</v>
      </c>
      <c r="N52" s="85">
        <f>'Historical Financials'!N52</f>
        <v>2176</v>
      </c>
      <c r="O52" s="85">
        <f>'Historical Financials'!O52</f>
        <v>2138</v>
      </c>
      <c r="P52" s="85">
        <f>'Historical Financials'!P52</f>
        <v>2171</v>
      </c>
      <c r="Q52" s="85">
        <f>'Historical Financials'!Q52</f>
        <v>2225</v>
      </c>
      <c r="R52" s="85">
        <f>'Historical Financials'!R52</f>
        <v>2299</v>
      </c>
      <c r="S52" s="10"/>
      <c r="T52" s="10">
        <f t="shared" ref="T52:T56" si="43">K52</f>
        <v>2061</v>
      </c>
      <c r="U52" s="10">
        <f t="shared" ref="U52:U56" si="44">L52</f>
        <v>2077</v>
      </c>
      <c r="V52" s="10">
        <f t="shared" ref="V52:V56" si="45">M52</f>
        <v>2148</v>
      </c>
      <c r="W52" s="10">
        <f t="shared" ref="W52:W56" si="46">N52</f>
        <v>2176</v>
      </c>
      <c r="X52" s="10">
        <f t="shared" ref="X52:X56" si="47">O52</f>
        <v>2138</v>
      </c>
      <c r="Y52" s="10">
        <f t="shared" ref="Y52:Y56" si="48">P52</f>
        <v>2171</v>
      </c>
      <c r="Z52" s="10">
        <f t="shared" ref="Z52:Z56" si="49">Q52</f>
        <v>2225</v>
      </c>
      <c r="AA52" s="10">
        <f t="shared" ref="AA52:AA56" si="50">R52</f>
        <v>2299</v>
      </c>
    </row>
    <row r="53" spans="2:27" ht="12.75" customHeight="1">
      <c r="B53" s="8" t="s">
        <v>41</v>
      </c>
      <c r="C53" s="85">
        <f>'Historical Financials'!C60</f>
        <v>738</v>
      </c>
      <c r="D53" s="85">
        <f>'Historical Financials'!D60</f>
        <v>926</v>
      </c>
      <c r="E53" s="85">
        <f>'Historical Financials'!E60</f>
        <v>834</v>
      </c>
      <c r="F53" s="85">
        <f>'Historical Financials'!F60</f>
        <v>929</v>
      </c>
      <c r="G53" s="85"/>
      <c r="H53" s="85">
        <f>'Historical Financials'!H60</f>
        <v>735</v>
      </c>
      <c r="I53" s="85">
        <f>'Historical Financials'!I60</f>
        <v>643</v>
      </c>
      <c r="J53" s="85">
        <f>'Historical Financials'!J60</f>
        <v>589</v>
      </c>
      <c r="K53" s="85">
        <f>'Historical Financials'!K60</f>
        <v>834</v>
      </c>
      <c r="L53" s="85">
        <f>'Historical Financials'!L60</f>
        <v>790</v>
      </c>
      <c r="M53" s="85">
        <f>'Historical Financials'!M60</f>
        <v>835</v>
      </c>
      <c r="N53" s="85">
        <f>'Historical Financials'!N60</f>
        <v>911</v>
      </c>
      <c r="O53" s="85">
        <f>'Historical Financials'!O60</f>
        <v>929</v>
      </c>
      <c r="P53" s="85">
        <f>'Historical Financials'!P60</f>
        <v>993</v>
      </c>
      <c r="Q53" s="85">
        <f>'Historical Financials'!Q60</f>
        <v>818</v>
      </c>
      <c r="R53" s="85">
        <f>'Historical Financials'!R60</f>
        <v>935</v>
      </c>
      <c r="S53" s="10"/>
      <c r="T53" s="10">
        <f t="shared" si="43"/>
        <v>834</v>
      </c>
      <c r="U53" s="10">
        <f t="shared" si="44"/>
        <v>790</v>
      </c>
      <c r="V53" s="10">
        <f t="shared" si="45"/>
        <v>835</v>
      </c>
      <c r="W53" s="10">
        <f t="shared" si="46"/>
        <v>911</v>
      </c>
      <c r="X53" s="10">
        <f t="shared" si="47"/>
        <v>929</v>
      </c>
      <c r="Y53" s="10">
        <f t="shared" si="48"/>
        <v>993</v>
      </c>
      <c r="Z53" s="10">
        <f t="shared" si="49"/>
        <v>818</v>
      </c>
      <c r="AA53" s="10">
        <f t="shared" si="50"/>
        <v>935</v>
      </c>
    </row>
    <row r="54" spans="2:27" ht="12.75" customHeight="1">
      <c r="B54" s="8" t="s">
        <v>124</v>
      </c>
      <c r="C54" s="85">
        <f>'Historical Financials'!C62</f>
        <v>1873</v>
      </c>
      <c r="D54" s="85">
        <f>'Historical Financials'!D62</f>
        <v>1568</v>
      </c>
      <c r="E54" s="85">
        <f>'Historical Financials'!E62</f>
        <v>1845</v>
      </c>
      <c r="F54" s="85">
        <f>'Historical Financials'!F62</f>
        <v>1874</v>
      </c>
      <c r="G54" s="85"/>
      <c r="H54" s="85">
        <f>'Historical Financials'!H62</f>
        <v>1608</v>
      </c>
      <c r="I54" s="85">
        <f>'Historical Financials'!I62</f>
        <v>1723</v>
      </c>
      <c r="J54" s="85">
        <f>'Historical Financials'!J62</f>
        <v>1824</v>
      </c>
      <c r="K54" s="85">
        <f>'Historical Financials'!K62</f>
        <v>1845</v>
      </c>
      <c r="L54" s="85">
        <f>'Historical Financials'!L62</f>
        <v>1861</v>
      </c>
      <c r="M54" s="85">
        <f>'Historical Financials'!M62</f>
        <v>1772</v>
      </c>
      <c r="N54" s="85">
        <f>'Historical Financials'!N62</f>
        <v>1868</v>
      </c>
      <c r="O54" s="85">
        <f>'Historical Financials'!O62</f>
        <v>1874</v>
      </c>
      <c r="P54" s="85">
        <f>'Historical Financials'!P62</f>
        <v>1900</v>
      </c>
      <c r="Q54" s="85">
        <f>'Historical Financials'!Q62</f>
        <v>1999</v>
      </c>
      <c r="R54" s="85">
        <f>'Historical Financials'!R62</f>
        <v>2054</v>
      </c>
      <c r="S54" s="10"/>
      <c r="T54" s="10">
        <f t="shared" si="43"/>
        <v>1845</v>
      </c>
      <c r="U54" s="10">
        <f t="shared" si="44"/>
        <v>1861</v>
      </c>
      <c r="V54" s="10">
        <f t="shared" si="45"/>
        <v>1772</v>
      </c>
      <c r="W54" s="10">
        <f t="shared" si="46"/>
        <v>1868</v>
      </c>
      <c r="X54" s="10">
        <f t="shared" si="47"/>
        <v>1874</v>
      </c>
      <c r="Y54" s="10">
        <f t="shared" si="48"/>
        <v>1900</v>
      </c>
      <c r="Z54" s="10">
        <f t="shared" si="49"/>
        <v>1999</v>
      </c>
      <c r="AA54" s="10">
        <f t="shared" si="50"/>
        <v>2054</v>
      </c>
    </row>
    <row r="55" spans="2:27" ht="12.75" customHeight="1">
      <c r="B55" s="8" t="s">
        <v>42</v>
      </c>
      <c r="C55" s="85">
        <f>'Historical Financials'!C67</f>
        <v>13162</v>
      </c>
      <c r="D55" s="85">
        <f>'Historical Financials'!D67</f>
        <v>14171</v>
      </c>
      <c r="E55" s="85">
        <f>'Historical Financials'!E67</f>
        <v>16264</v>
      </c>
      <c r="F55" s="85">
        <f>'Historical Financials'!F67</f>
        <v>19220</v>
      </c>
      <c r="G55" s="85"/>
      <c r="H55" s="85">
        <f>'Historical Financials'!H67</f>
        <v>13651</v>
      </c>
      <c r="I55" s="85">
        <f>'Historical Financials'!I67</f>
        <v>14636</v>
      </c>
      <c r="J55" s="85">
        <f>'Historical Financials'!J67</f>
        <v>14519</v>
      </c>
      <c r="K55" s="85">
        <f>'Historical Financials'!K67</f>
        <v>16264</v>
      </c>
      <c r="L55" s="85">
        <f>'Historical Financials'!L67</f>
        <v>16905</v>
      </c>
      <c r="M55" s="85">
        <f>'Historical Financials'!M67</f>
        <v>15594</v>
      </c>
      <c r="N55" s="85">
        <f>'Historical Financials'!N67</f>
        <v>17294</v>
      </c>
      <c r="O55" s="85">
        <f>'Historical Financials'!O67</f>
        <v>19220</v>
      </c>
      <c r="P55" s="85">
        <f>'Historical Financials'!P67</f>
        <v>17828</v>
      </c>
      <c r="Q55" s="85">
        <f>'Historical Financials'!Q67</f>
        <v>19029</v>
      </c>
      <c r="R55" s="85">
        <f>'Historical Financials'!R67</f>
        <v>20693</v>
      </c>
      <c r="S55" s="10"/>
      <c r="T55" s="10">
        <f t="shared" si="43"/>
        <v>16264</v>
      </c>
      <c r="U55" s="10">
        <f t="shared" si="44"/>
        <v>16905</v>
      </c>
      <c r="V55" s="10">
        <f t="shared" si="45"/>
        <v>15594</v>
      </c>
      <c r="W55" s="10">
        <f t="shared" si="46"/>
        <v>17294</v>
      </c>
      <c r="X55" s="10">
        <f t="shared" si="47"/>
        <v>19220</v>
      </c>
      <c r="Y55" s="10">
        <f t="shared" si="48"/>
        <v>17828</v>
      </c>
      <c r="Z55" s="10">
        <f t="shared" si="49"/>
        <v>19029</v>
      </c>
      <c r="AA55" s="10">
        <f t="shared" si="50"/>
        <v>20693</v>
      </c>
    </row>
    <row r="56" spans="2:27" ht="12.75" customHeight="1">
      <c r="B56" s="8" t="s">
        <v>14</v>
      </c>
      <c r="C56" s="85">
        <f>'Historical Financials'!C73</f>
        <v>30257</v>
      </c>
      <c r="D56" s="85">
        <f>'Historical Financials'!D73</f>
        <v>32347</v>
      </c>
      <c r="E56" s="85">
        <f>'Historical Financials'!E73</f>
        <v>35451</v>
      </c>
      <c r="F56" s="85">
        <f>'Historical Financials'!F73</f>
        <v>41566</v>
      </c>
      <c r="G56" s="85"/>
      <c r="H56" s="85">
        <f>'Historical Financials'!H73</f>
        <v>33529</v>
      </c>
      <c r="I56" s="85">
        <f>'Historical Financials'!I73</f>
        <v>33425</v>
      </c>
      <c r="J56" s="85">
        <f>'Historical Financials'!J73</f>
        <v>33293</v>
      </c>
      <c r="K56" s="85">
        <f>'Historical Financials'!K73</f>
        <v>35451</v>
      </c>
      <c r="L56" s="85">
        <f>'Historical Financials'!L73</f>
        <v>35294</v>
      </c>
      <c r="M56" s="85">
        <f>'Historical Financials'!M73</f>
        <v>34851</v>
      </c>
      <c r="N56" s="85">
        <f>'Historical Financials'!N73</f>
        <v>39739</v>
      </c>
      <c r="O56" s="85">
        <f>'Historical Financials'!O73</f>
        <v>41566</v>
      </c>
      <c r="P56" s="85">
        <f>'Historical Financials'!P73</f>
        <v>41774</v>
      </c>
      <c r="Q56" s="85">
        <f>'Historical Financials'!Q73</f>
        <v>43557</v>
      </c>
      <c r="R56" s="85">
        <f>'Historical Financials'!R73</f>
        <v>45370</v>
      </c>
      <c r="S56" s="10"/>
      <c r="T56" s="10">
        <f t="shared" si="43"/>
        <v>35451</v>
      </c>
      <c r="U56" s="10">
        <f t="shared" si="44"/>
        <v>35294</v>
      </c>
      <c r="V56" s="10">
        <f t="shared" si="45"/>
        <v>34851</v>
      </c>
      <c r="W56" s="10">
        <f t="shared" si="46"/>
        <v>39739</v>
      </c>
      <c r="X56" s="10">
        <f t="shared" si="47"/>
        <v>41566</v>
      </c>
      <c r="Y56" s="10">
        <f t="shared" si="48"/>
        <v>41774</v>
      </c>
      <c r="Z56" s="10">
        <f t="shared" si="49"/>
        <v>43557</v>
      </c>
      <c r="AA56" s="10">
        <f t="shared" si="50"/>
        <v>45370</v>
      </c>
    </row>
    <row r="57" spans="2:27" ht="5.0999999999999996" customHeight="1">
      <c r="F57" s="10"/>
    </row>
    <row r="58" spans="2:27">
      <c r="B58" s="33" t="s">
        <v>89</v>
      </c>
      <c r="F58" s="10"/>
    </row>
    <row r="59" spans="2:27">
      <c r="B59" s="8" t="s">
        <v>90</v>
      </c>
      <c r="C59" s="85">
        <f>'Historical Financials'!C65</f>
        <v>792</v>
      </c>
      <c r="D59" s="85">
        <f>'Historical Financials'!D65</f>
        <v>274</v>
      </c>
      <c r="E59" s="85">
        <f>'Historical Financials'!E65</f>
        <v>1337</v>
      </c>
      <c r="F59" s="85">
        <f>'Historical Financials'!F65</f>
        <v>750</v>
      </c>
      <c r="H59" s="85">
        <f>'Historical Financials'!H65</f>
        <v>276</v>
      </c>
      <c r="I59" s="85">
        <f>'Historical Financials'!I65</f>
        <v>1336</v>
      </c>
      <c r="J59" s="85">
        <f>'Historical Financials'!J65</f>
        <v>1337</v>
      </c>
      <c r="K59" s="85">
        <f>'Historical Financials'!K65</f>
        <v>1337</v>
      </c>
      <c r="L59" s="85">
        <f>'Historical Financials'!L65</f>
        <v>2086</v>
      </c>
      <c r="M59" s="85">
        <f>'Historical Financials'!M65</f>
        <v>1086</v>
      </c>
      <c r="N59" s="85">
        <f>'Historical Financials'!N65</f>
        <v>750</v>
      </c>
      <c r="O59" s="85">
        <f>'Historical Financials'!O65</f>
        <v>750</v>
      </c>
      <c r="P59" s="85">
        <f>'Historical Financials'!P65</f>
        <v>0</v>
      </c>
      <c r="Q59" s="85">
        <f>'Historical Financials'!Q65</f>
        <v>0</v>
      </c>
      <c r="R59" s="85">
        <f>'Historical Financials'!R65</f>
        <v>0</v>
      </c>
      <c r="T59" s="10">
        <f t="shared" ref="T59:Z60" si="51">K59</f>
        <v>1337</v>
      </c>
      <c r="U59" s="10">
        <f t="shared" si="51"/>
        <v>2086</v>
      </c>
      <c r="V59" s="10">
        <f t="shared" si="51"/>
        <v>1086</v>
      </c>
      <c r="W59" s="10">
        <f t="shared" si="51"/>
        <v>750</v>
      </c>
      <c r="X59" s="10">
        <f t="shared" si="51"/>
        <v>750</v>
      </c>
      <c r="Y59" s="10">
        <f t="shared" si="51"/>
        <v>0</v>
      </c>
      <c r="Z59" s="10">
        <f t="shared" si="51"/>
        <v>0</v>
      </c>
      <c r="AA59" s="10">
        <f>R59</f>
        <v>0</v>
      </c>
    </row>
    <row r="60" spans="2:27">
      <c r="B60" s="8" t="s">
        <v>91</v>
      </c>
      <c r="C60" s="85">
        <f>'Historical Financials'!C70</f>
        <v>13109</v>
      </c>
      <c r="D60" s="85">
        <f>'Historical Financials'!D70</f>
        <v>13749</v>
      </c>
      <c r="E60" s="85">
        <f>'Historical Financials'!E70</f>
        <v>14344</v>
      </c>
      <c r="F60" s="85">
        <f>'Historical Financials'!F70</f>
        <v>17476</v>
      </c>
      <c r="H60" s="85">
        <f>'Historical Financials'!H70</f>
        <v>15292</v>
      </c>
      <c r="I60" s="85">
        <f>'Historical Financials'!I70</f>
        <v>14284</v>
      </c>
      <c r="J60" s="85">
        <f>'Historical Financials'!J70</f>
        <v>14229</v>
      </c>
      <c r="K60" s="85">
        <f>'Historical Financials'!K70</f>
        <v>14344</v>
      </c>
      <c r="L60" s="85">
        <f>'Historical Financials'!L70</f>
        <v>13543</v>
      </c>
      <c r="M60" s="85">
        <f>'Historical Financials'!M70</f>
        <v>14519</v>
      </c>
      <c r="N60" s="85">
        <f>'Historical Financials'!N70</f>
        <v>17608</v>
      </c>
      <c r="O60" s="85">
        <f>'Historical Financials'!O70</f>
        <v>17476</v>
      </c>
      <c r="P60" s="85">
        <f>'Historical Financials'!P70</f>
        <v>18802</v>
      </c>
      <c r="Q60" s="85">
        <f>'Historical Financials'!Q70</f>
        <v>18970</v>
      </c>
      <c r="R60" s="85">
        <f>'Historical Financials'!R70</f>
        <v>18983</v>
      </c>
      <c r="T60" s="10">
        <f t="shared" si="51"/>
        <v>14344</v>
      </c>
      <c r="U60" s="10">
        <f t="shared" si="51"/>
        <v>13543</v>
      </c>
      <c r="V60" s="10">
        <f t="shared" si="51"/>
        <v>14519</v>
      </c>
      <c r="W60" s="10">
        <f t="shared" si="51"/>
        <v>17608</v>
      </c>
      <c r="X60" s="10">
        <f t="shared" si="51"/>
        <v>17476</v>
      </c>
      <c r="Y60" s="10">
        <f t="shared" si="51"/>
        <v>18802</v>
      </c>
      <c r="Z60" s="10">
        <f t="shared" si="51"/>
        <v>18970</v>
      </c>
      <c r="AA60" s="10">
        <f>R60</f>
        <v>18983</v>
      </c>
    </row>
    <row r="61" spans="2:27">
      <c r="F61" s="10"/>
    </row>
    <row r="62" spans="2:27">
      <c r="B62" s="8" t="s">
        <v>191</v>
      </c>
      <c r="C62" s="171">
        <f t="shared" ref="C62:R62" si="52">SUM(C59:C60)</f>
        <v>13901</v>
      </c>
      <c r="D62" s="171">
        <f t="shared" si="52"/>
        <v>14023</v>
      </c>
      <c r="E62" s="171">
        <f t="shared" si="52"/>
        <v>15681</v>
      </c>
      <c r="F62" s="171">
        <f t="shared" si="52"/>
        <v>18226</v>
      </c>
      <c r="H62" s="171">
        <f t="shared" si="52"/>
        <v>15568</v>
      </c>
      <c r="I62" s="171">
        <f t="shared" si="52"/>
        <v>15620</v>
      </c>
      <c r="J62" s="171">
        <f t="shared" si="52"/>
        <v>15566</v>
      </c>
      <c r="K62" s="171">
        <f t="shared" si="52"/>
        <v>15681</v>
      </c>
      <c r="L62" s="171">
        <f t="shared" si="52"/>
        <v>15629</v>
      </c>
      <c r="M62" s="171">
        <f t="shared" si="52"/>
        <v>15605</v>
      </c>
      <c r="N62" s="171">
        <f t="shared" si="52"/>
        <v>18358</v>
      </c>
      <c r="O62" s="171">
        <f t="shared" si="52"/>
        <v>18226</v>
      </c>
      <c r="P62" s="171">
        <f t="shared" si="52"/>
        <v>18802</v>
      </c>
      <c r="Q62" s="171">
        <f t="shared" si="52"/>
        <v>18970</v>
      </c>
      <c r="R62" s="171">
        <f t="shared" si="52"/>
        <v>18983</v>
      </c>
      <c r="T62" s="10">
        <f t="shared" ref="T62:Z62" si="53">K62</f>
        <v>15681</v>
      </c>
      <c r="U62" s="10">
        <f t="shared" si="53"/>
        <v>15629</v>
      </c>
      <c r="V62" s="10">
        <f t="shared" si="53"/>
        <v>15605</v>
      </c>
      <c r="W62" s="10">
        <f t="shared" si="53"/>
        <v>18358</v>
      </c>
      <c r="X62" s="10">
        <f t="shared" si="53"/>
        <v>18226</v>
      </c>
      <c r="Y62" s="10">
        <f t="shared" si="53"/>
        <v>18802</v>
      </c>
      <c r="Z62" s="10">
        <f t="shared" si="53"/>
        <v>18970</v>
      </c>
      <c r="AA62" s="10">
        <f t="shared" ref="AA62" si="54">R62</f>
        <v>18983</v>
      </c>
    </row>
    <row r="63" spans="2:27" ht="12.75" customHeight="1">
      <c r="B63" s="13" t="s">
        <v>19</v>
      </c>
      <c r="C63" s="14">
        <f>SUM(C62:C62)</f>
        <v>13901</v>
      </c>
      <c r="D63" s="14">
        <f>SUM(D62:D62)</f>
        <v>14023</v>
      </c>
      <c r="E63" s="14">
        <f>SUM(E62:E62)</f>
        <v>15681</v>
      </c>
      <c r="F63" s="14">
        <f>SUM(F62:F62)</f>
        <v>18226</v>
      </c>
      <c r="H63" s="14">
        <f>SUM(H62:H62)</f>
        <v>15568</v>
      </c>
      <c r="I63" s="14">
        <f>SUM(I62:I62)</f>
        <v>15620</v>
      </c>
      <c r="J63" s="14">
        <f>SUM(J62:J62)</f>
        <v>15566</v>
      </c>
      <c r="K63" s="14">
        <f>SUM(K62:K62)</f>
        <v>15681</v>
      </c>
      <c r="L63" s="14">
        <f>SUM(L62:L62)</f>
        <v>15629</v>
      </c>
      <c r="M63" s="14">
        <f>SUM(M62:M62)</f>
        <v>15605</v>
      </c>
      <c r="N63" s="14">
        <f>SUM(N62:N62)</f>
        <v>18358</v>
      </c>
      <c r="O63" s="14">
        <f>SUM(O62:O62)</f>
        <v>18226</v>
      </c>
      <c r="P63" s="14">
        <f>SUM(P62:P62)</f>
        <v>18802</v>
      </c>
      <c r="Q63" s="14">
        <f>SUM(Q62:Q62)</f>
        <v>18970</v>
      </c>
      <c r="R63" s="14">
        <f>SUM(R62:R62)</f>
        <v>18983</v>
      </c>
      <c r="T63" s="14" t="e">
        <f>SUM(#REF!)</f>
        <v>#REF!</v>
      </c>
      <c r="U63" s="14" t="e">
        <f>SUM(#REF!)</f>
        <v>#REF!</v>
      </c>
      <c r="V63" s="14" t="e">
        <f>SUM(#REF!)</f>
        <v>#REF!</v>
      </c>
      <c r="W63" s="14">
        <f>SUM(W62:W62)</f>
        <v>18358</v>
      </c>
      <c r="X63" s="14">
        <f>SUM(X62:X62)</f>
        <v>18226</v>
      </c>
      <c r="Y63" s="14">
        <f>SUM(Y62:Y62)</f>
        <v>18802</v>
      </c>
      <c r="Z63" s="14">
        <f>SUM(Z62:Z62)</f>
        <v>18970</v>
      </c>
      <c r="AA63" s="14">
        <f>SUM(AA62:AA62)</f>
        <v>18983</v>
      </c>
    </row>
    <row r="64" spans="2:27" ht="5.0999999999999996" customHeight="1"/>
    <row r="65" spans="1:27" ht="12.75" customHeight="1">
      <c r="B65" s="8" t="s">
        <v>143</v>
      </c>
      <c r="C65" s="85">
        <f>'Historical Financials'!C85</f>
        <v>7412</v>
      </c>
      <c r="D65" s="85">
        <f>'Historical Financials'!D85</f>
        <v>6377</v>
      </c>
      <c r="E65" s="85">
        <f>'Historical Financials'!E85</f>
        <v>6997</v>
      </c>
      <c r="F65" s="85">
        <f>'Historical Financials'!F85</f>
        <v>6515</v>
      </c>
      <c r="H65" s="85">
        <f>'Historical Financials'!H85</f>
        <v>5407</v>
      </c>
      <c r="I65" s="85">
        <f>'Historical Financials'!I85</f>
        <v>5579</v>
      </c>
      <c r="J65" s="85">
        <f>'Historical Financials'!J85</f>
        <v>6381</v>
      </c>
      <c r="K65" s="85">
        <f>'Historical Financials'!K85</f>
        <v>6997</v>
      </c>
      <c r="L65" s="85">
        <f>'Historical Financials'!L85</f>
        <v>7308</v>
      </c>
      <c r="M65" s="85">
        <f>'Historical Financials'!M85</f>
        <v>7482</v>
      </c>
      <c r="N65" s="85">
        <f>'Historical Financials'!N85</f>
        <v>7498</v>
      </c>
      <c r="O65" s="85">
        <f>'Historical Financials'!O85</f>
        <v>6515</v>
      </c>
      <c r="P65" s="85">
        <f>'Historical Financials'!P85</f>
        <v>6696</v>
      </c>
      <c r="Q65" s="85">
        <f>'Historical Financials'!Q85</f>
        <v>7874</v>
      </c>
      <c r="R65" s="85">
        <f>'Historical Financials'!R85</f>
        <v>7919</v>
      </c>
      <c r="T65" s="10">
        <f t="shared" ref="T65:AA65" si="55">K65</f>
        <v>6997</v>
      </c>
      <c r="U65" s="10">
        <f t="shared" si="55"/>
        <v>7308</v>
      </c>
      <c r="V65" s="10">
        <f t="shared" si="55"/>
        <v>7482</v>
      </c>
      <c r="W65" s="125">
        <f t="shared" si="55"/>
        <v>7498</v>
      </c>
      <c r="X65" s="125">
        <f t="shared" si="55"/>
        <v>6515</v>
      </c>
      <c r="Y65" s="125">
        <f t="shared" si="55"/>
        <v>6696</v>
      </c>
      <c r="Z65" s="125">
        <f t="shared" si="55"/>
        <v>7874</v>
      </c>
      <c r="AA65" s="125">
        <f t="shared" si="55"/>
        <v>7919</v>
      </c>
    </row>
    <row r="66" spans="1:27" ht="12.75" customHeight="1">
      <c r="B66" s="13" t="s">
        <v>43</v>
      </c>
      <c r="C66" s="14">
        <f>SUM(C63:C65)</f>
        <v>21313</v>
      </c>
      <c r="D66" s="14">
        <f>SUM(D63:D65)</f>
        <v>20400</v>
      </c>
      <c r="E66" s="14">
        <f>SUM(E63:E65)</f>
        <v>22678</v>
      </c>
      <c r="F66" s="14">
        <f>SUM(F63:F65)</f>
        <v>24741</v>
      </c>
      <c r="H66" s="14">
        <f t="shared" ref="H66:M66" si="56">SUM(H63:H65)</f>
        <v>20975</v>
      </c>
      <c r="I66" s="14">
        <f t="shared" si="56"/>
        <v>21199</v>
      </c>
      <c r="J66" s="14">
        <f t="shared" si="56"/>
        <v>21947</v>
      </c>
      <c r="K66" s="14">
        <f t="shared" si="56"/>
        <v>22678</v>
      </c>
      <c r="L66" s="14">
        <f t="shared" si="56"/>
        <v>22937</v>
      </c>
      <c r="M66" s="14">
        <f t="shared" si="56"/>
        <v>23087</v>
      </c>
      <c r="N66" s="14">
        <f>SUM(N63:N65)</f>
        <v>25856</v>
      </c>
      <c r="O66" s="14">
        <f>SUM(O63:O65)</f>
        <v>24741</v>
      </c>
      <c r="P66" s="14">
        <f>SUM(P63:P65)</f>
        <v>25498</v>
      </c>
      <c r="Q66" s="14">
        <f>SUM(Q63:Q65)</f>
        <v>26844</v>
      </c>
      <c r="R66" s="14">
        <f>SUM(R63:R65)</f>
        <v>26902</v>
      </c>
      <c r="T66" s="14" t="e">
        <f t="shared" ref="T66:Y66" si="57">SUM(T63:T65)</f>
        <v>#REF!</v>
      </c>
      <c r="U66" s="14" t="e">
        <f t="shared" si="57"/>
        <v>#REF!</v>
      </c>
      <c r="V66" s="14" t="e">
        <f t="shared" si="57"/>
        <v>#REF!</v>
      </c>
      <c r="W66" s="14">
        <f t="shared" si="57"/>
        <v>25856</v>
      </c>
      <c r="X66" s="14">
        <f t="shared" si="57"/>
        <v>24741</v>
      </c>
      <c r="Y66" s="14">
        <f t="shared" si="57"/>
        <v>25498</v>
      </c>
      <c r="Z66" s="14">
        <f>SUM(Z63:Z65)</f>
        <v>26844</v>
      </c>
      <c r="AA66" s="14">
        <f>SUM(AA63:AA65)</f>
        <v>26902</v>
      </c>
    </row>
    <row r="67" spans="1:27" ht="5.0999999999999996" customHeight="1"/>
    <row r="68" spans="1:27" ht="12.75" customHeight="1">
      <c r="A68" s="5"/>
      <c r="B68" s="31" t="s">
        <v>62</v>
      </c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</row>
    <row r="69" spans="1:27" ht="5.0999999999999996" customHeight="1"/>
    <row r="70" spans="1:27" ht="12.75" customHeight="1">
      <c r="B70" s="29" t="s">
        <v>82</v>
      </c>
      <c r="C70" s="81">
        <f>C63/C24</f>
        <v>1.2544896669975634</v>
      </c>
      <c r="D70" s="81">
        <f>D63/D24</f>
        <v>1.0536479074310616</v>
      </c>
      <c r="E70" s="81">
        <f>E63/E24</f>
        <v>1.0271173118490862</v>
      </c>
      <c r="F70" s="81">
        <f>F63/F24</f>
        <v>1.0718024110555719</v>
      </c>
      <c r="H70" s="172"/>
      <c r="I70" s="172"/>
      <c r="J70" s="172"/>
      <c r="K70" s="81">
        <f>SUM(K63/SUM(H24:K24))</f>
        <v>1.0271173118490862</v>
      </c>
      <c r="L70" s="81">
        <f>SUM(L63/SUM(I24:L24))</f>
        <v>0.99168781725888322</v>
      </c>
      <c r="M70" s="81">
        <f>SUM(M63/SUM(J24:M24))</f>
        <v>0.96368801333909715</v>
      </c>
      <c r="N70" s="81">
        <f>SUM(N63/SUM(K24:N24))</f>
        <v>1.1200048807272283</v>
      </c>
      <c r="O70" s="81">
        <f>SUM(O63/SUM(L24:O24))</f>
        <v>1.0718024110555719</v>
      </c>
      <c r="P70" s="81">
        <f>SUM(P63/SUM(M24:P24))</f>
        <v>1.0664775950085081</v>
      </c>
      <c r="Q70" s="81">
        <f>SUM(Q63/SUM(N24:Q24))</f>
        <v>1.0281285567177931</v>
      </c>
      <c r="R70" s="81">
        <f>SUM(R63/SUM(O24:R24))</f>
        <v>0.96876754274049504</v>
      </c>
      <c r="S70" s="81"/>
      <c r="T70" s="81" t="e">
        <f>T63/T24</f>
        <v>#REF!</v>
      </c>
      <c r="U70" s="81" t="e">
        <f>U63/U24</f>
        <v>#REF!</v>
      </c>
      <c r="V70" s="81" t="e">
        <f>V63/V24</f>
        <v>#REF!</v>
      </c>
      <c r="W70" s="81">
        <f>W63/W24</f>
        <v>1.1200048807272283</v>
      </c>
      <c r="X70" s="81">
        <f>X63/X24</f>
        <v>1.0718024110555719</v>
      </c>
      <c r="Y70" s="81">
        <f>Y63/Y24</f>
        <v>1.0664775950085081</v>
      </c>
      <c r="Z70" s="81">
        <f>Z63/Z24</f>
        <v>1.0281285567177931</v>
      </c>
      <c r="AA70" s="81">
        <f>AA63/AA24</f>
        <v>0.96876754274049504</v>
      </c>
    </row>
    <row r="71" spans="1:27" ht="12.75" customHeight="1">
      <c r="B71" s="29" t="s">
        <v>83</v>
      </c>
      <c r="C71" s="81">
        <f>SUM(C63-C44)/C24</f>
        <v>0.58478476671780522</v>
      </c>
      <c r="D71" s="81">
        <f>SUM(D63-D44)/D24</f>
        <v>0.52708693365391845</v>
      </c>
      <c r="E71" s="81">
        <f>SUM(E63-E44)/E24</f>
        <v>0.4645968428636929</v>
      </c>
      <c r="F71" s="81">
        <f>SUM(F63-F44)/F24</f>
        <v>0.57536018817994705</v>
      </c>
      <c r="H71" s="172"/>
      <c r="I71" s="172"/>
      <c r="J71" s="172"/>
      <c r="K71" s="81">
        <f>SUM(K63-K44)/SUM(H24:K24)</f>
        <v>0.4645968428636929</v>
      </c>
      <c r="L71" s="81">
        <f>SUM(L63-L44)/SUM(I24:L24)</f>
        <v>0.52893401015228425</v>
      </c>
      <c r="M71" s="81">
        <f>SUM(M63-M44)/SUM(J24:M24)</f>
        <v>0.53164947816957941</v>
      </c>
      <c r="N71" s="81">
        <f>SUM(N63-N44)/SUM(K24:N24)</f>
        <v>0.44506131413580624</v>
      </c>
      <c r="O71" s="81">
        <f>SUM(O63-O44)/SUM(L24:O24)</f>
        <v>0.57536018817994705</v>
      </c>
      <c r="P71" s="81">
        <f>SUM(P63-P44)/SUM(M24:P24)</f>
        <v>0.6368122518434487</v>
      </c>
      <c r="Q71" s="81">
        <f>SUM(Q63-Q44)/SUM(N24:Q24)</f>
        <v>0.5386699907864072</v>
      </c>
      <c r="R71" s="81">
        <f>SUM(R63-R44)/SUM(O24:R24)</f>
        <v>0.44245981117632049</v>
      </c>
      <c r="S71" s="81"/>
      <c r="T71" s="81" t="e">
        <f>SUM(T63-T44)/T24</f>
        <v>#REF!</v>
      </c>
      <c r="U71" s="81" t="e">
        <f>SUM(U63-U44)/U24</f>
        <v>#REF!</v>
      </c>
      <c r="V71" s="81" t="e">
        <f>SUM(V63-V44)/V24</f>
        <v>#REF!</v>
      </c>
      <c r="W71" s="81">
        <f>SUM(W63-W44)/W24</f>
        <v>0.44506131413580624</v>
      </c>
      <c r="X71" s="81">
        <f>SUM(X63-X44)/X24</f>
        <v>0.57536018817994705</v>
      </c>
      <c r="Y71" s="81">
        <f>SUM(Y63-Y44)/Y24</f>
        <v>0.6368122518434487</v>
      </c>
      <c r="Z71" s="81">
        <f>SUM(Z63-Z44)/Z24</f>
        <v>0.5386699907864072</v>
      </c>
      <c r="AA71" s="81">
        <f>SUM(AA63-AA44)/AA24</f>
        <v>0.44245981117632049</v>
      </c>
    </row>
    <row r="72" spans="1:27" ht="12.75" customHeight="1">
      <c r="B72" s="29" t="s">
        <v>84</v>
      </c>
      <c r="C72" s="81">
        <f>C24/-C29</f>
        <v>27.771929824561404</v>
      </c>
      <c r="D72" s="81">
        <f>D24/-D29</f>
        <v>32.147342995169083</v>
      </c>
      <c r="E72" s="81">
        <f>E24/-E29</f>
        <v>32.0062893081761</v>
      </c>
      <c r="F72" s="81">
        <f>F24/-F29</f>
        <v>29.781085814360772</v>
      </c>
      <c r="H72" s="172"/>
      <c r="I72" s="172"/>
      <c r="J72" s="172"/>
      <c r="K72" s="81" cm="1">
        <f t="array" ref="K72">SUM(H24:K24)/SUM(-H29:K29)</f>
        <v>26.551304347826086</v>
      </c>
      <c r="L72" s="81" cm="1">
        <f t="array" ref="L72">SUM(I24:L24)/SUM(-I29:L29)</f>
        <v>26.576728499156829</v>
      </c>
      <c r="M72" s="81" cm="1">
        <f t="array" ref="M72">SUM(J24:M24)/SUM(-J29:M29)</f>
        <v>26.898671096345517</v>
      </c>
      <c r="N72" s="81" cm="1">
        <f t="array" ref="N72">SUM(K24:N24)/SUM(-K29:N29)</f>
        <v>26.870491803278689</v>
      </c>
      <c r="O72" s="81" cm="1">
        <f t="array" ref="O72">SUM(L24:O24)/SUM(-L29:O29)</f>
        <v>26.323529411764707</v>
      </c>
      <c r="P72" s="81" cm="1">
        <f t="array" ref="P72">SUM(M24:P24)/SUM(-M29:P29)</f>
        <v>26.002949852507374</v>
      </c>
      <c r="Q72" s="81" cm="1">
        <f t="array" ref="Q72">SUM(N24:Q24)/SUM(-N29:Q29)</f>
        <v>25.62638888888889</v>
      </c>
      <c r="R72" s="81" cm="1">
        <f t="array" ref="R72">SUM(O24:R24)/SUM(-O29:R29)</f>
        <v>26.231593038821956</v>
      </c>
      <c r="S72" s="81"/>
      <c r="T72" s="81">
        <f>T24/-T29</f>
        <v>26.551304347826086</v>
      </c>
      <c r="U72" s="81">
        <f>U24/-U29</f>
        <v>26.576728499156829</v>
      </c>
      <c r="V72" s="81">
        <f>V24/-V29</f>
        <v>26.898671096345517</v>
      </c>
      <c r="W72" s="81">
        <f>W24/-W29</f>
        <v>26.870491803278689</v>
      </c>
      <c r="X72" s="81">
        <f>X24/-X29</f>
        <v>26.323529411764707</v>
      </c>
      <c r="Y72" s="81">
        <f>Y24/-Y29</f>
        <v>26.002949852507374</v>
      </c>
      <c r="Z72" s="81">
        <f>Z24/-Z29</f>
        <v>25.62638888888889</v>
      </c>
      <c r="AA72" s="81">
        <f>AA24/-AA29</f>
        <v>26.231593038821956</v>
      </c>
    </row>
    <row r="73" spans="1:27" ht="12.75" customHeight="1">
      <c r="B73" s="29" t="s">
        <v>85</v>
      </c>
      <c r="C73" s="81" cm="1">
        <f t="array" ref="C73">SUM(C24+C27)/SUM(-C28:C29)</f>
        <v>4.626858945470933</v>
      </c>
      <c r="D73" s="81" cm="1">
        <f t="array" ref="D73">SUM(D24+D27)/SUM(-D28:D29)</f>
        <v>4.1821917808219178</v>
      </c>
      <c r="E73" s="81" cm="1">
        <f t="array" ref="E73">SUM(E24+E27)/SUM(-E28:E29)</f>
        <v>4.3993174061433447</v>
      </c>
      <c r="F73" s="81" cm="1">
        <f t="array" ref="F73">SUM(F24+F27)/SUM(-F28:F29)</f>
        <v>4.1357572586973577</v>
      </c>
      <c r="H73" s="172"/>
      <c r="I73" s="172"/>
      <c r="J73" s="172"/>
      <c r="K73" s="81" cm="1">
        <f t="array" ref="K73">SUM(H24:K24+H27:K27)/SUM(-H28:K29)</f>
        <v>4.696588274263001</v>
      </c>
      <c r="L73" s="81" cm="1">
        <f t="array" ref="L73">SUM(I24:L24+I27:L27)/SUM(-I28:L29)</f>
        <v>4.7367399741267784</v>
      </c>
      <c r="M73" s="81" cm="1">
        <f t="array" ref="M73">SUM(J24:M24+J27:M27)/SUM(-J28:M29)</f>
        <v>5.1371878207321249</v>
      </c>
      <c r="N73" s="81" cm="1">
        <f t="array" ref="N73">SUM(K24:N24+K27:N27)/SUM(-K28:N29)</f>
        <v>5.1087176035005051</v>
      </c>
      <c r="O73" s="81" cm="1">
        <f t="array" ref="O73">SUM(L24:O24+L27:O27)/SUM(-L28:O29)</f>
        <v>5.2250495703899533</v>
      </c>
      <c r="P73" s="81" cm="1">
        <f t="array" ref="P73">SUM(M24:P24+M27:P27)/SUM(-M28:P29)</f>
        <v>5.0450643776824036</v>
      </c>
      <c r="Q73" s="81" cm="1">
        <f t="array" ref="Q73">SUM(N24:Q24+N27:Q27)/SUM(-N28:Q29)</f>
        <v>4.8316638842515305</v>
      </c>
      <c r="R73" s="81" cm="1">
        <f t="array" ref="R73">SUM(O24:R24+O27:R27)/SUM(-O28:R29)</f>
        <v>4.5036674816625917</v>
      </c>
      <c r="S73" s="81"/>
      <c r="T73" s="81" cm="1">
        <f t="array" ref="T73">SUM(T24+T27)/SUM(-T28:T29)</f>
        <v>4.696588274263001</v>
      </c>
      <c r="U73" s="81" cm="1">
        <f t="array" ref="U73">SUM(U24+U27)/SUM(-U28:U29)</f>
        <v>4.7367399741267784</v>
      </c>
      <c r="V73" s="81" cm="1">
        <f t="array" ref="V73">SUM(V24+V27)/SUM(-V28:V29)</f>
        <v>5.1371878207321249</v>
      </c>
      <c r="W73" s="81" cm="1">
        <f t="array" ref="W73">SUM(W24+W27)/SUM(-W28:W29)</f>
        <v>5.1087176035005051</v>
      </c>
      <c r="X73" s="81" cm="1">
        <f t="array" ref="X73">SUM(X24+X27)/SUM(-X28:X29)</f>
        <v>5.2250495703899533</v>
      </c>
      <c r="Y73" s="81" cm="1">
        <f t="array" ref="Y73">SUM(Y24+Y27)/SUM(-Y28:Y29)</f>
        <v>5.0450643776824036</v>
      </c>
      <c r="Z73" s="81" cm="1">
        <f t="array" ref="Z73">SUM(Z24+Z27)/SUM(-Z28:Z29)</f>
        <v>4.8316638842515305</v>
      </c>
      <c r="AA73" s="81" cm="1">
        <f t="array" ref="AA73">SUM(AA24+AA27)/SUM(-AA28:AA29)</f>
        <v>4.5036674816625917</v>
      </c>
    </row>
    <row r="74" spans="1:27" ht="12.75" customHeight="1">
      <c r="B74" s="29" t="s">
        <v>86</v>
      </c>
      <c r="C74" s="81" cm="1">
        <f t="array" ref="C74">SUM(C24)/SUM(-C27:C29)</f>
        <v>3.6534784042202442</v>
      </c>
      <c r="D74" s="81" cm="1">
        <f t="array" ref="D74">SUM(D24)/SUM(-D27:D29)</f>
        <v>3.3131690316156335</v>
      </c>
      <c r="E74" s="81" cm="1">
        <f t="array" ref="E74">SUM(E24)/SUM(-E27:E29)</f>
        <v>3.5414057063326374</v>
      </c>
      <c r="F74" s="81" cm="1">
        <f t="array" ref="F74">SUM(F24)/SUM(-F27:F29)</f>
        <v>3.3894757823400439</v>
      </c>
      <c r="H74" s="172"/>
      <c r="I74" s="172"/>
      <c r="J74" s="172"/>
      <c r="K74" s="81" cm="1">
        <f t="array" ref="K74">SUM(H24:K24)/SUM(-H27:K29)</f>
        <v>3.7173119065010956</v>
      </c>
      <c r="L74" s="81" cm="1">
        <f t="array" ref="L74">SUM(I24:L24)/SUM(-I27:L29)</f>
        <v>3.747028055159296</v>
      </c>
      <c r="M74" s="81" cm="1">
        <f t="array" ref="M74">SUM(J24:M24)/SUM(-J27:M29)</f>
        <v>3.9495121951219514</v>
      </c>
      <c r="N74" s="81" cm="1">
        <f t="array" ref="N74">SUM(K24:N24)/SUM(-K27:N29)</f>
        <v>3.9175430210325048</v>
      </c>
      <c r="O74" s="81" cm="1">
        <f t="array" ref="O74">SUM(L24:O24)/SUM(-L27:O29)</f>
        <v>4.0296208530805684</v>
      </c>
      <c r="P74" s="81" cm="1">
        <f t="array" ref="P74">SUM(M24:P24)/SUM(-M27:P29)</f>
        <v>3.975197294250282</v>
      </c>
      <c r="Q74" s="81" cm="1">
        <f t="array" ref="Q74">SUM(N24:Q24)/SUM(-N27:Q29)</f>
        <v>3.9425213675213677</v>
      </c>
      <c r="R74" s="81" cm="1">
        <f t="array" ref="R74">SUM(O24:R24)/SUM(-O27:R29)</f>
        <v>3.7217473884140553</v>
      </c>
      <c r="S74" s="81"/>
      <c r="T74" s="81" cm="1">
        <f t="array" ref="T74">SUM(T24)/SUM(-T27:T29)</f>
        <v>3.7173119065010956</v>
      </c>
      <c r="U74" s="81" cm="1">
        <f t="array" ref="U74">SUM(U24)/SUM(-U27:U29)</f>
        <v>3.747028055159296</v>
      </c>
      <c r="V74" s="81" cm="1">
        <f t="array" ref="V74">SUM(V24)/SUM(-V27:V29)</f>
        <v>3.9495121951219514</v>
      </c>
      <c r="W74" s="81" cm="1">
        <f t="array" ref="W74">SUM(W24)/SUM(-W27:W29)</f>
        <v>3.9175430210325048</v>
      </c>
      <c r="X74" s="81" cm="1">
        <f t="array" ref="X74">SUM(X24)/SUM(-X27:X29)</f>
        <v>4.0296208530805684</v>
      </c>
      <c r="Y74" s="81" cm="1">
        <f t="array" ref="Y74">SUM(Y24)/SUM(-Y27:Y29)</f>
        <v>3.975197294250282</v>
      </c>
      <c r="Z74" s="81" cm="1">
        <f t="array" ref="Z74">SUM(Z24)/SUM(-Z27:Z29)</f>
        <v>3.9425213675213677</v>
      </c>
      <c r="AA74" s="81" cm="1">
        <f t="array" ref="AA74">SUM(AA24)/SUM(-AA27:AA29)</f>
        <v>3.7217473884140553</v>
      </c>
    </row>
    <row r="75" spans="1:27" ht="12.75" customHeight="1">
      <c r="B75" s="8" t="s">
        <v>44</v>
      </c>
      <c r="C75" s="81">
        <f>C66/C63</f>
        <v>1.5331990504280268</v>
      </c>
      <c r="D75" s="81">
        <f>D66/D63</f>
        <v>1.4547529059402411</v>
      </c>
      <c r="E75" s="81">
        <f>E66/E63</f>
        <v>1.4462087877048657</v>
      </c>
      <c r="F75" s="81">
        <f>F66/F63</f>
        <v>1.3574563809941842</v>
      </c>
      <c r="H75" s="172"/>
      <c r="I75" s="172"/>
      <c r="J75" s="172"/>
      <c r="K75" s="81">
        <f t="shared" ref="K75:R75" si="58">K66/K63</f>
        <v>1.4462087877048657</v>
      </c>
      <c r="L75" s="81">
        <f t="shared" si="58"/>
        <v>1.4675922963721288</v>
      </c>
      <c r="M75" s="81">
        <f t="shared" si="58"/>
        <v>1.4794617109900672</v>
      </c>
      <c r="N75" s="81">
        <f t="shared" si="58"/>
        <v>1.4084322910992484</v>
      </c>
      <c r="O75" s="81">
        <f t="shared" si="58"/>
        <v>1.3574563809941842</v>
      </c>
      <c r="P75" s="81">
        <f t="shared" si="58"/>
        <v>1.3561323263482608</v>
      </c>
      <c r="Q75" s="81">
        <f t="shared" si="58"/>
        <v>1.4150764364786506</v>
      </c>
      <c r="R75" s="81">
        <f>R66/R63</f>
        <v>1.4171627245430121</v>
      </c>
      <c r="S75" s="81"/>
      <c r="T75" s="81" t="e">
        <f t="shared" ref="T75:Y75" si="59">T66/T63</f>
        <v>#REF!</v>
      </c>
      <c r="U75" s="81" t="e">
        <f t="shared" si="59"/>
        <v>#REF!</v>
      </c>
      <c r="V75" s="81" t="e">
        <f t="shared" si="59"/>
        <v>#REF!</v>
      </c>
      <c r="W75" s="81">
        <f t="shared" si="59"/>
        <v>1.4084322910992484</v>
      </c>
      <c r="X75" s="81">
        <f t="shared" si="59"/>
        <v>1.3574563809941842</v>
      </c>
      <c r="Y75" s="81">
        <f t="shared" si="59"/>
        <v>1.3561323263482608</v>
      </c>
      <c r="Z75" s="81">
        <f>Z66/Z63</f>
        <v>1.4150764364786506</v>
      </c>
      <c r="AA75" s="81">
        <f>AA66/AA63</f>
        <v>1.4171627245430121</v>
      </c>
    </row>
    <row r="76" spans="1:27" ht="5.0999999999999996" customHeight="1" thickBot="1"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32:G33 AB33:AC33 G27:G29 AB36:AC36 AB31 AB32 G31 AB34:AC34 H32:Q33 S35:W35 S34:W34 C27:F27 H27:W27 H34:R34 C34:F34 C35:R35 G34 G36 C37:R38 C36:F36 H36:R36" formulaRange="1"/>
    <ignoredError sqref="C10:G11 G16 S19 AC31:AC32 S23 AC8:AC11 G19:G20 S12 G12 C71:G75 H11:S11 D9:G9 I10:S10 L9:S9 S14 G14 AC16:AC22 G23:G24 T70:AA75 C17:AA18 C21:AA22 C25:AA25 T10:AA11 X9:AA9 C70:G70 S70 AC24:AC29 S71:S75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2026-01-01T10:28:48Z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