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6C63DD24-EE33-4849-9191-729FB7E15F99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10" l="1"/>
  <c r="O20" i="10"/>
  <c r="K21" i="10"/>
  <c r="K20" i="10"/>
  <c r="O10" i="10"/>
  <c r="O9" i="10"/>
  <c r="K10" i="10"/>
  <c r="K9" i="10"/>
  <c r="O27" i="8"/>
  <c r="K27" i="8"/>
  <c r="O23" i="8"/>
  <c r="AA23" i="8" s="1"/>
  <c r="O22" i="8"/>
  <c r="O21" i="8"/>
  <c r="Z21" i="8" s="1"/>
  <c r="O20" i="8"/>
  <c r="K23" i="8"/>
  <c r="T23" i="8" s="1"/>
  <c r="K22" i="8"/>
  <c r="T22" i="8" s="1"/>
  <c r="K21" i="8"/>
  <c r="V21" i="8" s="1"/>
  <c r="K20" i="8"/>
  <c r="Z22" i="8"/>
  <c r="AA22" i="8"/>
  <c r="Y22" i="8"/>
  <c r="X22" i="8"/>
  <c r="W21" i="8"/>
  <c r="U21" i="8"/>
  <c r="T21" i="8"/>
  <c r="K10" i="8"/>
  <c r="O10" i="8"/>
  <c r="O16" i="8"/>
  <c r="O15" i="8"/>
  <c r="O14" i="8"/>
  <c r="O13" i="8"/>
  <c r="K16" i="8"/>
  <c r="K15" i="8"/>
  <c r="K14" i="8"/>
  <c r="K13" i="8"/>
  <c r="O48" i="8"/>
  <c r="O47" i="8"/>
  <c r="O46" i="8"/>
  <c r="O45" i="8"/>
  <c r="O44" i="8"/>
  <c r="O43" i="8"/>
  <c r="O42" i="8"/>
  <c r="O56" i="8"/>
  <c r="O55" i="8"/>
  <c r="O54" i="8"/>
  <c r="O53" i="8"/>
  <c r="O52" i="8"/>
  <c r="O66" i="8"/>
  <c r="O65" i="8"/>
  <c r="O64" i="8"/>
  <c r="O63" i="8"/>
  <c r="X63" i="8" s="1"/>
  <c r="O62" i="8"/>
  <c r="X62" i="8" s="1"/>
  <c r="O61" i="8"/>
  <c r="X61" i="8" s="1"/>
  <c r="O60" i="8"/>
  <c r="O72" i="8"/>
  <c r="O71" i="8"/>
  <c r="X71" i="8" s="1"/>
  <c r="O70" i="8"/>
  <c r="O75" i="8"/>
  <c r="K48" i="8"/>
  <c r="K47" i="8"/>
  <c r="K46" i="8"/>
  <c r="K45" i="8"/>
  <c r="K44" i="8"/>
  <c r="K43" i="8"/>
  <c r="K42" i="8"/>
  <c r="K56" i="8"/>
  <c r="K55" i="8"/>
  <c r="K54" i="8"/>
  <c r="K53" i="8"/>
  <c r="K52" i="8"/>
  <c r="K66" i="8"/>
  <c r="K65" i="8"/>
  <c r="K64" i="8"/>
  <c r="T64" i="8" s="1"/>
  <c r="K63" i="8"/>
  <c r="T63" i="8" s="1"/>
  <c r="K62" i="8"/>
  <c r="T62" i="8" s="1"/>
  <c r="K61" i="8"/>
  <c r="T61" i="8" s="1"/>
  <c r="K60" i="8"/>
  <c r="K72" i="8"/>
  <c r="K71" i="8"/>
  <c r="T71" i="8" s="1"/>
  <c r="K70" i="8"/>
  <c r="AA71" i="8"/>
  <c r="Z71" i="8"/>
  <c r="Y71" i="8"/>
  <c r="W71" i="8"/>
  <c r="V71" i="8"/>
  <c r="U71" i="8"/>
  <c r="AA64" i="8"/>
  <c r="Z64" i="8"/>
  <c r="Y64" i="8"/>
  <c r="X64" i="8"/>
  <c r="W64" i="8"/>
  <c r="V64" i="8"/>
  <c r="U64" i="8"/>
  <c r="AA63" i="8"/>
  <c r="Z63" i="8"/>
  <c r="Y63" i="8"/>
  <c r="W63" i="8"/>
  <c r="V63" i="8"/>
  <c r="U63" i="8"/>
  <c r="AA62" i="8"/>
  <c r="Z62" i="8"/>
  <c r="Y62" i="8"/>
  <c r="W62" i="8"/>
  <c r="V62" i="8"/>
  <c r="U62" i="8"/>
  <c r="AA61" i="8"/>
  <c r="Z61" i="8"/>
  <c r="Y61" i="8"/>
  <c r="W61" i="8"/>
  <c r="V61" i="8"/>
  <c r="U61" i="8"/>
  <c r="Y23" i="8" l="1"/>
  <c r="X23" i="8"/>
  <c r="Z23" i="8"/>
  <c r="Y21" i="8"/>
  <c r="U22" i="8"/>
  <c r="V22" i="8"/>
  <c r="W22" i="8"/>
  <c r="W23" i="8"/>
  <c r="AC23" i="8" s="1"/>
  <c r="AA21" i="8"/>
  <c r="AC22" i="8"/>
  <c r="U23" i="8"/>
  <c r="V23" i="8"/>
  <c r="AC21" i="8"/>
  <c r="X21" i="8"/>
  <c r="AC71" i="8"/>
  <c r="AC64" i="8"/>
  <c r="AC63" i="8"/>
  <c r="AC61" i="8"/>
  <c r="AC62" i="8"/>
  <c r="AA78" i="8" l="1"/>
  <c r="Z78" i="8"/>
  <c r="Y78" i="8"/>
  <c r="W78" i="8"/>
  <c r="V78" i="8"/>
  <c r="U78" i="8"/>
  <c r="AA77" i="8"/>
  <c r="Z77" i="8"/>
  <c r="Y77" i="8"/>
  <c r="W77" i="8"/>
  <c r="V77" i="8"/>
  <c r="U77" i="8"/>
  <c r="AA76" i="8"/>
  <c r="Z76" i="8"/>
  <c r="Y76" i="8"/>
  <c r="W76" i="8"/>
  <c r="V76" i="8"/>
  <c r="U76" i="8"/>
  <c r="O78" i="8"/>
  <c r="X78" i="8" s="1"/>
  <c r="O77" i="8"/>
  <c r="X77" i="8" s="1"/>
  <c r="O76" i="8"/>
  <c r="X76" i="8" s="1"/>
  <c r="K78" i="8"/>
  <c r="T78" i="8" s="1"/>
  <c r="K77" i="8"/>
  <c r="T77" i="8" s="1"/>
  <c r="K76" i="8"/>
  <c r="T76" i="8" s="1"/>
  <c r="X66" i="8"/>
  <c r="X65" i="8"/>
  <c r="T66" i="8"/>
  <c r="T65" i="8"/>
  <c r="AA66" i="8"/>
  <c r="Z66" i="8"/>
  <c r="Y66" i="8"/>
  <c r="W66" i="8"/>
  <c r="V66" i="8"/>
  <c r="U66" i="8"/>
  <c r="AA65" i="8"/>
  <c r="Z65" i="8"/>
  <c r="Y65" i="8"/>
  <c r="W65" i="8"/>
  <c r="V65" i="8"/>
  <c r="U65" i="8"/>
  <c r="X47" i="8"/>
  <c r="X46" i="8"/>
  <c r="X44" i="8"/>
  <c r="X43" i="8"/>
  <c r="T47" i="8"/>
  <c r="T46" i="8"/>
  <c r="T44" i="8"/>
  <c r="T43" i="8"/>
  <c r="AA44" i="8"/>
  <c r="Z44" i="8"/>
  <c r="Y44" i="8"/>
  <c r="W44" i="8"/>
  <c r="V44" i="8"/>
  <c r="U44" i="8"/>
  <c r="AA43" i="8"/>
  <c r="Z43" i="8"/>
  <c r="Y43" i="8"/>
  <c r="W43" i="8"/>
  <c r="V43" i="8"/>
  <c r="U43" i="8"/>
  <c r="AA47" i="8"/>
  <c r="Z47" i="8"/>
  <c r="Y47" i="8"/>
  <c r="W47" i="8"/>
  <c r="V47" i="8"/>
  <c r="U47" i="8"/>
  <c r="AA46" i="8"/>
  <c r="Z46" i="8"/>
  <c r="Y46" i="8"/>
  <c r="W46" i="8"/>
  <c r="V46" i="8"/>
  <c r="U46" i="8"/>
  <c r="X16" i="8"/>
  <c r="AA15" i="8"/>
  <c r="X14" i="8"/>
  <c r="W16" i="8"/>
  <c r="T15" i="8"/>
  <c r="W14" i="8"/>
  <c r="Z10" i="10"/>
  <c r="Y9" i="10"/>
  <c r="W10" i="10"/>
  <c r="T9" i="10"/>
  <c r="AC20" i="10"/>
  <c r="Z21" i="10"/>
  <c r="AA20" i="10"/>
  <c r="W21" i="10"/>
  <c r="U20" i="10"/>
  <c r="AC4" i="10"/>
  <c r="AB4" i="10"/>
  <c r="R4" i="10"/>
  <c r="AA4" i="10" s="1"/>
  <c r="Q4" i="10"/>
  <c r="Z4" i="10" s="1"/>
  <c r="P4" i="10"/>
  <c r="Y4" i="10" s="1"/>
  <c r="N4" i="10"/>
  <c r="W4" i="10" s="1"/>
  <c r="M4" i="10"/>
  <c r="V4" i="10" s="1"/>
  <c r="L4" i="10"/>
  <c r="U4" i="10" s="1"/>
  <c r="J4" i="10"/>
  <c r="I4" i="10"/>
  <c r="H4" i="10"/>
  <c r="AC3" i="10"/>
  <c r="AB3" i="10"/>
  <c r="R3" i="10"/>
  <c r="AA3" i="10" s="1"/>
  <c r="Q3" i="10"/>
  <c r="Z3" i="10" s="1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I3" i="10"/>
  <c r="H3" i="10"/>
  <c r="F4" i="10"/>
  <c r="E4" i="10"/>
  <c r="D4" i="10"/>
  <c r="C4" i="10"/>
  <c r="F3" i="10"/>
  <c r="E3" i="10"/>
  <c r="D3" i="10"/>
  <c r="C3" i="10"/>
  <c r="C22" i="10"/>
  <c r="C26" i="10" s="1"/>
  <c r="C11" i="10"/>
  <c r="B2" i="10"/>
  <c r="B26" i="10"/>
  <c r="B25" i="10"/>
  <c r="R22" i="10"/>
  <c r="Q22" i="10"/>
  <c r="Q26" i="10" s="1"/>
  <c r="AB26" i="10" s="1"/>
  <c r="P22" i="10"/>
  <c r="N22" i="10"/>
  <c r="N26" i="10" s="1"/>
  <c r="Y26" i="10" s="1"/>
  <c r="M22" i="10"/>
  <c r="M26" i="10" s="1"/>
  <c r="X26" i="10" s="1"/>
  <c r="L22" i="10"/>
  <c r="L26" i="10" s="1"/>
  <c r="W26" i="10" s="1"/>
  <c r="J22" i="10"/>
  <c r="I22" i="10"/>
  <c r="I26" i="10" s="1"/>
  <c r="T26" i="10" s="1"/>
  <c r="H22" i="10"/>
  <c r="F22" i="10"/>
  <c r="F26" i="10" s="1"/>
  <c r="E22" i="10"/>
  <c r="E26" i="10" s="1"/>
  <c r="D22" i="10"/>
  <c r="D26" i="10" s="1"/>
  <c r="B15" i="10"/>
  <c r="B14" i="10"/>
  <c r="R11" i="10"/>
  <c r="R15" i="10" s="1"/>
  <c r="AC15" i="10" s="1"/>
  <c r="Q11" i="10"/>
  <c r="P11" i="10"/>
  <c r="N11" i="10"/>
  <c r="M11" i="10"/>
  <c r="M15" i="10" s="1"/>
  <c r="X15" i="10" s="1"/>
  <c r="L11" i="10"/>
  <c r="J11" i="10"/>
  <c r="J15" i="10" s="1"/>
  <c r="U15" i="10" s="1"/>
  <c r="I11" i="10"/>
  <c r="H11" i="10"/>
  <c r="H15" i="10" s="1"/>
  <c r="F11" i="10"/>
  <c r="E11" i="10"/>
  <c r="E15" i="10" s="1"/>
  <c r="D11" i="10"/>
  <c r="AC10" i="10"/>
  <c r="AC65" i="8" l="1"/>
  <c r="AC66" i="8"/>
  <c r="AC43" i="8"/>
  <c r="AC44" i="8"/>
  <c r="AC47" i="8"/>
  <c r="AC46" i="8"/>
  <c r="AA16" i="8"/>
  <c r="AC16" i="8" s="1"/>
  <c r="U15" i="8"/>
  <c r="W15" i="8"/>
  <c r="AC15" i="8" s="1"/>
  <c r="Y14" i="8"/>
  <c r="AA14" i="8"/>
  <c r="AC14" i="8" s="1"/>
  <c r="Y16" i="8"/>
  <c r="Z14" i="8"/>
  <c r="V15" i="8"/>
  <c r="Z16" i="8"/>
  <c r="T14" i="8"/>
  <c r="X15" i="8"/>
  <c r="T16" i="8"/>
  <c r="U14" i="8"/>
  <c r="Y15" i="8"/>
  <c r="U16" i="8"/>
  <c r="V14" i="8"/>
  <c r="Z15" i="8"/>
  <c r="V16" i="8"/>
  <c r="V21" i="10"/>
  <c r="T21" i="10"/>
  <c r="U21" i="10"/>
  <c r="H23" i="10"/>
  <c r="M23" i="10"/>
  <c r="AA21" i="10"/>
  <c r="E23" i="10"/>
  <c r="F23" i="10"/>
  <c r="N23" i="10"/>
  <c r="P23" i="10"/>
  <c r="I23" i="10"/>
  <c r="Q23" i="10"/>
  <c r="R23" i="10"/>
  <c r="C23" i="10"/>
  <c r="J23" i="10"/>
  <c r="D23" i="10"/>
  <c r="L23" i="10"/>
  <c r="Y21" i="10"/>
  <c r="X21" i="10"/>
  <c r="X10" i="10"/>
  <c r="Y10" i="10"/>
  <c r="L15" i="10"/>
  <c r="W15" i="10" s="1"/>
  <c r="U9" i="10"/>
  <c r="AA10" i="10"/>
  <c r="V9" i="10"/>
  <c r="W9" i="10"/>
  <c r="C25" i="10"/>
  <c r="AB20" i="10"/>
  <c r="C15" i="10"/>
  <c r="C14" i="10"/>
  <c r="E14" i="10"/>
  <c r="D25" i="10"/>
  <c r="W20" i="10"/>
  <c r="N25" i="10"/>
  <c r="Y25" i="10" s="1"/>
  <c r="Y20" i="10"/>
  <c r="AB10" i="10"/>
  <c r="P15" i="10"/>
  <c r="AA15" i="10" s="1"/>
  <c r="L14" i="10"/>
  <c r="W14" i="10" s="1"/>
  <c r="D15" i="10"/>
  <c r="F25" i="10"/>
  <c r="H14" i="10"/>
  <c r="AA9" i="10"/>
  <c r="M14" i="10"/>
  <c r="X14" i="10" s="1"/>
  <c r="T20" i="10"/>
  <c r="I25" i="10"/>
  <c r="T25" i="10" s="1"/>
  <c r="T10" i="10"/>
  <c r="P14" i="10"/>
  <c r="AA14" i="10" s="1"/>
  <c r="V20" i="10"/>
  <c r="L25" i="10"/>
  <c r="W25" i="10" s="1"/>
  <c r="D14" i="10"/>
  <c r="X20" i="10"/>
  <c r="Q25" i="10"/>
  <c r="AB25" i="10" s="1"/>
  <c r="Z9" i="10"/>
  <c r="J14" i="10"/>
  <c r="U14" i="10" s="1"/>
  <c r="R14" i="10"/>
  <c r="AC14" i="10" s="1"/>
  <c r="F15" i="10"/>
  <c r="N15" i="10"/>
  <c r="Y15" i="10" s="1"/>
  <c r="O22" i="10"/>
  <c r="H26" i="10"/>
  <c r="P26" i="10"/>
  <c r="AA26" i="10" s="1"/>
  <c r="AB9" i="10"/>
  <c r="U10" i="10"/>
  <c r="K11" i="10"/>
  <c r="E25" i="10"/>
  <c r="M25" i="10"/>
  <c r="X25" i="10" s="1"/>
  <c r="AC9" i="10"/>
  <c r="V10" i="10"/>
  <c r="I15" i="10"/>
  <c r="T15" i="10" s="1"/>
  <c r="Q15" i="10"/>
  <c r="AB15" i="10" s="1"/>
  <c r="AB21" i="10"/>
  <c r="J26" i="10"/>
  <c r="U26" i="10" s="1"/>
  <c r="R26" i="10"/>
  <c r="AC26" i="10" s="1"/>
  <c r="F14" i="10"/>
  <c r="N14" i="10"/>
  <c r="Y14" i="10" s="1"/>
  <c r="Z20" i="10"/>
  <c r="AC21" i="10"/>
  <c r="K22" i="10"/>
  <c r="H25" i="10"/>
  <c r="P25" i="10"/>
  <c r="AA25" i="10" s="1"/>
  <c r="X9" i="10"/>
  <c r="O11" i="10"/>
  <c r="I14" i="10"/>
  <c r="T14" i="10" s="1"/>
  <c r="Q14" i="10"/>
  <c r="AB14" i="10" s="1"/>
  <c r="J25" i="10"/>
  <c r="U25" i="10" s="1"/>
  <c r="R25" i="10"/>
  <c r="AC25" i="10" s="1"/>
  <c r="AA22" i="10" l="1"/>
  <c r="AA23" i="10" s="1"/>
  <c r="O23" i="10"/>
  <c r="K23" i="10"/>
  <c r="O25" i="10"/>
  <c r="Z25" i="10" s="1"/>
  <c r="T11" i="10"/>
  <c r="U22" i="10"/>
  <c r="U23" i="10" s="1"/>
  <c r="AA11" i="10"/>
  <c r="Y22" i="10"/>
  <c r="Y23" i="10" s="1"/>
  <c r="Y11" i="10"/>
  <c r="W11" i="10"/>
  <c r="AB11" i="10"/>
  <c r="AB12" i="10" s="1"/>
  <c r="AB22" i="10"/>
  <c r="AB23" i="10" s="1"/>
  <c r="V22" i="10"/>
  <c r="V23" i="10" s="1"/>
  <c r="W22" i="10"/>
  <c r="W23" i="10" s="1"/>
  <c r="T22" i="10"/>
  <c r="T23" i="10" s="1"/>
  <c r="V11" i="10"/>
  <c r="AC22" i="10"/>
  <c r="AC23" i="10" s="1"/>
  <c r="Z22" i="10"/>
  <c r="Z23" i="10" s="1"/>
  <c r="AC11" i="10"/>
  <c r="X22" i="10"/>
  <c r="X23" i="10" s="1"/>
  <c r="U11" i="10"/>
  <c r="K26" i="10"/>
  <c r="V26" i="10" s="1"/>
  <c r="K25" i="10"/>
  <c r="V25" i="10" s="1"/>
  <c r="X11" i="10"/>
  <c r="Z11" i="10"/>
  <c r="O26" i="10"/>
  <c r="Z26" i="10" s="1"/>
  <c r="K15" i="10"/>
  <c r="V15" i="10" s="1"/>
  <c r="K14" i="10"/>
  <c r="V14" i="10" s="1"/>
  <c r="O15" i="10"/>
  <c r="Z15" i="10" s="1"/>
  <c r="O14" i="10"/>
  <c r="Z14" i="10" s="1"/>
  <c r="X20" i="8" l="1"/>
  <c r="W20" i="8"/>
  <c r="K14" i="9"/>
  <c r="O14" i="9"/>
  <c r="AA13" i="8"/>
  <c r="W13" i="8"/>
  <c r="Z34" i="8"/>
  <c r="Y34" i="8"/>
  <c r="X34" i="8"/>
  <c r="W34" i="8"/>
  <c r="V34" i="8"/>
  <c r="U34" i="8"/>
  <c r="T34" i="8"/>
  <c r="Z31" i="8"/>
  <c r="Y31" i="8"/>
  <c r="W31" i="8"/>
  <c r="V31" i="8"/>
  <c r="U31" i="8"/>
  <c r="K55" i="9"/>
  <c r="T55" i="9" s="1"/>
  <c r="X42" i="8"/>
  <c r="T45" i="8"/>
  <c r="X45" i="8"/>
  <c r="K63" i="9"/>
  <c r="T63" i="9" s="1"/>
  <c r="X48" i="8"/>
  <c r="K66" i="9"/>
  <c r="T66" i="9" s="1"/>
  <c r="T55" i="8"/>
  <c r="T54" i="8"/>
  <c r="T53" i="8"/>
  <c r="K65" i="9"/>
  <c r="T65" i="9" s="1"/>
  <c r="K67" i="9"/>
  <c r="T67" i="9" s="1"/>
  <c r="X56" i="8"/>
  <c r="X55" i="8"/>
  <c r="X54" i="8"/>
  <c r="X53" i="8"/>
  <c r="X52" i="8"/>
  <c r="X60" i="8"/>
  <c r="X70" i="8"/>
  <c r="K73" i="9"/>
  <c r="T73" i="9" s="1"/>
  <c r="R49" i="8"/>
  <c r="Q49" i="8"/>
  <c r="P49" i="8"/>
  <c r="N49" i="8"/>
  <c r="M49" i="8"/>
  <c r="L49" i="8"/>
  <c r="J49" i="8"/>
  <c r="I49" i="8"/>
  <c r="H49" i="8"/>
  <c r="F49" i="8"/>
  <c r="E49" i="8"/>
  <c r="D49" i="8"/>
  <c r="C49" i="8"/>
  <c r="O111" i="8"/>
  <c r="K111" i="8"/>
  <c r="O110" i="8"/>
  <c r="K110" i="8"/>
  <c r="O109" i="8"/>
  <c r="K109" i="8"/>
  <c r="K47" i="9" s="1"/>
  <c r="O105" i="8"/>
  <c r="O45" i="9" s="1"/>
  <c r="K105" i="8"/>
  <c r="U105" i="8" s="1"/>
  <c r="O104" i="8"/>
  <c r="K104" i="8"/>
  <c r="K46" i="9" s="1"/>
  <c r="O103" i="8"/>
  <c r="K103" i="8"/>
  <c r="O102" i="8"/>
  <c r="K102" i="8"/>
  <c r="AA55" i="8"/>
  <c r="Z55" i="8"/>
  <c r="Y55" i="8"/>
  <c r="W55" i="8"/>
  <c r="V55" i="8"/>
  <c r="U55" i="8"/>
  <c r="AA54" i="8"/>
  <c r="Z54" i="8"/>
  <c r="Y54" i="8"/>
  <c r="W54" i="8"/>
  <c r="V54" i="8"/>
  <c r="U54" i="8"/>
  <c r="AA45" i="8"/>
  <c r="Z45" i="8"/>
  <c r="Y45" i="8"/>
  <c r="W45" i="8"/>
  <c r="V45" i="8"/>
  <c r="U45" i="8"/>
  <c r="AA72" i="8"/>
  <c r="Z72" i="8"/>
  <c r="Y72" i="8"/>
  <c r="W72" i="8"/>
  <c r="V72" i="8"/>
  <c r="U72" i="8"/>
  <c r="X72" i="8"/>
  <c r="T72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Z75" i="8"/>
  <c r="Y75" i="8"/>
  <c r="W75" i="8"/>
  <c r="V75" i="8"/>
  <c r="U75" i="8"/>
  <c r="Z70" i="8"/>
  <c r="Y70" i="8"/>
  <c r="W70" i="8"/>
  <c r="V70" i="8"/>
  <c r="U70" i="8"/>
  <c r="Z60" i="8"/>
  <c r="Y60" i="8"/>
  <c r="Z56" i="8"/>
  <c r="Y56" i="8"/>
  <c r="W56" i="8"/>
  <c r="V56" i="8"/>
  <c r="U56" i="8"/>
  <c r="Z53" i="8"/>
  <c r="Y53" i="8"/>
  <c r="W53" i="8"/>
  <c r="V53" i="8"/>
  <c r="U53" i="8"/>
  <c r="Z52" i="8"/>
  <c r="Y52" i="8"/>
  <c r="W52" i="8"/>
  <c r="V52" i="8"/>
  <c r="U52" i="8"/>
  <c r="Z48" i="8"/>
  <c r="Y48" i="8"/>
  <c r="W48" i="8"/>
  <c r="V48" i="8"/>
  <c r="U48" i="8"/>
  <c r="Z42" i="8"/>
  <c r="Y42" i="8"/>
  <c r="W42" i="8"/>
  <c r="V42" i="8"/>
  <c r="U42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O97" i="8"/>
  <c r="K97" i="8"/>
  <c r="V97" i="8" s="1"/>
  <c r="K126" i="8"/>
  <c r="K95" i="8"/>
  <c r="K32" i="9" s="1"/>
  <c r="J27" i="9"/>
  <c r="J38" i="9"/>
  <c r="R45" i="9"/>
  <c r="R46" i="9"/>
  <c r="R38" i="9"/>
  <c r="R32" i="9"/>
  <c r="R27" i="9"/>
  <c r="M46" i="9"/>
  <c r="N38" i="9"/>
  <c r="O96" i="8"/>
  <c r="N32" i="9"/>
  <c r="N27" i="9"/>
  <c r="P47" i="9"/>
  <c r="W60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K127" i="8"/>
  <c r="K39" i="9" s="1"/>
  <c r="O127" i="8"/>
  <c r="O39" i="9" s="1"/>
  <c r="O126" i="8"/>
  <c r="O119" i="8"/>
  <c r="O118" i="8"/>
  <c r="X118" i="8" s="1"/>
  <c r="K119" i="8"/>
  <c r="K118" i="8"/>
  <c r="W118" i="8" s="1"/>
  <c r="AA75" i="8"/>
  <c r="AA70" i="8"/>
  <c r="AA60" i="8"/>
  <c r="AA56" i="8"/>
  <c r="AA53" i="8"/>
  <c r="AA52" i="8"/>
  <c r="AA48" i="8"/>
  <c r="AA42" i="8"/>
  <c r="D45" i="9"/>
  <c r="K64" i="9"/>
  <c r="T64" i="9" s="1"/>
  <c r="T70" i="8"/>
  <c r="X75" i="8"/>
  <c r="T75" i="8"/>
  <c r="Z27" i="8"/>
  <c r="T27" i="8"/>
  <c r="K31" i="8"/>
  <c r="T31" i="8" s="1"/>
  <c r="O23" i="9"/>
  <c r="O34" i="9" s="1"/>
  <c r="K23" i="9"/>
  <c r="K34" i="9" s="1"/>
  <c r="O21" i="9"/>
  <c r="K21" i="9"/>
  <c r="O72" i="9"/>
  <c r="X72" i="9" s="1"/>
  <c r="K72" i="9"/>
  <c r="T72" i="9" s="1"/>
  <c r="AA31" i="8"/>
  <c r="AA34" i="8"/>
  <c r="O31" i="8"/>
  <c r="X31" i="8" s="1"/>
  <c r="AA20" i="8" l="1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Y20" i="8"/>
  <c r="Z20" i="8"/>
  <c r="T20" i="8"/>
  <c r="U20" i="8"/>
  <c r="V20" i="8"/>
  <c r="W49" i="8"/>
  <c r="Y49" i="8"/>
  <c r="Z49" i="8"/>
  <c r="AA49" i="8"/>
  <c r="O49" i="8"/>
  <c r="K49" i="8"/>
  <c r="K56" i="9"/>
  <c r="T56" i="9" s="1"/>
  <c r="X49" i="8"/>
  <c r="O94" i="8"/>
  <c r="AA94" i="8" s="1"/>
  <c r="AC54" i="8"/>
  <c r="AC55" i="8"/>
  <c r="AC45" i="8"/>
  <c r="AC72" i="8"/>
  <c r="W14" i="9"/>
  <c r="V21" i="9"/>
  <c r="U14" i="9"/>
  <c r="X34" i="9"/>
  <c r="V14" i="9"/>
  <c r="T97" i="8"/>
  <c r="W97" i="8"/>
  <c r="Z97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T109" i="8"/>
  <c r="U104" i="8"/>
  <c r="V105" i="8"/>
  <c r="Z23" i="9"/>
  <c r="W34" i="9"/>
  <c r="T48" i="8"/>
  <c r="T60" i="8"/>
  <c r="U97" i="8"/>
  <c r="V104" i="8"/>
  <c r="W105" i="8"/>
  <c r="U60" i="8"/>
  <c r="T95" i="8"/>
  <c r="X105" i="8"/>
  <c r="T23" i="9"/>
  <c r="T42" i="8"/>
  <c r="V60" i="8"/>
  <c r="U95" i="8"/>
  <c r="Y105" i="8"/>
  <c r="U23" i="9"/>
  <c r="T56" i="8"/>
  <c r="V95" i="8"/>
  <c r="X97" i="8"/>
  <c r="Z105" i="8"/>
  <c r="U109" i="8"/>
  <c r="V23" i="9"/>
  <c r="W95" i="8"/>
  <c r="X96" i="8"/>
  <c r="Y97" i="8"/>
  <c r="V109" i="8"/>
  <c r="U21" i="9"/>
  <c r="W23" i="9"/>
  <c r="T52" i="8"/>
  <c r="Y96" i="8"/>
  <c r="T105" i="8"/>
  <c r="W109" i="8"/>
  <c r="X23" i="9"/>
  <c r="Z96" i="8"/>
  <c r="T104" i="8"/>
  <c r="Y23" i="9"/>
  <c r="N49" i="9"/>
  <c r="U27" i="8"/>
  <c r="V27" i="8"/>
  <c r="W27" i="8"/>
  <c r="X27" i="8"/>
  <c r="AC48" i="8"/>
  <c r="AC56" i="8"/>
  <c r="Y27" i="8"/>
  <c r="J49" i="9"/>
  <c r="T13" i="8"/>
  <c r="AC78" i="8"/>
  <c r="U13" i="8"/>
  <c r="AC53" i="8"/>
  <c r="AC70" i="8"/>
  <c r="V13" i="8"/>
  <c r="X13" i="8"/>
  <c r="Y13" i="8"/>
  <c r="R49" i="9"/>
  <c r="Z13" i="8"/>
  <c r="M49" i="9"/>
  <c r="P106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C106" i="8"/>
  <c r="H41" i="9"/>
  <c r="F67" i="9"/>
  <c r="O65" i="9"/>
  <c r="X65" i="9" s="1"/>
  <c r="Y85" i="9"/>
  <c r="AA85" i="9"/>
  <c r="W85" i="9"/>
  <c r="K85" i="9"/>
  <c r="X85" i="9"/>
  <c r="Z85" i="9"/>
  <c r="O85" i="9"/>
  <c r="F106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L106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D106" i="8"/>
  <c r="H106" i="8"/>
  <c r="E106" i="8"/>
  <c r="K98" i="8"/>
  <c r="O98" i="8"/>
  <c r="Z98" i="8" s="1"/>
  <c r="AA97" i="8"/>
  <c r="K96" i="8"/>
  <c r="T96" i="8" s="1"/>
  <c r="W102" i="8"/>
  <c r="K93" i="8"/>
  <c r="T93" i="8" s="1"/>
  <c r="R106" i="8"/>
  <c r="O95" i="8"/>
  <c r="X102" i="8"/>
  <c r="Y103" i="8"/>
  <c r="O93" i="8"/>
  <c r="X93" i="8" s="1"/>
  <c r="U118" i="8"/>
  <c r="AA96" i="8"/>
  <c r="AA118" i="8"/>
  <c r="Z118" i="8"/>
  <c r="Y118" i="8"/>
  <c r="V118" i="8"/>
  <c r="T118" i="8"/>
  <c r="AA105" i="8"/>
  <c r="AA27" i="8"/>
  <c r="AC34" i="8"/>
  <c r="AC20" i="8" l="1"/>
  <c r="W10" i="9"/>
  <c r="V10" i="9"/>
  <c r="U10" i="9"/>
  <c r="T10" i="9"/>
  <c r="X94" i="8"/>
  <c r="Z94" i="8"/>
  <c r="K94" i="8"/>
  <c r="W94" i="8" s="1"/>
  <c r="AC94" i="8" s="1"/>
  <c r="Y94" i="8"/>
  <c r="AC97" i="8"/>
  <c r="V32" i="9"/>
  <c r="Z45" i="9"/>
  <c r="X22" i="9"/>
  <c r="V47" i="9"/>
  <c r="Z22" i="9"/>
  <c r="Y98" i="8"/>
  <c r="T110" i="8"/>
  <c r="U20" i="9"/>
  <c r="U96" i="8"/>
  <c r="Z103" i="8"/>
  <c r="U110" i="8"/>
  <c r="Y102" i="8"/>
  <c r="Y95" i="8"/>
  <c r="Z95" i="8"/>
  <c r="K33" i="9"/>
  <c r="W22" i="9"/>
  <c r="AC22" i="9" s="1"/>
  <c r="V22" i="9"/>
  <c r="U47" i="9"/>
  <c r="N48" i="9"/>
  <c r="X103" i="8"/>
  <c r="Z93" i="8"/>
  <c r="Y22" i="9"/>
  <c r="Y20" i="9"/>
  <c r="X19" i="9"/>
  <c r="J44" i="9"/>
  <c r="W45" i="9"/>
  <c r="V45" i="9"/>
  <c r="K48" i="9"/>
  <c r="W110" i="8"/>
  <c r="U22" i="9"/>
  <c r="T45" i="9"/>
  <c r="W104" i="8"/>
  <c r="X98" i="8"/>
  <c r="X20" i="9"/>
  <c r="T32" i="9"/>
  <c r="U32" i="9"/>
  <c r="J48" i="9"/>
  <c r="V110" i="8"/>
  <c r="Z102" i="8"/>
  <c r="U102" i="8"/>
  <c r="Y93" i="8"/>
  <c r="W93" i="8"/>
  <c r="U93" i="8"/>
  <c r="T98" i="8"/>
  <c r="W98" i="8"/>
  <c r="U98" i="8"/>
  <c r="U19" i="9"/>
  <c r="W19" i="9"/>
  <c r="V19" i="9"/>
  <c r="W96" i="8"/>
  <c r="AC96" i="8" s="1"/>
  <c r="V96" i="8"/>
  <c r="V20" i="9"/>
  <c r="W20" i="9"/>
  <c r="X95" i="8"/>
  <c r="V102" i="8"/>
  <c r="V93" i="8"/>
  <c r="Y15" i="9"/>
  <c r="K28" i="9"/>
  <c r="W28" i="9" s="1"/>
  <c r="W15" i="9"/>
  <c r="U15" i="9"/>
  <c r="Y19" i="9"/>
  <c r="V15" i="9"/>
  <c r="T102" i="8"/>
  <c r="X45" i="9"/>
  <c r="T15" i="9"/>
  <c r="V98" i="8"/>
  <c r="T47" i="9"/>
  <c r="Y45" i="9"/>
  <c r="X15" i="9"/>
  <c r="W47" i="9"/>
  <c r="Q47" i="9"/>
  <c r="AC23" i="9"/>
  <c r="AC21" i="9"/>
  <c r="AC105" i="8"/>
  <c r="AC34" i="9"/>
  <c r="K41" i="9"/>
  <c r="O48" i="9"/>
  <c r="N41" i="9"/>
  <c r="AA20" i="9"/>
  <c r="O33" i="9"/>
  <c r="Z104" i="8"/>
  <c r="N46" i="9"/>
  <c r="AA93" i="8"/>
  <c r="O27" i="9"/>
  <c r="Z27" i="9" s="1"/>
  <c r="O32" i="9"/>
  <c r="K38" i="9"/>
  <c r="J106" i="8"/>
  <c r="V103" i="8"/>
  <c r="O28" i="9"/>
  <c r="Z28" i="9" s="1"/>
  <c r="O44" i="9"/>
  <c r="Z44" i="9" s="1"/>
  <c r="K27" i="9"/>
  <c r="T27" i="9" s="1"/>
  <c r="AA15" i="9"/>
  <c r="O38" i="9"/>
  <c r="I106" i="8"/>
  <c r="AA95" i="8"/>
  <c r="AC95" i="8" s="1"/>
  <c r="Q106" i="8"/>
  <c r="AA103" i="8"/>
  <c r="N106" i="8"/>
  <c r="AA102" i="8"/>
  <c r="M106" i="8"/>
  <c r="AC27" i="8"/>
  <c r="AA73" i="9"/>
  <c r="AA72" i="9"/>
  <c r="O7" i="9"/>
  <c r="O6" i="9"/>
  <c r="AA119" i="8"/>
  <c r="R115" i="8"/>
  <c r="Y119" i="8"/>
  <c r="AA115" i="8"/>
  <c r="N115" i="8"/>
  <c r="M115" i="8"/>
  <c r="K115" i="8"/>
  <c r="J115" i="8"/>
  <c r="H112" i="8"/>
  <c r="I112" i="8"/>
  <c r="J112" i="8"/>
  <c r="I115" i="8"/>
  <c r="P115" i="8"/>
  <c r="L115" i="8"/>
  <c r="AA98" i="8"/>
  <c r="W16" i="9" l="1"/>
  <c r="W24" i="9" s="1"/>
  <c r="V16" i="9"/>
  <c r="T16" i="9"/>
  <c r="T24" i="9" s="1"/>
  <c r="U16" i="9"/>
  <c r="U24" i="9" s="1"/>
  <c r="Y7" i="9"/>
  <c r="X7" i="9"/>
  <c r="Z7" i="9"/>
  <c r="Y6" i="9"/>
  <c r="X6" i="9"/>
  <c r="Z6" i="9"/>
  <c r="T94" i="8"/>
  <c r="U94" i="8"/>
  <c r="V94" i="8"/>
  <c r="W48" i="9"/>
  <c r="O41" i="9"/>
  <c r="U27" i="9"/>
  <c r="X104" i="8"/>
  <c r="V24" i="9"/>
  <c r="Y27" i="9"/>
  <c r="AC20" i="9"/>
  <c r="X28" i="9"/>
  <c r="V28" i="9"/>
  <c r="X27" i="9"/>
  <c r="X110" i="8"/>
  <c r="K106" i="8"/>
  <c r="W103" i="8"/>
  <c r="AC103" i="8" s="1"/>
  <c r="U103" i="8"/>
  <c r="X44" i="9"/>
  <c r="X32" i="9"/>
  <c r="Z32" i="9"/>
  <c r="T28" i="9"/>
  <c r="Z110" i="8"/>
  <c r="Y28" i="9"/>
  <c r="Y109" i="8"/>
  <c r="Z109" i="8"/>
  <c r="X109" i="8"/>
  <c r="Y44" i="9"/>
  <c r="Y110" i="8"/>
  <c r="W111" i="8"/>
  <c r="U111" i="8"/>
  <c r="V111" i="8"/>
  <c r="T111" i="8"/>
  <c r="W27" i="9"/>
  <c r="V27" i="9"/>
  <c r="Y32" i="9"/>
  <c r="V48" i="9"/>
  <c r="U48" i="9"/>
  <c r="T48" i="9"/>
  <c r="Z48" i="9"/>
  <c r="Y48" i="9"/>
  <c r="X48" i="9"/>
  <c r="Z111" i="8"/>
  <c r="X111" i="8"/>
  <c r="Y111" i="8"/>
  <c r="W46" i="9"/>
  <c r="T103" i="8"/>
  <c r="O46" i="9"/>
  <c r="AA46" i="9" s="1"/>
  <c r="Y104" i="8"/>
  <c r="U33" i="9"/>
  <c r="W33" i="9"/>
  <c r="V33" i="9"/>
  <c r="T33" i="9"/>
  <c r="AA33" i="9"/>
  <c r="X33" i="9"/>
  <c r="Y33" i="9"/>
  <c r="Z33" i="9"/>
  <c r="U28" i="9"/>
  <c r="AC15" i="9"/>
  <c r="K49" i="9"/>
  <c r="O49" i="9"/>
  <c r="AC102" i="8"/>
  <c r="AA110" i="8"/>
  <c r="AC110" i="8" s="1"/>
  <c r="AA104" i="8"/>
  <c r="AC104" i="8" s="1"/>
  <c r="O9" i="9"/>
  <c r="O8" i="9"/>
  <c r="AA109" i="8"/>
  <c r="O47" i="9"/>
  <c r="AA28" i="9"/>
  <c r="AC28" i="9" s="1"/>
  <c r="K44" i="9"/>
  <c r="W44" i="9" s="1"/>
  <c r="O106" i="8"/>
  <c r="Q115" i="8"/>
  <c r="T126" i="8"/>
  <c r="AC98" i="8"/>
  <c r="V115" i="8"/>
  <c r="X115" i="8"/>
  <c r="U119" i="8"/>
  <c r="AA111" i="8"/>
  <c r="V119" i="8"/>
  <c r="X119" i="8"/>
  <c r="U115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T119" i="8"/>
  <c r="W119" i="8"/>
  <c r="W115" i="8"/>
  <c r="Y115" i="8"/>
  <c r="Z119" i="8"/>
  <c r="Z115" i="8"/>
  <c r="D115" i="8"/>
  <c r="E115" i="8"/>
  <c r="T115" i="8" s="1"/>
  <c r="F115" i="8"/>
  <c r="O115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U29" i="9"/>
  <c r="U35" i="9" s="1"/>
  <c r="AC33" i="9"/>
  <c r="W29" i="9"/>
  <c r="W35" i="9" s="1"/>
  <c r="V29" i="9"/>
  <c r="V35" i="9" s="1"/>
  <c r="X46" i="9"/>
  <c r="T44" i="9"/>
  <c r="V44" i="9"/>
  <c r="Y46" i="9"/>
  <c r="AC111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Y126" i="8"/>
  <c r="Z126" i="8"/>
  <c r="W126" i="8"/>
  <c r="V126" i="8"/>
  <c r="U126" i="8"/>
  <c r="AA126" i="8"/>
  <c r="X126" i="8"/>
  <c r="AC14" i="9"/>
  <c r="X10" i="9" l="1"/>
  <c r="X16" i="9" s="1"/>
  <c r="X24" i="9" s="1"/>
  <c r="X29" i="9" s="1"/>
  <c r="X35" i="9" s="1"/>
  <c r="AA57" i="9" l="1"/>
  <c r="AA56" i="9"/>
  <c r="O8" i="8"/>
  <c r="O4" i="10" s="1"/>
  <c r="X4" i="10" s="1"/>
  <c r="K8" i="8"/>
  <c r="K4" i="10" s="1"/>
  <c r="T4" i="10" s="1"/>
  <c r="E58" i="9" l="1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R67" i="8"/>
  <c r="R68" i="9" s="1"/>
  <c r="Q67" i="8"/>
  <c r="Q68" i="9" s="1"/>
  <c r="Z68" i="9" s="1"/>
  <c r="P67" i="8"/>
  <c r="P68" i="9" s="1"/>
  <c r="Y68" i="9" s="1"/>
  <c r="N67" i="8"/>
  <c r="N68" i="9" s="1"/>
  <c r="W68" i="9" s="1"/>
  <c r="M67" i="8"/>
  <c r="M68" i="9" s="1"/>
  <c r="V68" i="9" s="1"/>
  <c r="L67" i="8"/>
  <c r="L68" i="9" s="1"/>
  <c r="U68" i="9" s="1"/>
  <c r="J67" i="8"/>
  <c r="J68" i="9" s="1"/>
  <c r="I67" i="8"/>
  <c r="I68" i="9" s="1"/>
  <c r="H67" i="8"/>
  <c r="H68" i="9" s="1"/>
  <c r="F67" i="8"/>
  <c r="F68" i="9" s="1"/>
  <c r="E67" i="8"/>
  <c r="E68" i="9" s="1"/>
  <c r="D67" i="8"/>
  <c r="D68" i="9" s="1"/>
  <c r="C67" i="8"/>
  <c r="C68" i="9" s="1"/>
  <c r="AA55" i="9"/>
  <c r="AA58" i="9" s="1"/>
  <c r="R4" i="9"/>
  <c r="AA4" i="9" s="1"/>
  <c r="R3" i="9"/>
  <c r="AA3" i="9" s="1"/>
  <c r="AA8" i="8"/>
  <c r="AA87" i="8" s="1"/>
  <c r="AA7" i="8"/>
  <c r="AA86" i="8" s="1"/>
  <c r="R87" i="8"/>
  <c r="R86" i="8"/>
  <c r="R79" i="8"/>
  <c r="R87" i="9" s="1"/>
  <c r="R39" i="8"/>
  <c r="R38" i="8"/>
  <c r="R11" i="8"/>
  <c r="R17" i="8" s="1"/>
  <c r="R24" i="8" s="1"/>
  <c r="P112" i="8"/>
  <c r="F112" i="8"/>
  <c r="E112" i="8"/>
  <c r="D112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J79" i="8"/>
  <c r="J87" i="9" s="1"/>
  <c r="Q87" i="8"/>
  <c r="P87" i="8"/>
  <c r="O87" i="8"/>
  <c r="N87" i="8"/>
  <c r="M87" i="8"/>
  <c r="L87" i="8"/>
  <c r="K87" i="8"/>
  <c r="J87" i="8"/>
  <c r="I87" i="8"/>
  <c r="H87" i="8"/>
  <c r="Q86" i="8"/>
  <c r="P86" i="8"/>
  <c r="O86" i="8"/>
  <c r="N86" i="8"/>
  <c r="M86" i="8"/>
  <c r="L86" i="8"/>
  <c r="K86" i="8"/>
  <c r="J86" i="8"/>
  <c r="I86" i="8"/>
  <c r="H86" i="8"/>
  <c r="N79" i="8"/>
  <c r="N87" i="9" s="1"/>
  <c r="M79" i="8"/>
  <c r="M87" i="9" s="1"/>
  <c r="L79" i="8"/>
  <c r="L87" i="9" s="1"/>
  <c r="I79" i="8"/>
  <c r="I87" i="9" s="1"/>
  <c r="H79" i="8"/>
  <c r="H87" i="9" s="1"/>
  <c r="Q39" i="8"/>
  <c r="P39" i="8"/>
  <c r="O39" i="8"/>
  <c r="N39" i="8"/>
  <c r="M39" i="8"/>
  <c r="L39" i="8"/>
  <c r="K39" i="8"/>
  <c r="J39" i="8"/>
  <c r="I39" i="8"/>
  <c r="H39" i="8"/>
  <c r="Q38" i="8"/>
  <c r="P38" i="8"/>
  <c r="O38" i="8"/>
  <c r="N38" i="8"/>
  <c r="M38" i="8"/>
  <c r="L38" i="8"/>
  <c r="K38" i="8"/>
  <c r="J38" i="8"/>
  <c r="I38" i="8"/>
  <c r="H38" i="8"/>
  <c r="F39" i="8"/>
  <c r="E39" i="8"/>
  <c r="D39" i="8"/>
  <c r="C39" i="8"/>
  <c r="F38" i="8"/>
  <c r="E38" i="8"/>
  <c r="D38" i="8"/>
  <c r="C38" i="8"/>
  <c r="M11" i="8"/>
  <c r="M17" i="8" s="1"/>
  <c r="M24" i="8" s="1"/>
  <c r="L11" i="8"/>
  <c r="L17" i="8" s="1"/>
  <c r="L24" i="8" s="1"/>
  <c r="J11" i="8"/>
  <c r="J17" i="8" s="1"/>
  <c r="J24" i="8" s="1"/>
  <c r="I11" i="8"/>
  <c r="I17" i="8" s="1"/>
  <c r="I24" i="8" s="1"/>
  <c r="H11" i="8"/>
  <c r="H17" i="8" s="1"/>
  <c r="H24" i="8" s="1"/>
  <c r="Q11" i="8"/>
  <c r="Q17" i="8" s="1"/>
  <c r="Q24" i="8" s="1"/>
  <c r="U8" i="8"/>
  <c r="T8" i="8"/>
  <c r="U7" i="8"/>
  <c r="T7" i="8"/>
  <c r="Y8" i="8"/>
  <c r="X8" i="8"/>
  <c r="W8" i="8"/>
  <c r="V8" i="8"/>
  <c r="Y7" i="8"/>
  <c r="X7" i="8"/>
  <c r="W7" i="8"/>
  <c r="V7" i="8"/>
  <c r="Z8" i="8"/>
  <c r="Z7" i="8"/>
  <c r="J12" i="10" l="1"/>
  <c r="H12" i="10"/>
  <c r="I12" i="10"/>
  <c r="L28" i="8"/>
  <c r="L12" i="10"/>
  <c r="R28" i="8"/>
  <c r="R12" i="10"/>
  <c r="M28" i="8"/>
  <c r="M12" i="10"/>
  <c r="Q12" i="10"/>
  <c r="T10" i="8"/>
  <c r="V10" i="8"/>
  <c r="W10" i="8"/>
  <c r="U10" i="8"/>
  <c r="Z10" i="8"/>
  <c r="Y10" i="8"/>
  <c r="X10" i="8"/>
  <c r="AC42" i="8"/>
  <c r="AC75" i="8"/>
  <c r="AC52" i="8"/>
  <c r="AC60" i="8"/>
  <c r="R73" i="8"/>
  <c r="R69" i="9" s="1"/>
  <c r="U87" i="9"/>
  <c r="AA87" i="9"/>
  <c r="Y127" i="8"/>
  <c r="V87" i="9"/>
  <c r="W87" i="9"/>
  <c r="K58" i="9"/>
  <c r="J57" i="8"/>
  <c r="Y67" i="8"/>
  <c r="Z67" i="8"/>
  <c r="AA67" i="8"/>
  <c r="W67" i="8"/>
  <c r="K67" i="8"/>
  <c r="K68" i="9" s="1"/>
  <c r="T68" i="9" s="1"/>
  <c r="O67" i="8"/>
  <c r="O68" i="9" s="1"/>
  <c r="X68" i="9" s="1"/>
  <c r="J73" i="8"/>
  <c r="J69" i="9" s="1"/>
  <c r="AA79" i="8"/>
  <c r="AA10" i="8"/>
  <c r="I73" i="8"/>
  <c r="I69" i="9" s="1"/>
  <c r="AA38" i="8"/>
  <c r="AA39" i="8"/>
  <c r="H73" i="8"/>
  <c r="H69" i="9" s="1"/>
  <c r="I57" i="8"/>
  <c r="C112" i="8"/>
  <c r="Q112" i="8"/>
  <c r="L112" i="8"/>
  <c r="M112" i="8"/>
  <c r="Q57" i="8"/>
  <c r="N57" i="8"/>
  <c r="H57" i="8"/>
  <c r="M57" i="8"/>
  <c r="L57" i="8"/>
  <c r="F73" i="8"/>
  <c r="F69" i="9" s="1"/>
  <c r="W127" i="8"/>
  <c r="V58" i="9"/>
  <c r="U58" i="9"/>
  <c r="X127" i="8"/>
  <c r="U127" i="8"/>
  <c r="V127" i="8"/>
  <c r="T127" i="8"/>
  <c r="K11" i="8"/>
  <c r="K17" i="8" s="1"/>
  <c r="K24" i="8" s="1"/>
  <c r="K79" i="8"/>
  <c r="K87" i="9" s="1"/>
  <c r="K57" i="8"/>
  <c r="O57" i="8"/>
  <c r="K28" i="8" l="1"/>
  <c r="K12" i="10"/>
  <c r="J28" i="8"/>
  <c r="R80" i="8"/>
  <c r="AA69" i="9"/>
  <c r="AA9" i="9"/>
  <c r="AC9" i="9" s="1"/>
  <c r="AA8" i="9"/>
  <c r="AC8" i="9" s="1"/>
  <c r="AA7" i="9"/>
  <c r="AC7" i="9" s="1"/>
  <c r="I28" i="8"/>
  <c r="R18" i="8"/>
  <c r="R90" i="8"/>
  <c r="H28" i="8"/>
  <c r="X67" i="8"/>
  <c r="AC13" i="8"/>
  <c r="AC109" i="8"/>
  <c r="AA48" i="9"/>
  <c r="AA57" i="8"/>
  <c r="AA73" i="8"/>
  <c r="AA80" i="8" s="1"/>
  <c r="AC67" i="8"/>
  <c r="AA11" i="8"/>
  <c r="AA17" i="8" s="1"/>
  <c r="AC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I80" i="8"/>
  <c r="I82" i="8" s="1"/>
  <c r="AA88" i="9"/>
  <c r="AA97" i="9" s="1"/>
  <c r="T87" i="9"/>
  <c r="T88" i="9" s="1"/>
  <c r="T97" i="9" s="1"/>
  <c r="AA19" i="9"/>
  <c r="R57" i="8"/>
  <c r="AA68" i="9"/>
  <c r="AA38" i="9"/>
  <c r="J80" i="8"/>
  <c r="J82" i="8" s="1"/>
  <c r="R112" i="8"/>
  <c r="H80" i="8"/>
  <c r="H82" i="8" s="1"/>
  <c r="N112" i="8"/>
  <c r="AA44" i="9"/>
  <c r="T58" i="9"/>
  <c r="M73" i="8"/>
  <c r="M69" i="9" s="1"/>
  <c r="V69" i="9" s="1"/>
  <c r="L73" i="8"/>
  <c r="L69" i="9" s="1"/>
  <c r="U69" i="9" s="1"/>
  <c r="K73" i="8"/>
  <c r="K69" i="9" s="1"/>
  <c r="T69" i="9" s="1"/>
  <c r="N73" i="8"/>
  <c r="N69" i="9" s="1"/>
  <c r="W69" i="9" s="1"/>
  <c r="U39" i="9"/>
  <c r="X39" i="9"/>
  <c r="Y38" i="9"/>
  <c r="AA41" i="9"/>
  <c r="V39" i="9"/>
  <c r="Z38" i="9"/>
  <c r="W39" i="9"/>
  <c r="X38" i="9"/>
  <c r="T39" i="9"/>
  <c r="M18" i="8"/>
  <c r="M90" i="8"/>
  <c r="L18" i="8"/>
  <c r="AA24" i="8" l="1"/>
  <c r="AA28" i="8" s="1"/>
  <c r="AA12" i="10"/>
  <c r="R35" i="8"/>
  <c r="R32" i="8"/>
  <c r="M35" i="8"/>
  <c r="M32" i="8"/>
  <c r="AC19" i="9"/>
  <c r="L90" i="8"/>
  <c r="I90" i="8"/>
  <c r="J25" i="8"/>
  <c r="J18" i="8"/>
  <c r="I18" i="8"/>
  <c r="R82" i="8"/>
  <c r="R24" i="9"/>
  <c r="R29" i="9" s="1"/>
  <c r="R35" i="9" s="1"/>
  <c r="R25" i="8"/>
  <c r="H90" i="8"/>
  <c r="H18" i="8"/>
  <c r="AA82" i="8"/>
  <c r="Y40" i="9"/>
  <c r="Z40" i="9"/>
  <c r="X40" i="9"/>
  <c r="AC40" i="9"/>
  <c r="U40" i="9"/>
  <c r="V40" i="9"/>
  <c r="T40" i="9"/>
  <c r="Z39" i="9"/>
  <c r="Z127" i="8"/>
  <c r="L80" i="8"/>
  <c r="L82" i="8" s="1"/>
  <c r="Y39" i="9"/>
  <c r="M80" i="8"/>
  <c r="M82" i="8" s="1"/>
  <c r="X106" i="8"/>
  <c r="Z106" i="8"/>
  <c r="Y106" i="8"/>
  <c r="AA106" i="8"/>
  <c r="Z41" i="9"/>
  <c r="M25" i="8"/>
  <c r="Z112" i="8"/>
  <c r="AA112" i="8"/>
  <c r="V106" i="8"/>
  <c r="X112" i="8"/>
  <c r="V112" i="8"/>
  <c r="Y112" i="8"/>
  <c r="O112" i="8"/>
  <c r="N80" i="8"/>
  <c r="N82" i="8" s="1"/>
  <c r="K80" i="8"/>
  <c r="K82" i="8" s="1"/>
  <c r="Y41" i="9"/>
  <c r="AC93" i="8"/>
  <c r="X41" i="9"/>
  <c r="W106" i="8"/>
  <c r="U106" i="8"/>
  <c r="T106" i="8"/>
  <c r="V38" i="9"/>
  <c r="U38" i="9"/>
  <c r="W38" i="9"/>
  <c r="T38" i="9"/>
  <c r="W41" i="9"/>
  <c r="AC41" i="9" s="1"/>
  <c r="T41" i="9"/>
  <c r="U41" i="9"/>
  <c r="V41" i="9"/>
  <c r="K18" i="8"/>
  <c r="K90" i="8"/>
  <c r="L25" i="8"/>
  <c r="L32" i="8" l="1"/>
  <c r="L35" i="8"/>
  <c r="H35" i="8"/>
  <c r="H32" i="8"/>
  <c r="I32" i="8"/>
  <c r="I35" i="8"/>
  <c r="K35" i="8"/>
  <c r="K32" i="8"/>
  <c r="R99" i="8"/>
  <c r="R120" i="8" s="1"/>
  <c r="M99" i="8"/>
  <c r="M120" i="8" s="1"/>
  <c r="X42" i="9"/>
  <c r="Y42" i="9"/>
  <c r="Z42" i="9"/>
  <c r="T42" i="9"/>
  <c r="AC38" i="9"/>
  <c r="W42" i="9"/>
  <c r="U42" i="9"/>
  <c r="V42" i="9"/>
  <c r="J90" i="8"/>
  <c r="I25" i="8"/>
  <c r="R29" i="8"/>
  <c r="R17" i="9"/>
  <c r="R25" i="9"/>
  <c r="H25" i="8"/>
  <c r="AC31" i="8"/>
  <c r="AC106" i="8"/>
  <c r="AA39" i="9"/>
  <c r="AC39" i="9" s="1"/>
  <c r="AA127" i="8"/>
  <c r="AA32" i="9"/>
  <c r="AC32" i="9" s="1"/>
  <c r="AA27" i="9"/>
  <c r="AA45" i="9"/>
  <c r="R30" i="9"/>
  <c r="I29" i="8"/>
  <c r="K25" i="8"/>
  <c r="T112" i="8"/>
  <c r="K112" i="8"/>
  <c r="W112" i="8"/>
  <c r="AC112" i="8" s="1"/>
  <c r="U112" i="8"/>
  <c r="M29" i="8"/>
  <c r="L29" i="8"/>
  <c r="J35" i="8" l="1"/>
  <c r="J32" i="8"/>
  <c r="H99" i="8"/>
  <c r="H120" i="8" s="1"/>
  <c r="L99" i="8"/>
  <c r="L120" i="8" s="1"/>
  <c r="I99" i="8"/>
  <c r="I120" i="8" s="1"/>
  <c r="J29" i="8"/>
  <c r="AA18" i="8"/>
  <c r="AA90" i="8"/>
  <c r="AC27" i="9"/>
  <c r="AA6" i="9"/>
  <c r="AA10" i="9" s="1"/>
  <c r="AA16" i="9" s="1"/>
  <c r="AA24" i="9" s="1"/>
  <c r="AA29" i="9" s="1"/>
  <c r="AA35" i="9" s="1"/>
  <c r="AA42" i="9" s="1"/>
  <c r="H29" i="8"/>
  <c r="V17" i="9"/>
  <c r="R36" i="9"/>
  <c r="R42" i="9"/>
  <c r="R50" i="9" s="1"/>
  <c r="K29" i="8"/>
  <c r="AA35" i="8" l="1"/>
  <c r="AA32" i="8"/>
  <c r="J99" i="8"/>
  <c r="J120" i="8" s="1"/>
  <c r="AA29" i="8"/>
  <c r="AA25" i="8"/>
  <c r="U17" i="9"/>
  <c r="W25" i="9"/>
  <c r="W17" i="9"/>
  <c r="T17" i="9"/>
  <c r="V25" i="9"/>
  <c r="T25" i="9"/>
  <c r="Y11" i="9"/>
  <c r="AC6" i="9"/>
  <c r="R51" i="9"/>
  <c r="T30" i="9"/>
  <c r="K99" i="8"/>
  <c r="K120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U120" i="8"/>
  <c r="V120" i="8"/>
  <c r="T120" i="8"/>
  <c r="T96" i="9" a="1"/>
  <c r="T96" i="9" s="1"/>
  <c r="T94" i="9"/>
  <c r="T95" i="9" a="1"/>
  <c r="T95" i="9" s="1"/>
  <c r="T93" i="9"/>
  <c r="T36" i="9"/>
  <c r="T92" i="9"/>
  <c r="B87" i="8"/>
  <c r="B86" i="8"/>
  <c r="F87" i="8"/>
  <c r="E87" i="8"/>
  <c r="D87" i="8"/>
  <c r="C87" i="8"/>
  <c r="F86" i="8"/>
  <c r="E86" i="8"/>
  <c r="D86" i="8"/>
  <c r="C86" i="8"/>
  <c r="B39" i="8"/>
  <c r="B38" i="8"/>
  <c r="Z39" i="8"/>
  <c r="Y39" i="8"/>
  <c r="X39" i="8"/>
  <c r="V39" i="8"/>
  <c r="U39" i="8"/>
  <c r="T39" i="8"/>
  <c r="W39" i="8"/>
  <c r="Z38" i="8"/>
  <c r="Y38" i="8"/>
  <c r="X38" i="8"/>
  <c r="W38" i="8"/>
  <c r="V38" i="8"/>
  <c r="U38" i="8"/>
  <c r="T38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T86" i="8"/>
  <c r="T87" i="8"/>
  <c r="W86" i="8"/>
  <c r="X86" i="8"/>
  <c r="X87" i="8"/>
  <c r="Y87" i="8"/>
  <c r="V86" i="8"/>
  <c r="Y86" i="8"/>
  <c r="V87" i="8"/>
  <c r="U87" i="8"/>
  <c r="Z86" i="8"/>
  <c r="W87" i="8"/>
  <c r="U86" i="8"/>
  <c r="Z87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O79" i="8" l="1"/>
  <c r="O87" i="9" s="1"/>
  <c r="Q79" i="8"/>
  <c r="Q87" i="9" s="1"/>
  <c r="Z87" i="9" l="1"/>
  <c r="X87" i="9"/>
  <c r="X88" i="9" s="1"/>
  <c r="X97" i="9" s="1"/>
  <c r="P57" i="8"/>
  <c r="P79" i="8"/>
  <c r="P87" i="9" s="1"/>
  <c r="R11" i="9" l="1"/>
  <c r="R12" i="9"/>
  <c r="Y87" i="9"/>
  <c r="Y88" i="9" s="1"/>
  <c r="Y97" i="9" s="1"/>
  <c r="Z88" i="9"/>
  <c r="Z97" i="9" s="1"/>
  <c r="U11" i="8" l="1"/>
  <c r="U17" i="8" s="1"/>
  <c r="E57" i="8"/>
  <c r="D57" i="8"/>
  <c r="C57" i="8"/>
  <c r="F57" i="8"/>
  <c r="U24" i="8" l="1"/>
  <c r="U28" i="8" s="1"/>
  <c r="U12" i="10"/>
  <c r="V11" i="8"/>
  <c r="V17" i="8" s="1"/>
  <c r="V49" i="8"/>
  <c r="V57" i="8" s="1"/>
  <c r="V79" i="8"/>
  <c r="T49" i="8"/>
  <c r="T57" i="8" s="1"/>
  <c r="V67" i="8"/>
  <c r="V73" i="8" s="1"/>
  <c r="U67" i="8"/>
  <c r="U73" i="8" s="1"/>
  <c r="U49" i="8"/>
  <c r="U57" i="8" s="1"/>
  <c r="T79" i="8"/>
  <c r="T11" i="8"/>
  <c r="T17" i="8" s="1"/>
  <c r="T67" i="8"/>
  <c r="T73" i="8" s="1"/>
  <c r="U79" i="8"/>
  <c r="X79" i="8"/>
  <c r="X57" i="8"/>
  <c r="Y79" i="8"/>
  <c r="X11" i="8"/>
  <c r="X17" i="8" s="1"/>
  <c r="X73" i="8"/>
  <c r="Y73" i="8"/>
  <c r="W11" i="8"/>
  <c r="W17" i="8" s="1"/>
  <c r="Y11" i="8"/>
  <c r="Y17" i="8" s="1"/>
  <c r="Y57" i="8"/>
  <c r="Y24" i="8" l="1"/>
  <c r="Y28" i="8" s="1"/>
  <c r="W24" i="8"/>
  <c r="W28" i="8" s="1"/>
  <c r="V24" i="8"/>
  <c r="V28" i="8" s="1"/>
  <c r="T24" i="8"/>
  <c r="T28" i="8" s="1"/>
  <c r="X24" i="8"/>
  <c r="X28" i="8" s="1"/>
  <c r="W12" i="10"/>
  <c r="Y12" i="10"/>
  <c r="T12" i="10"/>
  <c r="V12" i="10"/>
  <c r="X12" i="10"/>
  <c r="AC11" i="8"/>
  <c r="AC12" i="10" s="1"/>
  <c r="V80" i="8"/>
  <c r="V82" i="8" s="1"/>
  <c r="T80" i="8"/>
  <c r="T82" i="8" s="1"/>
  <c r="U80" i="8"/>
  <c r="U82" i="8" s="1"/>
  <c r="X80" i="8"/>
  <c r="X82" i="8" s="1"/>
  <c r="Y80" i="8"/>
  <c r="Y82" i="8" s="1"/>
  <c r="T18" i="8" l="1"/>
  <c r="U18" i="8"/>
  <c r="Z17" i="9"/>
  <c r="U90" i="8" l="1"/>
  <c r="U25" i="8"/>
  <c r="Y18" i="8"/>
  <c r="X90" i="8"/>
  <c r="W90" i="8"/>
  <c r="AC17" i="8"/>
  <c r="X18" i="8"/>
  <c r="W18" i="8"/>
  <c r="AC18" i="8" s="1"/>
  <c r="V18" i="8"/>
  <c r="Y90" i="8"/>
  <c r="Z94" i="9"/>
  <c r="Z25" i="9"/>
  <c r="W32" i="8" l="1"/>
  <c r="W35" i="8"/>
  <c r="Y35" i="8"/>
  <c r="Y32" i="8"/>
  <c r="X32" i="8"/>
  <c r="X35" i="8"/>
  <c r="U35" i="8"/>
  <c r="U32" i="8"/>
  <c r="U29" i="8"/>
  <c r="T90" i="8"/>
  <c r="V90" i="8"/>
  <c r="X25" i="8"/>
  <c r="V25" i="8"/>
  <c r="W25" i="8"/>
  <c r="AC25" i="8" s="1"/>
  <c r="AC24" i="8"/>
  <c r="T25" i="8"/>
  <c r="Y25" i="8"/>
  <c r="Z30" i="9"/>
  <c r="X29" i="8"/>
  <c r="Y29" i="8"/>
  <c r="V32" i="8" l="1"/>
  <c r="V35" i="8"/>
  <c r="T32" i="8"/>
  <c r="T35" i="8"/>
  <c r="V29" i="8"/>
  <c r="T29" i="8"/>
  <c r="AC35" i="8"/>
  <c r="AC32" i="8"/>
  <c r="AC28" i="8"/>
  <c r="W29" i="8"/>
  <c r="AC29" i="8" s="1"/>
  <c r="Z96" i="9" a="1"/>
  <c r="Z96" i="9" s="1"/>
  <c r="Z36" i="9"/>
  <c r="Z95" i="9" a="1"/>
  <c r="Z95" i="9" s="1"/>
  <c r="Z92" i="9"/>
  <c r="Z93" i="9"/>
  <c r="W73" i="8" l="1"/>
  <c r="AC73" i="8" s="1"/>
  <c r="N11" i="8" l="1"/>
  <c r="N17" i="8" s="1"/>
  <c r="N24" i="8" s="1"/>
  <c r="F11" i="8"/>
  <c r="F17" i="8" s="1"/>
  <c r="F24" i="8" s="1"/>
  <c r="E11" i="8"/>
  <c r="E17" i="8" s="1"/>
  <c r="E24" i="8" s="1"/>
  <c r="D11" i="8"/>
  <c r="D17" i="8" s="1"/>
  <c r="D24" i="8" s="1"/>
  <c r="C11" i="8"/>
  <c r="C17" i="8" s="1"/>
  <c r="C24" i="8" s="1"/>
  <c r="F79" i="8"/>
  <c r="F87" i="9" s="1"/>
  <c r="E79" i="8"/>
  <c r="E87" i="9" s="1"/>
  <c r="D79" i="8"/>
  <c r="D87" i="9" s="1"/>
  <c r="C79" i="8"/>
  <c r="C87" i="9" s="1"/>
  <c r="Q73" i="8"/>
  <c r="Q69" i="9" s="1"/>
  <c r="Z69" i="9" s="1"/>
  <c r="O73" i="8"/>
  <c r="O69" i="9" s="1"/>
  <c r="X69" i="9" s="1"/>
  <c r="Z11" i="8"/>
  <c r="Z17" i="8" s="1"/>
  <c r="P88" i="9"/>
  <c r="P97" i="9" s="1"/>
  <c r="H88" i="9"/>
  <c r="H97" i="9" s="1"/>
  <c r="Z24" i="8" l="1"/>
  <c r="Z28" i="8" s="1"/>
  <c r="C12" i="10"/>
  <c r="D12" i="10"/>
  <c r="E12" i="10"/>
  <c r="F28" i="8"/>
  <c r="F12" i="10"/>
  <c r="Z12" i="10"/>
  <c r="N28" i="8"/>
  <c r="N12" i="10"/>
  <c r="C28" i="8"/>
  <c r="D28" i="8"/>
  <c r="E28" i="8"/>
  <c r="C73" i="8"/>
  <c r="C69" i="9" s="1"/>
  <c r="E73" i="8"/>
  <c r="E69" i="9" s="1"/>
  <c r="D73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W79" i="8"/>
  <c r="Q28" i="8"/>
  <c r="P73" i="8"/>
  <c r="P69" i="9" s="1"/>
  <c r="Y69" i="9" s="1"/>
  <c r="Z73" i="8"/>
  <c r="Z79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W80" i="8" l="1"/>
  <c r="AC80" i="8" s="1"/>
  <c r="AC79" i="8"/>
  <c r="D80" i="8"/>
  <c r="D82" i="8" s="1"/>
  <c r="Q90" i="8"/>
  <c r="F90" i="8"/>
  <c r="N18" i="8"/>
  <c r="C90" i="8"/>
  <c r="D90" i="8"/>
  <c r="E18" i="8"/>
  <c r="C80" i="8"/>
  <c r="C82" i="8" s="1"/>
  <c r="O88" i="9"/>
  <c r="O97" i="9" s="1"/>
  <c r="O80" i="8"/>
  <c r="O82" i="8" s="1"/>
  <c r="AC49" i="8"/>
  <c r="Q80" i="8"/>
  <c r="Q82" i="8" s="1"/>
  <c r="E80" i="8"/>
  <c r="E82" i="8" s="1"/>
  <c r="F80" i="8"/>
  <c r="F82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Z57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D35" i="8" l="1"/>
  <c r="D32" i="8"/>
  <c r="C32" i="8"/>
  <c r="C35" i="8"/>
  <c r="F32" i="8"/>
  <c r="F35" i="8"/>
  <c r="Q32" i="8"/>
  <c r="Q35" i="8"/>
  <c r="R92" i="9"/>
  <c r="M17" i="9"/>
  <c r="M25" i="9"/>
  <c r="Q18" i="8"/>
  <c r="F18" i="8"/>
  <c r="C18" i="8"/>
  <c r="E90" i="8"/>
  <c r="N90" i="8"/>
  <c r="D18" i="8"/>
  <c r="W57" i="8"/>
  <c r="Z90" i="8"/>
  <c r="D25" i="8"/>
  <c r="Q25" i="8"/>
  <c r="Z18" i="8"/>
  <c r="F25" i="8"/>
  <c r="Z80" i="8"/>
  <c r="P80" i="8"/>
  <c r="P82" i="8" s="1"/>
  <c r="O17" i="9"/>
  <c r="K17" i="9"/>
  <c r="F29" i="8"/>
  <c r="C25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N32" i="8" l="1"/>
  <c r="N35" i="8"/>
  <c r="E32" i="8"/>
  <c r="E35" i="8"/>
  <c r="Z35" i="8"/>
  <c r="Z32" i="8"/>
  <c r="Q99" i="8"/>
  <c r="Q120" i="8" s="1"/>
  <c r="F99" i="8"/>
  <c r="F120" i="8" s="1"/>
  <c r="D99" i="8"/>
  <c r="C99" i="8"/>
  <c r="W82" i="8"/>
  <c r="AC57" i="8"/>
  <c r="E25" i="8"/>
  <c r="E29" i="8"/>
  <c r="N25" i="8"/>
  <c r="D29" i="8"/>
  <c r="Q29" i="8"/>
  <c r="C29" i="8"/>
  <c r="Z82" i="8"/>
  <c r="Z25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E99" i="8" l="1"/>
  <c r="E120" i="8" s="1"/>
  <c r="N99" i="8"/>
  <c r="N120" i="8" s="1"/>
  <c r="W120" i="8" s="1"/>
  <c r="N29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D120" i="8"/>
  <c r="C120" i="8"/>
  <c r="V99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W99" i="8" l="1"/>
  <c r="T99" i="8"/>
  <c r="U99" i="8"/>
  <c r="Z29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C116" i="8" l="1"/>
  <c r="C121" i="8" s="1"/>
  <c r="C123" i="8" s="1"/>
  <c r="D114" i="8" l="1"/>
  <c r="D116" i="8" s="1"/>
  <c r="D121" i="8" s="1"/>
  <c r="D123" i="8" s="1"/>
  <c r="E114" i="8" l="1"/>
  <c r="E116" i="8" l="1"/>
  <c r="E121" i="8" l="1"/>
  <c r="E123" i="8" s="1"/>
  <c r="F114" i="8" l="1"/>
  <c r="F116" i="8" s="1"/>
  <c r="F121" i="8" s="1"/>
  <c r="H116" i="8"/>
  <c r="H121" i="8" s="1"/>
  <c r="F123" i="8" l="1"/>
  <c r="H123" i="8"/>
  <c r="I114" i="8"/>
  <c r="I116" i="8" s="1"/>
  <c r="I121" i="8" s="1"/>
  <c r="U114" i="8"/>
  <c r="I123" i="8" l="1"/>
  <c r="J114" i="8"/>
  <c r="J116" i="8" s="1"/>
  <c r="J121" i="8" s="1"/>
  <c r="J123" i="8" s="1"/>
  <c r="V114" i="8"/>
  <c r="W114" i="8" l="1"/>
  <c r="K114" i="8"/>
  <c r="K116" i="8" s="1"/>
  <c r="K121" i="8" s="1"/>
  <c r="K123" i="8" s="1"/>
  <c r="X114" i="8" l="1"/>
  <c r="L114" i="8"/>
  <c r="L116" i="8" s="1"/>
  <c r="L121" i="8" s="1"/>
  <c r="L123" i="8" s="1"/>
  <c r="Y114" i="8" l="1"/>
  <c r="U116" i="8"/>
  <c r="U121" i="8" s="1"/>
  <c r="U123" i="8" s="1"/>
  <c r="M114" i="8"/>
  <c r="M116" i="8" s="1"/>
  <c r="M121" i="8" s="1"/>
  <c r="M123" i="8" s="1"/>
  <c r="Z114" i="8" l="1"/>
  <c r="V116" i="8"/>
  <c r="V121" i="8" s="1"/>
  <c r="V123" i="8" s="1"/>
  <c r="N114" i="8"/>
  <c r="N116" i="8" s="1"/>
  <c r="N121" i="8" s="1"/>
  <c r="N123" i="8" s="1"/>
  <c r="AA114" i="8" l="1"/>
  <c r="W116" i="8"/>
  <c r="W121" i="8" s="1"/>
  <c r="W123" i="8" s="1"/>
  <c r="O114" i="8"/>
  <c r="O116" i="8" s="1"/>
  <c r="P11" i="8" l="1"/>
  <c r="P17" i="8" s="1"/>
  <c r="P24" i="8" s="1"/>
  <c r="P28" i="8" l="1"/>
  <c r="P12" i="10"/>
  <c r="P90" i="8" l="1"/>
  <c r="P32" i="8" l="1"/>
  <c r="P35" i="8"/>
  <c r="P18" i="8"/>
  <c r="P25" i="8"/>
  <c r="P29" i="8" l="1"/>
  <c r="P99" i="8" l="1"/>
  <c r="P120" i="8" s="1"/>
  <c r="O11" i="8"/>
  <c r="O17" i="8" s="1"/>
  <c r="O24" i="8" s="1"/>
  <c r="O28" i="8" l="1"/>
  <c r="O12" i="10"/>
  <c r="O90" i="8" l="1"/>
  <c r="O32" i="8" l="1"/>
  <c r="O35" i="8"/>
  <c r="O18" i="8"/>
  <c r="O25" i="8"/>
  <c r="O29" i="8" l="1"/>
  <c r="AA99" i="8" l="1"/>
  <c r="AC99" i="8" s="1"/>
  <c r="AC90" i="8"/>
  <c r="X99" i="8"/>
  <c r="Y99" i="8"/>
  <c r="O99" i="8"/>
  <c r="O120" i="8" s="1"/>
  <c r="O121" i="8" l="1"/>
  <c r="O123" i="8" s="1"/>
  <c r="AA120" i="8"/>
  <c r="Z120" i="8"/>
  <c r="Y120" i="8"/>
  <c r="X120" i="8"/>
  <c r="X116" i="8"/>
  <c r="Z99" i="8"/>
  <c r="P114" i="8" l="1"/>
  <c r="P116" i="8" s="1"/>
  <c r="P121" i="8" s="1"/>
  <c r="P123" i="8" s="1"/>
  <c r="X121" i="8"/>
  <c r="X123" i="8" s="1"/>
  <c r="Y116" i="8"/>
  <c r="Y121" i="8" s="1"/>
  <c r="Y123" i="8" s="1"/>
  <c r="Q114" i="8" l="1"/>
  <c r="Q116" i="8" s="1"/>
  <c r="Q121" i="8" s="1"/>
  <c r="Q123" i="8" s="1"/>
  <c r="Z116" i="8"/>
  <c r="Z121" i="8" s="1"/>
  <c r="Z123" i="8" s="1"/>
  <c r="T116" i="8"/>
  <c r="T121" i="8" s="1"/>
  <c r="T123" i="8" s="1"/>
  <c r="R114" i="8" l="1"/>
  <c r="R116" i="8" s="1"/>
  <c r="R121" i="8" s="1"/>
  <c r="AA116" i="8"/>
  <c r="AA121" i="8" s="1"/>
  <c r="AA123" i="8" s="1"/>
  <c r="R123" i="8" l="1"/>
  <c r="C88" i="9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<sst xmlns="http://schemas.openxmlformats.org/spreadsheetml/2006/main" count="238" uniqueCount="195">
  <si>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</si>
  <si>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</si>
  <si>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</si>
  <si>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</si>
  <si>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</si>
  <si>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</si>
  <si>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</si>
  <si>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</si>
  <si>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</si>
  <si>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</si>
  <si>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</si>
  <si>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</si>
  <si>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</si>
  <si>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</si>
  <si>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</si>
  <si>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</si>
  <si>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</si>
  <si>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</si>
  <si>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</si>
  <si>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</si>
  <si>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</si>
  <si>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</si>
  <si>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</si>
  <si>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</si>
  <si>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</si>
  <si>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</si>
  <si>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</si>
  <si>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</si>
  <si>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</si>
  <si>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</si>
  <si>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</si>
  <si>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</si>
  <si>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</si>
  <si>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</si>
  <si>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</si>
  <si>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</si>
  <si>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</si>
  <si>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</si>
  <si>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</si>
  <si>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</si>
  <si>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</si>
  <si>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</si>
  <si>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</si>
  <si>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</si>
  <si>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</si>
  <si>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</si>
  <si>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</si>
  <si>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</si>
  <si>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</si>
  <si>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</si>
  <si>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</si>
  <si>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</si>
  <si>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</si>
  <si>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</si>
  <si>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</si>
  <si>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</si>
  <si>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</si>
  <si>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</si>
  <si>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</si>
  <si>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</si>
  <si>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</si>
  <si>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</si>
  <si>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</si>
  <si>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</si>
  <si>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</si>
  <si>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</si>
  <si>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</si>
  <si>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</si>
  <si>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</si>
  <si>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</si>
  <si>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</si>
  <si>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</si>
  <si>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</si>
  <si>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</si>
  <si>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</si>
  <si>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</si>
  <si>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</si>
  <si>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</si>
  <si>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</si>
  <si>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</si>
  <si>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</si>
  <si>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</si>
  <si>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</si>
  <si>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</si>
  <si>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</si>
  <si>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</si>
  <si>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</si>
  <si>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</si>
  <si>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</si>
  <si>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</si>
  <si>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</si>
  <si>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</si>
  <si>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</si>
  <si>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</si>
  <si>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</si>
  <si>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</si>
  <si>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</si>
  <si>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</si>
  <si>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</si>
  <si>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</si>
  <si>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</si>
  <si>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</si>
  <si>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</si>
  <si>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</si>
  <si>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</si>
  <si>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</si>
  <si>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</si>
  <si>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</si>
  <si>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</si>
  <si>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</si>
  <si>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</si>
  <si>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</si>
  <si>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</si>
  <si>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</si>
  <si>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</si>
  <si>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Income from continuing operations, net of tax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</si>
  <si>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</si>
  <si>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</si>
  <si>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</si>
  <si>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</si>
  <si>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</si>
  <si>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</si>
  <si>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</si>
  <si>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</si>
  <si>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</si>
  <si>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</si>
  <si>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</si>
  <si>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</si>
  <si>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</si>
  <si>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</si>
  <si>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</si>
  <si>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</si>
  <si>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</si>
  <si>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</si>
  <si>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</si>
  <si>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</si>
  <si>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</si>
  <si>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</si>
  <si>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</si>
  <si>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</si>
  <si>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</si>
  <si>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</si>
  <si>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</si>
  <si>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</si>
  <si>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</si>
  <si>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</si>
  <si>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</si>
  <si>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</si>
  <si>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</si>
  <si>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</si>
  <si>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</si>
  <si>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</si>
  <si>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 xml:space="preserve">Cash &amp; CEs </t>
  </si>
  <si>
    <t>A/R</t>
  </si>
  <si>
    <t>Prepaid Expenses</t>
  </si>
  <si>
    <t>PP&amp;E</t>
  </si>
  <si>
    <t>A/P</t>
  </si>
  <si>
    <t>ST Debt</t>
  </si>
  <si>
    <t>LT Debt</t>
  </si>
  <si>
    <t>Other LT Liabilities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</si>
  <si>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</si>
  <si>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</si>
  <si>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</si>
  <si>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</si>
  <si>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</si>
  <si>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</si>
  <si>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</si>
  <si>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Revenue by Geography</t>
  </si>
  <si>
    <t>Variance  Check</t>
  </si>
  <si>
    <t>G&amp;A</t>
  </si>
  <si>
    <t>Investment Income</t>
  </si>
  <si>
    <t>ST Investments</t>
  </si>
  <si>
    <t>Other Assets</t>
  </si>
  <si>
    <t xml:space="preserve">U.S. </t>
  </si>
  <si>
    <t>International</t>
  </si>
  <si>
    <t>Restricted Cash and CEs</t>
  </si>
  <si>
    <t xml:space="preserve">Restricted Customer Security Deposits </t>
  </si>
  <si>
    <t>Settlement Assets</t>
  </si>
  <si>
    <t>Deffered LT Tax Assets</t>
  </si>
  <si>
    <t>Other LT Intangible Assets, net</t>
  </si>
  <si>
    <t>Settlement Obligations</t>
  </si>
  <si>
    <t>Restricted Customer Deposit Obligations</t>
  </si>
  <si>
    <t>Accrued Litigation Liabilities</t>
  </si>
  <si>
    <t>Accrued Expenses</t>
  </si>
  <si>
    <t>Other ST Liabilities</t>
  </si>
  <si>
    <t>Deffered Income Taxes</t>
  </si>
  <si>
    <t>Advertising &amp; Marketing</t>
  </si>
  <si>
    <t>Dep. &amp; Am.</t>
  </si>
  <si>
    <t>Provision for Litigation</t>
  </si>
  <si>
    <t>Gain (Loss) on Equity Investments</t>
  </si>
  <si>
    <t>Interest Income (Expenses)</t>
  </si>
  <si>
    <t>Other Income (Expenses)</t>
  </si>
  <si>
    <t>Payment Network</t>
  </si>
  <si>
    <t>Value-Added Services</t>
  </si>
  <si>
    <t>Mastercard Inc (NYSE: MA)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</si>
</sst>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6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C144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9" style="5" customWidth="1" outlineLevel="1"/>
    <col min="4" max="6" width="9" style="5" bestFit="1" customWidth="1"/>
    <col min="7" max="7" width="1.5" style="5" customWidth="1"/>
    <col min="8" max="11" width="8.875" style="5" customWidth="1" outlineLevel="2"/>
    <col min="12" max="13" width="8.875" style="5" customWidth="1" outlineLevel="1"/>
    <col min="14" max="18" width="8.875" style="5" bestFit="1" customWidth="1"/>
    <col min="19" max="19" width="1.5" style="5" customWidth="1"/>
    <col min="20" max="22" width="8.75" style="5" customWidth="1" outlineLevel="1"/>
    <col min="23" max="23" width="9" style="5" bestFit="1" customWidth="1"/>
    <col min="24" max="26" width="9" style="5" customWidth="1" outlineLevel="1"/>
    <col min="27" max="27" width="9" style="5" bestFit="1" customWidth="1"/>
    <col min="28" max="28" width="1.25" style="5" customWidth="1"/>
    <col min="29" max="29" width="8" style="5" bestFit="1" customWidth="1"/>
    <col min="30" max="30" width="1.375" style="5" customWidth="1"/>
    <col min="31" max="16384" width="9" style="5"/>
  </cols>
  <sheetData>
    <row r="2" spans="1:29" ht="12.75" customHeight="1">
      <c r="B2" s="1" t="s">
        <v>194</v>
      </c>
      <c r="C2" s="101"/>
      <c r="D2" s="101"/>
      <c r="E2" s="101"/>
      <c r="F2" s="101"/>
      <c r="G2" s="3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3"/>
      <c r="T2" s="101"/>
      <c r="U2" s="101"/>
      <c r="V2" s="101"/>
      <c r="W2" s="101"/>
      <c r="X2" s="101"/>
      <c r="Y2" s="101"/>
      <c r="Z2" s="101"/>
      <c r="AA2" s="101"/>
      <c r="AB2" s="3"/>
      <c r="AC2" s="1"/>
    </row>
    <row r="3" spans="1:29" ht="12.75" customHeight="1">
      <c r="B3" s="6" t="s">
        <v>74</v>
      </c>
      <c r="C3" s="7"/>
      <c r="D3" s="7"/>
      <c r="E3" s="7"/>
      <c r="F3" s="7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3"/>
      <c r="T3" s="4"/>
      <c r="U3" s="4"/>
      <c r="V3" s="4"/>
      <c r="W3" s="4"/>
      <c r="X3" s="4"/>
      <c r="Y3" s="4"/>
      <c r="Z3" s="4"/>
      <c r="AA3" s="4"/>
      <c r="AB3" s="3"/>
      <c r="AC3" s="1"/>
    </row>
    <row r="4" spans="1:29" ht="12.75" customHeight="1">
      <c r="B4" s="6" t="s">
        <v>71</v>
      </c>
      <c r="C4" s="3"/>
      <c r="D4" s="3"/>
      <c r="E4" s="85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"/>
    </row>
    <row r="6" spans="1:29" ht="12.75" customHeight="1">
      <c r="A6" s="5" t="s">
        <v>16</v>
      </c>
      <c r="B6" s="1" t="s">
        <v>72</v>
      </c>
      <c r="C6" s="2" t="s">
        <v>0</v>
      </c>
      <c r="D6" s="2"/>
      <c r="E6" s="2"/>
      <c r="F6" s="2"/>
      <c r="G6" s="3"/>
      <c r="H6" s="2" t="s">
        <v>1</v>
      </c>
      <c r="I6" s="2"/>
      <c r="J6" s="2"/>
      <c r="K6" s="2"/>
      <c r="L6" s="2"/>
      <c r="M6" s="2"/>
      <c r="N6" s="2" t="s">
        <v>1</v>
      </c>
      <c r="O6" s="2"/>
      <c r="P6" s="2"/>
      <c r="Q6" s="2"/>
      <c r="R6" s="2"/>
      <c r="S6" s="3"/>
      <c r="T6" s="2"/>
      <c r="U6" s="2"/>
      <c r="V6" s="2" t="s">
        <v>10</v>
      </c>
      <c r="W6" s="2" t="s">
        <v>10</v>
      </c>
      <c r="X6" s="2"/>
      <c r="Y6" s="2"/>
      <c r="Z6" s="2"/>
      <c r="AA6" s="2"/>
      <c r="AB6" s="38"/>
      <c r="AC6" s="152" t="s">
        <v>22</v>
      </c>
    </row>
    <row r="7" spans="1:29" ht="12.75" customHeight="1">
      <c r="B7" s="6" t="s">
        <v>75</v>
      </c>
      <c r="C7" s="7">
        <v>2021</v>
      </c>
      <c r="D7" s="7">
        <v>2022</v>
      </c>
      <c r="E7" s="7">
        <v>2023</v>
      </c>
      <c r="F7" s="7">
        <v>2024</v>
      </c>
      <c r="G7" s="3"/>
      <c r="H7" s="4" t="s">
        <v>6</v>
      </c>
      <c r="I7" s="4" t="s">
        <v>7</v>
      </c>
      <c r="J7" s="4" t="s">
        <v>8</v>
      </c>
      <c r="K7" s="4" t="s">
        <v>9</v>
      </c>
      <c r="L7" s="4" t="s">
        <v>2</v>
      </c>
      <c r="M7" s="4" t="s">
        <v>3</v>
      </c>
      <c r="N7" s="4" t="s">
        <v>4</v>
      </c>
      <c r="O7" s="4" t="s">
        <v>5</v>
      </c>
      <c r="P7" s="4" t="s">
        <v>24</v>
      </c>
      <c r="Q7" s="4" t="s">
        <v>25</v>
      </c>
      <c r="R7" s="4" t="s">
        <v>61</v>
      </c>
      <c r="S7" s="3"/>
      <c r="T7" s="4" t="str">
        <f>K7</f>
        <v>4Q23</v>
      </c>
      <c r="U7" s="4" t="str">
        <f>L7</f>
        <v>1Q24</v>
      </c>
      <c r="V7" s="4" t="str">
        <f>M7</f>
        <v>2Q24</v>
      </c>
      <c r="W7" s="4" t="str">
        <f>N7</f>
        <v>3Q24</v>
      </c>
      <c r="X7" s="4" t="str">
        <f>O7</f>
        <v>4Q24</v>
      </c>
      <c r="Y7" s="4" t="str">
        <f>P7</f>
        <v>1Q25</v>
      </c>
      <c r="Z7" s="4" t="str">
        <f>Q7</f>
        <v>2Q25</v>
      </c>
      <c r="AA7" s="4" t="str">
        <f>R7</f>
        <v>3Q25</v>
      </c>
      <c r="AB7" s="38"/>
      <c r="AC7" s="152"/>
    </row>
    <row r="8" spans="1:29" ht="12.75" customHeight="1">
      <c r="B8" s="6" t="s">
        <v>76</v>
      </c>
      <c r="C8" s="3"/>
      <c r="D8" s="3"/>
      <c r="E8" s="85"/>
      <c r="F8" s="85"/>
      <c r="G8" s="3"/>
      <c r="H8" s="3"/>
      <c r="I8" s="3"/>
      <c r="J8" s="3"/>
      <c r="K8" s="3">
        <f>E8</f>
        <v>0</v>
      </c>
      <c r="L8" s="3"/>
      <c r="M8" s="3"/>
      <c r="N8" s="3"/>
      <c r="O8" s="3">
        <f>F8</f>
        <v>0</v>
      </c>
      <c r="P8" s="3"/>
      <c r="Q8" s="3"/>
      <c r="R8" s="3"/>
      <c r="S8" s="3"/>
      <c r="T8" s="3">
        <f>K8</f>
        <v>0</v>
      </c>
      <c r="U8" s="3">
        <f>L8</f>
        <v>0</v>
      </c>
      <c r="V8" s="3">
        <f>M8</f>
        <v>0</v>
      </c>
      <c r="W8" s="3">
        <f>N8</f>
        <v>0</v>
      </c>
      <c r="X8" s="3">
        <f>O8</f>
        <v>0</v>
      </c>
      <c r="Y8" s="3">
        <f>P8</f>
        <v>0</v>
      </c>
      <c r="Z8" s="3">
        <f>Q8</f>
        <v>0</v>
      </c>
      <c r="AA8" s="3">
        <f>R8</f>
        <v>0</v>
      </c>
      <c r="AB8" s="38"/>
      <c r="AC8" s="152"/>
    </row>
    <row r="9" spans="1:29" ht="5.0999999999999996" customHeight="1">
      <c r="AC9" s="100"/>
    </row>
    <row r="10" spans="1:29" ht="12.75" customHeight="1">
      <c r="B10" s="9" t="s">
        <v>56</v>
      </c>
      <c r="C10" s="95">
        <v>18884</v>
      </c>
      <c r="D10" s="95">
        <v>22237</v>
      </c>
      <c r="E10" s="95">
        <v>25098</v>
      </c>
      <c r="F10" s="95">
        <v>28167</v>
      </c>
      <c r="G10" s="11"/>
      <c r="H10" s="95">
        <v>5748</v>
      </c>
      <c r="I10" s="95">
        <v>6269</v>
      </c>
      <c r="J10" s="95">
        <v>6533</v>
      </c>
      <c r="K10" s="32">
        <f>SUM(E10-SUM(H10:J10))</f>
        <v>6548</v>
      </c>
      <c r="L10" s="95">
        <v>6348</v>
      </c>
      <c r="M10" s="95">
        <v>6961</v>
      </c>
      <c r="N10" s="95">
        <v>7369</v>
      </c>
      <c r="O10" s="32">
        <f>SUM(F10-SUM(L10:N10))</f>
        <v>7489</v>
      </c>
      <c r="P10" s="82">
        <v>7250</v>
      </c>
      <c r="Q10" s="82">
        <v>8133</v>
      </c>
      <c r="R10" s="82">
        <v>8602</v>
      </c>
      <c r="T10" s="32">
        <f>SUM(H10:K10)</f>
        <v>25098</v>
      </c>
      <c r="U10" s="32">
        <f>SUM(I10:L10)</f>
        <v>25698</v>
      </c>
      <c r="V10" s="32">
        <f>SUM(J10:M10)</f>
        <v>26390</v>
      </c>
      <c r="W10" s="32">
        <f>SUM(K10:N10)</f>
        <v>27226</v>
      </c>
      <c r="X10" s="32">
        <f>SUM(L10:O10)</f>
        <v>28167</v>
      </c>
      <c r="Y10" s="32">
        <f>SUM(M10:P10)</f>
        <v>29069</v>
      </c>
      <c r="Z10" s="32">
        <f>SUM(N10:Q10)</f>
        <v>30241</v>
      </c>
      <c r="AA10" s="32">
        <f>SUM(O10:R10)</f>
        <v>31474</v>
      </c>
      <c r="AB10" s="40"/>
      <c r="AC10" s="12">
        <f>SUM(AA10/W10)-1</f>
        <v>0.15602732681995146</v>
      </c>
    </row>
    <row r="11" spans="1:29" ht="12.75" customHeight="1">
      <c r="B11" s="13" t="s">
        <v>12</v>
      </c>
      <c r="C11" s="14">
        <f t="shared" ref="C11:F11" si="0">+SUM(C10:C10)</f>
        <v>18884</v>
      </c>
      <c r="D11" s="14">
        <f t="shared" si="0"/>
        <v>22237</v>
      </c>
      <c r="E11" s="14">
        <f t="shared" si="0"/>
        <v>25098</v>
      </c>
      <c r="F11" s="14">
        <f t="shared" si="0"/>
        <v>28167</v>
      </c>
      <c r="G11" s="11"/>
      <c r="H11" s="14">
        <f t="shared" ref="H11:Q11" si="1">+SUM(H10:H10)</f>
        <v>5748</v>
      </c>
      <c r="I11" s="14">
        <f t="shared" si="1"/>
        <v>6269</v>
      </c>
      <c r="J11" s="14">
        <f t="shared" si="1"/>
        <v>6533</v>
      </c>
      <c r="K11" s="14">
        <f t="shared" si="1"/>
        <v>6548</v>
      </c>
      <c r="L11" s="14">
        <f t="shared" si="1"/>
        <v>6348</v>
      </c>
      <c r="M11" s="14">
        <f t="shared" si="1"/>
        <v>6961</v>
      </c>
      <c r="N11" s="14">
        <f t="shared" si="1"/>
        <v>7369</v>
      </c>
      <c r="O11" s="14">
        <f t="shared" si="1"/>
        <v>7489</v>
      </c>
      <c r="P11" s="14">
        <f t="shared" si="1"/>
        <v>7250</v>
      </c>
      <c r="Q11" s="14">
        <f t="shared" si="1"/>
        <v>8133</v>
      </c>
      <c r="R11" s="14">
        <f>+SUM(R10:R10)</f>
        <v>8602</v>
      </c>
      <c r="T11" s="14">
        <f t="shared" ref="T11:Z11" si="2">+SUM(T10:T10)</f>
        <v>25098</v>
      </c>
      <c r="U11" s="14">
        <f t="shared" si="2"/>
        <v>25698</v>
      </c>
      <c r="V11" s="14">
        <f t="shared" si="2"/>
        <v>26390</v>
      </c>
      <c r="W11" s="14">
        <f t="shared" si="2"/>
        <v>27226</v>
      </c>
      <c r="X11" s="14">
        <f t="shared" si="2"/>
        <v>28167</v>
      </c>
      <c r="Y11" s="14">
        <f t="shared" si="2"/>
        <v>29069</v>
      </c>
      <c r="Z11" s="14">
        <f t="shared" si="2"/>
        <v>30241</v>
      </c>
      <c r="AA11" s="14">
        <f>+SUM(AA10:AA10)</f>
        <v>31474</v>
      </c>
      <c r="AB11" s="40"/>
      <c r="AC11" s="15">
        <f>SUM(AA11/W11)-1</f>
        <v>0.15602732681995146</v>
      </c>
    </row>
    <row r="12" spans="1:29" s="20" customFormat="1" ht="5.0999999999999996" customHeight="1">
      <c r="B12" s="18"/>
      <c r="C12" s="19"/>
      <c r="D12" s="19"/>
      <c r="E12" s="19"/>
      <c r="F12" s="19"/>
      <c r="H12" s="21"/>
      <c r="I12" s="21"/>
      <c r="J12" s="21"/>
      <c r="K12" s="21"/>
      <c r="L12" s="21"/>
      <c r="M12" s="21"/>
      <c r="N12" s="21"/>
      <c r="O12" s="21"/>
      <c r="P12" s="22"/>
      <c r="Q12" s="21"/>
      <c r="R12" s="21"/>
      <c r="AC12" s="75"/>
    </row>
    <row r="13" spans="1:29" ht="12.75" customHeight="1">
      <c r="B13" s="9" t="s">
        <v>169</v>
      </c>
      <c r="C13" s="82">
        <v>-7087</v>
      </c>
      <c r="D13" s="82">
        <v>-8078</v>
      </c>
      <c r="E13" s="82">
        <v>-8927</v>
      </c>
      <c r="F13" s="82">
        <v>-10193</v>
      </c>
      <c r="G13" s="32"/>
      <c r="H13" s="82">
        <v>-2043</v>
      </c>
      <c r="I13" s="82">
        <v>-2200</v>
      </c>
      <c r="J13" s="82">
        <v>-2285</v>
      </c>
      <c r="K13" s="32">
        <f t="shared" ref="K13:K16" si="3">SUM(E13-SUM(H13:J13))</f>
        <v>-2399</v>
      </c>
      <c r="L13" s="82">
        <v>-2286</v>
      </c>
      <c r="M13" s="82">
        <v>-2418</v>
      </c>
      <c r="N13" s="82">
        <v>-2744</v>
      </c>
      <c r="O13" s="32">
        <f t="shared" ref="O13:O16" si="4">SUM(F13-SUM(L13:N13))</f>
        <v>-2745</v>
      </c>
      <c r="P13" s="82">
        <v>-2523</v>
      </c>
      <c r="Q13" s="82">
        <v>-2766</v>
      </c>
      <c r="R13" s="82">
        <v>-2923</v>
      </c>
      <c r="T13" s="32">
        <f>SUM(H13:K13)</f>
        <v>-8927</v>
      </c>
      <c r="U13" s="32">
        <f>SUM(I13:L13)</f>
        <v>-9170</v>
      </c>
      <c r="V13" s="32">
        <f>SUM(J13:M13)</f>
        <v>-9388</v>
      </c>
      <c r="W13" s="32">
        <f>SUM(K13:N13)</f>
        <v>-9847</v>
      </c>
      <c r="X13" s="32">
        <f>SUM(L13:O13)</f>
        <v>-10193</v>
      </c>
      <c r="Y13" s="32">
        <f>SUM(M13:P13)</f>
        <v>-10430</v>
      </c>
      <c r="Z13" s="32">
        <f>SUM(N13:Q13)</f>
        <v>-10778</v>
      </c>
      <c r="AA13" s="32">
        <f>SUM(O13:R13)</f>
        <v>-10957</v>
      </c>
      <c r="AB13" s="11"/>
      <c r="AC13" s="75">
        <f>SUM(AA13/W13)-1</f>
        <v>0.11272468772214883</v>
      </c>
    </row>
    <row r="14" spans="1:29" ht="12.75" customHeight="1">
      <c r="B14" s="9" t="s">
        <v>186</v>
      </c>
      <c r="C14" s="82">
        <v>-895</v>
      </c>
      <c r="D14" s="82">
        <v>-789</v>
      </c>
      <c r="E14" s="82">
        <v>-825</v>
      </c>
      <c r="F14" s="82">
        <v>-815</v>
      </c>
      <c r="G14" s="32"/>
      <c r="H14" s="82">
        <v>-167</v>
      </c>
      <c r="I14" s="82">
        <v>-201</v>
      </c>
      <c r="J14" s="82">
        <v>-193</v>
      </c>
      <c r="K14" s="32">
        <f t="shared" si="3"/>
        <v>-264</v>
      </c>
      <c r="L14" s="82">
        <v>-116</v>
      </c>
      <c r="M14" s="82">
        <v>-184</v>
      </c>
      <c r="N14" s="82">
        <v>-220</v>
      </c>
      <c r="O14" s="32">
        <f t="shared" si="4"/>
        <v>-295</v>
      </c>
      <c r="P14" s="82">
        <v>-152</v>
      </c>
      <c r="Q14" s="82">
        <v>-213</v>
      </c>
      <c r="R14" s="82">
        <v>-245</v>
      </c>
      <c r="T14" s="32">
        <f>SUM(H14:K14)</f>
        <v>-825</v>
      </c>
      <c r="U14" s="32">
        <f>SUM(I14:L14)</f>
        <v>-774</v>
      </c>
      <c r="V14" s="32">
        <f>SUM(J14:M14)</f>
        <v>-757</v>
      </c>
      <c r="W14" s="32">
        <f>SUM(K14:N14)</f>
        <v>-784</v>
      </c>
      <c r="X14" s="32">
        <f>SUM(L14:O14)</f>
        <v>-815</v>
      </c>
      <c r="Y14" s="32">
        <f>SUM(M14:P14)</f>
        <v>-851</v>
      </c>
      <c r="Z14" s="32">
        <f>SUM(N14:Q14)</f>
        <v>-880</v>
      </c>
      <c r="AA14" s="32">
        <f>SUM(O14:R14)</f>
        <v>-905</v>
      </c>
      <c r="AB14" s="11"/>
      <c r="AC14" s="75">
        <f t="shared" ref="AC14:AC16" si="5">SUM(AA14/W14)-1</f>
        <v>0.15433673469387754</v>
      </c>
    </row>
    <row r="15" spans="1:29" ht="12.75" customHeight="1">
      <c r="B15" s="9" t="s">
        <v>187</v>
      </c>
      <c r="C15" s="82">
        <v>-726</v>
      </c>
      <c r="D15" s="82">
        <v>-750</v>
      </c>
      <c r="E15" s="82">
        <v>-799</v>
      </c>
      <c r="F15" s="82">
        <v>-897</v>
      </c>
      <c r="G15" s="32"/>
      <c r="H15" s="82">
        <v>-191</v>
      </c>
      <c r="I15" s="82">
        <v>-192</v>
      </c>
      <c r="J15" s="82">
        <v>-211</v>
      </c>
      <c r="K15" s="32">
        <f t="shared" si="3"/>
        <v>-205</v>
      </c>
      <c r="L15" s="82">
        <v>-216</v>
      </c>
      <c r="M15" s="82">
        <v>-225</v>
      </c>
      <c r="N15" s="82">
        <v>-225</v>
      </c>
      <c r="O15" s="32">
        <f t="shared" si="4"/>
        <v>-231</v>
      </c>
      <c r="P15" s="82">
        <v>-275</v>
      </c>
      <c r="Q15" s="82">
        <v>-281</v>
      </c>
      <c r="R15" s="82">
        <v>-290</v>
      </c>
      <c r="T15" s="32">
        <f>SUM(H15:K15)</f>
        <v>-799</v>
      </c>
      <c r="U15" s="32">
        <f>SUM(I15:L15)</f>
        <v>-824</v>
      </c>
      <c r="V15" s="32">
        <f>SUM(J15:M15)</f>
        <v>-857</v>
      </c>
      <c r="W15" s="32">
        <f>SUM(K15:N15)</f>
        <v>-871</v>
      </c>
      <c r="X15" s="32">
        <f>SUM(L15:O15)</f>
        <v>-897</v>
      </c>
      <c r="Y15" s="32">
        <f>SUM(M15:P15)</f>
        <v>-956</v>
      </c>
      <c r="Z15" s="32">
        <f>SUM(N15:Q15)</f>
        <v>-1012</v>
      </c>
      <c r="AA15" s="32">
        <f>SUM(O15:R15)</f>
        <v>-1077</v>
      </c>
      <c r="AB15" s="11"/>
      <c r="AC15" s="75">
        <f t="shared" si="5"/>
        <v>0.23650975889781867</v>
      </c>
    </row>
    <row r="16" spans="1:29" ht="12.75" customHeight="1">
      <c r="B16" s="9" t="s">
        <v>188</v>
      </c>
      <c r="C16" s="82">
        <v>-94</v>
      </c>
      <c r="D16" s="82">
        <v>-356</v>
      </c>
      <c r="E16" s="82">
        <v>-539</v>
      </c>
      <c r="F16" s="82">
        <v>-680</v>
      </c>
      <c r="G16" s="32"/>
      <c r="H16" s="82">
        <v>-211</v>
      </c>
      <c r="I16" s="82">
        <v>-20</v>
      </c>
      <c r="J16" s="82">
        <v>0</v>
      </c>
      <c r="K16" s="32">
        <f t="shared" si="3"/>
        <v>-308</v>
      </c>
      <c r="L16" s="82">
        <v>-126</v>
      </c>
      <c r="M16" s="82">
        <v>-98</v>
      </c>
      <c r="N16" s="82">
        <v>-176</v>
      </c>
      <c r="O16" s="32">
        <f t="shared" si="4"/>
        <v>-280</v>
      </c>
      <c r="P16" s="82">
        <v>-151</v>
      </c>
      <c r="Q16" s="82">
        <v>-96</v>
      </c>
      <c r="R16" s="82">
        <v>-83</v>
      </c>
      <c r="T16" s="32">
        <f>SUM(H16:K16)</f>
        <v>-539</v>
      </c>
      <c r="U16" s="32">
        <f>SUM(I16:L16)</f>
        <v>-454</v>
      </c>
      <c r="V16" s="32">
        <f>SUM(J16:M16)</f>
        <v>-532</v>
      </c>
      <c r="W16" s="32">
        <f>SUM(K16:N16)</f>
        <v>-708</v>
      </c>
      <c r="X16" s="32">
        <f>SUM(L16:O16)</f>
        <v>-680</v>
      </c>
      <c r="Y16" s="32">
        <f>SUM(M16:P16)</f>
        <v>-705</v>
      </c>
      <c r="Z16" s="32">
        <f>SUM(N16:Q16)</f>
        <v>-703</v>
      </c>
      <c r="AA16" s="32">
        <f>SUM(O16:R16)</f>
        <v>-610</v>
      </c>
      <c r="AB16" s="11"/>
      <c r="AC16" s="75">
        <f t="shared" si="5"/>
        <v>-0.1384180790960452</v>
      </c>
    </row>
    <row r="17" spans="2:29" ht="12.75" customHeight="1">
      <c r="B17" s="25" t="s">
        <v>77</v>
      </c>
      <c r="C17" s="26">
        <f>+SUM(C11+SUM(C13:C16))</f>
        <v>10082</v>
      </c>
      <c r="D17" s="26">
        <f>+SUM(D11+SUM(D13:D16))</f>
        <v>12264</v>
      </c>
      <c r="E17" s="26">
        <f>+SUM(E11+SUM(E13:E16))</f>
        <v>14008</v>
      </c>
      <c r="F17" s="26">
        <f>+SUM(F11+SUM(F13:F16))</f>
        <v>15582</v>
      </c>
      <c r="G17" s="32"/>
      <c r="H17" s="26">
        <f>+SUM(H11+SUM(H13:H16))</f>
        <v>3136</v>
      </c>
      <c r="I17" s="26">
        <f>+SUM(I11+SUM(I13:I16))</f>
        <v>3656</v>
      </c>
      <c r="J17" s="26">
        <f>+SUM(J11+SUM(J13:J16))</f>
        <v>3844</v>
      </c>
      <c r="K17" s="26">
        <f>+SUM(K11+SUM(K13:K16))</f>
        <v>3372</v>
      </c>
      <c r="L17" s="26">
        <f>+SUM(L11+SUM(L13:L16))</f>
        <v>3604</v>
      </c>
      <c r="M17" s="26">
        <f>+SUM(M11+SUM(M13:M16))</f>
        <v>4036</v>
      </c>
      <c r="N17" s="26">
        <f>+SUM(N11+SUM(N13:N16))</f>
        <v>4004</v>
      </c>
      <c r="O17" s="26">
        <f>+SUM(O11+SUM(O13:O16))</f>
        <v>3938</v>
      </c>
      <c r="P17" s="26">
        <f>+SUM(P11+SUM(P13:P16))</f>
        <v>4149</v>
      </c>
      <c r="Q17" s="26">
        <f>+SUM(Q11+SUM(Q13:Q16))</f>
        <v>4777</v>
      </c>
      <c r="R17" s="26">
        <f>+SUM(R11+SUM(R13:R16))</f>
        <v>5061</v>
      </c>
      <c r="T17" s="26">
        <f>+SUM(T11+SUM(T13:T16))</f>
        <v>14008</v>
      </c>
      <c r="U17" s="26">
        <f>+SUM(U11+SUM(U13:U16))</f>
        <v>14476</v>
      </c>
      <c r="V17" s="26">
        <f>+SUM(V11+SUM(V13:V16))</f>
        <v>14856</v>
      </c>
      <c r="W17" s="26">
        <f>+SUM(W11+SUM(W13:W16))</f>
        <v>15016</v>
      </c>
      <c r="X17" s="26">
        <f>+SUM(X11+SUM(X13:X16))</f>
        <v>15582</v>
      </c>
      <c r="Y17" s="26">
        <f>+SUM(Y11+SUM(Y13:Y16))</f>
        <v>16127</v>
      </c>
      <c r="Z17" s="26">
        <f>+SUM(Z11+SUM(Z13:Z16))</f>
        <v>16868</v>
      </c>
      <c r="AA17" s="26">
        <f>+SUM(AA11+SUM(AA13:AA16))</f>
        <v>17925</v>
      </c>
      <c r="AB17" s="11"/>
      <c r="AC17" s="76">
        <f>SUM(AA17/W17)-1</f>
        <v>0.19372669152903566</v>
      </c>
    </row>
    <row r="18" spans="2:29" ht="12.75" customHeight="1">
      <c r="B18" s="16" t="s">
        <v>31</v>
      </c>
      <c r="C18" s="17">
        <f>C17/C11</f>
        <v>0.53389112476170308</v>
      </c>
      <c r="D18" s="17">
        <f>D17/D11</f>
        <v>0.55151324369294419</v>
      </c>
      <c r="E18" s="17">
        <f>E17/E11</f>
        <v>0.55813212208144081</v>
      </c>
      <c r="F18" s="17">
        <f>F17/F11</f>
        <v>0.55320055383959954</v>
      </c>
      <c r="G18" s="32"/>
      <c r="H18" s="17">
        <f>H17/H11</f>
        <v>0.54558107167710512</v>
      </c>
      <c r="I18" s="17">
        <f>I17/I11</f>
        <v>0.58318711118200672</v>
      </c>
      <c r="J18" s="17">
        <f>J17/J11</f>
        <v>0.58839736721261293</v>
      </c>
      <c r="K18" s="17">
        <f>K17/K11</f>
        <v>0.51496640195479537</v>
      </c>
      <c r="L18" s="17">
        <f>L17/L11</f>
        <v>0.56773787019533717</v>
      </c>
      <c r="M18" s="17">
        <f>M17/M11</f>
        <v>0.57980175262174971</v>
      </c>
      <c r="N18" s="17">
        <f>N17/N11</f>
        <v>0.54335730764011403</v>
      </c>
      <c r="O18" s="17">
        <f>O17/O11</f>
        <v>0.52583789558018423</v>
      </c>
      <c r="P18" s="17">
        <f>P17/P11</f>
        <v>0.57227586206896552</v>
      </c>
      <c r="Q18" s="17">
        <f>Q17/Q11</f>
        <v>0.58736013771056195</v>
      </c>
      <c r="R18" s="17">
        <f>R17/R11</f>
        <v>0.58835154615205765</v>
      </c>
      <c r="T18" s="17">
        <f>T17/T11</f>
        <v>0.55813212208144081</v>
      </c>
      <c r="U18" s="17">
        <f>U17/U11</f>
        <v>0.56331232002490461</v>
      </c>
      <c r="V18" s="17">
        <f>V17/V11</f>
        <v>0.56294050776809401</v>
      </c>
      <c r="W18" s="17">
        <f>W17/W11</f>
        <v>0.55153162418276647</v>
      </c>
      <c r="X18" s="17">
        <f>X17/X11</f>
        <v>0.55320055383959954</v>
      </c>
      <c r="Y18" s="17">
        <f>Y17/Y11</f>
        <v>0.55478344628298182</v>
      </c>
      <c r="Z18" s="17">
        <f>Z17/Z11</f>
        <v>0.5577857875070269</v>
      </c>
      <c r="AA18" s="17">
        <f>AA17/AA11</f>
        <v>0.56951769714685141</v>
      </c>
      <c r="AB18" s="11"/>
      <c r="AC18" s="77">
        <f>SUM(AA18-W18)*1000</f>
        <v>17.986072964084943</v>
      </c>
    </row>
    <row r="19" spans="2:29" ht="5.0999999999999996" customHeight="1">
      <c r="B19" s="16"/>
      <c r="C19" s="17"/>
      <c r="D19" s="17"/>
      <c r="E19" s="17"/>
      <c r="F19" s="17"/>
      <c r="G19" s="32"/>
      <c r="H19" s="82"/>
      <c r="I19" s="82"/>
      <c r="J19" s="82"/>
      <c r="K19" s="82"/>
      <c r="L19" s="82"/>
      <c r="M19" s="82"/>
      <c r="N19" s="82"/>
      <c r="O19" s="82"/>
      <c r="P19" s="32"/>
      <c r="Q19" s="82"/>
      <c r="R19" s="82"/>
      <c r="T19" s="32"/>
      <c r="U19" s="32"/>
      <c r="V19" s="32"/>
      <c r="W19" s="32"/>
      <c r="X19" s="32"/>
      <c r="Y19" s="32"/>
      <c r="Z19" s="32"/>
      <c r="AA19" s="32"/>
      <c r="AB19" s="11"/>
      <c r="AC19" s="75"/>
    </row>
    <row r="20" spans="2:29" ht="12.75" customHeight="1">
      <c r="B20" s="9" t="s">
        <v>170</v>
      </c>
      <c r="C20" s="82">
        <v>11</v>
      </c>
      <c r="D20" s="82">
        <v>61</v>
      </c>
      <c r="E20" s="82">
        <v>274</v>
      </c>
      <c r="F20" s="82">
        <v>327</v>
      </c>
      <c r="G20" s="32"/>
      <c r="H20" s="95">
        <v>55</v>
      </c>
      <c r="I20" s="95">
        <v>59</v>
      </c>
      <c r="J20" s="95">
        <v>71</v>
      </c>
      <c r="K20" s="32">
        <f t="shared" ref="K20:K23" si="6">SUM(E20-SUM(H20:J20))</f>
        <v>89</v>
      </c>
      <c r="L20" s="95">
        <v>95</v>
      </c>
      <c r="M20" s="95">
        <v>60</v>
      </c>
      <c r="N20" s="95">
        <v>76</v>
      </c>
      <c r="O20" s="32">
        <f t="shared" ref="O20:O23" si="7">SUM(F20-SUM(L20:N20))</f>
        <v>96</v>
      </c>
      <c r="P20" s="82">
        <v>88</v>
      </c>
      <c r="Q20" s="82">
        <v>70</v>
      </c>
      <c r="R20" s="82">
        <v>81</v>
      </c>
      <c r="T20" s="32">
        <f>SUM(H20:K20)</f>
        <v>274</v>
      </c>
      <c r="U20" s="32">
        <f>SUM(I20:L20)</f>
        <v>314</v>
      </c>
      <c r="V20" s="32">
        <f>SUM(J20:M20)</f>
        <v>315</v>
      </c>
      <c r="W20" s="32">
        <f>SUM(K20:N20)</f>
        <v>320</v>
      </c>
      <c r="X20" s="32">
        <f>SUM(L20:O20)</f>
        <v>327</v>
      </c>
      <c r="Y20" s="32">
        <f>SUM(M20:P20)</f>
        <v>320</v>
      </c>
      <c r="Z20" s="32">
        <f>SUM(N20:Q20)</f>
        <v>330</v>
      </c>
      <c r="AA20" s="32">
        <f>SUM(O20:R20)</f>
        <v>335</v>
      </c>
      <c r="AB20" s="11"/>
      <c r="AC20" s="75">
        <f t="shared" ref="AC20:AC23" si="8">SUM(AA20/W20)-1</f>
        <v>4.6875E-2</v>
      </c>
    </row>
    <row r="21" spans="2:29" ht="12.75" customHeight="1">
      <c r="B21" s="9" t="s">
        <v>189</v>
      </c>
      <c r="C21" s="82">
        <v>645</v>
      </c>
      <c r="D21" s="82">
        <v>-145</v>
      </c>
      <c r="E21" s="82">
        <v>-61</v>
      </c>
      <c r="F21" s="82">
        <v>-29</v>
      </c>
      <c r="G21" s="32"/>
      <c r="H21" s="95">
        <v>-212</v>
      </c>
      <c r="I21" s="95">
        <v>123</v>
      </c>
      <c r="J21" s="95">
        <v>-6</v>
      </c>
      <c r="K21" s="32">
        <f t="shared" si="6"/>
        <v>34</v>
      </c>
      <c r="L21" s="95">
        <v>6</v>
      </c>
      <c r="M21" s="95">
        <v>-13</v>
      </c>
      <c r="N21" s="95">
        <v>-62</v>
      </c>
      <c r="O21" s="32">
        <f t="shared" si="7"/>
        <v>40</v>
      </c>
      <c r="P21" s="82">
        <v>-29</v>
      </c>
      <c r="Q21" s="82">
        <v>4</v>
      </c>
      <c r="R21" s="82">
        <v>41</v>
      </c>
      <c r="T21" s="32">
        <f t="shared" ref="T21:T23" si="9">SUM(H21:K21)</f>
        <v>-61</v>
      </c>
      <c r="U21" s="32">
        <f t="shared" ref="U21:U23" si="10">SUM(I21:L21)</f>
        <v>157</v>
      </c>
      <c r="V21" s="32">
        <f t="shared" ref="V21:V23" si="11">SUM(J21:M21)</f>
        <v>21</v>
      </c>
      <c r="W21" s="32">
        <f t="shared" ref="W21:W23" si="12">SUM(K21:N21)</f>
        <v>-35</v>
      </c>
      <c r="X21" s="32">
        <f t="shared" ref="X21:X23" si="13">SUM(L21:O21)</f>
        <v>-29</v>
      </c>
      <c r="Y21" s="32">
        <f t="shared" ref="Y21:Y23" si="14">SUM(M21:P21)</f>
        <v>-64</v>
      </c>
      <c r="Z21" s="32">
        <f t="shared" ref="Z21:Z23" si="15">SUM(N21:Q21)</f>
        <v>-47</v>
      </c>
      <c r="AA21" s="32">
        <f t="shared" ref="AA21:AA23" si="16">SUM(O21:R21)</f>
        <v>56</v>
      </c>
      <c r="AB21" s="11"/>
      <c r="AC21" s="75">
        <f t="shared" si="8"/>
        <v>-2.6</v>
      </c>
    </row>
    <row r="22" spans="2:29" ht="12.75" customHeight="1">
      <c r="B22" s="9" t="s">
        <v>190</v>
      </c>
      <c r="C22" s="82">
        <v>-431</v>
      </c>
      <c r="D22" s="82">
        <v>-471</v>
      </c>
      <c r="E22" s="82">
        <v>-575</v>
      </c>
      <c r="F22" s="82">
        <v>-646</v>
      </c>
      <c r="G22" s="32"/>
      <c r="H22" s="95">
        <v>-132</v>
      </c>
      <c r="I22" s="95">
        <v>-144</v>
      </c>
      <c r="J22" s="95">
        <v>-151</v>
      </c>
      <c r="K22" s="32">
        <f t="shared" si="6"/>
        <v>-148</v>
      </c>
      <c r="L22" s="95">
        <v>-150</v>
      </c>
      <c r="M22" s="95">
        <v>-153</v>
      </c>
      <c r="N22" s="95">
        <v>-159</v>
      </c>
      <c r="O22" s="32">
        <f t="shared" si="7"/>
        <v>-184</v>
      </c>
      <c r="P22" s="82">
        <v>-182</v>
      </c>
      <c r="Q22" s="82">
        <v>-195</v>
      </c>
      <c r="R22" s="82">
        <v>-186</v>
      </c>
      <c r="T22" s="32">
        <f t="shared" si="9"/>
        <v>-575</v>
      </c>
      <c r="U22" s="32">
        <f t="shared" si="10"/>
        <v>-593</v>
      </c>
      <c r="V22" s="32">
        <f t="shared" si="11"/>
        <v>-602</v>
      </c>
      <c r="W22" s="32">
        <f t="shared" si="12"/>
        <v>-610</v>
      </c>
      <c r="X22" s="32">
        <f t="shared" si="13"/>
        <v>-646</v>
      </c>
      <c r="Y22" s="32">
        <f t="shared" si="14"/>
        <v>-678</v>
      </c>
      <c r="Z22" s="32">
        <f t="shared" si="15"/>
        <v>-720</v>
      </c>
      <c r="AA22" s="32">
        <f t="shared" si="16"/>
        <v>-747</v>
      </c>
      <c r="AB22" s="11"/>
      <c r="AC22" s="75">
        <f t="shared" si="8"/>
        <v>0.22459016393442632</v>
      </c>
    </row>
    <row r="23" spans="2:29" ht="12.75" customHeight="1">
      <c r="B23" s="9" t="s">
        <v>191</v>
      </c>
      <c r="C23" s="82">
        <v>0</v>
      </c>
      <c r="D23" s="82">
        <v>23</v>
      </c>
      <c r="E23" s="82">
        <v>-7</v>
      </c>
      <c r="F23" s="82">
        <v>20</v>
      </c>
      <c r="G23" s="32"/>
      <c r="H23" s="95">
        <v>6</v>
      </c>
      <c r="I23" s="95">
        <v>10</v>
      </c>
      <c r="J23" s="95">
        <v>3</v>
      </c>
      <c r="K23" s="32">
        <f t="shared" si="6"/>
        <v>-26</v>
      </c>
      <c r="L23" s="95">
        <v>3</v>
      </c>
      <c r="M23" s="95">
        <v>9</v>
      </c>
      <c r="N23" s="95">
        <v>7</v>
      </c>
      <c r="O23" s="32">
        <f t="shared" si="7"/>
        <v>1</v>
      </c>
      <c r="P23" s="82">
        <v>5</v>
      </c>
      <c r="Q23" s="82">
        <v>16</v>
      </c>
      <c r="R23" s="82">
        <v>2</v>
      </c>
      <c r="T23" s="32">
        <f t="shared" si="9"/>
        <v>-7</v>
      </c>
      <c r="U23" s="32">
        <f t="shared" si="10"/>
        <v>-10</v>
      </c>
      <c r="V23" s="32">
        <f t="shared" si="11"/>
        <v>-11</v>
      </c>
      <c r="W23" s="32">
        <f t="shared" si="12"/>
        <v>-7</v>
      </c>
      <c r="X23" s="32">
        <f t="shared" si="13"/>
        <v>20</v>
      </c>
      <c r="Y23" s="32">
        <f t="shared" si="14"/>
        <v>22</v>
      </c>
      <c r="Z23" s="32">
        <f t="shared" si="15"/>
        <v>29</v>
      </c>
      <c r="AA23" s="32">
        <f t="shared" si="16"/>
        <v>24</v>
      </c>
      <c r="AB23" s="11"/>
      <c r="AC23" s="75">
        <f t="shared" si="8"/>
        <v>-4.4285714285714288</v>
      </c>
    </row>
    <row r="24" spans="2:29" ht="12.75" customHeight="1">
      <c r="B24" s="25" t="s">
        <v>162</v>
      </c>
      <c r="C24" s="26">
        <f>SUM(C17+SUM(C20:C23))</f>
        <v>10307</v>
      </c>
      <c r="D24" s="26">
        <f>SUM(D17+SUM(D20:D23))</f>
        <v>11732</v>
      </c>
      <c r="E24" s="26">
        <f>SUM(E17+SUM(E20:E23))</f>
        <v>13639</v>
      </c>
      <c r="F24" s="26">
        <f>SUM(F17+SUM(F20:F23))</f>
        <v>15254</v>
      </c>
      <c r="H24" s="26">
        <f>SUM(H17+SUM(H20:H23))</f>
        <v>2853</v>
      </c>
      <c r="I24" s="26">
        <f>SUM(I17+SUM(I20:I23))</f>
        <v>3704</v>
      </c>
      <c r="J24" s="26">
        <f>SUM(J17+SUM(J20:J23))</f>
        <v>3761</v>
      </c>
      <c r="K24" s="26">
        <f>SUM(K17+SUM(K20:K23))</f>
        <v>3321</v>
      </c>
      <c r="L24" s="26">
        <f>SUM(L17+SUM(L20:L23))</f>
        <v>3558</v>
      </c>
      <c r="M24" s="26">
        <f>SUM(M17+SUM(M20:M23))</f>
        <v>3939</v>
      </c>
      <c r="N24" s="26">
        <f>SUM(N17+SUM(N20:N23))</f>
        <v>3866</v>
      </c>
      <c r="O24" s="26">
        <f>SUM(O17+SUM(O20:O23))</f>
        <v>3891</v>
      </c>
      <c r="P24" s="26">
        <f>SUM(P17+SUM(P20:P23))</f>
        <v>4031</v>
      </c>
      <c r="Q24" s="26">
        <f>SUM(Q17+SUM(Q20:Q23))</f>
        <v>4672</v>
      </c>
      <c r="R24" s="26">
        <f>SUM(R17+SUM(R20:R23))</f>
        <v>4999</v>
      </c>
      <c r="T24" s="26">
        <f>SUM(T17+SUM(T20:T23))</f>
        <v>13639</v>
      </c>
      <c r="U24" s="26">
        <f>SUM(U17+SUM(U20:U23))</f>
        <v>14344</v>
      </c>
      <c r="V24" s="26">
        <f>SUM(V17+SUM(V20:V23))</f>
        <v>14579</v>
      </c>
      <c r="W24" s="26">
        <f>SUM(W17+SUM(W20:W23))</f>
        <v>14684</v>
      </c>
      <c r="X24" s="26">
        <f>SUM(X17+SUM(X20:X23))</f>
        <v>15254</v>
      </c>
      <c r="Y24" s="26">
        <f>SUM(Y17+SUM(Y20:Y23))</f>
        <v>15727</v>
      </c>
      <c r="Z24" s="26">
        <f>SUM(Z17+SUM(Z20:Z23))</f>
        <v>16460</v>
      </c>
      <c r="AA24" s="26">
        <f>SUM(AA17+SUM(AA20:AA23))</f>
        <v>17593</v>
      </c>
      <c r="AB24" s="42"/>
      <c r="AC24" s="76">
        <f>SUM(AA24/W24)-1</f>
        <v>0.19810678289294481</v>
      </c>
    </row>
    <row r="25" spans="2:29" ht="12.75" customHeight="1">
      <c r="B25" s="16" t="s">
        <v>163</v>
      </c>
      <c r="C25" s="17">
        <f>C24/C11</f>
        <v>0.54580597331073921</v>
      </c>
      <c r="D25" s="17">
        <f>D24/D11</f>
        <v>0.52758915321311328</v>
      </c>
      <c r="E25" s="17">
        <f>E24/E11</f>
        <v>0.54342975535899274</v>
      </c>
      <c r="F25" s="17">
        <f>F24/F11</f>
        <v>0.54155572123406825</v>
      </c>
      <c r="G25" s="27"/>
      <c r="H25" s="17">
        <f>H24/H11</f>
        <v>0.49634655532359079</v>
      </c>
      <c r="I25" s="17">
        <f>I24/I11</f>
        <v>0.59084383474238311</v>
      </c>
      <c r="J25" s="17">
        <f>J24/J11</f>
        <v>0.57569263737945808</v>
      </c>
      <c r="K25" s="17">
        <f>K24/K11</f>
        <v>0.50717776420281002</v>
      </c>
      <c r="L25" s="17">
        <f>L24/L11</f>
        <v>0.56049149338374293</v>
      </c>
      <c r="M25" s="17">
        <f>M24/M11</f>
        <v>0.56586697313604373</v>
      </c>
      <c r="N25" s="17">
        <f>N24/N11</f>
        <v>0.52463020762654367</v>
      </c>
      <c r="O25" s="17">
        <f>O24/O11</f>
        <v>0.51956202430231002</v>
      </c>
      <c r="P25" s="17">
        <f>P24/P11</f>
        <v>0.55600000000000005</v>
      </c>
      <c r="Q25" s="17">
        <f>Q24/Q11</f>
        <v>0.57444977253166118</v>
      </c>
      <c r="R25" s="17">
        <f>R24/R11</f>
        <v>0.58114392001860038</v>
      </c>
      <c r="S25" s="28"/>
      <c r="T25" s="17">
        <f>T24/T11</f>
        <v>0.54342975535899274</v>
      </c>
      <c r="U25" s="17">
        <f>U24/U11</f>
        <v>0.55817573352011829</v>
      </c>
      <c r="V25" s="17">
        <f>V24/V11</f>
        <v>0.55244410761652141</v>
      </c>
      <c r="W25" s="17">
        <f>W24/W11</f>
        <v>0.53933739807536918</v>
      </c>
      <c r="X25" s="17">
        <f>X24/X11</f>
        <v>0.54155572123406825</v>
      </c>
      <c r="Y25" s="17">
        <f>Y24/Y11</f>
        <v>0.5410230830093915</v>
      </c>
      <c r="Z25" s="17">
        <f>Z24/Z11</f>
        <v>0.54429417016633053</v>
      </c>
      <c r="AA25" s="17">
        <f>AA24/AA11</f>
        <v>0.55896930800025413</v>
      </c>
      <c r="AB25" s="43"/>
      <c r="AC25" s="77">
        <f>SUM(AA25-W25)*1000</f>
        <v>19.631909924884951</v>
      </c>
    </row>
    <row r="26" spans="2:29" ht="5.0999999999999996" customHeight="1">
      <c r="B26" s="16"/>
      <c r="C26" s="17"/>
      <c r="D26" s="17"/>
      <c r="E26" s="17"/>
      <c r="F26" s="17"/>
      <c r="G26" s="2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28"/>
      <c r="T26" s="17"/>
      <c r="U26" s="17"/>
      <c r="V26" s="17"/>
      <c r="W26" s="17"/>
      <c r="X26" s="17"/>
      <c r="Y26" s="17"/>
      <c r="Z26" s="17"/>
      <c r="AA26" s="17"/>
      <c r="AB26" s="43"/>
      <c r="AC26" s="77"/>
    </row>
    <row r="27" spans="2:29" ht="12.75" customHeight="1">
      <c r="B27" s="9" t="s">
        <v>104</v>
      </c>
      <c r="C27" s="82">
        <v>-1620</v>
      </c>
      <c r="D27" s="82">
        <v>-1802</v>
      </c>
      <c r="E27" s="82">
        <v>-2444</v>
      </c>
      <c r="F27" s="82">
        <v>-2380</v>
      </c>
      <c r="G27" s="32"/>
      <c r="H27" s="82">
        <v>-492</v>
      </c>
      <c r="I27" s="82">
        <v>-859</v>
      </c>
      <c r="J27" s="82">
        <v>-563</v>
      </c>
      <c r="K27" s="32">
        <f t="shared" ref="K27" si="17">SUM(E27-SUM(H27:J27))</f>
        <v>-530</v>
      </c>
      <c r="L27" s="82">
        <v>-547</v>
      </c>
      <c r="M27" s="82">
        <v>-681</v>
      </c>
      <c r="N27" s="82">
        <v>-603</v>
      </c>
      <c r="O27" s="32">
        <f t="shared" ref="O27" si="18">SUM(F27-SUM(L27:N27))</f>
        <v>-549</v>
      </c>
      <c r="P27" s="82">
        <v>-751</v>
      </c>
      <c r="Q27" s="82">
        <v>-971</v>
      </c>
      <c r="R27" s="82">
        <v>-1072</v>
      </c>
      <c r="T27" s="32">
        <f>SUM(H27:K27)</f>
        <v>-2444</v>
      </c>
      <c r="U27" s="32">
        <f>SUM(I27:L27)</f>
        <v>-2499</v>
      </c>
      <c r="V27" s="32">
        <f>SUM(J27:M27)</f>
        <v>-2321</v>
      </c>
      <c r="W27" s="32">
        <f>SUM(K27:N27)</f>
        <v>-2361</v>
      </c>
      <c r="X27" s="32">
        <f>SUM(L27:O27)</f>
        <v>-2380</v>
      </c>
      <c r="Y27" s="32">
        <f>SUM(M27:P27)</f>
        <v>-2584</v>
      </c>
      <c r="Z27" s="32">
        <f>SUM(N27:Q27)</f>
        <v>-2874</v>
      </c>
      <c r="AA27" s="32">
        <f>SUM(O27:R27)</f>
        <v>-3343</v>
      </c>
      <c r="AB27" s="11"/>
      <c r="AC27" s="75">
        <f>SUM(AA27/W27)-1</f>
        <v>0.41592545531554426</v>
      </c>
    </row>
    <row r="28" spans="2:29" ht="12.75" customHeight="1">
      <c r="B28" s="13" t="s">
        <v>105</v>
      </c>
      <c r="C28" s="14">
        <f>SUM(C24+SUM(C27:C27))</f>
        <v>8687</v>
      </c>
      <c r="D28" s="14">
        <f>SUM(D24+SUM(D27:D27))</f>
        <v>9930</v>
      </c>
      <c r="E28" s="14">
        <f>SUM(E24+SUM(E27:E27))</f>
        <v>11195</v>
      </c>
      <c r="F28" s="14">
        <f>SUM(F24+SUM(F27:F27))</f>
        <v>12874</v>
      </c>
      <c r="G28" s="11"/>
      <c r="H28" s="14">
        <f>SUM(H24+SUM(H27:H27))</f>
        <v>2361</v>
      </c>
      <c r="I28" s="14">
        <f>SUM(I24+SUM(I27:I27))</f>
        <v>2845</v>
      </c>
      <c r="J28" s="14">
        <f>SUM(J24+SUM(J27:J27))</f>
        <v>3198</v>
      </c>
      <c r="K28" s="14">
        <f>SUM(K24+SUM(K27:K27))</f>
        <v>2791</v>
      </c>
      <c r="L28" s="14">
        <f>SUM(L24+SUM(L27:L27))</f>
        <v>3011</v>
      </c>
      <c r="M28" s="14">
        <f>SUM(M24+SUM(M27:M27))</f>
        <v>3258</v>
      </c>
      <c r="N28" s="14">
        <f>SUM(N24+SUM(N27:N27))</f>
        <v>3263</v>
      </c>
      <c r="O28" s="14">
        <f>SUM(O24+SUM(O27:O27))</f>
        <v>3342</v>
      </c>
      <c r="P28" s="14">
        <f>SUM(P24+SUM(P27:P27))</f>
        <v>3280</v>
      </c>
      <c r="Q28" s="14">
        <f>SUM(Q24+SUM(Q27:Q27))</f>
        <v>3701</v>
      </c>
      <c r="R28" s="14">
        <f>SUM(R24+SUM(R27:R27))</f>
        <v>3927</v>
      </c>
      <c r="S28" s="32"/>
      <c r="T28" s="14">
        <f>SUM(T24+SUM(T27:T27))</f>
        <v>11195</v>
      </c>
      <c r="U28" s="14">
        <f>SUM(U24+SUM(U27:U27))</f>
        <v>11845</v>
      </c>
      <c r="V28" s="14">
        <f>SUM(V24+SUM(V27:V27))</f>
        <v>12258</v>
      </c>
      <c r="W28" s="14">
        <f>SUM(W24+SUM(W27:W27))</f>
        <v>12323</v>
      </c>
      <c r="X28" s="14">
        <f>SUM(X24+SUM(X27:X27))</f>
        <v>12874</v>
      </c>
      <c r="Y28" s="14">
        <f>SUM(Y24+SUM(Y27:Y27))</f>
        <v>13143</v>
      </c>
      <c r="Z28" s="14">
        <f>SUM(Z24+SUM(Z27:Z27))</f>
        <v>13586</v>
      </c>
      <c r="AA28" s="14">
        <f>SUM(AA24+SUM(AA27:AA27))</f>
        <v>14250</v>
      </c>
      <c r="AB28" s="36"/>
      <c r="AC28" s="76">
        <f>SUM(AA28/W28)-1</f>
        <v>0.15637425951472861</v>
      </c>
    </row>
    <row r="29" spans="2:29" ht="12.75" customHeight="1">
      <c r="B29" s="16" t="s">
        <v>103</v>
      </c>
      <c r="C29" s="17">
        <f>C28/C11</f>
        <v>0.46001906375767848</v>
      </c>
      <c r="D29" s="17">
        <f>D28/D11</f>
        <v>0.44655304222691911</v>
      </c>
      <c r="E29" s="17">
        <f>E28/E11</f>
        <v>0.44605147820543467</v>
      </c>
      <c r="F29" s="17">
        <f>F28/F11</f>
        <v>0.45705967976710332</v>
      </c>
      <c r="G29" s="27"/>
      <c r="H29" s="17">
        <f>H28/H11</f>
        <v>0.41075156576200417</v>
      </c>
      <c r="I29" s="17">
        <f>I28/I11</f>
        <v>0.45382038602647951</v>
      </c>
      <c r="J29" s="17">
        <f>J28/J11</f>
        <v>0.48951477116179398</v>
      </c>
      <c r="K29" s="17">
        <f>K28/K11</f>
        <v>0.42623701893708005</v>
      </c>
      <c r="L29" s="17">
        <f>L28/L11</f>
        <v>0.47432262129804664</v>
      </c>
      <c r="M29" s="17">
        <f>M28/M11</f>
        <v>0.46803620169515875</v>
      </c>
      <c r="N29" s="17">
        <f>N28/N11</f>
        <v>0.44280092278463834</v>
      </c>
      <c r="O29" s="17">
        <f>O28/O11</f>
        <v>0.44625450660969423</v>
      </c>
      <c r="P29" s="17">
        <f>P28/P11</f>
        <v>0.45241379310344826</v>
      </c>
      <c r="Q29" s="17">
        <f>Q28/Q11</f>
        <v>0.45505963359154061</v>
      </c>
      <c r="R29" s="17">
        <f>R28/R11</f>
        <v>0.45652173913043476</v>
      </c>
      <c r="S29" s="28"/>
      <c r="T29" s="17">
        <f>T28/T11</f>
        <v>0.44605147820543467</v>
      </c>
      <c r="U29" s="17">
        <f>U28/U11</f>
        <v>0.46093081173632189</v>
      </c>
      <c r="V29" s="17">
        <f>V28/V11</f>
        <v>0.46449412656309208</v>
      </c>
      <c r="W29" s="17">
        <f>W28/W11</f>
        <v>0.45261882024535371</v>
      </c>
      <c r="X29" s="17">
        <f>X28/X11</f>
        <v>0.45705967976710332</v>
      </c>
      <c r="Y29" s="17">
        <f>Y28/Y11</f>
        <v>0.4521311362619973</v>
      </c>
      <c r="Z29" s="17">
        <f>Z28/Z11</f>
        <v>0.44925763036936611</v>
      </c>
      <c r="AA29" s="17">
        <f>AA28/AA11</f>
        <v>0.45275465463557224</v>
      </c>
      <c r="AB29" s="43"/>
      <c r="AC29" s="77">
        <f>SUM(AA29-W29)*1000</f>
        <v>0.1358343902185255</v>
      </c>
    </row>
    <row r="30" spans="2:29" ht="5.0999999999999996" customHeight="1">
      <c r="B30" s="16"/>
      <c r="C30" s="17"/>
      <c r="D30" s="17"/>
      <c r="E30" s="17"/>
      <c r="F30" s="17"/>
      <c r="G30" s="2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28"/>
      <c r="T30" s="17"/>
      <c r="U30" s="17"/>
      <c r="V30" s="17"/>
      <c r="W30" s="17"/>
      <c r="X30" s="17"/>
      <c r="Y30" s="17"/>
      <c r="Z30" s="17"/>
      <c r="AA30" s="17"/>
      <c r="AB30" s="43"/>
      <c r="AC30" s="77"/>
    </row>
    <row r="31" spans="2:29" ht="12.75" customHeight="1">
      <c r="B31" s="44" t="s">
        <v>84</v>
      </c>
      <c r="C31" s="82"/>
      <c r="D31" s="82"/>
      <c r="E31" s="82"/>
      <c r="F31" s="82"/>
      <c r="G31" s="27"/>
      <c r="H31" s="82"/>
      <c r="I31" s="82"/>
      <c r="J31" s="82"/>
      <c r="K31" s="32">
        <f>E31</f>
        <v>0</v>
      </c>
      <c r="L31" s="82"/>
      <c r="M31" s="82"/>
      <c r="N31" s="82"/>
      <c r="O31" s="32">
        <f>F31</f>
        <v>0</v>
      </c>
      <c r="P31" s="82"/>
      <c r="Q31" s="82"/>
      <c r="R31" s="82"/>
      <c r="S31" s="132"/>
      <c r="T31" s="32">
        <f>K31</f>
        <v>0</v>
      </c>
      <c r="U31" s="32">
        <f>L31</f>
        <v>0</v>
      </c>
      <c r="V31" s="32">
        <f>M31</f>
        <v>0</v>
      </c>
      <c r="W31" s="32">
        <f>N31</f>
        <v>0</v>
      </c>
      <c r="X31" s="32">
        <f>O31</f>
        <v>0</v>
      </c>
      <c r="Y31" s="32">
        <f>P31</f>
        <v>0</v>
      </c>
      <c r="Z31" s="32">
        <f>Q31</f>
        <v>0</v>
      </c>
      <c r="AA31" s="32">
        <f>R31</f>
        <v>0</v>
      </c>
      <c r="AB31" s="43"/>
      <c r="AC31" s="75" t="e">
        <f>SUM(AA31/W31)-1</f>
        <v>#DIV/0!</v>
      </c>
    </row>
    <row r="32" spans="2:29" ht="12.75" customHeight="1">
      <c r="B32" s="13" t="s">
        <v>62</v>
      </c>
      <c r="C32" s="144" t="e">
        <f>C28/C31</f>
        <v>#DIV/0!</v>
      </c>
      <c r="D32" s="144" t="e">
        <f>D28/D31</f>
        <v>#DIV/0!</v>
      </c>
      <c r="E32" s="144" t="e">
        <f>E28/E31</f>
        <v>#DIV/0!</v>
      </c>
      <c r="F32" s="144" t="e">
        <f>F28/F31</f>
        <v>#DIV/0!</v>
      </c>
      <c r="G32" s="27"/>
      <c r="H32" s="144" t="e">
        <f>H28/H31</f>
        <v>#DIV/0!</v>
      </c>
      <c r="I32" s="144" t="e">
        <f>I28/I31</f>
        <v>#DIV/0!</v>
      </c>
      <c r="J32" s="144" t="e">
        <f>J28/J31</f>
        <v>#DIV/0!</v>
      </c>
      <c r="K32" s="144" t="e">
        <f>K28/K31</f>
        <v>#DIV/0!</v>
      </c>
      <c r="L32" s="144" t="e">
        <f>L28/L31</f>
        <v>#DIV/0!</v>
      </c>
      <c r="M32" s="144" t="e">
        <f>M28/M31</f>
        <v>#DIV/0!</v>
      </c>
      <c r="N32" s="144" t="e">
        <f>N28/N31</f>
        <v>#DIV/0!</v>
      </c>
      <c r="O32" s="144" t="e">
        <f>O28/O31</f>
        <v>#DIV/0!</v>
      </c>
      <c r="P32" s="144" t="e">
        <f>P28/P31</f>
        <v>#DIV/0!</v>
      </c>
      <c r="Q32" s="144" t="e">
        <f>Q28/Q31</f>
        <v>#DIV/0!</v>
      </c>
      <c r="R32" s="144" t="e">
        <f>R28/R31</f>
        <v>#DIV/0!</v>
      </c>
      <c r="S32" s="132"/>
      <c r="T32" s="144" t="e">
        <f>T28/T31</f>
        <v>#DIV/0!</v>
      </c>
      <c r="U32" s="144" t="e">
        <f>U28/U31</f>
        <v>#DIV/0!</v>
      </c>
      <c r="V32" s="144" t="e">
        <f>V28/V31</f>
        <v>#DIV/0!</v>
      </c>
      <c r="W32" s="144" t="e">
        <f>W28/W31</f>
        <v>#DIV/0!</v>
      </c>
      <c r="X32" s="144" t="e">
        <f>X28/X31</f>
        <v>#DIV/0!</v>
      </c>
      <c r="Y32" s="144" t="e">
        <f>Y28/Y31</f>
        <v>#DIV/0!</v>
      </c>
      <c r="Z32" s="144" t="e">
        <f>Z28/Z31</f>
        <v>#DIV/0!</v>
      </c>
      <c r="AA32" s="144" t="e">
        <f>AA28/AA31</f>
        <v>#DIV/0!</v>
      </c>
      <c r="AB32" s="43"/>
      <c r="AC32" s="76" t="e">
        <f>SUM(AA32/W32)-1</f>
        <v>#DIV/0!</v>
      </c>
    </row>
    <row r="33" spans="1:29" ht="12.75" customHeight="1">
      <c r="B33" s="25"/>
      <c r="C33" s="48"/>
      <c r="D33" s="48"/>
      <c r="E33" s="48"/>
      <c r="F33" s="48"/>
      <c r="G33" s="143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132"/>
      <c r="T33" s="132"/>
      <c r="U33" s="132"/>
      <c r="V33" s="132"/>
      <c r="W33" s="48"/>
      <c r="X33" s="132"/>
      <c r="Y33" s="132"/>
      <c r="Z33" s="132"/>
      <c r="AA33" s="132"/>
      <c r="AB33" s="43"/>
      <c r="AC33" s="75"/>
    </row>
    <row r="34" spans="1:29" ht="12.75" customHeight="1">
      <c r="B34" s="44" t="s">
        <v>63</v>
      </c>
      <c r="C34" s="82"/>
      <c r="D34" s="82"/>
      <c r="E34" s="82"/>
      <c r="F34" s="82"/>
      <c r="G34" s="143"/>
      <c r="H34" s="82"/>
      <c r="I34" s="82"/>
      <c r="J34" s="82"/>
      <c r="K34" s="82"/>
      <c r="L34" s="82"/>
      <c r="M34" s="82"/>
      <c r="N34" s="82"/>
      <c r="O34" s="82"/>
      <c r="P34" s="82"/>
      <c r="Q34" s="82"/>
      <c r="R34" s="82"/>
      <c r="S34" s="132"/>
      <c r="T34" s="32">
        <f>K34</f>
        <v>0</v>
      </c>
      <c r="U34" s="32">
        <f>L34</f>
        <v>0</v>
      </c>
      <c r="V34" s="32">
        <f>M34</f>
        <v>0</v>
      </c>
      <c r="W34" s="32">
        <f>N34</f>
        <v>0</v>
      </c>
      <c r="X34" s="32">
        <f>O34</f>
        <v>0</v>
      </c>
      <c r="Y34" s="32">
        <f>P34</f>
        <v>0</v>
      </c>
      <c r="Z34" s="32">
        <f>Q34</f>
        <v>0</v>
      </c>
      <c r="AA34" s="32">
        <f>R34</f>
        <v>0</v>
      </c>
      <c r="AB34" s="43"/>
      <c r="AC34" s="75" t="e">
        <f>SUM(AA34/W34)-1</f>
        <v>#DIV/0!</v>
      </c>
    </row>
    <row r="35" spans="1:29" ht="12.75" customHeight="1">
      <c r="B35" s="13" t="s">
        <v>83</v>
      </c>
      <c r="C35" s="144" t="e">
        <f>C28/C34</f>
        <v>#DIV/0!</v>
      </c>
      <c r="D35" s="144" t="e">
        <f>D28/D34</f>
        <v>#DIV/0!</v>
      </c>
      <c r="E35" s="144" t="e">
        <f>E28/E34</f>
        <v>#DIV/0!</v>
      </c>
      <c r="F35" s="144" t="e">
        <f>F28/F34</f>
        <v>#DIV/0!</v>
      </c>
      <c r="G35" s="27"/>
      <c r="H35" s="144" t="e">
        <f>H28/H34</f>
        <v>#DIV/0!</v>
      </c>
      <c r="I35" s="144" t="e">
        <f>I28/I34</f>
        <v>#DIV/0!</v>
      </c>
      <c r="J35" s="144" t="e">
        <f>J28/J34</f>
        <v>#DIV/0!</v>
      </c>
      <c r="K35" s="144" t="e">
        <f>K28/K34</f>
        <v>#DIV/0!</v>
      </c>
      <c r="L35" s="144" t="e">
        <f>L28/L34</f>
        <v>#DIV/0!</v>
      </c>
      <c r="M35" s="144" t="e">
        <f>M28/M34</f>
        <v>#DIV/0!</v>
      </c>
      <c r="N35" s="144" t="e">
        <f>N28/N34</f>
        <v>#DIV/0!</v>
      </c>
      <c r="O35" s="144" t="e">
        <f>O28/O34</f>
        <v>#DIV/0!</v>
      </c>
      <c r="P35" s="144" t="e">
        <f>P28/P34</f>
        <v>#DIV/0!</v>
      </c>
      <c r="Q35" s="144" t="e">
        <f>Q28/Q34</f>
        <v>#DIV/0!</v>
      </c>
      <c r="R35" s="144" t="e">
        <f>R28/R34</f>
        <v>#DIV/0!</v>
      </c>
      <c r="S35" s="132"/>
      <c r="T35" s="144" t="e">
        <f>T28/T34</f>
        <v>#DIV/0!</v>
      </c>
      <c r="U35" s="144" t="e">
        <f>U28/U34</f>
        <v>#DIV/0!</v>
      </c>
      <c r="V35" s="144" t="e">
        <f>V28/V34</f>
        <v>#DIV/0!</v>
      </c>
      <c r="W35" s="144" t="e">
        <f>W28/W34</f>
        <v>#DIV/0!</v>
      </c>
      <c r="X35" s="144" t="e">
        <f>X28/X34</f>
        <v>#DIV/0!</v>
      </c>
      <c r="Y35" s="144" t="e">
        <f>Y28/Y34</f>
        <v>#DIV/0!</v>
      </c>
      <c r="Z35" s="144" t="e">
        <f>Z28/Z34</f>
        <v>#DIV/0!</v>
      </c>
      <c r="AA35" s="144" t="e">
        <f>AA28/AA34</f>
        <v>#DIV/0!</v>
      </c>
      <c r="AB35" s="43"/>
      <c r="AC35" s="76" t="e">
        <f>SUM(AA35/W35)-1</f>
        <v>#DIV/0!</v>
      </c>
    </row>
    <row r="36" spans="1:29">
      <c r="B36" s="16"/>
      <c r="C36" s="17"/>
      <c r="D36" s="17"/>
      <c r="E36" s="17"/>
      <c r="F36" s="17"/>
      <c r="G36" s="2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28"/>
      <c r="T36" s="17"/>
      <c r="U36" s="17"/>
      <c r="V36" s="17"/>
      <c r="W36" s="17"/>
      <c r="X36" s="17"/>
      <c r="Y36" s="17"/>
      <c r="Z36" s="17"/>
      <c r="AA36" s="17"/>
      <c r="AB36" s="43"/>
    </row>
    <row r="37" spans="1:29" ht="12.75" customHeight="1">
      <c r="A37" s="5" t="s">
        <v>16</v>
      </c>
      <c r="B37" s="106" t="s">
        <v>73</v>
      </c>
      <c r="C37" s="107"/>
      <c r="D37" s="107"/>
      <c r="E37" s="107"/>
      <c r="F37" s="107"/>
      <c r="G37" s="108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6"/>
      <c r="T37" s="107"/>
      <c r="U37" s="107"/>
      <c r="V37" s="107" t="s">
        <v>10</v>
      </c>
      <c r="W37" s="107"/>
      <c r="X37" s="107"/>
      <c r="Y37" s="107"/>
      <c r="Z37" s="107"/>
      <c r="AA37" s="107"/>
      <c r="AB37" s="108"/>
      <c r="AC37" s="153" t="s">
        <v>22</v>
      </c>
    </row>
    <row r="38" spans="1:29" ht="12.75" customHeight="1">
      <c r="B38" s="110" t="str">
        <f>B7</f>
        <v>Fiscal Period</v>
      </c>
      <c r="C38" s="109">
        <f>C7</f>
        <v>2021</v>
      </c>
      <c r="D38" s="109">
        <f>D7</f>
        <v>2022</v>
      </c>
      <c r="E38" s="109">
        <f>E7</f>
        <v>2023</v>
      </c>
      <c r="F38" s="109">
        <f>F7</f>
        <v>2024</v>
      </c>
      <c r="G38" s="108"/>
      <c r="H38" s="109" t="str">
        <f>H7</f>
        <v>1Q23</v>
      </c>
      <c r="I38" s="109" t="str">
        <f>I7</f>
        <v>2Q23</v>
      </c>
      <c r="J38" s="109" t="str">
        <f>J7</f>
        <v>3Q23</v>
      </c>
      <c r="K38" s="109" t="str">
        <f>K7</f>
        <v>4Q23</v>
      </c>
      <c r="L38" s="109" t="str">
        <f>L7</f>
        <v>1Q24</v>
      </c>
      <c r="M38" s="109" t="str">
        <f>M7</f>
        <v>2Q24</v>
      </c>
      <c r="N38" s="109" t="str">
        <f>N7</f>
        <v>3Q24</v>
      </c>
      <c r="O38" s="109" t="str">
        <f>O7</f>
        <v>4Q24</v>
      </c>
      <c r="P38" s="109" t="str">
        <f>P7</f>
        <v>1Q25</v>
      </c>
      <c r="Q38" s="109" t="str">
        <f>Q7</f>
        <v>2Q25</v>
      </c>
      <c r="R38" s="109" t="str">
        <f>R7</f>
        <v>3Q25</v>
      </c>
      <c r="S38" s="111"/>
      <c r="T38" s="109" t="str">
        <f>T7</f>
        <v>4Q23</v>
      </c>
      <c r="U38" s="109" t="str">
        <f>U7</f>
        <v>1Q24</v>
      </c>
      <c r="V38" s="109" t="str">
        <f>V7</f>
        <v>2Q24</v>
      </c>
      <c r="W38" s="109" t="str">
        <f>W7</f>
        <v>3Q24</v>
      </c>
      <c r="X38" s="109" t="str">
        <f>X7</f>
        <v>4Q24</v>
      </c>
      <c r="Y38" s="109" t="str">
        <f>Y7</f>
        <v>1Q25</v>
      </c>
      <c r="Z38" s="109" t="str">
        <f>Z7</f>
        <v>2Q25</v>
      </c>
      <c r="AA38" s="109" t="str">
        <f>AA7</f>
        <v>3Q25</v>
      </c>
      <c r="AB38" s="108"/>
      <c r="AC38" s="153"/>
    </row>
    <row r="39" spans="1:29" ht="12.75" customHeight="1">
      <c r="B39" s="110" t="str">
        <f>B8</f>
        <v>Fiscal Period End Date</v>
      </c>
      <c r="C39" s="112">
        <f>C8</f>
        <v>0</v>
      </c>
      <c r="D39" s="112">
        <f>D8</f>
        <v>0</v>
      </c>
      <c r="E39" s="112">
        <f>E8</f>
        <v>0</v>
      </c>
      <c r="F39" s="112">
        <f>F8</f>
        <v>0</v>
      </c>
      <c r="G39" s="108"/>
      <c r="H39" s="112">
        <f>H8</f>
        <v>0</v>
      </c>
      <c r="I39" s="112">
        <f>I8</f>
        <v>0</v>
      </c>
      <c r="J39" s="112">
        <f>J8</f>
        <v>0</v>
      </c>
      <c r="K39" s="112">
        <f>K8</f>
        <v>0</v>
      </c>
      <c r="L39" s="112">
        <f>L8</f>
        <v>0</v>
      </c>
      <c r="M39" s="112">
        <f>M8</f>
        <v>0</v>
      </c>
      <c r="N39" s="112">
        <f>N8</f>
        <v>0</v>
      </c>
      <c r="O39" s="112">
        <f>O8</f>
        <v>0</v>
      </c>
      <c r="P39" s="112">
        <f>P8</f>
        <v>0</v>
      </c>
      <c r="Q39" s="112">
        <f>Q8</f>
        <v>0</v>
      </c>
      <c r="R39" s="112">
        <f>R8</f>
        <v>0</v>
      </c>
      <c r="S39" s="113"/>
      <c r="T39" s="112">
        <f>T8</f>
        <v>0</v>
      </c>
      <c r="U39" s="112">
        <f>U8</f>
        <v>0</v>
      </c>
      <c r="V39" s="112">
        <f>V8</f>
        <v>0</v>
      </c>
      <c r="W39" s="112">
        <f>W8</f>
        <v>0</v>
      </c>
      <c r="X39" s="112">
        <f>X8</f>
        <v>0</v>
      </c>
      <c r="Y39" s="112">
        <f>Y8</f>
        <v>0</v>
      </c>
      <c r="Z39" s="112">
        <f>Z8</f>
        <v>0</v>
      </c>
      <c r="AA39" s="112">
        <f>AA8</f>
        <v>0</v>
      </c>
      <c r="AB39" s="108"/>
      <c r="AC39" s="153"/>
    </row>
    <row r="40" spans="1:29" ht="5.0999999999999996" customHeight="1">
      <c r="B40" s="46"/>
      <c r="C40" s="47"/>
      <c r="D40" s="47"/>
      <c r="E40" s="47"/>
      <c r="F40" s="47"/>
    </row>
    <row r="41" spans="1:29">
      <c r="B41" s="78" t="s">
        <v>78</v>
      </c>
      <c r="C41" s="47"/>
      <c r="D41" s="47"/>
      <c r="E41" s="47"/>
      <c r="F41" s="47"/>
    </row>
    <row r="42" spans="1:29" s="122" customFormat="1" ht="12.75" customHeight="1">
      <c r="B42" s="114" t="s">
        <v>152</v>
      </c>
      <c r="C42" s="123">
        <v>7421</v>
      </c>
      <c r="D42" s="123">
        <v>7008</v>
      </c>
      <c r="E42" s="123">
        <v>8588</v>
      </c>
      <c r="F42" s="123">
        <v>8442</v>
      </c>
      <c r="H42" s="82">
        <v>6566</v>
      </c>
      <c r="I42" s="82">
        <v>6170</v>
      </c>
      <c r="J42" s="82">
        <v>6890</v>
      </c>
      <c r="K42" s="32">
        <f t="shared" ref="K42:K48" si="19">E42</f>
        <v>8588</v>
      </c>
      <c r="L42" s="82">
        <v>7293</v>
      </c>
      <c r="M42" s="82">
        <v>6996</v>
      </c>
      <c r="N42" s="82">
        <v>11063</v>
      </c>
      <c r="O42" s="32">
        <f t="shared" ref="O42:O48" si="20">F42</f>
        <v>8442</v>
      </c>
      <c r="P42" s="82">
        <v>7575</v>
      </c>
      <c r="Q42" s="82">
        <v>9031</v>
      </c>
      <c r="R42" s="82">
        <v>10313</v>
      </c>
      <c r="T42" s="96">
        <f>K42</f>
        <v>8588</v>
      </c>
      <c r="U42" s="96">
        <f>L42</f>
        <v>7293</v>
      </c>
      <c r="V42" s="96">
        <f>M42</f>
        <v>6996</v>
      </c>
      <c r="W42" s="96">
        <f>N42</f>
        <v>11063</v>
      </c>
      <c r="X42" s="96">
        <f>O42</f>
        <v>8442</v>
      </c>
      <c r="Y42" s="96">
        <f>P42</f>
        <v>7575</v>
      </c>
      <c r="Z42" s="96">
        <f>Q42</f>
        <v>9031</v>
      </c>
      <c r="AA42" s="96">
        <f>R42</f>
        <v>10313</v>
      </c>
      <c r="AB42" s="124"/>
      <c r="AC42" s="75">
        <f>SUM(AA42/W42)-1</f>
        <v>-6.7793546054415565E-2</v>
      </c>
    </row>
    <row r="43" spans="1:29" s="122" customFormat="1" ht="12.75" customHeight="1">
      <c r="B43" s="114" t="s">
        <v>175</v>
      </c>
      <c r="C43" s="123">
        <v>586</v>
      </c>
      <c r="D43" s="123">
        <v>589</v>
      </c>
      <c r="E43" s="123">
        <v>32</v>
      </c>
      <c r="F43" s="123">
        <v>492</v>
      </c>
      <c r="H43" s="82">
        <v>596</v>
      </c>
      <c r="I43" s="82">
        <v>598</v>
      </c>
      <c r="J43" s="82">
        <v>0</v>
      </c>
      <c r="K43" s="32">
        <f t="shared" si="19"/>
        <v>32</v>
      </c>
      <c r="L43" s="82">
        <v>0</v>
      </c>
      <c r="M43" s="82">
        <v>0</v>
      </c>
      <c r="N43" s="82">
        <v>0</v>
      </c>
      <c r="O43" s="32">
        <f t="shared" si="20"/>
        <v>492</v>
      </c>
      <c r="P43" s="82">
        <v>507</v>
      </c>
      <c r="Q43" s="82">
        <v>542</v>
      </c>
      <c r="R43" s="82">
        <v>478</v>
      </c>
      <c r="T43" s="96">
        <f t="shared" ref="T43:T44" si="21">K43</f>
        <v>32</v>
      </c>
      <c r="U43" s="96">
        <f t="shared" ref="U43:U44" si="22">L43</f>
        <v>0</v>
      </c>
      <c r="V43" s="96">
        <f t="shared" ref="V43:V44" si="23">M43</f>
        <v>0</v>
      </c>
      <c r="W43" s="96">
        <f t="shared" ref="W43:W44" si="24">N43</f>
        <v>0</v>
      </c>
      <c r="X43" s="96">
        <f t="shared" ref="X43:X44" si="25">O43</f>
        <v>492</v>
      </c>
      <c r="Y43" s="96">
        <f t="shared" ref="Y43:Y44" si="26">P43</f>
        <v>507</v>
      </c>
      <c r="Z43" s="96">
        <f t="shared" ref="Z43:Z44" si="27">Q43</f>
        <v>542</v>
      </c>
      <c r="AA43" s="96">
        <f t="shared" ref="AA43:AA44" si="28">R43</f>
        <v>478</v>
      </c>
      <c r="AB43" s="124"/>
      <c r="AC43" s="75" t="e">
        <f t="shared" ref="AC43:AC44" si="29">SUM(AA43/W43)-1</f>
        <v>#DIV/0!</v>
      </c>
    </row>
    <row r="44" spans="1:29" s="122" customFormat="1" ht="12.75" customHeight="1">
      <c r="B44" s="114" t="s">
        <v>176</v>
      </c>
      <c r="C44" s="123">
        <v>473</v>
      </c>
      <c r="D44" s="123">
        <v>1568</v>
      </c>
      <c r="E44" s="123">
        <v>1845</v>
      </c>
      <c r="F44" s="123">
        <v>1874</v>
      </c>
      <c r="H44" s="82">
        <v>402</v>
      </c>
      <c r="I44" s="82">
        <v>344</v>
      </c>
      <c r="J44" s="82">
        <v>2624</v>
      </c>
      <c r="K44" s="32">
        <f t="shared" si="19"/>
        <v>1845</v>
      </c>
      <c r="L44" s="82">
        <v>1861</v>
      </c>
      <c r="M44" s="82">
        <v>1772</v>
      </c>
      <c r="N44" s="82">
        <v>1868</v>
      </c>
      <c r="O44" s="32">
        <f t="shared" si="20"/>
        <v>1874</v>
      </c>
      <c r="P44" s="82">
        <v>1900</v>
      </c>
      <c r="Q44" s="82">
        <v>1999</v>
      </c>
      <c r="R44" s="82">
        <v>2054</v>
      </c>
      <c r="T44" s="96">
        <f t="shared" si="21"/>
        <v>1845</v>
      </c>
      <c r="U44" s="96">
        <f t="shared" si="22"/>
        <v>1861</v>
      </c>
      <c r="V44" s="96">
        <f t="shared" si="23"/>
        <v>1772</v>
      </c>
      <c r="W44" s="96">
        <f t="shared" si="24"/>
        <v>1868</v>
      </c>
      <c r="X44" s="96">
        <f t="shared" si="25"/>
        <v>1874</v>
      </c>
      <c r="Y44" s="96">
        <f t="shared" si="26"/>
        <v>1900</v>
      </c>
      <c r="Z44" s="96">
        <f t="shared" si="27"/>
        <v>1999</v>
      </c>
      <c r="AA44" s="96">
        <f t="shared" si="28"/>
        <v>2054</v>
      </c>
      <c r="AB44" s="124"/>
      <c r="AC44" s="75">
        <f t="shared" si="29"/>
        <v>9.9571734475374818E-2</v>
      </c>
    </row>
    <row r="45" spans="1:29" s="122" customFormat="1" ht="12.75" customHeight="1">
      <c r="B45" s="114" t="s">
        <v>171</v>
      </c>
      <c r="C45" s="123">
        <v>3006</v>
      </c>
      <c r="D45" s="123">
        <v>400</v>
      </c>
      <c r="E45" s="123">
        <v>592</v>
      </c>
      <c r="F45" s="123">
        <v>330</v>
      </c>
      <c r="H45" s="82">
        <v>3511</v>
      </c>
      <c r="I45" s="82">
        <v>3763</v>
      </c>
      <c r="J45" s="82">
        <v>602</v>
      </c>
      <c r="K45" s="32">
        <f t="shared" si="19"/>
        <v>592</v>
      </c>
      <c r="L45" s="82">
        <v>364</v>
      </c>
      <c r="M45" s="82">
        <v>362</v>
      </c>
      <c r="N45" s="82">
        <v>338</v>
      </c>
      <c r="O45" s="32">
        <f t="shared" si="20"/>
        <v>330</v>
      </c>
      <c r="P45" s="82">
        <v>319</v>
      </c>
      <c r="Q45" s="82">
        <v>336</v>
      </c>
      <c r="R45" s="82">
        <v>335</v>
      </c>
      <c r="T45" s="96">
        <f>K45</f>
        <v>592</v>
      </c>
      <c r="U45" s="96">
        <f>L45</f>
        <v>364</v>
      </c>
      <c r="V45" s="96">
        <f>M45</f>
        <v>362</v>
      </c>
      <c r="W45" s="96">
        <f>N45</f>
        <v>338</v>
      </c>
      <c r="X45" s="96">
        <f>O45</f>
        <v>330</v>
      </c>
      <c r="Y45" s="96">
        <f>P45</f>
        <v>319</v>
      </c>
      <c r="Z45" s="96">
        <f>Q45</f>
        <v>336</v>
      </c>
      <c r="AA45" s="96">
        <f>R45</f>
        <v>335</v>
      </c>
      <c r="AB45" s="124"/>
      <c r="AC45" s="75">
        <f t="shared" ref="AC45:AC47" si="30">SUM(AA45/W45)-1</f>
        <v>-8.8757396449704595E-3</v>
      </c>
    </row>
    <row r="46" spans="1:29" s="122" customFormat="1" ht="12.75" customHeight="1">
      <c r="B46" s="114" t="s">
        <v>153</v>
      </c>
      <c r="C46" s="123">
        <v>1319</v>
      </c>
      <c r="D46" s="123">
        <v>3425</v>
      </c>
      <c r="E46" s="123">
        <v>4060</v>
      </c>
      <c r="F46" s="123">
        <v>3773</v>
      </c>
      <c r="H46" s="82">
        <v>1236</v>
      </c>
      <c r="I46" s="82">
        <v>1378</v>
      </c>
      <c r="J46" s="82">
        <v>3925</v>
      </c>
      <c r="K46" s="32">
        <f t="shared" si="19"/>
        <v>4060</v>
      </c>
      <c r="L46" s="82">
        <v>4231</v>
      </c>
      <c r="M46" s="82">
        <v>4195</v>
      </c>
      <c r="N46" s="82">
        <v>4014</v>
      </c>
      <c r="O46" s="32">
        <f t="shared" si="20"/>
        <v>3773</v>
      </c>
      <c r="P46" s="82">
        <v>3965</v>
      </c>
      <c r="Q46" s="82">
        <v>4184</v>
      </c>
      <c r="R46" s="82">
        <v>4247</v>
      </c>
      <c r="T46" s="96">
        <f t="shared" ref="T46:T47" si="31">K46</f>
        <v>4060</v>
      </c>
      <c r="U46" s="96">
        <f t="shared" ref="U46:U47" si="32">L46</f>
        <v>4231</v>
      </c>
      <c r="V46" s="96">
        <f t="shared" ref="V46:V47" si="33">M46</f>
        <v>4195</v>
      </c>
      <c r="W46" s="96">
        <f t="shared" ref="W46:W47" si="34">N46</f>
        <v>4014</v>
      </c>
      <c r="X46" s="96">
        <f t="shared" ref="X46:X47" si="35">O46</f>
        <v>3773</v>
      </c>
      <c r="Y46" s="96">
        <f t="shared" ref="Y46:Y47" si="36">P46</f>
        <v>3965</v>
      </c>
      <c r="Z46" s="96">
        <f t="shared" ref="Z46:Z47" si="37">Q46</f>
        <v>4184</v>
      </c>
      <c r="AA46" s="96">
        <f t="shared" ref="AA46:AA47" si="38">R46</f>
        <v>4247</v>
      </c>
      <c r="AB46" s="124"/>
      <c r="AC46" s="75">
        <f t="shared" si="30"/>
        <v>5.8046836073741837E-2</v>
      </c>
    </row>
    <row r="47" spans="1:29" s="122" customFormat="1" ht="12.75" customHeight="1">
      <c r="B47" s="114" t="s">
        <v>177</v>
      </c>
      <c r="C47" s="123">
        <v>1873</v>
      </c>
      <c r="D47" s="123">
        <v>1270</v>
      </c>
      <c r="E47" s="123">
        <v>1233</v>
      </c>
      <c r="F47" s="123">
        <v>1821</v>
      </c>
      <c r="H47" s="82">
        <v>1608</v>
      </c>
      <c r="I47" s="82">
        <v>1723</v>
      </c>
      <c r="J47" s="82">
        <v>1118</v>
      </c>
      <c r="K47" s="32">
        <f t="shared" si="19"/>
        <v>1233</v>
      </c>
      <c r="L47" s="82">
        <v>1647</v>
      </c>
      <c r="M47" s="82">
        <v>1514</v>
      </c>
      <c r="N47" s="82">
        <v>1978</v>
      </c>
      <c r="O47" s="32">
        <f t="shared" si="20"/>
        <v>1821</v>
      </c>
      <c r="P47" s="82">
        <v>2119</v>
      </c>
      <c r="Q47" s="82">
        <v>2418</v>
      </c>
      <c r="R47" s="82">
        <v>1842</v>
      </c>
      <c r="T47" s="96">
        <f t="shared" si="31"/>
        <v>1233</v>
      </c>
      <c r="U47" s="96">
        <f t="shared" si="32"/>
        <v>1647</v>
      </c>
      <c r="V47" s="96">
        <f t="shared" si="33"/>
        <v>1514</v>
      </c>
      <c r="W47" s="96">
        <f t="shared" si="34"/>
        <v>1978</v>
      </c>
      <c r="X47" s="96">
        <f t="shared" si="35"/>
        <v>1821</v>
      </c>
      <c r="Y47" s="96">
        <f t="shared" si="36"/>
        <v>2119</v>
      </c>
      <c r="Z47" s="96">
        <f t="shared" si="37"/>
        <v>2418</v>
      </c>
      <c r="AA47" s="96">
        <f t="shared" si="38"/>
        <v>1842</v>
      </c>
      <c r="AB47" s="124"/>
      <c r="AC47" s="75">
        <f t="shared" si="30"/>
        <v>-6.8756319514661324E-2</v>
      </c>
    </row>
    <row r="48" spans="1:29" s="122" customFormat="1" ht="12.75" customHeight="1">
      <c r="B48" s="114" t="s">
        <v>154</v>
      </c>
      <c r="C48" s="123">
        <v>2271</v>
      </c>
      <c r="D48" s="123">
        <v>2346</v>
      </c>
      <c r="E48" s="123">
        <v>2611</v>
      </c>
      <c r="F48" s="123">
        <v>2992</v>
      </c>
      <c r="H48" s="82">
        <v>2501</v>
      </c>
      <c r="I48" s="82">
        <v>2554</v>
      </c>
      <c r="J48" s="82">
        <v>1824</v>
      </c>
      <c r="K48" s="32">
        <f t="shared" si="19"/>
        <v>2611</v>
      </c>
      <c r="L48" s="82">
        <v>3028</v>
      </c>
      <c r="M48" s="82">
        <v>2941</v>
      </c>
      <c r="N48" s="82">
        <v>3039</v>
      </c>
      <c r="O48" s="32">
        <f t="shared" si="20"/>
        <v>2992</v>
      </c>
      <c r="P48" s="82">
        <v>3419</v>
      </c>
      <c r="Q48" s="82">
        <v>3630</v>
      </c>
      <c r="R48" s="82">
        <v>3954</v>
      </c>
      <c r="T48" s="96">
        <f>K48</f>
        <v>2611</v>
      </c>
      <c r="U48" s="96">
        <f>L48</f>
        <v>3028</v>
      </c>
      <c r="V48" s="96">
        <f>M48</f>
        <v>2941</v>
      </c>
      <c r="W48" s="96">
        <f>N48</f>
        <v>3039</v>
      </c>
      <c r="X48" s="96">
        <f>O48</f>
        <v>2992</v>
      </c>
      <c r="Y48" s="96">
        <f>P48</f>
        <v>3419</v>
      </c>
      <c r="Z48" s="96">
        <f>Q48</f>
        <v>3630</v>
      </c>
      <c r="AA48" s="96">
        <f>R48</f>
        <v>3954</v>
      </c>
      <c r="AB48" s="124"/>
      <c r="AC48" s="75">
        <f t="shared" ref="AC48" si="39">SUM(AA48/W48)-1</f>
        <v>0.30108588351431398</v>
      </c>
    </row>
    <row r="49" spans="2:29" ht="12.75" customHeight="1">
      <c r="B49" s="25" t="s">
        <v>18</v>
      </c>
      <c r="C49" s="26">
        <f>SUM(C42:C48)</f>
        <v>16949</v>
      </c>
      <c r="D49" s="26">
        <f>SUM(D42:D48)</f>
        <v>16606</v>
      </c>
      <c r="E49" s="26">
        <f>SUM(E42:E48)</f>
        <v>18961</v>
      </c>
      <c r="F49" s="26">
        <f>SUM(F42:F48)</f>
        <v>19724</v>
      </c>
      <c r="G49" s="48"/>
      <c r="H49" s="26">
        <f>SUM(H42:H48)</f>
        <v>16420</v>
      </c>
      <c r="I49" s="26">
        <f>SUM(I42:I48)</f>
        <v>16530</v>
      </c>
      <c r="J49" s="26">
        <f>SUM(J42:J48)</f>
        <v>16983</v>
      </c>
      <c r="K49" s="26">
        <f>SUM(K42:K48)</f>
        <v>18961</v>
      </c>
      <c r="L49" s="26">
        <f>SUM(L42:L48)</f>
        <v>18424</v>
      </c>
      <c r="M49" s="26">
        <f>SUM(M42:M48)</f>
        <v>17780</v>
      </c>
      <c r="N49" s="26">
        <f>SUM(N42:N48)</f>
        <v>22300</v>
      </c>
      <c r="O49" s="26">
        <f>SUM(O42:O48)</f>
        <v>19724</v>
      </c>
      <c r="P49" s="26">
        <f>SUM(P42:P48)</f>
        <v>19804</v>
      </c>
      <c r="Q49" s="26">
        <f>SUM(Q42:Q48)</f>
        <v>22140</v>
      </c>
      <c r="R49" s="26">
        <f>SUM(R42:R48)</f>
        <v>23223</v>
      </c>
      <c r="S49" s="48"/>
      <c r="T49" s="26">
        <f>SUM(T42:T48)</f>
        <v>18961</v>
      </c>
      <c r="U49" s="26">
        <f>SUM(U42:U48)</f>
        <v>18424</v>
      </c>
      <c r="V49" s="26">
        <f>SUM(V42:V48)</f>
        <v>17780</v>
      </c>
      <c r="W49" s="26">
        <f>SUM(W42:W48)</f>
        <v>22300</v>
      </c>
      <c r="X49" s="26">
        <f>SUM(X42:X48)</f>
        <v>19724</v>
      </c>
      <c r="Y49" s="26">
        <f>SUM(Y42:Y48)</f>
        <v>19804</v>
      </c>
      <c r="Z49" s="26">
        <f>SUM(Z42:Z48)</f>
        <v>22140</v>
      </c>
      <c r="AA49" s="26">
        <f>SUM(AA42:AA48)</f>
        <v>23223</v>
      </c>
      <c r="AB49" s="42"/>
      <c r="AC49" s="76">
        <f>SUM(AA49/W49)-1</f>
        <v>4.1390134529148082E-2</v>
      </c>
    </row>
    <row r="50" spans="2:29" ht="5.0999999999999996" customHeight="1">
      <c r="B50" s="25"/>
      <c r="C50" s="49"/>
      <c r="D50" s="49"/>
      <c r="E50" s="41"/>
      <c r="F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T50" s="42"/>
      <c r="U50" s="42"/>
      <c r="V50" s="42"/>
      <c r="W50" s="42"/>
      <c r="X50" s="42"/>
      <c r="Y50" s="42"/>
      <c r="Z50" s="42"/>
      <c r="AA50" s="42"/>
      <c r="AB50" s="42"/>
      <c r="AC50" s="39"/>
    </row>
    <row r="51" spans="2:29" ht="12.75" customHeight="1">
      <c r="B51" s="78" t="s">
        <v>79</v>
      </c>
      <c r="C51" s="82"/>
      <c r="D51" s="82"/>
      <c r="E51" s="82"/>
      <c r="F51" s="82"/>
      <c r="H51" s="82"/>
      <c r="I51" s="82"/>
      <c r="J51" s="82"/>
      <c r="K51" s="82"/>
      <c r="L51" s="82"/>
      <c r="M51" s="82"/>
      <c r="N51" s="82"/>
      <c r="O51" s="82"/>
      <c r="P51" s="32"/>
      <c r="Q51" s="82"/>
      <c r="R51" s="82"/>
      <c r="T51" s="32"/>
      <c r="U51" s="32"/>
      <c r="V51" s="32"/>
      <c r="W51" s="32"/>
      <c r="X51" s="32"/>
      <c r="Y51" s="32"/>
      <c r="Z51" s="32"/>
      <c r="AA51" s="32"/>
      <c r="AB51" s="11"/>
      <c r="AC51" s="75"/>
    </row>
    <row r="52" spans="2:29" ht="12.75" customHeight="1">
      <c r="B52" s="9" t="s">
        <v>155</v>
      </c>
      <c r="C52" s="82">
        <v>1907</v>
      </c>
      <c r="D52" s="82">
        <v>2006</v>
      </c>
      <c r="E52" s="82">
        <v>2061</v>
      </c>
      <c r="F52" s="82">
        <v>2138</v>
      </c>
      <c r="H52" s="82">
        <v>2006</v>
      </c>
      <c r="I52" s="82">
        <v>1986</v>
      </c>
      <c r="J52" s="82">
        <v>1972</v>
      </c>
      <c r="K52" s="32">
        <f t="shared" ref="K52:K56" si="40">E52</f>
        <v>2061</v>
      </c>
      <c r="L52" s="82">
        <v>2077</v>
      </c>
      <c r="M52" s="82">
        <v>2148</v>
      </c>
      <c r="N52" s="82">
        <v>2176</v>
      </c>
      <c r="O52" s="32">
        <f t="shared" ref="O52:O56" si="41">F52</f>
        <v>2138</v>
      </c>
      <c r="P52" s="82">
        <v>2171</v>
      </c>
      <c r="Q52" s="82">
        <v>2225</v>
      </c>
      <c r="R52" s="82">
        <v>2299</v>
      </c>
      <c r="T52" s="32">
        <f>K52</f>
        <v>2061</v>
      </c>
      <c r="U52" s="32">
        <f>L52</f>
        <v>2077</v>
      </c>
      <c r="V52" s="32">
        <f>M52</f>
        <v>2148</v>
      </c>
      <c r="W52" s="32">
        <f>N52</f>
        <v>2176</v>
      </c>
      <c r="X52" s="32">
        <f>O52</f>
        <v>2138</v>
      </c>
      <c r="Y52" s="32">
        <f>P52</f>
        <v>2171</v>
      </c>
      <c r="Z52" s="32">
        <f>Q52</f>
        <v>2225</v>
      </c>
      <c r="AA52" s="32">
        <f>R52</f>
        <v>2299</v>
      </c>
      <c r="AB52" s="11"/>
      <c r="AC52" s="75">
        <f t="shared" ref="AC52:AC57" si="42">SUM(AA52/W52)-1</f>
        <v>5.6525735294117752E-2</v>
      </c>
    </row>
    <row r="53" spans="2:29" ht="12.75" customHeight="1">
      <c r="B53" s="9" t="s">
        <v>178</v>
      </c>
      <c r="C53" s="82">
        <v>486</v>
      </c>
      <c r="D53" s="82">
        <v>1151</v>
      </c>
      <c r="E53" s="82">
        <v>1355</v>
      </c>
      <c r="F53" s="82">
        <v>1614</v>
      </c>
      <c r="H53" s="82">
        <v>1267</v>
      </c>
      <c r="I53" s="82">
        <v>1121</v>
      </c>
      <c r="J53" s="82">
        <v>1370</v>
      </c>
      <c r="K53" s="32">
        <f t="shared" si="40"/>
        <v>1355</v>
      </c>
      <c r="L53" s="82">
        <v>1329</v>
      </c>
      <c r="M53" s="82">
        <v>1423</v>
      </c>
      <c r="N53" s="82">
        <v>1612</v>
      </c>
      <c r="O53" s="32">
        <f t="shared" si="41"/>
        <v>1614</v>
      </c>
      <c r="P53" s="82">
        <v>1575</v>
      </c>
      <c r="Q53" s="82">
        <v>1570</v>
      </c>
      <c r="R53" s="82">
        <v>1546</v>
      </c>
      <c r="T53" s="32">
        <f>K53</f>
        <v>1355</v>
      </c>
      <c r="U53" s="32">
        <f>L53</f>
        <v>1329</v>
      </c>
      <c r="V53" s="32">
        <f>M53</f>
        <v>1423</v>
      </c>
      <c r="W53" s="32">
        <f>N53</f>
        <v>1612</v>
      </c>
      <c r="X53" s="32">
        <f>O53</f>
        <v>1614</v>
      </c>
      <c r="Y53" s="32">
        <f>P53</f>
        <v>1575</v>
      </c>
      <c r="Z53" s="32">
        <f>Q53</f>
        <v>1570</v>
      </c>
      <c r="AA53" s="32">
        <f>R53</f>
        <v>1546</v>
      </c>
      <c r="AB53" s="11"/>
      <c r="AC53" s="75">
        <f t="shared" si="42"/>
        <v>-4.0942928039702231E-2</v>
      </c>
    </row>
    <row r="54" spans="2:29" ht="12.75" customHeight="1">
      <c r="B54" s="9" t="s">
        <v>107</v>
      </c>
      <c r="C54" s="82">
        <v>7662</v>
      </c>
      <c r="D54" s="82">
        <v>7522</v>
      </c>
      <c r="E54" s="82">
        <v>7660</v>
      </c>
      <c r="F54" s="82">
        <v>9193</v>
      </c>
      <c r="H54" s="82">
        <v>7575</v>
      </c>
      <c r="I54" s="82">
        <v>7579</v>
      </c>
      <c r="J54" s="82">
        <v>7488</v>
      </c>
      <c r="K54" s="32">
        <f t="shared" si="40"/>
        <v>7660</v>
      </c>
      <c r="L54" s="82">
        <v>7545</v>
      </c>
      <c r="M54" s="82">
        <v>7563</v>
      </c>
      <c r="N54" s="82">
        <v>7721</v>
      </c>
      <c r="O54" s="32">
        <f t="shared" si="41"/>
        <v>9193</v>
      </c>
      <c r="P54" s="82">
        <v>9352</v>
      </c>
      <c r="Q54" s="82">
        <v>9598</v>
      </c>
      <c r="R54" s="82">
        <v>9574</v>
      </c>
      <c r="T54" s="32">
        <f>K54</f>
        <v>7660</v>
      </c>
      <c r="U54" s="32">
        <f>L54</f>
        <v>7545</v>
      </c>
      <c r="V54" s="32">
        <f>M54</f>
        <v>7563</v>
      </c>
      <c r="W54" s="32">
        <f>N54</f>
        <v>7721</v>
      </c>
      <c r="X54" s="32">
        <f>O54</f>
        <v>9193</v>
      </c>
      <c r="Y54" s="32">
        <f>P54</f>
        <v>9352</v>
      </c>
      <c r="Z54" s="32">
        <f>Q54</f>
        <v>9598</v>
      </c>
      <c r="AA54" s="32">
        <f>R54</f>
        <v>9574</v>
      </c>
      <c r="AB54" s="11"/>
      <c r="AC54" s="75">
        <f t="shared" ref="AC54:AC55" si="43">SUM(AA54/W54)-1</f>
        <v>0.23999481932392186</v>
      </c>
    </row>
    <row r="55" spans="2:29" ht="12.75" customHeight="1">
      <c r="B55" s="9" t="s">
        <v>179</v>
      </c>
      <c r="C55" s="82">
        <v>3671</v>
      </c>
      <c r="D55" s="82">
        <v>3859</v>
      </c>
      <c r="E55" s="82">
        <v>4086</v>
      </c>
      <c r="F55" s="82">
        <v>5453</v>
      </c>
      <c r="H55" s="82">
        <v>4027</v>
      </c>
      <c r="I55" s="82">
        <v>4049</v>
      </c>
      <c r="J55" s="82">
        <v>4022</v>
      </c>
      <c r="K55" s="32">
        <f t="shared" si="40"/>
        <v>4086</v>
      </c>
      <c r="L55" s="82">
        <v>4123</v>
      </c>
      <c r="M55" s="82">
        <v>4149</v>
      </c>
      <c r="N55" s="82">
        <v>4235</v>
      </c>
      <c r="O55" s="32">
        <f t="shared" si="41"/>
        <v>5453</v>
      </c>
      <c r="P55" s="82">
        <v>5533</v>
      </c>
      <c r="Q55" s="82">
        <v>5629</v>
      </c>
      <c r="R55" s="82">
        <v>5591</v>
      </c>
      <c r="T55" s="32">
        <f>K55</f>
        <v>4086</v>
      </c>
      <c r="U55" s="32">
        <f>L55</f>
        <v>4123</v>
      </c>
      <c r="V55" s="32">
        <f>M55</f>
        <v>4149</v>
      </c>
      <c r="W55" s="32">
        <f>N55</f>
        <v>4235</v>
      </c>
      <c r="X55" s="32">
        <f>O55</f>
        <v>5453</v>
      </c>
      <c r="Y55" s="32">
        <f>P55</f>
        <v>5533</v>
      </c>
      <c r="Z55" s="32">
        <f>Q55</f>
        <v>5629</v>
      </c>
      <c r="AA55" s="32">
        <f>R55</f>
        <v>5591</v>
      </c>
      <c r="AB55" s="11"/>
      <c r="AC55" s="75">
        <f t="shared" si="43"/>
        <v>0.32018890200708383</v>
      </c>
    </row>
    <row r="56" spans="2:29" ht="12.75" customHeight="1">
      <c r="B56" s="9" t="s">
        <v>172</v>
      </c>
      <c r="C56" s="82">
        <v>6994</v>
      </c>
      <c r="D56" s="82">
        <v>7580</v>
      </c>
      <c r="E56" s="82">
        <v>8325</v>
      </c>
      <c r="F56" s="82">
        <v>9959</v>
      </c>
      <c r="H56" s="82">
        <v>7641</v>
      </c>
      <c r="I56" s="82">
        <v>7739</v>
      </c>
      <c r="J56" s="82">
        <v>7839</v>
      </c>
      <c r="K56" s="32">
        <f t="shared" si="40"/>
        <v>8325</v>
      </c>
      <c r="L56" s="82">
        <v>9104</v>
      </c>
      <c r="M56" s="82">
        <v>9270</v>
      </c>
      <c r="N56" s="82">
        <v>9193</v>
      </c>
      <c r="O56" s="32">
        <f t="shared" si="41"/>
        <v>9959</v>
      </c>
      <c r="P56" s="82">
        <v>10035</v>
      </c>
      <c r="Q56" s="82">
        <v>10269</v>
      </c>
      <c r="R56" s="82">
        <v>11056</v>
      </c>
      <c r="T56" s="32">
        <f>K56</f>
        <v>8325</v>
      </c>
      <c r="U56" s="32">
        <f>L56</f>
        <v>9104</v>
      </c>
      <c r="V56" s="32">
        <f>M56</f>
        <v>9270</v>
      </c>
      <c r="W56" s="32">
        <f>N56</f>
        <v>9193</v>
      </c>
      <c r="X56" s="32">
        <f>O56</f>
        <v>9959</v>
      </c>
      <c r="Y56" s="32">
        <f>P56</f>
        <v>10035</v>
      </c>
      <c r="Z56" s="32">
        <f>Q56</f>
        <v>10269</v>
      </c>
      <c r="AA56" s="32">
        <f>R56</f>
        <v>11056</v>
      </c>
      <c r="AB56" s="11"/>
      <c r="AC56" s="75">
        <f t="shared" si="42"/>
        <v>0.20265419340802793</v>
      </c>
    </row>
    <row r="57" spans="2:29" ht="12.75" customHeight="1">
      <c r="B57" s="13" t="s">
        <v>19</v>
      </c>
      <c r="C57" s="14">
        <f>SUM(C52:C56)+C49</f>
        <v>37669</v>
      </c>
      <c r="D57" s="14">
        <f>SUM(D52:D56)+D49</f>
        <v>38724</v>
      </c>
      <c r="E57" s="14">
        <f>SUM(E52:E56)+E49</f>
        <v>42448</v>
      </c>
      <c r="F57" s="14">
        <f>SUM(F52:F56)+F49</f>
        <v>48081</v>
      </c>
      <c r="H57" s="14">
        <f>SUM(H52:H56)+H49</f>
        <v>38936</v>
      </c>
      <c r="I57" s="14">
        <f>SUM(I52:I56)+I49</f>
        <v>39004</v>
      </c>
      <c r="J57" s="14">
        <f>SUM(J52:J56)+J49</f>
        <v>39674</v>
      </c>
      <c r="K57" s="14">
        <f>SUM(K52:K56)+K49</f>
        <v>42448</v>
      </c>
      <c r="L57" s="14">
        <f>SUM(L52:L56)+L49</f>
        <v>42602</v>
      </c>
      <c r="M57" s="14">
        <f>SUM(M52:M56)+M49</f>
        <v>42333</v>
      </c>
      <c r="N57" s="14">
        <f>SUM(N52:N56)+N49</f>
        <v>47237</v>
      </c>
      <c r="O57" s="14">
        <f>SUM(O52:O56)+O49</f>
        <v>48081</v>
      </c>
      <c r="P57" s="14">
        <f>SUM(P52:P56)+P49</f>
        <v>48470</v>
      </c>
      <c r="Q57" s="14">
        <f>SUM(Q52:Q56)+Q49</f>
        <v>51431</v>
      </c>
      <c r="R57" s="14">
        <f>SUM(R52:R56)+R49</f>
        <v>53289</v>
      </c>
      <c r="T57" s="14">
        <f>SUM(T52:T56)+T49</f>
        <v>42448</v>
      </c>
      <c r="U57" s="14">
        <f>SUM(U52:U56)+U49</f>
        <v>42602</v>
      </c>
      <c r="V57" s="14">
        <f>SUM(V52:V56)+V49</f>
        <v>42333</v>
      </c>
      <c r="W57" s="14">
        <f>SUM(W52:W56)+W49</f>
        <v>47237</v>
      </c>
      <c r="X57" s="14">
        <f>SUM(X52:X56)+X49</f>
        <v>48081</v>
      </c>
      <c r="Y57" s="14">
        <f>SUM(Y52:Y56)+Y49</f>
        <v>48470</v>
      </c>
      <c r="Z57" s="14">
        <f>SUM(Z52:Z56)+Z49</f>
        <v>51431</v>
      </c>
      <c r="AA57" s="34">
        <f>SUM(AA52:AA56)+AA49</f>
        <v>53289</v>
      </c>
      <c r="AB57" s="42"/>
      <c r="AC57" s="76">
        <f t="shared" si="42"/>
        <v>0.1281199060058853</v>
      </c>
    </row>
    <row r="58" spans="2:29" ht="12.75" customHeight="1">
      <c r="B58" s="25"/>
      <c r="C58" s="50"/>
      <c r="D58" s="50"/>
      <c r="E58" s="41"/>
      <c r="F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T58" s="42"/>
      <c r="U58" s="42"/>
      <c r="V58" s="42"/>
      <c r="W58" s="42"/>
      <c r="X58" s="42"/>
      <c r="Y58" s="42"/>
      <c r="Z58" s="42"/>
      <c r="AA58" s="42"/>
      <c r="AB58" s="42"/>
      <c r="AC58" s="39"/>
    </row>
    <row r="59" spans="2:29" ht="12.75" customHeight="1">
      <c r="B59" s="78" t="s">
        <v>45</v>
      </c>
      <c r="C59" s="50"/>
      <c r="D59" s="50"/>
      <c r="E59" s="41"/>
      <c r="F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T59" s="42"/>
      <c r="U59" s="42"/>
      <c r="V59" s="42"/>
      <c r="W59" s="42"/>
      <c r="X59" s="42"/>
      <c r="Y59" s="42"/>
      <c r="Z59" s="42"/>
      <c r="AA59" s="42"/>
      <c r="AB59" s="42"/>
      <c r="AC59" s="39"/>
    </row>
    <row r="60" spans="2:29" ht="12.75" customHeight="1">
      <c r="B60" s="120" t="s">
        <v>156</v>
      </c>
      <c r="C60" s="121">
        <v>738</v>
      </c>
      <c r="D60" s="121">
        <v>926</v>
      </c>
      <c r="E60" s="121">
        <v>834</v>
      </c>
      <c r="F60" s="121">
        <v>929</v>
      </c>
      <c r="H60" s="82">
        <v>735</v>
      </c>
      <c r="I60" s="82">
        <v>643</v>
      </c>
      <c r="J60" s="82">
        <v>589</v>
      </c>
      <c r="K60" s="32">
        <f t="shared" ref="K60:K66" si="44">E60</f>
        <v>834</v>
      </c>
      <c r="L60" s="82">
        <v>790</v>
      </c>
      <c r="M60" s="82">
        <v>835</v>
      </c>
      <c r="N60" s="82">
        <v>911</v>
      </c>
      <c r="O60" s="32">
        <f t="shared" ref="O60:O66" si="45">F60</f>
        <v>929</v>
      </c>
      <c r="P60" s="82">
        <v>993</v>
      </c>
      <c r="Q60" s="82">
        <v>818</v>
      </c>
      <c r="R60" s="82">
        <v>935</v>
      </c>
      <c r="T60" s="97">
        <f>K60</f>
        <v>834</v>
      </c>
      <c r="U60" s="97">
        <f>L60</f>
        <v>790</v>
      </c>
      <c r="V60" s="97">
        <f>M60</f>
        <v>835</v>
      </c>
      <c r="W60" s="97">
        <f>N60</f>
        <v>911</v>
      </c>
      <c r="X60" s="97">
        <f>O60</f>
        <v>929</v>
      </c>
      <c r="Y60" s="97">
        <f>P60</f>
        <v>993</v>
      </c>
      <c r="Z60" s="97">
        <f>Q60</f>
        <v>818</v>
      </c>
      <c r="AA60" s="97">
        <f>R60</f>
        <v>935</v>
      </c>
      <c r="AB60" s="11"/>
      <c r="AC60" s="75">
        <f t="shared" ref="AC60:AC67" si="46">SUM(AA60/W60)-1</f>
        <v>2.6344676180021898E-2</v>
      </c>
    </row>
    <row r="61" spans="2:29" ht="12.75" customHeight="1">
      <c r="B61" s="120" t="s">
        <v>180</v>
      </c>
      <c r="C61" s="121">
        <v>913</v>
      </c>
      <c r="D61" s="121">
        <v>1111</v>
      </c>
      <c r="E61" s="121">
        <v>1399</v>
      </c>
      <c r="F61" s="121">
        <v>2316</v>
      </c>
      <c r="H61" s="82">
        <v>870</v>
      </c>
      <c r="I61" s="82">
        <v>1142</v>
      </c>
      <c r="J61" s="82">
        <v>992</v>
      </c>
      <c r="K61" s="32">
        <f t="shared" si="44"/>
        <v>1399</v>
      </c>
      <c r="L61" s="82">
        <v>1824</v>
      </c>
      <c r="M61" s="82">
        <v>1594</v>
      </c>
      <c r="N61" s="82">
        <v>2129</v>
      </c>
      <c r="O61" s="32">
        <f t="shared" si="45"/>
        <v>2316</v>
      </c>
      <c r="P61" s="82">
        <v>2441</v>
      </c>
      <c r="Q61" s="82">
        <v>2676</v>
      </c>
      <c r="R61" s="82">
        <v>2422</v>
      </c>
      <c r="T61" s="97">
        <f t="shared" ref="T61:T64" si="47">K61</f>
        <v>1399</v>
      </c>
      <c r="U61" s="97">
        <f t="shared" ref="U61:U64" si="48">L61</f>
        <v>1824</v>
      </c>
      <c r="V61" s="97">
        <f t="shared" ref="V61:V64" si="49">M61</f>
        <v>1594</v>
      </c>
      <c r="W61" s="97">
        <f t="shared" ref="W61:W64" si="50">N61</f>
        <v>2129</v>
      </c>
      <c r="X61" s="97">
        <f t="shared" ref="X61:X64" si="51">O61</f>
        <v>2316</v>
      </c>
      <c r="Y61" s="97">
        <f t="shared" ref="Y61:Y64" si="52">P61</f>
        <v>2441</v>
      </c>
      <c r="Z61" s="97">
        <f t="shared" ref="Z61:Z64" si="53">Q61</f>
        <v>2676</v>
      </c>
      <c r="AA61" s="97">
        <f t="shared" ref="AA61:AA64" si="54">R61</f>
        <v>2422</v>
      </c>
      <c r="AB61" s="11"/>
      <c r="AC61" s="75">
        <f t="shared" si="46"/>
        <v>0.13762329732268674</v>
      </c>
    </row>
    <row r="62" spans="2:29" ht="12.75" customHeight="1">
      <c r="B62" s="120" t="s">
        <v>181</v>
      </c>
      <c r="C62" s="121">
        <v>1873</v>
      </c>
      <c r="D62" s="121">
        <v>1568</v>
      </c>
      <c r="E62" s="121">
        <v>1845</v>
      </c>
      <c r="F62" s="121">
        <v>1874</v>
      </c>
      <c r="H62" s="82">
        <v>1608</v>
      </c>
      <c r="I62" s="82">
        <v>1723</v>
      </c>
      <c r="J62" s="82">
        <v>1824</v>
      </c>
      <c r="K62" s="32">
        <f t="shared" si="44"/>
        <v>1845</v>
      </c>
      <c r="L62" s="82">
        <v>1861</v>
      </c>
      <c r="M62" s="82">
        <v>1772</v>
      </c>
      <c r="N62" s="82">
        <v>1868</v>
      </c>
      <c r="O62" s="32">
        <f t="shared" si="45"/>
        <v>1874</v>
      </c>
      <c r="P62" s="82">
        <v>1900</v>
      </c>
      <c r="Q62" s="82">
        <v>1999</v>
      </c>
      <c r="R62" s="82">
        <v>2054</v>
      </c>
      <c r="T62" s="97">
        <f t="shared" si="47"/>
        <v>1845</v>
      </c>
      <c r="U62" s="97">
        <f t="shared" si="48"/>
        <v>1861</v>
      </c>
      <c r="V62" s="97">
        <f t="shared" si="49"/>
        <v>1772</v>
      </c>
      <c r="W62" s="97">
        <f t="shared" si="50"/>
        <v>1868</v>
      </c>
      <c r="X62" s="97">
        <f t="shared" si="51"/>
        <v>1874</v>
      </c>
      <c r="Y62" s="97">
        <f t="shared" si="52"/>
        <v>1900</v>
      </c>
      <c r="Z62" s="97">
        <f t="shared" si="53"/>
        <v>1999</v>
      </c>
      <c r="AA62" s="97">
        <f t="shared" si="54"/>
        <v>2054</v>
      </c>
      <c r="AB62" s="11"/>
      <c r="AC62" s="75">
        <f t="shared" si="46"/>
        <v>9.9571734475374818E-2</v>
      </c>
    </row>
    <row r="63" spans="2:29" ht="12.75" customHeight="1">
      <c r="B63" s="120" t="s">
        <v>182</v>
      </c>
      <c r="C63" s="121">
        <v>840</v>
      </c>
      <c r="D63" s="121">
        <v>1094</v>
      </c>
      <c r="E63" s="121">
        <v>723</v>
      </c>
      <c r="F63" s="121">
        <v>930</v>
      </c>
      <c r="H63" s="82">
        <v>1107</v>
      </c>
      <c r="I63" s="82">
        <v>1079</v>
      </c>
      <c r="J63" s="82">
        <v>475</v>
      </c>
      <c r="K63" s="32">
        <f t="shared" si="44"/>
        <v>723</v>
      </c>
      <c r="L63" s="82">
        <v>595</v>
      </c>
      <c r="M63" s="82">
        <v>525</v>
      </c>
      <c r="N63" s="82">
        <v>665</v>
      </c>
      <c r="O63" s="32">
        <f t="shared" si="45"/>
        <v>930</v>
      </c>
      <c r="P63" s="82">
        <v>1057</v>
      </c>
      <c r="Q63" s="82">
        <v>1035</v>
      </c>
      <c r="R63" s="82">
        <v>943</v>
      </c>
      <c r="T63" s="97">
        <f t="shared" si="47"/>
        <v>723</v>
      </c>
      <c r="U63" s="97">
        <f t="shared" si="48"/>
        <v>595</v>
      </c>
      <c r="V63" s="97">
        <f t="shared" si="49"/>
        <v>525</v>
      </c>
      <c r="W63" s="97">
        <f t="shared" si="50"/>
        <v>665</v>
      </c>
      <c r="X63" s="97">
        <f t="shared" si="51"/>
        <v>930</v>
      </c>
      <c r="Y63" s="97">
        <f t="shared" si="52"/>
        <v>1057</v>
      </c>
      <c r="Z63" s="97">
        <f t="shared" si="53"/>
        <v>1035</v>
      </c>
      <c r="AA63" s="97">
        <f t="shared" si="54"/>
        <v>943</v>
      </c>
      <c r="AB63" s="11"/>
      <c r="AC63" s="75">
        <f t="shared" si="46"/>
        <v>0.41804511278195489</v>
      </c>
    </row>
    <row r="64" spans="2:29" ht="12.75" customHeight="1">
      <c r="B64" s="120" t="s">
        <v>183</v>
      </c>
      <c r="C64" s="121">
        <v>6642</v>
      </c>
      <c r="D64" s="121">
        <v>7801</v>
      </c>
      <c r="E64" s="121">
        <v>8517</v>
      </c>
      <c r="F64" s="121">
        <v>10393</v>
      </c>
      <c r="H64" s="82">
        <v>7310</v>
      </c>
      <c r="I64" s="82">
        <v>7117</v>
      </c>
      <c r="J64" s="82">
        <v>7775</v>
      </c>
      <c r="K64" s="32">
        <f t="shared" si="44"/>
        <v>8517</v>
      </c>
      <c r="L64" s="82">
        <v>8062</v>
      </c>
      <c r="M64" s="82">
        <v>8007</v>
      </c>
      <c r="N64" s="82">
        <v>9105</v>
      </c>
      <c r="O64" s="32">
        <f t="shared" si="45"/>
        <v>10393</v>
      </c>
      <c r="P64" s="82">
        <v>9263</v>
      </c>
      <c r="Q64" s="82">
        <v>10116</v>
      </c>
      <c r="R64" s="82">
        <v>11979</v>
      </c>
      <c r="T64" s="97">
        <f t="shared" si="47"/>
        <v>8517</v>
      </c>
      <c r="U64" s="97">
        <f t="shared" si="48"/>
        <v>8062</v>
      </c>
      <c r="V64" s="97">
        <f t="shared" si="49"/>
        <v>8007</v>
      </c>
      <c r="W64" s="97">
        <f t="shared" si="50"/>
        <v>9105</v>
      </c>
      <c r="X64" s="97">
        <f t="shared" si="51"/>
        <v>10393</v>
      </c>
      <c r="Y64" s="97">
        <f t="shared" si="52"/>
        <v>9263</v>
      </c>
      <c r="Z64" s="97">
        <f t="shared" si="53"/>
        <v>10116</v>
      </c>
      <c r="AA64" s="97">
        <f t="shared" si="54"/>
        <v>11979</v>
      </c>
      <c r="AB64" s="11"/>
      <c r="AC64" s="75">
        <f t="shared" si="46"/>
        <v>0.31565074135090621</v>
      </c>
    </row>
    <row r="65" spans="2:29" ht="12.75" customHeight="1">
      <c r="B65" s="120" t="s">
        <v>157</v>
      </c>
      <c r="C65" s="121">
        <v>792</v>
      </c>
      <c r="D65" s="121">
        <v>274</v>
      </c>
      <c r="E65" s="121">
        <v>1337</v>
      </c>
      <c r="F65" s="121">
        <v>750</v>
      </c>
      <c r="H65" s="82">
        <v>276</v>
      </c>
      <c r="I65" s="82">
        <v>1336</v>
      </c>
      <c r="J65" s="82">
        <v>1337</v>
      </c>
      <c r="K65" s="32">
        <f t="shared" si="44"/>
        <v>1337</v>
      </c>
      <c r="L65" s="82">
        <v>2086</v>
      </c>
      <c r="M65" s="82">
        <v>1086</v>
      </c>
      <c r="N65" s="82">
        <v>750</v>
      </c>
      <c r="O65" s="32">
        <f t="shared" si="45"/>
        <v>750</v>
      </c>
      <c r="P65" s="82">
        <v>0</v>
      </c>
      <c r="Q65" s="82">
        <v>0</v>
      </c>
      <c r="R65" s="82">
        <v>0</v>
      </c>
      <c r="T65" s="97">
        <f t="shared" ref="T65:T66" si="55">K65</f>
        <v>1337</v>
      </c>
      <c r="U65" s="97">
        <f t="shared" ref="U65:U66" si="56">L65</f>
        <v>2086</v>
      </c>
      <c r="V65" s="97">
        <f t="shared" ref="V65:V66" si="57">M65</f>
        <v>1086</v>
      </c>
      <c r="W65" s="97">
        <f t="shared" ref="W65:W66" si="58">N65</f>
        <v>750</v>
      </c>
      <c r="X65" s="97">
        <f t="shared" ref="X65:X66" si="59">O65</f>
        <v>750</v>
      </c>
      <c r="Y65" s="97">
        <f t="shared" ref="Y65:Y66" si="60">P65</f>
        <v>0</v>
      </c>
      <c r="Z65" s="97">
        <f t="shared" ref="Z65:Z66" si="61">Q65</f>
        <v>0</v>
      </c>
      <c r="AA65" s="97">
        <f t="shared" ref="AA65:AA66" si="62">R65</f>
        <v>0</v>
      </c>
      <c r="AB65" s="11"/>
      <c r="AC65" s="75">
        <f t="shared" ref="AC65:AC66" si="63">SUM(AA65/W65)-1</f>
        <v>-1</v>
      </c>
    </row>
    <row r="66" spans="2:29" ht="12.75" customHeight="1">
      <c r="B66" s="120" t="s">
        <v>184</v>
      </c>
      <c r="C66" s="121">
        <v>1364</v>
      </c>
      <c r="D66" s="121">
        <v>1397</v>
      </c>
      <c r="E66" s="121">
        <v>1609</v>
      </c>
      <c r="F66" s="121">
        <v>2028</v>
      </c>
      <c r="H66" s="82">
        <v>1745</v>
      </c>
      <c r="I66" s="82">
        <v>1596</v>
      </c>
      <c r="J66" s="82">
        <v>1527</v>
      </c>
      <c r="K66" s="32">
        <f t="shared" si="44"/>
        <v>1609</v>
      </c>
      <c r="L66" s="82">
        <v>1687</v>
      </c>
      <c r="M66" s="82">
        <v>1775</v>
      </c>
      <c r="N66" s="82">
        <v>1866</v>
      </c>
      <c r="O66" s="32">
        <f t="shared" si="45"/>
        <v>2028</v>
      </c>
      <c r="P66" s="82">
        <v>2174</v>
      </c>
      <c r="Q66" s="82">
        <v>2385</v>
      </c>
      <c r="R66" s="82">
        <v>2360</v>
      </c>
      <c r="T66" s="97">
        <f t="shared" si="55"/>
        <v>1609</v>
      </c>
      <c r="U66" s="97">
        <f t="shared" si="56"/>
        <v>1687</v>
      </c>
      <c r="V66" s="97">
        <f t="shared" si="57"/>
        <v>1775</v>
      </c>
      <c r="W66" s="97">
        <f t="shared" si="58"/>
        <v>1866</v>
      </c>
      <c r="X66" s="97">
        <f t="shared" si="59"/>
        <v>2028</v>
      </c>
      <c r="Y66" s="97">
        <f t="shared" si="60"/>
        <v>2174</v>
      </c>
      <c r="Z66" s="97">
        <f t="shared" si="61"/>
        <v>2385</v>
      </c>
      <c r="AA66" s="97">
        <f t="shared" si="62"/>
        <v>2360</v>
      </c>
      <c r="AB66" s="11"/>
      <c r="AC66" s="75">
        <f t="shared" si="63"/>
        <v>0.26473740621650599</v>
      </c>
    </row>
    <row r="67" spans="2:29" ht="12.75" customHeight="1">
      <c r="B67" s="25" t="s">
        <v>17</v>
      </c>
      <c r="C67" s="26">
        <f>SUM(C60:C66)</f>
        <v>13162</v>
      </c>
      <c r="D67" s="26">
        <f>SUM(D60:D66)</f>
        <v>14171</v>
      </c>
      <c r="E67" s="26">
        <f>SUM(E60:E66)</f>
        <v>16264</v>
      </c>
      <c r="F67" s="26">
        <f>SUM(F60:F66)</f>
        <v>19220</v>
      </c>
      <c r="H67" s="26">
        <f>SUM(H60:H66)</f>
        <v>13651</v>
      </c>
      <c r="I67" s="26">
        <f>SUM(I60:I66)</f>
        <v>14636</v>
      </c>
      <c r="J67" s="26">
        <f>SUM(J60:J66)</f>
        <v>14519</v>
      </c>
      <c r="K67" s="26">
        <f>SUM(K60:K66)</f>
        <v>16264</v>
      </c>
      <c r="L67" s="26">
        <f>SUM(L60:L66)</f>
        <v>16905</v>
      </c>
      <c r="M67" s="26">
        <f>SUM(M60:M66)</f>
        <v>15594</v>
      </c>
      <c r="N67" s="26">
        <f>SUM(N60:N66)</f>
        <v>17294</v>
      </c>
      <c r="O67" s="26">
        <f>SUM(O60:O66)</f>
        <v>19220</v>
      </c>
      <c r="P67" s="26">
        <f>SUM(P60:P66)</f>
        <v>17828</v>
      </c>
      <c r="Q67" s="26">
        <f>SUM(Q60:Q66)</f>
        <v>19029</v>
      </c>
      <c r="R67" s="26">
        <f>SUM(R60:R66)</f>
        <v>20693</v>
      </c>
      <c r="S67" s="48"/>
      <c r="T67" s="26">
        <f>SUM(T60:T66)</f>
        <v>16264</v>
      </c>
      <c r="U67" s="26">
        <f>SUM(U60:U66)</f>
        <v>16905</v>
      </c>
      <c r="V67" s="26">
        <f>SUM(V60:V66)</f>
        <v>15594</v>
      </c>
      <c r="W67" s="26">
        <f>SUM(W60:W66)</f>
        <v>17294</v>
      </c>
      <c r="X67" s="26">
        <f>SUM(X60:X66)</f>
        <v>19220</v>
      </c>
      <c r="Y67" s="26">
        <f>SUM(Y60:Y66)</f>
        <v>17828</v>
      </c>
      <c r="Z67" s="26">
        <f>SUM(Z60:Z66)</f>
        <v>19029</v>
      </c>
      <c r="AA67" s="26">
        <f>SUM(AA60:AA66)</f>
        <v>20693</v>
      </c>
      <c r="AB67" s="42"/>
      <c r="AC67" s="76">
        <f t="shared" si="46"/>
        <v>0.19654215334798186</v>
      </c>
    </row>
    <row r="68" spans="2:29" ht="5.0999999999999996" customHeight="1">
      <c r="B68" s="25"/>
      <c r="C68" s="50"/>
      <c r="D68" s="50"/>
      <c r="E68" s="41"/>
      <c r="F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T68" s="42"/>
      <c r="U68" s="42"/>
      <c r="V68" s="42"/>
      <c r="W68" s="42"/>
      <c r="X68" s="42"/>
      <c r="Y68" s="42"/>
      <c r="Z68" s="42"/>
      <c r="AA68" s="42"/>
      <c r="AB68" s="42"/>
      <c r="AC68" s="39"/>
    </row>
    <row r="69" spans="2:29">
      <c r="B69" s="78" t="s">
        <v>80</v>
      </c>
      <c r="C69" s="50"/>
      <c r="D69" s="50"/>
      <c r="E69" s="41"/>
      <c r="F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T69" s="42"/>
      <c r="U69" s="42"/>
      <c r="V69" s="42"/>
      <c r="W69" s="42"/>
      <c r="X69" s="42"/>
      <c r="Y69" s="42"/>
      <c r="Z69" s="42"/>
      <c r="AA69" s="42"/>
      <c r="AB69" s="42"/>
      <c r="AC69" s="39"/>
    </row>
    <row r="70" spans="2:29" ht="12.75" customHeight="1">
      <c r="B70" s="120" t="s">
        <v>158</v>
      </c>
      <c r="C70" s="121">
        <v>13109</v>
      </c>
      <c r="D70" s="121">
        <v>13749</v>
      </c>
      <c r="E70" s="121">
        <v>14344</v>
      </c>
      <c r="F70" s="121">
        <v>17476</v>
      </c>
      <c r="G70" s="51"/>
      <c r="H70" s="82">
        <v>15292</v>
      </c>
      <c r="I70" s="82">
        <v>14284</v>
      </c>
      <c r="J70" s="82">
        <v>14229</v>
      </c>
      <c r="K70" s="32">
        <f t="shared" ref="K70:K72" si="64">E70</f>
        <v>14344</v>
      </c>
      <c r="L70" s="82">
        <v>13543</v>
      </c>
      <c r="M70" s="82">
        <v>14519</v>
      </c>
      <c r="N70" s="82">
        <v>17608</v>
      </c>
      <c r="O70" s="32">
        <f t="shared" ref="O70:O72" si="65">F70</f>
        <v>17476</v>
      </c>
      <c r="P70" s="82">
        <v>18802</v>
      </c>
      <c r="Q70" s="82">
        <v>18970</v>
      </c>
      <c r="R70" s="82">
        <v>18983</v>
      </c>
      <c r="S70" s="121"/>
      <c r="T70" s="97">
        <f>K70</f>
        <v>14344</v>
      </c>
      <c r="U70" s="97">
        <f>L70</f>
        <v>13543</v>
      </c>
      <c r="V70" s="97">
        <f>M70</f>
        <v>14519</v>
      </c>
      <c r="W70" s="97">
        <f>N70</f>
        <v>17608</v>
      </c>
      <c r="X70" s="97">
        <f>O70</f>
        <v>17476</v>
      </c>
      <c r="Y70" s="97">
        <f>P70</f>
        <v>18802</v>
      </c>
      <c r="Z70" s="97">
        <f>Q70</f>
        <v>18970</v>
      </c>
      <c r="AA70" s="97">
        <f>R70</f>
        <v>18983</v>
      </c>
      <c r="AB70" s="42"/>
      <c r="AC70" s="75">
        <f t="shared" ref="AC70:AC80" si="66">SUM(AA70/W70)-1</f>
        <v>7.808950477055876E-2</v>
      </c>
    </row>
    <row r="71" spans="2:29" ht="12.75" customHeight="1">
      <c r="B71" s="120" t="s">
        <v>185</v>
      </c>
      <c r="C71" s="121">
        <v>395</v>
      </c>
      <c r="D71" s="121">
        <v>393</v>
      </c>
      <c r="E71" s="121">
        <v>369</v>
      </c>
      <c r="F71" s="121">
        <v>317</v>
      </c>
      <c r="G71" s="51"/>
      <c r="H71" s="82">
        <v>389</v>
      </c>
      <c r="I71" s="82">
        <v>395</v>
      </c>
      <c r="J71" s="82">
        <v>385</v>
      </c>
      <c r="K71" s="32">
        <f t="shared" si="64"/>
        <v>369</v>
      </c>
      <c r="L71" s="82">
        <v>345</v>
      </c>
      <c r="M71" s="82">
        <v>337</v>
      </c>
      <c r="N71" s="82">
        <v>349</v>
      </c>
      <c r="O71" s="32">
        <f t="shared" si="65"/>
        <v>317</v>
      </c>
      <c r="P71" s="82">
        <v>315</v>
      </c>
      <c r="Q71" s="82">
        <v>361</v>
      </c>
      <c r="R71" s="82">
        <v>326</v>
      </c>
      <c r="S71" s="121"/>
      <c r="T71" s="97">
        <f t="shared" ref="T71:AA71" si="67">K71</f>
        <v>369</v>
      </c>
      <c r="U71" s="97">
        <f t="shared" si="67"/>
        <v>345</v>
      </c>
      <c r="V71" s="97">
        <f t="shared" si="67"/>
        <v>337</v>
      </c>
      <c r="W71" s="97">
        <f t="shared" si="67"/>
        <v>349</v>
      </c>
      <c r="X71" s="97">
        <f t="shared" si="67"/>
        <v>317</v>
      </c>
      <c r="Y71" s="97">
        <f t="shared" si="67"/>
        <v>315</v>
      </c>
      <c r="Z71" s="97">
        <f t="shared" si="67"/>
        <v>361</v>
      </c>
      <c r="AA71" s="97">
        <f t="shared" si="67"/>
        <v>326</v>
      </c>
      <c r="AB71" s="42"/>
      <c r="AC71" s="75">
        <f t="shared" ref="AC71" si="68">SUM(AA71/W71)-1</f>
        <v>-6.5902578796561584E-2</v>
      </c>
    </row>
    <row r="72" spans="2:29" ht="12.75" customHeight="1">
      <c r="B72" s="120" t="s">
        <v>159</v>
      </c>
      <c r="C72" s="121">
        <v>3591</v>
      </c>
      <c r="D72" s="121">
        <v>4034</v>
      </c>
      <c r="E72" s="121">
        <v>4474</v>
      </c>
      <c r="F72" s="121">
        <v>4553</v>
      </c>
      <c r="G72" s="51"/>
      <c r="H72" s="82">
        <v>4197</v>
      </c>
      <c r="I72" s="82">
        <v>4110</v>
      </c>
      <c r="J72" s="82">
        <v>4160</v>
      </c>
      <c r="K72" s="32">
        <f t="shared" si="64"/>
        <v>4474</v>
      </c>
      <c r="L72" s="82">
        <v>4501</v>
      </c>
      <c r="M72" s="82">
        <v>4401</v>
      </c>
      <c r="N72" s="82">
        <v>4488</v>
      </c>
      <c r="O72" s="32">
        <f t="shared" si="65"/>
        <v>4553</v>
      </c>
      <c r="P72" s="82">
        <v>4829</v>
      </c>
      <c r="Q72" s="82">
        <v>5197</v>
      </c>
      <c r="R72" s="82">
        <v>5368</v>
      </c>
      <c r="S72" s="121"/>
      <c r="T72" s="97">
        <f>K72</f>
        <v>4474</v>
      </c>
      <c r="U72" s="97">
        <f>L72</f>
        <v>4501</v>
      </c>
      <c r="V72" s="97">
        <f>M72</f>
        <v>4401</v>
      </c>
      <c r="W72" s="97">
        <f>N72</f>
        <v>4488</v>
      </c>
      <c r="X72" s="97">
        <f>O72</f>
        <v>4553</v>
      </c>
      <c r="Y72" s="97">
        <f>P72</f>
        <v>4829</v>
      </c>
      <c r="Z72" s="97">
        <f>Q72</f>
        <v>5197</v>
      </c>
      <c r="AA72" s="97">
        <f>R72</f>
        <v>5368</v>
      </c>
      <c r="AB72" s="42"/>
      <c r="AC72" s="75">
        <f t="shared" ref="AC72" si="69">SUM(AA72/W72)-1</f>
        <v>0.19607843137254899</v>
      </c>
    </row>
    <row r="73" spans="2:29" ht="12.75" customHeight="1">
      <c r="B73" s="13" t="s">
        <v>15</v>
      </c>
      <c r="C73" s="14">
        <f>SUM(C70:C72)+C67</f>
        <v>30257</v>
      </c>
      <c r="D73" s="14">
        <f>SUM(D70:D72)+D67</f>
        <v>32347</v>
      </c>
      <c r="E73" s="14">
        <f>SUM(E70:E72)+E67</f>
        <v>35451</v>
      </c>
      <c r="F73" s="14">
        <f>SUM(F70:F72)+F67</f>
        <v>41566</v>
      </c>
      <c r="H73" s="14">
        <f>SUM(H70:H72)+H67</f>
        <v>33529</v>
      </c>
      <c r="I73" s="14">
        <f>SUM(I70:I72)+I67</f>
        <v>33425</v>
      </c>
      <c r="J73" s="14">
        <f>SUM(J70:J72)+J67</f>
        <v>33293</v>
      </c>
      <c r="K73" s="14">
        <f>SUM(K70:K72)+K67</f>
        <v>35451</v>
      </c>
      <c r="L73" s="14">
        <f>SUM(L70:L72)+L67</f>
        <v>35294</v>
      </c>
      <c r="M73" s="14">
        <f>SUM(M70:M72)+M67</f>
        <v>34851</v>
      </c>
      <c r="N73" s="14">
        <f>SUM(N70:N72)+N67</f>
        <v>39739</v>
      </c>
      <c r="O73" s="14">
        <f>SUM(O70:O72)+O67</f>
        <v>41566</v>
      </c>
      <c r="P73" s="14">
        <f>SUM(P70:P72)+P67</f>
        <v>41774</v>
      </c>
      <c r="Q73" s="14">
        <f>SUM(Q70:Q72)+Q67</f>
        <v>43557</v>
      </c>
      <c r="R73" s="14">
        <f>SUM(R70:R72)+R67</f>
        <v>45370</v>
      </c>
      <c r="T73" s="14">
        <f>SUM(T70:T72)+T67</f>
        <v>35451</v>
      </c>
      <c r="U73" s="14">
        <f>SUM(U70:U72)+U67</f>
        <v>35294</v>
      </c>
      <c r="V73" s="14">
        <f>SUM(V70:V72)+V67</f>
        <v>34851</v>
      </c>
      <c r="W73" s="14">
        <f>SUM(W70:W72)+W67</f>
        <v>39739</v>
      </c>
      <c r="X73" s="14">
        <f>SUM(X70:X72)+X67</f>
        <v>41566</v>
      </c>
      <c r="Y73" s="14">
        <f>SUM(Y70:Y72)+Y67</f>
        <v>41774</v>
      </c>
      <c r="Z73" s="14">
        <f>SUM(Z70:Z72)+Z67</f>
        <v>43557</v>
      </c>
      <c r="AA73" s="14">
        <f>SUM(AA70:AA72)+AA67</f>
        <v>45370</v>
      </c>
      <c r="AB73" s="42"/>
      <c r="AC73" s="76">
        <f t="shared" si="66"/>
        <v>0.14169958982359909</v>
      </c>
    </row>
    <row r="74" spans="2:29" ht="5.0999999999999996" customHeight="1">
      <c r="B74" s="25"/>
      <c r="C74" s="49"/>
      <c r="D74" s="49"/>
      <c r="E74" s="41"/>
      <c r="F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T74" s="42"/>
      <c r="U74" s="42"/>
      <c r="V74" s="42"/>
      <c r="W74" s="42"/>
      <c r="X74" s="42"/>
      <c r="Y74" s="42"/>
      <c r="Z74" s="42"/>
      <c r="AA74" s="42"/>
      <c r="AB74" s="42"/>
      <c r="AC74" s="39"/>
    </row>
    <row r="75" spans="2:29" ht="12.75" customHeight="1">
      <c r="B75" s="9" t="s">
        <v>160</v>
      </c>
      <c r="C75" s="82">
        <v>7412</v>
      </c>
      <c r="D75" s="82">
        <v>6377</v>
      </c>
      <c r="E75" s="82">
        <v>6997</v>
      </c>
      <c r="F75" s="82">
        <v>6515</v>
      </c>
      <c r="G75" s="32"/>
      <c r="H75" s="82">
        <v>5407</v>
      </c>
      <c r="I75" s="82">
        <v>5579</v>
      </c>
      <c r="J75" s="82">
        <v>6381</v>
      </c>
      <c r="K75" s="32">
        <v>6997</v>
      </c>
      <c r="L75" s="82">
        <v>7308</v>
      </c>
      <c r="M75" s="82">
        <v>7482</v>
      </c>
      <c r="N75" s="82">
        <v>7498</v>
      </c>
      <c r="O75" s="32">
        <f>F75</f>
        <v>6515</v>
      </c>
      <c r="P75" s="82">
        <v>6696</v>
      </c>
      <c r="Q75" s="82">
        <v>7874</v>
      </c>
      <c r="R75" s="82">
        <v>7919</v>
      </c>
      <c r="T75" s="32">
        <f>K75</f>
        <v>6997</v>
      </c>
      <c r="U75" s="32">
        <f>L75</f>
        <v>7308</v>
      </c>
      <c r="V75" s="32">
        <f>M75</f>
        <v>7482</v>
      </c>
      <c r="W75" s="32">
        <f>N75</f>
        <v>7498</v>
      </c>
      <c r="X75" s="32">
        <f>O75</f>
        <v>6515</v>
      </c>
      <c r="Y75" s="32">
        <f>P75</f>
        <v>6696</v>
      </c>
      <c r="Z75" s="32">
        <f>Q75</f>
        <v>7874</v>
      </c>
      <c r="AA75" s="32">
        <f>R75</f>
        <v>7919</v>
      </c>
      <c r="AB75" s="11"/>
      <c r="AC75" s="75">
        <f t="shared" si="66"/>
        <v>5.6148306214990562E-2</v>
      </c>
    </row>
    <row r="76" spans="2:29" ht="12.75" customHeight="1">
      <c r="B76" s="9" t="s">
        <v>138</v>
      </c>
      <c r="C76" s="82"/>
      <c r="D76" s="82"/>
      <c r="E76" s="82"/>
      <c r="F76" s="82"/>
      <c r="G76" s="32"/>
      <c r="H76" s="82"/>
      <c r="I76" s="82"/>
      <c r="J76" s="82"/>
      <c r="K76" s="32">
        <f>E76</f>
        <v>0</v>
      </c>
      <c r="L76" s="82"/>
      <c r="M76" s="82"/>
      <c r="N76" s="82"/>
      <c r="O76" s="32">
        <f>F76</f>
        <v>0</v>
      </c>
      <c r="P76" s="82"/>
      <c r="Q76" s="82"/>
      <c r="R76" s="82"/>
      <c r="T76" s="32">
        <f t="shared" ref="T76:T78" si="70">K76</f>
        <v>0</v>
      </c>
      <c r="U76" s="32">
        <f t="shared" ref="U76:U78" si="71">L76</f>
        <v>0</v>
      </c>
      <c r="V76" s="32">
        <f t="shared" ref="V76:V78" si="72">M76</f>
        <v>0</v>
      </c>
      <c r="W76" s="32">
        <f t="shared" ref="W76:W78" si="73">N76</f>
        <v>0</v>
      </c>
      <c r="X76" s="32">
        <f t="shared" ref="X76:X78" si="74">O76</f>
        <v>0</v>
      </c>
      <c r="Y76" s="32">
        <f t="shared" ref="Y76:Y78" si="75">P76</f>
        <v>0</v>
      </c>
      <c r="Z76" s="32">
        <f t="shared" ref="Z76:Z78" si="76">Q76</f>
        <v>0</v>
      </c>
      <c r="AA76" s="32">
        <f t="shared" ref="AA76:AA78" si="77">R76</f>
        <v>0</v>
      </c>
      <c r="AB76" s="11"/>
      <c r="AC76" s="75"/>
    </row>
    <row r="77" spans="2:29" ht="12.75" customHeight="1">
      <c r="B77" s="9" t="s">
        <v>161</v>
      </c>
      <c r="C77" s="82"/>
      <c r="D77" s="82"/>
      <c r="E77" s="82"/>
      <c r="F77" s="82"/>
      <c r="G77" s="32"/>
      <c r="H77" s="82"/>
      <c r="I77" s="82"/>
      <c r="J77" s="82"/>
      <c r="K77" s="32">
        <f>E77</f>
        <v>0</v>
      </c>
      <c r="L77" s="82"/>
      <c r="M77" s="82"/>
      <c r="N77" s="82"/>
      <c r="O77" s="32">
        <f>F77</f>
        <v>0</v>
      </c>
      <c r="P77" s="82"/>
      <c r="Q77" s="82"/>
      <c r="R77" s="82"/>
      <c r="T77" s="32">
        <f t="shared" si="70"/>
        <v>0</v>
      </c>
      <c r="U77" s="32">
        <f t="shared" si="71"/>
        <v>0</v>
      </c>
      <c r="V77" s="32">
        <f t="shared" si="72"/>
        <v>0</v>
      </c>
      <c r="W77" s="32">
        <f t="shared" si="73"/>
        <v>0</v>
      </c>
      <c r="X77" s="32">
        <f t="shared" si="74"/>
        <v>0</v>
      </c>
      <c r="Y77" s="32">
        <f t="shared" si="75"/>
        <v>0</v>
      </c>
      <c r="Z77" s="32">
        <f t="shared" si="76"/>
        <v>0</v>
      </c>
      <c r="AA77" s="32">
        <f t="shared" si="77"/>
        <v>0</v>
      </c>
      <c r="AB77" s="11"/>
      <c r="AC77" s="75"/>
    </row>
    <row r="78" spans="2:29" ht="12.75" customHeight="1">
      <c r="B78" s="9" t="s">
        <v>138</v>
      </c>
      <c r="C78" s="82"/>
      <c r="D78" s="82"/>
      <c r="E78" s="82"/>
      <c r="F78" s="82"/>
      <c r="G78" s="32"/>
      <c r="H78" s="82"/>
      <c r="I78" s="82"/>
      <c r="J78" s="82"/>
      <c r="K78" s="32">
        <f>E78</f>
        <v>0</v>
      </c>
      <c r="L78" s="82"/>
      <c r="M78" s="82"/>
      <c r="N78" s="82"/>
      <c r="O78" s="32">
        <f>F78</f>
        <v>0</v>
      </c>
      <c r="P78" s="82"/>
      <c r="Q78" s="82"/>
      <c r="R78" s="82"/>
      <c r="T78" s="32">
        <f t="shared" si="70"/>
        <v>0</v>
      </c>
      <c r="U78" s="32">
        <f t="shared" si="71"/>
        <v>0</v>
      </c>
      <c r="V78" s="32">
        <f t="shared" si="72"/>
        <v>0</v>
      </c>
      <c r="W78" s="32">
        <f t="shared" si="73"/>
        <v>0</v>
      </c>
      <c r="X78" s="32">
        <f t="shared" si="74"/>
        <v>0</v>
      </c>
      <c r="Y78" s="32">
        <f t="shared" si="75"/>
        <v>0</v>
      </c>
      <c r="Z78" s="32">
        <f t="shared" si="76"/>
        <v>0</v>
      </c>
      <c r="AA78" s="32">
        <f t="shared" si="77"/>
        <v>0</v>
      </c>
      <c r="AB78" s="11"/>
      <c r="AC78" s="75" t="e">
        <f t="shared" si="66"/>
        <v>#DIV/0!</v>
      </c>
    </row>
    <row r="79" spans="2:29" ht="12.75" customHeight="1">
      <c r="B79" s="13" t="s">
        <v>14</v>
      </c>
      <c r="C79" s="14">
        <f t="shared" ref="C79:F79" si="78">SUM(C75:C78)</f>
        <v>7412</v>
      </c>
      <c r="D79" s="14">
        <f t="shared" si="78"/>
        <v>6377</v>
      </c>
      <c r="E79" s="14">
        <f t="shared" si="78"/>
        <v>6997</v>
      </c>
      <c r="F79" s="14">
        <f t="shared" si="78"/>
        <v>6515</v>
      </c>
      <c r="G79" s="52"/>
      <c r="H79" s="14">
        <f t="shared" ref="H79:R79" si="79">SUM(H75:H78)</f>
        <v>5407</v>
      </c>
      <c r="I79" s="14">
        <f t="shared" si="79"/>
        <v>5579</v>
      </c>
      <c r="J79" s="14">
        <f t="shared" si="79"/>
        <v>6381</v>
      </c>
      <c r="K79" s="14">
        <f t="shared" si="79"/>
        <v>6997</v>
      </c>
      <c r="L79" s="14">
        <f t="shared" si="79"/>
        <v>7308</v>
      </c>
      <c r="M79" s="14">
        <f t="shared" si="79"/>
        <v>7482</v>
      </c>
      <c r="N79" s="14">
        <f t="shared" si="79"/>
        <v>7498</v>
      </c>
      <c r="O79" s="14">
        <f t="shared" si="79"/>
        <v>6515</v>
      </c>
      <c r="P79" s="14">
        <f t="shared" si="79"/>
        <v>6696</v>
      </c>
      <c r="Q79" s="14">
        <f t="shared" si="79"/>
        <v>7874</v>
      </c>
      <c r="R79" s="14">
        <f t="shared" si="79"/>
        <v>7919</v>
      </c>
      <c r="T79" s="14">
        <f t="shared" ref="T79:AA79" si="80">SUM(T75:T78)</f>
        <v>6997</v>
      </c>
      <c r="U79" s="14">
        <f t="shared" si="80"/>
        <v>7308</v>
      </c>
      <c r="V79" s="14">
        <f t="shared" si="80"/>
        <v>7482</v>
      </c>
      <c r="W79" s="14">
        <f t="shared" si="80"/>
        <v>7498</v>
      </c>
      <c r="X79" s="14">
        <f t="shared" si="80"/>
        <v>6515</v>
      </c>
      <c r="Y79" s="14">
        <f t="shared" si="80"/>
        <v>6696</v>
      </c>
      <c r="Z79" s="14">
        <f t="shared" si="80"/>
        <v>7874</v>
      </c>
      <c r="AA79" s="14">
        <f t="shared" si="80"/>
        <v>7919</v>
      </c>
      <c r="AB79" s="42"/>
      <c r="AC79" s="75">
        <f t="shared" si="66"/>
        <v>5.6148306214990562E-2</v>
      </c>
    </row>
    <row r="80" spans="2:29" ht="12.75" customHeight="1">
      <c r="B80" s="25" t="s">
        <v>49</v>
      </c>
      <c r="C80" s="32">
        <f t="shared" ref="C80:F80" si="81">SUM(C79+C73)</f>
        <v>37669</v>
      </c>
      <c r="D80" s="32">
        <f t="shared" si="81"/>
        <v>38724</v>
      </c>
      <c r="E80" s="32">
        <f t="shared" si="81"/>
        <v>42448</v>
      </c>
      <c r="F80" s="32">
        <f t="shared" si="81"/>
        <v>48081</v>
      </c>
      <c r="G80" s="32"/>
      <c r="H80" s="32">
        <f t="shared" ref="H80:R80" si="82">SUM(H79+H73)</f>
        <v>38936</v>
      </c>
      <c r="I80" s="32">
        <f t="shared" si="82"/>
        <v>39004</v>
      </c>
      <c r="J80" s="32">
        <f t="shared" si="82"/>
        <v>39674</v>
      </c>
      <c r="K80" s="32">
        <f t="shared" si="82"/>
        <v>42448</v>
      </c>
      <c r="L80" s="32">
        <f t="shared" si="82"/>
        <v>42602</v>
      </c>
      <c r="M80" s="32">
        <f t="shared" si="82"/>
        <v>42333</v>
      </c>
      <c r="N80" s="32">
        <f t="shared" si="82"/>
        <v>47237</v>
      </c>
      <c r="O80" s="32">
        <f t="shared" si="82"/>
        <v>48081</v>
      </c>
      <c r="P80" s="32">
        <f t="shared" si="82"/>
        <v>48470</v>
      </c>
      <c r="Q80" s="32">
        <f t="shared" si="82"/>
        <v>51431</v>
      </c>
      <c r="R80" s="32">
        <f t="shared" si="82"/>
        <v>53289</v>
      </c>
      <c r="S80" s="32"/>
      <c r="T80" s="32">
        <f t="shared" ref="T80:AA80" si="83">SUM(T79+T73)</f>
        <v>42448</v>
      </c>
      <c r="U80" s="32">
        <f t="shared" si="83"/>
        <v>42602</v>
      </c>
      <c r="V80" s="32">
        <f t="shared" si="83"/>
        <v>42333</v>
      </c>
      <c r="W80" s="32">
        <f t="shared" si="83"/>
        <v>47237</v>
      </c>
      <c r="X80" s="32">
        <f t="shared" si="83"/>
        <v>48081</v>
      </c>
      <c r="Y80" s="32">
        <f t="shared" si="83"/>
        <v>48470</v>
      </c>
      <c r="Z80" s="32">
        <f t="shared" si="83"/>
        <v>51431</v>
      </c>
      <c r="AA80" s="32">
        <f t="shared" si="83"/>
        <v>53289</v>
      </c>
      <c r="AB80" s="11"/>
      <c r="AC80" s="76">
        <f t="shared" si="66"/>
        <v>0.1281199060058853</v>
      </c>
    </row>
    <row r="81" spans="1:29" ht="5.0999999999999996" customHeight="1">
      <c r="B81" s="25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11"/>
    </row>
    <row r="82" spans="1:29" ht="12.75" customHeight="1">
      <c r="B82" s="139" t="s">
        <v>58</v>
      </c>
      <c r="C82" s="69">
        <f>C80-C57</f>
        <v>0</v>
      </c>
      <c r="D82" s="69">
        <f>D80-D57</f>
        <v>0</v>
      </c>
      <c r="E82" s="69">
        <f>E80-E57</f>
        <v>0</v>
      </c>
      <c r="F82" s="69">
        <f>F80-F57</f>
        <v>0</v>
      </c>
      <c r="G82" s="70"/>
      <c r="H82" s="69">
        <f>H80-H57</f>
        <v>0</v>
      </c>
      <c r="I82" s="69">
        <f>I80-I57</f>
        <v>0</v>
      </c>
      <c r="J82" s="69">
        <f>J80-J57</f>
        <v>0</v>
      </c>
      <c r="K82" s="69">
        <f>K80-K57</f>
        <v>0</v>
      </c>
      <c r="L82" s="69">
        <f>L80-L57</f>
        <v>0</v>
      </c>
      <c r="M82" s="69">
        <f>M80-M57</f>
        <v>0</v>
      </c>
      <c r="N82" s="69">
        <f>N80-N57</f>
        <v>0</v>
      </c>
      <c r="O82" s="69">
        <f>O80-O57</f>
        <v>0</v>
      </c>
      <c r="P82" s="69">
        <f>P80-P57</f>
        <v>0</v>
      </c>
      <c r="Q82" s="69">
        <f>Q80-Q57</f>
        <v>0</v>
      </c>
      <c r="R82" s="69">
        <f>R80-R57</f>
        <v>0</v>
      </c>
      <c r="S82" s="28"/>
      <c r="T82" s="69">
        <f>T80-T57</f>
        <v>0</v>
      </c>
      <c r="U82" s="69">
        <f>U80-U57</f>
        <v>0</v>
      </c>
      <c r="V82" s="69">
        <f>V80-V57</f>
        <v>0</v>
      </c>
      <c r="W82" s="69">
        <f>W80-W57</f>
        <v>0</v>
      </c>
      <c r="X82" s="69">
        <f>X80-X57</f>
        <v>0</v>
      </c>
      <c r="Y82" s="69">
        <f>Y80-Y57</f>
        <v>0</v>
      </c>
      <c r="Z82" s="69">
        <f>Z80-Z57</f>
        <v>0</v>
      </c>
      <c r="AA82" s="69">
        <f>AA80-AA57</f>
        <v>0</v>
      </c>
    </row>
    <row r="83" spans="1:29" ht="5.0999999999999996" customHeight="1" thickBot="1">
      <c r="B83" s="116"/>
      <c r="C83" s="117"/>
      <c r="D83" s="117"/>
      <c r="E83" s="117"/>
      <c r="F83" s="117"/>
      <c r="G83" s="118"/>
      <c r="H83" s="117"/>
      <c r="I83" s="117"/>
      <c r="J83" s="117"/>
      <c r="K83" s="117"/>
      <c r="L83" s="117"/>
      <c r="M83" s="117"/>
      <c r="N83" s="117"/>
      <c r="O83" s="117"/>
      <c r="P83" s="117"/>
      <c r="Q83" s="117"/>
      <c r="R83" s="117"/>
      <c r="S83" s="119"/>
      <c r="T83" s="117"/>
      <c r="U83" s="117"/>
      <c r="V83" s="117"/>
      <c r="W83" s="117"/>
      <c r="X83" s="117"/>
      <c r="Y83" s="117"/>
      <c r="Z83" s="117"/>
      <c r="AA83" s="117"/>
      <c r="AB83" s="73"/>
      <c r="AC83" s="73"/>
    </row>
    <row r="84" spans="1:29">
      <c r="B84" s="68"/>
      <c r="C84" s="53"/>
      <c r="D84" s="24"/>
      <c r="E84" s="24"/>
      <c r="F84" s="24"/>
      <c r="G84" s="53"/>
    </row>
    <row r="85" spans="1:29" ht="12.75" customHeight="1">
      <c r="A85" s="5" t="s">
        <v>16</v>
      </c>
      <c r="B85" s="98" t="s">
        <v>13</v>
      </c>
      <c r="C85" s="102"/>
      <c r="D85" s="102"/>
      <c r="E85" s="102"/>
      <c r="F85" s="102"/>
      <c r="G85" s="103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98"/>
      <c r="T85" s="102"/>
      <c r="U85" s="102"/>
      <c r="V85" s="102" t="s">
        <v>10</v>
      </c>
      <c r="W85" s="102"/>
      <c r="X85" s="102"/>
      <c r="Y85" s="102"/>
      <c r="Z85" s="102"/>
      <c r="AA85" s="102"/>
      <c r="AB85" s="103"/>
      <c r="AC85" s="154" t="s">
        <v>22</v>
      </c>
    </row>
    <row r="86" spans="1:29" ht="12.75" customHeight="1">
      <c r="B86" s="99" t="str">
        <f>B7</f>
        <v>Fiscal Period</v>
      </c>
      <c r="C86" s="104">
        <f>C7</f>
        <v>2021</v>
      </c>
      <c r="D86" s="104">
        <f>D7</f>
        <v>2022</v>
      </c>
      <c r="E86" s="104">
        <f>E7</f>
        <v>2023</v>
      </c>
      <c r="F86" s="104">
        <f>F7</f>
        <v>2024</v>
      </c>
      <c r="G86" s="103"/>
      <c r="H86" s="104" t="str">
        <f>H7</f>
        <v>1Q23</v>
      </c>
      <c r="I86" s="104" t="str">
        <f>I7</f>
        <v>2Q23</v>
      </c>
      <c r="J86" s="104" t="str">
        <f>J7</f>
        <v>3Q23</v>
      </c>
      <c r="K86" s="104" t="str">
        <f>K7</f>
        <v>4Q23</v>
      </c>
      <c r="L86" s="104" t="str">
        <f>L7</f>
        <v>1Q24</v>
      </c>
      <c r="M86" s="104" t="str">
        <f>M7</f>
        <v>2Q24</v>
      </c>
      <c r="N86" s="104" t="str">
        <f>N7</f>
        <v>3Q24</v>
      </c>
      <c r="O86" s="104" t="str">
        <f>O7</f>
        <v>4Q24</v>
      </c>
      <c r="P86" s="104" t="str">
        <f>P7</f>
        <v>1Q25</v>
      </c>
      <c r="Q86" s="104" t="str">
        <f>Q7</f>
        <v>2Q25</v>
      </c>
      <c r="R86" s="104" t="str">
        <f>R7</f>
        <v>3Q25</v>
      </c>
      <c r="S86" s="104"/>
      <c r="T86" s="104" t="str">
        <f>T7</f>
        <v>4Q23</v>
      </c>
      <c r="U86" s="104" t="str">
        <f>U7</f>
        <v>1Q24</v>
      </c>
      <c r="V86" s="104" t="str">
        <f>V7</f>
        <v>2Q24</v>
      </c>
      <c r="W86" s="104" t="str">
        <f>W7</f>
        <v>3Q24</v>
      </c>
      <c r="X86" s="104" t="str">
        <f>X7</f>
        <v>4Q24</v>
      </c>
      <c r="Y86" s="104" t="str">
        <f>Y7</f>
        <v>1Q25</v>
      </c>
      <c r="Z86" s="104" t="str">
        <f>Z7</f>
        <v>2Q25</v>
      </c>
      <c r="AA86" s="104" t="str">
        <f>AA7</f>
        <v>3Q25</v>
      </c>
      <c r="AB86" s="103"/>
      <c r="AC86" s="154"/>
    </row>
    <row r="87" spans="1:29" ht="12.75" customHeight="1">
      <c r="B87" s="99" t="str">
        <f>B8</f>
        <v>Fiscal Period End Date</v>
      </c>
      <c r="C87" s="105">
        <f>C8</f>
        <v>0</v>
      </c>
      <c r="D87" s="105">
        <f>D8</f>
        <v>0</v>
      </c>
      <c r="E87" s="105">
        <f>E8</f>
        <v>0</v>
      </c>
      <c r="F87" s="105">
        <f>F8</f>
        <v>0</v>
      </c>
      <c r="G87" s="103"/>
      <c r="H87" s="105">
        <f>H8</f>
        <v>0</v>
      </c>
      <c r="I87" s="105">
        <f>I8</f>
        <v>0</v>
      </c>
      <c r="J87" s="105">
        <f>J8</f>
        <v>0</v>
      </c>
      <c r="K87" s="105">
        <f>K8</f>
        <v>0</v>
      </c>
      <c r="L87" s="105">
        <f>L8</f>
        <v>0</v>
      </c>
      <c r="M87" s="105">
        <f>M8</f>
        <v>0</v>
      </c>
      <c r="N87" s="105">
        <f>N8</f>
        <v>0</v>
      </c>
      <c r="O87" s="105">
        <f>O8</f>
        <v>0</v>
      </c>
      <c r="P87" s="105">
        <f>P8</f>
        <v>0</v>
      </c>
      <c r="Q87" s="105">
        <f>Q8</f>
        <v>0</v>
      </c>
      <c r="R87" s="105">
        <f>R8</f>
        <v>0</v>
      </c>
      <c r="S87" s="105"/>
      <c r="T87" s="105">
        <f>T8</f>
        <v>0</v>
      </c>
      <c r="U87" s="105">
        <f>U8</f>
        <v>0</v>
      </c>
      <c r="V87" s="105">
        <f>V8</f>
        <v>0</v>
      </c>
      <c r="W87" s="105">
        <f>W8</f>
        <v>0</v>
      </c>
      <c r="X87" s="105">
        <f>X8</f>
        <v>0</v>
      </c>
      <c r="Y87" s="105">
        <f>Y8</f>
        <v>0</v>
      </c>
      <c r="Z87" s="105">
        <f>Z8</f>
        <v>0</v>
      </c>
      <c r="AA87" s="105">
        <f>AA8</f>
        <v>0</v>
      </c>
      <c r="AB87" s="103"/>
      <c r="AC87" s="154"/>
    </row>
    <row r="88" spans="1:29" ht="5.0999999999999996" customHeight="1">
      <c r="B88" s="54"/>
      <c r="C88" s="47"/>
      <c r="D88" s="47"/>
      <c r="E88" s="47"/>
      <c r="F88" s="47"/>
    </row>
    <row r="89" spans="1:29" ht="12.75" customHeight="1">
      <c r="B89" s="55" t="s">
        <v>50</v>
      </c>
      <c r="C89" s="56"/>
      <c r="D89" s="56"/>
      <c r="E89" s="56"/>
      <c r="F89" s="56"/>
    </row>
    <row r="90" spans="1:29" ht="12.75" customHeight="1">
      <c r="B90" s="57" t="s">
        <v>115</v>
      </c>
      <c r="C90" s="32">
        <f>C28</f>
        <v>8687</v>
      </c>
      <c r="D90" s="32">
        <f>D28</f>
        <v>9930</v>
      </c>
      <c r="E90" s="32">
        <f>E28</f>
        <v>11195</v>
      </c>
      <c r="F90" s="32">
        <f>F28</f>
        <v>12874</v>
      </c>
      <c r="G90" s="32"/>
      <c r="H90" s="32">
        <f>H28</f>
        <v>2361</v>
      </c>
      <c r="I90" s="32">
        <f>I28</f>
        <v>2845</v>
      </c>
      <c r="J90" s="32">
        <f>J28</f>
        <v>3198</v>
      </c>
      <c r="K90" s="32">
        <f>K28</f>
        <v>2791</v>
      </c>
      <c r="L90" s="32">
        <f>L28</f>
        <v>3011</v>
      </c>
      <c r="M90" s="32">
        <f>M28</f>
        <v>3258</v>
      </c>
      <c r="N90" s="32">
        <f>N28</f>
        <v>3263</v>
      </c>
      <c r="O90" s="32">
        <f>O28</f>
        <v>3342</v>
      </c>
      <c r="P90" s="32">
        <f>P28</f>
        <v>3280</v>
      </c>
      <c r="Q90" s="32">
        <f>Q28</f>
        <v>3701</v>
      </c>
      <c r="R90" s="32">
        <f>R28</f>
        <v>3927</v>
      </c>
      <c r="S90" s="32"/>
      <c r="T90" s="32">
        <f>T28</f>
        <v>11195</v>
      </c>
      <c r="U90" s="32">
        <f>U28</f>
        <v>11845</v>
      </c>
      <c r="V90" s="32">
        <f>V28</f>
        <v>12258</v>
      </c>
      <c r="W90" s="32">
        <f>W28</f>
        <v>12323</v>
      </c>
      <c r="X90" s="32">
        <f>X28</f>
        <v>12874</v>
      </c>
      <c r="Y90" s="32">
        <f>Y28</f>
        <v>13143</v>
      </c>
      <c r="Z90" s="32">
        <f>Z28</f>
        <v>13586</v>
      </c>
      <c r="AA90" s="32">
        <f>AA28</f>
        <v>14250</v>
      </c>
      <c r="AB90" s="11"/>
      <c r="AC90" s="75">
        <f>SUM(AA90/W90)-1</f>
        <v>0.15637425951472861</v>
      </c>
    </row>
    <row r="91" spans="1:29" ht="5.0999999999999996" customHeight="1"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T91" s="32"/>
      <c r="U91" s="32"/>
      <c r="V91" s="32"/>
      <c r="W91" s="32"/>
      <c r="X91" s="32"/>
      <c r="Y91" s="32"/>
      <c r="Z91" s="32"/>
      <c r="AA91" s="32"/>
      <c r="AB91" s="11"/>
      <c r="AC91" s="75"/>
    </row>
    <row r="92" spans="1:29" ht="12.75" customHeight="1">
      <c r="B92" s="36" t="s">
        <v>57</v>
      </c>
      <c r="C92" s="32"/>
      <c r="D92" s="32"/>
      <c r="E92" s="32"/>
      <c r="F92" s="32"/>
      <c r="G92" s="32"/>
      <c r="H92" s="82"/>
      <c r="I92" s="82"/>
      <c r="J92" s="82"/>
      <c r="K92" s="32"/>
      <c r="L92" s="82"/>
      <c r="M92" s="82"/>
      <c r="N92" s="82"/>
      <c r="O92" s="32"/>
      <c r="P92" s="82"/>
      <c r="Q92" s="82"/>
      <c r="R92" s="82"/>
      <c r="T92" s="32"/>
      <c r="U92" s="32"/>
      <c r="V92" s="32"/>
      <c r="W92" s="32"/>
      <c r="X92" s="32"/>
      <c r="Y92" s="32"/>
      <c r="Z92" s="32"/>
      <c r="AA92" s="32"/>
      <c r="AB92" s="59"/>
      <c r="AC92" s="75"/>
    </row>
    <row r="93" spans="1:29" ht="12.75" customHeight="1">
      <c r="B93" s="60" t="s">
        <v>139</v>
      </c>
      <c r="C93" s="82"/>
      <c r="D93" s="82"/>
      <c r="E93" s="82"/>
      <c r="F93" s="82"/>
      <c r="G93" s="32"/>
      <c r="H93" s="82"/>
      <c r="I93" s="82"/>
      <c r="J93" s="82"/>
      <c r="K93" s="32">
        <f>SUM(E93-SUM(H93:J93))</f>
        <v>0</v>
      </c>
      <c r="L93" s="82"/>
      <c r="M93" s="82"/>
      <c r="N93" s="82"/>
      <c r="O93" s="32">
        <f>SUM(F93-SUM(L93:N93))</f>
        <v>0</v>
      </c>
      <c r="P93" s="82"/>
      <c r="Q93" s="82"/>
      <c r="R93" s="82"/>
      <c r="T93" s="32">
        <f>SUM(H93:K93)</f>
        <v>0</v>
      </c>
      <c r="U93" s="32">
        <f>SUM(I93:L93)</f>
        <v>0</v>
      </c>
      <c r="V93" s="32">
        <f>SUM(J93:M93)</f>
        <v>0</v>
      </c>
      <c r="W93" s="32">
        <f>SUM(K93:N93)</f>
        <v>0</v>
      </c>
      <c r="X93" s="32">
        <f>SUM(L93:O93)</f>
        <v>0</v>
      </c>
      <c r="Y93" s="32">
        <f>SUM(M93:P93)</f>
        <v>0</v>
      </c>
      <c r="Z93" s="32">
        <f>SUM(N93:Q93)</f>
        <v>0</v>
      </c>
      <c r="AA93" s="32">
        <f>SUM(O93:R93)</f>
        <v>0</v>
      </c>
      <c r="AB93" s="11"/>
      <c r="AC93" s="75" t="e">
        <f t="shared" ref="AC93:AC99" si="84">SUM(AA93/W93)-1</f>
        <v>#DIV/0!</v>
      </c>
    </row>
    <row r="94" spans="1:29" ht="12.75" customHeight="1">
      <c r="B94" s="60" t="s">
        <v>140</v>
      </c>
      <c r="C94" s="82"/>
      <c r="D94" s="82"/>
      <c r="E94" s="82"/>
      <c r="F94" s="82"/>
      <c r="G94" s="32"/>
      <c r="H94" s="82"/>
      <c r="I94" s="82"/>
      <c r="J94" s="82"/>
      <c r="K94" s="32">
        <f>SUM(E94-SUM(H94:J94))</f>
        <v>0</v>
      </c>
      <c r="L94" s="82"/>
      <c r="M94" s="82"/>
      <c r="N94" s="82"/>
      <c r="O94" s="32">
        <f>SUM(F94-SUM(L94:N94))</f>
        <v>0</v>
      </c>
      <c r="P94" s="82"/>
      <c r="Q94" s="82"/>
      <c r="R94" s="82"/>
      <c r="T94" s="32">
        <f>SUM(H94:K94)</f>
        <v>0</v>
      </c>
      <c r="U94" s="32">
        <f>SUM(I94:L94)</f>
        <v>0</v>
      </c>
      <c r="V94" s="32">
        <f>SUM(J94:M94)</f>
        <v>0</v>
      </c>
      <c r="W94" s="32">
        <f>SUM(K94:N94)</f>
        <v>0</v>
      </c>
      <c r="X94" s="32">
        <f>SUM(L94:O94)</f>
        <v>0</v>
      </c>
      <c r="Y94" s="32">
        <f>SUM(M94:P94)</f>
        <v>0</v>
      </c>
      <c r="Z94" s="32">
        <f>SUM(N94:Q94)</f>
        <v>0</v>
      </c>
      <c r="AA94" s="32">
        <f>SUM(O94:R94)</f>
        <v>0</v>
      </c>
      <c r="AB94" s="11"/>
      <c r="AC94" s="75" t="e">
        <f t="shared" ref="AC94" si="85">SUM(AA94/W94)-1</f>
        <v>#DIV/0!</v>
      </c>
    </row>
    <row r="95" spans="1:29" ht="12.75" customHeight="1">
      <c r="B95" s="60" t="s">
        <v>141</v>
      </c>
      <c r="C95" s="82"/>
      <c r="D95" s="82"/>
      <c r="E95" s="82"/>
      <c r="F95" s="82"/>
      <c r="G95" s="32"/>
      <c r="H95" s="82"/>
      <c r="I95" s="82"/>
      <c r="J95" s="82"/>
      <c r="K95" s="32">
        <f>SUM(E95-SUM(H95:J95))</f>
        <v>0</v>
      </c>
      <c r="L95" s="82"/>
      <c r="M95" s="82"/>
      <c r="N95" s="82"/>
      <c r="O95" s="32">
        <f>SUM(F95-SUM(L95:N95))</f>
        <v>0</v>
      </c>
      <c r="P95" s="82"/>
      <c r="Q95" s="82"/>
      <c r="R95" s="82"/>
      <c r="T95" s="32">
        <f>SUM(H95:K95)</f>
        <v>0</v>
      </c>
      <c r="U95" s="32">
        <f>SUM(I95:L95)</f>
        <v>0</v>
      </c>
      <c r="V95" s="32">
        <f>SUM(J95:M95)</f>
        <v>0</v>
      </c>
      <c r="W95" s="32">
        <f>SUM(K95:N95)</f>
        <v>0</v>
      </c>
      <c r="X95" s="32">
        <f>SUM(L95:O95)</f>
        <v>0</v>
      </c>
      <c r="Y95" s="32">
        <f>SUM(M95:P95)</f>
        <v>0</v>
      </c>
      <c r="Z95" s="32">
        <f>SUM(N95:Q95)</f>
        <v>0</v>
      </c>
      <c r="AA95" s="32">
        <f>SUM(O95:R95)</f>
        <v>0</v>
      </c>
      <c r="AB95" s="11"/>
      <c r="AC95" s="75" t="e">
        <f t="shared" si="84"/>
        <v>#DIV/0!</v>
      </c>
    </row>
    <row r="96" spans="1:29" ht="12.75" customHeight="1">
      <c r="B96" s="60" t="s">
        <v>142</v>
      </c>
      <c r="C96" s="82"/>
      <c r="D96" s="82"/>
      <c r="E96" s="82"/>
      <c r="F96" s="82"/>
      <c r="G96" s="32"/>
      <c r="H96" s="82"/>
      <c r="I96" s="82"/>
      <c r="J96" s="82"/>
      <c r="K96" s="32">
        <f>SUM(E96-SUM(H96:J96))</f>
        <v>0</v>
      </c>
      <c r="L96" s="82"/>
      <c r="M96" s="82"/>
      <c r="N96" s="82"/>
      <c r="O96" s="32">
        <f>SUM(F96-SUM(L96:N96))</f>
        <v>0</v>
      </c>
      <c r="P96" s="82"/>
      <c r="Q96" s="82"/>
      <c r="R96" s="82"/>
      <c r="T96" s="32">
        <f>SUM(H96:K96)</f>
        <v>0</v>
      </c>
      <c r="U96" s="32">
        <f>SUM(I96:L96)</f>
        <v>0</v>
      </c>
      <c r="V96" s="32">
        <f>SUM(J96:M96)</f>
        <v>0</v>
      </c>
      <c r="W96" s="32">
        <f>SUM(K96:N96)</f>
        <v>0</v>
      </c>
      <c r="X96" s="32">
        <f>SUM(L96:O96)</f>
        <v>0</v>
      </c>
      <c r="Y96" s="32">
        <f>SUM(M96:P96)</f>
        <v>0</v>
      </c>
      <c r="Z96" s="32">
        <f>SUM(N96:Q96)</f>
        <v>0</v>
      </c>
      <c r="AA96" s="32">
        <f>SUM(O96:R96)</f>
        <v>0</v>
      </c>
      <c r="AB96" s="11"/>
      <c r="AC96" s="75" t="e">
        <f t="shared" si="84"/>
        <v>#DIV/0!</v>
      </c>
    </row>
    <row r="97" spans="2:29" ht="12.75" customHeight="1">
      <c r="B97" s="60" t="s">
        <v>143</v>
      </c>
      <c r="C97" s="82"/>
      <c r="D97" s="82"/>
      <c r="E97" s="82"/>
      <c r="F97" s="82"/>
      <c r="G97" s="32"/>
      <c r="H97" s="82"/>
      <c r="I97" s="82"/>
      <c r="J97" s="82"/>
      <c r="K97" s="32">
        <f>SUM(E97-SUM(H97:J97))</f>
        <v>0</v>
      </c>
      <c r="L97" s="82"/>
      <c r="M97" s="82"/>
      <c r="N97" s="82"/>
      <c r="O97" s="32">
        <f>SUM(F97-SUM(L97:N97))</f>
        <v>0</v>
      </c>
      <c r="P97" s="82"/>
      <c r="Q97" s="82"/>
      <c r="R97" s="82"/>
      <c r="T97" s="32">
        <f>SUM(H97:K97)</f>
        <v>0</v>
      </c>
      <c r="U97" s="32">
        <f>SUM(I97:L97)</f>
        <v>0</v>
      </c>
      <c r="V97" s="32">
        <f>SUM(J97:M97)</f>
        <v>0</v>
      </c>
      <c r="W97" s="32">
        <f>SUM(K97:N97)</f>
        <v>0</v>
      </c>
      <c r="X97" s="32">
        <f>SUM(L97:O97)</f>
        <v>0</v>
      </c>
      <c r="Y97" s="32">
        <f>SUM(M97:P97)</f>
        <v>0</v>
      </c>
      <c r="Z97" s="32">
        <f>SUM(N97:Q97)</f>
        <v>0</v>
      </c>
      <c r="AA97" s="32">
        <f>SUM(O97:R97)</f>
        <v>0</v>
      </c>
      <c r="AB97" s="11"/>
      <c r="AC97" s="75" t="e">
        <f t="shared" si="84"/>
        <v>#DIV/0!</v>
      </c>
    </row>
    <row r="98" spans="2:29" ht="12.75" customHeight="1">
      <c r="B98" s="60" t="s">
        <v>144</v>
      </c>
      <c r="C98" s="82"/>
      <c r="D98" s="82"/>
      <c r="E98" s="82"/>
      <c r="F98" s="82"/>
      <c r="G98" s="32"/>
      <c r="H98" s="82"/>
      <c r="I98" s="82"/>
      <c r="J98" s="82"/>
      <c r="K98" s="32">
        <f>SUM(E98-SUM(H98:J98))</f>
        <v>0</v>
      </c>
      <c r="L98" s="82"/>
      <c r="M98" s="82"/>
      <c r="N98" s="82"/>
      <c r="O98" s="32">
        <f>SUM(F98-SUM(L98:N98))</f>
        <v>0</v>
      </c>
      <c r="P98" s="82"/>
      <c r="Q98" s="82"/>
      <c r="R98" s="82"/>
      <c r="T98" s="32">
        <f>SUM(H98:K98)</f>
        <v>0</v>
      </c>
      <c r="U98" s="32">
        <f>SUM(I98:L98)</f>
        <v>0</v>
      </c>
      <c r="V98" s="32">
        <f>SUM(J98:M98)</f>
        <v>0</v>
      </c>
      <c r="W98" s="32">
        <f>SUM(K98:N98)</f>
        <v>0</v>
      </c>
      <c r="X98" s="32">
        <f>SUM(L98:O98)</f>
        <v>0</v>
      </c>
      <c r="Y98" s="32">
        <f>SUM(M98:P98)</f>
        <v>0</v>
      </c>
      <c r="Z98" s="32">
        <f>SUM(N98:Q98)</f>
        <v>0</v>
      </c>
      <c r="AA98" s="32">
        <f>SUM(O98:R98)</f>
        <v>0</v>
      </c>
      <c r="AB98" s="11"/>
      <c r="AC98" s="75" t="e">
        <f t="shared" si="84"/>
        <v>#DIV/0!</v>
      </c>
    </row>
    <row r="99" spans="2:29" ht="12.75" customHeight="1">
      <c r="B99" s="13" t="s">
        <v>51</v>
      </c>
      <c r="C99" s="14">
        <f t="shared" ref="C99:F99" si="86">SUM(C90:C98)</f>
        <v>8687</v>
      </c>
      <c r="D99" s="14">
        <f t="shared" si="86"/>
        <v>9930</v>
      </c>
      <c r="E99" s="14">
        <f t="shared" si="86"/>
        <v>11195</v>
      </c>
      <c r="F99" s="14">
        <f t="shared" si="86"/>
        <v>12874</v>
      </c>
      <c r="H99" s="14">
        <f t="shared" ref="H99:R99" si="87">SUM(H90:H98)</f>
        <v>2361</v>
      </c>
      <c r="I99" s="14">
        <f t="shared" si="87"/>
        <v>2845</v>
      </c>
      <c r="J99" s="14">
        <f t="shared" si="87"/>
        <v>3198</v>
      </c>
      <c r="K99" s="14">
        <f t="shared" si="87"/>
        <v>2791</v>
      </c>
      <c r="L99" s="14">
        <f t="shared" si="87"/>
        <v>3011</v>
      </c>
      <c r="M99" s="14">
        <f t="shared" si="87"/>
        <v>3258</v>
      </c>
      <c r="N99" s="14">
        <f t="shared" si="87"/>
        <v>3263</v>
      </c>
      <c r="O99" s="14">
        <f t="shared" si="87"/>
        <v>3342</v>
      </c>
      <c r="P99" s="14">
        <f t="shared" si="87"/>
        <v>3280</v>
      </c>
      <c r="Q99" s="14">
        <f t="shared" si="87"/>
        <v>3701</v>
      </c>
      <c r="R99" s="14">
        <f t="shared" si="87"/>
        <v>3927</v>
      </c>
      <c r="T99" s="14">
        <f t="shared" ref="T99:AA99" si="88">SUM(T90:T98)</f>
        <v>11195</v>
      </c>
      <c r="U99" s="14">
        <f t="shared" si="88"/>
        <v>11845</v>
      </c>
      <c r="V99" s="14">
        <f t="shared" si="88"/>
        <v>12258</v>
      </c>
      <c r="W99" s="14">
        <f t="shared" si="88"/>
        <v>12323</v>
      </c>
      <c r="X99" s="14">
        <f t="shared" si="88"/>
        <v>12874</v>
      </c>
      <c r="Y99" s="14">
        <f t="shared" si="88"/>
        <v>13143</v>
      </c>
      <c r="Z99" s="14">
        <f t="shared" si="88"/>
        <v>13586</v>
      </c>
      <c r="AA99" s="14">
        <f t="shared" si="88"/>
        <v>14250</v>
      </c>
      <c r="AB99" s="42"/>
      <c r="AC99" s="76">
        <f t="shared" si="84"/>
        <v>0.15637425951472861</v>
      </c>
    </row>
    <row r="100" spans="2:29" ht="12.75" customHeight="1">
      <c r="B100" s="53"/>
      <c r="C100" s="61"/>
      <c r="D100" s="61"/>
      <c r="E100" s="61"/>
      <c r="F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T100" s="42"/>
      <c r="U100" s="42"/>
      <c r="V100" s="42"/>
      <c r="W100" s="42"/>
      <c r="X100" s="42"/>
      <c r="Y100" s="42"/>
      <c r="Z100" s="42"/>
      <c r="AA100" s="42"/>
      <c r="AB100" s="42"/>
      <c r="AC100" s="39"/>
    </row>
    <row r="101" spans="2:29" ht="12.75" customHeight="1">
      <c r="B101" s="53" t="s">
        <v>52</v>
      </c>
      <c r="C101" s="58"/>
      <c r="D101" s="58"/>
      <c r="E101" s="58"/>
      <c r="F101" s="58"/>
      <c r="H101" s="82"/>
      <c r="I101" s="82"/>
      <c r="J101" s="82"/>
      <c r="K101" s="32"/>
      <c r="L101" s="82"/>
      <c r="M101" s="82"/>
      <c r="N101" s="82"/>
      <c r="O101" s="32"/>
      <c r="P101" s="58"/>
      <c r="Q101" s="58"/>
      <c r="R101" s="58"/>
      <c r="T101" s="58"/>
      <c r="U101" s="58"/>
      <c r="V101" s="58"/>
      <c r="W101" s="58"/>
      <c r="X101" s="58"/>
      <c r="Y101" s="58"/>
      <c r="Z101" s="58"/>
      <c r="AA101" s="58"/>
      <c r="AB101" s="59"/>
      <c r="AC101" s="75"/>
    </row>
    <row r="102" spans="2:29" ht="12.75" customHeight="1">
      <c r="B102" s="60" t="s">
        <v>145</v>
      </c>
      <c r="C102" s="82"/>
      <c r="D102" s="82"/>
      <c r="E102" s="82"/>
      <c r="F102" s="82"/>
      <c r="G102" s="32"/>
      <c r="H102" s="82"/>
      <c r="I102" s="82"/>
      <c r="J102" s="82"/>
      <c r="K102" s="32">
        <f>SUM(E102-SUM(H102:J102))</f>
        <v>0</v>
      </c>
      <c r="L102" s="82"/>
      <c r="M102" s="82"/>
      <c r="N102" s="82"/>
      <c r="O102" s="32">
        <f>SUM(F102-SUM(L102:N102))</f>
        <v>0</v>
      </c>
      <c r="P102" s="82"/>
      <c r="Q102" s="82"/>
      <c r="R102" s="82"/>
      <c r="S102" s="32"/>
      <c r="T102" s="32">
        <f>SUM(H102:K102)</f>
        <v>0</v>
      </c>
      <c r="U102" s="32">
        <f>SUM(I102:L102)</f>
        <v>0</v>
      </c>
      <c r="V102" s="32">
        <f>SUM(J102:M102)</f>
        <v>0</v>
      </c>
      <c r="W102" s="32">
        <f>SUM(K102:N102)</f>
        <v>0</v>
      </c>
      <c r="X102" s="32">
        <f>SUM(L102:O102)</f>
        <v>0</v>
      </c>
      <c r="Y102" s="32">
        <f>SUM(M102:P102)</f>
        <v>0</v>
      </c>
      <c r="Z102" s="32">
        <f>SUM(N102:Q102)</f>
        <v>0</v>
      </c>
      <c r="AA102" s="32">
        <f>SUM(O102:R102)</f>
        <v>0</v>
      </c>
      <c r="AB102" s="59"/>
      <c r="AC102" s="75" t="e">
        <f t="shared" ref="AC102:AC105" si="89">SUM(AA102/W102)-1</f>
        <v>#DIV/0!</v>
      </c>
    </row>
    <row r="103" spans="2:29" ht="12.75" customHeight="1">
      <c r="B103" s="60" t="s">
        <v>146</v>
      </c>
      <c r="C103" s="82"/>
      <c r="D103" s="82"/>
      <c r="E103" s="82"/>
      <c r="F103" s="82"/>
      <c r="G103" s="32"/>
      <c r="H103" s="82"/>
      <c r="I103" s="82"/>
      <c r="J103" s="82"/>
      <c r="K103" s="32">
        <f>SUM(E103-SUM(H103:J103))</f>
        <v>0</v>
      </c>
      <c r="L103" s="82"/>
      <c r="M103" s="82"/>
      <c r="N103" s="82"/>
      <c r="O103" s="32">
        <f>SUM(F103-SUM(L103:N103))</f>
        <v>0</v>
      </c>
      <c r="P103" s="82"/>
      <c r="Q103" s="82"/>
      <c r="R103" s="82"/>
      <c r="S103" s="32"/>
      <c r="T103" s="32">
        <f>SUM(H103:K103)</f>
        <v>0</v>
      </c>
      <c r="U103" s="32">
        <f>SUM(I103:L103)</f>
        <v>0</v>
      </c>
      <c r="V103" s="32">
        <f>SUM(J103:M103)</f>
        <v>0</v>
      </c>
      <c r="W103" s="32">
        <f>SUM(K103:N103)</f>
        <v>0</v>
      </c>
      <c r="X103" s="32">
        <f>SUM(L103:O103)</f>
        <v>0</v>
      </c>
      <c r="Y103" s="32">
        <f>SUM(M103:P103)</f>
        <v>0</v>
      </c>
      <c r="Z103" s="32">
        <f>SUM(N103:Q103)</f>
        <v>0</v>
      </c>
      <c r="AA103" s="32">
        <f>SUM(O103:R103)</f>
        <v>0</v>
      </c>
      <c r="AB103" s="59"/>
      <c r="AC103" s="75" t="e">
        <f t="shared" si="89"/>
        <v>#DIV/0!</v>
      </c>
    </row>
    <row r="104" spans="2:29" ht="12.75" customHeight="1">
      <c r="B104" s="60" t="s">
        <v>147</v>
      </c>
      <c r="C104" s="82"/>
      <c r="D104" s="82"/>
      <c r="E104" s="82"/>
      <c r="F104" s="82"/>
      <c r="G104" s="32"/>
      <c r="H104" s="82"/>
      <c r="I104" s="82"/>
      <c r="J104" s="82"/>
      <c r="K104" s="32">
        <f>SUM(E104-SUM(H104:J104))</f>
        <v>0</v>
      </c>
      <c r="L104" s="82"/>
      <c r="M104" s="82"/>
      <c r="N104" s="82"/>
      <c r="O104" s="32">
        <f>SUM(F104-SUM(L104:N104))</f>
        <v>0</v>
      </c>
      <c r="P104" s="82"/>
      <c r="Q104" s="82"/>
      <c r="R104" s="82"/>
      <c r="S104" s="32"/>
      <c r="T104" s="32">
        <f>SUM(H104:K104)</f>
        <v>0</v>
      </c>
      <c r="U104" s="32">
        <f>SUM(I104:L104)</f>
        <v>0</v>
      </c>
      <c r="V104" s="32">
        <f>SUM(J104:M104)</f>
        <v>0</v>
      </c>
      <c r="W104" s="32">
        <f>SUM(K104:N104)</f>
        <v>0</v>
      </c>
      <c r="X104" s="32">
        <f>SUM(L104:O104)</f>
        <v>0</v>
      </c>
      <c r="Y104" s="32">
        <f>SUM(M104:P104)</f>
        <v>0</v>
      </c>
      <c r="Z104" s="32">
        <f>SUM(N104:Q104)</f>
        <v>0</v>
      </c>
      <c r="AA104" s="32">
        <f>SUM(O104:R104)</f>
        <v>0</v>
      </c>
      <c r="AB104" s="59"/>
      <c r="AC104" s="75" t="e">
        <f t="shared" si="89"/>
        <v>#DIV/0!</v>
      </c>
    </row>
    <row r="105" spans="2:29" ht="12.75" customHeight="1">
      <c r="B105" s="60" t="s">
        <v>148</v>
      </c>
      <c r="C105" s="82"/>
      <c r="D105" s="82"/>
      <c r="E105" s="82"/>
      <c r="F105" s="82"/>
      <c r="G105" s="32"/>
      <c r="H105" s="82"/>
      <c r="I105" s="82"/>
      <c r="J105" s="82"/>
      <c r="K105" s="32">
        <f>SUM(E105-SUM(H105:J105))</f>
        <v>0</v>
      </c>
      <c r="L105" s="82"/>
      <c r="M105" s="82"/>
      <c r="N105" s="82"/>
      <c r="O105" s="32">
        <f>SUM(F105-SUM(L105:N105))</f>
        <v>0</v>
      </c>
      <c r="P105" s="82"/>
      <c r="Q105" s="82"/>
      <c r="R105" s="82"/>
      <c r="S105" s="32"/>
      <c r="T105" s="32">
        <f>SUM(H105:K105)</f>
        <v>0</v>
      </c>
      <c r="U105" s="32">
        <f>SUM(I105:L105)</f>
        <v>0</v>
      </c>
      <c r="V105" s="32">
        <f>SUM(J105:M105)</f>
        <v>0</v>
      </c>
      <c r="W105" s="32">
        <f>SUM(K105:N105)</f>
        <v>0</v>
      </c>
      <c r="X105" s="32">
        <f>SUM(L105:O105)</f>
        <v>0</v>
      </c>
      <c r="Y105" s="32">
        <f>SUM(M105:P105)</f>
        <v>0</v>
      </c>
      <c r="Z105" s="32">
        <f>SUM(N105:Q105)</f>
        <v>0</v>
      </c>
      <c r="AA105" s="32">
        <f>SUM(O105:R105)</f>
        <v>0</v>
      </c>
      <c r="AB105" s="59"/>
      <c r="AC105" s="75" t="e">
        <f t="shared" si="89"/>
        <v>#DIV/0!</v>
      </c>
    </row>
    <row r="106" spans="2:29" ht="12.75" customHeight="1">
      <c r="B106" s="13" t="s">
        <v>53</v>
      </c>
      <c r="C106" s="14">
        <f t="shared" ref="C106:F106" si="90">SUM(C102:C105)</f>
        <v>0</v>
      </c>
      <c r="D106" s="14">
        <f t="shared" si="90"/>
        <v>0</v>
      </c>
      <c r="E106" s="14">
        <f t="shared" si="90"/>
        <v>0</v>
      </c>
      <c r="F106" s="14">
        <f t="shared" si="90"/>
        <v>0</v>
      </c>
      <c r="H106" s="14">
        <f t="shared" ref="H106:R106" si="91">SUM(H102:H105)</f>
        <v>0</v>
      </c>
      <c r="I106" s="14">
        <f t="shared" si="91"/>
        <v>0</v>
      </c>
      <c r="J106" s="14">
        <f t="shared" si="91"/>
        <v>0</v>
      </c>
      <c r="K106" s="14">
        <f t="shared" si="91"/>
        <v>0</v>
      </c>
      <c r="L106" s="14">
        <f t="shared" si="91"/>
        <v>0</v>
      </c>
      <c r="M106" s="14">
        <f t="shared" si="91"/>
        <v>0</v>
      </c>
      <c r="N106" s="14">
        <f t="shared" si="91"/>
        <v>0</v>
      </c>
      <c r="O106" s="14">
        <f t="shared" si="91"/>
        <v>0</v>
      </c>
      <c r="P106" s="14">
        <f t="shared" si="91"/>
        <v>0</v>
      </c>
      <c r="Q106" s="14">
        <f t="shared" si="91"/>
        <v>0</v>
      </c>
      <c r="R106" s="14">
        <f t="shared" si="91"/>
        <v>0</v>
      </c>
      <c r="T106" s="14">
        <f t="shared" ref="T106:AA106" si="92">SUM(T105:T105)</f>
        <v>0</v>
      </c>
      <c r="U106" s="14">
        <f t="shared" si="92"/>
        <v>0</v>
      </c>
      <c r="V106" s="14">
        <f t="shared" si="92"/>
        <v>0</v>
      </c>
      <c r="W106" s="14">
        <f t="shared" si="92"/>
        <v>0</v>
      </c>
      <c r="X106" s="14">
        <f t="shared" si="92"/>
        <v>0</v>
      </c>
      <c r="Y106" s="14">
        <f t="shared" si="92"/>
        <v>0</v>
      </c>
      <c r="Z106" s="14">
        <f t="shared" si="92"/>
        <v>0</v>
      </c>
      <c r="AA106" s="14">
        <f t="shared" si="92"/>
        <v>0</v>
      </c>
      <c r="AB106" s="42"/>
      <c r="AC106" s="76" t="e">
        <f t="shared" ref="AC106:AC112" si="93">SUM(AA106/W106)-1</f>
        <v>#DIV/0!</v>
      </c>
    </row>
    <row r="107" spans="2:29" ht="5.0999999999999996" customHeight="1">
      <c r="B107" s="52"/>
      <c r="C107" s="61"/>
      <c r="D107" s="61"/>
      <c r="E107" s="61"/>
      <c r="F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T107" s="42"/>
      <c r="U107" s="42"/>
      <c r="V107" s="42"/>
      <c r="W107" s="42"/>
      <c r="X107" s="42"/>
      <c r="Y107" s="42"/>
      <c r="Z107" s="42"/>
      <c r="AA107" s="42"/>
      <c r="AB107" s="42"/>
      <c r="AC107" s="39"/>
    </row>
    <row r="108" spans="2:29" ht="12.75" customHeight="1">
      <c r="B108" s="53" t="s">
        <v>54</v>
      </c>
      <c r="C108" s="63"/>
      <c r="D108" s="63"/>
      <c r="E108" s="63"/>
      <c r="F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32"/>
      <c r="T108" s="32"/>
      <c r="U108" s="32"/>
      <c r="V108" s="32"/>
      <c r="W108" s="32"/>
      <c r="X108" s="32"/>
      <c r="Y108" s="32"/>
      <c r="Z108" s="32"/>
      <c r="AA108" s="32"/>
      <c r="AB108" s="64"/>
      <c r="AC108" s="75"/>
    </row>
    <row r="109" spans="2:29" ht="12.75" customHeight="1">
      <c r="B109" s="84" t="s">
        <v>149</v>
      </c>
      <c r="C109" s="82"/>
      <c r="D109" s="82"/>
      <c r="E109" s="82"/>
      <c r="F109" s="82"/>
      <c r="H109" s="82"/>
      <c r="I109" s="82"/>
      <c r="J109" s="82"/>
      <c r="K109" s="32">
        <f>SUM(E109-SUM(H109:J109))</f>
        <v>0</v>
      </c>
      <c r="L109" s="82"/>
      <c r="M109" s="82"/>
      <c r="N109" s="82"/>
      <c r="O109" s="32">
        <f>SUM(F109-SUM(L109:N109))</f>
        <v>0</v>
      </c>
      <c r="P109" s="82"/>
      <c r="Q109" s="82"/>
      <c r="R109" s="82"/>
      <c r="S109" s="32"/>
      <c r="T109" s="32">
        <f>SUM(H109:K109)</f>
        <v>0</v>
      </c>
      <c r="U109" s="32">
        <f>SUM(I109:L109)</f>
        <v>0</v>
      </c>
      <c r="V109" s="32">
        <f>SUM(J109:M109)</f>
        <v>0</v>
      </c>
      <c r="W109" s="32">
        <f>SUM(K109:N109)</f>
        <v>0</v>
      </c>
      <c r="X109" s="32">
        <f>SUM(L109:O109)</f>
        <v>0</v>
      </c>
      <c r="Y109" s="32">
        <f>SUM(M109:P109)</f>
        <v>0</v>
      </c>
      <c r="Z109" s="32">
        <f>SUM(N109:Q109)</f>
        <v>0</v>
      </c>
      <c r="AA109" s="32">
        <f>SUM(O109:R109)</f>
        <v>0</v>
      </c>
      <c r="AB109" s="64"/>
      <c r="AC109" s="75" t="e">
        <f t="shared" si="93"/>
        <v>#DIV/0!</v>
      </c>
    </row>
    <row r="110" spans="2:29" ht="12.75" customHeight="1">
      <c r="B110" s="84" t="s">
        <v>150</v>
      </c>
      <c r="C110" s="82"/>
      <c r="D110" s="82"/>
      <c r="E110" s="82"/>
      <c r="F110" s="82"/>
      <c r="H110" s="82"/>
      <c r="I110" s="82"/>
      <c r="J110" s="82"/>
      <c r="K110" s="32">
        <f>SUM(E110-SUM(H110:J110))</f>
        <v>0</v>
      </c>
      <c r="L110" s="82"/>
      <c r="M110" s="82"/>
      <c r="N110" s="82"/>
      <c r="O110" s="32">
        <f>SUM(F110-SUM(L110:N110))</f>
        <v>0</v>
      </c>
      <c r="P110" s="82"/>
      <c r="Q110" s="82"/>
      <c r="R110" s="82"/>
      <c r="S110" s="32"/>
      <c r="T110" s="32">
        <f>SUM(H110:K110)</f>
        <v>0</v>
      </c>
      <c r="U110" s="32">
        <f>SUM(I110:L110)</f>
        <v>0</v>
      </c>
      <c r="V110" s="32">
        <f>SUM(J110:M110)</f>
        <v>0</v>
      </c>
      <c r="W110" s="32">
        <f>SUM(K110:N110)</f>
        <v>0</v>
      </c>
      <c r="X110" s="32">
        <f>SUM(L110:O110)</f>
        <v>0</v>
      </c>
      <c r="Y110" s="32">
        <f>SUM(M110:P110)</f>
        <v>0</v>
      </c>
      <c r="Z110" s="32">
        <f>SUM(N110:Q110)</f>
        <v>0</v>
      </c>
      <c r="AA110" s="32">
        <f>SUM(O110:R110)</f>
        <v>0</v>
      </c>
      <c r="AB110" s="64"/>
      <c r="AC110" s="75" t="e">
        <f t="shared" ref="AC110" si="94">SUM(AA110/W110)-1</f>
        <v>#DIV/0!</v>
      </c>
    </row>
    <row r="111" spans="2:29" ht="12.75" customHeight="1">
      <c r="B111" s="84" t="s">
        <v>151</v>
      </c>
      <c r="C111" s="82"/>
      <c r="D111" s="82"/>
      <c r="E111" s="82"/>
      <c r="F111" s="82"/>
      <c r="H111" s="82"/>
      <c r="I111" s="82"/>
      <c r="J111" s="82"/>
      <c r="K111" s="32">
        <f>SUM(E111-SUM(H111:J111))</f>
        <v>0</v>
      </c>
      <c r="L111" s="82"/>
      <c r="M111" s="82"/>
      <c r="N111" s="82"/>
      <c r="O111" s="32">
        <f>SUM(F111-SUM(L111:N111))</f>
        <v>0</v>
      </c>
      <c r="P111" s="82"/>
      <c r="Q111" s="82"/>
      <c r="R111" s="82"/>
      <c r="S111" s="32"/>
      <c r="T111" s="32">
        <f>SUM(H111:K111)</f>
        <v>0</v>
      </c>
      <c r="U111" s="32">
        <f>SUM(I111:L111)</f>
        <v>0</v>
      </c>
      <c r="V111" s="32">
        <f>SUM(J111:M111)</f>
        <v>0</v>
      </c>
      <c r="W111" s="32">
        <f>SUM(K111:N111)</f>
        <v>0</v>
      </c>
      <c r="X111" s="32">
        <f>SUM(L111:O111)</f>
        <v>0</v>
      </c>
      <c r="Y111" s="32">
        <f>SUM(M111:P111)</f>
        <v>0</v>
      </c>
      <c r="Z111" s="32">
        <f>SUM(N111:Q111)</f>
        <v>0</v>
      </c>
      <c r="AA111" s="32">
        <f>SUM(O111:R111)</f>
        <v>0</v>
      </c>
      <c r="AB111" s="64"/>
      <c r="AC111" s="75" t="e">
        <f t="shared" si="93"/>
        <v>#DIV/0!</v>
      </c>
    </row>
    <row r="112" spans="2:29" ht="12.75" customHeight="1">
      <c r="B112" s="13" t="s">
        <v>55</v>
      </c>
      <c r="C112" s="14">
        <f t="shared" ref="C112:F112" si="95">SUM(C109:C111)</f>
        <v>0</v>
      </c>
      <c r="D112" s="14">
        <f t="shared" si="95"/>
        <v>0</v>
      </c>
      <c r="E112" s="14">
        <f t="shared" si="95"/>
        <v>0</v>
      </c>
      <c r="F112" s="14">
        <f t="shared" si="95"/>
        <v>0</v>
      </c>
      <c r="H112" s="14">
        <f t="shared" ref="H112:R112" si="96">SUM(H109:H111)</f>
        <v>0</v>
      </c>
      <c r="I112" s="14">
        <f t="shared" si="96"/>
        <v>0</v>
      </c>
      <c r="J112" s="14">
        <f t="shared" si="96"/>
        <v>0</v>
      </c>
      <c r="K112" s="14">
        <f t="shared" si="96"/>
        <v>0</v>
      </c>
      <c r="L112" s="14">
        <f t="shared" si="96"/>
        <v>0</v>
      </c>
      <c r="M112" s="14">
        <f t="shared" si="96"/>
        <v>0</v>
      </c>
      <c r="N112" s="14">
        <f t="shared" si="96"/>
        <v>0</v>
      </c>
      <c r="O112" s="14">
        <f t="shared" si="96"/>
        <v>0</v>
      </c>
      <c r="P112" s="14">
        <f t="shared" si="96"/>
        <v>0</v>
      </c>
      <c r="Q112" s="14">
        <f t="shared" si="96"/>
        <v>0</v>
      </c>
      <c r="R112" s="14">
        <f t="shared" si="96"/>
        <v>0</v>
      </c>
      <c r="T112" s="14">
        <f t="shared" ref="T112:AA112" si="97">SUM(T109:T111)</f>
        <v>0</v>
      </c>
      <c r="U112" s="14">
        <f t="shared" si="97"/>
        <v>0</v>
      </c>
      <c r="V112" s="14">
        <f t="shared" si="97"/>
        <v>0</v>
      </c>
      <c r="W112" s="14">
        <f t="shared" si="97"/>
        <v>0</v>
      </c>
      <c r="X112" s="14">
        <f t="shared" si="97"/>
        <v>0</v>
      </c>
      <c r="Y112" s="14">
        <f t="shared" si="97"/>
        <v>0</v>
      </c>
      <c r="Z112" s="14">
        <f t="shared" si="97"/>
        <v>0</v>
      </c>
      <c r="AA112" s="14">
        <f t="shared" si="97"/>
        <v>0</v>
      </c>
      <c r="AB112" s="42"/>
      <c r="AC112" s="76" t="e">
        <f t="shared" si="93"/>
        <v>#DIV/0!</v>
      </c>
    </row>
    <row r="113" spans="2:29" ht="5.0999999999999996" customHeight="1">
      <c r="B113" s="71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11"/>
      <c r="AC113" s="45"/>
    </row>
    <row r="114" spans="2:29">
      <c r="B114" s="92" t="s">
        <v>81</v>
      </c>
      <c r="C114" s="93"/>
      <c r="D114" s="93">
        <f t="shared" ref="D114:F114" si="98">C121</f>
        <v>8687</v>
      </c>
      <c r="E114" s="93">
        <f t="shared" si="98"/>
        <v>18617</v>
      </c>
      <c r="F114" s="93">
        <f t="shared" si="98"/>
        <v>29812</v>
      </c>
      <c r="G114" s="93"/>
      <c r="H114" s="93"/>
      <c r="I114" s="93">
        <f t="shared" ref="I114:R114" si="99">H121</f>
        <v>2361</v>
      </c>
      <c r="J114" s="93">
        <f t="shared" si="99"/>
        <v>5206</v>
      </c>
      <c r="K114" s="93">
        <f t="shared" si="99"/>
        <v>8404</v>
      </c>
      <c r="L114" s="93">
        <f t="shared" si="99"/>
        <v>11195</v>
      </c>
      <c r="M114" s="93">
        <f t="shared" si="99"/>
        <v>14206</v>
      </c>
      <c r="N114" s="93">
        <f t="shared" si="99"/>
        <v>17464</v>
      </c>
      <c r="O114" s="93">
        <f t="shared" si="99"/>
        <v>20727</v>
      </c>
      <c r="P114" s="93">
        <f t="shared" si="99"/>
        <v>24069</v>
      </c>
      <c r="Q114" s="93">
        <f t="shared" si="99"/>
        <v>27349</v>
      </c>
      <c r="R114" s="93">
        <f t="shared" si="99"/>
        <v>31050</v>
      </c>
      <c r="S114" s="93"/>
      <c r="T114" s="93"/>
      <c r="U114" s="93">
        <f>H121</f>
        <v>2361</v>
      </c>
      <c r="V114" s="93">
        <f>I121</f>
        <v>5206</v>
      </c>
      <c r="W114" s="93">
        <f>J121</f>
        <v>8404</v>
      </c>
      <c r="X114" s="93">
        <f>K121</f>
        <v>11195</v>
      </c>
      <c r="Y114" s="93">
        <f>L121</f>
        <v>14206</v>
      </c>
      <c r="Z114" s="93">
        <f>M121</f>
        <v>17464</v>
      </c>
      <c r="AA114" s="140">
        <f>N121</f>
        <v>20727</v>
      </c>
      <c r="AB114" s="11"/>
      <c r="AC114" s="45"/>
    </row>
    <row r="115" spans="2:29">
      <c r="B115" s="130" t="s">
        <v>94</v>
      </c>
      <c r="C115" s="32"/>
      <c r="D115" s="32">
        <f t="shared" ref="D115:F115" si="100">-C119</f>
        <v>0</v>
      </c>
      <c r="E115" s="32">
        <f t="shared" si="100"/>
        <v>0</v>
      </c>
      <c r="F115" s="32">
        <f t="shared" si="100"/>
        <v>0</v>
      </c>
      <c r="G115" s="32"/>
      <c r="H115" s="32"/>
      <c r="I115" s="32">
        <f t="shared" ref="I115:R115" si="101">-H119</f>
        <v>0</v>
      </c>
      <c r="J115" s="32">
        <f t="shared" si="101"/>
        <v>0</v>
      </c>
      <c r="K115" s="32">
        <f t="shared" si="101"/>
        <v>0</v>
      </c>
      <c r="L115" s="32">
        <f t="shared" si="101"/>
        <v>0</v>
      </c>
      <c r="M115" s="32">
        <f t="shared" si="101"/>
        <v>0</v>
      </c>
      <c r="N115" s="32">
        <f t="shared" si="101"/>
        <v>0</v>
      </c>
      <c r="O115" s="32">
        <f t="shared" si="101"/>
        <v>0</v>
      </c>
      <c r="P115" s="32">
        <f t="shared" si="101"/>
        <v>0</v>
      </c>
      <c r="Q115" s="32">
        <f t="shared" si="101"/>
        <v>0</v>
      </c>
      <c r="R115" s="32">
        <f t="shared" si="101"/>
        <v>0</v>
      </c>
      <c r="S115" s="32"/>
      <c r="T115" s="32">
        <f>E115</f>
        <v>0</v>
      </c>
      <c r="U115" s="32">
        <f>-H119</f>
        <v>0</v>
      </c>
      <c r="V115" s="32">
        <f>-I119</f>
        <v>0</v>
      </c>
      <c r="W115" s="32">
        <f>-J119</f>
        <v>0</v>
      </c>
      <c r="X115" s="32">
        <f>-K119</f>
        <v>0</v>
      </c>
      <c r="Y115" s="32">
        <f>-L119</f>
        <v>0</v>
      </c>
      <c r="Z115" s="32">
        <f>-M119</f>
        <v>0</v>
      </c>
      <c r="AA115" s="134">
        <f>-N119</f>
        <v>0</v>
      </c>
      <c r="AB115" s="11"/>
      <c r="AC115" s="45"/>
    </row>
    <row r="116" spans="2:29">
      <c r="B116" s="145" t="s">
        <v>68</v>
      </c>
      <c r="C116" s="146">
        <f t="shared" ref="C116:F116" si="102">SUM(C114:C115)</f>
        <v>0</v>
      </c>
      <c r="D116" s="146">
        <f t="shared" si="102"/>
        <v>8687</v>
      </c>
      <c r="E116" s="146">
        <f t="shared" si="102"/>
        <v>18617</v>
      </c>
      <c r="F116" s="146">
        <f t="shared" si="102"/>
        <v>29812</v>
      </c>
      <c r="G116" s="32"/>
      <c r="H116" s="146">
        <f t="shared" ref="H116:R116" si="103">SUM(H114:H115)</f>
        <v>0</v>
      </c>
      <c r="I116" s="146">
        <f t="shared" si="103"/>
        <v>2361</v>
      </c>
      <c r="J116" s="146">
        <f t="shared" si="103"/>
        <v>5206</v>
      </c>
      <c r="K116" s="146">
        <f t="shared" si="103"/>
        <v>8404</v>
      </c>
      <c r="L116" s="146">
        <f t="shared" si="103"/>
        <v>11195</v>
      </c>
      <c r="M116" s="146">
        <f t="shared" si="103"/>
        <v>14206</v>
      </c>
      <c r="N116" s="146">
        <f t="shared" si="103"/>
        <v>17464</v>
      </c>
      <c r="O116" s="146">
        <f t="shared" si="103"/>
        <v>20727</v>
      </c>
      <c r="P116" s="146">
        <f t="shared" si="103"/>
        <v>24069</v>
      </c>
      <c r="Q116" s="146">
        <f t="shared" si="103"/>
        <v>27349</v>
      </c>
      <c r="R116" s="146">
        <f t="shared" si="103"/>
        <v>31050</v>
      </c>
      <c r="S116" s="32"/>
      <c r="T116" s="133">
        <f t="shared" ref="T116:AA116" si="104">SUM(T114:T115)</f>
        <v>0</v>
      </c>
      <c r="U116" s="133">
        <f t="shared" si="104"/>
        <v>2361</v>
      </c>
      <c r="V116" s="133">
        <f t="shared" si="104"/>
        <v>5206</v>
      </c>
      <c r="W116" s="146">
        <f t="shared" si="104"/>
        <v>8404</v>
      </c>
      <c r="X116" s="146">
        <f t="shared" si="104"/>
        <v>11195</v>
      </c>
      <c r="Y116" s="146">
        <f t="shared" si="104"/>
        <v>14206</v>
      </c>
      <c r="Z116" s="146">
        <f t="shared" si="104"/>
        <v>17464</v>
      </c>
      <c r="AA116" s="147">
        <f t="shared" si="104"/>
        <v>20727</v>
      </c>
      <c r="AB116" s="11"/>
      <c r="AC116" s="45"/>
    </row>
    <row r="117" spans="2:29" ht="5.0999999999999996" customHeight="1">
      <c r="B117" s="137"/>
      <c r="C117" s="71"/>
      <c r="D117" s="71"/>
      <c r="E117" s="71"/>
      <c r="F117" s="71"/>
      <c r="G117" s="32"/>
      <c r="H117" s="71"/>
      <c r="I117" s="71"/>
      <c r="J117" s="71"/>
      <c r="K117" s="71"/>
      <c r="L117" s="71"/>
      <c r="M117" s="71"/>
      <c r="N117" s="71"/>
      <c r="O117" s="71"/>
      <c r="P117" s="71"/>
      <c r="Q117" s="71"/>
      <c r="R117" s="71"/>
      <c r="S117" s="32"/>
      <c r="T117" s="71"/>
      <c r="U117" s="71"/>
      <c r="V117" s="71"/>
      <c r="W117" s="71"/>
      <c r="X117" s="71"/>
      <c r="Y117" s="71"/>
      <c r="Z117" s="71"/>
      <c r="AA117" s="135"/>
      <c r="AB117" s="11"/>
      <c r="AC117" s="45"/>
    </row>
    <row r="118" spans="2:29">
      <c r="B118" s="130" t="s">
        <v>82</v>
      </c>
      <c r="C118" s="82"/>
      <c r="D118" s="82"/>
      <c r="E118" s="82"/>
      <c r="F118" s="82"/>
      <c r="G118" s="32"/>
      <c r="H118" s="82"/>
      <c r="I118" s="82"/>
      <c r="J118" s="82"/>
      <c r="K118" s="32">
        <f>SUM(E118-SUM(H118:J118))</f>
        <v>0</v>
      </c>
      <c r="L118" s="82"/>
      <c r="M118" s="82"/>
      <c r="N118" s="82"/>
      <c r="O118" s="32">
        <f>SUM(F118-SUM(L118:N118))</f>
        <v>0</v>
      </c>
      <c r="P118" s="82"/>
      <c r="Q118" s="82"/>
      <c r="R118" s="82"/>
      <c r="S118" s="32"/>
      <c r="T118" s="32">
        <f>SUM(H118:K118)</f>
        <v>0</v>
      </c>
      <c r="U118" s="32">
        <f>SUM(I118:L118)</f>
        <v>0</v>
      </c>
      <c r="V118" s="32">
        <f>SUM(J118:M118)</f>
        <v>0</v>
      </c>
      <c r="W118" s="32">
        <f>SUM(K118:N118)</f>
        <v>0</v>
      </c>
      <c r="X118" s="32">
        <f>SUM(L118:O118)</f>
        <v>0</v>
      </c>
      <c r="Y118" s="32">
        <f>SUM(M118:P118)</f>
        <v>0</v>
      </c>
      <c r="Z118" s="32">
        <f>SUM(N118:Q118)</f>
        <v>0</v>
      </c>
      <c r="AA118" s="134">
        <f>SUM(O118:R118)</f>
        <v>0</v>
      </c>
      <c r="AB118" s="11"/>
      <c r="AC118" s="45"/>
    </row>
    <row r="119" spans="2:29">
      <c r="B119" s="130" t="s">
        <v>92</v>
      </c>
      <c r="C119" s="82"/>
      <c r="D119" s="82"/>
      <c r="E119" s="82"/>
      <c r="F119" s="82"/>
      <c r="G119" s="32"/>
      <c r="H119" s="82"/>
      <c r="I119" s="82"/>
      <c r="J119" s="82"/>
      <c r="K119" s="32">
        <f>E119</f>
        <v>0</v>
      </c>
      <c r="L119" s="82"/>
      <c r="M119" s="82"/>
      <c r="N119" s="82"/>
      <c r="O119" s="32">
        <f>F119</f>
        <v>0</v>
      </c>
      <c r="P119" s="82"/>
      <c r="Q119" s="82"/>
      <c r="R119" s="82"/>
      <c r="S119" s="32"/>
      <c r="T119" s="32">
        <f>K119</f>
        <v>0</v>
      </c>
      <c r="U119" s="32">
        <f>L119</f>
        <v>0</v>
      </c>
      <c r="V119" s="32">
        <f>M119</f>
        <v>0</v>
      </c>
      <c r="W119" s="32">
        <f>N119</f>
        <v>0</v>
      </c>
      <c r="X119" s="32">
        <f>O119</f>
        <v>0</v>
      </c>
      <c r="Y119" s="32">
        <f>P119</f>
        <v>0</v>
      </c>
      <c r="Z119" s="32">
        <f>Q119</f>
        <v>0</v>
      </c>
      <c r="AA119" s="134">
        <f>R119</f>
        <v>0</v>
      </c>
      <c r="AB119" s="11"/>
      <c r="AC119" s="45"/>
    </row>
    <row r="120" spans="2:29">
      <c r="B120" s="130" t="s">
        <v>59</v>
      </c>
      <c r="C120" s="32">
        <f t="shared" ref="C120:F120" si="105">+C112+C106+C99</f>
        <v>8687</v>
      </c>
      <c r="D120" s="32">
        <f t="shared" si="105"/>
        <v>9930</v>
      </c>
      <c r="E120" s="32">
        <f t="shared" si="105"/>
        <v>11195</v>
      </c>
      <c r="F120" s="32">
        <f t="shared" si="105"/>
        <v>12874</v>
      </c>
      <c r="G120" s="32"/>
      <c r="H120" s="32">
        <f t="shared" ref="H120:R120" si="106">+H112+H106+H99</f>
        <v>2361</v>
      </c>
      <c r="I120" s="32">
        <f t="shared" si="106"/>
        <v>2845</v>
      </c>
      <c r="J120" s="32">
        <f t="shared" si="106"/>
        <v>3198</v>
      </c>
      <c r="K120" s="32">
        <f t="shared" si="106"/>
        <v>2791</v>
      </c>
      <c r="L120" s="32">
        <f t="shared" si="106"/>
        <v>3011</v>
      </c>
      <c r="M120" s="32">
        <f t="shared" si="106"/>
        <v>3258</v>
      </c>
      <c r="N120" s="32">
        <f t="shared" si="106"/>
        <v>3263</v>
      </c>
      <c r="O120" s="32">
        <f t="shared" si="106"/>
        <v>3342</v>
      </c>
      <c r="P120" s="32">
        <f t="shared" si="106"/>
        <v>3280</v>
      </c>
      <c r="Q120" s="32">
        <f t="shared" si="106"/>
        <v>3701</v>
      </c>
      <c r="R120" s="32">
        <f t="shared" si="106"/>
        <v>3927</v>
      </c>
      <c r="S120" s="32"/>
      <c r="T120" s="32">
        <f>SUM(H120:K120)</f>
        <v>11195</v>
      </c>
      <c r="U120" s="32">
        <f>SUM(I120:L120)</f>
        <v>11845</v>
      </c>
      <c r="V120" s="32">
        <f>SUM(J120:M120)</f>
        <v>12258</v>
      </c>
      <c r="W120" s="32">
        <f>SUM(K120:N120)</f>
        <v>12323</v>
      </c>
      <c r="X120" s="32">
        <f>SUM(L120:O120)</f>
        <v>12874</v>
      </c>
      <c r="Y120" s="32">
        <f>SUM(M120:P120)</f>
        <v>13143</v>
      </c>
      <c r="Z120" s="32">
        <f>SUM(N120:Q120)</f>
        <v>13586</v>
      </c>
      <c r="AA120" s="134">
        <f>SUM(O120:R120)</f>
        <v>14250</v>
      </c>
      <c r="AB120" s="11"/>
      <c r="AC120" s="45"/>
    </row>
    <row r="121" spans="2:29">
      <c r="B121" s="89" t="s">
        <v>69</v>
      </c>
      <c r="C121" s="146">
        <f t="shared" ref="C121:F121" si="107">SUM(C116:C120)</f>
        <v>8687</v>
      </c>
      <c r="D121" s="146">
        <f t="shared" si="107"/>
        <v>18617</v>
      </c>
      <c r="E121" s="146">
        <f t="shared" si="107"/>
        <v>29812</v>
      </c>
      <c r="F121" s="146">
        <f t="shared" si="107"/>
        <v>42686</v>
      </c>
      <c r="G121" s="32"/>
      <c r="H121" s="146">
        <f t="shared" ref="H121:R121" si="108">SUM(H116:H120)</f>
        <v>2361</v>
      </c>
      <c r="I121" s="146">
        <f t="shared" si="108"/>
        <v>5206</v>
      </c>
      <c r="J121" s="146">
        <f t="shared" si="108"/>
        <v>8404</v>
      </c>
      <c r="K121" s="146">
        <f t="shared" si="108"/>
        <v>11195</v>
      </c>
      <c r="L121" s="146">
        <f t="shared" si="108"/>
        <v>14206</v>
      </c>
      <c r="M121" s="146">
        <f t="shared" si="108"/>
        <v>17464</v>
      </c>
      <c r="N121" s="146">
        <f t="shared" si="108"/>
        <v>20727</v>
      </c>
      <c r="O121" s="146">
        <f t="shared" si="108"/>
        <v>24069</v>
      </c>
      <c r="P121" s="146">
        <f t="shared" si="108"/>
        <v>27349</v>
      </c>
      <c r="Q121" s="146">
        <f t="shared" si="108"/>
        <v>31050</v>
      </c>
      <c r="R121" s="146">
        <f t="shared" si="108"/>
        <v>34977</v>
      </c>
      <c r="S121" s="32"/>
      <c r="T121" s="133">
        <f t="shared" ref="T121:AA121" si="109">SUM(T116:T120)</f>
        <v>11195</v>
      </c>
      <c r="U121" s="133">
        <f t="shared" si="109"/>
        <v>14206</v>
      </c>
      <c r="V121" s="133">
        <f t="shared" si="109"/>
        <v>17464</v>
      </c>
      <c r="W121" s="146">
        <f t="shared" si="109"/>
        <v>20727</v>
      </c>
      <c r="X121" s="146">
        <f t="shared" si="109"/>
        <v>24069</v>
      </c>
      <c r="Y121" s="146">
        <f t="shared" si="109"/>
        <v>27349</v>
      </c>
      <c r="Z121" s="146">
        <f t="shared" si="109"/>
        <v>31050</v>
      </c>
      <c r="AA121" s="147">
        <f t="shared" si="109"/>
        <v>34977</v>
      </c>
      <c r="AB121" s="11"/>
      <c r="AC121" s="45"/>
    </row>
    <row r="122" spans="2:29" ht="5.0999999999999996" customHeight="1">
      <c r="B122" s="90"/>
      <c r="C122" s="65"/>
      <c r="D122" s="65"/>
      <c r="E122" s="65"/>
      <c r="F122" s="65"/>
      <c r="G122" s="32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T122" s="11"/>
      <c r="U122" s="11"/>
      <c r="V122" s="11"/>
      <c r="W122" s="11"/>
      <c r="X122" s="11"/>
      <c r="Y122" s="11"/>
      <c r="Z122" s="11"/>
      <c r="AA122" s="91"/>
      <c r="AB122" s="11"/>
      <c r="AC122" s="45"/>
    </row>
    <row r="123" spans="2:29">
      <c r="B123" s="138" t="s">
        <v>85</v>
      </c>
      <c r="C123" s="87">
        <f>ROUND(C121-C42,1)</f>
        <v>1266</v>
      </c>
      <c r="D123" s="87">
        <f>ROUND(D121-D42,1)</f>
        <v>11609</v>
      </c>
      <c r="E123" s="87">
        <f>ROUND(E121-E42,1)</f>
        <v>21224</v>
      </c>
      <c r="F123" s="87">
        <f>ROUND(F121-F42,1)</f>
        <v>34244</v>
      </c>
      <c r="G123" s="88"/>
      <c r="H123" s="87">
        <f>H121-H42</f>
        <v>-4205</v>
      </c>
      <c r="I123" s="87">
        <f>I121-I42</f>
        <v>-964</v>
      </c>
      <c r="J123" s="87">
        <f>J121-J42</f>
        <v>1514</v>
      </c>
      <c r="K123" s="87">
        <f>K121-K42</f>
        <v>2607</v>
      </c>
      <c r="L123" s="87">
        <f>L121-L42</f>
        <v>6913</v>
      </c>
      <c r="M123" s="87">
        <f>M121-M42</f>
        <v>10468</v>
      </c>
      <c r="N123" s="87">
        <f>N121-N42</f>
        <v>9664</v>
      </c>
      <c r="O123" s="87">
        <f>O121-O42</f>
        <v>15627</v>
      </c>
      <c r="P123" s="87">
        <f>P121-P42</f>
        <v>19774</v>
      </c>
      <c r="Q123" s="87">
        <f>Q121-Q42</f>
        <v>22019</v>
      </c>
      <c r="R123" s="87">
        <f>R121-R42</f>
        <v>24664</v>
      </c>
      <c r="S123" s="87"/>
      <c r="T123" s="87">
        <f>T121-T42</f>
        <v>2607</v>
      </c>
      <c r="U123" s="87">
        <f>U121-U42</f>
        <v>6913</v>
      </c>
      <c r="V123" s="87">
        <f>V121-V42</f>
        <v>10468</v>
      </c>
      <c r="W123" s="87">
        <f>W121-W42</f>
        <v>9664</v>
      </c>
      <c r="X123" s="87">
        <f>X121-X42</f>
        <v>15627</v>
      </c>
      <c r="Y123" s="87">
        <f>Y121-Y42</f>
        <v>19774</v>
      </c>
      <c r="Z123" s="87">
        <f>Z121-Z42</f>
        <v>22019</v>
      </c>
      <c r="AA123" s="136">
        <f>AA121-AA42</f>
        <v>24664</v>
      </c>
      <c r="AB123" s="11"/>
      <c r="AC123" s="45"/>
    </row>
    <row r="124" spans="2:29" ht="5.0999999999999996" customHeight="1">
      <c r="B124" s="8"/>
      <c r="C124" s="65"/>
      <c r="D124" s="65"/>
      <c r="E124" s="65"/>
      <c r="F124" s="65"/>
      <c r="G124" s="32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T124" s="11"/>
      <c r="U124" s="11"/>
      <c r="V124" s="11"/>
      <c r="W124" s="11"/>
      <c r="X124" s="11"/>
      <c r="Y124" s="11"/>
      <c r="Z124" s="11"/>
      <c r="AA124" s="11"/>
      <c r="AB124" s="11"/>
      <c r="AC124" s="45"/>
    </row>
    <row r="125" spans="2:29" ht="12.75" customHeight="1">
      <c r="B125" s="72" t="s">
        <v>60</v>
      </c>
      <c r="C125" s="62"/>
      <c r="D125" s="62"/>
      <c r="E125" s="62"/>
      <c r="F125" s="62"/>
      <c r="G125" s="11"/>
      <c r="H125" s="62"/>
      <c r="I125" s="62"/>
      <c r="J125" s="62"/>
      <c r="K125" s="62"/>
      <c r="L125" s="62"/>
      <c r="M125" s="62"/>
      <c r="N125" s="62"/>
      <c r="O125" s="62"/>
      <c r="P125" s="82"/>
      <c r="Q125" s="62"/>
      <c r="R125" s="62"/>
      <c r="T125" s="62"/>
      <c r="U125" s="62"/>
      <c r="V125" s="62"/>
      <c r="W125" s="62"/>
      <c r="X125" s="62"/>
      <c r="Y125" s="62"/>
      <c r="Z125" s="62"/>
      <c r="AA125" s="62"/>
      <c r="AB125" s="66"/>
      <c r="AC125" s="45"/>
    </row>
    <row r="126" spans="2:29" ht="12.75" customHeight="1">
      <c r="B126" s="8" t="s">
        <v>93</v>
      </c>
      <c r="C126" s="82"/>
      <c r="D126" s="82"/>
      <c r="E126" s="82"/>
      <c r="F126" s="82"/>
      <c r="G126" s="11"/>
      <c r="H126" s="82"/>
      <c r="I126" s="82"/>
      <c r="J126" s="82"/>
      <c r="K126" s="32">
        <f>SUM(E126-SUM(H126:J126))</f>
        <v>0</v>
      </c>
      <c r="L126" s="82"/>
      <c r="M126" s="82"/>
      <c r="N126" s="82"/>
      <c r="O126" s="32">
        <f>SUM(F126-SUM(L126:N126))</f>
        <v>0</v>
      </c>
      <c r="P126" s="82"/>
      <c r="Q126" s="82"/>
      <c r="R126" s="82"/>
      <c r="T126" s="32">
        <f>SUM(H126:K126)</f>
        <v>0</v>
      </c>
      <c r="U126" s="32">
        <f>SUM(I126:L126)</f>
        <v>0</v>
      </c>
      <c r="V126" s="32">
        <f>SUM(J126:M126)</f>
        <v>0</v>
      </c>
      <c r="W126" s="32">
        <f>SUM(K126:N126)</f>
        <v>0</v>
      </c>
      <c r="X126" s="32">
        <f>SUM(L126:O126)</f>
        <v>0</v>
      </c>
      <c r="Y126" s="32">
        <f>SUM(M126:P126)</f>
        <v>0</v>
      </c>
      <c r="Z126" s="32">
        <f>SUM(N126:Q126)</f>
        <v>0</v>
      </c>
      <c r="AA126" s="32">
        <f>SUM(O126:R126)</f>
        <v>0</v>
      </c>
      <c r="AB126" s="66"/>
      <c r="AC126" s="45"/>
    </row>
    <row r="127" spans="2:29" ht="12.75" customHeight="1">
      <c r="B127" s="8" t="s">
        <v>109</v>
      </c>
      <c r="C127" s="82"/>
      <c r="D127" s="82"/>
      <c r="E127" s="82"/>
      <c r="F127" s="82"/>
      <c r="G127" s="32"/>
      <c r="H127" s="82"/>
      <c r="I127" s="82"/>
      <c r="J127" s="82"/>
      <c r="K127" s="32">
        <f>SUM(E127-SUM(H127:J127))</f>
        <v>0</v>
      </c>
      <c r="L127" s="82"/>
      <c r="M127" s="82"/>
      <c r="N127" s="82"/>
      <c r="O127" s="32">
        <f>SUM(F127-SUM(L127:N127))</f>
        <v>0</v>
      </c>
      <c r="P127" s="82"/>
      <c r="Q127" s="82"/>
      <c r="R127" s="82"/>
      <c r="S127" s="32"/>
      <c r="T127" s="32">
        <f>SUM(H127:K127)</f>
        <v>0</v>
      </c>
      <c r="U127" s="32">
        <f>SUM(I127:L127)</f>
        <v>0</v>
      </c>
      <c r="V127" s="32">
        <f>SUM(J127:M127)</f>
        <v>0</v>
      </c>
      <c r="W127" s="32">
        <f>SUM(K127:N127)</f>
        <v>0</v>
      </c>
      <c r="X127" s="32">
        <f>SUM(L127:O127)</f>
        <v>0</v>
      </c>
      <c r="Y127" s="32">
        <f>SUM(M127:P127)</f>
        <v>0</v>
      </c>
      <c r="Z127" s="32">
        <f>SUM(N127:Q127)</f>
        <v>0</v>
      </c>
      <c r="AA127" s="32">
        <f>SUM(O127:R127)</f>
        <v>0</v>
      </c>
      <c r="AB127" s="11"/>
      <c r="AC127" s="45"/>
    </row>
    <row r="128" spans="2:29" ht="5.0999999999999996" customHeight="1" thickBot="1">
      <c r="B128" s="73"/>
      <c r="C128" s="74"/>
      <c r="D128" s="74"/>
      <c r="E128" s="74"/>
      <c r="F128" s="74"/>
      <c r="G128" s="73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C128" s="45"/>
    </row>
    <row r="129" spans="2:13" ht="12.75" customHeight="1">
      <c r="B129" s="53"/>
      <c r="C129" s="67"/>
      <c r="D129" s="67"/>
      <c r="E129" s="67"/>
      <c r="F129" s="67"/>
    </row>
    <row r="130" spans="2:13" ht="12.75" customHeight="1">
      <c r="C130" s="56"/>
      <c r="D130" s="56"/>
      <c r="E130" s="56"/>
      <c r="F130" s="56"/>
    </row>
    <row r="131" spans="2:13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</row>
    <row r="132" spans="2:13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</row>
    <row r="133" spans="2:13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</row>
    <row r="134" spans="2:13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</row>
    <row r="135" spans="2:13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86"/>
    </row>
    <row r="136" spans="2:13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</row>
    <row r="137" spans="2:13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86"/>
    </row>
    <row r="138" spans="2:13">
      <c r="D138" s="56"/>
      <c r="E138" s="56"/>
      <c r="F138" s="56"/>
      <c r="G138" s="56"/>
      <c r="H138" s="56"/>
      <c r="I138" s="56"/>
      <c r="J138" s="56"/>
      <c r="K138" s="56"/>
      <c r="L138" s="56"/>
      <c r="M138" s="86"/>
    </row>
    <row r="139" spans="2:13">
      <c r="D139" s="56"/>
      <c r="E139" s="56"/>
      <c r="F139" s="56"/>
      <c r="G139" s="56"/>
      <c r="H139" s="56"/>
      <c r="I139" s="56"/>
      <c r="J139" s="56"/>
      <c r="K139" s="56"/>
      <c r="L139" s="56"/>
      <c r="M139" s="86"/>
    </row>
    <row r="140" spans="2:13">
      <c r="D140" s="56"/>
      <c r="E140" s="56"/>
      <c r="F140" s="56"/>
      <c r="G140" s="56"/>
      <c r="H140" s="56"/>
      <c r="I140" s="56"/>
      <c r="J140" s="56"/>
      <c r="K140" s="56"/>
      <c r="L140" s="56"/>
    </row>
    <row r="141" spans="2:13">
      <c r="D141" s="56"/>
      <c r="E141" s="56"/>
      <c r="F141" s="56"/>
      <c r="G141" s="56"/>
      <c r="H141" s="56"/>
      <c r="I141" s="56"/>
      <c r="J141" s="56"/>
      <c r="K141" s="56"/>
      <c r="L141" s="56"/>
      <c r="M141" s="86"/>
    </row>
    <row r="142" spans="2:13">
      <c r="D142" s="56"/>
      <c r="E142" s="56"/>
      <c r="F142" s="56"/>
      <c r="G142" s="56"/>
      <c r="H142" s="56"/>
      <c r="I142" s="56"/>
      <c r="J142" s="56"/>
      <c r="K142" s="56"/>
      <c r="L142" s="56"/>
      <c r="M142" s="86"/>
    </row>
    <row r="143" spans="2:13">
      <c r="D143" s="56"/>
      <c r="E143" s="56"/>
      <c r="F143" s="56"/>
      <c r="G143" s="56"/>
      <c r="H143" s="56"/>
      <c r="I143" s="56"/>
      <c r="J143" s="56"/>
      <c r="K143" s="56"/>
      <c r="L143" s="56"/>
    </row>
    <row r="144" spans="2:13">
      <c r="D144" s="56"/>
      <c r="E144" s="56"/>
      <c r="F144" s="56"/>
      <c r="G144" s="56"/>
      <c r="H144" s="56"/>
      <c r="I144" s="56"/>
      <c r="J144" s="56"/>
      <c r="K144" s="56"/>
      <c r="L144" s="56"/>
    </row>
  </sheetData>
  <mergeCells count="3">
    <mergeCell ref="AC6:AC8"/>
    <mergeCell ref="AC37:AC39"/>
    <mergeCell ref="AC85:AC87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Z29 G49 T18:X19 T25:X25" formulaRange="1"/>
    <ignoredError sqref="C18:F19 H18:R19 H25:R25 C25:F25 AA106:AC108 AA99:AC100 AB105 H29:R29 C29:F29 AA101:AB101 AB109:AC109" evalError="1"/>
    <ignoredError sqref="T119:AA119 T118:AA1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C26"/>
  <sheetViews>
    <sheetView showGridLines="0" zoomScale="115" zoomScaleNormal="115" workbookViewId="0">
      <selection activeCell="B2" sqref="B2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6" width="8.625" style="8" bestFit="1" customWidth="1"/>
    <col min="7" max="7" width="1.5" style="8" customWidth="1"/>
    <col min="8" max="9" width="8" style="8" customWidth="1" outlineLevel="1"/>
    <col min="10" max="11" width="8.75" style="8" customWidth="1" outlineLevel="1"/>
    <col min="12" max="12" width="8.5" style="8" customWidth="1" outlineLevel="1"/>
    <col min="13" max="13" width="8.25" style="8" customWidth="1" outlineLevel="1"/>
    <col min="14" max="14" width="8.5" style="8" bestFit="1" customWidth="1"/>
    <col min="15" max="18" width="9.125" style="8" bestFit="1" customWidth="1"/>
    <col min="19" max="19" width="1.5" style="8" customWidth="1"/>
    <col min="20" max="24" width="8.75" style="8" customWidth="1" outlineLevel="1"/>
    <col min="25" max="25" width="8.75" style="8" customWidth="1"/>
    <col min="26" max="28" width="8.75" style="8" customWidth="1" outlineLevel="1"/>
    <col min="29" max="29" width="8.75" style="8" customWidth="1"/>
    <col min="30" max="16384" width="9" style="8"/>
  </cols>
  <sheetData>
    <row r="2" spans="1:29" s="5" customFormat="1" ht="12.75" customHeight="1">
      <c r="B2" s="1" t="str">
        <f>'Historical Financials'!B2</f>
        <v>Mastercard Inc (NYSE: MA)</v>
      </c>
      <c r="C2" s="2" t="s">
        <v>0</v>
      </c>
      <c r="D2" s="2" t="s">
        <v>0</v>
      </c>
      <c r="E2" s="2"/>
      <c r="F2" s="2"/>
      <c r="G2" s="3"/>
      <c r="H2" s="2"/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/>
      <c r="W2" s="2"/>
      <c r="X2" s="2"/>
      <c r="Y2" s="2" t="s">
        <v>10</v>
      </c>
      <c r="Z2" s="2"/>
      <c r="AA2" s="2"/>
      <c r="AB2" s="2"/>
      <c r="AC2" s="2"/>
    </row>
    <row r="3" spans="1:29" s="5" customFormat="1" ht="12.75" customHeight="1">
      <c r="B3" s="6" t="s">
        <v>64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4"/>
      <c r="T3" s="4" t="str">
        <f>K3</f>
        <v>4Q23</v>
      </c>
      <c r="U3" s="4" t="str">
        <f>L3</f>
        <v>1Q24</v>
      </c>
      <c r="V3" s="4" t="str">
        <f>M3</f>
        <v>2Q24</v>
      </c>
      <c r="W3" s="4" t="str">
        <f>N3</f>
        <v>3Q24</v>
      </c>
      <c r="X3" s="4" t="str">
        <f>O3</f>
        <v>4Q24</v>
      </c>
      <c r="Y3" s="4" t="str">
        <f>P3</f>
        <v>1Q25</v>
      </c>
      <c r="Z3" s="4" t="str">
        <f>Q3</f>
        <v>2Q25</v>
      </c>
      <c r="AA3" s="4" t="str">
        <f>R3</f>
        <v>3Q25</v>
      </c>
      <c r="AB3" s="4" t="e">
        <f>#REF!</f>
        <v>#REF!</v>
      </c>
      <c r="AC3" s="4" t="e">
        <f>#REF!</f>
        <v>#REF!</v>
      </c>
    </row>
    <row r="4" spans="1:29" s="5" customFormat="1" ht="12.75" customHeight="1">
      <c r="B4" s="6" t="s">
        <v>164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/>
      <c r="H4" s="3">
        <f>'Historical Financials'!H8</f>
        <v>0</v>
      </c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/>
      <c r="T4" s="3">
        <f>K4</f>
        <v>0</v>
      </c>
      <c r="U4" s="3">
        <f>L4</f>
        <v>0</v>
      </c>
      <c r="V4" s="3">
        <f>M4</f>
        <v>0</v>
      </c>
      <c r="W4" s="3">
        <f>N4</f>
        <v>0</v>
      </c>
      <c r="X4" s="3">
        <f>O4</f>
        <v>0</v>
      </c>
      <c r="Y4" s="3">
        <f>P4</f>
        <v>0</v>
      </c>
      <c r="Z4" s="3">
        <f>Q4</f>
        <v>0</v>
      </c>
      <c r="AA4" s="3">
        <f>R4</f>
        <v>0</v>
      </c>
      <c r="AB4" s="3" t="e">
        <f>#REF!</f>
        <v>#REF!</v>
      </c>
      <c r="AC4" s="3" t="e">
        <f>#REF!</f>
        <v>#REF!</v>
      </c>
    </row>
    <row r="5" spans="1:29" ht="5.0999999999999996" customHeight="1"/>
    <row r="6" spans="1:29">
      <c r="A6" s="36" t="s">
        <v>16</v>
      </c>
      <c r="B6" s="1" t="s">
        <v>165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5.0999999999999996" customHeight="1"/>
    <row r="8" spans="1:29" ht="12.75" customHeight="1">
      <c r="A8" s="80" t="s">
        <v>16</v>
      </c>
      <c r="B8" s="78" t="s">
        <v>166</v>
      </c>
      <c r="C8" s="10"/>
      <c r="D8" s="10"/>
      <c r="E8" s="10"/>
      <c r="F8" s="10"/>
      <c r="G8" s="10"/>
      <c r="H8" s="95"/>
      <c r="I8" s="95"/>
      <c r="J8" s="95"/>
      <c r="K8" s="32"/>
      <c r="L8" s="95"/>
      <c r="M8" s="95"/>
      <c r="N8" s="95"/>
      <c r="O8" s="32"/>
      <c r="P8" s="95"/>
      <c r="Q8" s="95"/>
      <c r="R8" s="95"/>
      <c r="S8" s="5"/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2.75" customHeight="1">
      <c r="A9" s="80"/>
      <c r="B9" s="9" t="s">
        <v>192</v>
      </c>
      <c r="C9" s="81">
        <v>11943</v>
      </c>
      <c r="D9" s="81">
        <v>14358</v>
      </c>
      <c r="E9" s="81">
        <v>15824</v>
      </c>
      <c r="F9" s="81">
        <v>17335</v>
      </c>
      <c r="G9" s="10"/>
      <c r="H9" s="81">
        <v>3650</v>
      </c>
      <c r="I9" s="81">
        <v>4073</v>
      </c>
      <c r="J9" s="81">
        <v>4210</v>
      </c>
      <c r="K9" s="32">
        <f t="shared" ref="K9:K10" si="0">SUM(E9-SUM(H9:J9))</f>
        <v>3891</v>
      </c>
      <c r="L9" s="81">
        <v>3920</v>
      </c>
      <c r="M9" s="81">
        <v>4375</v>
      </c>
      <c r="N9" s="81">
        <v>4629</v>
      </c>
      <c r="O9" s="32">
        <f t="shared" ref="O9:O10" si="1">SUM(F9-SUM(L9:N9))</f>
        <v>4411</v>
      </c>
      <c r="P9" s="81">
        <v>4432</v>
      </c>
      <c r="Q9" s="81">
        <v>4945</v>
      </c>
      <c r="R9" s="81">
        <v>5179</v>
      </c>
      <c r="S9" s="5"/>
      <c r="T9" s="32">
        <f>SUM(H9:K9)</f>
        <v>15824</v>
      </c>
      <c r="U9" s="32">
        <f>SUM(I9:L9)</f>
        <v>16094</v>
      </c>
      <c r="V9" s="32">
        <f>SUM(J9:M9)</f>
        <v>16396</v>
      </c>
      <c r="W9" s="32">
        <f>SUM(K9:N9)</f>
        <v>16815</v>
      </c>
      <c r="X9" s="32">
        <f>SUM(L9:O9)</f>
        <v>17335</v>
      </c>
      <c r="Y9" s="32">
        <f>SUM(M9:P9)</f>
        <v>17847</v>
      </c>
      <c r="Z9" s="32">
        <f>SUM(N9:Q9)</f>
        <v>18417</v>
      </c>
      <c r="AA9" s="32">
        <f>SUM(O9:R9)</f>
        <v>18967</v>
      </c>
      <c r="AB9" s="32">
        <f>SUM(P9:R9)</f>
        <v>14556</v>
      </c>
      <c r="AC9" s="32">
        <f>SUM(Q9:R9)</f>
        <v>10124</v>
      </c>
    </row>
    <row r="10" spans="1:29">
      <c r="B10" s="9" t="s">
        <v>193</v>
      </c>
      <c r="C10" s="81">
        <v>6941</v>
      </c>
      <c r="D10" s="81">
        <v>7879</v>
      </c>
      <c r="E10" s="81">
        <v>9274</v>
      </c>
      <c r="F10" s="81">
        <v>10832</v>
      </c>
      <c r="G10" s="81"/>
      <c r="H10" s="81">
        <v>2098</v>
      </c>
      <c r="I10" s="81">
        <v>2196</v>
      </c>
      <c r="J10" s="81">
        <v>2323</v>
      </c>
      <c r="K10" s="32">
        <f t="shared" si="0"/>
        <v>2657</v>
      </c>
      <c r="L10" s="81">
        <v>2428</v>
      </c>
      <c r="M10" s="81">
        <v>2586</v>
      </c>
      <c r="N10" s="81">
        <v>2740</v>
      </c>
      <c r="O10" s="32">
        <f t="shared" si="1"/>
        <v>3078</v>
      </c>
      <c r="P10" s="81">
        <v>2818</v>
      </c>
      <c r="Q10" s="81">
        <v>3188</v>
      </c>
      <c r="R10" s="81">
        <v>3423</v>
      </c>
      <c r="S10" s="5"/>
      <c r="T10" s="32">
        <f>SUM(H10:K10)</f>
        <v>9274</v>
      </c>
      <c r="U10" s="32">
        <f>SUM(I10:L10)</f>
        <v>9604</v>
      </c>
      <c r="V10" s="32">
        <f>SUM(J10:M10)</f>
        <v>9994</v>
      </c>
      <c r="W10" s="32">
        <f>SUM(K10:N10)</f>
        <v>10411</v>
      </c>
      <c r="X10" s="32">
        <f>SUM(L10:O10)</f>
        <v>10832</v>
      </c>
      <c r="Y10" s="32">
        <f>SUM(M10:P10)</f>
        <v>11222</v>
      </c>
      <c r="Z10" s="32">
        <f>SUM(N10:Q10)</f>
        <v>11824</v>
      </c>
      <c r="AA10" s="32">
        <f>SUM(O10:R10)</f>
        <v>12507</v>
      </c>
      <c r="AB10" s="32">
        <f>SUM(P10:R10)</f>
        <v>9429</v>
      </c>
      <c r="AC10" s="32">
        <f>SUM(Q10:R10)</f>
        <v>6611</v>
      </c>
    </row>
    <row r="11" spans="1:29">
      <c r="B11" s="13" t="s">
        <v>65</v>
      </c>
      <c r="C11" s="14">
        <f>SUM(C9:C10)</f>
        <v>18884</v>
      </c>
      <c r="D11" s="14">
        <f>SUM(D9:D10)</f>
        <v>22237</v>
      </c>
      <c r="E11" s="14">
        <f>SUM(E9:E10)</f>
        <v>25098</v>
      </c>
      <c r="F11" s="14">
        <f>SUM(F9:F10)</f>
        <v>28167</v>
      </c>
      <c r="G11" s="11"/>
      <c r="H11" s="14">
        <f>SUM(H9:H10)</f>
        <v>5748</v>
      </c>
      <c r="I11" s="14">
        <f>SUM(I9:I10)</f>
        <v>6269</v>
      </c>
      <c r="J11" s="14">
        <f>SUM(J9:J10)</f>
        <v>6533</v>
      </c>
      <c r="K11" s="14">
        <f>SUM(K9:K10)</f>
        <v>6548</v>
      </c>
      <c r="L11" s="14">
        <f>SUM(L9:L10)</f>
        <v>6348</v>
      </c>
      <c r="M11" s="14">
        <f>SUM(M9:M10)</f>
        <v>6961</v>
      </c>
      <c r="N11" s="14">
        <f>SUM(N9:N10)</f>
        <v>7369</v>
      </c>
      <c r="O11" s="14">
        <f>SUM(O9:O10)</f>
        <v>7489</v>
      </c>
      <c r="P11" s="14">
        <f>SUM(P9:P10)</f>
        <v>7250</v>
      </c>
      <c r="Q11" s="14">
        <f>SUM(Q9:Q10)</f>
        <v>8133</v>
      </c>
      <c r="R11" s="14">
        <f>SUM(R9:R10)</f>
        <v>8602</v>
      </c>
      <c r="S11" s="5"/>
      <c r="T11" s="14">
        <f>SUM(T9:T10)</f>
        <v>25098</v>
      </c>
      <c r="U11" s="14">
        <f>SUM(U9:U10)</f>
        <v>25698</v>
      </c>
      <c r="V11" s="14">
        <f>SUM(V9:V10)</f>
        <v>26390</v>
      </c>
      <c r="W11" s="14">
        <f>SUM(W9:W10)</f>
        <v>27226</v>
      </c>
      <c r="X11" s="14">
        <f>SUM(X9:X10)</f>
        <v>28167</v>
      </c>
      <c r="Y11" s="14">
        <f>SUM(Y9:Y10)</f>
        <v>29069</v>
      </c>
      <c r="Z11" s="14">
        <f>SUM(Z9:Z10)</f>
        <v>30241</v>
      </c>
      <c r="AA11" s="14">
        <f>SUM(AA9:AA10)</f>
        <v>31474</v>
      </c>
      <c r="AB11" s="14">
        <f>SUM(AB9:AB10)</f>
        <v>23985</v>
      </c>
      <c r="AC11" s="14">
        <f>SUM(AC9:AC10)</f>
        <v>16735</v>
      </c>
    </row>
    <row r="12" spans="1:29" outlineLevel="1">
      <c r="B12" s="131" t="s">
        <v>168</v>
      </c>
      <c r="C12" s="79">
        <f>C11-'Historical Financials'!C11</f>
        <v>0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11"/>
      <c r="H12" s="79">
        <f>H11-'Historical Financials'!H11</f>
        <v>0</v>
      </c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/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>
        <f>AB11-'Historical Financials'!AB11</f>
        <v>23985</v>
      </c>
      <c r="AC12" s="79">
        <f>AC11-'Historical Financials'!AC11</f>
        <v>16734.843972673181</v>
      </c>
    </row>
    <row r="13" spans="1:29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</row>
    <row r="14" spans="1:29">
      <c r="B14" s="156" t="str">
        <f>B9&amp;"(%)"</f>
        <v>Payment Network(%)</v>
      </c>
      <c r="C14" s="157">
        <f>SUM(C9/C$11)</f>
        <v>0.63244016098284261</v>
      </c>
      <c r="D14" s="157">
        <f>SUM(D9/D$11)</f>
        <v>0.64568062238611323</v>
      </c>
      <c r="E14" s="157">
        <f>SUM(E9/E$11)</f>
        <v>0.63048848513825806</v>
      </c>
      <c r="F14" s="157">
        <f>SUM(F9/F$11)</f>
        <v>0.61543650371001524</v>
      </c>
      <c r="G14" s="158"/>
      <c r="H14" s="157">
        <f>SUM(H9/H$11)</f>
        <v>0.63500347947112035</v>
      </c>
      <c r="I14" s="157">
        <f>SUM(I9/I$11)</f>
        <v>0.64970489711277712</v>
      </c>
      <c r="J14" s="157">
        <f>SUM(J9/J$11)</f>
        <v>0.64442063370580127</v>
      </c>
      <c r="K14" s="157">
        <f>SUM(K9/K$11)</f>
        <v>0.59422724496029322</v>
      </c>
      <c r="L14" s="157">
        <f>SUM(L9/L$11)</f>
        <v>0.6175173282923756</v>
      </c>
      <c r="M14" s="157">
        <f>SUM(M9/M$11)</f>
        <v>0.62850165206148545</v>
      </c>
      <c r="N14" s="157">
        <f>SUM(N9/N$11)</f>
        <v>0.62817207219432758</v>
      </c>
      <c r="O14" s="157">
        <f>SUM(O9/O$11)</f>
        <v>0.58899719588730137</v>
      </c>
      <c r="P14" s="157">
        <f>SUM(P9/P$11)</f>
        <v>0.61131034482758617</v>
      </c>
      <c r="Q14" s="157">
        <f>SUM(Q9/Q$11)</f>
        <v>0.60801672199680312</v>
      </c>
      <c r="R14" s="157">
        <f>SUM(R9/R$11)</f>
        <v>0.60206928621250877</v>
      </c>
      <c r="S14" s="158"/>
      <c r="T14" s="159">
        <f>I14</f>
        <v>0.64970489711277712</v>
      </c>
      <c r="U14" s="159">
        <f>J14</f>
        <v>0.64442063370580127</v>
      </c>
      <c r="V14" s="159">
        <f>K14</f>
        <v>0.59422724496029322</v>
      </c>
      <c r="W14" s="159">
        <f>L14</f>
        <v>0.6175173282923756</v>
      </c>
      <c r="X14" s="159">
        <f>M14</f>
        <v>0.62850165206148545</v>
      </c>
      <c r="Y14" s="159">
        <f>N14</f>
        <v>0.62817207219432758</v>
      </c>
      <c r="Z14" s="159">
        <f>O14</f>
        <v>0.58899719588730137</v>
      </c>
      <c r="AA14" s="159">
        <f>P14</f>
        <v>0.61131034482758617</v>
      </c>
      <c r="AB14" s="159">
        <f>Q14</f>
        <v>0.60801672199680312</v>
      </c>
      <c r="AC14" s="160">
        <f>R14</f>
        <v>0.60206928621250877</v>
      </c>
    </row>
    <row r="15" spans="1:29" ht="12.75" customHeight="1">
      <c r="B15" s="161" t="str">
        <f>B10&amp;"(%)"</f>
        <v>Value-Added Services(%)</v>
      </c>
      <c r="C15" s="162">
        <f>SUM(C10/C$11)</f>
        <v>0.36755983901715739</v>
      </c>
      <c r="D15" s="162">
        <f>SUM(D10/D$11)</f>
        <v>0.35431937761388677</v>
      </c>
      <c r="E15" s="162">
        <f>SUM(E10/E$11)</f>
        <v>0.369511514861742</v>
      </c>
      <c r="F15" s="162">
        <f>SUM(F10/F$11)</f>
        <v>0.38456349628998471</v>
      </c>
      <c r="G15" s="163"/>
      <c r="H15" s="162">
        <f>SUM(H10/H$11)</f>
        <v>0.3649965205288796</v>
      </c>
      <c r="I15" s="162">
        <f>SUM(I10/I$11)</f>
        <v>0.35029510288722282</v>
      </c>
      <c r="J15" s="162">
        <f>SUM(J10/J$11)</f>
        <v>0.35557936629419867</v>
      </c>
      <c r="K15" s="162">
        <f>SUM(K10/K$11)</f>
        <v>0.40577275503970678</v>
      </c>
      <c r="L15" s="162">
        <f>SUM(L10/L$11)</f>
        <v>0.38248267170762446</v>
      </c>
      <c r="M15" s="162">
        <f>SUM(M10/M$11)</f>
        <v>0.37149834793851461</v>
      </c>
      <c r="N15" s="162">
        <f>SUM(N10/N$11)</f>
        <v>0.37182792780567242</v>
      </c>
      <c r="O15" s="162">
        <f>SUM(O10/O$11)</f>
        <v>0.41100280411269863</v>
      </c>
      <c r="P15" s="162">
        <f>SUM(P10/P$11)</f>
        <v>0.38868965517241377</v>
      </c>
      <c r="Q15" s="162">
        <f>SUM(Q10/Q$11)</f>
        <v>0.39198327800319688</v>
      </c>
      <c r="R15" s="162">
        <f>SUM(R10/R$11)</f>
        <v>0.39793071378749129</v>
      </c>
      <c r="S15" s="163"/>
      <c r="T15" s="164">
        <f>I15</f>
        <v>0.35029510288722282</v>
      </c>
      <c r="U15" s="164">
        <f>J15</f>
        <v>0.35557936629419867</v>
      </c>
      <c r="V15" s="164">
        <f>K15</f>
        <v>0.40577275503970678</v>
      </c>
      <c r="W15" s="164">
        <f>L15</f>
        <v>0.38248267170762446</v>
      </c>
      <c r="X15" s="164">
        <f>M15</f>
        <v>0.37149834793851461</v>
      </c>
      <c r="Y15" s="164">
        <f>N15</f>
        <v>0.37182792780567242</v>
      </c>
      <c r="Z15" s="164">
        <f>O15</f>
        <v>0.41100280411269863</v>
      </c>
      <c r="AA15" s="164">
        <f>P15</f>
        <v>0.38868965517241377</v>
      </c>
      <c r="AB15" s="164">
        <f>Q15</f>
        <v>0.39198327800319688</v>
      </c>
      <c r="AC15" s="165">
        <f>R15</f>
        <v>0.39793071378749129</v>
      </c>
    </row>
    <row r="16" spans="1:29">
      <c r="B16" s="18"/>
      <c r="C16" s="19"/>
      <c r="D16" s="19"/>
      <c r="E16" s="19"/>
      <c r="F16" s="19"/>
      <c r="G16" s="20"/>
      <c r="H16" s="21"/>
      <c r="I16" s="21"/>
      <c r="J16" s="21"/>
      <c r="K16" s="22"/>
      <c r="L16" s="21"/>
      <c r="M16" s="21"/>
      <c r="N16" s="21"/>
      <c r="O16" s="21"/>
      <c r="P16" s="21"/>
      <c r="Q16" s="21"/>
      <c r="R16" s="21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</row>
    <row r="17" spans="1:29">
      <c r="A17" s="36" t="s">
        <v>16</v>
      </c>
      <c r="B17" s="1" t="s">
        <v>167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ht="5.0999999999999996" customHeight="1"/>
    <row r="19" spans="1:29" ht="12.75" customHeight="1">
      <c r="A19" s="80" t="s">
        <v>16</v>
      </c>
      <c r="B19" s="78" t="s">
        <v>167</v>
      </c>
      <c r="C19" s="10"/>
      <c r="D19" s="10"/>
      <c r="E19" s="10"/>
      <c r="F19" s="10"/>
      <c r="G19" s="10"/>
      <c r="H19" s="95"/>
      <c r="I19" s="95"/>
      <c r="J19" s="95"/>
      <c r="K19" s="32"/>
      <c r="L19" s="95"/>
      <c r="M19" s="95"/>
      <c r="N19" s="95"/>
      <c r="O19" s="32"/>
      <c r="P19" s="95"/>
      <c r="Q19" s="95"/>
      <c r="R19" s="95"/>
      <c r="S19" s="5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2.75" customHeight="1">
      <c r="A20" s="80"/>
      <c r="B20" s="9" t="s">
        <v>173</v>
      </c>
      <c r="C20" s="81">
        <v>6667</v>
      </c>
      <c r="D20" s="81">
        <v>10156</v>
      </c>
      <c r="E20" s="81">
        <v>11135</v>
      </c>
      <c r="F20" s="81">
        <v>12375</v>
      </c>
      <c r="G20" s="10"/>
      <c r="H20" s="81">
        <v>2537</v>
      </c>
      <c r="I20" s="81">
        <v>2814</v>
      </c>
      <c r="J20" s="81">
        <v>2828</v>
      </c>
      <c r="K20" s="32">
        <f t="shared" ref="K20:K21" si="2">SUM(E20-SUM(H20:J20))</f>
        <v>2956</v>
      </c>
      <c r="L20" s="81">
        <v>2773</v>
      </c>
      <c r="M20" s="81">
        <v>3164</v>
      </c>
      <c r="N20" s="81">
        <v>3156</v>
      </c>
      <c r="O20" s="32">
        <f t="shared" ref="O20:O21" si="3">SUM(F20-SUM(L20:N20))</f>
        <v>3282</v>
      </c>
      <c r="P20" s="81">
        <v>3151</v>
      </c>
      <c r="Q20" s="81">
        <v>3406</v>
      </c>
      <c r="R20" s="81">
        <v>3651</v>
      </c>
      <c r="S20" s="5"/>
      <c r="T20" s="32">
        <f t="shared" ref="T20:T21" si="4">SUM(H20:K20)</f>
        <v>11135</v>
      </c>
      <c r="U20" s="32">
        <f>SUM(I20:L20)</f>
        <v>11371</v>
      </c>
      <c r="V20" s="32">
        <f>SUM(J20:M20)</f>
        <v>11721</v>
      </c>
      <c r="W20" s="32">
        <f>SUM(K20:N20)</f>
        <v>12049</v>
      </c>
      <c r="X20" s="32">
        <f>SUM(L20:O20)</f>
        <v>12375</v>
      </c>
      <c r="Y20" s="32">
        <f>SUM(M20:P20)</f>
        <v>12753</v>
      </c>
      <c r="Z20" s="32">
        <f>SUM(N20:Q20)</f>
        <v>12995</v>
      </c>
      <c r="AA20" s="32">
        <f>SUM(O20:R20)</f>
        <v>13490</v>
      </c>
      <c r="AB20" s="32">
        <f>SUM(P20:R20)</f>
        <v>10208</v>
      </c>
      <c r="AC20" s="32">
        <f>SUM(Q20:R20)</f>
        <v>7057</v>
      </c>
    </row>
    <row r="21" spans="1:29">
      <c r="B21" s="9" t="s">
        <v>174</v>
      </c>
      <c r="C21" s="81">
        <v>12217</v>
      </c>
      <c r="D21" s="81">
        <v>12081</v>
      </c>
      <c r="E21" s="81">
        <v>13963</v>
      </c>
      <c r="F21" s="81">
        <v>15792</v>
      </c>
      <c r="G21" s="81"/>
      <c r="H21" s="81">
        <v>3211</v>
      </c>
      <c r="I21" s="81">
        <v>3455</v>
      </c>
      <c r="J21" s="81">
        <v>3705</v>
      </c>
      <c r="K21" s="32">
        <f t="shared" si="2"/>
        <v>3592</v>
      </c>
      <c r="L21" s="81">
        <v>3575</v>
      </c>
      <c r="M21" s="81">
        <v>3797</v>
      </c>
      <c r="N21" s="81">
        <v>4213</v>
      </c>
      <c r="O21" s="32">
        <f t="shared" si="3"/>
        <v>4207</v>
      </c>
      <c r="P21" s="81">
        <v>4099</v>
      </c>
      <c r="Q21" s="81">
        <v>4727</v>
      </c>
      <c r="R21" s="81">
        <v>4951</v>
      </c>
      <c r="S21" s="5"/>
      <c r="T21" s="32">
        <f t="shared" si="4"/>
        <v>13963</v>
      </c>
      <c r="U21" s="32">
        <f>SUM(I21:L21)</f>
        <v>14327</v>
      </c>
      <c r="V21" s="32">
        <f>SUM(J21:M21)</f>
        <v>14669</v>
      </c>
      <c r="W21" s="32">
        <f>SUM(K21:N21)</f>
        <v>15177</v>
      </c>
      <c r="X21" s="32">
        <f>SUM(L21:O21)</f>
        <v>15792</v>
      </c>
      <c r="Y21" s="32">
        <f>SUM(M21:P21)</f>
        <v>16316</v>
      </c>
      <c r="Z21" s="32">
        <f>SUM(N21:Q21)</f>
        <v>17246</v>
      </c>
      <c r="AA21" s="32">
        <f>SUM(O21:R21)</f>
        <v>17984</v>
      </c>
      <c r="AB21" s="32">
        <f>SUM(P21:R21)</f>
        <v>13777</v>
      </c>
      <c r="AC21" s="32">
        <f>SUM(Q21:R21)</f>
        <v>9678</v>
      </c>
    </row>
    <row r="22" spans="1:29">
      <c r="B22" s="13" t="s">
        <v>65</v>
      </c>
      <c r="C22" s="14">
        <f>SUM(C20:C21)</f>
        <v>18884</v>
      </c>
      <c r="D22" s="14">
        <f>SUM(D20:D21)</f>
        <v>22237</v>
      </c>
      <c r="E22" s="14">
        <f>SUM(E20:E21)</f>
        <v>25098</v>
      </c>
      <c r="F22" s="14">
        <f>SUM(F20:F21)</f>
        <v>28167</v>
      </c>
      <c r="G22" s="11"/>
      <c r="H22" s="14">
        <f>SUM(H20:H21)</f>
        <v>5748</v>
      </c>
      <c r="I22" s="14">
        <f>SUM(I20:I21)</f>
        <v>6269</v>
      </c>
      <c r="J22" s="14">
        <f>SUM(J20:J21)</f>
        <v>6533</v>
      </c>
      <c r="K22" s="14">
        <f>SUM(K20:K21)</f>
        <v>6548</v>
      </c>
      <c r="L22" s="14">
        <f>SUM(L20:L21)</f>
        <v>6348</v>
      </c>
      <c r="M22" s="14">
        <f>SUM(M20:M21)</f>
        <v>6961</v>
      </c>
      <c r="N22" s="14">
        <f>SUM(N20:N21)</f>
        <v>7369</v>
      </c>
      <c r="O22" s="14">
        <f>SUM(O20:O21)</f>
        <v>7489</v>
      </c>
      <c r="P22" s="14">
        <f>SUM(P20:P21)</f>
        <v>7250</v>
      </c>
      <c r="Q22" s="14">
        <f>SUM(Q20:Q21)</f>
        <v>8133</v>
      </c>
      <c r="R22" s="14">
        <f>SUM(R20:R21)</f>
        <v>8602</v>
      </c>
      <c r="S22" s="5"/>
      <c r="T22" s="14">
        <f>SUM(T20:T21)</f>
        <v>25098</v>
      </c>
      <c r="U22" s="14">
        <f>SUM(U20:U21)</f>
        <v>25698</v>
      </c>
      <c r="V22" s="14">
        <f>SUM(V20:V21)</f>
        <v>26390</v>
      </c>
      <c r="W22" s="14">
        <f>SUM(W20:W21)</f>
        <v>27226</v>
      </c>
      <c r="X22" s="14">
        <f>SUM(X20:X21)</f>
        <v>28167</v>
      </c>
      <c r="Y22" s="14">
        <f>SUM(Y20:Y21)</f>
        <v>29069</v>
      </c>
      <c r="Z22" s="14">
        <f>SUM(Z20:Z21)</f>
        <v>30241</v>
      </c>
      <c r="AA22" s="14">
        <f>SUM(AA20:AA21)</f>
        <v>31474</v>
      </c>
      <c r="AB22" s="14">
        <f>SUM(AB20:AB21)</f>
        <v>23985</v>
      </c>
      <c r="AC22" s="14">
        <f>SUM(AC20:AC21)</f>
        <v>16735</v>
      </c>
    </row>
    <row r="23" spans="1:29" outlineLevel="1">
      <c r="B23" s="131" t="s">
        <v>168</v>
      </c>
      <c r="C23" s="79">
        <f>C22-C11</f>
        <v>0</v>
      </c>
      <c r="D23" s="79">
        <f>D22-D11</f>
        <v>0</v>
      </c>
      <c r="E23" s="79">
        <f>E22-E11</f>
        <v>0</v>
      </c>
      <c r="F23" s="79">
        <f>F22-F11</f>
        <v>0</v>
      </c>
      <c r="G23" s="11"/>
      <c r="H23" s="79">
        <f>H22-H11</f>
        <v>0</v>
      </c>
      <c r="I23" s="79">
        <f>I22-I11</f>
        <v>0</v>
      </c>
      <c r="J23" s="79">
        <f>J22-J11</f>
        <v>0</v>
      </c>
      <c r="K23" s="79">
        <f>K22-K11</f>
        <v>0</v>
      </c>
      <c r="L23" s="79">
        <f>L22-L11</f>
        <v>0</v>
      </c>
      <c r="M23" s="79">
        <f>M22-M11</f>
        <v>0</v>
      </c>
      <c r="N23" s="79">
        <f>N22-N11</f>
        <v>0</v>
      </c>
      <c r="O23" s="79">
        <f>O22-O11</f>
        <v>0</v>
      </c>
      <c r="P23" s="79">
        <f>P22-P11</f>
        <v>0</v>
      </c>
      <c r="Q23" s="79">
        <f>Q22-Q11</f>
        <v>0</v>
      </c>
      <c r="R23" s="79">
        <f>R22-R11</f>
        <v>0</v>
      </c>
      <c r="S23" s="79"/>
      <c r="T23" s="79" t="e">
        <f>T22-#REF!</f>
        <v>#REF!</v>
      </c>
      <c r="U23" s="79" t="e">
        <f>U22-#REF!</f>
        <v>#REF!</v>
      </c>
      <c r="V23" s="79" t="e">
        <f>V22-#REF!</f>
        <v>#REF!</v>
      </c>
      <c r="W23" s="79" t="e">
        <f>W22-#REF!</f>
        <v>#REF!</v>
      </c>
      <c r="X23" s="79" t="e">
        <f>X22-#REF!</f>
        <v>#REF!</v>
      </c>
      <c r="Y23" s="79" t="e">
        <f>Y22-#REF!</f>
        <v>#REF!</v>
      </c>
      <c r="Z23" s="79" t="e">
        <f>Z22-#REF!</f>
        <v>#REF!</v>
      </c>
      <c r="AA23" s="79" t="e">
        <f>AA22-#REF!</f>
        <v>#REF!</v>
      </c>
      <c r="AB23" s="79" t="e">
        <f>AB22-#REF!</f>
        <v>#REF!</v>
      </c>
      <c r="AC23" s="79" t="e">
        <f>AC22-#REF!</f>
        <v>#REF!</v>
      </c>
    </row>
    <row r="24" spans="1:29">
      <c r="B24" s="18"/>
      <c r="C24" s="19"/>
      <c r="D24" s="19"/>
      <c r="E24" s="19"/>
      <c r="F24" s="19"/>
      <c r="G24" s="20"/>
      <c r="H24" s="21"/>
      <c r="I24" s="21"/>
      <c r="J24" s="21"/>
      <c r="K24" s="22"/>
      <c r="L24" s="21"/>
      <c r="M24" s="21"/>
      <c r="N24" s="21"/>
      <c r="O24" s="21"/>
      <c r="P24" s="21"/>
      <c r="Q24" s="21"/>
      <c r="R24" s="21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</row>
    <row r="25" spans="1:29">
      <c r="B25" s="156" t="str">
        <f>B20&amp;"(%)"</f>
        <v>U.S. (%)</v>
      </c>
      <c r="C25" s="157">
        <f>SUM(C20/C$22)</f>
        <v>0.3530502012285533</v>
      </c>
      <c r="D25" s="157">
        <f>SUM(D20/D$22)</f>
        <v>0.45671628367135852</v>
      </c>
      <c r="E25" s="157">
        <f>SUM(E20/E$22)</f>
        <v>0.44366084947007728</v>
      </c>
      <c r="F25" s="157">
        <f>SUM(F20/F$22)</f>
        <v>0.43934391308978593</v>
      </c>
      <c r="G25" s="158"/>
      <c r="H25" s="157">
        <f>SUM(H20/H$22)</f>
        <v>0.44137091162143355</v>
      </c>
      <c r="I25" s="157">
        <f>SUM(I20/I$22)</f>
        <v>0.44887541872706971</v>
      </c>
      <c r="J25" s="157">
        <f>SUM(J20/J$22)</f>
        <v>0.43287922853206795</v>
      </c>
      <c r="K25" s="157">
        <f>SUM(K20/K$22)</f>
        <v>0.45143555284056203</v>
      </c>
      <c r="L25" s="157">
        <f>SUM(L20/L$22)</f>
        <v>0.436830497794581</v>
      </c>
      <c r="M25" s="157">
        <f>SUM(M20/M$22)</f>
        <v>0.45453239477086627</v>
      </c>
      <c r="N25" s="157">
        <f>SUM(N20/N$22)</f>
        <v>0.428280635092957</v>
      </c>
      <c r="O25" s="157">
        <f>SUM(O20/O$22)</f>
        <v>0.4382427560421952</v>
      </c>
      <c r="P25" s="157">
        <f>SUM(P20/P$22)</f>
        <v>0.43462068965517242</v>
      </c>
      <c r="Q25" s="157">
        <f>SUM(Q20/Q$22)</f>
        <v>0.4187876552317718</v>
      </c>
      <c r="R25" s="157">
        <f>SUM(R20/R$22)</f>
        <v>0.42443617763310859</v>
      </c>
      <c r="S25" s="158"/>
      <c r="T25" s="159">
        <f t="shared" ref="T25:AC26" si="5">I25</f>
        <v>0.44887541872706971</v>
      </c>
      <c r="U25" s="159">
        <f t="shared" si="5"/>
        <v>0.43287922853206795</v>
      </c>
      <c r="V25" s="159">
        <f t="shared" si="5"/>
        <v>0.45143555284056203</v>
      </c>
      <c r="W25" s="159">
        <f t="shared" si="5"/>
        <v>0.436830497794581</v>
      </c>
      <c r="X25" s="159">
        <f t="shared" si="5"/>
        <v>0.45453239477086627</v>
      </c>
      <c r="Y25" s="159">
        <f t="shared" si="5"/>
        <v>0.428280635092957</v>
      </c>
      <c r="Z25" s="159">
        <f t="shared" si="5"/>
        <v>0.4382427560421952</v>
      </c>
      <c r="AA25" s="159">
        <f t="shared" si="5"/>
        <v>0.43462068965517242</v>
      </c>
      <c r="AB25" s="159">
        <f t="shared" si="5"/>
        <v>0.4187876552317718</v>
      </c>
      <c r="AC25" s="160">
        <f t="shared" si="5"/>
        <v>0.42443617763310859</v>
      </c>
    </row>
    <row r="26" spans="1:29" ht="12.75" customHeight="1">
      <c r="B26" s="161" t="str">
        <f>B21&amp;"(%)"</f>
        <v>International(%)</v>
      </c>
      <c r="C26" s="162">
        <f t="shared" ref="C26" si="6">SUM(C21/C$22)</f>
        <v>0.64694979877144676</v>
      </c>
      <c r="D26" s="162">
        <f>SUM(D21/D$22)</f>
        <v>0.54328371632864148</v>
      </c>
      <c r="E26" s="162">
        <f>SUM(E21/E$22)</f>
        <v>0.55633915052992267</v>
      </c>
      <c r="F26" s="162">
        <f>SUM(F21/F$22)</f>
        <v>0.56065608691021407</v>
      </c>
      <c r="G26" s="163"/>
      <c r="H26" s="162">
        <f>SUM(H21/H$22)</f>
        <v>0.55862908837856651</v>
      </c>
      <c r="I26" s="162">
        <f>SUM(I21/I$22)</f>
        <v>0.55112458127293029</v>
      </c>
      <c r="J26" s="162">
        <f>SUM(J21/J$22)</f>
        <v>0.56712077146793205</v>
      </c>
      <c r="K26" s="162">
        <f>SUM(K21/K$22)</f>
        <v>0.54856444715943797</v>
      </c>
      <c r="L26" s="162">
        <f>SUM(L21/L$22)</f>
        <v>0.56316950220541906</v>
      </c>
      <c r="M26" s="162">
        <f>SUM(M21/M$22)</f>
        <v>0.54546760522913373</v>
      </c>
      <c r="N26" s="162">
        <f>SUM(N21/N$22)</f>
        <v>0.571719364907043</v>
      </c>
      <c r="O26" s="162">
        <f>SUM(O21/O$22)</f>
        <v>0.5617572439578048</v>
      </c>
      <c r="P26" s="162">
        <f>SUM(P21/P$22)</f>
        <v>0.56537931034482758</v>
      </c>
      <c r="Q26" s="162">
        <f>SUM(Q21/Q$22)</f>
        <v>0.58121234476822825</v>
      </c>
      <c r="R26" s="162">
        <f>SUM(R21/R$22)</f>
        <v>0.57556382236689141</v>
      </c>
      <c r="S26" s="163"/>
      <c r="T26" s="164">
        <f t="shared" si="5"/>
        <v>0.55112458127293029</v>
      </c>
      <c r="U26" s="164">
        <f t="shared" si="5"/>
        <v>0.56712077146793205</v>
      </c>
      <c r="V26" s="164">
        <f t="shared" si="5"/>
        <v>0.54856444715943797</v>
      </c>
      <c r="W26" s="164">
        <f t="shared" si="5"/>
        <v>0.56316950220541906</v>
      </c>
      <c r="X26" s="164">
        <f t="shared" si="5"/>
        <v>0.54546760522913373</v>
      </c>
      <c r="Y26" s="164">
        <f t="shared" si="5"/>
        <v>0.571719364907043</v>
      </c>
      <c r="Z26" s="164">
        <f t="shared" si="5"/>
        <v>0.5617572439578048</v>
      </c>
      <c r="AA26" s="164">
        <f t="shared" si="5"/>
        <v>0.56537931034482758</v>
      </c>
      <c r="AB26" s="164">
        <f t="shared" si="5"/>
        <v>0.58121234476822825</v>
      </c>
      <c r="AC26" s="165">
        <f t="shared" si="5"/>
        <v>0.57556382236689141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Mastercard Inc (NYSE: MA)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55" t="s">
        <v>22</v>
      </c>
    </row>
    <row r="3" spans="2:29" s="5" customFormat="1" ht="12.75" customHeight="1">
      <c r="B3" s="6" t="s">
        <v>23</v>
      </c>
      <c r="C3" s="7">
        <f>'Historical Financials'!C7</f>
        <v>2021</v>
      </c>
      <c r="D3" s="7">
        <f>'Historical Financials'!D7</f>
        <v>2022</v>
      </c>
      <c r="E3" s="7">
        <f>'Historical Financials'!E7</f>
        <v>2023</v>
      </c>
      <c r="F3" s="7">
        <f>'Historical Financials'!F7</f>
        <v>2024</v>
      </c>
      <c r="G3" s="3"/>
      <c r="H3" s="7" t="str">
        <f>'Historical Financials'!H7</f>
        <v>1Q23</v>
      </c>
      <c r="I3" s="7" t="str">
        <f>'Historical Financials'!I7</f>
        <v>2Q23</v>
      </c>
      <c r="J3" s="7" t="str">
        <f>'Historical Financials'!J7</f>
        <v>3Q23</v>
      </c>
      <c r="K3" s="7" t="str">
        <f>'Historical Financials'!K7</f>
        <v>4Q23</v>
      </c>
      <c r="L3" s="7" t="str">
        <f>'Historical Financials'!L7</f>
        <v>1Q24</v>
      </c>
      <c r="M3" s="7" t="str">
        <f>'Historical Financials'!M7</f>
        <v>2Q24</v>
      </c>
      <c r="N3" s="7" t="str">
        <f>'Historical Financials'!N7</f>
        <v>3Q24</v>
      </c>
      <c r="O3" s="7" t="str">
        <f>'Historical Financials'!O7</f>
        <v>4Q24</v>
      </c>
      <c r="P3" s="7" t="str">
        <f>'Historical Financials'!P7</f>
        <v>1Q25</v>
      </c>
      <c r="Q3" s="7" t="str">
        <f>'Historical Financials'!Q7</f>
        <v>2Q25</v>
      </c>
      <c r="R3" s="7" t="str">
        <f>'Historical Financials'!R7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55"/>
    </row>
    <row r="4" spans="2:29" s="5" customFormat="1" ht="12.75" customHeight="1">
      <c r="B4" s="6" t="s">
        <v>71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/>
      <c r="H4" s="3">
        <f>'Historical Financials'!H8</f>
        <v>0</v>
      </c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55"/>
    </row>
    <row r="5" spans="2:29" ht="5.0999999999999996" customHeight="1">
      <c r="AC5" s="125"/>
    </row>
    <row r="6" spans="2:29" ht="12.75" customHeight="1">
      <c r="B6" s="9" t="str">
        <f>'Revenue Drivers'!B9</f>
        <v>Payment Network</v>
      </c>
      <c r="C6" s="94">
        <f>'Revenue Drivers'!D9</f>
        <v>14358</v>
      </c>
      <c r="D6" s="94">
        <f>'Revenue Drivers'!E9</f>
        <v>15824</v>
      </c>
      <c r="E6" s="94">
        <f>'Revenue Drivers'!F9</f>
        <v>17335</v>
      </c>
      <c r="F6" s="94" t="e">
        <f>'Revenue Drivers'!#REF!</f>
        <v>#REF!</v>
      </c>
      <c r="G6" s="10"/>
      <c r="H6" s="94">
        <f>'Revenue Drivers'!H9</f>
        <v>3650</v>
      </c>
      <c r="I6" s="94">
        <f>'Revenue Drivers'!I9</f>
        <v>4073</v>
      </c>
      <c r="J6" s="94">
        <f>'Revenue Drivers'!J9</f>
        <v>4210</v>
      </c>
      <c r="K6" s="94">
        <f>'Revenue Drivers'!K9</f>
        <v>3891</v>
      </c>
      <c r="L6" s="94">
        <f>'Revenue Drivers'!L9</f>
        <v>3920</v>
      </c>
      <c r="M6" s="94">
        <f>'Revenue Drivers'!M9</f>
        <v>4375</v>
      </c>
      <c r="N6" s="94">
        <f>'Revenue Drivers'!N9</f>
        <v>4629</v>
      </c>
      <c r="O6" s="94">
        <f>'Revenue Drivers'!O9</f>
        <v>4411</v>
      </c>
      <c r="P6" s="94">
        <f>'Revenue Drivers'!P9</f>
        <v>4432</v>
      </c>
      <c r="Q6" s="94">
        <f>'Revenue Drivers'!Q9</f>
        <v>4945</v>
      </c>
      <c r="R6" s="94">
        <f>'Revenue Drivers'!R9</f>
        <v>5179</v>
      </c>
      <c r="S6" s="5"/>
      <c r="T6" s="142">
        <f t="shared" ref="T6:Z9" si="1">SUM(H6:K6)</f>
        <v>15824</v>
      </c>
      <c r="U6" s="142">
        <f t="shared" si="1"/>
        <v>16094</v>
      </c>
      <c r="V6" s="142">
        <f t="shared" si="1"/>
        <v>16396</v>
      </c>
      <c r="W6" s="142">
        <f t="shared" si="1"/>
        <v>16815</v>
      </c>
      <c r="X6" s="142">
        <f t="shared" si="1"/>
        <v>17335</v>
      </c>
      <c r="Y6" s="142">
        <f t="shared" si="1"/>
        <v>17847</v>
      </c>
      <c r="Z6" s="142">
        <f t="shared" si="1"/>
        <v>18417</v>
      </c>
      <c r="AA6" s="142">
        <f>SUM(O6:R6)</f>
        <v>18967</v>
      </c>
      <c r="AC6" s="126">
        <f t="shared" ref="AC6:AC10" si="2">SUM(AA6/W6)-1</f>
        <v>0.12798096937258396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Drivers'!B10</f>
        <v>Value-Added Services</v>
      </c>
      <c r="C9" s="94">
        <f>'Revenue Drivers'!D10</f>
        <v>7879</v>
      </c>
      <c r="D9" s="94">
        <f>'Revenue Drivers'!E10</f>
        <v>9274</v>
      </c>
      <c r="E9" s="94">
        <f>'Revenue Drivers'!F10</f>
        <v>10832</v>
      </c>
      <c r="F9" s="94" t="e">
        <f>'Revenue Drivers'!#REF!</f>
        <v>#REF!</v>
      </c>
      <c r="G9" s="10"/>
      <c r="H9" s="94">
        <f>'Revenue Drivers'!H10</f>
        <v>2098</v>
      </c>
      <c r="I9" s="94">
        <f>'Revenue Drivers'!I10</f>
        <v>2196</v>
      </c>
      <c r="J9" s="94">
        <f>'Revenue Drivers'!J10</f>
        <v>2323</v>
      </c>
      <c r="K9" s="94">
        <f>'Revenue Drivers'!K10</f>
        <v>2657</v>
      </c>
      <c r="L9" s="94">
        <f>'Revenue Drivers'!L10</f>
        <v>2428</v>
      </c>
      <c r="M9" s="94">
        <f>'Revenue Drivers'!M10</f>
        <v>2586</v>
      </c>
      <c r="N9" s="94">
        <f>'Revenue Drivers'!N10</f>
        <v>2740</v>
      </c>
      <c r="O9" s="94">
        <f>'Revenue Drivers'!O10</f>
        <v>3078</v>
      </c>
      <c r="P9" s="94">
        <f>'Revenue Drivers'!P10</f>
        <v>2818</v>
      </c>
      <c r="Q9" s="94">
        <f>'Revenue Drivers'!Q10</f>
        <v>3188</v>
      </c>
      <c r="R9" s="94">
        <f>'Revenue Drivers'!R10</f>
        <v>3423</v>
      </c>
      <c r="S9" s="5"/>
      <c r="T9" s="142">
        <f t="shared" si="1"/>
        <v>9274</v>
      </c>
      <c r="U9" s="142">
        <f t="shared" si="1"/>
        <v>9604</v>
      </c>
      <c r="V9" s="142">
        <f t="shared" si="1"/>
        <v>9994</v>
      </c>
      <c r="W9" s="142">
        <f t="shared" si="1"/>
        <v>10411</v>
      </c>
      <c r="X9" s="142">
        <f t="shared" si="1"/>
        <v>10832</v>
      </c>
      <c r="Y9" s="142">
        <f t="shared" si="1"/>
        <v>11222</v>
      </c>
      <c r="Z9" s="142">
        <f t="shared" si="1"/>
        <v>11824</v>
      </c>
      <c r="AA9" s="142">
        <f>SUM(O9:R9)</f>
        <v>12507</v>
      </c>
      <c r="AC9" s="126">
        <f t="shared" si="2"/>
        <v>0.20132552108346946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116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117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120</v>
      </c>
      <c r="C19" s="141">
        <f>'Historical Financials'!C13</f>
        <v>-7087</v>
      </c>
      <c r="D19" s="141">
        <f>'Historical Financials'!D13</f>
        <v>-8078</v>
      </c>
      <c r="E19" s="141">
        <f>'Historical Financials'!E13</f>
        <v>-8927</v>
      </c>
      <c r="F19" s="141">
        <f>'Historical Financials'!F13</f>
        <v>-10193</v>
      </c>
      <c r="G19" s="94"/>
      <c r="H19" s="141">
        <f>'Historical Financials'!H13</f>
        <v>-2043</v>
      </c>
      <c r="I19" s="141">
        <f>'Historical Financials'!I13</f>
        <v>-2200</v>
      </c>
      <c r="J19" s="141">
        <f>'Historical Financials'!J13</f>
        <v>-2285</v>
      </c>
      <c r="K19" s="141">
        <f>'Historical Financials'!K13</f>
        <v>-2399</v>
      </c>
      <c r="L19" s="141">
        <f>'Historical Financials'!L13</f>
        <v>-2286</v>
      </c>
      <c r="M19" s="141">
        <f>'Historical Financials'!M13</f>
        <v>-2418</v>
      </c>
      <c r="N19" s="141">
        <f>'Historical Financials'!N13</f>
        <v>-2744</v>
      </c>
      <c r="O19" s="141">
        <f>'Historical Financials'!O13</f>
        <v>-2745</v>
      </c>
      <c r="P19" s="141">
        <f>'Historical Financials'!P13</f>
        <v>-2523</v>
      </c>
      <c r="Q19" s="141">
        <f>'Historical Financials'!Q13</f>
        <v>-2766</v>
      </c>
      <c r="R19" s="141">
        <f>'Historical Financials'!R13</f>
        <v>-2923</v>
      </c>
      <c r="S19" s="5"/>
      <c r="T19" s="142">
        <f t="shared" ref="T19:Z23" si="32">SUM(H19:K19)</f>
        <v>-8927</v>
      </c>
      <c r="U19" s="142">
        <f t="shared" si="32"/>
        <v>-9170</v>
      </c>
      <c r="V19" s="142">
        <f t="shared" si="32"/>
        <v>-9388</v>
      </c>
      <c r="W19" s="142">
        <f t="shared" si="32"/>
        <v>-9847</v>
      </c>
      <c r="X19" s="142">
        <f t="shared" si="32"/>
        <v>-10193</v>
      </c>
      <c r="Y19" s="142">
        <f t="shared" si="32"/>
        <v>-10430</v>
      </c>
      <c r="Z19" s="142">
        <f t="shared" si="32"/>
        <v>-10778</v>
      </c>
      <c r="AA19" s="142">
        <f>SUM(O19:R19)</f>
        <v>-10957</v>
      </c>
      <c r="AC19" s="126">
        <f t="shared" ref="AC19:AC23" si="33">SUM(AA19/W19)-1</f>
        <v>0.11272468772214883</v>
      </c>
    </row>
    <row r="20" spans="2:29" ht="12.75" customHeight="1">
      <c r="B20" s="23" t="s">
        <v>121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117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118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119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Financials'!C93</f>
        <v>0</v>
      </c>
      <c r="D27" s="141">
        <f>'Historical Financials'!D93</f>
        <v>0</v>
      </c>
      <c r="E27" s="141">
        <f>'Historical Financials'!E93</f>
        <v>0</v>
      </c>
      <c r="F27" s="141">
        <f>'Historical Financials'!F93</f>
        <v>0</v>
      </c>
      <c r="H27" s="141">
        <f>'Historical Financials'!H93</f>
        <v>0</v>
      </c>
      <c r="I27" s="141">
        <f>'Historical Financials'!I93</f>
        <v>0</v>
      </c>
      <c r="J27" s="141">
        <f>'Historical Financials'!J93</f>
        <v>0</v>
      </c>
      <c r="K27" s="141">
        <f>'Historical Financials'!K93</f>
        <v>0</v>
      </c>
      <c r="L27" s="141">
        <f>'Historical Financials'!L93</f>
        <v>0</v>
      </c>
      <c r="M27" s="141">
        <f>'Historical Financials'!M93</f>
        <v>0</v>
      </c>
      <c r="N27" s="141">
        <f>'Historical Financials'!N93</f>
        <v>0</v>
      </c>
      <c r="O27" s="141">
        <f>'Historical Financials'!O93</f>
        <v>0</v>
      </c>
      <c r="P27" s="141">
        <f>'Historical Financials'!P93</f>
        <v>0</v>
      </c>
      <c r="Q27" s="141">
        <f>'Historical Financials'!Q93</f>
        <v>0</v>
      </c>
      <c r="R27" s="141">
        <f>'Historical Financials'!R93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122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123</v>
      </c>
      <c r="C32" s="141">
        <f>'Historical Financials'!C95</f>
        <v>0</v>
      </c>
      <c r="D32" s="141">
        <f>'Historical Financials'!D95</f>
        <v>0</v>
      </c>
      <c r="E32" s="141">
        <f>'Historical Financials'!E95</f>
        <v>0</v>
      </c>
      <c r="F32" s="141">
        <f>'Historical Financials'!F95</f>
        <v>0</v>
      </c>
      <c r="H32" s="141">
        <f>'Historical Financials'!H95</f>
        <v>0</v>
      </c>
      <c r="I32" s="141">
        <f>'Historical Financials'!I95</f>
        <v>0</v>
      </c>
      <c r="J32" s="141">
        <f>'Historical Financials'!J95</f>
        <v>0</v>
      </c>
      <c r="K32" s="141">
        <f>'Historical Financials'!K95</f>
        <v>0</v>
      </c>
      <c r="L32" s="141">
        <f>'Historical Financials'!L95</f>
        <v>0</v>
      </c>
      <c r="M32" s="141">
        <f>'Historical Financials'!M95</f>
        <v>0</v>
      </c>
      <c r="N32" s="141">
        <f>'Historical Financials'!N95</f>
        <v>0</v>
      </c>
      <c r="O32" s="141">
        <f>'Historical Financials'!O95</f>
        <v>0</v>
      </c>
      <c r="P32" s="141">
        <f>'Historical Financials'!P95</f>
        <v>0</v>
      </c>
      <c r="Q32" s="141">
        <f>'Historical Financials'!Q95</f>
        <v>0</v>
      </c>
      <c r="R32" s="141">
        <f>'Historical Financials'!R95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124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125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Financials'!C102</f>
        <v>0</v>
      </c>
      <c r="D38" s="141">
        <f>'Historical Financials'!D102</f>
        <v>0</v>
      </c>
      <c r="E38" s="141">
        <f>'Historical Financials'!E102</f>
        <v>0</v>
      </c>
      <c r="F38" s="141">
        <f>'Historical Financials'!F102</f>
        <v>0</v>
      </c>
      <c r="H38" s="141">
        <f>'Historical Financials'!H102</f>
        <v>0</v>
      </c>
      <c r="I38" s="141">
        <f>'Historical Financials'!I102</f>
        <v>0</v>
      </c>
      <c r="J38" s="141">
        <f>'Historical Financials'!J102</f>
        <v>0</v>
      </c>
      <c r="K38" s="141">
        <f>'Historical Financials'!K102</f>
        <v>0</v>
      </c>
      <c r="L38" s="141">
        <f>'Historical Financials'!L102</f>
        <v>0</v>
      </c>
      <c r="M38" s="141">
        <f>'Historical Financials'!M102</f>
        <v>0</v>
      </c>
      <c r="N38" s="141">
        <f>'Historical Financials'!N102</f>
        <v>0</v>
      </c>
      <c r="O38" s="141">
        <f>'Historical Financials'!O102</f>
        <v>0</v>
      </c>
      <c r="P38" s="141">
        <f>'Historical Financials'!P102</f>
        <v>0</v>
      </c>
      <c r="Q38" s="141">
        <f>'Historical Financials'!Q102</f>
        <v>0</v>
      </c>
      <c r="R38" s="141">
        <f>'Historical Financials'!R102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Financials'!C127</f>
        <v>0</v>
      </c>
      <c r="D39" s="141">
        <f>-'Historical Financials'!D127</f>
        <v>0</v>
      </c>
      <c r="E39" s="141">
        <f>-'Historical Financials'!E127</f>
        <v>0</v>
      </c>
      <c r="F39" s="141">
        <f>-'Historical Financials'!F127</f>
        <v>0</v>
      </c>
      <c r="H39" s="141">
        <f>-'Historical Financials'!H127</f>
        <v>0</v>
      </c>
      <c r="I39" s="141">
        <f>-'Historical Financials'!I127</f>
        <v>0</v>
      </c>
      <c r="J39" s="141">
        <f>-'Historical Financials'!J127</f>
        <v>0</v>
      </c>
      <c r="K39" s="141">
        <f>-'Historical Financials'!K127</f>
        <v>0</v>
      </c>
      <c r="L39" s="141">
        <f>-'Historical Financials'!L127</f>
        <v>0</v>
      </c>
      <c r="M39" s="141">
        <f>-'Historical Financials'!M127</f>
        <v>0</v>
      </c>
      <c r="N39" s="141">
        <f>-'Historical Financials'!N127</f>
        <v>0</v>
      </c>
      <c r="O39" s="141">
        <f>-'Historical Financials'!O127</f>
        <v>0</v>
      </c>
      <c r="P39" s="141">
        <f>-'Historical Financials'!P127</f>
        <v>0</v>
      </c>
      <c r="Q39" s="141">
        <f>-'Historical Financials'!Q127</f>
        <v>0</v>
      </c>
      <c r="R39" s="141">
        <f>-'Historical Financials'!R127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Financials'!C126</f>
        <v>0</v>
      </c>
      <c r="D40" s="141">
        <f>-'Historical Financials'!D126</f>
        <v>0</v>
      </c>
      <c r="E40" s="141">
        <f>-'Historical Financials'!E126</f>
        <v>0</v>
      </c>
      <c r="F40" s="141">
        <f>-'Historical Financials'!F126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Financials'!C103</f>
        <v>0</v>
      </c>
      <c r="D44" s="141">
        <f>'Historical Financials'!D103</f>
        <v>0</v>
      </c>
      <c r="E44" s="141">
        <f>'Historical Financials'!E103</f>
        <v>0</v>
      </c>
      <c r="F44" s="141">
        <f>'Historical Financials'!F103</f>
        <v>0</v>
      </c>
      <c r="G44" s="32"/>
      <c r="H44" s="141">
        <f>'Historical Financials'!H103</f>
        <v>0</v>
      </c>
      <c r="I44" s="141">
        <f>'Historical Financials'!I103</f>
        <v>0</v>
      </c>
      <c r="J44" s="141">
        <f>'Historical Financials'!J103</f>
        <v>0</v>
      </c>
      <c r="K44" s="141">
        <f>'Historical Financials'!K103</f>
        <v>0</v>
      </c>
      <c r="L44" s="141">
        <f>'Historical Financials'!L103</f>
        <v>0</v>
      </c>
      <c r="M44" s="141">
        <f>'Historical Financials'!M103</f>
        <v>0</v>
      </c>
      <c r="N44" s="141">
        <f>'Historical Financials'!N103</f>
        <v>0</v>
      </c>
      <c r="O44" s="141">
        <f>'Historical Financials'!O103</f>
        <v>0</v>
      </c>
      <c r="P44" s="141">
        <f>'Historical Financials'!P103</f>
        <v>0</v>
      </c>
      <c r="Q44" s="141">
        <f>'Historical Financials'!Q103</f>
        <v>0</v>
      </c>
      <c r="R44" s="141">
        <f>'Historical Financials'!R103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Financials'!C105</f>
        <v>0</v>
      </c>
      <c r="D45" s="141">
        <f>'Historical Financials'!D105</f>
        <v>0</v>
      </c>
      <c r="E45" s="141">
        <f>'Historical Financials'!E105</f>
        <v>0</v>
      </c>
      <c r="F45" s="141">
        <f>'Historical Financials'!F105</f>
        <v>0</v>
      </c>
      <c r="G45" s="32"/>
      <c r="H45" s="141">
        <f>'Historical Financials'!H105</f>
        <v>0</v>
      </c>
      <c r="I45" s="141">
        <f>'Historical Financials'!I105</f>
        <v>0</v>
      </c>
      <c r="J45" s="141">
        <f>'Historical Financials'!J105</f>
        <v>0</v>
      </c>
      <c r="K45" s="141">
        <f>'Historical Financials'!K105</f>
        <v>0</v>
      </c>
      <c r="L45" s="141">
        <f>'Historical Financials'!L105</f>
        <v>0</v>
      </c>
      <c r="M45" s="141">
        <f>'Historical Financials'!M105</f>
        <v>0</v>
      </c>
      <c r="N45" s="141">
        <f>'Historical Financials'!N105</f>
        <v>0</v>
      </c>
      <c r="O45" s="141">
        <f>'Historical Financials'!O105</f>
        <v>0</v>
      </c>
      <c r="P45" s="141">
        <f>'Historical Financials'!P105</f>
        <v>0</v>
      </c>
      <c r="Q45" s="141">
        <f>'Historical Financials'!Q105</f>
        <v>0</v>
      </c>
      <c r="R45" s="141">
        <f>'Historical Financials'!R105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126</v>
      </c>
      <c r="C46" s="141">
        <f>'Historical Financials'!C104</f>
        <v>0</v>
      </c>
      <c r="D46" s="141">
        <f>'Historical Financials'!D104</f>
        <v>0</v>
      </c>
      <c r="E46" s="141">
        <f>'Historical Financials'!E104</f>
        <v>0</v>
      </c>
      <c r="F46" s="141">
        <f>'Historical Financials'!F104</f>
        <v>0</v>
      </c>
      <c r="G46" s="32"/>
      <c r="H46" s="141">
        <f>'Historical Financials'!H104</f>
        <v>0</v>
      </c>
      <c r="I46" s="141">
        <f>'Historical Financials'!I104</f>
        <v>0</v>
      </c>
      <c r="J46" s="141">
        <f>'Historical Financials'!J104</f>
        <v>0</v>
      </c>
      <c r="K46" s="141">
        <f>'Historical Financials'!K104</f>
        <v>0</v>
      </c>
      <c r="L46" s="141">
        <f>'Historical Financials'!L104</f>
        <v>0</v>
      </c>
      <c r="M46" s="141">
        <f>'Historical Financials'!M104</f>
        <v>0</v>
      </c>
      <c r="N46" s="141">
        <f>'Historical Financials'!N104</f>
        <v>0</v>
      </c>
      <c r="O46" s="141">
        <f>'Historical Financials'!O104</f>
        <v>0</v>
      </c>
      <c r="P46" s="141">
        <f>'Historical Financials'!P104</f>
        <v>0</v>
      </c>
      <c r="Q46" s="141">
        <f>'Historical Financials'!Q104</f>
        <v>0</v>
      </c>
      <c r="R46" s="141">
        <f>'Historical Financials'!R104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Financials'!C109</f>
        <v>0</v>
      </c>
      <c r="D47" s="141">
        <f>'Historical Financials'!D109</f>
        <v>0</v>
      </c>
      <c r="E47" s="141">
        <f>'Historical Financials'!E109</f>
        <v>0</v>
      </c>
      <c r="F47" s="141">
        <f>'Historical Financials'!F109</f>
        <v>0</v>
      </c>
      <c r="G47" s="32"/>
      <c r="H47" s="141">
        <f>'Historical Financials'!H109</f>
        <v>0</v>
      </c>
      <c r="I47" s="141">
        <f>'Historical Financials'!I109</f>
        <v>0</v>
      </c>
      <c r="J47" s="141">
        <f>'Historical Financials'!J109</f>
        <v>0</v>
      </c>
      <c r="K47" s="141">
        <f>'Historical Financials'!K109</f>
        <v>0</v>
      </c>
      <c r="L47" s="141">
        <f>'Historical Financials'!L109</f>
        <v>0</v>
      </c>
      <c r="M47" s="141">
        <f>'Historical Financials'!M109</f>
        <v>0</v>
      </c>
      <c r="N47" s="141">
        <f>'Historical Financials'!N109</f>
        <v>0</v>
      </c>
      <c r="O47" s="141">
        <f>'Historical Financials'!O109</f>
        <v>0</v>
      </c>
      <c r="P47" s="141">
        <f>'Historical Financials'!P109</f>
        <v>0</v>
      </c>
      <c r="Q47" s="141">
        <f>'Historical Financials'!Q109</f>
        <v>0</v>
      </c>
      <c r="R47" s="141">
        <f>'Historical Financials'!R109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127</v>
      </c>
      <c r="C48" s="141">
        <f>'Historical Financials'!C110</f>
        <v>0</v>
      </c>
      <c r="D48" s="141">
        <f>'Historical Financials'!D110</f>
        <v>0</v>
      </c>
      <c r="E48" s="141">
        <f>'Historical Financials'!E110</f>
        <v>0</v>
      </c>
      <c r="F48" s="141">
        <f>'Historical Financials'!F110</f>
        <v>0</v>
      </c>
      <c r="G48" s="32"/>
      <c r="H48" s="141">
        <f>'Historical Financials'!H110</f>
        <v>0</v>
      </c>
      <c r="I48" s="141">
        <f>'Historical Financials'!I110</f>
        <v>0</v>
      </c>
      <c r="J48" s="141">
        <f>'Historical Financials'!J110</f>
        <v>0</v>
      </c>
      <c r="K48" s="141">
        <f>'Historical Financials'!K110</f>
        <v>0</v>
      </c>
      <c r="L48" s="141">
        <f>'Historical Financials'!L110</f>
        <v>0</v>
      </c>
      <c r="M48" s="141">
        <f>'Historical Financials'!M110</f>
        <v>0</v>
      </c>
      <c r="N48" s="141">
        <f>'Historical Financials'!N110</f>
        <v>0</v>
      </c>
      <c r="O48" s="141">
        <f>'Historical Financials'!O110</f>
        <v>0</v>
      </c>
      <c r="P48" s="141">
        <f>'Historical Financials'!P110</f>
        <v>0</v>
      </c>
      <c r="Q48" s="141">
        <f>'Historical Financials'!Q110</f>
        <v>0</v>
      </c>
      <c r="R48" s="141">
        <f>'Historical Financials'!R110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Financials'!C111:C111)</f>
        <v>0</v>
      </c>
      <c r="D49" s="141">
        <f>SUM('Historical Financials'!D111:D111)</f>
        <v>0</v>
      </c>
      <c r="E49" s="141">
        <f>SUM('Historical Financials'!E111:E111)</f>
        <v>0</v>
      </c>
      <c r="F49" s="141">
        <f>SUM('Historical Financials'!F111:F111)</f>
        <v>0</v>
      </c>
      <c r="G49" s="32"/>
      <c r="H49" s="141">
        <f>SUM('Historical Financials'!H111:H111)</f>
        <v>0</v>
      </c>
      <c r="I49" s="141">
        <f>SUM('Historical Financials'!I111:I111)</f>
        <v>0</v>
      </c>
      <c r="J49" s="141">
        <f>SUM('Historical Financials'!J111:J111)</f>
        <v>0</v>
      </c>
      <c r="K49" s="141">
        <f>SUM('Historical Financials'!K111:K111)</f>
        <v>0</v>
      </c>
      <c r="L49" s="141">
        <f>SUM('Historical Financials'!L111:L111)</f>
        <v>0</v>
      </c>
      <c r="M49" s="141">
        <f>SUM('Historical Financials'!M111:M111)</f>
        <v>0</v>
      </c>
      <c r="N49" s="141">
        <f>SUM('Historical Financials'!N111:N111)</f>
        <v>0</v>
      </c>
      <c r="O49" s="141">
        <f>SUM('Historical Financials'!O111:O111)</f>
        <v>0</v>
      </c>
      <c r="P49" s="141">
        <f>SUM('Historical Financials'!P111:P111)</f>
        <v>0</v>
      </c>
      <c r="Q49" s="141">
        <f>SUM('Historical Financials'!Q111:Q111)</f>
        <v>0</v>
      </c>
      <c r="R49" s="141">
        <f>SUM('Historical Financials'!R111:R111)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Financials'!C42</f>
        <v>7421</v>
      </c>
      <c r="D55" s="94">
        <f>'Historical Financials'!D42</f>
        <v>7008</v>
      </c>
      <c r="E55" s="94">
        <f>'Historical Financials'!E42</f>
        <v>8588</v>
      </c>
      <c r="F55" s="94">
        <f>'Historical Financials'!F42</f>
        <v>8442</v>
      </c>
      <c r="G55" s="32"/>
      <c r="H55" s="94">
        <f>'Historical Financials'!H42</f>
        <v>6566</v>
      </c>
      <c r="I55" s="94">
        <f>'Historical Financials'!I42</f>
        <v>6170</v>
      </c>
      <c r="J55" s="94">
        <f>'Historical Financials'!J42</f>
        <v>6890</v>
      </c>
      <c r="K55" s="94">
        <f>'Historical Financials'!K42</f>
        <v>8588</v>
      </c>
      <c r="L55" s="94">
        <f>'Historical Financials'!L42</f>
        <v>7293</v>
      </c>
      <c r="M55" s="94">
        <f>'Historical Financials'!M42</f>
        <v>6996</v>
      </c>
      <c r="N55" s="94">
        <f>'Historical Financials'!N42</f>
        <v>11063</v>
      </c>
      <c r="O55" s="94">
        <f>'Historical Financials'!O42</f>
        <v>8442</v>
      </c>
      <c r="P55" s="94">
        <f>'Historical Financials'!P42</f>
        <v>7575</v>
      </c>
      <c r="Q55" s="94">
        <f>'Historical Financials'!Q42</f>
        <v>9031</v>
      </c>
      <c r="R55" s="94">
        <f>'Historical Financials'!R42</f>
        <v>10313</v>
      </c>
      <c r="T55" s="10">
        <f t="shared" ref="T55:Z57" si="102">K55</f>
        <v>8588</v>
      </c>
      <c r="U55" s="10">
        <f t="shared" si="102"/>
        <v>7293</v>
      </c>
      <c r="V55" s="10">
        <f t="shared" si="102"/>
        <v>6996</v>
      </c>
      <c r="W55" s="10">
        <f t="shared" si="102"/>
        <v>11063</v>
      </c>
      <c r="X55" s="10">
        <f t="shared" si="102"/>
        <v>8442</v>
      </c>
      <c r="Y55" s="10">
        <f t="shared" si="102"/>
        <v>7575</v>
      </c>
      <c r="Z55" s="10">
        <f t="shared" si="102"/>
        <v>9031</v>
      </c>
      <c r="AA55" s="10">
        <f>R55</f>
        <v>10313</v>
      </c>
    </row>
    <row r="56" spans="1:27" ht="12.75" customHeight="1">
      <c r="B56" s="8" t="s">
        <v>128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135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8588</v>
      </c>
      <c r="U58" s="14">
        <f t="shared" si="105"/>
        <v>7293</v>
      </c>
      <c r="V58" s="14">
        <f t="shared" si="105"/>
        <v>6996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132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133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137</v>
      </c>
      <c r="C63" s="94">
        <f>'Historical Financials'!C48</f>
        <v>2271</v>
      </c>
      <c r="D63" s="94">
        <f>'Historical Financials'!D48</f>
        <v>2346</v>
      </c>
      <c r="E63" s="94">
        <f>'Historical Financials'!E48</f>
        <v>2611</v>
      </c>
      <c r="F63" s="94">
        <f>'Historical Financials'!F48</f>
        <v>2992</v>
      </c>
      <c r="H63" s="94">
        <f>'Historical Financials'!H48</f>
        <v>2501</v>
      </c>
      <c r="I63" s="94">
        <f>'Historical Financials'!I48</f>
        <v>2554</v>
      </c>
      <c r="J63" s="94">
        <f>'Historical Financials'!J48</f>
        <v>1824</v>
      </c>
      <c r="K63" s="94">
        <f>'Historical Financials'!K48</f>
        <v>2611</v>
      </c>
      <c r="L63" s="94">
        <f>'Historical Financials'!L48</f>
        <v>3028</v>
      </c>
      <c r="M63" s="94">
        <f>'Historical Financials'!M48</f>
        <v>2941</v>
      </c>
      <c r="N63" s="94">
        <f>'Historical Financials'!N48</f>
        <v>3039</v>
      </c>
      <c r="O63" s="94">
        <f>'Historical Financials'!O48</f>
        <v>2992</v>
      </c>
      <c r="P63" s="94">
        <f>'Historical Financials'!P48</f>
        <v>3419</v>
      </c>
      <c r="Q63" s="94">
        <f>'Historical Financials'!Q48</f>
        <v>3630</v>
      </c>
      <c r="R63" s="94">
        <f>'Historical Financials'!R48</f>
        <v>3954</v>
      </c>
      <c r="S63" s="10"/>
      <c r="T63" s="10">
        <f t="shared" ref="T63:Z69" si="106">K63</f>
        <v>2611</v>
      </c>
      <c r="U63" s="10">
        <f t="shared" si="106"/>
        <v>3028</v>
      </c>
      <c r="V63" s="10">
        <f t="shared" si="106"/>
        <v>2941</v>
      </c>
      <c r="W63" s="10">
        <f t="shared" si="106"/>
        <v>3039</v>
      </c>
      <c r="X63" s="10">
        <f t="shared" si="106"/>
        <v>2992</v>
      </c>
      <c r="Y63" s="10">
        <f t="shared" si="106"/>
        <v>3419</v>
      </c>
      <c r="Z63" s="10">
        <f t="shared" si="106"/>
        <v>3630</v>
      </c>
      <c r="AA63" s="10">
        <f t="shared" ref="AA63:AA69" si="107">R63</f>
        <v>3954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Financials'!C52</f>
        <v>1907</v>
      </c>
      <c r="D65" s="94">
        <f>'Historical Financials'!D52</f>
        <v>2006</v>
      </c>
      <c r="E65" s="94">
        <f>'Historical Financials'!E52</f>
        <v>2061</v>
      </c>
      <c r="F65" s="94">
        <f>'Historical Financials'!F52</f>
        <v>2138</v>
      </c>
      <c r="H65" s="94">
        <f>'Historical Financials'!H52</f>
        <v>2006</v>
      </c>
      <c r="I65" s="94">
        <f>'Historical Financials'!I52</f>
        <v>1986</v>
      </c>
      <c r="J65" s="94">
        <f>'Historical Financials'!J52</f>
        <v>1972</v>
      </c>
      <c r="K65" s="94">
        <f>'Historical Financials'!K52</f>
        <v>2061</v>
      </c>
      <c r="L65" s="94">
        <f>'Historical Financials'!L52</f>
        <v>2077</v>
      </c>
      <c r="M65" s="94">
        <f>'Historical Financials'!M52</f>
        <v>2148</v>
      </c>
      <c r="N65" s="94">
        <f>'Historical Financials'!N52</f>
        <v>2176</v>
      </c>
      <c r="O65" s="94">
        <f>'Historical Financials'!O52</f>
        <v>2138</v>
      </c>
      <c r="P65" s="94">
        <f>'Historical Financials'!P52</f>
        <v>2171</v>
      </c>
      <c r="Q65" s="94">
        <f>'Historical Financials'!Q52</f>
        <v>2225</v>
      </c>
      <c r="R65" s="94">
        <f>'Historical Financials'!R52</f>
        <v>2299</v>
      </c>
      <c r="S65" s="10"/>
      <c r="T65" s="10">
        <f t="shared" si="106"/>
        <v>2061</v>
      </c>
      <c r="U65" s="10">
        <f t="shared" si="106"/>
        <v>2077</v>
      </c>
      <c r="V65" s="10">
        <f t="shared" si="106"/>
        <v>2148</v>
      </c>
      <c r="W65" s="10">
        <f t="shared" si="106"/>
        <v>2176</v>
      </c>
      <c r="X65" s="10">
        <f t="shared" si="106"/>
        <v>2138</v>
      </c>
      <c r="Y65" s="10">
        <f t="shared" si="106"/>
        <v>2171</v>
      </c>
      <c r="Z65" s="10">
        <f t="shared" si="106"/>
        <v>2225</v>
      </c>
      <c r="AA65" s="10">
        <f t="shared" si="107"/>
        <v>2299</v>
      </c>
    </row>
    <row r="66" spans="2:27" ht="12.75" customHeight="1">
      <c r="B66" s="8" t="s">
        <v>108</v>
      </c>
      <c r="C66" s="94">
        <f>'Historical Financials'!C56</f>
        <v>6994</v>
      </c>
      <c r="D66" s="94">
        <f>'Historical Financials'!D56</f>
        <v>7580</v>
      </c>
      <c r="E66" s="94">
        <f>'Historical Financials'!E56</f>
        <v>8325</v>
      </c>
      <c r="F66" s="94">
        <f>'Historical Financials'!F56</f>
        <v>9959</v>
      </c>
      <c r="H66" s="94">
        <f>'Historical Financials'!H56</f>
        <v>7641</v>
      </c>
      <c r="I66" s="94">
        <f>'Historical Financials'!I56</f>
        <v>7739</v>
      </c>
      <c r="J66" s="94">
        <f>'Historical Financials'!J56</f>
        <v>7839</v>
      </c>
      <c r="K66" s="94">
        <f>'Historical Financials'!K56</f>
        <v>8325</v>
      </c>
      <c r="L66" s="94">
        <f>'Historical Financials'!L56</f>
        <v>9104</v>
      </c>
      <c r="M66" s="94">
        <f>'Historical Financials'!M56</f>
        <v>9270</v>
      </c>
      <c r="N66" s="94">
        <f>'Historical Financials'!N56</f>
        <v>9193</v>
      </c>
      <c r="O66" s="94">
        <f>'Historical Financials'!O56</f>
        <v>9959</v>
      </c>
      <c r="P66" s="94">
        <f>'Historical Financials'!P56</f>
        <v>10035</v>
      </c>
      <c r="Q66" s="94">
        <f>'Historical Financials'!Q56</f>
        <v>10269</v>
      </c>
      <c r="R66" s="94">
        <f>'Historical Financials'!R56</f>
        <v>11056</v>
      </c>
      <c r="S66" s="10"/>
      <c r="T66" s="10">
        <f t="shared" si="106"/>
        <v>8325</v>
      </c>
      <c r="U66" s="10">
        <f t="shared" si="106"/>
        <v>9104</v>
      </c>
      <c r="V66" s="10">
        <f t="shared" si="106"/>
        <v>9270</v>
      </c>
      <c r="W66" s="10">
        <f t="shared" si="106"/>
        <v>9193</v>
      </c>
      <c r="X66" s="10">
        <f t="shared" si="106"/>
        <v>9959</v>
      </c>
      <c r="Y66" s="10">
        <f t="shared" si="106"/>
        <v>10035</v>
      </c>
      <c r="Z66" s="10">
        <f t="shared" si="106"/>
        <v>10269</v>
      </c>
      <c r="AA66" s="10">
        <f t="shared" si="107"/>
        <v>11056</v>
      </c>
    </row>
    <row r="67" spans="2:27" ht="12.75" customHeight="1">
      <c r="B67" s="8" t="s">
        <v>44</v>
      </c>
      <c r="C67" s="94">
        <f>'Historical Financials'!C60</f>
        <v>738</v>
      </c>
      <c r="D67" s="94">
        <f>'Historical Financials'!D60</f>
        <v>926</v>
      </c>
      <c r="E67" s="94">
        <f>'Historical Financials'!E60</f>
        <v>834</v>
      </c>
      <c r="F67" s="94">
        <f>'Historical Financials'!F60</f>
        <v>929</v>
      </c>
      <c r="G67" s="94"/>
      <c r="H67" s="94">
        <f>'Historical Financials'!H60</f>
        <v>735</v>
      </c>
      <c r="I67" s="94">
        <f>'Historical Financials'!I60</f>
        <v>643</v>
      </c>
      <c r="J67" s="94">
        <f>'Historical Financials'!J60</f>
        <v>589</v>
      </c>
      <c r="K67" s="94">
        <f>'Historical Financials'!K60</f>
        <v>834</v>
      </c>
      <c r="L67" s="94">
        <f>'Historical Financials'!L60</f>
        <v>790</v>
      </c>
      <c r="M67" s="94">
        <f>'Historical Financials'!M60</f>
        <v>835</v>
      </c>
      <c r="N67" s="94">
        <f>'Historical Financials'!N60</f>
        <v>911</v>
      </c>
      <c r="O67" s="94">
        <f>'Historical Financials'!O60</f>
        <v>929</v>
      </c>
      <c r="P67" s="94">
        <f>'Historical Financials'!P60</f>
        <v>993</v>
      </c>
      <c r="Q67" s="94">
        <f>'Historical Financials'!Q60</f>
        <v>818</v>
      </c>
      <c r="R67" s="94">
        <f>'Historical Financials'!R60</f>
        <v>935</v>
      </c>
      <c r="T67" s="10">
        <f t="shared" si="106"/>
        <v>834</v>
      </c>
      <c r="U67" s="10">
        <f t="shared" si="106"/>
        <v>790</v>
      </c>
      <c r="V67" s="10">
        <f t="shared" si="106"/>
        <v>835</v>
      </c>
      <c r="W67" s="10">
        <f t="shared" si="106"/>
        <v>911</v>
      </c>
      <c r="X67" s="10">
        <f t="shared" si="106"/>
        <v>929</v>
      </c>
      <c r="Y67" s="10">
        <f t="shared" si="106"/>
        <v>993</v>
      </c>
      <c r="Z67" s="10">
        <f t="shared" si="106"/>
        <v>818</v>
      </c>
      <c r="AA67" s="10">
        <f t="shared" si="107"/>
        <v>935</v>
      </c>
    </row>
    <row r="68" spans="2:27" ht="12.75" customHeight="1">
      <c r="B68" s="8" t="s">
        <v>45</v>
      </c>
      <c r="C68" s="94">
        <f>'Historical Financials'!C67</f>
        <v>13162</v>
      </c>
      <c r="D68" s="94">
        <f>'Historical Financials'!D67</f>
        <v>14171</v>
      </c>
      <c r="E68" s="94">
        <f>'Historical Financials'!E67</f>
        <v>16264</v>
      </c>
      <c r="F68" s="94">
        <f>'Historical Financials'!F67</f>
        <v>19220</v>
      </c>
      <c r="G68" s="94"/>
      <c r="H68" s="94">
        <f>'Historical Financials'!H67</f>
        <v>13651</v>
      </c>
      <c r="I68" s="94">
        <f>'Historical Financials'!I67</f>
        <v>14636</v>
      </c>
      <c r="J68" s="94">
        <f>'Historical Financials'!J67</f>
        <v>14519</v>
      </c>
      <c r="K68" s="94">
        <f>'Historical Financials'!K67</f>
        <v>16264</v>
      </c>
      <c r="L68" s="94">
        <f>'Historical Financials'!L67</f>
        <v>16905</v>
      </c>
      <c r="M68" s="94">
        <f>'Historical Financials'!M67</f>
        <v>15594</v>
      </c>
      <c r="N68" s="94">
        <f>'Historical Financials'!N67</f>
        <v>17294</v>
      </c>
      <c r="O68" s="94">
        <f>'Historical Financials'!O67</f>
        <v>19220</v>
      </c>
      <c r="P68" s="94">
        <f>'Historical Financials'!P67</f>
        <v>17828</v>
      </c>
      <c r="Q68" s="94">
        <f>'Historical Financials'!Q67</f>
        <v>19029</v>
      </c>
      <c r="R68" s="94">
        <f>'Historical Financials'!R67</f>
        <v>20693</v>
      </c>
      <c r="T68" s="10">
        <f t="shared" si="106"/>
        <v>16264</v>
      </c>
      <c r="U68" s="10">
        <f t="shared" si="106"/>
        <v>16905</v>
      </c>
      <c r="V68" s="10">
        <f t="shared" si="106"/>
        <v>15594</v>
      </c>
      <c r="W68" s="10">
        <f t="shared" si="106"/>
        <v>17294</v>
      </c>
      <c r="X68" s="10">
        <f t="shared" si="106"/>
        <v>19220</v>
      </c>
      <c r="Y68" s="10">
        <f t="shared" si="106"/>
        <v>17828</v>
      </c>
      <c r="Z68" s="10">
        <f t="shared" si="106"/>
        <v>19029</v>
      </c>
      <c r="AA68" s="10">
        <f t="shared" si="107"/>
        <v>20693</v>
      </c>
    </row>
    <row r="69" spans="2:27" ht="12.75" customHeight="1">
      <c r="B69" s="8" t="s">
        <v>15</v>
      </c>
      <c r="C69" s="94">
        <f>'Historical Financials'!C73</f>
        <v>30257</v>
      </c>
      <c r="D69" s="94">
        <f>'Historical Financials'!D73</f>
        <v>32347</v>
      </c>
      <c r="E69" s="94">
        <f>'Historical Financials'!E73</f>
        <v>35451</v>
      </c>
      <c r="F69" s="94">
        <f>'Historical Financials'!F73</f>
        <v>41566</v>
      </c>
      <c r="G69" s="94"/>
      <c r="H69" s="94">
        <f>'Historical Financials'!H73</f>
        <v>33529</v>
      </c>
      <c r="I69" s="94">
        <f>'Historical Financials'!I73</f>
        <v>33425</v>
      </c>
      <c r="J69" s="94">
        <f>'Historical Financials'!J73</f>
        <v>33293</v>
      </c>
      <c r="K69" s="94">
        <f>'Historical Financials'!K73</f>
        <v>35451</v>
      </c>
      <c r="L69" s="94">
        <f>'Historical Financials'!L73</f>
        <v>35294</v>
      </c>
      <c r="M69" s="94">
        <f>'Historical Financials'!M73</f>
        <v>34851</v>
      </c>
      <c r="N69" s="94">
        <f>'Historical Financials'!N73</f>
        <v>39739</v>
      </c>
      <c r="O69" s="94">
        <f>'Historical Financials'!O73</f>
        <v>41566</v>
      </c>
      <c r="P69" s="94">
        <f>'Historical Financials'!P73</f>
        <v>41774</v>
      </c>
      <c r="Q69" s="94">
        <f>'Historical Financials'!Q73</f>
        <v>43557</v>
      </c>
      <c r="R69" s="94">
        <f>'Historical Financials'!R73</f>
        <v>45370</v>
      </c>
      <c r="T69" s="10">
        <f t="shared" si="106"/>
        <v>35451</v>
      </c>
      <c r="U69" s="10">
        <f t="shared" si="106"/>
        <v>35294</v>
      </c>
      <c r="V69" s="10">
        <f t="shared" si="106"/>
        <v>34851</v>
      </c>
      <c r="W69" s="10">
        <f t="shared" si="106"/>
        <v>39739</v>
      </c>
      <c r="X69" s="10">
        <f t="shared" si="106"/>
        <v>41566</v>
      </c>
      <c r="Y69" s="10">
        <f t="shared" si="106"/>
        <v>41774</v>
      </c>
      <c r="Z69" s="10">
        <f t="shared" si="106"/>
        <v>43557</v>
      </c>
      <c r="AA69" s="10">
        <f t="shared" si="107"/>
        <v>45370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136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134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129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130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131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Financials'!C79</f>
        <v>7412</v>
      </c>
      <c r="D87" s="94">
        <f>'Historical Financials'!D79</f>
        <v>6377</v>
      </c>
      <c r="E87" s="94">
        <f>'Historical Financials'!E79</f>
        <v>6997</v>
      </c>
      <c r="F87" s="94">
        <f>'Historical Financials'!F79</f>
        <v>6515</v>
      </c>
      <c r="H87" s="94">
        <f>'Historical Financials'!H79</f>
        <v>5407</v>
      </c>
      <c r="I87" s="94">
        <f>'Historical Financials'!I79</f>
        <v>5579</v>
      </c>
      <c r="J87" s="94">
        <f>'Historical Financials'!J79</f>
        <v>6381</v>
      </c>
      <c r="K87" s="94">
        <f>'Historical Financials'!K79</f>
        <v>6997</v>
      </c>
      <c r="L87" s="94">
        <f>'Historical Financials'!L79</f>
        <v>7308</v>
      </c>
      <c r="M87" s="94">
        <f>'Historical Financials'!M79</f>
        <v>7482</v>
      </c>
      <c r="N87" s="94">
        <f>'Historical Financials'!N79</f>
        <v>7498</v>
      </c>
      <c r="O87" s="94">
        <f>'Historical Financials'!O79</f>
        <v>6515</v>
      </c>
      <c r="P87" s="94">
        <f>'Historical Financials'!P79</f>
        <v>6696</v>
      </c>
      <c r="Q87" s="94">
        <f>'Historical Financials'!Q79</f>
        <v>7874</v>
      </c>
      <c r="R87" s="94">
        <f>'Historical Financials'!R79</f>
        <v>7919</v>
      </c>
      <c r="T87" s="10">
        <f t="shared" ref="T87:AA87" si="130">K87</f>
        <v>6997</v>
      </c>
      <c r="U87" s="10">
        <f t="shared" si="130"/>
        <v>7308</v>
      </c>
      <c r="V87" s="10">
        <f t="shared" si="130"/>
        <v>7482</v>
      </c>
      <c r="W87" s="142">
        <f t="shared" si="130"/>
        <v>7498</v>
      </c>
      <c r="X87" s="142">
        <f t="shared" si="130"/>
        <v>6515</v>
      </c>
      <c r="Y87" s="142">
        <f t="shared" si="130"/>
        <v>6696</v>
      </c>
      <c r="Z87" s="142">
        <f t="shared" si="130"/>
        <v>7874</v>
      </c>
      <c r="AA87" s="142">
        <f t="shared" si="130"/>
        <v>7919</v>
      </c>
    </row>
    <row r="88" spans="1:27" ht="12.75" customHeight="1">
      <c r="B88" s="13" t="s">
        <v>47</v>
      </c>
      <c r="C88" s="14">
        <f>SUM(C85:C87)</f>
        <v>7739</v>
      </c>
      <c r="D88" s="14">
        <f>SUM(D85:D87)</f>
        <v>8878</v>
      </c>
      <c r="E88" s="14">
        <f>SUM(E85:E87)</f>
        <v>9497</v>
      </c>
      <c r="F88" s="14">
        <f>SUM(F85:F87)</f>
        <v>8265</v>
      </c>
      <c r="H88" s="14">
        <f t="shared" ref="H88:M88" si="131">SUM(H85:H87)</f>
        <v>7907</v>
      </c>
      <c r="I88" s="14">
        <f t="shared" si="131"/>
        <v>8079</v>
      </c>
      <c r="J88" s="14">
        <f t="shared" si="131"/>
        <v>8881</v>
      </c>
      <c r="K88" s="14">
        <f t="shared" si="131"/>
        <v>9497</v>
      </c>
      <c r="L88" s="14">
        <f t="shared" si="131"/>
        <v>9808</v>
      </c>
      <c r="M88" s="14">
        <f t="shared" si="131"/>
        <v>9232</v>
      </c>
      <c r="N88" s="14">
        <f>SUM(N85:N87)</f>
        <v>9248</v>
      </c>
      <c r="O88" s="14">
        <f>SUM(O85:O87)</f>
        <v>8265</v>
      </c>
      <c r="P88" s="14">
        <f>SUM(P85:P87)</f>
        <v>10896</v>
      </c>
      <c r="Q88" s="14">
        <f>SUM(Q85:Q87)</f>
        <v>11124</v>
      </c>
      <c r="R88" s="14">
        <f>SUM(R85:R87)</f>
        <v>11169</v>
      </c>
      <c r="T88" s="14">
        <f t="shared" ref="T88:Y88" si="132">SUM(T85:T87)</f>
        <v>9497</v>
      </c>
      <c r="U88" s="14">
        <f t="shared" si="132"/>
        <v>9808</v>
      </c>
      <c r="V88" s="14">
        <f t="shared" si="132"/>
        <v>9232</v>
      </c>
      <c r="W88" s="14">
        <f t="shared" si="132"/>
        <v>9248</v>
      </c>
      <c r="X88" s="14">
        <f t="shared" si="132"/>
        <v>8265</v>
      </c>
      <c r="Y88" s="14">
        <f t="shared" si="132"/>
        <v>10896</v>
      </c>
      <c r="Z88" s="14">
        <f>SUM(Z85:Z87)</f>
        <v>11124</v>
      </c>
      <c r="AA88" s="14">
        <f>SUM(AA85:AA87)</f>
        <v>11169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23.666666666666668</v>
      </c>
      <c r="D97" s="83">
        <f>D88/D85</f>
        <v>3.5497800879648143</v>
      </c>
      <c r="E97" s="83">
        <f>E88/E85</f>
        <v>3.7988</v>
      </c>
      <c r="F97" s="83">
        <f>F88/F85</f>
        <v>4.7228571428571424</v>
      </c>
      <c r="H97" s="83">
        <f t="shared" ref="H97:Q97" si="138">H88/H85</f>
        <v>3.1627999999999998</v>
      </c>
      <c r="I97" s="83">
        <f t="shared" si="138"/>
        <v>3.2315999999999998</v>
      </c>
      <c r="J97" s="83">
        <f t="shared" si="138"/>
        <v>3.5524</v>
      </c>
      <c r="K97" s="83">
        <f t="shared" si="138"/>
        <v>3.7988</v>
      </c>
      <c r="L97" s="83">
        <f t="shared" si="138"/>
        <v>3.9232</v>
      </c>
      <c r="M97" s="83">
        <f t="shared" si="138"/>
        <v>5.2754285714285718</v>
      </c>
      <c r="N97" s="83">
        <f t="shared" si="138"/>
        <v>5.2845714285714287</v>
      </c>
      <c r="O97" s="83">
        <f t="shared" si="138"/>
        <v>4.7228571428571424</v>
      </c>
      <c r="P97" s="83">
        <f t="shared" si="138"/>
        <v>2.5942857142857143</v>
      </c>
      <c r="Q97" s="83">
        <f t="shared" si="138"/>
        <v>3.4227692307692306</v>
      </c>
      <c r="R97" s="83">
        <f>R88/R85</f>
        <v>3.4366153846153846</v>
      </c>
      <c r="S97" s="83"/>
      <c r="T97" s="83">
        <f t="shared" ref="T97:Y97" si="139">T88/T85</f>
        <v>3.7988</v>
      </c>
      <c r="U97" s="83">
        <f t="shared" si="139"/>
        <v>3.9232</v>
      </c>
      <c r="V97" s="83">
        <f t="shared" si="139"/>
        <v>5.2754285714285718</v>
      </c>
      <c r="W97" s="83">
        <f t="shared" si="139"/>
        <v>5.2845714285714287</v>
      </c>
      <c r="X97" s="83">
        <f t="shared" si="139"/>
        <v>4.7228571428571424</v>
      </c>
      <c r="Y97" s="83">
        <f t="shared" si="139"/>
        <v>2.5942857142857143</v>
      </c>
      <c r="Z97" s="83">
        <f>Z88/Z85</f>
        <v>3.4227692307692306</v>
      </c>
      <c r="AA97" s="83">
        <f>AA88/AA85</f>
        <v>3.4366153846153846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2025-12-25T21:54:09Z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