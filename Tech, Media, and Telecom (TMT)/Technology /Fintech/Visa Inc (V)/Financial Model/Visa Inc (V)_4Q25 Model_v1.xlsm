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77CF45A6-1F0E-4A48-8F80-41F0A7D9F55B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82" i="8" l="1"/>
  <c r="AC82" i="8"/>
  <c r="AB82" i="8"/>
  <c r="AA82" i="8"/>
  <c r="Z82" i="8"/>
  <c r="Y82" i="8"/>
  <c r="X82" i="8"/>
  <c r="W82" i="8"/>
  <c r="AD81" i="8"/>
  <c r="AC81" i="8"/>
  <c r="AB81" i="8"/>
  <c r="AA81" i="8"/>
  <c r="Z81" i="8"/>
  <c r="Y81" i="8"/>
  <c r="X81" i="8"/>
  <c r="W81" i="8"/>
  <c r="AD80" i="8"/>
  <c r="AC80" i="8"/>
  <c r="AB80" i="8"/>
  <c r="AA80" i="8"/>
  <c r="Z80" i="8"/>
  <c r="Y80" i="8"/>
  <c r="X80" i="8"/>
  <c r="W80" i="8"/>
  <c r="U82" i="8"/>
  <c r="U81" i="8"/>
  <c r="U80" i="8"/>
  <c r="Q82" i="8"/>
  <c r="Q81" i="8"/>
  <c r="Q80" i="8"/>
  <c r="M82" i="8"/>
  <c r="M81" i="8"/>
  <c r="M80" i="8"/>
  <c r="M79" i="8"/>
  <c r="Q79" i="8"/>
  <c r="U79" i="8"/>
  <c r="U76" i="8"/>
  <c r="U75" i="8"/>
  <c r="U74" i="8"/>
  <c r="Q76" i="8"/>
  <c r="Q75" i="8"/>
  <c r="Q74" i="8"/>
  <c r="M76" i="8"/>
  <c r="M75" i="8"/>
  <c r="M74" i="8"/>
  <c r="U70" i="8"/>
  <c r="U69" i="8"/>
  <c r="U68" i="8"/>
  <c r="U67" i="8"/>
  <c r="U66" i="8"/>
  <c r="U65" i="8"/>
  <c r="U64" i="8"/>
  <c r="U63" i="8"/>
  <c r="Q70" i="8"/>
  <c r="AA70" i="8" s="1"/>
  <c r="Q69" i="8"/>
  <c r="Q68" i="8"/>
  <c r="AA68" i="8" s="1"/>
  <c r="Q67" i="8"/>
  <c r="Q66" i="8"/>
  <c r="Q65" i="8"/>
  <c r="Q64" i="8"/>
  <c r="AA64" i="8" s="1"/>
  <c r="Q63" i="8"/>
  <c r="M70" i="8"/>
  <c r="M69" i="8"/>
  <c r="W69" i="8" s="1"/>
  <c r="M68" i="8"/>
  <c r="W68" i="8" s="1"/>
  <c r="M67" i="8"/>
  <c r="W67" i="8" s="1"/>
  <c r="M66" i="8"/>
  <c r="M65" i="8"/>
  <c r="M64" i="8"/>
  <c r="W64" i="8" s="1"/>
  <c r="M63" i="8"/>
  <c r="AD70" i="8"/>
  <c r="AC70" i="8"/>
  <c r="AB70" i="8"/>
  <c r="Z70" i="8"/>
  <c r="Y70" i="8"/>
  <c r="X70" i="8"/>
  <c r="W70" i="8"/>
  <c r="AD69" i="8"/>
  <c r="AC69" i="8"/>
  <c r="AB69" i="8"/>
  <c r="Z69" i="8"/>
  <c r="AF69" i="8" s="1"/>
  <c r="Y69" i="8"/>
  <c r="X69" i="8"/>
  <c r="AA69" i="8"/>
  <c r="AD68" i="8"/>
  <c r="AC68" i="8"/>
  <c r="AB68" i="8"/>
  <c r="Z68" i="8"/>
  <c r="Y68" i="8"/>
  <c r="X68" i="8"/>
  <c r="AD67" i="8"/>
  <c r="AC67" i="8"/>
  <c r="AB67" i="8"/>
  <c r="Z67" i="8"/>
  <c r="Y67" i="8"/>
  <c r="X67" i="8"/>
  <c r="AA67" i="8"/>
  <c r="AD66" i="8"/>
  <c r="AC66" i="8"/>
  <c r="AB66" i="8"/>
  <c r="Z66" i="8"/>
  <c r="Y66" i="8"/>
  <c r="X66" i="8"/>
  <c r="AA66" i="8"/>
  <c r="W66" i="8"/>
  <c r="AD65" i="8"/>
  <c r="AC65" i="8"/>
  <c r="AB65" i="8"/>
  <c r="Z65" i="8"/>
  <c r="Y65" i="8"/>
  <c r="X65" i="8"/>
  <c r="AA65" i="8"/>
  <c r="W65" i="8"/>
  <c r="AD64" i="8"/>
  <c r="AC64" i="8"/>
  <c r="AB64" i="8"/>
  <c r="Z64" i="8"/>
  <c r="Y64" i="8"/>
  <c r="X64" i="8"/>
  <c r="U50" i="8"/>
  <c r="U49" i="8"/>
  <c r="U48" i="8"/>
  <c r="U47" i="8"/>
  <c r="U46" i="8"/>
  <c r="U45" i="8"/>
  <c r="U44" i="8"/>
  <c r="U43" i="8"/>
  <c r="U59" i="8"/>
  <c r="U58" i="8"/>
  <c r="U57" i="8"/>
  <c r="U56" i="8"/>
  <c r="U55" i="8"/>
  <c r="U54" i="8"/>
  <c r="Q50" i="8"/>
  <c r="Q49" i="8"/>
  <c r="Q48" i="8"/>
  <c r="AA48" i="8" s="1"/>
  <c r="Q47" i="8"/>
  <c r="AA47" i="8" s="1"/>
  <c r="Q46" i="8"/>
  <c r="Q45" i="8"/>
  <c r="AA45" i="8" s="1"/>
  <c r="Q44" i="8"/>
  <c r="AA44" i="8" s="1"/>
  <c r="Q43" i="8"/>
  <c r="Q59" i="8"/>
  <c r="Q58" i="8"/>
  <c r="Q57" i="8"/>
  <c r="Q56" i="8"/>
  <c r="Q55" i="8"/>
  <c r="Q54" i="8"/>
  <c r="M50" i="8"/>
  <c r="M49" i="8"/>
  <c r="M48" i="8"/>
  <c r="W48" i="8" s="1"/>
  <c r="M47" i="8"/>
  <c r="W47" i="8" s="1"/>
  <c r="M46" i="8"/>
  <c r="M45" i="8"/>
  <c r="W45" i="8" s="1"/>
  <c r="M44" i="8"/>
  <c r="W44" i="8" s="1"/>
  <c r="M43" i="8"/>
  <c r="M59" i="8"/>
  <c r="M58" i="8"/>
  <c r="M57" i="8"/>
  <c r="M56" i="8"/>
  <c r="M55" i="8"/>
  <c r="M54" i="8"/>
  <c r="AD45" i="8"/>
  <c r="AC45" i="8"/>
  <c r="AB45" i="8"/>
  <c r="Z45" i="8"/>
  <c r="Y45" i="8"/>
  <c r="X45" i="8"/>
  <c r="AD44" i="8"/>
  <c r="AC44" i="8"/>
  <c r="AB44" i="8"/>
  <c r="Z44" i="8"/>
  <c r="Y44" i="8"/>
  <c r="X44" i="8"/>
  <c r="AD48" i="8"/>
  <c r="AC48" i="8"/>
  <c r="AB48" i="8"/>
  <c r="Z48" i="8"/>
  <c r="Y48" i="8"/>
  <c r="X48" i="8"/>
  <c r="AD47" i="8"/>
  <c r="AC47" i="8"/>
  <c r="AB47" i="8"/>
  <c r="Z47" i="8"/>
  <c r="Y47" i="8"/>
  <c r="X47" i="8"/>
  <c r="U28" i="8"/>
  <c r="U24" i="8"/>
  <c r="U23" i="8"/>
  <c r="Q28" i="8"/>
  <c r="M28" i="8"/>
  <c r="M24" i="8"/>
  <c r="M23" i="8"/>
  <c r="Q24" i="8"/>
  <c r="Q23" i="8"/>
  <c r="U10" i="8"/>
  <c r="U19" i="8"/>
  <c r="U18" i="8"/>
  <c r="U17" i="8"/>
  <c r="U16" i="8"/>
  <c r="U15" i="8"/>
  <c r="U14" i="8"/>
  <c r="U13" i="8"/>
  <c r="Q10" i="8"/>
  <c r="Q19" i="8"/>
  <c r="AD19" i="8" s="1"/>
  <c r="Q18" i="8"/>
  <c r="AA18" i="8" s="1"/>
  <c r="Q17" i="8"/>
  <c r="AD17" i="8" s="1"/>
  <c r="Q16" i="8"/>
  <c r="AA16" i="8" s="1"/>
  <c r="Q15" i="8"/>
  <c r="AD15" i="8" s="1"/>
  <c r="Q14" i="8"/>
  <c r="AA14" i="8" s="1"/>
  <c r="Q13" i="8"/>
  <c r="M10" i="8"/>
  <c r="M19" i="8"/>
  <c r="W19" i="8" s="1"/>
  <c r="M18" i="8"/>
  <c r="Z18" i="8" s="1"/>
  <c r="M17" i="8"/>
  <c r="W17" i="8" s="1"/>
  <c r="M16" i="8"/>
  <c r="Z16" i="8" s="1"/>
  <c r="M15" i="8"/>
  <c r="W15" i="8" s="1"/>
  <c r="M14" i="8"/>
  <c r="Z14" i="8" s="1"/>
  <c r="M13" i="8"/>
  <c r="Q13" i="10"/>
  <c r="AF13" i="10" s="1"/>
  <c r="Q12" i="10"/>
  <c r="Q11" i="10"/>
  <c r="AE11" i="10" s="1"/>
  <c r="Q10" i="10"/>
  <c r="AG10" i="10" s="1"/>
  <c r="Q9" i="10"/>
  <c r="AE9" i="10" s="1"/>
  <c r="M13" i="10"/>
  <c r="AC13" i="10" s="1"/>
  <c r="M12" i="10"/>
  <c r="AC12" i="10" s="1"/>
  <c r="M11" i="10"/>
  <c r="AA11" i="10" s="1"/>
  <c r="M10" i="10"/>
  <c r="Z10" i="10" s="1"/>
  <c r="M9" i="10"/>
  <c r="AH10" i="10"/>
  <c r="AH12" i="10"/>
  <c r="U27" i="10"/>
  <c r="U26" i="10"/>
  <c r="AI26" i="10" s="1"/>
  <c r="AF27" i="10"/>
  <c r="AG26" i="10"/>
  <c r="AC27" i="10"/>
  <c r="AA26" i="10"/>
  <c r="B19" i="10"/>
  <c r="AI11" i="10"/>
  <c r="X28" i="10"/>
  <c r="X32" i="10" s="1"/>
  <c r="W28" i="10"/>
  <c r="W32" i="10" s="1"/>
  <c r="X14" i="10"/>
  <c r="X17" i="10" s="1"/>
  <c r="W14" i="10"/>
  <c r="W18" i="10" s="1"/>
  <c r="X4" i="10"/>
  <c r="W4" i="10"/>
  <c r="X3" i="10"/>
  <c r="W3" i="10"/>
  <c r="V4" i="10"/>
  <c r="AI4" i="10" s="1"/>
  <c r="U4" i="10"/>
  <c r="AH4" i="10" s="1"/>
  <c r="T4" i="10"/>
  <c r="AG4" i="10" s="1"/>
  <c r="S4" i="10"/>
  <c r="AF4" i="10" s="1"/>
  <c r="R4" i="10"/>
  <c r="AE4" i="10" s="1"/>
  <c r="P4" i="10"/>
  <c r="AC4" i="10" s="1"/>
  <c r="O4" i="10"/>
  <c r="AB4" i="10" s="1"/>
  <c r="N4" i="10"/>
  <c r="AA4" i="10" s="1"/>
  <c r="L4" i="10"/>
  <c r="K4" i="10"/>
  <c r="J4" i="10"/>
  <c r="V3" i="10"/>
  <c r="AI3" i="10" s="1"/>
  <c r="U3" i="10"/>
  <c r="AH3" i="10" s="1"/>
  <c r="T3" i="10"/>
  <c r="AG3" i="10" s="1"/>
  <c r="S3" i="10"/>
  <c r="AF3" i="10" s="1"/>
  <c r="R3" i="10"/>
  <c r="AE3" i="10" s="1"/>
  <c r="Q3" i="10"/>
  <c r="AD3" i="10" s="1"/>
  <c r="P3" i="10"/>
  <c r="AC3" i="10" s="1"/>
  <c r="O3" i="10"/>
  <c r="AB3" i="10" s="1"/>
  <c r="N3" i="10"/>
  <c r="AA3" i="10" s="1"/>
  <c r="M3" i="10"/>
  <c r="Z3" i="10" s="1"/>
  <c r="L3" i="10"/>
  <c r="K3" i="10"/>
  <c r="J3" i="10"/>
  <c r="G4" i="10"/>
  <c r="F4" i="10"/>
  <c r="E4" i="10"/>
  <c r="D4" i="10"/>
  <c r="C4" i="10"/>
  <c r="G3" i="10"/>
  <c r="F3" i="10"/>
  <c r="E3" i="10"/>
  <c r="D3" i="10"/>
  <c r="C3" i="10"/>
  <c r="H3" i="10"/>
  <c r="H4" i="10"/>
  <c r="D28" i="10"/>
  <c r="D32" i="10" s="1"/>
  <c r="C28" i="10"/>
  <c r="C32" i="10" s="1"/>
  <c r="D14" i="10"/>
  <c r="D18" i="10" s="1"/>
  <c r="C14" i="10"/>
  <c r="C20" i="10" s="1"/>
  <c r="B2" i="10"/>
  <c r="B32" i="10"/>
  <c r="B31" i="10"/>
  <c r="V28" i="10"/>
  <c r="V32" i="10" s="1"/>
  <c r="T28" i="10"/>
  <c r="S28" i="10"/>
  <c r="S32" i="10" s="1"/>
  <c r="AH32" i="10" s="1"/>
  <c r="R28" i="10"/>
  <c r="P28" i="10"/>
  <c r="P32" i="10" s="1"/>
  <c r="AE32" i="10" s="1"/>
  <c r="O28" i="10"/>
  <c r="O32" i="10" s="1"/>
  <c r="AD32" i="10" s="1"/>
  <c r="N28" i="10"/>
  <c r="N32" i="10" s="1"/>
  <c r="AC32" i="10" s="1"/>
  <c r="L28" i="10"/>
  <c r="K28" i="10"/>
  <c r="K32" i="10" s="1"/>
  <c r="Z32" i="10" s="1"/>
  <c r="J28" i="10"/>
  <c r="H28" i="10"/>
  <c r="G28" i="10"/>
  <c r="G32" i="10" s="1"/>
  <c r="F28" i="10"/>
  <c r="F32" i="10" s="1"/>
  <c r="E28" i="10"/>
  <c r="E32" i="10" s="1"/>
  <c r="B21" i="10"/>
  <c r="B20" i="10"/>
  <c r="B18" i="10"/>
  <c r="B17" i="10"/>
  <c r="V14" i="10"/>
  <c r="T14" i="10"/>
  <c r="T21" i="10" s="1"/>
  <c r="AI21" i="10" s="1"/>
  <c r="S14" i="10"/>
  <c r="S20" i="10" s="1"/>
  <c r="AH20" i="10" s="1"/>
  <c r="R14" i="10"/>
  <c r="R18" i="10" s="1"/>
  <c r="AG18" i="10" s="1"/>
  <c r="P14" i="10"/>
  <c r="P20" i="10" s="1"/>
  <c r="AE20" i="10" s="1"/>
  <c r="O14" i="10"/>
  <c r="O21" i="10" s="1"/>
  <c r="AD21" i="10" s="1"/>
  <c r="N14" i="10"/>
  <c r="N20" i="10" s="1"/>
  <c r="AC20" i="10" s="1"/>
  <c r="L14" i="10"/>
  <c r="L21" i="10" s="1"/>
  <c r="AA21" i="10" s="1"/>
  <c r="K14" i="10"/>
  <c r="K20" i="10" s="1"/>
  <c r="Z20" i="10" s="1"/>
  <c r="J14" i="10"/>
  <c r="J21" i="10" s="1"/>
  <c r="H14" i="10"/>
  <c r="H21" i="10" s="1"/>
  <c r="G14" i="10"/>
  <c r="G20" i="10" s="1"/>
  <c r="F14" i="10"/>
  <c r="F21" i="10" s="1"/>
  <c r="E14" i="10"/>
  <c r="E20" i="10" s="1"/>
  <c r="AI13" i="10"/>
  <c r="AG12" i="10"/>
  <c r="Z9" i="10"/>
  <c r="AF66" i="8" l="1"/>
  <c r="AF70" i="8"/>
  <c r="AF68" i="8"/>
  <c r="AF64" i="8"/>
  <c r="AF67" i="8"/>
  <c r="AF65" i="8"/>
  <c r="AD18" i="8"/>
  <c r="AF18" i="8" s="1"/>
  <c r="AF44" i="8"/>
  <c r="AF45" i="8"/>
  <c r="AF48" i="8"/>
  <c r="AF47" i="8"/>
  <c r="Z17" i="8"/>
  <c r="AF17" i="8" s="1"/>
  <c r="AD16" i="8"/>
  <c r="AF16" i="8" s="1"/>
  <c r="X15" i="8"/>
  <c r="Z15" i="8"/>
  <c r="AF15" i="8" s="1"/>
  <c r="X17" i="8"/>
  <c r="AB18" i="8"/>
  <c r="AB14" i="8"/>
  <c r="AD14" i="8"/>
  <c r="AF14" i="8" s="1"/>
  <c r="Z19" i="8"/>
  <c r="AF19" i="8" s="1"/>
  <c r="AB16" i="8"/>
  <c r="X19" i="8"/>
  <c r="AC14" i="8"/>
  <c r="Y15" i="8"/>
  <c r="AC16" i="8"/>
  <c r="Y17" i="8"/>
  <c r="AC18" i="8"/>
  <c r="Y19" i="8"/>
  <c r="W14" i="8"/>
  <c r="AA15" i="8"/>
  <c r="W16" i="8"/>
  <c r="AA17" i="8"/>
  <c r="W18" i="8"/>
  <c r="AA19" i="8"/>
  <c r="X14" i="8"/>
  <c r="AB15" i="8"/>
  <c r="X16" i="8"/>
  <c r="AB17" i="8"/>
  <c r="X18" i="8"/>
  <c r="AB19" i="8"/>
  <c r="Y14" i="8"/>
  <c r="AC15" i="8"/>
  <c r="Y16" i="8"/>
  <c r="AC17" i="8"/>
  <c r="Y18" i="8"/>
  <c r="AC19" i="8"/>
  <c r="AB27" i="10"/>
  <c r="AG11" i="10"/>
  <c r="Z27" i="10"/>
  <c r="AA27" i="10"/>
  <c r="J29" i="10"/>
  <c r="C29" i="10"/>
  <c r="O29" i="10"/>
  <c r="AG27" i="10"/>
  <c r="F29" i="10"/>
  <c r="G29" i="10"/>
  <c r="P29" i="10"/>
  <c r="H29" i="10"/>
  <c r="R29" i="10"/>
  <c r="K29" i="10"/>
  <c r="S29" i="10"/>
  <c r="T29" i="10"/>
  <c r="D29" i="10"/>
  <c r="L29" i="10"/>
  <c r="E29" i="10"/>
  <c r="N29" i="10"/>
  <c r="X29" i="10"/>
  <c r="V29" i="10"/>
  <c r="W29" i="10"/>
  <c r="AE27" i="10"/>
  <c r="AD27" i="10"/>
  <c r="W19" i="10"/>
  <c r="V19" i="10"/>
  <c r="X19" i="10"/>
  <c r="N19" i="10"/>
  <c r="AC19" i="10" s="1"/>
  <c r="D19" i="10"/>
  <c r="E19" i="10"/>
  <c r="F19" i="10"/>
  <c r="G19" i="10"/>
  <c r="H19" i="10"/>
  <c r="C19" i="10"/>
  <c r="L19" i="10"/>
  <c r="AA19" i="10" s="1"/>
  <c r="T19" i="10"/>
  <c r="AI19" i="10" s="1"/>
  <c r="O19" i="10"/>
  <c r="AD19" i="10" s="1"/>
  <c r="P19" i="10"/>
  <c r="AE19" i="10" s="1"/>
  <c r="J19" i="10"/>
  <c r="R19" i="10"/>
  <c r="AG19" i="10" s="1"/>
  <c r="K19" i="10"/>
  <c r="Z19" i="10" s="1"/>
  <c r="S19" i="10"/>
  <c r="AH19" i="10" s="1"/>
  <c r="AB11" i="10"/>
  <c r="AC11" i="10"/>
  <c r="AD11" i="10"/>
  <c r="AF11" i="10"/>
  <c r="Z11" i="10"/>
  <c r="AH11" i="10"/>
  <c r="AD13" i="10"/>
  <c r="W31" i="10"/>
  <c r="AE13" i="10"/>
  <c r="AA10" i="10"/>
  <c r="X18" i="10"/>
  <c r="X20" i="10"/>
  <c r="W21" i="10"/>
  <c r="X31" i="10"/>
  <c r="X21" i="10"/>
  <c r="W20" i="10"/>
  <c r="W17" i="10"/>
  <c r="N21" i="10"/>
  <c r="AC21" i="10" s="1"/>
  <c r="V21" i="10"/>
  <c r="C18" i="10"/>
  <c r="AA9" i="10"/>
  <c r="AG13" i="10"/>
  <c r="C17" i="10"/>
  <c r="AB9" i="10"/>
  <c r="V18" i="10"/>
  <c r="AC9" i="10"/>
  <c r="AE12" i="10"/>
  <c r="C21" i="10"/>
  <c r="F20" i="10"/>
  <c r="H20" i="10"/>
  <c r="D31" i="10"/>
  <c r="AH26" i="10"/>
  <c r="D20" i="10"/>
  <c r="C31" i="10"/>
  <c r="D21" i="10"/>
  <c r="D17" i="10"/>
  <c r="F17" i="10"/>
  <c r="AB10" i="10"/>
  <c r="H17" i="10"/>
  <c r="O20" i="10"/>
  <c r="AD20" i="10" s="1"/>
  <c r="E31" i="10"/>
  <c r="AC10" i="10"/>
  <c r="V17" i="10"/>
  <c r="R20" i="10"/>
  <c r="AG20" i="10" s="1"/>
  <c r="AC26" i="10"/>
  <c r="P31" i="10"/>
  <c r="AE31" i="10" s="1"/>
  <c r="V20" i="10"/>
  <c r="AE26" i="10"/>
  <c r="H18" i="10"/>
  <c r="AD12" i="10"/>
  <c r="AH13" i="10"/>
  <c r="R21" i="10"/>
  <c r="AG21" i="10" s="1"/>
  <c r="AI10" i="10"/>
  <c r="N17" i="10"/>
  <c r="AC17" i="10" s="1"/>
  <c r="J18" i="10"/>
  <c r="E21" i="10"/>
  <c r="G31" i="10"/>
  <c r="J17" i="10"/>
  <c r="AG9" i="10"/>
  <c r="O17" i="10"/>
  <c r="AD17" i="10" s="1"/>
  <c r="N18" i="10"/>
  <c r="AC18" i="10" s="1"/>
  <c r="J20" i="10"/>
  <c r="Z26" i="10"/>
  <c r="K31" i="10"/>
  <c r="Z31" i="10" s="1"/>
  <c r="Z13" i="10"/>
  <c r="R17" i="10"/>
  <c r="AG17" i="10" s="1"/>
  <c r="AB26" i="10"/>
  <c r="N31" i="10"/>
  <c r="AC31" i="10" s="1"/>
  <c r="E17" i="10"/>
  <c r="AD26" i="10"/>
  <c r="S31" i="10"/>
  <c r="AH31" i="10" s="1"/>
  <c r="V31" i="10"/>
  <c r="AI12" i="10"/>
  <c r="E18" i="10"/>
  <c r="AF9" i="10"/>
  <c r="L17" i="10"/>
  <c r="AA17" i="10" s="1"/>
  <c r="T17" i="10"/>
  <c r="AI17" i="10" s="1"/>
  <c r="G18" i="10"/>
  <c r="P18" i="10"/>
  <c r="AE18" i="10" s="1"/>
  <c r="L20" i="10"/>
  <c r="AA20" i="10" s="1"/>
  <c r="T20" i="10"/>
  <c r="AI20" i="10" s="1"/>
  <c r="G21" i="10"/>
  <c r="P21" i="10"/>
  <c r="AE21" i="10" s="1"/>
  <c r="Q28" i="10"/>
  <c r="H32" i="10"/>
  <c r="J32" i="10"/>
  <c r="R32" i="10"/>
  <c r="AG32" i="10" s="1"/>
  <c r="AH9" i="10"/>
  <c r="AF12" i="10"/>
  <c r="AA13" i="10"/>
  <c r="M14" i="10"/>
  <c r="U14" i="10"/>
  <c r="F31" i="10"/>
  <c r="O31" i="10"/>
  <c r="AD31" i="10" s="1"/>
  <c r="AI9" i="10"/>
  <c r="AD10" i="10"/>
  <c r="AB13" i="10"/>
  <c r="K18" i="10"/>
  <c r="Z18" i="10" s="1"/>
  <c r="S18" i="10"/>
  <c r="AH18" i="10" s="1"/>
  <c r="K21" i="10"/>
  <c r="Z21" i="10" s="1"/>
  <c r="S21" i="10"/>
  <c r="AH21" i="10" s="1"/>
  <c r="AH27" i="10"/>
  <c r="L32" i="10"/>
  <c r="AA32" i="10" s="1"/>
  <c r="T32" i="10"/>
  <c r="AI32" i="10" s="1"/>
  <c r="AE10" i="10"/>
  <c r="Z12" i="10"/>
  <c r="G17" i="10"/>
  <c r="P17" i="10"/>
  <c r="AE17" i="10" s="1"/>
  <c r="L18" i="10"/>
  <c r="AA18" i="10" s="1"/>
  <c r="T18" i="10"/>
  <c r="AI18" i="10" s="1"/>
  <c r="AF26" i="10"/>
  <c r="AI27" i="10"/>
  <c r="M28" i="10"/>
  <c r="U28" i="10"/>
  <c r="H31" i="10"/>
  <c r="AF10" i="10"/>
  <c r="AA12" i="10"/>
  <c r="J31" i="10"/>
  <c r="R31" i="10"/>
  <c r="AG31" i="10" s="1"/>
  <c r="AD9" i="10"/>
  <c r="AB12" i="10"/>
  <c r="Q14" i="10"/>
  <c r="K17" i="10"/>
  <c r="Z17" i="10" s="1"/>
  <c r="S17" i="10"/>
  <c r="AH17" i="10" s="1"/>
  <c r="F18" i="10"/>
  <c r="O18" i="10"/>
  <c r="AD18" i="10" s="1"/>
  <c r="L31" i="10"/>
  <c r="AA31" i="10" s="1"/>
  <c r="T31" i="10"/>
  <c r="AI31" i="10" s="1"/>
  <c r="AG28" i="10" l="1"/>
  <c r="AG29" i="10" s="1"/>
  <c r="U29" i="10"/>
  <c r="Q29" i="10"/>
  <c r="M29" i="10"/>
  <c r="Q31" i="10"/>
  <c r="AF31" i="10" s="1"/>
  <c r="M19" i="10"/>
  <c r="AB19" i="10" s="1"/>
  <c r="Q19" i="10"/>
  <c r="AF19" i="10" s="1"/>
  <c r="U19" i="10"/>
  <c r="Z14" i="10"/>
  <c r="AA28" i="10"/>
  <c r="AA29" i="10" s="1"/>
  <c r="AG14" i="10"/>
  <c r="AE28" i="10"/>
  <c r="AE29" i="10" s="1"/>
  <c r="M20" i="10"/>
  <c r="AB20" i="10" s="1"/>
  <c r="AE14" i="10"/>
  <c r="AC14" i="10"/>
  <c r="AH14" i="10"/>
  <c r="AH15" i="10" s="1"/>
  <c r="AH28" i="10"/>
  <c r="AH29" i="10" s="1"/>
  <c r="AB28" i="10"/>
  <c r="AB29" i="10" s="1"/>
  <c r="AC28" i="10"/>
  <c r="AC29" i="10" s="1"/>
  <c r="Z28" i="10"/>
  <c r="Z29" i="10" s="1"/>
  <c r="AB14" i="10"/>
  <c r="AI28" i="10"/>
  <c r="AI29" i="10" s="1"/>
  <c r="AF28" i="10"/>
  <c r="AF29" i="10" s="1"/>
  <c r="AI14" i="10"/>
  <c r="AD28" i="10"/>
  <c r="AD29" i="10" s="1"/>
  <c r="AA14" i="10"/>
  <c r="M32" i="10"/>
  <c r="AB32" i="10" s="1"/>
  <c r="M31" i="10"/>
  <c r="AB31" i="10" s="1"/>
  <c r="AD14" i="10"/>
  <c r="U32" i="10"/>
  <c r="U20" i="10"/>
  <c r="U21" i="10"/>
  <c r="U18" i="10"/>
  <c r="AF14" i="10"/>
  <c r="Q32" i="10"/>
  <c r="AF32" i="10" s="1"/>
  <c r="M21" i="10"/>
  <c r="AB21" i="10" s="1"/>
  <c r="M18" i="10"/>
  <c r="AB18" i="10" s="1"/>
  <c r="M17" i="10"/>
  <c r="AB17" i="10" s="1"/>
  <c r="Q21" i="10"/>
  <c r="AF21" i="10" s="1"/>
  <c r="Q20" i="10"/>
  <c r="AF20" i="10" s="1"/>
  <c r="Q17" i="10"/>
  <c r="AF17" i="10" s="1"/>
  <c r="Q18" i="10"/>
  <c r="AF18" i="10" s="1"/>
  <c r="U31" i="10"/>
  <c r="U17" i="10"/>
  <c r="AA24" i="8" l="1"/>
  <c r="Z24" i="8"/>
  <c r="K14" i="9"/>
  <c r="O14" i="9"/>
  <c r="AD13" i="8"/>
  <c r="Z13" i="8"/>
  <c r="AC35" i="8"/>
  <c r="AB35" i="8"/>
  <c r="AA35" i="8"/>
  <c r="Z35" i="8"/>
  <c r="Y35" i="8"/>
  <c r="X35" i="8"/>
  <c r="W35" i="8"/>
  <c r="AC32" i="8"/>
  <c r="AB32" i="8"/>
  <c r="Z32" i="8"/>
  <c r="Y32" i="8"/>
  <c r="X32" i="8"/>
  <c r="W50" i="8"/>
  <c r="AA50" i="8"/>
  <c r="X50" i="8"/>
  <c r="Y50" i="8"/>
  <c r="Z50" i="8"/>
  <c r="AB50" i="8"/>
  <c r="AC50" i="8"/>
  <c r="AD50" i="8"/>
  <c r="K55" i="9"/>
  <c r="T55" i="9" s="1"/>
  <c r="AA43" i="8"/>
  <c r="W46" i="8"/>
  <c r="AA46" i="8"/>
  <c r="K63" i="9"/>
  <c r="T63" i="9" s="1"/>
  <c r="AA49" i="8"/>
  <c r="U51" i="8"/>
  <c r="U32" i="8"/>
  <c r="U11" i="8"/>
  <c r="H119" i="8"/>
  <c r="H116" i="8"/>
  <c r="H110" i="8"/>
  <c r="H91" i="8"/>
  <c r="H90" i="8"/>
  <c r="H83" i="8"/>
  <c r="H71" i="8"/>
  <c r="H77" i="8" s="1"/>
  <c r="H51" i="8"/>
  <c r="H60" i="8" s="1"/>
  <c r="H40" i="8"/>
  <c r="H39" i="8"/>
  <c r="H11" i="8"/>
  <c r="H20" i="8" s="1"/>
  <c r="U119" i="8"/>
  <c r="U116" i="8"/>
  <c r="U110" i="8"/>
  <c r="U91" i="8"/>
  <c r="U90" i="8"/>
  <c r="U83" i="8"/>
  <c r="U71" i="8"/>
  <c r="U77" i="8" s="1"/>
  <c r="U40" i="8"/>
  <c r="U39" i="8"/>
  <c r="W59" i="8"/>
  <c r="K66" i="9"/>
  <c r="T66" i="9" s="1"/>
  <c r="W57" i="8"/>
  <c r="W56" i="8"/>
  <c r="W55" i="8"/>
  <c r="K65" i="9"/>
  <c r="T65" i="9" s="1"/>
  <c r="K67" i="9"/>
  <c r="T67" i="9" s="1"/>
  <c r="AA59" i="8"/>
  <c r="AA58" i="8"/>
  <c r="AA57" i="8"/>
  <c r="AA56" i="8"/>
  <c r="AA55" i="8"/>
  <c r="AA54" i="8"/>
  <c r="AA63" i="8"/>
  <c r="AA75" i="8"/>
  <c r="AA74" i="8"/>
  <c r="K73" i="9"/>
  <c r="T73" i="9" s="1"/>
  <c r="T51" i="8"/>
  <c r="S51" i="8"/>
  <c r="R51" i="8"/>
  <c r="P51" i="8"/>
  <c r="O51" i="8"/>
  <c r="N51" i="8"/>
  <c r="L51" i="8"/>
  <c r="K51" i="8"/>
  <c r="J51" i="8"/>
  <c r="G51" i="8"/>
  <c r="F51" i="8"/>
  <c r="E51" i="8"/>
  <c r="D51" i="8"/>
  <c r="C51" i="8"/>
  <c r="C60" i="8" s="1"/>
  <c r="Q115" i="8"/>
  <c r="M115" i="8"/>
  <c r="Q114" i="8"/>
  <c r="M114" i="8"/>
  <c r="Q113" i="8"/>
  <c r="M113" i="8"/>
  <c r="K47" i="9" s="1"/>
  <c r="Q109" i="8"/>
  <c r="O45" i="9" s="1"/>
  <c r="M109" i="8"/>
  <c r="X109" i="8" s="1"/>
  <c r="Q108" i="8"/>
  <c r="M108" i="8"/>
  <c r="K46" i="9" s="1"/>
  <c r="Q107" i="8"/>
  <c r="M107" i="8"/>
  <c r="Q106" i="8"/>
  <c r="M106" i="8"/>
  <c r="AD57" i="8"/>
  <c r="AC57" i="8"/>
  <c r="AB57" i="8"/>
  <c r="Z57" i="8"/>
  <c r="Y57" i="8"/>
  <c r="X57" i="8"/>
  <c r="AD56" i="8"/>
  <c r="AC56" i="8"/>
  <c r="AB56" i="8"/>
  <c r="Z56" i="8"/>
  <c r="Y56" i="8"/>
  <c r="X56" i="8"/>
  <c r="AD46" i="8"/>
  <c r="AC46" i="8"/>
  <c r="AB46" i="8"/>
  <c r="Z46" i="8"/>
  <c r="Y46" i="8"/>
  <c r="X46" i="8"/>
  <c r="AD76" i="8"/>
  <c r="AC76" i="8"/>
  <c r="AB76" i="8"/>
  <c r="Z76" i="8"/>
  <c r="Y76" i="8"/>
  <c r="X76" i="8"/>
  <c r="AA76" i="8"/>
  <c r="W76" i="8"/>
  <c r="C116" i="8"/>
  <c r="C110" i="8"/>
  <c r="C91" i="8"/>
  <c r="C90" i="8"/>
  <c r="C83" i="8"/>
  <c r="C71" i="8"/>
  <c r="C77" i="8" s="1"/>
  <c r="C40" i="8"/>
  <c r="C39" i="8"/>
  <c r="C11" i="8"/>
  <c r="C20" i="8" s="1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C79" i="8"/>
  <c r="AB79" i="8"/>
  <c r="Z79" i="8"/>
  <c r="Y79" i="8"/>
  <c r="X79" i="8"/>
  <c r="AC75" i="8"/>
  <c r="AB75" i="8"/>
  <c r="Z75" i="8"/>
  <c r="Y75" i="8"/>
  <c r="X75" i="8"/>
  <c r="AC74" i="8"/>
  <c r="AB74" i="8"/>
  <c r="Z74" i="8"/>
  <c r="Y74" i="8"/>
  <c r="X74" i="8"/>
  <c r="AC63" i="8"/>
  <c r="AB63" i="8"/>
  <c r="AC59" i="8"/>
  <c r="AB59" i="8"/>
  <c r="Z59" i="8"/>
  <c r="Y59" i="8"/>
  <c r="X59" i="8"/>
  <c r="AC58" i="8"/>
  <c r="AB58" i="8"/>
  <c r="Z58" i="8"/>
  <c r="Y58" i="8"/>
  <c r="X58" i="8"/>
  <c r="AC55" i="8"/>
  <c r="AB55" i="8"/>
  <c r="Z55" i="8"/>
  <c r="Y55" i="8"/>
  <c r="X55" i="8"/>
  <c r="AC54" i="8"/>
  <c r="AB54" i="8"/>
  <c r="Z54" i="8"/>
  <c r="Y54" i="8"/>
  <c r="X54" i="8"/>
  <c r="AC49" i="8"/>
  <c r="AB49" i="8"/>
  <c r="Z49" i="8"/>
  <c r="Y49" i="8"/>
  <c r="X49" i="8"/>
  <c r="AC43" i="8"/>
  <c r="AB43" i="8"/>
  <c r="Z43" i="8"/>
  <c r="Y43" i="8"/>
  <c r="X43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Q101" i="8"/>
  <c r="M101" i="8"/>
  <c r="Y101" i="8" s="1"/>
  <c r="M130" i="8"/>
  <c r="M99" i="8"/>
  <c r="K32" i="9" s="1"/>
  <c r="J27" i="9"/>
  <c r="J38" i="9"/>
  <c r="R45" i="9"/>
  <c r="R46" i="9"/>
  <c r="R38" i="9"/>
  <c r="R32" i="9"/>
  <c r="R27" i="9"/>
  <c r="M46" i="9"/>
  <c r="N38" i="9"/>
  <c r="Q100" i="8"/>
  <c r="N32" i="9"/>
  <c r="N27" i="9"/>
  <c r="P47" i="9"/>
  <c r="Z63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M131" i="8"/>
  <c r="K39" i="9" s="1"/>
  <c r="Q131" i="8"/>
  <c r="O39" i="9" s="1"/>
  <c r="Q130" i="8"/>
  <c r="Q123" i="8"/>
  <c r="Q122" i="8"/>
  <c r="AA122" i="8" s="1"/>
  <c r="M123" i="8"/>
  <c r="M122" i="8"/>
  <c r="Z122" i="8" s="1"/>
  <c r="AD79" i="8"/>
  <c r="AD75" i="8"/>
  <c r="AD74" i="8"/>
  <c r="AD63" i="8"/>
  <c r="AD59" i="8"/>
  <c r="AD58" i="8"/>
  <c r="AD55" i="8"/>
  <c r="AD54" i="8"/>
  <c r="AD49" i="8"/>
  <c r="AD43" i="8"/>
  <c r="D45" i="9"/>
  <c r="K64" i="9"/>
  <c r="T64" i="9" s="1"/>
  <c r="W75" i="8"/>
  <c r="AA79" i="8"/>
  <c r="W79" i="8"/>
  <c r="AC28" i="8"/>
  <c r="W28" i="8"/>
  <c r="M32" i="8"/>
  <c r="W32" i="8" s="1"/>
  <c r="O23" i="9"/>
  <c r="O34" i="9" s="1"/>
  <c r="K23" i="9"/>
  <c r="K34" i="9" s="1"/>
  <c r="O21" i="9"/>
  <c r="K21" i="9"/>
  <c r="O72" i="9"/>
  <c r="X72" i="9" s="1"/>
  <c r="K72" i="9"/>
  <c r="T72" i="9" s="1"/>
  <c r="AD32" i="8"/>
  <c r="AD35" i="8"/>
  <c r="Q32" i="8"/>
  <c r="AA32" i="8" s="1"/>
  <c r="U15" i="10" l="1"/>
  <c r="U20" i="8"/>
  <c r="AD24" i="8"/>
  <c r="C15" i="10"/>
  <c r="V15" i="10"/>
  <c r="W15" i="10"/>
  <c r="X15" i="10"/>
  <c r="H25" i="8"/>
  <c r="H15" i="10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B24" i="8"/>
  <c r="AC24" i="8"/>
  <c r="W24" i="8"/>
  <c r="X24" i="8"/>
  <c r="Y24" i="8"/>
  <c r="AF50" i="8"/>
  <c r="U60" i="8"/>
  <c r="H84" i="8"/>
  <c r="H86" i="8" s="1"/>
  <c r="U84" i="8"/>
  <c r="Z51" i="8"/>
  <c r="AB51" i="8"/>
  <c r="AC51" i="8"/>
  <c r="AD51" i="8"/>
  <c r="Q51" i="8"/>
  <c r="M51" i="8"/>
  <c r="K56" i="9"/>
  <c r="T56" i="9" s="1"/>
  <c r="AA51" i="8"/>
  <c r="Q98" i="8"/>
  <c r="AD98" i="8" s="1"/>
  <c r="AF56" i="8"/>
  <c r="AF57" i="8"/>
  <c r="AF46" i="8"/>
  <c r="AF76" i="8"/>
  <c r="W14" i="9"/>
  <c r="C25" i="8"/>
  <c r="C84" i="8"/>
  <c r="C86" i="8" s="1"/>
  <c r="V21" i="9"/>
  <c r="U14" i="9"/>
  <c r="X34" i="9"/>
  <c r="V14" i="9"/>
  <c r="W101" i="8"/>
  <c r="Z101" i="8"/>
  <c r="AC101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W113" i="8"/>
  <c r="X108" i="8"/>
  <c r="Y109" i="8"/>
  <c r="Z23" i="9"/>
  <c r="W34" i="9"/>
  <c r="W49" i="8"/>
  <c r="W63" i="8"/>
  <c r="X101" i="8"/>
  <c r="Y108" i="8"/>
  <c r="Z109" i="8"/>
  <c r="X63" i="8"/>
  <c r="W99" i="8"/>
  <c r="AA109" i="8"/>
  <c r="T23" i="9"/>
  <c r="W43" i="8"/>
  <c r="Y63" i="8"/>
  <c r="X99" i="8"/>
  <c r="AB109" i="8"/>
  <c r="U23" i="9"/>
  <c r="W58" i="8"/>
  <c r="Y99" i="8"/>
  <c r="AA101" i="8"/>
  <c r="AC109" i="8"/>
  <c r="X113" i="8"/>
  <c r="V23" i="9"/>
  <c r="W74" i="8"/>
  <c r="Z99" i="8"/>
  <c r="AA100" i="8"/>
  <c r="AB101" i="8"/>
  <c r="Y113" i="8"/>
  <c r="U21" i="9"/>
  <c r="W23" i="9"/>
  <c r="W54" i="8"/>
  <c r="AB100" i="8"/>
  <c r="W109" i="8"/>
  <c r="Z113" i="8"/>
  <c r="X23" i="9"/>
  <c r="AC100" i="8"/>
  <c r="W108" i="8"/>
  <c r="Y23" i="9"/>
  <c r="N49" i="9"/>
  <c r="X28" i="8"/>
  <c r="Y28" i="8"/>
  <c r="Z28" i="8"/>
  <c r="AA28" i="8"/>
  <c r="AF49" i="8"/>
  <c r="AF58" i="8"/>
  <c r="AB28" i="8"/>
  <c r="J49" i="9"/>
  <c r="W13" i="8"/>
  <c r="AF82" i="8"/>
  <c r="X13" i="8"/>
  <c r="AF55" i="8"/>
  <c r="AF59" i="8"/>
  <c r="AF75" i="8"/>
  <c r="Y13" i="8"/>
  <c r="AA13" i="8"/>
  <c r="AB13" i="8"/>
  <c r="R49" i="9"/>
  <c r="AC13" i="8"/>
  <c r="M49" i="9"/>
  <c r="R110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D110" i="8"/>
  <c r="H41" i="9"/>
  <c r="F67" i="9"/>
  <c r="O65" i="9"/>
  <c r="X65" i="9" s="1"/>
  <c r="Y85" i="9"/>
  <c r="AA85" i="9"/>
  <c r="W85" i="9"/>
  <c r="K85" i="9"/>
  <c r="X85" i="9"/>
  <c r="Z85" i="9"/>
  <c r="O85" i="9"/>
  <c r="G110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N110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10" i="8"/>
  <c r="J110" i="8"/>
  <c r="F110" i="8"/>
  <c r="M102" i="8"/>
  <c r="Q102" i="8"/>
  <c r="AC102" i="8" s="1"/>
  <c r="AD101" i="8"/>
  <c r="M100" i="8"/>
  <c r="W100" i="8" s="1"/>
  <c r="Z106" i="8"/>
  <c r="M97" i="8"/>
  <c r="W97" i="8" s="1"/>
  <c r="T110" i="8"/>
  <c r="Q99" i="8"/>
  <c r="AA106" i="8"/>
  <c r="AB107" i="8"/>
  <c r="Q97" i="8"/>
  <c r="AA97" i="8" s="1"/>
  <c r="X122" i="8"/>
  <c r="AD100" i="8"/>
  <c r="AD122" i="8"/>
  <c r="AC122" i="8"/>
  <c r="AB122" i="8"/>
  <c r="Y122" i="8"/>
  <c r="W122" i="8"/>
  <c r="AD109" i="8"/>
  <c r="AD28" i="8"/>
  <c r="AF35" i="8"/>
  <c r="H21" i="8" l="1"/>
  <c r="W10" i="9"/>
  <c r="V10" i="9"/>
  <c r="U10" i="9"/>
  <c r="T10" i="9"/>
  <c r="U25" i="8"/>
  <c r="U29" i="8" s="1"/>
  <c r="U94" i="8" s="1"/>
  <c r="U86" i="8"/>
  <c r="U21" i="8"/>
  <c r="H29" i="8"/>
  <c r="H94" i="8" s="1"/>
  <c r="H26" i="8"/>
  <c r="AA98" i="8"/>
  <c r="AC98" i="8"/>
  <c r="M98" i="8"/>
  <c r="Z98" i="8" s="1"/>
  <c r="AF98" i="8" s="1"/>
  <c r="AB98" i="8"/>
  <c r="AF101" i="8"/>
  <c r="V32" i="9"/>
  <c r="Z45" i="9"/>
  <c r="X22" i="9"/>
  <c r="C21" i="8"/>
  <c r="V47" i="9"/>
  <c r="Z22" i="9"/>
  <c r="AB102" i="8"/>
  <c r="W114" i="8"/>
  <c r="U20" i="9"/>
  <c r="X100" i="8"/>
  <c r="AC107" i="8"/>
  <c r="X114" i="8"/>
  <c r="AB106" i="8"/>
  <c r="AB99" i="8"/>
  <c r="AC99" i="8"/>
  <c r="K33" i="9"/>
  <c r="W22" i="9"/>
  <c r="AC22" i="9" s="1"/>
  <c r="V22" i="9"/>
  <c r="U47" i="9"/>
  <c r="N48" i="9"/>
  <c r="AA107" i="8"/>
  <c r="AC97" i="8"/>
  <c r="Y22" i="9"/>
  <c r="Y20" i="9"/>
  <c r="X19" i="9"/>
  <c r="J44" i="9"/>
  <c r="W45" i="9"/>
  <c r="V45" i="9"/>
  <c r="K48" i="9"/>
  <c r="Z114" i="8"/>
  <c r="U22" i="9"/>
  <c r="T45" i="9"/>
  <c r="Z108" i="8"/>
  <c r="AA102" i="8"/>
  <c r="X20" i="9"/>
  <c r="T32" i="9"/>
  <c r="U32" i="9"/>
  <c r="J48" i="9"/>
  <c r="Y114" i="8"/>
  <c r="AC106" i="8"/>
  <c r="X106" i="8"/>
  <c r="AB97" i="8"/>
  <c r="Z97" i="8"/>
  <c r="X97" i="8"/>
  <c r="W102" i="8"/>
  <c r="Z102" i="8"/>
  <c r="X102" i="8"/>
  <c r="U19" i="9"/>
  <c r="W19" i="9"/>
  <c r="V19" i="9"/>
  <c r="Z100" i="8"/>
  <c r="AF100" i="8" s="1"/>
  <c r="Y100" i="8"/>
  <c r="V20" i="9"/>
  <c r="W20" i="9"/>
  <c r="AA99" i="8"/>
  <c r="Y106" i="8"/>
  <c r="Y97" i="8"/>
  <c r="Y15" i="9"/>
  <c r="K28" i="9"/>
  <c r="W28" i="9" s="1"/>
  <c r="W15" i="9"/>
  <c r="W16" i="9" s="1"/>
  <c r="U15" i="9"/>
  <c r="Y19" i="9"/>
  <c r="V15" i="9"/>
  <c r="V16" i="9" s="1"/>
  <c r="W106" i="8"/>
  <c r="X45" i="9"/>
  <c r="T15" i="9"/>
  <c r="T16" i="9" s="1"/>
  <c r="T24" i="9" s="1"/>
  <c r="Y102" i="8"/>
  <c r="T47" i="9"/>
  <c r="Y45" i="9"/>
  <c r="X15" i="9"/>
  <c r="W47" i="9"/>
  <c r="Q47" i="9"/>
  <c r="AC23" i="9"/>
  <c r="AC21" i="9"/>
  <c r="AF109" i="8"/>
  <c r="AC34" i="9"/>
  <c r="K41" i="9"/>
  <c r="O48" i="9"/>
  <c r="N41" i="9"/>
  <c r="AA20" i="9"/>
  <c r="O33" i="9"/>
  <c r="AC108" i="8"/>
  <c r="N46" i="9"/>
  <c r="AD97" i="8"/>
  <c r="O27" i="9"/>
  <c r="Z27" i="9" s="1"/>
  <c r="O32" i="9"/>
  <c r="K38" i="9"/>
  <c r="L110" i="8"/>
  <c r="Y107" i="8"/>
  <c r="O28" i="9"/>
  <c r="Z28" i="9" s="1"/>
  <c r="O44" i="9"/>
  <c r="Z44" i="9" s="1"/>
  <c r="K27" i="9"/>
  <c r="T27" i="9" s="1"/>
  <c r="AA15" i="9"/>
  <c r="O38" i="9"/>
  <c r="K110" i="8"/>
  <c r="AD99" i="8"/>
  <c r="AF99" i="8" s="1"/>
  <c r="S110" i="8"/>
  <c r="AD107" i="8"/>
  <c r="P110" i="8"/>
  <c r="AD106" i="8"/>
  <c r="O110" i="8"/>
  <c r="AF28" i="8"/>
  <c r="AA73" i="9"/>
  <c r="AA72" i="9"/>
  <c r="O7" i="9"/>
  <c r="O6" i="9"/>
  <c r="AD123" i="8"/>
  <c r="T119" i="8"/>
  <c r="AB123" i="8"/>
  <c r="AD119" i="8"/>
  <c r="P119" i="8"/>
  <c r="O119" i="8"/>
  <c r="M119" i="8"/>
  <c r="L119" i="8"/>
  <c r="J116" i="8"/>
  <c r="K116" i="8"/>
  <c r="L116" i="8"/>
  <c r="K119" i="8"/>
  <c r="R119" i="8"/>
  <c r="N119" i="8"/>
  <c r="AD102" i="8"/>
  <c r="U16" i="9" l="1"/>
  <c r="U24" i="9" s="1"/>
  <c r="Y7" i="9"/>
  <c r="X7" i="9"/>
  <c r="Z7" i="9"/>
  <c r="Y6" i="9"/>
  <c r="X6" i="9"/>
  <c r="Z6" i="9"/>
  <c r="U26" i="8"/>
  <c r="U36" i="8"/>
  <c r="U33" i="8"/>
  <c r="U30" i="8"/>
  <c r="H33" i="8"/>
  <c r="H36" i="8"/>
  <c r="H30" i="8"/>
  <c r="U103" i="8"/>
  <c r="U124" i="8" s="1"/>
  <c r="W98" i="8"/>
  <c r="X98" i="8"/>
  <c r="Y98" i="8"/>
  <c r="W48" i="9"/>
  <c r="C29" i="8"/>
  <c r="C94" i="8" s="1"/>
  <c r="C26" i="8"/>
  <c r="O41" i="9"/>
  <c r="U27" i="9"/>
  <c r="AA108" i="8"/>
  <c r="V24" i="9"/>
  <c r="Y27" i="9"/>
  <c r="AC20" i="9"/>
  <c r="X28" i="9"/>
  <c r="V28" i="9"/>
  <c r="X27" i="9"/>
  <c r="AA114" i="8"/>
  <c r="M110" i="8"/>
  <c r="Z107" i="8"/>
  <c r="AF107" i="8" s="1"/>
  <c r="X107" i="8"/>
  <c r="X44" i="9"/>
  <c r="X32" i="9"/>
  <c r="Z32" i="9"/>
  <c r="T28" i="9"/>
  <c r="T29" i="9" s="1"/>
  <c r="AC114" i="8"/>
  <c r="Y28" i="9"/>
  <c r="AB113" i="8"/>
  <c r="AC113" i="8"/>
  <c r="AA113" i="8"/>
  <c r="Y44" i="9"/>
  <c r="AB114" i="8"/>
  <c r="Z115" i="8"/>
  <c r="X115" i="8"/>
  <c r="Y115" i="8"/>
  <c r="W115" i="8"/>
  <c r="W27" i="9"/>
  <c r="V27" i="9"/>
  <c r="Y32" i="9"/>
  <c r="V48" i="9"/>
  <c r="U48" i="9"/>
  <c r="T48" i="9"/>
  <c r="Z48" i="9"/>
  <c r="Y48" i="9"/>
  <c r="X48" i="9"/>
  <c r="AC115" i="8"/>
  <c r="AA115" i="8"/>
  <c r="AB115" i="8"/>
  <c r="W46" i="9"/>
  <c r="W107" i="8"/>
  <c r="O46" i="9"/>
  <c r="AA46" i="9" s="1"/>
  <c r="AB108" i="8"/>
  <c r="W24" i="9"/>
  <c r="U33" i="9"/>
  <c r="W33" i="9"/>
  <c r="V33" i="9"/>
  <c r="T33" i="9"/>
  <c r="AA33" i="9"/>
  <c r="X33" i="9"/>
  <c r="Y33" i="9"/>
  <c r="Z33" i="9"/>
  <c r="U28" i="9"/>
  <c r="AC15" i="9"/>
  <c r="K49" i="9"/>
  <c r="O49" i="9"/>
  <c r="AF106" i="8"/>
  <c r="AD114" i="8"/>
  <c r="AF114" i="8" s="1"/>
  <c r="AD108" i="8"/>
  <c r="AF108" i="8" s="1"/>
  <c r="O9" i="9"/>
  <c r="O8" i="9"/>
  <c r="AD113" i="8"/>
  <c r="O47" i="9"/>
  <c r="AA28" i="9"/>
  <c r="AC28" i="9" s="1"/>
  <c r="K44" i="9"/>
  <c r="W44" i="9" s="1"/>
  <c r="Q110" i="8"/>
  <c r="S119" i="8"/>
  <c r="W130" i="8"/>
  <c r="AF102" i="8"/>
  <c r="Y119" i="8"/>
  <c r="AA119" i="8"/>
  <c r="X123" i="8"/>
  <c r="AD115" i="8"/>
  <c r="Y123" i="8"/>
  <c r="AA123" i="8"/>
  <c r="X119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W123" i="8"/>
  <c r="Z123" i="8"/>
  <c r="Z119" i="8"/>
  <c r="AB119" i="8"/>
  <c r="AC123" i="8"/>
  <c r="AC119" i="8"/>
  <c r="E119" i="8"/>
  <c r="F119" i="8"/>
  <c r="W119" i="8" s="1"/>
  <c r="G119" i="8"/>
  <c r="Q119" i="8"/>
  <c r="AA14" i="9"/>
  <c r="X9" i="9" l="1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6" i="8"/>
  <c r="C33" i="8"/>
  <c r="H103" i="8"/>
  <c r="H124" i="8" s="1"/>
  <c r="U29" i="9"/>
  <c r="U35" i="9" s="1"/>
  <c r="C30" i="8"/>
  <c r="AC33" i="9"/>
  <c r="W29" i="9"/>
  <c r="W35" i="9" s="1"/>
  <c r="V29" i="9"/>
  <c r="V35" i="9" s="1"/>
  <c r="X46" i="9"/>
  <c r="T44" i="9"/>
  <c r="T35" i="9"/>
  <c r="V44" i="9"/>
  <c r="Y46" i="9"/>
  <c r="AF115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B130" i="8"/>
  <c r="AC130" i="8"/>
  <c r="Z130" i="8"/>
  <c r="Y130" i="8"/>
  <c r="X130" i="8"/>
  <c r="AD130" i="8"/>
  <c r="AA130" i="8"/>
  <c r="AC14" i="9"/>
  <c r="X10" i="9" l="1"/>
  <c r="X16" i="9" s="1"/>
  <c r="X24" i="9" s="1"/>
  <c r="X29" i="9" s="1"/>
  <c r="X35" i="9" s="1"/>
  <c r="C103" i="8"/>
  <c r="C124" i="8" s="1"/>
  <c r="Y23" i="8"/>
  <c r="X23" i="8"/>
  <c r="W23" i="8"/>
  <c r="Z23" i="8"/>
  <c r="AD23" i="8"/>
  <c r="AB23" i="8"/>
  <c r="AC23" i="8"/>
  <c r="AA23" i="8"/>
  <c r="C120" i="8" l="1"/>
  <c r="C125" i="8" s="1"/>
  <c r="D118" i="8" s="1"/>
  <c r="AA57" i="9"/>
  <c r="AA56" i="9"/>
  <c r="Q8" i="8"/>
  <c r="Q4" i="10" s="1"/>
  <c r="AD4" i="10" s="1"/>
  <c r="M8" i="8"/>
  <c r="M4" i="10" s="1"/>
  <c r="Z4" i="10" s="1"/>
  <c r="C127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T71" i="8"/>
  <c r="R68" i="9" s="1"/>
  <c r="S71" i="8"/>
  <c r="Q68" i="9" s="1"/>
  <c r="Z68" i="9" s="1"/>
  <c r="R71" i="8"/>
  <c r="P68" i="9" s="1"/>
  <c r="Y68" i="9" s="1"/>
  <c r="P71" i="8"/>
  <c r="N68" i="9" s="1"/>
  <c r="W68" i="9" s="1"/>
  <c r="O71" i="8"/>
  <c r="M68" i="9" s="1"/>
  <c r="V68" i="9" s="1"/>
  <c r="N71" i="8"/>
  <c r="L68" i="9" s="1"/>
  <c r="U68" i="9" s="1"/>
  <c r="L71" i="8"/>
  <c r="J68" i="9" s="1"/>
  <c r="K71" i="8"/>
  <c r="I68" i="9" s="1"/>
  <c r="J71" i="8"/>
  <c r="H68" i="9" s="1"/>
  <c r="G71" i="8"/>
  <c r="F68" i="9" s="1"/>
  <c r="F71" i="8"/>
  <c r="E68" i="9" s="1"/>
  <c r="E71" i="8"/>
  <c r="D68" i="9" s="1"/>
  <c r="D71" i="8"/>
  <c r="C68" i="9" s="1"/>
  <c r="AA55" i="9"/>
  <c r="AA58" i="9" s="1"/>
  <c r="R4" i="9"/>
  <c r="AA4" i="9" s="1"/>
  <c r="R3" i="9"/>
  <c r="AA3" i="9" s="1"/>
  <c r="AD8" i="8"/>
  <c r="AD91" i="8" s="1"/>
  <c r="AD7" i="8"/>
  <c r="AD90" i="8" s="1"/>
  <c r="T91" i="8"/>
  <c r="T90" i="8"/>
  <c r="T83" i="8"/>
  <c r="R87" i="9" s="1"/>
  <c r="T40" i="8"/>
  <c r="T39" i="8"/>
  <c r="T11" i="8"/>
  <c r="T20" i="8" s="1"/>
  <c r="R116" i="8"/>
  <c r="G116" i="8"/>
  <c r="F116" i="8"/>
  <c r="E116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L83" i="8"/>
  <c r="J87" i="9" s="1"/>
  <c r="S91" i="8"/>
  <c r="R91" i="8"/>
  <c r="Q91" i="8"/>
  <c r="P91" i="8"/>
  <c r="O91" i="8"/>
  <c r="N91" i="8"/>
  <c r="M91" i="8"/>
  <c r="L91" i="8"/>
  <c r="K91" i="8"/>
  <c r="J91" i="8"/>
  <c r="S90" i="8"/>
  <c r="R90" i="8"/>
  <c r="Q90" i="8"/>
  <c r="P90" i="8"/>
  <c r="O90" i="8"/>
  <c r="N90" i="8"/>
  <c r="M90" i="8"/>
  <c r="L90" i="8"/>
  <c r="K90" i="8"/>
  <c r="J90" i="8"/>
  <c r="P83" i="8"/>
  <c r="N87" i="9" s="1"/>
  <c r="O83" i="8"/>
  <c r="M87" i="9" s="1"/>
  <c r="N83" i="8"/>
  <c r="L87" i="9" s="1"/>
  <c r="K83" i="8"/>
  <c r="I87" i="9" s="1"/>
  <c r="J83" i="8"/>
  <c r="H87" i="9" s="1"/>
  <c r="S40" i="8"/>
  <c r="R40" i="8"/>
  <c r="Q40" i="8"/>
  <c r="P40" i="8"/>
  <c r="O40" i="8"/>
  <c r="N40" i="8"/>
  <c r="M40" i="8"/>
  <c r="L40" i="8"/>
  <c r="K40" i="8"/>
  <c r="J40" i="8"/>
  <c r="S39" i="8"/>
  <c r="R39" i="8"/>
  <c r="Q39" i="8"/>
  <c r="P39" i="8"/>
  <c r="O39" i="8"/>
  <c r="N39" i="8"/>
  <c r="M39" i="8"/>
  <c r="L39" i="8"/>
  <c r="K39" i="8"/>
  <c r="J39" i="8"/>
  <c r="G40" i="8"/>
  <c r="F40" i="8"/>
  <c r="E40" i="8"/>
  <c r="D40" i="8"/>
  <c r="G39" i="8"/>
  <c r="F39" i="8"/>
  <c r="E39" i="8"/>
  <c r="D39" i="8"/>
  <c r="O11" i="8"/>
  <c r="O20" i="8" s="1"/>
  <c r="N11" i="8"/>
  <c r="N20" i="8" s="1"/>
  <c r="L11" i="8"/>
  <c r="L20" i="8" s="1"/>
  <c r="K11" i="8"/>
  <c r="K20" i="8" s="1"/>
  <c r="J11" i="8"/>
  <c r="J20" i="8" s="1"/>
  <c r="S11" i="8"/>
  <c r="S20" i="8" s="1"/>
  <c r="X8" i="8"/>
  <c r="W8" i="8"/>
  <c r="X7" i="8"/>
  <c r="W7" i="8"/>
  <c r="AB8" i="8"/>
  <c r="AA8" i="8"/>
  <c r="Z8" i="8"/>
  <c r="Y8" i="8"/>
  <c r="AB7" i="8"/>
  <c r="AA7" i="8"/>
  <c r="Z7" i="8"/>
  <c r="Y7" i="8"/>
  <c r="AC8" i="8"/>
  <c r="AC7" i="8"/>
  <c r="L15" i="10" l="1"/>
  <c r="J15" i="10"/>
  <c r="K15" i="10"/>
  <c r="N25" i="8"/>
  <c r="N15" i="10"/>
  <c r="T25" i="8"/>
  <c r="T15" i="10"/>
  <c r="O25" i="8"/>
  <c r="O15" i="10"/>
  <c r="S15" i="10"/>
  <c r="W10" i="8"/>
  <c r="Y10" i="8"/>
  <c r="Z10" i="8"/>
  <c r="X10" i="8"/>
  <c r="AC10" i="8"/>
  <c r="AB10" i="8"/>
  <c r="AA10" i="8"/>
  <c r="AF43" i="8"/>
  <c r="AF79" i="8"/>
  <c r="AF54" i="8"/>
  <c r="AF63" i="8"/>
  <c r="AF74" i="8"/>
  <c r="T77" i="8"/>
  <c r="R69" i="9" s="1"/>
  <c r="U87" i="9"/>
  <c r="AA87" i="9"/>
  <c r="AB131" i="8"/>
  <c r="V87" i="9"/>
  <c r="W87" i="9"/>
  <c r="K58" i="9"/>
  <c r="L60" i="8"/>
  <c r="AB71" i="8"/>
  <c r="AC71" i="8"/>
  <c r="AD71" i="8"/>
  <c r="Z71" i="8"/>
  <c r="M71" i="8"/>
  <c r="K68" i="9" s="1"/>
  <c r="T68" i="9" s="1"/>
  <c r="Q71" i="8"/>
  <c r="O68" i="9" s="1"/>
  <c r="X68" i="9" s="1"/>
  <c r="L77" i="8"/>
  <c r="J69" i="9" s="1"/>
  <c r="AD83" i="8"/>
  <c r="AD10" i="8"/>
  <c r="K77" i="8"/>
  <c r="I69" i="9" s="1"/>
  <c r="AD39" i="8"/>
  <c r="AD40" i="8"/>
  <c r="J77" i="8"/>
  <c r="H69" i="9" s="1"/>
  <c r="K60" i="8"/>
  <c r="D116" i="8"/>
  <c r="S116" i="8"/>
  <c r="N116" i="8"/>
  <c r="O116" i="8"/>
  <c r="S60" i="8"/>
  <c r="P60" i="8"/>
  <c r="J60" i="8"/>
  <c r="O60" i="8"/>
  <c r="N60" i="8"/>
  <c r="G77" i="8"/>
  <c r="F69" i="9" s="1"/>
  <c r="Z131" i="8"/>
  <c r="V58" i="9"/>
  <c r="U58" i="9"/>
  <c r="AA131" i="8"/>
  <c r="X131" i="8"/>
  <c r="Y131" i="8"/>
  <c r="W131" i="8"/>
  <c r="M11" i="8"/>
  <c r="M20" i="8" s="1"/>
  <c r="M83" i="8"/>
  <c r="K87" i="9" s="1"/>
  <c r="M60" i="8"/>
  <c r="Q60" i="8"/>
  <c r="M25" i="8" l="1"/>
  <c r="M15" i="10"/>
  <c r="L25" i="8"/>
  <c r="T84" i="8"/>
  <c r="AA69" i="9"/>
  <c r="AA9" i="9"/>
  <c r="AC9" i="9" s="1"/>
  <c r="AA8" i="9"/>
  <c r="AC8" i="9" s="1"/>
  <c r="AA7" i="9"/>
  <c r="AC7" i="9" s="1"/>
  <c r="K25" i="8"/>
  <c r="T21" i="8"/>
  <c r="T29" i="8"/>
  <c r="T94" i="8" s="1"/>
  <c r="J25" i="8"/>
  <c r="AA71" i="8"/>
  <c r="AF13" i="8"/>
  <c r="AF113" i="8"/>
  <c r="AA48" i="9"/>
  <c r="AD60" i="8"/>
  <c r="AD77" i="8"/>
  <c r="AD84" i="8" s="1"/>
  <c r="AF71" i="8"/>
  <c r="AF23" i="8"/>
  <c r="AD11" i="8"/>
  <c r="AD20" i="8" s="1"/>
  <c r="AF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K84" i="8"/>
  <c r="K86" i="8" s="1"/>
  <c r="AA88" i="9"/>
  <c r="AA97" i="9" s="1"/>
  <c r="T87" i="9"/>
  <c r="T88" i="9" s="1"/>
  <c r="T97" i="9" s="1"/>
  <c r="AA19" i="9"/>
  <c r="T60" i="8"/>
  <c r="AA68" i="9"/>
  <c r="AA38" i="9"/>
  <c r="L84" i="8"/>
  <c r="L86" i="8" s="1"/>
  <c r="T116" i="8"/>
  <c r="J84" i="8"/>
  <c r="J86" i="8" s="1"/>
  <c r="P116" i="8"/>
  <c r="AA44" i="9"/>
  <c r="T58" i="9"/>
  <c r="O77" i="8"/>
  <c r="M69" i="9" s="1"/>
  <c r="V69" i="9" s="1"/>
  <c r="N77" i="8"/>
  <c r="L69" i="9" s="1"/>
  <c r="U69" i="9" s="1"/>
  <c r="M77" i="8"/>
  <c r="K69" i="9" s="1"/>
  <c r="T69" i="9" s="1"/>
  <c r="P77" i="8"/>
  <c r="N69" i="9" s="1"/>
  <c r="W69" i="9" s="1"/>
  <c r="U39" i="9"/>
  <c r="X39" i="9"/>
  <c r="Y38" i="9"/>
  <c r="AA41" i="9"/>
  <c r="V39" i="9"/>
  <c r="Z38" i="9"/>
  <c r="W39" i="9"/>
  <c r="X38" i="9"/>
  <c r="T39" i="9"/>
  <c r="O21" i="8"/>
  <c r="O29" i="8"/>
  <c r="O94" i="8" s="1"/>
  <c r="N21" i="8"/>
  <c r="AG15" i="10" l="1"/>
  <c r="T36" i="8"/>
  <c r="T33" i="8"/>
  <c r="O36" i="8"/>
  <c r="O33" i="8"/>
  <c r="AC19" i="9"/>
  <c r="N29" i="8"/>
  <c r="N94" i="8" s="1"/>
  <c r="K29" i="8"/>
  <c r="K94" i="8" s="1"/>
  <c r="L26" i="8"/>
  <c r="L21" i="8"/>
  <c r="K21" i="8"/>
  <c r="T86" i="8"/>
  <c r="R24" i="9"/>
  <c r="R29" i="9" s="1"/>
  <c r="R35" i="9" s="1"/>
  <c r="T26" i="8"/>
  <c r="J29" i="8"/>
  <c r="J94" i="8" s="1"/>
  <c r="J21" i="8"/>
  <c r="AD86" i="8"/>
  <c r="Y40" i="9"/>
  <c r="Z40" i="9"/>
  <c r="X40" i="9"/>
  <c r="AC40" i="9"/>
  <c r="U40" i="9"/>
  <c r="V40" i="9"/>
  <c r="T40" i="9"/>
  <c r="Z39" i="9"/>
  <c r="AC131" i="8"/>
  <c r="N84" i="8"/>
  <c r="N86" i="8" s="1"/>
  <c r="Y39" i="9"/>
  <c r="O84" i="8"/>
  <c r="O86" i="8" s="1"/>
  <c r="AA110" i="8"/>
  <c r="AC110" i="8"/>
  <c r="AB110" i="8"/>
  <c r="AD110" i="8"/>
  <c r="Z41" i="9"/>
  <c r="O26" i="8"/>
  <c r="AC116" i="8"/>
  <c r="AD116" i="8"/>
  <c r="Y110" i="8"/>
  <c r="AA116" i="8"/>
  <c r="Y116" i="8"/>
  <c r="AB116" i="8"/>
  <c r="Q116" i="8"/>
  <c r="P84" i="8"/>
  <c r="P86" i="8" s="1"/>
  <c r="M84" i="8"/>
  <c r="M86" i="8" s="1"/>
  <c r="Y41" i="9"/>
  <c r="AF97" i="8"/>
  <c r="X41" i="9"/>
  <c r="Z110" i="8"/>
  <c r="X110" i="8"/>
  <c r="W110" i="8"/>
  <c r="V38" i="9"/>
  <c r="U38" i="9"/>
  <c r="W38" i="9"/>
  <c r="T38" i="9"/>
  <c r="W41" i="9"/>
  <c r="AC41" i="9" s="1"/>
  <c r="T41" i="9"/>
  <c r="U41" i="9"/>
  <c r="V41" i="9"/>
  <c r="M21" i="8"/>
  <c r="M29" i="8"/>
  <c r="M94" i="8" s="1"/>
  <c r="N26" i="8"/>
  <c r="N33" i="8" l="1"/>
  <c r="N36" i="8"/>
  <c r="J36" i="8"/>
  <c r="J33" i="8"/>
  <c r="K33" i="8"/>
  <c r="K36" i="8"/>
  <c r="M36" i="8"/>
  <c r="M33" i="8"/>
  <c r="T103" i="8"/>
  <c r="T124" i="8" s="1"/>
  <c r="O103" i="8"/>
  <c r="O124" i="8" s="1"/>
  <c r="X42" i="9"/>
  <c r="Y42" i="9"/>
  <c r="Z42" i="9"/>
  <c r="T42" i="9"/>
  <c r="AC38" i="9"/>
  <c r="W42" i="9"/>
  <c r="U42" i="9"/>
  <c r="V42" i="9"/>
  <c r="L29" i="8"/>
  <c r="L94" i="8" s="1"/>
  <c r="K26" i="8"/>
  <c r="AD25" i="8"/>
  <c r="T30" i="8"/>
  <c r="R17" i="9"/>
  <c r="R25" i="9"/>
  <c r="J26" i="8"/>
  <c r="AF32" i="8"/>
  <c r="AF110" i="8"/>
  <c r="AA39" i="9"/>
  <c r="AC39" i="9" s="1"/>
  <c r="AD131" i="8"/>
  <c r="AA32" i="9"/>
  <c r="AC32" i="9" s="1"/>
  <c r="AA27" i="9"/>
  <c r="AA45" i="9"/>
  <c r="R30" i="9"/>
  <c r="K30" i="8"/>
  <c r="M26" i="8"/>
  <c r="W116" i="8"/>
  <c r="M116" i="8"/>
  <c r="Z116" i="8"/>
  <c r="AF116" i="8" s="1"/>
  <c r="X116" i="8"/>
  <c r="O30" i="8"/>
  <c r="N30" i="8"/>
  <c r="L36" i="8" l="1"/>
  <c r="L33" i="8"/>
  <c r="J103" i="8"/>
  <c r="J124" i="8" s="1"/>
  <c r="N103" i="8"/>
  <c r="N124" i="8" s="1"/>
  <c r="K103" i="8"/>
  <c r="K124" i="8" s="1"/>
  <c r="L30" i="8"/>
  <c r="AD21" i="8"/>
  <c r="AD29" i="8"/>
  <c r="AD94" i="8" s="1"/>
  <c r="AC27" i="9"/>
  <c r="AA6" i="9"/>
  <c r="AA10" i="9" s="1"/>
  <c r="AA16" i="9" s="1"/>
  <c r="AA24" i="9" s="1"/>
  <c r="AA29" i="9" s="1"/>
  <c r="AA35" i="9" s="1"/>
  <c r="AA42" i="9" s="1"/>
  <c r="J30" i="8"/>
  <c r="V17" i="9"/>
  <c r="R36" i="9"/>
  <c r="R42" i="9"/>
  <c r="R50" i="9" s="1"/>
  <c r="M30" i="8"/>
  <c r="AD36" i="8" l="1"/>
  <c r="AD33" i="8"/>
  <c r="L103" i="8"/>
  <c r="L124" i="8" s="1"/>
  <c r="AD30" i="8"/>
  <c r="AD26" i="8"/>
  <c r="U17" i="9"/>
  <c r="W25" i="9"/>
  <c r="W17" i="9"/>
  <c r="T17" i="9"/>
  <c r="V25" i="9"/>
  <c r="T25" i="9"/>
  <c r="Y11" i="9"/>
  <c r="AC6" i="9"/>
  <c r="R51" i="9"/>
  <c r="T30" i="9"/>
  <c r="M103" i="8"/>
  <c r="M124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X124" i="8"/>
  <c r="Y124" i="8"/>
  <c r="W124" i="8"/>
  <c r="T96" i="9" a="1"/>
  <c r="T96" i="9" s="1"/>
  <c r="T94" i="9"/>
  <c r="T95" i="9" a="1"/>
  <c r="T95" i="9" s="1"/>
  <c r="T93" i="9"/>
  <c r="T36" i="9"/>
  <c r="T92" i="9"/>
  <c r="B91" i="8"/>
  <c r="B90" i="8"/>
  <c r="G91" i="8"/>
  <c r="F91" i="8"/>
  <c r="E91" i="8"/>
  <c r="D91" i="8"/>
  <c r="G90" i="8"/>
  <c r="F90" i="8"/>
  <c r="E90" i="8"/>
  <c r="D90" i="8"/>
  <c r="B40" i="8"/>
  <c r="B39" i="8"/>
  <c r="AC40" i="8"/>
  <c r="AB40" i="8"/>
  <c r="AA40" i="8"/>
  <c r="Y40" i="8"/>
  <c r="X40" i="8"/>
  <c r="W40" i="8"/>
  <c r="Z40" i="8"/>
  <c r="AC39" i="8"/>
  <c r="AB39" i="8"/>
  <c r="AA39" i="8"/>
  <c r="Z39" i="8"/>
  <c r="Y39" i="8"/>
  <c r="X39" i="8"/>
  <c r="W39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W90" i="8"/>
  <c r="W91" i="8"/>
  <c r="Z90" i="8"/>
  <c r="AA90" i="8"/>
  <c r="AA91" i="8"/>
  <c r="AB91" i="8"/>
  <c r="Y90" i="8"/>
  <c r="AB90" i="8"/>
  <c r="Y91" i="8"/>
  <c r="X91" i="8"/>
  <c r="AC90" i="8"/>
  <c r="Z91" i="8"/>
  <c r="X90" i="8"/>
  <c r="AC91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Q83" i="8" l="1"/>
  <c r="O87" i="9" s="1"/>
  <c r="S83" i="8"/>
  <c r="Q87" i="9" s="1"/>
  <c r="Z87" i="9" l="1"/>
  <c r="X87" i="9"/>
  <c r="X88" i="9" s="1"/>
  <c r="X97" i="9" s="1"/>
  <c r="R60" i="8"/>
  <c r="R83" i="8"/>
  <c r="P87" i="9" s="1"/>
  <c r="R11" i="9" l="1"/>
  <c r="R12" i="9"/>
  <c r="Y87" i="9"/>
  <c r="Y88" i="9" s="1"/>
  <c r="Y97" i="9" s="1"/>
  <c r="Z88" i="9"/>
  <c r="Z97" i="9" s="1"/>
  <c r="X11" i="8" l="1"/>
  <c r="X20" i="8" s="1"/>
  <c r="F60" i="8"/>
  <c r="E60" i="8"/>
  <c r="D60" i="8"/>
  <c r="G60" i="8"/>
  <c r="AA15" i="10" l="1"/>
  <c r="Y11" i="8"/>
  <c r="Y20" i="8" s="1"/>
  <c r="Y51" i="8"/>
  <c r="Y60" i="8" s="1"/>
  <c r="Y83" i="8"/>
  <c r="W51" i="8"/>
  <c r="W60" i="8" s="1"/>
  <c r="Y71" i="8"/>
  <c r="Y77" i="8" s="1"/>
  <c r="X71" i="8"/>
  <c r="X77" i="8" s="1"/>
  <c r="X51" i="8"/>
  <c r="X60" i="8" s="1"/>
  <c r="W83" i="8"/>
  <c r="W11" i="8"/>
  <c r="W20" i="8" s="1"/>
  <c r="W71" i="8"/>
  <c r="W77" i="8" s="1"/>
  <c r="X83" i="8"/>
  <c r="AA83" i="8"/>
  <c r="AA60" i="8"/>
  <c r="AB83" i="8"/>
  <c r="AA11" i="8"/>
  <c r="AA20" i="8" s="1"/>
  <c r="AA77" i="8"/>
  <c r="AB77" i="8"/>
  <c r="Z11" i="8"/>
  <c r="Z20" i="8" s="1"/>
  <c r="AB11" i="8"/>
  <c r="AB20" i="8" s="1"/>
  <c r="AB60" i="8"/>
  <c r="AC15" i="10" l="1"/>
  <c r="AE15" i="10"/>
  <c r="Z15" i="10"/>
  <c r="AB15" i="10"/>
  <c r="AD15" i="10"/>
  <c r="AF11" i="8"/>
  <c r="AI15" i="10" s="1"/>
  <c r="Y84" i="8"/>
  <c r="Y86" i="8" s="1"/>
  <c r="W84" i="8"/>
  <c r="W86" i="8" s="1"/>
  <c r="X84" i="8"/>
  <c r="X86" i="8" s="1"/>
  <c r="AA84" i="8"/>
  <c r="AA86" i="8" s="1"/>
  <c r="AB84" i="8"/>
  <c r="AB86" i="8" s="1"/>
  <c r="X25" i="8" l="1"/>
  <c r="Z25" i="8"/>
  <c r="AA25" i="8"/>
  <c r="W21" i="8"/>
  <c r="X21" i="8"/>
  <c r="AB25" i="8"/>
  <c r="Z17" i="9"/>
  <c r="X29" i="8" l="1"/>
  <c r="X94" i="8" s="1"/>
  <c r="X26" i="8"/>
  <c r="AB21" i="8"/>
  <c r="AA29" i="8"/>
  <c r="AA94" i="8" s="1"/>
  <c r="Y25" i="8"/>
  <c r="Z29" i="8"/>
  <c r="Z94" i="8" s="1"/>
  <c r="AF20" i="8"/>
  <c r="AA21" i="8"/>
  <c r="Z21" i="8"/>
  <c r="AF21" i="8" s="1"/>
  <c r="Y21" i="8"/>
  <c r="W25" i="8"/>
  <c r="AB29" i="8"/>
  <c r="AB94" i="8" s="1"/>
  <c r="Z94" i="9"/>
  <c r="Z25" i="9"/>
  <c r="Z33" i="8" l="1"/>
  <c r="Z36" i="8"/>
  <c r="AB36" i="8"/>
  <c r="AB33" i="8"/>
  <c r="AA33" i="8"/>
  <c r="AA36" i="8"/>
  <c r="X36" i="8"/>
  <c r="X33" i="8"/>
  <c r="X30" i="8"/>
  <c r="W29" i="8"/>
  <c r="W94" i="8" s="1"/>
  <c r="Y29" i="8"/>
  <c r="Y94" i="8" s="1"/>
  <c r="AA26" i="8"/>
  <c r="Y26" i="8"/>
  <c r="Z26" i="8"/>
  <c r="AF26" i="8" s="1"/>
  <c r="AF25" i="8"/>
  <c r="W26" i="8"/>
  <c r="AB26" i="8"/>
  <c r="Z30" i="9"/>
  <c r="AA30" i="8"/>
  <c r="AB30" i="8"/>
  <c r="Y33" i="8" l="1"/>
  <c r="Y36" i="8"/>
  <c r="W33" i="8"/>
  <c r="W36" i="8"/>
  <c r="Y30" i="8"/>
  <c r="W30" i="8"/>
  <c r="AF36" i="8"/>
  <c r="AF33" i="8"/>
  <c r="AF29" i="8"/>
  <c r="Z30" i="8"/>
  <c r="AF30" i="8" s="1"/>
  <c r="Z96" i="9" a="1"/>
  <c r="Z96" i="9" s="1"/>
  <c r="Z36" i="9"/>
  <c r="Z95" i="9" a="1"/>
  <c r="Z95" i="9" s="1"/>
  <c r="Z92" i="9"/>
  <c r="Z93" i="9"/>
  <c r="Z77" i="8" l="1"/>
  <c r="AF77" i="8" s="1"/>
  <c r="P11" i="8" l="1"/>
  <c r="P20" i="8" s="1"/>
  <c r="G11" i="8"/>
  <c r="G20" i="8" s="1"/>
  <c r="F11" i="8"/>
  <c r="F20" i="8" s="1"/>
  <c r="E11" i="8"/>
  <c r="E20" i="8" s="1"/>
  <c r="D11" i="8"/>
  <c r="D20" i="8" s="1"/>
  <c r="G83" i="8"/>
  <c r="F87" i="9" s="1"/>
  <c r="F83" i="8"/>
  <c r="E87" i="9" s="1"/>
  <c r="E83" i="8"/>
  <c r="D87" i="9" s="1"/>
  <c r="D83" i="8"/>
  <c r="C87" i="9" s="1"/>
  <c r="S77" i="8"/>
  <c r="Q69" i="9" s="1"/>
  <c r="Z69" i="9" s="1"/>
  <c r="Q77" i="8"/>
  <c r="O69" i="9" s="1"/>
  <c r="X69" i="9" s="1"/>
  <c r="AC11" i="8"/>
  <c r="AC20" i="8" s="1"/>
  <c r="P88" i="9"/>
  <c r="P97" i="9" s="1"/>
  <c r="H88" i="9"/>
  <c r="H97" i="9" s="1"/>
  <c r="D15" i="10" l="1"/>
  <c r="E15" i="10"/>
  <c r="F15" i="10"/>
  <c r="G25" i="8"/>
  <c r="G15" i="10"/>
  <c r="AF15" i="10"/>
  <c r="P25" i="8"/>
  <c r="P15" i="10"/>
  <c r="D25" i="8"/>
  <c r="E25" i="8"/>
  <c r="F25" i="8"/>
  <c r="D77" i="8"/>
  <c r="C69" i="9" s="1"/>
  <c r="F77" i="8"/>
  <c r="E69" i="9" s="1"/>
  <c r="E77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Z83" i="8"/>
  <c r="S25" i="8"/>
  <c r="R77" i="8"/>
  <c r="P69" i="9" s="1"/>
  <c r="Y69" i="9" s="1"/>
  <c r="AC77" i="8"/>
  <c r="AC83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Z84" i="8" l="1"/>
  <c r="AF84" i="8" s="1"/>
  <c r="AF83" i="8"/>
  <c r="E84" i="8"/>
  <c r="E86" i="8" s="1"/>
  <c r="S29" i="8"/>
  <c r="S94" i="8" s="1"/>
  <c r="G29" i="8"/>
  <c r="G94" i="8" s="1"/>
  <c r="P21" i="8"/>
  <c r="D29" i="8"/>
  <c r="D94" i="8" s="1"/>
  <c r="E29" i="8"/>
  <c r="E94" i="8" s="1"/>
  <c r="F21" i="8"/>
  <c r="D84" i="8"/>
  <c r="D86" i="8" s="1"/>
  <c r="O88" i="9"/>
  <c r="O97" i="9" s="1"/>
  <c r="Q84" i="8"/>
  <c r="Q86" i="8" s="1"/>
  <c r="AF51" i="8"/>
  <c r="S84" i="8"/>
  <c r="S86" i="8" s="1"/>
  <c r="F84" i="8"/>
  <c r="F86" i="8" s="1"/>
  <c r="G84" i="8"/>
  <c r="G86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C60" i="8"/>
  <c r="AC25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E36" i="8" l="1"/>
  <c r="E33" i="8"/>
  <c r="D33" i="8"/>
  <c r="D36" i="8"/>
  <c r="G33" i="8"/>
  <c r="G36" i="8"/>
  <c r="S33" i="8"/>
  <c r="S36" i="8"/>
  <c r="R92" i="9"/>
  <c r="M17" i="9"/>
  <c r="M25" i="9"/>
  <c r="S21" i="8"/>
  <c r="G21" i="8"/>
  <c r="D21" i="8"/>
  <c r="F29" i="8"/>
  <c r="F94" i="8" s="1"/>
  <c r="P29" i="8"/>
  <c r="P94" i="8" s="1"/>
  <c r="E21" i="8"/>
  <c r="Z60" i="8"/>
  <c r="AC29" i="8"/>
  <c r="AC94" i="8" s="1"/>
  <c r="E26" i="8"/>
  <c r="S26" i="8"/>
  <c r="AC21" i="8"/>
  <c r="G26" i="8"/>
  <c r="AC84" i="8"/>
  <c r="R84" i="8"/>
  <c r="R86" i="8" s="1"/>
  <c r="O17" i="9"/>
  <c r="K17" i="9"/>
  <c r="G30" i="8"/>
  <c r="D26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P33" i="8" l="1"/>
  <c r="P36" i="8"/>
  <c r="F33" i="8"/>
  <c r="F36" i="8"/>
  <c r="AC36" i="8"/>
  <c r="AC33" i="8"/>
  <c r="S103" i="8"/>
  <c r="S124" i="8" s="1"/>
  <c r="G103" i="8"/>
  <c r="G124" i="8" s="1"/>
  <c r="E103" i="8"/>
  <c r="D103" i="8"/>
  <c r="Z86" i="8"/>
  <c r="AF60" i="8"/>
  <c r="F26" i="8"/>
  <c r="F30" i="8"/>
  <c r="P26" i="8"/>
  <c r="E30" i="8"/>
  <c r="S30" i="8"/>
  <c r="D30" i="8"/>
  <c r="AC86" i="8"/>
  <c r="AC26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103" i="8" l="1"/>
  <c r="F124" i="8" s="1"/>
  <c r="P103" i="8"/>
  <c r="P124" i="8" s="1"/>
  <c r="Z124" i="8" s="1"/>
  <c r="P30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24" i="8"/>
  <c r="D124" i="8"/>
  <c r="Y103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Z103" i="8" l="1"/>
  <c r="W103" i="8"/>
  <c r="X103" i="8"/>
  <c r="AC30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D120" i="8" l="1"/>
  <c r="D125" i="8" s="1"/>
  <c r="D127" i="8" s="1"/>
  <c r="E118" i="8" l="1"/>
  <c r="E120" i="8" s="1"/>
  <c r="E125" i="8" s="1"/>
  <c r="E127" i="8" s="1"/>
  <c r="F118" i="8" l="1"/>
  <c r="F120" i="8" l="1"/>
  <c r="F125" i="8" l="1"/>
  <c r="F127" i="8" s="1"/>
  <c r="G118" i="8" l="1"/>
  <c r="G120" i="8" s="1"/>
  <c r="G125" i="8" s="1"/>
  <c r="J120" i="8"/>
  <c r="J125" i="8" s="1"/>
  <c r="G127" i="8" l="1"/>
  <c r="H118" i="8"/>
  <c r="H120" i="8" s="1"/>
  <c r="H125" i="8" s="1"/>
  <c r="H127" i="8" s="1"/>
  <c r="J127" i="8"/>
  <c r="K118" i="8"/>
  <c r="K120" i="8" s="1"/>
  <c r="K125" i="8" s="1"/>
  <c r="X118" i="8"/>
  <c r="K127" i="8" l="1"/>
  <c r="L118" i="8"/>
  <c r="L120" i="8" s="1"/>
  <c r="L125" i="8" s="1"/>
  <c r="L127" i="8" s="1"/>
  <c r="Y118" i="8"/>
  <c r="Z118" i="8" l="1"/>
  <c r="M118" i="8"/>
  <c r="M120" i="8" s="1"/>
  <c r="M125" i="8" s="1"/>
  <c r="M127" i="8" s="1"/>
  <c r="AA118" i="8" l="1"/>
  <c r="N118" i="8"/>
  <c r="N120" i="8" s="1"/>
  <c r="N125" i="8" s="1"/>
  <c r="N127" i="8" s="1"/>
  <c r="AB118" i="8" l="1"/>
  <c r="X120" i="8"/>
  <c r="X125" i="8" s="1"/>
  <c r="X127" i="8" s="1"/>
  <c r="O118" i="8"/>
  <c r="O120" i="8" s="1"/>
  <c r="O125" i="8" s="1"/>
  <c r="O127" i="8" s="1"/>
  <c r="AC118" i="8" l="1"/>
  <c r="Y120" i="8"/>
  <c r="Y125" i="8" s="1"/>
  <c r="Y127" i="8" s="1"/>
  <c r="P118" i="8"/>
  <c r="P120" i="8" s="1"/>
  <c r="P125" i="8" s="1"/>
  <c r="P127" i="8" s="1"/>
  <c r="AD118" i="8" l="1"/>
  <c r="Z120" i="8"/>
  <c r="Z125" i="8" s="1"/>
  <c r="Z127" i="8" s="1"/>
  <c r="Q118" i="8"/>
  <c r="Q120" i="8" s="1"/>
  <c r="R11" i="8" l="1"/>
  <c r="R20" i="8" s="1"/>
  <c r="R25" i="8" l="1"/>
  <c r="R15" i="10"/>
  <c r="R29" i="8" l="1"/>
  <c r="R94" i="8" s="1"/>
  <c r="R33" i="8" l="1"/>
  <c r="R36" i="8"/>
  <c r="R21" i="8"/>
  <c r="R26" i="8"/>
  <c r="R30" i="8" l="1"/>
  <c r="R103" i="8" l="1"/>
  <c r="R124" i="8" s="1"/>
  <c r="Q11" i="8"/>
  <c r="Q20" i="8" s="1"/>
  <c r="Q25" i="8" l="1"/>
  <c r="Q15" i="10"/>
  <c r="Q29" i="8" l="1"/>
  <c r="Q94" i="8" s="1"/>
  <c r="Q33" i="8" l="1"/>
  <c r="Q36" i="8"/>
  <c r="Q21" i="8"/>
  <c r="Q26" i="8"/>
  <c r="Q30" i="8" l="1"/>
  <c r="AD103" i="8" l="1"/>
  <c r="AF103" i="8" s="1"/>
  <c r="AF94" i="8"/>
  <c r="AA103" i="8"/>
  <c r="AB103" i="8"/>
  <c r="Q103" i="8"/>
  <c r="Q124" i="8" s="1"/>
  <c r="Q125" i="8" l="1"/>
  <c r="Q127" i="8" s="1"/>
  <c r="AD124" i="8"/>
  <c r="AC124" i="8"/>
  <c r="AB124" i="8"/>
  <c r="AA124" i="8"/>
  <c r="AA120" i="8"/>
  <c r="AC103" i="8"/>
  <c r="R118" i="8" l="1"/>
  <c r="R120" i="8" s="1"/>
  <c r="R125" i="8" s="1"/>
  <c r="R127" i="8" s="1"/>
  <c r="AA125" i="8"/>
  <c r="AA127" i="8" s="1"/>
  <c r="AB120" i="8"/>
  <c r="AB125" i="8" s="1"/>
  <c r="AB127" i="8" s="1"/>
  <c r="S118" i="8" l="1"/>
  <c r="S120" i="8" s="1"/>
  <c r="S125" i="8" s="1"/>
  <c r="S127" i="8" s="1"/>
  <c r="AC120" i="8"/>
  <c r="AC125" i="8" s="1"/>
  <c r="AC127" i="8" s="1"/>
  <c r="W120" i="8"/>
  <c r="W125" i="8" s="1"/>
  <c r="W127" i="8" s="1"/>
  <c r="T118" i="8" l="1"/>
  <c r="T120" i="8" s="1"/>
  <c r="T125" i="8" s="1"/>
  <c r="AD120" i="8"/>
  <c r="AD125" i="8" s="1"/>
  <c r="AD127" i="8" s="1"/>
  <c r="T127" i="8" l="1"/>
  <c r="U118" i="8"/>
  <c r="U120" i="8" s="1"/>
  <c r="U125" i="8" s="1"/>
  <c r="C88" i="9"/>
  <c r="C97" i="9" s="1"/>
  <c r="C92" i="9"/>
  <c r="C93" i="9"/>
  <c r="U127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<sst xmlns="http://schemas.openxmlformats.org/spreadsheetml/2006/main" count="248" uniqueCount="201">
  <si>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</si>
  <si>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</si>
  <si>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</si>
  <si>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</si>
  <si>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</si>
  <si>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</si>
  <si>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</si>
  <si>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</si>
  <si>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</si>
  <si>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</si>
  <si>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</si>
  <si>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</si>
  <si>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</si>
  <si>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</si>
  <si>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</si>
  <si>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</si>
  <si>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</si>
  <si>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</si>
  <si>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</si>
  <si>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</si>
  <si>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</si>
  <si>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</si>
  <si>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</si>
  <si>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</si>
  <si>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</si>
  <si>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</si>
  <si>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</si>
  <si>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</si>
  <si>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</si>
  <si>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</si>
  <si>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</si>
  <si>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</si>
  <si>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</si>
  <si>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</si>
  <si>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</si>
  <si>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</si>
  <si>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</si>
  <si>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</si>
  <si>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</si>
  <si>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</si>
  <si>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</si>
  <si>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</si>
  <si>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</si>
  <si>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</si>
  <si>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</si>
  <si>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</si>
  <si>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</si>
  <si>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</si>
  <si>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</si>
  <si>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</si>
  <si>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</si>
  <si>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</si>
  <si>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</si>
  <si>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</si>
  <si>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</si>
  <si>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</si>
  <si>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</si>
  <si>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</si>
  <si>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</si>
  <si>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</si>
  <si>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</si>
  <si>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</si>
  <si>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</si>
  <si>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</si>
  <si>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</si>
  <si>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</si>
  <si>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</si>
  <si>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</si>
  <si>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</si>
  <si>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</si>
  <si>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</si>
  <si>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</si>
  <si>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</si>
  <si>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</si>
  <si>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</si>
  <si>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</si>
  <si>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</si>
  <si>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</si>
  <si>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</si>
  <si>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</si>
  <si>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</si>
  <si>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</si>
  <si>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</si>
  <si>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</si>
  <si>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</si>
  <si>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</si>
  <si>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</si>
  <si>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</si>
  <si>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</si>
  <si>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</si>
  <si>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</si>
  <si>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</si>
  <si>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</si>
  <si>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</si>
  <si>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</si>
  <si>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</si>
  <si>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</si>
  <si>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</si>
  <si>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</si>
  <si>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</si>
  <si>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</si>
  <si>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</si>
  <si>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</si>
  <si>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</si>
  <si>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</si>
  <si>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</si>
  <si>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</si>
  <si>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</si>
  <si>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</si>
  <si>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</si>
  <si>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</si>
  <si>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</si>
  <si>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</si>
  <si>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</si>
  <si>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</si>
  <si>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</si>
  <si>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</si>
  <si>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</si>
  <si>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</si>
  <si>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</si>
  <si>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</si>
  <si>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</si>
  <si>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</si>
  <si>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</si>
  <si>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</si>
  <si>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</si>
  <si>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</si>
  <si>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</si>
  <si>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</si>
  <si>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</si>
  <si>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</si>
  <si>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</si>
  <si>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</si>
  <si>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</si>
  <si>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</si>
  <si>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</si>
  <si>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</si>
  <si>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</si>
  <si>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Intangible Assets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</si>
  <si>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</si>
  <si>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</si>
  <si>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</si>
  <si>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</si>
  <si>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</si>
  <si>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</si>
  <si>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</si>
  <si>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</si>
  <si>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</si>
  <si>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</si>
  <si>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</si>
  <si>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</si>
  <si>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</si>
  <si>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</si>
  <si>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 xml:space="preserve">Cash &amp; CEs </t>
  </si>
  <si>
    <t>A/R</t>
  </si>
  <si>
    <t>Prepaid Expenses</t>
  </si>
  <si>
    <t>PP&amp;E</t>
  </si>
  <si>
    <t>A/P</t>
  </si>
  <si>
    <t>LT Debt</t>
  </si>
  <si>
    <t>4Q25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</si>
  <si>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</si>
  <si>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</si>
  <si>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</si>
  <si>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</si>
  <si>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</si>
  <si>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</si>
  <si>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</si>
  <si>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</si>
  <si>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</si>
  <si>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Service Revenues</t>
  </si>
  <si>
    <t>Data Processing Revenues</t>
  </si>
  <si>
    <t>International Transaction Revenues</t>
  </si>
  <si>
    <t>Other Revenues</t>
  </si>
  <si>
    <t>Client Incentives</t>
  </si>
  <si>
    <t>U.S. Revenues</t>
  </si>
  <si>
    <t>International Revenues</t>
  </si>
  <si>
    <t>Personnel Expenses</t>
  </si>
  <si>
    <t>Marketing Expenses</t>
  </si>
  <si>
    <t>Network and Processing</t>
  </si>
  <si>
    <t>Professional Fees</t>
  </si>
  <si>
    <t>Depreciation and Amortization</t>
  </si>
  <si>
    <t>Litigation Provisions</t>
  </si>
  <si>
    <t xml:space="preserve">Investment income (expense) and other	</t>
  </si>
  <si>
    <t>Interest Expense</t>
  </si>
  <si>
    <t xml:space="preserve">General and administrative	</t>
  </si>
  <si>
    <t>Restricted Cash</t>
  </si>
  <si>
    <t>ST Investments</t>
  </si>
  <si>
    <t>Settlement Recieveable</t>
  </si>
  <si>
    <t>Customer Collateral</t>
  </si>
  <si>
    <t>Current Portion of Client Incentives</t>
  </si>
  <si>
    <t>LT Investments</t>
  </si>
  <si>
    <t>LT Client Incentives</t>
  </si>
  <si>
    <t>Other Assets</t>
  </si>
  <si>
    <t>Settlements Payable</t>
  </si>
  <si>
    <t>Accrued Compensation</t>
  </si>
  <si>
    <t>Accrued Liabilities</t>
  </si>
  <si>
    <t>Current Debt</t>
  </si>
  <si>
    <t>ST Litigation Liabilities</t>
  </si>
  <si>
    <t>Deferred Tax Liabilities</t>
  </si>
  <si>
    <t>Other Liabilities</t>
  </si>
  <si>
    <t>Visa Inc (NYSE: 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</si>
</sst>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18" xfId="1" applyFont="1" applyBorder="1"/>
    <xf numFmtId="0" fontId="23" fillId="9" borderId="19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20" xfId="1" applyFont="1" applyBorder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F148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4" width="9" style="5" customWidth="1" outlineLevel="1"/>
    <col min="5" max="8" width="9" style="5" bestFit="1" customWidth="1"/>
    <col min="9" max="9" width="1.5" style="5" customWidth="1"/>
    <col min="10" max="13" width="8.875" style="5" customWidth="1" outlineLevel="2"/>
    <col min="14" max="15" width="8.875" style="5" customWidth="1" outlineLevel="1"/>
    <col min="16" max="21" width="8.875" style="5" bestFit="1" customWidth="1"/>
    <col min="22" max="22" width="1.5" style="5" customWidth="1"/>
    <col min="23" max="25" width="8.75" style="5" customWidth="1" outlineLevel="1"/>
    <col min="26" max="26" width="9" style="5" bestFit="1" customWidth="1"/>
    <col min="27" max="29" width="9" style="5" customWidth="1" outlineLevel="1"/>
    <col min="30" max="30" width="9" style="5" bestFit="1" customWidth="1"/>
    <col min="31" max="31" width="1.25" style="5" customWidth="1"/>
    <col min="32" max="32" width="8" style="5" bestFit="1" customWidth="1"/>
    <col min="33" max="33" width="1.375" style="5" customWidth="1"/>
    <col min="34" max="16384" width="9" style="5"/>
  </cols>
  <sheetData>
    <row r="2" spans="1:32" ht="12.75" customHeight="1">
      <c r="B2" s="1" t="s">
        <v>200</v>
      </c>
      <c r="C2" s="101"/>
      <c r="D2" s="101"/>
      <c r="E2" s="101"/>
      <c r="F2" s="101"/>
      <c r="G2" s="101"/>
      <c r="H2" s="101"/>
      <c r="I2" s="3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3"/>
      <c r="W2" s="101"/>
      <c r="X2" s="101"/>
      <c r="Y2" s="101"/>
      <c r="Z2" s="101"/>
      <c r="AA2" s="101"/>
      <c r="AB2" s="101"/>
      <c r="AC2" s="101"/>
      <c r="AD2" s="101"/>
      <c r="AE2" s="3"/>
      <c r="AF2" s="1"/>
    </row>
    <row r="3" spans="1:32" ht="12.75" customHeight="1">
      <c r="B3" s="6" t="s">
        <v>74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/>
      <c r="Y3" s="4"/>
      <c r="Z3" s="4"/>
      <c r="AA3" s="4"/>
      <c r="AB3" s="4"/>
      <c r="AC3" s="4"/>
      <c r="AD3" s="4"/>
      <c r="AE3" s="3"/>
      <c r="AF3" s="1"/>
    </row>
    <row r="4" spans="1:32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1"/>
    </row>
    <row r="6" spans="1:32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2"/>
      <c r="I6" s="3"/>
      <c r="J6" s="2" t="s">
        <v>1</v>
      </c>
      <c r="K6" s="2"/>
      <c r="L6" s="2"/>
      <c r="M6" s="2"/>
      <c r="N6" s="2"/>
      <c r="O6" s="2"/>
      <c r="P6" s="2" t="s">
        <v>1</v>
      </c>
      <c r="Q6" s="2"/>
      <c r="R6" s="2"/>
      <c r="S6" s="2"/>
      <c r="T6" s="2"/>
      <c r="U6" s="2"/>
      <c r="V6" s="3"/>
      <c r="W6" s="2"/>
      <c r="X6" s="2"/>
      <c r="Y6" s="2" t="s">
        <v>10</v>
      </c>
      <c r="Z6" s="2" t="s">
        <v>10</v>
      </c>
      <c r="AA6" s="2"/>
      <c r="AB6" s="2"/>
      <c r="AC6" s="2"/>
      <c r="AD6" s="2"/>
      <c r="AE6" s="38"/>
      <c r="AF6" s="152" t="s">
        <v>22</v>
      </c>
    </row>
    <row r="7" spans="1:32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7">
        <v>2025</v>
      </c>
      <c r="I7" s="3"/>
      <c r="J7" s="4" t="s">
        <v>6</v>
      </c>
      <c r="K7" s="4" t="s">
        <v>7</v>
      </c>
      <c r="L7" s="4" t="s">
        <v>8</v>
      </c>
      <c r="M7" s="4" t="s">
        <v>9</v>
      </c>
      <c r="N7" s="4" t="s">
        <v>2</v>
      </c>
      <c r="O7" s="4" t="s">
        <v>3</v>
      </c>
      <c r="P7" s="4" t="s">
        <v>4</v>
      </c>
      <c r="Q7" s="4" t="s">
        <v>5</v>
      </c>
      <c r="R7" s="4" t="s">
        <v>24</v>
      </c>
      <c r="S7" s="4" t="s">
        <v>25</v>
      </c>
      <c r="T7" s="4" t="s">
        <v>61</v>
      </c>
      <c r="U7" s="4" t="s">
        <v>159</v>
      </c>
      <c r="V7" s="3"/>
      <c r="W7" s="4" t="str">
        <f>M7</f>
        <v>4Q23</v>
      </c>
      <c r="X7" s="4" t="str">
        <f>N7</f>
        <v>1Q24</v>
      </c>
      <c r="Y7" s="4" t="str">
        <f>O7</f>
        <v>2Q24</v>
      </c>
      <c r="Z7" s="4" t="str">
        <f>P7</f>
        <v>3Q24</v>
      </c>
      <c r="AA7" s="4" t="str">
        <f>Q7</f>
        <v>4Q24</v>
      </c>
      <c r="AB7" s="4" t="str">
        <f>R7</f>
        <v>1Q25</v>
      </c>
      <c r="AC7" s="4" t="str">
        <f>S7</f>
        <v>2Q25</v>
      </c>
      <c r="AD7" s="4" t="str">
        <f>T7</f>
        <v>3Q25</v>
      </c>
      <c r="AE7" s="38"/>
      <c r="AF7" s="152"/>
    </row>
    <row r="8" spans="1:32" ht="12.75" customHeight="1">
      <c r="B8" s="6" t="s">
        <v>76</v>
      </c>
      <c r="C8" s="3"/>
      <c r="D8" s="3"/>
      <c r="E8" s="3"/>
      <c r="F8" s="85"/>
      <c r="G8" s="85"/>
      <c r="H8" s="85"/>
      <c r="I8" s="3"/>
      <c r="J8" s="3"/>
      <c r="K8" s="3"/>
      <c r="L8" s="3"/>
      <c r="M8" s="3">
        <f>F8</f>
        <v>0</v>
      </c>
      <c r="N8" s="3"/>
      <c r="O8" s="3"/>
      <c r="P8" s="3"/>
      <c r="Q8" s="3">
        <f>G8</f>
        <v>0</v>
      </c>
      <c r="R8" s="3"/>
      <c r="S8" s="3"/>
      <c r="T8" s="3"/>
      <c r="U8" s="3"/>
      <c r="V8" s="3"/>
      <c r="W8" s="3">
        <f>M8</f>
        <v>0</v>
      </c>
      <c r="X8" s="3">
        <f>N8</f>
        <v>0</v>
      </c>
      <c r="Y8" s="3">
        <f>O8</f>
        <v>0</v>
      </c>
      <c r="Z8" s="3">
        <f>P8</f>
        <v>0</v>
      </c>
      <c r="AA8" s="3">
        <f>Q8</f>
        <v>0</v>
      </c>
      <c r="AB8" s="3">
        <f>R8</f>
        <v>0</v>
      </c>
      <c r="AC8" s="3">
        <f>S8</f>
        <v>0</v>
      </c>
      <c r="AD8" s="3">
        <f>T8</f>
        <v>0</v>
      </c>
      <c r="AE8" s="38"/>
      <c r="AF8" s="152"/>
    </row>
    <row r="9" spans="1:32" ht="5.0999999999999996" customHeight="1">
      <c r="AF9" s="100"/>
    </row>
    <row r="10" spans="1:32" ht="12.75" customHeight="1">
      <c r="B10" s="9" t="s">
        <v>56</v>
      </c>
      <c r="C10" s="95">
        <v>21846</v>
      </c>
      <c r="D10" s="95">
        <v>24105</v>
      </c>
      <c r="E10" s="95">
        <v>29310</v>
      </c>
      <c r="F10" s="95">
        <v>32653</v>
      </c>
      <c r="G10" s="95">
        <v>35926</v>
      </c>
      <c r="H10" s="95">
        <v>40000</v>
      </c>
      <c r="I10" s="11"/>
      <c r="J10" s="95">
        <v>7936</v>
      </c>
      <c r="K10" s="95">
        <v>7985</v>
      </c>
      <c r="L10" s="95">
        <v>8123</v>
      </c>
      <c r="M10" s="32">
        <f t="shared" ref="M10" si="0">SUM(F10-SUM(J10:L10))</f>
        <v>8609</v>
      </c>
      <c r="N10" s="95">
        <v>8634</v>
      </c>
      <c r="O10" s="95">
        <v>8775</v>
      </c>
      <c r="P10" s="95">
        <v>8900</v>
      </c>
      <c r="Q10" s="32">
        <f t="shared" ref="Q10" si="1">SUM(G10-SUM(N10:P10))</f>
        <v>9617</v>
      </c>
      <c r="R10" s="82">
        <v>9510</v>
      </c>
      <c r="S10" s="82">
        <v>9594</v>
      </c>
      <c r="T10" s="82">
        <v>10172</v>
      </c>
      <c r="U10" s="32">
        <f t="shared" ref="U10" si="2">SUM(H10-SUM(R10:T10))</f>
        <v>10724</v>
      </c>
      <c r="W10" s="32">
        <f>SUM(J10:M10)</f>
        <v>32653</v>
      </c>
      <c r="X10" s="32">
        <f>SUM(K10:N10)</f>
        <v>33351</v>
      </c>
      <c r="Y10" s="32">
        <f>SUM(L10:O10)</f>
        <v>34141</v>
      </c>
      <c r="Z10" s="32">
        <f>SUM(M10:P10)</f>
        <v>34918</v>
      </c>
      <c r="AA10" s="32">
        <f>SUM(N10:Q10)</f>
        <v>35926</v>
      </c>
      <c r="AB10" s="32">
        <f>SUM(O10:R10)</f>
        <v>36802</v>
      </c>
      <c r="AC10" s="32">
        <f>SUM(P10:S10)</f>
        <v>37621</v>
      </c>
      <c r="AD10" s="32">
        <f>SUM(Q10:T10)</f>
        <v>38893</v>
      </c>
      <c r="AE10" s="40"/>
      <c r="AF10" s="12">
        <f>SUM(AD10/Z10)-1</f>
        <v>0.11383813505928164</v>
      </c>
    </row>
    <row r="11" spans="1:32" ht="12.75" customHeight="1">
      <c r="B11" s="13" t="s">
        <v>12</v>
      </c>
      <c r="C11" s="14">
        <f t="shared" ref="C11" si="3">+SUM(C10:C10)</f>
        <v>21846</v>
      </c>
      <c r="D11" s="14">
        <f t="shared" ref="D11:G11" si="4">+SUM(D10:D10)</f>
        <v>24105</v>
      </c>
      <c r="E11" s="14">
        <f t="shared" si="4"/>
        <v>29310</v>
      </c>
      <c r="F11" s="14">
        <f t="shared" si="4"/>
        <v>32653</v>
      </c>
      <c r="G11" s="14">
        <f t="shared" si="4"/>
        <v>35926</v>
      </c>
      <c r="H11" s="14">
        <f t="shared" ref="H11" si="5">+SUM(H10:H10)</f>
        <v>40000</v>
      </c>
      <c r="I11" s="11"/>
      <c r="J11" s="14">
        <f t="shared" ref="J11:S11" si="6">+SUM(J10:J10)</f>
        <v>7936</v>
      </c>
      <c r="K11" s="14">
        <f t="shared" si="6"/>
        <v>7985</v>
      </c>
      <c r="L11" s="14">
        <f t="shared" si="6"/>
        <v>8123</v>
      </c>
      <c r="M11" s="14">
        <f t="shared" si="6"/>
        <v>8609</v>
      </c>
      <c r="N11" s="14">
        <f t="shared" si="6"/>
        <v>8634</v>
      </c>
      <c r="O11" s="14">
        <f t="shared" si="6"/>
        <v>8775</v>
      </c>
      <c r="P11" s="14">
        <f t="shared" si="6"/>
        <v>8900</v>
      </c>
      <c r="Q11" s="14">
        <f t="shared" si="6"/>
        <v>9617</v>
      </c>
      <c r="R11" s="14">
        <f t="shared" si="6"/>
        <v>9510</v>
      </c>
      <c r="S11" s="14">
        <f t="shared" si="6"/>
        <v>9594</v>
      </c>
      <c r="T11" s="14">
        <f>+SUM(T10:T10)</f>
        <v>10172</v>
      </c>
      <c r="U11" s="14">
        <f>+SUM(U10:U10)</f>
        <v>10724</v>
      </c>
      <c r="W11" s="14">
        <f t="shared" ref="W11:AC11" si="7">+SUM(W10:W10)</f>
        <v>32653</v>
      </c>
      <c r="X11" s="14">
        <f t="shared" si="7"/>
        <v>33351</v>
      </c>
      <c r="Y11" s="14">
        <f t="shared" si="7"/>
        <v>34141</v>
      </c>
      <c r="Z11" s="14">
        <f t="shared" si="7"/>
        <v>34918</v>
      </c>
      <c r="AA11" s="14">
        <f t="shared" si="7"/>
        <v>35926</v>
      </c>
      <c r="AB11" s="14">
        <f t="shared" si="7"/>
        <v>36802</v>
      </c>
      <c r="AC11" s="14">
        <f t="shared" si="7"/>
        <v>37621</v>
      </c>
      <c r="AD11" s="14">
        <f>+SUM(AD10:AD10)</f>
        <v>38893</v>
      </c>
      <c r="AE11" s="40"/>
      <c r="AF11" s="15">
        <f>SUM(AD11/Z11)-1</f>
        <v>0.11383813505928164</v>
      </c>
    </row>
    <row r="12" spans="1:32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1"/>
      <c r="O12" s="21"/>
      <c r="P12" s="21"/>
      <c r="Q12" s="21"/>
      <c r="R12" s="22"/>
      <c r="S12" s="21"/>
      <c r="T12" s="21"/>
      <c r="U12" s="21"/>
      <c r="AF12" s="75"/>
    </row>
    <row r="13" spans="1:32" ht="12.75" customHeight="1">
      <c r="B13" s="9" t="s">
        <v>176</v>
      </c>
      <c r="C13" s="82">
        <v>-3785</v>
      </c>
      <c r="D13" s="82">
        <v>-4240</v>
      </c>
      <c r="E13" s="82">
        <v>-4990</v>
      </c>
      <c r="F13" s="82">
        <v>-5831</v>
      </c>
      <c r="G13" s="82">
        <v>-6264</v>
      </c>
      <c r="H13" s="82">
        <v>-6961</v>
      </c>
      <c r="I13" s="32"/>
      <c r="J13" s="82">
        <v>-1337</v>
      </c>
      <c r="K13" s="82">
        <v>-1515</v>
      </c>
      <c r="L13" s="82">
        <v>-1481</v>
      </c>
      <c r="M13" s="32">
        <f t="shared" ref="M13:M19" si="8">SUM(F13-SUM(J13:L13))</f>
        <v>-1498</v>
      </c>
      <c r="N13" s="82">
        <v>-1479</v>
      </c>
      <c r="O13" s="82">
        <v>-1603</v>
      </c>
      <c r="P13" s="82">
        <v>-1573</v>
      </c>
      <c r="Q13" s="32">
        <f t="shared" ref="Q13:Q19" si="9">SUM(G13-SUM(N13:P13))</f>
        <v>-1609</v>
      </c>
      <c r="R13" s="82">
        <v>-1813</v>
      </c>
      <c r="S13" s="82">
        <v>-1657</v>
      </c>
      <c r="T13" s="82">
        <v>-1749</v>
      </c>
      <c r="U13" s="32">
        <f t="shared" ref="U13:U19" si="10">SUM(H13-SUM(R13:T13))</f>
        <v>-1742</v>
      </c>
      <c r="W13" s="32">
        <f>SUM(J13:M13)</f>
        <v>-5831</v>
      </c>
      <c r="X13" s="32">
        <f>SUM(K13:N13)</f>
        <v>-5973</v>
      </c>
      <c r="Y13" s="32">
        <f>SUM(L13:O13)</f>
        <v>-6061</v>
      </c>
      <c r="Z13" s="32">
        <f>SUM(M13:P13)</f>
        <v>-6153</v>
      </c>
      <c r="AA13" s="32">
        <f>SUM(N13:Q13)</f>
        <v>-6264</v>
      </c>
      <c r="AB13" s="32">
        <f>SUM(O13:R13)</f>
        <v>-6598</v>
      </c>
      <c r="AC13" s="32">
        <f>SUM(P13:S13)</f>
        <v>-6652</v>
      </c>
      <c r="AD13" s="32">
        <f>SUM(Q13:T13)</f>
        <v>-6828</v>
      </c>
      <c r="AE13" s="11"/>
      <c r="AF13" s="75">
        <f>SUM(AD13/Z13)-1</f>
        <v>0.10970258410531453</v>
      </c>
    </row>
    <row r="14" spans="1:32" ht="12.75" customHeight="1">
      <c r="B14" s="9" t="s">
        <v>177</v>
      </c>
      <c r="C14" s="82">
        <v>-971</v>
      </c>
      <c r="D14" s="82">
        <v>-1136</v>
      </c>
      <c r="E14" s="82">
        <v>-1336</v>
      </c>
      <c r="F14" s="82">
        <v>-1341</v>
      </c>
      <c r="G14" s="82">
        <v>-1560</v>
      </c>
      <c r="H14" s="82">
        <v>-1684</v>
      </c>
      <c r="I14" s="32"/>
      <c r="J14" s="82">
        <v>-332</v>
      </c>
      <c r="K14" s="82">
        <v>-309</v>
      </c>
      <c r="L14" s="82">
        <v>-297</v>
      </c>
      <c r="M14" s="32">
        <f t="shared" si="8"/>
        <v>-403</v>
      </c>
      <c r="N14" s="82">
        <v>-293</v>
      </c>
      <c r="O14" s="82">
        <v>-338</v>
      </c>
      <c r="P14" s="82">
        <v>-378</v>
      </c>
      <c r="Q14" s="32">
        <f t="shared" si="9"/>
        <v>-551</v>
      </c>
      <c r="R14" s="82">
        <v>-306</v>
      </c>
      <c r="S14" s="82">
        <v>-381</v>
      </c>
      <c r="T14" s="82">
        <v>-421</v>
      </c>
      <c r="U14" s="32">
        <f t="shared" si="10"/>
        <v>-576</v>
      </c>
      <c r="W14" s="32">
        <f>SUM(J14:M14)</f>
        <v>-1341</v>
      </c>
      <c r="X14" s="32">
        <f>SUM(K14:N14)</f>
        <v>-1302</v>
      </c>
      <c r="Y14" s="32">
        <f>SUM(L14:O14)</f>
        <v>-1331</v>
      </c>
      <c r="Z14" s="32">
        <f>SUM(M14:P14)</f>
        <v>-1412</v>
      </c>
      <c r="AA14" s="32">
        <f>SUM(N14:Q14)</f>
        <v>-1560</v>
      </c>
      <c r="AB14" s="32">
        <f>SUM(O14:R14)</f>
        <v>-1573</v>
      </c>
      <c r="AC14" s="32">
        <f>SUM(P14:S14)</f>
        <v>-1616</v>
      </c>
      <c r="AD14" s="32">
        <f>SUM(Q14:T14)</f>
        <v>-1659</v>
      </c>
      <c r="AE14" s="11"/>
      <c r="AF14" s="75">
        <f t="shared" ref="AF14:AF19" si="11">SUM(AD14/Z14)-1</f>
        <v>0.17492917847025491</v>
      </c>
    </row>
    <row r="15" spans="1:32" ht="12.75" customHeight="1">
      <c r="B15" s="9" t="s">
        <v>178</v>
      </c>
      <c r="C15" s="82">
        <v>-727</v>
      </c>
      <c r="D15" s="82">
        <v>-730</v>
      </c>
      <c r="E15" s="82">
        <v>-743</v>
      </c>
      <c r="F15" s="82">
        <v>-736</v>
      </c>
      <c r="G15" s="82">
        <v>-778</v>
      </c>
      <c r="H15" s="82">
        <v>-894</v>
      </c>
      <c r="I15" s="32"/>
      <c r="J15" s="82">
        <v>-178</v>
      </c>
      <c r="K15" s="82">
        <v>-179</v>
      </c>
      <c r="L15" s="82">
        <v>-182</v>
      </c>
      <c r="M15" s="32">
        <f t="shared" si="8"/>
        <v>-197</v>
      </c>
      <c r="N15" s="82">
        <v>-181</v>
      </c>
      <c r="O15" s="82">
        <v>-189</v>
      </c>
      <c r="P15" s="82">
        <v>-200</v>
      </c>
      <c r="Q15" s="32">
        <f t="shared" si="9"/>
        <v>-208</v>
      </c>
      <c r="R15" s="82">
        <v>-207</v>
      </c>
      <c r="S15" s="82">
        <v>-224</v>
      </c>
      <c r="T15" s="82">
        <v>-224</v>
      </c>
      <c r="U15" s="32">
        <f t="shared" si="10"/>
        <v>-239</v>
      </c>
      <c r="W15" s="32">
        <f>SUM(J15:M15)</f>
        <v>-736</v>
      </c>
      <c r="X15" s="32">
        <f>SUM(K15:N15)</f>
        <v>-739</v>
      </c>
      <c r="Y15" s="32">
        <f>SUM(L15:O15)</f>
        <v>-749</v>
      </c>
      <c r="Z15" s="32">
        <f>SUM(M15:P15)</f>
        <v>-767</v>
      </c>
      <c r="AA15" s="32">
        <f>SUM(N15:Q15)</f>
        <v>-778</v>
      </c>
      <c r="AB15" s="32">
        <f>SUM(O15:R15)</f>
        <v>-804</v>
      </c>
      <c r="AC15" s="32">
        <f>SUM(P15:S15)</f>
        <v>-839</v>
      </c>
      <c r="AD15" s="32">
        <f>SUM(Q15:T15)</f>
        <v>-863</v>
      </c>
      <c r="AE15" s="11"/>
      <c r="AF15" s="75">
        <f t="shared" si="11"/>
        <v>0.12516297262059983</v>
      </c>
    </row>
    <row r="16" spans="1:32" ht="12.75" customHeight="1">
      <c r="B16" s="9" t="s">
        <v>179</v>
      </c>
      <c r="C16" s="82">
        <v>-408</v>
      </c>
      <c r="D16" s="82">
        <v>-403</v>
      </c>
      <c r="E16" s="82">
        <v>-505</v>
      </c>
      <c r="F16" s="82">
        <v>-545</v>
      </c>
      <c r="G16" s="82">
        <v>-635</v>
      </c>
      <c r="H16" s="82">
        <v>-759</v>
      </c>
      <c r="I16" s="32"/>
      <c r="J16" s="82">
        <v>-109</v>
      </c>
      <c r="K16" s="82">
        <v>-130</v>
      </c>
      <c r="L16" s="82">
        <v>-133</v>
      </c>
      <c r="M16" s="32">
        <f t="shared" si="8"/>
        <v>-173</v>
      </c>
      <c r="N16" s="82">
        <v>-131</v>
      </c>
      <c r="O16" s="82">
        <v>-160</v>
      </c>
      <c r="P16" s="82">
        <v>-152</v>
      </c>
      <c r="Q16" s="32">
        <f t="shared" si="9"/>
        <v>-192</v>
      </c>
      <c r="R16" s="82">
        <v>-143</v>
      </c>
      <c r="S16" s="82">
        <v>-173</v>
      </c>
      <c r="T16" s="82">
        <v>-187</v>
      </c>
      <c r="U16" s="32">
        <f t="shared" si="10"/>
        <v>-256</v>
      </c>
      <c r="W16" s="32">
        <f>SUM(J16:M16)</f>
        <v>-545</v>
      </c>
      <c r="X16" s="32">
        <f>SUM(K16:N16)</f>
        <v>-567</v>
      </c>
      <c r="Y16" s="32">
        <f>SUM(L16:O16)</f>
        <v>-597</v>
      </c>
      <c r="Z16" s="32">
        <f>SUM(M16:P16)</f>
        <v>-616</v>
      </c>
      <c r="AA16" s="32">
        <f>SUM(N16:Q16)</f>
        <v>-635</v>
      </c>
      <c r="AB16" s="32">
        <f>SUM(O16:R16)</f>
        <v>-647</v>
      </c>
      <c r="AC16" s="32">
        <f>SUM(P16:S16)</f>
        <v>-660</v>
      </c>
      <c r="AD16" s="32">
        <f>SUM(Q16:T16)</f>
        <v>-695</v>
      </c>
      <c r="AE16" s="11"/>
      <c r="AF16" s="75">
        <f t="shared" si="11"/>
        <v>0.12824675324675328</v>
      </c>
    </row>
    <row r="17" spans="2:32" ht="12.75" customHeight="1">
      <c r="B17" s="9" t="s">
        <v>180</v>
      </c>
      <c r="C17" s="82">
        <v>-767</v>
      </c>
      <c r="D17" s="82">
        <v>-804</v>
      </c>
      <c r="E17" s="82">
        <v>-861</v>
      </c>
      <c r="F17" s="82">
        <v>-943</v>
      </c>
      <c r="G17" s="82">
        <v>-1034</v>
      </c>
      <c r="H17" s="82">
        <v>-1220</v>
      </c>
      <c r="I17" s="32"/>
      <c r="J17" s="82">
        <v>-227</v>
      </c>
      <c r="K17" s="82">
        <v>-234</v>
      </c>
      <c r="L17" s="82">
        <v>-235</v>
      </c>
      <c r="M17" s="32">
        <f t="shared" si="8"/>
        <v>-247</v>
      </c>
      <c r="N17" s="82">
        <v>-247</v>
      </c>
      <c r="O17" s="82">
        <v>-249</v>
      </c>
      <c r="P17" s="82">
        <v>-264</v>
      </c>
      <c r="Q17" s="32">
        <f t="shared" si="9"/>
        <v>-274</v>
      </c>
      <c r="R17" s="82">
        <v>-282</v>
      </c>
      <c r="S17" s="82">
        <v>-305</v>
      </c>
      <c r="T17" s="82">
        <v>-317</v>
      </c>
      <c r="U17" s="32">
        <f t="shared" si="10"/>
        <v>-316</v>
      </c>
      <c r="W17" s="32">
        <f>SUM(J17:M17)</f>
        <v>-943</v>
      </c>
      <c r="X17" s="32">
        <f>SUM(K17:N17)</f>
        <v>-963</v>
      </c>
      <c r="Y17" s="32">
        <f>SUM(L17:O17)</f>
        <v>-978</v>
      </c>
      <c r="Z17" s="32">
        <f>SUM(M17:P17)</f>
        <v>-1007</v>
      </c>
      <c r="AA17" s="32">
        <f>SUM(N17:Q17)</f>
        <v>-1034</v>
      </c>
      <c r="AB17" s="32">
        <f>SUM(O17:R17)</f>
        <v>-1069</v>
      </c>
      <c r="AC17" s="32">
        <f>SUM(P17:S17)</f>
        <v>-1125</v>
      </c>
      <c r="AD17" s="32">
        <f>SUM(Q17:T17)</f>
        <v>-1178</v>
      </c>
      <c r="AE17" s="11"/>
      <c r="AF17" s="75">
        <f t="shared" si="11"/>
        <v>0.16981132075471694</v>
      </c>
    </row>
    <row r="18" spans="2:32" ht="12.75" customHeight="1">
      <c r="B18" s="9" t="s">
        <v>184</v>
      </c>
      <c r="C18" s="82">
        <v>-1096</v>
      </c>
      <c r="D18" s="82">
        <v>-985</v>
      </c>
      <c r="E18" s="82">
        <v>-1194</v>
      </c>
      <c r="F18" s="82">
        <v>-1330</v>
      </c>
      <c r="G18" s="82">
        <v>-1598</v>
      </c>
      <c r="H18" s="82">
        <v>-1926</v>
      </c>
      <c r="I18" s="32"/>
      <c r="J18" s="82">
        <v>-322</v>
      </c>
      <c r="K18" s="82">
        <v>-282</v>
      </c>
      <c r="L18" s="82">
        <v>-314</v>
      </c>
      <c r="M18" s="32">
        <f t="shared" si="8"/>
        <v>-412</v>
      </c>
      <c r="N18" s="82">
        <v>-340</v>
      </c>
      <c r="O18" s="82">
        <v>-452</v>
      </c>
      <c r="P18" s="82">
        <v>-382</v>
      </c>
      <c r="Q18" s="32">
        <f t="shared" si="9"/>
        <v>-424</v>
      </c>
      <c r="R18" s="82">
        <v>-481</v>
      </c>
      <c r="S18" s="82">
        <v>-419</v>
      </c>
      <c r="T18" s="82">
        <v>-482</v>
      </c>
      <c r="U18" s="32">
        <f t="shared" si="10"/>
        <v>-544</v>
      </c>
      <c r="W18" s="32">
        <f>SUM(J18:M18)</f>
        <v>-1330</v>
      </c>
      <c r="X18" s="32">
        <f>SUM(K18:N18)</f>
        <v>-1348</v>
      </c>
      <c r="Y18" s="32">
        <f>SUM(L18:O18)</f>
        <v>-1518</v>
      </c>
      <c r="Z18" s="32">
        <f>SUM(M18:P18)</f>
        <v>-1586</v>
      </c>
      <c r="AA18" s="32">
        <f>SUM(N18:Q18)</f>
        <v>-1598</v>
      </c>
      <c r="AB18" s="32">
        <f>SUM(O18:R18)</f>
        <v>-1739</v>
      </c>
      <c r="AC18" s="32">
        <f>SUM(P18:S18)</f>
        <v>-1706</v>
      </c>
      <c r="AD18" s="32">
        <f>SUM(Q18:T18)</f>
        <v>-1806</v>
      </c>
      <c r="AE18" s="11"/>
      <c r="AF18" s="75">
        <f t="shared" si="11"/>
        <v>0.13871374527112224</v>
      </c>
    </row>
    <row r="19" spans="2:32" ht="12.75" customHeight="1">
      <c r="B19" s="9" t="s">
        <v>181</v>
      </c>
      <c r="C19" s="82">
        <v>-11</v>
      </c>
      <c r="D19" s="82">
        <v>-3</v>
      </c>
      <c r="E19" s="82">
        <v>-868</v>
      </c>
      <c r="F19" s="82">
        <v>-927</v>
      </c>
      <c r="G19" s="82">
        <v>-462</v>
      </c>
      <c r="H19" s="82">
        <v>-2562</v>
      </c>
      <c r="I19" s="32"/>
      <c r="J19" s="82">
        <v>-341</v>
      </c>
      <c r="K19" s="82">
        <v>0</v>
      </c>
      <c r="L19" s="82">
        <v>-457</v>
      </c>
      <c r="M19" s="32">
        <f t="shared" si="8"/>
        <v>-129</v>
      </c>
      <c r="N19" s="82">
        <v>-9</v>
      </c>
      <c r="O19" s="82">
        <v>-430</v>
      </c>
      <c r="P19" s="82">
        <v>-13</v>
      </c>
      <c r="Q19" s="32">
        <f t="shared" si="9"/>
        <v>-10</v>
      </c>
      <c r="R19" s="82">
        <v>-44</v>
      </c>
      <c r="S19" s="82">
        <v>-1000</v>
      </c>
      <c r="T19" s="82">
        <v>-615</v>
      </c>
      <c r="U19" s="32">
        <f t="shared" si="10"/>
        <v>-903</v>
      </c>
      <c r="W19" s="32">
        <f>SUM(J19:M19)</f>
        <v>-927</v>
      </c>
      <c r="X19" s="32">
        <f>SUM(K19:N19)</f>
        <v>-595</v>
      </c>
      <c r="Y19" s="32">
        <f>SUM(L19:O19)</f>
        <v>-1025</v>
      </c>
      <c r="Z19" s="32">
        <f>SUM(M19:P19)</f>
        <v>-581</v>
      </c>
      <c r="AA19" s="32">
        <f>SUM(N19:Q19)</f>
        <v>-462</v>
      </c>
      <c r="AB19" s="32">
        <f>SUM(O19:R19)</f>
        <v>-497</v>
      </c>
      <c r="AC19" s="32">
        <f>SUM(P19:S19)</f>
        <v>-1067</v>
      </c>
      <c r="AD19" s="32">
        <f>SUM(Q19:T19)</f>
        <v>-1669</v>
      </c>
      <c r="AE19" s="11"/>
      <c r="AF19" s="75">
        <f t="shared" si="11"/>
        <v>1.8726333907056798</v>
      </c>
    </row>
    <row r="20" spans="2:32" ht="12.75" customHeight="1">
      <c r="B20" s="25" t="s">
        <v>77</v>
      </c>
      <c r="C20" s="26">
        <f>+SUM(C11+SUM(C13:C19))</f>
        <v>14081</v>
      </c>
      <c r="D20" s="26">
        <f>+SUM(D11+SUM(D13:D19))</f>
        <v>15804</v>
      </c>
      <c r="E20" s="26">
        <f>+SUM(E11+SUM(E13:E19))</f>
        <v>18813</v>
      </c>
      <c r="F20" s="26">
        <f>+SUM(F11+SUM(F13:F19))</f>
        <v>21000</v>
      </c>
      <c r="G20" s="26">
        <f>+SUM(G11+SUM(G13:G19))</f>
        <v>23595</v>
      </c>
      <c r="H20" s="26">
        <f>+SUM(H11+SUM(H13:H19))</f>
        <v>23994</v>
      </c>
      <c r="I20" s="32"/>
      <c r="J20" s="26">
        <f>+SUM(J11+SUM(J13:J19))</f>
        <v>5090</v>
      </c>
      <c r="K20" s="26">
        <f>+SUM(K11+SUM(K13:K19))</f>
        <v>5336</v>
      </c>
      <c r="L20" s="26">
        <f>+SUM(L11+SUM(L13:L19))</f>
        <v>5024</v>
      </c>
      <c r="M20" s="26">
        <f>+SUM(M11+SUM(M13:M19))</f>
        <v>5550</v>
      </c>
      <c r="N20" s="26">
        <f>+SUM(N11+SUM(N13:N19))</f>
        <v>5954</v>
      </c>
      <c r="O20" s="26">
        <f>+SUM(O11+SUM(O13:O19))</f>
        <v>5354</v>
      </c>
      <c r="P20" s="26">
        <f>+SUM(P11+SUM(P13:P19))</f>
        <v>5938</v>
      </c>
      <c r="Q20" s="26">
        <f>+SUM(Q11+SUM(Q13:Q19))</f>
        <v>6349</v>
      </c>
      <c r="R20" s="26">
        <f>+SUM(R11+SUM(R13:R19))</f>
        <v>6234</v>
      </c>
      <c r="S20" s="26">
        <f>+SUM(S11+SUM(S13:S19))</f>
        <v>5435</v>
      </c>
      <c r="T20" s="26">
        <f>+SUM(T11+SUM(T13:T19))</f>
        <v>6177</v>
      </c>
      <c r="U20" s="26">
        <f>+SUM(U11+SUM(U13:U19))</f>
        <v>6148</v>
      </c>
      <c r="W20" s="26">
        <f>+SUM(W11+SUM(W13:W19))</f>
        <v>21000</v>
      </c>
      <c r="X20" s="26">
        <f>+SUM(X11+SUM(X13:X19))</f>
        <v>21864</v>
      </c>
      <c r="Y20" s="26">
        <f>+SUM(Y11+SUM(Y13:Y19))</f>
        <v>21882</v>
      </c>
      <c r="Z20" s="26">
        <f>+SUM(Z11+SUM(Z13:Z19))</f>
        <v>22796</v>
      </c>
      <c r="AA20" s="26">
        <f>+SUM(AA11+SUM(AA13:AA19))</f>
        <v>23595</v>
      </c>
      <c r="AB20" s="26">
        <f>+SUM(AB11+SUM(AB13:AB19))</f>
        <v>23875</v>
      </c>
      <c r="AC20" s="26">
        <f>+SUM(AC11+SUM(AC13:AC19))</f>
        <v>23956</v>
      </c>
      <c r="AD20" s="26">
        <f>+SUM(AD11+SUM(AD13:AD19))</f>
        <v>24195</v>
      </c>
      <c r="AE20" s="11"/>
      <c r="AF20" s="76">
        <f>SUM(AD20/Z20)-1</f>
        <v>6.1370415862431971E-2</v>
      </c>
    </row>
    <row r="21" spans="2:32" ht="12.75" customHeight="1">
      <c r="B21" s="16" t="s">
        <v>31</v>
      </c>
      <c r="C21" s="17">
        <f>C20/C11</f>
        <v>0.64455735603771858</v>
      </c>
      <c r="D21" s="17">
        <f>D20/D11</f>
        <v>0.65563161169881767</v>
      </c>
      <c r="E21" s="17">
        <f>E20/E11</f>
        <v>0.64186284544524053</v>
      </c>
      <c r="F21" s="17">
        <f>F20/F11</f>
        <v>0.64312620586163594</v>
      </c>
      <c r="G21" s="17">
        <f>G20/G11</f>
        <v>0.65676668707899566</v>
      </c>
      <c r="H21" s="17">
        <f>H20/H11</f>
        <v>0.59984999999999999</v>
      </c>
      <c r="I21" s="32"/>
      <c r="J21" s="17">
        <f>J20/J11</f>
        <v>0.64138104838709675</v>
      </c>
      <c r="K21" s="17">
        <f>K20/K11</f>
        <v>0.66825297432686281</v>
      </c>
      <c r="L21" s="17">
        <f>L20/L11</f>
        <v>0.6184907054044072</v>
      </c>
      <c r="M21" s="17">
        <f>M20/M11</f>
        <v>0.64467417818561967</v>
      </c>
      <c r="N21" s="17">
        <f>N20/N11</f>
        <v>0.68959925874449846</v>
      </c>
      <c r="O21" s="17">
        <f>O20/O11</f>
        <v>0.61014245014245017</v>
      </c>
      <c r="P21" s="17">
        <f>P20/P11</f>
        <v>0.66719101123595503</v>
      </c>
      <c r="Q21" s="17">
        <f>Q20/Q11</f>
        <v>0.660185088905064</v>
      </c>
      <c r="R21" s="17">
        <f>R20/R11</f>
        <v>0.65552050473186119</v>
      </c>
      <c r="S21" s="17">
        <f>S20/S11</f>
        <v>0.56649989576818849</v>
      </c>
      <c r="T21" s="17">
        <f>T20/T11</f>
        <v>0.60725521038143926</v>
      </c>
      <c r="U21" s="17">
        <f>U20/U11</f>
        <v>0.57329354718388659</v>
      </c>
      <c r="W21" s="17">
        <f>W20/W11</f>
        <v>0.64312620586163594</v>
      </c>
      <c r="X21" s="17">
        <f>X20/X11</f>
        <v>0.65557254655032837</v>
      </c>
      <c r="Y21" s="17">
        <f>Y20/Y11</f>
        <v>0.64093025980492668</v>
      </c>
      <c r="Z21" s="17">
        <f>Z20/Z11</f>
        <v>0.65284380548714127</v>
      </c>
      <c r="AA21" s="17">
        <f>AA20/AA11</f>
        <v>0.65676668707899566</v>
      </c>
      <c r="AB21" s="17">
        <f>AB20/AB11</f>
        <v>0.64874191620020649</v>
      </c>
      <c r="AC21" s="17">
        <f>AC20/AC11</f>
        <v>0.63677201562956864</v>
      </c>
      <c r="AD21" s="17">
        <f>AD20/AD11</f>
        <v>0.62209137891137223</v>
      </c>
      <c r="AE21" s="11"/>
      <c r="AF21" s="77">
        <f>SUM(AD21-Z21)*1000</f>
        <v>-30.752426575769043</v>
      </c>
    </row>
    <row r="22" spans="2:32" ht="5.0999999999999996" customHeight="1">
      <c r="B22" s="16"/>
      <c r="C22" s="17"/>
      <c r="D22" s="17"/>
      <c r="E22" s="17"/>
      <c r="F22" s="17"/>
      <c r="G22" s="17"/>
      <c r="H22" s="17"/>
      <c r="I22" s="32"/>
      <c r="J22" s="82"/>
      <c r="K22" s="82"/>
      <c r="L22" s="82"/>
      <c r="M22" s="82"/>
      <c r="N22" s="82"/>
      <c r="O22" s="82"/>
      <c r="P22" s="82"/>
      <c r="Q22" s="82"/>
      <c r="R22" s="32"/>
      <c r="S22" s="82"/>
      <c r="T22" s="82"/>
      <c r="U22" s="82"/>
      <c r="W22" s="32"/>
      <c r="X22" s="32"/>
      <c r="Y22" s="32"/>
      <c r="Z22" s="32"/>
      <c r="AA22" s="32"/>
      <c r="AB22" s="32"/>
      <c r="AC22" s="32"/>
      <c r="AD22" s="32"/>
      <c r="AE22" s="11"/>
      <c r="AF22" s="75"/>
    </row>
    <row r="23" spans="2:32" ht="12.75" customHeight="1">
      <c r="B23" s="9" t="s">
        <v>183</v>
      </c>
      <c r="C23" s="82">
        <v>-516</v>
      </c>
      <c r="D23" s="82">
        <v>-513</v>
      </c>
      <c r="E23" s="82">
        <v>-538</v>
      </c>
      <c r="F23" s="82">
        <v>-644</v>
      </c>
      <c r="G23" s="82">
        <v>-641</v>
      </c>
      <c r="H23" s="82">
        <v>-589</v>
      </c>
      <c r="I23" s="32"/>
      <c r="J23" s="95">
        <v>-137</v>
      </c>
      <c r="K23" s="95">
        <v>-142</v>
      </c>
      <c r="L23" s="95">
        <v>-182</v>
      </c>
      <c r="M23" s="32">
        <f t="shared" ref="M23:M24" si="12">SUM(F23-SUM(J23:L23))</f>
        <v>-183</v>
      </c>
      <c r="N23" s="95">
        <v>-187</v>
      </c>
      <c r="O23" s="95">
        <v>-82</v>
      </c>
      <c r="P23" s="95">
        <v>-196</v>
      </c>
      <c r="Q23" s="32">
        <f t="shared" ref="Q23:Q24" si="13">SUM(G23-SUM(N23:P23))</f>
        <v>-176</v>
      </c>
      <c r="R23" s="82">
        <v>-182</v>
      </c>
      <c r="S23" s="82">
        <v>-158</v>
      </c>
      <c r="T23" s="82">
        <v>-39</v>
      </c>
      <c r="U23" s="32">
        <f t="shared" ref="U23:U24" si="14">SUM(H23-SUM(R23:T23))</f>
        <v>-210</v>
      </c>
      <c r="W23" s="32">
        <f>SUM(J23:M23)</f>
        <v>-644</v>
      </c>
      <c r="X23" s="32">
        <f>SUM(K23:N23)</f>
        <v>-694</v>
      </c>
      <c r="Y23" s="32">
        <f>SUM(L23:O23)</f>
        <v>-634</v>
      </c>
      <c r="Z23" s="32">
        <f>SUM(M23:P23)</f>
        <v>-648</v>
      </c>
      <c r="AA23" s="32">
        <f>SUM(N23:Q23)</f>
        <v>-641</v>
      </c>
      <c r="AB23" s="32">
        <f>SUM(O23:R23)</f>
        <v>-636</v>
      </c>
      <c r="AC23" s="32">
        <f>SUM(P23:S23)</f>
        <v>-712</v>
      </c>
      <c r="AD23" s="32">
        <f>SUM(Q23:T23)</f>
        <v>-555</v>
      </c>
      <c r="AE23" s="11"/>
      <c r="AF23" s="75">
        <f>SUM(AD23/Z23)-1</f>
        <v>-0.14351851851851849</v>
      </c>
    </row>
    <row r="24" spans="2:32" ht="12.75" customHeight="1">
      <c r="B24" s="9" t="s">
        <v>182</v>
      </c>
      <c r="C24" s="82">
        <v>225</v>
      </c>
      <c r="D24" s="82">
        <v>772</v>
      </c>
      <c r="E24" s="82">
        <v>-139</v>
      </c>
      <c r="F24" s="82">
        <v>681</v>
      </c>
      <c r="G24" s="82">
        <v>962</v>
      </c>
      <c r="H24" s="82">
        <v>789</v>
      </c>
      <c r="I24" s="32"/>
      <c r="J24" s="95">
        <v>24</v>
      </c>
      <c r="K24" s="95">
        <v>84</v>
      </c>
      <c r="L24" s="95">
        <v>304</v>
      </c>
      <c r="M24" s="32">
        <f t="shared" si="12"/>
        <v>269</v>
      </c>
      <c r="N24" s="95">
        <v>275</v>
      </c>
      <c r="O24" s="95">
        <v>241</v>
      </c>
      <c r="P24" s="95">
        <v>247</v>
      </c>
      <c r="Q24" s="32">
        <f t="shared" si="13"/>
        <v>199</v>
      </c>
      <c r="R24" s="82">
        <v>148</v>
      </c>
      <c r="S24" s="82">
        <v>161</v>
      </c>
      <c r="T24" s="82">
        <v>195</v>
      </c>
      <c r="U24" s="32">
        <f t="shared" si="14"/>
        <v>285</v>
      </c>
      <c r="W24" s="32">
        <f>SUM(J24:M24)</f>
        <v>681</v>
      </c>
      <c r="X24" s="32">
        <f>SUM(K24:N24)</f>
        <v>932</v>
      </c>
      <c r="Y24" s="32">
        <f>SUM(L24:O24)</f>
        <v>1089</v>
      </c>
      <c r="Z24" s="32">
        <f>SUM(M24:P24)</f>
        <v>1032</v>
      </c>
      <c r="AA24" s="32">
        <f>SUM(N24:Q24)</f>
        <v>962</v>
      </c>
      <c r="AB24" s="32">
        <f>SUM(O24:R24)</f>
        <v>835</v>
      </c>
      <c r="AC24" s="32">
        <f>SUM(P24:S24)</f>
        <v>755</v>
      </c>
      <c r="AD24" s="32">
        <f>SUM(Q24:T24)</f>
        <v>703</v>
      </c>
      <c r="AE24" s="11"/>
      <c r="AF24" s="75"/>
    </row>
    <row r="25" spans="2:32" ht="12.75" customHeight="1">
      <c r="B25" s="25" t="s">
        <v>162</v>
      </c>
      <c r="C25" s="26">
        <f>SUM(C20+SUM(C23:C24))</f>
        <v>13790</v>
      </c>
      <c r="D25" s="26">
        <f>SUM(D20+SUM(D23:D24))</f>
        <v>16063</v>
      </c>
      <c r="E25" s="26">
        <f>SUM(E20+SUM(E23:E24))</f>
        <v>18136</v>
      </c>
      <c r="F25" s="26">
        <f>SUM(F20+SUM(F23:F24))</f>
        <v>21037</v>
      </c>
      <c r="G25" s="26">
        <f>SUM(G20+SUM(G23:G24))</f>
        <v>23916</v>
      </c>
      <c r="H25" s="26">
        <f>SUM(H20+SUM(H23:H24))</f>
        <v>24194</v>
      </c>
      <c r="J25" s="26">
        <f>SUM(J20+SUM(J23:J24))</f>
        <v>4977</v>
      </c>
      <c r="K25" s="26">
        <f>SUM(K20+SUM(K23:K24))</f>
        <v>5278</v>
      </c>
      <c r="L25" s="26">
        <f>SUM(L20+SUM(L23:L24))</f>
        <v>5146</v>
      </c>
      <c r="M25" s="26">
        <f>SUM(M20+SUM(M23:M24))</f>
        <v>5636</v>
      </c>
      <c r="N25" s="26">
        <f>SUM(N20+SUM(N23:N24))</f>
        <v>6042</v>
      </c>
      <c r="O25" s="26">
        <f>SUM(O20+SUM(O23:O24))</f>
        <v>5513</v>
      </c>
      <c r="P25" s="26">
        <f>SUM(P20+SUM(P23:P24))</f>
        <v>5989</v>
      </c>
      <c r="Q25" s="26">
        <f>SUM(Q20+SUM(Q23:Q24))</f>
        <v>6372</v>
      </c>
      <c r="R25" s="26">
        <f>SUM(R20+SUM(R23:R24))</f>
        <v>6200</v>
      </c>
      <c r="S25" s="26">
        <f>SUM(S20+SUM(S23:S24))</f>
        <v>5438</v>
      </c>
      <c r="T25" s="26">
        <f>SUM(T20+SUM(T23:T24))</f>
        <v>6333</v>
      </c>
      <c r="U25" s="26">
        <f>SUM(U20+SUM(U23:U24))</f>
        <v>6223</v>
      </c>
      <c r="W25" s="26">
        <f>SUM(W20+SUM(W23:W23))</f>
        <v>20356</v>
      </c>
      <c r="X25" s="26">
        <f>SUM(X20+SUM(X23:X23))</f>
        <v>21170</v>
      </c>
      <c r="Y25" s="26">
        <f>SUM(Y20+SUM(Y23:Y23))</f>
        <v>21248</v>
      </c>
      <c r="Z25" s="26">
        <f>SUM(Z20+SUM(Z23:Z24))</f>
        <v>23180</v>
      </c>
      <c r="AA25" s="26">
        <f>SUM(AA20+SUM(AA23:AA24))</f>
        <v>23916</v>
      </c>
      <c r="AB25" s="26">
        <f>SUM(AB20+SUM(AB23:AB24))</f>
        <v>24074</v>
      </c>
      <c r="AC25" s="26">
        <f>SUM(AC20+SUM(AC23:AC24))</f>
        <v>23999</v>
      </c>
      <c r="AD25" s="26">
        <f>SUM(AD20+SUM(AD23:AD24))</f>
        <v>24343</v>
      </c>
      <c r="AE25" s="42"/>
      <c r="AF25" s="76">
        <f>SUM(AD25/Z25)-1</f>
        <v>5.017256255392577E-2</v>
      </c>
    </row>
    <row r="26" spans="2:32" ht="12.75" customHeight="1">
      <c r="B26" s="16" t="s">
        <v>163</v>
      </c>
      <c r="C26" s="17">
        <f>C25/C11</f>
        <v>0.63123683969605415</v>
      </c>
      <c r="D26" s="17">
        <f>D25/D11</f>
        <v>0.66637627048330217</v>
      </c>
      <c r="E26" s="17">
        <f>E25/E11</f>
        <v>0.61876492664619587</v>
      </c>
      <c r="F26" s="17">
        <f>F25/F11</f>
        <v>0.64425933298624938</v>
      </c>
      <c r="G26" s="17">
        <f>G25/G11</f>
        <v>0.66570172020263874</v>
      </c>
      <c r="H26" s="17">
        <f>H25/H11</f>
        <v>0.60485</v>
      </c>
      <c r="I26" s="27"/>
      <c r="J26" s="17">
        <f>J25/J11</f>
        <v>0.62714213709677424</v>
      </c>
      <c r="K26" s="17">
        <f>K25/K11</f>
        <v>0.66098935504070133</v>
      </c>
      <c r="L26" s="17">
        <f>L25/L11</f>
        <v>0.63350978702449834</v>
      </c>
      <c r="M26" s="17">
        <f>M25/M11</f>
        <v>0.65466372400975725</v>
      </c>
      <c r="N26" s="17">
        <f>N25/N11</f>
        <v>0.69979152189020155</v>
      </c>
      <c r="O26" s="17">
        <f>O25/O11</f>
        <v>0.62826210826210827</v>
      </c>
      <c r="P26" s="17">
        <f>P25/P11</f>
        <v>0.6729213483146067</v>
      </c>
      <c r="Q26" s="17">
        <f>Q25/Q11</f>
        <v>0.66257668711656437</v>
      </c>
      <c r="R26" s="17">
        <f>R25/R11</f>
        <v>0.65194532071503686</v>
      </c>
      <c r="S26" s="17">
        <f>S25/S11</f>
        <v>0.56681259120283511</v>
      </c>
      <c r="T26" s="17">
        <f>T25/T11</f>
        <v>0.6225914274478962</v>
      </c>
      <c r="U26" s="17">
        <f>U25/U11</f>
        <v>0.58028720626631858</v>
      </c>
      <c r="V26" s="28"/>
      <c r="W26" s="17">
        <f>W25/W11</f>
        <v>0.62340366888187915</v>
      </c>
      <c r="X26" s="17">
        <f>X25/X11</f>
        <v>0.63476357530508831</v>
      </c>
      <c r="Y26" s="17">
        <f>Y25/Y11</f>
        <v>0.62236021206174397</v>
      </c>
      <c r="Z26" s="17">
        <f>Z25/Z11</f>
        <v>0.66384099891173609</v>
      </c>
      <c r="AA26" s="17">
        <f>AA25/AA11</f>
        <v>0.66570172020263874</v>
      </c>
      <c r="AB26" s="17">
        <f>AB25/AB11</f>
        <v>0.65414923102005329</v>
      </c>
      <c r="AC26" s="17">
        <f>AC25/AC11</f>
        <v>0.63791499428510667</v>
      </c>
      <c r="AD26" s="17">
        <f>AD25/AD11</f>
        <v>0.62589669092124545</v>
      </c>
      <c r="AE26" s="43"/>
      <c r="AF26" s="77">
        <f>SUM(AD26-Z26)*1000</f>
        <v>-37.944307990490643</v>
      </c>
    </row>
    <row r="27" spans="2:32" ht="5.0999999999999996" customHeight="1">
      <c r="B27" s="16"/>
      <c r="C27" s="17"/>
      <c r="D27" s="17"/>
      <c r="E27" s="17"/>
      <c r="F27" s="17"/>
      <c r="G27" s="17"/>
      <c r="H27" s="17"/>
      <c r="I27" s="2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28"/>
      <c r="W27" s="17"/>
      <c r="X27" s="17"/>
      <c r="Y27" s="17"/>
      <c r="Z27" s="17"/>
      <c r="AA27" s="17"/>
      <c r="AB27" s="17"/>
      <c r="AC27" s="17"/>
      <c r="AD27" s="17"/>
      <c r="AE27" s="43"/>
      <c r="AF27" s="77"/>
    </row>
    <row r="28" spans="2:32" ht="12.75" customHeight="1">
      <c r="B28" s="9" t="s">
        <v>104</v>
      </c>
      <c r="C28" s="82">
        <v>-2924</v>
      </c>
      <c r="D28" s="82">
        <v>-3752</v>
      </c>
      <c r="E28" s="82">
        <v>-3179</v>
      </c>
      <c r="F28" s="82">
        <v>-3764</v>
      </c>
      <c r="G28" s="82">
        <v>-4173</v>
      </c>
      <c r="H28" s="82">
        <v>-4136</v>
      </c>
      <c r="I28" s="32"/>
      <c r="J28" s="82">
        <v>-798</v>
      </c>
      <c r="K28" s="82">
        <v>-1021</v>
      </c>
      <c r="L28" s="82">
        <v>-990</v>
      </c>
      <c r="M28" s="32">
        <f t="shared" ref="M28" si="15">SUM(F28-SUM(J28:L28))</f>
        <v>-955</v>
      </c>
      <c r="N28" s="82">
        <v>-1152</v>
      </c>
      <c r="O28" s="82">
        <v>-850</v>
      </c>
      <c r="P28" s="82">
        <v>-1117</v>
      </c>
      <c r="Q28" s="32">
        <f t="shared" ref="Q28" si="16">SUM(G28-SUM(N28:P28))</f>
        <v>-1054</v>
      </c>
      <c r="R28" s="82">
        <v>-1081</v>
      </c>
      <c r="S28" s="82">
        <v>-861</v>
      </c>
      <c r="T28" s="82">
        <v>-1061</v>
      </c>
      <c r="U28" s="32">
        <f t="shared" ref="U28" si="17">SUM(H28-SUM(R28:T28))</f>
        <v>-1133</v>
      </c>
      <c r="W28" s="32">
        <f>SUM(J28:M28)</f>
        <v>-3764</v>
      </c>
      <c r="X28" s="32">
        <f>SUM(K28:N28)</f>
        <v>-4118</v>
      </c>
      <c r="Y28" s="32">
        <f>SUM(L28:O28)</f>
        <v>-3947</v>
      </c>
      <c r="Z28" s="32">
        <f>SUM(M28:P28)</f>
        <v>-4074</v>
      </c>
      <c r="AA28" s="32">
        <f>SUM(N28:Q28)</f>
        <v>-4173</v>
      </c>
      <c r="AB28" s="32">
        <f>SUM(O28:R28)</f>
        <v>-4102</v>
      </c>
      <c r="AC28" s="32">
        <f>SUM(P28:S28)</f>
        <v>-4113</v>
      </c>
      <c r="AD28" s="32">
        <f>SUM(Q28:T28)</f>
        <v>-4057</v>
      </c>
      <c r="AE28" s="11"/>
      <c r="AF28" s="75">
        <f>SUM(AD28/Z28)-1</f>
        <v>-4.172803141875292E-3</v>
      </c>
    </row>
    <row r="29" spans="2:32" ht="12.75" customHeight="1">
      <c r="B29" s="13" t="s">
        <v>105</v>
      </c>
      <c r="C29" s="14">
        <f t="shared" ref="C29:H29" si="18">SUM(C25+SUM(C28:C28))</f>
        <v>10866</v>
      </c>
      <c r="D29" s="14">
        <f t="shared" si="18"/>
        <v>12311</v>
      </c>
      <c r="E29" s="14">
        <f t="shared" si="18"/>
        <v>14957</v>
      </c>
      <c r="F29" s="14">
        <f t="shared" si="18"/>
        <v>17273</v>
      </c>
      <c r="G29" s="14">
        <f t="shared" si="18"/>
        <v>19743</v>
      </c>
      <c r="H29" s="14">
        <f t="shared" si="18"/>
        <v>20058</v>
      </c>
      <c r="I29" s="11"/>
      <c r="J29" s="14">
        <f t="shared" ref="J29:U29" si="19">SUM(J25+SUM(J28:J28))</f>
        <v>4179</v>
      </c>
      <c r="K29" s="14">
        <f t="shared" si="19"/>
        <v>4257</v>
      </c>
      <c r="L29" s="14">
        <f t="shared" si="19"/>
        <v>4156</v>
      </c>
      <c r="M29" s="14">
        <f t="shared" si="19"/>
        <v>4681</v>
      </c>
      <c r="N29" s="14">
        <f t="shared" si="19"/>
        <v>4890</v>
      </c>
      <c r="O29" s="14">
        <f t="shared" si="19"/>
        <v>4663</v>
      </c>
      <c r="P29" s="14">
        <f t="shared" si="19"/>
        <v>4872</v>
      </c>
      <c r="Q29" s="14">
        <f t="shared" si="19"/>
        <v>5318</v>
      </c>
      <c r="R29" s="14">
        <f t="shared" si="19"/>
        <v>5119</v>
      </c>
      <c r="S29" s="14">
        <f t="shared" si="19"/>
        <v>4577</v>
      </c>
      <c r="T29" s="14">
        <f t="shared" si="19"/>
        <v>5272</v>
      </c>
      <c r="U29" s="14">
        <f t="shared" si="19"/>
        <v>5090</v>
      </c>
      <c r="V29" s="32"/>
      <c r="W29" s="14">
        <f t="shared" ref="W29:AD29" si="20">SUM(W25+SUM(W28:W28))</f>
        <v>16592</v>
      </c>
      <c r="X29" s="14">
        <f t="shared" si="20"/>
        <v>17052</v>
      </c>
      <c r="Y29" s="14">
        <f t="shared" si="20"/>
        <v>17301</v>
      </c>
      <c r="Z29" s="14">
        <f t="shared" si="20"/>
        <v>19106</v>
      </c>
      <c r="AA29" s="14">
        <f t="shared" si="20"/>
        <v>19743</v>
      </c>
      <c r="AB29" s="14">
        <f t="shared" si="20"/>
        <v>19972</v>
      </c>
      <c r="AC29" s="14">
        <f t="shared" si="20"/>
        <v>19886</v>
      </c>
      <c r="AD29" s="14">
        <f t="shared" si="20"/>
        <v>20286</v>
      </c>
      <c r="AE29" s="36"/>
      <c r="AF29" s="76">
        <f>SUM(AD29/Z29)-1</f>
        <v>6.1760703443944243E-2</v>
      </c>
    </row>
    <row r="30" spans="2:32" ht="12.75" customHeight="1">
      <c r="B30" s="16" t="s">
        <v>103</v>
      </c>
      <c r="C30" s="17">
        <f>C29/C11</f>
        <v>0.49739082669596263</v>
      </c>
      <c r="D30" s="17">
        <f>D29/D11</f>
        <v>0.51072391619995849</v>
      </c>
      <c r="E30" s="17">
        <f>E29/E11</f>
        <v>0.51030365063118388</v>
      </c>
      <c r="F30" s="17">
        <f>F29/F11</f>
        <v>0.52898661684990655</v>
      </c>
      <c r="G30" s="17">
        <f>G29/G11</f>
        <v>0.54954628959527918</v>
      </c>
      <c r="H30" s="17">
        <f>H29/H11</f>
        <v>0.50144999999999995</v>
      </c>
      <c r="I30" s="27"/>
      <c r="J30" s="17">
        <f>J29/J11</f>
        <v>0.52658770161290325</v>
      </c>
      <c r="K30" s="17">
        <f>K29/K11</f>
        <v>0.53312460864120226</v>
      </c>
      <c r="L30" s="17">
        <f>L29/L11</f>
        <v>0.5116336328942509</v>
      </c>
      <c r="M30" s="17">
        <f>M29/M11</f>
        <v>0.54373330235799744</v>
      </c>
      <c r="N30" s="17">
        <f>N29/N11</f>
        <v>0.56636553161918002</v>
      </c>
      <c r="O30" s="17">
        <f>O29/O11</f>
        <v>0.53139601139601145</v>
      </c>
      <c r="P30" s="17">
        <f>P29/P11</f>
        <v>0.54741573033707869</v>
      </c>
      <c r="Q30" s="17">
        <f>Q29/Q11</f>
        <v>0.5529790995112821</v>
      </c>
      <c r="R30" s="17">
        <f>R29/R11</f>
        <v>0.5382754994742377</v>
      </c>
      <c r="S30" s="17">
        <f>S29/S11</f>
        <v>0.47706900145924536</v>
      </c>
      <c r="T30" s="17">
        <f>T29/T11</f>
        <v>0.51828548957923715</v>
      </c>
      <c r="U30" s="17">
        <f>U29/U11</f>
        <v>0.47463632972771352</v>
      </c>
      <c r="V30" s="28"/>
      <c r="W30" s="17">
        <f>W29/W11</f>
        <v>0.50813095274553643</v>
      </c>
      <c r="X30" s="17">
        <f>X29/X11</f>
        <v>0.51128901682108485</v>
      </c>
      <c r="Y30" s="17">
        <f>Y29/Y11</f>
        <v>0.50675141325678807</v>
      </c>
      <c r="Z30" s="17">
        <f>Z29/Z11</f>
        <v>0.54716764992267597</v>
      </c>
      <c r="AA30" s="17">
        <f>AA29/AA11</f>
        <v>0.54954628959527918</v>
      </c>
      <c r="AB30" s="17">
        <f>AB29/AB11</f>
        <v>0.54268789739688061</v>
      </c>
      <c r="AC30" s="17">
        <f>AC29/AC11</f>
        <v>0.52858775683793624</v>
      </c>
      <c r="AD30" s="17">
        <f>AD29/AD11</f>
        <v>0.52158486102897694</v>
      </c>
      <c r="AE30" s="43"/>
      <c r="AF30" s="77">
        <f>SUM(AD30-Z30)*1000</f>
        <v>-25.582788893699025</v>
      </c>
    </row>
    <row r="31" spans="2:32" ht="5.0999999999999996" customHeight="1">
      <c r="B31" s="16"/>
      <c r="C31" s="17"/>
      <c r="D31" s="17"/>
      <c r="E31" s="17"/>
      <c r="F31" s="17"/>
      <c r="G31" s="17"/>
      <c r="H31" s="17"/>
      <c r="I31" s="2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28"/>
      <c r="W31" s="17"/>
      <c r="X31" s="17"/>
      <c r="Y31" s="17"/>
      <c r="Z31" s="17"/>
      <c r="AA31" s="17"/>
      <c r="AB31" s="17"/>
      <c r="AC31" s="17"/>
      <c r="AD31" s="17"/>
      <c r="AE31" s="43"/>
      <c r="AF31" s="77"/>
    </row>
    <row r="32" spans="2:32" ht="12.75" customHeight="1">
      <c r="B32" s="44" t="s">
        <v>84</v>
      </c>
      <c r="C32" s="82"/>
      <c r="D32" s="82"/>
      <c r="E32" s="82"/>
      <c r="F32" s="82"/>
      <c r="G32" s="82"/>
      <c r="H32" s="82"/>
      <c r="I32" s="27"/>
      <c r="J32" s="82"/>
      <c r="K32" s="82"/>
      <c r="L32" s="82"/>
      <c r="M32" s="32">
        <f>F32</f>
        <v>0</v>
      </c>
      <c r="N32" s="82"/>
      <c r="O32" s="82"/>
      <c r="P32" s="82"/>
      <c r="Q32" s="32">
        <f>G32</f>
        <v>0</v>
      </c>
      <c r="R32" s="82"/>
      <c r="S32" s="82"/>
      <c r="T32" s="82"/>
      <c r="U32" s="82">
        <f>H32</f>
        <v>0</v>
      </c>
      <c r="V32" s="132"/>
      <c r="W32" s="32">
        <f>M32</f>
        <v>0</v>
      </c>
      <c r="X32" s="32">
        <f>N32</f>
        <v>0</v>
      </c>
      <c r="Y32" s="32">
        <f>O32</f>
        <v>0</v>
      </c>
      <c r="Z32" s="32">
        <f>P32</f>
        <v>0</v>
      </c>
      <c r="AA32" s="32">
        <f>Q32</f>
        <v>0</v>
      </c>
      <c r="AB32" s="32">
        <f>R32</f>
        <v>0</v>
      </c>
      <c r="AC32" s="32">
        <f>S32</f>
        <v>0</v>
      </c>
      <c r="AD32" s="32">
        <f>T32</f>
        <v>0</v>
      </c>
      <c r="AE32" s="43"/>
      <c r="AF32" s="75" t="e">
        <f>SUM(AD32/Z32)-1</f>
        <v>#DIV/0!</v>
      </c>
    </row>
    <row r="33" spans="1:32" ht="12.75" customHeight="1">
      <c r="B33" s="13" t="s">
        <v>62</v>
      </c>
      <c r="C33" s="144" t="e">
        <f>C29/C32</f>
        <v>#DIV/0!</v>
      </c>
      <c r="D33" s="144" t="e">
        <f>D29/D32</f>
        <v>#DIV/0!</v>
      </c>
      <c r="E33" s="144" t="e">
        <f>E29/E32</f>
        <v>#DIV/0!</v>
      </c>
      <c r="F33" s="144" t="e">
        <f>F29/F32</f>
        <v>#DIV/0!</v>
      </c>
      <c r="G33" s="144" t="e">
        <f>G29/G32</f>
        <v>#DIV/0!</v>
      </c>
      <c r="H33" s="144" t="e">
        <f>H29/H32</f>
        <v>#DIV/0!</v>
      </c>
      <c r="I33" s="27"/>
      <c r="J33" s="144" t="e">
        <f>J29/J32</f>
        <v>#DIV/0!</v>
      </c>
      <c r="K33" s="144" t="e">
        <f>K29/K32</f>
        <v>#DIV/0!</v>
      </c>
      <c r="L33" s="144" t="e">
        <f>L29/L32</f>
        <v>#DIV/0!</v>
      </c>
      <c r="M33" s="144" t="e">
        <f>M29/M32</f>
        <v>#DIV/0!</v>
      </c>
      <c r="N33" s="144" t="e">
        <f>N29/N32</f>
        <v>#DIV/0!</v>
      </c>
      <c r="O33" s="144" t="e">
        <f>O29/O32</f>
        <v>#DIV/0!</v>
      </c>
      <c r="P33" s="144" t="e">
        <f>P29/P32</f>
        <v>#DIV/0!</v>
      </c>
      <c r="Q33" s="144" t="e">
        <f>Q29/Q32</f>
        <v>#DIV/0!</v>
      </c>
      <c r="R33" s="144" t="e">
        <f>R29/R32</f>
        <v>#DIV/0!</v>
      </c>
      <c r="S33" s="144" t="e">
        <f>S29/S32</f>
        <v>#DIV/0!</v>
      </c>
      <c r="T33" s="144" t="e">
        <f>T29/T32</f>
        <v>#DIV/0!</v>
      </c>
      <c r="U33" s="144" t="e">
        <f>U29/U32</f>
        <v>#DIV/0!</v>
      </c>
      <c r="V33" s="132"/>
      <c r="W33" s="144" t="e">
        <f>W29/W32</f>
        <v>#DIV/0!</v>
      </c>
      <c r="X33" s="144" t="e">
        <f>X29/X32</f>
        <v>#DIV/0!</v>
      </c>
      <c r="Y33" s="144" t="e">
        <f>Y29/Y32</f>
        <v>#DIV/0!</v>
      </c>
      <c r="Z33" s="144" t="e">
        <f>Z29/Z32</f>
        <v>#DIV/0!</v>
      </c>
      <c r="AA33" s="144" t="e">
        <f>AA29/AA32</f>
        <v>#DIV/0!</v>
      </c>
      <c r="AB33" s="144" t="e">
        <f>AB29/AB32</f>
        <v>#DIV/0!</v>
      </c>
      <c r="AC33" s="144" t="e">
        <f>AC29/AC32</f>
        <v>#DIV/0!</v>
      </c>
      <c r="AD33" s="144" t="e">
        <f>AD29/AD32</f>
        <v>#DIV/0!</v>
      </c>
      <c r="AE33" s="43"/>
      <c r="AF33" s="76" t="e">
        <f>SUM(AD33/Z33)-1</f>
        <v>#DIV/0!</v>
      </c>
    </row>
    <row r="34" spans="1:32" ht="12.75" customHeight="1">
      <c r="B34" s="25"/>
      <c r="C34" s="48"/>
      <c r="D34" s="48"/>
      <c r="E34" s="48"/>
      <c r="F34" s="48"/>
      <c r="G34" s="48"/>
      <c r="H34" s="48"/>
      <c r="I34" s="143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132"/>
      <c r="W34" s="132"/>
      <c r="X34" s="132"/>
      <c r="Y34" s="132"/>
      <c r="Z34" s="48"/>
      <c r="AA34" s="132"/>
      <c r="AB34" s="132"/>
      <c r="AC34" s="132"/>
      <c r="AD34" s="132"/>
      <c r="AE34" s="43"/>
      <c r="AF34" s="75"/>
    </row>
    <row r="35" spans="1:32" ht="12.75" customHeight="1">
      <c r="B35" s="44" t="s">
        <v>63</v>
      </c>
      <c r="C35" s="82"/>
      <c r="D35" s="82"/>
      <c r="E35" s="82"/>
      <c r="F35" s="82"/>
      <c r="G35" s="82"/>
      <c r="H35" s="82"/>
      <c r="I35" s="143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132"/>
      <c r="W35" s="32">
        <f>M35</f>
        <v>0</v>
      </c>
      <c r="X35" s="32">
        <f>N35</f>
        <v>0</v>
      </c>
      <c r="Y35" s="32">
        <f>O35</f>
        <v>0</v>
      </c>
      <c r="Z35" s="32">
        <f>P35</f>
        <v>0</v>
      </c>
      <c r="AA35" s="32">
        <f>Q35</f>
        <v>0</v>
      </c>
      <c r="AB35" s="32">
        <f>R35</f>
        <v>0</v>
      </c>
      <c r="AC35" s="32">
        <f>S35</f>
        <v>0</v>
      </c>
      <c r="AD35" s="32">
        <f>T35</f>
        <v>0</v>
      </c>
      <c r="AE35" s="43"/>
      <c r="AF35" s="75" t="e">
        <f>SUM(AD35/Z35)-1</f>
        <v>#DIV/0!</v>
      </c>
    </row>
    <row r="36" spans="1:32" ht="12.75" customHeight="1">
      <c r="B36" s="13" t="s">
        <v>83</v>
      </c>
      <c r="C36" s="144" t="e">
        <f>C29/C35</f>
        <v>#DIV/0!</v>
      </c>
      <c r="D36" s="144" t="e">
        <f>D29/D35</f>
        <v>#DIV/0!</v>
      </c>
      <c r="E36" s="144" t="e">
        <f>E29/E35</f>
        <v>#DIV/0!</v>
      </c>
      <c r="F36" s="144" t="e">
        <f>F29/F35</f>
        <v>#DIV/0!</v>
      </c>
      <c r="G36" s="144" t="e">
        <f>G29/G35</f>
        <v>#DIV/0!</v>
      </c>
      <c r="H36" s="144" t="e">
        <f>H29/H35</f>
        <v>#DIV/0!</v>
      </c>
      <c r="I36" s="27"/>
      <c r="J36" s="144" t="e">
        <f>J29/J35</f>
        <v>#DIV/0!</v>
      </c>
      <c r="K36" s="144" t="e">
        <f>K29/K35</f>
        <v>#DIV/0!</v>
      </c>
      <c r="L36" s="144" t="e">
        <f>L29/L35</f>
        <v>#DIV/0!</v>
      </c>
      <c r="M36" s="144" t="e">
        <f>M29/M35</f>
        <v>#DIV/0!</v>
      </c>
      <c r="N36" s="144" t="e">
        <f>N29/N35</f>
        <v>#DIV/0!</v>
      </c>
      <c r="O36" s="144" t="e">
        <f>O29/O35</f>
        <v>#DIV/0!</v>
      </c>
      <c r="P36" s="144" t="e">
        <f>P29/P35</f>
        <v>#DIV/0!</v>
      </c>
      <c r="Q36" s="144" t="e">
        <f>Q29/Q35</f>
        <v>#DIV/0!</v>
      </c>
      <c r="R36" s="144" t="e">
        <f>R29/R35</f>
        <v>#DIV/0!</v>
      </c>
      <c r="S36" s="144" t="e">
        <f>S29/S35</f>
        <v>#DIV/0!</v>
      </c>
      <c r="T36" s="144" t="e">
        <f>T29/T35</f>
        <v>#DIV/0!</v>
      </c>
      <c r="U36" s="144" t="e">
        <f>U29/U35</f>
        <v>#DIV/0!</v>
      </c>
      <c r="V36" s="132"/>
      <c r="W36" s="144" t="e">
        <f>W29/W35</f>
        <v>#DIV/0!</v>
      </c>
      <c r="X36" s="144" t="e">
        <f>X29/X35</f>
        <v>#DIV/0!</v>
      </c>
      <c r="Y36" s="144" t="e">
        <f>Y29/Y35</f>
        <v>#DIV/0!</v>
      </c>
      <c r="Z36" s="144" t="e">
        <f>Z29/Z35</f>
        <v>#DIV/0!</v>
      </c>
      <c r="AA36" s="144" t="e">
        <f>AA29/AA35</f>
        <v>#DIV/0!</v>
      </c>
      <c r="AB36" s="144" t="e">
        <f>AB29/AB35</f>
        <v>#DIV/0!</v>
      </c>
      <c r="AC36" s="144" t="e">
        <f>AC29/AC35</f>
        <v>#DIV/0!</v>
      </c>
      <c r="AD36" s="144" t="e">
        <f>AD29/AD35</f>
        <v>#DIV/0!</v>
      </c>
      <c r="AE36" s="43"/>
      <c r="AF36" s="76" t="e">
        <f>SUM(AD36/Z36)-1</f>
        <v>#DIV/0!</v>
      </c>
    </row>
    <row r="37" spans="1:32">
      <c r="B37" s="16"/>
      <c r="C37" s="17"/>
      <c r="D37" s="17"/>
      <c r="E37" s="17"/>
      <c r="F37" s="17"/>
      <c r="G37" s="17"/>
      <c r="H37" s="17"/>
      <c r="I37" s="2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28"/>
      <c r="W37" s="17"/>
      <c r="X37" s="17"/>
      <c r="Y37" s="17"/>
      <c r="Z37" s="17"/>
      <c r="AA37" s="17"/>
      <c r="AB37" s="17"/>
      <c r="AC37" s="17"/>
      <c r="AD37" s="17"/>
      <c r="AE37" s="43"/>
    </row>
    <row r="38" spans="1:32" ht="12.75" customHeight="1">
      <c r="A38" s="5" t="s">
        <v>16</v>
      </c>
      <c r="B38" s="106" t="s">
        <v>73</v>
      </c>
      <c r="C38" s="107"/>
      <c r="D38" s="107"/>
      <c r="E38" s="107"/>
      <c r="F38" s="107"/>
      <c r="G38" s="107"/>
      <c r="H38" s="107"/>
      <c r="I38" s="108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6"/>
      <c r="W38" s="107"/>
      <c r="X38" s="107"/>
      <c r="Y38" s="107" t="s">
        <v>10</v>
      </c>
      <c r="Z38" s="107"/>
      <c r="AA38" s="107"/>
      <c r="AB38" s="107"/>
      <c r="AC38" s="107"/>
      <c r="AD38" s="107"/>
      <c r="AE38" s="108"/>
      <c r="AF38" s="153" t="s">
        <v>22</v>
      </c>
    </row>
    <row r="39" spans="1:32" ht="12.75" customHeight="1">
      <c r="B39" s="110" t="str">
        <f>B7</f>
        <v>Fiscal Period</v>
      </c>
      <c r="C39" s="109">
        <f>C7</f>
        <v>2020</v>
      </c>
      <c r="D39" s="109">
        <f>D7</f>
        <v>2021</v>
      </c>
      <c r="E39" s="109">
        <f>E7</f>
        <v>2022</v>
      </c>
      <c r="F39" s="109">
        <f>F7</f>
        <v>2023</v>
      </c>
      <c r="G39" s="109">
        <f>G7</f>
        <v>2024</v>
      </c>
      <c r="H39" s="109">
        <f>H7</f>
        <v>2025</v>
      </c>
      <c r="I39" s="108"/>
      <c r="J39" s="109" t="str">
        <f>J7</f>
        <v>1Q23</v>
      </c>
      <c r="K39" s="109" t="str">
        <f>K7</f>
        <v>2Q23</v>
      </c>
      <c r="L39" s="109" t="str">
        <f>L7</f>
        <v>3Q23</v>
      </c>
      <c r="M39" s="109" t="str">
        <f>M7</f>
        <v>4Q23</v>
      </c>
      <c r="N39" s="109" t="str">
        <f>N7</f>
        <v>1Q24</v>
      </c>
      <c r="O39" s="109" t="str">
        <f>O7</f>
        <v>2Q24</v>
      </c>
      <c r="P39" s="109" t="str">
        <f>P7</f>
        <v>3Q24</v>
      </c>
      <c r="Q39" s="109" t="str">
        <f>Q7</f>
        <v>4Q24</v>
      </c>
      <c r="R39" s="109" t="str">
        <f>R7</f>
        <v>1Q25</v>
      </c>
      <c r="S39" s="109" t="str">
        <f>S7</f>
        <v>2Q25</v>
      </c>
      <c r="T39" s="109" t="str">
        <f>T7</f>
        <v>3Q25</v>
      </c>
      <c r="U39" s="109" t="str">
        <f>U7</f>
        <v>4Q25</v>
      </c>
      <c r="V39" s="111"/>
      <c r="W39" s="109" t="str">
        <f>W7</f>
        <v>4Q23</v>
      </c>
      <c r="X39" s="109" t="str">
        <f>X7</f>
        <v>1Q24</v>
      </c>
      <c r="Y39" s="109" t="str">
        <f>Y7</f>
        <v>2Q24</v>
      </c>
      <c r="Z39" s="109" t="str">
        <f>Z7</f>
        <v>3Q24</v>
      </c>
      <c r="AA39" s="109" t="str">
        <f>AA7</f>
        <v>4Q24</v>
      </c>
      <c r="AB39" s="109" t="str">
        <f>AB7</f>
        <v>1Q25</v>
      </c>
      <c r="AC39" s="109" t="str">
        <f>AC7</f>
        <v>2Q25</v>
      </c>
      <c r="AD39" s="109" t="str">
        <f>AD7</f>
        <v>3Q25</v>
      </c>
      <c r="AE39" s="108"/>
      <c r="AF39" s="153"/>
    </row>
    <row r="40" spans="1:32" ht="12.75" customHeight="1">
      <c r="B40" s="110" t="str">
        <f>B8</f>
        <v>Fiscal Period End Date</v>
      </c>
      <c r="C40" s="112">
        <f>C8</f>
        <v>0</v>
      </c>
      <c r="D40" s="112">
        <f>D8</f>
        <v>0</v>
      </c>
      <c r="E40" s="112">
        <f>E8</f>
        <v>0</v>
      </c>
      <c r="F40" s="112">
        <f>F8</f>
        <v>0</v>
      </c>
      <c r="G40" s="112">
        <f>G8</f>
        <v>0</v>
      </c>
      <c r="H40" s="112">
        <f>H8</f>
        <v>0</v>
      </c>
      <c r="I40" s="108"/>
      <c r="J40" s="112">
        <f>J8</f>
        <v>0</v>
      </c>
      <c r="K40" s="112">
        <f>K8</f>
        <v>0</v>
      </c>
      <c r="L40" s="112">
        <f>L8</f>
        <v>0</v>
      </c>
      <c r="M40" s="112">
        <f>M8</f>
        <v>0</v>
      </c>
      <c r="N40" s="112">
        <f>N8</f>
        <v>0</v>
      </c>
      <c r="O40" s="112">
        <f>O8</f>
        <v>0</v>
      </c>
      <c r="P40" s="112">
        <f>P8</f>
        <v>0</v>
      </c>
      <c r="Q40" s="112">
        <f>Q8</f>
        <v>0</v>
      </c>
      <c r="R40" s="112">
        <f>R8</f>
        <v>0</v>
      </c>
      <c r="S40" s="112">
        <f>S8</f>
        <v>0</v>
      </c>
      <c r="T40" s="112">
        <f>T8</f>
        <v>0</v>
      </c>
      <c r="U40" s="112">
        <f>U8</f>
        <v>0</v>
      </c>
      <c r="V40" s="113"/>
      <c r="W40" s="112">
        <f>W8</f>
        <v>0</v>
      </c>
      <c r="X40" s="112">
        <f>X8</f>
        <v>0</v>
      </c>
      <c r="Y40" s="112">
        <f>Y8</f>
        <v>0</v>
      </c>
      <c r="Z40" s="112">
        <f>Z8</f>
        <v>0</v>
      </c>
      <c r="AA40" s="112">
        <f>AA8</f>
        <v>0</v>
      </c>
      <c r="AB40" s="112">
        <f>AB8</f>
        <v>0</v>
      </c>
      <c r="AC40" s="112">
        <f>AC8</f>
        <v>0</v>
      </c>
      <c r="AD40" s="112">
        <f>AD8</f>
        <v>0</v>
      </c>
      <c r="AE40" s="108"/>
      <c r="AF40" s="153"/>
    </row>
    <row r="41" spans="1:32" ht="5.0999999999999996" customHeight="1">
      <c r="B41" s="46"/>
      <c r="C41" s="47"/>
      <c r="D41" s="47"/>
      <c r="E41" s="47"/>
      <c r="F41" s="47"/>
      <c r="G41" s="47"/>
      <c r="H41" s="47"/>
    </row>
    <row r="42" spans="1:32">
      <c r="B42" s="78" t="s">
        <v>78</v>
      </c>
      <c r="C42" s="47"/>
      <c r="D42" s="47"/>
      <c r="E42" s="47"/>
      <c r="F42" s="47"/>
      <c r="G42" s="47"/>
      <c r="H42" s="47"/>
    </row>
    <row r="43" spans="1:32" s="122" customFormat="1" ht="12.75" customHeight="1">
      <c r="B43" s="114" t="s">
        <v>153</v>
      </c>
      <c r="C43" s="123">
        <v>16289</v>
      </c>
      <c r="D43" s="123">
        <v>16487</v>
      </c>
      <c r="E43" s="123">
        <v>15689</v>
      </c>
      <c r="F43" s="123">
        <v>16286</v>
      </c>
      <c r="G43" s="123">
        <v>11975</v>
      </c>
      <c r="H43" s="123">
        <v>17164</v>
      </c>
      <c r="J43" s="82">
        <v>13334</v>
      </c>
      <c r="K43" s="82">
        <v>13842</v>
      </c>
      <c r="L43" s="82">
        <v>15590</v>
      </c>
      <c r="M43" s="32">
        <f t="shared" ref="M43:M50" si="21">F43</f>
        <v>16286</v>
      </c>
      <c r="N43" s="82">
        <v>13591</v>
      </c>
      <c r="O43" s="82">
        <v>12993</v>
      </c>
      <c r="P43" s="82">
        <v>12947</v>
      </c>
      <c r="Q43" s="32">
        <f t="shared" ref="Q43:Q50" si="22">G43</f>
        <v>11975</v>
      </c>
      <c r="R43" s="82">
        <v>12367</v>
      </c>
      <c r="S43" s="82">
        <v>11734</v>
      </c>
      <c r="T43" s="82">
        <v>17092</v>
      </c>
      <c r="U43" s="32">
        <f t="shared" ref="U43:U50" si="23">H43</f>
        <v>17164</v>
      </c>
      <c r="W43" s="96">
        <f>M43</f>
        <v>16286</v>
      </c>
      <c r="X43" s="96">
        <f>N43</f>
        <v>13591</v>
      </c>
      <c r="Y43" s="96">
        <f>O43</f>
        <v>12993</v>
      </c>
      <c r="Z43" s="96">
        <f>P43</f>
        <v>12947</v>
      </c>
      <c r="AA43" s="96">
        <f>Q43</f>
        <v>11975</v>
      </c>
      <c r="AB43" s="96">
        <f>R43</f>
        <v>12367</v>
      </c>
      <c r="AC43" s="96">
        <f>S43</f>
        <v>11734</v>
      </c>
      <c r="AD43" s="96">
        <f>T43</f>
        <v>17092</v>
      </c>
      <c r="AE43" s="124"/>
      <c r="AF43" s="75">
        <f>SUM(AD43/Z43)-1</f>
        <v>0.32015138642156482</v>
      </c>
    </row>
    <row r="44" spans="1:32" s="122" customFormat="1" ht="12.75" customHeight="1">
      <c r="B44" s="114" t="s">
        <v>185</v>
      </c>
      <c r="C44" s="123">
        <v>901</v>
      </c>
      <c r="D44" s="123">
        <v>894</v>
      </c>
      <c r="E44" s="123">
        <v>1449</v>
      </c>
      <c r="F44" s="123">
        <v>1764</v>
      </c>
      <c r="G44" s="123">
        <v>3089</v>
      </c>
      <c r="H44" s="123">
        <v>2990</v>
      </c>
      <c r="J44" s="82">
        <v>1705</v>
      </c>
      <c r="K44" s="82">
        <v>1616</v>
      </c>
      <c r="L44" s="82">
        <v>1627</v>
      </c>
      <c r="M44" s="32">
        <f t="shared" si="21"/>
        <v>1764</v>
      </c>
      <c r="N44" s="82">
        <v>1616</v>
      </c>
      <c r="O44" s="82">
        <v>1584</v>
      </c>
      <c r="P44" s="82">
        <v>1596</v>
      </c>
      <c r="Q44" s="32">
        <f t="shared" si="22"/>
        <v>3089</v>
      </c>
      <c r="R44" s="82">
        <v>3112</v>
      </c>
      <c r="S44" s="82">
        <v>2926</v>
      </c>
      <c r="T44" s="82">
        <v>2696</v>
      </c>
      <c r="U44" s="32">
        <f t="shared" si="23"/>
        <v>2990</v>
      </c>
      <c r="W44" s="96">
        <f t="shared" ref="W44:W45" si="24">M44</f>
        <v>1764</v>
      </c>
      <c r="X44" s="96">
        <f t="shared" ref="X44:X45" si="25">N44</f>
        <v>1616</v>
      </c>
      <c r="Y44" s="96">
        <f t="shared" ref="Y44:Y45" si="26">O44</f>
        <v>1584</v>
      </c>
      <c r="Z44" s="96">
        <f t="shared" ref="Z44:Z45" si="27">P44</f>
        <v>1596</v>
      </c>
      <c r="AA44" s="96">
        <f t="shared" ref="AA44:AA45" si="28">Q44</f>
        <v>3089</v>
      </c>
      <c r="AB44" s="96">
        <f t="shared" ref="AB44:AB45" si="29">R44</f>
        <v>3112</v>
      </c>
      <c r="AC44" s="96">
        <f t="shared" ref="AC44:AC45" si="30">S44</f>
        <v>2926</v>
      </c>
      <c r="AD44" s="96">
        <f t="shared" ref="AD44:AD45" si="31">T44</f>
        <v>2696</v>
      </c>
      <c r="AE44" s="124"/>
      <c r="AF44" s="75">
        <f t="shared" ref="AF44:AF45" si="32">SUM(AD44/Z44)-1</f>
        <v>0.68922305764411029</v>
      </c>
    </row>
    <row r="45" spans="1:32" s="122" customFormat="1" ht="12.75" customHeight="1">
      <c r="B45" s="114" t="s">
        <v>186</v>
      </c>
      <c r="C45" s="123">
        <v>3752</v>
      </c>
      <c r="D45" s="123">
        <v>2025</v>
      </c>
      <c r="E45" s="123">
        <v>2833</v>
      </c>
      <c r="F45" s="123">
        <v>3842</v>
      </c>
      <c r="G45" s="123">
        <v>3200</v>
      </c>
      <c r="H45" s="123">
        <v>1833</v>
      </c>
      <c r="J45" s="82">
        <v>2785</v>
      </c>
      <c r="K45" s="82">
        <v>2752</v>
      </c>
      <c r="L45" s="82">
        <v>3166</v>
      </c>
      <c r="M45" s="32">
        <f t="shared" si="21"/>
        <v>3842</v>
      </c>
      <c r="N45" s="82">
        <v>5005</v>
      </c>
      <c r="O45" s="82">
        <v>4710</v>
      </c>
      <c r="P45" s="82">
        <v>3697</v>
      </c>
      <c r="Q45" s="32">
        <f t="shared" si="22"/>
        <v>3200</v>
      </c>
      <c r="R45" s="82">
        <v>1967</v>
      </c>
      <c r="S45" s="82">
        <v>2017</v>
      </c>
      <c r="T45" s="82">
        <v>2088</v>
      </c>
      <c r="U45" s="32">
        <f t="shared" si="23"/>
        <v>1833</v>
      </c>
      <c r="W45" s="96">
        <f t="shared" si="24"/>
        <v>3842</v>
      </c>
      <c r="X45" s="96">
        <f t="shared" si="25"/>
        <v>5005</v>
      </c>
      <c r="Y45" s="96">
        <f t="shared" si="26"/>
        <v>4710</v>
      </c>
      <c r="Z45" s="96">
        <f t="shared" si="27"/>
        <v>3697</v>
      </c>
      <c r="AA45" s="96">
        <f t="shared" si="28"/>
        <v>3200</v>
      </c>
      <c r="AB45" s="96">
        <f t="shared" si="29"/>
        <v>1967</v>
      </c>
      <c r="AC45" s="96">
        <f t="shared" si="30"/>
        <v>2017</v>
      </c>
      <c r="AD45" s="96">
        <f t="shared" si="31"/>
        <v>2088</v>
      </c>
      <c r="AE45" s="124"/>
      <c r="AF45" s="75">
        <f t="shared" si="32"/>
        <v>-0.43521774411685155</v>
      </c>
    </row>
    <row r="46" spans="1:32" s="122" customFormat="1" ht="12.75" customHeight="1">
      <c r="B46" s="114" t="s">
        <v>187</v>
      </c>
      <c r="C46" s="123">
        <v>1264</v>
      </c>
      <c r="D46" s="123">
        <v>1758</v>
      </c>
      <c r="E46" s="123">
        <v>1932</v>
      </c>
      <c r="F46" s="123">
        <v>2183</v>
      </c>
      <c r="G46" s="123">
        <v>4454</v>
      </c>
      <c r="H46" s="123">
        <v>4191</v>
      </c>
      <c r="J46" s="82">
        <v>2127</v>
      </c>
      <c r="K46" s="82">
        <v>1942</v>
      </c>
      <c r="L46" s="82">
        <v>2454</v>
      </c>
      <c r="M46" s="32">
        <f t="shared" si="21"/>
        <v>2183</v>
      </c>
      <c r="N46" s="82">
        <v>2525</v>
      </c>
      <c r="O46" s="82">
        <v>3558</v>
      </c>
      <c r="P46" s="82">
        <v>2128</v>
      </c>
      <c r="Q46" s="32">
        <f t="shared" si="22"/>
        <v>4454</v>
      </c>
      <c r="R46" s="82">
        <v>3683</v>
      </c>
      <c r="S46" s="82">
        <v>4244</v>
      </c>
      <c r="T46" s="82">
        <v>4778</v>
      </c>
      <c r="U46" s="32">
        <f t="shared" si="23"/>
        <v>4191</v>
      </c>
      <c r="W46" s="96">
        <f>M46</f>
        <v>2183</v>
      </c>
      <c r="X46" s="96">
        <f>N46</f>
        <v>2525</v>
      </c>
      <c r="Y46" s="96">
        <f>O46</f>
        <v>3558</v>
      </c>
      <c r="Z46" s="96">
        <f>P46</f>
        <v>2128</v>
      </c>
      <c r="AA46" s="96">
        <f>Q46</f>
        <v>4454</v>
      </c>
      <c r="AB46" s="96">
        <f>R46</f>
        <v>3683</v>
      </c>
      <c r="AC46" s="96">
        <f>S46</f>
        <v>4244</v>
      </c>
      <c r="AD46" s="96">
        <f>T46</f>
        <v>4778</v>
      </c>
      <c r="AE46" s="124"/>
      <c r="AF46" s="75">
        <f t="shared" ref="AF46:AF48" si="33">SUM(AD46/Z46)-1</f>
        <v>1.2453007518796992</v>
      </c>
    </row>
    <row r="47" spans="1:32" s="122" customFormat="1" ht="12.75" customHeight="1">
      <c r="B47" s="114" t="s">
        <v>154</v>
      </c>
      <c r="C47" s="123">
        <v>1618</v>
      </c>
      <c r="D47" s="123">
        <v>1968</v>
      </c>
      <c r="E47" s="123">
        <v>2020</v>
      </c>
      <c r="F47" s="123">
        <v>2291</v>
      </c>
      <c r="G47" s="123">
        <v>2561</v>
      </c>
      <c r="H47" s="123">
        <v>3126</v>
      </c>
      <c r="J47" s="82">
        <v>2113</v>
      </c>
      <c r="K47" s="82">
        <v>2122</v>
      </c>
      <c r="L47" s="82">
        <v>2282</v>
      </c>
      <c r="M47" s="32">
        <f t="shared" si="21"/>
        <v>2291</v>
      </c>
      <c r="N47" s="82">
        <v>2506</v>
      </c>
      <c r="O47" s="82">
        <v>2272</v>
      </c>
      <c r="P47" s="82">
        <v>2521</v>
      </c>
      <c r="Q47" s="32">
        <f t="shared" si="22"/>
        <v>2561</v>
      </c>
      <c r="R47" s="82">
        <v>2590</v>
      </c>
      <c r="S47" s="82">
        <v>2719</v>
      </c>
      <c r="T47" s="82">
        <v>2920</v>
      </c>
      <c r="U47" s="32">
        <f t="shared" si="23"/>
        <v>3126</v>
      </c>
      <c r="W47" s="96">
        <f t="shared" ref="W47:W48" si="34">M47</f>
        <v>2291</v>
      </c>
      <c r="X47" s="96">
        <f t="shared" ref="X47:X48" si="35">N47</f>
        <v>2506</v>
      </c>
      <c r="Y47" s="96">
        <f t="shared" ref="Y47:Y48" si="36">O47</f>
        <v>2272</v>
      </c>
      <c r="Z47" s="96">
        <f t="shared" ref="Z47:Z48" si="37">P47</f>
        <v>2521</v>
      </c>
      <c r="AA47" s="96">
        <f t="shared" ref="AA47:AA48" si="38">Q47</f>
        <v>2561</v>
      </c>
      <c r="AB47" s="96">
        <f t="shared" ref="AB47:AB48" si="39">R47</f>
        <v>2590</v>
      </c>
      <c r="AC47" s="96">
        <f t="shared" ref="AC47:AC48" si="40">S47</f>
        <v>2719</v>
      </c>
      <c r="AD47" s="96">
        <f t="shared" ref="AD47:AD48" si="41">T47</f>
        <v>2920</v>
      </c>
      <c r="AE47" s="124"/>
      <c r="AF47" s="75">
        <f t="shared" si="33"/>
        <v>0.1582705275684253</v>
      </c>
    </row>
    <row r="48" spans="1:32" s="122" customFormat="1" ht="12.75" customHeight="1">
      <c r="B48" s="114" t="s">
        <v>188</v>
      </c>
      <c r="C48" s="123">
        <v>1850</v>
      </c>
      <c r="D48" s="123">
        <v>2260</v>
      </c>
      <c r="E48" s="123">
        <v>2342</v>
      </c>
      <c r="F48" s="123">
        <v>3005</v>
      </c>
      <c r="G48" s="123">
        <v>3524</v>
      </c>
      <c r="H48" s="123">
        <v>3625</v>
      </c>
      <c r="J48" s="82">
        <v>2591</v>
      </c>
      <c r="K48" s="82">
        <v>2739</v>
      </c>
      <c r="L48" s="82">
        <v>2907</v>
      </c>
      <c r="M48" s="32">
        <f t="shared" si="21"/>
        <v>3005</v>
      </c>
      <c r="N48" s="82">
        <v>3164</v>
      </c>
      <c r="O48" s="82">
        <v>3367</v>
      </c>
      <c r="P48" s="82">
        <v>3472</v>
      </c>
      <c r="Q48" s="32">
        <f t="shared" si="22"/>
        <v>3524</v>
      </c>
      <c r="R48" s="82">
        <v>3518</v>
      </c>
      <c r="S48" s="82">
        <v>3543</v>
      </c>
      <c r="T48" s="82">
        <v>3614</v>
      </c>
      <c r="U48" s="32">
        <f t="shared" si="23"/>
        <v>3625</v>
      </c>
      <c r="W48" s="96">
        <f t="shared" si="34"/>
        <v>3005</v>
      </c>
      <c r="X48" s="96">
        <f t="shared" si="35"/>
        <v>3164</v>
      </c>
      <c r="Y48" s="96">
        <f t="shared" si="36"/>
        <v>3367</v>
      </c>
      <c r="Z48" s="96">
        <f t="shared" si="37"/>
        <v>3472</v>
      </c>
      <c r="AA48" s="96">
        <f t="shared" si="38"/>
        <v>3524</v>
      </c>
      <c r="AB48" s="96">
        <f t="shared" si="39"/>
        <v>3518</v>
      </c>
      <c r="AC48" s="96">
        <f t="shared" si="40"/>
        <v>3543</v>
      </c>
      <c r="AD48" s="96">
        <f t="shared" si="41"/>
        <v>3614</v>
      </c>
      <c r="AE48" s="124"/>
      <c r="AF48" s="75">
        <f t="shared" si="33"/>
        <v>4.0898617511520685E-2</v>
      </c>
    </row>
    <row r="49" spans="2:32" s="122" customFormat="1" ht="12.75" customHeight="1">
      <c r="B49" s="114" t="s">
        <v>189</v>
      </c>
      <c r="C49" s="123">
        <v>1214</v>
      </c>
      <c r="D49" s="123">
        <v>1359</v>
      </c>
      <c r="E49" s="123">
        <v>1272</v>
      </c>
      <c r="F49" s="123">
        <v>1577</v>
      </c>
      <c r="G49" s="123">
        <v>1918</v>
      </c>
      <c r="H49" s="123">
        <v>2158</v>
      </c>
      <c r="J49" s="82">
        <v>1402</v>
      </c>
      <c r="K49" s="82">
        <v>1477</v>
      </c>
      <c r="L49" s="82">
        <v>1525</v>
      </c>
      <c r="M49" s="32">
        <f t="shared" si="21"/>
        <v>1577</v>
      </c>
      <c r="N49" s="82">
        <v>1572</v>
      </c>
      <c r="O49" s="82">
        <v>1740</v>
      </c>
      <c r="P49" s="82">
        <v>1821</v>
      </c>
      <c r="Q49" s="32">
        <f t="shared" si="22"/>
        <v>1918</v>
      </c>
      <c r="R49" s="82">
        <v>1992</v>
      </c>
      <c r="S49" s="82">
        <v>2175</v>
      </c>
      <c r="T49" s="82">
        <v>2198</v>
      </c>
      <c r="U49" s="32">
        <f t="shared" si="23"/>
        <v>2158</v>
      </c>
      <c r="W49" s="96">
        <f>M49</f>
        <v>1577</v>
      </c>
      <c r="X49" s="96">
        <f>N49</f>
        <v>1572</v>
      </c>
      <c r="Y49" s="96">
        <f>O49</f>
        <v>1740</v>
      </c>
      <c r="Z49" s="96">
        <f>P49</f>
        <v>1821</v>
      </c>
      <c r="AA49" s="96">
        <f>Q49</f>
        <v>1918</v>
      </c>
      <c r="AB49" s="96">
        <f>R49</f>
        <v>1992</v>
      </c>
      <c r="AC49" s="96">
        <f>S49</f>
        <v>2175</v>
      </c>
      <c r="AD49" s="96">
        <f>T49</f>
        <v>2198</v>
      </c>
      <c r="AE49" s="124"/>
      <c r="AF49" s="75">
        <f t="shared" ref="AF49" si="42">SUM(AD49/Z49)-1</f>
        <v>0.20702910488742443</v>
      </c>
    </row>
    <row r="50" spans="2:32" s="122" customFormat="1" ht="12.75" customHeight="1">
      <c r="B50" s="114" t="s">
        <v>155</v>
      </c>
      <c r="C50" s="123">
        <v>757</v>
      </c>
      <c r="D50" s="123">
        <v>856</v>
      </c>
      <c r="E50" s="123">
        <v>2668</v>
      </c>
      <c r="F50" s="123">
        <v>2584</v>
      </c>
      <c r="G50" s="123">
        <v>3312</v>
      </c>
      <c r="H50" s="123">
        <v>2679</v>
      </c>
      <c r="J50" s="82">
        <v>1802</v>
      </c>
      <c r="K50" s="82">
        <v>2167</v>
      </c>
      <c r="L50" s="82">
        <v>2119</v>
      </c>
      <c r="M50" s="32">
        <f t="shared" si="21"/>
        <v>2584</v>
      </c>
      <c r="N50" s="82">
        <v>2753</v>
      </c>
      <c r="O50" s="82">
        <v>2551</v>
      </c>
      <c r="P50" s="82">
        <v>2857</v>
      </c>
      <c r="Q50" s="32">
        <f t="shared" si="22"/>
        <v>3312</v>
      </c>
      <c r="R50" s="82">
        <v>3393</v>
      </c>
      <c r="S50" s="82">
        <v>3576</v>
      </c>
      <c r="T50" s="82">
        <v>3012</v>
      </c>
      <c r="U50" s="32">
        <f t="shared" si="23"/>
        <v>2679</v>
      </c>
      <c r="W50" s="96">
        <f>M50</f>
        <v>2584</v>
      </c>
      <c r="X50" s="96">
        <f>N50</f>
        <v>2753</v>
      </c>
      <c r="Y50" s="96">
        <f>O50</f>
        <v>2551</v>
      </c>
      <c r="Z50" s="96">
        <f>P50</f>
        <v>2857</v>
      </c>
      <c r="AA50" s="96">
        <f>Q50</f>
        <v>3312</v>
      </c>
      <c r="AB50" s="96">
        <f>R50</f>
        <v>3393</v>
      </c>
      <c r="AC50" s="96">
        <f>S50</f>
        <v>3576</v>
      </c>
      <c r="AD50" s="96">
        <f>T50</f>
        <v>3012</v>
      </c>
      <c r="AE50" s="124"/>
      <c r="AF50" s="75">
        <f t="shared" ref="AF50" si="43">SUM(AD50/Z50)-1</f>
        <v>5.4252712635631806E-2</v>
      </c>
    </row>
    <row r="51" spans="2:32" ht="12.75" customHeight="1">
      <c r="B51" s="25" t="s">
        <v>18</v>
      </c>
      <c r="C51" s="26">
        <f>SUM(C43:C50)</f>
        <v>27645</v>
      </c>
      <c r="D51" s="26">
        <f>SUM(D43:D50)</f>
        <v>27607</v>
      </c>
      <c r="E51" s="26">
        <f>SUM(E43:E50)</f>
        <v>30205</v>
      </c>
      <c r="F51" s="26">
        <f>SUM(F43:F50)</f>
        <v>33532</v>
      </c>
      <c r="G51" s="26">
        <f>SUM(G43:G50)</f>
        <v>34033</v>
      </c>
      <c r="H51" s="26">
        <f>SUM(H43:H50)</f>
        <v>37766</v>
      </c>
      <c r="I51" s="48"/>
      <c r="J51" s="26">
        <f>SUM(J43:J50)</f>
        <v>27859</v>
      </c>
      <c r="K51" s="26">
        <f>SUM(K43:K50)</f>
        <v>28657</v>
      </c>
      <c r="L51" s="26">
        <f>SUM(L43:L50)</f>
        <v>31670</v>
      </c>
      <c r="M51" s="26">
        <f>SUM(M43:M50)</f>
        <v>33532</v>
      </c>
      <c r="N51" s="26">
        <f>SUM(N43:N50)</f>
        <v>32732</v>
      </c>
      <c r="O51" s="26">
        <f>SUM(O43:O50)</f>
        <v>32775</v>
      </c>
      <c r="P51" s="26">
        <f>SUM(P43:P50)</f>
        <v>31039</v>
      </c>
      <c r="Q51" s="26">
        <f>SUM(Q43:Q50)</f>
        <v>34033</v>
      </c>
      <c r="R51" s="26">
        <f>SUM(R43:R50)</f>
        <v>32622</v>
      </c>
      <c r="S51" s="26">
        <f>SUM(S43:S50)</f>
        <v>32934</v>
      </c>
      <c r="T51" s="26">
        <f>SUM(T43:T50)</f>
        <v>38398</v>
      </c>
      <c r="U51" s="26">
        <f>SUM(U43:U50)</f>
        <v>37766</v>
      </c>
      <c r="V51" s="48"/>
      <c r="W51" s="26">
        <f>SUM(W43:W49)</f>
        <v>30948</v>
      </c>
      <c r="X51" s="26">
        <f>SUM(X43:X49)</f>
        <v>29979</v>
      </c>
      <c r="Y51" s="26">
        <f>SUM(Y43:Y49)</f>
        <v>30224</v>
      </c>
      <c r="Z51" s="26">
        <f>SUM(Z43:Z50)</f>
        <v>31039</v>
      </c>
      <c r="AA51" s="26">
        <f>SUM(AA43:AA50)</f>
        <v>34033</v>
      </c>
      <c r="AB51" s="26">
        <f>SUM(AB43:AB50)</f>
        <v>32622</v>
      </c>
      <c r="AC51" s="26">
        <f>SUM(AC43:AC50)</f>
        <v>32934</v>
      </c>
      <c r="AD51" s="26">
        <f>SUM(AD43:AD50)</f>
        <v>38398</v>
      </c>
      <c r="AE51" s="42"/>
      <c r="AF51" s="76">
        <f>SUM(AD51/Z51)-1</f>
        <v>0.2370888237378781</v>
      </c>
    </row>
    <row r="52" spans="2:32" ht="5.0999999999999996" customHeight="1">
      <c r="B52" s="25"/>
      <c r="C52" s="49"/>
      <c r="D52" s="49"/>
      <c r="E52" s="49"/>
      <c r="F52" s="41"/>
      <c r="G52" s="41"/>
      <c r="H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W52" s="42"/>
      <c r="X52" s="42"/>
      <c r="Y52" s="42"/>
      <c r="Z52" s="42"/>
      <c r="AA52" s="42"/>
      <c r="AB52" s="42"/>
      <c r="AC52" s="42"/>
      <c r="AD52" s="42"/>
      <c r="AE52" s="42"/>
      <c r="AF52" s="39"/>
    </row>
    <row r="53" spans="2:32" ht="12.75" customHeight="1">
      <c r="B53" s="78" t="s">
        <v>79</v>
      </c>
      <c r="C53" s="82"/>
      <c r="D53" s="82"/>
      <c r="E53" s="82"/>
      <c r="F53" s="82"/>
      <c r="G53" s="82"/>
      <c r="H53" s="82"/>
      <c r="J53" s="82"/>
      <c r="K53" s="82"/>
      <c r="L53" s="82"/>
      <c r="M53" s="82"/>
      <c r="N53" s="82"/>
      <c r="O53" s="82"/>
      <c r="P53" s="82"/>
      <c r="Q53" s="82"/>
      <c r="R53" s="32"/>
      <c r="S53" s="82"/>
      <c r="T53" s="82"/>
      <c r="U53" s="82"/>
      <c r="W53" s="32"/>
      <c r="X53" s="32"/>
      <c r="Y53" s="32"/>
      <c r="Z53" s="32"/>
      <c r="AA53" s="32"/>
      <c r="AB53" s="32"/>
      <c r="AC53" s="32"/>
      <c r="AD53" s="32"/>
      <c r="AE53" s="11"/>
      <c r="AF53" s="75"/>
    </row>
    <row r="54" spans="2:32" ht="12.75" customHeight="1">
      <c r="B54" s="9" t="s">
        <v>190</v>
      </c>
      <c r="C54" s="82">
        <v>231</v>
      </c>
      <c r="D54" s="82">
        <v>1705</v>
      </c>
      <c r="E54" s="82">
        <v>2136</v>
      </c>
      <c r="F54" s="82">
        <v>1921</v>
      </c>
      <c r="G54" s="82">
        <v>2545</v>
      </c>
      <c r="H54" s="82">
        <v>999</v>
      </c>
      <c r="J54" s="82">
        <v>2735</v>
      </c>
      <c r="K54" s="82">
        <v>2840</v>
      </c>
      <c r="L54" s="82">
        <v>2122</v>
      </c>
      <c r="M54" s="32">
        <f t="shared" ref="M54:M59" si="44">F54</f>
        <v>1921</v>
      </c>
      <c r="N54" s="82">
        <v>2809</v>
      </c>
      <c r="O54" s="82">
        <v>3092</v>
      </c>
      <c r="P54" s="82">
        <v>3037</v>
      </c>
      <c r="Q54" s="32">
        <f t="shared" ref="Q54:Q59" si="45">G54</f>
        <v>2545</v>
      </c>
      <c r="R54" s="82">
        <v>1757</v>
      </c>
      <c r="S54" s="82">
        <v>1470</v>
      </c>
      <c r="T54" s="82">
        <v>1203</v>
      </c>
      <c r="U54" s="32">
        <f t="shared" ref="U54:U59" si="46">H54</f>
        <v>999</v>
      </c>
      <c r="W54" s="32">
        <f>M54</f>
        <v>1921</v>
      </c>
      <c r="X54" s="32">
        <f>N54</f>
        <v>2809</v>
      </c>
      <c r="Y54" s="32">
        <f>O54</f>
        <v>3092</v>
      </c>
      <c r="Z54" s="32">
        <f>P54</f>
        <v>3037</v>
      </c>
      <c r="AA54" s="32">
        <f>Q54</f>
        <v>2545</v>
      </c>
      <c r="AB54" s="32">
        <f>R54</f>
        <v>1757</v>
      </c>
      <c r="AC54" s="32">
        <f>S54</f>
        <v>1470</v>
      </c>
      <c r="AD54" s="32">
        <f>T54</f>
        <v>1203</v>
      </c>
      <c r="AE54" s="11"/>
      <c r="AF54" s="75">
        <f t="shared" ref="AF54:AF60" si="47">SUM(AD54/Z54)-1</f>
        <v>-0.60388541323674683</v>
      </c>
    </row>
    <row r="55" spans="2:32" ht="12.75" customHeight="1">
      <c r="B55" s="9" t="s">
        <v>191</v>
      </c>
      <c r="C55" s="82">
        <v>3175</v>
      </c>
      <c r="D55" s="82">
        <v>3245</v>
      </c>
      <c r="E55" s="82">
        <v>3348</v>
      </c>
      <c r="F55" s="82">
        <v>3789</v>
      </c>
      <c r="G55" s="82">
        <v>4628</v>
      </c>
      <c r="H55" s="82">
        <v>5157</v>
      </c>
      <c r="J55" s="82">
        <v>3657</v>
      </c>
      <c r="K55" s="82">
        <v>3737</v>
      </c>
      <c r="L55" s="82">
        <v>3811</v>
      </c>
      <c r="M55" s="32">
        <f t="shared" si="44"/>
        <v>3789</v>
      </c>
      <c r="N55" s="82">
        <v>3941</v>
      </c>
      <c r="O55" s="82">
        <v>3998</v>
      </c>
      <c r="P55" s="82">
        <v>4133</v>
      </c>
      <c r="Q55" s="32">
        <f t="shared" si="45"/>
        <v>4628</v>
      </c>
      <c r="R55" s="82">
        <v>4631</v>
      </c>
      <c r="S55" s="82">
        <v>4760</v>
      </c>
      <c r="T55" s="82">
        <v>5005</v>
      </c>
      <c r="U55" s="32">
        <f t="shared" si="46"/>
        <v>5157</v>
      </c>
      <c r="W55" s="32">
        <f>M55</f>
        <v>3789</v>
      </c>
      <c r="X55" s="32">
        <f>N55</f>
        <v>3941</v>
      </c>
      <c r="Y55" s="32">
        <f>O55</f>
        <v>3998</v>
      </c>
      <c r="Z55" s="32">
        <f>P55</f>
        <v>4133</v>
      </c>
      <c r="AA55" s="32">
        <f>Q55</f>
        <v>4628</v>
      </c>
      <c r="AB55" s="32">
        <f>R55</f>
        <v>4631</v>
      </c>
      <c r="AC55" s="32">
        <f>S55</f>
        <v>4760</v>
      </c>
      <c r="AD55" s="32">
        <f>T55</f>
        <v>5005</v>
      </c>
      <c r="AE55" s="11"/>
      <c r="AF55" s="75">
        <f t="shared" si="47"/>
        <v>0.21098475683522855</v>
      </c>
    </row>
    <row r="56" spans="2:32" ht="12.75" customHeight="1">
      <c r="B56" s="9" t="s">
        <v>156</v>
      </c>
      <c r="C56" s="82">
        <v>2737</v>
      </c>
      <c r="D56" s="82">
        <v>2715</v>
      </c>
      <c r="E56" s="82">
        <v>3223</v>
      </c>
      <c r="F56" s="82">
        <v>3425</v>
      </c>
      <c r="G56" s="82">
        <v>3824</v>
      </c>
      <c r="H56" s="82">
        <v>4236</v>
      </c>
      <c r="J56" s="82">
        <v>3236</v>
      </c>
      <c r="K56" s="82">
        <v>3359</v>
      </c>
      <c r="L56" s="82">
        <v>3370</v>
      </c>
      <c r="M56" s="32">
        <f t="shared" si="44"/>
        <v>3425</v>
      </c>
      <c r="N56" s="82">
        <v>3472</v>
      </c>
      <c r="O56" s="82">
        <v>3630</v>
      </c>
      <c r="P56" s="82">
        <v>3766</v>
      </c>
      <c r="Q56" s="32">
        <f t="shared" si="45"/>
        <v>3824</v>
      </c>
      <c r="R56" s="82">
        <v>3974</v>
      </c>
      <c r="S56" s="82">
        <v>4023</v>
      </c>
      <c r="T56" s="82">
        <v>4143</v>
      </c>
      <c r="U56" s="32">
        <f t="shared" si="46"/>
        <v>4236</v>
      </c>
      <c r="W56" s="32">
        <f>M56</f>
        <v>3425</v>
      </c>
      <c r="X56" s="32">
        <f>N56</f>
        <v>3472</v>
      </c>
      <c r="Y56" s="32">
        <f>O56</f>
        <v>3630</v>
      </c>
      <c r="Z56" s="32">
        <f>P56</f>
        <v>3766</v>
      </c>
      <c r="AA56" s="32">
        <f>Q56</f>
        <v>3824</v>
      </c>
      <c r="AB56" s="32">
        <f>R56</f>
        <v>3974</v>
      </c>
      <c r="AC56" s="32">
        <f>S56</f>
        <v>4023</v>
      </c>
      <c r="AD56" s="32">
        <f>T56</f>
        <v>4143</v>
      </c>
      <c r="AE56" s="11"/>
      <c r="AF56" s="75">
        <f t="shared" ref="AF56:AF57" si="48">SUM(AD56/Z56)-1</f>
        <v>0.10010621348911308</v>
      </c>
    </row>
    <row r="57" spans="2:32" ht="12.75" customHeight="1">
      <c r="B57" s="9" t="s">
        <v>107</v>
      </c>
      <c r="C57" s="82">
        <v>15910</v>
      </c>
      <c r="D57" s="82">
        <v>15958</v>
      </c>
      <c r="E57" s="82">
        <v>17787</v>
      </c>
      <c r="F57" s="82">
        <v>17997</v>
      </c>
      <c r="G57" s="82">
        <v>18941</v>
      </c>
      <c r="H57" s="82">
        <v>19879</v>
      </c>
      <c r="J57" s="82">
        <v>18024</v>
      </c>
      <c r="K57" s="82">
        <v>18078</v>
      </c>
      <c r="L57" s="82">
        <v>18082</v>
      </c>
      <c r="M57" s="32">
        <f t="shared" si="44"/>
        <v>17997</v>
      </c>
      <c r="N57" s="82">
        <v>18120</v>
      </c>
      <c r="O57" s="82">
        <v>18837</v>
      </c>
      <c r="P57" s="82">
        <v>18816</v>
      </c>
      <c r="Q57" s="32">
        <f t="shared" si="45"/>
        <v>18941</v>
      </c>
      <c r="R57" s="82">
        <v>19548</v>
      </c>
      <c r="S57" s="82">
        <v>19641</v>
      </c>
      <c r="T57" s="82">
        <v>19880</v>
      </c>
      <c r="U57" s="32">
        <f t="shared" si="46"/>
        <v>19879</v>
      </c>
      <c r="W57" s="32">
        <f>M57</f>
        <v>17997</v>
      </c>
      <c r="X57" s="32">
        <f>N57</f>
        <v>18120</v>
      </c>
      <c r="Y57" s="32">
        <f>O57</f>
        <v>18837</v>
      </c>
      <c r="Z57" s="32">
        <f>P57</f>
        <v>18816</v>
      </c>
      <c r="AA57" s="32">
        <f>Q57</f>
        <v>18941</v>
      </c>
      <c r="AB57" s="32">
        <f>R57</f>
        <v>19548</v>
      </c>
      <c r="AC57" s="32">
        <f>S57</f>
        <v>19641</v>
      </c>
      <c r="AD57" s="32">
        <f>T57</f>
        <v>19880</v>
      </c>
      <c r="AE57" s="11"/>
      <c r="AF57" s="75">
        <f t="shared" si="48"/>
        <v>5.6547619047619069E-2</v>
      </c>
    </row>
    <row r="58" spans="2:32" ht="12.75" customHeight="1">
      <c r="B58" s="9" t="s">
        <v>138</v>
      </c>
      <c r="C58" s="82">
        <v>27808</v>
      </c>
      <c r="D58" s="82">
        <v>27664</v>
      </c>
      <c r="E58" s="82">
        <v>25065</v>
      </c>
      <c r="F58" s="82">
        <v>26104</v>
      </c>
      <c r="G58" s="82">
        <v>26889</v>
      </c>
      <c r="H58" s="82">
        <v>27646</v>
      </c>
      <c r="J58" s="82">
        <v>26307</v>
      </c>
      <c r="K58" s="82">
        <v>26574</v>
      </c>
      <c r="L58" s="82">
        <v>26576</v>
      </c>
      <c r="M58" s="32">
        <f t="shared" si="44"/>
        <v>26104</v>
      </c>
      <c r="N58" s="82">
        <v>26739</v>
      </c>
      <c r="O58" s="82">
        <v>26375</v>
      </c>
      <c r="P58" s="82">
        <v>26243</v>
      </c>
      <c r="Q58" s="32">
        <f t="shared" si="45"/>
        <v>26889</v>
      </c>
      <c r="R58" s="82">
        <v>25889</v>
      </c>
      <c r="S58" s="82">
        <v>26408</v>
      </c>
      <c r="T58" s="82">
        <v>27660</v>
      </c>
      <c r="U58" s="32">
        <f t="shared" si="46"/>
        <v>27646</v>
      </c>
      <c r="W58" s="32">
        <f>M58</f>
        <v>26104</v>
      </c>
      <c r="X58" s="32">
        <f>N58</f>
        <v>26739</v>
      </c>
      <c r="Y58" s="32">
        <f>O58</f>
        <v>26375</v>
      </c>
      <c r="Z58" s="32">
        <f>P58</f>
        <v>26243</v>
      </c>
      <c r="AA58" s="32">
        <f>Q58</f>
        <v>26889</v>
      </c>
      <c r="AB58" s="32">
        <f>R58</f>
        <v>25889</v>
      </c>
      <c r="AC58" s="32">
        <f>S58</f>
        <v>26408</v>
      </c>
      <c r="AD58" s="32">
        <f>T58</f>
        <v>27660</v>
      </c>
      <c r="AE58" s="11"/>
      <c r="AF58" s="75">
        <f t="shared" si="47"/>
        <v>5.3995351141256753E-2</v>
      </c>
    </row>
    <row r="59" spans="2:32" ht="12.75" customHeight="1">
      <c r="B59" s="9" t="s">
        <v>192</v>
      </c>
      <c r="C59" s="82">
        <v>3413</v>
      </c>
      <c r="D59" s="82">
        <v>4002</v>
      </c>
      <c r="E59" s="82">
        <v>3737</v>
      </c>
      <c r="F59" s="82">
        <v>3731</v>
      </c>
      <c r="G59" s="82">
        <v>3651</v>
      </c>
      <c r="H59" s="82">
        <v>3944</v>
      </c>
      <c r="J59" s="82">
        <v>3569</v>
      </c>
      <c r="K59" s="82">
        <v>3510</v>
      </c>
      <c r="L59" s="82">
        <v>3603</v>
      </c>
      <c r="M59" s="32">
        <f t="shared" si="44"/>
        <v>3731</v>
      </c>
      <c r="N59" s="82">
        <v>3596</v>
      </c>
      <c r="O59" s="82">
        <v>3692</v>
      </c>
      <c r="P59" s="82">
        <v>4006</v>
      </c>
      <c r="Q59" s="32">
        <f t="shared" si="45"/>
        <v>3651</v>
      </c>
      <c r="R59" s="82">
        <v>3467</v>
      </c>
      <c r="S59" s="82">
        <v>3617</v>
      </c>
      <c r="T59" s="82">
        <v>3735</v>
      </c>
      <c r="U59" s="32">
        <f t="shared" si="46"/>
        <v>3944</v>
      </c>
      <c r="W59" s="32">
        <f>M59</f>
        <v>3731</v>
      </c>
      <c r="X59" s="32">
        <f>N59</f>
        <v>3596</v>
      </c>
      <c r="Y59" s="32">
        <f>O59</f>
        <v>3692</v>
      </c>
      <c r="Z59" s="32">
        <f>P59</f>
        <v>4006</v>
      </c>
      <c r="AA59" s="32">
        <f>Q59</f>
        <v>3651</v>
      </c>
      <c r="AB59" s="32">
        <f>R59</f>
        <v>3467</v>
      </c>
      <c r="AC59" s="32">
        <f>S59</f>
        <v>3617</v>
      </c>
      <c r="AD59" s="32">
        <f>T59</f>
        <v>3735</v>
      </c>
      <c r="AE59" s="11"/>
      <c r="AF59" s="75">
        <f t="shared" si="47"/>
        <v>-6.7648527209186238E-2</v>
      </c>
    </row>
    <row r="60" spans="2:32" ht="12.75" customHeight="1">
      <c r="B60" s="13" t="s">
        <v>19</v>
      </c>
      <c r="C60" s="14">
        <f>SUM(C54:C59)+C51</f>
        <v>80919</v>
      </c>
      <c r="D60" s="14">
        <f>SUM(D54:D59)+D51</f>
        <v>82896</v>
      </c>
      <c r="E60" s="14">
        <f>SUM(E54:E59)+E51</f>
        <v>85501</v>
      </c>
      <c r="F60" s="14">
        <f>SUM(F54:F59)+F51</f>
        <v>90499</v>
      </c>
      <c r="G60" s="14">
        <f>SUM(G54:G59)+G51</f>
        <v>94511</v>
      </c>
      <c r="H60" s="14">
        <f>SUM(H54:H59)+H51</f>
        <v>99627</v>
      </c>
      <c r="J60" s="14">
        <f>SUM(J54:J59)+J51</f>
        <v>85387</v>
      </c>
      <c r="K60" s="14">
        <f>SUM(K54:K59)+K51</f>
        <v>86755</v>
      </c>
      <c r="L60" s="14">
        <f>SUM(L54:L59)+L51</f>
        <v>89234</v>
      </c>
      <c r="M60" s="14">
        <f>SUM(M54:M59)+M51</f>
        <v>90499</v>
      </c>
      <c r="N60" s="14">
        <f>SUM(N54:N59)+N51</f>
        <v>91409</v>
      </c>
      <c r="O60" s="14">
        <f>SUM(O54:O59)+O51</f>
        <v>92399</v>
      </c>
      <c r="P60" s="14">
        <f>SUM(P54:P59)+P51</f>
        <v>91040</v>
      </c>
      <c r="Q60" s="14">
        <f>SUM(Q54:Q59)+Q51</f>
        <v>94511</v>
      </c>
      <c r="R60" s="14">
        <f>SUM(R54:R59)+R51</f>
        <v>91888</v>
      </c>
      <c r="S60" s="14">
        <f>SUM(S54:S59)+S51</f>
        <v>92853</v>
      </c>
      <c r="T60" s="14">
        <f>SUM(T54:T59)+T51</f>
        <v>100024</v>
      </c>
      <c r="U60" s="14">
        <f>SUM(U54:U59)+U51</f>
        <v>99627</v>
      </c>
      <c r="W60" s="14">
        <f>SUM(W54:W59)+W51</f>
        <v>87915</v>
      </c>
      <c r="X60" s="14">
        <f>SUM(X54:X59)+X51</f>
        <v>88656</v>
      </c>
      <c r="Y60" s="14">
        <f>SUM(Y54:Y59)+Y51</f>
        <v>89848</v>
      </c>
      <c r="Z60" s="14">
        <f>SUM(Z54:Z59)+Z51</f>
        <v>91040</v>
      </c>
      <c r="AA60" s="14">
        <f>SUM(AA54:AA59)+AA51</f>
        <v>94511</v>
      </c>
      <c r="AB60" s="14">
        <f>SUM(AB54:AB59)+AB51</f>
        <v>91888</v>
      </c>
      <c r="AC60" s="14">
        <f>SUM(AC54:AC59)+AC51</f>
        <v>92853</v>
      </c>
      <c r="AD60" s="34">
        <f>SUM(AD54:AD59)+AD51</f>
        <v>100024</v>
      </c>
      <c r="AE60" s="42"/>
      <c r="AF60" s="76">
        <f t="shared" si="47"/>
        <v>9.8681898066783846E-2</v>
      </c>
    </row>
    <row r="61" spans="2:32" ht="12.75" customHeight="1">
      <c r="B61" s="25"/>
      <c r="C61" s="50"/>
      <c r="D61" s="50"/>
      <c r="E61" s="50"/>
      <c r="F61" s="41"/>
      <c r="G61" s="41"/>
      <c r="H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W61" s="42"/>
      <c r="X61" s="42"/>
      <c r="Y61" s="42"/>
      <c r="Z61" s="42"/>
      <c r="AA61" s="42"/>
      <c r="AB61" s="42"/>
      <c r="AC61" s="42"/>
      <c r="AD61" s="42"/>
      <c r="AE61" s="42"/>
      <c r="AF61" s="39"/>
    </row>
    <row r="62" spans="2:32" ht="12.75" customHeight="1">
      <c r="B62" s="78" t="s">
        <v>45</v>
      </c>
      <c r="C62" s="50"/>
      <c r="D62" s="50"/>
      <c r="E62" s="50"/>
      <c r="F62" s="41"/>
      <c r="G62" s="41"/>
      <c r="H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W62" s="42"/>
      <c r="X62" s="42"/>
      <c r="Y62" s="42"/>
      <c r="Z62" s="42"/>
      <c r="AA62" s="42"/>
      <c r="AB62" s="42"/>
      <c r="AC62" s="42"/>
      <c r="AD62" s="42"/>
      <c r="AE62" s="42"/>
      <c r="AF62" s="39"/>
    </row>
    <row r="63" spans="2:32" ht="12.75" customHeight="1">
      <c r="B63" s="120" t="s">
        <v>157</v>
      </c>
      <c r="C63" s="121">
        <v>174</v>
      </c>
      <c r="D63" s="121">
        <v>266</v>
      </c>
      <c r="E63" s="121">
        <v>340</v>
      </c>
      <c r="F63" s="121">
        <v>375</v>
      </c>
      <c r="G63" s="121">
        <v>479</v>
      </c>
      <c r="H63" s="121">
        <v>555</v>
      </c>
      <c r="J63" s="82">
        <v>258</v>
      </c>
      <c r="K63" s="82">
        <v>280</v>
      </c>
      <c r="L63" s="82">
        <v>281</v>
      </c>
      <c r="M63" s="32">
        <f t="shared" ref="M63:M70" si="49">F63</f>
        <v>375</v>
      </c>
      <c r="N63" s="82">
        <v>348</v>
      </c>
      <c r="O63" s="82">
        <v>338</v>
      </c>
      <c r="P63" s="82">
        <v>331</v>
      </c>
      <c r="Q63" s="32">
        <f t="shared" ref="Q63:Q70" si="50">G63</f>
        <v>479</v>
      </c>
      <c r="R63" s="82">
        <v>405</v>
      </c>
      <c r="S63" s="82">
        <v>421</v>
      </c>
      <c r="T63" s="82">
        <v>462</v>
      </c>
      <c r="U63" s="32">
        <f t="shared" ref="U63:U70" si="51">H63</f>
        <v>555</v>
      </c>
      <c r="W63" s="97">
        <f>M63</f>
        <v>375</v>
      </c>
      <c r="X63" s="97">
        <f>N63</f>
        <v>348</v>
      </c>
      <c r="Y63" s="97">
        <f>O63</f>
        <v>338</v>
      </c>
      <c r="Z63" s="97">
        <f>P63</f>
        <v>331</v>
      </c>
      <c r="AA63" s="97">
        <f>Q63</f>
        <v>479</v>
      </c>
      <c r="AB63" s="97">
        <f>R63</f>
        <v>405</v>
      </c>
      <c r="AC63" s="97">
        <f>S63</f>
        <v>421</v>
      </c>
      <c r="AD63" s="97">
        <f>T63</f>
        <v>462</v>
      </c>
      <c r="AE63" s="11"/>
      <c r="AF63" s="75">
        <f t="shared" ref="AF63:AF71" si="52">SUM(AD63/Z63)-1</f>
        <v>0.39577039274924464</v>
      </c>
    </row>
    <row r="64" spans="2:32" ht="12.75" customHeight="1">
      <c r="B64" s="120" t="s">
        <v>193</v>
      </c>
      <c r="C64" s="121">
        <v>1736</v>
      </c>
      <c r="D64" s="121">
        <v>2443</v>
      </c>
      <c r="E64" s="121">
        <v>3281</v>
      </c>
      <c r="F64" s="121">
        <v>3269</v>
      </c>
      <c r="G64" s="121">
        <v>5265</v>
      </c>
      <c r="H64" s="121">
        <v>4568</v>
      </c>
      <c r="J64" s="82">
        <v>3573</v>
      </c>
      <c r="K64" s="82">
        <v>3069</v>
      </c>
      <c r="L64" s="82">
        <v>3675</v>
      </c>
      <c r="M64" s="32">
        <f t="shared" si="49"/>
        <v>3269</v>
      </c>
      <c r="N64" s="82">
        <v>3724</v>
      </c>
      <c r="O64" s="82">
        <v>4485</v>
      </c>
      <c r="P64" s="82">
        <v>2576</v>
      </c>
      <c r="Q64" s="32">
        <f t="shared" si="50"/>
        <v>5265</v>
      </c>
      <c r="R64" s="82">
        <v>4425</v>
      </c>
      <c r="S64" s="82">
        <v>4996</v>
      </c>
      <c r="T64" s="82">
        <v>6038</v>
      </c>
      <c r="U64" s="32">
        <f t="shared" si="51"/>
        <v>4568</v>
      </c>
      <c r="W64" s="97">
        <f t="shared" ref="W64:W70" si="53">M64</f>
        <v>3269</v>
      </c>
      <c r="X64" s="97">
        <f t="shared" ref="X64:X70" si="54">N64</f>
        <v>3724</v>
      </c>
      <c r="Y64" s="97">
        <f t="shared" ref="Y64:Y70" si="55">O64</f>
        <v>4485</v>
      </c>
      <c r="Z64" s="97">
        <f t="shared" ref="Z64:Z70" si="56">P64</f>
        <v>2576</v>
      </c>
      <c r="AA64" s="97">
        <f t="shared" ref="AA64:AA70" si="57">Q64</f>
        <v>5265</v>
      </c>
      <c r="AB64" s="97">
        <f t="shared" ref="AB64:AB70" si="58">R64</f>
        <v>4425</v>
      </c>
      <c r="AC64" s="97">
        <f t="shared" ref="AC64:AC70" si="59">S64</f>
        <v>4996</v>
      </c>
      <c r="AD64" s="97">
        <f t="shared" ref="AD64:AD70" si="60">T64</f>
        <v>6038</v>
      </c>
      <c r="AE64" s="11"/>
      <c r="AF64" s="75">
        <f t="shared" ref="AF64:AF70" si="61">SUM(AD64/Z64)-1</f>
        <v>1.343944099378882</v>
      </c>
    </row>
    <row r="65" spans="2:32" ht="12.75" customHeight="1">
      <c r="B65" s="120" t="s">
        <v>188</v>
      </c>
      <c r="C65" s="121">
        <v>1850</v>
      </c>
      <c r="D65" s="121">
        <v>2260</v>
      </c>
      <c r="E65" s="121">
        <v>2342</v>
      </c>
      <c r="F65" s="121">
        <v>3005</v>
      </c>
      <c r="G65" s="121">
        <v>3524</v>
      </c>
      <c r="H65" s="121">
        <v>3625</v>
      </c>
      <c r="J65" s="82">
        <v>2591</v>
      </c>
      <c r="K65" s="82">
        <v>2739</v>
      </c>
      <c r="L65" s="82">
        <v>2907</v>
      </c>
      <c r="M65" s="32">
        <f t="shared" si="49"/>
        <v>3005</v>
      </c>
      <c r="N65" s="82">
        <v>3164</v>
      </c>
      <c r="O65" s="82">
        <v>3367</v>
      </c>
      <c r="P65" s="82">
        <v>3472</v>
      </c>
      <c r="Q65" s="32">
        <f t="shared" si="50"/>
        <v>3524</v>
      </c>
      <c r="R65" s="82">
        <v>3518</v>
      </c>
      <c r="S65" s="82">
        <v>3543</v>
      </c>
      <c r="T65" s="82">
        <v>3614</v>
      </c>
      <c r="U65" s="32">
        <f t="shared" si="51"/>
        <v>3625</v>
      </c>
      <c r="W65" s="97">
        <f t="shared" si="53"/>
        <v>3005</v>
      </c>
      <c r="X65" s="97">
        <f t="shared" si="54"/>
        <v>3164</v>
      </c>
      <c r="Y65" s="97">
        <f t="shared" si="55"/>
        <v>3367</v>
      </c>
      <c r="Z65" s="97">
        <f t="shared" si="56"/>
        <v>3472</v>
      </c>
      <c r="AA65" s="97">
        <f t="shared" si="57"/>
        <v>3524</v>
      </c>
      <c r="AB65" s="97">
        <f t="shared" si="58"/>
        <v>3518</v>
      </c>
      <c r="AC65" s="97">
        <f t="shared" si="59"/>
        <v>3543</v>
      </c>
      <c r="AD65" s="97">
        <f t="shared" si="60"/>
        <v>3614</v>
      </c>
      <c r="AE65" s="11"/>
      <c r="AF65" s="75">
        <f t="shared" si="61"/>
        <v>4.0898617511520685E-2</v>
      </c>
    </row>
    <row r="66" spans="2:32" ht="12.75" customHeight="1">
      <c r="B66" s="120" t="s">
        <v>194</v>
      </c>
      <c r="C66" s="121">
        <v>821</v>
      </c>
      <c r="D66" s="121">
        <v>1211</v>
      </c>
      <c r="E66" s="121">
        <v>1359</v>
      </c>
      <c r="F66" s="121">
        <v>1506</v>
      </c>
      <c r="G66" s="121">
        <v>1538</v>
      </c>
      <c r="H66" s="121">
        <v>1863</v>
      </c>
      <c r="J66" s="82">
        <v>736</v>
      </c>
      <c r="K66" s="82">
        <v>998</v>
      </c>
      <c r="L66" s="82">
        <v>1215</v>
      </c>
      <c r="M66" s="32">
        <f t="shared" si="49"/>
        <v>1506</v>
      </c>
      <c r="N66" s="82">
        <v>816</v>
      </c>
      <c r="O66" s="82">
        <v>1065</v>
      </c>
      <c r="P66" s="82">
        <v>1251</v>
      </c>
      <c r="Q66" s="32">
        <f t="shared" si="50"/>
        <v>1538</v>
      </c>
      <c r="R66" s="82">
        <v>1226</v>
      </c>
      <c r="S66" s="82">
        <v>1225</v>
      </c>
      <c r="T66" s="82">
        <v>1474</v>
      </c>
      <c r="U66" s="32">
        <f t="shared" si="51"/>
        <v>1863</v>
      </c>
      <c r="W66" s="97">
        <f t="shared" si="53"/>
        <v>1506</v>
      </c>
      <c r="X66" s="97">
        <f t="shared" si="54"/>
        <v>816</v>
      </c>
      <c r="Y66" s="97">
        <f t="shared" si="55"/>
        <v>1065</v>
      </c>
      <c r="Z66" s="97">
        <f t="shared" si="56"/>
        <v>1251</v>
      </c>
      <c r="AA66" s="97">
        <f t="shared" si="57"/>
        <v>1538</v>
      </c>
      <c r="AB66" s="97">
        <f t="shared" si="58"/>
        <v>1226</v>
      </c>
      <c r="AC66" s="97">
        <f t="shared" si="59"/>
        <v>1225</v>
      </c>
      <c r="AD66" s="97">
        <f t="shared" si="60"/>
        <v>1474</v>
      </c>
      <c r="AE66" s="11"/>
      <c r="AF66" s="75">
        <f t="shared" si="61"/>
        <v>0.17825739408473229</v>
      </c>
    </row>
    <row r="67" spans="2:32" ht="12.75" customHeight="1">
      <c r="B67" s="120" t="s">
        <v>173</v>
      </c>
      <c r="C67" s="121">
        <v>4176</v>
      </c>
      <c r="D67" s="121">
        <v>5243</v>
      </c>
      <c r="E67" s="121">
        <v>6099</v>
      </c>
      <c r="F67" s="121">
        <v>8177</v>
      </c>
      <c r="G67" s="121">
        <v>9075</v>
      </c>
      <c r="H67" s="121">
        <v>10369</v>
      </c>
      <c r="J67" s="82">
        <v>6553</v>
      </c>
      <c r="K67" s="82">
        <v>6783</v>
      </c>
      <c r="L67" s="82">
        <v>7532</v>
      </c>
      <c r="M67" s="32">
        <f t="shared" si="49"/>
        <v>8177</v>
      </c>
      <c r="N67" s="82">
        <v>8034</v>
      </c>
      <c r="O67" s="82">
        <v>7949</v>
      </c>
      <c r="P67" s="82">
        <v>8562</v>
      </c>
      <c r="Q67" s="32">
        <f t="shared" si="50"/>
        <v>9075</v>
      </c>
      <c r="R67" s="82">
        <v>9249</v>
      </c>
      <c r="S67" s="82">
        <v>9665</v>
      </c>
      <c r="T67" s="82">
        <v>10032</v>
      </c>
      <c r="U67" s="32">
        <f t="shared" si="51"/>
        <v>10369</v>
      </c>
      <c r="W67" s="97">
        <f t="shared" si="53"/>
        <v>8177</v>
      </c>
      <c r="X67" s="97">
        <f t="shared" si="54"/>
        <v>8034</v>
      </c>
      <c r="Y67" s="97">
        <f t="shared" si="55"/>
        <v>7949</v>
      </c>
      <c r="Z67" s="97">
        <f t="shared" si="56"/>
        <v>8562</v>
      </c>
      <c r="AA67" s="97">
        <f t="shared" si="57"/>
        <v>9075</v>
      </c>
      <c r="AB67" s="97">
        <f t="shared" si="58"/>
        <v>9249</v>
      </c>
      <c r="AC67" s="97">
        <f t="shared" si="59"/>
        <v>9665</v>
      </c>
      <c r="AD67" s="97">
        <f t="shared" si="60"/>
        <v>10032</v>
      </c>
      <c r="AE67" s="11"/>
      <c r="AF67" s="75">
        <f t="shared" si="61"/>
        <v>0.17168885774351783</v>
      </c>
    </row>
    <row r="68" spans="2:32" ht="12.75" customHeight="1">
      <c r="B68" s="120" t="s">
        <v>195</v>
      </c>
      <c r="C68" s="121">
        <v>1840</v>
      </c>
      <c r="D68" s="121">
        <v>2334</v>
      </c>
      <c r="E68" s="121">
        <v>3726</v>
      </c>
      <c r="F68" s="121">
        <v>5015</v>
      </c>
      <c r="G68" s="121">
        <v>4909</v>
      </c>
      <c r="H68" s="121">
        <v>5466</v>
      </c>
      <c r="J68" s="82">
        <v>3940</v>
      </c>
      <c r="K68" s="82">
        <v>3626</v>
      </c>
      <c r="L68" s="82">
        <v>4075</v>
      </c>
      <c r="M68" s="32">
        <f t="shared" si="49"/>
        <v>5015</v>
      </c>
      <c r="N68" s="82">
        <v>5077</v>
      </c>
      <c r="O68" s="82">
        <v>4386</v>
      </c>
      <c r="P68" s="82">
        <v>4732</v>
      </c>
      <c r="Q68" s="32">
        <f t="shared" si="50"/>
        <v>4909</v>
      </c>
      <c r="R68" s="82">
        <v>4690</v>
      </c>
      <c r="S68" s="82">
        <v>4507</v>
      </c>
      <c r="T68" s="82">
        <v>4907</v>
      </c>
      <c r="U68" s="32">
        <f t="shared" si="51"/>
        <v>5466</v>
      </c>
      <c r="W68" s="97">
        <f t="shared" si="53"/>
        <v>5015</v>
      </c>
      <c r="X68" s="97">
        <f t="shared" si="54"/>
        <v>5077</v>
      </c>
      <c r="Y68" s="97">
        <f t="shared" si="55"/>
        <v>4386</v>
      </c>
      <c r="Z68" s="97">
        <f t="shared" si="56"/>
        <v>4732</v>
      </c>
      <c r="AA68" s="97">
        <f t="shared" si="57"/>
        <v>4909</v>
      </c>
      <c r="AB68" s="97">
        <f t="shared" si="58"/>
        <v>4690</v>
      </c>
      <c r="AC68" s="97">
        <f t="shared" si="59"/>
        <v>4507</v>
      </c>
      <c r="AD68" s="97">
        <f t="shared" si="60"/>
        <v>4907</v>
      </c>
      <c r="AE68" s="11"/>
      <c r="AF68" s="75">
        <f t="shared" si="61"/>
        <v>3.6982248520710082E-2</v>
      </c>
    </row>
    <row r="69" spans="2:32" ht="12.75" customHeight="1">
      <c r="B69" s="120" t="s">
        <v>196</v>
      </c>
      <c r="C69" s="121">
        <v>2999</v>
      </c>
      <c r="D69" s="121">
        <v>999</v>
      </c>
      <c r="E69" s="121">
        <v>2250</v>
      </c>
      <c r="F69" s="121">
        <v>0</v>
      </c>
      <c r="G69" s="121">
        <v>0</v>
      </c>
      <c r="H69" s="121">
        <v>5569</v>
      </c>
      <c r="J69" s="82">
        <v>0</v>
      </c>
      <c r="K69" s="82">
        <v>0</v>
      </c>
      <c r="L69" s="82">
        <v>0</v>
      </c>
      <c r="M69" s="32">
        <f t="shared" si="49"/>
        <v>0</v>
      </c>
      <c r="N69" s="82">
        <v>0</v>
      </c>
      <c r="O69" s="82">
        <v>0</v>
      </c>
      <c r="P69" s="82">
        <v>0</v>
      </c>
      <c r="Q69" s="32">
        <f t="shared" si="50"/>
        <v>0</v>
      </c>
      <c r="R69" s="82">
        <v>3929</v>
      </c>
      <c r="S69" s="82">
        <v>3948</v>
      </c>
      <c r="T69" s="82">
        <v>5548</v>
      </c>
      <c r="U69" s="32">
        <f t="shared" si="51"/>
        <v>5569</v>
      </c>
      <c r="W69" s="97">
        <f t="shared" si="53"/>
        <v>0</v>
      </c>
      <c r="X69" s="97">
        <f t="shared" si="54"/>
        <v>0</v>
      </c>
      <c r="Y69" s="97">
        <f t="shared" si="55"/>
        <v>0</v>
      </c>
      <c r="Z69" s="97">
        <f t="shared" si="56"/>
        <v>0</v>
      </c>
      <c r="AA69" s="97">
        <f t="shared" si="57"/>
        <v>0</v>
      </c>
      <c r="AB69" s="97">
        <f t="shared" si="58"/>
        <v>3929</v>
      </c>
      <c r="AC69" s="97">
        <f t="shared" si="59"/>
        <v>3948</v>
      </c>
      <c r="AD69" s="97">
        <f t="shared" si="60"/>
        <v>5548</v>
      </c>
      <c r="AE69" s="11"/>
      <c r="AF69" s="75" t="e">
        <f t="shared" si="61"/>
        <v>#DIV/0!</v>
      </c>
    </row>
    <row r="70" spans="2:32" ht="12.75" customHeight="1">
      <c r="B70" s="120" t="s">
        <v>197</v>
      </c>
      <c r="C70" s="121">
        <v>914</v>
      </c>
      <c r="D70" s="121">
        <v>983</v>
      </c>
      <c r="E70" s="121">
        <v>1456</v>
      </c>
      <c r="F70" s="121">
        <v>1751</v>
      </c>
      <c r="G70" s="121">
        <v>1727</v>
      </c>
      <c r="H70" s="121">
        <v>3033</v>
      </c>
      <c r="J70" s="82">
        <v>1702</v>
      </c>
      <c r="K70" s="82">
        <v>1602</v>
      </c>
      <c r="L70" s="82">
        <v>1545</v>
      </c>
      <c r="M70" s="32">
        <f t="shared" si="49"/>
        <v>1751</v>
      </c>
      <c r="N70" s="82">
        <v>1471</v>
      </c>
      <c r="O70" s="82">
        <v>1853</v>
      </c>
      <c r="P70" s="82">
        <v>1688</v>
      </c>
      <c r="Q70" s="32">
        <f t="shared" si="50"/>
        <v>1727</v>
      </c>
      <c r="R70" s="82">
        <v>1649</v>
      </c>
      <c r="S70" s="82">
        <v>2076</v>
      </c>
      <c r="T70" s="82">
        <v>2352</v>
      </c>
      <c r="U70" s="32">
        <f t="shared" si="51"/>
        <v>3033</v>
      </c>
      <c r="W70" s="97">
        <f t="shared" si="53"/>
        <v>1751</v>
      </c>
      <c r="X70" s="97">
        <f t="shared" si="54"/>
        <v>1471</v>
      </c>
      <c r="Y70" s="97">
        <f t="shared" si="55"/>
        <v>1853</v>
      </c>
      <c r="Z70" s="97">
        <f t="shared" si="56"/>
        <v>1688</v>
      </c>
      <c r="AA70" s="97">
        <f t="shared" si="57"/>
        <v>1727</v>
      </c>
      <c r="AB70" s="97">
        <f t="shared" si="58"/>
        <v>1649</v>
      </c>
      <c r="AC70" s="97">
        <f t="shared" si="59"/>
        <v>2076</v>
      </c>
      <c r="AD70" s="97">
        <f t="shared" si="60"/>
        <v>2352</v>
      </c>
      <c r="AE70" s="11"/>
      <c r="AF70" s="75">
        <f t="shared" si="61"/>
        <v>0.39336492890995256</v>
      </c>
    </row>
    <row r="71" spans="2:32" ht="12.75" customHeight="1">
      <c r="B71" s="25" t="s">
        <v>17</v>
      </c>
      <c r="C71" s="26">
        <f>SUM(C63:C70)</f>
        <v>14510</v>
      </c>
      <c r="D71" s="26">
        <f>SUM(D63:D70)</f>
        <v>15739</v>
      </c>
      <c r="E71" s="26">
        <f>SUM(E63:E70)</f>
        <v>20853</v>
      </c>
      <c r="F71" s="26">
        <f>SUM(F63:F70)</f>
        <v>23098</v>
      </c>
      <c r="G71" s="26">
        <f>SUM(G63:G70)</f>
        <v>26517</v>
      </c>
      <c r="H71" s="26">
        <f>SUM(H63:H70)</f>
        <v>35048</v>
      </c>
      <c r="J71" s="26">
        <f>SUM(J63:J70)</f>
        <v>19353</v>
      </c>
      <c r="K71" s="26">
        <f>SUM(K63:K70)</f>
        <v>19097</v>
      </c>
      <c r="L71" s="26">
        <f>SUM(L63:L70)</f>
        <v>21230</v>
      </c>
      <c r="M71" s="26">
        <f>SUM(M63:M70)</f>
        <v>23098</v>
      </c>
      <c r="N71" s="26">
        <f>SUM(N63:N70)</f>
        <v>22634</v>
      </c>
      <c r="O71" s="26">
        <f>SUM(O63:O70)</f>
        <v>23443</v>
      </c>
      <c r="P71" s="26">
        <f>SUM(P63:P70)</f>
        <v>22612</v>
      </c>
      <c r="Q71" s="26">
        <f>SUM(Q63:Q70)</f>
        <v>26517</v>
      </c>
      <c r="R71" s="26">
        <f>SUM(R63:R70)</f>
        <v>29091</v>
      </c>
      <c r="S71" s="26">
        <f>SUM(S63:S70)</f>
        <v>30381</v>
      </c>
      <c r="T71" s="26">
        <f>SUM(T63:T70)</f>
        <v>34427</v>
      </c>
      <c r="U71" s="26">
        <f>SUM(U63:U70)</f>
        <v>35048</v>
      </c>
      <c r="V71" s="48"/>
      <c r="W71" s="26">
        <f>SUM(W63:W70)</f>
        <v>23098</v>
      </c>
      <c r="X71" s="26">
        <f>SUM(X63:X70)</f>
        <v>22634</v>
      </c>
      <c r="Y71" s="26">
        <f>SUM(Y63:Y70)</f>
        <v>23443</v>
      </c>
      <c r="Z71" s="26">
        <f>SUM(Z63:Z70)</f>
        <v>22612</v>
      </c>
      <c r="AA71" s="26">
        <f>SUM(AA63:AA70)</f>
        <v>26517</v>
      </c>
      <c r="AB71" s="26">
        <f>SUM(AB63:AB70)</f>
        <v>29091</v>
      </c>
      <c r="AC71" s="26">
        <f>SUM(AC63:AC70)</f>
        <v>30381</v>
      </c>
      <c r="AD71" s="26">
        <f>SUM(AD63:AD70)</f>
        <v>34427</v>
      </c>
      <c r="AE71" s="42"/>
      <c r="AF71" s="76">
        <f t="shared" si="52"/>
        <v>0.52251017159030599</v>
      </c>
    </row>
    <row r="72" spans="2:32" ht="5.0999999999999996" customHeight="1">
      <c r="B72" s="25"/>
      <c r="C72" s="50"/>
      <c r="D72" s="50"/>
      <c r="E72" s="50"/>
      <c r="F72" s="41"/>
      <c r="G72" s="41"/>
      <c r="H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W72" s="42"/>
      <c r="X72" s="42"/>
      <c r="Y72" s="42"/>
      <c r="Z72" s="42"/>
      <c r="AA72" s="42"/>
      <c r="AB72" s="42"/>
      <c r="AC72" s="42"/>
      <c r="AD72" s="42"/>
      <c r="AE72" s="42"/>
      <c r="AF72" s="39"/>
    </row>
    <row r="73" spans="2:32">
      <c r="B73" s="78" t="s">
        <v>80</v>
      </c>
      <c r="C73" s="50"/>
      <c r="D73" s="50"/>
      <c r="E73" s="50"/>
      <c r="F73" s="41"/>
      <c r="G73" s="41"/>
      <c r="H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W73" s="42"/>
      <c r="X73" s="42"/>
      <c r="Y73" s="42"/>
      <c r="Z73" s="42"/>
      <c r="AA73" s="42"/>
      <c r="AB73" s="42"/>
      <c r="AC73" s="42"/>
      <c r="AD73" s="42"/>
      <c r="AE73" s="42"/>
      <c r="AF73" s="39"/>
    </row>
    <row r="74" spans="2:32" ht="12.75" customHeight="1">
      <c r="B74" s="120" t="s">
        <v>158</v>
      </c>
      <c r="C74" s="121">
        <v>21071</v>
      </c>
      <c r="D74" s="121">
        <v>19978</v>
      </c>
      <c r="E74" s="121">
        <v>20200</v>
      </c>
      <c r="F74" s="121">
        <v>20463</v>
      </c>
      <c r="G74" s="121">
        <v>20836</v>
      </c>
      <c r="H74" s="121">
        <v>19602</v>
      </c>
      <c r="I74" s="51"/>
      <c r="J74" s="82">
        <v>20487</v>
      </c>
      <c r="K74" s="82">
        <v>20606</v>
      </c>
      <c r="L74" s="82">
        <v>20560</v>
      </c>
      <c r="M74" s="32">
        <f t="shared" ref="M74:M76" si="62">F74</f>
        <v>20463</v>
      </c>
      <c r="N74" s="82">
        <v>20703</v>
      </c>
      <c r="O74" s="82">
        <v>20603</v>
      </c>
      <c r="P74" s="82">
        <v>20602</v>
      </c>
      <c r="Q74" s="32">
        <f t="shared" ref="Q74:Q76" si="63">G74</f>
        <v>20836</v>
      </c>
      <c r="R74" s="82">
        <v>16680</v>
      </c>
      <c r="S74" s="82">
        <v>16814</v>
      </c>
      <c r="T74" s="82">
        <v>19590</v>
      </c>
      <c r="U74" s="32">
        <f t="shared" ref="U74:U76" si="64">H74</f>
        <v>19602</v>
      </c>
      <c r="V74" s="121"/>
      <c r="W74" s="97">
        <f>M74</f>
        <v>20463</v>
      </c>
      <c r="X74" s="97">
        <f>N74</f>
        <v>20703</v>
      </c>
      <c r="Y74" s="97">
        <f>O74</f>
        <v>20603</v>
      </c>
      <c r="Z74" s="97">
        <f>P74</f>
        <v>20602</v>
      </c>
      <c r="AA74" s="97">
        <f>Q74</f>
        <v>20836</v>
      </c>
      <c r="AB74" s="97">
        <f>R74</f>
        <v>16680</v>
      </c>
      <c r="AC74" s="97">
        <f>S74</f>
        <v>16814</v>
      </c>
      <c r="AD74" s="97">
        <f>T74</f>
        <v>19590</v>
      </c>
      <c r="AE74" s="42"/>
      <c r="AF74" s="75">
        <f t="shared" ref="AF74:AF84" si="65">SUM(AD74/Z74)-1</f>
        <v>-4.9121444519949486E-2</v>
      </c>
    </row>
    <row r="75" spans="2:32" ht="12.75" customHeight="1">
      <c r="B75" s="120" t="s">
        <v>198</v>
      </c>
      <c r="C75" s="121">
        <v>5237</v>
      </c>
      <c r="D75" s="121">
        <v>6128</v>
      </c>
      <c r="E75" s="121">
        <v>5332</v>
      </c>
      <c r="F75" s="121">
        <v>5114</v>
      </c>
      <c r="G75" s="121">
        <v>5301</v>
      </c>
      <c r="H75" s="121">
        <v>5549</v>
      </c>
      <c r="I75" s="51"/>
      <c r="J75" s="82">
        <v>5443</v>
      </c>
      <c r="K75" s="82">
        <v>5462</v>
      </c>
      <c r="L75" s="82">
        <v>5380</v>
      </c>
      <c r="M75" s="32">
        <f t="shared" si="62"/>
        <v>5114</v>
      </c>
      <c r="N75" s="82">
        <v>5275</v>
      </c>
      <c r="O75" s="82">
        <v>5145</v>
      </c>
      <c r="P75" s="82">
        <v>5119</v>
      </c>
      <c r="Q75" s="32">
        <f t="shared" si="63"/>
        <v>5301</v>
      </c>
      <c r="R75" s="82">
        <v>5192</v>
      </c>
      <c r="S75" s="82">
        <v>5160</v>
      </c>
      <c r="T75" s="82">
        <v>5755</v>
      </c>
      <c r="U75" s="32">
        <f t="shared" si="64"/>
        <v>5549</v>
      </c>
      <c r="V75" s="121"/>
      <c r="W75" s="97">
        <f>M75</f>
        <v>5114</v>
      </c>
      <c r="X75" s="97">
        <f>N75</f>
        <v>5275</v>
      </c>
      <c r="Y75" s="97">
        <f>O75</f>
        <v>5145</v>
      </c>
      <c r="Z75" s="97">
        <f>P75</f>
        <v>5119</v>
      </c>
      <c r="AA75" s="97">
        <f>Q75</f>
        <v>5301</v>
      </c>
      <c r="AB75" s="97">
        <f>R75</f>
        <v>5192</v>
      </c>
      <c r="AC75" s="97">
        <f>S75</f>
        <v>5160</v>
      </c>
      <c r="AD75" s="97">
        <f>T75</f>
        <v>5755</v>
      </c>
      <c r="AE75" s="42"/>
      <c r="AF75" s="75">
        <f t="shared" si="65"/>
        <v>0.12424301621410438</v>
      </c>
    </row>
    <row r="76" spans="2:32" ht="12.75" customHeight="1">
      <c r="B76" s="120" t="s">
        <v>199</v>
      </c>
      <c r="C76" s="121">
        <v>3891</v>
      </c>
      <c r="D76" s="121">
        <v>3462</v>
      </c>
      <c r="E76" s="121">
        <v>3535</v>
      </c>
      <c r="F76" s="121">
        <v>3091</v>
      </c>
      <c r="G76" s="121">
        <v>2720</v>
      </c>
      <c r="H76" s="121">
        <v>1519</v>
      </c>
      <c r="I76" s="51"/>
      <c r="J76" s="82">
        <v>3180</v>
      </c>
      <c r="K76" s="82">
        <v>3025</v>
      </c>
      <c r="L76" s="82">
        <v>3083</v>
      </c>
      <c r="M76" s="32">
        <f t="shared" si="62"/>
        <v>3091</v>
      </c>
      <c r="N76" s="82">
        <v>3064</v>
      </c>
      <c r="O76" s="82">
        <v>2723</v>
      </c>
      <c r="P76" s="82">
        <v>2978</v>
      </c>
      <c r="Q76" s="32">
        <f t="shared" si="63"/>
        <v>2720</v>
      </c>
      <c r="R76" s="82">
        <v>2629</v>
      </c>
      <c r="S76" s="82">
        <v>2468</v>
      </c>
      <c r="T76" s="82">
        <v>1588</v>
      </c>
      <c r="U76" s="32">
        <f t="shared" si="64"/>
        <v>1519</v>
      </c>
      <c r="V76" s="121"/>
      <c r="W76" s="97">
        <f>M76</f>
        <v>3091</v>
      </c>
      <c r="X76" s="97">
        <f>N76</f>
        <v>3064</v>
      </c>
      <c r="Y76" s="97">
        <f>O76</f>
        <v>2723</v>
      </c>
      <c r="Z76" s="97">
        <f>P76</f>
        <v>2978</v>
      </c>
      <c r="AA76" s="97">
        <f>Q76</f>
        <v>2720</v>
      </c>
      <c r="AB76" s="97">
        <f>R76</f>
        <v>2629</v>
      </c>
      <c r="AC76" s="97">
        <f>S76</f>
        <v>2468</v>
      </c>
      <c r="AD76" s="97">
        <f>T76</f>
        <v>1588</v>
      </c>
      <c r="AE76" s="42"/>
      <c r="AF76" s="75">
        <f t="shared" ref="AF76" si="66">SUM(AD76/Z76)-1</f>
        <v>-0.46675621222296848</v>
      </c>
    </row>
    <row r="77" spans="2:32" ht="12.75" customHeight="1">
      <c r="B77" s="13" t="s">
        <v>15</v>
      </c>
      <c r="C77" s="14">
        <f t="shared" ref="C77:H77" si="67">SUM(C74:C76)+C71</f>
        <v>44709</v>
      </c>
      <c r="D77" s="14">
        <f t="shared" si="67"/>
        <v>45307</v>
      </c>
      <c r="E77" s="14">
        <f t="shared" si="67"/>
        <v>49920</v>
      </c>
      <c r="F77" s="14">
        <f t="shared" si="67"/>
        <v>51766</v>
      </c>
      <c r="G77" s="14">
        <f t="shared" si="67"/>
        <v>55374</v>
      </c>
      <c r="H77" s="14">
        <f t="shared" si="67"/>
        <v>61718</v>
      </c>
      <c r="J77" s="14">
        <f t="shared" ref="J77:U77" si="68">SUM(J74:J76)+J71</f>
        <v>48463</v>
      </c>
      <c r="K77" s="14">
        <f t="shared" si="68"/>
        <v>48190</v>
      </c>
      <c r="L77" s="14">
        <f t="shared" si="68"/>
        <v>50253</v>
      </c>
      <c r="M77" s="14">
        <f t="shared" si="68"/>
        <v>51766</v>
      </c>
      <c r="N77" s="14">
        <f t="shared" si="68"/>
        <v>51676</v>
      </c>
      <c r="O77" s="14">
        <f t="shared" si="68"/>
        <v>51914</v>
      </c>
      <c r="P77" s="14">
        <f t="shared" si="68"/>
        <v>51311</v>
      </c>
      <c r="Q77" s="14">
        <f t="shared" si="68"/>
        <v>55374</v>
      </c>
      <c r="R77" s="14">
        <f t="shared" si="68"/>
        <v>53592</v>
      </c>
      <c r="S77" s="14">
        <f t="shared" si="68"/>
        <v>54823</v>
      </c>
      <c r="T77" s="14">
        <f t="shared" si="68"/>
        <v>61360</v>
      </c>
      <c r="U77" s="14">
        <f t="shared" si="68"/>
        <v>61718</v>
      </c>
      <c r="W77" s="14">
        <f t="shared" ref="W77:AD77" si="69">SUM(W74:W76)+W71</f>
        <v>51766</v>
      </c>
      <c r="X77" s="14">
        <f t="shared" si="69"/>
        <v>51676</v>
      </c>
      <c r="Y77" s="14">
        <f t="shared" si="69"/>
        <v>51914</v>
      </c>
      <c r="Z77" s="14">
        <f t="shared" si="69"/>
        <v>51311</v>
      </c>
      <c r="AA77" s="14">
        <f t="shared" si="69"/>
        <v>55374</v>
      </c>
      <c r="AB77" s="14">
        <f t="shared" si="69"/>
        <v>53592</v>
      </c>
      <c r="AC77" s="14">
        <f t="shared" si="69"/>
        <v>54823</v>
      </c>
      <c r="AD77" s="14">
        <f t="shared" si="69"/>
        <v>61360</v>
      </c>
      <c r="AE77" s="42"/>
      <c r="AF77" s="76">
        <f t="shared" si="65"/>
        <v>0.19584494552824938</v>
      </c>
    </row>
    <row r="78" spans="2:32" ht="5.0999999999999996" customHeight="1">
      <c r="B78" s="25"/>
      <c r="C78" s="49"/>
      <c r="D78" s="49"/>
      <c r="E78" s="49"/>
      <c r="F78" s="41"/>
      <c r="G78" s="41"/>
      <c r="H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W78" s="42"/>
      <c r="X78" s="42"/>
      <c r="Y78" s="42"/>
      <c r="Z78" s="42"/>
      <c r="AA78" s="42"/>
      <c r="AB78" s="42"/>
      <c r="AC78" s="42"/>
      <c r="AD78" s="42"/>
      <c r="AE78" s="42"/>
      <c r="AF78" s="39"/>
    </row>
    <row r="79" spans="2:32" ht="12.75" customHeight="1">
      <c r="B79" s="9" t="s">
        <v>160</v>
      </c>
      <c r="C79" s="82">
        <v>36210</v>
      </c>
      <c r="D79" s="82">
        <v>37589</v>
      </c>
      <c r="E79" s="82">
        <v>35581</v>
      </c>
      <c r="F79" s="82">
        <v>38733</v>
      </c>
      <c r="G79" s="82">
        <v>39137</v>
      </c>
      <c r="H79" s="82">
        <v>37909</v>
      </c>
      <c r="I79" s="32"/>
      <c r="J79" s="82">
        <v>36924</v>
      </c>
      <c r="K79" s="82">
        <v>38565</v>
      </c>
      <c r="L79" s="82">
        <v>38981</v>
      </c>
      <c r="M79" s="32">
        <f t="shared" ref="M79:M82" si="70">F79</f>
        <v>38733</v>
      </c>
      <c r="N79" s="82">
        <v>39733</v>
      </c>
      <c r="O79" s="82">
        <v>40485</v>
      </c>
      <c r="P79" s="82">
        <v>39729</v>
      </c>
      <c r="Q79" s="32">
        <f t="shared" ref="Q79:Q82" si="71">G79</f>
        <v>39137</v>
      </c>
      <c r="R79" s="82">
        <v>38296</v>
      </c>
      <c r="S79" s="82">
        <v>38030</v>
      </c>
      <c r="T79" s="82">
        <v>38664</v>
      </c>
      <c r="U79" s="32">
        <f t="shared" ref="U79:U82" si="72">H79</f>
        <v>37909</v>
      </c>
      <c r="W79" s="32">
        <f>M79</f>
        <v>38733</v>
      </c>
      <c r="X79" s="32">
        <f>N79</f>
        <v>39733</v>
      </c>
      <c r="Y79" s="32">
        <f>O79</f>
        <v>40485</v>
      </c>
      <c r="Z79" s="32">
        <f>P79</f>
        <v>39729</v>
      </c>
      <c r="AA79" s="32">
        <f>Q79</f>
        <v>39137</v>
      </c>
      <c r="AB79" s="32">
        <f>R79</f>
        <v>38296</v>
      </c>
      <c r="AC79" s="32">
        <f>S79</f>
        <v>38030</v>
      </c>
      <c r="AD79" s="32">
        <f>T79</f>
        <v>38664</v>
      </c>
      <c r="AE79" s="11"/>
      <c r="AF79" s="75">
        <f t="shared" si="65"/>
        <v>-2.6806614815374163E-2</v>
      </c>
    </row>
    <row r="80" spans="2:32" ht="12.75" customHeight="1">
      <c r="B80" s="9" t="s">
        <v>139</v>
      </c>
      <c r="C80" s="82"/>
      <c r="D80" s="82"/>
      <c r="E80" s="82"/>
      <c r="F80" s="82"/>
      <c r="G80" s="82"/>
      <c r="H80" s="82"/>
      <c r="I80" s="32"/>
      <c r="J80" s="82"/>
      <c r="K80" s="82"/>
      <c r="L80" s="82"/>
      <c r="M80" s="32">
        <f t="shared" si="70"/>
        <v>0</v>
      </c>
      <c r="N80" s="82"/>
      <c r="O80" s="82"/>
      <c r="P80" s="82"/>
      <c r="Q80" s="32">
        <f t="shared" si="71"/>
        <v>0</v>
      </c>
      <c r="R80" s="82"/>
      <c r="S80" s="82"/>
      <c r="T80" s="82"/>
      <c r="U80" s="32">
        <f t="shared" si="72"/>
        <v>0</v>
      </c>
      <c r="W80" s="32">
        <f t="shared" ref="W80:W82" si="73">M80</f>
        <v>0</v>
      </c>
      <c r="X80" s="32">
        <f t="shared" ref="X80:X82" si="74">N80</f>
        <v>0</v>
      </c>
      <c r="Y80" s="32">
        <f t="shared" ref="Y80:Y82" si="75">O80</f>
        <v>0</v>
      </c>
      <c r="Z80" s="32">
        <f t="shared" ref="Z80:Z82" si="76">P80</f>
        <v>0</v>
      </c>
      <c r="AA80" s="32">
        <f t="shared" ref="AA80:AA82" si="77">Q80</f>
        <v>0</v>
      </c>
      <c r="AB80" s="32">
        <f t="shared" ref="AB80:AB82" si="78">R80</f>
        <v>0</v>
      </c>
      <c r="AC80" s="32">
        <f t="shared" ref="AC80:AC82" si="79">S80</f>
        <v>0</v>
      </c>
      <c r="AD80" s="32">
        <f t="shared" ref="AD80:AD82" si="80">T80</f>
        <v>0</v>
      </c>
      <c r="AE80" s="11"/>
      <c r="AF80" s="75"/>
    </row>
    <row r="81" spans="1:32" ht="12.75" customHeight="1">
      <c r="B81" s="9" t="s">
        <v>161</v>
      </c>
      <c r="C81" s="82"/>
      <c r="D81" s="82"/>
      <c r="E81" s="82"/>
      <c r="F81" s="82"/>
      <c r="G81" s="82"/>
      <c r="H81" s="82"/>
      <c r="I81" s="32"/>
      <c r="J81" s="82"/>
      <c r="K81" s="82"/>
      <c r="L81" s="82"/>
      <c r="M81" s="32">
        <f t="shared" si="70"/>
        <v>0</v>
      </c>
      <c r="N81" s="82"/>
      <c r="O81" s="82"/>
      <c r="P81" s="82"/>
      <c r="Q81" s="32">
        <f t="shared" si="71"/>
        <v>0</v>
      </c>
      <c r="R81" s="82"/>
      <c r="S81" s="82"/>
      <c r="T81" s="82"/>
      <c r="U81" s="32">
        <f t="shared" si="72"/>
        <v>0</v>
      </c>
      <c r="W81" s="32">
        <f t="shared" si="73"/>
        <v>0</v>
      </c>
      <c r="X81" s="32">
        <f t="shared" si="74"/>
        <v>0</v>
      </c>
      <c r="Y81" s="32">
        <f t="shared" si="75"/>
        <v>0</v>
      </c>
      <c r="Z81" s="32">
        <f t="shared" si="76"/>
        <v>0</v>
      </c>
      <c r="AA81" s="32">
        <f t="shared" si="77"/>
        <v>0</v>
      </c>
      <c r="AB81" s="32">
        <f t="shared" si="78"/>
        <v>0</v>
      </c>
      <c r="AC81" s="32">
        <f t="shared" si="79"/>
        <v>0</v>
      </c>
      <c r="AD81" s="32">
        <f t="shared" si="80"/>
        <v>0</v>
      </c>
      <c r="AE81" s="11"/>
      <c r="AF81" s="75"/>
    </row>
    <row r="82" spans="1:32" ht="12.75" customHeight="1">
      <c r="B82" s="9" t="s">
        <v>139</v>
      </c>
      <c r="C82" s="82"/>
      <c r="D82" s="82"/>
      <c r="E82" s="82"/>
      <c r="F82" s="82"/>
      <c r="G82" s="82"/>
      <c r="H82" s="82"/>
      <c r="I82" s="32"/>
      <c r="J82" s="82"/>
      <c r="K82" s="82"/>
      <c r="L82" s="82"/>
      <c r="M82" s="32">
        <f t="shared" si="70"/>
        <v>0</v>
      </c>
      <c r="N82" s="82"/>
      <c r="O82" s="82"/>
      <c r="P82" s="82"/>
      <c r="Q82" s="32">
        <f t="shared" si="71"/>
        <v>0</v>
      </c>
      <c r="R82" s="82"/>
      <c r="S82" s="82"/>
      <c r="T82" s="82"/>
      <c r="U82" s="32">
        <f t="shared" si="72"/>
        <v>0</v>
      </c>
      <c r="W82" s="32">
        <f t="shared" si="73"/>
        <v>0</v>
      </c>
      <c r="X82" s="32">
        <f t="shared" si="74"/>
        <v>0</v>
      </c>
      <c r="Y82" s="32">
        <f t="shared" si="75"/>
        <v>0</v>
      </c>
      <c r="Z82" s="32">
        <f t="shared" si="76"/>
        <v>0</v>
      </c>
      <c r="AA82" s="32">
        <f t="shared" si="77"/>
        <v>0</v>
      </c>
      <c r="AB82" s="32">
        <f t="shared" si="78"/>
        <v>0</v>
      </c>
      <c r="AC82" s="32">
        <f t="shared" si="79"/>
        <v>0</v>
      </c>
      <c r="AD82" s="32">
        <f t="shared" si="80"/>
        <v>0</v>
      </c>
      <c r="AE82" s="11"/>
      <c r="AF82" s="75" t="e">
        <f t="shared" si="65"/>
        <v>#DIV/0!</v>
      </c>
    </row>
    <row r="83" spans="1:32" ht="12.75" customHeight="1">
      <c r="B83" s="13" t="s">
        <v>14</v>
      </c>
      <c r="C83" s="14">
        <f t="shared" ref="C83:H83" si="81">SUM(C79:C82)</f>
        <v>36210</v>
      </c>
      <c r="D83" s="14">
        <f t="shared" si="81"/>
        <v>37589</v>
      </c>
      <c r="E83" s="14">
        <f t="shared" si="81"/>
        <v>35581</v>
      </c>
      <c r="F83" s="14">
        <f t="shared" si="81"/>
        <v>38733</v>
      </c>
      <c r="G83" s="14">
        <f t="shared" si="81"/>
        <v>39137</v>
      </c>
      <c r="H83" s="14">
        <f t="shared" si="81"/>
        <v>37909</v>
      </c>
      <c r="I83" s="52"/>
      <c r="J83" s="14">
        <f t="shared" ref="J83:U83" si="82">SUM(J79:J82)</f>
        <v>36924</v>
      </c>
      <c r="K83" s="14">
        <f t="shared" si="82"/>
        <v>38565</v>
      </c>
      <c r="L83" s="14">
        <f t="shared" si="82"/>
        <v>38981</v>
      </c>
      <c r="M83" s="14">
        <f t="shared" si="82"/>
        <v>38733</v>
      </c>
      <c r="N83" s="14">
        <f t="shared" si="82"/>
        <v>39733</v>
      </c>
      <c r="O83" s="14">
        <f t="shared" si="82"/>
        <v>40485</v>
      </c>
      <c r="P83" s="14">
        <f t="shared" si="82"/>
        <v>39729</v>
      </c>
      <c r="Q83" s="14">
        <f t="shared" si="82"/>
        <v>39137</v>
      </c>
      <c r="R83" s="14">
        <f t="shared" si="82"/>
        <v>38296</v>
      </c>
      <c r="S83" s="14">
        <f t="shared" si="82"/>
        <v>38030</v>
      </c>
      <c r="T83" s="14">
        <f t="shared" si="82"/>
        <v>38664</v>
      </c>
      <c r="U83" s="14">
        <f t="shared" si="82"/>
        <v>37909</v>
      </c>
      <c r="W83" s="14">
        <f t="shared" ref="W83:AD83" si="83">SUM(W79:W82)</f>
        <v>38733</v>
      </c>
      <c r="X83" s="14">
        <f t="shared" si="83"/>
        <v>39733</v>
      </c>
      <c r="Y83" s="14">
        <f t="shared" si="83"/>
        <v>40485</v>
      </c>
      <c r="Z83" s="14">
        <f t="shared" si="83"/>
        <v>39729</v>
      </c>
      <c r="AA83" s="14">
        <f t="shared" si="83"/>
        <v>39137</v>
      </c>
      <c r="AB83" s="14">
        <f t="shared" si="83"/>
        <v>38296</v>
      </c>
      <c r="AC83" s="14">
        <f t="shared" si="83"/>
        <v>38030</v>
      </c>
      <c r="AD83" s="14">
        <f t="shared" si="83"/>
        <v>38664</v>
      </c>
      <c r="AE83" s="42"/>
      <c r="AF83" s="75">
        <f t="shared" si="65"/>
        <v>-2.6806614815374163E-2</v>
      </c>
    </row>
    <row r="84" spans="1:32" ht="12.75" customHeight="1">
      <c r="B84" s="25" t="s">
        <v>49</v>
      </c>
      <c r="C84" s="32">
        <f t="shared" ref="C84:H84" si="84">SUM(C83+C77)</f>
        <v>80919</v>
      </c>
      <c r="D84" s="32">
        <f t="shared" si="84"/>
        <v>82896</v>
      </c>
      <c r="E84" s="32">
        <f t="shared" si="84"/>
        <v>85501</v>
      </c>
      <c r="F84" s="32">
        <f t="shared" si="84"/>
        <v>90499</v>
      </c>
      <c r="G84" s="32">
        <f t="shared" si="84"/>
        <v>94511</v>
      </c>
      <c r="H84" s="32">
        <f t="shared" si="84"/>
        <v>99627</v>
      </c>
      <c r="I84" s="32"/>
      <c r="J84" s="32">
        <f t="shared" ref="J84:U84" si="85">SUM(J83+J77)</f>
        <v>85387</v>
      </c>
      <c r="K84" s="32">
        <f t="shared" si="85"/>
        <v>86755</v>
      </c>
      <c r="L84" s="32">
        <f t="shared" si="85"/>
        <v>89234</v>
      </c>
      <c r="M84" s="32">
        <f t="shared" si="85"/>
        <v>90499</v>
      </c>
      <c r="N84" s="32">
        <f t="shared" si="85"/>
        <v>91409</v>
      </c>
      <c r="O84" s="32">
        <f t="shared" si="85"/>
        <v>92399</v>
      </c>
      <c r="P84" s="32">
        <f t="shared" si="85"/>
        <v>91040</v>
      </c>
      <c r="Q84" s="32">
        <f t="shared" si="85"/>
        <v>94511</v>
      </c>
      <c r="R84" s="32">
        <f t="shared" si="85"/>
        <v>91888</v>
      </c>
      <c r="S84" s="32">
        <f t="shared" si="85"/>
        <v>92853</v>
      </c>
      <c r="T84" s="32">
        <f t="shared" si="85"/>
        <v>100024</v>
      </c>
      <c r="U84" s="32">
        <f t="shared" si="85"/>
        <v>99627</v>
      </c>
      <c r="V84" s="32"/>
      <c r="W84" s="32">
        <f t="shared" ref="W84:AD84" si="86">SUM(W83+W77)</f>
        <v>90499</v>
      </c>
      <c r="X84" s="32">
        <f t="shared" si="86"/>
        <v>91409</v>
      </c>
      <c r="Y84" s="32">
        <f t="shared" si="86"/>
        <v>92399</v>
      </c>
      <c r="Z84" s="32">
        <f t="shared" si="86"/>
        <v>91040</v>
      </c>
      <c r="AA84" s="32">
        <f t="shared" si="86"/>
        <v>94511</v>
      </c>
      <c r="AB84" s="32">
        <f t="shared" si="86"/>
        <v>91888</v>
      </c>
      <c r="AC84" s="32">
        <f t="shared" si="86"/>
        <v>92853</v>
      </c>
      <c r="AD84" s="32">
        <f t="shared" si="86"/>
        <v>100024</v>
      </c>
      <c r="AE84" s="11"/>
      <c r="AF84" s="76">
        <f t="shared" si="65"/>
        <v>9.8681898066783846E-2</v>
      </c>
    </row>
    <row r="85" spans="1:32" ht="5.0999999999999996" customHeight="1">
      <c r="B85" s="25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1"/>
    </row>
    <row r="86" spans="1:32" ht="12.75" customHeight="1">
      <c r="B86" s="139" t="s">
        <v>58</v>
      </c>
      <c r="C86" s="69">
        <f>C84-C60</f>
        <v>0</v>
      </c>
      <c r="D86" s="69">
        <f>D84-D60</f>
        <v>0</v>
      </c>
      <c r="E86" s="69">
        <f>E84-E60</f>
        <v>0</v>
      </c>
      <c r="F86" s="69">
        <f>F84-F60</f>
        <v>0</v>
      </c>
      <c r="G86" s="69">
        <f>G84-G60</f>
        <v>0</v>
      </c>
      <c r="H86" s="69">
        <f>H84-H60</f>
        <v>0</v>
      </c>
      <c r="I86" s="70"/>
      <c r="J86" s="69">
        <f>J84-J60</f>
        <v>0</v>
      </c>
      <c r="K86" s="69">
        <f>K84-K60</f>
        <v>0</v>
      </c>
      <c r="L86" s="69">
        <f>L84-L60</f>
        <v>0</v>
      </c>
      <c r="M86" s="69">
        <f>M84-M60</f>
        <v>0</v>
      </c>
      <c r="N86" s="69">
        <f>N84-N60</f>
        <v>0</v>
      </c>
      <c r="O86" s="69">
        <f>O84-O60</f>
        <v>0</v>
      </c>
      <c r="P86" s="69">
        <f>P84-P60</f>
        <v>0</v>
      </c>
      <c r="Q86" s="69">
        <f>Q84-Q60</f>
        <v>0</v>
      </c>
      <c r="R86" s="69">
        <f>R84-R60</f>
        <v>0</v>
      </c>
      <c r="S86" s="69">
        <f>S84-S60</f>
        <v>0</v>
      </c>
      <c r="T86" s="69">
        <f>T84-T60</f>
        <v>0</v>
      </c>
      <c r="U86" s="69">
        <f>U84-U60</f>
        <v>0</v>
      </c>
      <c r="V86" s="28"/>
      <c r="W86" s="69">
        <f>W84-W60</f>
        <v>2584</v>
      </c>
      <c r="X86" s="69">
        <f>X84-X60</f>
        <v>2753</v>
      </c>
      <c r="Y86" s="69">
        <f>Y84-Y60</f>
        <v>2551</v>
      </c>
      <c r="Z86" s="69">
        <f>Z84-Z60</f>
        <v>0</v>
      </c>
      <c r="AA86" s="69">
        <f>AA84-AA60</f>
        <v>0</v>
      </c>
      <c r="AB86" s="69">
        <f>AB84-AB60</f>
        <v>0</v>
      </c>
      <c r="AC86" s="69">
        <f>AC84-AC60</f>
        <v>0</v>
      </c>
      <c r="AD86" s="69">
        <f>AD84-AD60</f>
        <v>0</v>
      </c>
    </row>
    <row r="87" spans="1:32" ht="5.0999999999999996" customHeight="1" thickBot="1">
      <c r="B87" s="116"/>
      <c r="C87" s="117"/>
      <c r="D87" s="117"/>
      <c r="E87" s="117"/>
      <c r="F87" s="117"/>
      <c r="G87" s="117"/>
      <c r="H87" s="117"/>
      <c r="I87" s="118"/>
      <c r="J87" s="117"/>
      <c r="K87" s="117"/>
      <c r="L87" s="117"/>
      <c r="M87" s="117"/>
      <c r="N87" s="117"/>
      <c r="O87" s="117"/>
      <c r="P87" s="117"/>
      <c r="Q87" s="117"/>
      <c r="R87" s="117"/>
      <c r="S87" s="117"/>
      <c r="T87" s="117"/>
      <c r="U87" s="117"/>
      <c r="V87" s="119"/>
      <c r="W87" s="117"/>
      <c r="X87" s="117"/>
      <c r="Y87" s="117"/>
      <c r="Z87" s="117"/>
      <c r="AA87" s="117"/>
      <c r="AB87" s="117"/>
      <c r="AC87" s="117"/>
      <c r="AD87" s="117"/>
      <c r="AE87" s="73"/>
      <c r="AF87" s="73"/>
    </row>
    <row r="88" spans="1:32">
      <c r="B88" s="68"/>
      <c r="C88" s="53"/>
      <c r="D88" s="53"/>
      <c r="E88" s="24"/>
      <c r="F88" s="24"/>
      <c r="G88" s="24"/>
      <c r="H88" s="24"/>
      <c r="I88" s="53"/>
    </row>
    <row r="89" spans="1:32" ht="12.75" customHeight="1">
      <c r="A89" s="5" t="s">
        <v>16</v>
      </c>
      <c r="B89" s="98" t="s">
        <v>13</v>
      </c>
      <c r="C89" s="102"/>
      <c r="D89" s="102"/>
      <c r="E89" s="102"/>
      <c r="F89" s="102"/>
      <c r="G89" s="102"/>
      <c r="H89" s="102"/>
      <c r="I89" s="103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98"/>
      <c r="W89" s="102"/>
      <c r="X89" s="102"/>
      <c r="Y89" s="102" t="s">
        <v>10</v>
      </c>
      <c r="Z89" s="102"/>
      <c r="AA89" s="102"/>
      <c r="AB89" s="102"/>
      <c r="AC89" s="102"/>
      <c r="AD89" s="102"/>
      <c r="AE89" s="103"/>
      <c r="AF89" s="154" t="s">
        <v>22</v>
      </c>
    </row>
    <row r="90" spans="1:32" ht="12.75" customHeight="1">
      <c r="B90" s="99" t="str">
        <f>B7</f>
        <v>Fiscal Period</v>
      </c>
      <c r="C90" s="104">
        <f>C7</f>
        <v>2020</v>
      </c>
      <c r="D90" s="104">
        <f>D7</f>
        <v>2021</v>
      </c>
      <c r="E90" s="104">
        <f>E7</f>
        <v>2022</v>
      </c>
      <c r="F90" s="104">
        <f>F7</f>
        <v>2023</v>
      </c>
      <c r="G90" s="104">
        <f>G7</f>
        <v>2024</v>
      </c>
      <c r="H90" s="104">
        <f>H7</f>
        <v>2025</v>
      </c>
      <c r="I90" s="103"/>
      <c r="J90" s="104" t="str">
        <f>J7</f>
        <v>1Q23</v>
      </c>
      <c r="K90" s="104" t="str">
        <f>K7</f>
        <v>2Q23</v>
      </c>
      <c r="L90" s="104" t="str">
        <f>L7</f>
        <v>3Q23</v>
      </c>
      <c r="M90" s="104" t="str">
        <f>M7</f>
        <v>4Q23</v>
      </c>
      <c r="N90" s="104" t="str">
        <f>N7</f>
        <v>1Q24</v>
      </c>
      <c r="O90" s="104" t="str">
        <f>O7</f>
        <v>2Q24</v>
      </c>
      <c r="P90" s="104" t="str">
        <f>P7</f>
        <v>3Q24</v>
      </c>
      <c r="Q90" s="104" t="str">
        <f>Q7</f>
        <v>4Q24</v>
      </c>
      <c r="R90" s="104" t="str">
        <f>R7</f>
        <v>1Q25</v>
      </c>
      <c r="S90" s="104" t="str">
        <f>S7</f>
        <v>2Q25</v>
      </c>
      <c r="T90" s="104" t="str">
        <f>T7</f>
        <v>3Q25</v>
      </c>
      <c r="U90" s="104" t="str">
        <f>U7</f>
        <v>4Q25</v>
      </c>
      <c r="V90" s="104"/>
      <c r="W90" s="104" t="str">
        <f>W7</f>
        <v>4Q23</v>
      </c>
      <c r="X90" s="104" t="str">
        <f>X7</f>
        <v>1Q24</v>
      </c>
      <c r="Y90" s="104" t="str">
        <f>Y7</f>
        <v>2Q24</v>
      </c>
      <c r="Z90" s="104" t="str">
        <f>Z7</f>
        <v>3Q24</v>
      </c>
      <c r="AA90" s="104" t="str">
        <f>AA7</f>
        <v>4Q24</v>
      </c>
      <c r="AB90" s="104" t="str">
        <f>AB7</f>
        <v>1Q25</v>
      </c>
      <c r="AC90" s="104" t="str">
        <f>AC7</f>
        <v>2Q25</v>
      </c>
      <c r="AD90" s="104" t="str">
        <f>AD7</f>
        <v>3Q25</v>
      </c>
      <c r="AE90" s="103"/>
      <c r="AF90" s="154"/>
    </row>
    <row r="91" spans="1:32" ht="12.75" customHeight="1">
      <c r="B91" s="99" t="str">
        <f>B8</f>
        <v>Fiscal Period End Date</v>
      </c>
      <c r="C91" s="105">
        <f>C8</f>
        <v>0</v>
      </c>
      <c r="D91" s="105">
        <f>D8</f>
        <v>0</v>
      </c>
      <c r="E91" s="105">
        <f>E8</f>
        <v>0</v>
      </c>
      <c r="F91" s="105">
        <f>F8</f>
        <v>0</v>
      </c>
      <c r="G91" s="105">
        <f>G8</f>
        <v>0</v>
      </c>
      <c r="H91" s="105">
        <f>H8</f>
        <v>0</v>
      </c>
      <c r="I91" s="103"/>
      <c r="J91" s="105">
        <f>J8</f>
        <v>0</v>
      </c>
      <c r="K91" s="105">
        <f>K8</f>
        <v>0</v>
      </c>
      <c r="L91" s="105">
        <f>L8</f>
        <v>0</v>
      </c>
      <c r="M91" s="105">
        <f>M8</f>
        <v>0</v>
      </c>
      <c r="N91" s="105">
        <f>N8</f>
        <v>0</v>
      </c>
      <c r="O91" s="105">
        <f>O8</f>
        <v>0</v>
      </c>
      <c r="P91" s="105">
        <f>P8</f>
        <v>0</v>
      </c>
      <c r="Q91" s="105">
        <f>Q8</f>
        <v>0</v>
      </c>
      <c r="R91" s="105">
        <f>R8</f>
        <v>0</v>
      </c>
      <c r="S91" s="105">
        <f>S8</f>
        <v>0</v>
      </c>
      <c r="T91" s="105">
        <f>T8</f>
        <v>0</v>
      </c>
      <c r="U91" s="105">
        <f>U8</f>
        <v>0</v>
      </c>
      <c r="V91" s="105"/>
      <c r="W91" s="105">
        <f>W8</f>
        <v>0</v>
      </c>
      <c r="X91" s="105">
        <f>X8</f>
        <v>0</v>
      </c>
      <c r="Y91" s="105">
        <f>Y8</f>
        <v>0</v>
      </c>
      <c r="Z91" s="105">
        <f>Z8</f>
        <v>0</v>
      </c>
      <c r="AA91" s="105">
        <f>AA8</f>
        <v>0</v>
      </c>
      <c r="AB91" s="105">
        <f>AB8</f>
        <v>0</v>
      </c>
      <c r="AC91" s="105">
        <f>AC8</f>
        <v>0</v>
      </c>
      <c r="AD91" s="105">
        <f>AD8</f>
        <v>0</v>
      </c>
      <c r="AE91" s="103"/>
      <c r="AF91" s="154"/>
    </row>
    <row r="92" spans="1:32" ht="5.0999999999999996" customHeight="1">
      <c r="B92" s="54"/>
      <c r="C92" s="47"/>
      <c r="D92" s="47"/>
      <c r="E92" s="47"/>
      <c r="F92" s="47"/>
      <c r="G92" s="47"/>
      <c r="H92" s="47"/>
    </row>
    <row r="93" spans="1:32" ht="12.75" customHeight="1">
      <c r="B93" s="55" t="s">
        <v>50</v>
      </c>
      <c r="C93" s="56"/>
      <c r="D93" s="56"/>
      <c r="E93" s="56"/>
      <c r="F93" s="56"/>
      <c r="G93" s="56"/>
      <c r="H93" s="56"/>
    </row>
    <row r="94" spans="1:32" ht="12.75" customHeight="1">
      <c r="B94" s="57" t="s">
        <v>115</v>
      </c>
      <c r="C94" s="32">
        <f>C29</f>
        <v>10866</v>
      </c>
      <c r="D94" s="32">
        <f>D29</f>
        <v>12311</v>
      </c>
      <c r="E94" s="32">
        <f>E29</f>
        <v>14957</v>
      </c>
      <c r="F94" s="32">
        <f>F29</f>
        <v>17273</v>
      </c>
      <c r="G94" s="32">
        <f>G29</f>
        <v>19743</v>
      </c>
      <c r="H94" s="32">
        <f>H29</f>
        <v>20058</v>
      </c>
      <c r="I94" s="32"/>
      <c r="J94" s="32">
        <f>J29</f>
        <v>4179</v>
      </c>
      <c r="K94" s="32">
        <f>K29</f>
        <v>4257</v>
      </c>
      <c r="L94" s="32">
        <f>L29</f>
        <v>4156</v>
      </c>
      <c r="M94" s="32">
        <f>M29</f>
        <v>4681</v>
      </c>
      <c r="N94" s="32">
        <f>N29</f>
        <v>4890</v>
      </c>
      <c r="O94" s="32">
        <f>O29</f>
        <v>4663</v>
      </c>
      <c r="P94" s="32">
        <f>P29</f>
        <v>4872</v>
      </c>
      <c r="Q94" s="32">
        <f>Q29</f>
        <v>5318</v>
      </c>
      <c r="R94" s="32">
        <f>R29</f>
        <v>5119</v>
      </c>
      <c r="S94" s="32">
        <f>S29</f>
        <v>4577</v>
      </c>
      <c r="T94" s="32">
        <f>T29</f>
        <v>5272</v>
      </c>
      <c r="U94" s="32">
        <f>U29</f>
        <v>5090</v>
      </c>
      <c r="V94" s="32"/>
      <c r="W94" s="32">
        <f>W29</f>
        <v>16592</v>
      </c>
      <c r="X94" s="32">
        <f>X29</f>
        <v>17052</v>
      </c>
      <c r="Y94" s="32">
        <f>Y29</f>
        <v>17301</v>
      </c>
      <c r="Z94" s="32">
        <f>Z29</f>
        <v>19106</v>
      </c>
      <c r="AA94" s="32">
        <f>AA29</f>
        <v>19743</v>
      </c>
      <c r="AB94" s="32">
        <f>AB29</f>
        <v>19972</v>
      </c>
      <c r="AC94" s="32">
        <f>AC29</f>
        <v>19886</v>
      </c>
      <c r="AD94" s="32">
        <f>AD29</f>
        <v>20286</v>
      </c>
      <c r="AE94" s="11"/>
      <c r="AF94" s="75">
        <f>SUM(AD94/Z94)-1</f>
        <v>6.1760703443944243E-2</v>
      </c>
    </row>
    <row r="95" spans="1:32" ht="5.0999999999999996" customHeight="1"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W95" s="32"/>
      <c r="X95" s="32"/>
      <c r="Y95" s="32"/>
      <c r="Z95" s="32"/>
      <c r="AA95" s="32"/>
      <c r="AB95" s="32"/>
      <c r="AC95" s="32"/>
      <c r="AD95" s="32"/>
      <c r="AE95" s="11"/>
      <c r="AF95" s="75"/>
    </row>
    <row r="96" spans="1:32" ht="12.75" customHeight="1">
      <c r="B96" s="36" t="s">
        <v>57</v>
      </c>
      <c r="C96" s="32"/>
      <c r="D96" s="32"/>
      <c r="E96" s="32"/>
      <c r="F96" s="32"/>
      <c r="G96" s="32"/>
      <c r="H96" s="32"/>
      <c r="I96" s="32"/>
      <c r="J96" s="82"/>
      <c r="K96" s="82"/>
      <c r="L96" s="82"/>
      <c r="M96" s="32"/>
      <c r="N96" s="82"/>
      <c r="O96" s="82"/>
      <c r="P96" s="82"/>
      <c r="Q96" s="32"/>
      <c r="R96" s="82"/>
      <c r="S96" s="82"/>
      <c r="T96" s="82"/>
      <c r="U96" s="82"/>
      <c r="W96" s="32"/>
      <c r="X96" s="32"/>
      <c r="Y96" s="32"/>
      <c r="Z96" s="32"/>
      <c r="AA96" s="32"/>
      <c r="AB96" s="32"/>
      <c r="AC96" s="32"/>
      <c r="AD96" s="32"/>
      <c r="AE96" s="59"/>
      <c r="AF96" s="75"/>
    </row>
    <row r="97" spans="2:32" ht="12.75" customHeight="1">
      <c r="B97" s="60" t="s">
        <v>140</v>
      </c>
      <c r="C97" s="82"/>
      <c r="D97" s="82"/>
      <c r="E97" s="82"/>
      <c r="F97" s="82"/>
      <c r="G97" s="82"/>
      <c r="H97" s="82"/>
      <c r="I97" s="32"/>
      <c r="J97" s="82"/>
      <c r="K97" s="82"/>
      <c r="L97" s="82"/>
      <c r="M97" s="32">
        <f t="shared" ref="M97:M100" si="87">SUM(F97-SUM(J97:L97))</f>
        <v>0</v>
      </c>
      <c r="N97" s="82"/>
      <c r="O97" s="82"/>
      <c r="P97" s="82"/>
      <c r="Q97" s="32">
        <f t="shared" ref="Q97:Q100" si="88">SUM(G97-SUM(N97:P97))</f>
        <v>0</v>
      </c>
      <c r="R97" s="82"/>
      <c r="S97" s="82"/>
      <c r="T97" s="82"/>
      <c r="U97" s="82"/>
      <c r="W97" s="32">
        <f>SUM(J97:M97)</f>
        <v>0</v>
      </c>
      <c r="X97" s="32">
        <f>SUM(K97:N97)</f>
        <v>0</v>
      </c>
      <c r="Y97" s="32">
        <f>SUM(L97:O97)</f>
        <v>0</v>
      </c>
      <c r="Z97" s="32">
        <f>SUM(M97:P97)</f>
        <v>0</v>
      </c>
      <c r="AA97" s="32">
        <f>SUM(N97:Q97)</f>
        <v>0</v>
      </c>
      <c r="AB97" s="32">
        <f>SUM(O97:R97)</f>
        <v>0</v>
      </c>
      <c r="AC97" s="32">
        <f>SUM(P97:S97)</f>
        <v>0</v>
      </c>
      <c r="AD97" s="32">
        <f>SUM(Q97:T97)</f>
        <v>0</v>
      </c>
      <c r="AE97" s="11"/>
      <c r="AF97" s="75" t="e">
        <f t="shared" ref="AF97:AF103" si="89">SUM(AD97/Z97)-1</f>
        <v>#DIV/0!</v>
      </c>
    </row>
    <row r="98" spans="2:32" ht="12.75" customHeight="1">
      <c r="B98" s="60" t="s">
        <v>141</v>
      </c>
      <c r="C98" s="82"/>
      <c r="D98" s="82"/>
      <c r="E98" s="82"/>
      <c r="F98" s="82"/>
      <c r="G98" s="82"/>
      <c r="H98" s="82"/>
      <c r="I98" s="32"/>
      <c r="J98" s="82"/>
      <c r="K98" s="82"/>
      <c r="L98" s="82"/>
      <c r="M98" s="32">
        <f t="shared" ref="M98" si="90">SUM(F98-SUM(J98:L98))</f>
        <v>0</v>
      </c>
      <c r="N98" s="82"/>
      <c r="O98" s="82"/>
      <c r="P98" s="82"/>
      <c r="Q98" s="32">
        <f t="shared" ref="Q98" si="91">SUM(G98-SUM(N98:P98))</f>
        <v>0</v>
      </c>
      <c r="R98" s="82"/>
      <c r="S98" s="82"/>
      <c r="T98" s="82"/>
      <c r="U98" s="82"/>
      <c r="W98" s="32">
        <f>SUM(J98:M98)</f>
        <v>0</v>
      </c>
      <c r="X98" s="32">
        <f>SUM(K98:N98)</f>
        <v>0</v>
      </c>
      <c r="Y98" s="32">
        <f>SUM(L98:O98)</f>
        <v>0</v>
      </c>
      <c r="Z98" s="32">
        <f>SUM(M98:P98)</f>
        <v>0</v>
      </c>
      <c r="AA98" s="32">
        <f>SUM(N98:Q98)</f>
        <v>0</v>
      </c>
      <c r="AB98" s="32">
        <f>SUM(O98:R98)</f>
        <v>0</v>
      </c>
      <c r="AC98" s="32">
        <f>SUM(P98:S98)</f>
        <v>0</v>
      </c>
      <c r="AD98" s="32">
        <f>SUM(Q98:T98)</f>
        <v>0</v>
      </c>
      <c r="AE98" s="11"/>
      <c r="AF98" s="75" t="e">
        <f t="shared" ref="AF98" si="92">SUM(AD98/Z98)-1</f>
        <v>#DIV/0!</v>
      </c>
    </row>
    <row r="99" spans="2:32" ht="12.75" customHeight="1">
      <c r="B99" s="60" t="s">
        <v>142</v>
      </c>
      <c r="C99" s="82"/>
      <c r="D99" s="82"/>
      <c r="E99" s="82"/>
      <c r="F99" s="82"/>
      <c r="G99" s="82"/>
      <c r="H99" s="82"/>
      <c r="I99" s="32"/>
      <c r="J99" s="82"/>
      <c r="K99" s="82"/>
      <c r="L99" s="82"/>
      <c r="M99" s="32">
        <f t="shared" si="87"/>
        <v>0</v>
      </c>
      <c r="N99" s="82"/>
      <c r="O99" s="82"/>
      <c r="P99" s="82"/>
      <c r="Q99" s="32">
        <f t="shared" si="88"/>
        <v>0</v>
      </c>
      <c r="R99" s="82"/>
      <c r="S99" s="82"/>
      <c r="T99" s="82"/>
      <c r="U99" s="82"/>
      <c r="W99" s="32">
        <f>SUM(J99:M99)</f>
        <v>0</v>
      </c>
      <c r="X99" s="32">
        <f>SUM(K99:N99)</f>
        <v>0</v>
      </c>
      <c r="Y99" s="32">
        <f>SUM(L99:O99)</f>
        <v>0</v>
      </c>
      <c r="Z99" s="32">
        <f>SUM(M99:P99)</f>
        <v>0</v>
      </c>
      <c r="AA99" s="32">
        <f>SUM(N99:Q99)</f>
        <v>0</v>
      </c>
      <c r="AB99" s="32">
        <f>SUM(O99:R99)</f>
        <v>0</v>
      </c>
      <c r="AC99" s="32">
        <f>SUM(P99:S99)</f>
        <v>0</v>
      </c>
      <c r="AD99" s="32">
        <f>SUM(Q99:T99)</f>
        <v>0</v>
      </c>
      <c r="AE99" s="11"/>
      <c r="AF99" s="75" t="e">
        <f t="shared" si="89"/>
        <v>#DIV/0!</v>
      </c>
    </row>
    <row r="100" spans="2:32" ht="12.75" customHeight="1">
      <c r="B100" s="60" t="s">
        <v>143</v>
      </c>
      <c r="C100" s="82"/>
      <c r="D100" s="82"/>
      <c r="E100" s="82"/>
      <c r="F100" s="82"/>
      <c r="G100" s="82"/>
      <c r="H100" s="82"/>
      <c r="I100" s="32"/>
      <c r="J100" s="82"/>
      <c r="K100" s="82"/>
      <c r="L100" s="82"/>
      <c r="M100" s="32">
        <f t="shared" si="87"/>
        <v>0</v>
      </c>
      <c r="N100" s="82"/>
      <c r="O100" s="82"/>
      <c r="P100" s="82"/>
      <c r="Q100" s="32">
        <f t="shared" si="88"/>
        <v>0</v>
      </c>
      <c r="R100" s="82"/>
      <c r="S100" s="82"/>
      <c r="T100" s="82"/>
      <c r="U100" s="82"/>
      <c r="W100" s="32">
        <f>SUM(J100:M100)</f>
        <v>0</v>
      </c>
      <c r="X100" s="32">
        <f>SUM(K100:N100)</f>
        <v>0</v>
      </c>
      <c r="Y100" s="32">
        <f>SUM(L100:O100)</f>
        <v>0</v>
      </c>
      <c r="Z100" s="32">
        <f>SUM(M100:P100)</f>
        <v>0</v>
      </c>
      <c r="AA100" s="32">
        <f>SUM(N100:Q100)</f>
        <v>0</v>
      </c>
      <c r="AB100" s="32">
        <f>SUM(O100:R100)</f>
        <v>0</v>
      </c>
      <c r="AC100" s="32">
        <f>SUM(P100:S100)</f>
        <v>0</v>
      </c>
      <c r="AD100" s="32">
        <f>SUM(Q100:T100)</f>
        <v>0</v>
      </c>
      <c r="AE100" s="11"/>
      <c r="AF100" s="75" t="e">
        <f t="shared" si="89"/>
        <v>#DIV/0!</v>
      </c>
    </row>
    <row r="101" spans="2:32" ht="12.75" customHeight="1">
      <c r="B101" s="60" t="s">
        <v>144</v>
      </c>
      <c r="C101" s="82"/>
      <c r="D101" s="82"/>
      <c r="E101" s="82"/>
      <c r="F101" s="82"/>
      <c r="G101" s="82"/>
      <c r="H101" s="82"/>
      <c r="I101" s="32"/>
      <c r="J101" s="82"/>
      <c r="K101" s="82"/>
      <c r="L101" s="82"/>
      <c r="M101" s="32">
        <f t="shared" ref="M101" si="93">SUM(F101-SUM(J101:L101))</f>
        <v>0</v>
      </c>
      <c r="N101" s="82"/>
      <c r="O101" s="82"/>
      <c r="P101" s="82"/>
      <c r="Q101" s="32">
        <f t="shared" ref="Q101" si="94">SUM(G101-SUM(N101:P101))</f>
        <v>0</v>
      </c>
      <c r="R101" s="82"/>
      <c r="S101" s="82"/>
      <c r="T101" s="82"/>
      <c r="U101" s="82"/>
      <c r="W101" s="32">
        <f>SUM(J101:M101)</f>
        <v>0</v>
      </c>
      <c r="X101" s="32">
        <f>SUM(K101:N101)</f>
        <v>0</v>
      </c>
      <c r="Y101" s="32">
        <f>SUM(L101:O101)</f>
        <v>0</v>
      </c>
      <c r="Z101" s="32">
        <f>SUM(M101:P101)</f>
        <v>0</v>
      </c>
      <c r="AA101" s="32">
        <f>SUM(N101:Q101)</f>
        <v>0</v>
      </c>
      <c r="AB101" s="32">
        <f>SUM(O101:R101)</f>
        <v>0</v>
      </c>
      <c r="AC101" s="32">
        <f>SUM(P101:S101)</f>
        <v>0</v>
      </c>
      <c r="AD101" s="32">
        <f>SUM(Q101:T101)</f>
        <v>0</v>
      </c>
      <c r="AE101" s="11"/>
      <c r="AF101" s="75" t="e">
        <f t="shared" si="89"/>
        <v>#DIV/0!</v>
      </c>
    </row>
    <row r="102" spans="2:32" ht="12.75" customHeight="1">
      <c r="B102" s="60" t="s">
        <v>145</v>
      </c>
      <c r="C102" s="82"/>
      <c r="D102" s="82"/>
      <c r="E102" s="82"/>
      <c r="F102" s="82"/>
      <c r="G102" s="82"/>
      <c r="H102" s="82"/>
      <c r="I102" s="32"/>
      <c r="J102" s="82"/>
      <c r="K102" s="82"/>
      <c r="L102" s="82"/>
      <c r="M102" s="32">
        <f t="shared" ref="M102" si="95">SUM(F102-SUM(J102:L102))</f>
        <v>0</v>
      </c>
      <c r="N102" s="82"/>
      <c r="O102" s="82"/>
      <c r="P102" s="82"/>
      <c r="Q102" s="32">
        <f t="shared" ref="Q102" si="96">SUM(G102-SUM(N102:P102))</f>
        <v>0</v>
      </c>
      <c r="R102" s="82"/>
      <c r="S102" s="82"/>
      <c r="T102" s="82"/>
      <c r="U102" s="82"/>
      <c r="W102" s="32">
        <f>SUM(J102:M102)</f>
        <v>0</v>
      </c>
      <c r="X102" s="32">
        <f>SUM(K102:N102)</f>
        <v>0</v>
      </c>
      <c r="Y102" s="32">
        <f>SUM(L102:O102)</f>
        <v>0</v>
      </c>
      <c r="Z102" s="32">
        <f>SUM(M102:P102)</f>
        <v>0</v>
      </c>
      <c r="AA102" s="32">
        <f>SUM(N102:Q102)</f>
        <v>0</v>
      </c>
      <c r="AB102" s="32">
        <f>SUM(O102:R102)</f>
        <v>0</v>
      </c>
      <c r="AC102" s="32">
        <f>SUM(P102:S102)</f>
        <v>0</v>
      </c>
      <c r="AD102" s="32">
        <f>SUM(Q102:T102)</f>
        <v>0</v>
      </c>
      <c r="AE102" s="11"/>
      <c r="AF102" s="75" t="e">
        <f t="shared" si="89"/>
        <v>#DIV/0!</v>
      </c>
    </row>
    <row r="103" spans="2:32" ht="12.75" customHeight="1">
      <c r="B103" s="13" t="s">
        <v>51</v>
      </c>
      <c r="C103" s="14">
        <f t="shared" ref="C103:H103" si="97">SUM(C94:C102)</f>
        <v>10866</v>
      </c>
      <c r="D103" s="14">
        <f t="shared" si="97"/>
        <v>12311</v>
      </c>
      <c r="E103" s="14">
        <f t="shared" si="97"/>
        <v>14957</v>
      </c>
      <c r="F103" s="14">
        <f t="shared" si="97"/>
        <v>17273</v>
      </c>
      <c r="G103" s="14">
        <f t="shared" si="97"/>
        <v>19743</v>
      </c>
      <c r="H103" s="14">
        <f t="shared" si="97"/>
        <v>20058</v>
      </c>
      <c r="J103" s="14">
        <f t="shared" ref="J103:U103" si="98">SUM(J94:J102)</f>
        <v>4179</v>
      </c>
      <c r="K103" s="14">
        <f t="shared" si="98"/>
        <v>4257</v>
      </c>
      <c r="L103" s="14">
        <f t="shared" si="98"/>
        <v>4156</v>
      </c>
      <c r="M103" s="14">
        <f t="shared" si="98"/>
        <v>4681</v>
      </c>
      <c r="N103" s="14">
        <f t="shared" si="98"/>
        <v>4890</v>
      </c>
      <c r="O103" s="14">
        <f t="shared" si="98"/>
        <v>4663</v>
      </c>
      <c r="P103" s="14">
        <f t="shared" si="98"/>
        <v>4872</v>
      </c>
      <c r="Q103" s="14">
        <f t="shared" si="98"/>
        <v>5318</v>
      </c>
      <c r="R103" s="14">
        <f t="shared" si="98"/>
        <v>5119</v>
      </c>
      <c r="S103" s="14">
        <f t="shared" si="98"/>
        <v>4577</v>
      </c>
      <c r="T103" s="14">
        <f t="shared" si="98"/>
        <v>5272</v>
      </c>
      <c r="U103" s="14">
        <f t="shared" si="98"/>
        <v>5090</v>
      </c>
      <c r="W103" s="14">
        <f t="shared" ref="W103:AD103" si="99">SUM(W94:W102)</f>
        <v>16592</v>
      </c>
      <c r="X103" s="14">
        <f t="shared" si="99"/>
        <v>17052</v>
      </c>
      <c r="Y103" s="14">
        <f t="shared" si="99"/>
        <v>17301</v>
      </c>
      <c r="Z103" s="14">
        <f t="shared" si="99"/>
        <v>19106</v>
      </c>
      <c r="AA103" s="14">
        <f t="shared" si="99"/>
        <v>19743</v>
      </c>
      <c r="AB103" s="14">
        <f t="shared" si="99"/>
        <v>19972</v>
      </c>
      <c r="AC103" s="14">
        <f t="shared" si="99"/>
        <v>19886</v>
      </c>
      <c r="AD103" s="14">
        <f t="shared" si="99"/>
        <v>20286</v>
      </c>
      <c r="AE103" s="42"/>
      <c r="AF103" s="76">
        <f t="shared" si="89"/>
        <v>6.1760703443944243E-2</v>
      </c>
    </row>
    <row r="104" spans="2:32" ht="12.75" customHeight="1">
      <c r="B104" s="53"/>
      <c r="C104" s="61"/>
      <c r="D104" s="61"/>
      <c r="E104" s="61"/>
      <c r="F104" s="61"/>
      <c r="G104" s="61"/>
      <c r="H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W104" s="42"/>
      <c r="X104" s="42"/>
      <c r="Y104" s="42"/>
      <c r="Z104" s="42"/>
      <c r="AA104" s="42"/>
      <c r="AB104" s="42"/>
      <c r="AC104" s="42"/>
      <c r="AD104" s="42"/>
      <c r="AE104" s="42"/>
      <c r="AF104" s="39"/>
    </row>
    <row r="105" spans="2:32" ht="12.75" customHeight="1">
      <c r="B105" s="53" t="s">
        <v>52</v>
      </c>
      <c r="C105" s="58"/>
      <c r="D105" s="58"/>
      <c r="E105" s="58"/>
      <c r="F105" s="58"/>
      <c r="G105" s="58"/>
      <c r="H105" s="58"/>
      <c r="J105" s="82"/>
      <c r="K105" s="82"/>
      <c r="L105" s="82"/>
      <c r="M105" s="32"/>
      <c r="N105" s="82"/>
      <c r="O105" s="82"/>
      <c r="P105" s="82"/>
      <c r="Q105" s="32"/>
      <c r="R105" s="58"/>
      <c r="S105" s="58"/>
      <c r="T105" s="58"/>
      <c r="U105" s="58"/>
      <c r="W105" s="58"/>
      <c r="X105" s="58"/>
      <c r="Y105" s="58"/>
      <c r="Z105" s="58"/>
      <c r="AA105" s="58"/>
      <c r="AB105" s="58"/>
      <c r="AC105" s="58"/>
      <c r="AD105" s="58"/>
      <c r="AE105" s="59"/>
      <c r="AF105" s="75"/>
    </row>
    <row r="106" spans="2:32" ht="12.75" customHeight="1">
      <c r="B106" s="60" t="s">
        <v>146</v>
      </c>
      <c r="C106" s="82"/>
      <c r="D106" s="82"/>
      <c r="E106" s="82"/>
      <c r="F106" s="82"/>
      <c r="G106" s="82"/>
      <c r="H106" s="82"/>
      <c r="I106" s="32"/>
      <c r="J106" s="82"/>
      <c r="K106" s="82"/>
      <c r="L106" s="82"/>
      <c r="M106" s="32">
        <f t="shared" ref="M106:M109" si="100">SUM(F106-SUM(J106:L106))</f>
        <v>0</v>
      </c>
      <c r="N106" s="82"/>
      <c r="O106" s="82"/>
      <c r="P106" s="82"/>
      <c r="Q106" s="32">
        <f t="shared" ref="Q106:Q109" si="101">SUM(G106-SUM(N106:P106))</f>
        <v>0</v>
      </c>
      <c r="R106" s="82"/>
      <c r="S106" s="82"/>
      <c r="T106" s="82"/>
      <c r="U106" s="82"/>
      <c r="V106" s="32"/>
      <c r="W106" s="32">
        <f>SUM(J106:M106)</f>
        <v>0</v>
      </c>
      <c r="X106" s="32">
        <f>SUM(K106:N106)</f>
        <v>0</v>
      </c>
      <c r="Y106" s="32">
        <f>SUM(L106:O106)</f>
        <v>0</v>
      </c>
      <c r="Z106" s="32">
        <f>SUM(M106:P106)</f>
        <v>0</v>
      </c>
      <c r="AA106" s="32">
        <f>SUM(N106:Q106)</f>
        <v>0</v>
      </c>
      <c r="AB106" s="32">
        <f>SUM(O106:R106)</f>
        <v>0</v>
      </c>
      <c r="AC106" s="32">
        <f>SUM(P106:S106)</f>
        <v>0</v>
      </c>
      <c r="AD106" s="32">
        <f>SUM(Q106:T106)</f>
        <v>0</v>
      </c>
      <c r="AE106" s="59"/>
      <c r="AF106" s="75" t="e">
        <f t="shared" ref="AF106:AF109" si="102">SUM(AD106/Z106)-1</f>
        <v>#DIV/0!</v>
      </c>
    </row>
    <row r="107" spans="2:32" ht="12.75" customHeight="1">
      <c r="B107" s="60" t="s">
        <v>147</v>
      </c>
      <c r="C107" s="82"/>
      <c r="D107" s="82"/>
      <c r="E107" s="82"/>
      <c r="F107" s="82"/>
      <c r="G107" s="82"/>
      <c r="H107" s="82"/>
      <c r="I107" s="32"/>
      <c r="J107" s="82"/>
      <c r="K107" s="82"/>
      <c r="L107" s="82"/>
      <c r="M107" s="32">
        <f t="shared" si="100"/>
        <v>0</v>
      </c>
      <c r="N107" s="82"/>
      <c r="O107" s="82"/>
      <c r="P107" s="82"/>
      <c r="Q107" s="32">
        <f t="shared" si="101"/>
        <v>0</v>
      </c>
      <c r="R107" s="82"/>
      <c r="S107" s="82"/>
      <c r="T107" s="82"/>
      <c r="U107" s="82"/>
      <c r="V107" s="32"/>
      <c r="W107" s="32">
        <f>SUM(J107:M107)</f>
        <v>0</v>
      </c>
      <c r="X107" s="32">
        <f>SUM(K107:N107)</f>
        <v>0</v>
      </c>
      <c r="Y107" s="32">
        <f>SUM(L107:O107)</f>
        <v>0</v>
      </c>
      <c r="Z107" s="32">
        <f>SUM(M107:P107)</f>
        <v>0</v>
      </c>
      <c r="AA107" s="32">
        <f>SUM(N107:Q107)</f>
        <v>0</v>
      </c>
      <c r="AB107" s="32">
        <f>SUM(O107:R107)</f>
        <v>0</v>
      </c>
      <c r="AC107" s="32">
        <f>SUM(P107:S107)</f>
        <v>0</v>
      </c>
      <c r="AD107" s="32">
        <f>SUM(Q107:T107)</f>
        <v>0</v>
      </c>
      <c r="AE107" s="59"/>
      <c r="AF107" s="75" t="e">
        <f t="shared" si="102"/>
        <v>#DIV/0!</v>
      </c>
    </row>
    <row r="108" spans="2:32" ht="12.75" customHeight="1">
      <c r="B108" s="60" t="s">
        <v>148</v>
      </c>
      <c r="C108" s="82"/>
      <c r="D108" s="82"/>
      <c r="E108" s="82"/>
      <c r="F108" s="82"/>
      <c r="G108" s="82"/>
      <c r="H108" s="82"/>
      <c r="I108" s="32"/>
      <c r="J108" s="82"/>
      <c r="K108" s="82"/>
      <c r="L108" s="82"/>
      <c r="M108" s="32">
        <f t="shared" si="100"/>
        <v>0</v>
      </c>
      <c r="N108" s="82"/>
      <c r="O108" s="82"/>
      <c r="P108" s="82"/>
      <c r="Q108" s="32">
        <f t="shared" si="101"/>
        <v>0</v>
      </c>
      <c r="R108" s="82"/>
      <c r="S108" s="82"/>
      <c r="T108" s="82"/>
      <c r="U108" s="82"/>
      <c r="V108" s="32"/>
      <c r="W108" s="32">
        <f>SUM(J108:M108)</f>
        <v>0</v>
      </c>
      <c r="X108" s="32">
        <f>SUM(K108:N108)</f>
        <v>0</v>
      </c>
      <c r="Y108" s="32">
        <f>SUM(L108:O108)</f>
        <v>0</v>
      </c>
      <c r="Z108" s="32">
        <f>SUM(M108:P108)</f>
        <v>0</v>
      </c>
      <c r="AA108" s="32">
        <f>SUM(N108:Q108)</f>
        <v>0</v>
      </c>
      <c r="AB108" s="32">
        <f>SUM(O108:R108)</f>
        <v>0</v>
      </c>
      <c r="AC108" s="32">
        <f>SUM(P108:S108)</f>
        <v>0</v>
      </c>
      <c r="AD108" s="32">
        <f>SUM(Q108:T108)</f>
        <v>0</v>
      </c>
      <c r="AE108" s="59"/>
      <c r="AF108" s="75" t="e">
        <f t="shared" si="102"/>
        <v>#DIV/0!</v>
      </c>
    </row>
    <row r="109" spans="2:32" ht="12.75" customHeight="1">
      <c r="B109" s="60" t="s">
        <v>149</v>
      </c>
      <c r="C109" s="82"/>
      <c r="D109" s="82"/>
      <c r="E109" s="82"/>
      <c r="F109" s="82"/>
      <c r="G109" s="82"/>
      <c r="H109" s="82"/>
      <c r="I109" s="32"/>
      <c r="J109" s="82"/>
      <c r="K109" s="82"/>
      <c r="L109" s="82"/>
      <c r="M109" s="32">
        <f t="shared" si="100"/>
        <v>0</v>
      </c>
      <c r="N109" s="82"/>
      <c r="O109" s="82"/>
      <c r="P109" s="82"/>
      <c r="Q109" s="32">
        <f t="shared" si="101"/>
        <v>0</v>
      </c>
      <c r="R109" s="82"/>
      <c r="S109" s="82"/>
      <c r="T109" s="82"/>
      <c r="U109" s="82"/>
      <c r="V109" s="32"/>
      <c r="W109" s="32">
        <f>SUM(J109:M109)</f>
        <v>0</v>
      </c>
      <c r="X109" s="32">
        <f>SUM(K109:N109)</f>
        <v>0</v>
      </c>
      <c r="Y109" s="32">
        <f>SUM(L109:O109)</f>
        <v>0</v>
      </c>
      <c r="Z109" s="32">
        <f>SUM(M109:P109)</f>
        <v>0</v>
      </c>
      <c r="AA109" s="32">
        <f>SUM(N109:Q109)</f>
        <v>0</v>
      </c>
      <c r="AB109" s="32">
        <f>SUM(O109:R109)</f>
        <v>0</v>
      </c>
      <c r="AC109" s="32">
        <f>SUM(P109:S109)</f>
        <v>0</v>
      </c>
      <c r="AD109" s="32">
        <f>SUM(Q109:T109)</f>
        <v>0</v>
      </c>
      <c r="AE109" s="59"/>
      <c r="AF109" s="75" t="e">
        <f t="shared" si="102"/>
        <v>#DIV/0!</v>
      </c>
    </row>
    <row r="110" spans="2:32" ht="12.75" customHeight="1">
      <c r="B110" s="13" t="s">
        <v>53</v>
      </c>
      <c r="C110" s="14">
        <f t="shared" ref="C110:H110" si="103">SUM(C106:C109)</f>
        <v>0</v>
      </c>
      <c r="D110" s="14">
        <f t="shared" si="103"/>
        <v>0</v>
      </c>
      <c r="E110" s="14">
        <f t="shared" si="103"/>
        <v>0</v>
      </c>
      <c r="F110" s="14">
        <f t="shared" si="103"/>
        <v>0</v>
      </c>
      <c r="G110" s="14">
        <f t="shared" si="103"/>
        <v>0</v>
      </c>
      <c r="H110" s="14">
        <f t="shared" si="103"/>
        <v>0</v>
      </c>
      <c r="J110" s="14">
        <f t="shared" ref="J110:U110" si="104">SUM(J106:J109)</f>
        <v>0</v>
      </c>
      <c r="K110" s="14">
        <f t="shared" si="104"/>
        <v>0</v>
      </c>
      <c r="L110" s="14">
        <f t="shared" si="104"/>
        <v>0</v>
      </c>
      <c r="M110" s="14">
        <f t="shared" si="104"/>
        <v>0</v>
      </c>
      <c r="N110" s="14">
        <f t="shared" si="104"/>
        <v>0</v>
      </c>
      <c r="O110" s="14">
        <f t="shared" si="104"/>
        <v>0</v>
      </c>
      <c r="P110" s="14">
        <f t="shared" si="104"/>
        <v>0</v>
      </c>
      <c r="Q110" s="14">
        <f t="shared" si="104"/>
        <v>0</v>
      </c>
      <c r="R110" s="14">
        <f t="shared" si="104"/>
        <v>0</v>
      </c>
      <c r="S110" s="14">
        <f t="shared" si="104"/>
        <v>0</v>
      </c>
      <c r="T110" s="14">
        <f t="shared" si="104"/>
        <v>0</v>
      </c>
      <c r="U110" s="14">
        <f t="shared" si="104"/>
        <v>0</v>
      </c>
      <c r="W110" s="14">
        <f t="shared" ref="W110:AD110" si="105">SUM(W109:W109)</f>
        <v>0</v>
      </c>
      <c r="X110" s="14">
        <f t="shared" si="105"/>
        <v>0</v>
      </c>
      <c r="Y110" s="14">
        <f t="shared" si="105"/>
        <v>0</v>
      </c>
      <c r="Z110" s="14">
        <f t="shared" si="105"/>
        <v>0</v>
      </c>
      <c r="AA110" s="14">
        <f t="shared" si="105"/>
        <v>0</v>
      </c>
      <c r="AB110" s="14">
        <f t="shared" si="105"/>
        <v>0</v>
      </c>
      <c r="AC110" s="14">
        <f t="shared" si="105"/>
        <v>0</v>
      </c>
      <c r="AD110" s="14">
        <f t="shared" si="105"/>
        <v>0</v>
      </c>
      <c r="AE110" s="42"/>
      <c r="AF110" s="76" t="e">
        <f t="shared" ref="AF110:AF116" si="106">SUM(AD110/Z110)-1</f>
        <v>#DIV/0!</v>
      </c>
    </row>
    <row r="111" spans="2:32" ht="5.0999999999999996" customHeight="1">
      <c r="B111" s="52"/>
      <c r="C111" s="61"/>
      <c r="D111" s="61"/>
      <c r="E111" s="61"/>
      <c r="F111" s="61"/>
      <c r="G111" s="61"/>
      <c r="H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W111" s="42"/>
      <c r="X111" s="42"/>
      <c r="Y111" s="42"/>
      <c r="Z111" s="42"/>
      <c r="AA111" s="42"/>
      <c r="AB111" s="42"/>
      <c r="AC111" s="42"/>
      <c r="AD111" s="42"/>
      <c r="AE111" s="42"/>
      <c r="AF111" s="39"/>
    </row>
    <row r="112" spans="2:32" ht="12.75" customHeight="1">
      <c r="B112" s="53" t="s">
        <v>54</v>
      </c>
      <c r="C112" s="63"/>
      <c r="D112" s="63"/>
      <c r="E112" s="63"/>
      <c r="F112" s="63"/>
      <c r="G112" s="63"/>
      <c r="H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32"/>
      <c r="W112" s="32"/>
      <c r="X112" s="32"/>
      <c r="Y112" s="32"/>
      <c r="Z112" s="32"/>
      <c r="AA112" s="32"/>
      <c r="AB112" s="32"/>
      <c r="AC112" s="32"/>
      <c r="AD112" s="32"/>
      <c r="AE112" s="64"/>
      <c r="AF112" s="75"/>
    </row>
    <row r="113" spans="2:32" ht="12.75" customHeight="1">
      <c r="B113" s="84" t="s">
        <v>150</v>
      </c>
      <c r="C113" s="82"/>
      <c r="D113" s="82"/>
      <c r="E113" s="82"/>
      <c r="F113" s="82"/>
      <c r="G113" s="82"/>
      <c r="H113" s="82"/>
      <c r="J113" s="82"/>
      <c r="K113" s="82"/>
      <c r="L113" s="82"/>
      <c r="M113" s="32">
        <f t="shared" ref="M113:M115" si="107">SUM(F113-SUM(J113:L113))</f>
        <v>0</v>
      </c>
      <c r="N113" s="82"/>
      <c r="O113" s="82"/>
      <c r="P113" s="82"/>
      <c r="Q113" s="32">
        <f t="shared" ref="Q113:Q115" si="108">SUM(G113-SUM(N113:P113))</f>
        <v>0</v>
      </c>
      <c r="R113" s="82"/>
      <c r="S113" s="82"/>
      <c r="T113" s="82"/>
      <c r="U113" s="82"/>
      <c r="V113" s="32"/>
      <c r="W113" s="32">
        <f>SUM(J113:M113)</f>
        <v>0</v>
      </c>
      <c r="X113" s="32">
        <f>SUM(K113:N113)</f>
        <v>0</v>
      </c>
      <c r="Y113" s="32">
        <f>SUM(L113:O113)</f>
        <v>0</v>
      </c>
      <c r="Z113" s="32">
        <f>SUM(M113:P113)</f>
        <v>0</v>
      </c>
      <c r="AA113" s="32">
        <f>SUM(N113:Q113)</f>
        <v>0</v>
      </c>
      <c r="AB113" s="32">
        <f>SUM(O113:R113)</f>
        <v>0</v>
      </c>
      <c r="AC113" s="32">
        <f>SUM(P113:S113)</f>
        <v>0</v>
      </c>
      <c r="AD113" s="32">
        <f>SUM(Q113:T113)</f>
        <v>0</v>
      </c>
      <c r="AE113" s="64"/>
      <c r="AF113" s="75" t="e">
        <f t="shared" si="106"/>
        <v>#DIV/0!</v>
      </c>
    </row>
    <row r="114" spans="2:32" ht="12.75" customHeight="1">
      <c r="B114" s="84" t="s">
        <v>151</v>
      </c>
      <c r="C114" s="82"/>
      <c r="D114" s="82"/>
      <c r="E114" s="82"/>
      <c r="F114" s="82"/>
      <c r="G114" s="82"/>
      <c r="H114" s="82"/>
      <c r="J114" s="82"/>
      <c r="K114" s="82"/>
      <c r="L114" s="82"/>
      <c r="M114" s="32">
        <f t="shared" si="107"/>
        <v>0</v>
      </c>
      <c r="N114" s="82"/>
      <c r="O114" s="82"/>
      <c r="P114" s="82"/>
      <c r="Q114" s="32">
        <f t="shared" si="108"/>
        <v>0</v>
      </c>
      <c r="R114" s="82"/>
      <c r="S114" s="82"/>
      <c r="T114" s="82"/>
      <c r="U114" s="82"/>
      <c r="V114" s="32"/>
      <c r="W114" s="32">
        <f>SUM(J114:M114)</f>
        <v>0</v>
      </c>
      <c r="X114" s="32">
        <f>SUM(K114:N114)</f>
        <v>0</v>
      </c>
      <c r="Y114" s="32">
        <f>SUM(L114:O114)</f>
        <v>0</v>
      </c>
      <c r="Z114" s="32">
        <f>SUM(M114:P114)</f>
        <v>0</v>
      </c>
      <c r="AA114" s="32">
        <f>SUM(N114:Q114)</f>
        <v>0</v>
      </c>
      <c r="AB114" s="32">
        <f>SUM(O114:R114)</f>
        <v>0</v>
      </c>
      <c r="AC114" s="32">
        <f>SUM(P114:S114)</f>
        <v>0</v>
      </c>
      <c r="AD114" s="32">
        <f>SUM(Q114:T114)</f>
        <v>0</v>
      </c>
      <c r="AE114" s="64"/>
      <c r="AF114" s="75" t="e">
        <f t="shared" ref="AF114" si="109">SUM(AD114/Z114)-1</f>
        <v>#DIV/0!</v>
      </c>
    </row>
    <row r="115" spans="2:32" ht="12.75" customHeight="1">
      <c r="B115" s="84" t="s">
        <v>152</v>
      </c>
      <c r="C115" s="82"/>
      <c r="D115" s="82"/>
      <c r="E115" s="82"/>
      <c r="F115" s="82"/>
      <c r="G115" s="82"/>
      <c r="H115" s="82"/>
      <c r="J115" s="82"/>
      <c r="K115" s="82"/>
      <c r="L115" s="82"/>
      <c r="M115" s="32">
        <f t="shared" si="107"/>
        <v>0</v>
      </c>
      <c r="N115" s="82"/>
      <c r="O115" s="82"/>
      <c r="P115" s="82"/>
      <c r="Q115" s="32">
        <f t="shared" si="108"/>
        <v>0</v>
      </c>
      <c r="R115" s="82"/>
      <c r="S115" s="82"/>
      <c r="T115" s="82"/>
      <c r="U115" s="82"/>
      <c r="V115" s="32"/>
      <c r="W115" s="32">
        <f>SUM(J115:M115)</f>
        <v>0</v>
      </c>
      <c r="X115" s="32">
        <f>SUM(K115:N115)</f>
        <v>0</v>
      </c>
      <c r="Y115" s="32">
        <f>SUM(L115:O115)</f>
        <v>0</v>
      </c>
      <c r="Z115" s="32">
        <f>SUM(M115:P115)</f>
        <v>0</v>
      </c>
      <c r="AA115" s="32">
        <f>SUM(N115:Q115)</f>
        <v>0</v>
      </c>
      <c r="AB115" s="32">
        <f>SUM(O115:R115)</f>
        <v>0</v>
      </c>
      <c r="AC115" s="32">
        <f>SUM(P115:S115)</f>
        <v>0</v>
      </c>
      <c r="AD115" s="32">
        <f>SUM(Q115:T115)</f>
        <v>0</v>
      </c>
      <c r="AE115" s="64"/>
      <c r="AF115" s="75" t="e">
        <f t="shared" si="106"/>
        <v>#DIV/0!</v>
      </c>
    </row>
    <row r="116" spans="2:32" ht="12.75" customHeight="1">
      <c r="B116" s="13" t="s">
        <v>55</v>
      </c>
      <c r="C116" s="14">
        <f t="shared" ref="C116:H116" si="110">SUM(C113:C115)</f>
        <v>0</v>
      </c>
      <c r="D116" s="14">
        <f t="shared" si="110"/>
        <v>0</v>
      </c>
      <c r="E116" s="14">
        <f t="shared" si="110"/>
        <v>0</v>
      </c>
      <c r="F116" s="14">
        <f t="shared" si="110"/>
        <v>0</v>
      </c>
      <c r="G116" s="14">
        <f t="shared" si="110"/>
        <v>0</v>
      </c>
      <c r="H116" s="14">
        <f t="shared" si="110"/>
        <v>0</v>
      </c>
      <c r="J116" s="14">
        <f t="shared" ref="J116:U116" si="111">SUM(J113:J115)</f>
        <v>0</v>
      </c>
      <c r="K116" s="14">
        <f t="shared" si="111"/>
        <v>0</v>
      </c>
      <c r="L116" s="14">
        <f t="shared" si="111"/>
        <v>0</v>
      </c>
      <c r="M116" s="14">
        <f t="shared" si="111"/>
        <v>0</v>
      </c>
      <c r="N116" s="14">
        <f t="shared" si="111"/>
        <v>0</v>
      </c>
      <c r="O116" s="14">
        <f t="shared" si="111"/>
        <v>0</v>
      </c>
      <c r="P116" s="14">
        <f t="shared" si="111"/>
        <v>0</v>
      </c>
      <c r="Q116" s="14">
        <f t="shared" si="111"/>
        <v>0</v>
      </c>
      <c r="R116" s="14">
        <f t="shared" si="111"/>
        <v>0</v>
      </c>
      <c r="S116" s="14">
        <f t="shared" si="111"/>
        <v>0</v>
      </c>
      <c r="T116" s="14">
        <f t="shared" si="111"/>
        <v>0</v>
      </c>
      <c r="U116" s="14">
        <f t="shared" si="111"/>
        <v>0</v>
      </c>
      <c r="W116" s="14">
        <f t="shared" ref="W116:AD116" si="112">SUM(W113:W115)</f>
        <v>0</v>
      </c>
      <c r="X116" s="14">
        <f t="shared" si="112"/>
        <v>0</v>
      </c>
      <c r="Y116" s="14">
        <f t="shared" si="112"/>
        <v>0</v>
      </c>
      <c r="Z116" s="14">
        <f t="shared" si="112"/>
        <v>0</v>
      </c>
      <c r="AA116" s="14">
        <f t="shared" si="112"/>
        <v>0</v>
      </c>
      <c r="AB116" s="14">
        <f t="shared" si="112"/>
        <v>0</v>
      </c>
      <c r="AC116" s="14">
        <f t="shared" si="112"/>
        <v>0</v>
      </c>
      <c r="AD116" s="14">
        <f t="shared" si="112"/>
        <v>0</v>
      </c>
      <c r="AE116" s="42"/>
      <c r="AF116" s="76" t="e">
        <f t="shared" si="106"/>
        <v>#DIV/0!</v>
      </c>
    </row>
    <row r="117" spans="2:32" ht="5.0999999999999996" customHeight="1">
      <c r="B117" s="71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1"/>
      <c r="AF117" s="45"/>
    </row>
    <row r="118" spans="2:32">
      <c r="B118" s="92" t="s">
        <v>81</v>
      </c>
      <c r="C118" s="93"/>
      <c r="D118" s="93">
        <f t="shared" ref="D118:H118" si="113">C125</f>
        <v>10866</v>
      </c>
      <c r="E118" s="93">
        <f t="shared" si="113"/>
        <v>23177</v>
      </c>
      <c r="F118" s="93">
        <f t="shared" si="113"/>
        <v>38134</v>
      </c>
      <c r="G118" s="93">
        <f t="shared" si="113"/>
        <v>55407</v>
      </c>
      <c r="H118" s="93">
        <f t="shared" si="113"/>
        <v>75150</v>
      </c>
      <c r="I118" s="93"/>
      <c r="J118" s="93"/>
      <c r="K118" s="93">
        <f t="shared" ref="K118:T118" si="114">J125</f>
        <v>4179</v>
      </c>
      <c r="L118" s="93">
        <f t="shared" si="114"/>
        <v>8436</v>
      </c>
      <c r="M118" s="93">
        <f t="shared" si="114"/>
        <v>12592</v>
      </c>
      <c r="N118" s="93">
        <f t="shared" si="114"/>
        <v>17273</v>
      </c>
      <c r="O118" s="93">
        <f t="shared" si="114"/>
        <v>22163</v>
      </c>
      <c r="P118" s="93">
        <f t="shared" si="114"/>
        <v>26826</v>
      </c>
      <c r="Q118" s="93">
        <f t="shared" si="114"/>
        <v>31698</v>
      </c>
      <c r="R118" s="93">
        <f t="shared" si="114"/>
        <v>37016</v>
      </c>
      <c r="S118" s="93">
        <f t="shared" si="114"/>
        <v>42135</v>
      </c>
      <c r="T118" s="93">
        <f t="shared" si="114"/>
        <v>46712</v>
      </c>
      <c r="U118" s="93">
        <f t="shared" ref="U118" si="115">T125</f>
        <v>51984</v>
      </c>
      <c r="V118" s="93"/>
      <c r="W118" s="93"/>
      <c r="X118" s="93">
        <f>J125</f>
        <v>4179</v>
      </c>
      <c r="Y118" s="93">
        <f>K125</f>
        <v>8436</v>
      </c>
      <c r="Z118" s="93">
        <f>L125</f>
        <v>12592</v>
      </c>
      <c r="AA118" s="93">
        <f>M125</f>
        <v>17273</v>
      </c>
      <c r="AB118" s="93">
        <f>N125</f>
        <v>22163</v>
      </c>
      <c r="AC118" s="93">
        <f>O125</f>
        <v>26826</v>
      </c>
      <c r="AD118" s="140">
        <f>P125</f>
        <v>31698</v>
      </c>
      <c r="AE118" s="11"/>
      <c r="AF118" s="45"/>
    </row>
    <row r="119" spans="2:32">
      <c r="B119" s="130" t="s">
        <v>94</v>
      </c>
      <c r="C119" s="32"/>
      <c r="D119" s="32"/>
      <c r="E119" s="32">
        <f t="shared" ref="E119:H119" si="116">-D123</f>
        <v>0</v>
      </c>
      <c r="F119" s="32">
        <f t="shared" si="116"/>
        <v>0</v>
      </c>
      <c r="G119" s="32">
        <f t="shared" si="116"/>
        <v>0</v>
      </c>
      <c r="H119" s="32">
        <f t="shared" si="116"/>
        <v>0</v>
      </c>
      <c r="I119" s="32"/>
      <c r="J119" s="32"/>
      <c r="K119" s="32">
        <f t="shared" ref="K119:U119" si="117">-J123</f>
        <v>0</v>
      </c>
      <c r="L119" s="32">
        <f t="shared" si="117"/>
        <v>0</v>
      </c>
      <c r="M119" s="32">
        <f t="shared" si="117"/>
        <v>0</v>
      </c>
      <c r="N119" s="32">
        <f t="shared" si="117"/>
        <v>0</v>
      </c>
      <c r="O119" s="32">
        <f t="shared" si="117"/>
        <v>0</v>
      </c>
      <c r="P119" s="32">
        <f t="shared" si="117"/>
        <v>0</v>
      </c>
      <c r="Q119" s="32">
        <f t="shared" si="117"/>
        <v>0</v>
      </c>
      <c r="R119" s="32">
        <f t="shared" si="117"/>
        <v>0</v>
      </c>
      <c r="S119" s="32">
        <f t="shared" si="117"/>
        <v>0</v>
      </c>
      <c r="T119" s="32">
        <f t="shared" si="117"/>
        <v>0</v>
      </c>
      <c r="U119" s="32">
        <f t="shared" si="117"/>
        <v>0</v>
      </c>
      <c r="V119" s="32"/>
      <c r="W119" s="32">
        <f>F119</f>
        <v>0</v>
      </c>
      <c r="X119" s="32">
        <f>-J123</f>
        <v>0</v>
      </c>
      <c r="Y119" s="32">
        <f>-K123</f>
        <v>0</v>
      </c>
      <c r="Z119" s="32">
        <f>-L123</f>
        <v>0</v>
      </c>
      <c r="AA119" s="32">
        <f>-M123</f>
        <v>0</v>
      </c>
      <c r="AB119" s="32">
        <f>-N123</f>
        <v>0</v>
      </c>
      <c r="AC119" s="32">
        <f>-O123</f>
        <v>0</v>
      </c>
      <c r="AD119" s="134">
        <f>-P123</f>
        <v>0</v>
      </c>
      <c r="AE119" s="11"/>
      <c r="AF119" s="45"/>
    </row>
    <row r="120" spans="2:32">
      <c r="B120" s="145" t="s">
        <v>68</v>
      </c>
      <c r="C120" s="146">
        <f t="shared" ref="C120" si="118">SUM(C118:C119)</f>
        <v>0</v>
      </c>
      <c r="D120" s="146">
        <f t="shared" ref="D120:G120" si="119">SUM(D118:D119)</f>
        <v>10866</v>
      </c>
      <c r="E120" s="146">
        <f t="shared" si="119"/>
        <v>23177</v>
      </c>
      <c r="F120" s="146">
        <f t="shared" si="119"/>
        <v>38134</v>
      </c>
      <c r="G120" s="146">
        <f t="shared" si="119"/>
        <v>55407</v>
      </c>
      <c r="H120" s="146">
        <f t="shared" ref="H120" si="120">SUM(H118:H119)</f>
        <v>75150</v>
      </c>
      <c r="I120" s="32"/>
      <c r="J120" s="146">
        <f t="shared" ref="J120:T120" si="121">SUM(J118:J119)</f>
        <v>0</v>
      </c>
      <c r="K120" s="146">
        <f t="shared" si="121"/>
        <v>4179</v>
      </c>
      <c r="L120" s="146">
        <f t="shared" si="121"/>
        <v>8436</v>
      </c>
      <c r="M120" s="146">
        <f t="shared" si="121"/>
        <v>12592</v>
      </c>
      <c r="N120" s="146">
        <f t="shared" si="121"/>
        <v>17273</v>
      </c>
      <c r="O120" s="146">
        <f t="shared" si="121"/>
        <v>22163</v>
      </c>
      <c r="P120" s="146">
        <f t="shared" si="121"/>
        <v>26826</v>
      </c>
      <c r="Q120" s="146">
        <f t="shared" si="121"/>
        <v>31698</v>
      </c>
      <c r="R120" s="146">
        <f t="shared" si="121"/>
        <v>37016</v>
      </c>
      <c r="S120" s="146">
        <f t="shared" si="121"/>
        <v>42135</v>
      </c>
      <c r="T120" s="146">
        <f t="shared" si="121"/>
        <v>46712</v>
      </c>
      <c r="U120" s="146">
        <f t="shared" ref="U120" si="122">SUM(U118:U119)</f>
        <v>51984</v>
      </c>
      <c r="V120" s="32"/>
      <c r="W120" s="133">
        <f t="shared" ref="W120:AD120" si="123">SUM(W118:W119)</f>
        <v>0</v>
      </c>
      <c r="X120" s="133">
        <f t="shared" si="123"/>
        <v>4179</v>
      </c>
      <c r="Y120" s="133">
        <f t="shared" si="123"/>
        <v>8436</v>
      </c>
      <c r="Z120" s="146">
        <f t="shared" si="123"/>
        <v>12592</v>
      </c>
      <c r="AA120" s="146">
        <f t="shared" si="123"/>
        <v>17273</v>
      </c>
      <c r="AB120" s="146">
        <f t="shared" si="123"/>
        <v>22163</v>
      </c>
      <c r="AC120" s="146">
        <f t="shared" si="123"/>
        <v>26826</v>
      </c>
      <c r="AD120" s="147">
        <f t="shared" si="123"/>
        <v>31698</v>
      </c>
      <c r="AE120" s="11"/>
      <c r="AF120" s="45"/>
    </row>
    <row r="121" spans="2:32" ht="5.0999999999999996" customHeight="1">
      <c r="B121" s="137"/>
      <c r="C121" s="71"/>
      <c r="D121" s="71"/>
      <c r="E121" s="71"/>
      <c r="F121" s="71"/>
      <c r="G121" s="71"/>
      <c r="H121" s="71"/>
      <c r="I121" s="32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32"/>
      <c r="W121" s="71"/>
      <c r="X121" s="71"/>
      <c r="Y121" s="71"/>
      <c r="Z121" s="71"/>
      <c r="AA121" s="71"/>
      <c r="AB121" s="71"/>
      <c r="AC121" s="71"/>
      <c r="AD121" s="135"/>
      <c r="AE121" s="11"/>
      <c r="AF121" s="45"/>
    </row>
    <row r="122" spans="2:32">
      <c r="B122" s="130" t="s">
        <v>82</v>
      </c>
      <c r="C122" s="82"/>
      <c r="D122" s="82"/>
      <c r="E122" s="82"/>
      <c r="F122" s="82"/>
      <c r="G122" s="82"/>
      <c r="H122" s="82"/>
      <c r="I122" s="32"/>
      <c r="J122" s="82"/>
      <c r="K122" s="82"/>
      <c r="L122" s="82"/>
      <c r="M122" s="32">
        <f t="shared" ref="M122" si="124">SUM(F122-SUM(J122:L122))</f>
        <v>0</v>
      </c>
      <c r="N122" s="82"/>
      <c r="O122" s="82"/>
      <c r="P122" s="82"/>
      <c r="Q122" s="32">
        <f t="shared" ref="Q122" si="125">SUM(G122-SUM(N122:P122))</f>
        <v>0</v>
      </c>
      <c r="R122" s="82"/>
      <c r="S122" s="82"/>
      <c r="T122" s="82"/>
      <c r="U122" s="82"/>
      <c r="V122" s="32"/>
      <c r="W122" s="32">
        <f>SUM(J122:M122)</f>
        <v>0</v>
      </c>
      <c r="X122" s="32">
        <f>SUM(K122:N122)</f>
        <v>0</v>
      </c>
      <c r="Y122" s="32">
        <f>SUM(L122:O122)</f>
        <v>0</v>
      </c>
      <c r="Z122" s="32">
        <f>SUM(M122:P122)</f>
        <v>0</v>
      </c>
      <c r="AA122" s="32">
        <f>SUM(N122:Q122)</f>
        <v>0</v>
      </c>
      <c r="AB122" s="32">
        <f>SUM(O122:R122)</f>
        <v>0</v>
      </c>
      <c r="AC122" s="32">
        <f>SUM(P122:S122)</f>
        <v>0</v>
      </c>
      <c r="AD122" s="134">
        <f>SUM(Q122:T122)</f>
        <v>0</v>
      </c>
      <c r="AE122" s="11"/>
      <c r="AF122" s="45"/>
    </row>
    <row r="123" spans="2:32">
      <c r="B123" s="130" t="s">
        <v>92</v>
      </c>
      <c r="C123" s="82"/>
      <c r="D123" s="82"/>
      <c r="E123" s="82"/>
      <c r="F123" s="82"/>
      <c r="G123" s="82"/>
      <c r="H123" s="82"/>
      <c r="I123" s="32"/>
      <c r="J123" s="82"/>
      <c r="K123" s="82"/>
      <c r="L123" s="82"/>
      <c r="M123" s="32">
        <f>F123</f>
        <v>0</v>
      </c>
      <c r="N123" s="82"/>
      <c r="O123" s="82"/>
      <c r="P123" s="82"/>
      <c r="Q123" s="32">
        <f>G123</f>
        <v>0</v>
      </c>
      <c r="R123" s="82"/>
      <c r="S123" s="82"/>
      <c r="T123" s="82"/>
      <c r="U123" s="82"/>
      <c r="V123" s="32"/>
      <c r="W123" s="32">
        <f>M123</f>
        <v>0</v>
      </c>
      <c r="X123" s="32">
        <f>N123</f>
        <v>0</v>
      </c>
      <c r="Y123" s="32">
        <f>O123</f>
        <v>0</v>
      </c>
      <c r="Z123" s="32">
        <f>P123</f>
        <v>0</v>
      </c>
      <c r="AA123" s="32">
        <f>Q123</f>
        <v>0</v>
      </c>
      <c r="AB123" s="32">
        <f>R123</f>
        <v>0</v>
      </c>
      <c r="AC123" s="32">
        <f>S123</f>
        <v>0</v>
      </c>
      <c r="AD123" s="134">
        <f>T123</f>
        <v>0</v>
      </c>
      <c r="AE123" s="11"/>
      <c r="AF123" s="45"/>
    </row>
    <row r="124" spans="2:32">
      <c r="B124" s="130" t="s">
        <v>59</v>
      </c>
      <c r="C124" s="32">
        <f t="shared" ref="C124:G124" si="126">+C116+C110+C103</f>
        <v>10866</v>
      </c>
      <c r="D124" s="32">
        <f t="shared" si="126"/>
        <v>12311</v>
      </c>
      <c r="E124" s="32">
        <f t="shared" si="126"/>
        <v>14957</v>
      </c>
      <c r="F124" s="32">
        <f t="shared" si="126"/>
        <v>17273</v>
      </c>
      <c r="G124" s="32">
        <f t="shared" si="126"/>
        <v>19743</v>
      </c>
      <c r="H124" s="32">
        <f t="shared" ref="H124" si="127">+H116+H110+H103</f>
        <v>20058</v>
      </c>
      <c r="I124" s="32"/>
      <c r="J124" s="32">
        <f t="shared" ref="J124:T124" si="128">+J116+J110+J103</f>
        <v>4179</v>
      </c>
      <c r="K124" s="32">
        <f t="shared" si="128"/>
        <v>4257</v>
      </c>
      <c r="L124" s="32">
        <f t="shared" si="128"/>
        <v>4156</v>
      </c>
      <c r="M124" s="32">
        <f t="shared" si="128"/>
        <v>4681</v>
      </c>
      <c r="N124" s="32">
        <f t="shared" si="128"/>
        <v>4890</v>
      </c>
      <c r="O124" s="32">
        <f t="shared" si="128"/>
        <v>4663</v>
      </c>
      <c r="P124" s="32">
        <f t="shared" si="128"/>
        <v>4872</v>
      </c>
      <c r="Q124" s="32">
        <f t="shared" si="128"/>
        <v>5318</v>
      </c>
      <c r="R124" s="32">
        <f t="shared" si="128"/>
        <v>5119</v>
      </c>
      <c r="S124" s="32">
        <f t="shared" si="128"/>
        <v>4577</v>
      </c>
      <c r="T124" s="32">
        <f t="shared" si="128"/>
        <v>5272</v>
      </c>
      <c r="U124" s="32">
        <f t="shared" ref="U124" si="129">+U116+U110+U103</f>
        <v>5090</v>
      </c>
      <c r="V124" s="32"/>
      <c r="W124" s="32">
        <f>SUM(J124:M124)</f>
        <v>17273</v>
      </c>
      <c r="X124" s="32">
        <f>SUM(K124:N124)</f>
        <v>17984</v>
      </c>
      <c r="Y124" s="32">
        <f>SUM(L124:O124)</f>
        <v>18390</v>
      </c>
      <c r="Z124" s="32">
        <f>SUM(M124:P124)</f>
        <v>19106</v>
      </c>
      <c r="AA124" s="32">
        <f>SUM(N124:Q124)</f>
        <v>19743</v>
      </c>
      <c r="AB124" s="32">
        <f>SUM(O124:R124)</f>
        <v>19972</v>
      </c>
      <c r="AC124" s="32">
        <f>SUM(P124:S124)</f>
        <v>19886</v>
      </c>
      <c r="AD124" s="134">
        <f>SUM(Q124:T124)</f>
        <v>20286</v>
      </c>
      <c r="AE124" s="11"/>
      <c r="AF124" s="45"/>
    </row>
    <row r="125" spans="2:32">
      <c r="B125" s="89" t="s">
        <v>69</v>
      </c>
      <c r="C125" s="146">
        <f t="shared" ref="C125:H125" si="130">SUM(C120:C124)</f>
        <v>10866</v>
      </c>
      <c r="D125" s="146">
        <f t="shared" si="130"/>
        <v>23177</v>
      </c>
      <c r="E125" s="146">
        <f t="shared" si="130"/>
        <v>38134</v>
      </c>
      <c r="F125" s="146">
        <f t="shared" si="130"/>
        <v>55407</v>
      </c>
      <c r="G125" s="146">
        <f t="shared" si="130"/>
        <v>75150</v>
      </c>
      <c r="H125" s="146">
        <f t="shared" si="130"/>
        <v>95208</v>
      </c>
      <c r="I125" s="32"/>
      <c r="J125" s="146">
        <f t="shared" ref="J125:U125" si="131">SUM(J120:J124)</f>
        <v>4179</v>
      </c>
      <c r="K125" s="146">
        <f t="shared" si="131"/>
        <v>8436</v>
      </c>
      <c r="L125" s="146">
        <f t="shared" si="131"/>
        <v>12592</v>
      </c>
      <c r="M125" s="146">
        <f t="shared" si="131"/>
        <v>17273</v>
      </c>
      <c r="N125" s="146">
        <f t="shared" si="131"/>
        <v>22163</v>
      </c>
      <c r="O125" s="146">
        <f t="shared" si="131"/>
        <v>26826</v>
      </c>
      <c r="P125" s="146">
        <f t="shared" si="131"/>
        <v>31698</v>
      </c>
      <c r="Q125" s="146">
        <f t="shared" si="131"/>
        <v>37016</v>
      </c>
      <c r="R125" s="146">
        <f t="shared" si="131"/>
        <v>42135</v>
      </c>
      <c r="S125" s="146">
        <f t="shared" si="131"/>
        <v>46712</v>
      </c>
      <c r="T125" s="146">
        <f t="shared" si="131"/>
        <v>51984</v>
      </c>
      <c r="U125" s="146">
        <f t="shared" si="131"/>
        <v>57074</v>
      </c>
      <c r="V125" s="32"/>
      <c r="W125" s="133">
        <f t="shared" ref="W125:AD125" si="132">SUM(W120:W124)</f>
        <v>17273</v>
      </c>
      <c r="X125" s="133">
        <f t="shared" si="132"/>
        <v>22163</v>
      </c>
      <c r="Y125" s="133">
        <f t="shared" si="132"/>
        <v>26826</v>
      </c>
      <c r="Z125" s="146">
        <f t="shared" si="132"/>
        <v>31698</v>
      </c>
      <c r="AA125" s="146">
        <f t="shared" si="132"/>
        <v>37016</v>
      </c>
      <c r="AB125" s="146">
        <f t="shared" si="132"/>
        <v>42135</v>
      </c>
      <c r="AC125" s="146">
        <f t="shared" si="132"/>
        <v>46712</v>
      </c>
      <c r="AD125" s="147">
        <f t="shared" si="132"/>
        <v>51984</v>
      </c>
      <c r="AE125" s="11"/>
      <c r="AF125" s="45"/>
    </row>
    <row r="126" spans="2:32" ht="5.0999999999999996" customHeight="1">
      <c r="B126" s="90"/>
      <c r="C126" s="65"/>
      <c r="D126" s="65"/>
      <c r="E126" s="65"/>
      <c r="F126" s="65"/>
      <c r="G126" s="65"/>
      <c r="H126" s="65"/>
      <c r="I126" s="32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W126" s="11"/>
      <c r="X126" s="11"/>
      <c r="Y126" s="11"/>
      <c r="Z126" s="11"/>
      <c r="AA126" s="11"/>
      <c r="AB126" s="11"/>
      <c r="AC126" s="11"/>
      <c r="AD126" s="91"/>
      <c r="AE126" s="11"/>
      <c r="AF126" s="45"/>
    </row>
    <row r="127" spans="2:32">
      <c r="B127" s="138" t="s">
        <v>85</v>
      </c>
      <c r="C127" s="87">
        <f>ROUND(C125-C43,1)</f>
        <v>-5423</v>
      </c>
      <c r="D127" s="87">
        <f>ROUND(D125-D43,1)</f>
        <v>6690</v>
      </c>
      <c r="E127" s="87">
        <f>ROUND(E125-E43,1)</f>
        <v>22445</v>
      </c>
      <c r="F127" s="87">
        <f>ROUND(F125-F43,1)</f>
        <v>39121</v>
      </c>
      <c r="G127" s="87">
        <f>ROUND(G125-G43,1)</f>
        <v>63175</v>
      </c>
      <c r="H127" s="87">
        <f>ROUND(H125-H43,1)</f>
        <v>78044</v>
      </c>
      <c r="I127" s="88"/>
      <c r="J127" s="87">
        <f>J125-J43</f>
        <v>-9155</v>
      </c>
      <c r="K127" s="87">
        <f>K125-K43</f>
        <v>-5406</v>
      </c>
      <c r="L127" s="87">
        <f>L125-L43</f>
        <v>-2998</v>
      </c>
      <c r="M127" s="87">
        <f>M125-M43</f>
        <v>987</v>
      </c>
      <c r="N127" s="87">
        <f>N125-N43</f>
        <v>8572</v>
      </c>
      <c r="O127" s="87">
        <f>O125-O43</f>
        <v>13833</v>
      </c>
      <c r="P127" s="87">
        <f>P125-P43</f>
        <v>18751</v>
      </c>
      <c r="Q127" s="87">
        <f>Q125-Q43</f>
        <v>25041</v>
      </c>
      <c r="R127" s="87">
        <f>R125-R43</f>
        <v>29768</v>
      </c>
      <c r="S127" s="87">
        <f>S125-S43</f>
        <v>34978</v>
      </c>
      <c r="T127" s="87">
        <f>T125-T43</f>
        <v>34892</v>
      </c>
      <c r="U127" s="87">
        <f>U125-U43</f>
        <v>39910</v>
      </c>
      <c r="V127" s="87"/>
      <c r="W127" s="87">
        <f>W125-W43</f>
        <v>987</v>
      </c>
      <c r="X127" s="87">
        <f>X125-X43</f>
        <v>8572</v>
      </c>
      <c r="Y127" s="87">
        <f>Y125-Y43</f>
        <v>13833</v>
      </c>
      <c r="Z127" s="87">
        <f>Z125-Z43</f>
        <v>18751</v>
      </c>
      <c r="AA127" s="87">
        <f>AA125-AA43</f>
        <v>25041</v>
      </c>
      <c r="AB127" s="87">
        <f>AB125-AB43</f>
        <v>29768</v>
      </c>
      <c r="AC127" s="87">
        <f>AC125-AC43</f>
        <v>34978</v>
      </c>
      <c r="AD127" s="136">
        <f>AD125-AD43</f>
        <v>34892</v>
      </c>
      <c r="AE127" s="11"/>
      <c r="AF127" s="45"/>
    </row>
    <row r="128" spans="2:32" ht="5.0999999999999996" customHeight="1">
      <c r="B128" s="8"/>
      <c r="C128" s="65"/>
      <c r="D128" s="65"/>
      <c r="E128" s="65"/>
      <c r="F128" s="65"/>
      <c r="G128" s="65"/>
      <c r="H128" s="65"/>
      <c r="I128" s="32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W128" s="11"/>
      <c r="X128" s="11"/>
      <c r="Y128" s="11"/>
      <c r="Z128" s="11"/>
      <c r="AA128" s="11"/>
      <c r="AB128" s="11"/>
      <c r="AC128" s="11"/>
      <c r="AD128" s="11"/>
      <c r="AE128" s="11"/>
      <c r="AF128" s="45"/>
    </row>
    <row r="129" spans="2:32" ht="12.75" customHeight="1">
      <c r="B129" s="72" t="s">
        <v>60</v>
      </c>
      <c r="C129" s="62"/>
      <c r="D129" s="62"/>
      <c r="E129" s="62"/>
      <c r="F129" s="62"/>
      <c r="G129" s="62"/>
      <c r="H129" s="62"/>
      <c r="I129" s="11"/>
      <c r="J129" s="62"/>
      <c r="K129" s="62"/>
      <c r="L129" s="62"/>
      <c r="M129" s="62"/>
      <c r="N129" s="62"/>
      <c r="O129" s="62"/>
      <c r="P129" s="62"/>
      <c r="Q129" s="62"/>
      <c r="R129" s="82"/>
      <c r="S129" s="62"/>
      <c r="T129" s="62"/>
      <c r="U129" s="62"/>
      <c r="W129" s="62"/>
      <c r="X129" s="62"/>
      <c r="Y129" s="62"/>
      <c r="Z129" s="62"/>
      <c r="AA129" s="62"/>
      <c r="AB129" s="62"/>
      <c r="AC129" s="62"/>
      <c r="AD129" s="62"/>
      <c r="AE129" s="66"/>
      <c r="AF129" s="45"/>
    </row>
    <row r="130" spans="2:32" ht="12.75" customHeight="1">
      <c r="B130" s="8" t="s">
        <v>93</v>
      </c>
      <c r="C130" s="82"/>
      <c r="D130" s="82"/>
      <c r="E130" s="82"/>
      <c r="F130" s="82"/>
      <c r="G130" s="82"/>
      <c r="H130" s="82"/>
      <c r="I130" s="11"/>
      <c r="J130" s="82"/>
      <c r="K130" s="82"/>
      <c r="L130" s="82"/>
      <c r="M130" s="32">
        <f t="shared" ref="M130:M131" si="133">SUM(F130-SUM(J130:L130))</f>
        <v>0</v>
      </c>
      <c r="N130" s="82"/>
      <c r="O130" s="82"/>
      <c r="P130" s="82"/>
      <c r="Q130" s="32">
        <f t="shared" ref="Q130:Q131" si="134">SUM(G130-SUM(N130:P130))</f>
        <v>0</v>
      </c>
      <c r="R130" s="82"/>
      <c r="S130" s="82"/>
      <c r="T130" s="82"/>
      <c r="U130" s="82"/>
      <c r="W130" s="32">
        <f>SUM(J130:M130)</f>
        <v>0</v>
      </c>
      <c r="X130" s="32">
        <f>SUM(K130:N130)</f>
        <v>0</v>
      </c>
      <c r="Y130" s="32">
        <f>SUM(L130:O130)</f>
        <v>0</v>
      </c>
      <c r="Z130" s="32">
        <f>SUM(M130:P130)</f>
        <v>0</v>
      </c>
      <c r="AA130" s="32">
        <f>SUM(N130:Q130)</f>
        <v>0</v>
      </c>
      <c r="AB130" s="32">
        <f>SUM(O130:R130)</f>
        <v>0</v>
      </c>
      <c r="AC130" s="32">
        <f>SUM(P130:S130)</f>
        <v>0</v>
      </c>
      <c r="AD130" s="32">
        <f>SUM(Q130:T130)</f>
        <v>0</v>
      </c>
      <c r="AE130" s="66"/>
      <c r="AF130" s="45"/>
    </row>
    <row r="131" spans="2:32" ht="12.75" customHeight="1">
      <c r="B131" s="8" t="s">
        <v>109</v>
      </c>
      <c r="C131" s="82"/>
      <c r="D131" s="82"/>
      <c r="E131" s="82"/>
      <c r="F131" s="82"/>
      <c r="G131" s="82"/>
      <c r="H131" s="82"/>
      <c r="I131" s="32"/>
      <c r="J131" s="82"/>
      <c r="K131" s="82"/>
      <c r="L131" s="82"/>
      <c r="M131" s="32">
        <f t="shared" si="133"/>
        <v>0</v>
      </c>
      <c r="N131" s="82"/>
      <c r="O131" s="82"/>
      <c r="P131" s="82"/>
      <c r="Q131" s="32">
        <f t="shared" si="134"/>
        <v>0</v>
      </c>
      <c r="R131" s="82"/>
      <c r="S131" s="82"/>
      <c r="T131" s="82"/>
      <c r="U131" s="82"/>
      <c r="V131" s="32"/>
      <c r="W131" s="32">
        <f>SUM(J131:M131)</f>
        <v>0</v>
      </c>
      <c r="X131" s="32">
        <f>SUM(K131:N131)</f>
        <v>0</v>
      </c>
      <c r="Y131" s="32">
        <f>SUM(L131:O131)</f>
        <v>0</v>
      </c>
      <c r="Z131" s="32">
        <f>SUM(M131:P131)</f>
        <v>0</v>
      </c>
      <c r="AA131" s="32">
        <f>SUM(N131:Q131)</f>
        <v>0</v>
      </c>
      <c r="AB131" s="32">
        <f>SUM(O131:R131)</f>
        <v>0</v>
      </c>
      <c r="AC131" s="32">
        <f>SUM(P131:S131)</f>
        <v>0</v>
      </c>
      <c r="AD131" s="32">
        <f>SUM(Q131:T131)</f>
        <v>0</v>
      </c>
      <c r="AE131" s="11"/>
      <c r="AF131" s="45"/>
    </row>
    <row r="132" spans="2:32" ht="5.0999999999999996" customHeight="1" thickBot="1">
      <c r="B132" s="73"/>
      <c r="C132" s="74"/>
      <c r="D132" s="74"/>
      <c r="E132" s="74"/>
      <c r="F132" s="74"/>
      <c r="G132" s="74"/>
      <c r="H132" s="74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F132" s="45"/>
    </row>
    <row r="133" spans="2:32" ht="12.75" customHeight="1">
      <c r="B133" s="53"/>
      <c r="C133" s="67"/>
      <c r="D133" s="67"/>
      <c r="E133" s="67"/>
      <c r="F133" s="67"/>
      <c r="G133" s="67"/>
      <c r="H133" s="67"/>
    </row>
    <row r="134" spans="2:32" ht="12.75" customHeight="1">
      <c r="C134" s="56"/>
      <c r="D134" s="56"/>
      <c r="E134" s="56"/>
      <c r="F134" s="56"/>
      <c r="G134" s="56"/>
      <c r="H134" s="56"/>
    </row>
    <row r="135" spans="2:32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32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32" ht="12.75" customHeight="1"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32" ht="12.75" customHeight="1"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32" ht="12.75" customHeight="1"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86"/>
    </row>
    <row r="140" spans="2:32" ht="12.75" customHeight="1"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32" ht="12.75" customHeight="1"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86"/>
    </row>
    <row r="142" spans="2:32"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86"/>
    </row>
    <row r="143" spans="2:32"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86"/>
    </row>
    <row r="144" spans="2:32"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5:15"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86"/>
    </row>
    <row r="146" spans="5:15"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86"/>
    </row>
    <row r="147" spans="5:15"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5:15"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</sheetData>
  <mergeCells count="3">
    <mergeCell ref="AF6:AF8"/>
    <mergeCell ref="AF38:AF40"/>
    <mergeCell ref="AF89:AF91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C30 I51 W21:AA22 W26:AA26 W25:Y25" formulaRange="1"/>
    <ignoredError sqref="D21:G22 J21:T22 J26:T26 D26:G26 AD110:AF112 AD103:AF104 AE109 J30:T30 D30:G30 AD105:AE105 AE113:AF113" evalError="1"/>
    <ignoredError sqref="W123:AD123 W122:AD12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I32"/>
  <sheetViews>
    <sheetView showGridLines="0" zoomScale="115" zoomScaleNormal="115" workbookViewId="0">
      <selection activeCell="H29" sqref="H29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8" width="8.625" style="8" bestFit="1" customWidth="1"/>
    <col min="9" max="9" width="1.5" style="8" customWidth="1"/>
    <col min="10" max="11" width="8" style="8" customWidth="1" outlineLevel="1"/>
    <col min="12" max="13" width="8.75" style="8" customWidth="1" outlineLevel="1"/>
    <col min="14" max="14" width="8.5" style="8" customWidth="1" outlineLevel="1"/>
    <col min="15" max="15" width="8.25" style="8" customWidth="1" outlineLevel="1"/>
    <col min="16" max="16" width="8.5" style="8" bestFit="1" customWidth="1"/>
    <col min="17" max="24" width="9.125" style="8" bestFit="1" customWidth="1"/>
    <col min="25" max="25" width="1.5" style="8" customWidth="1"/>
    <col min="26" max="30" width="8.75" style="8" customWidth="1" outlineLevel="1"/>
    <col min="31" max="31" width="8.75" style="8" customWidth="1"/>
    <col min="32" max="34" width="8.75" style="8" customWidth="1" outlineLevel="1"/>
    <col min="35" max="35" width="8.75" style="8" customWidth="1"/>
    <col min="36" max="16384" width="9" style="8"/>
  </cols>
  <sheetData>
    <row r="2" spans="1:35" s="5" customFormat="1" ht="12.75" customHeight="1">
      <c r="B2" s="1" t="str">
        <f>'Historical Financials'!B2</f>
        <v>Visa Inc (NYSE: V)</v>
      </c>
      <c r="C2" s="2" t="s">
        <v>0</v>
      </c>
      <c r="D2" s="2" t="s">
        <v>0</v>
      </c>
      <c r="E2" s="2" t="s">
        <v>0</v>
      </c>
      <c r="F2" s="2"/>
      <c r="G2" s="2"/>
      <c r="H2" s="2"/>
      <c r="I2" s="3"/>
      <c r="J2" s="2"/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2"/>
      <c r="V2" s="2"/>
      <c r="W2" s="2"/>
      <c r="X2" s="2"/>
      <c r="Y2" s="3"/>
      <c r="Z2" s="2"/>
      <c r="AA2" s="2"/>
      <c r="AB2" s="2"/>
      <c r="AC2" s="2"/>
      <c r="AD2" s="2"/>
      <c r="AE2" s="2" t="s">
        <v>10</v>
      </c>
      <c r="AF2" s="2"/>
      <c r="AG2" s="2"/>
      <c r="AH2" s="2"/>
      <c r="AI2" s="2"/>
    </row>
    <row r="3" spans="1:35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1Q23</v>
      </c>
      <c r="K3" s="7" t="str">
        <f>'Historical Financials'!K7</f>
        <v>2Q23</v>
      </c>
      <c r="L3" s="7" t="str">
        <f>'Historical Financials'!L7</f>
        <v>3Q23</v>
      </c>
      <c r="M3" s="7" t="str">
        <f>'Historical Financials'!M7</f>
        <v>4Q23</v>
      </c>
      <c r="N3" s="7" t="str">
        <f>'Historical Financials'!N7</f>
        <v>1Q24</v>
      </c>
      <c r="O3" s="7" t="str">
        <f>'Historical Financials'!O7</f>
        <v>2Q24</v>
      </c>
      <c r="P3" s="7" t="str">
        <f>'Historical Financials'!P7</f>
        <v>3Q24</v>
      </c>
      <c r="Q3" s="7" t="str">
        <f>'Historical Financials'!Q7</f>
        <v>4Q24</v>
      </c>
      <c r="R3" s="7" t="str">
        <f>'Historical Financials'!R7</f>
        <v>1Q25</v>
      </c>
      <c r="S3" s="7" t="str">
        <f>'Historical Financials'!S7</f>
        <v>2Q25</v>
      </c>
      <c r="T3" s="7" t="str">
        <f>'Historical Financials'!T7</f>
        <v>3Q25</v>
      </c>
      <c r="U3" s="7" t="str">
        <f>'Historical Financials'!U7</f>
        <v>4Q25</v>
      </c>
      <c r="V3" s="7" t="e">
        <f>'Historical Financials'!#REF!</f>
        <v>#REF!</v>
      </c>
      <c r="W3" s="7" t="e">
        <f>'Historical Financials'!#REF!</f>
        <v>#REF!</v>
      </c>
      <c r="X3" s="7" t="e">
        <f>'Historical Financials'!#REF!</f>
        <v>#REF!</v>
      </c>
      <c r="Y3" s="4"/>
      <c r="Z3" s="4" t="str">
        <f>M3</f>
        <v>4Q23</v>
      </c>
      <c r="AA3" s="4" t="str">
        <f>N3</f>
        <v>1Q24</v>
      </c>
      <c r="AB3" s="4" t="str">
        <f>O3</f>
        <v>2Q24</v>
      </c>
      <c r="AC3" s="4" t="str">
        <f>P3</f>
        <v>3Q24</v>
      </c>
      <c r="AD3" s="4" t="str">
        <f>Q3</f>
        <v>4Q24</v>
      </c>
      <c r="AE3" s="4" t="str">
        <f>R3</f>
        <v>1Q25</v>
      </c>
      <c r="AF3" s="4" t="str">
        <f>S3</f>
        <v>2Q25</v>
      </c>
      <c r="AG3" s="4" t="str">
        <f>T3</f>
        <v>3Q25</v>
      </c>
      <c r="AH3" s="4" t="str">
        <f>U3</f>
        <v>4Q25</v>
      </c>
      <c r="AI3" s="4" t="e">
        <f>V3</f>
        <v>#REF!</v>
      </c>
    </row>
    <row r="4" spans="1:35" s="5" customFormat="1" ht="12.75" customHeight="1">
      <c r="B4" s="6" t="s">
        <v>164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>
        <f>'Historical Financials'!H8</f>
        <v>0</v>
      </c>
      <c r="I4" s="3"/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 t="e">
        <f>'Historical Financials'!#REF!</f>
        <v>#REF!</v>
      </c>
      <c r="W4" s="3" t="e">
        <f>'Historical Financials'!#REF!</f>
        <v>#REF!</v>
      </c>
      <c r="X4" s="3" t="e">
        <f>'Historical Financials'!#REF!</f>
        <v>#REF!</v>
      </c>
      <c r="Y4" s="3"/>
      <c r="Z4" s="3">
        <f>M4</f>
        <v>0</v>
      </c>
      <c r="AA4" s="3">
        <f>N4</f>
        <v>0</v>
      </c>
      <c r="AB4" s="3">
        <f>O4</f>
        <v>0</v>
      </c>
      <c r="AC4" s="3">
        <f>P4</f>
        <v>0</v>
      </c>
      <c r="AD4" s="3">
        <f>Q4</f>
        <v>0</v>
      </c>
      <c r="AE4" s="3">
        <f>R4</f>
        <v>0</v>
      </c>
      <c r="AF4" s="3">
        <f>S4</f>
        <v>0</v>
      </c>
      <c r="AG4" s="3">
        <f>T4</f>
        <v>0</v>
      </c>
      <c r="AH4" s="3">
        <f>U4</f>
        <v>0</v>
      </c>
      <c r="AI4" s="3" t="e">
        <f>V4</f>
        <v>#REF!</v>
      </c>
    </row>
    <row r="5" spans="1:35" ht="5.0999999999999996" customHeight="1"/>
    <row r="6" spans="1:35">
      <c r="A6" s="36" t="s">
        <v>16</v>
      </c>
      <c r="B6" s="1" t="s">
        <v>165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ht="5.0999999999999996" customHeight="1"/>
    <row r="8" spans="1:35" ht="12.75" customHeight="1">
      <c r="A8" s="80" t="s">
        <v>16</v>
      </c>
      <c r="B8" s="78" t="s">
        <v>166</v>
      </c>
      <c r="C8" s="10"/>
      <c r="D8" s="10"/>
      <c r="E8" s="10"/>
      <c r="F8" s="10"/>
      <c r="G8" s="10"/>
      <c r="H8" s="10"/>
      <c r="I8" s="10"/>
      <c r="J8" s="95"/>
      <c r="K8" s="95"/>
      <c r="L8" s="95"/>
      <c r="M8" s="32"/>
      <c r="N8" s="95"/>
      <c r="O8" s="95"/>
      <c r="P8" s="95"/>
      <c r="Q8" s="32"/>
      <c r="R8" s="95"/>
      <c r="S8" s="95"/>
      <c r="T8" s="95"/>
      <c r="U8" s="95"/>
      <c r="V8" s="95"/>
      <c r="W8" s="95"/>
      <c r="X8" s="95"/>
      <c r="Y8" s="5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2.75" customHeight="1">
      <c r="A9" s="80"/>
      <c r="B9" s="9" t="s">
        <v>169</v>
      </c>
      <c r="C9" s="81">
        <v>9804</v>
      </c>
      <c r="D9" s="81">
        <v>11475</v>
      </c>
      <c r="E9" s="81">
        <v>13361</v>
      </c>
      <c r="F9" s="81">
        <v>14826</v>
      </c>
      <c r="G9" s="81">
        <v>16114</v>
      </c>
      <c r="H9" s="81">
        <v>17539</v>
      </c>
      <c r="I9" s="10"/>
      <c r="J9" s="81">
        <v>3511</v>
      </c>
      <c r="K9" s="81">
        <v>3771</v>
      </c>
      <c r="L9" s="81">
        <v>3668</v>
      </c>
      <c r="M9" s="32">
        <f t="shared" ref="M9:M13" si="0">SUM(F9-SUM(J9:L9))</f>
        <v>3876</v>
      </c>
      <c r="N9" s="81">
        <v>3915</v>
      </c>
      <c r="O9" s="81">
        <v>4033</v>
      </c>
      <c r="P9" s="81">
        <v>3967</v>
      </c>
      <c r="Q9" s="32">
        <f t="shared" ref="Q9:Q13" si="1">SUM(G9-SUM(N9:P9))</f>
        <v>4199</v>
      </c>
      <c r="R9" s="81">
        <v>4208</v>
      </c>
      <c r="S9" s="81">
        <v>4399</v>
      </c>
      <c r="T9" s="81">
        <v>4330</v>
      </c>
      <c r="U9" s="32">
        <v>4602</v>
      </c>
      <c r="V9" s="81"/>
      <c r="W9" s="81"/>
      <c r="X9" s="81"/>
      <c r="Y9" s="5"/>
      <c r="Z9" s="32">
        <f>SUM(J9:M9)</f>
        <v>14826</v>
      </c>
      <c r="AA9" s="32">
        <f>SUM(K9:N9)</f>
        <v>15230</v>
      </c>
      <c r="AB9" s="32">
        <f>SUM(L9:O9)</f>
        <v>15492</v>
      </c>
      <c r="AC9" s="32">
        <f>SUM(M9:P9)</f>
        <v>15791</v>
      </c>
      <c r="AD9" s="32">
        <f>SUM(N9:Q9)</f>
        <v>16114</v>
      </c>
      <c r="AE9" s="32">
        <f>SUM(O9:R9)</f>
        <v>16407</v>
      </c>
      <c r="AF9" s="32">
        <f>SUM(P9:S9)</f>
        <v>16773</v>
      </c>
      <c r="AG9" s="32">
        <f>SUM(Q9:T9)</f>
        <v>17136</v>
      </c>
      <c r="AH9" s="32">
        <f>SUM(R9:U9)</f>
        <v>17539</v>
      </c>
      <c r="AI9" s="32">
        <f>SUM(S9:V9)</f>
        <v>13331</v>
      </c>
    </row>
    <row r="10" spans="1:35" ht="12.75" customHeight="1">
      <c r="A10" s="80"/>
      <c r="B10" s="9" t="s">
        <v>170</v>
      </c>
      <c r="C10" s="81">
        <v>10975</v>
      </c>
      <c r="D10" s="81">
        <v>12792</v>
      </c>
      <c r="E10" s="81">
        <v>14438</v>
      </c>
      <c r="F10" s="81">
        <v>16007</v>
      </c>
      <c r="G10" s="81">
        <v>17714</v>
      </c>
      <c r="H10" s="81">
        <v>19993</v>
      </c>
      <c r="I10" s="10"/>
      <c r="J10" s="81">
        <v>3827</v>
      </c>
      <c r="K10" s="81">
        <v>3819</v>
      </c>
      <c r="L10" s="81">
        <v>4105</v>
      </c>
      <c r="M10" s="32">
        <f t="shared" si="0"/>
        <v>4256</v>
      </c>
      <c r="N10" s="81">
        <v>4356</v>
      </c>
      <c r="O10" s="81">
        <v>4259</v>
      </c>
      <c r="P10" s="81">
        <v>4489</v>
      </c>
      <c r="Q10" s="32">
        <f t="shared" si="1"/>
        <v>4610</v>
      </c>
      <c r="R10" s="81">
        <v>4745</v>
      </c>
      <c r="S10" s="81">
        <v>4701</v>
      </c>
      <c r="T10" s="81">
        <v>5153</v>
      </c>
      <c r="U10" s="32">
        <v>5394</v>
      </c>
      <c r="V10" s="81"/>
      <c r="W10" s="81"/>
      <c r="X10" s="81"/>
      <c r="Y10" s="5"/>
      <c r="Z10" s="32">
        <f t="shared" ref="Z10:Z12" si="2">SUM(J10:M10)</f>
        <v>16007</v>
      </c>
      <c r="AA10" s="32">
        <f>SUM(K10:N10)</f>
        <v>16536</v>
      </c>
      <c r="AB10" s="32">
        <f>SUM(L10:O10)</f>
        <v>16976</v>
      </c>
      <c r="AC10" s="32">
        <f>SUM(M10:P10)</f>
        <v>17360</v>
      </c>
      <c r="AD10" s="32">
        <f>SUM(N10:Q10)</f>
        <v>17714</v>
      </c>
      <c r="AE10" s="32">
        <f>SUM(O10:R10)</f>
        <v>18103</v>
      </c>
      <c r="AF10" s="32">
        <f>SUM(P10:S10)</f>
        <v>18545</v>
      </c>
      <c r="AG10" s="32">
        <f>SUM(Q10:T10)</f>
        <v>19209</v>
      </c>
      <c r="AH10" s="32">
        <f>SUM(R10:U10)</f>
        <v>19993</v>
      </c>
      <c r="AI10" s="32">
        <f>SUM(S10:V10)</f>
        <v>15248</v>
      </c>
    </row>
    <row r="11" spans="1:35" ht="12.75" customHeight="1">
      <c r="A11" s="80"/>
      <c r="B11" s="9" t="s">
        <v>171</v>
      </c>
      <c r="C11" s="81">
        <v>6299</v>
      </c>
      <c r="D11" s="81">
        <v>6530</v>
      </c>
      <c r="E11" s="81">
        <v>9815</v>
      </c>
      <c r="F11" s="81">
        <v>11638</v>
      </c>
      <c r="G11" s="81">
        <v>12665</v>
      </c>
      <c r="H11" s="81">
        <v>14166</v>
      </c>
      <c r="I11" s="10"/>
      <c r="J11" s="81">
        <v>2797</v>
      </c>
      <c r="K11" s="81">
        <v>2749</v>
      </c>
      <c r="L11" s="81">
        <v>2920</v>
      </c>
      <c r="M11" s="32">
        <f t="shared" si="0"/>
        <v>3172</v>
      </c>
      <c r="N11" s="81">
        <v>3019</v>
      </c>
      <c r="O11" s="81">
        <v>2984</v>
      </c>
      <c r="P11" s="81">
        <v>3194</v>
      </c>
      <c r="Q11" s="32">
        <f t="shared" si="1"/>
        <v>3468</v>
      </c>
      <c r="R11" s="81">
        <v>3442</v>
      </c>
      <c r="S11" s="81">
        <v>3291</v>
      </c>
      <c r="T11" s="81">
        <v>3633</v>
      </c>
      <c r="U11" s="32">
        <v>3800</v>
      </c>
      <c r="V11" s="81"/>
      <c r="W11" s="81"/>
      <c r="X11" s="81"/>
      <c r="Y11" s="5"/>
      <c r="Z11" s="32">
        <f t="shared" ref="Z11" si="3">SUM(J11:M11)</f>
        <v>11638</v>
      </c>
      <c r="AA11" s="32">
        <f>SUM(K11:N11)</f>
        <v>11860</v>
      </c>
      <c r="AB11" s="32">
        <f>SUM(L11:O11)</f>
        <v>12095</v>
      </c>
      <c r="AC11" s="32">
        <f>SUM(M11:P11)</f>
        <v>12369</v>
      </c>
      <c r="AD11" s="32">
        <f>SUM(N11:Q11)</f>
        <v>12665</v>
      </c>
      <c r="AE11" s="32">
        <f>SUM(O11:R11)</f>
        <v>13088</v>
      </c>
      <c r="AF11" s="32">
        <f>SUM(P11:S11)</f>
        <v>13395</v>
      </c>
      <c r="AG11" s="32">
        <f>SUM(Q11:T11)</f>
        <v>13834</v>
      </c>
      <c r="AH11" s="32">
        <f>SUM(R11:U11)</f>
        <v>14166</v>
      </c>
      <c r="AI11" s="32">
        <f>SUM(S11:V11)</f>
        <v>10724</v>
      </c>
    </row>
    <row r="12" spans="1:35" ht="12.75" customHeight="1">
      <c r="A12" s="80"/>
      <c r="B12" s="9" t="s">
        <v>172</v>
      </c>
      <c r="C12" s="81">
        <v>1432</v>
      </c>
      <c r="D12" s="81">
        <v>1675</v>
      </c>
      <c r="E12" s="81">
        <v>1991</v>
      </c>
      <c r="F12" s="81">
        <v>2479</v>
      </c>
      <c r="G12" s="81">
        <v>3197</v>
      </c>
      <c r="H12" s="81">
        <v>4053</v>
      </c>
      <c r="I12" s="10"/>
      <c r="J12" s="81">
        <v>587</v>
      </c>
      <c r="K12" s="81">
        <v>551</v>
      </c>
      <c r="L12" s="81">
        <v>597</v>
      </c>
      <c r="M12" s="32">
        <f t="shared" si="0"/>
        <v>744</v>
      </c>
      <c r="N12" s="81">
        <v>692</v>
      </c>
      <c r="O12" s="81">
        <v>756</v>
      </c>
      <c r="P12" s="81">
        <v>780</v>
      </c>
      <c r="Q12" s="32">
        <f t="shared" si="1"/>
        <v>969</v>
      </c>
      <c r="R12" s="81">
        <v>912</v>
      </c>
      <c r="S12" s="81">
        <v>937</v>
      </c>
      <c r="T12" s="81">
        <v>1028</v>
      </c>
      <c r="U12" s="32">
        <v>1176</v>
      </c>
      <c r="V12" s="81"/>
      <c r="W12" s="81"/>
      <c r="X12" s="81"/>
      <c r="Y12" s="5"/>
      <c r="Z12" s="32">
        <f t="shared" si="2"/>
        <v>2479</v>
      </c>
      <c r="AA12" s="32">
        <f>SUM(K12:N12)</f>
        <v>2584</v>
      </c>
      <c r="AB12" s="32">
        <f>SUM(L12:O12)</f>
        <v>2789</v>
      </c>
      <c r="AC12" s="32">
        <f>SUM(M12:P12)</f>
        <v>2972</v>
      </c>
      <c r="AD12" s="32">
        <f>SUM(N12:Q12)</f>
        <v>3197</v>
      </c>
      <c r="AE12" s="32">
        <f>SUM(O12:R12)</f>
        <v>3417</v>
      </c>
      <c r="AF12" s="32">
        <f>SUM(P12:S12)</f>
        <v>3598</v>
      </c>
      <c r="AG12" s="32">
        <f>SUM(Q12:T12)</f>
        <v>3846</v>
      </c>
      <c r="AH12" s="32">
        <f>SUM(R12:U12)</f>
        <v>4053</v>
      </c>
      <c r="AI12" s="32">
        <f>SUM(S12:V12)</f>
        <v>3141</v>
      </c>
    </row>
    <row r="13" spans="1:35">
      <c r="B13" s="9" t="s">
        <v>173</v>
      </c>
      <c r="C13" s="81">
        <v>-6664</v>
      </c>
      <c r="D13" s="81">
        <v>-8367</v>
      </c>
      <c r="E13" s="81">
        <v>-10295</v>
      </c>
      <c r="F13" s="81">
        <v>-12297</v>
      </c>
      <c r="G13" s="81">
        <v>-13764</v>
      </c>
      <c r="H13" s="81">
        <v>-15751</v>
      </c>
      <c r="I13" s="81"/>
      <c r="J13" s="81">
        <v>-2786</v>
      </c>
      <c r="K13" s="81">
        <v>-2905</v>
      </c>
      <c r="L13" s="81">
        <v>-3167</v>
      </c>
      <c r="M13" s="32">
        <f t="shared" si="0"/>
        <v>-3439</v>
      </c>
      <c r="N13" s="81">
        <v>-3348</v>
      </c>
      <c r="O13" s="81">
        <v>-3257</v>
      </c>
      <c r="P13" s="81">
        <v>-3530</v>
      </c>
      <c r="Q13" s="32">
        <f t="shared" si="1"/>
        <v>-3629</v>
      </c>
      <c r="R13" s="81">
        <v>-3797</v>
      </c>
      <c r="S13" s="81">
        <v>-3734</v>
      </c>
      <c r="T13" s="81">
        <v>-3972</v>
      </c>
      <c r="U13" s="32">
        <v>-4248</v>
      </c>
      <c r="V13" s="81"/>
      <c r="W13" s="81"/>
      <c r="X13" s="81"/>
      <c r="Y13" s="5"/>
      <c r="Z13" s="32">
        <f t="shared" ref="Z13" si="4">SUM(J13:M13)</f>
        <v>-12297</v>
      </c>
      <c r="AA13" s="32">
        <f>SUM(K13:N13)</f>
        <v>-12859</v>
      </c>
      <c r="AB13" s="32">
        <f>SUM(L13:O13)</f>
        <v>-13211</v>
      </c>
      <c r="AC13" s="32">
        <f>SUM(M13:P13)</f>
        <v>-13574</v>
      </c>
      <c r="AD13" s="32">
        <f>SUM(N13:Q13)</f>
        <v>-13764</v>
      </c>
      <c r="AE13" s="32">
        <f>SUM(O13:R13)</f>
        <v>-14213</v>
      </c>
      <c r="AF13" s="32">
        <f>SUM(P13:S13)</f>
        <v>-14690</v>
      </c>
      <c r="AG13" s="32">
        <f>SUM(Q13:T13)</f>
        <v>-15132</v>
      </c>
      <c r="AH13" s="32">
        <f>SUM(R13:U13)</f>
        <v>-15751</v>
      </c>
      <c r="AI13" s="32">
        <f>SUM(S13:V13)</f>
        <v>-11954</v>
      </c>
    </row>
    <row r="14" spans="1:35">
      <c r="B14" s="13" t="s">
        <v>65</v>
      </c>
      <c r="C14" s="14">
        <f t="shared" ref="C14:D14" si="5">SUM(C9:C13)</f>
        <v>21846</v>
      </c>
      <c r="D14" s="14">
        <f t="shared" si="5"/>
        <v>24105</v>
      </c>
      <c r="E14" s="14">
        <f>SUM(E9:E13)</f>
        <v>29310</v>
      </c>
      <c r="F14" s="14">
        <f>SUM(F9:F13)</f>
        <v>32653</v>
      </c>
      <c r="G14" s="14">
        <f>SUM(G9:G13)</f>
        <v>35926</v>
      </c>
      <c r="H14" s="14">
        <f>SUM(H9:H13)</f>
        <v>40000</v>
      </c>
      <c r="I14" s="11"/>
      <c r="J14" s="14">
        <f t="shared" ref="J14:V14" si="6">SUM(J9:J13)</f>
        <v>7936</v>
      </c>
      <c r="K14" s="14">
        <f t="shared" si="6"/>
        <v>7985</v>
      </c>
      <c r="L14" s="14">
        <f t="shared" si="6"/>
        <v>8123</v>
      </c>
      <c r="M14" s="14">
        <f t="shared" si="6"/>
        <v>8609</v>
      </c>
      <c r="N14" s="14">
        <f t="shared" si="6"/>
        <v>8634</v>
      </c>
      <c r="O14" s="14">
        <f t="shared" si="6"/>
        <v>8775</v>
      </c>
      <c r="P14" s="14">
        <f t="shared" si="6"/>
        <v>8900</v>
      </c>
      <c r="Q14" s="14">
        <f t="shared" si="6"/>
        <v>9617</v>
      </c>
      <c r="R14" s="14">
        <f t="shared" si="6"/>
        <v>9510</v>
      </c>
      <c r="S14" s="14">
        <f t="shared" si="6"/>
        <v>9594</v>
      </c>
      <c r="T14" s="14">
        <f t="shared" si="6"/>
        <v>10172</v>
      </c>
      <c r="U14" s="14">
        <f t="shared" si="6"/>
        <v>10724</v>
      </c>
      <c r="V14" s="14">
        <f t="shared" si="6"/>
        <v>0</v>
      </c>
      <c r="W14" s="14">
        <f t="shared" ref="W14" si="7">SUM(W9:W13)</f>
        <v>0</v>
      </c>
      <c r="X14" s="14">
        <f t="shared" ref="X14" si="8">SUM(X9:X13)</f>
        <v>0</v>
      </c>
      <c r="Y14" s="5"/>
      <c r="Z14" s="14">
        <f t="shared" ref="Z14:AI14" si="9">SUM(Z9:Z13)</f>
        <v>32653</v>
      </c>
      <c r="AA14" s="14">
        <f t="shared" si="9"/>
        <v>33351</v>
      </c>
      <c r="AB14" s="14">
        <f t="shared" si="9"/>
        <v>34141</v>
      </c>
      <c r="AC14" s="14">
        <f t="shared" si="9"/>
        <v>34918</v>
      </c>
      <c r="AD14" s="14">
        <f t="shared" si="9"/>
        <v>35926</v>
      </c>
      <c r="AE14" s="14">
        <f t="shared" si="9"/>
        <v>36802</v>
      </c>
      <c r="AF14" s="14">
        <f t="shared" si="9"/>
        <v>37621</v>
      </c>
      <c r="AG14" s="14">
        <f t="shared" si="9"/>
        <v>38893</v>
      </c>
      <c r="AH14" s="14">
        <f t="shared" si="9"/>
        <v>40000</v>
      </c>
      <c r="AI14" s="14">
        <f t="shared" si="9"/>
        <v>30490</v>
      </c>
    </row>
    <row r="15" spans="1:35" outlineLevel="1">
      <c r="B15" s="131" t="s">
        <v>168</v>
      </c>
      <c r="C15" s="79">
        <f>C14-'Historical Financials'!C11</f>
        <v>0</v>
      </c>
      <c r="D15" s="79">
        <f>D14-'Historical Financials'!D11</f>
        <v>0</v>
      </c>
      <c r="E15" s="79">
        <f>E14-'Historical Financials'!E11</f>
        <v>0</v>
      </c>
      <c r="F15" s="79">
        <f>F14-'Historical Financials'!F11</f>
        <v>0</v>
      </c>
      <c r="G15" s="79">
        <f>G14-'Historical Financials'!G11</f>
        <v>0</v>
      </c>
      <c r="H15" s="79">
        <f>H14-'Historical Financials'!H11</f>
        <v>0</v>
      </c>
      <c r="I15" s="11"/>
      <c r="J15" s="79">
        <f>J14-'Historical Financials'!J11</f>
        <v>0</v>
      </c>
      <c r="K15" s="79">
        <f>K14-'Historical Financials'!K11</f>
        <v>0</v>
      </c>
      <c r="L15" s="79">
        <f>L14-'Historical Financials'!L11</f>
        <v>0</v>
      </c>
      <c r="M15" s="79">
        <f>M14-'Historical Financials'!M11</f>
        <v>0</v>
      </c>
      <c r="N15" s="79">
        <f>N14-'Historical Financials'!N11</f>
        <v>0</v>
      </c>
      <c r="O15" s="79">
        <f>O14-'Historical Financials'!O11</f>
        <v>0</v>
      </c>
      <c r="P15" s="79">
        <f>P14-'Historical Financials'!P11</f>
        <v>0</v>
      </c>
      <c r="Q15" s="79">
        <f>Q14-'Historical Financials'!Q11</f>
        <v>0</v>
      </c>
      <c r="R15" s="79">
        <f>R14-'Historical Financials'!R11</f>
        <v>0</v>
      </c>
      <c r="S15" s="79">
        <f>S14-'Historical Financials'!S11</f>
        <v>0</v>
      </c>
      <c r="T15" s="79">
        <f>T14-'Historical Financials'!T11</f>
        <v>0</v>
      </c>
      <c r="U15" s="79">
        <f>U14-'Historical Financials'!U11</f>
        <v>0</v>
      </c>
      <c r="V15" s="79" t="e">
        <f>V14-'Historical Financials'!#REF!</f>
        <v>#REF!</v>
      </c>
      <c r="W15" s="79" t="e">
        <f>W14-'Historical Financials'!#REF!</f>
        <v>#REF!</v>
      </c>
      <c r="X15" s="79" t="e">
        <f>X14-'Historical Financials'!#REF!</f>
        <v>#REF!</v>
      </c>
      <c r="Y15" s="79"/>
      <c r="Z15" s="79">
        <f>Z14-'Historical Financials'!W11</f>
        <v>0</v>
      </c>
      <c r="AA15" s="79">
        <f>AA14-'Historical Financials'!X11</f>
        <v>0</v>
      </c>
      <c r="AB15" s="79">
        <f>AB14-'Historical Financials'!Y11</f>
        <v>0</v>
      </c>
      <c r="AC15" s="79">
        <f>AC14-'Historical Financials'!Z11</f>
        <v>0</v>
      </c>
      <c r="AD15" s="79">
        <f>AD14-'Historical Financials'!AA11</f>
        <v>0</v>
      </c>
      <c r="AE15" s="79">
        <f>AE14-'Historical Financials'!AB11</f>
        <v>0</v>
      </c>
      <c r="AF15" s="79">
        <f>AF14-'Historical Financials'!AC11</f>
        <v>0</v>
      </c>
      <c r="AG15" s="79">
        <f>AG14-'Historical Financials'!AD11</f>
        <v>0</v>
      </c>
      <c r="AH15" s="79">
        <f>AH14-'Historical Financials'!AE11</f>
        <v>40000</v>
      </c>
      <c r="AI15" s="79">
        <f>AI14-'Historical Financials'!AF11</f>
        <v>30489.886161864939</v>
      </c>
    </row>
    <row r="16" spans="1:35">
      <c r="B16" s="18"/>
      <c r="C16" s="19"/>
      <c r="D16" s="19"/>
      <c r="E16" s="19"/>
      <c r="F16" s="19"/>
      <c r="G16" s="19"/>
      <c r="H16" s="19"/>
      <c r="I16" s="20"/>
      <c r="J16" s="21"/>
      <c r="K16" s="21"/>
      <c r="L16" s="21"/>
      <c r="M16" s="22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</row>
    <row r="17" spans="1:35">
      <c r="B17" s="156" t="str">
        <f>B9&amp;"(%)"</f>
        <v>Service Revenues(%)</v>
      </c>
      <c r="C17" s="157">
        <f t="shared" ref="C17:D17" si="10">SUM(C9/C$14)</f>
        <v>0.4487778082944246</v>
      </c>
      <c r="D17" s="157">
        <f t="shared" si="10"/>
        <v>0.47604231487243309</v>
      </c>
      <c r="E17" s="157">
        <f>SUM(E9/E$14)</f>
        <v>0.45585124530876836</v>
      </c>
      <c r="F17" s="157">
        <f>SUM(F9/F$14)</f>
        <v>0.454047101338315</v>
      </c>
      <c r="G17" s="157">
        <f>SUM(G9/G$14)</f>
        <v>0.4485330958080499</v>
      </c>
      <c r="H17" s="157">
        <f>SUM(H9/H$14)</f>
        <v>0.438475</v>
      </c>
      <c r="I17" s="158"/>
      <c r="J17" s="157">
        <f>SUM(J9/J$14)</f>
        <v>0.44241431451612906</v>
      </c>
      <c r="K17" s="157">
        <f>SUM(K9/K$14)</f>
        <v>0.47226048841577961</v>
      </c>
      <c r="L17" s="157">
        <f>SUM(L9/L$14)</f>
        <v>0.45155730641388647</v>
      </c>
      <c r="M17" s="157">
        <f>SUM(M9/M$14)</f>
        <v>0.45022650714368684</v>
      </c>
      <c r="N17" s="157">
        <f>SUM(N9/N$14)</f>
        <v>0.4534398888116748</v>
      </c>
      <c r="O17" s="157">
        <f>SUM(O9/O$14)</f>
        <v>0.45960113960113957</v>
      </c>
      <c r="P17" s="157">
        <f>SUM(P9/P$14)</f>
        <v>0.44573033707865167</v>
      </c>
      <c r="Q17" s="157">
        <f>SUM(Q9/Q$14)</f>
        <v>0.4366226473952376</v>
      </c>
      <c r="R17" s="157">
        <f>SUM(R9/R$14)</f>
        <v>0.44248159831756045</v>
      </c>
      <c r="S17" s="157">
        <f>SUM(S9/S$14)</f>
        <v>0.45851573900354387</v>
      </c>
      <c r="T17" s="157">
        <f>SUM(T9/T$14)</f>
        <v>0.42567833267793942</v>
      </c>
      <c r="U17" s="157">
        <f>SUM(U9/U$14)</f>
        <v>0.4291309212980231</v>
      </c>
      <c r="V17" s="157" t="e">
        <f>SUM(V9/V$14)</f>
        <v>#DIV/0!</v>
      </c>
      <c r="W17" s="157" t="e">
        <f t="shared" ref="W17:X17" si="11">SUM(W9/W$14)</f>
        <v>#DIV/0!</v>
      </c>
      <c r="X17" s="157" t="e">
        <f t="shared" si="11"/>
        <v>#DIV/0!</v>
      </c>
      <c r="Y17" s="158"/>
      <c r="Z17" s="159">
        <f>K17</f>
        <v>0.47226048841577961</v>
      </c>
      <c r="AA17" s="159">
        <f>L17</f>
        <v>0.45155730641388647</v>
      </c>
      <c r="AB17" s="159">
        <f>M17</f>
        <v>0.45022650714368684</v>
      </c>
      <c r="AC17" s="159">
        <f>N17</f>
        <v>0.4534398888116748</v>
      </c>
      <c r="AD17" s="159">
        <f>O17</f>
        <v>0.45960113960113957</v>
      </c>
      <c r="AE17" s="159">
        <f>P17</f>
        <v>0.44573033707865167</v>
      </c>
      <c r="AF17" s="159">
        <f>Q17</f>
        <v>0.4366226473952376</v>
      </c>
      <c r="AG17" s="159">
        <f>R17</f>
        <v>0.44248159831756045</v>
      </c>
      <c r="AH17" s="159">
        <f>S17</f>
        <v>0.45851573900354387</v>
      </c>
      <c r="AI17" s="160">
        <f>T17</f>
        <v>0.42567833267793942</v>
      </c>
    </row>
    <row r="18" spans="1:35">
      <c r="B18" s="161" t="str">
        <f>B10&amp;"(%)"</f>
        <v>Data Processing Revenues(%)</v>
      </c>
      <c r="C18" s="162">
        <f t="shared" ref="C18:D18" si="12">SUM(C10/C$14)</f>
        <v>0.50238029845280596</v>
      </c>
      <c r="D18" s="162">
        <f t="shared" si="12"/>
        <v>0.53067828251400129</v>
      </c>
      <c r="E18" s="162">
        <f>SUM(E10/E$14)</f>
        <v>0.49259638348686458</v>
      </c>
      <c r="F18" s="162">
        <f>SUM(F10/F$14)</f>
        <v>0.49021529415367654</v>
      </c>
      <c r="G18" s="162">
        <f>SUM(G10/G$14)</f>
        <v>0.49306908645549186</v>
      </c>
      <c r="H18" s="162">
        <f>SUM(H10/H$14)</f>
        <v>0.49982500000000002</v>
      </c>
      <c r="I18" s="163"/>
      <c r="J18" s="162">
        <f>SUM(J10/J$14)</f>
        <v>0.48223286290322581</v>
      </c>
      <c r="K18" s="162">
        <f>SUM(K10/K$14)</f>
        <v>0.47827175954915468</v>
      </c>
      <c r="L18" s="162">
        <f>SUM(L10/L$14)</f>
        <v>0.5053551643481472</v>
      </c>
      <c r="M18" s="162">
        <f>SUM(M10/M$14)</f>
        <v>0.49436636078522478</v>
      </c>
      <c r="N18" s="162">
        <f>SUM(N10/N$14)</f>
        <v>0.50451702571230017</v>
      </c>
      <c r="O18" s="162">
        <f>SUM(O10/O$14)</f>
        <v>0.48535612535612538</v>
      </c>
      <c r="P18" s="162">
        <f>SUM(P10/P$14)</f>
        <v>0.50438202247191011</v>
      </c>
      <c r="Q18" s="162">
        <f>SUM(Q10/Q$14)</f>
        <v>0.47935946760944159</v>
      </c>
      <c r="R18" s="162">
        <f>SUM(R10/R$14)</f>
        <v>0.4989484752891693</v>
      </c>
      <c r="S18" s="162">
        <f>SUM(S10/S$14)</f>
        <v>0.48999374609130708</v>
      </c>
      <c r="T18" s="162">
        <f>SUM(T10/T$14)</f>
        <v>0.50658670861187571</v>
      </c>
      <c r="U18" s="162">
        <f>SUM(U10/U$14)</f>
        <v>0.5029839612085043</v>
      </c>
      <c r="V18" s="162" t="e">
        <f>SUM(V10/V$14)</f>
        <v>#DIV/0!</v>
      </c>
      <c r="W18" s="162" t="e">
        <f t="shared" ref="W18:X18" si="13">SUM(W10/W$14)</f>
        <v>#DIV/0!</v>
      </c>
      <c r="X18" s="162" t="e">
        <f t="shared" si="13"/>
        <v>#DIV/0!</v>
      </c>
      <c r="Y18" s="163"/>
      <c r="Z18" s="164">
        <f>K18</f>
        <v>0.47827175954915468</v>
      </c>
      <c r="AA18" s="164">
        <f>L18</f>
        <v>0.5053551643481472</v>
      </c>
      <c r="AB18" s="164">
        <f>M18</f>
        <v>0.49436636078522478</v>
      </c>
      <c r="AC18" s="164">
        <f>N18</f>
        <v>0.50451702571230017</v>
      </c>
      <c r="AD18" s="164">
        <f>O18</f>
        <v>0.48535612535612538</v>
      </c>
      <c r="AE18" s="164">
        <f>P18</f>
        <v>0.50438202247191011</v>
      </c>
      <c r="AF18" s="164">
        <f>Q18</f>
        <v>0.47935946760944159</v>
      </c>
      <c r="AG18" s="164">
        <f>R18</f>
        <v>0.4989484752891693</v>
      </c>
      <c r="AH18" s="164">
        <f>S18</f>
        <v>0.48999374609130708</v>
      </c>
      <c r="AI18" s="165">
        <f>T18</f>
        <v>0.50658670861187571</v>
      </c>
    </row>
    <row r="19" spans="1:35">
      <c r="B19" s="161" t="str">
        <f>B11&amp;"(%)"</f>
        <v>International Transaction Revenues(%)</v>
      </c>
      <c r="C19" s="162">
        <f t="shared" ref="C19:D20" si="14">SUM(C11/C$14)</f>
        <v>0.28833653758125055</v>
      </c>
      <c r="D19" s="162">
        <f t="shared" si="14"/>
        <v>0.27089815390997718</v>
      </c>
      <c r="E19" s="162">
        <f>SUM(E11/E$14)</f>
        <v>0.33486864551347661</v>
      </c>
      <c r="F19" s="162">
        <f>SUM(F11/F$14)</f>
        <v>0.3564144182770343</v>
      </c>
      <c r="G19" s="162">
        <f>SUM(G11/G$14)</f>
        <v>0.35253020096865778</v>
      </c>
      <c r="H19" s="162">
        <f>SUM(H11/H$14)</f>
        <v>0.35415000000000002</v>
      </c>
      <c r="I19" s="163"/>
      <c r="J19" s="162">
        <f>SUM(J11/J$14)</f>
        <v>0.35244455645161288</v>
      </c>
      <c r="K19" s="162">
        <f>SUM(K11/K$14)</f>
        <v>0.34427050720100189</v>
      </c>
      <c r="L19" s="162">
        <f>SUM(L11/L$14)</f>
        <v>0.35947310107103286</v>
      </c>
      <c r="M19" s="162">
        <f>SUM(M11/M$14)</f>
        <v>0.36845162039725871</v>
      </c>
      <c r="N19" s="162">
        <f>SUM(N11/N$14)</f>
        <v>0.34966411860088026</v>
      </c>
      <c r="O19" s="162">
        <f>SUM(O11/O$14)</f>
        <v>0.34005698005698004</v>
      </c>
      <c r="P19" s="162">
        <f>SUM(P11/P$14)</f>
        <v>0.35887640449438202</v>
      </c>
      <c r="Q19" s="162">
        <f>SUM(Q11/Q$14)</f>
        <v>0.36061141728189666</v>
      </c>
      <c r="R19" s="162">
        <f>SUM(R11/R$14)</f>
        <v>0.3619348054679285</v>
      </c>
      <c r="S19" s="162">
        <f>SUM(S11/S$14)</f>
        <v>0.34302689180737961</v>
      </c>
      <c r="T19" s="162">
        <f>SUM(T11/T$14)</f>
        <v>0.35715690129767991</v>
      </c>
      <c r="U19" s="162">
        <f>SUM(U11/U$14)</f>
        <v>0.35434539350988437</v>
      </c>
      <c r="V19" s="162" t="e">
        <f>SUM(V11/V$14)</f>
        <v>#DIV/0!</v>
      </c>
      <c r="W19" s="162" t="e">
        <f t="shared" ref="W19:X20" si="15">SUM(W11/W$14)</f>
        <v>#DIV/0!</v>
      </c>
      <c r="X19" s="162" t="e">
        <f t="shared" si="15"/>
        <v>#DIV/0!</v>
      </c>
      <c r="Y19" s="163"/>
      <c r="Z19" s="164">
        <f>K19</f>
        <v>0.34427050720100189</v>
      </c>
      <c r="AA19" s="164">
        <f>L19</f>
        <v>0.35947310107103286</v>
      </c>
      <c r="AB19" s="164">
        <f>M19</f>
        <v>0.36845162039725871</v>
      </c>
      <c r="AC19" s="164">
        <f>N19</f>
        <v>0.34966411860088026</v>
      </c>
      <c r="AD19" s="164">
        <f>O19</f>
        <v>0.34005698005698004</v>
      </c>
      <c r="AE19" s="164">
        <f>P19</f>
        <v>0.35887640449438202</v>
      </c>
      <c r="AF19" s="164">
        <f>Q19</f>
        <v>0.36061141728189666</v>
      </c>
      <c r="AG19" s="164">
        <f>R19</f>
        <v>0.3619348054679285</v>
      </c>
      <c r="AH19" s="164">
        <f>S19</f>
        <v>0.34302689180737961</v>
      </c>
      <c r="AI19" s="165">
        <f>T19</f>
        <v>0.35715690129767991</v>
      </c>
    </row>
    <row r="20" spans="1:35">
      <c r="B20" s="161" t="str">
        <f>B12&amp;"(%)"</f>
        <v>Other Revenues(%)</v>
      </c>
      <c r="C20" s="162">
        <f t="shared" si="14"/>
        <v>6.5549757392657698E-2</v>
      </c>
      <c r="D20" s="162">
        <f t="shared" si="14"/>
        <v>6.9487658162207006E-2</v>
      </c>
      <c r="E20" s="162">
        <f>SUM(E12/E$14)</f>
        <v>6.7929034459228932E-2</v>
      </c>
      <c r="F20" s="162">
        <f>SUM(F12/F$14)</f>
        <v>7.5919517349095036E-2</v>
      </c>
      <c r="G20" s="162">
        <f>SUM(G12/G$14)</f>
        <v>8.8988476312419976E-2</v>
      </c>
      <c r="H20" s="162">
        <f>SUM(H12/H$14)</f>
        <v>0.101325</v>
      </c>
      <c r="I20" s="163"/>
      <c r="J20" s="162">
        <f>SUM(J12/J$14)</f>
        <v>7.3966733870967735E-2</v>
      </c>
      <c r="K20" s="162">
        <f>SUM(K12/K$14)</f>
        <v>6.9004383218534748E-2</v>
      </c>
      <c r="L20" s="162">
        <f>SUM(L12/L$14)</f>
        <v>7.3495014157331034E-2</v>
      </c>
      <c r="M20" s="162">
        <f>SUM(M12/M$14)</f>
        <v>8.6421187129747945E-2</v>
      </c>
      <c r="N20" s="162">
        <f>SUM(N12/N$14)</f>
        <v>8.0148251100301132E-2</v>
      </c>
      <c r="O20" s="162">
        <f>SUM(O12/O$14)</f>
        <v>8.615384615384615E-2</v>
      </c>
      <c r="P20" s="162">
        <f>SUM(P12/P$14)</f>
        <v>8.7640449438202248E-2</v>
      </c>
      <c r="Q20" s="162">
        <f>SUM(Q12/Q$14)</f>
        <v>0.10075907247582407</v>
      </c>
      <c r="R20" s="162">
        <f>SUM(R12/R$14)</f>
        <v>9.5899053627760258E-2</v>
      </c>
      <c r="S20" s="162">
        <f>SUM(S12/S$14)</f>
        <v>9.7665207421304981E-2</v>
      </c>
      <c r="T20" s="162">
        <f>SUM(T12/T$14)</f>
        <v>0.10106173810460087</v>
      </c>
      <c r="U20" s="162">
        <f>SUM(U12/U$14)</f>
        <v>0.10966057441253264</v>
      </c>
      <c r="V20" s="162" t="e">
        <f>SUM(V12/V$14)</f>
        <v>#DIV/0!</v>
      </c>
      <c r="W20" s="162" t="e">
        <f t="shared" si="15"/>
        <v>#DIV/0!</v>
      </c>
      <c r="X20" s="162" t="e">
        <f t="shared" si="15"/>
        <v>#DIV/0!</v>
      </c>
      <c r="Y20" s="163"/>
      <c r="Z20" s="164">
        <f>K20</f>
        <v>6.9004383218534748E-2</v>
      </c>
      <c r="AA20" s="164">
        <f>L20</f>
        <v>7.3495014157331034E-2</v>
      </c>
      <c r="AB20" s="164">
        <f>M20</f>
        <v>8.6421187129747945E-2</v>
      </c>
      <c r="AC20" s="164">
        <f>N20</f>
        <v>8.0148251100301132E-2</v>
      </c>
      <c r="AD20" s="164">
        <f>O20</f>
        <v>8.615384615384615E-2</v>
      </c>
      <c r="AE20" s="164">
        <f>P20</f>
        <v>8.7640449438202248E-2</v>
      </c>
      <c r="AF20" s="164">
        <f>Q20</f>
        <v>0.10075907247582407</v>
      </c>
      <c r="AG20" s="164">
        <f>R20</f>
        <v>9.5899053627760258E-2</v>
      </c>
      <c r="AH20" s="164">
        <f>S20</f>
        <v>9.7665207421304981E-2</v>
      </c>
      <c r="AI20" s="165">
        <f>T20</f>
        <v>0.10106173810460087</v>
      </c>
    </row>
    <row r="21" spans="1:35" ht="12.75" customHeight="1">
      <c r="B21" s="166" t="str">
        <f>B13&amp;"(%)"</f>
        <v>Client Incentives(%)</v>
      </c>
      <c r="C21" s="167">
        <f t="shared" ref="C21:D21" si="16">SUM(C13/C$14)</f>
        <v>-0.30504440172113889</v>
      </c>
      <c r="D21" s="167">
        <f t="shared" si="16"/>
        <v>-0.34710640945861854</v>
      </c>
      <c r="E21" s="167">
        <f>SUM(E13/E$14)</f>
        <v>-0.35124530876833843</v>
      </c>
      <c r="F21" s="167">
        <f>SUM(F13/F$14)</f>
        <v>-0.37659633111812085</v>
      </c>
      <c r="G21" s="167">
        <f>SUM(G13/G$14)</f>
        <v>-0.3831208595446195</v>
      </c>
      <c r="H21" s="167">
        <f>SUM(H13/H$14)</f>
        <v>-0.39377499999999999</v>
      </c>
      <c r="I21" s="168"/>
      <c r="J21" s="167">
        <f>SUM(J13/J$14)</f>
        <v>-0.3510584677419355</v>
      </c>
      <c r="K21" s="167">
        <f>SUM(K13/K$14)</f>
        <v>-0.36380713838447087</v>
      </c>
      <c r="L21" s="167">
        <f>SUM(L13/L$14)</f>
        <v>-0.38988058599039765</v>
      </c>
      <c r="M21" s="167">
        <f>SUM(M13/M$14)</f>
        <v>-0.39946567545591821</v>
      </c>
      <c r="N21" s="167">
        <f>SUM(N13/N$14)</f>
        <v>-0.38776928422515639</v>
      </c>
      <c r="O21" s="167">
        <f>SUM(O13/O$14)</f>
        <v>-0.37116809116809119</v>
      </c>
      <c r="P21" s="167">
        <f>SUM(P13/P$14)</f>
        <v>-0.39662921348314606</v>
      </c>
      <c r="Q21" s="167">
        <f>SUM(Q13/Q$14)</f>
        <v>-0.3773526047623999</v>
      </c>
      <c r="R21" s="167">
        <f>SUM(R13/R$14)</f>
        <v>-0.3992639327024185</v>
      </c>
      <c r="S21" s="167">
        <f>SUM(S13/S$14)</f>
        <v>-0.38920158432353552</v>
      </c>
      <c r="T21" s="167">
        <f>SUM(T13/T$14)</f>
        <v>-0.39048368069209594</v>
      </c>
      <c r="U21" s="167">
        <f>SUM(U13/U$14)</f>
        <v>-0.3961208504289444</v>
      </c>
      <c r="V21" s="167" t="e">
        <f>SUM(V13/V$14)</f>
        <v>#DIV/0!</v>
      </c>
      <c r="W21" s="167" t="e">
        <f t="shared" ref="W21:X21" si="17">SUM(W13/W$14)</f>
        <v>#DIV/0!</v>
      </c>
      <c r="X21" s="167" t="e">
        <f t="shared" si="17"/>
        <v>#DIV/0!</v>
      </c>
      <c r="Y21" s="168"/>
      <c r="Z21" s="169">
        <f>K21</f>
        <v>-0.36380713838447087</v>
      </c>
      <c r="AA21" s="169">
        <f>L21</f>
        <v>-0.38988058599039765</v>
      </c>
      <c r="AB21" s="169">
        <f>M21</f>
        <v>-0.39946567545591821</v>
      </c>
      <c r="AC21" s="169">
        <f>N21</f>
        <v>-0.38776928422515639</v>
      </c>
      <c r="AD21" s="169">
        <f>O21</f>
        <v>-0.37116809116809119</v>
      </c>
      <c r="AE21" s="169">
        <f>P21</f>
        <v>-0.39662921348314606</v>
      </c>
      <c r="AF21" s="169">
        <f>Q21</f>
        <v>-0.3773526047623999</v>
      </c>
      <c r="AG21" s="169">
        <f>R21</f>
        <v>-0.3992639327024185</v>
      </c>
      <c r="AH21" s="169">
        <f>S21</f>
        <v>-0.38920158432353552</v>
      </c>
      <c r="AI21" s="170">
        <f>T21</f>
        <v>-0.39048368069209594</v>
      </c>
    </row>
    <row r="22" spans="1:35"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2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</row>
    <row r="23" spans="1:35">
      <c r="A23" s="36" t="s">
        <v>16</v>
      </c>
      <c r="B23" s="1" t="s">
        <v>167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35" ht="5.0999999999999996" customHeight="1"/>
    <row r="25" spans="1:35" ht="12.75" customHeight="1">
      <c r="A25" s="80" t="s">
        <v>16</v>
      </c>
      <c r="B25" s="78" t="s">
        <v>167</v>
      </c>
      <c r="C25" s="10"/>
      <c r="D25" s="10"/>
      <c r="E25" s="10"/>
      <c r="F25" s="10"/>
      <c r="G25" s="10"/>
      <c r="H25" s="10"/>
      <c r="I25" s="10"/>
      <c r="J25" s="95"/>
      <c r="K25" s="95"/>
      <c r="L25" s="95"/>
      <c r="M25" s="32"/>
      <c r="N25" s="95"/>
      <c r="O25" s="95"/>
      <c r="P25" s="95"/>
      <c r="Q25" s="32"/>
      <c r="R25" s="95"/>
      <c r="S25" s="95"/>
      <c r="T25" s="95"/>
      <c r="U25" s="95"/>
      <c r="V25" s="95"/>
      <c r="W25" s="95"/>
      <c r="X25" s="95"/>
      <c r="Y25" s="5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2.75" customHeight="1">
      <c r="A26" s="80"/>
      <c r="B26" s="9" t="s">
        <v>174</v>
      </c>
      <c r="C26" s="81">
        <v>10125</v>
      </c>
      <c r="D26" s="81">
        <v>11160</v>
      </c>
      <c r="E26" s="81">
        <v>12851</v>
      </c>
      <c r="F26" s="81">
        <v>14138</v>
      </c>
      <c r="G26" s="81">
        <v>14780</v>
      </c>
      <c r="H26" s="81">
        <v>11476</v>
      </c>
      <c r="I26" s="10"/>
      <c r="J26" s="81">
        <v>3567</v>
      </c>
      <c r="K26" s="81">
        <v>3540</v>
      </c>
      <c r="L26" s="81">
        <v>3443</v>
      </c>
      <c r="M26" s="32">
        <v>3588</v>
      </c>
      <c r="N26" s="81">
        <v>3645</v>
      </c>
      <c r="O26" s="81">
        <v>3643</v>
      </c>
      <c r="P26" s="81">
        <v>3621</v>
      </c>
      <c r="Q26" s="32">
        <v>3871</v>
      </c>
      <c r="R26" s="81">
        <v>3738</v>
      </c>
      <c r="S26" s="81">
        <v>3811</v>
      </c>
      <c r="T26" s="81">
        <v>3927</v>
      </c>
      <c r="U26" s="32">
        <f t="shared" ref="U26:U27" si="18">SUM(H26-SUM(R26:T26))</f>
        <v>0</v>
      </c>
      <c r="V26" s="81"/>
      <c r="W26" s="81"/>
      <c r="X26" s="81"/>
      <c r="Y26" s="5"/>
      <c r="Z26" s="32">
        <f t="shared" ref="Z26:Z27" si="19">SUM(J26:M26)</f>
        <v>14138</v>
      </c>
      <c r="AA26" s="32">
        <f>SUM(K26:N26)</f>
        <v>14216</v>
      </c>
      <c r="AB26" s="32">
        <f>SUM(L26:O26)</f>
        <v>14319</v>
      </c>
      <c r="AC26" s="32">
        <f>SUM(M26:P26)</f>
        <v>14497</v>
      </c>
      <c r="AD26" s="32">
        <f>SUM(N26:Q26)</f>
        <v>14780</v>
      </c>
      <c r="AE26" s="32">
        <f>SUM(O26:R26)</f>
        <v>14873</v>
      </c>
      <c r="AF26" s="32">
        <f>SUM(P26:S26)</f>
        <v>15041</v>
      </c>
      <c r="AG26" s="32">
        <f>SUM(Q26:T26)</f>
        <v>15347</v>
      </c>
      <c r="AH26" s="32">
        <f>SUM(R26:U26)</f>
        <v>11476</v>
      </c>
      <c r="AI26" s="32">
        <f>SUM(S26:V26)</f>
        <v>7738</v>
      </c>
    </row>
    <row r="27" spans="1:35">
      <c r="B27" s="9" t="s">
        <v>175</v>
      </c>
      <c r="C27" s="81">
        <v>11721</v>
      </c>
      <c r="D27" s="81">
        <v>12945</v>
      </c>
      <c r="E27" s="81">
        <v>16459</v>
      </c>
      <c r="F27" s="81">
        <v>18515</v>
      </c>
      <c r="G27" s="81">
        <v>21146</v>
      </c>
      <c r="H27" s="81">
        <v>17800</v>
      </c>
      <c r="I27" s="81"/>
      <c r="J27" s="81">
        <v>4369</v>
      </c>
      <c r="K27" s="81">
        <v>4445</v>
      </c>
      <c r="L27" s="81">
        <v>4680</v>
      </c>
      <c r="M27" s="32">
        <v>5021</v>
      </c>
      <c r="N27" s="81">
        <v>4989</v>
      </c>
      <c r="O27" s="81">
        <v>5132</v>
      </c>
      <c r="P27" s="81">
        <v>5279</v>
      </c>
      <c r="Q27" s="32">
        <v>5746</v>
      </c>
      <c r="R27" s="81">
        <v>5772</v>
      </c>
      <c r="S27" s="81">
        <v>5783</v>
      </c>
      <c r="T27" s="81">
        <v>6245</v>
      </c>
      <c r="U27" s="32">
        <f t="shared" si="18"/>
        <v>0</v>
      </c>
      <c r="V27" s="81"/>
      <c r="W27" s="81"/>
      <c r="X27" s="81"/>
      <c r="Y27" s="5"/>
      <c r="Z27" s="32">
        <f t="shared" si="19"/>
        <v>18515</v>
      </c>
      <c r="AA27" s="32">
        <f>SUM(K27:N27)</f>
        <v>19135</v>
      </c>
      <c r="AB27" s="32">
        <f>SUM(L27:O27)</f>
        <v>19822</v>
      </c>
      <c r="AC27" s="32">
        <f>SUM(M27:P27)</f>
        <v>20421</v>
      </c>
      <c r="AD27" s="32">
        <f>SUM(N27:Q27)</f>
        <v>21146</v>
      </c>
      <c r="AE27" s="32">
        <f>SUM(O27:R27)</f>
        <v>21929</v>
      </c>
      <c r="AF27" s="32">
        <f>SUM(P27:S27)</f>
        <v>22580</v>
      </c>
      <c r="AG27" s="32">
        <f>SUM(Q27:T27)</f>
        <v>23546</v>
      </c>
      <c r="AH27" s="32">
        <f>SUM(R27:U27)</f>
        <v>17800</v>
      </c>
      <c r="AI27" s="32">
        <f>SUM(S27:V27)</f>
        <v>12028</v>
      </c>
    </row>
    <row r="28" spans="1:35">
      <c r="B28" s="13" t="s">
        <v>65</v>
      </c>
      <c r="C28" s="14">
        <f>SUM(C26:C27)</f>
        <v>21846</v>
      </c>
      <c r="D28" s="14">
        <f>SUM(D26:D27)</f>
        <v>24105</v>
      </c>
      <c r="E28" s="14">
        <f>SUM(E26:E27)</f>
        <v>29310</v>
      </c>
      <c r="F28" s="14">
        <f>SUM(F26:F27)</f>
        <v>32653</v>
      </c>
      <c r="G28" s="14">
        <f>SUM(G26:G27)</f>
        <v>35926</v>
      </c>
      <c r="H28" s="14">
        <f>SUM(H26:H27)</f>
        <v>29276</v>
      </c>
      <c r="I28" s="11"/>
      <c r="J28" s="14">
        <f>SUM(J26:J27)</f>
        <v>7936</v>
      </c>
      <c r="K28" s="14">
        <f>SUM(K26:K27)</f>
        <v>7985</v>
      </c>
      <c r="L28" s="14">
        <f>SUM(L26:L27)</f>
        <v>8123</v>
      </c>
      <c r="M28" s="14">
        <f>SUM(M26:M27)</f>
        <v>8609</v>
      </c>
      <c r="N28" s="14">
        <f>SUM(N26:N27)</f>
        <v>8634</v>
      </c>
      <c r="O28" s="14">
        <f>SUM(O26:O27)</f>
        <v>8775</v>
      </c>
      <c r="P28" s="14">
        <f>SUM(P26:P27)</f>
        <v>8900</v>
      </c>
      <c r="Q28" s="14">
        <f>SUM(Q26:Q27)</f>
        <v>9617</v>
      </c>
      <c r="R28" s="14">
        <f>SUM(R26:R27)</f>
        <v>9510</v>
      </c>
      <c r="S28" s="14">
        <f>SUM(S26:S27)</f>
        <v>9594</v>
      </c>
      <c r="T28" s="14">
        <f>SUM(T26:T27)</f>
        <v>10172</v>
      </c>
      <c r="U28" s="14">
        <f>SUM(U26:U27)</f>
        <v>0</v>
      </c>
      <c r="V28" s="14">
        <f>SUM(V26:V27)</f>
        <v>0</v>
      </c>
      <c r="W28" s="14">
        <f>SUM(W26:W27)</f>
        <v>0</v>
      </c>
      <c r="X28" s="14">
        <f>SUM(X26:X27)</f>
        <v>0</v>
      </c>
      <c r="Y28" s="5"/>
      <c r="Z28" s="14">
        <f>SUM(Z26:Z27)</f>
        <v>32653</v>
      </c>
      <c r="AA28" s="14">
        <f>SUM(AA26:AA27)</f>
        <v>33351</v>
      </c>
      <c r="AB28" s="14">
        <f>SUM(AB26:AB27)</f>
        <v>34141</v>
      </c>
      <c r="AC28" s="14">
        <f>SUM(AC26:AC27)</f>
        <v>34918</v>
      </c>
      <c r="AD28" s="14">
        <f>SUM(AD26:AD27)</f>
        <v>35926</v>
      </c>
      <c r="AE28" s="14">
        <f>SUM(AE26:AE27)</f>
        <v>36802</v>
      </c>
      <c r="AF28" s="14">
        <f>SUM(AF26:AF27)</f>
        <v>37621</v>
      </c>
      <c r="AG28" s="14">
        <f>SUM(AG26:AG27)</f>
        <v>38893</v>
      </c>
      <c r="AH28" s="14">
        <f>SUM(AH26:AH27)</f>
        <v>29276</v>
      </c>
      <c r="AI28" s="14">
        <f>SUM(AI26:AI27)</f>
        <v>19766</v>
      </c>
    </row>
    <row r="29" spans="1:35" outlineLevel="1">
      <c r="B29" s="131" t="s">
        <v>168</v>
      </c>
      <c r="C29" s="79">
        <f>C28-C14</f>
        <v>0</v>
      </c>
      <c r="D29" s="79">
        <f>D28-D14</f>
        <v>0</v>
      </c>
      <c r="E29" s="79">
        <f>E28-E14</f>
        <v>0</v>
      </c>
      <c r="F29" s="79">
        <f>F28-F14</f>
        <v>0</v>
      </c>
      <c r="G29" s="79">
        <f>G28-G14</f>
        <v>0</v>
      </c>
      <c r="H29" s="79">
        <f>H28-H14</f>
        <v>-10724</v>
      </c>
      <c r="I29" s="11"/>
      <c r="J29" s="79">
        <f>J28-J14</f>
        <v>0</v>
      </c>
      <c r="K29" s="79">
        <f>K28-K14</f>
        <v>0</v>
      </c>
      <c r="L29" s="79">
        <f>L28-L14</f>
        <v>0</v>
      </c>
      <c r="M29" s="79">
        <f>M28-M14</f>
        <v>0</v>
      </c>
      <c r="N29" s="79">
        <f>N28-N14</f>
        <v>0</v>
      </c>
      <c r="O29" s="79">
        <f>O28-O14</f>
        <v>0</v>
      </c>
      <c r="P29" s="79">
        <f>P28-P14</f>
        <v>0</v>
      </c>
      <c r="Q29" s="79">
        <f>Q28-Q14</f>
        <v>0</v>
      </c>
      <c r="R29" s="79">
        <f>R28-R14</f>
        <v>0</v>
      </c>
      <c r="S29" s="79">
        <f>S28-S14</f>
        <v>0</v>
      </c>
      <c r="T29" s="79">
        <f>T28-T14</f>
        <v>0</v>
      </c>
      <c r="U29" s="79">
        <f>U28-U14</f>
        <v>-10724</v>
      </c>
      <c r="V29" s="79">
        <f>V28-V14</f>
        <v>0</v>
      </c>
      <c r="W29" s="79">
        <f>W28-W14</f>
        <v>0</v>
      </c>
      <c r="X29" s="79">
        <f>X28-X14</f>
        <v>0</v>
      </c>
      <c r="Y29" s="79"/>
      <c r="Z29" s="79" t="e">
        <f>Z28-#REF!</f>
        <v>#REF!</v>
      </c>
      <c r="AA29" s="79" t="e">
        <f>AA28-#REF!</f>
        <v>#REF!</v>
      </c>
      <c r="AB29" s="79" t="e">
        <f>AB28-#REF!</f>
        <v>#REF!</v>
      </c>
      <c r="AC29" s="79" t="e">
        <f>AC28-#REF!</f>
        <v>#REF!</v>
      </c>
      <c r="AD29" s="79" t="e">
        <f>AD28-#REF!</f>
        <v>#REF!</v>
      </c>
      <c r="AE29" s="79" t="e">
        <f>AE28-#REF!</f>
        <v>#REF!</v>
      </c>
      <c r="AF29" s="79" t="e">
        <f>AF28-#REF!</f>
        <v>#REF!</v>
      </c>
      <c r="AG29" s="79" t="e">
        <f>AG28-#REF!</f>
        <v>#REF!</v>
      </c>
      <c r="AH29" s="79" t="e">
        <f>AH28-#REF!</f>
        <v>#REF!</v>
      </c>
      <c r="AI29" s="79" t="e">
        <f>AI28-#REF!</f>
        <v>#REF!</v>
      </c>
    </row>
    <row r="30" spans="1:35">
      <c r="B30" s="18"/>
      <c r="C30" s="19"/>
      <c r="D30" s="19"/>
      <c r="E30" s="19"/>
      <c r="F30" s="19"/>
      <c r="G30" s="19"/>
      <c r="H30" s="19"/>
      <c r="I30" s="20"/>
      <c r="J30" s="21"/>
      <c r="K30" s="21"/>
      <c r="L30" s="21"/>
      <c r="M30" s="22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</row>
    <row r="31" spans="1:35">
      <c r="B31" s="156" t="str">
        <f>B26&amp;"(%)"</f>
        <v>U.S. Revenues(%)</v>
      </c>
      <c r="C31" s="157">
        <f>SUM(C26/C$28)</f>
        <v>0.46347157374347708</v>
      </c>
      <c r="D31" s="157">
        <f>SUM(D26/D$28)</f>
        <v>0.46297448662103297</v>
      </c>
      <c r="E31" s="157">
        <f>SUM(E26/E$28)</f>
        <v>0.43845104060047763</v>
      </c>
      <c r="F31" s="157">
        <f>SUM(F26/F$28)</f>
        <v>0.43297706183199092</v>
      </c>
      <c r="G31" s="157">
        <f>SUM(G26/G$28)</f>
        <v>0.41140121360574516</v>
      </c>
      <c r="H31" s="157">
        <f>SUM(H26/H$28)</f>
        <v>0.39199344172701189</v>
      </c>
      <c r="I31" s="158"/>
      <c r="J31" s="157">
        <f>SUM(J26/J$28)</f>
        <v>0.44947076612903225</v>
      </c>
      <c r="K31" s="157">
        <f>SUM(K26/K$28)</f>
        <v>0.443331246086412</v>
      </c>
      <c r="L31" s="157">
        <f>SUM(L26/L$28)</f>
        <v>0.42385818047519391</v>
      </c>
      <c r="M31" s="157">
        <f>SUM(M26/M$28)</f>
        <v>0.41677314438378443</v>
      </c>
      <c r="N31" s="157">
        <f>SUM(N26/N$28)</f>
        <v>0.42216817234190412</v>
      </c>
      <c r="O31" s="157">
        <f>SUM(O26/O$28)</f>
        <v>0.41515669515669518</v>
      </c>
      <c r="P31" s="157">
        <f>SUM(P26/P$28)</f>
        <v>0.40685393258426966</v>
      </c>
      <c r="Q31" s="157">
        <f>SUM(Q26/Q$28)</f>
        <v>0.40251637724862221</v>
      </c>
      <c r="R31" s="157">
        <f>SUM(R26/R$28)</f>
        <v>0.39305993690851737</v>
      </c>
      <c r="S31" s="157">
        <f>SUM(S26/S$28)</f>
        <v>0.39722743381279968</v>
      </c>
      <c r="T31" s="157">
        <f>SUM(T26/T$28)</f>
        <v>0.38605977192292568</v>
      </c>
      <c r="U31" s="157" t="e">
        <f>SUM(U26/U$28)</f>
        <v>#DIV/0!</v>
      </c>
      <c r="V31" s="157" t="e">
        <f>SUM(V26/V$28)</f>
        <v>#DIV/0!</v>
      </c>
      <c r="W31" s="157" t="e">
        <f>SUM(W26/W$28)</f>
        <v>#DIV/0!</v>
      </c>
      <c r="X31" s="157" t="e">
        <f>SUM(X26/X$28)</f>
        <v>#DIV/0!</v>
      </c>
      <c r="Y31" s="158"/>
      <c r="Z31" s="159">
        <f t="shared" ref="Z31:AI32" si="20">K31</f>
        <v>0.443331246086412</v>
      </c>
      <c r="AA31" s="159">
        <f t="shared" si="20"/>
        <v>0.42385818047519391</v>
      </c>
      <c r="AB31" s="159">
        <f t="shared" si="20"/>
        <v>0.41677314438378443</v>
      </c>
      <c r="AC31" s="159">
        <f t="shared" si="20"/>
        <v>0.42216817234190412</v>
      </c>
      <c r="AD31" s="159">
        <f t="shared" si="20"/>
        <v>0.41515669515669518</v>
      </c>
      <c r="AE31" s="159">
        <f t="shared" si="20"/>
        <v>0.40685393258426966</v>
      </c>
      <c r="AF31" s="159">
        <f t="shared" si="20"/>
        <v>0.40251637724862221</v>
      </c>
      <c r="AG31" s="159">
        <f t="shared" si="20"/>
        <v>0.39305993690851737</v>
      </c>
      <c r="AH31" s="159">
        <f t="shared" si="20"/>
        <v>0.39722743381279968</v>
      </c>
      <c r="AI31" s="160">
        <f t="shared" si="20"/>
        <v>0.38605977192292568</v>
      </c>
    </row>
    <row r="32" spans="1:35" ht="12.75" customHeight="1">
      <c r="B32" s="166" t="str">
        <f>B27&amp;"(%)"</f>
        <v>International Revenues(%)</v>
      </c>
      <c r="C32" s="167">
        <f t="shared" ref="C32:E32" si="21">SUM(C27/C$28)</f>
        <v>0.53652842625652297</v>
      </c>
      <c r="D32" s="167">
        <f t="shared" si="21"/>
        <v>0.53702551337896698</v>
      </c>
      <c r="E32" s="167">
        <f>SUM(E27/E$28)</f>
        <v>0.56154895939952232</v>
      </c>
      <c r="F32" s="167">
        <f>SUM(F27/F$28)</f>
        <v>0.56702293816800908</v>
      </c>
      <c r="G32" s="167">
        <f>SUM(G27/G$28)</f>
        <v>0.58859878639425489</v>
      </c>
      <c r="H32" s="167">
        <f>SUM(H27/H$28)</f>
        <v>0.60800655827298811</v>
      </c>
      <c r="I32" s="168"/>
      <c r="J32" s="167">
        <f>SUM(J27/J$28)</f>
        <v>0.55052923387096775</v>
      </c>
      <c r="K32" s="167">
        <f>SUM(K27/K$28)</f>
        <v>0.55666875391358794</v>
      </c>
      <c r="L32" s="167">
        <f>SUM(L27/L$28)</f>
        <v>0.57614181952480614</v>
      </c>
      <c r="M32" s="167">
        <f>SUM(M27/M$28)</f>
        <v>0.58322685561621557</v>
      </c>
      <c r="N32" s="167">
        <f>SUM(N27/N$28)</f>
        <v>0.57783182765809593</v>
      </c>
      <c r="O32" s="167">
        <f>SUM(O27/O$28)</f>
        <v>0.58484330484330482</v>
      </c>
      <c r="P32" s="167">
        <f>SUM(P27/P$28)</f>
        <v>0.59314606741573028</v>
      </c>
      <c r="Q32" s="167">
        <f>SUM(Q27/Q$28)</f>
        <v>0.59748362275137779</v>
      </c>
      <c r="R32" s="167">
        <f>SUM(R27/R$28)</f>
        <v>0.60694006309148263</v>
      </c>
      <c r="S32" s="167">
        <f>SUM(S27/S$28)</f>
        <v>0.60277256618720032</v>
      </c>
      <c r="T32" s="167">
        <f>SUM(T27/T$28)</f>
        <v>0.61394022807707427</v>
      </c>
      <c r="U32" s="167" t="e">
        <f>SUM(U27/U$28)</f>
        <v>#DIV/0!</v>
      </c>
      <c r="V32" s="167" t="e">
        <f>SUM(V27/V$28)</f>
        <v>#DIV/0!</v>
      </c>
      <c r="W32" s="167" t="e">
        <f>SUM(W27/W$28)</f>
        <v>#DIV/0!</v>
      </c>
      <c r="X32" s="167" t="e">
        <f>SUM(X27/X$28)</f>
        <v>#DIV/0!</v>
      </c>
      <c r="Y32" s="168"/>
      <c r="Z32" s="169">
        <f t="shared" si="20"/>
        <v>0.55666875391358794</v>
      </c>
      <c r="AA32" s="169">
        <f t="shared" si="20"/>
        <v>0.57614181952480614</v>
      </c>
      <c r="AB32" s="169">
        <f t="shared" si="20"/>
        <v>0.58322685561621557</v>
      </c>
      <c r="AC32" s="169">
        <f t="shared" si="20"/>
        <v>0.57783182765809593</v>
      </c>
      <c r="AD32" s="169">
        <f t="shared" si="20"/>
        <v>0.58484330484330482</v>
      </c>
      <c r="AE32" s="169">
        <f t="shared" si="20"/>
        <v>0.59314606741573028</v>
      </c>
      <c r="AF32" s="169">
        <f t="shared" si="20"/>
        <v>0.59748362275137779</v>
      </c>
      <c r="AG32" s="169">
        <f t="shared" si="20"/>
        <v>0.60694006309148263</v>
      </c>
      <c r="AH32" s="169">
        <f t="shared" si="20"/>
        <v>0.60277256618720032</v>
      </c>
      <c r="AI32" s="170">
        <f t="shared" si="20"/>
        <v>0.61394022807707427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Visa Inc (NYSE: V)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5" t="s">
        <v>22</v>
      </c>
    </row>
    <row r="3" spans="2:29" s="5" customFormat="1" ht="12.75" customHeight="1">
      <c r="B3" s="6" t="s">
        <v>23</v>
      </c>
      <c r="C3" s="7">
        <f>'Historical Financials'!D7</f>
        <v>2021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Financials'!J7</f>
        <v>1Q23</v>
      </c>
      <c r="I3" s="7" t="str">
        <f>'Historical Financials'!K7</f>
        <v>2Q23</v>
      </c>
      <c r="J3" s="7" t="str">
        <f>'Historical Financials'!L7</f>
        <v>3Q23</v>
      </c>
      <c r="K3" s="7" t="str">
        <f>'Historical Financials'!M7</f>
        <v>4Q23</v>
      </c>
      <c r="L3" s="7" t="str">
        <f>'Historical Financials'!N7</f>
        <v>1Q24</v>
      </c>
      <c r="M3" s="7" t="str">
        <f>'Historical Financials'!O7</f>
        <v>2Q24</v>
      </c>
      <c r="N3" s="7" t="str">
        <f>'Historical Financials'!P7</f>
        <v>3Q24</v>
      </c>
      <c r="O3" s="7" t="str">
        <f>'Historical Financials'!Q7</f>
        <v>4Q24</v>
      </c>
      <c r="P3" s="7" t="str">
        <f>'Historical Financials'!R7</f>
        <v>1Q25</v>
      </c>
      <c r="Q3" s="7" t="str">
        <f>'Historical Financials'!S7</f>
        <v>2Q25</v>
      </c>
      <c r="R3" s="7" t="str">
        <f>'Historical Financials'!T7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55"/>
    </row>
    <row r="4" spans="2:29" s="5" customFormat="1" ht="12.75" customHeight="1">
      <c r="B4" s="6" t="s">
        <v>71</v>
      </c>
      <c r="C4" s="3">
        <f>'Historical Financials'!D8</f>
        <v>0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Financials'!J8</f>
        <v>0</v>
      </c>
      <c r="I4" s="3">
        <f>'Historical Financials'!K8</f>
        <v>0</v>
      </c>
      <c r="J4" s="3">
        <f>'Historical Financials'!L8</f>
        <v>0</v>
      </c>
      <c r="K4" s="3">
        <f>'Historical Financials'!M8</f>
        <v>0</v>
      </c>
      <c r="L4" s="3">
        <f>'Historical Financials'!N8</f>
        <v>0</v>
      </c>
      <c r="M4" s="3">
        <f>'Historical Financials'!O8</f>
        <v>0</v>
      </c>
      <c r="N4" s="3">
        <f>'Historical Financials'!P8</f>
        <v>0</v>
      </c>
      <c r="O4" s="3">
        <f>'Historical Financials'!Q8</f>
        <v>0</v>
      </c>
      <c r="P4" s="3">
        <f>'Historical Financials'!R8</f>
        <v>0</v>
      </c>
      <c r="Q4" s="3">
        <f>'Historical Financials'!S8</f>
        <v>0</v>
      </c>
      <c r="R4" s="3">
        <f>'Historical Financials'!T8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55"/>
    </row>
    <row r="5" spans="2:29" ht="5.0999999999999996" customHeight="1">
      <c r="AC5" s="125"/>
    </row>
    <row r="6" spans="2:29" ht="12.75" customHeight="1">
      <c r="B6" s="9" t="str">
        <f>'Revenue Drivers'!B9</f>
        <v>Service Revenues</v>
      </c>
      <c r="C6" s="94">
        <f>'Revenue Drivers'!E9</f>
        <v>13361</v>
      </c>
      <c r="D6" s="94">
        <f>'Revenue Drivers'!F9</f>
        <v>14826</v>
      </c>
      <c r="E6" s="94">
        <f>'Revenue Drivers'!G9</f>
        <v>16114</v>
      </c>
      <c r="F6" s="94">
        <f>'Revenue Drivers'!H9</f>
        <v>17539</v>
      </c>
      <c r="G6" s="10"/>
      <c r="H6" s="94">
        <f>'Revenue Drivers'!J9</f>
        <v>3511</v>
      </c>
      <c r="I6" s="94">
        <f>'Revenue Drivers'!K9</f>
        <v>3771</v>
      </c>
      <c r="J6" s="94">
        <f>'Revenue Drivers'!L9</f>
        <v>3668</v>
      </c>
      <c r="K6" s="94">
        <f>'Revenue Drivers'!M9</f>
        <v>3876</v>
      </c>
      <c r="L6" s="94">
        <f>'Revenue Drivers'!N9</f>
        <v>3915</v>
      </c>
      <c r="M6" s="94">
        <f>'Revenue Drivers'!O9</f>
        <v>4033</v>
      </c>
      <c r="N6" s="94">
        <f>'Revenue Drivers'!P9</f>
        <v>3967</v>
      </c>
      <c r="O6" s="94">
        <f>'Revenue Drivers'!Q9</f>
        <v>4199</v>
      </c>
      <c r="P6" s="94">
        <f>'Revenue Drivers'!R9</f>
        <v>4208</v>
      </c>
      <c r="Q6" s="94">
        <f>'Revenue Drivers'!S9</f>
        <v>4399</v>
      </c>
      <c r="R6" s="94">
        <f>'Revenue Drivers'!T9</f>
        <v>4330</v>
      </c>
      <c r="S6" s="5"/>
      <c r="T6" s="142">
        <f t="shared" ref="T6:Z9" si="1">SUM(H6:K6)</f>
        <v>14826</v>
      </c>
      <c r="U6" s="142">
        <f t="shared" si="1"/>
        <v>15230</v>
      </c>
      <c r="V6" s="142">
        <f t="shared" si="1"/>
        <v>15492</v>
      </c>
      <c r="W6" s="142">
        <f t="shared" si="1"/>
        <v>15791</v>
      </c>
      <c r="X6" s="142">
        <f t="shared" si="1"/>
        <v>16114</v>
      </c>
      <c r="Y6" s="142">
        <f t="shared" si="1"/>
        <v>16407</v>
      </c>
      <c r="Z6" s="142">
        <f t="shared" si="1"/>
        <v>16773</v>
      </c>
      <c r="AA6" s="142">
        <f>SUM(O6:R6)</f>
        <v>17136</v>
      </c>
      <c r="AC6" s="126">
        <f t="shared" ref="AC6:AC10" si="2">SUM(AA6/W6)-1</f>
        <v>8.5175099740358418E-2</v>
      </c>
    </row>
    <row r="7" spans="2:29" ht="12.75" customHeight="1">
      <c r="B7" s="9" t="str">
        <f>'Revenue Drivers'!B10</f>
        <v>Data Processing Revenues</v>
      </c>
      <c r="C7" s="94">
        <f>'Revenue Drivers'!E10</f>
        <v>14438</v>
      </c>
      <c r="D7" s="94">
        <f>'Revenue Drivers'!F10</f>
        <v>16007</v>
      </c>
      <c r="E7" s="94">
        <f>'Revenue Drivers'!G10</f>
        <v>17714</v>
      </c>
      <c r="F7" s="94">
        <f>'Revenue Drivers'!H10</f>
        <v>19993</v>
      </c>
      <c r="G7" s="10"/>
      <c r="H7" s="94">
        <f>'Revenue Drivers'!J10</f>
        <v>3827</v>
      </c>
      <c r="I7" s="94">
        <f>'Revenue Drivers'!K10</f>
        <v>3819</v>
      </c>
      <c r="J7" s="94">
        <f>'Revenue Drivers'!L10</f>
        <v>4105</v>
      </c>
      <c r="K7" s="94">
        <f>'Revenue Drivers'!M10</f>
        <v>4256</v>
      </c>
      <c r="L7" s="94">
        <f>'Revenue Drivers'!N10</f>
        <v>4356</v>
      </c>
      <c r="M7" s="94">
        <f>'Revenue Drivers'!O10</f>
        <v>4259</v>
      </c>
      <c r="N7" s="94">
        <f>'Revenue Drivers'!P10</f>
        <v>4489</v>
      </c>
      <c r="O7" s="94">
        <f>'Revenue Drivers'!Q10</f>
        <v>4610</v>
      </c>
      <c r="P7" s="94">
        <f>'Revenue Drivers'!R10</f>
        <v>4745</v>
      </c>
      <c r="Q7" s="94">
        <f>'Revenue Drivers'!S10</f>
        <v>4701</v>
      </c>
      <c r="R7" s="94">
        <f>'Revenue Drivers'!T10</f>
        <v>5153</v>
      </c>
      <c r="S7" s="5"/>
      <c r="T7" s="142">
        <f t="shared" si="1"/>
        <v>16007</v>
      </c>
      <c r="U7" s="142">
        <f t="shared" si="1"/>
        <v>16536</v>
      </c>
      <c r="V7" s="142">
        <f t="shared" si="1"/>
        <v>16976</v>
      </c>
      <c r="W7" s="142">
        <f t="shared" si="1"/>
        <v>17360</v>
      </c>
      <c r="X7" s="142">
        <f t="shared" si="1"/>
        <v>17714</v>
      </c>
      <c r="Y7" s="142">
        <f t="shared" si="1"/>
        <v>18103</v>
      </c>
      <c r="Z7" s="142">
        <f t="shared" si="1"/>
        <v>18545</v>
      </c>
      <c r="AA7" s="142">
        <f>SUM(O7:R7)</f>
        <v>19209</v>
      </c>
      <c r="AC7" s="126">
        <f t="shared" si="2"/>
        <v>0.10650921658986179</v>
      </c>
    </row>
    <row r="8" spans="2:29" ht="12.75" customHeight="1">
      <c r="B8" s="9" t="str">
        <f>'Revenue Drivers'!B12</f>
        <v>Other Revenues</v>
      </c>
      <c r="C8" s="94">
        <f>'Revenue Drivers'!E12</f>
        <v>1991</v>
      </c>
      <c r="D8" s="94">
        <f>'Revenue Drivers'!F12</f>
        <v>2479</v>
      </c>
      <c r="E8" s="94">
        <f>'Revenue Drivers'!G12</f>
        <v>3197</v>
      </c>
      <c r="F8" s="94">
        <f>'Revenue Drivers'!H12</f>
        <v>4053</v>
      </c>
      <c r="G8" s="10"/>
      <c r="H8" s="94">
        <f>'Revenue Drivers'!J12</f>
        <v>587</v>
      </c>
      <c r="I8" s="94">
        <f>'Revenue Drivers'!K12</f>
        <v>551</v>
      </c>
      <c r="J8" s="94">
        <f>'Revenue Drivers'!L12</f>
        <v>597</v>
      </c>
      <c r="K8" s="94">
        <f>'Revenue Drivers'!M12</f>
        <v>744</v>
      </c>
      <c r="L8" s="94">
        <f>'Revenue Drivers'!N12</f>
        <v>692</v>
      </c>
      <c r="M8" s="94">
        <f>'Revenue Drivers'!O12</f>
        <v>756</v>
      </c>
      <c r="N8" s="94">
        <f>'Revenue Drivers'!P12</f>
        <v>780</v>
      </c>
      <c r="O8" s="94">
        <f>'Revenue Drivers'!Q12</f>
        <v>969</v>
      </c>
      <c r="P8" s="94">
        <f>'Revenue Drivers'!R12</f>
        <v>912</v>
      </c>
      <c r="Q8" s="94">
        <f>'Revenue Drivers'!S12</f>
        <v>937</v>
      </c>
      <c r="R8" s="94">
        <f>'Revenue Drivers'!T12</f>
        <v>1028</v>
      </c>
      <c r="S8" s="5"/>
      <c r="T8" s="142">
        <f t="shared" si="1"/>
        <v>2479</v>
      </c>
      <c r="U8" s="142">
        <f t="shared" si="1"/>
        <v>2584</v>
      </c>
      <c r="V8" s="142">
        <f t="shared" si="1"/>
        <v>2789</v>
      </c>
      <c r="W8" s="142">
        <f t="shared" si="1"/>
        <v>2972</v>
      </c>
      <c r="X8" s="142">
        <f t="shared" si="1"/>
        <v>3197</v>
      </c>
      <c r="Y8" s="142">
        <f t="shared" si="1"/>
        <v>3417</v>
      </c>
      <c r="Z8" s="142">
        <f t="shared" si="1"/>
        <v>3598</v>
      </c>
      <c r="AA8" s="142">
        <f>SUM(O8:R8)</f>
        <v>3846</v>
      </c>
      <c r="AC8" s="126">
        <f t="shared" si="2"/>
        <v>0.29407806191117092</v>
      </c>
    </row>
    <row r="9" spans="2:29" ht="12.75" customHeight="1">
      <c r="B9" s="9" t="str">
        <f>'Revenue Drivers'!B13</f>
        <v>Client Incentives</v>
      </c>
      <c r="C9" s="94">
        <f>'Revenue Drivers'!E13</f>
        <v>-10295</v>
      </c>
      <c r="D9" s="94">
        <f>'Revenue Drivers'!F13</f>
        <v>-12297</v>
      </c>
      <c r="E9" s="94">
        <f>'Revenue Drivers'!G13</f>
        <v>-13764</v>
      </c>
      <c r="F9" s="94">
        <f>'Revenue Drivers'!H13</f>
        <v>-15751</v>
      </c>
      <c r="G9" s="10"/>
      <c r="H9" s="94">
        <f>'Revenue Drivers'!J13</f>
        <v>-2786</v>
      </c>
      <c r="I9" s="94">
        <f>'Revenue Drivers'!K13</f>
        <v>-2905</v>
      </c>
      <c r="J9" s="94">
        <f>'Revenue Drivers'!L13</f>
        <v>-3167</v>
      </c>
      <c r="K9" s="94">
        <f>'Revenue Drivers'!M13</f>
        <v>-3439</v>
      </c>
      <c r="L9" s="94">
        <f>'Revenue Drivers'!N13</f>
        <v>-3348</v>
      </c>
      <c r="M9" s="94">
        <f>'Revenue Drivers'!O13</f>
        <v>-3257</v>
      </c>
      <c r="N9" s="94">
        <f>'Revenue Drivers'!P13</f>
        <v>-3530</v>
      </c>
      <c r="O9" s="94">
        <f>'Revenue Drivers'!Q13</f>
        <v>-3629</v>
      </c>
      <c r="P9" s="94">
        <f>'Revenue Drivers'!R13</f>
        <v>-3797</v>
      </c>
      <c r="Q9" s="94">
        <f>'Revenue Drivers'!S13</f>
        <v>-3734</v>
      </c>
      <c r="R9" s="94">
        <f>'Revenue Drivers'!T13</f>
        <v>-3972</v>
      </c>
      <c r="S9" s="5"/>
      <c r="T9" s="142">
        <f t="shared" si="1"/>
        <v>-12297</v>
      </c>
      <c r="U9" s="142">
        <f t="shared" si="1"/>
        <v>-12859</v>
      </c>
      <c r="V9" s="142">
        <f t="shared" si="1"/>
        <v>-13211</v>
      </c>
      <c r="W9" s="142">
        <f t="shared" si="1"/>
        <v>-13574</v>
      </c>
      <c r="X9" s="142">
        <f t="shared" si="1"/>
        <v>-13764</v>
      </c>
      <c r="Y9" s="142">
        <f t="shared" si="1"/>
        <v>-14213</v>
      </c>
      <c r="Z9" s="142">
        <f t="shared" si="1"/>
        <v>-14690</v>
      </c>
      <c r="AA9" s="142">
        <f>SUM(O9:R9)</f>
        <v>-15132</v>
      </c>
      <c r="AC9" s="126">
        <f t="shared" si="2"/>
        <v>0.11477825254162366</v>
      </c>
    </row>
    <row r="10" spans="2:29" ht="12.75" customHeight="1">
      <c r="B10" s="13" t="s">
        <v>12</v>
      </c>
      <c r="C10" s="14">
        <f>SUM(C6:C9)</f>
        <v>19495</v>
      </c>
      <c r="D10" s="14">
        <f>SUM(D6:D9)</f>
        <v>21015</v>
      </c>
      <c r="E10" s="14">
        <f>SUM(E6:E9)</f>
        <v>23261</v>
      </c>
      <c r="F10" s="14">
        <f>SUM(F6:F9)</f>
        <v>25834</v>
      </c>
      <c r="G10" s="10"/>
      <c r="H10" s="14">
        <f t="shared" ref="H10:R10" si="3">SUM(H6:H9)</f>
        <v>5139</v>
      </c>
      <c r="I10" s="14">
        <f t="shared" si="3"/>
        <v>5236</v>
      </c>
      <c r="J10" s="14">
        <f t="shared" si="3"/>
        <v>5203</v>
      </c>
      <c r="K10" s="14">
        <f t="shared" si="3"/>
        <v>5437</v>
      </c>
      <c r="L10" s="14">
        <f t="shared" si="3"/>
        <v>5615</v>
      </c>
      <c r="M10" s="14">
        <f t="shared" si="3"/>
        <v>5791</v>
      </c>
      <c r="N10" s="14">
        <f t="shared" si="3"/>
        <v>5706</v>
      </c>
      <c r="O10" s="14">
        <f t="shared" si="3"/>
        <v>6149</v>
      </c>
      <c r="P10" s="14">
        <f t="shared" si="3"/>
        <v>6068</v>
      </c>
      <c r="Q10" s="14">
        <f t="shared" si="3"/>
        <v>6303</v>
      </c>
      <c r="R10" s="14">
        <f t="shared" si="3"/>
        <v>6539</v>
      </c>
      <c r="S10" s="5"/>
      <c r="T10" s="14">
        <f t="shared" ref="T10:AA10" si="4">SUM(T6:T9)</f>
        <v>21015</v>
      </c>
      <c r="U10" s="14">
        <f t="shared" si="4"/>
        <v>21491</v>
      </c>
      <c r="V10" s="14">
        <f t="shared" si="4"/>
        <v>22046</v>
      </c>
      <c r="W10" s="14">
        <f t="shared" si="4"/>
        <v>22549</v>
      </c>
      <c r="X10" s="14">
        <f t="shared" si="4"/>
        <v>23261</v>
      </c>
      <c r="Y10" s="14">
        <f t="shared" si="4"/>
        <v>23714</v>
      </c>
      <c r="Z10" s="14">
        <f t="shared" si="4"/>
        <v>24226</v>
      </c>
      <c r="AA10" s="14">
        <f t="shared" si="4"/>
        <v>25059</v>
      </c>
      <c r="AC10" s="127">
        <f t="shared" si="2"/>
        <v>0.111313140272296</v>
      </c>
    </row>
    <row r="11" spans="2:29" ht="12.75" customHeight="1">
      <c r="B11" s="16" t="s">
        <v>26</v>
      </c>
      <c r="C11" s="115"/>
      <c r="D11" s="17">
        <f>SUM(D10/C10)-1</f>
        <v>7.7968709925621882E-2</v>
      </c>
      <c r="E11" s="17">
        <f>SUM(E10/D10)-1</f>
        <v>0.10687604092315017</v>
      </c>
      <c r="F11" s="17">
        <f>SUM(F10/E10)-1</f>
        <v>0.11061433300374013</v>
      </c>
      <c r="G11" s="11"/>
      <c r="H11" s="115"/>
      <c r="I11" s="115"/>
      <c r="J11" s="115"/>
      <c r="K11" s="115"/>
      <c r="L11" s="17">
        <f t="shared" ref="L11:R11" si="5">SUM(L10/H10)-1</f>
        <v>9.2625024323798488E-2</v>
      </c>
      <c r="M11" s="17">
        <f t="shared" si="5"/>
        <v>0.10599694423223838</v>
      </c>
      <c r="N11" s="17">
        <f t="shared" si="5"/>
        <v>9.6674995195079827E-2</v>
      </c>
      <c r="O11" s="17">
        <f t="shared" si="5"/>
        <v>0.13095457053522153</v>
      </c>
      <c r="P11" s="17">
        <f t="shared" si="5"/>
        <v>8.0676758682101557E-2</v>
      </c>
      <c r="Q11" s="17">
        <f t="shared" si="5"/>
        <v>8.8413054740114072E-2</v>
      </c>
      <c r="R11" s="17">
        <f t="shared" si="5"/>
        <v>0.14598668068699605</v>
      </c>
      <c r="S11" s="5"/>
      <c r="T11" s="115"/>
      <c r="U11" s="115"/>
      <c r="V11" s="115"/>
      <c r="W11" s="115"/>
      <c r="X11" s="17">
        <f t="shared" ref="X11:AA11" si="6">SUM(X10/T10)-1</f>
        <v>0.10687604092315017</v>
      </c>
      <c r="Y11" s="17">
        <f t="shared" si="6"/>
        <v>0.10343864873668052</v>
      </c>
      <c r="Z11" s="17">
        <f t="shared" si="6"/>
        <v>9.8884151319967417E-2</v>
      </c>
      <c r="AA11" s="17">
        <f t="shared" si="6"/>
        <v>0.111313140272296</v>
      </c>
      <c r="AC11" s="128">
        <f>SUM(AA11-W11)*10000</f>
        <v>1113.13140272296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>
        <f t="shared" ref="I12:R12" si="7">SUM(I10/H10)-1</f>
        <v>1.8875267561782483E-2</v>
      </c>
      <c r="J12" s="17">
        <f t="shared" si="7"/>
        <v>-6.302521008403339E-3</v>
      </c>
      <c r="K12" s="17">
        <f t="shared" si="7"/>
        <v>4.4974053430713035E-2</v>
      </c>
      <c r="L12" s="17">
        <f t="shared" si="7"/>
        <v>3.2738642633805437E-2</v>
      </c>
      <c r="M12" s="17">
        <f t="shared" si="7"/>
        <v>3.1344612644701675E-2</v>
      </c>
      <c r="N12" s="17">
        <f t="shared" si="7"/>
        <v>-1.4677948540839258E-2</v>
      </c>
      <c r="O12" s="17">
        <f t="shared" si="7"/>
        <v>7.763757448300046E-2</v>
      </c>
      <c r="P12" s="17">
        <f t="shared" si="7"/>
        <v>-1.3172873637989913E-2</v>
      </c>
      <c r="Q12" s="17">
        <f t="shared" si="7"/>
        <v>3.8727752142386329E-2</v>
      </c>
      <c r="R12" s="17">
        <f t="shared" si="7"/>
        <v>3.7442487704267835E-2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116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117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120</v>
      </c>
      <c r="C19" s="141">
        <f>'Historical Financials'!D13</f>
        <v>-4240</v>
      </c>
      <c r="D19" s="141">
        <f>'Historical Financials'!E13</f>
        <v>-4990</v>
      </c>
      <c r="E19" s="141">
        <f>'Historical Financials'!F13</f>
        <v>-5831</v>
      </c>
      <c r="F19" s="141">
        <f>'Historical Financials'!G13</f>
        <v>-6264</v>
      </c>
      <c r="G19" s="94"/>
      <c r="H19" s="141">
        <f>'Historical Financials'!J13</f>
        <v>-1337</v>
      </c>
      <c r="I19" s="141">
        <f>'Historical Financials'!K13</f>
        <v>-1515</v>
      </c>
      <c r="J19" s="141">
        <f>'Historical Financials'!L13</f>
        <v>-1481</v>
      </c>
      <c r="K19" s="141">
        <f>'Historical Financials'!M13</f>
        <v>-1498</v>
      </c>
      <c r="L19" s="141">
        <f>'Historical Financials'!N13</f>
        <v>-1479</v>
      </c>
      <c r="M19" s="141">
        <f>'Historical Financials'!O13</f>
        <v>-1603</v>
      </c>
      <c r="N19" s="141">
        <f>'Historical Financials'!P13</f>
        <v>-1573</v>
      </c>
      <c r="O19" s="141">
        <f>'Historical Financials'!Q13</f>
        <v>-1609</v>
      </c>
      <c r="P19" s="141">
        <f>'Historical Financials'!R13</f>
        <v>-1813</v>
      </c>
      <c r="Q19" s="141">
        <f>'Historical Financials'!S13</f>
        <v>-1657</v>
      </c>
      <c r="R19" s="141">
        <f>'Historical Financials'!T13</f>
        <v>-1749</v>
      </c>
      <c r="S19" s="5"/>
      <c r="T19" s="142">
        <f t="shared" ref="T19:Z23" si="32">SUM(H19:K19)</f>
        <v>-5831</v>
      </c>
      <c r="U19" s="142">
        <f t="shared" si="32"/>
        <v>-5973</v>
      </c>
      <c r="V19" s="142">
        <f t="shared" si="32"/>
        <v>-6061</v>
      </c>
      <c r="W19" s="142">
        <f t="shared" si="32"/>
        <v>-6153</v>
      </c>
      <c r="X19" s="142">
        <f t="shared" si="32"/>
        <v>-6264</v>
      </c>
      <c r="Y19" s="142">
        <f t="shared" si="32"/>
        <v>-6598</v>
      </c>
      <c r="Z19" s="142">
        <f t="shared" si="32"/>
        <v>-6652</v>
      </c>
      <c r="AA19" s="142">
        <f>SUM(O19:R19)</f>
        <v>-6828</v>
      </c>
      <c r="AC19" s="126">
        <f t="shared" ref="AC19:AC23" si="33">SUM(AA19/W19)-1</f>
        <v>0.10970258410531453</v>
      </c>
    </row>
    <row r="20" spans="2:29" ht="12.75" customHeight="1">
      <c r="B20" s="23" t="s">
        <v>121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117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118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119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Financials'!D97</f>
        <v>0</v>
      </c>
      <c r="D27" s="141">
        <f>'Historical Financials'!E97</f>
        <v>0</v>
      </c>
      <c r="E27" s="141">
        <f>'Historical Financials'!F97</f>
        <v>0</v>
      </c>
      <c r="F27" s="141">
        <f>'Historical Financials'!G97</f>
        <v>0</v>
      </c>
      <c r="H27" s="141">
        <f>'Historical Financials'!J97</f>
        <v>0</v>
      </c>
      <c r="I27" s="141">
        <f>'Historical Financials'!K97</f>
        <v>0</v>
      </c>
      <c r="J27" s="141">
        <f>'Historical Financials'!L97</f>
        <v>0</v>
      </c>
      <c r="K27" s="141">
        <f>'Historical Financials'!M97</f>
        <v>0</v>
      </c>
      <c r="L27" s="141">
        <f>'Historical Financials'!N97</f>
        <v>0</v>
      </c>
      <c r="M27" s="141">
        <f>'Historical Financials'!O97</f>
        <v>0</v>
      </c>
      <c r="N27" s="141">
        <f>'Historical Financials'!P97</f>
        <v>0</v>
      </c>
      <c r="O27" s="141">
        <f>'Historical Financials'!Q97</f>
        <v>0</v>
      </c>
      <c r="P27" s="141">
        <f>'Historical Financials'!R97</f>
        <v>0</v>
      </c>
      <c r="Q27" s="141">
        <f>'Historical Financials'!S97</f>
        <v>0</v>
      </c>
      <c r="R27" s="141">
        <f>'Historical Financials'!T97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122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123</v>
      </c>
      <c r="C32" s="141">
        <f>'Historical Financials'!D99</f>
        <v>0</v>
      </c>
      <c r="D32" s="141">
        <f>'Historical Financials'!E99</f>
        <v>0</v>
      </c>
      <c r="E32" s="141">
        <f>'Historical Financials'!F99</f>
        <v>0</v>
      </c>
      <c r="F32" s="141">
        <f>'Historical Financials'!G99</f>
        <v>0</v>
      </c>
      <c r="H32" s="141">
        <f>'Historical Financials'!J99</f>
        <v>0</v>
      </c>
      <c r="I32" s="141">
        <f>'Historical Financials'!K99</f>
        <v>0</v>
      </c>
      <c r="J32" s="141">
        <f>'Historical Financials'!L99</f>
        <v>0</v>
      </c>
      <c r="K32" s="141">
        <f>'Historical Financials'!M99</f>
        <v>0</v>
      </c>
      <c r="L32" s="141">
        <f>'Historical Financials'!N99</f>
        <v>0</v>
      </c>
      <c r="M32" s="141">
        <f>'Historical Financials'!O99</f>
        <v>0</v>
      </c>
      <c r="N32" s="141">
        <f>'Historical Financials'!P99</f>
        <v>0</v>
      </c>
      <c r="O32" s="141">
        <f>'Historical Financials'!Q99</f>
        <v>0</v>
      </c>
      <c r="P32" s="141">
        <f>'Historical Financials'!R99</f>
        <v>0</v>
      </c>
      <c r="Q32" s="141">
        <f>'Historical Financials'!S99</f>
        <v>0</v>
      </c>
      <c r="R32" s="141">
        <f>'Historical Financials'!T99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124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125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Financials'!D106</f>
        <v>0</v>
      </c>
      <c r="D38" s="141">
        <f>'Historical Financials'!E106</f>
        <v>0</v>
      </c>
      <c r="E38" s="141">
        <f>'Historical Financials'!F106</f>
        <v>0</v>
      </c>
      <c r="F38" s="141">
        <f>'Historical Financials'!G106</f>
        <v>0</v>
      </c>
      <c r="H38" s="141">
        <f>'Historical Financials'!J106</f>
        <v>0</v>
      </c>
      <c r="I38" s="141">
        <f>'Historical Financials'!K106</f>
        <v>0</v>
      </c>
      <c r="J38" s="141">
        <f>'Historical Financials'!L106</f>
        <v>0</v>
      </c>
      <c r="K38" s="141">
        <f>'Historical Financials'!M106</f>
        <v>0</v>
      </c>
      <c r="L38" s="141">
        <f>'Historical Financials'!N106</f>
        <v>0</v>
      </c>
      <c r="M38" s="141">
        <f>'Historical Financials'!O106</f>
        <v>0</v>
      </c>
      <c r="N38" s="141">
        <f>'Historical Financials'!P106</f>
        <v>0</v>
      </c>
      <c r="O38" s="141">
        <f>'Historical Financials'!Q106</f>
        <v>0</v>
      </c>
      <c r="P38" s="141">
        <f>'Historical Financials'!R106</f>
        <v>0</v>
      </c>
      <c r="Q38" s="141">
        <f>'Historical Financials'!S106</f>
        <v>0</v>
      </c>
      <c r="R38" s="141">
        <f>'Historical Financials'!T106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Financials'!D131</f>
        <v>0</v>
      </c>
      <c r="D39" s="141">
        <f>-'Historical Financials'!E131</f>
        <v>0</v>
      </c>
      <c r="E39" s="141">
        <f>-'Historical Financials'!F131</f>
        <v>0</v>
      </c>
      <c r="F39" s="141">
        <f>-'Historical Financials'!G131</f>
        <v>0</v>
      </c>
      <c r="H39" s="141">
        <f>-'Historical Financials'!J131</f>
        <v>0</v>
      </c>
      <c r="I39" s="141">
        <f>-'Historical Financials'!K131</f>
        <v>0</v>
      </c>
      <c r="J39" s="141">
        <f>-'Historical Financials'!L131</f>
        <v>0</v>
      </c>
      <c r="K39" s="141">
        <f>-'Historical Financials'!M131</f>
        <v>0</v>
      </c>
      <c r="L39" s="141">
        <f>-'Historical Financials'!N131</f>
        <v>0</v>
      </c>
      <c r="M39" s="141">
        <f>-'Historical Financials'!O131</f>
        <v>0</v>
      </c>
      <c r="N39" s="141">
        <f>-'Historical Financials'!P131</f>
        <v>0</v>
      </c>
      <c r="O39" s="141">
        <f>-'Historical Financials'!Q131</f>
        <v>0</v>
      </c>
      <c r="P39" s="141">
        <f>-'Historical Financials'!R131</f>
        <v>0</v>
      </c>
      <c r="Q39" s="141">
        <f>-'Historical Financials'!S131</f>
        <v>0</v>
      </c>
      <c r="R39" s="141">
        <f>-'Historical Financials'!T131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Financials'!D130</f>
        <v>0</v>
      </c>
      <c r="D40" s="141">
        <f>-'Historical Financials'!E130</f>
        <v>0</v>
      </c>
      <c r="E40" s="141">
        <f>-'Historical Financials'!F130</f>
        <v>0</v>
      </c>
      <c r="F40" s="141">
        <f>-'Historical Financials'!G130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Financials'!D107</f>
        <v>0</v>
      </c>
      <c r="D44" s="141">
        <f>'Historical Financials'!E107</f>
        <v>0</v>
      </c>
      <c r="E44" s="141">
        <f>'Historical Financials'!F107</f>
        <v>0</v>
      </c>
      <c r="F44" s="141">
        <f>'Historical Financials'!G107</f>
        <v>0</v>
      </c>
      <c r="G44" s="32"/>
      <c r="H44" s="141">
        <f>'Historical Financials'!J107</f>
        <v>0</v>
      </c>
      <c r="I44" s="141">
        <f>'Historical Financials'!K107</f>
        <v>0</v>
      </c>
      <c r="J44" s="141">
        <f>'Historical Financials'!L107</f>
        <v>0</v>
      </c>
      <c r="K44" s="141">
        <f>'Historical Financials'!M107</f>
        <v>0</v>
      </c>
      <c r="L44" s="141">
        <f>'Historical Financials'!N107</f>
        <v>0</v>
      </c>
      <c r="M44" s="141">
        <f>'Historical Financials'!O107</f>
        <v>0</v>
      </c>
      <c r="N44" s="141">
        <f>'Historical Financials'!P107</f>
        <v>0</v>
      </c>
      <c r="O44" s="141">
        <f>'Historical Financials'!Q107</f>
        <v>0</v>
      </c>
      <c r="P44" s="141">
        <f>'Historical Financials'!R107</f>
        <v>0</v>
      </c>
      <c r="Q44" s="141">
        <f>'Historical Financials'!S107</f>
        <v>0</v>
      </c>
      <c r="R44" s="141">
        <f>'Historical Financials'!T107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Financials'!D109</f>
        <v>0</v>
      </c>
      <c r="D45" s="141">
        <f>'Historical Financials'!E109</f>
        <v>0</v>
      </c>
      <c r="E45" s="141">
        <f>'Historical Financials'!F109</f>
        <v>0</v>
      </c>
      <c r="F45" s="141">
        <f>'Historical Financials'!G109</f>
        <v>0</v>
      </c>
      <c r="G45" s="32"/>
      <c r="H45" s="141">
        <f>'Historical Financials'!J109</f>
        <v>0</v>
      </c>
      <c r="I45" s="141">
        <f>'Historical Financials'!K109</f>
        <v>0</v>
      </c>
      <c r="J45" s="141">
        <f>'Historical Financials'!L109</f>
        <v>0</v>
      </c>
      <c r="K45" s="141">
        <f>'Historical Financials'!M109</f>
        <v>0</v>
      </c>
      <c r="L45" s="141">
        <f>'Historical Financials'!N109</f>
        <v>0</v>
      </c>
      <c r="M45" s="141">
        <f>'Historical Financials'!O109</f>
        <v>0</v>
      </c>
      <c r="N45" s="141">
        <f>'Historical Financials'!P109</f>
        <v>0</v>
      </c>
      <c r="O45" s="141">
        <f>'Historical Financials'!Q109</f>
        <v>0</v>
      </c>
      <c r="P45" s="141">
        <f>'Historical Financials'!R109</f>
        <v>0</v>
      </c>
      <c r="Q45" s="141">
        <f>'Historical Financials'!S109</f>
        <v>0</v>
      </c>
      <c r="R45" s="141">
        <f>'Historical Financials'!T109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126</v>
      </c>
      <c r="C46" s="141">
        <f>'Historical Financials'!D108</f>
        <v>0</v>
      </c>
      <c r="D46" s="141">
        <f>'Historical Financials'!E108</f>
        <v>0</v>
      </c>
      <c r="E46" s="141">
        <f>'Historical Financials'!F108</f>
        <v>0</v>
      </c>
      <c r="F46" s="141">
        <f>'Historical Financials'!G108</f>
        <v>0</v>
      </c>
      <c r="G46" s="32"/>
      <c r="H46" s="141">
        <f>'Historical Financials'!J108</f>
        <v>0</v>
      </c>
      <c r="I46" s="141">
        <f>'Historical Financials'!K108</f>
        <v>0</v>
      </c>
      <c r="J46" s="141">
        <f>'Historical Financials'!L108</f>
        <v>0</v>
      </c>
      <c r="K46" s="141">
        <f>'Historical Financials'!M108</f>
        <v>0</v>
      </c>
      <c r="L46" s="141">
        <f>'Historical Financials'!N108</f>
        <v>0</v>
      </c>
      <c r="M46" s="141">
        <f>'Historical Financials'!O108</f>
        <v>0</v>
      </c>
      <c r="N46" s="141">
        <f>'Historical Financials'!P108</f>
        <v>0</v>
      </c>
      <c r="O46" s="141">
        <f>'Historical Financials'!Q108</f>
        <v>0</v>
      </c>
      <c r="P46" s="141">
        <f>'Historical Financials'!R108</f>
        <v>0</v>
      </c>
      <c r="Q46" s="141">
        <f>'Historical Financials'!S108</f>
        <v>0</v>
      </c>
      <c r="R46" s="141">
        <f>'Historical Financials'!T108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Financials'!D113</f>
        <v>0</v>
      </c>
      <c r="D47" s="141">
        <f>'Historical Financials'!E113</f>
        <v>0</v>
      </c>
      <c r="E47" s="141">
        <f>'Historical Financials'!F113</f>
        <v>0</v>
      </c>
      <c r="F47" s="141">
        <f>'Historical Financials'!G113</f>
        <v>0</v>
      </c>
      <c r="G47" s="32"/>
      <c r="H47" s="141">
        <f>'Historical Financials'!J113</f>
        <v>0</v>
      </c>
      <c r="I47" s="141">
        <f>'Historical Financials'!K113</f>
        <v>0</v>
      </c>
      <c r="J47" s="141">
        <f>'Historical Financials'!L113</f>
        <v>0</v>
      </c>
      <c r="K47" s="141">
        <f>'Historical Financials'!M113</f>
        <v>0</v>
      </c>
      <c r="L47" s="141">
        <f>'Historical Financials'!N113</f>
        <v>0</v>
      </c>
      <c r="M47" s="141">
        <f>'Historical Financials'!O113</f>
        <v>0</v>
      </c>
      <c r="N47" s="141">
        <f>'Historical Financials'!P113</f>
        <v>0</v>
      </c>
      <c r="O47" s="141">
        <f>'Historical Financials'!Q113</f>
        <v>0</v>
      </c>
      <c r="P47" s="141">
        <f>'Historical Financials'!R113</f>
        <v>0</v>
      </c>
      <c r="Q47" s="141">
        <f>'Historical Financials'!S113</f>
        <v>0</v>
      </c>
      <c r="R47" s="141">
        <f>'Historical Financials'!T113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127</v>
      </c>
      <c r="C48" s="141">
        <f>'Historical Financials'!D114</f>
        <v>0</v>
      </c>
      <c r="D48" s="141">
        <f>'Historical Financials'!E114</f>
        <v>0</v>
      </c>
      <c r="E48" s="141">
        <f>'Historical Financials'!F114</f>
        <v>0</v>
      </c>
      <c r="F48" s="141">
        <f>'Historical Financials'!G114</f>
        <v>0</v>
      </c>
      <c r="G48" s="32"/>
      <c r="H48" s="141">
        <f>'Historical Financials'!J114</f>
        <v>0</v>
      </c>
      <c r="I48" s="141">
        <f>'Historical Financials'!K114</f>
        <v>0</v>
      </c>
      <c r="J48" s="141">
        <f>'Historical Financials'!L114</f>
        <v>0</v>
      </c>
      <c r="K48" s="141">
        <f>'Historical Financials'!M114</f>
        <v>0</v>
      </c>
      <c r="L48" s="141">
        <f>'Historical Financials'!N114</f>
        <v>0</v>
      </c>
      <c r="M48" s="141">
        <f>'Historical Financials'!O114</f>
        <v>0</v>
      </c>
      <c r="N48" s="141">
        <f>'Historical Financials'!P114</f>
        <v>0</v>
      </c>
      <c r="O48" s="141">
        <f>'Historical Financials'!Q114</f>
        <v>0</v>
      </c>
      <c r="P48" s="141">
        <f>'Historical Financials'!R114</f>
        <v>0</v>
      </c>
      <c r="Q48" s="141">
        <f>'Historical Financials'!S114</f>
        <v>0</v>
      </c>
      <c r="R48" s="141">
        <f>'Historical Financials'!T114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Financials'!D115:D115)</f>
        <v>0</v>
      </c>
      <c r="D49" s="141">
        <f>SUM('Historical Financials'!E115:E115)</f>
        <v>0</v>
      </c>
      <c r="E49" s="141">
        <f>SUM('Historical Financials'!F115:F115)</f>
        <v>0</v>
      </c>
      <c r="F49" s="141">
        <f>SUM('Historical Financials'!G115:G115)</f>
        <v>0</v>
      </c>
      <c r="G49" s="32"/>
      <c r="H49" s="141">
        <f>SUM('Historical Financials'!J115:J115)</f>
        <v>0</v>
      </c>
      <c r="I49" s="141">
        <f>SUM('Historical Financials'!K115:K115)</f>
        <v>0</v>
      </c>
      <c r="J49" s="141">
        <f>SUM('Historical Financials'!L115:L115)</f>
        <v>0</v>
      </c>
      <c r="K49" s="141">
        <f>SUM('Historical Financials'!M115:M115)</f>
        <v>0</v>
      </c>
      <c r="L49" s="141">
        <f>SUM('Historical Financials'!N115:N115)</f>
        <v>0</v>
      </c>
      <c r="M49" s="141">
        <f>SUM('Historical Financials'!O115:O115)</f>
        <v>0</v>
      </c>
      <c r="N49" s="141">
        <f>SUM('Historical Financials'!P115:P115)</f>
        <v>0</v>
      </c>
      <c r="O49" s="141">
        <f>SUM('Historical Financials'!Q115:Q115)</f>
        <v>0</v>
      </c>
      <c r="P49" s="141">
        <f>SUM('Historical Financials'!R115:R115)</f>
        <v>0</v>
      </c>
      <c r="Q49" s="141">
        <f>SUM('Historical Financials'!S115:S115)</f>
        <v>0</v>
      </c>
      <c r="R49" s="141">
        <f>SUM('Historical Financials'!T115:T115)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Financials'!D43</f>
        <v>16487</v>
      </c>
      <c r="D55" s="94">
        <f>'Historical Financials'!E43</f>
        <v>15689</v>
      </c>
      <c r="E55" s="94">
        <f>'Historical Financials'!F43</f>
        <v>16286</v>
      </c>
      <c r="F55" s="94">
        <f>'Historical Financials'!G43</f>
        <v>11975</v>
      </c>
      <c r="G55" s="32"/>
      <c r="H55" s="94">
        <f>'Historical Financials'!J43</f>
        <v>13334</v>
      </c>
      <c r="I55" s="94">
        <f>'Historical Financials'!K43</f>
        <v>13842</v>
      </c>
      <c r="J55" s="94">
        <f>'Historical Financials'!L43</f>
        <v>15590</v>
      </c>
      <c r="K55" s="94">
        <f>'Historical Financials'!M43</f>
        <v>16286</v>
      </c>
      <c r="L55" s="94">
        <f>'Historical Financials'!N43</f>
        <v>13591</v>
      </c>
      <c r="M55" s="94">
        <f>'Historical Financials'!O43</f>
        <v>12993</v>
      </c>
      <c r="N55" s="94">
        <f>'Historical Financials'!P43</f>
        <v>12947</v>
      </c>
      <c r="O55" s="94">
        <f>'Historical Financials'!Q43</f>
        <v>11975</v>
      </c>
      <c r="P55" s="94">
        <f>'Historical Financials'!R43</f>
        <v>12367</v>
      </c>
      <c r="Q55" s="94">
        <f>'Historical Financials'!S43</f>
        <v>11734</v>
      </c>
      <c r="R55" s="94">
        <f>'Historical Financials'!T43</f>
        <v>17092</v>
      </c>
      <c r="T55" s="10">
        <f t="shared" ref="T55:Z57" si="102">K55</f>
        <v>16286</v>
      </c>
      <c r="U55" s="10">
        <f t="shared" si="102"/>
        <v>13591</v>
      </c>
      <c r="V55" s="10">
        <f t="shared" si="102"/>
        <v>12993</v>
      </c>
      <c r="W55" s="10">
        <f t="shared" si="102"/>
        <v>12947</v>
      </c>
      <c r="X55" s="10">
        <f t="shared" si="102"/>
        <v>11975</v>
      </c>
      <c r="Y55" s="10">
        <f t="shared" si="102"/>
        <v>12367</v>
      </c>
      <c r="Z55" s="10">
        <f t="shared" si="102"/>
        <v>11734</v>
      </c>
      <c r="AA55" s="10">
        <f>R55</f>
        <v>17092</v>
      </c>
    </row>
    <row r="56" spans="1:27" ht="12.75" customHeight="1">
      <c r="B56" s="8" t="s">
        <v>128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135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16286</v>
      </c>
      <c r="U58" s="14">
        <f t="shared" si="105"/>
        <v>13591</v>
      </c>
      <c r="V58" s="14">
        <f t="shared" si="105"/>
        <v>12993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132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133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137</v>
      </c>
      <c r="C63" s="94">
        <f>'Historical Financials'!D49</f>
        <v>1359</v>
      </c>
      <c r="D63" s="94">
        <f>'Historical Financials'!E49</f>
        <v>1272</v>
      </c>
      <c r="E63" s="94">
        <f>'Historical Financials'!F49</f>
        <v>1577</v>
      </c>
      <c r="F63" s="94">
        <f>'Historical Financials'!G49</f>
        <v>1918</v>
      </c>
      <c r="H63" s="94">
        <f>'Historical Financials'!J49</f>
        <v>1402</v>
      </c>
      <c r="I63" s="94">
        <f>'Historical Financials'!K49</f>
        <v>1477</v>
      </c>
      <c r="J63" s="94">
        <f>'Historical Financials'!L49</f>
        <v>1525</v>
      </c>
      <c r="K63" s="94">
        <f>'Historical Financials'!M49</f>
        <v>1577</v>
      </c>
      <c r="L63" s="94">
        <f>'Historical Financials'!N49</f>
        <v>1572</v>
      </c>
      <c r="M63" s="94">
        <f>'Historical Financials'!O49</f>
        <v>1740</v>
      </c>
      <c r="N63" s="94">
        <f>'Historical Financials'!P49</f>
        <v>1821</v>
      </c>
      <c r="O63" s="94">
        <f>'Historical Financials'!Q49</f>
        <v>1918</v>
      </c>
      <c r="P63" s="94">
        <f>'Historical Financials'!R49</f>
        <v>1992</v>
      </c>
      <c r="Q63" s="94">
        <f>'Historical Financials'!S49</f>
        <v>2175</v>
      </c>
      <c r="R63" s="94">
        <f>'Historical Financials'!T49</f>
        <v>2198</v>
      </c>
      <c r="S63" s="10"/>
      <c r="T63" s="10">
        <f t="shared" ref="T63:Z69" si="106">K63</f>
        <v>1577</v>
      </c>
      <c r="U63" s="10">
        <f t="shared" si="106"/>
        <v>1572</v>
      </c>
      <c r="V63" s="10">
        <f t="shared" si="106"/>
        <v>1740</v>
      </c>
      <c r="W63" s="10">
        <f t="shared" si="106"/>
        <v>1821</v>
      </c>
      <c r="X63" s="10">
        <f t="shared" si="106"/>
        <v>1918</v>
      </c>
      <c r="Y63" s="10">
        <f t="shared" si="106"/>
        <v>1992</v>
      </c>
      <c r="Z63" s="10">
        <f t="shared" si="106"/>
        <v>2175</v>
      </c>
      <c r="AA63" s="10">
        <f t="shared" ref="AA63:AA69" si="107">R63</f>
        <v>2198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Financials'!D54</f>
        <v>1705</v>
      </c>
      <c r="D65" s="94">
        <f>'Historical Financials'!E54</f>
        <v>2136</v>
      </c>
      <c r="E65" s="94">
        <f>'Historical Financials'!F54</f>
        <v>1921</v>
      </c>
      <c r="F65" s="94">
        <f>'Historical Financials'!G54</f>
        <v>2545</v>
      </c>
      <c r="H65" s="94">
        <f>'Historical Financials'!J54</f>
        <v>2735</v>
      </c>
      <c r="I65" s="94">
        <f>'Historical Financials'!K54</f>
        <v>2840</v>
      </c>
      <c r="J65" s="94">
        <f>'Historical Financials'!L54</f>
        <v>2122</v>
      </c>
      <c r="K65" s="94">
        <f>'Historical Financials'!M54</f>
        <v>1921</v>
      </c>
      <c r="L65" s="94">
        <f>'Historical Financials'!N54</f>
        <v>2809</v>
      </c>
      <c r="M65" s="94">
        <f>'Historical Financials'!O54</f>
        <v>3092</v>
      </c>
      <c r="N65" s="94">
        <f>'Historical Financials'!P54</f>
        <v>3037</v>
      </c>
      <c r="O65" s="94">
        <f>'Historical Financials'!Q54</f>
        <v>2545</v>
      </c>
      <c r="P65" s="94">
        <f>'Historical Financials'!R54</f>
        <v>1757</v>
      </c>
      <c r="Q65" s="94">
        <f>'Historical Financials'!S54</f>
        <v>1470</v>
      </c>
      <c r="R65" s="94">
        <f>'Historical Financials'!T54</f>
        <v>1203</v>
      </c>
      <c r="S65" s="10"/>
      <c r="T65" s="10">
        <f t="shared" si="106"/>
        <v>1921</v>
      </c>
      <c r="U65" s="10">
        <f t="shared" si="106"/>
        <v>2809</v>
      </c>
      <c r="V65" s="10">
        <f t="shared" si="106"/>
        <v>3092</v>
      </c>
      <c r="W65" s="10">
        <f t="shared" si="106"/>
        <v>3037</v>
      </c>
      <c r="X65" s="10">
        <f t="shared" si="106"/>
        <v>2545</v>
      </c>
      <c r="Y65" s="10">
        <f t="shared" si="106"/>
        <v>1757</v>
      </c>
      <c r="Z65" s="10">
        <f t="shared" si="106"/>
        <v>1470</v>
      </c>
      <c r="AA65" s="10">
        <f t="shared" si="107"/>
        <v>1203</v>
      </c>
    </row>
    <row r="66" spans="2:27" ht="12.75" customHeight="1">
      <c r="B66" s="8" t="s">
        <v>108</v>
      </c>
      <c r="C66" s="94">
        <f>'Historical Financials'!D58</f>
        <v>27664</v>
      </c>
      <c r="D66" s="94">
        <f>'Historical Financials'!E58</f>
        <v>25065</v>
      </c>
      <c r="E66" s="94">
        <f>'Historical Financials'!F58</f>
        <v>26104</v>
      </c>
      <c r="F66" s="94">
        <f>'Historical Financials'!G58</f>
        <v>26889</v>
      </c>
      <c r="H66" s="94">
        <f>'Historical Financials'!J58</f>
        <v>26307</v>
      </c>
      <c r="I66" s="94">
        <f>'Historical Financials'!K58</f>
        <v>26574</v>
      </c>
      <c r="J66" s="94">
        <f>'Historical Financials'!L58</f>
        <v>26576</v>
      </c>
      <c r="K66" s="94">
        <f>'Historical Financials'!M58</f>
        <v>26104</v>
      </c>
      <c r="L66" s="94">
        <f>'Historical Financials'!N58</f>
        <v>26739</v>
      </c>
      <c r="M66" s="94">
        <f>'Historical Financials'!O58</f>
        <v>26375</v>
      </c>
      <c r="N66" s="94">
        <f>'Historical Financials'!P58</f>
        <v>26243</v>
      </c>
      <c r="O66" s="94">
        <f>'Historical Financials'!Q58</f>
        <v>26889</v>
      </c>
      <c r="P66" s="94">
        <f>'Historical Financials'!R58</f>
        <v>25889</v>
      </c>
      <c r="Q66" s="94">
        <f>'Historical Financials'!S58</f>
        <v>26408</v>
      </c>
      <c r="R66" s="94">
        <f>'Historical Financials'!T58</f>
        <v>27660</v>
      </c>
      <c r="S66" s="10"/>
      <c r="T66" s="10">
        <f t="shared" si="106"/>
        <v>26104</v>
      </c>
      <c r="U66" s="10">
        <f t="shared" si="106"/>
        <v>26739</v>
      </c>
      <c r="V66" s="10">
        <f t="shared" si="106"/>
        <v>26375</v>
      </c>
      <c r="W66" s="10">
        <f t="shared" si="106"/>
        <v>26243</v>
      </c>
      <c r="X66" s="10">
        <f t="shared" si="106"/>
        <v>26889</v>
      </c>
      <c r="Y66" s="10">
        <f t="shared" si="106"/>
        <v>25889</v>
      </c>
      <c r="Z66" s="10">
        <f t="shared" si="106"/>
        <v>26408</v>
      </c>
      <c r="AA66" s="10">
        <f t="shared" si="107"/>
        <v>27660</v>
      </c>
    </row>
    <row r="67" spans="2:27" ht="12.75" customHeight="1">
      <c r="B67" s="8" t="s">
        <v>44</v>
      </c>
      <c r="C67" s="94">
        <f>'Historical Financials'!D63</f>
        <v>266</v>
      </c>
      <c r="D67" s="94">
        <f>'Historical Financials'!E63</f>
        <v>340</v>
      </c>
      <c r="E67" s="94">
        <f>'Historical Financials'!F63</f>
        <v>375</v>
      </c>
      <c r="F67" s="94">
        <f>'Historical Financials'!G63</f>
        <v>479</v>
      </c>
      <c r="G67" s="94"/>
      <c r="H67" s="94">
        <f>'Historical Financials'!J63</f>
        <v>258</v>
      </c>
      <c r="I67" s="94">
        <f>'Historical Financials'!K63</f>
        <v>280</v>
      </c>
      <c r="J67" s="94">
        <f>'Historical Financials'!L63</f>
        <v>281</v>
      </c>
      <c r="K67" s="94">
        <f>'Historical Financials'!M63</f>
        <v>375</v>
      </c>
      <c r="L67" s="94">
        <f>'Historical Financials'!N63</f>
        <v>348</v>
      </c>
      <c r="M67" s="94">
        <f>'Historical Financials'!O63</f>
        <v>338</v>
      </c>
      <c r="N67" s="94">
        <f>'Historical Financials'!P63</f>
        <v>331</v>
      </c>
      <c r="O67" s="94">
        <f>'Historical Financials'!Q63</f>
        <v>479</v>
      </c>
      <c r="P67" s="94">
        <f>'Historical Financials'!R63</f>
        <v>405</v>
      </c>
      <c r="Q67" s="94">
        <f>'Historical Financials'!S63</f>
        <v>421</v>
      </c>
      <c r="R67" s="94">
        <f>'Historical Financials'!T63</f>
        <v>462</v>
      </c>
      <c r="T67" s="10">
        <f t="shared" si="106"/>
        <v>375</v>
      </c>
      <c r="U67" s="10">
        <f t="shared" si="106"/>
        <v>348</v>
      </c>
      <c r="V67" s="10">
        <f t="shared" si="106"/>
        <v>338</v>
      </c>
      <c r="W67" s="10">
        <f t="shared" si="106"/>
        <v>331</v>
      </c>
      <c r="X67" s="10">
        <f t="shared" si="106"/>
        <v>479</v>
      </c>
      <c r="Y67" s="10">
        <f t="shared" si="106"/>
        <v>405</v>
      </c>
      <c r="Z67" s="10">
        <f t="shared" si="106"/>
        <v>421</v>
      </c>
      <c r="AA67" s="10">
        <f t="shared" si="107"/>
        <v>462</v>
      </c>
    </row>
    <row r="68" spans="2:27" ht="12.75" customHeight="1">
      <c r="B68" s="8" t="s">
        <v>45</v>
      </c>
      <c r="C68" s="94">
        <f>'Historical Financials'!D71</f>
        <v>15739</v>
      </c>
      <c r="D68" s="94">
        <f>'Historical Financials'!E71</f>
        <v>20853</v>
      </c>
      <c r="E68" s="94">
        <f>'Historical Financials'!F71</f>
        <v>23098</v>
      </c>
      <c r="F68" s="94">
        <f>'Historical Financials'!G71</f>
        <v>26517</v>
      </c>
      <c r="G68" s="94"/>
      <c r="H68" s="94">
        <f>'Historical Financials'!J71</f>
        <v>19353</v>
      </c>
      <c r="I68" s="94">
        <f>'Historical Financials'!K71</f>
        <v>19097</v>
      </c>
      <c r="J68" s="94">
        <f>'Historical Financials'!L71</f>
        <v>21230</v>
      </c>
      <c r="K68" s="94">
        <f>'Historical Financials'!M71</f>
        <v>23098</v>
      </c>
      <c r="L68" s="94">
        <f>'Historical Financials'!N71</f>
        <v>22634</v>
      </c>
      <c r="M68" s="94">
        <f>'Historical Financials'!O71</f>
        <v>23443</v>
      </c>
      <c r="N68" s="94">
        <f>'Historical Financials'!P71</f>
        <v>22612</v>
      </c>
      <c r="O68" s="94">
        <f>'Historical Financials'!Q71</f>
        <v>26517</v>
      </c>
      <c r="P68" s="94">
        <f>'Historical Financials'!R71</f>
        <v>29091</v>
      </c>
      <c r="Q68" s="94">
        <f>'Historical Financials'!S71</f>
        <v>30381</v>
      </c>
      <c r="R68" s="94">
        <f>'Historical Financials'!T71</f>
        <v>34427</v>
      </c>
      <c r="T68" s="10">
        <f t="shared" si="106"/>
        <v>23098</v>
      </c>
      <c r="U68" s="10">
        <f t="shared" si="106"/>
        <v>22634</v>
      </c>
      <c r="V68" s="10">
        <f t="shared" si="106"/>
        <v>23443</v>
      </c>
      <c r="W68" s="10">
        <f t="shared" si="106"/>
        <v>22612</v>
      </c>
      <c r="X68" s="10">
        <f t="shared" si="106"/>
        <v>26517</v>
      </c>
      <c r="Y68" s="10">
        <f t="shared" si="106"/>
        <v>29091</v>
      </c>
      <c r="Z68" s="10">
        <f t="shared" si="106"/>
        <v>30381</v>
      </c>
      <c r="AA68" s="10">
        <f t="shared" si="107"/>
        <v>34427</v>
      </c>
    </row>
    <row r="69" spans="2:27" ht="12.75" customHeight="1">
      <c r="B69" s="8" t="s">
        <v>15</v>
      </c>
      <c r="C69" s="94">
        <f>'Historical Financials'!D77</f>
        <v>45307</v>
      </c>
      <c r="D69" s="94">
        <f>'Historical Financials'!E77</f>
        <v>49920</v>
      </c>
      <c r="E69" s="94">
        <f>'Historical Financials'!F77</f>
        <v>51766</v>
      </c>
      <c r="F69" s="94">
        <f>'Historical Financials'!G77</f>
        <v>55374</v>
      </c>
      <c r="G69" s="94"/>
      <c r="H69" s="94">
        <f>'Historical Financials'!J77</f>
        <v>48463</v>
      </c>
      <c r="I69" s="94">
        <f>'Historical Financials'!K77</f>
        <v>48190</v>
      </c>
      <c r="J69" s="94">
        <f>'Historical Financials'!L77</f>
        <v>50253</v>
      </c>
      <c r="K69" s="94">
        <f>'Historical Financials'!M77</f>
        <v>51766</v>
      </c>
      <c r="L69" s="94">
        <f>'Historical Financials'!N77</f>
        <v>51676</v>
      </c>
      <c r="M69" s="94">
        <f>'Historical Financials'!O77</f>
        <v>51914</v>
      </c>
      <c r="N69" s="94">
        <f>'Historical Financials'!P77</f>
        <v>51311</v>
      </c>
      <c r="O69" s="94">
        <f>'Historical Financials'!Q77</f>
        <v>55374</v>
      </c>
      <c r="P69" s="94">
        <f>'Historical Financials'!R77</f>
        <v>53592</v>
      </c>
      <c r="Q69" s="94">
        <f>'Historical Financials'!S77</f>
        <v>54823</v>
      </c>
      <c r="R69" s="94">
        <f>'Historical Financials'!T77</f>
        <v>61360</v>
      </c>
      <c r="T69" s="10">
        <f t="shared" si="106"/>
        <v>51766</v>
      </c>
      <c r="U69" s="10">
        <f t="shared" si="106"/>
        <v>51676</v>
      </c>
      <c r="V69" s="10">
        <f t="shared" si="106"/>
        <v>51914</v>
      </c>
      <c r="W69" s="10">
        <f t="shared" si="106"/>
        <v>51311</v>
      </c>
      <c r="X69" s="10">
        <f t="shared" si="106"/>
        <v>55374</v>
      </c>
      <c r="Y69" s="10">
        <f t="shared" si="106"/>
        <v>53592</v>
      </c>
      <c r="Z69" s="10">
        <f t="shared" si="106"/>
        <v>54823</v>
      </c>
      <c r="AA69" s="10">
        <f t="shared" si="107"/>
        <v>61360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>
        <f>'Historical Financials'!D74</f>
        <v>19978</v>
      </c>
      <c r="D73" s="94">
        <f>'Historical Financials'!E74</f>
        <v>20200</v>
      </c>
      <c r="E73" s="94">
        <f>'Historical Financials'!F74</f>
        <v>20463</v>
      </c>
      <c r="F73" s="94">
        <f>'Historical Financials'!G74</f>
        <v>20836</v>
      </c>
      <c r="H73" s="94">
        <f>'Historical Financials'!J74</f>
        <v>20487</v>
      </c>
      <c r="I73" s="94">
        <f>'Historical Financials'!K74</f>
        <v>20606</v>
      </c>
      <c r="J73" s="94">
        <f>'Historical Financials'!L74</f>
        <v>20560</v>
      </c>
      <c r="K73" s="94">
        <f>'Historical Financials'!M74</f>
        <v>20463</v>
      </c>
      <c r="L73" s="94">
        <f>'Historical Financials'!N74</f>
        <v>20703</v>
      </c>
      <c r="M73" s="94">
        <f>'Historical Financials'!O74</f>
        <v>20603</v>
      </c>
      <c r="N73" s="94">
        <f>'Historical Financials'!P74</f>
        <v>20602</v>
      </c>
      <c r="O73" s="94">
        <f>'Historical Financials'!Q74</f>
        <v>20836</v>
      </c>
      <c r="P73" s="94">
        <f>'Historical Financials'!R74</f>
        <v>16680</v>
      </c>
      <c r="Q73" s="94">
        <f>'Historical Financials'!S74</f>
        <v>16814</v>
      </c>
      <c r="R73" s="94">
        <f>'Historical Financials'!T74</f>
        <v>19590</v>
      </c>
      <c r="T73" s="10">
        <f t="shared" si="108"/>
        <v>20463</v>
      </c>
      <c r="U73" s="10">
        <f t="shared" si="108"/>
        <v>20703</v>
      </c>
      <c r="V73" s="10">
        <f t="shared" si="108"/>
        <v>20603</v>
      </c>
      <c r="W73" s="10">
        <f t="shared" si="108"/>
        <v>20602</v>
      </c>
      <c r="X73" s="10">
        <f t="shared" si="108"/>
        <v>20836</v>
      </c>
      <c r="Y73" s="10">
        <f t="shared" si="108"/>
        <v>16680</v>
      </c>
      <c r="Z73" s="10">
        <f t="shared" si="108"/>
        <v>16814</v>
      </c>
      <c r="AA73" s="10">
        <f>R73</f>
        <v>19590</v>
      </c>
    </row>
    <row r="74" spans="2:27">
      <c r="F74" s="10"/>
    </row>
    <row r="75" spans="2:27">
      <c r="B75" s="8" t="s">
        <v>136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134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129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130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131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Financials'!D83</f>
        <v>37589</v>
      </c>
      <c r="D87" s="94">
        <f>'Historical Financials'!E83</f>
        <v>35581</v>
      </c>
      <c r="E87" s="94">
        <f>'Historical Financials'!F83</f>
        <v>38733</v>
      </c>
      <c r="F87" s="94">
        <f>'Historical Financials'!G83</f>
        <v>39137</v>
      </c>
      <c r="H87" s="94">
        <f>'Historical Financials'!J83</f>
        <v>36924</v>
      </c>
      <c r="I87" s="94">
        <f>'Historical Financials'!K83</f>
        <v>38565</v>
      </c>
      <c r="J87" s="94">
        <f>'Historical Financials'!L83</f>
        <v>38981</v>
      </c>
      <c r="K87" s="94">
        <f>'Historical Financials'!M83</f>
        <v>38733</v>
      </c>
      <c r="L87" s="94">
        <f>'Historical Financials'!N83</f>
        <v>39733</v>
      </c>
      <c r="M87" s="94">
        <f>'Historical Financials'!O83</f>
        <v>40485</v>
      </c>
      <c r="N87" s="94">
        <f>'Historical Financials'!P83</f>
        <v>39729</v>
      </c>
      <c r="O87" s="94">
        <f>'Historical Financials'!Q83</f>
        <v>39137</v>
      </c>
      <c r="P87" s="94">
        <f>'Historical Financials'!R83</f>
        <v>38296</v>
      </c>
      <c r="Q87" s="94">
        <f>'Historical Financials'!S83</f>
        <v>38030</v>
      </c>
      <c r="R87" s="94">
        <f>'Historical Financials'!T83</f>
        <v>38664</v>
      </c>
      <c r="T87" s="10">
        <f t="shared" ref="T87:AA87" si="130">K87</f>
        <v>38733</v>
      </c>
      <c r="U87" s="10">
        <f t="shared" si="130"/>
        <v>39733</v>
      </c>
      <c r="V87" s="10">
        <f t="shared" si="130"/>
        <v>40485</v>
      </c>
      <c r="W87" s="142">
        <f t="shared" si="130"/>
        <v>39729</v>
      </c>
      <c r="X87" s="142">
        <f t="shared" si="130"/>
        <v>39137</v>
      </c>
      <c r="Y87" s="142">
        <f t="shared" si="130"/>
        <v>38296</v>
      </c>
      <c r="Z87" s="142">
        <f t="shared" si="130"/>
        <v>38030</v>
      </c>
      <c r="AA87" s="142">
        <f t="shared" si="130"/>
        <v>38664</v>
      </c>
    </row>
    <row r="88" spans="1:27" ht="12.75" customHeight="1">
      <c r="B88" s="13" t="s">
        <v>47</v>
      </c>
      <c r="C88" s="14">
        <f>SUM(C85:C87)</f>
        <v>37916</v>
      </c>
      <c r="D88" s="14">
        <f>SUM(D85:D87)</f>
        <v>38082</v>
      </c>
      <c r="E88" s="14">
        <f>SUM(E85:E87)</f>
        <v>41233</v>
      </c>
      <c r="F88" s="14">
        <f>SUM(F85:F87)</f>
        <v>40887</v>
      </c>
      <c r="H88" s="14">
        <f t="shared" ref="H88:M88" si="131">SUM(H85:H87)</f>
        <v>39424</v>
      </c>
      <c r="I88" s="14">
        <f t="shared" si="131"/>
        <v>41065</v>
      </c>
      <c r="J88" s="14">
        <f t="shared" si="131"/>
        <v>41481</v>
      </c>
      <c r="K88" s="14">
        <f t="shared" si="131"/>
        <v>41233</v>
      </c>
      <c r="L88" s="14">
        <f t="shared" si="131"/>
        <v>42233</v>
      </c>
      <c r="M88" s="14">
        <f t="shared" si="131"/>
        <v>42235</v>
      </c>
      <c r="N88" s="14">
        <f>SUM(N85:N87)</f>
        <v>41479</v>
      </c>
      <c r="O88" s="14">
        <f>SUM(O85:O87)</f>
        <v>40887</v>
      </c>
      <c r="P88" s="14">
        <f>SUM(P85:P87)</f>
        <v>42496</v>
      </c>
      <c r="Q88" s="14">
        <f>SUM(Q85:Q87)</f>
        <v>41280</v>
      </c>
      <c r="R88" s="14">
        <f>SUM(R85:R87)</f>
        <v>41914</v>
      </c>
      <c r="T88" s="14">
        <f t="shared" ref="T88:Y88" si="132">SUM(T85:T87)</f>
        <v>41233</v>
      </c>
      <c r="U88" s="14">
        <f t="shared" si="132"/>
        <v>42233</v>
      </c>
      <c r="V88" s="14">
        <f t="shared" si="132"/>
        <v>42235</v>
      </c>
      <c r="W88" s="14">
        <f t="shared" si="132"/>
        <v>41479</v>
      </c>
      <c r="X88" s="14">
        <f t="shared" si="132"/>
        <v>40887</v>
      </c>
      <c r="Y88" s="14">
        <f t="shared" si="132"/>
        <v>42496</v>
      </c>
      <c r="Z88" s="14">
        <f>SUM(Z85:Z87)</f>
        <v>41280</v>
      </c>
      <c r="AA88" s="14">
        <f>SUM(AA85:AA87)</f>
        <v>41914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115.95107033639144</v>
      </c>
      <c r="D97" s="83">
        <f>D88/D85</f>
        <v>15.226709316273491</v>
      </c>
      <c r="E97" s="83">
        <f>E88/E85</f>
        <v>16.493200000000002</v>
      </c>
      <c r="F97" s="83">
        <f>F88/F85</f>
        <v>23.364000000000001</v>
      </c>
      <c r="H97" s="83">
        <f t="shared" ref="H97:Q97" si="138">H88/H85</f>
        <v>15.769600000000001</v>
      </c>
      <c r="I97" s="83">
        <f t="shared" si="138"/>
        <v>16.425999999999998</v>
      </c>
      <c r="J97" s="83">
        <f t="shared" si="138"/>
        <v>16.592400000000001</v>
      </c>
      <c r="K97" s="83">
        <f t="shared" si="138"/>
        <v>16.493200000000002</v>
      </c>
      <c r="L97" s="83">
        <f t="shared" si="138"/>
        <v>16.8932</v>
      </c>
      <c r="M97" s="83">
        <f t="shared" si="138"/>
        <v>24.134285714285713</v>
      </c>
      <c r="N97" s="83">
        <f t="shared" si="138"/>
        <v>23.702285714285715</v>
      </c>
      <c r="O97" s="83">
        <f t="shared" si="138"/>
        <v>23.364000000000001</v>
      </c>
      <c r="P97" s="83">
        <f t="shared" si="138"/>
        <v>10.118095238095238</v>
      </c>
      <c r="Q97" s="83">
        <f t="shared" si="138"/>
        <v>12.701538461538462</v>
      </c>
      <c r="R97" s="83">
        <f>R88/R85</f>
        <v>12.896615384615385</v>
      </c>
      <c r="S97" s="83"/>
      <c r="T97" s="83">
        <f t="shared" ref="T97:Y97" si="139">T88/T85</f>
        <v>16.493200000000002</v>
      </c>
      <c r="U97" s="83">
        <f t="shared" si="139"/>
        <v>16.8932</v>
      </c>
      <c r="V97" s="83">
        <f t="shared" si="139"/>
        <v>24.134285714285713</v>
      </c>
      <c r="W97" s="83">
        <f t="shared" si="139"/>
        <v>23.702285714285715</v>
      </c>
      <c r="X97" s="83">
        <f t="shared" si="139"/>
        <v>23.364000000000001</v>
      </c>
      <c r="Y97" s="83">
        <f t="shared" si="139"/>
        <v>10.118095238095238</v>
      </c>
      <c r="Z97" s="83">
        <f>Z88/Z85</f>
        <v>12.701538461538462</v>
      </c>
      <c r="AA97" s="83">
        <f>AA88/AA85</f>
        <v>12.896615384615385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2025-12-25T21:20:58Z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