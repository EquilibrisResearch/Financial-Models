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81798F71-D0D9-432B-8B6B-27BAC3A6A9D4}" xr6:coauthVersionLast="47" xr6:coauthVersionMax="47" xr10:uidLastSave="{00000000-0000-0000-0000-000000000000}"/>
  <bookViews>
    <workbookView xWindow="-120" yWindow="-120" windowWidth="29040" windowHeight="15840" activeTab="2" xr2:uid="{BC9106CE-9107-4097-8948-317996376CB5}"/>
  </bookViews>
  <sheets>
    <sheet name="Historical Financials" sheetId="8" r:id="rId1"/>
    <sheet name="Revenue Drivers" sheetId="10" r:id="rId2"/>
    <sheet name="FCF" sheetId="9" r:id="rId3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9" l="1"/>
  <c r="D47" i="9"/>
  <c r="G47" i="9"/>
  <c r="F47" i="9"/>
  <c r="H47" i="9"/>
  <c r="O47" i="9"/>
  <c r="N47" i="9"/>
  <c r="M47" i="9"/>
  <c r="L47" i="9"/>
  <c r="K47" i="9"/>
  <c r="U47" i="9"/>
  <c r="T47" i="9"/>
  <c r="S47" i="9"/>
  <c r="R47" i="9"/>
  <c r="Q47" i="9"/>
  <c r="P47" i="9"/>
  <c r="V47" i="9"/>
  <c r="AI39" i="9"/>
  <c r="AI38" i="9"/>
  <c r="AI37" i="9"/>
  <c r="AI36" i="9"/>
  <c r="AI35" i="9"/>
  <c r="AI34" i="9"/>
  <c r="AI31" i="9"/>
  <c r="AI30" i="9"/>
  <c r="AI29" i="9"/>
  <c r="AI26" i="9"/>
  <c r="AI25" i="9"/>
  <c r="AI22" i="9"/>
  <c r="AI21" i="9"/>
  <c r="AI20" i="9"/>
  <c r="AI19" i="9"/>
  <c r="AI18" i="9"/>
  <c r="AI17" i="9"/>
  <c r="AI16" i="9"/>
  <c r="AI15" i="9"/>
  <c r="AI32" i="9"/>
  <c r="AI27" i="9"/>
  <c r="AI23" i="9"/>
  <c r="AI12" i="9"/>
  <c r="AI11" i="9"/>
  <c r="AI10" i="9"/>
  <c r="AI9" i="9"/>
  <c r="AI8" i="9"/>
  <c r="AI7" i="9"/>
  <c r="AI6" i="9"/>
  <c r="AG75" i="9"/>
  <c r="AG72" i="9"/>
  <c r="AG73" i="9" s="1"/>
  <c r="AG70" i="9"/>
  <c r="AG69" i="9"/>
  <c r="AG66" i="9"/>
  <c r="AG65" i="9"/>
  <c r="AG64" i="9"/>
  <c r="AG63" i="9"/>
  <c r="AG62" i="9"/>
  <c r="AG61" i="9"/>
  <c r="AG55" i="9"/>
  <c r="AG54" i="9"/>
  <c r="AG53" i="9"/>
  <c r="AG52" i="9"/>
  <c r="AG56" i="9" s="1"/>
  <c r="AG47" i="9"/>
  <c r="AG46" i="9"/>
  <c r="AG45" i="9"/>
  <c r="AG44" i="9"/>
  <c r="AG43" i="9"/>
  <c r="AG42" i="9"/>
  <c r="AG41" i="9"/>
  <c r="AG38" i="9"/>
  <c r="AG37" i="9"/>
  <c r="AG36" i="9"/>
  <c r="AG35" i="9"/>
  <c r="AG34" i="9"/>
  <c r="AG30" i="9"/>
  <c r="AG29" i="9"/>
  <c r="AG25" i="9"/>
  <c r="AG21" i="9"/>
  <c r="AG20" i="9"/>
  <c r="AG19" i="9"/>
  <c r="AG18" i="9"/>
  <c r="AG17" i="9"/>
  <c r="AG16" i="9"/>
  <c r="AG15" i="9"/>
  <c r="AG10" i="9"/>
  <c r="AG9" i="9"/>
  <c r="AG8" i="9"/>
  <c r="AG7" i="9"/>
  <c r="AG6" i="9"/>
  <c r="AG11" i="9" s="1"/>
  <c r="AG4" i="9"/>
  <c r="AG3" i="9"/>
  <c r="V75" i="9"/>
  <c r="V70" i="9"/>
  <c r="V72" i="9" s="1"/>
  <c r="V73" i="9" s="1"/>
  <c r="V69" i="9"/>
  <c r="V66" i="9"/>
  <c r="V65" i="9"/>
  <c r="V64" i="9"/>
  <c r="V63" i="9"/>
  <c r="V62" i="9"/>
  <c r="V61" i="9"/>
  <c r="V54" i="9"/>
  <c r="V53" i="9"/>
  <c r="V52" i="9"/>
  <c r="V46" i="9"/>
  <c r="V45" i="9"/>
  <c r="V44" i="9"/>
  <c r="V43" i="9"/>
  <c r="V42" i="9"/>
  <c r="V41" i="9"/>
  <c r="V38" i="9"/>
  <c r="V37" i="9"/>
  <c r="V36" i="9"/>
  <c r="V35" i="9"/>
  <c r="V34" i="9"/>
  <c r="V29" i="9"/>
  <c r="V21" i="9"/>
  <c r="V30" i="9" s="1"/>
  <c r="V20" i="9"/>
  <c r="V19" i="9"/>
  <c r="V25" i="9" s="1"/>
  <c r="V18" i="9"/>
  <c r="V17" i="9"/>
  <c r="V16" i="9"/>
  <c r="V15" i="9"/>
  <c r="V10" i="9"/>
  <c r="V9" i="9"/>
  <c r="V8" i="9"/>
  <c r="V7" i="9"/>
  <c r="V6" i="9"/>
  <c r="V4" i="9"/>
  <c r="V3" i="9"/>
  <c r="AI134" i="8"/>
  <c r="AI133" i="8"/>
  <c r="AI132" i="8"/>
  <c r="AI131" i="8"/>
  <c r="AI130" i="8"/>
  <c r="AI129" i="8"/>
  <c r="AI128" i="8"/>
  <c r="AI127" i="8"/>
  <c r="AI124" i="8"/>
  <c r="AI123" i="8"/>
  <c r="AI122" i="8"/>
  <c r="AI121" i="8"/>
  <c r="AI120" i="8"/>
  <c r="AI119" i="8"/>
  <c r="AI118" i="8"/>
  <c r="AI115" i="8"/>
  <c r="AI114" i="8"/>
  <c r="AI113" i="8"/>
  <c r="AI112" i="8"/>
  <c r="AI111" i="8"/>
  <c r="AI110" i="8"/>
  <c r="AI109" i="8"/>
  <c r="AI108" i="8"/>
  <c r="AI107" i="8"/>
  <c r="AI96" i="8"/>
  <c r="AI105" i="8"/>
  <c r="AI104" i="8"/>
  <c r="AI103" i="8"/>
  <c r="AI102" i="8"/>
  <c r="AI101" i="8"/>
  <c r="AI100" i="8"/>
  <c r="AI99" i="8"/>
  <c r="AI86" i="8"/>
  <c r="AI85" i="8"/>
  <c r="AI84" i="8"/>
  <c r="AI83" i="8"/>
  <c r="AI82" i="8"/>
  <c r="AI81" i="8"/>
  <c r="AI80" i="8"/>
  <c r="AI79" i="8"/>
  <c r="AI77" i="8"/>
  <c r="AI76" i="8"/>
  <c r="AI75" i="8"/>
  <c r="AI74" i="8"/>
  <c r="AI71" i="8"/>
  <c r="AI70" i="8"/>
  <c r="AI69" i="8"/>
  <c r="AI68" i="8"/>
  <c r="AI67" i="8"/>
  <c r="AI66" i="8"/>
  <c r="AI65" i="8"/>
  <c r="AI64" i="8"/>
  <c r="AI63" i="8"/>
  <c r="AI60" i="8"/>
  <c r="AI59" i="8"/>
  <c r="AI58" i="8"/>
  <c r="AI57" i="8"/>
  <c r="AI56" i="8"/>
  <c r="AI55" i="8"/>
  <c r="AI54" i="8"/>
  <c r="AI51" i="8"/>
  <c r="AI50" i="8"/>
  <c r="AI49" i="8"/>
  <c r="AI48" i="8"/>
  <c r="AI47" i="8"/>
  <c r="AI46" i="8"/>
  <c r="AI45" i="8"/>
  <c r="AI44" i="8"/>
  <c r="AI43" i="8"/>
  <c r="AI36" i="8"/>
  <c r="AI35" i="8"/>
  <c r="AI33" i="8"/>
  <c r="AI32" i="8"/>
  <c r="AI29" i="8"/>
  <c r="AI28" i="8"/>
  <c r="AI25" i="8"/>
  <c r="AI24" i="8"/>
  <c r="AI23" i="8"/>
  <c r="AI30" i="8"/>
  <c r="AI26" i="8"/>
  <c r="AI21" i="8"/>
  <c r="AI20" i="8"/>
  <c r="AI19" i="8"/>
  <c r="AI18" i="8"/>
  <c r="AI17" i="8"/>
  <c r="AI16" i="8"/>
  <c r="AI15" i="8"/>
  <c r="AI14" i="8"/>
  <c r="AI13" i="8"/>
  <c r="AI11" i="8"/>
  <c r="AI10" i="8"/>
  <c r="AG149" i="8"/>
  <c r="AG148" i="8"/>
  <c r="AG142" i="8"/>
  <c r="AG141" i="8"/>
  <c r="AG140" i="8"/>
  <c r="AG138" i="8"/>
  <c r="AG143" i="8" s="1"/>
  <c r="AG145" i="8" s="1"/>
  <c r="AG137" i="8"/>
  <c r="AG136" i="8"/>
  <c r="AG133" i="8"/>
  <c r="AG132" i="8"/>
  <c r="AG131" i="8"/>
  <c r="AG130" i="8"/>
  <c r="AG129" i="8"/>
  <c r="AG128" i="8"/>
  <c r="AG127" i="8"/>
  <c r="AG134" i="8" s="1"/>
  <c r="AG123" i="8"/>
  <c r="AG122" i="8"/>
  <c r="AG121" i="8"/>
  <c r="AG120" i="8"/>
  <c r="AG119" i="8"/>
  <c r="AG118" i="8"/>
  <c r="AG124" i="8" s="1"/>
  <c r="AG114" i="8"/>
  <c r="AG113" i="8"/>
  <c r="AG112" i="8"/>
  <c r="AG111" i="8"/>
  <c r="AG110" i="8"/>
  <c r="AG109" i="8"/>
  <c r="AG108" i="8"/>
  <c r="AG107" i="8"/>
  <c r="AG105" i="8"/>
  <c r="AG104" i="8"/>
  <c r="AG103" i="8"/>
  <c r="AG102" i="8"/>
  <c r="AG101" i="8"/>
  <c r="AG100" i="8"/>
  <c r="AG99" i="8"/>
  <c r="AG84" i="8"/>
  <c r="AG83" i="8"/>
  <c r="AG82" i="8"/>
  <c r="AG81" i="8"/>
  <c r="AG80" i="8"/>
  <c r="AG79" i="8"/>
  <c r="AG85" i="8" s="1"/>
  <c r="AG76" i="8"/>
  <c r="AG75" i="8"/>
  <c r="AG74" i="8"/>
  <c r="AG70" i="8"/>
  <c r="AG69" i="8"/>
  <c r="AG68" i="8"/>
  <c r="AG67" i="8"/>
  <c r="AG66" i="8"/>
  <c r="AG65" i="8"/>
  <c r="AG64" i="8"/>
  <c r="AG63" i="8"/>
  <c r="AG71" i="8" s="1"/>
  <c r="AG77" i="8" s="1"/>
  <c r="AG59" i="8"/>
  <c r="AG58" i="8"/>
  <c r="AG57" i="8"/>
  <c r="AG56" i="8"/>
  <c r="AG55" i="8"/>
  <c r="AG54" i="8"/>
  <c r="AG50" i="8"/>
  <c r="AG49" i="8"/>
  <c r="AG48" i="8"/>
  <c r="AG47" i="8"/>
  <c r="AG46" i="8"/>
  <c r="AG45" i="8"/>
  <c r="AG44" i="8"/>
  <c r="AG43" i="8"/>
  <c r="AG51" i="8" s="1"/>
  <c r="AG60" i="8" s="1"/>
  <c r="AG35" i="8"/>
  <c r="AG32" i="8"/>
  <c r="AG28" i="8"/>
  <c r="AG24" i="8"/>
  <c r="AG23" i="8"/>
  <c r="AG19" i="8"/>
  <c r="AG18" i="8"/>
  <c r="AG17" i="8"/>
  <c r="AG16" i="8"/>
  <c r="AG15" i="8"/>
  <c r="AG14" i="8"/>
  <c r="AG13" i="8"/>
  <c r="AG10" i="8"/>
  <c r="AG11" i="8" s="1"/>
  <c r="AG20" i="8" s="1"/>
  <c r="AG8" i="8"/>
  <c r="AG93" i="8" s="1"/>
  <c r="AG7" i="8"/>
  <c r="AG92" i="8" s="1"/>
  <c r="V141" i="8"/>
  <c r="V28" i="10"/>
  <c r="V31" i="10" s="1"/>
  <c r="V14" i="10"/>
  <c r="V17" i="10" s="1"/>
  <c r="V4" i="10"/>
  <c r="V3" i="10"/>
  <c r="V84" i="8"/>
  <c r="V137" i="8"/>
  <c r="V134" i="8"/>
  <c r="V124" i="8"/>
  <c r="V93" i="8"/>
  <c r="V92" i="8"/>
  <c r="V85" i="8"/>
  <c r="V71" i="8"/>
  <c r="V77" i="8" s="1"/>
  <c r="V51" i="8"/>
  <c r="V60" i="8" s="1"/>
  <c r="V40" i="8"/>
  <c r="V39" i="8"/>
  <c r="V11" i="8"/>
  <c r="V20" i="8" s="1"/>
  <c r="AE55" i="9"/>
  <c r="AD55" i="9"/>
  <c r="AC55" i="9"/>
  <c r="AA55" i="9"/>
  <c r="Z55" i="9"/>
  <c r="Y55" i="9"/>
  <c r="R45" i="9"/>
  <c r="N45" i="9"/>
  <c r="J45" i="9"/>
  <c r="H45" i="9"/>
  <c r="G45" i="9"/>
  <c r="F45" i="9"/>
  <c r="E45" i="9"/>
  <c r="D45" i="9"/>
  <c r="C45" i="9"/>
  <c r="R46" i="9"/>
  <c r="N46" i="9"/>
  <c r="J46" i="9"/>
  <c r="H46" i="9"/>
  <c r="G46" i="9"/>
  <c r="F46" i="9"/>
  <c r="E46" i="9"/>
  <c r="D46" i="9"/>
  <c r="C46" i="9"/>
  <c r="R43" i="9"/>
  <c r="N43" i="9"/>
  <c r="J43" i="9"/>
  <c r="H43" i="9"/>
  <c r="G43" i="9"/>
  <c r="F43" i="9"/>
  <c r="E43" i="9"/>
  <c r="D43" i="9"/>
  <c r="C43" i="9"/>
  <c r="C44" i="9"/>
  <c r="D44" i="9"/>
  <c r="E44" i="9"/>
  <c r="F44" i="9"/>
  <c r="G44" i="9"/>
  <c r="H44" i="9"/>
  <c r="S44" i="9"/>
  <c r="R44" i="9"/>
  <c r="P44" i="9"/>
  <c r="O44" i="9"/>
  <c r="N44" i="9"/>
  <c r="J44" i="9"/>
  <c r="R37" i="9"/>
  <c r="N37" i="9"/>
  <c r="J37" i="9"/>
  <c r="H37" i="9"/>
  <c r="G37" i="9"/>
  <c r="F37" i="9"/>
  <c r="E37" i="9"/>
  <c r="D37" i="9"/>
  <c r="C37" i="9"/>
  <c r="R42" i="9"/>
  <c r="N42" i="9"/>
  <c r="L42" i="9"/>
  <c r="K42" i="9"/>
  <c r="J42" i="9"/>
  <c r="H42" i="9"/>
  <c r="G42" i="9"/>
  <c r="F42" i="9"/>
  <c r="E42" i="9"/>
  <c r="D42" i="9"/>
  <c r="C42" i="9"/>
  <c r="R41" i="9"/>
  <c r="N41" i="9"/>
  <c r="J41" i="9"/>
  <c r="H41" i="9"/>
  <c r="G41" i="9"/>
  <c r="F41" i="9"/>
  <c r="E41" i="9"/>
  <c r="D41" i="9"/>
  <c r="C41" i="9"/>
  <c r="T70" i="9"/>
  <c r="AE70" i="9" s="1"/>
  <c r="S70" i="9"/>
  <c r="AD70" i="9" s="1"/>
  <c r="R70" i="9"/>
  <c r="AC70" i="9" s="1"/>
  <c r="P70" i="9"/>
  <c r="AA70" i="9" s="1"/>
  <c r="O70" i="9"/>
  <c r="Z70" i="9" s="1"/>
  <c r="N70" i="9"/>
  <c r="Y70" i="9" s="1"/>
  <c r="L70" i="9"/>
  <c r="K70" i="9"/>
  <c r="J70" i="9"/>
  <c r="H70" i="9"/>
  <c r="G70" i="9"/>
  <c r="F70" i="9"/>
  <c r="E70" i="9"/>
  <c r="D70" i="9"/>
  <c r="C70" i="9"/>
  <c r="T69" i="9"/>
  <c r="AE69" i="9" s="1"/>
  <c r="S69" i="9"/>
  <c r="AD69" i="9" s="1"/>
  <c r="R69" i="9"/>
  <c r="AC69" i="9" s="1"/>
  <c r="P69" i="9"/>
  <c r="AA69" i="9" s="1"/>
  <c r="O69" i="9"/>
  <c r="Z69" i="9" s="1"/>
  <c r="N69" i="9"/>
  <c r="Y69" i="9" s="1"/>
  <c r="L69" i="9"/>
  <c r="K69" i="9"/>
  <c r="J69" i="9"/>
  <c r="H69" i="9"/>
  <c r="G69" i="9"/>
  <c r="F69" i="9"/>
  <c r="E69" i="9"/>
  <c r="D69" i="9"/>
  <c r="C69" i="9"/>
  <c r="T64" i="9"/>
  <c r="AE64" i="9" s="1"/>
  <c r="S64" i="9"/>
  <c r="AD64" i="9" s="1"/>
  <c r="R64" i="9"/>
  <c r="AC64" i="9" s="1"/>
  <c r="P64" i="9"/>
  <c r="AA64" i="9" s="1"/>
  <c r="O64" i="9"/>
  <c r="Z64" i="9" s="1"/>
  <c r="N64" i="9"/>
  <c r="Y64" i="9" s="1"/>
  <c r="L64" i="9"/>
  <c r="K64" i="9"/>
  <c r="J64" i="9"/>
  <c r="H64" i="9"/>
  <c r="G64" i="9"/>
  <c r="F64" i="9"/>
  <c r="E64" i="9"/>
  <c r="D64" i="9"/>
  <c r="C64" i="9"/>
  <c r="T63" i="9"/>
  <c r="AE63" i="9" s="1"/>
  <c r="S63" i="9"/>
  <c r="AD63" i="9" s="1"/>
  <c r="R63" i="9"/>
  <c r="AC63" i="9" s="1"/>
  <c r="P63" i="9"/>
  <c r="AA63" i="9" s="1"/>
  <c r="O63" i="9"/>
  <c r="Z63" i="9" s="1"/>
  <c r="N63" i="9"/>
  <c r="Y63" i="9" s="1"/>
  <c r="L63" i="9"/>
  <c r="K63" i="9"/>
  <c r="J63" i="9"/>
  <c r="H63" i="9"/>
  <c r="G63" i="9"/>
  <c r="F63" i="9"/>
  <c r="E63" i="9"/>
  <c r="D63" i="9"/>
  <c r="C63" i="9"/>
  <c r="T62" i="9"/>
  <c r="AE62" i="9" s="1"/>
  <c r="S62" i="9"/>
  <c r="AD62" i="9" s="1"/>
  <c r="R62" i="9"/>
  <c r="AC62" i="9" s="1"/>
  <c r="P62" i="9"/>
  <c r="AA62" i="9" s="1"/>
  <c r="O62" i="9"/>
  <c r="Z62" i="9" s="1"/>
  <c r="N62" i="9"/>
  <c r="Y62" i="9" s="1"/>
  <c r="L62" i="9"/>
  <c r="K62" i="9"/>
  <c r="T61" i="9"/>
  <c r="AE61" i="9" s="1"/>
  <c r="S61" i="9"/>
  <c r="AD61" i="9" s="1"/>
  <c r="R61" i="9"/>
  <c r="AC61" i="9" s="1"/>
  <c r="P61" i="9"/>
  <c r="AA61" i="9" s="1"/>
  <c r="O61" i="9"/>
  <c r="Z61" i="9" s="1"/>
  <c r="N61" i="9"/>
  <c r="Y61" i="9" s="1"/>
  <c r="L61" i="9"/>
  <c r="K61" i="9"/>
  <c r="J62" i="9"/>
  <c r="J61" i="9"/>
  <c r="H62" i="9"/>
  <c r="G62" i="9"/>
  <c r="F62" i="9"/>
  <c r="E62" i="9"/>
  <c r="D62" i="9"/>
  <c r="H61" i="9"/>
  <c r="G61" i="9"/>
  <c r="F61" i="9"/>
  <c r="E61" i="9"/>
  <c r="D61" i="9"/>
  <c r="C62" i="9"/>
  <c r="C61" i="9"/>
  <c r="T54" i="9"/>
  <c r="AE54" i="9" s="1"/>
  <c r="S54" i="9"/>
  <c r="AD54" i="9" s="1"/>
  <c r="R54" i="9"/>
  <c r="AC54" i="9" s="1"/>
  <c r="P54" i="9"/>
  <c r="AA54" i="9" s="1"/>
  <c r="O54" i="9"/>
  <c r="Z54" i="9" s="1"/>
  <c r="N54" i="9"/>
  <c r="Y54" i="9" s="1"/>
  <c r="L54" i="9"/>
  <c r="K54" i="9"/>
  <c r="T53" i="9"/>
  <c r="AE53" i="9" s="1"/>
  <c r="S53" i="9"/>
  <c r="AD53" i="9" s="1"/>
  <c r="R53" i="9"/>
  <c r="AC53" i="9" s="1"/>
  <c r="P53" i="9"/>
  <c r="AA53" i="9" s="1"/>
  <c r="O53" i="9"/>
  <c r="Z53" i="9" s="1"/>
  <c r="N53" i="9"/>
  <c r="Y53" i="9" s="1"/>
  <c r="L53" i="9"/>
  <c r="K53" i="9"/>
  <c r="T52" i="9"/>
  <c r="AE52" i="9" s="1"/>
  <c r="S52" i="9"/>
  <c r="AD52" i="9" s="1"/>
  <c r="R52" i="9"/>
  <c r="AC52" i="9" s="1"/>
  <c r="P52" i="9"/>
  <c r="AA52" i="9" s="1"/>
  <c r="O52" i="9"/>
  <c r="Z52" i="9" s="1"/>
  <c r="N52" i="9"/>
  <c r="Y52" i="9" s="1"/>
  <c r="L52" i="9"/>
  <c r="K52" i="9"/>
  <c r="J54" i="9"/>
  <c r="J53" i="9"/>
  <c r="J52" i="9"/>
  <c r="H54" i="9"/>
  <c r="G54" i="9"/>
  <c r="F54" i="9"/>
  <c r="E54" i="9"/>
  <c r="D54" i="9"/>
  <c r="C54" i="9"/>
  <c r="H53" i="9"/>
  <c r="G53" i="9"/>
  <c r="F53" i="9"/>
  <c r="E53" i="9"/>
  <c r="D53" i="9"/>
  <c r="C53" i="9"/>
  <c r="U55" i="9"/>
  <c r="AF55" i="9" s="1"/>
  <c r="H52" i="9"/>
  <c r="G52" i="9"/>
  <c r="F52" i="9"/>
  <c r="E52" i="9"/>
  <c r="D52" i="9"/>
  <c r="C52" i="9"/>
  <c r="R38" i="9"/>
  <c r="N38" i="9"/>
  <c r="J38" i="9"/>
  <c r="H38" i="9"/>
  <c r="G38" i="9"/>
  <c r="F38" i="9"/>
  <c r="E38" i="9"/>
  <c r="D38" i="9"/>
  <c r="C38" i="9"/>
  <c r="R36" i="9"/>
  <c r="N36" i="9"/>
  <c r="R35" i="9"/>
  <c r="N35" i="9"/>
  <c r="J36" i="9"/>
  <c r="J35" i="9"/>
  <c r="H36" i="9"/>
  <c r="G36" i="9"/>
  <c r="F36" i="9"/>
  <c r="E36" i="9"/>
  <c r="D36" i="9"/>
  <c r="H35" i="9"/>
  <c r="G35" i="9"/>
  <c r="F35" i="9"/>
  <c r="E35" i="9"/>
  <c r="D35" i="9"/>
  <c r="C36" i="9"/>
  <c r="C35" i="9"/>
  <c r="R34" i="9"/>
  <c r="N34" i="9"/>
  <c r="J34" i="9"/>
  <c r="H34" i="9"/>
  <c r="G34" i="9"/>
  <c r="F34" i="9"/>
  <c r="E34" i="9"/>
  <c r="D34" i="9"/>
  <c r="C34" i="9"/>
  <c r="R29" i="9"/>
  <c r="N29" i="9"/>
  <c r="J29" i="9"/>
  <c r="H29" i="9"/>
  <c r="G29" i="9"/>
  <c r="F29" i="9"/>
  <c r="E29" i="9"/>
  <c r="D29" i="9"/>
  <c r="C29" i="9"/>
  <c r="T21" i="9"/>
  <c r="T30" i="9" s="1"/>
  <c r="S21" i="9"/>
  <c r="S30" i="9" s="1"/>
  <c r="R21" i="9"/>
  <c r="R30" i="9" s="1"/>
  <c r="P21" i="9"/>
  <c r="P30" i="9" s="1"/>
  <c r="O21" i="9"/>
  <c r="O30" i="9" s="1"/>
  <c r="N21" i="9"/>
  <c r="N30" i="9" s="1"/>
  <c r="L21" i="9"/>
  <c r="L30" i="9" s="1"/>
  <c r="K21" i="9"/>
  <c r="K30" i="9" s="1"/>
  <c r="T20" i="9"/>
  <c r="S20" i="9"/>
  <c r="R20" i="9"/>
  <c r="P20" i="9"/>
  <c r="O20" i="9"/>
  <c r="N20" i="9"/>
  <c r="L20" i="9"/>
  <c r="K20" i="9"/>
  <c r="T19" i="9"/>
  <c r="T25" i="9" s="1"/>
  <c r="S19" i="9"/>
  <c r="S25" i="9" s="1"/>
  <c r="R19" i="9"/>
  <c r="R25" i="9" s="1"/>
  <c r="P19" i="9"/>
  <c r="O19" i="9"/>
  <c r="O25" i="9" s="1"/>
  <c r="N19" i="9"/>
  <c r="N25" i="9" s="1"/>
  <c r="L19" i="9"/>
  <c r="L25" i="9" s="1"/>
  <c r="K19" i="9"/>
  <c r="K25" i="9" s="1"/>
  <c r="T18" i="9"/>
  <c r="S18" i="9"/>
  <c r="R18" i="9"/>
  <c r="P18" i="9"/>
  <c r="O18" i="9"/>
  <c r="N18" i="9"/>
  <c r="L18" i="9"/>
  <c r="K18" i="9"/>
  <c r="T17" i="9"/>
  <c r="S17" i="9"/>
  <c r="R17" i="9"/>
  <c r="P17" i="9"/>
  <c r="O17" i="9"/>
  <c r="N17" i="9"/>
  <c r="L17" i="9"/>
  <c r="K17" i="9"/>
  <c r="T16" i="9"/>
  <c r="S16" i="9"/>
  <c r="R16" i="9"/>
  <c r="P16" i="9"/>
  <c r="O16" i="9"/>
  <c r="N16" i="9"/>
  <c r="L16" i="9"/>
  <c r="K16" i="9"/>
  <c r="T15" i="9"/>
  <c r="S15" i="9"/>
  <c r="R15" i="9"/>
  <c r="P15" i="9"/>
  <c r="O15" i="9"/>
  <c r="N15" i="9"/>
  <c r="L15" i="9"/>
  <c r="K15" i="9"/>
  <c r="J21" i="9"/>
  <c r="J30" i="9" s="1"/>
  <c r="J20" i="9"/>
  <c r="J19" i="9"/>
  <c r="J25" i="9" s="1"/>
  <c r="J18" i="9"/>
  <c r="J17" i="9"/>
  <c r="J16" i="9"/>
  <c r="J15" i="9"/>
  <c r="H21" i="9"/>
  <c r="H30" i="9" s="1"/>
  <c r="G21" i="9"/>
  <c r="G30" i="9" s="1"/>
  <c r="F21" i="9"/>
  <c r="F30" i="9" s="1"/>
  <c r="E21" i="9"/>
  <c r="E30" i="9" s="1"/>
  <c r="D21" i="9"/>
  <c r="D30" i="9" s="1"/>
  <c r="C21" i="9"/>
  <c r="C30" i="9" s="1"/>
  <c r="H20" i="9"/>
  <c r="G20" i="9"/>
  <c r="F20" i="9"/>
  <c r="E20" i="9"/>
  <c r="D20" i="9"/>
  <c r="C20" i="9"/>
  <c r="H19" i="9"/>
  <c r="H25" i="9" s="1"/>
  <c r="G19" i="9"/>
  <c r="G25" i="9" s="1"/>
  <c r="F19" i="9"/>
  <c r="F25" i="9" s="1"/>
  <c r="E19" i="9"/>
  <c r="E25" i="9" s="1"/>
  <c r="D19" i="9"/>
  <c r="D25" i="9" s="1"/>
  <c r="C19" i="9"/>
  <c r="C25" i="9" s="1"/>
  <c r="H18" i="9"/>
  <c r="G18" i="9"/>
  <c r="F18" i="9"/>
  <c r="E18" i="9"/>
  <c r="D18" i="9"/>
  <c r="C18" i="9"/>
  <c r="H17" i="9"/>
  <c r="G17" i="9"/>
  <c r="F17" i="9"/>
  <c r="E17" i="9"/>
  <c r="D17" i="9"/>
  <c r="C17" i="9"/>
  <c r="H16" i="9"/>
  <c r="G16" i="9"/>
  <c r="F16" i="9"/>
  <c r="E16" i="9"/>
  <c r="D16" i="9"/>
  <c r="C16" i="9"/>
  <c r="H15" i="9"/>
  <c r="G15" i="9"/>
  <c r="F15" i="9"/>
  <c r="E15" i="9"/>
  <c r="D15" i="9"/>
  <c r="C15" i="9"/>
  <c r="U10" i="9"/>
  <c r="T10" i="9"/>
  <c r="S10" i="9"/>
  <c r="R10" i="9"/>
  <c r="P10" i="9"/>
  <c r="O10" i="9"/>
  <c r="N10" i="9"/>
  <c r="L10" i="9"/>
  <c r="K10" i="9"/>
  <c r="U9" i="9"/>
  <c r="T9" i="9"/>
  <c r="S9" i="9"/>
  <c r="R9" i="9"/>
  <c r="P9" i="9"/>
  <c r="O9" i="9"/>
  <c r="N9" i="9"/>
  <c r="L9" i="9"/>
  <c r="K9" i="9"/>
  <c r="U8" i="9"/>
  <c r="T8" i="9"/>
  <c r="S8" i="9"/>
  <c r="R8" i="9"/>
  <c r="Q8" i="9"/>
  <c r="P8" i="9"/>
  <c r="AD8" i="9" s="1"/>
  <c r="O8" i="9"/>
  <c r="AC8" i="9" s="1"/>
  <c r="N8" i="9"/>
  <c r="L8" i="9"/>
  <c r="K8" i="9"/>
  <c r="U7" i="9"/>
  <c r="T7" i="9"/>
  <c r="S7" i="9"/>
  <c r="R7" i="9"/>
  <c r="AF7" i="9" s="1"/>
  <c r="P7" i="9"/>
  <c r="O7" i="9"/>
  <c r="N7" i="9"/>
  <c r="L7" i="9"/>
  <c r="K7" i="9"/>
  <c r="U6" i="9"/>
  <c r="T6" i="9"/>
  <c r="S6" i="9"/>
  <c r="R6" i="9"/>
  <c r="P6" i="9"/>
  <c r="O6" i="9"/>
  <c r="N6" i="9"/>
  <c r="L6" i="9"/>
  <c r="K6" i="9"/>
  <c r="J10" i="9"/>
  <c r="J9" i="9"/>
  <c r="J8" i="9"/>
  <c r="J7" i="9"/>
  <c r="J6" i="9"/>
  <c r="T4" i="9"/>
  <c r="AE4" i="9" s="1"/>
  <c r="S4" i="9"/>
  <c r="AD4" i="9" s="1"/>
  <c r="R4" i="9"/>
  <c r="AC4" i="9" s="1"/>
  <c r="P4" i="9"/>
  <c r="AA4" i="9" s="1"/>
  <c r="O4" i="9"/>
  <c r="Z4" i="9" s="1"/>
  <c r="N4" i="9"/>
  <c r="Y4" i="9" s="1"/>
  <c r="L4" i="9"/>
  <c r="K4" i="9"/>
  <c r="U3" i="9"/>
  <c r="AF3" i="9" s="1"/>
  <c r="T3" i="9"/>
  <c r="AE3" i="9" s="1"/>
  <c r="S3" i="9"/>
  <c r="AD3" i="9" s="1"/>
  <c r="R3" i="9"/>
  <c r="AC3" i="9" s="1"/>
  <c r="Q3" i="9"/>
  <c r="AB3" i="9" s="1"/>
  <c r="P3" i="9"/>
  <c r="AA3" i="9" s="1"/>
  <c r="O3" i="9"/>
  <c r="Z3" i="9" s="1"/>
  <c r="N3" i="9"/>
  <c r="Y3" i="9" s="1"/>
  <c r="M3" i="9"/>
  <c r="X3" i="9" s="1"/>
  <c r="L3" i="9"/>
  <c r="K3" i="9"/>
  <c r="J4" i="9"/>
  <c r="J3" i="9"/>
  <c r="H10" i="9"/>
  <c r="G10" i="9"/>
  <c r="F10" i="9"/>
  <c r="E10" i="9"/>
  <c r="D10" i="9"/>
  <c r="H9" i="9"/>
  <c r="G9" i="9"/>
  <c r="F9" i="9"/>
  <c r="E9" i="9"/>
  <c r="D9" i="9"/>
  <c r="H8" i="9"/>
  <c r="G8" i="9"/>
  <c r="F8" i="9"/>
  <c r="E8" i="9"/>
  <c r="D8" i="9"/>
  <c r="H7" i="9"/>
  <c r="G7" i="9"/>
  <c r="F7" i="9"/>
  <c r="E7" i="9"/>
  <c r="D7" i="9"/>
  <c r="H6" i="9"/>
  <c r="G6" i="9"/>
  <c r="F6" i="9"/>
  <c r="E6" i="9"/>
  <c r="D6" i="9"/>
  <c r="C10" i="9"/>
  <c r="C9" i="9"/>
  <c r="C8" i="9"/>
  <c r="C7" i="9"/>
  <c r="C6" i="9"/>
  <c r="H4" i="9"/>
  <c r="G4" i="9"/>
  <c r="F4" i="9"/>
  <c r="E4" i="9"/>
  <c r="D4" i="9"/>
  <c r="H3" i="9"/>
  <c r="G3" i="9"/>
  <c r="F3" i="9"/>
  <c r="E3" i="9"/>
  <c r="D3" i="9"/>
  <c r="C4" i="9"/>
  <c r="C3" i="9"/>
  <c r="B10" i="9"/>
  <c r="B9" i="9"/>
  <c r="B8" i="9"/>
  <c r="B7" i="9"/>
  <c r="AF13" i="10"/>
  <c r="AB13" i="10"/>
  <c r="AF12" i="10"/>
  <c r="AC12" i="10"/>
  <c r="AF11" i="10"/>
  <c r="AD11" i="10"/>
  <c r="AF10" i="10"/>
  <c r="AE10" i="10"/>
  <c r="AE9" i="10"/>
  <c r="AF27" i="10"/>
  <c r="AE27" i="10"/>
  <c r="AD27" i="10"/>
  <c r="AC27" i="10"/>
  <c r="AB27" i="10"/>
  <c r="AA27" i="10"/>
  <c r="Z27" i="10"/>
  <c r="Y27" i="10"/>
  <c r="X27" i="10"/>
  <c r="AE26" i="10"/>
  <c r="AD26" i="10"/>
  <c r="AC26" i="10"/>
  <c r="AB26" i="10"/>
  <c r="AA26" i="10"/>
  <c r="Z26" i="10"/>
  <c r="Y26" i="10"/>
  <c r="X26" i="10"/>
  <c r="AF9" i="10"/>
  <c r="T141" i="8"/>
  <c r="AE141" i="8" s="1"/>
  <c r="AF137" i="8" s="1"/>
  <c r="T130" i="8"/>
  <c r="T44" i="9" s="1"/>
  <c r="AC140" i="8"/>
  <c r="Y140" i="8"/>
  <c r="AE84" i="8"/>
  <c r="AD84" i="8"/>
  <c r="AC84" i="8"/>
  <c r="AA84" i="8"/>
  <c r="Z84" i="8"/>
  <c r="Y84" i="8"/>
  <c r="AE83" i="8"/>
  <c r="AD83" i="8"/>
  <c r="AC83" i="8"/>
  <c r="AA83" i="8"/>
  <c r="Z83" i="8"/>
  <c r="Y83" i="8"/>
  <c r="AE82" i="8"/>
  <c r="AD82" i="8"/>
  <c r="AC82" i="8"/>
  <c r="AA82" i="8"/>
  <c r="Z82" i="8"/>
  <c r="Y82" i="8"/>
  <c r="AE81" i="8"/>
  <c r="AD81" i="8"/>
  <c r="AC81" i="8"/>
  <c r="AA81" i="8"/>
  <c r="Z81" i="8"/>
  <c r="Y81" i="8"/>
  <c r="AE80" i="8"/>
  <c r="AD80" i="8"/>
  <c r="AC80" i="8"/>
  <c r="AA80" i="8"/>
  <c r="Z80" i="8"/>
  <c r="Y80" i="8"/>
  <c r="AE79" i="8"/>
  <c r="AD79" i="8"/>
  <c r="AD85" i="8" s="1"/>
  <c r="AC79" i="8"/>
  <c r="AA79" i="8"/>
  <c r="Z79" i="8"/>
  <c r="Y79" i="8"/>
  <c r="AE76" i="8"/>
  <c r="AD76" i="8"/>
  <c r="AC76" i="8"/>
  <c r="AA76" i="8"/>
  <c r="Z76" i="8"/>
  <c r="Y76" i="8"/>
  <c r="AE75" i="8"/>
  <c r="AD75" i="8"/>
  <c r="AC75" i="8"/>
  <c r="AA75" i="8"/>
  <c r="Z75" i="8"/>
  <c r="Y75" i="8"/>
  <c r="AE74" i="8"/>
  <c r="AD74" i="8"/>
  <c r="AC74" i="8"/>
  <c r="AA74" i="8"/>
  <c r="Z74" i="8"/>
  <c r="Y74" i="8"/>
  <c r="AF70" i="8"/>
  <c r="AE70" i="8"/>
  <c r="AD70" i="8"/>
  <c r="AC70" i="8"/>
  <c r="AA70" i="8"/>
  <c r="Z70" i="8"/>
  <c r="Y70" i="8"/>
  <c r="X70" i="8"/>
  <c r="AE69" i="8"/>
  <c r="AD69" i="8"/>
  <c r="AC69" i="8"/>
  <c r="AA69" i="8"/>
  <c r="Z69" i="8"/>
  <c r="Y69" i="8"/>
  <c r="AE68" i="8"/>
  <c r="AD68" i="8"/>
  <c r="AC68" i="8"/>
  <c r="AA68" i="8"/>
  <c r="Z68" i="8"/>
  <c r="Y68" i="8"/>
  <c r="AE67" i="8"/>
  <c r="AD67" i="8"/>
  <c r="AC67" i="8"/>
  <c r="AA67" i="8"/>
  <c r="Z67" i="8"/>
  <c r="Y67" i="8"/>
  <c r="AE66" i="8"/>
  <c r="AD66" i="8"/>
  <c r="AC66" i="8"/>
  <c r="AA66" i="8"/>
  <c r="Z66" i="8"/>
  <c r="Y66" i="8"/>
  <c r="AE65" i="8"/>
  <c r="AD65" i="8"/>
  <c r="AC65" i="8"/>
  <c r="AA65" i="8"/>
  <c r="Z65" i="8"/>
  <c r="Y65" i="8"/>
  <c r="AE64" i="8"/>
  <c r="AE71" i="8" s="1"/>
  <c r="AE77" i="8" s="1"/>
  <c r="AD64" i="8"/>
  <c r="AC64" i="8"/>
  <c r="AA64" i="8"/>
  <c r="Z64" i="8"/>
  <c r="Y64" i="8"/>
  <c r="AE63" i="8"/>
  <c r="AD63" i="8"/>
  <c r="AC63" i="8"/>
  <c r="AA63" i="8"/>
  <c r="Z63" i="8"/>
  <c r="Y63" i="8"/>
  <c r="AE59" i="8"/>
  <c r="AD59" i="8"/>
  <c r="AC59" i="8"/>
  <c r="AA59" i="8"/>
  <c r="Z59" i="8"/>
  <c r="Y59" i="8"/>
  <c r="AE58" i="8"/>
  <c r="AD58" i="8"/>
  <c r="AC58" i="8"/>
  <c r="AA58" i="8"/>
  <c r="Z58" i="8"/>
  <c r="Y58" i="8"/>
  <c r="X58" i="8"/>
  <c r="AE57" i="8"/>
  <c r="AD57" i="8"/>
  <c r="AC57" i="8"/>
  <c r="AA57" i="8"/>
  <c r="Z57" i="8"/>
  <c r="Y57" i="8"/>
  <c r="AE56" i="8"/>
  <c r="AD56" i="8"/>
  <c r="AC56" i="8"/>
  <c r="AA56" i="8"/>
  <c r="Z56" i="8"/>
  <c r="Y56" i="8"/>
  <c r="AE55" i="8"/>
  <c r="AD55" i="8"/>
  <c r="AC55" i="8"/>
  <c r="AA55" i="8"/>
  <c r="Z55" i="8"/>
  <c r="Y55" i="8"/>
  <c r="AE54" i="8"/>
  <c r="AD54" i="8"/>
  <c r="AC54" i="8"/>
  <c r="AA54" i="8"/>
  <c r="Z54" i="8"/>
  <c r="Y54" i="8"/>
  <c r="AE50" i="8"/>
  <c r="AD50" i="8"/>
  <c r="AC50" i="8"/>
  <c r="AA50" i="8"/>
  <c r="Z50" i="8"/>
  <c r="Y50" i="8"/>
  <c r="AE49" i="8"/>
  <c r="AD49" i="8"/>
  <c r="AC49" i="8"/>
  <c r="AA49" i="8"/>
  <c r="Z49" i="8"/>
  <c r="Y49" i="8"/>
  <c r="AE48" i="8"/>
  <c r="AD48" i="8"/>
  <c r="AC48" i="8"/>
  <c r="AA48" i="8"/>
  <c r="Z48" i="8"/>
  <c r="Y48" i="8"/>
  <c r="AE47" i="8"/>
  <c r="AD47" i="8"/>
  <c r="AC47" i="8"/>
  <c r="AA47" i="8"/>
  <c r="Z47" i="8"/>
  <c r="Y47" i="8"/>
  <c r="AE46" i="8"/>
  <c r="AD46" i="8"/>
  <c r="AC46" i="8"/>
  <c r="AA46" i="8"/>
  <c r="Z46" i="8"/>
  <c r="Y46" i="8"/>
  <c r="AE45" i="8"/>
  <c r="AD45" i="8"/>
  <c r="AC45" i="8"/>
  <c r="AA45" i="8"/>
  <c r="Z45" i="8"/>
  <c r="Y45" i="8"/>
  <c r="AE44" i="8"/>
  <c r="AD44" i="8"/>
  <c r="AC44" i="8"/>
  <c r="AA44" i="8"/>
  <c r="Z44" i="8"/>
  <c r="Y44" i="8"/>
  <c r="AE43" i="8"/>
  <c r="AD43" i="8"/>
  <c r="AC43" i="8"/>
  <c r="AB43" i="8"/>
  <c r="AA43" i="8"/>
  <c r="Z43" i="8"/>
  <c r="Y43" i="8"/>
  <c r="AE35" i="8"/>
  <c r="AD35" i="8"/>
  <c r="AC35" i="8"/>
  <c r="AA35" i="8"/>
  <c r="Z35" i="8"/>
  <c r="Y35" i="8"/>
  <c r="AE32" i="8"/>
  <c r="AD32" i="8"/>
  <c r="AC32" i="8"/>
  <c r="AA32" i="8"/>
  <c r="Z32" i="8"/>
  <c r="Y32" i="8"/>
  <c r="AE28" i="8"/>
  <c r="AC16" i="8"/>
  <c r="AD15" i="8"/>
  <c r="X130" i="8"/>
  <c r="X121" i="8"/>
  <c r="X7" i="8"/>
  <c r="X92" i="8" s="1"/>
  <c r="AE8" i="8"/>
  <c r="AD8" i="8"/>
  <c r="AC8" i="8"/>
  <c r="AA8" i="8"/>
  <c r="Z8" i="8"/>
  <c r="Y8" i="8"/>
  <c r="AE7" i="8"/>
  <c r="AD7" i="8"/>
  <c r="AC7" i="8"/>
  <c r="AB7" i="8"/>
  <c r="AA7" i="8"/>
  <c r="Z7" i="8"/>
  <c r="Y7" i="8"/>
  <c r="AF7" i="8"/>
  <c r="S141" i="8"/>
  <c r="AD141" i="8" s="1"/>
  <c r="AE137" i="8" s="1"/>
  <c r="S149" i="8"/>
  <c r="S148" i="8"/>
  <c r="S35" i="9" s="1"/>
  <c r="S140" i="8"/>
  <c r="AD140" i="8" s="1"/>
  <c r="S129" i="8"/>
  <c r="S37" i="9" s="1"/>
  <c r="S127" i="8"/>
  <c r="S133" i="8"/>
  <c r="S132" i="8"/>
  <c r="T132" i="8" s="1"/>
  <c r="S131" i="8"/>
  <c r="S118" i="8"/>
  <c r="S120" i="8"/>
  <c r="S121" i="8"/>
  <c r="T121" i="8" s="1"/>
  <c r="T42" i="9" s="1"/>
  <c r="S122" i="8"/>
  <c r="T122" i="8" s="1"/>
  <c r="U122" i="8" s="1"/>
  <c r="S123" i="8"/>
  <c r="T123" i="8" s="1"/>
  <c r="S114" i="8"/>
  <c r="T114" i="8" s="1"/>
  <c r="U114" i="8" s="1"/>
  <c r="S113" i="8"/>
  <c r="T113" i="8" s="1"/>
  <c r="U113" i="8" s="1"/>
  <c r="S112" i="8"/>
  <c r="T112" i="8" s="1"/>
  <c r="S111" i="8"/>
  <c r="T111" i="8" s="1"/>
  <c r="S110" i="8"/>
  <c r="S109" i="8"/>
  <c r="T109" i="8" s="1"/>
  <c r="U109" i="8" s="1"/>
  <c r="S108" i="8"/>
  <c r="T108" i="8" s="1"/>
  <c r="S107" i="8"/>
  <c r="S105" i="8"/>
  <c r="T105" i="8" s="1"/>
  <c r="S104" i="8"/>
  <c r="T104" i="8" s="1"/>
  <c r="S103" i="8"/>
  <c r="S102" i="8"/>
  <c r="T102" i="8" s="1"/>
  <c r="S101" i="8"/>
  <c r="S100" i="8"/>
  <c r="S29" i="9" s="1"/>
  <c r="S99" i="8"/>
  <c r="R141" i="8"/>
  <c r="AC141" i="8" s="1"/>
  <c r="AD137" i="8" s="1"/>
  <c r="J123" i="8"/>
  <c r="K123" i="8" s="1"/>
  <c r="L123" i="8" s="1"/>
  <c r="F123" i="8"/>
  <c r="O99" i="8"/>
  <c r="O100" i="8"/>
  <c r="O101" i="8"/>
  <c r="P101" i="8" s="1"/>
  <c r="O102" i="8"/>
  <c r="P102" i="8" s="1"/>
  <c r="O103" i="8"/>
  <c r="P103" i="8" s="1"/>
  <c r="O104" i="8"/>
  <c r="P104" i="8" s="1"/>
  <c r="O105" i="8"/>
  <c r="P105" i="8" s="1"/>
  <c r="O107" i="8"/>
  <c r="O108" i="8"/>
  <c r="P108" i="8" s="1"/>
  <c r="O109" i="8"/>
  <c r="P109" i="8" s="1"/>
  <c r="O110" i="8"/>
  <c r="P110" i="8" s="1"/>
  <c r="Q110" i="8" s="1"/>
  <c r="O111" i="8"/>
  <c r="P111" i="8" s="1"/>
  <c r="O112" i="8"/>
  <c r="P112" i="8" s="1"/>
  <c r="O113" i="8"/>
  <c r="P113" i="8" s="1"/>
  <c r="O114" i="8"/>
  <c r="P114" i="8" s="1"/>
  <c r="O118" i="8"/>
  <c r="O119" i="8"/>
  <c r="O120" i="8"/>
  <c r="P120" i="8" s="1"/>
  <c r="O121" i="8"/>
  <c r="O42" i="9" s="1"/>
  <c r="O122" i="8"/>
  <c r="P122" i="8" s="1"/>
  <c r="Q122" i="8" s="1"/>
  <c r="AC122" i="8" s="1"/>
  <c r="O123" i="8"/>
  <c r="P123" i="8" s="1"/>
  <c r="O127" i="8"/>
  <c r="O129" i="8"/>
  <c r="O37" i="9" s="1"/>
  <c r="O131" i="8"/>
  <c r="O132" i="8"/>
  <c r="P132" i="8" s="1"/>
  <c r="Q132" i="8" s="1"/>
  <c r="AF132" i="8" s="1"/>
  <c r="O133" i="8"/>
  <c r="O140" i="8"/>
  <c r="P140" i="8" s="1"/>
  <c r="AA140" i="8" s="1"/>
  <c r="O149" i="8"/>
  <c r="O148" i="8"/>
  <c r="K149" i="8"/>
  <c r="K148" i="8"/>
  <c r="L141" i="8"/>
  <c r="K99" i="8"/>
  <c r="K100" i="8"/>
  <c r="K101" i="8"/>
  <c r="L101" i="8" s="1"/>
  <c r="K102" i="8"/>
  <c r="L102" i="8" s="1"/>
  <c r="K103" i="8"/>
  <c r="L103" i="8" s="1"/>
  <c r="M103" i="8" s="1"/>
  <c r="K104" i="8"/>
  <c r="L104" i="8" s="1"/>
  <c r="M104" i="8" s="1"/>
  <c r="K105" i="8"/>
  <c r="L105" i="8" s="1"/>
  <c r="M105" i="8" s="1"/>
  <c r="Y105" i="8" s="1"/>
  <c r="K107" i="8"/>
  <c r="K108" i="8"/>
  <c r="L108" i="8" s="1"/>
  <c r="M108" i="8" s="1"/>
  <c r="K109" i="8"/>
  <c r="L109" i="8" s="1"/>
  <c r="M109" i="8" s="1"/>
  <c r="K110" i="8"/>
  <c r="L110" i="8" s="1"/>
  <c r="K111" i="8"/>
  <c r="K112" i="8"/>
  <c r="L112" i="8" s="1"/>
  <c r="K113" i="8"/>
  <c r="L113" i="8" s="1"/>
  <c r="K114" i="8"/>
  <c r="L114" i="8" s="1"/>
  <c r="K118" i="8"/>
  <c r="K119" i="8"/>
  <c r="K120" i="8"/>
  <c r="L120" i="8" s="1"/>
  <c r="M120" i="8" s="1"/>
  <c r="K122" i="8"/>
  <c r="L122" i="8" s="1"/>
  <c r="M122" i="8" s="1"/>
  <c r="Y122" i="8" s="1"/>
  <c r="K127" i="8"/>
  <c r="L127" i="8" s="1"/>
  <c r="K128" i="8"/>
  <c r="K129" i="8"/>
  <c r="K37" i="9" s="1"/>
  <c r="K131" i="8"/>
  <c r="L131" i="8" s="1"/>
  <c r="K132" i="8"/>
  <c r="L132" i="8" s="1"/>
  <c r="M132" i="8" s="1"/>
  <c r="K133" i="8"/>
  <c r="K140" i="8"/>
  <c r="L140" i="8" s="1"/>
  <c r="K141" i="8"/>
  <c r="J141" i="8"/>
  <c r="P141" i="8"/>
  <c r="AA141" i="8" s="1"/>
  <c r="AB137" i="8" s="1"/>
  <c r="O141" i="8"/>
  <c r="Z141" i="8" s="1"/>
  <c r="AA137" i="8" s="1"/>
  <c r="M121" i="8"/>
  <c r="N141" i="8"/>
  <c r="Y141" i="8" s="1"/>
  <c r="Z137" i="8" s="1"/>
  <c r="U132" i="8"/>
  <c r="U130" i="8"/>
  <c r="U128" i="8"/>
  <c r="U44" i="9" s="1"/>
  <c r="U123" i="8"/>
  <c r="U119" i="8"/>
  <c r="U112" i="8"/>
  <c r="U108" i="8"/>
  <c r="U104" i="8"/>
  <c r="U102" i="8"/>
  <c r="U35" i="8"/>
  <c r="AF35" i="8" s="1"/>
  <c r="U32" i="8"/>
  <c r="AF32" i="8" s="1"/>
  <c r="Q35" i="8"/>
  <c r="AB35" i="8" s="1"/>
  <c r="M35" i="8"/>
  <c r="X35" i="8" s="1"/>
  <c r="C137" i="8"/>
  <c r="C141" i="8"/>
  <c r="D137" i="8" s="1"/>
  <c r="D141" i="8"/>
  <c r="E141" i="8"/>
  <c r="F141" i="8"/>
  <c r="G141" i="8"/>
  <c r="H141" i="8"/>
  <c r="U141" i="8" s="1"/>
  <c r="AF141" i="8" s="1"/>
  <c r="Q130" i="8"/>
  <c r="AF130" i="8" s="1"/>
  <c r="M130" i="8"/>
  <c r="AB130" i="8" s="1"/>
  <c r="Q128" i="8"/>
  <c r="M83" i="8"/>
  <c r="X83" i="8" s="1"/>
  <c r="M82" i="8"/>
  <c r="X82" i="8" s="1"/>
  <c r="M81" i="8"/>
  <c r="X81" i="8" s="1"/>
  <c r="M80" i="8"/>
  <c r="X80" i="8" s="1"/>
  <c r="M79" i="8"/>
  <c r="X79" i="8" s="1"/>
  <c r="U84" i="8"/>
  <c r="AF84" i="8" s="1"/>
  <c r="Q84" i="8"/>
  <c r="AB84" i="8" s="1"/>
  <c r="M84" i="8"/>
  <c r="X84" i="8" s="1"/>
  <c r="U80" i="8"/>
  <c r="AF80" i="8" s="1"/>
  <c r="Q80" i="8"/>
  <c r="AB80" i="8" s="1"/>
  <c r="U81" i="8"/>
  <c r="AF81" i="8" s="1"/>
  <c r="Q81" i="8"/>
  <c r="AB81" i="8" s="1"/>
  <c r="U8" i="8"/>
  <c r="U83" i="8"/>
  <c r="AF83" i="8" s="1"/>
  <c r="U82" i="8"/>
  <c r="AF82" i="8" s="1"/>
  <c r="Q83" i="8"/>
  <c r="AB83" i="8" s="1"/>
  <c r="Q82" i="8"/>
  <c r="AB82" i="8" s="1"/>
  <c r="Q79" i="8"/>
  <c r="AB79" i="8" s="1"/>
  <c r="U79" i="8"/>
  <c r="AF79" i="8" s="1"/>
  <c r="U76" i="8"/>
  <c r="AF76" i="8" s="1"/>
  <c r="U75" i="8"/>
  <c r="AF75" i="8" s="1"/>
  <c r="U74" i="8"/>
  <c r="U70" i="9" s="1"/>
  <c r="AF70" i="9" s="1"/>
  <c r="Q76" i="8"/>
  <c r="AB76" i="8" s="1"/>
  <c r="Q75" i="8"/>
  <c r="AB75" i="8" s="1"/>
  <c r="Q74" i="8"/>
  <c r="AB74" i="8" s="1"/>
  <c r="M76" i="8"/>
  <c r="X76" i="8" s="1"/>
  <c r="M75" i="8"/>
  <c r="X75" i="8" s="1"/>
  <c r="M74" i="8"/>
  <c r="M70" i="9" s="1"/>
  <c r="X70" i="9" s="1"/>
  <c r="U70" i="8"/>
  <c r="U69" i="8"/>
  <c r="U69" i="9" s="1"/>
  <c r="AF69" i="9" s="1"/>
  <c r="U68" i="8"/>
  <c r="AF68" i="8" s="1"/>
  <c r="U67" i="8"/>
  <c r="AF67" i="8" s="1"/>
  <c r="U66" i="8"/>
  <c r="AF66" i="8" s="1"/>
  <c r="U65" i="8"/>
  <c r="AF65" i="8" s="1"/>
  <c r="U64" i="8"/>
  <c r="AF64" i="8" s="1"/>
  <c r="U63" i="8"/>
  <c r="U64" i="9" s="1"/>
  <c r="AF64" i="9" s="1"/>
  <c r="Q70" i="8"/>
  <c r="AB70" i="8" s="1"/>
  <c r="Q69" i="8"/>
  <c r="Q69" i="9" s="1"/>
  <c r="AB69" i="9" s="1"/>
  <c r="Q68" i="8"/>
  <c r="AB68" i="8" s="1"/>
  <c r="Q67" i="8"/>
  <c r="AB67" i="8" s="1"/>
  <c r="Q66" i="8"/>
  <c r="AB66" i="8" s="1"/>
  <c r="Q65" i="8"/>
  <c r="AB65" i="8" s="1"/>
  <c r="Q64" i="8"/>
  <c r="AB64" i="8" s="1"/>
  <c r="Q63" i="8"/>
  <c r="Q64" i="9" s="1"/>
  <c r="AB64" i="9" s="1"/>
  <c r="M70" i="8"/>
  <c r="M69" i="8"/>
  <c r="M69" i="9" s="1"/>
  <c r="X69" i="9" s="1"/>
  <c r="M68" i="8"/>
  <c r="X68" i="8" s="1"/>
  <c r="M67" i="8"/>
  <c r="X67" i="8" s="1"/>
  <c r="M66" i="8"/>
  <c r="X66" i="8" s="1"/>
  <c r="M65" i="8"/>
  <c r="X65" i="8" s="1"/>
  <c r="M64" i="8"/>
  <c r="X64" i="8" s="1"/>
  <c r="M63" i="8"/>
  <c r="M64" i="9" s="1"/>
  <c r="X64" i="9" s="1"/>
  <c r="U50" i="8"/>
  <c r="AF50" i="8" s="1"/>
  <c r="U49" i="8"/>
  <c r="AF49" i="8" s="1"/>
  <c r="U48" i="8"/>
  <c r="AF48" i="8" s="1"/>
  <c r="U47" i="8"/>
  <c r="U61" i="9" s="1"/>
  <c r="AF61" i="9" s="1"/>
  <c r="U46" i="8"/>
  <c r="AF46" i="8" s="1"/>
  <c r="U45" i="8"/>
  <c r="U54" i="9" s="1"/>
  <c r="AF54" i="9" s="1"/>
  <c r="U44" i="8"/>
  <c r="U53" i="9" s="1"/>
  <c r="AF53" i="9" s="1"/>
  <c r="U43" i="8"/>
  <c r="U52" i="9" s="1"/>
  <c r="AF52" i="9" s="1"/>
  <c r="U59" i="8"/>
  <c r="AF59" i="8" s="1"/>
  <c r="U58" i="8"/>
  <c r="AF58" i="8" s="1"/>
  <c r="U57" i="8"/>
  <c r="AF57" i="8" s="1"/>
  <c r="U56" i="8"/>
  <c r="U63" i="9" s="1"/>
  <c r="AF63" i="9" s="1"/>
  <c r="U55" i="8"/>
  <c r="AF55" i="8" s="1"/>
  <c r="U54" i="8"/>
  <c r="AF54" i="8" s="1"/>
  <c r="Q50" i="8"/>
  <c r="AB50" i="8" s="1"/>
  <c r="Q49" i="8"/>
  <c r="AB49" i="8" s="1"/>
  <c r="Q48" i="8"/>
  <c r="Q62" i="9" s="1"/>
  <c r="AB62" i="9" s="1"/>
  <c r="Q47" i="8"/>
  <c r="Q61" i="9" s="1"/>
  <c r="AB61" i="9" s="1"/>
  <c r="Q46" i="8"/>
  <c r="AB46" i="8" s="1"/>
  <c r="Q45" i="8"/>
  <c r="Q54" i="9" s="1"/>
  <c r="AB54" i="9" s="1"/>
  <c r="Q44" i="8"/>
  <c r="Q53" i="9" s="1"/>
  <c r="AB53" i="9" s="1"/>
  <c r="Q43" i="8"/>
  <c r="Q52" i="9" s="1"/>
  <c r="AB52" i="9" s="1"/>
  <c r="Q59" i="8"/>
  <c r="AB59" i="8" s="1"/>
  <c r="Q58" i="8"/>
  <c r="AB58" i="8" s="1"/>
  <c r="Q57" i="8"/>
  <c r="AB57" i="8" s="1"/>
  <c r="Q56" i="8"/>
  <c r="Q63" i="9" s="1"/>
  <c r="AB63" i="9" s="1"/>
  <c r="Q55" i="8"/>
  <c r="AB55" i="8" s="1"/>
  <c r="Q54" i="8"/>
  <c r="AB54" i="8" s="1"/>
  <c r="M50" i="8"/>
  <c r="X50" i="8" s="1"/>
  <c r="M49" i="8"/>
  <c r="X49" i="8" s="1"/>
  <c r="M48" i="8"/>
  <c r="X48" i="8" s="1"/>
  <c r="M47" i="8"/>
  <c r="M61" i="9" s="1"/>
  <c r="X61" i="9" s="1"/>
  <c r="M46" i="8"/>
  <c r="X46" i="8" s="1"/>
  <c r="M45" i="8"/>
  <c r="M54" i="9" s="1"/>
  <c r="X54" i="9" s="1"/>
  <c r="M44" i="8"/>
  <c r="M53" i="9" s="1"/>
  <c r="X53" i="9" s="1"/>
  <c r="M43" i="8"/>
  <c r="M52" i="9" s="1"/>
  <c r="X52" i="9" s="1"/>
  <c r="X56" i="9" s="1"/>
  <c r="M59" i="8"/>
  <c r="X59" i="8" s="1"/>
  <c r="M58" i="8"/>
  <c r="M57" i="8"/>
  <c r="X57" i="8" s="1"/>
  <c r="M56" i="8"/>
  <c r="M63" i="9" s="1"/>
  <c r="X63" i="9" s="1"/>
  <c r="M55" i="8"/>
  <c r="X55" i="8" s="1"/>
  <c r="M54" i="8"/>
  <c r="X54" i="8" s="1"/>
  <c r="U28" i="8"/>
  <c r="AF28" i="8" s="1"/>
  <c r="U24" i="8"/>
  <c r="AF24" i="8" s="1"/>
  <c r="U23" i="8"/>
  <c r="AF23" i="8" s="1"/>
  <c r="Q28" i="8"/>
  <c r="AB28" i="8" s="1"/>
  <c r="M28" i="8"/>
  <c r="AA28" i="8" s="1"/>
  <c r="M24" i="8"/>
  <c r="AA24" i="8" s="1"/>
  <c r="M23" i="8"/>
  <c r="AA23" i="8" s="1"/>
  <c r="Q24" i="8"/>
  <c r="AC24" i="8" s="1"/>
  <c r="Q23" i="8"/>
  <c r="AD23" i="8" s="1"/>
  <c r="U10" i="8"/>
  <c r="AF10" i="8" s="1"/>
  <c r="U19" i="8"/>
  <c r="U21" i="9" s="1"/>
  <c r="U30" i="9" s="1"/>
  <c r="U18" i="8"/>
  <c r="AF18" i="8" s="1"/>
  <c r="U17" i="8"/>
  <c r="U19" i="9" s="1"/>
  <c r="U25" i="9" s="1"/>
  <c r="U16" i="8"/>
  <c r="U18" i="9" s="1"/>
  <c r="U15" i="8"/>
  <c r="U17" i="9" s="1"/>
  <c r="U14" i="8"/>
  <c r="U16" i="9" s="1"/>
  <c r="U13" i="8"/>
  <c r="U15" i="9" s="1"/>
  <c r="Q10" i="8"/>
  <c r="AC10" i="8" s="1"/>
  <c r="Q19" i="8"/>
  <c r="Q21" i="9" s="1"/>
  <c r="Q18" i="8"/>
  <c r="Q20" i="9" s="1"/>
  <c r="Q17" i="8"/>
  <c r="Q19" i="9" s="1"/>
  <c r="Q16" i="8"/>
  <c r="Q18" i="9" s="1"/>
  <c r="Q15" i="8"/>
  <c r="Q17" i="9" s="1"/>
  <c r="Q14" i="8"/>
  <c r="AB14" i="8" s="1"/>
  <c r="Q13" i="8"/>
  <c r="Q15" i="9" s="1"/>
  <c r="M10" i="8"/>
  <c r="AA10" i="8" s="1"/>
  <c r="M19" i="8"/>
  <c r="M21" i="9" s="1"/>
  <c r="M18" i="8"/>
  <c r="X18" i="8" s="1"/>
  <c r="M17" i="8"/>
  <c r="M19" i="9" s="1"/>
  <c r="M16" i="8"/>
  <c r="M18" i="9" s="1"/>
  <c r="M15" i="8"/>
  <c r="M17" i="9" s="1"/>
  <c r="M14" i="8"/>
  <c r="M16" i="9" s="1"/>
  <c r="M13" i="8"/>
  <c r="M15" i="9" s="1"/>
  <c r="Q13" i="10"/>
  <c r="Q10" i="9" s="1"/>
  <c r="Q12" i="10"/>
  <c r="AB12" i="10" s="1"/>
  <c r="Q11" i="10"/>
  <c r="AC11" i="10" s="1"/>
  <c r="Q10" i="10"/>
  <c r="AD10" i="10" s="1"/>
  <c r="Q9" i="10"/>
  <c r="AD9" i="10" s="1"/>
  <c r="M13" i="10"/>
  <c r="AA13" i="10" s="1"/>
  <c r="M12" i="10"/>
  <c r="M9" i="9" s="1"/>
  <c r="AA9" i="9" s="1"/>
  <c r="M11" i="10"/>
  <c r="AA11" i="10" s="1"/>
  <c r="M10" i="10"/>
  <c r="AA10" i="10" s="1"/>
  <c r="M9" i="10"/>
  <c r="M6" i="9" s="1"/>
  <c r="U27" i="10"/>
  <c r="U26" i="10"/>
  <c r="AF26" i="10" s="1"/>
  <c r="B19" i="10"/>
  <c r="T4" i="10"/>
  <c r="AE4" i="10" s="1"/>
  <c r="S4" i="10"/>
  <c r="AD4" i="10" s="1"/>
  <c r="R4" i="10"/>
  <c r="AC4" i="10" s="1"/>
  <c r="P4" i="10"/>
  <c r="AA4" i="10" s="1"/>
  <c r="O4" i="10"/>
  <c r="Z4" i="10" s="1"/>
  <c r="N4" i="10"/>
  <c r="Y4" i="10" s="1"/>
  <c r="L4" i="10"/>
  <c r="K4" i="10"/>
  <c r="J4" i="10"/>
  <c r="U3" i="10"/>
  <c r="AF3" i="10" s="1"/>
  <c r="T3" i="10"/>
  <c r="AE3" i="10" s="1"/>
  <c r="S3" i="10"/>
  <c r="AD3" i="10" s="1"/>
  <c r="R3" i="10"/>
  <c r="AC3" i="10" s="1"/>
  <c r="Q3" i="10"/>
  <c r="AB3" i="10" s="1"/>
  <c r="P3" i="10"/>
  <c r="AA3" i="10" s="1"/>
  <c r="O3" i="10"/>
  <c r="Z3" i="10" s="1"/>
  <c r="N3" i="10"/>
  <c r="Y3" i="10" s="1"/>
  <c r="M3" i="10"/>
  <c r="X3" i="10" s="1"/>
  <c r="L3" i="10"/>
  <c r="K3" i="10"/>
  <c r="J3" i="10"/>
  <c r="G4" i="10"/>
  <c r="F4" i="10"/>
  <c r="E4" i="10"/>
  <c r="D4" i="10"/>
  <c r="C4" i="10"/>
  <c r="G3" i="10"/>
  <c r="F3" i="10"/>
  <c r="E3" i="10"/>
  <c r="D3" i="10"/>
  <c r="C3" i="10"/>
  <c r="H3" i="10"/>
  <c r="H4" i="10"/>
  <c r="D28" i="10"/>
  <c r="D32" i="10" s="1"/>
  <c r="C28" i="10"/>
  <c r="C32" i="10" s="1"/>
  <c r="D14" i="10"/>
  <c r="D18" i="10" s="1"/>
  <c r="C14" i="10"/>
  <c r="C20" i="10" s="1"/>
  <c r="B2" i="10"/>
  <c r="B32" i="10"/>
  <c r="B31" i="10"/>
  <c r="T28" i="10"/>
  <c r="S28" i="10"/>
  <c r="S32" i="10" s="1"/>
  <c r="R28" i="10"/>
  <c r="P28" i="10"/>
  <c r="P32" i="10" s="1"/>
  <c r="O28" i="10"/>
  <c r="O32" i="10" s="1"/>
  <c r="N28" i="10"/>
  <c r="N32" i="10" s="1"/>
  <c r="L28" i="10"/>
  <c r="K28" i="10"/>
  <c r="K32" i="10" s="1"/>
  <c r="J28" i="10"/>
  <c r="H28" i="10"/>
  <c r="G28" i="10"/>
  <c r="G32" i="10" s="1"/>
  <c r="F28" i="10"/>
  <c r="F32" i="10" s="1"/>
  <c r="E28" i="10"/>
  <c r="E32" i="10" s="1"/>
  <c r="B21" i="10"/>
  <c r="B20" i="10"/>
  <c r="B18" i="10"/>
  <c r="B17" i="10"/>
  <c r="T14" i="10"/>
  <c r="T21" i="10" s="1"/>
  <c r="S14" i="10"/>
  <c r="S20" i="10" s="1"/>
  <c r="R14" i="10"/>
  <c r="R18" i="10" s="1"/>
  <c r="P14" i="10"/>
  <c r="P20" i="10" s="1"/>
  <c r="O14" i="10"/>
  <c r="O21" i="10" s="1"/>
  <c r="N14" i="10"/>
  <c r="N20" i="10" s="1"/>
  <c r="L14" i="10"/>
  <c r="L21" i="10" s="1"/>
  <c r="K14" i="10"/>
  <c r="K20" i="10" s="1"/>
  <c r="J14" i="10"/>
  <c r="J21" i="10" s="1"/>
  <c r="H14" i="10"/>
  <c r="H21" i="10" s="1"/>
  <c r="G14" i="10"/>
  <c r="G20" i="10" s="1"/>
  <c r="F14" i="10"/>
  <c r="F21" i="10" s="1"/>
  <c r="E14" i="10"/>
  <c r="E20" i="10" s="1"/>
  <c r="AG76" i="9" l="1"/>
  <c r="AG85" i="9" s="1"/>
  <c r="AG12" i="9"/>
  <c r="AG22" i="9"/>
  <c r="AF6" i="9"/>
  <c r="V11" i="9"/>
  <c r="V22" i="9" s="1"/>
  <c r="V76" i="9"/>
  <c r="V85" i="9" s="1"/>
  <c r="V56" i="9"/>
  <c r="X21" i="9"/>
  <c r="AF10" i="9"/>
  <c r="AB8" i="9"/>
  <c r="AA6" i="9"/>
  <c r="AA15" i="9"/>
  <c r="Z9" i="9"/>
  <c r="AA16" i="9"/>
  <c r="AE8" i="9"/>
  <c r="AA18" i="9"/>
  <c r="AF8" i="9"/>
  <c r="Z19" i="9"/>
  <c r="AF9" i="9"/>
  <c r="AG25" i="8"/>
  <c r="AG21" i="8"/>
  <c r="AG86" i="8"/>
  <c r="AG88" i="8" s="1"/>
  <c r="AG39" i="8"/>
  <c r="AG40" i="8"/>
  <c r="U121" i="8"/>
  <c r="U42" i="9" s="1"/>
  <c r="AB17" i="8"/>
  <c r="AD51" i="8"/>
  <c r="AD60" i="8" s="1"/>
  <c r="AD71" i="8"/>
  <c r="AD77" i="8" s="1"/>
  <c r="AE17" i="9"/>
  <c r="P121" i="8"/>
  <c r="AA18" i="8"/>
  <c r="AE15" i="9"/>
  <c r="K41" i="9"/>
  <c r="AC71" i="8"/>
  <c r="AC77" i="8" s="1"/>
  <c r="AE18" i="9"/>
  <c r="Z19" i="8"/>
  <c r="Z85" i="8"/>
  <c r="X10" i="8"/>
  <c r="X11" i="8" s="1"/>
  <c r="Y23" i="8"/>
  <c r="Y51" i="8"/>
  <c r="Y60" i="8" s="1"/>
  <c r="AF47" i="8"/>
  <c r="AC51" i="8"/>
  <c r="AC60" i="8" s="1"/>
  <c r="AA85" i="8"/>
  <c r="AB17" i="9"/>
  <c r="AB18" i="9"/>
  <c r="M20" i="9"/>
  <c r="AA20" i="9" s="1"/>
  <c r="AE20" i="9"/>
  <c r="X13" i="8"/>
  <c r="X20" i="8" s="1"/>
  <c r="X25" i="8" s="1"/>
  <c r="X24" i="8"/>
  <c r="Z51" i="8"/>
  <c r="Z60" i="8" s="1"/>
  <c r="X47" i="8"/>
  <c r="Y71" i="8"/>
  <c r="Y77" i="8" s="1"/>
  <c r="X17" i="9"/>
  <c r="AC15" i="9"/>
  <c r="AE85" i="8"/>
  <c r="AF13" i="8"/>
  <c r="AA51" i="8"/>
  <c r="AA60" i="8" s="1"/>
  <c r="Z71" i="8"/>
  <c r="Z77" i="8" s="1"/>
  <c r="AC85" i="8"/>
  <c r="M62" i="9"/>
  <c r="X62" i="9" s="1"/>
  <c r="V32" i="10"/>
  <c r="V18" i="10"/>
  <c r="V19" i="10"/>
  <c r="V20" i="10"/>
  <c r="V21" i="10"/>
  <c r="V29" i="10"/>
  <c r="V15" i="10"/>
  <c r="Y6" i="9"/>
  <c r="AC10" i="9"/>
  <c r="Z6" i="9"/>
  <c r="AD10" i="9"/>
  <c r="AB10" i="9"/>
  <c r="AE10" i="9"/>
  <c r="X6" i="9"/>
  <c r="Y9" i="9"/>
  <c r="X9" i="9"/>
  <c r="Z10" i="9"/>
  <c r="X9" i="10"/>
  <c r="X10" i="10"/>
  <c r="AE11" i="10"/>
  <c r="AD12" i="10"/>
  <c r="AC13" i="10"/>
  <c r="M7" i="9"/>
  <c r="AA7" i="9" s="1"/>
  <c r="Y9" i="10"/>
  <c r="Y10" i="10"/>
  <c r="X11" i="10"/>
  <c r="AE12" i="10"/>
  <c r="AD13" i="10"/>
  <c r="Q6" i="9"/>
  <c r="AE6" i="9" s="1"/>
  <c r="M10" i="9"/>
  <c r="AA10" i="9" s="1"/>
  <c r="Z9" i="10"/>
  <c r="Z10" i="10"/>
  <c r="Y11" i="10"/>
  <c r="X12" i="10"/>
  <c r="AE13" i="10"/>
  <c r="Q9" i="9"/>
  <c r="AB9" i="9" s="1"/>
  <c r="AA9" i="10"/>
  <c r="Z11" i="10"/>
  <c r="Y12" i="10"/>
  <c r="X13" i="10"/>
  <c r="M8" i="9"/>
  <c r="AA8" i="9" s="1"/>
  <c r="AB9" i="10"/>
  <c r="AB10" i="10"/>
  <c r="Z12" i="10"/>
  <c r="Y13" i="10"/>
  <c r="Q7" i="9"/>
  <c r="AE7" i="9" s="1"/>
  <c r="AC9" i="10"/>
  <c r="AC10" i="10"/>
  <c r="AB11" i="10"/>
  <c r="AA12" i="10"/>
  <c r="Z13" i="10"/>
  <c r="V86" i="8"/>
  <c r="V88" i="8" s="1"/>
  <c r="V25" i="8"/>
  <c r="V21" i="8"/>
  <c r="AF85" i="8"/>
  <c r="X85" i="8"/>
  <c r="AF128" i="8"/>
  <c r="Q44" i="9"/>
  <c r="AD44" i="9" s="1"/>
  <c r="P149" i="8"/>
  <c r="P36" i="9" s="1"/>
  <c r="O36" i="9"/>
  <c r="T103" i="8"/>
  <c r="U103" i="8" s="1"/>
  <c r="T131" i="8"/>
  <c r="U131" i="8" s="1"/>
  <c r="X105" i="8"/>
  <c r="X114" i="8"/>
  <c r="AD10" i="8"/>
  <c r="AD13" i="8"/>
  <c r="AC14" i="8"/>
  <c r="AB15" i="8"/>
  <c r="AA16" i="8"/>
  <c r="Z17" i="8"/>
  <c r="Y18" i="8"/>
  <c r="X19" i="8"/>
  <c r="AF19" i="8"/>
  <c r="AE23" i="8"/>
  <c r="AD24" i="8"/>
  <c r="AC28" i="8"/>
  <c r="X45" i="8"/>
  <c r="AF45" i="8"/>
  <c r="X56" i="8"/>
  <c r="AF56" i="8"/>
  <c r="AB63" i="8"/>
  <c r="T129" i="8"/>
  <c r="X15" i="9"/>
  <c r="Z15" i="9"/>
  <c r="Z16" i="9"/>
  <c r="Y17" i="9"/>
  <c r="Y18" i="9"/>
  <c r="K46" i="9"/>
  <c r="U105" i="8"/>
  <c r="AE10" i="8"/>
  <c r="AE13" i="8"/>
  <c r="AD14" i="8"/>
  <c r="AC15" i="8"/>
  <c r="AB16" i="8"/>
  <c r="AA17" i="8"/>
  <c r="Z18" i="8"/>
  <c r="Y19" i="8"/>
  <c r="X23" i="8"/>
  <c r="AE24" i="8"/>
  <c r="AD28" i="8"/>
  <c r="X69" i="8"/>
  <c r="AF69" i="8"/>
  <c r="Z140" i="8"/>
  <c r="X16" i="9"/>
  <c r="AB15" i="9"/>
  <c r="Z17" i="9"/>
  <c r="Z18" i="9"/>
  <c r="Z20" i="9"/>
  <c r="U20" i="9"/>
  <c r="AF20" i="9" s="1"/>
  <c r="U62" i="9"/>
  <c r="AF62" i="9" s="1"/>
  <c r="Q70" i="9"/>
  <c r="AB70" i="9" s="1"/>
  <c r="Y20" i="9"/>
  <c r="L100" i="8"/>
  <c r="L29" i="9" s="1"/>
  <c r="K29" i="9"/>
  <c r="T133" i="8"/>
  <c r="T46" i="9" s="1"/>
  <c r="AA17" i="9"/>
  <c r="U4" i="10"/>
  <c r="AF4" i="10" s="1"/>
  <c r="U4" i="9"/>
  <c r="AF4" i="9" s="1"/>
  <c r="L128" i="8"/>
  <c r="L44" i="9" s="1"/>
  <c r="K44" i="9"/>
  <c r="L119" i="8"/>
  <c r="L107" i="8"/>
  <c r="X107" i="8" s="1"/>
  <c r="K38" i="9"/>
  <c r="L99" i="8"/>
  <c r="K45" i="9"/>
  <c r="P119" i="8"/>
  <c r="P41" i="9" s="1"/>
  <c r="O41" i="9"/>
  <c r="T107" i="8"/>
  <c r="S38" i="9"/>
  <c r="S43" i="9"/>
  <c r="T127" i="8"/>
  <c r="T43" i="9" s="1"/>
  <c r="X109" i="8"/>
  <c r="X120" i="8"/>
  <c r="X131" i="8"/>
  <c r="Y10" i="8"/>
  <c r="Y13" i="8"/>
  <c r="X14" i="8"/>
  <c r="AF14" i="8"/>
  <c r="AE15" i="8"/>
  <c r="AD16" i="8"/>
  <c r="AC17" i="8"/>
  <c r="AB18" i="8"/>
  <c r="AA19" i="8"/>
  <c r="Z23" i="8"/>
  <c r="Y24" i="8"/>
  <c r="X28" i="8"/>
  <c r="AB44" i="8"/>
  <c r="X74" i="8"/>
  <c r="AF74" i="8"/>
  <c r="T148" i="8"/>
  <c r="T35" i="9" s="1"/>
  <c r="X18" i="9"/>
  <c r="AC17" i="9"/>
  <c r="AC18" i="9"/>
  <c r="AB20" i="9"/>
  <c r="AC44" i="9"/>
  <c r="S46" i="9"/>
  <c r="AF21" i="9"/>
  <c r="L118" i="8"/>
  <c r="L34" i="9" s="1"/>
  <c r="K34" i="9"/>
  <c r="P133" i="8"/>
  <c r="P46" i="9" s="1"/>
  <c r="O46" i="9"/>
  <c r="K43" i="9"/>
  <c r="L111" i="8"/>
  <c r="X111" i="8" s="1"/>
  <c r="P118" i="8"/>
  <c r="P34" i="9" s="1"/>
  <c r="O34" i="9"/>
  <c r="S45" i="9"/>
  <c r="T99" i="8"/>
  <c r="X101" i="8"/>
  <c r="X110" i="8"/>
  <c r="X132" i="8"/>
  <c r="Z10" i="8"/>
  <c r="Z13" i="8"/>
  <c r="Y14" i="8"/>
  <c r="X15" i="8"/>
  <c r="AF15" i="8"/>
  <c r="AE16" i="8"/>
  <c r="AD17" i="8"/>
  <c r="AC18" i="8"/>
  <c r="AB19" i="8"/>
  <c r="Z24" i="8"/>
  <c r="Y28" i="8"/>
  <c r="AB45" i="8"/>
  <c r="AB56" i="8"/>
  <c r="X63" i="8"/>
  <c r="X71" i="8" s="1"/>
  <c r="AF63" i="8"/>
  <c r="AF71" i="8" s="1"/>
  <c r="AF15" i="9"/>
  <c r="Q16" i="9"/>
  <c r="AD17" i="9"/>
  <c r="AD18" i="9"/>
  <c r="P25" i="9"/>
  <c r="AD19" i="9"/>
  <c r="AC20" i="9"/>
  <c r="AD15" i="9"/>
  <c r="X108" i="8"/>
  <c r="AB85" i="8"/>
  <c r="AB25" i="9"/>
  <c r="M25" i="9"/>
  <c r="AA25" i="9" s="1"/>
  <c r="AA19" i="9"/>
  <c r="Q25" i="9"/>
  <c r="AE25" i="9" s="1"/>
  <c r="AE19" i="9"/>
  <c r="L43" i="9"/>
  <c r="L148" i="8"/>
  <c r="L35" i="9" s="1"/>
  <c r="K35" i="9"/>
  <c r="O38" i="9"/>
  <c r="P100" i="8"/>
  <c r="P29" i="9" s="1"/>
  <c r="O29" i="9"/>
  <c r="T140" i="8"/>
  <c r="AE140" i="8" s="1"/>
  <c r="X102" i="8"/>
  <c r="X122" i="8"/>
  <c r="AA13" i="8"/>
  <c r="Z14" i="8"/>
  <c r="Y15" i="8"/>
  <c r="X16" i="8"/>
  <c r="AF16" i="8"/>
  <c r="AE17" i="8"/>
  <c r="AD18" i="8"/>
  <c r="AC19" i="8"/>
  <c r="AB23" i="8"/>
  <c r="Z28" i="8"/>
  <c r="AE51" i="8"/>
  <c r="AE60" i="8" s="1"/>
  <c r="AB69" i="8"/>
  <c r="T100" i="8"/>
  <c r="X20" i="9"/>
  <c r="AF16" i="9"/>
  <c r="AF17" i="9"/>
  <c r="AF18" i="9"/>
  <c r="AF25" i="9"/>
  <c r="AD20" i="9"/>
  <c r="S42" i="9"/>
  <c r="AF44" i="9"/>
  <c r="AE14" i="8"/>
  <c r="L149" i="8"/>
  <c r="L36" i="9" s="1"/>
  <c r="K36" i="9"/>
  <c r="P127" i="8"/>
  <c r="O43" i="9"/>
  <c r="P107" i="8"/>
  <c r="P99" i="8"/>
  <c r="P45" i="9" s="1"/>
  <c r="O45" i="9"/>
  <c r="T101" i="8"/>
  <c r="U101" i="8" s="1"/>
  <c r="T110" i="8"/>
  <c r="U110" i="8" s="1"/>
  <c r="S41" i="9"/>
  <c r="X103" i="8"/>
  <c r="X112" i="8"/>
  <c r="X123" i="8"/>
  <c r="AB10" i="8"/>
  <c r="AB13" i="8"/>
  <c r="AA14" i="8"/>
  <c r="Z15" i="8"/>
  <c r="Y16" i="8"/>
  <c r="X17" i="8"/>
  <c r="AF17" i="8"/>
  <c r="AE18" i="8"/>
  <c r="AD19" i="8"/>
  <c r="AC23" i="8"/>
  <c r="AB24" i="8"/>
  <c r="X43" i="8"/>
  <c r="AF43" i="8"/>
  <c r="AB47" i="8"/>
  <c r="M30" i="9"/>
  <c r="AA30" i="9" s="1"/>
  <c r="AA21" i="9"/>
  <c r="Q30" i="9"/>
  <c r="AD30" i="9" s="1"/>
  <c r="AE21" i="9"/>
  <c r="Y121" i="8"/>
  <c r="M42" i="9"/>
  <c r="AA103" i="8"/>
  <c r="P148" i="8"/>
  <c r="P35" i="9" s="1"/>
  <c r="O35" i="9"/>
  <c r="U111" i="8"/>
  <c r="S34" i="9"/>
  <c r="T118" i="8"/>
  <c r="T34" i="9" s="1"/>
  <c r="S36" i="9"/>
  <c r="T149" i="8"/>
  <c r="T36" i="9" s="1"/>
  <c r="X104" i="8"/>
  <c r="X113" i="8"/>
  <c r="X127" i="8"/>
  <c r="X148" i="8"/>
  <c r="AC13" i="8"/>
  <c r="AA15" i="8"/>
  <c r="Z16" i="8"/>
  <c r="Y17" i="8"/>
  <c r="AE19" i="8"/>
  <c r="X44" i="8"/>
  <c r="AF44" i="8"/>
  <c r="AB48" i="8"/>
  <c r="AA71" i="8"/>
  <c r="AA77" i="8" s="1"/>
  <c r="Y85" i="8"/>
  <c r="T120" i="8"/>
  <c r="T41" i="9" s="1"/>
  <c r="Y15" i="9"/>
  <c r="Y16" i="9"/>
  <c r="AF30" i="9"/>
  <c r="Y19" i="9"/>
  <c r="Y21" i="9"/>
  <c r="AB19" i="9"/>
  <c r="Z21" i="9"/>
  <c r="AC19" i="9"/>
  <c r="AB21" i="9"/>
  <c r="AC21" i="9"/>
  <c r="X19" i="9"/>
  <c r="AF19" i="9"/>
  <c r="AD21" i="9"/>
  <c r="G72" i="9"/>
  <c r="P72" i="9"/>
  <c r="AA72" i="9" s="1"/>
  <c r="AA73" i="9" s="1"/>
  <c r="C72" i="9"/>
  <c r="C73" i="9" s="1"/>
  <c r="L72" i="9"/>
  <c r="T72" i="9"/>
  <c r="AE72" i="9" s="1"/>
  <c r="AE73" i="9" s="1"/>
  <c r="K72" i="9"/>
  <c r="S72" i="9"/>
  <c r="AD72" i="9" s="1"/>
  <c r="AD73" i="9" s="1"/>
  <c r="E72" i="9"/>
  <c r="N72" i="9"/>
  <c r="Y72" i="9" s="1"/>
  <c r="Y73" i="9" s="1"/>
  <c r="F72" i="9"/>
  <c r="O72" i="9"/>
  <c r="Z72" i="9" s="1"/>
  <c r="Z73" i="9" s="1"/>
  <c r="J72" i="9"/>
  <c r="R72" i="9"/>
  <c r="AC72" i="9" s="1"/>
  <c r="AC73" i="9" s="1"/>
  <c r="D72" i="9"/>
  <c r="D57" i="9" s="1"/>
  <c r="M72" i="9"/>
  <c r="X72" i="9" s="1"/>
  <c r="X73" i="9" s="1"/>
  <c r="U72" i="9"/>
  <c r="H72" i="9"/>
  <c r="Q72" i="9"/>
  <c r="AB72" i="9" s="1"/>
  <c r="AB73" i="9" s="1"/>
  <c r="C57" i="9"/>
  <c r="U11" i="9"/>
  <c r="U22" i="9" s="1"/>
  <c r="U56" i="9"/>
  <c r="C56" i="9"/>
  <c r="D56" i="9"/>
  <c r="C11" i="9"/>
  <c r="C22" i="9" s="1"/>
  <c r="D11" i="9"/>
  <c r="D22" i="9" s="1"/>
  <c r="U148" i="8"/>
  <c r="U35" i="9" s="1"/>
  <c r="AF35" i="9" s="1"/>
  <c r="X39" i="8"/>
  <c r="P129" i="8"/>
  <c r="AF8" i="8"/>
  <c r="L129" i="8"/>
  <c r="X129" i="8" s="1"/>
  <c r="AF110" i="8"/>
  <c r="M110" i="8"/>
  <c r="Y110" i="8" s="1"/>
  <c r="Q101" i="8"/>
  <c r="M131" i="8"/>
  <c r="Y131" i="8" s="1"/>
  <c r="Q108" i="8"/>
  <c r="AF108" i="8" s="1"/>
  <c r="Q123" i="8"/>
  <c r="AC123" i="8" s="1"/>
  <c r="L133" i="8"/>
  <c r="X133" i="8" s="1"/>
  <c r="P131" i="8"/>
  <c r="Q104" i="8"/>
  <c r="AF104" i="8" s="1"/>
  <c r="M128" i="8"/>
  <c r="Y128" i="8" s="1"/>
  <c r="Q133" i="8"/>
  <c r="M102" i="8"/>
  <c r="AA102" i="8" s="1"/>
  <c r="Q105" i="8"/>
  <c r="AC105" i="8" s="1"/>
  <c r="Q103" i="8"/>
  <c r="AC103" i="8" s="1"/>
  <c r="Q102" i="8"/>
  <c r="AF102" i="8" s="1"/>
  <c r="AB104" i="8"/>
  <c r="Q109" i="8"/>
  <c r="AF109" i="8" s="1"/>
  <c r="AB108" i="8"/>
  <c r="AB109" i="8"/>
  <c r="Q120" i="8"/>
  <c r="AE120" i="8" s="1"/>
  <c r="AA120" i="8"/>
  <c r="AB132" i="8"/>
  <c r="M101" i="8"/>
  <c r="Y101" i="8" s="1"/>
  <c r="M123" i="8"/>
  <c r="AA123" i="8" s="1"/>
  <c r="AD122" i="8"/>
  <c r="AA121" i="8"/>
  <c r="AF122" i="8"/>
  <c r="Z121" i="8"/>
  <c r="AB121" i="8"/>
  <c r="AE122" i="8"/>
  <c r="AB122" i="8"/>
  <c r="AA122" i="8"/>
  <c r="Z122" i="8"/>
  <c r="Z132" i="8"/>
  <c r="AA132" i="8"/>
  <c r="AD132" i="8"/>
  <c r="AC128" i="8"/>
  <c r="AC132" i="8"/>
  <c r="AE132" i="8"/>
  <c r="AC133" i="8"/>
  <c r="Y132" i="8"/>
  <c r="AD133" i="8"/>
  <c r="AA130" i="8"/>
  <c r="AD128" i="8"/>
  <c r="AE128" i="8"/>
  <c r="AC130" i="8"/>
  <c r="Z131" i="8"/>
  <c r="AB128" i="8"/>
  <c r="AD130" i="8"/>
  <c r="AE130" i="8"/>
  <c r="Y130" i="8"/>
  <c r="Z130" i="8"/>
  <c r="Y120" i="8"/>
  <c r="Z120" i="8"/>
  <c r="AB120" i="8"/>
  <c r="Y108" i="8"/>
  <c r="Z108" i="8"/>
  <c r="AA108" i="8"/>
  <c r="AF103" i="8"/>
  <c r="Y103" i="8"/>
  <c r="Z103" i="8"/>
  <c r="AB103" i="8"/>
  <c r="Z105" i="8"/>
  <c r="AA105" i="8"/>
  <c r="AB105" i="8"/>
  <c r="Z104" i="8"/>
  <c r="AE105" i="8"/>
  <c r="Y104" i="8"/>
  <c r="AA104" i="8"/>
  <c r="Y109" i="8"/>
  <c r="Z109" i="8"/>
  <c r="AA109" i="8"/>
  <c r="Y102" i="8"/>
  <c r="AC101" i="8"/>
  <c r="AE101" i="8"/>
  <c r="AC102" i="8"/>
  <c r="AC110" i="8"/>
  <c r="AD110" i="8"/>
  <c r="AE110" i="8"/>
  <c r="J29" i="10"/>
  <c r="C29" i="10"/>
  <c r="O29" i="10"/>
  <c r="F29" i="10"/>
  <c r="G29" i="10"/>
  <c r="P29" i="10"/>
  <c r="H29" i="10"/>
  <c r="R29" i="10"/>
  <c r="K29" i="10"/>
  <c r="S29" i="10"/>
  <c r="T29" i="10"/>
  <c r="D29" i="10"/>
  <c r="L29" i="10"/>
  <c r="E29" i="10"/>
  <c r="N29" i="10"/>
  <c r="N19" i="10"/>
  <c r="D19" i="10"/>
  <c r="E19" i="10"/>
  <c r="F19" i="10"/>
  <c r="G19" i="10"/>
  <c r="H19" i="10"/>
  <c r="C19" i="10"/>
  <c r="L19" i="10"/>
  <c r="T19" i="10"/>
  <c r="O19" i="10"/>
  <c r="P19" i="10"/>
  <c r="J19" i="10"/>
  <c r="R19" i="10"/>
  <c r="K19" i="10"/>
  <c r="S19" i="10"/>
  <c r="N21" i="10"/>
  <c r="C18" i="10"/>
  <c r="C17" i="10"/>
  <c r="C21" i="10"/>
  <c r="F20" i="10"/>
  <c r="H20" i="10"/>
  <c r="D31" i="10"/>
  <c r="D20" i="10"/>
  <c r="C31" i="10"/>
  <c r="D21" i="10"/>
  <c r="D17" i="10"/>
  <c r="F17" i="10"/>
  <c r="H17" i="10"/>
  <c r="O20" i="10"/>
  <c r="E31" i="10"/>
  <c r="R20" i="10"/>
  <c r="P31" i="10"/>
  <c r="H18" i="10"/>
  <c r="R21" i="10"/>
  <c r="N17" i="10"/>
  <c r="J18" i="10"/>
  <c r="E21" i="10"/>
  <c r="G31" i="10"/>
  <c r="J17" i="10"/>
  <c r="O17" i="10"/>
  <c r="N18" i="10"/>
  <c r="J20" i="10"/>
  <c r="K31" i="10"/>
  <c r="R17" i="10"/>
  <c r="N31" i="10"/>
  <c r="E17" i="10"/>
  <c r="S31" i="10"/>
  <c r="E18" i="10"/>
  <c r="L17" i="10"/>
  <c r="T17" i="10"/>
  <c r="G18" i="10"/>
  <c r="P18" i="10"/>
  <c r="L20" i="10"/>
  <c r="T20" i="10"/>
  <c r="G21" i="10"/>
  <c r="P21" i="10"/>
  <c r="Q28" i="10"/>
  <c r="H32" i="10"/>
  <c r="J32" i="10"/>
  <c r="R32" i="10"/>
  <c r="M14" i="10"/>
  <c r="U14" i="10"/>
  <c r="F31" i="10"/>
  <c r="O31" i="10"/>
  <c r="K18" i="10"/>
  <c r="S18" i="10"/>
  <c r="K21" i="10"/>
  <c r="S21" i="10"/>
  <c r="L32" i="10"/>
  <c r="T32" i="10"/>
  <c r="G17" i="10"/>
  <c r="P17" i="10"/>
  <c r="L18" i="10"/>
  <c r="T18" i="10"/>
  <c r="M28" i="10"/>
  <c r="U28" i="10"/>
  <c r="H31" i="10"/>
  <c r="J31" i="10"/>
  <c r="R31" i="10"/>
  <c r="Q14" i="10"/>
  <c r="K17" i="10"/>
  <c r="S17" i="10"/>
  <c r="F18" i="10"/>
  <c r="O18" i="10"/>
  <c r="L31" i="10"/>
  <c r="T31" i="10"/>
  <c r="AG26" i="9" l="1"/>
  <c r="AG23" i="9"/>
  <c r="V13" i="9"/>
  <c r="V23" i="9"/>
  <c r="V26" i="9"/>
  <c r="AD7" i="9"/>
  <c r="AC25" i="9"/>
  <c r="Y7" i="9"/>
  <c r="Y10" i="9"/>
  <c r="X30" i="9"/>
  <c r="X7" i="9"/>
  <c r="AG29" i="8"/>
  <c r="AG26" i="8"/>
  <c r="AE103" i="8"/>
  <c r="AB71" i="8"/>
  <c r="AB77" i="8" s="1"/>
  <c r="U149" i="8"/>
  <c r="U36" i="9" s="1"/>
  <c r="AF36" i="9" s="1"/>
  <c r="P42" i="9"/>
  <c r="Q121" i="8"/>
  <c r="AF105" i="8"/>
  <c r="AD120" i="8"/>
  <c r="AB131" i="8"/>
  <c r="AF120" i="8"/>
  <c r="AD123" i="8"/>
  <c r="AA131" i="8"/>
  <c r="AB102" i="8"/>
  <c r="AF42" i="9"/>
  <c r="AF77" i="8"/>
  <c r="AB51" i="8"/>
  <c r="AB60" i="8" s="1"/>
  <c r="Z8" i="9"/>
  <c r="Y8" i="9"/>
  <c r="AB7" i="9"/>
  <c r="Z7" i="9"/>
  <c r="X10" i="9"/>
  <c r="AC7" i="9"/>
  <c r="AC6" i="9"/>
  <c r="AB6" i="9"/>
  <c r="AD20" i="10"/>
  <c r="AD6" i="9"/>
  <c r="Z20" i="10"/>
  <c r="AE9" i="9"/>
  <c r="AC9" i="9"/>
  <c r="AD9" i="9"/>
  <c r="X20" i="10"/>
  <c r="X8" i="9"/>
  <c r="V26" i="8"/>
  <c r="V29" i="8"/>
  <c r="AB101" i="8"/>
  <c r="M129" i="8"/>
  <c r="M37" i="9" s="1"/>
  <c r="L37" i="9"/>
  <c r="X100" i="8"/>
  <c r="T37" i="9"/>
  <c r="U129" i="8"/>
  <c r="U37" i="9" s="1"/>
  <c r="AE16" i="9"/>
  <c r="AC16" i="9"/>
  <c r="Z102" i="8"/>
  <c r="Q129" i="8"/>
  <c r="Q37" i="9" s="1"/>
  <c r="P37" i="9"/>
  <c r="U118" i="8"/>
  <c r="U34" i="9" s="1"/>
  <c r="AF34" i="9" s="1"/>
  <c r="AE30" i="9"/>
  <c r="AC30" i="9"/>
  <c r="AF51" i="8"/>
  <c r="AF60" i="8" s="1"/>
  <c r="Q107" i="8"/>
  <c r="P38" i="9"/>
  <c r="Y25" i="9"/>
  <c r="L45" i="9"/>
  <c r="X99" i="8"/>
  <c r="U73" i="9"/>
  <c r="AF72" i="9"/>
  <c r="AF73" i="9" s="1"/>
  <c r="X51" i="8"/>
  <c r="X60" i="8" s="1"/>
  <c r="U120" i="8"/>
  <c r="U41" i="9" s="1"/>
  <c r="AF41" i="9" s="1"/>
  <c r="AB30" i="9"/>
  <c r="X25" i="9"/>
  <c r="AD16" i="9"/>
  <c r="U127" i="8"/>
  <c r="U43" i="9" s="1"/>
  <c r="AF43" i="9" s="1"/>
  <c r="M107" i="8"/>
  <c r="L38" i="9"/>
  <c r="Z42" i="9"/>
  <c r="Z25" i="9"/>
  <c r="X118" i="8"/>
  <c r="U133" i="8"/>
  <c r="U46" i="9" s="1"/>
  <c r="AF46" i="9" s="1"/>
  <c r="P43" i="9"/>
  <c r="L41" i="9"/>
  <c r="X119" i="8"/>
  <c r="Y42" i="9"/>
  <c r="AE44" i="9"/>
  <c r="AB44" i="9"/>
  <c r="AF133" i="8"/>
  <c r="Q46" i="9"/>
  <c r="AE46" i="9" s="1"/>
  <c r="AF101" i="8"/>
  <c r="X21" i="8"/>
  <c r="T29" i="9"/>
  <c r="U100" i="8"/>
  <c r="U29" i="9" s="1"/>
  <c r="U140" i="8"/>
  <c r="AF140" i="8" s="1"/>
  <c r="X77" i="8"/>
  <c r="X86" i="8" s="1"/>
  <c r="U107" i="8"/>
  <c r="U38" i="9" s="1"/>
  <c r="T38" i="9"/>
  <c r="AF38" i="9" s="1"/>
  <c r="X42" i="9"/>
  <c r="M133" i="8"/>
  <c r="M46" i="9" s="1"/>
  <c r="AA46" i="9" s="1"/>
  <c r="L46" i="9"/>
  <c r="Z128" i="8"/>
  <c r="M44" i="9"/>
  <c r="AA44" i="9" s="1"/>
  <c r="AD25" i="9"/>
  <c r="U99" i="8"/>
  <c r="U45" i="9" s="1"/>
  <c r="T45" i="9"/>
  <c r="Z30" i="9"/>
  <c r="Y30" i="9"/>
  <c r="AB16" i="9"/>
  <c r="X149" i="8"/>
  <c r="X128" i="8"/>
  <c r="X134" i="8" s="1"/>
  <c r="D73" i="9"/>
  <c r="C23" i="9"/>
  <c r="D26" i="9"/>
  <c r="X26" i="8"/>
  <c r="X29" i="8"/>
  <c r="AB129" i="8"/>
  <c r="Y129" i="8"/>
  <c r="Z129" i="8"/>
  <c r="AA129" i="8"/>
  <c r="AE129" i="8"/>
  <c r="AC129" i="8"/>
  <c r="AD129" i="8"/>
  <c r="AF129" i="8"/>
  <c r="Z110" i="8"/>
  <c r="AC104" i="8"/>
  <c r="Q131" i="8"/>
  <c r="AF131" i="8" s="1"/>
  <c r="AA101" i="8"/>
  <c r="AD104" i="8"/>
  <c r="AB110" i="8"/>
  <c r="AE104" i="8"/>
  <c r="AC131" i="8"/>
  <c r="AA110" i="8"/>
  <c r="AD102" i="8"/>
  <c r="AD101" i="8"/>
  <c r="AE102" i="8"/>
  <c r="AD105" i="8"/>
  <c r="AC120" i="8"/>
  <c r="AA128" i="8"/>
  <c r="AD103" i="8"/>
  <c r="AD108" i="8"/>
  <c r="AE131" i="8"/>
  <c r="AE108" i="8"/>
  <c r="AC108" i="8"/>
  <c r="AF123" i="8"/>
  <c r="AE133" i="8"/>
  <c r="AE123" i="8"/>
  <c r="AB123" i="8"/>
  <c r="Z123" i="8"/>
  <c r="Y123" i="8"/>
  <c r="AD109" i="8"/>
  <c r="AE109" i="8"/>
  <c r="AC109" i="8"/>
  <c r="Z101" i="8"/>
  <c r="AD28" i="10"/>
  <c r="U29" i="10"/>
  <c r="Q29" i="10"/>
  <c r="M29" i="10"/>
  <c r="Q31" i="10"/>
  <c r="M19" i="10"/>
  <c r="Q19" i="10"/>
  <c r="U19" i="10"/>
  <c r="X28" i="10"/>
  <c r="AD14" i="10"/>
  <c r="AB28" i="10"/>
  <c r="M20" i="10"/>
  <c r="AB14" i="10"/>
  <c r="AB19" i="10" s="1"/>
  <c r="Z14" i="10"/>
  <c r="Z17" i="10" s="1"/>
  <c r="AE14" i="10"/>
  <c r="AE19" i="10" s="1"/>
  <c r="AE28" i="10"/>
  <c r="Y28" i="10"/>
  <c r="Z28" i="10"/>
  <c r="Y14" i="10"/>
  <c r="Y17" i="10" s="1"/>
  <c r="AF28" i="10"/>
  <c r="AC28" i="10"/>
  <c r="AF14" i="10"/>
  <c r="AA28" i="10"/>
  <c r="X14" i="10"/>
  <c r="X19" i="10" s="1"/>
  <c r="M32" i="10"/>
  <c r="M31" i="10"/>
  <c r="AA14" i="10"/>
  <c r="AA20" i="10" s="1"/>
  <c r="U32" i="10"/>
  <c r="U20" i="10"/>
  <c r="U21" i="10"/>
  <c r="U18" i="10"/>
  <c r="AC14" i="10"/>
  <c r="AC17" i="10" s="1"/>
  <c r="Q32" i="10"/>
  <c r="M21" i="10"/>
  <c r="M18" i="10"/>
  <c r="M17" i="10"/>
  <c r="Q21" i="10"/>
  <c r="Q20" i="10"/>
  <c r="Q17" i="10"/>
  <c r="Q18" i="10"/>
  <c r="U31" i="10"/>
  <c r="U17" i="10"/>
  <c r="AG31" i="9" l="1"/>
  <c r="AG27" i="9"/>
  <c r="V31" i="9"/>
  <c r="V27" i="9"/>
  <c r="X11" i="9"/>
  <c r="X22" i="9" s="1"/>
  <c r="X26" i="9" s="1"/>
  <c r="X27" i="9" s="1"/>
  <c r="AG30" i="8"/>
  <c r="AG96" i="8"/>
  <c r="AG115" i="8" s="1"/>
  <c r="AG36" i="8"/>
  <c r="AG33" i="8"/>
  <c r="AC121" i="8"/>
  <c r="AD121" i="8"/>
  <c r="AE121" i="8"/>
  <c r="AF121" i="8"/>
  <c r="Q42" i="9"/>
  <c r="AE42" i="9" s="1"/>
  <c r="Z133" i="8"/>
  <c r="AF29" i="9"/>
  <c r="AF45" i="9"/>
  <c r="Y44" i="9"/>
  <c r="Z44" i="9"/>
  <c r="AE37" i="9"/>
  <c r="AA42" i="9"/>
  <c r="X23" i="9"/>
  <c r="AB18" i="10"/>
  <c r="Y18" i="10"/>
  <c r="Y20" i="10"/>
  <c r="Z31" i="10"/>
  <c r="Z32" i="10"/>
  <c r="AD19" i="10"/>
  <c r="AD18" i="10"/>
  <c r="AD17" i="10"/>
  <c r="AB17" i="10"/>
  <c r="Z21" i="10"/>
  <c r="AA17" i="10"/>
  <c r="Y19" i="10"/>
  <c r="AD32" i="10"/>
  <c r="AD31" i="10"/>
  <c r="Y21" i="10"/>
  <c r="AA18" i="10"/>
  <c r="AA21" i="10"/>
  <c r="AA19" i="10"/>
  <c r="AB31" i="10"/>
  <c r="AB32" i="10"/>
  <c r="Y32" i="10"/>
  <c r="Y31" i="10"/>
  <c r="X31" i="10"/>
  <c r="X32" i="10"/>
  <c r="AC19" i="10"/>
  <c r="AC20" i="10"/>
  <c r="AE31" i="10"/>
  <c r="AE32" i="10"/>
  <c r="AD21" i="10"/>
  <c r="AA31" i="10"/>
  <c r="AA32" i="10"/>
  <c r="AE17" i="10"/>
  <c r="AE18" i="10"/>
  <c r="AF18" i="10"/>
  <c r="AF19" i="10"/>
  <c r="AF20" i="10"/>
  <c r="AF21" i="10"/>
  <c r="AF17" i="10"/>
  <c r="X18" i="10"/>
  <c r="Z18" i="10"/>
  <c r="AB21" i="10"/>
  <c r="AB20" i="10"/>
  <c r="AC31" i="10"/>
  <c r="AC32" i="10"/>
  <c r="X17" i="10"/>
  <c r="AE20" i="10"/>
  <c r="AC21" i="10"/>
  <c r="X21" i="10"/>
  <c r="AF32" i="10"/>
  <c r="AF31" i="10"/>
  <c r="AE21" i="10"/>
  <c r="Z19" i="10"/>
  <c r="AC18" i="10"/>
  <c r="V96" i="8"/>
  <c r="V115" i="8" s="1"/>
  <c r="V142" i="8" s="1"/>
  <c r="V36" i="8"/>
  <c r="V33" i="8"/>
  <c r="V30" i="8"/>
  <c r="Y133" i="8"/>
  <c r="X88" i="8"/>
  <c r="Z46" i="9"/>
  <c r="X46" i="9"/>
  <c r="Y107" i="8"/>
  <c r="AA107" i="8"/>
  <c r="Z107" i="8"/>
  <c r="AB107" i="8"/>
  <c r="X124" i="8"/>
  <c r="AB46" i="9"/>
  <c r="AC46" i="9"/>
  <c r="Y46" i="9"/>
  <c r="AD37" i="9"/>
  <c r="AB37" i="9"/>
  <c r="AC37" i="9"/>
  <c r="X44" i="9"/>
  <c r="AA133" i="8"/>
  <c r="AE107" i="8"/>
  <c r="AD107" i="8"/>
  <c r="AF107" i="8"/>
  <c r="AC107" i="8"/>
  <c r="AF37" i="9"/>
  <c r="Z37" i="9"/>
  <c r="X37" i="9"/>
  <c r="Y37" i="9"/>
  <c r="AD131" i="8"/>
  <c r="AB133" i="8"/>
  <c r="AD46" i="9"/>
  <c r="AA37" i="9"/>
  <c r="U26" i="9"/>
  <c r="U23" i="9"/>
  <c r="C26" i="9"/>
  <c r="C27" i="9" s="1"/>
  <c r="D23" i="9"/>
  <c r="D27" i="9"/>
  <c r="D31" i="9"/>
  <c r="X15" i="10"/>
  <c r="X29" i="10"/>
  <c r="AE29" i="10"/>
  <c r="Z29" i="10"/>
  <c r="AB29" i="10"/>
  <c r="Y29" i="10"/>
  <c r="AC29" i="10"/>
  <c r="AF29" i="10"/>
  <c r="AA29" i="10"/>
  <c r="AD29" i="10"/>
  <c r="X36" i="8"/>
  <c r="X30" i="8"/>
  <c r="X96" i="8"/>
  <c r="X115" i="8" s="1"/>
  <c r="U51" i="8"/>
  <c r="U11" i="8"/>
  <c r="H137" i="8"/>
  <c r="H134" i="8"/>
  <c r="H124" i="8"/>
  <c r="H93" i="8"/>
  <c r="H92" i="8"/>
  <c r="H85" i="8"/>
  <c r="H75" i="9" s="1"/>
  <c r="H71" i="8"/>
  <c r="H51" i="8"/>
  <c r="H60" i="8" s="1"/>
  <c r="H40" i="8"/>
  <c r="H39" i="8"/>
  <c r="H11" i="8"/>
  <c r="H20" i="8" s="1"/>
  <c r="U137" i="8"/>
  <c r="U134" i="8"/>
  <c r="U124" i="8"/>
  <c r="U93" i="8"/>
  <c r="U92" i="8"/>
  <c r="U85" i="8"/>
  <c r="U75" i="9" s="1"/>
  <c r="U76" i="9" s="1"/>
  <c r="U85" i="9" s="1"/>
  <c r="U71" i="8"/>
  <c r="U40" i="8"/>
  <c r="U39" i="8"/>
  <c r="T51" i="8"/>
  <c r="S51" i="8"/>
  <c r="R51" i="8"/>
  <c r="P51" i="8"/>
  <c r="O51" i="8"/>
  <c r="N51" i="8"/>
  <c r="L51" i="8"/>
  <c r="K51" i="8"/>
  <c r="J51" i="8"/>
  <c r="G51" i="8"/>
  <c r="F51" i="8"/>
  <c r="E51" i="8"/>
  <c r="D51" i="8"/>
  <c r="C51" i="8"/>
  <c r="C60" i="8" s="1"/>
  <c r="Q127" i="8"/>
  <c r="Q43" i="9" s="1"/>
  <c r="M127" i="8"/>
  <c r="M43" i="9" s="1"/>
  <c r="Q119" i="8"/>
  <c r="Q41" i="9" s="1"/>
  <c r="M119" i="8"/>
  <c r="M41" i="9" s="1"/>
  <c r="AA41" i="9" s="1"/>
  <c r="Q118" i="8"/>
  <c r="Q34" i="9" s="1"/>
  <c r="M118" i="8"/>
  <c r="M34" i="9" s="1"/>
  <c r="C134" i="8"/>
  <c r="C124" i="8"/>
  <c r="C93" i="8"/>
  <c r="C92" i="8"/>
  <c r="C85" i="8"/>
  <c r="C75" i="9" s="1"/>
  <c r="C76" i="9" s="1"/>
  <c r="C85" i="9" s="1"/>
  <c r="C71" i="8"/>
  <c r="C40" i="8"/>
  <c r="C39" i="8"/>
  <c r="C11" i="8"/>
  <c r="C20" i="8" s="1"/>
  <c r="Q55" i="9"/>
  <c r="AB55" i="9" s="1"/>
  <c r="M55" i="9"/>
  <c r="X55" i="9" s="1"/>
  <c r="E57" i="9"/>
  <c r="T73" i="9"/>
  <c r="S73" i="9"/>
  <c r="R73" i="9"/>
  <c r="P73" i="9"/>
  <c r="O73" i="9"/>
  <c r="N73" i="9"/>
  <c r="L73" i="9"/>
  <c r="K73" i="9"/>
  <c r="J73" i="9"/>
  <c r="H73" i="9"/>
  <c r="G73" i="9"/>
  <c r="F73" i="9"/>
  <c r="E73" i="9"/>
  <c r="B6" i="9"/>
  <c r="Q113" i="8"/>
  <c r="M113" i="8"/>
  <c r="AA113" i="8" s="1"/>
  <c r="M148" i="8"/>
  <c r="M35" i="9" s="1"/>
  <c r="M111" i="8"/>
  <c r="Q112" i="8"/>
  <c r="M149" i="8"/>
  <c r="M36" i="9" s="1"/>
  <c r="Q149" i="8"/>
  <c r="Q36" i="9" s="1"/>
  <c r="Q148" i="8"/>
  <c r="Q35" i="9" s="1"/>
  <c r="Q141" i="8"/>
  <c r="AB141" i="8" s="1"/>
  <c r="AC137" i="8" s="1"/>
  <c r="Q140" i="8"/>
  <c r="AB140" i="8" s="1"/>
  <c r="M141" i="8"/>
  <c r="X141" i="8" s="1"/>
  <c r="Y137" i="8" s="1"/>
  <c r="M140" i="8"/>
  <c r="X140" i="8" s="1"/>
  <c r="M32" i="8"/>
  <c r="X32" i="8" s="1"/>
  <c r="X33" i="8" s="1"/>
  <c r="Q32" i="8"/>
  <c r="AB32" i="8" s="1"/>
  <c r="AG39" i="9" l="1"/>
  <c r="AG48" i="9" s="1"/>
  <c r="AG84" i="9" a="1"/>
  <c r="AG84" i="9" s="1"/>
  <c r="AG83" i="9" a="1"/>
  <c r="AG83" i="9" s="1"/>
  <c r="AG32" i="9"/>
  <c r="AG82" i="9"/>
  <c r="AG80" i="9"/>
  <c r="AG81" i="9"/>
  <c r="V32" i="9"/>
  <c r="V39" i="9"/>
  <c r="AD42" i="9"/>
  <c r="AC42" i="9"/>
  <c r="AB42" i="9"/>
  <c r="AA35" i="9"/>
  <c r="X35" i="9"/>
  <c r="Z35" i="9"/>
  <c r="Y35" i="9"/>
  <c r="AE41" i="9"/>
  <c r="AB41" i="9"/>
  <c r="AC41" i="9"/>
  <c r="AD41" i="9"/>
  <c r="AA43" i="9"/>
  <c r="Z43" i="9"/>
  <c r="Y43" i="9"/>
  <c r="X43" i="9"/>
  <c r="Y41" i="9"/>
  <c r="AE43" i="9"/>
  <c r="AB43" i="9"/>
  <c r="AC43" i="9"/>
  <c r="X41" i="9"/>
  <c r="AE35" i="9"/>
  <c r="AB35" i="9"/>
  <c r="AD35" i="9"/>
  <c r="AC35" i="9"/>
  <c r="U77" i="8"/>
  <c r="U66" i="9" s="1"/>
  <c r="AF66" i="9" s="1"/>
  <c r="U65" i="9"/>
  <c r="AF65" i="9" s="1"/>
  <c r="Z41" i="9"/>
  <c r="AE36" i="9"/>
  <c r="AC36" i="9"/>
  <c r="AB36" i="9"/>
  <c r="AD36" i="9"/>
  <c r="AA34" i="9"/>
  <c r="Z34" i="9"/>
  <c r="X34" i="9"/>
  <c r="Y34" i="9"/>
  <c r="AD43" i="9"/>
  <c r="C77" i="8"/>
  <c r="C66" i="9" s="1"/>
  <c r="C65" i="9"/>
  <c r="AA36" i="9"/>
  <c r="Z36" i="9"/>
  <c r="X36" i="9"/>
  <c r="Y36" i="9"/>
  <c r="AE34" i="9"/>
  <c r="AB34" i="9"/>
  <c r="AD34" i="9"/>
  <c r="AC34" i="9"/>
  <c r="H77" i="8"/>
  <c r="H66" i="9" s="1"/>
  <c r="H65" i="9"/>
  <c r="U27" i="9"/>
  <c r="U31" i="9"/>
  <c r="C31" i="9"/>
  <c r="C39" i="9" s="1"/>
  <c r="C48" i="9" s="1"/>
  <c r="D84" i="9" a="1"/>
  <c r="D84" i="9" s="1"/>
  <c r="D83" i="9" a="1"/>
  <c r="D83" i="9" s="1"/>
  <c r="D82" i="9"/>
  <c r="D32" i="9"/>
  <c r="D39" i="9"/>
  <c r="D80" i="9"/>
  <c r="D81" i="9"/>
  <c r="U15" i="10"/>
  <c r="U20" i="8"/>
  <c r="C15" i="10"/>
  <c r="H25" i="8"/>
  <c r="H15" i="10"/>
  <c r="U60" i="8"/>
  <c r="Q51" i="8"/>
  <c r="M51" i="8"/>
  <c r="Q100" i="8"/>
  <c r="C25" i="8"/>
  <c r="C86" i="8"/>
  <c r="C88" i="8" s="1"/>
  <c r="Y113" i="8"/>
  <c r="AB113" i="8"/>
  <c r="AE113" i="8"/>
  <c r="Y127" i="8"/>
  <c r="Z113" i="8"/>
  <c r="Y111" i="8"/>
  <c r="Z111" i="8"/>
  <c r="AA111" i="8"/>
  <c r="AC113" i="8"/>
  <c r="Z127" i="8"/>
  <c r="AB111" i="8"/>
  <c r="AC112" i="8"/>
  <c r="AD113" i="8"/>
  <c r="AA127" i="8"/>
  <c r="AD112" i="8"/>
  <c r="AB127" i="8"/>
  <c r="AE112" i="8"/>
  <c r="R124" i="8"/>
  <c r="D124" i="8"/>
  <c r="M73" i="9"/>
  <c r="Q73" i="9"/>
  <c r="G124" i="8"/>
  <c r="N124" i="8"/>
  <c r="E124" i="8"/>
  <c r="J124" i="8"/>
  <c r="F124" i="8"/>
  <c r="M114" i="8"/>
  <c r="Q114" i="8"/>
  <c r="AE114" i="8" s="1"/>
  <c r="AF113" i="8"/>
  <c r="M112" i="8"/>
  <c r="Y112" i="8" s="1"/>
  <c r="AB118" i="8"/>
  <c r="M99" i="8"/>
  <c r="T124" i="8"/>
  <c r="Q111" i="8"/>
  <c r="AC118" i="8"/>
  <c r="AD119" i="8"/>
  <c r="Q99" i="8"/>
  <c r="AF112" i="8"/>
  <c r="V48" i="9" l="1"/>
  <c r="M38" i="9"/>
  <c r="AA38" i="9" s="1"/>
  <c r="U86" i="8"/>
  <c r="U88" i="8" s="1"/>
  <c r="AC99" i="8"/>
  <c r="Q45" i="9"/>
  <c r="AF100" i="8"/>
  <c r="Q29" i="9"/>
  <c r="Q38" i="9"/>
  <c r="H86" i="8"/>
  <c r="H88" i="8" s="1"/>
  <c r="Y99" i="8"/>
  <c r="M45" i="9"/>
  <c r="D48" i="9"/>
  <c r="U39" i="9"/>
  <c r="U32" i="9"/>
  <c r="C81" i="9"/>
  <c r="C82" i="9"/>
  <c r="C32" i="9"/>
  <c r="C84" i="9" a="1"/>
  <c r="C84" i="9" s="1"/>
  <c r="C80" i="9"/>
  <c r="C83" i="9" a="1"/>
  <c r="C83" i="9" s="1"/>
  <c r="H21" i="8"/>
  <c r="AB11" i="9"/>
  <c r="AB12" i="9" s="1"/>
  <c r="AA11" i="9"/>
  <c r="Z11" i="9"/>
  <c r="Y11" i="9"/>
  <c r="Y22" i="9" s="1"/>
  <c r="U25" i="8"/>
  <c r="U29" i="8" s="1"/>
  <c r="U96" i="8" s="1"/>
  <c r="U21" i="8"/>
  <c r="H29" i="8"/>
  <c r="H96" i="8" s="1"/>
  <c r="H26" i="8"/>
  <c r="AC100" i="8"/>
  <c r="AE100" i="8"/>
  <c r="M100" i="8"/>
  <c r="AD100" i="8"/>
  <c r="C21" i="8"/>
  <c r="AD114" i="8"/>
  <c r="Z112" i="8"/>
  <c r="AE119" i="8"/>
  <c r="AD118" i="8"/>
  <c r="AD124" i="8" s="1"/>
  <c r="AD111" i="8"/>
  <c r="AE111" i="8"/>
  <c r="AC119" i="8"/>
  <c r="AC124" i="8" s="1"/>
  <c r="AE99" i="8"/>
  <c r="AC114" i="8"/>
  <c r="AE118" i="8"/>
  <c r="AE124" i="8" s="1"/>
  <c r="Z118" i="8"/>
  <c r="AD99" i="8"/>
  <c r="AB99" i="8"/>
  <c r="Z99" i="8"/>
  <c r="Y114" i="8"/>
  <c r="AB114" i="8"/>
  <c r="Z114" i="8"/>
  <c r="AB112" i="8"/>
  <c r="AA112" i="8"/>
  <c r="AC111" i="8"/>
  <c r="AA118" i="8"/>
  <c r="AA124" i="8" s="1"/>
  <c r="AA99" i="8"/>
  <c r="Y118" i="8"/>
  <c r="AA114" i="8"/>
  <c r="AF99" i="8"/>
  <c r="L124" i="8"/>
  <c r="AA119" i="8"/>
  <c r="K124" i="8"/>
  <c r="AF111" i="8"/>
  <c r="S124" i="8"/>
  <c r="AF119" i="8"/>
  <c r="P124" i="8"/>
  <c r="AF118" i="8"/>
  <c r="O124" i="8"/>
  <c r="T137" i="8"/>
  <c r="P137" i="8"/>
  <c r="O137" i="8"/>
  <c r="M137" i="8"/>
  <c r="X137" i="8" s="1"/>
  <c r="L137" i="8"/>
  <c r="J134" i="8"/>
  <c r="K134" i="8"/>
  <c r="L134" i="8"/>
  <c r="K137" i="8"/>
  <c r="R137" i="8"/>
  <c r="N137" i="8"/>
  <c r="AF114" i="8"/>
  <c r="Y38" i="9" l="1"/>
  <c r="Z38" i="9"/>
  <c r="X38" i="9"/>
  <c r="AE29" i="9"/>
  <c r="AC29" i="9"/>
  <c r="AB29" i="9"/>
  <c r="AD29" i="9"/>
  <c r="AB100" i="8"/>
  <c r="M29" i="9"/>
  <c r="AA45" i="9"/>
  <c r="X45" i="9"/>
  <c r="Y45" i="9"/>
  <c r="Z45" i="9"/>
  <c r="AE45" i="9"/>
  <c r="AB45" i="9"/>
  <c r="AC45" i="9"/>
  <c r="AD45" i="9"/>
  <c r="AF124" i="8"/>
  <c r="AE38" i="9"/>
  <c r="AC38" i="9"/>
  <c r="AB38" i="9"/>
  <c r="AD38" i="9"/>
  <c r="AA22" i="9"/>
  <c r="Z22" i="9"/>
  <c r="AB22" i="9"/>
  <c r="U48" i="9"/>
  <c r="U26" i="8"/>
  <c r="U36" i="8"/>
  <c r="U33" i="8"/>
  <c r="U30" i="8"/>
  <c r="H33" i="8"/>
  <c r="H36" i="8"/>
  <c r="H30" i="8"/>
  <c r="U115" i="8"/>
  <c r="U142" i="8" s="1"/>
  <c r="AF142" i="8" s="1"/>
  <c r="Y100" i="8"/>
  <c r="Z100" i="8"/>
  <c r="AA100" i="8"/>
  <c r="C29" i="8"/>
  <c r="C96" i="8" s="1"/>
  <c r="C26" i="8"/>
  <c r="M124" i="8"/>
  <c r="AB119" i="8"/>
  <c r="Z119" i="8"/>
  <c r="Z124" i="8" s="1"/>
  <c r="AD127" i="8"/>
  <c r="AE127" i="8"/>
  <c r="AC127" i="8"/>
  <c r="Y119" i="8"/>
  <c r="Y124" i="8" s="1"/>
  <c r="AF127" i="8"/>
  <c r="Q124" i="8"/>
  <c r="S137" i="8"/>
  <c r="Y148" i="8"/>
  <c r="H11" i="9"/>
  <c r="H22" i="9" s="1"/>
  <c r="E11" i="9"/>
  <c r="E22" i="9" s="1"/>
  <c r="F11" i="9"/>
  <c r="F22" i="9" s="1"/>
  <c r="G11" i="9"/>
  <c r="G22" i="9" s="1"/>
  <c r="M11" i="9"/>
  <c r="M22" i="9" s="1"/>
  <c r="K11" i="9"/>
  <c r="K22" i="9" s="1"/>
  <c r="L11" i="9"/>
  <c r="L22" i="9" s="1"/>
  <c r="J11" i="9"/>
  <c r="J22" i="9" s="1"/>
  <c r="S11" i="9"/>
  <c r="S22" i="9" s="1"/>
  <c r="R11" i="9"/>
  <c r="T11" i="9"/>
  <c r="T22" i="9" s="1"/>
  <c r="P11" i="9"/>
  <c r="P22" i="9" s="1"/>
  <c r="O11" i="9"/>
  <c r="O22" i="9" s="1"/>
  <c r="N11" i="9"/>
  <c r="N22" i="9" s="1"/>
  <c r="E137" i="8"/>
  <c r="F137" i="8"/>
  <c r="G137" i="8"/>
  <c r="Q137" i="8"/>
  <c r="R22" i="9" l="1"/>
  <c r="V12" i="9"/>
  <c r="AB124" i="8"/>
  <c r="AA29" i="9"/>
  <c r="Y29" i="9"/>
  <c r="Z29" i="9"/>
  <c r="X29" i="9"/>
  <c r="X31" i="9" s="1"/>
  <c r="U13" i="9"/>
  <c r="Y26" i="9"/>
  <c r="Y31" i="9" s="1"/>
  <c r="J137" i="8"/>
  <c r="AD11" i="9"/>
  <c r="AE11" i="9"/>
  <c r="C36" i="8"/>
  <c r="C33" i="8"/>
  <c r="H115" i="8"/>
  <c r="H142" i="8" s="1"/>
  <c r="Z26" i="9"/>
  <c r="Z31" i="9" s="1"/>
  <c r="C30" i="8"/>
  <c r="AB26" i="9"/>
  <c r="AB31" i="9" s="1"/>
  <c r="AA26" i="9"/>
  <c r="Q11" i="9"/>
  <c r="Q22" i="9" s="1"/>
  <c r="AD148" i="8"/>
  <c r="AE148" i="8"/>
  <c r="AB148" i="8"/>
  <c r="AA148" i="8"/>
  <c r="Z148" i="8"/>
  <c r="AF148" i="8"/>
  <c r="AC148" i="8"/>
  <c r="AA31" i="9" l="1"/>
  <c r="X83" i="9" a="1"/>
  <c r="X83" i="9" s="1"/>
  <c r="X82" i="9"/>
  <c r="X81" i="9"/>
  <c r="X32" i="9"/>
  <c r="X80" i="9"/>
  <c r="X39" i="9"/>
  <c r="X84" i="9" a="1"/>
  <c r="X84" i="9" s="1"/>
  <c r="AE22" i="9"/>
  <c r="AE26" i="9" s="1"/>
  <c r="AE31" i="9" s="1"/>
  <c r="AD22" i="9"/>
  <c r="AD26" i="9" s="1"/>
  <c r="AD31" i="9" s="1"/>
  <c r="U12" i="9"/>
  <c r="AC11" i="9"/>
  <c r="C115" i="8"/>
  <c r="C142" i="8" s="1"/>
  <c r="AC22" i="9" l="1"/>
  <c r="AC26" i="9" s="1"/>
  <c r="AC31" i="9" s="1"/>
  <c r="C138" i="8"/>
  <c r="C143" i="8" s="1"/>
  <c r="D136" i="8" s="1"/>
  <c r="Q8" i="8"/>
  <c r="Q4" i="9" s="1"/>
  <c r="AB4" i="9" s="1"/>
  <c r="M8" i="8"/>
  <c r="M4" i="10" l="1"/>
  <c r="X4" i="10" s="1"/>
  <c r="M4" i="9"/>
  <c r="X4" i="9" s="1"/>
  <c r="X8" i="8"/>
  <c r="Q4" i="10"/>
  <c r="AB4" i="10" s="1"/>
  <c r="AB8" i="8"/>
  <c r="C145" i="8"/>
  <c r="G56" i="9"/>
  <c r="S56" i="9"/>
  <c r="F56" i="9"/>
  <c r="L56" i="9"/>
  <c r="H56" i="9"/>
  <c r="P56" i="9"/>
  <c r="E56" i="9"/>
  <c r="K56" i="9"/>
  <c r="J56" i="9"/>
  <c r="N56" i="9"/>
  <c r="O56" i="9"/>
  <c r="R56" i="9"/>
  <c r="T56" i="9"/>
  <c r="X93" i="8" l="1"/>
  <c r="X40" i="8"/>
  <c r="B2" i="9"/>
  <c r="T71" i="8"/>
  <c r="T65" i="9" s="1"/>
  <c r="AE65" i="9" s="1"/>
  <c r="S71" i="8"/>
  <c r="S65" i="9" s="1"/>
  <c r="AD65" i="9" s="1"/>
  <c r="R71" i="8"/>
  <c r="R65" i="9" s="1"/>
  <c r="AC65" i="9" s="1"/>
  <c r="P71" i="8"/>
  <c r="P65" i="9" s="1"/>
  <c r="AA65" i="9" s="1"/>
  <c r="O71" i="8"/>
  <c r="O65" i="9" s="1"/>
  <c r="Z65" i="9" s="1"/>
  <c r="N71" i="8"/>
  <c r="N65" i="9" s="1"/>
  <c r="Y65" i="9" s="1"/>
  <c r="L71" i="8"/>
  <c r="L65" i="9" s="1"/>
  <c r="K71" i="8"/>
  <c r="K65" i="9" s="1"/>
  <c r="J71" i="8"/>
  <c r="J65" i="9" s="1"/>
  <c r="G71" i="8"/>
  <c r="G65" i="9" s="1"/>
  <c r="F71" i="8"/>
  <c r="F65" i="9" s="1"/>
  <c r="E71" i="8"/>
  <c r="E65" i="9" s="1"/>
  <c r="D71" i="8"/>
  <c r="D65" i="9" s="1"/>
  <c r="AF56" i="9"/>
  <c r="AF93" i="8"/>
  <c r="AF92" i="8"/>
  <c r="T93" i="8"/>
  <c r="T92" i="8"/>
  <c r="T85" i="8"/>
  <c r="T75" i="9" s="1"/>
  <c r="T40" i="8"/>
  <c r="T39" i="8"/>
  <c r="T11" i="8"/>
  <c r="T20" i="8" s="1"/>
  <c r="R134" i="8"/>
  <c r="G134" i="8"/>
  <c r="F134" i="8"/>
  <c r="E134" i="8"/>
  <c r="AE56" i="9"/>
  <c r="AD56" i="9"/>
  <c r="AB56" i="9"/>
  <c r="L85" i="8"/>
  <c r="L75" i="9" s="1"/>
  <c r="X75" i="9" s="1"/>
  <c r="X76" i="9" s="1"/>
  <c r="X85" i="9" s="1"/>
  <c r="S93" i="8"/>
  <c r="R93" i="8"/>
  <c r="Q93" i="8"/>
  <c r="P93" i="8"/>
  <c r="O93" i="8"/>
  <c r="N93" i="8"/>
  <c r="M93" i="8"/>
  <c r="L93" i="8"/>
  <c r="K93" i="8"/>
  <c r="J93" i="8"/>
  <c r="S92" i="8"/>
  <c r="R92" i="8"/>
  <c r="Q92" i="8"/>
  <c r="P92" i="8"/>
  <c r="O92" i="8"/>
  <c r="N92" i="8"/>
  <c r="M92" i="8"/>
  <c r="L92" i="8"/>
  <c r="K92" i="8"/>
  <c r="J92" i="8"/>
  <c r="P85" i="8"/>
  <c r="P75" i="9" s="1"/>
  <c r="O85" i="8"/>
  <c r="O75" i="9" s="1"/>
  <c r="N85" i="8"/>
  <c r="N75" i="9" s="1"/>
  <c r="K85" i="8"/>
  <c r="K75" i="9" s="1"/>
  <c r="J85" i="8"/>
  <c r="J75" i="9" s="1"/>
  <c r="S40" i="8"/>
  <c r="R40" i="8"/>
  <c r="Q40" i="8"/>
  <c r="P40" i="8"/>
  <c r="O40" i="8"/>
  <c r="N40" i="8"/>
  <c r="M40" i="8"/>
  <c r="L40" i="8"/>
  <c r="K40" i="8"/>
  <c r="J40" i="8"/>
  <c r="S39" i="8"/>
  <c r="R39" i="8"/>
  <c r="Q39" i="8"/>
  <c r="P39" i="8"/>
  <c r="O39" i="8"/>
  <c r="N39" i="8"/>
  <c r="M39" i="8"/>
  <c r="L39" i="8"/>
  <c r="K39" i="8"/>
  <c r="J39" i="8"/>
  <c r="G40" i="8"/>
  <c r="F40" i="8"/>
  <c r="E40" i="8"/>
  <c r="D40" i="8"/>
  <c r="G39" i="8"/>
  <c r="F39" i="8"/>
  <c r="E39" i="8"/>
  <c r="D39" i="8"/>
  <c r="O11" i="8"/>
  <c r="O20" i="8" s="1"/>
  <c r="N11" i="8"/>
  <c r="N20" i="8" s="1"/>
  <c r="L11" i="8"/>
  <c r="L20" i="8" s="1"/>
  <c r="K11" i="8"/>
  <c r="K20" i="8" s="1"/>
  <c r="J11" i="8"/>
  <c r="J20" i="8" s="1"/>
  <c r="S11" i="8"/>
  <c r="S20" i="8" s="1"/>
  <c r="L15" i="10" l="1"/>
  <c r="J15" i="10"/>
  <c r="K15" i="10"/>
  <c r="N25" i="8"/>
  <c r="N15" i="10"/>
  <c r="T25" i="8"/>
  <c r="T15" i="10"/>
  <c r="O25" i="8"/>
  <c r="O15" i="10"/>
  <c r="S15" i="10"/>
  <c r="T77" i="8"/>
  <c r="T66" i="9" s="1"/>
  <c r="AE66" i="9" s="1"/>
  <c r="Z75" i="9"/>
  <c r="AF75" i="9"/>
  <c r="AD149" i="8"/>
  <c r="AA75" i="9"/>
  <c r="AB75" i="9"/>
  <c r="M56" i="9"/>
  <c r="L60" i="8"/>
  <c r="M71" i="8"/>
  <c r="M65" i="9" s="1"/>
  <c r="X65" i="9" s="1"/>
  <c r="Q71" i="8"/>
  <c r="Q65" i="9" s="1"/>
  <c r="AB65" i="9" s="1"/>
  <c r="L77" i="8"/>
  <c r="L66" i="9" s="1"/>
  <c r="K77" i="8"/>
  <c r="K66" i="9" s="1"/>
  <c r="AF39" i="8"/>
  <c r="AF40" i="8"/>
  <c r="J77" i="8"/>
  <c r="J66" i="9" s="1"/>
  <c r="K60" i="8"/>
  <c r="D134" i="8"/>
  <c r="S134" i="8"/>
  <c r="N134" i="8"/>
  <c r="O134" i="8"/>
  <c r="S60" i="8"/>
  <c r="P60" i="8"/>
  <c r="J60" i="8"/>
  <c r="O60" i="8"/>
  <c r="N60" i="8"/>
  <c r="G77" i="8"/>
  <c r="G66" i="9" s="1"/>
  <c r="AB149" i="8"/>
  <c r="AA56" i="9"/>
  <c r="Z56" i="9"/>
  <c r="AC149" i="8"/>
  <c r="Z149" i="8"/>
  <c r="AA149" i="8"/>
  <c r="Y149" i="8"/>
  <c r="M11" i="8"/>
  <c r="M20" i="8" s="1"/>
  <c r="M85" i="8"/>
  <c r="M75" i="9" s="1"/>
  <c r="M60" i="8"/>
  <c r="Q60" i="8"/>
  <c r="M25" i="8" l="1"/>
  <c r="M15" i="10"/>
  <c r="L25" i="8"/>
  <c r="T86" i="8"/>
  <c r="K25" i="8"/>
  <c r="T21" i="8"/>
  <c r="T29" i="8"/>
  <c r="T96" i="8" s="1"/>
  <c r="J25" i="8"/>
  <c r="AF86" i="8"/>
  <c r="AF88" i="8" s="1"/>
  <c r="AF11" i="8"/>
  <c r="Q56" i="9"/>
  <c r="AC56" i="9"/>
  <c r="AA76" i="9"/>
  <c r="AA85" i="9" s="1"/>
  <c r="Z76" i="9"/>
  <c r="Z85" i="9" s="1"/>
  <c r="T76" i="9"/>
  <c r="T85" i="9" s="1"/>
  <c r="AB76" i="9"/>
  <c r="AB85" i="9" s="1"/>
  <c r="K86" i="8"/>
  <c r="K88" i="8" s="1"/>
  <c r="AF76" i="9"/>
  <c r="AF85" i="9" s="1"/>
  <c r="Y75" i="9"/>
  <c r="Y76" i="9" s="1"/>
  <c r="Y85" i="9" s="1"/>
  <c r="T60" i="8"/>
  <c r="L86" i="8"/>
  <c r="L88" i="8" s="1"/>
  <c r="T134" i="8"/>
  <c r="J86" i="8"/>
  <c r="J88" i="8" s="1"/>
  <c r="P134" i="8"/>
  <c r="Y56" i="9"/>
  <c r="O77" i="8"/>
  <c r="O66" i="9" s="1"/>
  <c r="Z66" i="9" s="1"/>
  <c r="N77" i="8"/>
  <c r="N66" i="9" s="1"/>
  <c r="Y66" i="9" s="1"/>
  <c r="M77" i="8"/>
  <c r="M66" i="9" s="1"/>
  <c r="X66" i="9" s="1"/>
  <c r="P77" i="8"/>
  <c r="P66" i="9" s="1"/>
  <c r="AA66" i="9" s="1"/>
  <c r="O21" i="8"/>
  <c r="O29" i="8"/>
  <c r="O96" i="8" s="1"/>
  <c r="N21" i="8"/>
  <c r="AF20" i="8" l="1"/>
  <c r="AF15" i="10"/>
  <c r="T36" i="8"/>
  <c r="T33" i="8"/>
  <c r="O36" i="8"/>
  <c r="O33" i="8"/>
  <c r="N29" i="8"/>
  <c r="N96" i="8" s="1"/>
  <c r="K29" i="8"/>
  <c r="K96" i="8" s="1"/>
  <c r="L26" i="8"/>
  <c r="L21" i="8"/>
  <c r="K21" i="8"/>
  <c r="T88" i="8"/>
  <c r="T26" i="9"/>
  <c r="T31" i="9" s="1"/>
  <c r="T26" i="8"/>
  <c r="J29" i="8"/>
  <c r="J96" i="8" s="1"/>
  <c r="J21" i="8"/>
  <c r="AE149" i="8"/>
  <c r="N86" i="8"/>
  <c r="N88" i="8" s="1"/>
  <c r="O86" i="8"/>
  <c r="O88" i="8" s="1"/>
  <c r="O26" i="8"/>
  <c r="AE134" i="8"/>
  <c r="AF134" i="8"/>
  <c r="AC134" i="8"/>
  <c r="AA134" i="8"/>
  <c r="AD134" i="8"/>
  <c r="Q134" i="8"/>
  <c r="P86" i="8"/>
  <c r="P88" i="8" s="1"/>
  <c r="M86" i="8"/>
  <c r="M88" i="8" s="1"/>
  <c r="M21" i="8"/>
  <c r="M29" i="8"/>
  <c r="M96" i="8" s="1"/>
  <c r="N26" i="8"/>
  <c r="N33" i="8" l="1"/>
  <c r="N36" i="8"/>
  <c r="J36" i="8"/>
  <c r="J33" i="8"/>
  <c r="K33" i="8"/>
  <c r="K36" i="8"/>
  <c r="M36" i="8"/>
  <c r="M33" i="8"/>
  <c r="T115" i="8"/>
  <c r="T142" i="8" s="1"/>
  <c r="AE142" i="8" s="1"/>
  <c r="O115" i="8"/>
  <c r="O142" i="8" s="1"/>
  <c r="Z142" i="8" s="1"/>
  <c r="AC39" i="9"/>
  <c r="AD39" i="9"/>
  <c r="AE39" i="9"/>
  <c r="Y39" i="9"/>
  <c r="AB39" i="9"/>
  <c r="Z39" i="9"/>
  <c r="AA39" i="9"/>
  <c r="L29" i="8"/>
  <c r="L96" i="8" s="1"/>
  <c r="K26" i="8"/>
  <c r="AF25" i="8"/>
  <c r="T30" i="8"/>
  <c r="T23" i="9"/>
  <c r="J26" i="8"/>
  <c r="AF149" i="8"/>
  <c r="T27" i="9"/>
  <c r="K30" i="8"/>
  <c r="M26" i="8"/>
  <c r="Y134" i="8"/>
  <c r="M134" i="8"/>
  <c r="AB134" i="8"/>
  <c r="Z134" i="8"/>
  <c r="O30" i="8"/>
  <c r="N30" i="8"/>
  <c r="L36" i="8" l="1"/>
  <c r="L33" i="8"/>
  <c r="J115" i="8"/>
  <c r="J142" i="8" s="1"/>
  <c r="N115" i="8"/>
  <c r="N142" i="8" s="1"/>
  <c r="Y142" i="8" s="1"/>
  <c r="K115" i="8"/>
  <c r="K142" i="8" s="1"/>
  <c r="L30" i="8"/>
  <c r="AF21" i="8"/>
  <c r="AF29" i="8"/>
  <c r="AF96" i="8" s="1"/>
  <c r="AF11" i="9"/>
  <c r="J30" i="8"/>
  <c r="T32" i="9"/>
  <c r="T39" i="9"/>
  <c r="M30" i="8"/>
  <c r="AF22" i="9" l="1"/>
  <c r="AF26" i="9" s="1"/>
  <c r="AF31" i="9" s="1"/>
  <c r="AF39" i="9" s="1"/>
  <c r="AF36" i="8"/>
  <c r="AF33" i="8"/>
  <c r="L115" i="8"/>
  <c r="L142" i="8" s="1"/>
  <c r="AF30" i="8"/>
  <c r="AF26" i="8"/>
  <c r="AB23" i="9"/>
  <c r="AA23" i="9"/>
  <c r="Y23" i="9"/>
  <c r="AD12" i="9"/>
  <c r="T48" i="9"/>
  <c r="Y27" i="9"/>
  <c r="M115" i="8"/>
  <c r="M142" i="8" s="1"/>
  <c r="X142" i="8" s="1"/>
  <c r="Z83" i="9" l="1" a="1"/>
  <c r="Z83" i="9" s="1"/>
  <c r="AA82" i="9"/>
  <c r="Z23" i="9"/>
  <c r="AC12" i="9"/>
  <c r="AF12" i="9"/>
  <c r="Z27" i="9"/>
  <c r="AA27" i="9"/>
  <c r="AD23" i="9"/>
  <c r="Y84" i="9" a="1"/>
  <c r="Y84" i="9" s="1"/>
  <c r="Y82" i="9"/>
  <c r="Y83" i="9" a="1"/>
  <c r="Y83" i="9" s="1"/>
  <c r="Y81" i="9"/>
  <c r="Y32" i="9"/>
  <c r="Y80" i="9"/>
  <c r="B93" i="8"/>
  <c r="B92" i="8"/>
  <c r="G93" i="8"/>
  <c r="F93" i="8"/>
  <c r="E93" i="8"/>
  <c r="D93" i="8"/>
  <c r="G92" i="8"/>
  <c r="F92" i="8"/>
  <c r="E92" i="8"/>
  <c r="D92" i="8"/>
  <c r="B40" i="8"/>
  <c r="B39" i="8"/>
  <c r="AE40" i="8"/>
  <c r="AD40" i="8"/>
  <c r="AC40" i="8"/>
  <c r="AA40" i="8"/>
  <c r="Z40" i="8"/>
  <c r="Y40" i="8"/>
  <c r="AB40" i="8"/>
  <c r="AE39" i="8"/>
  <c r="AD39" i="8"/>
  <c r="AC39" i="8"/>
  <c r="AB39" i="8"/>
  <c r="AA39" i="8"/>
  <c r="Z39" i="8"/>
  <c r="Y39" i="8"/>
  <c r="AA84" i="9" l="1" a="1"/>
  <c r="AA84" i="9" s="1"/>
  <c r="Z81" i="9"/>
  <c r="AA32" i="9"/>
  <c r="AA80" i="9"/>
  <c r="AA83" i="9" a="1"/>
  <c r="AA83" i="9" s="1"/>
  <c r="Z84" i="9" a="1"/>
  <c r="Z84" i="9" s="1"/>
  <c r="AA81" i="9"/>
  <c r="Z82" i="9"/>
  <c r="Z32" i="9"/>
  <c r="Z80" i="9"/>
  <c r="AB80" i="9"/>
  <c r="AB27" i="9"/>
  <c r="AC23" i="9"/>
  <c r="AD27" i="9"/>
  <c r="Y92" i="8"/>
  <c r="Y93" i="8"/>
  <c r="AB92" i="8"/>
  <c r="AC92" i="8"/>
  <c r="AC93" i="8"/>
  <c r="AD93" i="8"/>
  <c r="AA92" i="8"/>
  <c r="AD92" i="8"/>
  <c r="AA93" i="8"/>
  <c r="Z93" i="8"/>
  <c r="AE92" i="8"/>
  <c r="AB93" i="8"/>
  <c r="Z92" i="8"/>
  <c r="AE93" i="8"/>
  <c r="AB84" i="9" l="1" a="1"/>
  <c r="AB84" i="9" s="1"/>
  <c r="AB83" i="9" a="1"/>
  <c r="AB83" i="9" s="1"/>
  <c r="AB32" i="9"/>
  <c r="AB81" i="9"/>
  <c r="AB82" i="9"/>
  <c r="AC27" i="9"/>
  <c r="AF23" i="9"/>
  <c r="AD82" i="9"/>
  <c r="AD32" i="9"/>
  <c r="AD84" i="9" a="1"/>
  <c r="AD84" i="9" s="1"/>
  <c r="AD83" i="9" a="1"/>
  <c r="AD83" i="9" s="1"/>
  <c r="AD80" i="9"/>
  <c r="AD81" i="9"/>
  <c r="AF27" i="9" l="1"/>
  <c r="AC82" i="9"/>
  <c r="AC81" i="9"/>
  <c r="AC83" i="9" a="1"/>
  <c r="AC83" i="9" s="1"/>
  <c r="AC32" i="9"/>
  <c r="AC84" i="9" a="1"/>
  <c r="AC84" i="9" s="1"/>
  <c r="AC80" i="9"/>
  <c r="AF82" i="9" l="1"/>
  <c r="AF83" i="9" a="1"/>
  <c r="AF83" i="9" s="1"/>
  <c r="AF32" i="9"/>
  <c r="AF81" i="9"/>
  <c r="AF80" i="9"/>
  <c r="AF84" i="9" a="1"/>
  <c r="AF84" i="9" s="1"/>
  <c r="Q85" i="8" l="1"/>
  <c r="Q75" i="9" s="1"/>
  <c r="S85" i="8"/>
  <c r="S75" i="9" s="1"/>
  <c r="AE75" i="9" l="1"/>
  <c r="AC75" i="9"/>
  <c r="AC76" i="9" s="1"/>
  <c r="AC85" i="9" s="1"/>
  <c r="R60" i="8"/>
  <c r="R85" i="8"/>
  <c r="R75" i="9" s="1"/>
  <c r="T12" i="9" l="1"/>
  <c r="T13" i="9"/>
  <c r="AD75" i="9"/>
  <c r="AD76" i="9" s="1"/>
  <c r="AD85" i="9" s="1"/>
  <c r="AE76" i="9"/>
  <c r="AE85" i="9" s="1"/>
  <c r="Z11" i="8" l="1"/>
  <c r="F60" i="8"/>
  <c r="E60" i="8"/>
  <c r="D60" i="8"/>
  <c r="G60" i="8"/>
  <c r="Z20" i="8" l="1"/>
  <c r="Z15" i="10"/>
  <c r="AA11" i="8"/>
  <c r="Y11" i="8"/>
  <c r="AC11" i="8"/>
  <c r="AB11" i="8"/>
  <c r="AD11" i="8"/>
  <c r="AD20" i="8" l="1"/>
  <c r="AD15" i="10"/>
  <c r="AB20" i="8"/>
  <c r="AB15" i="10"/>
  <c r="AC20" i="8"/>
  <c r="AC15" i="10"/>
  <c r="Y20" i="8"/>
  <c r="Y15" i="10"/>
  <c r="AA20" i="8"/>
  <c r="AA15" i="10"/>
  <c r="AA86" i="8"/>
  <c r="AA88" i="8" s="1"/>
  <c r="Y86" i="8"/>
  <c r="Y88" i="8" s="1"/>
  <c r="Z86" i="8"/>
  <c r="Z88" i="8" s="1"/>
  <c r="AC86" i="8"/>
  <c r="AC88" i="8" s="1"/>
  <c r="AD86" i="8"/>
  <c r="AD88" i="8" s="1"/>
  <c r="Z25" i="8" l="1"/>
  <c r="AB25" i="8"/>
  <c r="AC25" i="8"/>
  <c r="Y21" i="8"/>
  <c r="Z21" i="8"/>
  <c r="AD25" i="8"/>
  <c r="Z29" i="8" l="1"/>
  <c r="Z96" i="8" s="1"/>
  <c r="Z26" i="8"/>
  <c r="AD21" i="8"/>
  <c r="AC29" i="8"/>
  <c r="AC96" i="8" s="1"/>
  <c r="AA25" i="8"/>
  <c r="AB29" i="8"/>
  <c r="AB96" i="8" s="1"/>
  <c r="AC21" i="8"/>
  <c r="AB21" i="8"/>
  <c r="AA21" i="8"/>
  <c r="Y25" i="8"/>
  <c r="AD29" i="8"/>
  <c r="AD96" i="8" s="1"/>
  <c r="AE82" i="9"/>
  <c r="AE23" i="9"/>
  <c r="AB33" i="8" l="1"/>
  <c r="AB36" i="8"/>
  <c r="AD36" i="8"/>
  <c r="AD33" i="8"/>
  <c r="AC33" i="8"/>
  <c r="AC36" i="8"/>
  <c r="Z36" i="8"/>
  <c r="Z33" i="8"/>
  <c r="Z30" i="8"/>
  <c r="Y29" i="8"/>
  <c r="Y96" i="8" s="1"/>
  <c r="AA29" i="8"/>
  <c r="AA96" i="8" s="1"/>
  <c r="AC26" i="8"/>
  <c r="AA26" i="8"/>
  <c r="AB26" i="8"/>
  <c r="Y26" i="8"/>
  <c r="AD26" i="8"/>
  <c r="AE27" i="9"/>
  <c r="AC30" i="8"/>
  <c r="AD30" i="8"/>
  <c r="AA33" i="8" l="1"/>
  <c r="AA36" i="8"/>
  <c r="Y33" i="8"/>
  <c r="Y36" i="8"/>
  <c r="AA30" i="8"/>
  <c r="Y30" i="8"/>
  <c r="AB30" i="8"/>
  <c r="AE84" i="9" a="1"/>
  <c r="AE84" i="9" s="1"/>
  <c r="AE32" i="9"/>
  <c r="AE83" i="9" a="1"/>
  <c r="AE83" i="9" s="1"/>
  <c r="AE80" i="9"/>
  <c r="AE81" i="9"/>
  <c r="P11" i="8" l="1"/>
  <c r="P20" i="8" s="1"/>
  <c r="G11" i="8"/>
  <c r="G20" i="8" s="1"/>
  <c r="F11" i="8"/>
  <c r="F20" i="8" s="1"/>
  <c r="E11" i="8"/>
  <c r="E20" i="8" s="1"/>
  <c r="D11" i="8"/>
  <c r="D20" i="8" s="1"/>
  <c r="G85" i="8"/>
  <c r="G75" i="9" s="1"/>
  <c r="F85" i="8"/>
  <c r="F75" i="9" s="1"/>
  <c r="E85" i="8"/>
  <c r="E75" i="9" s="1"/>
  <c r="D85" i="8"/>
  <c r="D75" i="9" s="1"/>
  <c r="D76" i="9" s="1"/>
  <c r="D85" i="9" s="1"/>
  <c r="S77" i="8"/>
  <c r="S66" i="9" s="1"/>
  <c r="AD66" i="9" s="1"/>
  <c r="Q77" i="8"/>
  <c r="Q66" i="9" s="1"/>
  <c r="AB66" i="9" s="1"/>
  <c r="AE11" i="8"/>
  <c r="R76" i="9"/>
  <c r="R85" i="9" s="1"/>
  <c r="J76" i="9"/>
  <c r="AE20" i="8" l="1"/>
  <c r="AE15" i="10"/>
  <c r="D15" i="10"/>
  <c r="E15" i="10"/>
  <c r="F15" i="10"/>
  <c r="G25" i="8"/>
  <c r="G15" i="10"/>
  <c r="P25" i="8"/>
  <c r="P15" i="10"/>
  <c r="D25" i="8"/>
  <c r="E25" i="8"/>
  <c r="F25" i="8"/>
  <c r="D77" i="8"/>
  <c r="D66" i="9" s="1"/>
  <c r="F77" i="8"/>
  <c r="F66" i="9" s="1"/>
  <c r="E77" i="8"/>
  <c r="E66" i="9" s="1"/>
  <c r="K76" i="9"/>
  <c r="S76" i="9"/>
  <c r="S85" i="9" s="1"/>
  <c r="F76" i="9"/>
  <c r="F85" i="9" s="1"/>
  <c r="L76" i="9"/>
  <c r="H76" i="9"/>
  <c r="H85" i="9" s="1"/>
  <c r="L26" i="9"/>
  <c r="L31" i="9" s="1"/>
  <c r="R12" i="9"/>
  <c r="G76" i="9"/>
  <c r="G85" i="9" s="1"/>
  <c r="R13" i="9"/>
  <c r="S25" i="8"/>
  <c r="R77" i="8"/>
  <c r="R66" i="9" s="1"/>
  <c r="AC66" i="9" s="1"/>
  <c r="H26" i="9"/>
  <c r="H31" i="9" s="1"/>
  <c r="H12" i="9"/>
  <c r="F26" i="9"/>
  <c r="F31" i="9" s="1"/>
  <c r="F12" i="9"/>
  <c r="G26" i="9"/>
  <c r="G31" i="9" s="1"/>
  <c r="G12" i="9"/>
  <c r="N76" i="9"/>
  <c r="N85" i="9" s="1"/>
  <c r="E26" i="9"/>
  <c r="E31" i="9" s="1"/>
  <c r="O76" i="9"/>
  <c r="O85" i="9" s="1"/>
  <c r="P76" i="9"/>
  <c r="P85" i="9" s="1"/>
  <c r="AB86" i="8" l="1"/>
  <c r="E86" i="8"/>
  <c r="E88" i="8" s="1"/>
  <c r="S29" i="8"/>
  <c r="S96" i="8" s="1"/>
  <c r="G29" i="8"/>
  <c r="G96" i="8" s="1"/>
  <c r="P21" i="8"/>
  <c r="D29" i="8"/>
  <c r="D96" i="8" s="1"/>
  <c r="E29" i="8"/>
  <c r="E96" i="8" s="1"/>
  <c r="F21" i="8"/>
  <c r="D86" i="8"/>
  <c r="D88" i="8" s="1"/>
  <c r="Q76" i="9"/>
  <c r="Q85" i="9" s="1"/>
  <c r="Q86" i="8"/>
  <c r="Q88" i="8" s="1"/>
  <c r="S86" i="8"/>
  <c r="S88" i="8" s="1"/>
  <c r="F86" i="8"/>
  <c r="F88" i="8" s="1"/>
  <c r="G86" i="8"/>
  <c r="G88" i="8" s="1"/>
  <c r="M76" i="9"/>
  <c r="M85" i="9" s="1"/>
  <c r="M13" i="9"/>
  <c r="Q12" i="9"/>
  <c r="N12" i="9"/>
  <c r="O13" i="9"/>
  <c r="Q26" i="9"/>
  <c r="Q31" i="9" s="1"/>
  <c r="L13" i="9"/>
  <c r="N13" i="9"/>
  <c r="K13" i="9"/>
  <c r="O26" i="9"/>
  <c r="O31" i="9" s="1"/>
  <c r="M26" i="9"/>
  <c r="M31" i="9" s="1"/>
  <c r="O12" i="9"/>
  <c r="AE25" i="8"/>
  <c r="P12" i="9"/>
  <c r="P26" i="9"/>
  <c r="P31" i="9" s="1"/>
  <c r="P13" i="9"/>
  <c r="R26" i="9"/>
  <c r="R31" i="9" s="1"/>
  <c r="AE12" i="9"/>
  <c r="K26" i="9"/>
  <c r="K31" i="9" s="1"/>
  <c r="Q13" i="9"/>
  <c r="S12" i="9"/>
  <c r="S26" i="9"/>
  <c r="S31" i="9" s="1"/>
  <c r="S13" i="9"/>
  <c r="J26" i="9"/>
  <c r="J31" i="9" s="1"/>
  <c r="N26" i="9"/>
  <c r="N31" i="9" s="1"/>
  <c r="V84" i="9" l="1" a="1"/>
  <c r="V84" i="9" s="1"/>
  <c r="V83" i="9" a="1"/>
  <c r="V83" i="9" s="1"/>
  <c r="V82" i="9" a="1"/>
  <c r="V82" i="9" s="1"/>
  <c r="V80" i="9"/>
  <c r="V81" i="9"/>
  <c r="O80" i="9"/>
  <c r="N83" i="9" a="1"/>
  <c r="N83" i="9" s="1"/>
  <c r="N84" i="9" a="1"/>
  <c r="N84" i="9" s="1"/>
  <c r="N82" i="9" a="1"/>
  <c r="N82" i="9" s="1"/>
  <c r="N81" i="9"/>
  <c r="N80" i="9"/>
  <c r="O81" i="9"/>
  <c r="P84" i="9" a="1"/>
  <c r="P84" i="9" s="1"/>
  <c r="P83" i="9" a="1"/>
  <c r="P83" i="9" s="1"/>
  <c r="P82" i="9" a="1"/>
  <c r="P82" i="9" s="1"/>
  <c r="P80" i="9"/>
  <c r="P81" i="9"/>
  <c r="Q82" i="9" a="1"/>
  <c r="Q82" i="9" s="1"/>
  <c r="Q84" i="9" a="1"/>
  <c r="Q84" i="9" s="1"/>
  <c r="Q83" i="9" a="1"/>
  <c r="Q83" i="9" s="1"/>
  <c r="Q81" i="9"/>
  <c r="Q80" i="9"/>
  <c r="O82" i="9" a="1"/>
  <c r="O82" i="9" s="1"/>
  <c r="M82" i="9" a="1"/>
  <c r="M82" i="9" s="1"/>
  <c r="M83" i="9" a="1"/>
  <c r="M83" i="9" s="1"/>
  <c r="M84" i="9" a="1"/>
  <c r="M84" i="9" s="1"/>
  <c r="M81" i="9"/>
  <c r="M80" i="9"/>
  <c r="S83" i="9" a="1"/>
  <c r="S83" i="9" s="1"/>
  <c r="S84" i="9" a="1"/>
  <c r="S84" i="9" s="1"/>
  <c r="S82" i="9" a="1"/>
  <c r="S82" i="9" s="1"/>
  <c r="S80" i="9"/>
  <c r="S81" i="9"/>
  <c r="T84" i="9" a="1"/>
  <c r="T84" i="9" s="1"/>
  <c r="T83" i="9" a="1"/>
  <c r="T83" i="9" s="1"/>
  <c r="T82" i="9" a="1"/>
  <c r="T82" i="9" s="1"/>
  <c r="T81" i="9"/>
  <c r="T80" i="9"/>
  <c r="O84" i="9" a="1"/>
  <c r="O84" i="9" s="1"/>
  <c r="R82" i="9" a="1"/>
  <c r="R82" i="9" s="1"/>
  <c r="R83" i="9" a="1"/>
  <c r="R83" i="9" s="1"/>
  <c r="R84" i="9" a="1"/>
  <c r="R84" i="9" s="1"/>
  <c r="R80" i="9"/>
  <c r="R81" i="9"/>
  <c r="O83" i="9" a="1"/>
  <c r="O83" i="9" s="1"/>
  <c r="U81" i="9"/>
  <c r="U84" i="9" a="1"/>
  <c r="U84" i="9" s="1"/>
  <c r="U80" i="9"/>
  <c r="U83" i="9" a="1"/>
  <c r="U83" i="9" s="1"/>
  <c r="U82" i="9" a="1"/>
  <c r="U82" i="9" s="1"/>
  <c r="AB88" i="8"/>
  <c r="E36" i="8"/>
  <c r="E33" i="8"/>
  <c r="D33" i="8"/>
  <c r="D36" i="8"/>
  <c r="G33" i="8"/>
  <c r="G36" i="8"/>
  <c r="S33" i="8"/>
  <c r="S36" i="8"/>
  <c r="O23" i="9"/>
  <c r="S21" i="8"/>
  <c r="G21" i="8"/>
  <c r="D21" i="8"/>
  <c r="F29" i="8"/>
  <c r="F96" i="8" s="1"/>
  <c r="P29" i="8"/>
  <c r="P96" i="8" s="1"/>
  <c r="E21" i="8"/>
  <c r="AE29" i="8"/>
  <c r="AE96" i="8" s="1"/>
  <c r="E26" i="8"/>
  <c r="S26" i="8"/>
  <c r="AE21" i="8"/>
  <c r="G26" i="8"/>
  <c r="AE86" i="8"/>
  <c r="AE88" i="8" s="1"/>
  <c r="R86" i="8"/>
  <c r="R88" i="8" s="1"/>
  <c r="G30" i="8"/>
  <c r="D26" i="8"/>
  <c r="F82" i="9"/>
  <c r="F23" i="9"/>
  <c r="E82" i="9"/>
  <c r="E23" i="9"/>
  <c r="G82" i="9"/>
  <c r="G23" i="9"/>
  <c r="L23" i="9"/>
  <c r="Q23" i="9"/>
  <c r="M23" i="9"/>
  <c r="H23" i="9"/>
  <c r="H82" i="9"/>
  <c r="P33" i="8" l="1"/>
  <c r="P36" i="8"/>
  <c r="F33" i="8"/>
  <c r="F36" i="8"/>
  <c r="AE36" i="8"/>
  <c r="AE33" i="8"/>
  <c r="S115" i="8"/>
  <c r="S142" i="8" s="1"/>
  <c r="AD142" i="8" s="1"/>
  <c r="G115" i="8"/>
  <c r="G142" i="8" s="1"/>
  <c r="E115" i="8"/>
  <c r="D115" i="8"/>
  <c r="F26" i="8"/>
  <c r="F30" i="8"/>
  <c r="P26" i="8"/>
  <c r="E30" i="8"/>
  <c r="S30" i="8"/>
  <c r="D30" i="8"/>
  <c r="AE26" i="8"/>
  <c r="H27" i="9"/>
  <c r="K23" i="9"/>
  <c r="Q27" i="9"/>
  <c r="G27" i="9"/>
  <c r="E27" i="9"/>
  <c r="L27" i="9"/>
  <c r="P23" i="9"/>
  <c r="F27" i="9"/>
  <c r="R23" i="9"/>
  <c r="N23" i="9"/>
  <c r="J23" i="9"/>
  <c r="M27" i="9"/>
  <c r="S23" i="9"/>
  <c r="F115" i="8" l="1"/>
  <c r="F142" i="8" s="1"/>
  <c r="P115" i="8"/>
  <c r="P142" i="8" s="1"/>
  <c r="AA142" i="8" s="1"/>
  <c r="P30" i="8"/>
  <c r="E142" i="8"/>
  <c r="D142" i="8"/>
  <c r="AA115" i="8"/>
  <c r="O27" i="9"/>
  <c r="J27" i="9"/>
  <c r="N27" i="9"/>
  <c r="K27" i="9"/>
  <c r="E83" i="9" a="1"/>
  <c r="E83" i="9" s="1"/>
  <c r="E84" i="9" a="1"/>
  <c r="E84" i="9" s="1"/>
  <c r="E39" i="9"/>
  <c r="E32" i="9"/>
  <c r="G84" i="9" a="1"/>
  <c r="G84" i="9" s="1"/>
  <c r="G83" i="9" a="1"/>
  <c r="G83" i="9" s="1"/>
  <c r="G32" i="9"/>
  <c r="G39" i="9"/>
  <c r="G80" i="9"/>
  <c r="G81" i="9"/>
  <c r="H83" i="9" a="1"/>
  <c r="H83" i="9" s="1"/>
  <c r="H84" i="9" a="1"/>
  <c r="H84" i="9" s="1"/>
  <c r="H32" i="9"/>
  <c r="H81" i="9"/>
  <c r="H39" i="9"/>
  <c r="H80" i="9"/>
  <c r="O32" i="9"/>
  <c r="O39" i="9"/>
  <c r="S27" i="9"/>
  <c r="R27" i="9"/>
  <c r="M39" i="9"/>
  <c r="M32" i="9"/>
  <c r="L39" i="9"/>
  <c r="L32" i="9"/>
  <c r="P27" i="9"/>
  <c r="F84" i="9" a="1"/>
  <c r="F84" i="9" s="1"/>
  <c r="F39" i="9"/>
  <c r="F32" i="9"/>
  <c r="F83" i="9" a="1"/>
  <c r="F83" i="9" s="1"/>
  <c r="F81" i="9"/>
  <c r="F80" i="9"/>
  <c r="Q32" i="9"/>
  <c r="Q39" i="9"/>
  <c r="AB115" i="8" l="1"/>
  <c r="Y115" i="8"/>
  <c r="Z115" i="8"/>
  <c r="AE30" i="8"/>
  <c r="E48" i="9"/>
  <c r="N39" i="9"/>
  <c r="N32" i="9"/>
  <c r="H48" i="9"/>
  <c r="G48" i="9"/>
  <c r="R39" i="9"/>
  <c r="R32" i="9"/>
  <c r="K39" i="9"/>
  <c r="K32" i="9"/>
  <c r="F48" i="9"/>
  <c r="P32" i="9"/>
  <c r="P39" i="9"/>
  <c r="Q48" i="9"/>
  <c r="J39" i="9"/>
  <c r="J32" i="9"/>
  <c r="S32" i="9"/>
  <c r="S39" i="9"/>
  <c r="AD47" i="9" l="1"/>
  <c r="AD48" i="9" s="1"/>
  <c r="X47" i="9"/>
  <c r="X48" i="9" s="1"/>
  <c r="AF47" i="9"/>
  <c r="AF48" i="9" s="1"/>
  <c r="AE47" i="9"/>
  <c r="AC47" i="9"/>
  <c r="AE48" i="9"/>
  <c r="R48" i="9"/>
  <c r="S48" i="9"/>
  <c r="P48" i="9"/>
  <c r="O48" i="9"/>
  <c r="J48" i="9"/>
  <c r="L48" i="9"/>
  <c r="M48" i="9"/>
  <c r="AB47" i="9" l="1"/>
  <c r="AB48" i="9" s="1"/>
  <c r="Z47" i="9"/>
  <c r="Z48" i="9" s="1"/>
  <c r="AA47" i="9"/>
  <c r="AA48" i="9" s="1"/>
  <c r="Y47" i="9"/>
  <c r="Y48" i="9" s="1"/>
  <c r="AC48" i="9"/>
  <c r="K48" i="9"/>
  <c r="N48" i="9"/>
  <c r="D138" i="8" l="1"/>
  <c r="D143" i="8" s="1"/>
  <c r="D145" i="8" s="1"/>
  <c r="E136" i="8" l="1"/>
  <c r="E138" i="8" s="1"/>
  <c r="E143" i="8" s="1"/>
  <c r="E145" i="8" s="1"/>
  <c r="F136" i="8" l="1"/>
  <c r="J136" i="8" s="1"/>
  <c r="F138" i="8" l="1"/>
  <c r="F143" i="8" l="1"/>
  <c r="F145" i="8" s="1"/>
  <c r="G136" i="8" l="1"/>
  <c r="G138" i="8" s="1"/>
  <c r="G143" i="8" s="1"/>
  <c r="J138" i="8"/>
  <c r="J143" i="8" s="1"/>
  <c r="G145" i="8" l="1"/>
  <c r="H136" i="8"/>
  <c r="H138" i="8" s="1"/>
  <c r="H143" i="8" s="1"/>
  <c r="H145" i="8" s="1"/>
  <c r="J145" i="8"/>
  <c r="K136" i="8"/>
  <c r="K138" i="8" s="1"/>
  <c r="K143" i="8" s="1"/>
  <c r="K145" i="8" l="1"/>
  <c r="L136" i="8"/>
  <c r="L138" i="8" s="1"/>
  <c r="L143" i="8" s="1"/>
  <c r="L145" i="8" s="1"/>
  <c r="M136" i="8" l="1"/>
  <c r="M138" i="8" l="1"/>
  <c r="M143" i="8" s="1"/>
  <c r="M145" i="8" s="1"/>
  <c r="X136" i="8"/>
  <c r="X138" i="8" s="1"/>
  <c r="X143" i="8" s="1"/>
  <c r="N136" i="8"/>
  <c r="N138" i="8" s="1"/>
  <c r="N143" i="8" s="1"/>
  <c r="N145" i="8" s="1"/>
  <c r="X145" i="8" l="1"/>
  <c r="Y136" i="8"/>
  <c r="Y138" i="8" s="1"/>
  <c r="Y143" i="8" s="1"/>
  <c r="Z136" i="8" s="1"/>
  <c r="Z138" i="8" s="1"/>
  <c r="Z143" i="8" s="1"/>
  <c r="AA136" i="8" s="1"/>
  <c r="AA138" i="8" s="1"/>
  <c r="AA143" i="8" s="1"/>
  <c r="AB136" i="8" s="1"/>
  <c r="AB138" i="8" s="1"/>
  <c r="Z145" i="8"/>
  <c r="O136" i="8"/>
  <c r="O138" i="8" s="1"/>
  <c r="O143" i="8" s="1"/>
  <c r="O145" i="8" s="1"/>
  <c r="AA145" i="8" l="1"/>
  <c r="P136" i="8"/>
  <c r="P138" i="8" s="1"/>
  <c r="P143" i="8" s="1"/>
  <c r="P145" i="8" s="1"/>
  <c r="Q136" i="8" l="1"/>
  <c r="Q138" i="8" s="1"/>
  <c r="R11" i="8" l="1"/>
  <c r="R20" i="8" s="1"/>
  <c r="R25" i="8" l="1"/>
  <c r="R15" i="10"/>
  <c r="R29" i="8" l="1"/>
  <c r="R96" i="8" s="1"/>
  <c r="R33" i="8" l="1"/>
  <c r="R36" i="8"/>
  <c r="R21" i="8"/>
  <c r="R26" i="8"/>
  <c r="R30" i="8" l="1"/>
  <c r="R115" i="8" l="1"/>
  <c r="R142" i="8" s="1"/>
  <c r="AC142" i="8" s="1"/>
  <c r="Q11" i="8"/>
  <c r="Q20" i="8" s="1"/>
  <c r="Q25" i="8" l="1"/>
  <c r="Q15" i="10"/>
  <c r="Q29" i="8" l="1"/>
  <c r="Q96" i="8" s="1"/>
  <c r="Q33" i="8" l="1"/>
  <c r="Q36" i="8"/>
  <c r="Q21" i="8"/>
  <c r="Q26" i="8"/>
  <c r="Q30" i="8" l="1"/>
  <c r="AF115" i="8" l="1"/>
  <c r="AC115" i="8"/>
  <c r="AD115" i="8"/>
  <c r="Q115" i="8"/>
  <c r="Q142" i="8" s="1"/>
  <c r="AB142" i="8" s="1"/>
  <c r="AB143" i="8" s="1"/>
  <c r="AC136" i="8" l="1"/>
  <c r="AC138" i="8" s="1"/>
  <c r="AB145" i="8"/>
  <c r="Q143" i="8"/>
  <c r="Q145" i="8" s="1"/>
  <c r="AE115" i="8"/>
  <c r="R136" i="8" l="1"/>
  <c r="R138" i="8" s="1"/>
  <c r="R143" i="8" s="1"/>
  <c r="R145" i="8" s="1"/>
  <c r="AC143" i="8"/>
  <c r="AC145" i="8" l="1"/>
  <c r="AD136" i="8"/>
  <c r="AD138" i="8" s="1"/>
  <c r="AD143" i="8" s="1"/>
  <c r="S136" i="8"/>
  <c r="S138" i="8" s="1"/>
  <c r="S143" i="8" s="1"/>
  <c r="S145" i="8" s="1"/>
  <c r="Y145" i="8"/>
  <c r="AD145" i="8" l="1"/>
  <c r="AE136" i="8"/>
  <c r="AE138" i="8" s="1"/>
  <c r="AE143" i="8" s="1"/>
  <c r="T136" i="8"/>
  <c r="T138" i="8" s="1"/>
  <c r="T143" i="8" s="1"/>
  <c r="AE145" i="8" l="1"/>
  <c r="AF136" i="8"/>
  <c r="AF138" i="8" s="1"/>
  <c r="AF143" i="8" s="1"/>
  <c r="AF145" i="8" s="1"/>
  <c r="T145" i="8"/>
  <c r="U136" i="8"/>
  <c r="U138" i="8" s="1"/>
  <c r="U143" i="8" s="1"/>
  <c r="V136" i="8" s="1"/>
  <c r="V138" i="8" s="1"/>
  <c r="V143" i="8" s="1"/>
  <c r="V145" i="8" s="1"/>
  <c r="E76" i="9"/>
  <c r="E85" i="9" s="1"/>
  <c r="E80" i="9"/>
  <c r="E81" i="9"/>
  <c r="U145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<sst xmlns="http://schemas.openxmlformats.org/spreadsheetml/2006/main" count="271" uniqueCount="198">
  <si>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</si>
  <si>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</si>
  <si>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</si>
  <si>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</si>
  <si>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</si>
  <si>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</si>
  <si>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</si>
  <si>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</si>
  <si>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</si>
  <si>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</si>
  <si>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</si>
  <si>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</si>
  <si>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</si>
  <si>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</si>
  <si>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</si>
  <si>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</si>
  <si>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</si>
  <si>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</si>
  <si>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</si>
  <si>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</si>
  <si>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</si>
  <si>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</si>
  <si>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</si>
  <si>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</si>
  <si>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</si>
  <si>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</si>
  <si>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</si>
  <si>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</si>
  <si>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</si>
  <si>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</si>
  <si>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</si>
  <si>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</si>
  <si>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</si>
  <si>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</si>
  <si>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</si>
  <si>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</si>
  <si>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</si>
  <si>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</si>
  <si>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</si>
  <si>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</si>
  <si>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</si>
  <si>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</si>
  <si>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</si>
  <si>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</si>
  <si>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</si>
  <si>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</si>
  <si>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</si>
  <si>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</si>
  <si>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</si>
  <si>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</si>
  <si>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</si>
  <si>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</si>
  <si>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</si>
  <si>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</si>
  <si>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</si>
  <si>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</si>
  <si>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</si>
  <si>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</si>
  <si>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</si>
  <si>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</si>
  <si>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</si>
  <si>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</si>
  <si>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</si>
  <si>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</si>
  <si>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</si>
  <si>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</si>
  <si>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</si>
  <si>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</si>
  <si>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</si>
  <si>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</si>
  <si>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</si>
  <si>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</si>
  <si>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</si>
  <si>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</si>
  <si>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</si>
  <si>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</si>
  <si>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</si>
  <si>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</si>
  <si>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</si>
  <si>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</si>
  <si>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</si>
  <si>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</si>
  <si>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</si>
  <si>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</si>
  <si>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</si>
  <si>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</si>
  <si>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</si>
  <si>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</si>
  <si>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</si>
  <si>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BOP Restricted Cash Adjustment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</si>
  <si>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</si>
  <si>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</si>
  <si>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</si>
  <si>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</si>
  <si>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</si>
  <si>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</si>
  <si>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</si>
  <si>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</si>
  <si>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</si>
  <si>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Goodwill</t>
  </si>
  <si>
    <t xml:space="preserve">Income taxes paid </t>
  </si>
  <si>
    <t>Income from continuing operations, net of tax</t>
  </si>
  <si>
    <t>(+) Stock-Based Compensation</t>
  </si>
  <si>
    <t>(-) Share Repurchases</t>
  </si>
  <si>
    <t>L/C Availability</t>
  </si>
  <si>
    <t>Swingline Availability</t>
  </si>
  <si>
    <t>Accounts Receivable</t>
  </si>
  <si>
    <t>4Q25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</si>
  <si>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</si>
  <si>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</si>
  <si>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</si>
  <si>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</si>
  <si>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</si>
  <si>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</si>
  <si>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</si>
  <si>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Service Revenues</t>
  </si>
  <si>
    <t>Data Processing Revenues</t>
  </si>
  <si>
    <t>International Transaction Revenues</t>
  </si>
  <si>
    <t>Other Revenues</t>
  </si>
  <si>
    <t>Client Incentives</t>
  </si>
  <si>
    <t>U.S. Revenues</t>
  </si>
  <si>
    <t>International Revenues</t>
  </si>
  <si>
    <t>Personnel Expenses</t>
  </si>
  <si>
    <t>Marketing Expenses</t>
  </si>
  <si>
    <t>Network and Processing</t>
  </si>
  <si>
    <t>Professional Fees</t>
  </si>
  <si>
    <t>Depreciation and Amortization</t>
  </si>
  <si>
    <t>Litigation Provisions</t>
  </si>
  <si>
    <t xml:space="preserve">Investment income (expense) and other	</t>
  </si>
  <si>
    <t>Interest Expense</t>
  </si>
  <si>
    <t xml:space="preserve">General and administrative	</t>
  </si>
  <si>
    <t>Visa Inc (NYSE: V)</t>
  </si>
  <si>
    <t>Cash and cash equivalents</t>
  </si>
  <si>
    <t>Restricted cash equivalents-U.S. litigation escrow</t>
  </si>
  <si>
    <t>Investment securities</t>
  </si>
  <si>
    <t>Settlement receivable</t>
  </si>
  <si>
    <t>Accounts receivable</t>
  </si>
  <si>
    <t>Customer collateral</t>
  </si>
  <si>
    <t>Current portion of client incentives</t>
  </si>
  <si>
    <t>Prepaid expenses and other current assets</t>
  </si>
  <si>
    <t>Client incentives</t>
  </si>
  <si>
    <t>Property, equipment and technology, net</t>
  </si>
  <si>
    <t>Intangible assets, net</t>
  </si>
  <si>
    <t>Other assets</t>
  </si>
  <si>
    <t>Accounts payable</t>
  </si>
  <si>
    <t>Settlement payable</t>
  </si>
  <si>
    <t>Accrued compensation and benefits</t>
  </si>
  <si>
    <t>Accrued liabilities</t>
  </si>
  <si>
    <t>Current maturities of debt</t>
  </si>
  <si>
    <t>Accrued litigation</t>
  </si>
  <si>
    <t>Long-term debt</t>
  </si>
  <si>
    <t>Deferred tax liabilities</t>
  </si>
  <si>
    <t>Other liabilities</t>
  </si>
  <si>
    <t>Preferred stock</t>
  </si>
  <si>
    <t>Right to recover for covered losses</t>
  </si>
  <si>
    <t>Additional paid-in capital</t>
  </si>
  <si>
    <t>Accumulated income</t>
  </si>
  <si>
    <t>Accumulated OCI</t>
  </si>
  <si>
    <t>Aggregate Basic Shares</t>
  </si>
  <si>
    <t>Aggregate Fully Diluted Shares</t>
  </si>
  <si>
    <t>Changes in Working Capital:</t>
  </si>
  <si>
    <t>Share-based compensation</t>
  </si>
  <si>
    <t>Depreciation and amortization</t>
  </si>
  <si>
    <t>Deferred income taxes</t>
  </si>
  <si>
    <t>VE territory covered losses</t>
  </si>
  <si>
    <t>(Gains) losses on equity investments, net</t>
  </si>
  <si>
    <t>Other</t>
  </si>
  <si>
    <t>Accrued and other liabilities</t>
  </si>
  <si>
    <t>Purchases of property, equipment and technology</t>
  </si>
  <si>
    <t>Purchases of investment securities</t>
  </si>
  <si>
    <t>Proceeds from maturities and sales of investment securities</t>
  </si>
  <si>
    <t>Acquisitions, net of cash and restricted cash acquired</t>
  </si>
  <si>
    <t>Purchases of other investments</t>
  </si>
  <si>
    <t>Other investing activities</t>
  </si>
  <si>
    <t>Repurchases of class A common stock</t>
  </si>
  <si>
    <t>Repayments of debt</t>
  </si>
  <si>
    <t>Dividends paid</t>
  </si>
  <si>
    <t>Proceeds from issuance of senior notes</t>
  </si>
  <si>
    <t>Proceeds from stock issued under equity plans</t>
  </si>
  <si>
    <t>Taxes paid related to stock issued under equity plans</t>
  </si>
  <si>
    <t>Other financing activities</t>
  </si>
  <si>
    <t xml:space="preserve">Interest paid </t>
  </si>
  <si>
    <t>Common stock</t>
  </si>
  <si>
    <t>(-) Litigation Provisions</t>
  </si>
  <si>
    <t xml:space="preserve">(-) General and administrative	</t>
  </si>
  <si>
    <t>(-) Depreciation and Amortization</t>
  </si>
  <si>
    <t>(-) Professional Fees</t>
  </si>
  <si>
    <t>(-) Network and Processing</t>
  </si>
  <si>
    <t>(-) Marketing Expenses</t>
  </si>
  <si>
    <t>(-) Personnel Expenses</t>
  </si>
  <si>
    <t>(+) Litigation Provisions</t>
  </si>
  <si>
    <t>(+/-) Proceeds / (Purchases) of Investments</t>
  </si>
  <si>
    <t>Aggregate Debt Holdings</t>
  </si>
  <si>
    <t>(-) Dividends</t>
  </si>
  <si>
    <t>(-) Proceeds from issuance of Debt / (Repayment), net</t>
  </si>
  <si>
    <t>(+/-) Changes in Client incentives</t>
  </si>
  <si>
    <t>$7Bn RCF</t>
  </si>
  <si>
    <t>1Q26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</si>
</sst>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hair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6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0" fontId="8" fillId="5" borderId="6" xfId="0" applyFont="1" applyFill="1" applyBorder="1" applyAlignment="1">
      <alignment horizontal="right" vertical="center" wrapText="1"/>
    </xf>
    <xf numFmtId="0" fontId="4" fillId="0" borderId="6" xfId="0" applyFont="1" applyBorder="1"/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6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0" fontId="8" fillId="0" borderId="6" xfId="0" applyFont="1" applyBorder="1" applyAlignment="1">
      <alignment horizontal="right" vertical="center" wrapText="1"/>
    </xf>
    <xf numFmtId="0" fontId="27" fillId="0" borderId="0" xfId="0" applyFont="1" applyAlignment="1">
      <alignment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6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7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8" xfId="1" applyFont="1" applyBorder="1"/>
    <xf numFmtId="0" fontId="23" fillId="9" borderId="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10" xfId="1" applyFont="1" applyBorder="1"/>
    <xf numFmtId="0" fontId="23" fillId="9" borderId="11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2" xfId="1" applyFont="1" applyBorder="1"/>
    <xf numFmtId="41" fontId="6" fillId="0" borderId="0" xfId="0" applyNumberFormat="1" applyFont="1"/>
    <xf numFmtId="169" fontId="4" fillId="8" borderId="0" xfId="0" applyNumberFormat="1" applyFont="1" applyFill="1"/>
    <xf numFmtId="0" fontId="29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41" fontId="6" fillId="0" borderId="0" xfId="0" applyNumberFormat="1" applyFont="1" applyBorder="1" applyAlignment="1">
      <alignment horizontal="right" vertical="top" wrapText="1"/>
    </xf>
    <xf numFmtId="41" fontId="8" fillId="0" borderId="0" xfId="0" applyNumberFormat="1" applyFont="1" applyBorder="1" applyAlignment="1">
      <alignment horizontal="right" vertical="top" wrapText="1"/>
    </xf>
    <xf numFmtId="37" fontId="4" fillId="0" borderId="0" xfId="0" applyNumberFormat="1" applyFont="1" applyBorder="1" applyAlignment="1">
      <alignment wrapText="1"/>
    </xf>
    <xf numFmtId="0" fontId="4" fillId="0" borderId="0" xfId="0" applyFont="1" applyBorder="1" applyAlignment="1">
      <alignment wrapText="1"/>
    </xf>
    <xf numFmtId="41" fontId="6" fillId="0" borderId="13" xfId="0" applyNumberFormat="1" applyFont="1" applyBorder="1" applyAlignment="1">
      <alignment horizontal="right" vertical="top" wrapText="1"/>
    </xf>
    <xf numFmtId="5" fontId="8" fillId="5" borderId="13" xfId="0" applyNumberFormat="1" applyFont="1" applyFill="1" applyBorder="1" applyAlignment="1">
      <alignment horizontal="right" vertical="center" wrapText="1"/>
    </xf>
    <xf numFmtId="41" fontId="8" fillId="0" borderId="13" xfId="0" applyNumberFormat="1" applyFont="1" applyBorder="1" applyAlignment="1">
      <alignment horizontal="right" vertical="top" wrapText="1"/>
    </xf>
    <xf numFmtId="37" fontId="4" fillId="0" borderId="13" xfId="0" applyNumberFormat="1" applyFont="1" applyBorder="1" applyAlignment="1">
      <alignment wrapText="1"/>
    </xf>
    <xf numFmtId="43" fontId="21" fillId="0" borderId="14" xfId="0" applyNumberFormat="1" applyFont="1" applyBorder="1" applyAlignment="1">
      <alignment wrapText="1"/>
    </xf>
    <xf numFmtId="41" fontId="6" fillId="0" borderId="15" xfId="0" applyNumberFormat="1" applyFont="1" applyBorder="1" applyAlignment="1">
      <alignment horizontal="right" vertical="top" wrapText="1"/>
    </xf>
    <xf numFmtId="41" fontId="11" fillId="0" borderId="0" xfId="0" applyNumberFormat="1" applyFont="1" applyBorder="1" applyAlignment="1">
      <alignment horizontal="right" vertical="top" wrapText="1"/>
    </xf>
    <xf numFmtId="0" fontId="27" fillId="0" borderId="16" xfId="0" applyFont="1" applyBorder="1" applyAlignment="1">
      <alignment horizontal="right" vertical="top" wrapText="1"/>
    </xf>
    <xf numFmtId="43" fontId="21" fillId="0" borderId="17" xfId="0" applyNumberFormat="1" applyFont="1" applyBorder="1" applyAlignment="1">
      <alignment wrapText="1"/>
    </xf>
    <xf numFmtId="41" fontId="6" fillId="0" borderId="17" xfId="0" applyNumberFormat="1" applyFont="1" applyBorder="1" applyAlignment="1">
      <alignment horizontal="right" vertical="top" wrapText="1"/>
    </xf>
    <xf numFmtId="41" fontId="8" fillId="0" borderId="18" xfId="0" applyNumberFormat="1" applyFont="1" applyBorder="1" applyAlignment="1">
      <alignment horizontal="right" vertical="top" wrapText="1"/>
    </xf>
    <xf numFmtId="41" fontId="11" fillId="0" borderId="19" xfId="0" applyNumberFormat="1" applyFont="1" applyBorder="1" applyAlignment="1">
      <alignment horizontal="right" vertical="top" wrapText="1"/>
    </xf>
    <xf numFmtId="41" fontId="6" fillId="0" borderId="19" xfId="0" applyNumberFormat="1" applyFont="1" applyBorder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I166"/>
  <sheetViews>
    <sheetView showGridLines="0" topLeftCell="AH1" zoomScaleNormal="100" workbookViewId="0">
      <selection activeCell="AI21" sqref="AI21"/>
    </sheetView>
  </sheetViews>
  <sheetFormatPr defaultRowHeight="12" outlineLevelCol="2"/>
  <cols>
    <col min="1" max="1" width="1.625" style="5" bestFit="1" customWidth="1"/>
    <col min="2" max="2" width="36.25" style="5" customWidth="1"/>
    <col min="3" max="4" width="9" style="5" customWidth="1" outlineLevel="1"/>
    <col min="5" max="8" width="9" style="5" bestFit="1" customWidth="1"/>
    <col min="9" max="9" width="1.5" style="5" customWidth="1"/>
    <col min="10" max="13" width="8.875" style="5" hidden="1" customWidth="1" outlineLevel="2"/>
    <col min="14" max="15" width="8.875" style="5" hidden="1" customWidth="1" outlineLevel="1"/>
    <col min="16" max="16" width="8.875" style="5" bestFit="1" customWidth="1" collapsed="1"/>
    <col min="17" max="22" width="8.875" style="5" bestFit="1" customWidth="1"/>
    <col min="23" max="23" width="1.5" style="5" customWidth="1"/>
    <col min="24" max="27" width="8.75" style="5" customWidth="1" outlineLevel="1"/>
    <col min="28" max="28" width="9" style="5" bestFit="1" customWidth="1"/>
    <col min="29" max="31" width="9" style="5" customWidth="1" outlineLevel="1"/>
    <col min="32" max="33" width="9" style="5" bestFit="1" customWidth="1"/>
    <col min="34" max="34" width="1.25" style="5" customWidth="1"/>
    <col min="35" max="35" width="8" style="5" bestFit="1" customWidth="1"/>
    <col min="36" max="36" width="1.375" style="5" customWidth="1"/>
    <col min="37" max="16384" width="9" style="5"/>
  </cols>
  <sheetData>
    <row r="2" spans="1:35" ht="12.75" customHeight="1">
      <c r="B2" s="1" t="s">
        <v>131</v>
      </c>
      <c r="C2" s="94"/>
      <c r="D2" s="94"/>
      <c r="E2" s="94"/>
      <c r="F2" s="94"/>
      <c r="G2" s="94"/>
      <c r="H2" s="94"/>
      <c r="I2" s="3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3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3"/>
      <c r="AI2" s="1"/>
    </row>
    <row r="3" spans="1:35" ht="12.75" customHeight="1">
      <c r="B3" s="6" t="s">
        <v>71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3"/>
      <c r="X3" s="4"/>
      <c r="Y3" s="4"/>
      <c r="Z3" s="4"/>
      <c r="AA3" s="4"/>
      <c r="AB3" s="4"/>
      <c r="AC3" s="4"/>
      <c r="AD3" s="4"/>
      <c r="AE3" s="4"/>
      <c r="AF3" s="4"/>
      <c r="AG3" s="4"/>
      <c r="AH3" s="3"/>
      <c r="AI3" s="1"/>
    </row>
    <row r="4" spans="1:35" ht="12.75" customHeight="1">
      <c r="B4" s="6" t="s">
        <v>68</v>
      </c>
      <c r="C4" s="3"/>
      <c r="D4" s="3"/>
      <c r="E4" s="3"/>
      <c r="F4" s="8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1"/>
    </row>
    <row r="6" spans="1:35" ht="12.75" customHeight="1">
      <c r="A6" s="5" t="s">
        <v>16</v>
      </c>
      <c r="B6" s="1" t="s">
        <v>69</v>
      </c>
      <c r="C6" s="2" t="s">
        <v>0</v>
      </c>
      <c r="D6" s="2" t="s">
        <v>0</v>
      </c>
      <c r="E6" s="2"/>
      <c r="F6" s="2"/>
      <c r="G6" s="2"/>
      <c r="H6" s="2"/>
      <c r="I6" s="3"/>
      <c r="J6" s="2" t="s">
        <v>1</v>
      </c>
      <c r="K6" s="2"/>
      <c r="L6" s="2"/>
      <c r="M6" s="2"/>
      <c r="N6" s="2"/>
      <c r="O6" s="2"/>
      <c r="P6" s="2" t="s">
        <v>1</v>
      </c>
      <c r="Q6" s="2"/>
      <c r="R6" s="2"/>
      <c r="S6" s="2"/>
      <c r="T6" s="2"/>
      <c r="U6" s="2"/>
      <c r="V6" s="2"/>
      <c r="W6" s="3"/>
      <c r="X6" s="2"/>
      <c r="Y6" s="2"/>
      <c r="Z6" s="2"/>
      <c r="AA6" s="2" t="s">
        <v>10</v>
      </c>
      <c r="AB6" s="2" t="s">
        <v>10</v>
      </c>
      <c r="AC6" s="2"/>
      <c r="AD6" s="2"/>
      <c r="AE6" s="2"/>
      <c r="AF6" s="2"/>
      <c r="AG6" s="2"/>
      <c r="AH6" s="37"/>
      <c r="AI6" s="156" t="s">
        <v>21</v>
      </c>
    </row>
    <row r="7" spans="1:35" ht="12.75" customHeight="1">
      <c r="B7" s="6" t="s">
        <v>72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7">
        <v>2025</v>
      </c>
      <c r="I7" s="3"/>
      <c r="J7" s="4" t="s">
        <v>6</v>
      </c>
      <c r="K7" s="4" t="s">
        <v>7</v>
      </c>
      <c r="L7" s="4" t="s">
        <v>8</v>
      </c>
      <c r="M7" s="4" t="s">
        <v>9</v>
      </c>
      <c r="N7" s="4" t="s">
        <v>2</v>
      </c>
      <c r="O7" s="4" t="s">
        <v>3</v>
      </c>
      <c r="P7" s="4" t="s">
        <v>4</v>
      </c>
      <c r="Q7" s="4" t="s">
        <v>5</v>
      </c>
      <c r="R7" s="4" t="s">
        <v>23</v>
      </c>
      <c r="S7" s="4" t="s">
        <v>24</v>
      </c>
      <c r="T7" s="4" t="s">
        <v>59</v>
      </c>
      <c r="U7" s="4" t="s">
        <v>107</v>
      </c>
      <c r="V7" s="4" t="s">
        <v>197</v>
      </c>
      <c r="W7" s="3"/>
      <c r="X7" s="4" t="str">
        <f>M7</f>
        <v>4Q23</v>
      </c>
      <c r="Y7" s="4" t="str">
        <f>N7</f>
        <v>1Q24</v>
      </c>
      <c r="Z7" s="4" t="str">
        <f>O7</f>
        <v>2Q24</v>
      </c>
      <c r="AA7" s="4" t="str">
        <f>P7</f>
        <v>3Q24</v>
      </c>
      <c r="AB7" s="4" t="str">
        <f>Q7</f>
        <v>4Q24</v>
      </c>
      <c r="AC7" s="4" t="str">
        <f>R7</f>
        <v>1Q25</v>
      </c>
      <c r="AD7" s="4" t="str">
        <f>S7</f>
        <v>2Q25</v>
      </c>
      <c r="AE7" s="4" t="str">
        <f>T7</f>
        <v>3Q25</v>
      </c>
      <c r="AF7" s="4" t="str">
        <f>U7</f>
        <v>4Q25</v>
      </c>
      <c r="AG7" s="4" t="str">
        <f>V7</f>
        <v>1Q26</v>
      </c>
      <c r="AH7" s="37"/>
      <c r="AI7" s="156"/>
    </row>
    <row r="8" spans="1:35" ht="12.75" customHeight="1">
      <c r="B8" s="6" t="s">
        <v>73</v>
      </c>
      <c r="C8" s="84">
        <v>44104</v>
      </c>
      <c r="D8" s="84">
        <v>44469</v>
      </c>
      <c r="E8" s="84">
        <v>44834</v>
      </c>
      <c r="F8" s="84">
        <v>45199</v>
      </c>
      <c r="G8" s="84">
        <v>45565</v>
      </c>
      <c r="H8" s="84">
        <v>45930</v>
      </c>
      <c r="I8" s="3"/>
      <c r="J8" s="3">
        <v>44926</v>
      </c>
      <c r="K8" s="3">
        <v>45015</v>
      </c>
      <c r="L8" s="3">
        <v>45107</v>
      </c>
      <c r="M8" s="3">
        <f>F8</f>
        <v>45199</v>
      </c>
      <c r="N8" s="3">
        <v>45291</v>
      </c>
      <c r="O8" s="3">
        <v>45381</v>
      </c>
      <c r="P8" s="3">
        <v>45473</v>
      </c>
      <c r="Q8" s="3">
        <f>G8</f>
        <v>45565</v>
      </c>
      <c r="R8" s="3">
        <v>45657</v>
      </c>
      <c r="S8" s="3">
        <v>45746</v>
      </c>
      <c r="T8" s="3">
        <v>45838</v>
      </c>
      <c r="U8" s="3">
        <f>H8</f>
        <v>45930</v>
      </c>
      <c r="V8" s="3">
        <v>46022</v>
      </c>
      <c r="W8" s="3"/>
      <c r="X8" s="3">
        <f>M8</f>
        <v>45199</v>
      </c>
      <c r="Y8" s="3">
        <f>N8</f>
        <v>45291</v>
      </c>
      <c r="Z8" s="3">
        <f>O8</f>
        <v>45381</v>
      </c>
      <c r="AA8" s="3">
        <f>P8</f>
        <v>45473</v>
      </c>
      <c r="AB8" s="3">
        <f>Q8</f>
        <v>45565</v>
      </c>
      <c r="AC8" s="3">
        <f>R8</f>
        <v>45657</v>
      </c>
      <c r="AD8" s="3">
        <f>S8</f>
        <v>45746</v>
      </c>
      <c r="AE8" s="3">
        <f>T8</f>
        <v>45838</v>
      </c>
      <c r="AF8" s="3">
        <f>U8</f>
        <v>45930</v>
      </c>
      <c r="AG8" s="3">
        <f>V8</f>
        <v>46022</v>
      </c>
      <c r="AH8" s="37"/>
      <c r="AI8" s="156"/>
    </row>
    <row r="9" spans="1:35" ht="5.0999999999999996" customHeight="1">
      <c r="AI9" s="93"/>
    </row>
    <row r="10" spans="1:35" ht="12.75" customHeight="1">
      <c r="B10" s="9" t="s">
        <v>54</v>
      </c>
      <c r="C10" s="89">
        <v>21846</v>
      </c>
      <c r="D10" s="89">
        <v>24105</v>
      </c>
      <c r="E10" s="89">
        <v>29310</v>
      </c>
      <c r="F10" s="89">
        <v>32653</v>
      </c>
      <c r="G10" s="89">
        <v>35926</v>
      </c>
      <c r="H10" s="89">
        <v>40000</v>
      </c>
      <c r="I10" s="11"/>
      <c r="J10" s="89">
        <v>7936</v>
      </c>
      <c r="K10" s="89">
        <v>7985</v>
      </c>
      <c r="L10" s="89">
        <v>8123</v>
      </c>
      <c r="M10" s="32">
        <f t="shared" ref="M10" si="0">SUM(F10-SUM(J10:L10))</f>
        <v>8609</v>
      </c>
      <c r="N10" s="89">
        <v>8634</v>
      </c>
      <c r="O10" s="89">
        <v>8775</v>
      </c>
      <c r="P10" s="89">
        <v>8900</v>
      </c>
      <c r="Q10" s="32">
        <f t="shared" ref="Q10" si="1">SUM(G10-SUM(N10:P10))</f>
        <v>9617</v>
      </c>
      <c r="R10" s="81">
        <v>9510</v>
      </c>
      <c r="S10" s="81">
        <v>9594</v>
      </c>
      <c r="T10" s="81">
        <v>10172</v>
      </c>
      <c r="U10" s="32">
        <f t="shared" ref="U10:V10" si="2">SUM(H10-SUM(R10:T10))</f>
        <v>10724</v>
      </c>
      <c r="V10" s="81">
        <v>10901</v>
      </c>
      <c r="X10" s="32">
        <f>SUM(J10:M10)</f>
        <v>32653</v>
      </c>
      <c r="Y10" s="32">
        <f>SUM(K10:N10)</f>
        <v>33351</v>
      </c>
      <c r="Z10" s="32">
        <f>SUM(L10:O10)</f>
        <v>34141</v>
      </c>
      <c r="AA10" s="32">
        <f>SUM(M10:P10)</f>
        <v>34918</v>
      </c>
      <c r="AB10" s="32">
        <f>SUM(N10:Q10)</f>
        <v>35926</v>
      </c>
      <c r="AC10" s="32">
        <f>SUM(O10:R10)</f>
        <v>36802</v>
      </c>
      <c r="AD10" s="32">
        <f>SUM(P10:S10)</f>
        <v>37621</v>
      </c>
      <c r="AE10" s="32">
        <f>SUM(Q10:T10)</f>
        <v>38893</v>
      </c>
      <c r="AF10" s="32">
        <f>SUM(R10:U10)</f>
        <v>40000</v>
      </c>
      <c r="AG10" s="32">
        <f>SUM(S10:V10)</f>
        <v>41391</v>
      </c>
      <c r="AH10" s="39"/>
      <c r="AI10" s="12">
        <f>SUM(AG10/AC10)-1</f>
        <v>0.12469431009184273</v>
      </c>
    </row>
    <row r="11" spans="1:35" ht="12.75" customHeight="1">
      <c r="B11" s="13" t="s">
        <v>12</v>
      </c>
      <c r="C11" s="14">
        <f t="shared" ref="C11" si="3">+SUM(C10:C10)</f>
        <v>21846</v>
      </c>
      <c r="D11" s="14">
        <f t="shared" ref="D11:G11" si="4">+SUM(D10:D10)</f>
        <v>24105</v>
      </c>
      <c r="E11" s="14">
        <f t="shared" si="4"/>
        <v>29310</v>
      </c>
      <c r="F11" s="14">
        <f t="shared" si="4"/>
        <v>32653</v>
      </c>
      <c r="G11" s="14">
        <f t="shared" si="4"/>
        <v>35926</v>
      </c>
      <c r="H11" s="14">
        <f t="shared" ref="H11" si="5">+SUM(H10:H10)</f>
        <v>40000</v>
      </c>
      <c r="I11" s="11"/>
      <c r="J11" s="14">
        <f t="shared" ref="J11:S11" si="6">+SUM(J10:J10)</f>
        <v>7936</v>
      </c>
      <c r="K11" s="14">
        <f t="shared" si="6"/>
        <v>7985</v>
      </c>
      <c r="L11" s="14">
        <f t="shared" si="6"/>
        <v>8123</v>
      </c>
      <c r="M11" s="14">
        <f t="shared" si="6"/>
        <v>8609</v>
      </c>
      <c r="N11" s="14">
        <f t="shared" si="6"/>
        <v>8634</v>
      </c>
      <c r="O11" s="14">
        <f t="shared" si="6"/>
        <v>8775</v>
      </c>
      <c r="P11" s="14">
        <f t="shared" si="6"/>
        <v>8900</v>
      </c>
      <c r="Q11" s="14">
        <f t="shared" si="6"/>
        <v>9617</v>
      </c>
      <c r="R11" s="14">
        <f t="shared" si="6"/>
        <v>9510</v>
      </c>
      <c r="S11" s="14">
        <f t="shared" si="6"/>
        <v>9594</v>
      </c>
      <c r="T11" s="14">
        <f>+SUM(T10:T10)</f>
        <v>10172</v>
      </c>
      <c r="U11" s="14">
        <f>+SUM(U10:U10)</f>
        <v>10724</v>
      </c>
      <c r="V11" s="14">
        <f>+SUM(V10:V10)</f>
        <v>10901</v>
      </c>
      <c r="X11" s="14">
        <f t="shared" ref="X11" si="7">+SUM(X10:X10)</f>
        <v>32653</v>
      </c>
      <c r="Y11" s="14">
        <f t="shared" ref="Y11:AE11" si="8">+SUM(Y10:Y10)</f>
        <v>33351</v>
      </c>
      <c r="Z11" s="14">
        <f t="shared" si="8"/>
        <v>34141</v>
      </c>
      <c r="AA11" s="14">
        <f t="shared" si="8"/>
        <v>34918</v>
      </c>
      <c r="AB11" s="14">
        <f t="shared" si="8"/>
        <v>35926</v>
      </c>
      <c r="AC11" s="14">
        <f t="shared" si="8"/>
        <v>36802</v>
      </c>
      <c r="AD11" s="14">
        <f t="shared" si="8"/>
        <v>37621</v>
      </c>
      <c r="AE11" s="14">
        <f t="shared" si="8"/>
        <v>38893</v>
      </c>
      <c r="AF11" s="14">
        <f>+SUM(AF10:AF10)</f>
        <v>40000</v>
      </c>
      <c r="AG11" s="14">
        <f>+SUM(AG10:AG10)</f>
        <v>41391</v>
      </c>
      <c r="AH11" s="39"/>
      <c r="AI11" s="15">
        <f t="shared" ref="AI11:AI20" si="9">SUM(AG11/AC11)-1</f>
        <v>0.12469431009184273</v>
      </c>
    </row>
    <row r="12" spans="1:35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1"/>
      <c r="O12" s="21"/>
      <c r="P12" s="21"/>
      <c r="Q12" s="21"/>
      <c r="R12" s="22"/>
      <c r="S12" s="21"/>
      <c r="T12" s="21"/>
      <c r="U12" s="21"/>
      <c r="V12" s="21"/>
      <c r="AI12" s="74"/>
    </row>
    <row r="13" spans="1:35" ht="12.75" customHeight="1">
      <c r="B13" s="9" t="s">
        <v>122</v>
      </c>
      <c r="C13" s="81">
        <v>-3785</v>
      </c>
      <c r="D13" s="81">
        <v>-4240</v>
      </c>
      <c r="E13" s="81">
        <v>-4990</v>
      </c>
      <c r="F13" s="81">
        <v>-5831</v>
      </c>
      <c r="G13" s="81">
        <v>-6264</v>
      </c>
      <c r="H13" s="81">
        <v>-6961</v>
      </c>
      <c r="I13" s="32"/>
      <c r="J13" s="81">
        <v>-1337</v>
      </c>
      <c r="K13" s="81">
        <v>-1515</v>
      </c>
      <c r="L13" s="81">
        <v>-1481</v>
      </c>
      <c r="M13" s="32">
        <f t="shared" ref="M13:M19" si="10">SUM(F13-SUM(J13:L13))</f>
        <v>-1498</v>
      </c>
      <c r="N13" s="81">
        <v>-1479</v>
      </c>
      <c r="O13" s="81">
        <v>-1603</v>
      </c>
      <c r="P13" s="81">
        <v>-1573</v>
      </c>
      <c r="Q13" s="32">
        <f t="shared" ref="Q13:Q19" si="11">SUM(G13-SUM(N13:P13))</f>
        <v>-1609</v>
      </c>
      <c r="R13" s="81">
        <v>-1813</v>
      </c>
      <c r="S13" s="81">
        <v>-1657</v>
      </c>
      <c r="T13" s="81">
        <v>-1749</v>
      </c>
      <c r="U13" s="32">
        <f t="shared" ref="U13:V19" si="12">SUM(H13-SUM(R13:T13))</f>
        <v>-1742</v>
      </c>
      <c r="V13" s="81">
        <v>-1764</v>
      </c>
      <c r="X13" s="32">
        <f t="shared" ref="X13:X19" si="13">SUM(J13:M13)</f>
        <v>-5831</v>
      </c>
      <c r="Y13" s="32">
        <f t="shared" ref="Y13:Y19" si="14">SUM(K13:N13)</f>
        <v>-5973</v>
      </c>
      <c r="Z13" s="32">
        <f t="shared" ref="Z13:Z19" si="15">SUM(L13:O13)</f>
        <v>-6061</v>
      </c>
      <c r="AA13" s="32">
        <f t="shared" ref="AA13:AA19" si="16">SUM(M13:P13)</f>
        <v>-6153</v>
      </c>
      <c r="AB13" s="32">
        <f t="shared" ref="AB13:AB19" si="17">SUM(N13:Q13)</f>
        <v>-6264</v>
      </c>
      <c r="AC13" s="32">
        <f t="shared" ref="AC13:AC19" si="18">SUM(O13:R13)</f>
        <v>-6598</v>
      </c>
      <c r="AD13" s="32">
        <f t="shared" ref="AD13:AD19" si="19">SUM(P13:S13)</f>
        <v>-6652</v>
      </c>
      <c r="AE13" s="32">
        <f t="shared" ref="AE13:AE19" si="20">SUM(Q13:T13)</f>
        <v>-6828</v>
      </c>
      <c r="AF13" s="32">
        <f t="shared" ref="AF13:AG19" si="21">SUM(R13:U13)</f>
        <v>-6961</v>
      </c>
      <c r="AG13" s="32">
        <f t="shared" si="21"/>
        <v>-6912</v>
      </c>
      <c r="AH13" s="11"/>
      <c r="AI13" s="74">
        <f t="shared" si="9"/>
        <v>4.7590178842073394E-2</v>
      </c>
    </row>
    <row r="14" spans="1:35" ht="12.75" customHeight="1">
      <c r="B14" s="9" t="s">
        <v>123</v>
      </c>
      <c r="C14" s="81">
        <v>-971</v>
      </c>
      <c r="D14" s="81">
        <v>-1136</v>
      </c>
      <c r="E14" s="81">
        <v>-1336</v>
      </c>
      <c r="F14" s="81">
        <v>-1341</v>
      </c>
      <c r="G14" s="81">
        <v>-1560</v>
      </c>
      <c r="H14" s="81">
        <v>-1684</v>
      </c>
      <c r="I14" s="32"/>
      <c r="J14" s="81">
        <v>-332</v>
      </c>
      <c r="K14" s="81">
        <v>-309</v>
      </c>
      <c r="L14" s="81">
        <v>-297</v>
      </c>
      <c r="M14" s="32">
        <f t="shared" si="10"/>
        <v>-403</v>
      </c>
      <c r="N14" s="81">
        <v>-293</v>
      </c>
      <c r="O14" s="81">
        <v>-338</v>
      </c>
      <c r="P14" s="81">
        <v>-378</v>
      </c>
      <c r="Q14" s="32">
        <f t="shared" si="11"/>
        <v>-551</v>
      </c>
      <c r="R14" s="81">
        <v>-306</v>
      </c>
      <c r="S14" s="81">
        <v>-381</v>
      </c>
      <c r="T14" s="81">
        <v>-421</v>
      </c>
      <c r="U14" s="32">
        <f t="shared" si="12"/>
        <v>-576</v>
      </c>
      <c r="V14" s="81">
        <v>-410</v>
      </c>
      <c r="X14" s="32">
        <f t="shared" si="13"/>
        <v>-1341</v>
      </c>
      <c r="Y14" s="32">
        <f t="shared" si="14"/>
        <v>-1302</v>
      </c>
      <c r="Z14" s="32">
        <f t="shared" si="15"/>
        <v>-1331</v>
      </c>
      <c r="AA14" s="32">
        <f t="shared" si="16"/>
        <v>-1412</v>
      </c>
      <c r="AB14" s="32">
        <f t="shared" si="17"/>
        <v>-1560</v>
      </c>
      <c r="AC14" s="32">
        <f t="shared" si="18"/>
        <v>-1573</v>
      </c>
      <c r="AD14" s="32">
        <f t="shared" si="19"/>
        <v>-1616</v>
      </c>
      <c r="AE14" s="32">
        <f t="shared" si="20"/>
        <v>-1659</v>
      </c>
      <c r="AF14" s="32">
        <f t="shared" si="21"/>
        <v>-1684</v>
      </c>
      <c r="AG14" s="32">
        <f t="shared" si="21"/>
        <v>-1788</v>
      </c>
      <c r="AH14" s="11"/>
      <c r="AI14" s="74">
        <f t="shared" si="9"/>
        <v>0.13668150031786386</v>
      </c>
    </row>
    <row r="15" spans="1:35" ht="12.75" customHeight="1">
      <c r="B15" s="9" t="s">
        <v>124</v>
      </c>
      <c r="C15" s="81">
        <v>-727</v>
      </c>
      <c r="D15" s="81">
        <v>-730</v>
      </c>
      <c r="E15" s="81">
        <v>-743</v>
      </c>
      <c r="F15" s="81">
        <v>-736</v>
      </c>
      <c r="G15" s="81">
        <v>-778</v>
      </c>
      <c r="H15" s="81">
        <v>-894</v>
      </c>
      <c r="I15" s="32"/>
      <c r="J15" s="81">
        <v>-178</v>
      </c>
      <c r="K15" s="81">
        <v>-179</v>
      </c>
      <c r="L15" s="81">
        <v>-182</v>
      </c>
      <c r="M15" s="32">
        <f t="shared" si="10"/>
        <v>-197</v>
      </c>
      <c r="N15" s="81">
        <v>-181</v>
      </c>
      <c r="O15" s="81">
        <v>-189</v>
      </c>
      <c r="P15" s="81">
        <v>-200</v>
      </c>
      <c r="Q15" s="32">
        <f t="shared" si="11"/>
        <v>-208</v>
      </c>
      <c r="R15" s="81">
        <v>-207</v>
      </c>
      <c r="S15" s="81">
        <v>-224</v>
      </c>
      <c r="T15" s="81">
        <v>-224</v>
      </c>
      <c r="U15" s="32">
        <f t="shared" si="12"/>
        <v>-239</v>
      </c>
      <c r="V15" s="81">
        <v>-233</v>
      </c>
      <c r="X15" s="32">
        <f t="shared" si="13"/>
        <v>-736</v>
      </c>
      <c r="Y15" s="32">
        <f t="shared" si="14"/>
        <v>-739</v>
      </c>
      <c r="Z15" s="32">
        <f t="shared" si="15"/>
        <v>-749</v>
      </c>
      <c r="AA15" s="32">
        <f t="shared" si="16"/>
        <v>-767</v>
      </c>
      <c r="AB15" s="32">
        <f t="shared" si="17"/>
        <v>-778</v>
      </c>
      <c r="AC15" s="32">
        <f t="shared" si="18"/>
        <v>-804</v>
      </c>
      <c r="AD15" s="32">
        <f t="shared" si="19"/>
        <v>-839</v>
      </c>
      <c r="AE15" s="32">
        <f t="shared" si="20"/>
        <v>-863</v>
      </c>
      <c r="AF15" s="32">
        <f t="shared" si="21"/>
        <v>-894</v>
      </c>
      <c r="AG15" s="32">
        <f t="shared" si="21"/>
        <v>-920</v>
      </c>
      <c r="AH15" s="11"/>
      <c r="AI15" s="74">
        <f t="shared" si="9"/>
        <v>0.14427860696517403</v>
      </c>
    </row>
    <row r="16" spans="1:35" ht="12.75" customHeight="1">
      <c r="B16" s="9" t="s">
        <v>125</v>
      </c>
      <c r="C16" s="81">
        <v>-408</v>
      </c>
      <c r="D16" s="81">
        <v>-403</v>
      </c>
      <c r="E16" s="81">
        <v>-505</v>
      </c>
      <c r="F16" s="81">
        <v>-545</v>
      </c>
      <c r="G16" s="81">
        <v>-635</v>
      </c>
      <c r="H16" s="81">
        <v>-759</v>
      </c>
      <c r="I16" s="32"/>
      <c r="J16" s="81">
        <v>-109</v>
      </c>
      <c r="K16" s="81">
        <v>-130</v>
      </c>
      <c r="L16" s="81">
        <v>-133</v>
      </c>
      <c r="M16" s="32">
        <f t="shared" si="10"/>
        <v>-173</v>
      </c>
      <c r="N16" s="81">
        <v>-131</v>
      </c>
      <c r="O16" s="81">
        <v>-160</v>
      </c>
      <c r="P16" s="81">
        <v>-152</v>
      </c>
      <c r="Q16" s="32">
        <f t="shared" si="11"/>
        <v>-192</v>
      </c>
      <c r="R16" s="81">
        <v>-143</v>
      </c>
      <c r="S16" s="81">
        <v>-173</v>
      </c>
      <c r="T16" s="81">
        <v>-187</v>
      </c>
      <c r="U16" s="32">
        <f t="shared" si="12"/>
        <v>-256</v>
      </c>
      <c r="V16" s="81">
        <v>-208</v>
      </c>
      <c r="X16" s="32">
        <f t="shared" si="13"/>
        <v>-545</v>
      </c>
      <c r="Y16" s="32">
        <f t="shared" si="14"/>
        <v>-567</v>
      </c>
      <c r="Z16" s="32">
        <f t="shared" si="15"/>
        <v>-597</v>
      </c>
      <c r="AA16" s="32">
        <f t="shared" si="16"/>
        <v>-616</v>
      </c>
      <c r="AB16" s="32">
        <f t="shared" si="17"/>
        <v>-635</v>
      </c>
      <c r="AC16" s="32">
        <f t="shared" si="18"/>
        <v>-647</v>
      </c>
      <c r="AD16" s="32">
        <f t="shared" si="19"/>
        <v>-660</v>
      </c>
      <c r="AE16" s="32">
        <f t="shared" si="20"/>
        <v>-695</v>
      </c>
      <c r="AF16" s="32">
        <f t="shared" si="21"/>
        <v>-759</v>
      </c>
      <c r="AG16" s="32">
        <f t="shared" si="21"/>
        <v>-824</v>
      </c>
      <c r="AH16" s="11"/>
      <c r="AI16" s="74">
        <f t="shared" si="9"/>
        <v>0.27357032457496144</v>
      </c>
    </row>
    <row r="17" spans="2:35" ht="12.75" customHeight="1">
      <c r="B17" s="9" t="s">
        <v>126</v>
      </c>
      <c r="C17" s="81">
        <v>-767</v>
      </c>
      <c r="D17" s="81">
        <v>-804</v>
      </c>
      <c r="E17" s="81">
        <v>-861</v>
      </c>
      <c r="F17" s="81">
        <v>-943</v>
      </c>
      <c r="G17" s="81">
        <v>-1034</v>
      </c>
      <c r="H17" s="81">
        <v>-1220</v>
      </c>
      <c r="I17" s="32"/>
      <c r="J17" s="81">
        <v>-227</v>
      </c>
      <c r="K17" s="81">
        <v>-234</v>
      </c>
      <c r="L17" s="81">
        <v>-235</v>
      </c>
      <c r="M17" s="32">
        <f t="shared" si="10"/>
        <v>-247</v>
      </c>
      <c r="N17" s="81">
        <v>-247</v>
      </c>
      <c r="O17" s="81">
        <v>-249</v>
      </c>
      <c r="P17" s="81">
        <v>-264</v>
      </c>
      <c r="Q17" s="32">
        <f t="shared" si="11"/>
        <v>-274</v>
      </c>
      <c r="R17" s="81">
        <v>-282</v>
      </c>
      <c r="S17" s="81">
        <v>-305</v>
      </c>
      <c r="T17" s="81">
        <v>-317</v>
      </c>
      <c r="U17" s="32">
        <f t="shared" si="12"/>
        <v>-316</v>
      </c>
      <c r="V17" s="81">
        <v>-326</v>
      </c>
      <c r="X17" s="32">
        <f t="shared" si="13"/>
        <v>-943</v>
      </c>
      <c r="Y17" s="32">
        <f t="shared" si="14"/>
        <v>-963</v>
      </c>
      <c r="Z17" s="32">
        <f t="shared" si="15"/>
        <v>-978</v>
      </c>
      <c r="AA17" s="32">
        <f t="shared" si="16"/>
        <v>-1007</v>
      </c>
      <c r="AB17" s="32">
        <f t="shared" si="17"/>
        <v>-1034</v>
      </c>
      <c r="AC17" s="32">
        <f t="shared" si="18"/>
        <v>-1069</v>
      </c>
      <c r="AD17" s="32">
        <f t="shared" si="19"/>
        <v>-1125</v>
      </c>
      <c r="AE17" s="32">
        <f t="shared" si="20"/>
        <v>-1178</v>
      </c>
      <c r="AF17" s="32">
        <f t="shared" si="21"/>
        <v>-1220</v>
      </c>
      <c r="AG17" s="32">
        <f t="shared" si="21"/>
        <v>-1264</v>
      </c>
      <c r="AH17" s="11"/>
      <c r="AI17" s="74">
        <f t="shared" si="9"/>
        <v>0.18241347053320855</v>
      </c>
    </row>
    <row r="18" spans="2:35" ht="12.75" customHeight="1">
      <c r="B18" s="9" t="s">
        <v>130</v>
      </c>
      <c r="C18" s="81">
        <v>-1096</v>
      </c>
      <c r="D18" s="81">
        <v>-985</v>
      </c>
      <c r="E18" s="81">
        <v>-1194</v>
      </c>
      <c r="F18" s="81">
        <v>-1330</v>
      </c>
      <c r="G18" s="81">
        <v>-1598</v>
      </c>
      <c r="H18" s="81">
        <v>-1926</v>
      </c>
      <c r="I18" s="32"/>
      <c r="J18" s="81">
        <v>-322</v>
      </c>
      <c r="K18" s="81">
        <v>-282</v>
      </c>
      <c r="L18" s="81">
        <v>-314</v>
      </c>
      <c r="M18" s="32">
        <f t="shared" si="10"/>
        <v>-412</v>
      </c>
      <c r="N18" s="81">
        <v>-340</v>
      </c>
      <c r="O18" s="81">
        <v>-452</v>
      </c>
      <c r="P18" s="81">
        <v>-382</v>
      </c>
      <c r="Q18" s="32">
        <f t="shared" si="11"/>
        <v>-424</v>
      </c>
      <c r="R18" s="81">
        <v>-481</v>
      </c>
      <c r="S18" s="81">
        <v>-419</v>
      </c>
      <c r="T18" s="81">
        <v>-482</v>
      </c>
      <c r="U18" s="32">
        <f t="shared" si="12"/>
        <v>-544</v>
      </c>
      <c r="V18" s="81">
        <v>-515</v>
      </c>
      <c r="X18" s="32">
        <f t="shared" si="13"/>
        <v>-1330</v>
      </c>
      <c r="Y18" s="32">
        <f t="shared" si="14"/>
        <v>-1348</v>
      </c>
      <c r="Z18" s="32">
        <f t="shared" si="15"/>
        <v>-1518</v>
      </c>
      <c r="AA18" s="32">
        <f t="shared" si="16"/>
        <v>-1586</v>
      </c>
      <c r="AB18" s="32">
        <f t="shared" si="17"/>
        <v>-1598</v>
      </c>
      <c r="AC18" s="32">
        <f t="shared" si="18"/>
        <v>-1739</v>
      </c>
      <c r="AD18" s="32">
        <f t="shared" si="19"/>
        <v>-1706</v>
      </c>
      <c r="AE18" s="32">
        <f t="shared" si="20"/>
        <v>-1806</v>
      </c>
      <c r="AF18" s="32">
        <f t="shared" si="21"/>
        <v>-1926</v>
      </c>
      <c r="AG18" s="32">
        <f t="shared" si="21"/>
        <v>-1960</v>
      </c>
      <c r="AH18" s="11"/>
      <c r="AI18" s="74">
        <f t="shared" si="9"/>
        <v>0.12708453133985054</v>
      </c>
    </row>
    <row r="19" spans="2:35" ht="12.75" customHeight="1">
      <c r="B19" s="9" t="s">
        <v>127</v>
      </c>
      <c r="C19" s="81">
        <v>-11</v>
      </c>
      <c r="D19" s="81">
        <v>-3</v>
      </c>
      <c r="E19" s="81">
        <v>-868</v>
      </c>
      <c r="F19" s="81">
        <v>-927</v>
      </c>
      <c r="G19" s="81">
        <v>-462</v>
      </c>
      <c r="H19" s="81">
        <v>-2562</v>
      </c>
      <c r="I19" s="32"/>
      <c r="J19" s="81">
        <v>-341</v>
      </c>
      <c r="K19" s="81">
        <v>0</v>
      </c>
      <c r="L19" s="81">
        <v>-457</v>
      </c>
      <c r="M19" s="32">
        <f t="shared" si="10"/>
        <v>-129</v>
      </c>
      <c r="N19" s="81">
        <v>-9</v>
      </c>
      <c r="O19" s="81">
        <v>-430</v>
      </c>
      <c r="P19" s="81">
        <v>-13</v>
      </c>
      <c r="Q19" s="32">
        <f t="shared" si="11"/>
        <v>-10</v>
      </c>
      <c r="R19" s="81">
        <v>-44</v>
      </c>
      <c r="S19" s="81">
        <v>-1000</v>
      </c>
      <c r="T19" s="81">
        <v>-615</v>
      </c>
      <c r="U19" s="32">
        <f t="shared" si="12"/>
        <v>-903</v>
      </c>
      <c r="V19" s="81">
        <v>-708</v>
      </c>
      <c r="X19" s="32">
        <f t="shared" si="13"/>
        <v>-927</v>
      </c>
      <c r="Y19" s="32">
        <f t="shared" si="14"/>
        <v>-595</v>
      </c>
      <c r="Z19" s="32">
        <f t="shared" si="15"/>
        <v>-1025</v>
      </c>
      <c r="AA19" s="32">
        <f t="shared" si="16"/>
        <v>-581</v>
      </c>
      <c r="AB19" s="32">
        <f t="shared" si="17"/>
        <v>-462</v>
      </c>
      <c r="AC19" s="32">
        <f t="shared" si="18"/>
        <v>-497</v>
      </c>
      <c r="AD19" s="32">
        <f t="shared" si="19"/>
        <v>-1067</v>
      </c>
      <c r="AE19" s="32">
        <f t="shared" si="20"/>
        <v>-1669</v>
      </c>
      <c r="AF19" s="32">
        <f t="shared" si="21"/>
        <v>-2562</v>
      </c>
      <c r="AG19" s="32">
        <f t="shared" si="21"/>
        <v>-3226</v>
      </c>
      <c r="AH19" s="11"/>
      <c r="AI19" s="74">
        <f t="shared" si="9"/>
        <v>5.4909456740442657</v>
      </c>
    </row>
    <row r="20" spans="2:35" ht="12.75" customHeight="1">
      <c r="B20" s="25" t="s">
        <v>74</v>
      </c>
      <c r="C20" s="26">
        <f t="shared" ref="C20:H20" si="22">+SUM(C11+SUM(C13:C19))</f>
        <v>14081</v>
      </c>
      <c r="D20" s="26">
        <f t="shared" si="22"/>
        <v>15804</v>
      </c>
      <c r="E20" s="26">
        <f t="shared" si="22"/>
        <v>18813</v>
      </c>
      <c r="F20" s="26">
        <f t="shared" si="22"/>
        <v>21000</v>
      </c>
      <c r="G20" s="26">
        <f t="shared" si="22"/>
        <v>23595</v>
      </c>
      <c r="H20" s="26">
        <f t="shared" si="22"/>
        <v>23994</v>
      </c>
      <c r="I20" s="32"/>
      <c r="J20" s="26">
        <f t="shared" ref="J20:U20" si="23">+SUM(J11+SUM(J13:J19))</f>
        <v>5090</v>
      </c>
      <c r="K20" s="26">
        <f t="shared" si="23"/>
        <v>5336</v>
      </c>
      <c r="L20" s="26">
        <f t="shared" si="23"/>
        <v>5024</v>
      </c>
      <c r="M20" s="26">
        <f t="shared" si="23"/>
        <v>5550</v>
      </c>
      <c r="N20" s="26">
        <f t="shared" si="23"/>
        <v>5954</v>
      </c>
      <c r="O20" s="26">
        <f t="shared" si="23"/>
        <v>5354</v>
      </c>
      <c r="P20" s="26">
        <f t="shared" si="23"/>
        <v>5938</v>
      </c>
      <c r="Q20" s="26">
        <f t="shared" si="23"/>
        <v>6349</v>
      </c>
      <c r="R20" s="26">
        <f t="shared" si="23"/>
        <v>6234</v>
      </c>
      <c r="S20" s="26">
        <f t="shared" si="23"/>
        <v>5435</v>
      </c>
      <c r="T20" s="26">
        <f t="shared" si="23"/>
        <v>6177</v>
      </c>
      <c r="U20" s="26">
        <f t="shared" si="23"/>
        <v>6148</v>
      </c>
      <c r="V20" s="26">
        <f t="shared" ref="V20" si="24">+SUM(V11+SUM(V13:V19))</f>
        <v>6737</v>
      </c>
      <c r="X20" s="26">
        <f t="shared" ref="X20:AF20" si="25">+SUM(X11+SUM(X13:X19))</f>
        <v>21000</v>
      </c>
      <c r="Y20" s="26">
        <f t="shared" si="25"/>
        <v>21864</v>
      </c>
      <c r="Z20" s="26">
        <f t="shared" si="25"/>
        <v>21882</v>
      </c>
      <c r="AA20" s="26">
        <f t="shared" si="25"/>
        <v>22796</v>
      </c>
      <c r="AB20" s="26">
        <f t="shared" si="25"/>
        <v>23595</v>
      </c>
      <c r="AC20" s="26">
        <f t="shared" si="25"/>
        <v>23875</v>
      </c>
      <c r="AD20" s="26">
        <f t="shared" si="25"/>
        <v>23956</v>
      </c>
      <c r="AE20" s="26">
        <f t="shared" si="25"/>
        <v>24195</v>
      </c>
      <c r="AF20" s="26">
        <f t="shared" si="25"/>
        <v>23994</v>
      </c>
      <c r="AG20" s="26">
        <f t="shared" ref="AG20" si="26">+SUM(AG11+SUM(AG13:AG19))</f>
        <v>24497</v>
      </c>
      <c r="AH20" s="11"/>
      <c r="AI20" s="75">
        <f t="shared" si="9"/>
        <v>2.6052356020942469E-2</v>
      </c>
    </row>
    <row r="21" spans="2:35" ht="12.75" customHeight="1">
      <c r="B21" s="16" t="s">
        <v>29</v>
      </c>
      <c r="C21" s="17">
        <f t="shared" ref="C21:H21" si="27">C20/C11</f>
        <v>0.64455735603771858</v>
      </c>
      <c r="D21" s="17">
        <f t="shared" si="27"/>
        <v>0.65563161169881767</v>
      </c>
      <c r="E21" s="17">
        <f t="shared" si="27"/>
        <v>0.64186284544524053</v>
      </c>
      <c r="F21" s="17">
        <f t="shared" si="27"/>
        <v>0.64312620586163594</v>
      </c>
      <c r="G21" s="17">
        <f t="shared" si="27"/>
        <v>0.65676668707899566</v>
      </c>
      <c r="H21" s="17">
        <f t="shared" si="27"/>
        <v>0.59984999999999999</v>
      </c>
      <c r="I21" s="32"/>
      <c r="J21" s="17">
        <f t="shared" ref="J21:U21" si="28">J20/J11</f>
        <v>0.64138104838709675</v>
      </c>
      <c r="K21" s="17">
        <f t="shared" si="28"/>
        <v>0.66825297432686281</v>
      </c>
      <c r="L21" s="17">
        <f t="shared" si="28"/>
        <v>0.6184907054044072</v>
      </c>
      <c r="M21" s="17">
        <f t="shared" si="28"/>
        <v>0.64467417818561967</v>
      </c>
      <c r="N21" s="17">
        <f t="shared" si="28"/>
        <v>0.68959925874449846</v>
      </c>
      <c r="O21" s="17">
        <f t="shared" si="28"/>
        <v>0.61014245014245017</v>
      </c>
      <c r="P21" s="17">
        <f t="shared" si="28"/>
        <v>0.66719101123595503</v>
      </c>
      <c r="Q21" s="17">
        <f t="shared" si="28"/>
        <v>0.660185088905064</v>
      </c>
      <c r="R21" s="17">
        <f t="shared" si="28"/>
        <v>0.65552050473186119</v>
      </c>
      <c r="S21" s="17">
        <f t="shared" si="28"/>
        <v>0.56649989576818849</v>
      </c>
      <c r="T21" s="17">
        <f t="shared" si="28"/>
        <v>0.60725521038143926</v>
      </c>
      <c r="U21" s="17">
        <f t="shared" si="28"/>
        <v>0.57329354718388659</v>
      </c>
      <c r="V21" s="17">
        <f t="shared" ref="V21" si="29">V20/V11</f>
        <v>0.61801669571598938</v>
      </c>
      <c r="X21" s="17">
        <f t="shared" ref="X21:AF21" si="30">X20/X11</f>
        <v>0.64312620586163594</v>
      </c>
      <c r="Y21" s="17">
        <f t="shared" si="30"/>
        <v>0.65557254655032837</v>
      </c>
      <c r="Z21" s="17">
        <f t="shared" si="30"/>
        <v>0.64093025980492668</v>
      </c>
      <c r="AA21" s="17">
        <f t="shared" si="30"/>
        <v>0.65284380548714127</v>
      </c>
      <c r="AB21" s="17">
        <f t="shared" si="30"/>
        <v>0.65676668707899566</v>
      </c>
      <c r="AC21" s="17">
        <f t="shared" si="30"/>
        <v>0.64874191620020649</v>
      </c>
      <c r="AD21" s="17">
        <f t="shared" si="30"/>
        <v>0.63677201562956864</v>
      </c>
      <c r="AE21" s="17">
        <f t="shared" si="30"/>
        <v>0.62209137891137223</v>
      </c>
      <c r="AF21" s="17">
        <f t="shared" si="30"/>
        <v>0.59984999999999999</v>
      </c>
      <c r="AG21" s="17">
        <f t="shared" ref="AG21" si="31">AG20/AG11</f>
        <v>0.59184363750573799</v>
      </c>
      <c r="AH21" s="11"/>
      <c r="AI21" s="76">
        <f>SUM(AG21-AC21)*1000</f>
        <v>-56.898278694468509</v>
      </c>
    </row>
    <row r="22" spans="2:35" ht="5.0999999999999996" customHeight="1">
      <c r="B22" s="16"/>
      <c r="C22" s="17"/>
      <c r="D22" s="17"/>
      <c r="E22" s="17"/>
      <c r="F22" s="17"/>
      <c r="G22" s="17"/>
      <c r="H22" s="17"/>
      <c r="I22" s="32"/>
      <c r="J22" s="81"/>
      <c r="K22" s="81"/>
      <c r="L22" s="81"/>
      <c r="M22" s="81"/>
      <c r="N22" s="81"/>
      <c r="O22" s="81"/>
      <c r="P22" s="81"/>
      <c r="Q22" s="81"/>
      <c r="R22" s="32"/>
      <c r="S22" s="81"/>
      <c r="T22" s="81"/>
      <c r="U22" s="81"/>
      <c r="V22" s="81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11"/>
      <c r="AI22" s="74"/>
    </row>
    <row r="23" spans="2:35" ht="12.75" customHeight="1">
      <c r="B23" s="9" t="s">
        <v>129</v>
      </c>
      <c r="C23" s="81">
        <v>-516</v>
      </c>
      <c r="D23" s="81">
        <v>-513</v>
      </c>
      <c r="E23" s="81">
        <v>-538</v>
      </c>
      <c r="F23" s="81">
        <v>-644</v>
      </c>
      <c r="G23" s="81">
        <v>-641</v>
      </c>
      <c r="H23" s="81">
        <v>-589</v>
      </c>
      <c r="I23" s="32"/>
      <c r="J23" s="89">
        <v>-137</v>
      </c>
      <c r="K23" s="89">
        <v>-142</v>
      </c>
      <c r="L23" s="89">
        <v>-182</v>
      </c>
      <c r="M23" s="32">
        <f t="shared" ref="M23:M24" si="32">SUM(F23-SUM(J23:L23))</f>
        <v>-183</v>
      </c>
      <c r="N23" s="89">
        <v>-187</v>
      </c>
      <c r="O23" s="89">
        <v>-82</v>
      </c>
      <c r="P23" s="89">
        <v>-196</v>
      </c>
      <c r="Q23" s="32">
        <f t="shared" ref="Q23:Q24" si="33">SUM(G23-SUM(N23:P23))</f>
        <v>-176</v>
      </c>
      <c r="R23" s="81">
        <v>-182</v>
      </c>
      <c r="S23" s="81">
        <v>-158</v>
      </c>
      <c r="T23" s="81">
        <v>-39</v>
      </c>
      <c r="U23" s="32">
        <f t="shared" ref="U23:V24" si="34">SUM(H23-SUM(R23:T23))</f>
        <v>-210</v>
      </c>
      <c r="V23" s="81">
        <v>-194</v>
      </c>
      <c r="X23" s="32">
        <f t="shared" ref="X23:X24" si="35">SUM(J23:M23)</f>
        <v>-644</v>
      </c>
      <c r="Y23" s="32">
        <f t="shared" ref="Y23:Y24" si="36">SUM(K23:N23)</f>
        <v>-694</v>
      </c>
      <c r="Z23" s="32">
        <f t="shared" ref="Z23:Z24" si="37">SUM(L23:O23)</f>
        <v>-634</v>
      </c>
      <c r="AA23" s="32">
        <f t="shared" ref="AA23:AA24" si="38">SUM(M23:P23)</f>
        <v>-648</v>
      </c>
      <c r="AB23" s="32">
        <f t="shared" ref="AB23:AB24" si="39">SUM(N23:Q23)</f>
        <v>-641</v>
      </c>
      <c r="AC23" s="32">
        <f t="shared" ref="AC23:AC24" si="40">SUM(O23:R23)</f>
        <v>-636</v>
      </c>
      <c r="AD23" s="32">
        <f t="shared" ref="AD23:AD24" si="41">SUM(P23:S23)</f>
        <v>-712</v>
      </c>
      <c r="AE23" s="32">
        <f t="shared" ref="AE23:AE24" si="42">SUM(Q23:T23)</f>
        <v>-555</v>
      </c>
      <c r="AF23" s="32">
        <f t="shared" ref="AF23:AG24" si="43">SUM(R23:U23)</f>
        <v>-589</v>
      </c>
      <c r="AG23" s="32">
        <f t="shared" si="43"/>
        <v>-601</v>
      </c>
      <c r="AH23" s="11"/>
      <c r="AI23" s="74">
        <f t="shared" ref="AI23:AI25" si="44">SUM(AG23/AC23)-1</f>
        <v>-5.5031446540880546E-2</v>
      </c>
    </row>
    <row r="24" spans="2:35" ht="12.75" customHeight="1">
      <c r="B24" s="9" t="s">
        <v>128</v>
      </c>
      <c r="C24" s="81">
        <v>225</v>
      </c>
      <c r="D24" s="81">
        <v>772</v>
      </c>
      <c r="E24" s="81">
        <v>-139</v>
      </c>
      <c r="F24" s="81">
        <v>681</v>
      </c>
      <c r="G24" s="81">
        <v>962</v>
      </c>
      <c r="H24" s="81">
        <v>789</v>
      </c>
      <c r="I24" s="32"/>
      <c r="J24" s="89">
        <v>24</v>
      </c>
      <c r="K24" s="89">
        <v>84</v>
      </c>
      <c r="L24" s="89">
        <v>304</v>
      </c>
      <c r="M24" s="32">
        <f t="shared" si="32"/>
        <v>269</v>
      </c>
      <c r="N24" s="89">
        <v>275</v>
      </c>
      <c r="O24" s="89">
        <v>241</v>
      </c>
      <c r="P24" s="89">
        <v>247</v>
      </c>
      <c r="Q24" s="32">
        <f t="shared" si="33"/>
        <v>199</v>
      </c>
      <c r="R24" s="81">
        <v>148</v>
      </c>
      <c r="S24" s="81">
        <v>161</v>
      </c>
      <c r="T24" s="81">
        <v>195</v>
      </c>
      <c r="U24" s="32">
        <f t="shared" si="34"/>
        <v>285</v>
      </c>
      <c r="V24" s="81">
        <v>183</v>
      </c>
      <c r="X24" s="32">
        <f t="shared" si="35"/>
        <v>681</v>
      </c>
      <c r="Y24" s="32">
        <f t="shared" si="36"/>
        <v>932</v>
      </c>
      <c r="Z24" s="32">
        <f t="shared" si="37"/>
        <v>1089</v>
      </c>
      <c r="AA24" s="32">
        <f t="shared" si="38"/>
        <v>1032</v>
      </c>
      <c r="AB24" s="32">
        <f t="shared" si="39"/>
        <v>962</v>
      </c>
      <c r="AC24" s="32">
        <f t="shared" si="40"/>
        <v>835</v>
      </c>
      <c r="AD24" s="32">
        <f t="shared" si="41"/>
        <v>755</v>
      </c>
      <c r="AE24" s="32">
        <f t="shared" si="42"/>
        <v>703</v>
      </c>
      <c r="AF24" s="32">
        <f t="shared" si="43"/>
        <v>789</v>
      </c>
      <c r="AG24" s="32">
        <f t="shared" si="43"/>
        <v>824</v>
      </c>
      <c r="AH24" s="11"/>
      <c r="AI24" s="74">
        <f t="shared" si="44"/>
        <v>-1.3173652694610793E-2</v>
      </c>
    </row>
    <row r="25" spans="2:35" ht="12.75" customHeight="1">
      <c r="B25" s="25" t="s">
        <v>108</v>
      </c>
      <c r="C25" s="26">
        <f t="shared" ref="C25:H25" si="45">SUM(C20+SUM(C23:C24))</f>
        <v>13790</v>
      </c>
      <c r="D25" s="26">
        <f t="shared" si="45"/>
        <v>16063</v>
      </c>
      <c r="E25" s="26">
        <f t="shared" si="45"/>
        <v>18136</v>
      </c>
      <c r="F25" s="26">
        <f t="shared" si="45"/>
        <v>21037</v>
      </c>
      <c r="G25" s="26">
        <f t="shared" si="45"/>
        <v>23916</v>
      </c>
      <c r="H25" s="26">
        <f t="shared" si="45"/>
        <v>24194</v>
      </c>
      <c r="J25" s="26">
        <f t="shared" ref="J25:U25" si="46">SUM(J20+SUM(J23:J24))</f>
        <v>4977</v>
      </c>
      <c r="K25" s="26">
        <f t="shared" si="46"/>
        <v>5278</v>
      </c>
      <c r="L25" s="26">
        <f t="shared" si="46"/>
        <v>5146</v>
      </c>
      <c r="M25" s="26">
        <f t="shared" si="46"/>
        <v>5636</v>
      </c>
      <c r="N25" s="26">
        <f t="shared" si="46"/>
        <v>6042</v>
      </c>
      <c r="O25" s="26">
        <f t="shared" si="46"/>
        <v>5513</v>
      </c>
      <c r="P25" s="26">
        <f t="shared" si="46"/>
        <v>5989</v>
      </c>
      <c r="Q25" s="26">
        <f t="shared" si="46"/>
        <v>6372</v>
      </c>
      <c r="R25" s="26">
        <f t="shared" si="46"/>
        <v>6200</v>
      </c>
      <c r="S25" s="26">
        <f t="shared" si="46"/>
        <v>5438</v>
      </c>
      <c r="T25" s="26">
        <f t="shared" si="46"/>
        <v>6333</v>
      </c>
      <c r="U25" s="26">
        <f t="shared" si="46"/>
        <v>6223</v>
      </c>
      <c r="V25" s="26">
        <f t="shared" ref="V25" si="47">SUM(V20+SUM(V23:V24))</f>
        <v>6726</v>
      </c>
      <c r="X25" s="26">
        <f>SUM(X20+SUM(X23:X23))</f>
        <v>20356</v>
      </c>
      <c r="Y25" s="26">
        <f>SUM(Y20+SUM(Y23:Y23))</f>
        <v>21170</v>
      </c>
      <c r="Z25" s="26">
        <f>SUM(Z20+SUM(Z23:Z23))</f>
        <v>21248</v>
      </c>
      <c r="AA25" s="26">
        <f>SUM(AA20+SUM(AA23:AA23))</f>
        <v>22148</v>
      </c>
      <c r="AB25" s="26">
        <f>SUM(AB20+SUM(AB23:AB24))</f>
        <v>23916</v>
      </c>
      <c r="AC25" s="26">
        <f>SUM(AC20+SUM(AC23:AC24))</f>
        <v>24074</v>
      </c>
      <c r="AD25" s="26">
        <f>SUM(AD20+SUM(AD23:AD24))</f>
        <v>23999</v>
      </c>
      <c r="AE25" s="26">
        <f>SUM(AE20+SUM(AE23:AE24))</f>
        <v>24343</v>
      </c>
      <c r="AF25" s="26">
        <f>SUM(AF20+SUM(AF23:AF24))</f>
        <v>24194</v>
      </c>
      <c r="AG25" s="26">
        <f>SUM(AG20+SUM(AG23:AG24))</f>
        <v>24720</v>
      </c>
      <c r="AH25" s="41"/>
      <c r="AI25" s="75">
        <f t="shared" si="44"/>
        <v>2.6833928719780742E-2</v>
      </c>
    </row>
    <row r="26" spans="2:35" ht="12.75" customHeight="1">
      <c r="B26" s="16" t="s">
        <v>109</v>
      </c>
      <c r="C26" s="17">
        <f t="shared" ref="C26:H26" si="48">C25/C11</f>
        <v>0.63123683969605415</v>
      </c>
      <c r="D26" s="17">
        <f t="shared" si="48"/>
        <v>0.66637627048330217</v>
      </c>
      <c r="E26" s="17">
        <f t="shared" si="48"/>
        <v>0.61876492664619587</v>
      </c>
      <c r="F26" s="17">
        <f t="shared" si="48"/>
        <v>0.64425933298624938</v>
      </c>
      <c r="G26" s="17">
        <f t="shared" si="48"/>
        <v>0.66570172020263874</v>
      </c>
      <c r="H26" s="17">
        <f t="shared" si="48"/>
        <v>0.60485</v>
      </c>
      <c r="I26" s="27"/>
      <c r="J26" s="17">
        <f t="shared" ref="J26:U26" si="49">J25/J11</f>
        <v>0.62714213709677424</v>
      </c>
      <c r="K26" s="17">
        <f t="shared" si="49"/>
        <v>0.66098935504070133</v>
      </c>
      <c r="L26" s="17">
        <f t="shared" si="49"/>
        <v>0.63350978702449834</v>
      </c>
      <c r="M26" s="17">
        <f t="shared" si="49"/>
        <v>0.65466372400975725</v>
      </c>
      <c r="N26" s="17">
        <f t="shared" si="49"/>
        <v>0.69979152189020155</v>
      </c>
      <c r="O26" s="17">
        <f t="shared" si="49"/>
        <v>0.62826210826210827</v>
      </c>
      <c r="P26" s="17">
        <f t="shared" si="49"/>
        <v>0.6729213483146067</v>
      </c>
      <c r="Q26" s="17">
        <f t="shared" si="49"/>
        <v>0.66257668711656437</v>
      </c>
      <c r="R26" s="17">
        <f t="shared" si="49"/>
        <v>0.65194532071503686</v>
      </c>
      <c r="S26" s="17">
        <f t="shared" si="49"/>
        <v>0.56681259120283511</v>
      </c>
      <c r="T26" s="17">
        <f t="shared" si="49"/>
        <v>0.6225914274478962</v>
      </c>
      <c r="U26" s="17">
        <f t="shared" si="49"/>
        <v>0.58028720626631858</v>
      </c>
      <c r="V26" s="17">
        <f t="shared" ref="V26" si="50">V25/V11</f>
        <v>0.61700761398036874</v>
      </c>
      <c r="W26" s="28"/>
      <c r="X26" s="17">
        <f t="shared" ref="X26:AF26" si="51">X25/X11</f>
        <v>0.62340366888187915</v>
      </c>
      <c r="Y26" s="17">
        <f t="shared" si="51"/>
        <v>0.63476357530508831</v>
      </c>
      <c r="Z26" s="17">
        <f t="shared" si="51"/>
        <v>0.62236021206174397</v>
      </c>
      <c r="AA26" s="17">
        <f t="shared" si="51"/>
        <v>0.63428604158313762</v>
      </c>
      <c r="AB26" s="17">
        <f t="shared" si="51"/>
        <v>0.66570172020263874</v>
      </c>
      <c r="AC26" s="17">
        <f t="shared" si="51"/>
        <v>0.65414923102005329</v>
      </c>
      <c r="AD26" s="17">
        <f t="shared" si="51"/>
        <v>0.63791499428510667</v>
      </c>
      <c r="AE26" s="17">
        <f t="shared" si="51"/>
        <v>0.62589669092124545</v>
      </c>
      <c r="AF26" s="17">
        <f t="shared" si="51"/>
        <v>0.60485</v>
      </c>
      <c r="AG26" s="17">
        <f t="shared" ref="AG26" si="52">AG25/AG11</f>
        <v>0.59723128216278898</v>
      </c>
      <c r="AH26" s="42"/>
      <c r="AI26" s="76">
        <f>SUM(AG26-AC26)*1000</f>
        <v>-56.917948857264314</v>
      </c>
    </row>
    <row r="27" spans="2:35" ht="5.0999999999999996" customHeight="1">
      <c r="B27" s="16"/>
      <c r="C27" s="17"/>
      <c r="D27" s="17"/>
      <c r="E27" s="17"/>
      <c r="F27" s="17"/>
      <c r="G27" s="17"/>
      <c r="H27" s="17"/>
      <c r="I27" s="2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28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42"/>
      <c r="AI27" s="76"/>
    </row>
    <row r="28" spans="2:35" ht="12.75" customHeight="1">
      <c r="B28" s="9" t="s">
        <v>97</v>
      </c>
      <c r="C28" s="81">
        <v>-2924</v>
      </c>
      <c r="D28" s="81">
        <v>-3752</v>
      </c>
      <c r="E28" s="81">
        <v>-3179</v>
      </c>
      <c r="F28" s="81">
        <v>-3764</v>
      </c>
      <c r="G28" s="81">
        <v>-4173</v>
      </c>
      <c r="H28" s="81">
        <v>-4136</v>
      </c>
      <c r="I28" s="32"/>
      <c r="J28" s="81">
        <v>-798</v>
      </c>
      <c r="K28" s="81">
        <v>-1021</v>
      </c>
      <c r="L28" s="81">
        <v>-990</v>
      </c>
      <c r="M28" s="32">
        <f t="shared" ref="M28" si="53">SUM(F28-SUM(J28:L28))</f>
        <v>-955</v>
      </c>
      <c r="N28" s="81">
        <v>-1152</v>
      </c>
      <c r="O28" s="81">
        <v>-850</v>
      </c>
      <c r="P28" s="81">
        <v>-1117</v>
      </c>
      <c r="Q28" s="32">
        <f t="shared" ref="Q28" si="54">SUM(G28-SUM(N28:P28))</f>
        <v>-1054</v>
      </c>
      <c r="R28" s="81">
        <v>-1081</v>
      </c>
      <c r="S28" s="81">
        <v>-861</v>
      </c>
      <c r="T28" s="81">
        <v>-1061</v>
      </c>
      <c r="U28" s="32">
        <f t="shared" ref="U28:V28" si="55">SUM(H28-SUM(R28:T28))</f>
        <v>-1133</v>
      </c>
      <c r="V28" s="81">
        <v>-873</v>
      </c>
      <c r="X28" s="32">
        <f t="shared" ref="X28" si="56">SUM(J28:M28)</f>
        <v>-3764</v>
      </c>
      <c r="Y28" s="32">
        <f t="shared" ref="Y28" si="57">SUM(K28:N28)</f>
        <v>-4118</v>
      </c>
      <c r="Z28" s="32">
        <f t="shared" ref="Z28" si="58">SUM(L28:O28)</f>
        <v>-3947</v>
      </c>
      <c r="AA28" s="32">
        <f t="shared" ref="AA28" si="59">SUM(M28:P28)</f>
        <v>-4074</v>
      </c>
      <c r="AB28" s="32">
        <f t="shared" ref="AB28" si="60">SUM(N28:Q28)</f>
        <v>-4173</v>
      </c>
      <c r="AC28" s="32">
        <f t="shared" ref="AC28" si="61">SUM(O28:R28)</f>
        <v>-4102</v>
      </c>
      <c r="AD28" s="32">
        <f t="shared" ref="AD28" si="62">SUM(P28:S28)</f>
        <v>-4113</v>
      </c>
      <c r="AE28" s="32">
        <f t="shared" ref="AE28" si="63">SUM(Q28:T28)</f>
        <v>-4057</v>
      </c>
      <c r="AF28" s="32">
        <f t="shared" ref="AF28:AG28" si="64">SUM(R28:U28)</f>
        <v>-4136</v>
      </c>
      <c r="AG28" s="32">
        <f t="shared" si="64"/>
        <v>-3928</v>
      </c>
      <c r="AH28" s="11"/>
      <c r="AI28" s="74">
        <f t="shared" ref="AI28:AI29" si="65">SUM(AG28/AC28)-1</f>
        <v>-4.241833252072158E-2</v>
      </c>
    </row>
    <row r="29" spans="2:35" ht="12.75" customHeight="1">
      <c r="B29" s="13" t="s">
        <v>98</v>
      </c>
      <c r="C29" s="14">
        <f t="shared" ref="C29:H29" si="66">SUM(C25+SUM(C28:C28))</f>
        <v>10866</v>
      </c>
      <c r="D29" s="14">
        <f t="shared" si="66"/>
        <v>12311</v>
      </c>
      <c r="E29" s="14">
        <f t="shared" si="66"/>
        <v>14957</v>
      </c>
      <c r="F29" s="14">
        <f t="shared" si="66"/>
        <v>17273</v>
      </c>
      <c r="G29" s="14">
        <f t="shared" si="66"/>
        <v>19743</v>
      </c>
      <c r="H29" s="14">
        <f t="shared" si="66"/>
        <v>20058</v>
      </c>
      <c r="I29" s="11"/>
      <c r="J29" s="14">
        <f t="shared" ref="J29:U29" si="67">SUM(J25+SUM(J28:J28))</f>
        <v>4179</v>
      </c>
      <c r="K29" s="14">
        <f t="shared" si="67"/>
        <v>4257</v>
      </c>
      <c r="L29" s="14">
        <f t="shared" si="67"/>
        <v>4156</v>
      </c>
      <c r="M29" s="14">
        <f t="shared" si="67"/>
        <v>4681</v>
      </c>
      <c r="N29" s="14">
        <f t="shared" si="67"/>
        <v>4890</v>
      </c>
      <c r="O29" s="14">
        <f t="shared" si="67"/>
        <v>4663</v>
      </c>
      <c r="P29" s="14">
        <f t="shared" si="67"/>
        <v>4872</v>
      </c>
      <c r="Q29" s="14">
        <f t="shared" si="67"/>
        <v>5318</v>
      </c>
      <c r="R29" s="14">
        <f t="shared" si="67"/>
        <v>5119</v>
      </c>
      <c r="S29" s="14">
        <f t="shared" si="67"/>
        <v>4577</v>
      </c>
      <c r="T29" s="14">
        <f t="shared" si="67"/>
        <v>5272</v>
      </c>
      <c r="U29" s="14">
        <f t="shared" si="67"/>
        <v>5090</v>
      </c>
      <c r="V29" s="14">
        <f t="shared" ref="V29" si="68">SUM(V25+SUM(V28:V28))</f>
        <v>5853</v>
      </c>
      <c r="W29" s="32"/>
      <c r="X29" s="14">
        <f t="shared" ref="X29" si="69">SUM(X25+SUM(X28:X28))</f>
        <v>16592</v>
      </c>
      <c r="Y29" s="14">
        <f t="shared" ref="Y29:AF29" si="70">SUM(Y25+SUM(Y28:Y28))</f>
        <v>17052</v>
      </c>
      <c r="Z29" s="14">
        <f t="shared" si="70"/>
        <v>17301</v>
      </c>
      <c r="AA29" s="14">
        <f t="shared" si="70"/>
        <v>18074</v>
      </c>
      <c r="AB29" s="14">
        <f t="shared" si="70"/>
        <v>19743</v>
      </c>
      <c r="AC29" s="14">
        <f t="shared" si="70"/>
        <v>19972</v>
      </c>
      <c r="AD29" s="14">
        <f t="shared" si="70"/>
        <v>19886</v>
      </c>
      <c r="AE29" s="14">
        <f t="shared" si="70"/>
        <v>20286</v>
      </c>
      <c r="AF29" s="14">
        <f t="shared" si="70"/>
        <v>20058</v>
      </c>
      <c r="AG29" s="14">
        <f t="shared" ref="AG29" si="71">SUM(AG25+SUM(AG28:AG28))</f>
        <v>20792</v>
      </c>
      <c r="AH29" s="35"/>
      <c r="AI29" s="75">
        <f t="shared" si="65"/>
        <v>4.1057480472661778E-2</v>
      </c>
    </row>
    <row r="30" spans="2:35" ht="12.75" customHeight="1">
      <c r="B30" s="16" t="s">
        <v>96</v>
      </c>
      <c r="C30" s="17">
        <f t="shared" ref="C30:H30" si="72">C29/C11</f>
        <v>0.49739082669596263</v>
      </c>
      <c r="D30" s="17">
        <f t="shared" si="72"/>
        <v>0.51072391619995849</v>
      </c>
      <c r="E30" s="17">
        <f t="shared" si="72"/>
        <v>0.51030365063118388</v>
      </c>
      <c r="F30" s="17">
        <f t="shared" si="72"/>
        <v>0.52898661684990655</v>
      </c>
      <c r="G30" s="17">
        <f t="shared" si="72"/>
        <v>0.54954628959527918</v>
      </c>
      <c r="H30" s="17">
        <f t="shared" si="72"/>
        <v>0.50144999999999995</v>
      </c>
      <c r="I30" s="27"/>
      <c r="J30" s="17">
        <f t="shared" ref="J30:U30" si="73">J29/J11</f>
        <v>0.52658770161290325</v>
      </c>
      <c r="K30" s="17">
        <f t="shared" si="73"/>
        <v>0.53312460864120226</v>
      </c>
      <c r="L30" s="17">
        <f t="shared" si="73"/>
        <v>0.5116336328942509</v>
      </c>
      <c r="M30" s="17">
        <f t="shared" si="73"/>
        <v>0.54373330235799744</v>
      </c>
      <c r="N30" s="17">
        <f t="shared" si="73"/>
        <v>0.56636553161918002</v>
      </c>
      <c r="O30" s="17">
        <f t="shared" si="73"/>
        <v>0.53139601139601145</v>
      </c>
      <c r="P30" s="17">
        <f t="shared" si="73"/>
        <v>0.54741573033707869</v>
      </c>
      <c r="Q30" s="17">
        <f t="shared" si="73"/>
        <v>0.5529790995112821</v>
      </c>
      <c r="R30" s="17">
        <f t="shared" si="73"/>
        <v>0.5382754994742377</v>
      </c>
      <c r="S30" s="17">
        <f t="shared" si="73"/>
        <v>0.47706900145924536</v>
      </c>
      <c r="T30" s="17">
        <f t="shared" si="73"/>
        <v>0.51828548957923715</v>
      </c>
      <c r="U30" s="17">
        <f t="shared" si="73"/>
        <v>0.47463632972771352</v>
      </c>
      <c r="V30" s="17">
        <f t="shared" ref="V30" si="74">V29/V11</f>
        <v>0.53692321805338961</v>
      </c>
      <c r="W30" s="28"/>
      <c r="X30" s="17">
        <f t="shared" ref="X30:AF30" si="75">X29/X11</f>
        <v>0.50813095274553643</v>
      </c>
      <c r="Y30" s="17">
        <f t="shared" si="75"/>
        <v>0.51128901682108485</v>
      </c>
      <c r="Z30" s="17">
        <f t="shared" si="75"/>
        <v>0.50675141325678807</v>
      </c>
      <c r="AA30" s="17">
        <f t="shared" si="75"/>
        <v>0.51761269259407761</v>
      </c>
      <c r="AB30" s="17">
        <f t="shared" si="75"/>
        <v>0.54954628959527918</v>
      </c>
      <c r="AC30" s="17">
        <f t="shared" si="75"/>
        <v>0.54268789739688061</v>
      </c>
      <c r="AD30" s="17">
        <f t="shared" si="75"/>
        <v>0.52858775683793624</v>
      </c>
      <c r="AE30" s="17">
        <f t="shared" si="75"/>
        <v>0.52158486102897694</v>
      </c>
      <c r="AF30" s="17">
        <f t="shared" si="75"/>
        <v>0.50144999999999995</v>
      </c>
      <c r="AG30" s="17">
        <f t="shared" ref="AG30" si="76">AG29/AG11</f>
        <v>0.5023314247058539</v>
      </c>
      <c r="AH30" s="42"/>
      <c r="AI30" s="76">
        <f>SUM(AG30-AC30)*1000</f>
        <v>-40.35647269102671</v>
      </c>
    </row>
    <row r="31" spans="2:35" ht="5.0999999999999996" customHeight="1">
      <c r="B31" s="16"/>
      <c r="C31" s="17"/>
      <c r="D31" s="17"/>
      <c r="E31" s="17"/>
      <c r="F31" s="17"/>
      <c r="G31" s="17"/>
      <c r="H31" s="17"/>
      <c r="I31" s="2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28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42"/>
      <c r="AI31" s="76"/>
    </row>
    <row r="32" spans="2:35" ht="12.75" customHeight="1">
      <c r="B32" s="43" t="s">
        <v>158</v>
      </c>
      <c r="C32" s="81">
        <v>1953</v>
      </c>
      <c r="D32" s="81">
        <v>1946</v>
      </c>
      <c r="E32" s="81">
        <v>1906</v>
      </c>
      <c r="F32" s="81">
        <v>1873</v>
      </c>
      <c r="G32" s="81">
        <v>1834</v>
      </c>
      <c r="H32" s="81">
        <v>1848</v>
      </c>
      <c r="I32" s="27"/>
      <c r="J32" s="81">
        <v>1884</v>
      </c>
      <c r="K32" s="81">
        <v>1879</v>
      </c>
      <c r="L32" s="81">
        <v>1869</v>
      </c>
      <c r="M32" s="32">
        <f>F32</f>
        <v>1873</v>
      </c>
      <c r="N32" s="81">
        <v>1838</v>
      </c>
      <c r="O32" s="81">
        <v>1833</v>
      </c>
      <c r="P32" s="81">
        <v>1810</v>
      </c>
      <c r="Q32" s="32">
        <f>G32</f>
        <v>1834</v>
      </c>
      <c r="R32" s="81">
        <v>1864</v>
      </c>
      <c r="S32" s="81">
        <v>1855</v>
      </c>
      <c r="T32" s="81">
        <v>1843</v>
      </c>
      <c r="U32" s="32">
        <f>H32</f>
        <v>1848</v>
      </c>
      <c r="V32" s="81">
        <v>1933</v>
      </c>
      <c r="W32" s="125"/>
      <c r="X32" s="32">
        <f>M32</f>
        <v>1873</v>
      </c>
      <c r="Y32" s="32">
        <f>N32</f>
        <v>1838</v>
      </c>
      <c r="Z32" s="32">
        <f>O32</f>
        <v>1833</v>
      </c>
      <c r="AA32" s="32">
        <f>P32</f>
        <v>1810</v>
      </c>
      <c r="AB32" s="32">
        <f>Q32</f>
        <v>1834</v>
      </c>
      <c r="AC32" s="32">
        <f>R32</f>
        <v>1864</v>
      </c>
      <c r="AD32" s="32">
        <f>S32</f>
        <v>1855</v>
      </c>
      <c r="AE32" s="32">
        <f>T32</f>
        <v>1843</v>
      </c>
      <c r="AF32" s="32">
        <f>U32</f>
        <v>1848</v>
      </c>
      <c r="AG32" s="32">
        <f>V32</f>
        <v>1933</v>
      </c>
      <c r="AH32" s="42"/>
      <c r="AI32" s="74">
        <f t="shared" ref="AI32:AI33" si="77">SUM(AG32/AC32)-1</f>
        <v>3.7017167381974359E-2</v>
      </c>
    </row>
    <row r="33" spans="1:35" ht="12.75" customHeight="1">
      <c r="B33" s="13" t="s">
        <v>60</v>
      </c>
      <c r="C33" s="131">
        <f t="shared" ref="C33:H33" si="78">C29/C32</f>
        <v>5.5637480798771124</v>
      </c>
      <c r="D33" s="131">
        <f t="shared" si="78"/>
        <v>6.3263103802672145</v>
      </c>
      <c r="E33" s="131">
        <f t="shared" si="78"/>
        <v>7.8473242392444913</v>
      </c>
      <c r="F33" s="131">
        <f t="shared" si="78"/>
        <v>9.2221035771489586</v>
      </c>
      <c r="G33" s="131">
        <f t="shared" si="78"/>
        <v>10.764994547437295</v>
      </c>
      <c r="H33" s="131">
        <f t="shared" si="78"/>
        <v>10.853896103896103</v>
      </c>
      <c r="I33" s="27"/>
      <c r="J33" s="131">
        <f t="shared" ref="J33:U33" si="79">J29/J32</f>
        <v>2.218152866242038</v>
      </c>
      <c r="K33" s="131">
        <f t="shared" si="79"/>
        <v>2.2655667908461949</v>
      </c>
      <c r="L33" s="131">
        <f t="shared" si="79"/>
        <v>2.2236490101658641</v>
      </c>
      <c r="M33" s="131">
        <f t="shared" si="79"/>
        <v>2.4991991457554725</v>
      </c>
      <c r="N33" s="131">
        <f t="shared" si="79"/>
        <v>2.6605005440696408</v>
      </c>
      <c r="O33" s="131">
        <f t="shared" si="79"/>
        <v>2.5439170758319696</v>
      </c>
      <c r="P33" s="131">
        <f t="shared" si="79"/>
        <v>2.6917127071823206</v>
      </c>
      <c r="Q33" s="131">
        <f t="shared" si="79"/>
        <v>2.8996728462377317</v>
      </c>
      <c r="R33" s="131">
        <f t="shared" si="79"/>
        <v>2.7462446351931331</v>
      </c>
      <c r="S33" s="131">
        <f t="shared" si="79"/>
        <v>2.4673854447439352</v>
      </c>
      <c r="T33" s="131">
        <f t="shared" si="79"/>
        <v>2.8605534454693435</v>
      </c>
      <c r="U33" s="131">
        <f t="shared" si="79"/>
        <v>2.7543290043290045</v>
      </c>
      <c r="V33" s="131">
        <f t="shared" ref="V33" si="80">V29/V32</f>
        <v>3.0279358510087948</v>
      </c>
      <c r="W33" s="125"/>
      <c r="X33" s="131">
        <f t="shared" ref="X33:AF33" si="81">X29/X32</f>
        <v>8.8585157501334759</v>
      </c>
      <c r="Y33" s="131">
        <f t="shared" si="81"/>
        <v>9.2774755168661596</v>
      </c>
      <c r="Z33" s="131">
        <f t="shared" si="81"/>
        <v>9.4386252045826513</v>
      </c>
      <c r="AA33" s="131">
        <f t="shared" si="81"/>
        <v>9.9856353591160225</v>
      </c>
      <c r="AB33" s="131">
        <f t="shared" si="81"/>
        <v>10.764994547437295</v>
      </c>
      <c r="AC33" s="131">
        <f t="shared" si="81"/>
        <v>10.714592274678111</v>
      </c>
      <c r="AD33" s="131">
        <f t="shared" si="81"/>
        <v>10.72021563342318</v>
      </c>
      <c r="AE33" s="131">
        <f t="shared" si="81"/>
        <v>11.007053716766142</v>
      </c>
      <c r="AF33" s="131">
        <f t="shared" si="81"/>
        <v>10.853896103896103</v>
      </c>
      <c r="AG33" s="131">
        <f t="shared" ref="AG33" si="82">AG29/AG32</f>
        <v>10.756337299534403</v>
      </c>
      <c r="AH33" s="42"/>
      <c r="AI33" s="75">
        <f t="shared" si="77"/>
        <v>3.8960908437877251E-3</v>
      </c>
    </row>
    <row r="34" spans="1:35" ht="5.0999999999999996" customHeight="1">
      <c r="B34" s="25"/>
      <c r="C34" s="47"/>
      <c r="D34" s="47"/>
      <c r="E34" s="47"/>
      <c r="F34" s="47"/>
      <c r="G34" s="47"/>
      <c r="H34" s="47"/>
      <c r="I34" s="130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125"/>
      <c r="X34" s="125"/>
      <c r="Y34" s="125"/>
      <c r="Z34" s="125"/>
      <c r="AA34" s="125"/>
      <c r="AB34" s="47"/>
      <c r="AC34" s="125"/>
      <c r="AD34" s="125"/>
      <c r="AE34" s="125"/>
      <c r="AF34" s="125"/>
      <c r="AG34" s="125"/>
      <c r="AH34" s="42"/>
      <c r="AI34" s="74"/>
    </row>
    <row r="35" spans="1:35" ht="12.75" customHeight="1">
      <c r="B35" s="43" t="s">
        <v>159</v>
      </c>
      <c r="C35" s="81">
        <v>2479</v>
      </c>
      <c r="D35" s="81">
        <v>2443</v>
      </c>
      <c r="E35" s="81">
        <v>2391</v>
      </c>
      <c r="F35" s="81">
        <v>2340</v>
      </c>
      <c r="G35" s="81">
        <v>2242</v>
      </c>
      <c r="H35" s="81">
        <v>2100</v>
      </c>
      <c r="I35" s="130"/>
      <c r="J35" s="81">
        <v>2357</v>
      </c>
      <c r="K35" s="81">
        <v>2348</v>
      </c>
      <c r="L35" s="81">
        <v>2335</v>
      </c>
      <c r="M35" s="32">
        <f>F35</f>
        <v>2340</v>
      </c>
      <c r="N35" s="81">
        <v>2299</v>
      </c>
      <c r="O35" s="81">
        <v>2293</v>
      </c>
      <c r="P35" s="81">
        <v>2229</v>
      </c>
      <c r="Q35" s="32">
        <f>G35</f>
        <v>2242</v>
      </c>
      <c r="R35" s="81">
        <v>2120</v>
      </c>
      <c r="S35" s="81">
        <v>2108</v>
      </c>
      <c r="T35" s="81">
        <v>2093</v>
      </c>
      <c r="U35" s="32">
        <f>H35</f>
        <v>2100</v>
      </c>
      <c r="V35" s="81">
        <v>1933</v>
      </c>
      <c r="W35" s="125"/>
      <c r="X35" s="32">
        <f t="shared" ref="X35" si="83">M35</f>
        <v>2340</v>
      </c>
      <c r="Y35" s="32">
        <f t="shared" ref="Y35" si="84">N35</f>
        <v>2299</v>
      </c>
      <c r="Z35" s="32">
        <f t="shared" ref="Z35" si="85">O35</f>
        <v>2293</v>
      </c>
      <c r="AA35" s="32">
        <f t="shared" ref="AA35" si="86">P35</f>
        <v>2229</v>
      </c>
      <c r="AB35" s="32">
        <f t="shared" ref="AB35" si="87">Q35</f>
        <v>2242</v>
      </c>
      <c r="AC35" s="32">
        <f t="shared" ref="AC35" si="88">R35</f>
        <v>2120</v>
      </c>
      <c r="AD35" s="32">
        <f t="shared" ref="AD35" si="89">S35</f>
        <v>2108</v>
      </c>
      <c r="AE35" s="32">
        <f t="shared" ref="AE35" si="90">T35</f>
        <v>2093</v>
      </c>
      <c r="AF35" s="32">
        <f>U35</f>
        <v>2100</v>
      </c>
      <c r="AG35" s="32">
        <f>V35</f>
        <v>1933</v>
      </c>
      <c r="AH35" s="42"/>
      <c r="AI35" s="74">
        <f t="shared" ref="AI35:AI36" si="91">SUM(AG35/AC35)-1</f>
        <v>-8.8207547169811273E-2</v>
      </c>
    </row>
    <row r="36" spans="1:35" ht="12.75" customHeight="1">
      <c r="B36" s="13" t="s">
        <v>80</v>
      </c>
      <c r="C36" s="131">
        <f t="shared" ref="C36:H36" si="92">C29/C35</f>
        <v>4.383219039935458</v>
      </c>
      <c r="D36" s="131">
        <f t="shared" si="92"/>
        <v>5.0392959476054031</v>
      </c>
      <c r="E36" s="131">
        <f t="shared" si="92"/>
        <v>6.255541614387286</v>
      </c>
      <c r="F36" s="131">
        <f t="shared" si="92"/>
        <v>7.381623931623932</v>
      </c>
      <c r="G36" s="131">
        <f t="shared" si="92"/>
        <v>8.8059768064228372</v>
      </c>
      <c r="H36" s="131">
        <f t="shared" si="92"/>
        <v>9.5514285714285716</v>
      </c>
      <c r="I36" s="27"/>
      <c r="J36" s="131">
        <f t="shared" ref="J36:U36" si="93">J29/J35</f>
        <v>1.7730165464573611</v>
      </c>
      <c r="K36" s="131">
        <f t="shared" si="93"/>
        <v>1.8130323679727427</v>
      </c>
      <c r="L36" s="131">
        <f t="shared" si="93"/>
        <v>1.7798715203426123</v>
      </c>
      <c r="M36" s="131">
        <f t="shared" si="93"/>
        <v>2.0004273504273504</v>
      </c>
      <c r="N36" s="131">
        <f t="shared" si="93"/>
        <v>2.1270117442366248</v>
      </c>
      <c r="O36" s="131">
        <f t="shared" si="93"/>
        <v>2.0335804622764937</v>
      </c>
      <c r="P36" s="131">
        <f t="shared" si="93"/>
        <v>2.1857335127860025</v>
      </c>
      <c r="Q36" s="131">
        <f t="shared" si="93"/>
        <v>2.3719892952720785</v>
      </c>
      <c r="R36" s="131">
        <f t="shared" si="93"/>
        <v>2.4146226415094341</v>
      </c>
      <c r="S36" s="131">
        <f t="shared" si="93"/>
        <v>2.1712523719165087</v>
      </c>
      <c r="T36" s="131">
        <f t="shared" si="93"/>
        <v>2.5188724319159101</v>
      </c>
      <c r="U36" s="131">
        <f t="shared" si="93"/>
        <v>2.4238095238095236</v>
      </c>
      <c r="V36" s="131">
        <f t="shared" ref="V36" si="94">V29/V35</f>
        <v>3.0279358510087948</v>
      </c>
      <c r="W36" s="125"/>
      <c r="X36" s="131">
        <f t="shared" ref="X36:AF36" si="95">X29/X35</f>
        <v>7.0905982905982903</v>
      </c>
      <c r="Y36" s="131">
        <f t="shared" si="95"/>
        <v>7.4171378860374073</v>
      </c>
      <c r="Z36" s="131">
        <f t="shared" si="95"/>
        <v>7.5451373746184043</v>
      </c>
      <c r="AA36" s="131">
        <f t="shared" si="95"/>
        <v>8.1085688649618657</v>
      </c>
      <c r="AB36" s="131">
        <f t="shared" si="95"/>
        <v>8.8059768064228372</v>
      </c>
      <c r="AC36" s="131">
        <f t="shared" si="95"/>
        <v>9.4207547169811328</v>
      </c>
      <c r="AD36" s="131">
        <f t="shared" si="95"/>
        <v>9.4335863377609108</v>
      </c>
      <c r="AE36" s="131">
        <f t="shared" si="95"/>
        <v>9.6923076923076916</v>
      </c>
      <c r="AF36" s="131">
        <f t="shared" si="95"/>
        <v>9.5514285714285716</v>
      </c>
      <c r="AG36" s="131">
        <f t="shared" ref="AG36" si="96">AG29/AG35</f>
        <v>10.756337299534403</v>
      </c>
      <c r="AH36" s="42"/>
      <c r="AI36" s="75">
        <f t="shared" si="91"/>
        <v>0.1417702320755525</v>
      </c>
    </row>
    <row r="37" spans="1:35">
      <c r="B37" s="16"/>
      <c r="C37" s="17"/>
      <c r="D37" s="17"/>
      <c r="E37" s="17"/>
      <c r="F37" s="17"/>
      <c r="G37" s="17"/>
      <c r="H37" s="17"/>
      <c r="I37" s="2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28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42"/>
    </row>
    <row r="38" spans="1:35" ht="12.75" customHeight="1">
      <c r="A38" s="5" t="s">
        <v>16</v>
      </c>
      <c r="B38" s="99" t="s">
        <v>70</v>
      </c>
      <c r="C38" s="100" t="s">
        <v>0</v>
      </c>
      <c r="D38" s="100" t="s">
        <v>0</v>
      </c>
      <c r="E38" s="100"/>
      <c r="F38" s="100"/>
      <c r="G38" s="100"/>
      <c r="H38" s="100"/>
      <c r="I38" s="101"/>
      <c r="J38" s="100" t="s">
        <v>1</v>
      </c>
      <c r="K38" s="100"/>
      <c r="L38" s="100"/>
      <c r="M38" s="100"/>
      <c r="N38" s="100"/>
      <c r="O38" s="100"/>
      <c r="P38" s="100" t="s">
        <v>1</v>
      </c>
      <c r="Q38" s="100"/>
      <c r="R38" s="100"/>
      <c r="S38" s="100"/>
      <c r="T38" s="100"/>
      <c r="U38" s="100"/>
      <c r="V38" s="100"/>
      <c r="W38" s="99"/>
      <c r="X38" s="100"/>
      <c r="Y38" s="100"/>
      <c r="Z38" s="100"/>
      <c r="AA38" s="100" t="s">
        <v>10</v>
      </c>
      <c r="AB38" s="100" t="s">
        <v>10</v>
      </c>
      <c r="AC38" s="100"/>
      <c r="AD38" s="100"/>
      <c r="AE38" s="100"/>
      <c r="AF38" s="100"/>
      <c r="AG38" s="100"/>
      <c r="AH38" s="101"/>
      <c r="AI38" s="157" t="s">
        <v>21</v>
      </c>
    </row>
    <row r="39" spans="1:35" ht="12.75" customHeight="1">
      <c r="B39" s="103" t="str">
        <f t="shared" ref="B39:H40" si="97">B7</f>
        <v>Fiscal Period</v>
      </c>
      <c r="C39" s="102">
        <f t="shared" si="97"/>
        <v>2020</v>
      </c>
      <c r="D39" s="102">
        <f t="shared" si="97"/>
        <v>2021</v>
      </c>
      <c r="E39" s="102">
        <f t="shared" si="97"/>
        <v>2022</v>
      </c>
      <c r="F39" s="102">
        <f t="shared" si="97"/>
        <v>2023</v>
      </c>
      <c r="G39" s="102">
        <f t="shared" si="97"/>
        <v>2024</v>
      </c>
      <c r="H39" s="102">
        <f t="shared" si="97"/>
        <v>2025</v>
      </c>
      <c r="I39" s="101"/>
      <c r="J39" s="102" t="str">
        <f t="shared" ref="J39:U39" si="98">J7</f>
        <v>1Q23</v>
      </c>
      <c r="K39" s="102" t="str">
        <f t="shared" si="98"/>
        <v>2Q23</v>
      </c>
      <c r="L39" s="102" t="str">
        <f t="shared" si="98"/>
        <v>3Q23</v>
      </c>
      <c r="M39" s="102" t="str">
        <f t="shared" si="98"/>
        <v>4Q23</v>
      </c>
      <c r="N39" s="102" t="str">
        <f t="shared" si="98"/>
        <v>1Q24</v>
      </c>
      <c r="O39" s="102" t="str">
        <f t="shared" si="98"/>
        <v>2Q24</v>
      </c>
      <c r="P39" s="102" t="str">
        <f t="shared" si="98"/>
        <v>3Q24</v>
      </c>
      <c r="Q39" s="102" t="str">
        <f t="shared" si="98"/>
        <v>4Q24</v>
      </c>
      <c r="R39" s="102" t="str">
        <f t="shared" si="98"/>
        <v>1Q25</v>
      </c>
      <c r="S39" s="102" t="str">
        <f t="shared" si="98"/>
        <v>2Q25</v>
      </c>
      <c r="T39" s="102" t="str">
        <f t="shared" si="98"/>
        <v>3Q25</v>
      </c>
      <c r="U39" s="102" t="str">
        <f t="shared" si="98"/>
        <v>4Q25</v>
      </c>
      <c r="V39" s="102" t="str">
        <f t="shared" ref="V39" si="99">V7</f>
        <v>1Q26</v>
      </c>
      <c r="W39" s="104"/>
      <c r="X39" s="102" t="str">
        <f t="shared" ref="X39" si="100">X7</f>
        <v>4Q23</v>
      </c>
      <c r="Y39" s="102" t="str">
        <f t="shared" ref="Y39:AF40" si="101">Y7</f>
        <v>1Q24</v>
      </c>
      <c r="Z39" s="102" t="str">
        <f t="shared" si="101"/>
        <v>2Q24</v>
      </c>
      <c r="AA39" s="102" t="str">
        <f t="shared" si="101"/>
        <v>3Q24</v>
      </c>
      <c r="AB39" s="102" t="str">
        <f t="shared" si="101"/>
        <v>4Q24</v>
      </c>
      <c r="AC39" s="102" t="str">
        <f t="shared" si="101"/>
        <v>1Q25</v>
      </c>
      <c r="AD39" s="102" t="str">
        <f t="shared" si="101"/>
        <v>2Q25</v>
      </c>
      <c r="AE39" s="102" t="str">
        <f t="shared" si="101"/>
        <v>3Q25</v>
      </c>
      <c r="AF39" s="102" t="str">
        <f t="shared" si="101"/>
        <v>4Q25</v>
      </c>
      <c r="AG39" s="102" t="str">
        <f t="shared" ref="AG39" si="102">AG7</f>
        <v>1Q26</v>
      </c>
      <c r="AH39" s="101"/>
      <c r="AI39" s="157"/>
    </row>
    <row r="40" spans="1:35" ht="12.75" customHeight="1">
      <c r="B40" s="103" t="str">
        <f t="shared" si="97"/>
        <v>Fiscal Period End Date</v>
      </c>
      <c r="C40" s="105">
        <f t="shared" si="97"/>
        <v>44104</v>
      </c>
      <c r="D40" s="105">
        <f t="shared" si="97"/>
        <v>44469</v>
      </c>
      <c r="E40" s="105">
        <f t="shared" si="97"/>
        <v>44834</v>
      </c>
      <c r="F40" s="105">
        <f t="shared" si="97"/>
        <v>45199</v>
      </c>
      <c r="G40" s="105">
        <f t="shared" si="97"/>
        <v>45565</v>
      </c>
      <c r="H40" s="105">
        <f t="shared" si="97"/>
        <v>45930</v>
      </c>
      <c r="I40" s="101"/>
      <c r="J40" s="105">
        <f t="shared" ref="J40:U40" si="103">J8</f>
        <v>44926</v>
      </c>
      <c r="K40" s="105">
        <f t="shared" si="103"/>
        <v>45015</v>
      </c>
      <c r="L40" s="105">
        <f t="shared" si="103"/>
        <v>45107</v>
      </c>
      <c r="M40" s="105">
        <f t="shared" si="103"/>
        <v>45199</v>
      </c>
      <c r="N40" s="105">
        <f t="shared" si="103"/>
        <v>45291</v>
      </c>
      <c r="O40" s="105">
        <f t="shared" si="103"/>
        <v>45381</v>
      </c>
      <c r="P40" s="105">
        <f t="shared" si="103"/>
        <v>45473</v>
      </c>
      <c r="Q40" s="105">
        <f t="shared" si="103"/>
        <v>45565</v>
      </c>
      <c r="R40" s="105">
        <f t="shared" si="103"/>
        <v>45657</v>
      </c>
      <c r="S40" s="105">
        <f t="shared" si="103"/>
        <v>45746</v>
      </c>
      <c r="T40" s="105">
        <f t="shared" si="103"/>
        <v>45838</v>
      </c>
      <c r="U40" s="105">
        <f t="shared" si="103"/>
        <v>45930</v>
      </c>
      <c r="V40" s="105">
        <f t="shared" ref="V40" si="104">V8</f>
        <v>46022</v>
      </c>
      <c r="W40" s="106"/>
      <c r="X40" s="105">
        <f t="shared" ref="X40" si="105">X8</f>
        <v>45199</v>
      </c>
      <c r="Y40" s="105">
        <f t="shared" si="101"/>
        <v>45291</v>
      </c>
      <c r="Z40" s="105">
        <f t="shared" si="101"/>
        <v>45381</v>
      </c>
      <c r="AA40" s="105">
        <f t="shared" si="101"/>
        <v>45473</v>
      </c>
      <c r="AB40" s="105">
        <f t="shared" si="101"/>
        <v>45565</v>
      </c>
      <c r="AC40" s="105">
        <f t="shared" si="101"/>
        <v>45657</v>
      </c>
      <c r="AD40" s="105">
        <f t="shared" si="101"/>
        <v>45746</v>
      </c>
      <c r="AE40" s="105">
        <f t="shared" si="101"/>
        <v>45838</v>
      </c>
      <c r="AF40" s="105">
        <f t="shared" si="101"/>
        <v>45930</v>
      </c>
      <c r="AG40" s="105">
        <f t="shared" ref="AG40" si="106">AG8</f>
        <v>46022</v>
      </c>
      <c r="AH40" s="101"/>
      <c r="AI40" s="157"/>
    </row>
    <row r="41" spans="1:35" ht="5.0999999999999996" customHeight="1">
      <c r="B41" s="45"/>
      <c r="C41" s="46"/>
      <c r="D41" s="46"/>
      <c r="E41" s="46"/>
      <c r="F41" s="46"/>
      <c r="G41" s="46"/>
      <c r="H41" s="46"/>
    </row>
    <row r="42" spans="1:35">
      <c r="B42" s="77" t="s">
        <v>75</v>
      </c>
      <c r="C42" s="46"/>
      <c r="D42" s="46"/>
      <c r="E42" s="46"/>
      <c r="F42" s="46"/>
      <c r="G42" s="46"/>
      <c r="H42" s="46"/>
    </row>
    <row r="43" spans="1:35" s="115" customFormat="1" ht="12.75" customHeight="1">
      <c r="B43" s="107" t="s">
        <v>132</v>
      </c>
      <c r="C43" s="116">
        <v>16289</v>
      </c>
      <c r="D43" s="116">
        <v>16487</v>
      </c>
      <c r="E43" s="116">
        <v>15689</v>
      </c>
      <c r="F43" s="116">
        <v>16286</v>
      </c>
      <c r="G43" s="116">
        <v>11975</v>
      </c>
      <c r="H43" s="116">
        <v>17164</v>
      </c>
      <c r="J43" s="81">
        <v>13334</v>
      </c>
      <c r="K43" s="81">
        <v>13842</v>
      </c>
      <c r="L43" s="81">
        <v>15590</v>
      </c>
      <c r="M43" s="32">
        <f t="shared" ref="M43:M50" si="107">F43</f>
        <v>16286</v>
      </c>
      <c r="N43" s="81">
        <v>13591</v>
      </c>
      <c r="O43" s="81">
        <v>12993</v>
      </c>
      <c r="P43" s="81">
        <v>12947</v>
      </c>
      <c r="Q43" s="32">
        <f t="shared" ref="Q43:Q50" si="108">G43</f>
        <v>11975</v>
      </c>
      <c r="R43" s="81">
        <v>12367</v>
      </c>
      <c r="S43" s="81">
        <v>11734</v>
      </c>
      <c r="T43" s="81">
        <v>17092</v>
      </c>
      <c r="U43" s="32">
        <f t="shared" ref="U43:V50" si="109">H43</f>
        <v>17164</v>
      </c>
      <c r="V43" s="81">
        <v>14756</v>
      </c>
      <c r="X43" s="32">
        <f t="shared" ref="X43:X50" si="110">M43</f>
        <v>16286</v>
      </c>
      <c r="Y43" s="32">
        <f t="shared" ref="Y43:Y50" si="111">N43</f>
        <v>13591</v>
      </c>
      <c r="Z43" s="32">
        <f t="shared" ref="Z43:Z50" si="112">O43</f>
        <v>12993</v>
      </c>
      <c r="AA43" s="32">
        <f t="shared" ref="AA43:AA50" si="113">P43</f>
        <v>12947</v>
      </c>
      <c r="AB43" s="32">
        <f t="shared" ref="AB43:AB50" si="114">Q43</f>
        <v>11975</v>
      </c>
      <c r="AC43" s="32">
        <f t="shared" ref="AC43:AC50" si="115">R43</f>
        <v>12367</v>
      </c>
      <c r="AD43" s="32">
        <f t="shared" ref="AD43:AD50" si="116">S43</f>
        <v>11734</v>
      </c>
      <c r="AE43" s="32">
        <f t="shared" ref="AE43:AE50" si="117">T43</f>
        <v>17092</v>
      </c>
      <c r="AF43" s="32">
        <f t="shared" ref="AF43:AG50" si="118">U43</f>
        <v>17164</v>
      </c>
      <c r="AG43" s="32">
        <f t="shared" si="118"/>
        <v>14756</v>
      </c>
      <c r="AH43" s="117"/>
      <c r="AI43" s="74">
        <f t="shared" ref="AI43:AI51" si="119">SUM(AG43/AC43)-1</f>
        <v>0.19317538610819107</v>
      </c>
    </row>
    <row r="44" spans="1:35" s="115" customFormat="1" ht="12.75" customHeight="1">
      <c r="B44" s="107" t="s">
        <v>133</v>
      </c>
      <c r="C44" s="116">
        <v>901</v>
      </c>
      <c r="D44" s="116">
        <v>894</v>
      </c>
      <c r="E44" s="116">
        <v>1449</v>
      </c>
      <c r="F44" s="116">
        <v>1764</v>
      </c>
      <c r="G44" s="116">
        <v>3089</v>
      </c>
      <c r="H44" s="116">
        <v>2990</v>
      </c>
      <c r="J44" s="81">
        <v>1705</v>
      </c>
      <c r="K44" s="81">
        <v>1616</v>
      </c>
      <c r="L44" s="81">
        <v>1627</v>
      </c>
      <c r="M44" s="32">
        <f t="shared" si="107"/>
        <v>1764</v>
      </c>
      <c r="N44" s="81">
        <v>1616</v>
      </c>
      <c r="O44" s="81">
        <v>1584</v>
      </c>
      <c r="P44" s="81">
        <v>1596</v>
      </c>
      <c r="Q44" s="32">
        <f t="shared" si="108"/>
        <v>3089</v>
      </c>
      <c r="R44" s="81">
        <v>3112</v>
      </c>
      <c r="S44" s="81">
        <v>2926</v>
      </c>
      <c r="T44" s="81">
        <v>2696</v>
      </c>
      <c r="U44" s="32">
        <f t="shared" si="109"/>
        <v>2990</v>
      </c>
      <c r="V44" s="81">
        <v>3300</v>
      </c>
      <c r="X44" s="32">
        <f t="shared" si="110"/>
        <v>1764</v>
      </c>
      <c r="Y44" s="32">
        <f t="shared" si="111"/>
        <v>1616</v>
      </c>
      <c r="Z44" s="32">
        <f t="shared" si="112"/>
        <v>1584</v>
      </c>
      <c r="AA44" s="32">
        <f t="shared" si="113"/>
        <v>1596</v>
      </c>
      <c r="AB44" s="32">
        <f t="shared" si="114"/>
        <v>3089</v>
      </c>
      <c r="AC44" s="32">
        <f t="shared" si="115"/>
        <v>3112</v>
      </c>
      <c r="AD44" s="32">
        <f t="shared" si="116"/>
        <v>2926</v>
      </c>
      <c r="AE44" s="32">
        <f t="shared" si="117"/>
        <v>2696</v>
      </c>
      <c r="AF44" s="32">
        <f t="shared" si="118"/>
        <v>2990</v>
      </c>
      <c r="AG44" s="32">
        <f t="shared" si="118"/>
        <v>3300</v>
      </c>
      <c r="AH44" s="117"/>
      <c r="AI44" s="74">
        <f t="shared" si="119"/>
        <v>6.0411311053984562E-2</v>
      </c>
    </row>
    <row r="45" spans="1:35" s="115" customFormat="1" ht="12.75" customHeight="1">
      <c r="B45" s="107" t="s">
        <v>134</v>
      </c>
      <c r="C45" s="116">
        <v>3752</v>
      </c>
      <c r="D45" s="116">
        <v>2025</v>
      </c>
      <c r="E45" s="116">
        <v>2833</v>
      </c>
      <c r="F45" s="116">
        <v>3842</v>
      </c>
      <c r="G45" s="116">
        <v>3200</v>
      </c>
      <c r="H45" s="116">
        <v>1833</v>
      </c>
      <c r="J45" s="81">
        <v>2785</v>
      </c>
      <c r="K45" s="81">
        <v>2752</v>
      </c>
      <c r="L45" s="81">
        <v>3166</v>
      </c>
      <c r="M45" s="32">
        <f t="shared" si="107"/>
        <v>3842</v>
      </c>
      <c r="N45" s="81">
        <v>5005</v>
      </c>
      <c r="O45" s="81">
        <v>4710</v>
      </c>
      <c r="P45" s="81">
        <v>3697</v>
      </c>
      <c r="Q45" s="32">
        <f t="shared" si="108"/>
        <v>3200</v>
      </c>
      <c r="R45" s="81">
        <v>1967</v>
      </c>
      <c r="S45" s="81">
        <v>2017</v>
      </c>
      <c r="T45" s="81">
        <v>2088</v>
      </c>
      <c r="U45" s="32">
        <f t="shared" si="109"/>
        <v>1833</v>
      </c>
      <c r="V45" s="81">
        <v>1641</v>
      </c>
      <c r="X45" s="32">
        <f t="shared" si="110"/>
        <v>3842</v>
      </c>
      <c r="Y45" s="32">
        <f t="shared" si="111"/>
        <v>5005</v>
      </c>
      <c r="Z45" s="32">
        <f t="shared" si="112"/>
        <v>4710</v>
      </c>
      <c r="AA45" s="32">
        <f t="shared" si="113"/>
        <v>3697</v>
      </c>
      <c r="AB45" s="32">
        <f t="shared" si="114"/>
        <v>3200</v>
      </c>
      <c r="AC45" s="32">
        <f t="shared" si="115"/>
        <v>1967</v>
      </c>
      <c r="AD45" s="32">
        <f t="shared" si="116"/>
        <v>2017</v>
      </c>
      <c r="AE45" s="32">
        <f t="shared" si="117"/>
        <v>2088</v>
      </c>
      <c r="AF45" s="32">
        <f t="shared" si="118"/>
        <v>1833</v>
      </c>
      <c r="AG45" s="32">
        <f t="shared" si="118"/>
        <v>1641</v>
      </c>
      <c r="AH45" s="117"/>
      <c r="AI45" s="74">
        <f t="shared" si="119"/>
        <v>-0.16573462125063554</v>
      </c>
    </row>
    <row r="46" spans="1:35" s="115" customFormat="1" ht="12.75" customHeight="1">
      <c r="B46" s="107" t="s">
        <v>135</v>
      </c>
      <c r="C46" s="116">
        <v>1264</v>
      </c>
      <c r="D46" s="116">
        <v>1758</v>
      </c>
      <c r="E46" s="116">
        <v>1932</v>
      </c>
      <c r="F46" s="116">
        <v>2183</v>
      </c>
      <c r="G46" s="116">
        <v>4454</v>
      </c>
      <c r="H46" s="116">
        <v>4191</v>
      </c>
      <c r="J46" s="81">
        <v>2127</v>
      </c>
      <c r="K46" s="81">
        <v>1942</v>
      </c>
      <c r="L46" s="81">
        <v>2454</v>
      </c>
      <c r="M46" s="32">
        <f t="shared" si="107"/>
        <v>2183</v>
      </c>
      <c r="N46" s="81">
        <v>2525</v>
      </c>
      <c r="O46" s="81">
        <v>3558</v>
      </c>
      <c r="P46" s="81">
        <v>2128</v>
      </c>
      <c r="Q46" s="32">
        <f t="shared" si="108"/>
        <v>4454</v>
      </c>
      <c r="R46" s="81">
        <v>3683</v>
      </c>
      <c r="S46" s="81">
        <v>4244</v>
      </c>
      <c r="T46" s="81">
        <v>4778</v>
      </c>
      <c r="U46" s="32">
        <f t="shared" si="109"/>
        <v>4191</v>
      </c>
      <c r="V46" s="81">
        <v>3212</v>
      </c>
      <c r="X46" s="32">
        <f t="shared" si="110"/>
        <v>2183</v>
      </c>
      <c r="Y46" s="32">
        <f t="shared" si="111"/>
        <v>2525</v>
      </c>
      <c r="Z46" s="32">
        <f t="shared" si="112"/>
        <v>3558</v>
      </c>
      <c r="AA46" s="32">
        <f t="shared" si="113"/>
        <v>2128</v>
      </c>
      <c r="AB46" s="32">
        <f t="shared" si="114"/>
        <v>4454</v>
      </c>
      <c r="AC46" s="32">
        <f t="shared" si="115"/>
        <v>3683</v>
      </c>
      <c r="AD46" s="32">
        <f t="shared" si="116"/>
        <v>4244</v>
      </c>
      <c r="AE46" s="32">
        <f t="shared" si="117"/>
        <v>4778</v>
      </c>
      <c r="AF46" s="32">
        <f t="shared" si="118"/>
        <v>4191</v>
      </c>
      <c r="AG46" s="32">
        <f t="shared" si="118"/>
        <v>3212</v>
      </c>
      <c r="AH46" s="117"/>
      <c r="AI46" s="74">
        <f t="shared" si="119"/>
        <v>-0.12788487645940805</v>
      </c>
    </row>
    <row r="47" spans="1:35" s="115" customFormat="1" ht="12.75" customHeight="1">
      <c r="B47" s="107" t="s">
        <v>136</v>
      </c>
      <c r="C47" s="116">
        <v>1618</v>
      </c>
      <c r="D47" s="116">
        <v>1968</v>
      </c>
      <c r="E47" s="116">
        <v>2020</v>
      </c>
      <c r="F47" s="116">
        <v>2291</v>
      </c>
      <c r="G47" s="116">
        <v>2561</v>
      </c>
      <c r="H47" s="116">
        <v>3126</v>
      </c>
      <c r="J47" s="81">
        <v>2113</v>
      </c>
      <c r="K47" s="81">
        <v>2122</v>
      </c>
      <c r="L47" s="81">
        <v>2282</v>
      </c>
      <c r="M47" s="32">
        <f t="shared" si="107"/>
        <v>2291</v>
      </c>
      <c r="N47" s="81">
        <v>2506</v>
      </c>
      <c r="O47" s="81">
        <v>2272</v>
      </c>
      <c r="P47" s="81">
        <v>2521</v>
      </c>
      <c r="Q47" s="32">
        <f t="shared" si="108"/>
        <v>2561</v>
      </c>
      <c r="R47" s="81">
        <v>2590</v>
      </c>
      <c r="S47" s="81">
        <v>2719</v>
      </c>
      <c r="T47" s="81">
        <v>2920</v>
      </c>
      <c r="U47" s="32">
        <f t="shared" si="109"/>
        <v>3126</v>
      </c>
      <c r="V47" s="81">
        <v>3231</v>
      </c>
      <c r="X47" s="32">
        <f t="shared" si="110"/>
        <v>2291</v>
      </c>
      <c r="Y47" s="32">
        <f t="shared" si="111"/>
        <v>2506</v>
      </c>
      <c r="Z47" s="32">
        <f t="shared" si="112"/>
        <v>2272</v>
      </c>
      <c r="AA47" s="32">
        <f t="shared" si="113"/>
        <v>2521</v>
      </c>
      <c r="AB47" s="32">
        <f t="shared" si="114"/>
        <v>2561</v>
      </c>
      <c r="AC47" s="32">
        <f t="shared" si="115"/>
        <v>2590</v>
      </c>
      <c r="AD47" s="32">
        <f t="shared" si="116"/>
        <v>2719</v>
      </c>
      <c r="AE47" s="32">
        <f t="shared" si="117"/>
        <v>2920</v>
      </c>
      <c r="AF47" s="32">
        <f t="shared" si="118"/>
        <v>3126</v>
      </c>
      <c r="AG47" s="32">
        <f t="shared" si="118"/>
        <v>3231</v>
      </c>
      <c r="AH47" s="117"/>
      <c r="AI47" s="74">
        <f t="shared" si="119"/>
        <v>0.2474903474903476</v>
      </c>
    </row>
    <row r="48" spans="1:35" s="115" customFormat="1" ht="12.75" customHeight="1">
      <c r="B48" s="107" t="s">
        <v>137</v>
      </c>
      <c r="C48" s="116">
        <v>1850</v>
      </c>
      <c r="D48" s="116">
        <v>2260</v>
      </c>
      <c r="E48" s="116">
        <v>2342</v>
      </c>
      <c r="F48" s="116">
        <v>3005</v>
      </c>
      <c r="G48" s="116">
        <v>3524</v>
      </c>
      <c r="H48" s="116">
        <v>3625</v>
      </c>
      <c r="J48" s="81">
        <v>2591</v>
      </c>
      <c r="K48" s="81">
        <v>2739</v>
      </c>
      <c r="L48" s="81">
        <v>2907</v>
      </c>
      <c r="M48" s="32">
        <f t="shared" si="107"/>
        <v>3005</v>
      </c>
      <c r="N48" s="81">
        <v>3164</v>
      </c>
      <c r="O48" s="81">
        <v>3367</v>
      </c>
      <c r="P48" s="81">
        <v>3472</v>
      </c>
      <c r="Q48" s="32">
        <f t="shared" si="108"/>
        <v>3524</v>
      </c>
      <c r="R48" s="81">
        <v>3518</v>
      </c>
      <c r="S48" s="81">
        <v>3543</v>
      </c>
      <c r="T48" s="81">
        <v>3614</v>
      </c>
      <c r="U48" s="32">
        <f t="shared" si="109"/>
        <v>3625</v>
      </c>
      <c r="V48" s="81">
        <v>3712</v>
      </c>
      <c r="X48" s="32">
        <f t="shared" si="110"/>
        <v>3005</v>
      </c>
      <c r="Y48" s="32">
        <f t="shared" si="111"/>
        <v>3164</v>
      </c>
      <c r="Z48" s="32">
        <f t="shared" si="112"/>
        <v>3367</v>
      </c>
      <c r="AA48" s="32">
        <f t="shared" si="113"/>
        <v>3472</v>
      </c>
      <c r="AB48" s="32">
        <f t="shared" si="114"/>
        <v>3524</v>
      </c>
      <c r="AC48" s="32">
        <f t="shared" si="115"/>
        <v>3518</v>
      </c>
      <c r="AD48" s="32">
        <f t="shared" si="116"/>
        <v>3543</v>
      </c>
      <c r="AE48" s="32">
        <f t="shared" si="117"/>
        <v>3614</v>
      </c>
      <c r="AF48" s="32">
        <f t="shared" si="118"/>
        <v>3625</v>
      </c>
      <c r="AG48" s="32">
        <f t="shared" si="118"/>
        <v>3712</v>
      </c>
      <c r="AH48" s="117"/>
      <c r="AI48" s="74">
        <f t="shared" si="119"/>
        <v>5.514496873223429E-2</v>
      </c>
    </row>
    <row r="49" spans="2:35" s="115" customFormat="1" ht="12.75" customHeight="1">
      <c r="B49" s="107" t="s">
        <v>138</v>
      </c>
      <c r="C49" s="116">
        <v>1214</v>
      </c>
      <c r="D49" s="116">
        <v>1359</v>
      </c>
      <c r="E49" s="116">
        <v>1272</v>
      </c>
      <c r="F49" s="116">
        <v>1577</v>
      </c>
      <c r="G49" s="116">
        <v>1918</v>
      </c>
      <c r="H49" s="116">
        <v>2158</v>
      </c>
      <c r="J49" s="81">
        <v>1402</v>
      </c>
      <c r="K49" s="81">
        <v>1477</v>
      </c>
      <c r="L49" s="81">
        <v>1525</v>
      </c>
      <c r="M49" s="32">
        <f t="shared" si="107"/>
        <v>1577</v>
      </c>
      <c r="N49" s="81">
        <v>1572</v>
      </c>
      <c r="O49" s="81">
        <v>1740</v>
      </c>
      <c r="P49" s="81">
        <v>1821</v>
      </c>
      <c r="Q49" s="32">
        <f t="shared" si="108"/>
        <v>1918</v>
      </c>
      <c r="R49" s="81">
        <v>1992</v>
      </c>
      <c r="S49" s="81">
        <v>2175</v>
      </c>
      <c r="T49" s="81">
        <v>2198</v>
      </c>
      <c r="U49" s="32">
        <f t="shared" si="109"/>
        <v>2158</v>
      </c>
      <c r="V49" s="81">
        <v>2280</v>
      </c>
      <c r="X49" s="32">
        <f t="shared" si="110"/>
        <v>1577</v>
      </c>
      <c r="Y49" s="32">
        <f t="shared" si="111"/>
        <v>1572</v>
      </c>
      <c r="Z49" s="32">
        <f t="shared" si="112"/>
        <v>1740</v>
      </c>
      <c r="AA49" s="32">
        <f t="shared" si="113"/>
        <v>1821</v>
      </c>
      <c r="AB49" s="32">
        <f t="shared" si="114"/>
        <v>1918</v>
      </c>
      <c r="AC49" s="32">
        <f t="shared" si="115"/>
        <v>1992</v>
      </c>
      <c r="AD49" s="32">
        <f t="shared" si="116"/>
        <v>2175</v>
      </c>
      <c r="AE49" s="32">
        <f t="shared" si="117"/>
        <v>2198</v>
      </c>
      <c r="AF49" s="32">
        <f t="shared" si="118"/>
        <v>2158</v>
      </c>
      <c r="AG49" s="32">
        <f t="shared" si="118"/>
        <v>2280</v>
      </c>
      <c r="AH49" s="117"/>
      <c r="AI49" s="74">
        <f t="shared" si="119"/>
        <v>0.14457831325301207</v>
      </c>
    </row>
    <row r="50" spans="2:35" s="115" customFormat="1" ht="12.75" customHeight="1">
      <c r="B50" s="107" t="s">
        <v>139</v>
      </c>
      <c r="C50" s="116">
        <v>757</v>
      </c>
      <c r="D50" s="116">
        <v>856</v>
      </c>
      <c r="E50" s="116">
        <v>2668</v>
      </c>
      <c r="F50" s="116">
        <v>2584</v>
      </c>
      <c r="G50" s="116">
        <v>3312</v>
      </c>
      <c r="H50" s="116">
        <v>2679</v>
      </c>
      <c r="J50" s="81">
        <v>1802</v>
      </c>
      <c r="K50" s="81">
        <v>2167</v>
      </c>
      <c r="L50" s="81">
        <v>2119</v>
      </c>
      <c r="M50" s="32">
        <f t="shared" si="107"/>
        <v>2584</v>
      </c>
      <c r="N50" s="81">
        <v>2753</v>
      </c>
      <c r="O50" s="81">
        <v>2551</v>
      </c>
      <c r="P50" s="81">
        <v>2857</v>
      </c>
      <c r="Q50" s="32">
        <f t="shared" si="108"/>
        <v>3312</v>
      </c>
      <c r="R50" s="81">
        <v>3393</v>
      </c>
      <c r="S50" s="81">
        <v>3576</v>
      </c>
      <c r="T50" s="81">
        <v>3012</v>
      </c>
      <c r="U50" s="32">
        <f t="shared" si="109"/>
        <v>2679</v>
      </c>
      <c r="V50" s="81">
        <v>2865</v>
      </c>
      <c r="X50" s="32">
        <f t="shared" si="110"/>
        <v>2584</v>
      </c>
      <c r="Y50" s="32">
        <f t="shared" si="111"/>
        <v>2753</v>
      </c>
      <c r="Z50" s="32">
        <f t="shared" si="112"/>
        <v>2551</v>
      </c>
      <c r="AA50" s="32">
        <f t="shared" si="113"/>
        <v>2857</v>
      </c>
      <c r="AB50" s="32">
        <f t="shared" si="114"/>
        <v>3312</v>
      </c>
      <c r="AC50" s="32">
        <f t="shared" si="115"/>
        <v>3393</v>
      </c>
      <c r="AD50" s="32">
        <f t="shared" si="116"/>
        <v>3576</v>
      </c>
      <c r="AE50" s="32">
        <f t="shared" si="117"/>
        <v>3012</v>
      </c>
      <c r="AF50" s="32">
        <f t="shared" si="118"/>
        <v>2679</v>
      </c>
      <c r="AG50" s="32">
        <f t="shared" si="118"/>
        <v>2865</v>
      </c>
      <c r="AH50" s="117"/>
      <c r="AI50" s="74">
        <f t="shared" si="119"/>
        <v>-0.15561450044208669</v>
      </c>
    </row>
    <row r="51" spans="2:35" ht="12.75" customHeight="1">
      <c r="B51" s="25" t="s">
        <v>18</v>
      </c>
      <c r="C51" s="26">
        <f t="shared" ref="C51:H51" si="120">SUM(C43:C50)</f>
        <v>27645</v>
      </c>
      <c r="D51" s="26">
        <f t="shared" si="120"/>
        <v>27607</v>
      </c>
      <c r="E51" s="26">
        <f t="shared" si="120"/>
        <v>30205</v>
      </c>
      <c r="F51" s="26">
        <f t="shared" si="120"/>
        <v>33532</v>
      </c>
      <c r="G51" s="26">
        <f t="shared" si="120"/>
        <v>34033</v>
      </c>
      <c r="H51" s="26">
        <f t="shared" si="120"/>
        <v>37766</v>
      </c>
      <c r="I51" s="47"/>
      <c r="J51" s="26">
        <f t="shared" ref="J51:U51" si="121">SUM(J43:J50)</f>
        <v>27859</v>
      </c>
      <c r="K51" s="26">
        <f t="shared" si="121"/>
        <v>28657</v>
      </c>
      <c r="L51" s="26">
        <f t="shared" si="121"/>
        <v>31670</v>
      </c>
      <c r="M51" s="26">
        <f t="shared" si="121"/>
        <v>33532</v>
      </c>
      <c r="N51" s="26">
        <f t="shared" si="121"/>
        <v>32732</v>
      </c>
      <c r="O51" s="26">
        <f t="shared" si="121"/>
        <v>32775</v>
      </c>
      <c r="P51" s="26">
        <f t="shared" si="121"/>
        <v>31039</v>
      </c>
      <c r="Q51" s="26">
        <f t="shared" si="121"/>
        <v>34033</v>
      </c>
      <c r="R51" s="26">
        <f t="shared" si="121"/>
        <v>32622</v>
      </c>
      <c r="S51" s="26">
        <f t="shared" si="121"/>
        <v>32934</v>
      </c>
      <c r="T51" s="26">
        <f t="shared" si="121"/>
        <v>38398</v>
      </c>
      <c r="U51" s="26">
        <f t="shared" si="121"/>
        <v>37766</v>
      </c>
      <c r="V51" s="26">
        <f t="shared" ref="V51" si="122">SUM(V43:V50)</f>
        <v>34997</v>
      </c>
      <c r="W51" s="47"/>
      <c r="X51" s="26">
        <f t="shared" ref="X51" si="123">SUM(X43:X50)</f>
        <v>33532</v>
      </c>
      <c r="Y51" s="26">
        <f t="shared" ref="Y51" si="124">SUM(Y43:Y50)</f>
        <v>32732</v>
      </c>
      <c r="Z51" s="26">
        <f t="shared" ref="Z51" si="125">SUM(Z43:Z50)</f>
        <v>32775</v>
      </c>
      <c r="AA51" s="26">
        <f t="shared" ref="AA51" si="126">SUM(AA43:AA50)</f>
        <v>31039</v>
      </c>
      <c r="AB51" s="26">
        <f t="shared" ref="AB51" si="127">SUM(AB43:AB50)</f>
        <v>34033</v>
      </c>
      <c r="AC51" s="26">
        <f t="shared" ref="AC51" si="128">SUM(AC43:AC50)</f>
        <v>32622</v>
      </c>
      <c r="AD51" s="26">
        <f t="shared" ref="AD51" si="129">SUM(AD43:AD50)</f>
        <v>32934</v>
      </c>
      <c r="AE51" s="26">
        <f t="shared" ref="AE51" si="130">SUM(AE43:AE50)</f>
        <v>38398</v>
      </c>
      <c r="AF51" s="26">
        <f t="shared" ref="AF51:AG51" si="131">SUM(AF43:AF50)</f>
        <v>37766</v>
      </c>
      <c r="AG51" s="26">
        <f t="shared" si="131"/>
        <v>34997</v>
      </c>
      <c r="AH51" s="41"/>
      <c r="AI51" s="75">
        <f t="shared" si="119"/>
        <v>7.2803629452516727E-2</v>
      </c>
    </row>
    <row r="52" spans="2:35" ht="5.0999999999999996" customHeight="1">
      <c r="B52" s="25"/>
      <c r="C52" s="48"/>
      <c r="D52" s="48"/>
      <c r="E52" s="48"/>
      <c r="F52" s="40"/>
      <c r="G52" s="40"/>
      <c r="H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38"/>
    </row>
    <row r="53" spans="2:35" ht="12.75" customHeight="1">
      <c r="B53" s="77" t="s">
        <v>76</v>
      </c>
      <c r="C53" s="81"/>
      <c r="D53" s="81"/>
      <c r="E53" s="81"/>
      <c r="F53" s="81"/>
      <c r="G53" s="81"/>
      <c r="H53" s="81"/>
      <c r="J53" s="81"/>
      <c r="K53" s="81"/>
      <c r="L53" s="81"/>
      <c r="M53" s="81"/>
      <c r="N53" s="81"/>
      <c r="O53" s="81"/>
      <c r="P53" s="81"/>
      <c r="Q53" s="81"/>
      <c r="R53" s="32"/>
      <c r="S53" s="81"/>
      <c r="T53" s="81"/>
      <c r="U53" s="81"/>
      <c r="V53" s="81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11"/>
      <c r="AI53" s="74"/>
    </row>
    <row r="54" spans="2:35" ht="12.75" customHeight="1">
      <c r="B54" s="9" t="s">
        <v>134</v>
      </c>
      <c r="C54" s="81">
        <v>231</v>
      </c>
      <c r="D54" s="81">
        <v>1705</v>
      </c>
      <c r="E54" s="81">
        <v>2136</v>
      </c>
      <c r="F54" s="81">
        <v>1921</v>
      </c>
      <c r="G54" s="81">
        <v>2545</v>
      </c>
      <c r="H54" s="81">
        <v>999</v>
      </c>
      <c r="J54" s="81">
        <v>2735</v>
      </c>
      <c r="K54" s="81">
        <v>2840</v>
      </c>
      <c r="L54" s="81">
        <v>2122</v>
      </c>
      <c r="M54" s="32">
        <f t="shared" ref="M54:M59" si="132">F54</f>
        <v>1921</v>
      </c>
      <c r="N54" s="81">
        <v>2809</v>
      </c>
      <c r="O54" s="81">
        <v>3092</v>
      </c>
      <c r="P54" s="81">
        <v>3037</v>
      </c>
      <c r="Q54" s="32">
        <f t="shared" ref="Q54:Q59" si="133">G54</f>
        <v>2545</v>
      </c>
      <c r="R54" s="81">
        <v>1757</v>
      </c>
      <c r="S54" s="81">
        <v>1470</v>
      </c>
      <c r="T54" s="81">
        <v>1203</v>
      </c>
      <c r="U54" s="32">
        <f t="shared" ref="U54:V59" si="134">H54</f>
        <v>999</v>
      </c>
      <c r="V54" s="81">
        <v>484</v>
      </c>
      <c r="X54" s="32">
        <f t="shared" ref="X54:X59" si="135">M54</f>
        <v>1921</v>
      </c>
      <c r="Y54" s="32">
        <f t="shared" ref="Y54:Y59" si="136">N54</f>
        <v>2809</v>
      </c>
      <c r="Z54" s="32">
        <f t="shared" ref="Z54:Z59" si="137">O54</f>
        <v>3092</v>
      </c>
      <c r="AA54" s="32">
        <f t="shared" ref="AA54:AA59" si="138">P54</f>
        <v>3037</v>
      </c>
      <c r="AB54" s="32">
        <f t="shared" ref="AB54:AB59" si="139">Q54</f>
        <v>2545</v>
      </c>
      <c r="AC54" s="32">
        <f t="shared" ref="AC54:AC59" si="140">R54</f>
        <v>1757</v>
      </c>
      <c r="AD54" s="32">
        <f t="shared" ref="AD54:AD59" si="141">S54</f>
        <v>1470</v>
      </c>
      <c r="AE54" s="32">
        <f t="shared" ref="AE54:AE59" si="142">T54</f>
        <v>1203</v>
      </c>
      <c r="AF54" s="32">
        <f t="shared" ref="AF54:AG59" si="143">U54</f>
        <v>999</v>
      </c>
      <c r="AG54" s="32">
        <f t="shared" si="143"/>
        <v>484</v>
      </c>
      <c r="AH54" s="11"/>
      <c r="AI54" s="74">
        <f t="shared" ref="AI54:AI60" si="144">SUM(AG54/AC54)-1</f>
        <v>-0.7245304496300512</v>
      </c>
    </row>
    <row r="55" spans="2:35" ht="12.75" customHeight="1">
      <c r="B55" s="9" t="s">
        <v>140</v>
      </c>
      <c r="C55" s="81">
        <v>3175</v>
      </c>
      <c r="D55" s="81">
        <v>3245</v>
      </c>
      <c r="E55" s="81">
        <v>3348</v>
      </c>
      <c r="F55" s="81">
        <v>3789</v>
      </c>
      <c r="G55" s="81">
        <v>4628</v>
      </c>
      <c r="H55" s="81">
        <v>5157</v>
      </c>
      <c r="J55" s="81">
        <v>3657</v>
      </c>
      <c r="K55" s="81">
        <v>3737</v>
      </c>
      <c r="L55" s="81">
        <v>3811</v>
      </c>
      <c r="M55" s="32">
        <f t="shared" si="132"/>
        <v>3789</v>
      </c>
      <c r="N55" s="81">
        <v>3941</v>
      </c>
      <c r="O55" s="81">
        <v>3998</v>
      </c>
      <c r="P55" s="81">
        <v>4133</v>
      </c>
      <c r="Q55" s="32">
        <f t="shared" si="133"/>
        <v>4628</v>
      </c>
      <c r="R55" s="81">
        <v>4631</v>
      </c>
      <c r="S55" s="81">
        <v>4760</v>
      </c>
      <c r="T55" s="81">
        <v>5005</v>
      </c>
      <c r="U55" s="32">
        <f t="shared" si="134"/>
        <v>5157</v>
      </c>
      <c r="V55" s="81">
        <v>5541</v>
      </c>
      <c r="X55" s="32">
        <f t="shared" si="135"/>
        <v>3789</v>
      </c>
      <c r="Y55" s="32">
        <f t="shared" si="136"/>
        <v>3941</v>
      </c>
      <c r="Z55" s="32">
        <f t="shared" si="137"/>
        <v>3998</v>
      </c>
      <c r="AA55" s="32">
        <f t="shared" si="138"/>
        <v>4133</v>
      </c>
      <c r="AB55" s="32">
        <f t="shared" si="139"/>
        <v>4628</v>
      </c>
      <c r="AC55" s="32">
        <f t="shared" si="140"/>
        <v>4631</v>
      </c>
      <c r="AD55" s="32">
        <f t="shared" si="141"/>
        <v>4760</v>
      </c>
      <c r="AE55" s="32">
        <f t="shared" si="142"/>
        <v>5005</v>
      </c>
      <c r="AF55" s="32">
        <f t="shared" si="143"/>
        <v>5157</v>
      </c>
      <c r="AG55" s="32">
        <f t="shared" si="143"/>
        <v>5541</v>
      </c>
      <c r="AH55" s="11"/>
      <c r="AI55" s="74">
        <f t="shared" si="144"/>
        <v>0.19650183545670474</v>
      </c>
    </row>
    <row r="56" spans="2:35" ht="12.75" customHeight="1">
      <c r="B56" s="9" t="s">
        <v>141</v>
      </c>
      <c r="C56" s="81">
        <v>2737</v>
      </c>
      <c r="D56" s="81">
        <v>2715</v>
      </c>
      <c r="E56" s="81">
        <v>3223</v>
      </c>
      <c r="F56" s="81">
        <v>3425</v>
      </c>
      <c r="G56" s="81">
        <v>3824</v>
      </c>
      <c r="H56" s="81">
        <v>4236</v>
      </c>
      <c r="J56" s="81">
        <v>3236</v>
      </c>
      <c r="K56" s="81">
        <v>3359</v>
      </c>
      <c r="L56" s="81">
        <v>3370</v>
      </c>
      <c r="M56" s="32">
        <f t="shared" si="132"/>
        <v>3425</v>
      </c>
      <c r="N56" s="81">
        <v>3472</v>
      </c>
      <c r="O56" s="81">
        <v>3630</v>
      </c>
      <c r="P56" s="81">
        <v>3766</v>
      </c>
      <c r="Q56" s="32">
        <f t="shared" si="133"/>
        <v>3824</v>
      </c>
      <c r="R56" s="81">
        <v>3974</v>
      </c>
      <c r="S56" s="81">
        <v>4023</v>
      </c>
      <c r="T56" s="81">
        <v>4143</v>
      </c>
      <c r="U56" s="32">
        <f t="shared" si="134"/>
        <v>4236</v>
      </c>
      <c r="V56" s="81">
        <v>4276</v>
      </c>
      <c r="X56" s="32">
        <f t="shared" si="135"/>
        <v>3425</v>
      </c>
      <c r="Y56" s="32">
        <f t="shared" si="136"/>
        <v>3472</v>
      </c>
      <c r="Z56" s="32">
        <f t="shared" si="137"/>
        <v>3630</v>
      </c>
      <c r="AA56" s="32">
        <f t="shared" si="138"/>
        <v>3766</v>
      </c>
      <c r="AB56" s="32">
        <f t="shared" si="139"/>
        <v>3824</v>
      </c>
      <c r="AC56" s="32">
        <f t="shared" si="140"/>
        <v>3974</v>
      </c>
      <c r="AD56" s="32">
        <f t="shared" si="141"/>
        <v>4023</v>
      </c>
      <c r="AE56" s="32">
        <f t="shared" si="142"/>
        <v>4143</v>
      </c>
      <c r="AF56" s="32">
        <f t="shared" si="143"/>
        <v>4236</v>
      </c>
      <c r="AG56" s="32">
        <f t="shared" si="143"/>
        <v>4276</v>
      </c>
      <c r="AH56" s="11"/>
      <c r="AI56" s="74">
        <f t="shared" si="144"/>
        <v>7.5993960744841438E-2</v>
      </c>
    </row>
    <row r="57" spans="2:35" ht="12.75" customHeight="1">
      <c r="B57" s="9" t="s">
        <v>99</v>
      </c>
      <c r="C57" s="81">
        <v>15910</v>
      </c>
      <c r="D57" s="81">
        <v>15958</v>
      </c>
      <c r="E57" s="81">
        <v>17787</v>
      </c>
      <c r="F57" s="81">
        <v>17997</v>
      </c>
      <c r="G57" s="81">
        <v>18941</v>
      </c>
      <c r="H57" s="81">
        <v>19879</v>
      </c>
      <c r="J57" s="81">
        <v>18024</v>
      </c>
      <c r="K57" s="81">
        <v>18078</v>
      </c>
      <c r="L57" s="81">
        <v>18082</v>
      </c>
      <c r="M57" s="32">
        <f t="shared" si="132"/>
        <v>17997</v>
      </c>
      <c r="N57" s="81">
        <v>18120</v>
      </c>
      <c r="O57" s="81">
        <v>18837</v>
      </c>
      <c r="P57" s="81">
        <v>18816</v>
      </c>
      <c r="Q57" s="32">
        <f t="shared" si="133"/>
        <v>18941</v>
      </c>
      <c r="R57" s="81">
        <v>19548</v>
      </c>
      <c r="S57" s="81">
        <v>19641</v>
      </c>
      <c r="T57" s="81">
        <v>19880</v>
      </c>
      <c r="U57" s="32">
        <f t="shared" si="134"/>
        <v>19879</v>
      </c>
      <c r="V57" s="81">
        <v>19885</v>
      </c>
      <c r="X57" s="32">
        <f t="shared" si="135"/>
        <v>17997</v>
      </c>
      <c r="Y57" s="32">
        <f t="shared" si="136"/>
        <v>18120</v>
      </c>
      <c r="Z57" s="32">
        <f t="shared" si="137"/>
        <v>18837</v>
      </c>
      <c r="AA57" s="32">
        <f t="shared" si="138"/>
        <v>18816</v>
      </c>
      <c r="AB57" s="32">
        <f t="shared" si="139"/>
        <v>18941</v>
      </c>
      <c r="AC57" s="32">
        <f t="shared" si="140"/>
        <v>19548</v>
      </c>
      <c r="AD57" s="32">
        <f t="shared" si="141"/>
        <v>19641</v>
      </c>
      <c r="AE57" s="32">
        <f t="shared" si="142"/>
        <v>19880</v>
      </c>
      <c r="AF57" s="32">
        <f t="shared" si="143"/>
        <v>19879</v>
      </c>
      <c r="AG57" s="32">
        <f t="shared" si="143"/>
        <v>19885</v>
      </c>
      <c r="AH57" s="11"/>
      <c r="AI57" s="74">
        <f t="shared" si="144"/>
        <v>1.7239615305913558E-2</v>
      </c>
    </row>
    <row r="58" spans="2:35" ht="12.75" customHeight="1">
      <c r="B58" s="9" t="s">
        <v>142</v>
      </c>
      <c r="C58" s="81">
        <v>27808</v>
      </c>
      <c r="D58" s="81">
        <v>27664</v>
      </c>
      <c r="E58" s="81">
        <v>25065</v>
      </c>
      <c r="F58" s="81">
        <v>26104</v>
      </c>
      <c r="G58" s="81">
        <v>26889</v>
      </c>
      <c r="H58" s="81">
        <v>27646</v>
      </c>
      <c r="J58" s="81">
        <v>26307</v>
      </c>
      <c r="K58" s="81">
        <v>26574</v>
      </c>
      <c r="L58" s="81">
        <v>26576</v>
      </c>
      <c r="M58" s="32">
        <f t="shared" si="132"/>
        <v>26104</v>
      </c>
      <c r="N58" s="81">
        <v>26739</v>
      </c>
      <c r="O58" s="81">
        <v>26375</v>
      </c>
      <c r="P58" s="81">
        <v>26243</v>
      </c>
      <c r="Q58" s="32">
        <f t="shared" si="133"/>
        <v>26889</v>
      </c>
      <c r="R58" s="81">
        <v>25889</v>
      </c>
      <c r="S58" s="81">
        <v>26408</v>
      </c>
      <c r="T58" s="81">
        <v>27660</v>
      </c>
      <c r="U58" s="32">
        <f t="shared" si="134"/>
        <v>27646</v>
      </c>
      <c r="V58" s="81">
        <v>27664</v>
      </c>
      <c r="X58" s="32">
        <f t="shared" si="135"/>
        <v>26104</v>
      </c>
      <c r="Y58" s="32">
        <f t="shared" si="136"/>
        <v>26739</v>
      </c>
      <c r="Z58" s="32">
        <f t="shared" si="137"/>
        <v>26375</v>
      </c>
      <c r="AA58" s="32">
        <f t="shared" si="138"/>
        <v>26243</v>
      </c>
      <c r="AB58" s="32">
        <f t="shared" si="139"/>
        <v>26889</v>
      </c>
      <c r="AC58" s="32">
        <f t="shared" si="140"/>
        <v>25889</v>
      </c>
      <c r="AD58" s="32">
        <f t="shared" si="141"/>
        <v>26408</v>
      </c>
      <c r="AE58" s="32">
        <f t="shared" si="142"/>
        <v>27660</v>
      </c>
      <c r="AF58" s="32">
        <f t="shared" si="143"/>
        <v>27646</v>
      </c>
      <c r="AG58" s="32">
        <f t="shared" si="143"/>
        <v>27664</v>
      </c>
      <c r="AH58" s="11"/>
      <c r="AI58" s="74">
        <f t="shared" si="144"/>
        <v>6.8561937502414239E-2</v>
      </c>
    </row>
    <row r="59" spans="2:35" ht="12.75" customHeight="1">
      <c r="B59" s="9" t="s">
        <v>143</v>
      </c>
      <c r="C59" s="81">
        <v>3413</v>
      </c>
      <c r="D59" s="81">
        <v>4002</v>
      </c>
      <c r="E59" s="81">
        <v>3737</v>
      </c>
      <c r="F59" s="81">
        <v>3731</v>
      </c>
      <c r="G59" s="81">
        <v>3651</v>
      </c>
      <c r="H59" s="81">
        <v>3944</v>
      </c>
      <c r="J59" s="81">
        <v>3569</v>
      </c>
      <c r="K59" s="81">
        <v>3510</v>
      </c>
      <c r="L59" s="81">
        <v>3603</v>
      </c>
      <c r="M59" s="32">
        <f t="shared" si="132"/>
        <v>3731</v>
      </c>
      <c r="N59" s="81">
        <v>3596</v>
      </c>
      <c r="O59" s="81">
        <v>3692</v>
      </c>
      <c r="P59" s="81">
        <v>4006</v>
      </c>
      <c r="Q59" s="32">
        <f t="shared" si="133"/>
        <v>3651</v>
      </c>
      <c r="R59" s="81">
        <v>3467</v>
      </c>
      <c r="S59" s="81">
        <v>3617</v>
      </c>
      <c r="T59" s="81">
        <v>3735</v>
      </c>
      <c r="U59" s="32">
        <f t="shared" si="134"/>
        <v>3944</v>
      </c>
      <c r="V59" s="81">
        <v>3967</v>
      </c>
      <c r="X59" s="32">
        <f t="shared" si="135"/>
        <v>3731</v>
      </c>
      <c r="Y59" s="32">
        <f t="shared" si="136"/>
        <v>3596</v>
      </c>
      <c r="Z59" s="32">
        <f t="shared" si="137"/>
        <v>3692</v>
      </c>
      <c r="AA59" s="32">
        <f t="shared" si="138"/>
        <v>4006</v>
      </c>
      <c r="AB59" s="32">
        <f t="shared" si="139"/>
        <v>3651</v>
      </c>
      <c r="AC59" s="32">
        <f t="shared" si="140"/>
        <v>3467</v>
      </c>
      <c r="AD59" s="32">
        <f t="shared" si="141"/>
        <v>3617</v>
      </c>
      <c r="AE59" s="32">
        <f t="shared" si="142"/>
        <v>3735</v>
      </c>
      <c r="AF59" s="32">
        <f t="shared" si="143"/>
        <v>3944</v>
      </c>
      <c r="AG59" s="32">
        <f t="shared" si="143"/>
        <v>3967</v>
      </c>
      <c r="AH59" s="11"/>
      <c r="AI59" s="74">
        <f t="shared" si="144"/>
        <v>0.1442169022209403</v>
      </c>
    </row>
    <row r="60" spans="2:35" ht="12.75" customHeight="1">
      <c r="B60" s="13" t="s">
        <v>19</v>
      </c>
      <c r="C60" s="14">
        <f t="shared" ref="C60:H60" si="145">SUM(C54:C59)+C51</f>
        <v>80919</v>
      </c>
      <c r="D60" s="14">
        <f t="shared" si="145"/>
        <v>82896</v>
      </c>
      <c r="E60" s="14">
        <f t="shared" si="145"/>
        <v>85501</v>
      </c>
      <c r="F60" s="14">
        <f t="shared" si="145"/>
        <v>90499</v>
      </c>
      <c r="G60" s="14">
        <f t="shared" si="145"/>
        <v>94511</v>
      </c>
      <c r="H60" s="14">
        <f t="shared" si="145"/>
        <v>99627</v>
      </c>
      <c r="J60" s="14">
        <f t="shared" ref="J60:U60" si="146">SUM(J54:J59)+J51</f>
        <v>85387</v>
      </c>
      <c r="K60" s="14">
        <f t="shared" si="146"/>
        <v>86755</v>
      </c>
      <c r="L60" s="14">
        <f t="shared" si="146"/>
        <v>89234</v>
      </c>
      <c r="M60" s="14">
        <f t="shared" si="146"/>
        <v>90499</v>
      </c>
      <c r="N60" s="14">
        <f t="shared" si="146"/>
        <v>91409</v>
      </c>
      <c r="O60" s="14">
        <f t="shared" si="146"/>
        <v>92399</v>
      </c>
      <c r="P60" s="14">
        <f t="shared" si="146"/>
        <v>91040</v>
      </c>
      <c r="Q60" s="14">
        <f t="shared" si="146"/>
        <v>94511</v>
      </c>
      <c r="R60" s="14">
        <f t="shared" si="146"/>
        <v>91888</v>
      </c>
      <c r="S60" s="14">
        <f t="shared" si="146"/>
        <v>92853</v>
      </c>
      <c r="T60" s="14">
        <f t="shared" si="146"/>
        <v>100024</v>
      </c>
      <c r="U60" s="14">
        <f t="shared" si="146"/>
        <v>99627</v>
      </c>
      <c r="V60" s="14">
        <f t="shared" ref="V60" si="147">SUM(V54:V59)+V51</f>
        <v>96814</v>
      </c>
      <c r="X60" s="14">
        <f t="shared" ref="X60" si="148">SUM(X54:X59)+X51</f>
        <v>90499</v>
      </c>
      <c r="Y60" s="14">
        <f t="shared" ref="Y60" si="149">SUM(Y54:Y59)+Y51</f>
        <v>91409</v>
      </c>
      <c r="Z60" s="14">
        <f t="shared" ref="Z60" si="150">SUM(Z54:Z59)+Z51</f>
        <v>92399</v>
      </c>
      <c r="AA60" s="14">
        <f t="shared" ref="AA60" si="151">SUM(AA54:AA59)+AA51</f>
        <v>91040</v>
      </c>
      <c r="AB60" s="14">
        <f t="shared" ref="AB60" si="152">SUM(AB54:AB59)+AB51</f>
        <v>94511</v>
      </c>
      <c r="AC60" s="14">
        <f t="shared" ref="AC60" si="153">SUM(AC54:AC59)+AC51</f>
        <v>91888</v>
      </c>
      <c r="AD60" s="14">
        <f t="shared" ref="AD60" si="154">SUM(AD54:AD59)+AD51</f>
        <v>92853</v>
      </c>
      <c r="AE60" s="14">
        <f t="shared" ref="AE60" si="155">SUM(AE54:AE59)+AE51</f>
        <v>100024</v>
      </c>
      <c r="AF60" s="14">
        <f t="shared" ref="AF60:AG60" si="156">SUM(AF54:AF59)+AF51</f>
        <v>99627</v>
      </c>
      <c r="AG60" s="14">
        <f t="shared" si="156"/>
        <v>96814</v>
      </c>
      <c r="AH60" s="41"/>
      <c r="AI60" s="75">
        <f t="shared" si="144"/>
        <v>5.3608741076092592E-2</v>
      </c>
    </row>
    <row r="61" spans="2:35" ht="12.75" customHeight="1">
      <c r="B61" s="25"/>
      <c r="C61" s="49"/>
      <c r="D61" s="49"/>
      <c r="E61" s="49"/>
      <c r="F61" s="40"/>
      <c r="G61" s="40"/>
      <c r="H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38"/>
    </row>
    <row r="62" spans="2:35" ht="12.75" customHeight="1">
      <c r="B62" s="77" t="s">
        <v>43</v>
      </c>
      <c r="C62" s="49"/>
      <c r="D62" s="49"/>
      <c r="E62" s="49"/>
      <c r="F62" s="40"/>
      <c r="G62" s="40"/>
      <c r="H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38"/>
    </row>
    <row r="63" spans="2:35" ht="12.75" customHeight="1">
      <c r="B63" s="113" t="s">
        <v>144</v>
      </c>
      <c r="C63" s="114">
        <v>174</v>
      </c>
      <c r="D63" s="114">
        <v>266</v>
      </c>
      <c r="E63" s="114">
        <v>340</v>
      </c>
      <c r="F63" s="114">
        <v>375</v>
      </c>
      <c r="G63" s="114">
        <v>479</v>
      </c>
      <c r="H63" s="114">
        <v>555</v>
      </c>
      <c r="J63" s="81">
        <v>258</v>
      </c>
      <c r="K63" s="81">
        <v>280</v>
      </c>
      <c r="L63" s="81">
        <v>281</v>
      </c>
      <c r="M63" s="32">
        <f t="shared" ref="M63:M70" si="157">F63</f>
        <v>375</v>
      </c>
      <c r="N63" s="81">
        <v>348</v>
      </c>
      <c r="O63" s="81">
        <v>338</v>
      </c>
      <c r="P63" s="81">
        <v>331</v>
      </c>
      <c r="Q63" s="32">
        <f t="shared" ref="Q63:Q70" si="158">G63</f>
        <v>479</v>
      </c>
      <c r="R63" s="81">
        <v>405</v>
      </c>
      <c r="S63" s="81">
        <v>421</v>
      </c>
      <c r="T63" s="81">
        <v>462</v>
      </c>
      <c r="U63" s="32">
        <f t="shared" ref="U63:V70" si="159">H63</f>
        <v>555</v>
      </c>
      <c r="V63" s="81">
        <v>433</v>
      </c>
      <c r="X63" s="32">
        <f t="shared" ref="X63:X70" si="160">M63</f>
        <v>375</v>
      </c>
      <c r="Y63" s="32">
        <f t="shared" ref="Y63:Y70" si="161">N63</f>
        <v>348</v>
      </c>
      <c r="Z63" s="32">
        <f t="shared" ref="Z63:Z70" si="162">O63</f>
        <v>338</v>
      </c>
      <c r="AA63" s="32">
        <f t="shared" ref="AA63:AA70" si="163">P63</f>
        <v>331</v>
      </c>
      <c r="AB63" s="32">
        <f t="shared" ref="AB63:AB70" si="164">Q63</f>
        <v>479</v>
      </c>
      <c r="AC63" s="32">
        <f t="shared" ref="AC63:AC70" si="165">R63</f>
        <v>405</v>
      </c>
      <c r="AD63" s="32">
        <f t="shared" ref="AD63:AD70" si="166">S63</f>
        <v>421</v>
      </c>
      <c r="AE63" s="32">
        <f t="shared" ref="AE63:AE70" si="167">T63</f>
        <v>462</v>
      </c>
      <c r="AF63" s="32">
        <f t="shared" ref="AF63:AG70" si="168">U63</f>
        <v>555</v>
      </c>
      <c r="AG63" s="32">
        <f t="shared" si="168"/>
        <v>433</v>
      </c>
      <c r="AH63" s="11"/>
      <c r="AI63" s="74">
        <f t="shared" ref="AI63:AI71" si="169">SUM(AG63/AC63)-1</f>
        <v>6.9135802469135754E-2</v>
      </c>
    </row>
    <row r="64" spans="2:35" ht="12.75" customHeight="1">
      <c r="B64" s="113" t="s">
        <v>145</v>
      </c>
      <c r="C64" s="114">
        <v>1736</v>
      </c>
      <c r="D64" s="114">
        <v>2443</v>
      </c>
      <c r="E64" s="114">
        <v>3281</v>
      </c>
      <c r="F64" s="114">
        <v>3269</v>
      </c>
      <c r="G64" s="114">
        <v>5265</v>
      </c>
      <c r="H64" s="114">
        <v>4568</v>
      </c>
      <c r="J64" s="81">
        <v>3573</v>
      </c>
      <c r="K64" s="81">
        <v>3069</v>
      </c>
      <c r="L64" s="81">
        <v>3675</v>
      </c>
      <c r="M64" s="32">
        <f t="shared" si="157"/>
        <v>3269</v>
      </c>
      <c r="N64" s="81">
        <v>3724</v>
      </c>
      <c r="O64" s="81">
        <v>4485</v>
      </c>
      <c r="P64" s="81">
        <v>2576</v>
      </c>
      <c r="Q64" s="32">
        <f t="shared" si="158"/>
        <v>5265</v>
      </c>
      <c r="R64" s="81">
        <v>4425</v>
      </c>
      <c r="S64" s="81">
        <v>4996</v>
      </c>
      <c r="T64" s="81">
        <v>6038</v>
      </c>
      <c r="U64" s="32">
        <f t="shared" si="159"/>
        <v>4568</v>
      </c>
      <c r="V64" s="81">
        <v>4337</v>
      </c>
      <c r="X64" s="32">
        <f>M64</f>
        <v>3269</v>
      </c>
      <c r="Y64" s="32">
        <f t="shared" si="161"/>
        <v>3724</v>
      </c>
      <c r="Z64" s="32">
        <f t="shared" si="162"/>
        <v>4485</v>
      </c>
      <c r="AA64" s="32">
        <f t="shared" si="163"/>
        <v>2576</v>
      </c>
      <c r="AB64" s="32">
        <f t="shared" si="164"/>
        <v>5265</v>
      </c>
      <c r="AC64" s="32">
        <f t="shared" si="165"/>
        <v>4425</v>
      </c>
      <c r="AD64" s="32">
        <f t="shared" si="166"/>
        <v>4996</v>
      </c>
      <c r="AE64" s="32">
        <f t="shared" si="167"/>
        <v>6038</v>
      </c>
      <c r="AF64" s="32">
        <f t="shared" si="168"/>
        <v>4568</v>
      </c>
      <c r="AG64" s="32">
        <f t="shared" si="168"/>
        <v>4337</v>
      </c>
      <c r="AH64" s="11"/>
      <c r="AI64" s="74">
        <f t="shared" si="169"/>
        <v>-1.988700564971746E-2</v>
      </c>
    </row>
    <row r="65" spans="2:35" ht="12.75" customHeight="1">
      <c r="B65" s="113" t="s">
        <v>137</v>
      </c>
      <c r="C65" s="114">
        <v>1850</v>
      </c>
      <c r="D65" s="114">
        <v>2260</v>
      </c>
      <c r="E65" s="114">
        <v>2342</v>
      </c>
      <c r="F65" s="114">
        <v>3005</v>
      </c>
      <c r="G65" s="114">
        <v>3524</v>
      </c>
      <c r="H65" s="114">
        <v>3625</v>
      </c>
      <c r="J65" s="81">
        <v>2591</v>
      </c>
      <c r="K65" s="81">
        <v>2739</v>
      </c>
      <c r="L65" s="81">
        <v>2907</v>
      </c>
      <c r="M65" s="32">
        <f t="shared" si="157"/>
        <v>3005</v>
      </c>
      <c r="N65" s="81">
        <v>3164</v>
      </c>
      <c r="O65" s="81">
        <v>3367</v>
      </c>
      <c r="P65" s="81">
        <v>3472</v>
      </c>
      <c r="Q65" s="32">
        <f t="shared" si="158"/>
        <v>3524</v>
      </c>
      <c r="R65" s="81">
        <v>3518</v>
      </c>
      <c r="S65" s="81">
        <v>3543</v>
      </c>
      <c r="T65" s="81">
        <v>3614</v>
      </c>
      <c r="U65" s="32">
        <f t="shared" si="159"/>
        <v>3625</v>
      </c>
      <c r="V65" s="81">
        <v>3712</v>
      </c>
      <c r="X65" s="32">
        <f t="shared" si="160"/>
        <v>3005</v>
      </c>
      <c r="Y65" s="32">
        <f t="shared" si="161"/>
        <v>3164</v>
      </c>
      <c r="Z65" s="32">
        <f t="shared" si="162"/>
        <v>3367</v>
      </c>
      <c r="AA65" s="32">
        <f t="shared" si="163"/>
        <v>3472</v>
      </c>
      <c r="AB65" s="32">
        <f t="shared" si="164"/>
        <v>3524</v>
      </c>
      <c r="AC65" s="32">
        <f t="shared" si="165"/>
        <v>3518</v>
      </c>
      <c r="AD65" s="32">
        <f t="shared" si="166"/>
        <v>3543</v>
      </c>
      <c r="AE65" s="32">
        <f t="shared" si="167"/>
        <v>3614</v>
      </c>
      <c r="AF65" s="32">
        <f t="shared" si="168"/>
        <v>3625</v>
      </c>
      <c r="AG65" s="32">
        <f t="shared" si="168"/>
        <v>3712</v>
      </c>
      <c r="AH65" s="11"/>
      <c r="AI65" s="74">
        <f t="shared" si="169"/>
        <v>5.514496873223429E-2</v>
      </c>
    </row>
    <row r="66" spans="2:35" ht="12.75" customHeight="1">
      <c r="B66" s="113" t="s">
        <v>146</v>
      </c>
      <c r="C66" s="114">
        <v>821</v>
      </c>
      <c r="D66" s="114">
        <v>1211</v>
      </c>
      <c r="E66" s="114">
        <v>1359</v>
      </c>
      <c r="F66" s="114">
        <v>1506</v>
      </c>
      <c r="G66" s="114">
        <v>1538</v>
      </c>
      <c r="H66" s="114">
        <v>1863</v>
      </c>
      <c r="J66" s="81">
        <v>736</v>
      </c>
      <c r="K66" s="81">
        <v>998</v>
      </c>
      <c r="L66" s="81">
        <v>1215</v>
      </c>
      <c r="M66" s="32">
        <f t="shared" si="157"/>
        <v>1506</v>
      </c>
      <c r="N66" s="81">
        <v>816</v>
      </c>
      <c r="O66" s="81">
        <v>1065</v>
      </c>
      <c r="P66" s="81">
        <v>1251</v>
      </c>
      <c r="Q66" s="32">
        <f t="shared" si="158"/>
        <v>1538</v>
      </c>
      <c r="R66" s="81">
        <v>1226</v>
      </c>
      <c r="S66" s="81">
        <v>1225</v>
      </c>
      <c r="T66" s="81">
        <v>1474</v>
      </c>
      <c r="U66" s="32">
        <f t="shared" si="159"/>
        <v>1863</v>
      </c>
      <c r="V66" s="81">
        <v>1158</v>
      </c>
      <c r="X66" s="32">
        <f t="shared" si="160"/>
        <v>1506</v>
      </c>
      <c r="Y66" s="32">
        <f t="shared" si="161"/>
        <v>816</v>
      </c>
      <c r="Z66" s="32">
        <f t="shared" si="162"/>
        <v>1065</v>
      </c>
      <c r="AA66" s="32">
        <f t="shared" si="163"/>
        <v>1251</v>
      </c>
      <c r="AB66" s="32">
        <f t="shared" si="164"/>
        <v>1538</v>
      </c>
      <c r="AC66" s="32">
        <f t="shared" si="165"/>
        <v>1226</v>
      </c>
      <c r="AD66" s="32">
        <f t="shared" si="166"/>
        <v>1225</v>
      </c>
      <c r="AE66" s="32">
        <f t="shared" si="167"/>
        <v>1474</v>
      </c>
      <c r="AF66" s="32">
        <f t="shared" si="168"/>
        <v>1863</v>
      </c>
      <c r="AG66" s="32">
        <f t="shared" si="168"/>
        <v>1158</v>
      </c>
      <c r="AH66" s="11"/>
      <c r="AI66" s="74">
        <f t="shared" si="169"/>
        <v>-5.5464926590538366E-2</v>
      </c>
    </row>
    <row r="67" spans="2:35" ht="12.75" customHeight="1">
      <c r="B67" s="113" t="s">
        <v>140</v>
      </c>
      <c r="C67" s="114">
        <v>4176</v>
      </c>
      <c r="D67" s="114">
        <v>5243</v>
      </c>
      <c r="E67" s="114">
        <v>6099</v>
      </c>
      <c r="F67" s="114">
        <v>8177</v>
      </c>
      <c r="G67" s="114">
        <v>9075</v>
      </c>
      <c r="H67" s="114">
        <v>10369</v>
      </c>
      <c r="J67" s="81">
        <v>6553</v>
      </c>
      <c r="K67" s="81">
        <v>6783</v>
      </c>
      <c r="L67" s="81">
        <v>7532</v>
      </c>
      <c r="M67" s="32">
        <f t="shared" si="157"/>
        <v>8177</v>
      </c>
      <c r="N67" s="81">
        <v>8034</v>
      </c>
      <c r="O67" s="81">
        <v>7949</v>
      </c>
      <c r="P67" s="81">
        <v>8562</v>
      </c>
      <c r="Q67" s="32">
        <f t="shared" si="158"/>
        <v>9075</v>
      </c>
      <c r="R67" s="81">
        <v>9249</v>
      </c>
      <c r="S67" s="81">
        <v>9665</v>
      </c>
      <c r="T67" s="81">
        <v>10032</v>
      </c>
      <c r="U67" s="32">
        <f t="shared" si="159"/>
        <v>10369</v>
      </c>
      <c r="V67" s="81">
        <v>11280</v>
      </c>
      <c r="X67" s="32">
        <f t="shared" si="160"/>
        <v>8177</v>
      </c>
      <c r="Y67" s="32">
        <f t="shared" si="161"/>
        <v>8034</v>
      </c>
      <c r="Z67" s="32">
        <f t="shared" si="162"/>
        <v>7949</v>
      </c>
      <c r="AA67" s="32">
        <f t="shared" si="163"/>
        <v>8562</v>
      </c>
      <c r="AB67" s="32">
        <f t="shared" si="164"/>
        <v>9075</v>
      </c>
      <c r="AC67" s="32">
        <f t="shared" si="165"/>
        <v>9249</v>
      </c>
      <c r="AD67" s="32">
        <f t="shared" si="166"/>
        <v>9665</v>
      </c>
      <c r="AE67" s="32">
        <f t="shared" si="167"/>
        <v>10032</v>
      </c>
      <c r="AF67" s="32">
        <f t="shared" si="168"/>
        <v>10369</v>
      </c>
      <c r="AG67" s="32">
        <f t="shared" si="168"/>
        <v>11280</v>
      </c>
      <c r="AH67" s="11"/>
      <c r="AI67" s="74">
        <f t="shared" si="169"/>
        <v>0.21959130716834263</v>
      </c>
    </row>
    <row r="68" spans="2:35" ht="12.75" customHeight="1">
      <c r="B68" s="113" t="s">
        <v>147</v>
      </c>
      <c r="C68" s="114">
        <v>1840</v>
      </c>
      <c r="D68" s="114">
        <v>2334</v>
      </c>
      <c r="E68" s="114">
        <v>3726</v>
      </c>
      <c r="F68" s="114">
        <v>5015</v>
      </c>
      <c r="G68" s="114">
        <v>4909</v>
      </c>
      <c r="H68" s="114">
        <v>5466</v>
      </c>
      <c r="J68" s="81">
        <v>3940</v>
      </c>
      <c r="K68" s="81">
        <v>3626</v>
      </c>
      <c r="L68" s="81">
        <v>4075</v>
      </c>
      <c r="M68" s="32">
        <f t="shared" si="157"/>
        <v>5015</v>
      </c>
      <c r="N68" s="81">
        <v>5077</v>
      </c>
      <c r="O68" s="81">
        <v>4386</v>
      </c>
      <c r="P68" s="81">
        <v>4732</v>
      </c>
      <c r="Q68" s="32">
        <f t="shared" si="158"/>
        <v>4909</v>
      </c>
      <c r="R68" s="81">
        <v>4690</v>
      </c>
      <c r="S68" s="81">
        <v>4507</v>
      </c>
      <c r="T68" s="81">
        <v>4907</v>
      </c>
      <c r="U68" s="32">
        <f t="shared" si="159"/>
        <v>5466</v>
      </c>
      <c r="V68" s="81">
        <v>5576</v>
      </c>
      <c r="X68" s="32">
        <f t="shared" si="160"/>
        <v>5015</v>
      </c>
      <c r="Y68" s="32">
        <f t="shared" si="161"/>
        <v>5077</v>
      </c>
      <c r="Z68" s="32">
        <f t="shared" si="162"/>
        <v>4386</v>
      </c>
      <c r="AA68" s="32">
        <f t="shared" si="163"/>
        <v>4732</v>
      </c>
      <c r="AB68" s="32">
        <f t="shared" si="164"/>
        <v>4909</v>
      </c>
      <c r="AC68" s="32">
        <f t="shared" si="165"/>
        <v>4690</v>
      </c>
      <c r="AD68" s="32">
        <f t="shared" si="166"/>
        <v>4507</v>
      </c>
      <c r="AE68" s="32">
        <f t="shared" si="167"/>
        <v>4907</v>
      </c>
      <c r="AF68" s="32">
        <f t="shared" si="168"/>
        <v>5466</v>
      </c>
      <c r="AG68" s="32">
        <f t="shared" si="168"/>
        <v>5576</v>
      </c>
      <c r="AH68" s="11"/>
      <c r="AI68" s="74">
        <f t="shared" si="169"/>
        <v>0.18891257995735611</v>
      </c>
    </row>
    <row r="69" spans="2:35" ht="12.75" customHeight="1">
      <c r="B69" s="113" t="s">
        <v>148</v>
      </c>
      <c r="C69" s="114">
        <v>2999</v>
      </c>
      <c r="D69" s="114">
        <v>999</v>
      </c>
      <c r="E69" s="114">
        <v>2250</v>
      </c>
      <c r="F69" s="114">
        <v>0</v>
      </c>
      <c r="G69" s="114">
        <v>0</v>
      </c>
      <c r="H69" s="114">
        <v>5569</v>
      </c>
      <c r="J69" s="81">
        <v>0</v>
      </c>
      <c r="K69" s="81">
        <v>0</v>
      </c>
      <c r="L69" s="81">
        <v>0</v>
      </c>
      <c r="M69" s="32">
        <f t="shared" si="157"/>
        <v>0</v>
      </c>
      <c r="N69" s="81">
        <v>0</v>
      </c>
      <c r="O69" s="81">
        <v>0</v>
      </c>
      <c r="P69" s="81">
        <v>0</v>
      </c>
      <c r="Q69" s="32">
        <f t="shared" si="158"/>
        <v>0</v>
      </c>
      <c r="R69" s="81">
        <v>3929</v>
      </c>
      <c r="S69" s="81">
        <v>3948</v>
      </c>
      <c r="T69" s="81">
        <v>5548</v>
      </c>
      <c r="U69" s="32">
        <f t="shared" si="159"/>
        <v>5569</v>
      </c>
      <c r="V69" s="81">
        <v>1589</v>
      </c>
      <c r="X69" s="32">
        <f t="shared" si="160"/>
        <v>0</v>
      </c>
      <c r="Y69" s="32">
        <f t="shared" si="161"/>
        <v>0</v>
      </c>
      <c r="Z69" s="32">
        <f t="shared" si="162"/>
        <v>0</v>
      </c>
      <c r="AA69" s="32">
        <f t="shared" si="163"/>
        <v>0</v>
      </c>
      <c r="AB69" s="32">
        <f t="shared" si="164"/>
        <v>0</v>
      </c>
      <c r="AC69" s="32">
        <f t="shared" si="165"/>
        <v>3929</v>
      </c>
      <c r="AD69" s="32">
        <f t="shared" si="166"/>
        <v>3948</v>
      </c>
      <c r="AE69" s="32">
        <f t="shared" si="167"/>
        <v>5548</v>
      </c>
      <c r="AF69" s="32">
        <f t="shared" si="168"/>
        <v>5569</v>
      </c>
      <c r="AG69" s="32">
        <f t="shared" si="168"/>
        <v>1589</v>
      </c>
      <c r="AH69" s="11"/>
      <c r="AI69" s="74">
        <f t="shared" si="169"/>
        <v>-0.5955713922117587</v>
      </c>
    </row>
    <row r="70" spans="2:35" ht="12.75" customHeight="1">
      <c r="B70" s="113" t="s">
        <v>149</v>
      </c>
      <c r="C70" s="114">
        <v>914</v>
      </c>
      <c r="D70" s="114">
        <v>983</v>
      </c>
      <c r="E70" s="114">
        <v>1456</v>
      </c>
      <c r="F70" s="114">
        <v>1751</v>
      </c>
      <c r="G70" s="114">
        <v>1727</v>
      </c>
      <c r="H70" s="114">
        <v>3033</v>
      </c>
      <c r="J70" s="81">
        <v>1702</v>
      </c>
      <c r="K70" s="81">
        <v>1602</v>
      </c>
      <c r="L70" s="81">
        <v>1545</v>
      </c>
      <c r="M70" s="32">
        <f t="shared" si="157"/>
        <v>1751</v>
      </c>
      <c r="N70" s="81">
        <v>1471</v>
      </c>
      <c r="O70" s="81">
        <v>1853</v>
      </c>
      <c r="P70" s="81">
        <v>1688</v>
      </c>
      <c r="Q70" s="32">
        <f t="shared" si="158"/>
        <v>1727</v>
      </c>
      <c r="R70" s="81">
        <v>1649</v>
      </c>
      <c r="S70" s="81">
        <v>2076</v>
      </c>
      <c r="T70" s="81">
        <v>2352</v>
      </c>
      <c r="U70" s="32">
        <f t="shared" si="159"/>
        <v>3033</v>
      </c>
      <c r="V70" s="81">
        <v>3406</v>
      </c>
      <c r="X70" s="32">
        <f t="shared" si="160"/>
        <v>1751</v>
      </c>
      <c r="Y70" s="32">
        <f t="shared" si="161"/>
        <v>1471</v>
      </c>
      <c r="Z70" s="32">
        <f t="shared" si="162"/>
        <v>1853</v>
      </c>
      <c r="AA70" s="32">
        <f t="shared" si="163"/>
        <v>1688</v>
      </c>
      <c r="AB70" s="32">
        <f t="shared" si="164"/>
        <v>1727</v>
      </c>
      <c r="AC70" s="32">
        <f t="shared" si="165"/>
        <v>1649</v>
      </c>
      <c r="AD70" s="32">
        <f t="shared" si="166"/>
        <v>2076</v>
      </c>
      <c r="AE70" s="32">
        <f t="shared" si="167"/>
        <v>2352</v>
      </c>
      <c r="AF70" s="32">
        <f t="shared" si="168"/>
        <v>3033</v>
      </c>
      <c r="AG70" s="32">
        <f t="shared" si="168"/>
        <v>3406</v>
      </c>
      <c r="AH70" s="11"/>
      <c r="AI70" s="74">
        <f t="shared" si="169"/>
        <v>1.0654942389326867</v>
      </c>
    </row>
    <row r="71" spans="2:35" ht="12.75" customHeight="1">
      <c r="B71" s="25" t="s">
        <v>17</v>
      </c>
      <c r="C71" s="26">
        <f t="shared" ref="C71:H71" si="170">SUM(C63:C70)</f>
        <v>14510</v>
      </c>
      <c r="D71" s="26">
        <f t="shared" si="170"/>
        <v>15739</v>
      </c>
      <c r="E71" s="26">
        <f t="shared" si="170"/>
        <v>20853</v>
      </c>
      <c r="F71" s="26">
        <f t="shared" si="170"/>
        <v>23098</v>
      </c>
      <c r="G71" s="26">
        <f t="shared" si="170"/>
        <v>26517</v>
      </c>
      <c r="H71" s="26">
        <f t="shared" si="170"/>
        <v>35048</v>
      </c>
      <c r="J71" s="26">
        <f t="shared" ref="J71:U71" si="171">SUM(J63:J70)</f>
        <v>19353</v>
      </c>
      <c r="K71" s="26">
        <f t="shared" si="171"/>
        <v>19097</v>
      </c>
      <c r="L71" s="26">
        <f t="shared" si="171"/>
        <v>21230</v>
      </c>
      <c r="M71" s="26">
        <f t="shared" si="171"/>
        <v>23098</v>
      </c>
      <c r="N71" s="26">
        <f t="shared" si="171"/>
        <v>22634</v>
      </c>
      <c r="O71" s="26">
        <f t="shared" si="171"/>
        <v>23443</v>
      </c>
      <c r="P71" s="26">
        <f t="shared" si="171"/>
        <v>22612</v>
      </c>
      <c r="Q71" s="26">
        <f t="shared" si="171"/>
        <v>26517</v>
      </c>
      <c r="R71" s="26">
        <f t="shared" si="171"/>
        <v>29091</v>
      </c>
      <c r="S71" s="26">
        <f t="shared" si="171"/>
        <v>30381</v>
      </c>
      <c r="T71" s="26">
        <f t="shared" si="171"/>
        <v>34427</v>
      </c>
      <c r="U71" s="26">
        <f t="shared" si="171"/>
        <v>35048</v>
      </c>
      <c r="V71" s="26">
        <f t="shared" ref="V71" si="172">SUM(V63:V70)</f>
        <v>31491</v>
      </c>
      <c r="W71" s="47"/>
      <c r="X71" s="26">
        <f t="shared" ref="X71" si="173">SUM(X63:X70)</f>
        <v>23098</v>
      </c>
      <c r="Y71" s="26">
        <f t="shared" ref="Y71" si="174">SUM(Y63:Y70)</f>
        <v>22634</v>
      </c>
      <c r="Z71" s="26">
        <f t="shared" ref="Z71" si="175">SUM(Z63:Z70)</f>
        <v>23443</v>
      </c>
      <c r="AA71" s="26">
        <f t="shared" ref="AA71" si="176">SUM(AA63:AA70)</f>
        <v>22612</v>
      </c>
      <c r="AB71" s="26">
        <f t="shared" ref="AB71" si="177">SUM(AB63:AB70)</f>
        <v>26517</v>
      </c>
      <c r="AC71" s="26">
        <f t="shared" ref="AC71" si="178">SUM(AC63:AC70)</f>
        <v>29091</v>
      </c>
      <c r="AD71" s="26">
        <f t="shared" ref="AD71" si="179">SUM(AD63:AD70)</f>
        <v>30381</v>
      </c>
      <c r="AE71" s="26">
        <f t="shared" ref="AE71" si="180">SUM(AE63:AE70)</f>
        <v>34427</v>
      </c>
      <c r="AF71" s="26">
        <f t="shared" ref="AF71:AG71" si="181">SUM(AF63:AF70)</f>
        <v>35048</v>
      </c>
      <c r="AG71" s="26">
        <f t="shared" si="181"/>
        <v>31491</v>
      </c>
      <c r="AH71" s="41"/>
      <c r="AI71" s="75">
        <f t="shared" si="169"/>
        <v>8.249974218830558E-2</v>
      </c>
    </row>
    <row r="72" spans="2:35" ht="5.0999999999999996" customHeight="1">
      <c r="B72" s="25"/>
      <c r="C72" s="49"/>
      <c r="D72" s="49"/>
      <c r="E72" s="49"/>
      <c r="F72" s="40"/>
      <c r="G72" s="40"/>
      <c r="H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38"/>
    </row>
    <row r="73" spans="2:35">
      <c r="B73" s="77" t="s">
        <v>77</v>
      </c>
      <c r="C73" s="49"/>
      <c r="D73" s="49"/>
      <c r="E73" s="49"/>
      <c r="F73" s="40"/>
      <c r="G73" s="40"/>
      <c r="H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38"/>
    </row>
    <row r="74" spans="2:35" ht="12.75" customHeight="1">
      <c r="B74" s="113" t="s">
        <v>150</v>
      </c>
      <c r="C74" s="114">
        <v>21071</v>
      </c>
      <c r="D74" s="114">
        <v>19978</v>
      </c>
      <c r="E74" s="114">
        <v>20200</v>
      </c>
      <c r="F74" s="114">
        <v>20463</v>
      </c>
      <c r="G74" s="114">
        <v>20836</v>
      </c>
      <c r="H74" s="114">
        <v>19602</v>
      </c>
      <c r="I74" s="50"/>
      <c r="J74" s="81">
        <v>20487</v>
      </c>
      <c r="K74" s="81">
        <v>20606</v>
      </c>
      <c r="L74" s="81">
        <v>20560</v>
      </c>
      <c r="M74" s="32">
        <f t="shared" ref="M74:M76" si="182">F74</f>
        <v>20463</v>
      </c>
      <c r="N74" s="81">
        <v>20703</v>
      </c>
      <c r="O74" s="81">
        <v>20603</v>
      </c>
      <c r="P74" s="81">
        <v>20602</v>
      </c>
      <c r="Q74" s="32">
        <f t="shared" ref="Q74:Q76" si="183">G74</f>
        <v>20836</v>
      </c>
      <c r="R74" s="81">
        <v>16680</v>
      </c>
      <c r="S74" s="81">
        <v>16814</v>
      </c>
      <c r="T74" s="81">
        <v>19590</v>
      </c>
      <c r="U74" s="32">
        <f t="shared" ref="U74:V76" si="184">H74</f>
        <v>19602</v>
      </c>
      <c r="V74" s="81">
        <v>19588</v>
      </c>
      <c r="W74" s="114"/>
      <c r="X74" s="32">
        <f t="shared" ref="X74:X76" si="185">M74</f>
        <v>20463</v>
      </c>
      <c r="Y74" s="32">
        <f t="shared" ref="Y74:Y76" si="186">N74</f>
        <v>20703</v>
      </c>
      <c r="Z74" s="32">
        <f t="shared" ref="Z74:Z76" si="187">O74</f>
        <v>20603</v>
      </c>
      <c r="AA74" s="32">
        <f t="shared" ref="AA74:AA76" si="188">P74</f>
        <v>20602</v>
      </c>
      <c r="AB74" s="32">
        <f t="shared" ref="AB74:AB76" si="189">Q74</f>
        <v>20836</v>
      </c>
      <c r="AC74" s="32">
        <f t="shared" ref="AC74:AC76" si="190">R74</f>
        <v>16680</v>
      </c>
      <c r="AD74" s="32">
        <f t="shared" ref="AD74:AD76" si="191">S74</f>
        <v>16814</v>
      </c>
      <c r="AE74" s="32">
        <f t="shared" ref="AE74:AE76" si="192">T74</f>
        <v>19590</v>
      </c>
      <c r="AF74" s="32">
        <f t="shared" ref="AF74:AG76" si="193">U74</f>
        <v>19602</v>
      </c>
      <c r="AG74" s="32">
        <f t="shared" si="193"/>
        <v>19588</v>
      </c>
      <c r="AH74" s="41"/>
      <c r="AI74" s="74">
        <f t="shared" ref="AI74:AI77" si="194">SUM(AG74/AC74)-1</f>
        <v>0.17434052757793772</v>
      </c>
    </row>
    <row r="75" spans="2:35" ht="12.75" customHeight="1">
      <c r="B75" s="113" t="s">
        <v>151</v>
      </c>
      <c r="C75" s="114">
        <v>5237</v>
      </c>
      <c r="D75" s="114">
        <v>6128</v>
      </c>
      <c r="E75" s="114">
        <v>5332</v>
      </c>
      <c r="F75" s="114">
        <v>5114</v>
      </c>
      <c r="G75" s="114">
        <v>5301</v>
      </c>
      <c r="H75" s="114">
        <v>5549</v>
      </c>
      <c r="I75" s="50"/>
      <c r="J75" s="81">
        <v>5443</v>
      </c>
      <c r="K75" s="81">
        <v>5462</v>
      </c>
      <c r="L75" s="81">
        <v>5380</v>
      </c>
      <c r="M75" s="32">
        <f t="shared" si="182"/>
        <v>5114</v>
      </c>
      <c r="N75" s="81">
        <v>5275</v>
      </c>
      <c r="O75" s="81">
        <v>5145</v>
      </c>
      <c r="P75" s="81">
        <v>5119</v>
      </c>
      <c r="Q75" s="32">
        <f t="shared" si="183"/>
        <v>5301</v>
      </c>
      <c r="R75" s="81">
        <v>5192</v>
      </c>
      <c r="S75" s="81">
        <v>5160</v>
      </c>
      <c r="T75" s="81">
        <v>5755</v>
      </c>
      <c r="U75" s="32">
        <f t="shared" si="184"/>
        <v>5549</v>
      </c>
      <c r="V75" s="81">
        <v>5241</v>
      </c>
      <c r="W75" s="114"/>
      <c r="X75" s="32">
        <f t="shared" si="185"/>
        <v>5114</v>
      </c>
      <c r="Y75" s="32">
        <f t="shared" si="186"/>
        <v>5275</v>
      </c>
      <c r="Z75" s="32">
        <f t="shared" si="187"/>
        <v>5145</v>
      </c>
      <c r="AA75" s="32">
        <f t="shared" si="188"/>
        <v>5119</v>
      </c>
      <c r="AB75" s="32">
        <f t="shared" si="189"/>
        <v>5301</v>
      </c>
      <c r="AC75" s="32">
        <f t="shared" si="190"/>
        <v>5192</v>
      </c>
      <c r="AD75" s="32">
        <f t="shared" si="191"/>
        <v>5160</v>
      </c>
      <c r="AE75" s="32">
        <f t="shared" si="192"/>
        <v>5755</v>
      </c>
      <c r="AF75" s="32">
        <f t="shared" si="193"/>
        <v>5549</v>
      </c>
      <c r="AG75" s="32">
        <f t="shared" si="193"/>
        <v>5241</v>
      </c>
      <c r="AH75" s="41"/>
      <c r="AI75" s="74">
        <f t="shared" si="194"/>
        <v>9.4375963020030262E-3</v>
      </c>
    </row>
    <row r="76" spans="2:35" ht="12.75" customHeight="1">
      <c r="B76" s="113" t="s">
        <v>152</v>
      </c>
      <c r="C76" s="114">
        <v>3891</v>
      </c>
      <c r="D76" s="114">
        <v>3462</v>
      </c>
      <c r="E76" s="114">
        <v>3535</v>
      </c>
      <c r="F76" s="114">
        <v>3091</v>
      </c>
      <c r="G76" s="114">
        <v>2720</v>
      </c>
      <c r="H76" s="114">
        <v>1519</v>
      </c>
      <c r="I76" s="50"/>
      <c r="J76" s="81">
        <v>3180</v>
      </c>
      <c r="K76" s="81">
        <v>3025</v>
      </c>
      <c r="L76" s="81">
        <v>3083</v>
      </c>
      <c r="M76" s="32">
        <f t="shared" si="182"/>
        <v>3091</v>
      </c>
      <c r="N76" s="81">
        <v>3064</v>
      </c>
      <c r="O76" s="81">
        <v>2723</v>
      </c>
      <c r="P76" s="81">
        <v>2978</v>
      </c>
      <c r="Q76" s="32">
        <f t="shared" si="183"/>
        <v>2720</v>
      </c>
      <c r="R76" s="81">
        <v>2629</v>
      </c>
      <c r="S76" s="81">
        <v>2468</v>
      </c>
      <c r="T76" s="81">
        <v>1588</v>
      </c>
      <c r="U76" s="32">
        <f t="shared" si="184"/>
        <v>1519</v>
      </c>
      <c r="V76" s="81">
        <v>1717</v>
      </c>
      <c r="W76" s="114"/>
      <c r="X76" s="32">
        <f t="shared" si="185"/>
        <v>3091</v>
      </c>
      <c r="Y76" s="32">
        <f t="shared" si="186"/>
        <v>3064</v>
      </c>
      <c r="Z76" s="32">
        <f t="shared" si="187"/>
        <v>2723</v>
      </c>
      <c r="AA76" s="32">
        <f t="shared" si="188"/>
        <v>2978</v>
      </c>
      <c r="AB76" s="32">
        <f t="shared" si="189"/>
        <v>2720</v>
      </c>
      <c r="AC76" s="32">
        <f t="shared" si="190"/>
        <v>2629</v>
      </c>
      <c r="AD76" s="32">
        <f t="shared" si="191"/>
        <v>2468</v>
      </c>
      <c r="AE76" s="32">
        <f t="shared" si="192"/>
        <v>1588</v>
      </c>
      <c r="AF76" s="32">
        <f t="shared" si="193"/>
        <v>1519</v>
      </c>
      <c r="AG76" s="32">
        <f t="shared" si="193"/>
        <v>1717</v>
      </c>
      <c r="AH76" s="41"/>
      <c r="AI76" s="74">
        <f t="shared" si="194"/>
        <v>-0.34689996196272344</v>
      </c>
    </row>
    <row r="77" spans="2:35" ht="12.75" customHeight="1">
      <c r="B77" s="13" t="s">
        <v>15</v>
      </c>
      <c r="C77" s="14">
        <f t="shared" ref="C77:H77" si="195">SUM(C74:C76)+C71</f>
        <v>44709</v>
      </c>
      <c r="D77" s="14">
        <f t="shared" si="195"/>
        <v>45307</v>
      </c>
      <c r="E77" s="14">
        <f t="shared" si="195"/>
        <v>49920</v>
      </c>
      <c r="F77" s="14">
        <f t="shared" si="195"/>
        <v>51766</v>
      </c>
      <c r="G77" s="14">
        <f t="shared" si="195"/>
        <v>55374</v>
      </c>
      <c r="H77" s="14">
        <f t="shared" si="195"/>
        <v>61718</v>
      </c>
      <c r="J77" s="14">
        <f t="shared" ref="J77:AF77" si="196">SUM(J74:J76)+J71</f>
        <v>48463</v>
      </c>
      <c r="K77" s="14">
        <f t="shared" si="196"/>
        <v>48190</v>
      </c>
      <c r="L77" s="14">
        <f t="shared" si="196"/>
        <v>50253</v>
      </c>
      <c r="M77" s="14">
        <f t="shared" si="196"/>
        <v>51766</v>
      </c>
      <c r="N77" s="14">
        <f t="shared" si="196"/>
        <v>51676</v>
      </c>
      <c r="O77" s="14">
        <f t="shared" si="196"/>
        <v>51914</v>
      </c>
      <c r="P77" s="14">
        <f t="shared" si="196"/>
        <v>51311</v>
      </c>
      <c r="Q77" s="14">
        <f t="shared" si="196"/>
        <v>55374</v>
      </c>
      <c r="R77" s="14">
        <f t="shared" si="196"/>
        <v>53592</v>
      </c>
      <c r="S77" s="14">
        <f t="shared" si="196"/>
        <v>54823</v>
      </c>
      <c r="T77" s="14">
        <f t="shared" si="196"/>
        <v>61360</v>
      </c>
      <c r="U77" s="14">
        <f t="shared" si="196"/>
        <v>61718</v>
      </c>
      <c r="V77" s="14">
        <f t="shared" ref="V77" si="197">SUM(V74:V76)+V71</f>
        <v>58037</v>
      </c>
      <c r="X77" s="14">
        <f t="shared" si="196"/>
        <v>51766</v>
      </c>
      <c r="Y77" s="14">
        <f t="shared" si="196"/>
        <v>51676</v>
      </c>
      <c r="Z77" s="14">
        <f t="shared" si="196"/>
        <v>51914</v>
      </c>
      <c r="AA77" s="14">
        <f t="shared" si="196"/>
        <v>51311</v>
      </c>
      <c r="AB77" s="14">
        <f t="shared" si="196"/>
        <v>55374</v>
      </c>
      <c r="AC77" s="14">
        <f t="shared" si="196"/>
        <v>53592</v>
      </c>
      <c r="AD77" s="14">
        <f t="shared" si="196"/>
        <v>54823</v>
      </c>
      <c r="AE77" s="14">
        <f t="shared" si="196"/>
        <v>61360</v>
      </c>
      <c r="AF77" s="14">
        <f t="shared" si="196"/>
        <v>61718</v>
      </c>
      <c r="AG77" s="14">
        <f t="shared" ref="AG77" si="198">SUM(AG74:AG76)+AG71</f>
        <v>58037</v>
      </c>
      <c r="AH77" s="41"/>
      <c r="AI77" s="75">
        <f t="shared" si="194"/>
        <v>8.2941483803552707E-2</v>
      </c>
    </row>
    <row r="78" spans="2:35" ht="5.0999999999999996" customHeight="1">
      <c r="B78" s="25"/>
      <c r="C78" s="48"/>
      <c r="D78" s="48"/>
      <c r="E78" s="48"/>
      <c r="F78" s="40"/>
      <c r="G78" s="40"/>
      <c r="H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38"/>
    </row>
    <row r="79" spans="2:35" ht="12.75" customHeight="1">
      <c r="B79" s="9" t="s">
        <v>153</v>
      </c>
      <c r="C79" s="81">
        <v>5086</v>
      </c>
      <c r="D79" s="81">
        <v>3080</v>
      </c>
      <c r="E79" s="81">
        <v>2324</v>
      </c>
      <c r="F79" s="81">
        <v>1698</v>
      </c>
      <c r="G79" s="81">
        <v>1031</v>
      </c>
      <c r="H79" s="81">
        <v>745</v>
      </c>
      <c r="I79" s="32"/>
      <c r="J79" s="81">
        <v>1981</v>
      </c>
      <c r="K79" s="81">
        <v>1885</v>
      </c>
      <c r="L79" s="81">
        <v>1786</v>
      </c>
      <c r="M79" s="32">
        <f t="shared" ref="M79:M83" si="199">F79</f>
        <v>1698</v>
      </c>
      <c r="N79" s="81">
        <v>1615</v>
      </c>
      <c r="O79" s="81">
        <v>1602</v>
      </c>
      <c r="P79" s="81">
        <v>1425</v>
      </c>
      <c r="Q79" s="32">
        <f t="shared" ref="Q79:Q83" si="200">G79</f>
        <v>1031</v>
      </c>
      <c r="R79" s="81">
        <v>904</v>
      </c>
      <c r="S79" s="81">
        <v>880</v>
      </c>
      <c r="T79" s="81">
        <v>871</v>
      </c>
      <c r="U79" s="32">
        <f t="shared" ref="U79:V83" si="201">H79</f>
        <v>745</v>
      </c>
      <c r="V79" s="81">
        <v>551</v>
      </c>
      <c r="X79" s="32">
        <f t="shared" ref="X79:X84" si="202">M79</f>
        <v>1698</v>
      </c>
      <c r="Y79" s="32">
        <f t="shared" ref="Y79:Y84" si="203">N79</f>
        <v>1615</v>
      </c>
      <c r="Z79" s="32">
        <f t="shared" ref="Z79:Z84" si="204">O79</f>
        <v>1602</v>
      </c>
      <c r="AA79" s="32">
        <f t="shared" ref="AA79:AA84" si="205">P79</f>
        <v>1425</v>
      </c>
      <c r="AB79" s="32">
        <f t="shared" ref="AB79:AB84" si="206">Q79</f>
        <v>1031</v>
      </c>
      <c r="AC79" s="32">
        <f t="shared" ref="AC79:AC84" si="207">R79</f>
        <v>904</v>
      </c>
      <c r="AD79" s="32">
        <f t="shared" ref="AD79:AD84" si="208">S79</f>
        <v>880</v>
      </c>
      <c r="AE79" s="32">
        <f t="shared" ref="AE79:AE84" si="209">T79</f>
        <v>871</v>
      </c>
      <c r="AF79" s="32">
        <f t="shared" ref="AF79:AG84" si="210">U79</f>
        <v>745</v>
      </c>
      <c r="AG79" s="32">
        <f t="shared" si="210"/>
        <v>551</v>
      </c>
      <c r="AH79" s="11"/>
      <c r="AI79" s="74">
        <f t="shared" ref="AI79:AI86" si="211">SUM(AG79/AC79)-1</f>
        <v>-0.39048672566371678</v>
      </c>
    </row>
    <row r="80" spans="2:35" ht="12.75" customHeight="1">
      <c r="B80" s="9" t="s">
        <v>182</v>
      </c>
      <c r="C80" s="81">
        <v>0</v>
      </c>
      <c r="D80" s="81">
        <v>18855</v>
      </c>
      <c r="E80" s="81">
        <v>19545</v>
      </c>
      <c r="F80" s="81">
        <v>0</v>
      </c>
      <c r="G80" s="81">
        <v>0</v>
      </c>
      <c r="H80" s="81">
        <v>0</v>
      </c>
      <c r="I80" s="32"/>
      <c r="J80" s="81">
        <v>19827</v>
      </c>
      <c r="K80" s="81">
        <v>20095</v>
      </c>
      <c r="L80" s="81">
        <v>20290</v>
      </c>
      <c r="M80" s="32">
        <f t="shared" si="199"/>
        <v>0</v>
      </c>
      <c r="N80" s="81">
        <v>20490</v>
      </c>
      <c r="O80" s="81">
        <v>0</v>
      </c>
      <c r="P80" s="81">
        <v>0</v>
      </c>
      <c r="Q80" s="32">
        <f t="shared" si="200"/>
        <v>0</v>
      </c>
      <c r="R80" s="81">
        <v>0</v>
      </c>
      <c r="S80" s="81">
        <v>0</v>
      </c>
      <c r="T80" s="81">
        <v>0</v>
      </c>
      <c r="U80" s="32">
        <f t="shared" si="201"/>
        <v>0</v>
      </c>
      <c r="V80" s="81">
        <v>0</v>
      </c>
      <c r="X80" s="32">
        <f t="shared" si="202"/>
        <v>0</v>
      </c>
      <c r="Y80" s="32">
        <f t="shared" si="203"/>
        <v>20490</v>
      </c>
      <c r="Z80" s="32">
        <f t="shared" si="204"/>
        <v>0</v>
      </c>
      <c r="AA80" s="32">
        <f t="shared" si="205"/>
        <v>0</v>
      </c>
      <c r="AB80" s="32">
        <f t="shared" si="206"/>
        <v>0</v>
      </c>
      <c r="AC80" s="32">
        <f t="shared" si="207"/>
        <v>0</v>
      </c>
      <c r="AD80" s="32">
        <f t="shared" si="208"/>
        <v>0</v>
      </c>
      <c r="AE80" s="32">
        <f t="shared" si="209"/>
        <v>0</v>
      </c>
      <c r="AF80" s="32">
        <f t="shared" si="210"/>
        <v>0</v>
      </c>
      <c r="AG80" s="32">
        <f t="shared" si="210"/>
        <v>0</v>
      </c>
      <c r="AH80" s="11"/>
      <c r="AI80" s="74" t="e">
        <f t="shared" si="211"/>
        <v>#DIV/0!</v>
      </c>
    </row>
    <row r="81" spans="1:35" ht="12.75" customHeight="1">
      <c r="B81" s="9" t="s">
        <v>154</v>
      </c>
      <c r="C81" s="81">
        <v>-39</v>
      </c>
      <c r="D81" s="81">
        <v>-133</v>
      </c>
      <c r="E81" s="81">
        <v>-35</v>
      </c>
      <c r="F81" s="81">
        <v>-140</v>
      </c>
      <c r="G81" s="81">
        <v>-104</v>
      </c>
      <c r="H81" s="81">
        <v>-124</v>
      </c>
      <c r="I81" s="32"/>
      <c r="J81" s="81">
        <v>-28</v>
      </c>
      <c r="K81" s="81">
        <v>-35</v>
      </c>
      <c r="L81" s="81">
        <v>-25</v>
      </c>
      <c r="M81" s="32">
        <f t="shared" si="199"/>
        <v>-140</v>
      </c>
      <c r="N81" s="81">
        <v>-139</v>
      </c>
      <c r="O81" s="81">
        <v>-175</v>
      </c>
      <c r="P81" s="81">
        <v>-46</v>
      </c>
      <c r="Q81" s="32">
        <f t="shared" ref="Q81" si="212">G81</f>
        <v>-104</v>
      </c>
      <c r="R81" s="81">
        <v>-123</v>
      </c>
      <c r="S81" s="81">
        <v>-120</v>
      </c>
      <c r="T81" s="81">
        <v>-118</v>
      </c>
      <c r="U81" s="32">
        <f t="shared" ref="U81:V81" si="213">H81</f>
        <v>-124</v>
      </c>
      <c r="V81" s="81">
        <v>-19</v>
      </c>
      <c r="X81" s="32">
        <f t="shared" si="202"/>
        <v>-140</v>
      </c>
      <c r="Y81" s="32">
        <f t="shared" si="203"/>
        <v>-139</v>
      </c>
      <c r="Z81" s="32">
        <f t="shared" si="204"/>
        <v>-175</v>
      </c>
      <c r="AA81" s="32">
        <f t="shared" si="205"/>
        <v>-46</v>
      </c>
      <c r="AB81" s="32">
        <f t="shared" si="206"/>
        <v>-104</v>
      </c>
      <c r="AC81" s="32">
        <f t="shared" si="207"/>
        <v>-123</v>
      </c>
      <c r="AD81" s="32">
        <f t="shared" si="208"/>
        <v>-120</v>
      </c>
      <c r="AE81" s="32">
        <f t="shared" si="209"/>
        <v>-118</v>
      </c>
      <c r="AF81" s="32">
        <f t="shared" si="210"/>
        <v>-124</v>
      </c>
      <c r="AG81" s="32">
        <f t="shared" si="210"/>
        <v>-19</v>
      </c>
      <c r="AH81" s="11"/>
      <c r="AI81" s="74">
        <f t="shared" si="211"/>
        <v>-0.84552845528455278</v>
      </c>
    </row>
    <row r="82" spans="1:35" ht="12.75" customHeight="1">
      <c r="B82" s="9" t="s">
        <v>155</v>
      </c>
      <c r="C82" s="81">
        <v>16721</v>
      </c>
      <c r="D82" s="81">
        <v>0</v>
      </c>
      <c r="E82" s="81">
        <v>0</v>
      </c>
      <c r="F82" s="81">
        <v>20452</v>
      </c>
      <c r="G82" s="81">
        <v>21229</v>
      </c>
      <c r="H82" s="81">
        <v>21934</v>
      </c>
      <c r="I82" s="32"/>
      <c r="J82" s="81">
        <v>0</v>
      </c>
      <c r="K82" s="81">
        <v>0</v>
      </c>
      <c r="L82" s="81">
        <v>0</v>
      </c>
      <c r="M82" s="32">
        <f t="shared" si="199"/>
        <v>20452</v>
      </c>
      <c r="N82" s="81">
        <v>0</v>
      </c>
      <c r="O82" s="81">
        <v>20709</v>
      </c>
      <c r="P82" s="81">
        <v>20832</v>
      </c>
      <c r="Q82" s="32">
        <f t="shared" si="200"/>
        <v>21229</v>
      </c>
      <c r="R82" s="81">
        <v>21324</v>
      </c>
      <c r="S82" s="81">
        <v>21579</v>
      </c>
      <c r="T82" s="81">
        <v>21746</v>
      </c>
      <c r="U82" s="32">
        <f t="shared" si="201"/>
        <v>21934</v>
      </c>
      <c r="V82" s="81">
        <v>21980</v>
      </c>
      <c r="X82" s="32">
        <f t="shared" si="202"/>
        <v>20452</v>
      </c>
      <c r="Y82" s="32">
        <f t="shared" si="203"/>
        <v>0</v>
      </c>
      <c r="Z82" s="32">
        <f t="shared" si="204"/>
        <v>20709</v>
      </c>
      <c r="AA82" s="32">
        <f t="shared" si="205"/>
        <v>20832</v>
      </c>
      <c r="AB82" s="32">
        <f t="shared" si="206"/>
        <v>21229</v>
      </c>
      <c r="AC82" s="32">
        <f t="shared" si="207"/>
        <v>21324</v>
      </c>
      <c r="AD82" s="32">
        <f t="shared" si="208"/>
        <v>21579</v>
      </c>
      <c r="AE82" s="32">
        <f t="shared" si="209"/>
        <v>21746</v>
      </c>
      <c r="AF82" s="32">
        <f t="shared" si="210"/>
        <v>21934</v>
      </c>
      <c r="AG82" s="32">
        <f t="shared" si="210"/>
        <v>21980</v>
      </c>
      <c r="AH82" s="11"/>
      <c r="AI82" s="74">
        <f t="shared" si="211"/>
        <v>3.0763459013318339E-2</v>
      </c>
    </row>
    <row r="83" spans="1:35" ht="12.75" customHeight="1">
      <c r="B83" s="9" t="s">
        <v>156</v>
      </c>
      <c r="C83" s="81">
        <v>14088</v>
      </c>
      <c r="D83" s="81">
        <v>15351</v>
      </c>
      <c r="E83" s="81">
        <v>16116</v>
      </c>
      <c r="F83" s="81">
        <v>18040</v>
      </c>
      <c r="G83" s="81">
        <v>17289</v>
      </c>
      <c r="H83" s="81">
        <v>15106</v>
      </c>
      <c r="I83" s="32"/>
      <c r="J83" s="81">
        <v>16403</v>
      </c>
      <c r="K83" s="81">
        <v>17610</v>
      </c>
      <c r="L83" s="81">
        <v>17908</v>
      </c>
      <c r="M83" s="32">
        <f t="shared" si="199"/>
        <v>18040</v>
      </c>
      <c r="N83" s="81">
        <v>18422</v>
      </c>
      <c r="O83" s="81">
        <v>19347</v>
      </c>
      <c r="P83" s="81">
        <v>18578</v>
      </c>
      <c r="Q83" s="32">
        <f t="shared" si="200"/>
        <v>17289</v>
      </c>
      <c r="R83" s="81">
        <v>17438</v>
      </c>
      <c r="S83" s="81">
        <v>16518</v>
      </c>
      <c r="T83" s="81">
        <v>15956</v>
      </c>
      <c r="U83" s="32">
        <f t="shared" si="201"/>
        <v>15106</v>
      </c>
      <c r="V83" s="81">
        <v>16018</v>
      </c>
      <c r="X83" s="32">
        <f t="shared" si="202"/>
        <v>18040</v>
      </c>
      <c r="Y83" s="32">
        <f t="shared" si="203"/>
        <v>18422</v>
      </c>
      <c r="Z83" s="32">
        <f t="shared" si="204"/>
        <v>19347</v>
      </c>
      <c r="AA83" s="32">
        <f t="shared" si="205"/>
        <v>18578</v>
      </c>
      <c r="AB83" s="32">
        <f t="shared" si="206"/>
        <v>17289</v>
      </c>
      <c r="AC83" s="32">
        <f t="shared" si="207"/>
        <v>17438</v>
      </c>
      <c r="AD83" s="32">
        <f t="shared" si="208"/>
        <v>16518</v>
      </c>
      <c r="AE83" s="32">
        <f t="shared" si="209"/>
        <v>15956</v>
      </c>
      <c r="AF83" s="32">
        <f t="shared" si="210"/>
        <v>15106</v>
      </c>
      <c r="AG83" s="32">
        <f t="shared" si="210"/>
        <v>16018</v>
      </c>
      <c r="AH83" s="11"/>
      <c r="AI83" s="74">
        <f t="shared" si="211"/>
        <v>-8.1431356806973332E-2</v>
      </c>
    </row>
    <row r="84" spans="1:35" ht="12.75" customHeight="1">
      <c r="B84" s="9" t="s">
        <v>157</v>
      </c>
      <c r="C84" s="81">
        <v>354</v>
      </c>
      <c r="D84" s="81">
        <v>436</v>
      </c>
      <c r="E84" s="81">
        <v>-2369</v>
      </c>
      <c r="F84" s="81">
        <v>-1317</v>
      </c>
      <c r="G84" s="81">
        <v>-308</v>
      </c>
      <c r="H84" s="81">
        <v>248</v>
      </c>
      <c r="I84" s="32"/>
      <c r="J84" s="81">
        <v>-1259</v>
      </c>
      <c r="K84" s="81">
        <v>-990</v>
      </c>
      <c r="L84" s="81">
        <v>-978</v>
      </c>
      <c r="M84" s="32">
        <f t="shared" ref="M84" si="214">F84</f>
        <v>-1317</v>
      </c>
      <c r="N84" s="81">
        <v>-655</v>
      </c>
      <c r="O84" s="81">
        <v>-998</v>
      </c>
      <c r="P84" s="81">
        <v>-1060</v>
      </c>
      <c r="Q84" s="32">
        <f t="shared" ref="Q84" si="215">G84</f>
        <v>-308</v>
      </c>
      <c r="R84" s="81">
        <v>-1247</v>
      </c>
      <c r="S84" s="81">
        <v>-827</v>
      </c>
      <c r="T84" s="81">
        <v>209</v>
      </c>
      <c r="U84" s="32">
        <f t="shared" ref="U84:V84" si="216">H84</f>
        <v>248</v>
      </c>
      <c r="V84" s="81">
        <f>10 -30-245+512</f>
        <v>247</v>
      </c>
      <c r="X84" s="32">
        <f t="shared" si="202"/>
        <v>-1317</v>
      </c>
      <c r="Y84" s="32">
        <f t="shared" si="203"/>
        <v>-655</v>
      </c>
      <c r="Z84" s="32">
        <f t="shared" si="204"/>
        <v>-998</v>
      </c>
      <c r="AA84" s="32">
        <f t="shared" si="205"/>
        <v>-1060</v>
      </c>
      <c r="AB84" s="32">
        <f t="shared" si="206"/>
        <v>-308</v>
      </c>
      <c r="AC84" s="32">
        <f t="shared" si="207"/>
        <v>-1247</v>
      </c>
      <c r="AD84" s="32">
        <f t="shared" si="208"/>
        <v>-827</v>
      </c>
      <c r="AE84" s="32">
        <f t="shared" si="209"/>
        <v>209</v>
      </c>
      <c r="AF84" s="32">
        <f t="shared" si="210"/>
        <v>248</v>
      </c>
      <c r="AG84" s="32">
        <f t="shared" si="210"/>
        <v>247</v>
      </c>
      <c r="AH84" s="11"/>
      <c r="AI84" s="74">
        <f t="shared" si="211"/>
        <v>-1.1980753809141942</v>
      </c>
    </row>
    <row r="85" spans="1:35" ht="12.75" customHeight="1">
      <c r="B85" s="13" t="s">
        <v>14</v>
      </c>
      <c r="C85" s="14">
        <f t="shared" ref="C85:H85" si="217">SUM(C79:C84)</f>
        <v>36210</v>
      </c>
      <c r="D85" s="14">
        <f t="shared" si="217"/>
        <v>37589</v>
      </c>
      <c r="E85" s="14">
        <f t="shared" si="217"/>
        <v>35581</v>
      </c>
      <c r="F85" s="14">
        <f t="shared" si="217"/>
        <v>38733</v>
      </c>
      <c r="G85" s="14">
        <f t="shared" si="217"/>
        <v>39137</v>
      </c>
      <c r="H85" s="14">
        <f t="shared" si="217"/>
        <v>37909</v>
      </c>
      <c r="I85" s="51"/>
      <c r="J85" s="14">
        <f t="shared" ref="J85:V85" si="218">SUM(J79:J84)</f>
        <v>36924</v>
      </c>
      <c r="K85" s="14">
        <f t="shared" si="218"/>
        <v>38565</v>
      </c>
      <c r="L85" s="14">
        <f t="shared" si="218"/>
        <v>38981</v>
      </c>
      <c r="M85" s="14">
        <f t="shared" si="218"/>
        <v>38733</v>
      </c>
      <c r="N85" s="14">
        <f t="shared" si="218"/>
        <v>39733</v>
      </c>
      <c r="O85" s="14">
        <f t="shared" si="218"/>
        <v>40485</v>
      </c>
      <c r="P85" s="14">
        <f t="shared" si="218"/>
        <v>39729</v>
      </c>
      <c r="Q85" s="14">
        <f t="shared" si="218"/>
        <v>39137</v>
      </c>
      <c r="R85" s="14">
        <f t="shared" si="218"/>
        <v>38296</v>
      </c>
      <c r="S85" s="14">
        <f t="shared" si="218"/>
        <v>38030</v>
      </c>
      <c r="T85" s="14">
        <f t="shared" si="218"/>
        <v>38664</v>
      </c>
      <c r="U85" s="14">
        <f t="shared" si="218"/>
        <v>37909</v>
      </c>
      <c r="V85" s="14">
        <f t="shared" si="218"/>
        <v>38777</v>
      </c>
      <c r="X85" s="14">
        <f t="shared" ref="X85:AF85" si="219">SUM(X79:X84)</f>
        <v>38733</v>
      </c>
      <c r="Y85" s="14">
        <f t="shared" si="219"/>
        <v>39733</v>
      </c>
      <c r="Z85" s="14">
        <f t="shared" si="219"/>
        <v>40485</v>
      </c>
      <c r="AA85" s="14">
        <f t="shared" si="219"/>
        <v>39729</v>
      </c>
      <c r="AB85" s="14">
        <f t="shared" si="219"/>
        <v>39137</v>
      </c>
      <c r="AC85" s="14">
        <f t="shared" si="219"/>
        <v>38296</v>
      </c>
      <c r="AD85" s="14">
        <f t="shared" si="219"/>
        <v>38030</v>
      </c>
      <c r="AE85" s="14">
        <f t="shared" si="219"/>
        <v>38664</v>
      </c>
      <c r="AF85" s="14">
        <f t="shared" si="219"/>
        <v>37909</v>
      </c>
      <c r="AG85" s="14">
        <f t="shared" ref="AG85" si="220">SUM(AG79:AG84)</f>
        <v>38777</v>
      </c>
      <c r="AH85" s="41"/>
      <c r="AI85" s="74">
        <f t="shared" si="211"/>
        <v>1.256005849174846E-2</v>
      </c>
    </row>
    <row r="86" spans="1:35" ht="12.75" customHeight="1">
      <c r="B86" s="25" t="s">
        <v>47</v>
      </c>
      <c r="C86" s="32">
        <f t="shared" ref="C86:H86" si="221">SUM(C85+C77)</f>
        <v>80919</v>
      </c>
      <c r="D86" s="32">
        <f t="shared" si="221"/>
        <v>82896</v>
      </c>
      <c r="E86" s="32">
        <f t="shared" si="221"/>
        <v>85501</v>
      </c>
      <c r="F86" s="32">
        <f t="shared" si="221"/>
        <v>90499</v>
      </c>
      <c r="G86" s="32">
        <f t="shared" si="221"/>
        <v>94511</v>
      </c>
      <c r="H86" s="32">
        <f t="shared" si="221"/>
        <v>99627</v>
      </c>
      <c r="I86" s="32"/>
      <c r="J86" s="32">
        <f t="shared" ref="J86:V86" si="222">SUM(J85+J77)</f>
        <v>85387</v>
      </c>
      <c r="K86" s="32">
        <f t="shared" si="222"/>
        <v>86755</v>
      </c>
      <c r="L86" s="32">
        <f t="shared" si="222"/>
        <v>89234</v>
      </c>
      <c r="M86" s="32">
        <f t="shared" si="222"/>
        <v>90499</v>
      </c>
      <c r="N86" s="32">
        <f t="shared" si="222"/>
        <v>91409</v>
      </c>
      <c r="O86" s="32">
        <f t="shared" si="222"/>
        <v>92399</v>
      </c>
      <c r="P86" s="32">
        <f t="shared" si="222"/>
        <v>91040</v>
      </c>
      <c r="Q86" s="32">
        <f t="shared" si="222"/>
        <v>94511</v>
      </c>
      <c r="R86" s="32">
        <f t="shared" si="222"/>
        <v>91888</v>
      </c>
      <c r="S86" s="32">
        <f t="shared" si="222"/>
        <v>92853</v>
      </c>
      <c r="T86" s="32">
        <f t="shared" si="222"/>
        <v>100024</v>
      </c>
      <c r="U86" s="32">
        <f t="shared" si="222"/>
        <v>99627</v>
      </c>
      <c r="V86" s="32">
        <f t="shared" si="222"/>
        <v>96814</v>
      </c>
      <c r="W86" s="32"/>
      <c r="X86" s="32">
        <f t="shared" ref="X86:AG86" si="223">SUM(X85+X77)</f>
        <v>90499</v>
      </c>
      <c r="Y86" s="32">
        <f t="shared" si="223"/>
        <v>91409</v>
      </c>
      <c r="Z86" s="32">
        <f t="shared" si="223"/>
        <v>92399</v>
      </c>
      <c r="AA86" s="32">
        <f t="shared" si="223"/>
        <v>91040</v>
      </c>
      <c r="AB86" s="32">
        <f t="shared" si="223"/>
        <v>94511</v>
      </c>
      <c r="AC86" s="32">
        <f t="shared" si="223"/>
        <v>91888</v>
      </c>
      <c r="AD86" s="32">
        <f t="shared" si="223"/>
        <v>92853</v>
      </c>
      <c r="AE86" s="32">
        <f t="shared" si="223"/>
        <v>100024</v>
      </c>
      <c r="AF86" s="32">
        <f t="shared" si="223"/>
        <v>99627</v>
      </c>
      <c r="AG86" s="32">
        <f t="shared" si="223"/>
        <v>96814</v>
      </c>
      <c r="AH86" s="11"/>
      <c r="AI86" s="75">
        <f t="shared" si="211"/>
        <v>5.3608741076092592E-2</v>
      </c>
    </row>
    <row r="87" spans="1:35" ht="5.0999999999999996" customHeight="1">
      <c r="B87" s="25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11"/>
    </row>
    <row r="88" spans="1:35" ht="12.75" customHeight="1">
      <c r="B88" s="127" t="s">
        <v>56</v>
      </c>
      <c r="C88" s="68">
        <f t="shared" ref="C88:H88" si="224">C86-C60</f>
        <v>0</v>
      </c>
      <c r="D88" s="68">
        <f t="shared" si="224"/>
        <v>0</v>
      </c>
      <c r="E88" s="68">
        <f t="shared" si="224"/>
        <v>0</v>
      </c>
      <c r="F88" s="68">
        <f t="shared" si="224"/>
        <v>0</v>
      </c>
      <c r="G88" s="68">
        <f t="shared" si="224"/>
        <v>0</v>
      </c>
      <c r="H88" s="68">
        <f t="shared" si="224"/>
        <v>0</v>
      </c>
      <c r="I88" s="69"/>
      <c r="J88" s="68">
        <f t="shared" ref="J88:U88" si="225">J86-J60</f>
        <v>0</v>
      </c>
      <c r="K88" s="68">
        <f t="shared" si="225"/>
        <v>0</v>
      </c>
      <c r="L88" s="68">
        <f t="shared" si="225"/>
        <v>0</v>
      </c>
      <c r="M88" s="68">
        <f t="shared" si="225"/>
        <v>0</v>
      </c>
      <c r="N88" s="68">
        <f t="shared" si="225"/>
        <v>0</v>
      </c>
      <c r="O88" s="68">
        <f t="shared" si="225"/>
        <v>0</v>
      </c>
      <c r="P88" s="68">
        <f t="shared" si="225"/>
        <v>0</v>
      </c>
      <c r="Q88" s="68">
        <f t="shared" si="225"/>
        <v>0</v>
      </c>
      <c r="R88" s="68">
        <f t="shared" si="225"/>
        <v>0</v>
      </c>
      <c r="S88" s="68">
        <f t="shared" si="225"/>
        <v>0</v>
      </c>
      <c r="T88" s="68">
        <f t="shared" si="225"/>
        <v>0</v>
      </c>
      <c r="U88" s="68">
        <f t="shared" si="225"/>
        <v>0</v>
      </c>
      <c r="V88" s="68">
        <f t="shared" ref="V88" si="226">V86-V60</f>
        <v>0</v>
      </c>
      <c r="W88" s="28"/>
      <c r="X88" s="68">
        <f t="shared" ref="X88:AF88" si="227">X86-X60</f>
        <v>0</v>
      </c>
      <c r="Y88" s="68">
        <f t="shared" si="227"/>
        <v>0</v>
      </c>
      <c r="Z88" s="68">
        <f t="shared" si="227"/>
        <v>0</v>
      </c>
      <c r="AA88" s="68">
        <f t="shared" si="227"/>
        <v>0</v>
      </c>
      <c r="AB88" s="68">
        <f t="shared" si="227"/>
        <v>0</v>
      </c>
      <c r="AC88" s="68">
        <f t="shared" si="227"/>
        <v>0</v>
      </c>
      <c r="AD88" s="68">
        <f t="shared" si="227"/>
        <v>0</v>
      </c>
      <c r="AE88" s="68">
        <f t="shared" si="227"/>
        <v>0</v>
      </c>
      <c r="AF88" s="68">
        <f t="shared" si="227"/>
        <v>0</v>
      </c>
      <c r="AG88" s="68">
        <f t="shared" ref="AG88" si="228">AG86-AG60</f>
        <v>0</v>
      </c>
    </row>
    <row r="89" spans="1:35" ht="5.0999999999999996" customHeight="1" thickBot="1">
      <c r="B89" s="109"/>
      <c r="C89" s="110"/>
      <c r="D89" s="110"/>
      <c r="E89" s="110"/>
      <c r="F89" s="110"/>
      <c r="G89" s="110"/>
      <c r="H89" s="110"/>
      <c r="I89" s="111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2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72"/>
      <c r="AI89" s="72"/>
    </row>
    <row r="90" spans="1:35">
      <c r="B90" s="67"/>
      <c r="C90" s="52"/>
      <c r="D90" s="52"/>
      <c r="E90" s="24"/>
      <c r="F90" s="24"/>
      <c r="G90" s="24"/>
      <c r="H90" s="24"/>
      <c r="I90" s="52"/>
    </row>
    <row r="91" spans="1:35" ht="12.75" customHeight="1">
      <c r="A91" s="5" t="s">
        <v>16</v>
      </c>
      <c r="B91" s="91" t="s">
        <v>13</v>
      </c>
      <c r="C91" s="95" t="s">
        <v>0</v>
      </c>
      <c r="D91" s="95" t="s">
        <v>0</v>
      </c>
      <c r="E91" s="95"/>
      <c r="F91" s="95"/>
      <c r="G91" s="95"/>
      <c r="H91" s="95"/>
      <c r="I91" s="96"/>
      <c r="J91" s="95" t="s">
        <v>1</v>
      </c>
      <c r="K91" s="95"/>
      <c r="L91" s="95"/>
      <c r="M91" s="95"/>
      <c r="N91" s="95"/>
      <c r="O91" s="95"/>
      <c r="P91" s="95" t="s">
        <v>1</v>
      </c>
      <c r="Q91" s="95"/>
      <c r="R91" s="95"/>
      <c r="S91" s="95"/>
      <c r="T91" s="95"/>
      <c r="U91" s="95"/>
      <c r="V91" s="95"/>
      <c r="W91" s="91"/>
      <c r="X91" s="95"/>
      <c r="Y91" s="95"/>
      <c r="Z91" s="95"/>
      <c r="AA91" s="95" t="s">
        <v>10</v>
      </c>
      <c r="AB91" s="95" t="s">
        <v>10</v>
      </c>
      <c r="AC91" s="95"/>
      <c r="AD91" s="95"/>
      <c r="AE91" s="95"/>
      <c r="AF91" s="95"/>
      <c r="AG91" s="95"/>
      <c r="AH91" s="96"/>
      <c r="AI91" s="158" t="s">
        <v>21</v>
      </c>
    </row>
    <row r="92" spans="1:35" ht="12.75" customHeight="1">
      <c r="B92" s="92" t="str">
        <f t="shared" ref="B92:H93" si="229">B7</f>
        <v>Fiscal Period</v>
      </c>
      <c r="C92" s="97">
        <f t="shared" si="229"/>
        <v>2020</v>
      </c>
      <c r="D92" s="97">
        <f t="shared" si="229"/>
        <v>2021</v>
      </c>
      <c r="E92" s="97">
        <f t="shared" si="229"/>
        <v>2022</v>
      </c>
      <c r="F92" s="97">
        <f t="shared" si="229"/>
        <v>2023</v>
      </c>
      <c r="G92" s="97">
        <f t="shared" si="229"/>
        <v>2024</v>
      </c>
      <c r="H92" s="97">
        <f t="shared" si="229"/>
        <v>2025</v>
      </c>
      <c r="I92" s="96"/>
      <c r="J92" s="97" t="str">
        <f t="shared" ref="J92:U92" si="230">J7</f>
        <v>1Q23</v>
      </c>
      <c r="K92" s="97" t="str">
        <f t="shared" si="230"/>
        <v>2Q23</v>
      </c>
      <c r="L92" s="97" t="str">
        <f t="shared" si="230"/>
        <v>3Q23</v>
      </c>
      <c r="M92" s="97" t="str">
        <f t="shared" si="230"/>
        <v>4Q23</v>
      </c>
      <c r="N92" s="97" t="str">
        <f t="shared" si="230"/>
        <v>1Q24</v>
      </c>
      <c r="O92" s="97" t="str">
        <f t="shared" si="230"/>
        <v>2Q24</v>
      </c>
      <c r="P92" s="97" t="str">
        <f t="shared" si="230"/>
        <v>3Q24</v>
      </c>
      <c r="Q92" s="97" t="str">
        <f t="shared" si="230"/>
        <v>4Q24</v>
      </c>
      <c r="R92" s="97" t="str">
        <f t="shared" si="230"/>
        <v>1Q25</v>
      </c>
      <c r="S92" s="97" t="str">
        <f t="shared" si="230"/>
        <v>2Q25</v>
      </c>
      <c r="T92" s="97" t="str">
        <f t="shared" si="230"/>
        <v>3Q25</v>
      </c>
      <c r="U92" s="97" t="str">
        <f t="shared" si="230"/>
        <v>4Q25</v>
      </c>
      <c r="V92" s="97" t="str">
        <f t="shared" ref="V92" si="231">V7</f>
        <v>1Q26</v>
      </c>
      <c r="W92" s="97"/>
      <c r="X92" s="97" t="str">
        <f t="shared" ref="X92:AF92" si="232">X7</f>
        <v>4Q23</v>
      </c>
      <c r="Y92" s="97" t="str">
        <f t="shared" si="232"/>
        <v>1Q24</v>
      </c>
      <c r="Z92" s="97" t="str">
        <f t="shared" si="232"/>
        <v>2Q24</v>
      </c>
      <c r="AA92" s="97" t="str">
        <f t="shared" si="232"/>
        <v>3Q24</v>
      </c>
      <c r="AB92" s="97" t="str">
        <f t="shared" si="232"/>
        <v>4Q24</v>
      </c>
      <c r="AC92" s="97" t="str">
        <f t="shared" si="232"/>
        <v>1Q25</v>
      </c>
      <c r="AD92" s="97" t="str">
        <f t="shared" si="232"/>
        <v>2Q25</v>
      </c>
      <c r="AE92" s="97" t="str">
        <f t="shared" si="232"/>
        <v>3Q25</v>
      </c>
      <c r="AF92" s="97" t="str">
        <f t="shared" si="232"/>
        <v>4Q25</v>
      </c>
      <c r="AG92" s="97" t="str">
        <f t="shared" ref="AG92" si="233">AG7</f>
        <v>1Q26</v>
      </c>
      <c r="AH92" s="96"/>
      <c r="AI92" s="158"/>
    </row>
    <row r="93" spans="1:35" ht="12.75" customHeight="1">
      <c r="B93" s="92" t="str">
        <f t="shared" si="229"/>
        <v>Fiscal Period End Date</v>
      </c>
      <c r="C93" s="98">
        <f t="shared" si="229"/>
        <v>44104</v>
      </c>
      <c r="D93" s="98">
        <f t="shared" si="229"/>
        <v>44469</v>
      </c>
      <c r="E93" s="98">
        <f t="shared" si="229"/>
        <v>44834</v>
      </c>
      <c r="F93" s="98">
        <f t="shared" si="229"/>
        <v>45199</v>
      </c>
      <c r="G93" s="98">
        <f t="shared" si="229"/>
        <v>45565</v>
      </c>
      <c r="H93" s="98">
        <f t="shared" si="229"/>
        <v>45930</v>
      </c>
      <c r="I93" s="96"/>
      <c r="J93" s="98">
        <f t="shared" ref="J93:U93" si="234">J8</f>
        <v>44926</v>
      </c>
      <c r="K93" s="98">
        <f t="shared" si="234"/>
        <v>45015</v>
      </c>
      <c r="L93" s="98">
        <f t="shared" si="234"/>
        <v>45107</v>
      </c>
      <c r="M93" s="98">
        <f t="shared" si="234"/>
        <v>45199</v>
      </c>
      <c r="N93" s="98">
        <f t="shared" si="234"/>
        <v>45291</v>
      </c>
      <c r="O93" s="98">
        <f t="shared" si="234"/>
        <v>45381</v>
      </c>
      <c r="P93" s="98">
        <f t="shared" si="234"/>
        <v>45473</v>
      </c>
      <c r="Q93" s="98">
        <f t="shared" si="234"/>
        <v>45565</v>
      </c>
      <c r="R93" s="98">
        <f t="shared" si="234"/>
        <v>45657</v>
      </c>
      <c r="S93" s="98">
        <f t="shared" si="234"/>
        <v>45746</v>
      </c>
      <c r="T93" s="98">
        <f t="shared" si="234"/>
        <v>45838</v>
      </c>
      <c r="U93" s="98">
        <f t="shared" si="234"/>
        <v>45930</v>
      </c>
      <c r="V93" s="98">
        <f t="shared" ref="V93" si="235">V8</f>
        <v>46022</v>
      </c>
      <c r="W93" s="98"/>
      <c r="X93" s="98">
        <f t="shared" ref="X93:AF93" si="236">X8</f>
        <v>45199</v>
      </c>
      <c r="Y93" s="98">
        <f t="shared" si="236"/>
        <v>45291</v>
      </c>
      <c r="Z93" s="98">
        <f t="shared" si="236"/>
        <v>45381</v>
      </c>
      <c r="AA93" s="98">
        <f t="shared" si="236"/>
        <v>45473</v>
      </c>
      <c r="AB93" s="98">
        <f t="shared" si="236"/>
        <v>45565</v>
      </c>
      <c r="AC93" s="98">
        <f t="shared" si="236"/>
        <v>45657</v>
      </c>
      <c r="AD93" s="98">
        <f t="shared" si="236"/>
        <v>45746</v>
      </c>
      <c r="AE93" s="98">
        <f t="shared" si="236"/>
        <v>45838</v>
      </c>
      <c r="AF93" s="98">
        <f t="shared" si="236"/>
        <v>45930</v>
      </c>
      <c r="AG93" s="98">
        <f t="shared" ref="AG93" si="237">AG8</f>
        <v>46022</v>
      </c>
      <c r="AH93" s="96"/>
      <c r="AI93" s="158"/>
    </row>
    <row r="94" spans="1:35" ht="5.0999999999999996" customHeight="1">
      <c r="B94" s="53"/>
      <c r="C94" s="46"/>
      <c r="D94" s="46"/>
      <c r="E94" s="46"/>
      <c r="F94" s="46"/>
      <c r="G94" s="46"/>
      <c r="H94" s="46"/>
    </row>
    <row r="95" spans="1:35" ht="12.75" customHeight="1">
      <c r="B95" s="54" t="s">
        <v>48</v>
      </c>
      <c r="C95" s="55"/>
      <c r="D95" s="55"/>
      <c r="E95" s="55"/>
      <c r="F95" s="55"/>
      <c r="G95" s="55"/>
      <c r="H95" s="55"/>
    </row>
    <row r="96" spans="1:35" ht="12.75" customHeight="1">
      <c r="B96" s="56" t="s">
        <v>101</v>
      </c>
      <c r="C96" s="32">
        <f t="shared" ref="C96:H96" si="238">C29</f>
        <v>10866</v>
      </c>
      <c r="D96" s="32">
        <f t="shared" si="238"/>
        <v>12311</v>
      </c>
      <c r="E96" s="32">
        <f t="shared" si="238"/>
        <v>14957</v>
      </c>
      <c r="F96" s="32">
        <f t="shared" si="238"/>
        <v>17273</v>
      </c>
      <c r="G96" s="32">
        <f t="shared" si="238"/>
        <v>19743</v>
      </c>
      <c r="H96" s="32">
        <f t="shared" si="238"/>
        <v>20058</v>
      </c>
      <c r="I96" s="32"/>
      <c r="J96" s="32">
        <f t="shared" ref="J96:U96" si="239">J29</f>
        <v>4179</v>
      </c>
      <c r="K96" s="32">
        <f t="shared" si="239"/>
        <v>4257</v>
      </c>
      <c r="L96" s="32">
        <f t="shared" si="239"/>
        <v>4156</v>
      </c>
      <c r="M96" s="32">
        <f t="shared" si="239"/>
        <v>4681</v>
      </c>
      <c r="N96" s="32">
        <f t="shared" si="239"/>
        <v>4890</v>
      </c>
      <c r="O96" s="32">
        <f t="shared" si="239"/>
        <v>4663</v>
      </c>
      <c r="P96" s="32">
        <f t="shared" si="239"/>
        <v>4872</v>
      </c>
      <c r="Q96" s="32">
        <f t="shared" si="239"/>
        <v>5318</v>
      </c>
      <c r="R96" s="32">
        <f t="shared" si="239"/>
        <v>5119</v>
      </c>
      <c r="S96" s="32">
        <f t="shared" si="239"/>
        <v>4577</v>
      </c>
      <c r="T96" s="32">
        <f t="shared" si="239"/>
        <v>5272</v>
      </c>
      <c r="U96" s="32">
        <f t="shared" si="239"/>
        <v>5090</v>
      </c>
      <c r="V96" s="32">
        <f t="shared" ref="V96" si="240">V29</f>
        <v>5853</v>
      </c>
      <c r="W96" s="32"/>
      <c r="X96" s="32">
        <f t="shared" ref="X96:AF96" si="241">X29</f>
        <v>16592</v>
      </c>
      <c r="Y96" s="32">
        <f t="shared" si="241"/>
        <v>17052</v>
      </c>
      <c r="Z96" s="32">
        <f t="shared" si="241"/>
        <v>17301</v>
      </c>
      <c r="AA96" s="32">
        <f t="shared" si="241"/>
        <v>18074</v>
      </c>
      <c r="AB96" s="32">
        <f t="shared" si="241"/>
        <v>19743</v>
      </c>
      <c r="AC96" s="32">
        <f t="shared" si="241"/>
        <v>19972</v>
      </c>
      <c r="AD96" s="32">
        <f t="shared" si="241"/>
        <v>19886</v>
      </c>
      <c r="AE96" s="32">
        <f t="shared" si="241"/>
        <v>20286</v>
      </c>
      <c r="AF96" s="32">
        <f t="shared" si="241"/>
        <v>20058</v>
      </c>
      <c r="AG96" s="32">
        <f t="shared" ref="AG96" si="242">AG29</f>
        <v>20792</v>
      </c>
      <c r="AH96" s="11"/>
      <c r="AI96" s="74">
        <f t="shared" ref="AI96" si="243">SUM(AG96/AC96)-1</f>
        <v>4.1057480472661778E-2</v>
      </c>
    </row>
    <row r="97" spans="2:35" ht="5.0999999999999996" customHeight="1"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11"/>
      <c r="AI97" s="74"/>
    </row>
    <row r="98" spans="2:35" ht="12.75" customHeight="1">
      <c r="B98" s="35" t="s">
        <v>55</v>
      </c>
      <c r="C98" s="32"/>
      <c r="D98" s="32"/>
      <c r="E98" s="32"/>
      <c r="F98" s="32"/>
      <c r="G98" s="32"/>
      <c r="H98" s="32"/>
      <c r="I98" s="32"/>
      <c r="J98" s="81"/>
      <c r="K98" s="81"/>
      <c r="L98" s="81"/>
      <c r="M98" s="32"/>
      <c r="N98" s="81"/>
      <c r="O98" s="81"/>
      <c r="P98" s="81"/>
      <c r="Q98" s="32"/>
      <c r="R98" s="81"/>
      <c r="S98" s="81"/>
      <c r="T98" s="81"/>
      <c r="U98" s="81"/>
      <c r="V98" s="81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58"/>
      <c r="AI98" s="74"/>
    </row>
    <row r="99" spans="2:35" ht="12.75" customHeight="1">
      <c r="B99" s="59" t="s">
        <v>140</v>
      </c>
      <c r="C99" s="81">
        <v>6664</v>
      </c>
      <c r="D99" s="81">
        <v>8367</v>
      </c>
      <c r="E99" s="81">
        <v>10295</v>
      </c>
      <c r="F99" s="81">
        <v>12297</v>
      </c>
      <c r="G99" s="81">
        <v>13764</v>
      </c>
      <c r="H99" s="81">
        <v>15751</v>
      </c>
      <c r="I99" s="32"/>
      <c r="J99" s="81">
        <v>2786</v>
      </c>
      <c r="K99" s="81">
        <f>5691-J99</f>
        <v>2905</v>
      </c>
      <c r="L99" s="81">
        <f>8858-K99-J99</f>
        <v>3167</v>
      </c>
      <c r="M99" s="32">
        <f t="shared" ref="M99:M112" si="244">SUM(F99-SUM(J99:L99))</f>
        <v>3439</v>
      </c>
      <c r="N99" s="81">
        <v>3348</v>
      </c>
      <c r="O99" s="81">
        <f>6605-N99</f>
        <v>3257</v>
      </c>
      <c r="P99" s="81">
        <f>10135-O99-N99</f>
        <v>3530</v>
      </c>
      <c r="Q99" s="32">
        <f t="shared" ref="Q99:Q112" si="245">SUM(G99-SUM(N99:P99))</f>
        <v>3629</v>
      </c>
      <c r="R99" s="81">
        <v>3797</v>
      </c>
      <c r="S99" s="81">
        <f>7531-R99</f>
        <v>3734</v>
      </c>
      <c r="T99" s="81">
        <f>11503-S99-R99</f>
        <v>3972</v>
      </c>
      <c r="U99" s="32">
        <f t="shared" ref="U99:V114" si="246">SUM(H99-SUM(R99:T99))</f>
        <v>4248</v>
      </c>
      <c r="V99" s="81">
        <v>4269</v>
      </c>
      <c r="X99" s="32">
        <f>SUM(I99:L99)</f>
        <v>8858</v>
      </c>
      <c r="Y99" s="32">
        <f>SUM(J99:M99)</f>
        <v>12297</v>
      </c>
      <c r="Z99" s="32">
        <f>SUM(K99:N99)</f>
        <v>12859</v>
      </c>
      <c r="AA99" s="32">
        <f>SUM(L99:O99)</f>
        <v>13211</v>
      </c>
      <c r="AB99" s="32">
        <f>SUM(M99:P99)</f>
        <v>13574</v>
      </c>
      <c r="AC99" s="32">
        <f>SUM(N99:Q99)</f>
        <v>13764</v>
      </c>
      <c r="AD99" s="32">
        <f>SUM(O99:R99)</f>
        <v>14213</v>
      </c>
      <c r="AE99" s="32">
        <f>SUM(P99:S99)</f>
        <v>14690</v>
      </c>
      <c r="AF99" s="32">
        <f>SUM(Q99:T99)</f>
        <v>15132</v>
      </c>
      <c r="AG99" s="32">
        <f>SUM(R99:U99)</f>
        <v>15751</v>
      </c>
      <c r="AH99" s="11"/>
      <c r="AI99" s="74">
        <f t="shared" ref="AI99:AI105" si="247">SUM(AG99/AC99)-1</f>
        <v>0.14436210403952332</v>
      </c>
    </row>
    <row r="100" spans="2:35" ht="12.75" customHeight="1">
      <c r="B100" s="59" t="s">
        <v>161</v>
      </c>
      <c r="C100" s="81">
        <v>416</v>
      </c>
      <c r="D100" s="81">
        <v>542</v>
      </c>
      <c r="E100" s="81">
        <v>602</v>
      </c>
      <c r="F100" s="81">
        <v>765</v>
      </c>
      <c r="G100" s="81">
        <v>850</v>
      </c>
      <c r="H100" s="81">
        <v>897</v>
      </c>
      <c r="I100" s="32"/>
      <c r="J100" s="81">
        <v>177</v>
      </c>
      <c r="K100" s="81">
        <f>400-J100</f>
        <v>223</v>
      </c>
      <c r="L100" s="81">
        <f>591-K100-J100</f>
        <v>191</v>
      </c>
      <c r="M100" s="32">
        <f t="shared" ref="M100" si="248">SUM(F100-SUM(J100:L100))</f>
        <v>174</v>
      </c>
      <c r="N100" s="81">
        <v>209</v>
      </c>
      <c r="O100" s="81">
        <f>451-N100</f>
        <v>242</v>
      </c>
      <c r="P100" s="81">
        <f>662-O100-N100</f>
        <v>211</v>
      </c>
      <c r="Q100" s="32">
        <f t="shared" ref="Q100" si="249">SUM(G100-SUM(N100:P100))</f>
        <v>188</v>
      </c>
      <c r="R100" s="81">
        <v>224</v>
      </c>
      <c r="S100" s="81">
        <f>483-R100</f>
        <v>259</v>
      </c>
      <c r="T100" s="81">
        <f>706-S100-R100</f>
        <v>223</v>
      </c>
      <c r="U100" s="32">
        <f t="shared" si="246"/>
        <v>191</v>
      </c>
      <c r="V100" s="81">
        <v>231</v>
      </c>
      <c r="X100" s="32">
        <f>SUM(I100:L100)</f>
        <v>591</v>
      </c>
      <c r="Y100" s="32">
        <f>SUM(J100:M100)</f>
        <v>765</v>
      </c>
      <c r="Z100" s="32">
        <f>SUM(K100:N100)</f>
        <v>797</v>
      </c>
      <c r="AA100" s="32">
        <f>SUM(L100:O100)</f>
        <v>816</v>
      </c>
      <c r="AB100" s="32">
        <f>SUM(M100:P100)</f>
        <v>836</v>
      </c>
      <c r="AC100" s="32">
        <f>SUM(N100:Q100)</f>
        <v>850</v>
      </c>
      <c r="AD100" s="32">
        <f>SUM(O100:R100)</f>
        <v>865</v>
      </c>
      <c r="AE100" s="32">
        <f>SUM(P100:S100)</f>
        <v>882</v>
      </c>
      <c r="AF100" s="32">
        <f>SUM(Q100:T100)</f>
        <v>894</v>
      </c>
      <c r="AG100" s="32">
        <f>SUM(R100:U100)</f>
        <v>897</v>
      </c>
      <c r="AH100" s="11"/>
      <c r="AI100" s="74">
        <f t="shared" si="247"/>
        <v>5.5294117647058716E-2</v>
      </c>
    </row>
    <row r="101" spans="2:35" ht="12.75" customHeight="1">
      <c r="B101" s="59" t="s">
        <v>162</v>
      </c>
      <c r="C101" s="81">
        <v>767</v>
      </c>
      <c r="D101" s="81">
        <v>804</v>
      </c>
      <c r="E101" s="81">
        <v>861</v>
      </c>
      <c r="F101" s="81">
        <v>943</v>
      </c>
      <c r="G101" s="81">
        <v>1034</v>
      </c>
      <c r="H101" s="81">
        <v>1220</v>
      </c>
      <c r="I101" s="32"/>
      <c r="J101" s="81">
        <v>227</v>
      </c>
      <c r="K101" s="81">
        <f>461-J101</f>
        <v>234</v>
      </c>
      <c r="L101" s="81">
        <f>696-K101-J101</f>
        <v>235</v>
      </c>
      <c r="M101" s="32">
        <f t="shared" ref="M101:M102" si="250">SUM(F101-SUM(J101:L101))</f>
        <v>247</v>
      </c>
      <c r="N101" s="81">
        <v>247</v>
      </c>
      <c r="O101" s="81">
        <f>496-N101</f>
        <v>249</v>
      </c>
      <c r="P101" s="81">
        <f>760-O101-N101</f>
        <v>264</v>
      </c>
      <c r="Q101" s="32">
        <f t="shared" ref="Q101:Q102" si="251">SUM(G101-SUM(N101:P101))</f>
        <v>274</v>
      </c>
      <c r="R101" s="81">
        <v>282</v>
      </c>
      <c r="S101" s="81">
        <f>587-R101</f>
        <v>305</v>
      </c>
      <c r="T101" s="81">
        <f>904-S101-R101</f>
        <v>317</v>
      </c>
      <c r="U101" s="32">
        <f t="shared" si="246"/>
        <v>316</v>
      </c>
      <c r="V101" s="81">
        <v>326</v>
      </c>
      <c r="X101" s="32">
        <f>SUM(I101:L101)</f>
        <v>696</v>
      </c>
      <c r="Y101" s="32">
        <f>SUM(J101:M101)</f>
        <v>943</v>
      </c>
      <c r="Z101" s="32">
        <f t="shared" ref="Z101:Z102" si="252">SUM(K101:N101)</f>
        <v>963</v>
      </c>
      <c r="AA101" s="32">
        <f t="shared" ref="AA101:AA102" si="253">SUM(L101:O101)</f>
        <v>978</v>
      </c>
      <c r="AB101" s="32">
        <f t="shared" ref="AB101:AB102" si="254">SUM(M101:P101)</f>
        <v>1007</v>
      </c>
      <c r="AC101" s="32">
        <f t="shared" ref="AC101:AC102" si="255">SUM(N101:Q101)</f>
        <v>1034</v>
      </c>
      <c r="AD101" s="32">
        <f t="shared" ref="AD101:AD102" si="256">SUM(O101:R101)</f>
        <v>1069</v>
      </c>
      <c r="AE101" s="32">
        <f t="shared" ref="AE101:AE102" si="257">SUM(P101:S101)</f>
        <v>1125</v>
      </c>
      <c r="AF101" s="32">
        <f t="shared" ref="AF101:AG102" si="258">SUM(Q101:T101)</f>
        <v>1178</v>
      </c>
      <c r="AG101" s="32">
        <f t="shared" si="258"/>
        <v>1220</v>
      </c>
      <c r="AH101" s="11"/>
      <c r="AI101" s="74">
        <f t="shared" si="247"/>
        <v>0.17988394584139256</v>
      </c>
    </row>
    <row r="102" spans="2:35" ht="12.75" customHeight="1">
      <c r="B102" s="59" t="s">
        <v>163</v>
      </c>
      <c r="C102" s="81">
        <v>307</v>
      </c>
      <c r="D102" s="81">
        <v>873</v>
      </c>
      <c r="E102" s="81">
        <v>-336</v>
      </c>
      <c r="F102" s="81">
        <v>-483</v>
      </c>
      <c r="G102" s="81">
        <v>-100</v>
      </c>
      <c r="H102" s="81">
        <v>152</v>
      </c>
      <c r="I102" s="32"/>
      <c r="J102" s="81">
        <v>-132</v>
      </c>
      <c r="K102" s="81">
        <f>-154-J102</f>
        <v>-22</v>
      </c>
      <c r="L102" s="81">
        <f>-253-K102-J102</f>
        <v>-99</v>
      </c>
      <c r="M102" s="32">
        <f t="shared" si="250"/>
        <v>-230</v>
      </c>
      <c r="N102" s="81">
        <v>59</v>
      </c>
      <c r="O102" s="81">
        <f>-68-N102</f>
        <v>-127</v>
      </c>
      <c r="P102" s="81">
        <f>-99-O102-N102</f>
        <v>-31</v>
      </c>
      <c r="Q102" s="32">
        <f t="shared" si="251"/>
        <v>-1</v>
      </c>
      <c r="R102" s="81">
        <v>38</v>
      </c>
      <c r="S102" s="81">
        <f>-86-R102</f>
        <v>-124</v>
      </c>
      <c r="T102" s="81">
        <f>347-S102-R102</f>
        <v>433</v>
      </c>
      <c r="U102" s="32">
        <f t="shared" si="246"/>
        <v>-195</v>
      </c>
      <c r="V102" s="81">
        <v>-435</v>
      </c>
      <c r="X102" s="32">
        <f>SUM(I102:L102)</f>
        <v>-253</v>
      </c>
      <c r="Y102" s="32">
        <f>SUM(J102:M102)</f>
        <v>-483</v>
      </c>
      <c r="Z102" s="32">
        <f t="shared" si="252"/>
        <v>-292</v>
      </c>
      <c r="AA102" s="32">
        <f t="shared" si="253"/>
        <v>-397</v>
      </c>
      <c r="AB102" s="32">
        <f t="shared" si="254"/>
        <v>-329</v>
      </c>
      <c r="AC102" s="32">
        <f t="shared" si="255"/>
        <v>-100</v>
      </c>
      <c r="AD102" s="32">
        <f t="shared" si="256"/>
        <v>-121</v>
      </c>
      <c r="AE102" s="32">
        <f t="shared" si="257"/>
        <v>-118</v>
      </c>
      <c r="AF102" s="32">
        <f t="shared" si="258"/>
        <v>346</v>
      </c>
      <c r="AG102" s="32">
        <f t="shared" si="258"/>
        <v>152</v>
      </c>
      <c r="AH102" s="11"/>
      <c r="AI102" s="74">
        <f t="shared" si="247"/>
        <v>-2.52</v>
      </c>
    </row>
    <row r="103" spans="2:35" ht="12.75" customHeight="1">
      <c r="B103" s="59" t="s">
        <v>164</v>
      </c>
      <c r="C103" s="81">
        <v>-37</v>
      </c>
      <c r="D103" s="81">
        <v>-147</v>
      </c>
      <c r="E103" s="81">
        <v>-43</v>
      </c>
      <c r="F103" s="81">
        <v>-136</v>
      </c>
      <c r="G103" s="81">
        <v>-139</v>
      </c>
      <c r="H103" s="81">
        <v>-28</v>
      </c>
      <c r="I103" s="32"/>
      <c r="J103" s="81">
        <v>-8</v>
      </c>
      <c r="K103" s="81">
        <f>-15-J103</f>
        <v>-7</v>
      </c>
      <c r="L103" s="81">
        <f>-21-K103-J103</f>
        <v>-6</v>
      </c>
      <c r="M103" s="32">
        <f t="shared" ref="M103" si="259">SUM(F103-SUM(J103:L103))</f>
        <v>-115</v>
      </c>
      <c r="N103" s="81">
        <v>-24</v>
      </c>
      <c r="O103" s="81">
        <f>-60-N103</f>
        <v>-36</v>
      </c>
      <c r="P103" s="81">
        <f>-81-O103-N103</f>
        <v>-21</v>
      </c>
      <c r="Q103" s="32">
        <f t="shared" ref="Q103" si="260">SUM(G103-SUM(N103:P103))</f>
        <v>-58</v>
      </c>
      <c r="R103" s="81">
        <v>-27</v>
      </c>
      <c r="S103" s="81">
        <f>-24-R103</f>
        <v>3</v>
      </c>
      <c r="T103" s="81">
        <f>-22-S103-R103</f>
        <v>2</v>
      </c>
      <c r="U103" s="32">
        <f t="shared" si="246"/>
        <v>-6</v>
      </c>
      <c r="V103" s="81">
        <v>-3</v>
      </c>
      <c r="X103" s="32">
        <f>SUM(I103:L103)</f>
        <v>-21</v>
      </c>
      <c r="Y103" s="32">
        <f>SUM(J103:M103)</f>
        <v>-136</v>
      </c>
      <c r="Z103" s="32">
        <f t="shared" ref="Z103" si="261">SUM(K103:N103)</f>
        <v>-152</v>
      </c>
      <c r="AA103" s="32">
        <f t="shared" ref="AA103" si="262">SUM(L103:O103)</f>
        <v>-181</v>
      </c>
      <c r="AB103" s="32">
        <f t="shared" ref="AB103" si="263">SUM(M103:P103)</f>
        <v>-196</v>
      </c>
      <c r="AC103" s="32">
        <f t="shared" ref="AC103" si="264">SUM(N103:Q103)</f>
        <v>-139</v>
      </c>
      <c r="AD103" s="32">
        <f t="shared" ref="AD103" si="265">SUM(O103:R103)</f>
        <v>-142</v>
      </c>
      <c r="AE103" s="32">
        <f t="shared" ref="AE103" si="266">SUM(P103:S103)</f>
        <v>-103</v>
      </c>
      <c r="AF103" s="32">
        <f t="shared" ref="AF103:AG103" si="267">SUM(Q103:T103)</f>
        <v>-80</v>
      </c>
      <c r="AG103" s="32">
        <f t="shared" si="267"/>
        <v>-28</v>
      </c>
      <c r="AH103" s="11"/>
      <c r="AI103" s="74">
        <f t="shared" si="247"/>
        <v>-0.79856115107913672</v>
      </c>
    </row>
    <row r="104" spans="2:35" ht="12.75" customHeight="1">
      <c r="B104" s="59" t="s">
        <v>165</v>
      </c>
      <c r="C104" s="81">
        <v>-101</v>
      </c>
      <c r="D104" s="81">
        <v>-712</v>
      </c>
      <c r="E104" s="81">
        <v>264</v>
      </c>
      <c r="F104" s="81">
        <v>104</v>
      </c>
      <c r="G104" s="81">
        <v>94</v>
      </c>
      <c r="H104" s="81">
        <v>87</v>
      </c>
      <c r="I104" s="32"/>
      <c r="J104" s="81">
        <v>106</v>
      </c>
      <c r="K104" s="81">
        <f>196-J104</f>
        <v>90</v>
      </c>
      <c r="L104" s="81">
        <f>111-K104-J104</f>
        <v>-85</v>
      </c>
      <c r="M104" s="32">
        <f t="shared" ref="M104:M105" si="268">SUM(F104-SUM(J104:L104))</f>
        <v>-7</v>
      </c>
      <c r="N104" s="81">
        <v>-4</v>
      </c>
      <c r="O104" s="81">
        <f>26-N104</f>
        <v>30</v>
      </c>
      <c r="P104" s="81">
        <f>48-O104-N104</f>
        <v>22</v>
      </c>
      <c r="Q104" s="32">
        <f t="shared" ref="Q104:Q105" si="269">SUM(G104-SUM(N104:P104))</f>
        <v>46</v>
      </c>
      <c r="R104" s="81">
        <v>75</v>
      </c>
      <c r="S104" s="81">
        <f>98-R104</f>
        <v>23</v>
      </c>
      <c r="T104" s="81">
        <f>133-S104-R104</f>
        <v>35</v>
      </c>
      <c r="U104" s="32">
        <f t="shared" si="246"/>
        <v>-46</v>
      </c>
      <c r="V104" s="81">
        <v>7</v>
      </c>
      <c r="X104" s="32">
        <f>SUM(I104:L104)</f>
        <v>111</v>
      </c>
      <c r="Y104" s="32">
        <f>SUM(J104:M104)</f>
        <v>104</v>
      </c>
      <c r="Z104" s="32">
        <f t="shared" ref="Z104:Z105" si="270">SUM(K104:N104)</f>
        <v>-6</v>
      </c>
      <c r="AA104" s="32">
        <f t="shared" ref="AA104:AA105" si="271">SUM(L104:O104)</f>
        <v>-66</v>
      </c>
      <c r="AB104" s="32">
        <f t="shared" ref="AB104:AB105" si="272">SUM(M104:P104)</f>
        <v>41</v>
      </c>
      <c r="AC104" s="32">
        <f t="shared" ref="AC104:AC105" si="273">SUM(N104:Q104)</f>
        <v>94</v>
      </c>
      <c r="AD104" s="32">
        <f t="shared" ref="AD104:AD105" si="274">SUM(O104:R104)</f>
        <v>173</v>
      </c>
      <c r="AE104" s="32">
        <f t="shared" ref="AE104:AE105" si="275">SUM(P104:S104)</f>
        <v>166</v>
      </c>
      <c r="AF104" s="32">
        <f t="shared" ref="AF104:AG105" si="276">SUM(Q104:T104)</f>
        <v>179</v>
      </c>
      <c r="AG104" s="32">
        <f t="shared" si="276"/>
        <v>87</v>
      </c>
      <c r="AH104" s="11"/>
      <c r="AI104" s="74">
        <f t="shared" si="247"/>
        <v>-7.4468085106383031E-2</v>
      </c>
    </row>
    <row r="105" spans="2:35" ht="12.75" customHeight="1">
      <c r="B105" s="59" t="s">
        <v>166</v>
      </c>
      <c r="C105" s="81">
        <v>-44</v>
      </c>
      <c r="D105" s="81">
        <v>-109</v>
      </c>
      <c r="E105" s="81">
        <v>-94</v>
      </c>
      <c r="F105" s="81">
        <v>14</v>
      </c>
      <c r="G105" s="81">
        <v>136</v>
      </c>
      <c r="H105" s="81">
        <v>94</v>
      </c>
      <c r="I105" s="32"/>
      <c r="J105" s="81">
        <v>-26</v>
      </c>
      <c r="K105" s="81">
        <f>-22-J105</f>
        <v>4</v>
      </c>
      <c r="L105" s="81">
        <f>-7-K105-J105</f>
        <v>15</v>
      </c>
      <c r="M105" s="32">
        <f t="shared" si="268"/>
        <v>21</v>
      </c>
      <c r="N105" s="81">
        <v>11</v>
      </c>
      <c r="O105" s="81">
        <f>58-N105</f>
        <v>47</v>
      </c>
      <c r="P105" s="81">
        <f>122-O105-N105</f>
        <v>64</v>
      </c>
      <c r="Q105" s="32">
        <f t="shared" si="269"/>
        <v>14</v>
      </c>
      <c r="R105" s="81">
        <v>56</v>
      </c>
      <c r="S105" s="81">
        <f>65-R105</f>
        <v>9</v>
      </c>
      <c r="T105" s="81">
        <f>70-S105-R105</f>
        <v>5</v>
      </c>
      <c r="U105" s="32">
        <f t="shared" si="246"/>
        <v>24</v>
      </c>
      <c r="V105" s="81">
        <v>18</v>
      </c>
      <c r="X105" s="32">
        <f>SUM(I105:L105)</f>
        <v>-7</v>
      </c>
      <c r="Y105" s="32">
        <f>SUM(J105:M105)</f>
        <v>14</v>
      </c>
      <c r="Z105" s="32">
        <f t="shared" si="270"/>
        <v>51</v>
      </c>
      <c r="AA105" s="32">
        <f t="shared" si="271"/>
        <v>94</v>
      </c>
      <c r="AB105" s="32">
        <f t="shared" si="272"/>
        <v>143</v>
      </c>
      <c r="AC105" s="32">
        <f t="shared" si="273"/>
        <v>136</v>
      </c>
      <c r="AD105" s="32">
        <f t="shared" si="274"/>
        <v>181</v>
      </c>
      <c r="AE105" s="32">
        <f t="shared" si="275"/>
        <v>143</v>
      </c>
      <c r="AF105" s="32">
        <f t="shared" si="276"/>
        <v>84</v>
      </c>
      <c r="AG105" s="32">
        <f t="shared" si="276"/>
        <v>94</v>
      </c>
      <c r="AH105" s="11"/>
      <c r="AI105" s="74">
        <f t="shared" si="247"/>
        <v>-0.30882352941176472</v>
      </c>
    </row>
    <row r="106" spans="2:35" ht="12.75" customHeight="1">
      <c r="B106" s="35" t="s">
        <v>160</v>
      </c>
      <c r="C106" s="81"/>
      <c r="D106" s="81"/>
      <c r="E106" s="81"/>
      <c r="F106" s="81"/>
      <c r="G106" s="81"/>
      <c r="H106" s="81"/>
      <c r="I106" s="32"/>
      <c r="J106" s="81"/>
      <c r="K106" s="81"/>
      <c r="L106" s="81"/>
      <c r="M106" s="32"/>
      <c r="N106" s="81"/>
      <c r="O106" s="81"/>
      <c r="P106" s="81"/>
      <c r="Q106" s="32"/>
      <c r="R106" s="81"/>
      <c r="S106" s="81"/>
      <c r="T106" s="81"/>
      <c r="U106" s="81"/>
      <c r="V106" s="81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11"/>
      <c r="AI106" s="74"/>
    </row>
    <row r="107" spans="2:35" ht="12.75" customHeight="1">
      <c r="B107" s="59" t="s">
        <v>135</v>
      </c>
      <c r="C107" s="81">
        <v>1858</v>
      </c>
      <c r="D107" s="81">
        <v>-468</v>
      </c>
      <c r="E107" s="81">
        <v>-397</v>
      </c>
      <c r="F107" s="81">
        <v>-160</v>
      </c>
      <c r="G107" s="81">
        <v>-2175</v>
      </c>
      <c r="H107" s="81">
        <v>374</v>
      </c>
      <c r="I107" s="32"/>
      <c r="J107" s="81">
        <v>-54</v>
      </c>
      <c r="K107" s="81">
        <f>147-J107</f>
        <v>201</v>
      </c>
      <c r="L107" s="81">
        <f>-373-K107-J107</f>
        <v>-520</v>
      </c>
      <c r="M107" s="32">
        <f t="shared" ref="M107:M110" si="277">SUM(F107-SUM(J107:L107))</f>
        <v>213</v>
      </c>
      <c r="N107" s="81">
        <v>-257</v>
      </c>
      <c r="O107" s="81">
        <f>-1335-N107</f>
        <v>-1078</v>
      </c>
      <c r="P107" s="81">
        <f>92-O107-N107</f>
        <v>1427</v>
      </c>
      <c r="Q107" s="32">
        <f t="shared" ref="Q107:Q110" si="278">SUM(G107-SUM(N107:P107))</f>
        <v>-2267</v>
      </c>
      <c r="R107" s="81">
        <v>657</v>
      </c>
      <c r="S107" s="81">
        <f>132-R107</f>
        <v>-525</v>
      </c>
      <c r="T107" s="81">
        <f>-211-S107-R107</f>
        <v>-343</v>
      </c>
      <c r="U107" s="32">
        <f t="shared" si="246"/>
        <v>585</v>
      </c>
      <c r="V107" s="81">
        <v>981</v>
      </c>
      <c r="X107" s="32">
        <f>SUM(I107:L107)</f>
        <v>-373</v>
      </c>
      <c r="Y107" s="32">
        <f>SUM(J107:M107)</f>
        <v>-160</v>
      </c>
      <c r="Z107" s="32">
        <f t="shared" ref="Z107:Z110" si="279">SUM(K107:N107)</f>
        <v>-363</v>
      </c>
      <c r="AA107" s="32">
        <f t="shared" ref="AA107:AA110" si="280">SUM(L107:O107)</f>
        <v>-1642</v>
      </c>
      <c r="AB107" s="32">
        <f t="shared" ref="AB107:AB110" si="281">SUM(M107:P107)</f>
        <v>305</v>
      </c>
      <c r="AC107" s="32">
        <f t="shared" ref="AC107:AC110" si="282">SUM(N107:Q107)</f>
        <v>-2175</v>
      </c>
      <c r="AD107" s="32">
        <f t="shared" ref="AD107:AD110" si="283">SUM(O107:R107)</f>
        <v>-1261</v>
      </c>
      <c r="AE107" s="32">
        <f t="shared" ref="AE107:AE110" si="284">SUM(P107:S107)</f>
        <v>-708</v>
      </c>
      <c r="AF107" s="32">
        <f t="shared" ref="AF107:AG110" si="285">SUM(Q107:T107)</f>
        <v>-2478</v>
      </c>
      <c r="AG107" s="32">
        <f t="shared" si="285"/>
        <v>374</v>
      </c>
      <c r="AH107" s="11"/>
      <c r="AI107" s="74">
        <f t="shared" ref="AI107:AI115" si="286">SUM(AG107/AC107)-1</f>
        <v>-1.1719540229885057</v>
      </c>
    </row>
    <row r="108" spans="2:35" ht="12.75" customHeight="1">
      <c r="B108" s="59" t="s">
        <v>136</v>
      </c>
      <c r="C108" s="81">
        <v>-43</v>
      </c>
      <c r="D108" s="81">
        <v>-343</v>
      </c>
      <c r="E108" s="81">
        <v>-97</v>
      </c>
      <c r="F108" s="81">
        <v>-250</v>
      </c>
      <c r="G108" s="81">
        <v>-237</v>
      </c>
      <c r="H108" s="81">
        <v>-542</v>
      </c>
      <c r="I108" s="32"/>
      <c r="J108" s="81">
        <v>-60</v>
      </c>
      <c r="K108" s="81">
        <f>-67-J108</f>
        <v>-7</v>
      </c>
      <c r="L108" s="81">
        <f>-228-K108-J108</f>
        <v>-161</v>
      </c>
      <c r="M108" s="32">
        <f t="shared" ref="M108" si="287">SUM(F108-SUM(J108:L108))</f>
        <v>-22</v>
      </c>
      <c r="N108" s="81">
        <v>-195</v>
      </c>
      <c r="O108" s="81">
        <f>34-N108</f>
        <v>229</v>
      </c>
      <c r="P108" s="81">
        <f>-214-O108-N108</f>
        <v>-248</v>
      </c>
      <c r="Q108" s="32">
        <f t="shared" ref="Q108" si="288">SUM(G108-SUM(N108:P108))</f>
        <v>-23</v>
      </c>
      <c r="R108" s="81">
        <v>-64</v>
      </c>
      <c r="S108" s="81">
        <f>-156-R108</f>
        <v>-92</v>
      </c>
      <c r="T108" s="81">
        <f>-334-S108-R108</f>
        <v>-178</v>
      </c>
      <c r="U108" s="32">
        <f t="shared" si="246"/>
        <v>-208</v>
      </c>
      <c r="V108" s="81">
        <v>-109</v>
      </c>
      <c r="X108" s="32">
        <f>SUM(I108:L108)</f>
        <v>-228</v>
      </c>
      <c r="Y108" s="32">
        <f>SUM(J108:M108)</f>
        <v>-250</v>
      </c>
      <c r="Z108" s="32">
        <f t="shared" ref="Z108" si="289">SUM(K108:N108)</f>
        <v>-385</v>
      </c>
      <c r="AA108" s="32">
        <f t="shared" ref="AA108" si="290">SUM(L108:O108)</f>
        <v>-149</v>
      </c>
      <c r="AB108" s="32">
        <f t="shared" ref="AB108" si="291">SUM(M108:P108)</f>
        <v>-236</v>
      </c>
      <c r="AC108" s="32">
        <f t="shared" ref="AC108" si="292">SUM(N108:Q108)</f>
        <v>-237</v>
      </c>
      <c r="AD108" s="32">
        <f t="shared" ref="AD108" si="293">SUM(O108:R108)</f>
        <v>-106</v>
      </c>
      <c r="AE108" s="32">
        <f t="shared" ref="AE108" si="294">SUM(P108:S108)</f>
        <v>-427</v>
      </c>
      <c r="AF108" s="32">
        <f t="shared" ref="AF108:AG108" si="295">SUM(Q108:T108)</f>
        <v>-357</v>
      </c>
      <c r="AG108" s="32">
        <f t="shared" si="295"/>
        <v>-542</v>
      </c>
      <c r="AH108" s="11"/>
      <c r="AI108" s="74">
        <f t="shared" si="286"/>
        <v>1.2869198312236287</v>
      </c>
    </row>
    <row r="109" spans="2:35" ht="12.75" customHeight="1">
      <c r="B109" s="59" t="s">
        <v>140</v>
      </c>
      <c r="C109" s="81">
        <v>-8081</v>
      </c>
      <c r="D109" s="81">
        <v>-7510</v>
      </c>
      <c r="E109" s="81">
        <v>-9351</v>
      </c>
      <c r="F109" s="81">
        <v>-11014</v>
      </c>
      <c r="G109" s="81">
        <v>-14067</v>
      </c>
      <c r="H109" s="81">
        <v>-15314</v>
      </c>
      <c r="I109" s="32"/>
      <c r="J109" s="81">
        <v>-2743</v>
      </c>
      <c r="K109" s="81">
        <f>-5521-J109</f>
        <v>-2778</v>
      </c>
      <c r="L109" s="81">
        <f>-8188-K109-J109</f>
        <v>-2667</v>
      </c>
      <c r="M109" s="32">
        <f t="shared" si="277"/>
        <v>-2826</v>
      </c>
      <c r="N109" s="81">
        <v>-3601</v>
      </c>
      <c r="O109" s="81">
        <f>-7088-N109</f>
        <v>-3487</v>
      </c>
      <c r="P109" s="81">
        <f>-10317-O109-N109</f>
        <v>-3229</v>
      </c>
      <c r="Q109" s="32">
        <f t="shared" si="278"/>
        <v>-3750</v>
      </c>
      <c r="R109" s="81">
        <v>-3649</v>
      </c>
      <c r="S109" s="81">
        <f>-7190-R109</f>
        <v>-3541</v>
      </c>
      <c r="T109" s="81">
        <f>-11253-S109-R109</f>
        <v>-4063</v>
      </c>
      <c r="U109" s="32">
        <f t="shared" si="246"/>
        <v>-4061</v>
      </c>
      <c r="V109" s="81">
        <v>-3808</v>
      </c>
      <c r="X109" s="32">
        <f>SUM(I109:L109)</f>
        <v>-8188</v>
      </c>
      <c r="Y109" s="32">
        <f>SUM(J109:M109)</f>
        <v>-11014</v>
      </c>
      <c r="Z109" s="32">
        <f t="shared" si="279"/>
        <v>-11872</v>
      </c>
      <c r="AA109" s="32">
        <f t="shared" si="280"/>
        <v>-12581</v>
      </c>
      <c r="AB109" s="32">
        <f t="shared" si="281"/>
        <v>-13143</v>
      </c>
      <c r="AC109" s="32">
        <f t="shared" si="282"/>
        <v>-14067</v>
      </c>
      <c r="AD109" s="32">
        <f t="shared" si="283"/>
        <v>-14115</v>
      </c>
      <c r="AE109" s="32">
        <f t="shared" si="284"/>
        <v>-14169</v>
      </c>
      <c r="AF109" s="32">
        <f t="shared" si="285"/>
        <v>-15003</v>
      </c>
      <c r="AG109" s="32">
        <f t="shared" si="285"/>
        <v>-15314</v>
      </c>
      <c r="AH109" s="11"/>
      <c r="AI109" s="74">
        <f t="shared" si="286"/>
        <v>8.864718845524977E-2</v>
      </c>
    </row>
    <row r="110" spans="2:35" ht="12.75" customHeight="1">
      <c r="B110" s="59" t="s">
        <v>143</v>
      </c>
      <c r="C110" s="81">
        <v>-402</v>
      </c>
      <c r="D110" s="81">
        <v>-147</v>
      </c>
      <c r="E110" s="81">
        <v>-666</v>
      </c>
      <c r="F110" s="81">
        <v>-24</v>
      </c>
      <c r="G110" s="81">
        <v>-199</v>
      </c>
      <c r="H110" s="81">
        <v>160</v>
      </c>
      <c r="I110" s="32"/>
      <c r="J110" s="81">
        <v>160</v>
      </c>
      <c r="K110" s="81">
        <f>-77-J110</f>
        <v>-237</v>
      </c>
      <c r="L110" s="81">
        <f>-66-K110-J110</f>
        <v>11</v>
      </c>
      <c r="M110" s="32">
        <f t="shared" si="277"/>
        <v>42</v>
      </c>
      <c r="N110" s="81">
        <v>-204</v>
      </c>
      <c r="O110" s="81">
        <f>-258-N110</f>
        <v>-54</v>
      </c>
      <c r="P110" s="81">
        <f>-173-O110-N110</f>
        <v>85</v>
      </c>
      <c r="Q110" s="32">
        <f t="shared" si="278"/>
        <v>-26</v>
      </c>
      <c r="R110" s="81">
        <v>-10</v>
      </c>
      <c r="S110" s="81">
        <f>-400-R110</f>
        <v>-390</v>
      </c>
      <c r="T110" s="81">
        <f>-18-S110-R110</f>
        <v>382</v>
      </c>
      <c r="U110" s="32">
        <f t="shared" si="246"/>
        <v>178</v>
      </c>
      <c r="V110" s="81">
        <v>35</v>
      </c>
      <c r="X110" s="32">
        <f>SUM(I110:L110)</f>
        <v>-66</v>
      </c>
      <c r="Y110" s="32">
        <f>SUM(J110:M110)</f>
        <v>-24</v>
      </c>
      <c r="Z110" s="32">
        <f t="shared" si="279"/>
        <v>-388</v>
      </c>
      <c r="AA110" s="32">
        <f t="shared" si="280"/>
        <v>-205</v>
      </c>
      <c r="AB110" s="32">
        <f t="shared" si="281"/>
        <v>-131</v>
      </c>
      <c r="AC110" s="32">
        <f t="shared" si="282"/>
        <v>-199</v>
      </c>
      <c r="AD110" s="32">
        <f t="shared" si="283"/>
        <v>-5</v>
      </c>
      <c r="AE110" s="32">
        <f t="shared" si="284"/>
        <v>-341</v>
      </c>
      <c r="AF110" s="32">
        <f t="shared" si="285"/>
        <v>-44</v>
      </c>
      <c r="AG110" s="32">
        <f t="shared" si="285"/>
        <v>160</v>
      </c>
      <c r="AH110" s="11"/>
      <c r="AI110" s="74">
        <f t="shared" si="286"/>
        <v>-1.8040201005025125</v>
      </c>
    </row>
    <row r="111" spans="2:35" ht="12.75" customHeight="1">
      <c r="B111" s="59" t="s">
        <v>144</v>
      </c>
      <c r="C111" s="81">
        <v>21</v>
      </c>
      <c r="D111" s="81">
        <v>88</v>
      </c>
      <c r="E111" s="81">
        <v>67</v>
      </c>
      <c r="F111" s="81">
        <v>34</v>
      </c>
      <c r="G111" s="81">
        <v>109</v>
      </c>
      <c r="H111" s="81">
        <v>67</v>
      </c>
      <c r="I111" s="32"/>
      <c r="J111" s="81">
        <v>-64</v>
      </c>
      <c r="K111" s="81">
        <f>-48-J111</f>
        <v>16</v>
      </c>
      <c r="L111" s="81">
        <f>-51-K111-J111</f>
        <v>-3</v>
      </c>
      <c r="M111" s="32">
        <f t="shared" si="244"/>
        <v>85</v>
      </c>
      <c r="N111" s="81">
        <v>-18</v>
      </c>
      <c r="O111" s="81">
        <f>-25-N111</f>
        <v>-7</v>
      </c>
      <c r="P111" s="81">
        <f>-27-O111-N111</f>
        <v>-2</v>
      </c>
      <c r="Q111" s="32">
        <f t="shared" si="245"/>
        <v>136</v>
      </c>
      <c r="R111" s="81">
        <v>-54</v>
      </c>
      <c r="S111" s="81">
        <f>-45-R111</f>
        <v>9</v>
      </c>
      <c r="T111" s="81">
        <f>-14-S111-R111</f>
        <v>31</v>
      </c>
      <c r="U111" s="32">
        <f t="shared" si="246"/>
        <v>81</v>
      </c>
      <c r="V111" s="81">
        <v>-114</v>
      </c>
      <c r="X111" s="32">
        <f>SUM(I111:L111)</f>
        <v>-51</v>
      </c>
      <c r="Y111" s="32">
        <f>SUM(J111:M111)</f>
        <v>34</v>
      </c>
      <c r="Z111" s="32">
        <f>SUM(K111:N111)</f>
        <v>80</v>
      </c>
      <c r="AA111" s="32">
        <f>SUM(L111:O111)</f>
        <v>57</v>
      </c>
      <c r="AB111" s="32">
        <f>SUM(M111:P111)</f>
        <v>58</v>
      </c>
      <c r="AC111" s="32">
        <f>SUM(N111:Q111)</f>
        <v>109</v>
      </c>
      <c r="AD111" s="32">
        <f>SUM(O111:R111)</f>
        <v>73</v>
      </c>
      <c r="AE111" s="32">
        <f>SUM(P111:S111)</f>
        <v>89</v>
      </c>
      <c r="AF111" s="32">
        <f>SUM(Q111:T111)</f>
        <v>122</v>
      </c>
      <c r="AG111" s="32">
        <f>SUM(R111:U111)</f>
        <v>67</v>
      </c>
      <c r="AH111" s="11"/>
      <c r="AI111" s="74">
        <f t="shared" si="286"/>
        <v>-0.38532110091743121</v>
      </c>
    </row>
    <row r="112" spans="2:35" ht="12.75" customHeight="1">
      <c r="B112" s="59" t="s">
        <v>145</v>
      </c>
      <c r="C112" s="81">
        <v>-2384</v>
      </c>
      <c r="D112" s="81">
        <v>679</v>
      </c>
      <c r="E112" s="81">
        <v>1256</v>
      </c>
      <c r="F112" s="81">
        <v>-194</v>
      </c>
      <c r="G112" s="81">
        <v>1841</v>
      </c>
      <c r="H112" s="81">
        <v>-847</v>
      </c>
      <c r="I112" s="32"/>
      <c r="J112" s="81">
        <v>44</v>
      </c>
      <c r="K112" s="81">
        <f>-493-J112</f>
        <v>-537</v>
      </c>
      <c r="L112" s="81">
        <f>114-K112-J112</f>
        <v>607</v>
      </c>
      <c r="M112" s="32">
        <f t="shared" si="244"/>
        <v>-308</v>
      </c>
      <c r="N112" s="81">
        <v>313</v>
      </c>
      <c r="O112" s="81">
        <f>1143-N112</f>
        <v>830</v>
      </c>
      <c r="P112" s="81">
        <f>-765-O112-N112</f>
        <v>-1908</v>
      </c>
      <c r="Q112" s="32">
        <f t="shared" si="245"/>
        <v>2606</v>
      </c>
      <c r="R112" s="81">
        <v>-673</v>
      </c>
      <c r="S112" s="81">
        <f>-155-R112</f>
        <v>518</v>
      </c>
      <c r="T112" s="81">
        <f>619-S112-R112</f>
        <v>774</v>
      </c>
      <c r="U112" s="32">
        <f t="shared" si="246"/>
        <v>-1466</v>
      </c>
      <c r="V112" s="81">
        <v>-233</v>
      </c>
      <c r="X112" s="32">
        <f>SUM(I112:L112)</f>
        <v>114</v>
      </c>
      <c r="Y112" s="32">
        <f>SUM(J112:M112)</f>
        <v>-194</v>
      </c>
      <c r="Z112" s="32">
        <f>SUM(K112:N112)</f>
        <v>75</v>
      </c>
      <c r="AA112" s="32">
        <f>SUM(L112:O112)</f>
        <v>1442</v>
      </c>
      <c r="AB112" s="32">
        <f>SUM(M112:P112)</f>
        <v>-1073</v>
      </c>
      <c r="AC112" s="32">
        <f>SUM(N112:Q112)</f>
        <v>1841</v>
      </c>
      <c r="AD112" s="32">
        <f>SUM(O112:R112)</f>
        <v>855</v>
      </c>
      <c r="AE112" s="32">
        <f>SUM(P112:S112)</f>
        <v>543</v>
      </c>
      <c r="AF112" s="32">
        <f>SUM(Q112:T112)</f>
        <v>3225</v>
      </c>
      <c r="AG112" s="32">
        <f>SUM(R112:U112)</f>
        <v>-847</v>
      </c>
      <c r="AH112" s="11"/>
      <c r="AI112" s="74">
        <f t="shared" si="286"/>
        <v>-1.4600760456273765</v>
      </c>
    </row>
    <row r="113" spans="2:35" ht="12.75" customHeight="1">
      <c r="B113" s="59" t="s">
        <v>167</v>
      </c>
      <c r="C113" s="81">
        <v>923</v>
      </c>
      <c r="D113" s="81">
        <v>929</v>
      </c>
      <c r="E113" s="81">
        <v>1055</v>
      </c>
      <c r="F113" s="81">
        <v>1291</v>
      </c>
      <c r="G113" s="81">
        <v>-676</v>
      </c>
      <c r="H113" s="81">
        <v>-373</v>
      </c>
      <c r="I113" s="32"/>
      <c r="J113" s="81">
        <v>-666</v>
      </c>
      <c r="K113" s="81">
        <f>-1047-J113</f>
        <v>-381</v>
      </c>
      <c r="L113" s="81">
        <f>-34-K113-J113</f>
        <v>1013</v>
      </c>
      <c r="M113" s="32">
        <f t="shared" ref="M113" si="296">SUM(F113-SUM(J113:L113))</f>
        <v>1325</v>
      </c>
      <c r="N113" s="81">
        <v>-877</v>
      </c>
      <c r="O113" s="81">
        <f>-1479-N113</f>
        <v>-602</v>
      </c>
      <c r="P113" s="81">
        <f>-1216-O113-N113</f>
        <v>263</v>
      </c>
      <c r="Q113" s="32">
        <f t="shared" ref="Q113" si="297">SUM(G113-SUM(N113:P113))</f>
        <v>540</v>
      </c>
      <c r="R113" s="81">
        <v>-303</v>
      </c>
      <c r="S113" s="81">
        <f>-796-R113</f>
        <v>-493</v>
      </c>
      <c r="T113" s="81">
        <f>-1199-S113-R113</f>
        <v>-403</v>
      </c>
      <c r="U113" s="32">
        <f t="shared" si="246"/>
        <v>826</v>
      </c>
      <c r="V113" s="81">
        <v>-611</v>
      </c>
      <c r="X113" s="32">
        <f>SUM(I113:L113)</f>
        <v>-34</v>
      </c>
      <c r="Y113" s="32">
        <f>SUM(J113:M113)</f>
        <v>1291</v>
      </c>
      <c r="Z113" s="32">
        <f>SUM(K113:N113)</f>
        <v>1080</v>
      </c>
      <c r="AA113" s="32">
        <f>SUM(L113:O113)</f>
        <v>859</v>
      </c>
      <c r="AB113" s="32">
        <f>SUM(M113:P113)</f>
        <v>109</v>
      </c>
      <c r="AC113" s="32">
        <f>SUM(N113:Q113)</f>
        <v>-676</v>
      </c>
      <c r="AD113" s="32">
        <f>SUM(O113:R113)</f>
        <v>-102</v>
      </c>
      <c r="AE113" s="32">
        <f>SUM(P113:S113)</f>
        <v>7</v>
      </c>
      <c r="AF113" s="32">
        <f>SUM(Q113:T113)</f>
        <v>-659</v>
      </c>
      <c r="AG113" s="32">
        <f>SUM(R113:U113)</f>
        <v>-373</v>
      </c>
      <c r="AH113" s="11"/>
      <c r="AI113" s="74">
        <f t="shared" si="286"/>
        <v>-0.44822485207100593</v>
      </c>
    </row>
    <row r="114" spans="2:35" ht="12.75" customHeight="1">
      <c r="B114" s="59" t="s">
        <v>149</v>
      </c>
      <c r="C114" s="81">
        <v>-290</v>
      </c>
      <c r="D114" s="81">
        <v>70</v>
      </c>
      <c r="E114" s="81">
        <v>476</v>
      </c>
      <c r="F114" s="81">
        <v>295</v>
      </c>
      <c r="G114" s="81">
        <v>-28</v>
      </c>
      <c r="H114" s="81">
        <v>1303</v>
      </c>
      <c r="I114" s="32"/>
      <c r="J114" s="81">
        <v>245</v>
      </c>
      <c r="K114" s="81">
        <f>144-J114</f>
        <v>-101</v>
      </c>
      <c r="L114" s="81">
        <f>87-K114-J114</f>
        <v>-57</v>
      </c>
      <c r="M114" s="32">
        <f t="shared" ref="M114" si="298">SUM(F114-SUM(J114:L114))</f>
        <v>208</v>
      </c>
      <c r="N114" s="81">
        <v>-283</v>
      </c>
      <c r="O114" s="81">
        <f>99-N114</f>
        <v>382</v>
      </c>
      <c r="P114" s="81">
        <f>-66-O114-N114</f>
        <v>-165</v>
      </c>
      <c r="Q114" s="32">
        <f t="shared" ref="Q114" si="299">SUM(G114-SUM(N114:P114))</f>
        <v>38</v>
      </c>
      <c r="R114" s="81">
        <v>-72</v>
      </c>
      <c r="S114" s="81">
        <f>351-R114</f>
        <v>423</v>
      </c>
      <c r="T114" s="81">
        <f>622-S114-R114</f>
        <v>271</v>
      </c>
      <c r="U114" s="32">
        <f t="shared" si="246"/>
        <v>681</v>
      </c>
      <c r="V114" s="81">
        <v>373</v>
      </c>
      <c r="X114" s="32">
        <f>SUM(I114:L114)</f>
        <v>87</v>
      </c>
      <c r="Y114" s="32">
        <f>SUM(J114:M114)</f>
        <v>295</v>
      </c>
      <c r="Z114" s="32">
        <f>SUM(K114:N114)</f>
        <v>-233</v>
      </c>
      <c r="AA114" s="32">
        <f>SUM(L114:O114)</f>
        <v>250</v>
      </c>
      <c r="AB114" s="32">
        <f>SUM(M114:P114)</f>
        <v>142</v>
      </c>
      <c r="AC114" s="32">
        <f>SUM(N114:Q114)</f>
        <v>-28</v>
      </c>
      <c r="AD114" s="32">
        <f>SUM(O114:R114)</f>
        <v>183</v>
      </c>
      <c r="AE114" s="32">
        <f>SUM(P114:S114)</f>
        <v>224</v>
      </c>
      <c r="AF114" s="32">
        <f>SUM(Q114:T114)</f>
        <v>660</v>
      </c>
      <c r="AG114" s="32">
        <f>SUM(R114:U114)</f>
        <v>1303</v>
      </c>
      <c r="AH114" s="11"/>
      <c r="AI114" s="74">
        <f t="shared" si="286"/>
        <v>-47.535714285714285</v>
      </c>
    </row>
    <row r="115" spans="2:35" ht="12.75" customHeight="1">
      <c r="B115" s="13" t="s">
        <v>49</v>
      </c>
      <c r="C115" s="14">
        <f t="shared" ref="C115:H115" si="300">SUM(C96:C114)</f>
        <v>10440</v>
      </c>
      <c r="D115" s="14">
        <f t="shared" si="300"/>
        <v>15227</v>
      </c>
      <c r="E115" s="14">
        <f t="shared" si="300"/>
        <v>18849</v>
      </c>
      <c r="F115" s="14">
        <f t="shared" si="300"/>
        <v>20755</v>
      </c>
      <c r="G115" s="14">
        <f t="shared" si="300"/>
        <v>19950</v>
      </c>
      <c r="H115" s="14">
        <f t="shared" si="300"/>
        <v>23059</v>
      </c>
      <c r="J115" s="14">
        <f t="shared" ref="J115:V115" si="301">SUM(J96:J114)</f>
        <v>4171</v>
      </c>
      <c r="K115" s="14">
        <f t="shared" si="301"/>
        <v>3860</v>
      </c>
      <c r="L115" s="14">
        <f t="shared" si="301"/>
        <v>5797</v>
      </c>
      <c r="M115" s="14">
        <f t="shared" si="301"/>
        <v>6927</v>
      </c>
      <c r="N115" s="14">
        <f t="shared" si="301"/>
        <v>3614</v>
      </c>
      <c r="O115" s="14">
        <f t="shared" si="301"/>
        <v>4538</v>
      </c>
      <c r="P115" s="14">
        <f t="shared" si="301"/>
        <v>5134</v>
      </c>
      <c r="Q115" s="14">
        <f t="shared" si="301"/>
        <v>6664</v>
      </c>
      <c r="R115" s="14">
        <f t="shared" si="301"/>
        <v>5396</v>
      </c>
      <c r="S115" s="14">
        <f t="shared" si="301"/>
        <v>4695</v>
      </c>
      <c r="T115" s="14">
        <f t="shared" si="301"/>
        <v>6730</v>
      </c>
      <c r="U115" s="14">
        <f t="shared" si="301"/>
        <v>6238</v>
      </c>
      <c r="V115" s="14">
        <f t="shared" si="301"/>
        <v>6780</v>
      </c>
      <c r="X115" s="14">
        <f t="shared" ref="X115:AG115" si="302">SUM(X96:X114)</f>
        <v>17828</v>
      </c>
      <c r="Y115" s="14">
        <f t="shared" si="302"/>
        <v>20534</v>
      </c>
      <c r="Z115" s="14">
        <f t="shared" si="302"/>
        <v>19515</v>
      </c>
      <c r="AA115" s="14">
        <f t="shared" si="302"/>
        <v>20560</v>
      </c>
      <c r="AB115" s="14">
        <f t="shared" si="302"/>
        <v>20850</v>
      </c>
      <c r="AC115" s="14">
        <f t="shared" si="302"/>
        <v>20179</v>
      </c>
      <c r="AD115" s="14">
        <f t="shared" si="302"/>
        <v>21646</v>
      </c>
      <c r="AE115" s="14">
        <f t="shared" si="302"/>
        <v>22289</v>
      </c>
      <c r="AF115" s="14">
        <f t="shared" si="302"/>
        <v>23257</v>
      </c>
      <c r="AG115" s="14">
        <f t="shared" si="302"/>
        <v>23793</v>
      </c>
      <c r="AH115" s="41"/>
      <c r="AI115" s="75">
        <f t="shared" si="286"/>
        <v>0.17909708112394074</v>
      </c>
    </row>
    <row r="116" spans="2:35" ht="12.75" customHeight="1">
      <c r="B116" s="52"/>
      <c r="C116" s="60"/>
      <c r="D116" s="60"/>
      <c r="E116" s="60"/>
      <c r="F116" s="60"/>
      <c r="G116" s="60"/>
      <c r="H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38"/>
    </row>
    <row r="117" spans="2:35" ht="12.75" customHeight="1">
      <c r="B117" s="52" t="s">
        <v>50</v>
      </c>
      <c r="C117" s="57"/>
      <c r="D117" s="57"/>
      <c r="E117" s="57"/>
      <c r="F117" s="57"/>
      <c r="G117" s="57"/>
      <c r="H117" s="57"/>
      <c r="J117" s="81"/>
      <c r="K117" s="81"/>
      <c r="L117" s="81"/>
      <c r="M117" s="32"/>
      <c r="N117" s="81"/>
      <c r="O117" s="81"/>
      <c r="P117" s="81"/>
      <c r="Q117" s="32"/>
      <c r="R117" s="57"/>
      <c r="S117" s="57"/>
      <c r="T117" s="57"/>
      <c r="U117" s="57"/>
      <c r="V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8"/>
      <c r="AI117" s="74"/>
    </row>
    <row r="118" spans="2:35" ht="12.75" customHeight="1">
      <c r="B118" s="59" t="s">
        <v>168</v>
      </c>
      <c r="C118" s="81">
        <v>-736</v>
      </c>
      <c r="D118" s="81">
        <v>-705</v>
      </c>
      <c r="E118" s="81">
        <v>-970</v>
      </c>
      <c r="F118" s="81">
        <v>-1059</v>
      </c>
      <c r="G118" s="81">
        <v>-1257</v>
      </c>
      <c r="H118" s="81">
        <v>-1482</v>
      </c>
      <c r="I118" s="32"/>
      <c r="J118" s="81">
        <v>-249</v>
      </c>
      <c r="K118" s="81">
        <f>-459-J118</f>
        <v>-210</v>
      </c>
      <c r="L118" s="81">
        <f>-754-K118-J118</f>
        <v>-295</v>
      </c>
      <c r="M118" s="32">
        <f t="shared" ref="M118:M121" si="303">SUM(F118-SUM(J118:L118))</f>
        <v>-305</v>
      </c>
      <c r="N118" s="81">
        <v>-267</v>
      </c>
      <c r="O118" s="81">
        <f>-548-N118</f>
        <v>-281</v>
      </c>
      <c r="P118" s="81">
        <f>-948-O118-N118</f>
        <v>-400</v>
      </c>
      <c r="Q118" s="32">
        <f t="shared" ref="Q118:Q121" si="304">SUM(G118-SUM(N118:P118))</f>
        <v>-309</v>
      </c>
      <c r="R118" s="81">
        <v>-345</v>
      </c>
      <c r="S118" s="81">
        <f>-672-R118</f>
        <v>-327</v>
      </c>
      <c r="T118" s="81">
        <f>-1093-S118-R118</f>
        <v>-421</v>
      </c>
      <c r="U118" s="32">
        <f t="shared" ref="U118:V123" si="305">SUM(H118-SUM(R118:T118))</f>
        <v>-389</v>
      </c>
      <c r="V118" s="81">
        <v>-378</v>
      </c>
      <c r="W118" s="32"/>
      <c r="X118" s="32">
        <f>SUM(I118:L118)</f>
        <v>-754</v>
      </c>
      <c r="Y118" s="32">
        <f>SUM(J118:M118)</f>
        <v>-1059</v>
      </c>
      <c r="Z118" s="32">
        <f>SUM(K118:N118)</f>
        <v>-1077</v>
      </c>
      <c r="AA118" s="32">
        <f>SUM(L118:O118)</f>
        <v>-1148</v>
      </c>
      <c r="AB118" s="32">
        <f>SUM(M118:P118)</f>
        <v>-1253</v>
      </c>
      <c r="AC118" s="32">
        <f>SUM(N118:Q118)</f>
        <v>-1257</v>
      </c>
      <c r="AD118" s="32">
        <f>SUM(O118:R118)</f>
        <v>-1335</v>
      </c>
      <c r="AE118" s="32">
        <f>SUM(P118:S118)</f>
        <v>-1381</v>
      </c>
      <c r="AF118" s="32">
        <f>SUM(Q118:T118)</f>
        <v>-1402</v>
      </c>
      <c r="AG118" s="32">
        <f>SUM(R118:U118)</f>
        <v>-1482</v>
      </c>
      <c r="AH118" s="58"/>
      <c r="AI118" s="74">
        <f t="shared" ref="AI118:AI124" si="306">SUM(AG118/AC118)-1</f>
        <v>0.17899761336515518</v>
      </c>
    </row>
    <row r="119" spans="2:35" ht="12.75" customHeight="1">
      <c r="B119" s="59" t="s">
        <v>169</v>
      </c>
      <c r="C119" s="81">
        <v>-2075</v>
      </c>
      <c r="D119" s="81">
        <v>-5111</v>
      </c>
      <c r="E119" s="81">
        <v>-5997</v>
      </c>
      <c r="F119" s="81">
        <v>-4363</v>
      </c>
      <c r="G119" s="81">
        <v>-4443</v>
      </c>
      <c r="H119" s="81">
        <v>0</v>
      </c>
      <c r="I119" s="32"/>
      <c r="J119" s="81">
        <v>-1995</v>
      </c>
      <c r="K119" s="81">
        <f>-2487-J119</f>
        <v>-492</v>
      </c>
      <c r="L119" s="81">
        <f>-2817-K119-J119</f>
        <v>-330</v>
      </c>
      <c r="M119" s="32">
        <f t="shared" si="303"/>
        <v>-1546</v>
      </c>
      <c r="N119" s="81">
        <v>-2743</v>
      </c>
      <c r="O119" s="81">
        <f>-3686-N119</f>
        <v>-943</v>
      </c>
      <c r="P119" s="81">
        <f>-4443-O119-N119</f>
        <v>-757</v>
      </c>
      <c r="Q119" s="32">
        <f t="shared" si="304"/>
        <v>0</v>
      </c>
      <c r="R119" s="81">
        <v>0</v>
      </c>
      <c r="S119" s="81">
        <v>0</v>
      </c>
      <c r="T119" s="81">
        <v>0</v>
      </c>
      <c r="U119" s="32">
        <f t="shared" si="305"/>
        <v>0</v>
      </c>
      <c r="V119" s="81">
        <v>0</v>
      </c>
      <c r="W119" s="32"/>
      <c r="X119" s="32">
        <f>SUM(I119:L119)</f>
        <v>-2817</v>
      </c>
      <c r="Y119" s="32">
        <f>SUM(J119:M119)</f>
        <v>-4363</v>
      </c>
      <c r="Z119" s="32">
        <f>SUM(K119:N119)</f>
        <v>-5111</v>
      </c>
      <c r="AA119" s="32">
        <f>SUM(L119:O119)</f>
        <v>-5562</v>
      </c>
      <c r="AB119" s="32">
        <f>SUM(M119:P119)</f>
        <v>-5989</v>
      </c>
      <c r="AC119" s="32">
        <f>SUM(N119:Q119)</f>
        <v>-4443</v>
      </c>
      <c r="AD119" s="32">
        <f>SUM(O119:R119)</f>
        <v>-1700</v>
      </c>
      <c r="AE119" s="32">
        <f>SUM(P119:S119)</f>
        <v>-757</v>
      </c>
      <c r="AF119" s="32">
        <f>SUM(Q119:T119)</f>
        <v>0</v>
      </c>
      <c r="AG119" s="32">
        <f>SUM(R119:U119)</f>
        <v>0</v>
      </c>
      <c r="AH119" s="58"/>
      <c r="AI119" s="74">
        <f t="shared" si="306"/>
        <v>-1</v>
      </c>
    </row>
    <row r="120" spans="2:35" ht="12.75" customHeight="1">
      <c r="B120" s="59" t="s">
        <v>170</v>
      </c>
      <c r="C120" s="81">
        <v>4510</v>
      </c>
      <c r="D120" s="81">
        <v>5701</v>
      </c>
      <c r="E120" s="81">
        <v>4585</v>
      </c>
      <c r="F120" s="81">
        <v>3160</v>
      </c>
      <c r="G120" s="81">
        <v>5013</v>
      </c>
      <c r="H120" s="81">
        <v>3024</v>
      </c>
      <c r="I120" s="32"/>
      <c r="J120" s="81">
        <v>1310</v>
      </c>
      <c r="K120" s="81">
        <f>1760-J120</f>
        <v>450</v>
      </c>
      <c r="L120" s="81">
        <f>2410-K120-J120</f>
        <v>650</v>
      </c>
      <c r="M120" s="32">
        <f t="shared" si="303"/>
        <v>750</v>
      </c>
      <c r="N120" s="81">
        <v>1137</v>
      </c>
      <c r="O120" s="81">
        <f>2145-N120</f>
        <v>1008</v>
      </c>
      <c r="P120" s="81">
        <f>3866-O120-N120</f>
        <v>1721</v>
      </c>
      <c r="Q120" s="32">
        <f t="shared" si="304"/>
        <v>1147</v>
      </c>
      <c r="R120" s="81">
        <v>2042</v>
      </c>
      <c r="S120" s="81">
        <f>2268-R120</f>
        <v>226</v>
      </c>
      <c r="T120" s="81">
        <f>2468-S120-R120</f>
        <v>200</v>
      </c>
      <c r="U120" s="32">
        <f t="shared" si="305"/>
        <v>556</v>
      </c>
      <c r="V120" s="81">
        <v>725</v>
      </c>
      <c r="W120" s="32"/>
      <c r="X120" s="32">
        <f>SUM(I120:L120)</f>
        <v>2410</v>
      </c>
      <c r="Y120" s="32">
        <f>SUM(J120:M120)</f>
        <v>3160</v>
      </c>
      <c r="Z120" s="32">
        <f>SUM(K120:N120)</f>
        <v>2987</v>
      </c>
      <c r="AA120" s="32">
        <f>SUM(L120:O120)</f>
        <v>3545</v>
      </c>
      <c r="AB120" s="32">
        <f>SUM(M120:P120)</f>
        <v>4616</v>
      </c>
      <c r="AC120" s="32">
        <f>SUM(N120:Q120)</f>
        <v>5013</v>
      </c>
      <c r="AD120" s="32">
        <f>SUM(O120:R120)</f>
        <v>5918</v>
      </c>
      <c r="AE120" s="32">
        <f>SUM(P120:S120)</f>
        <v>5136</v>
      </c>
      <c r="AF120" s="32">
        <f>SUM(Q120:T120)</f>
        <v>3615</v>
      </c>
      <c r="AG120" s="32">
        <f>SUM(R120:U120)</f>
        <v>3024</v>
      </c>
      <c r="AH120" s="58"/>
      <c r="AI120" s="74">
        <f t="shared" si="306"/>
        <v>-0.39676840215439857</v>
      </c>
    </row>
    <row r="121" spans="2:35" ht="12.75" customHeight="1">
      <c r="B121" s="59" t="s">
        <v>171</v>
      </c>
      <c r="C121" s="81">
        <v>-77</v>
      </c>
      <c r="D121" s="81">
        <v>-75</v>
      </c>
      <c r="E121" s="81">
        <v>-1948</v>
      </c>
      <c r="F121" s="81">
        <v>0</v>
      </c>
      <c r="G121" s="81">
        <v>-915</v>
      </c>
      <c r="H121" s="81">
        <v>-887</v>
      </c>
      <c r="I121" s="32"/>
      <c r="J121" s="81">
        <v>0</v>
      </c>
      <c r="K121" s="81">
        <v>0</v>
      </c>
      <c r="L121" s="81">
        <v>0</v>
      </c>
      <c r="M121" s="32">
        <f t="shared" si="303"/>
        <v>0</v>
      </c>
      <c r="N121" s="81">
        <v>0</v>
      </c>
      <c r="O121" s="81">
        <f>-915-N121</f>
        <v>-915</v>
      </c>
      <c r="P121" s="81">
        <f>-915-O121</f>
        <v>0</v>
      </c>
      <c r="Q121" s="32">
        <f t="shared" si="304"/>
        <v>0</v>
      </c>
      <c r="R121" s="81">
        <v>-906</v>
      </c>
      <c r="S121" s="81">
        <f>-887-R121</f>
        <v>19</v>
      </c>
      <c r="T121" s="81">
        <f>-887-S121-R121</f>
        <v>0</v>
      </c>
      <c r="U121" s="32">
        <f t="shared" ref="U121:V121" si="307">SUM(H121-SUM(R121:T121))</f>
        <v>0</v>
      </c>
      <c r="V121" s="81">
        <v>0</v>
      </c>
      <c r="W121" s="32"/>
      <c r="X121" s="32">
        <f>SUM(I121:L121)</f>
        <v>0</v>
      </c>
      <c r="Y121" s="32">
        <f>SUM(J121:M121)</f>
        <v>0</v>
      </c>
      <c r="Z121" s="32">
        <f>SUM(K121:N121)</f>
        <v>0</v>
      </c>
      <c r="AA121" s="32">
        <f>SUM(L121:O121)</f>
        <v>-915</v>
      </c>
      <c r="AB121" s="32">
        <f>SUM(M121:P121)</f>
        <v>-915</v>
      </c>
      <c r="AC121" s="32">
        <f>SUM(N121:Q121)</f>
        <v>-915</v>
      </c>
      <c r="AD121" s="32">
        <f>SUM(O121:R121)</f>
        <v>-1821</v>
      </c>
      <c r="AE121" s="32">
        <f>SUM(P121:S121)</f>
        <v>-887</v>
      </c>
      <c r="AF121" s="32">
        <f>SUM(Q121:T121)</f>
        <v>-887</v>
      </c>
      <c r="AG121" s="32">
        <f>SUM(R121:U121)</f>
        <v>-887</v>
      </c>
      <c r="AH121" s="58"/>
      <c r="AI121" s="74">
        <f t="shared" si="306"/>
        <v>-3.0601092896174853E-2</v>
      </c>
    </row>
    <row r="122" spans="2:35" ht="12.75" customHeight="1">
      <c r="B122" s="59" t="s">
        <v>172</v>
      </c>
      <c r="C122" s="81">
        <v>-267</v>
      </c>
      <c r="D122" s="81">
        <v>-71</v>
      </c>
      <c r="E122" s="81">
        <v>-86</v>
      </c>
      <c r="F122" s="81">
        <v>-121</v>
      </c>
      <c r="G122" s="81">
        <v>-231</v>
      </c>
      <c r="H122" s="81">
        <v>-68</v>
      </c>
      <c r="I122" s="32"/>
      <c r="J122" s="81">
        <v>-20</v>
      </c>
      <c r="K122" s="81">
        <f>-70-J122</f>
        <v>-50</v>
      </c>
      <c r="L122" s="81">
        <f>-81-K122-J122</f>
        <v>-11</v>
      </c>
      <c r="M122" s="32">
        <f t="shared" ref="M122" si="308">SUM(F122-SUM(J122:L122))</f>
        <v>-40</v>
      </c>
      <c r="N122" s="81">
        <v>-11</v>
      </c>
      <c r="O122" s="81">
        <f>-14-N122</f>
        <v>-3</v>
      </c>
      <c r="P122" s="81">
        <f>-19-O122-N122</f>
        <v>-5</v>
      </c>
      <c r="Q122" s="32">
        <f t="shared" ref="Q122" si="309">SUM(G122-SUM(N122:P122))</f>
        <v>-212</v>
      </c>
      <c r="R122" s="81">
        <v>-6</v>
      </c>
      <c r="S122" s="81">
        <f>-24-R122</f>
        <v>-18</v>
      </c>
      <c r="T122" s="81">
        <f>-41-S122-R122</f>
        <v>-17</v>
      </c>
      <c r="U122" s="32">
        <f t="shared" si="305"/>
        <v>-27</v>
      </c>
      <c r="V122" s="81">
        <v>-5</v>
      </c>
      <c r="W122" s="32"/>
      <c r="X122" s="32">
        <f>SUM(I122:L122)</f>
        <v>-81</v>
      </c>
      <c r="Y122" s="32">
        <f>SUM(J122:M122)</f>
        <v>-121</v>
      </c>
      <c r="Z122" s="32">
        <f t="shared" ref="Z122" si="310">SUM(K122:N122)</f>
        <v>-112</v>
      </c>
      <c r="AA122" s="32">
        <f t="shared" ref="AA122" si="311">SUM(L122:O122)</f>
        <v>-65</v>
      </c>
      <c r="AB122" s="32">
        <f t="shared" ref="AB122" si="312">SUM(M122:P122)</f>
        <v>-59</v>
      </c>
      <c r="AC122" s="32">
        <f t="shared" ref="AC122" si="313">SUM(N122:Q122)</f>
        <v>-231</v>
      </c>
      <c r="AD122" s="32">
        <f t="shared" ref="AD122" si="314">SUM(O122:R122)</f>
        <v>-226</v>
      </c>
      <c r="AE122" s="32">
        <f t="shared" ref="AE122" si="315">SUM(P122:S122)</f>
        <v>-241</v>
      </c>
      <c r="AF122" s="32">
        <f t="shared" ref="AF122:AG122" si="316">SUM(Q122:T122)</f>
        <v>-253</v>
      </c>
      <c r="AG122" s="32">
        <f t="shared" si="316"/>
        <v>-68</v>
      </c>
      <c r="AH122" s="58"/>
      <c r="AI122" s="74">
        <f t="shared" si="306"/>
        <v>-0.7056277056277056</v>
      </c>
    </row>
    <row r="123" spans="2:35" ht="12.75" customHeight="1">
      <c r="B123" s="59" t="s">
        <v>173</v>
      </c>
      <c r="C123" s="81">
        <v>72</v>
      </c>
      <c r="D123" s="81">
        <v>109</v>
      </c>
      <c r="E123" s="81">
        <v>128</v>
      </c>
      <c r="F123" s="81">
        <f>-25+402</f>
        <v>377</v>
      </c>
      <c r="G123" s="81">
        <v>-93</v>
      </c>
      <c r="H123" s="81">
        <v>121</v>
      </c>
      <c r="I123" s="32"/>
      <c r="J123" s="81">
        <f>42+402</f>
        <v>444</v>
      </c>
      <c r="K123" s="81">
        <f>19+402-J123</f>
        <v>-23</v>
      </c>
      <c r="L123" s="81">
        <f>22+402-K123-J123</f>
        <v>3</v>
      </c>
      <c r="M123" s="32">
        <f t="shared" ref="M123" si="317">SUM(F123-SUM(J123:L123))</f>
        <v>-47</v>
      </c>
      <c r="N123" s="81">
        <v>-5</v>
      </c>
      <c r="O123" s="81">
        <f>-47-N123</f>
        <v>-42</v>
      </c>
      <c r="P123" s="81">
        <f>-51-O123-N123</f>
        <v>-4</v>
      </c>
      <c r="Q123" s="32">
        <f t="shared" ref="Q123" si="318">SUM(G123-SUM(N123:P123))</f>
        <v>-42</v>
      </c>
      <c r="R123" s="81">
        <v>5</v>
      </c>
      <c r="S123" s="81">
        <f>-25-R123</f>
        <v>-30</v>
      </c>
      <c r="T123" s="81">
        <f>-43-S123-R123</f>
        <v>-18</v>
      </c>
      <c r="U123" s="32">
        <f t="shared" si="305"/>
        <v>164</v>
      </c>
      <c r="V123" s="81">
        <v>19</v>
      </c>
      <c r="W123" s="32"/>
      <c r="X123" s="32">
        <f>SUM(I123:L123)</f>
        <v>424</v>
      </c>
      <c r="Y123" s="32">
        <f>SUM(J123:M123)</f>
        <v>377</v>
      </c>
      <c r="Z123" s="32">
        <f t="shared" ref="Z123" si="319">SUM(K123:N123)</f>
        <v>-72</v>
      </c>
      <c r="AA123" s="32">
        <f t="shared" ref="AA123" si="320">SUM(L123:O123)</f>
        <v>-91</v>
      </c>
      <c r="AB123" s="32">
        <f t="shared" ref="AB123" si="321">SUM(M123:P123)</f>
        <v>-98</v>
      </c>
      <c r="AC123" s="32">
        <f t="shared" ref="AC123" si="322">SUM(N123:Q123)</f>
        <v>-93</v>
      </c>
      <c r="AD123" s="32">
        <f t="shared" ref="AD123" si="323">SUM(O123:R123)</f>
        <v>-83</v>
      </c>
      <c r="AE123" s="32">
        <f t="shared" ref="AE123" si="324">SUM(P123:S123)</f>
        <v>-71</v>
      </c>
      <c r="AF123" s="32">
        <f t="shared" ref="AF123:AG123" si="325">SUM(Q123:T123)</f>
        <v>-85</v>
      </c>
      <c r="AG123" s="32">
        <f t="shared" si="325"/>
        <v>121</v>
      </c>
      <c r="AH123" s="58"/>
      <c r="AI123" s="74">
        <f t="shared" si="306"/>
        <v>-2.301075268817204</v>
      </c>
    </row>
    <row r="124" spans="2:35" ht="12.75" customHeight="1">
      <c r="B124" s="13" t="s">
        <v>51</v>
      </c>
      <c r="C124" s="14">
        <f t="shared" ref="C124:H124" si="326">SUM(C118:C123)</f>
        <v>1427</v>
      </c>
      <c r="D124" s="14">
        <f t="shared" si="326"/>
        <v>-152</v>
      </c>
      <c r="E124" s="14">
        <f t="shared" si="326"/>
        <v>-4288</v>
      </c>
      <c r="F124" s="14">
        <f t="shared" si="326"/>
        <v>-2006</v>
      </c>
      <c r="G124" s="14">
        <f t="shared" si="326"/>
        <v>-1926</v>
      </c>
      <c r="H124" s="14">
        <f t="shared" si="326"/>
        <v>708</v>
      </c>
      <c r="J124" s="14">
        <f t="shared" ref="J124:V124" si="327">SUM(J118:J123)</f>
        <v>-510</v>
      </c>
      <c r="K124" s="14">
        <f t="shared" si="327"/>
        <v>-325</v>
      </c>
      <c r="L124" s="14">
        <f t="shared" si="327"/>
        <v>17</v>
      </c>
      <c r="M124" s="14">
        <f t="shared" si="327"/>
        <v>-1188</v>
      </c>
      <c r="N124" s="14">
        <f t="shared" si="327"/>
        <v>-1889</v>
      </c>
      <c r="O124" s="14">
        <f t="shared" si="327"/>
        <v>-1176</v>
      </c>
      <c r="P124" s="14">
        <f t="shared" si="327"/>
        <v>555</v>
      </c>
      <c r="Q124" s="14">
        <f t="shared" si="327"/>
        <v>584</v>
      </c>
      <c r="R124" s="14">
        <f t="shared" si="327"/>
        <v>790</v>
      </c>
      <c r="S124" s="14">
        <f t="shared" si="327"/>
        <v>-130</v>
      </c>
      <c r="T124" s="14">
        <f t="shared" si="327"/>
        <v>-256</v>
      </c>
      <c r="U124" s="14">
        <f t="shared" si="327"/>
        <v>304</v>
      </c>
      <c r="V124" s="14">
        <f t="shared" si="327"/>
        <v>361</v>
      </c>
      <c r="X124" s="14">
        <f t="shared" ref="X124:AF124" si="328">SUM(X118:X123)</f>
        <v>-818</v>
      </c>
      <c r="Y124" s="14">
        <f t="shared" si="328"/>
        <v>-2006</v>
      </c>
      <c r="Z124" s="14">
        <f t="shared" si="328"/>
        <v>-3385</v>
      </c>
      <c r="AA124" s="14">
        <f t="shared" si="328"/>
        <v>-4236</v>
      </c>
      <c r="AB124" s="14">
        <f t="shared" si="328"/>
        <v>-3698</v>
      </c>
      <c r="AC124" s="14">
        <f t="shared" si="328"/>
        <v>-1926</v>
      </c>
      <c r="AD124" s="14">
        <f t="shared" si="328"/>
        <v>753</v>
      </c>
      <c r="AE124" s="14">
        <f t="shared" si="328"/>
        <v>1799</v>
      </c>
      <c r="AF124" s="14">
        <f t="shared" si="328"/>
        <v>988</v>
      </c>
      <c r="AG124" s="14">
        <f t="shared" ref="AG124" si="329">SUM(AG118:AG123)</f>
        <v>708</v>
      </c>
      <c r="AH124" s="41"/>
      <c r="AI124" s="75">
        <f t="shared" si="306"/>
        <v>-1.367601246105919</v>
      </c>
    </row>
    <row r="125" spans="2:35" ht="5.0999999999999996" customHeight="1">
      <c r="B125" s="51"/>
      <c r="C125" s="60"/>
      <c r="D125" s="60"/>
      <c r="E125" s="60"/>
      <c r="F125" s="60"/>
      <c r="G125" s="60"/>
      <c r="H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38"/>
    </row>
    <row r="126" spans="2:35" ht="12.75" customHeight="1">
      <c r="B126" s="52" t="s">
        <v>52</v>
      </c>
      <c r="C126" s="62"/>
      <c r="D126" s="62"/>
      <c r="E126" s="62"/>
      <c r="F126" s="62"/>
      <c r="G126" s="62"/>
      <c r="H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63"/>
      <c r="AI126" s="74"/>
    </row>
    <row r="127" spans="2:35" ht="12.75" customHeight="1">
      <c r="B127" s="83" t="s">
        <v>174</v>
      </c>
      <c r="C127" s="81">
        <v>-8114</v>
      </c>
      <c r="D127" s="81">
        <v>-8676</v>
      </c>
      <c r="E127" s="81">
        <v>-11589</v>
      </c>
      <c r="F127" s="81">
        <v>-12101</v>
      </c>
      <c r="G127" s="81">
        <v>-16713</v>
      </c>
      <c r="H127" s="81">
        <v>-18316</v>
      </c>
      <c r="J127" s="81">
        <v>-3115</v>
      </c>
      <c r="K127" s="81">
        <f>-5309-J127</f>
        <v>-2194</v>
      </c>
      <c r="L127" s="81">
        <f>-8350-K127-J127</f>
        <v>-3041</v>
      </c>
      <c r="M127" s="32">
        <f t="shared" ref="M127" si="330">SUM(F127-SUM(J127:L127))</f>
        <v>-3751</v>
      </c>
      <c r="N127" s="81">
        <v>-3580</v>
      </c>
      <c r="O127" s="81">
        <f>-6338-N127</f>
        <v>-2758</v>
      </c>
      <c r="P127" s="81">
        <f>-10865-O127-N127</f>
        <v>-4527</v>
      </c>
      <c r="Q127" s="32">
        <f t="shared" ref="Q127" si="331">SUM(G127-SUM(N127:P127))</f>
        <v>-5848</v>
      </c>
      <c r="R127" s="81">
        <v>-4011</v>
      </c>
      <c r="S127" s="81">
        <f>-8607-R127</f>
        <v>-4596</v>
      </c>
      <c r="T127" s="81">
        <f>-13389-S127-R127</f>
        <v>-4782</v>
      </c>
      <c r="U127" s="32">
        <f t="shared" ref="U127:V133" si="332">SUM(H127-SUM(R127:T127))</f>
        <v>-4927</v>
      </c>
      <c r="V127" s="81">
        <v>-3725</v>
      </c>
      <c r="W127" s="32"/>
      <c r="X127" s="32">
        <f>SUM(I127:L127)</f>
        <v>-8350</v>
      </c>
      <c r="Y127" s="32">
        <f>SUM(J127:M127)</f>
        <v>-12101</v>
      </c>
      <c r="Z127" s="32">
        <f>SUM(K127:N127)</f>
        <v>-12566</v>
      </c>
      <c r="AA127" s="32">
        <f>SUM(L127:O127)</f>
        <v>-13130</v>
      </c>
      <c r="AB127" s="32">
        <f>SUM(M127:P127)</f>
        <v>-14616</v>
      </c>
      <c r="AC127" s="32">
        <f>SUM(N127:Q127)</f>
        <v>-16713</v>
      </c>
      <c r="AD127" s="32">
        <f>SUM(O127:R127)</f>
        <v>-17144</v>
      </c>
      <c r="AE127" s="32">
        <f>SUM(P127:S127)</f>
        <v>-18982</v>
      </c>
      <c r="AF127" s="32">
        <f>SUM(Q127:T127)</f>
        <v>-19237</v>
      </c>
      <c r="AG127" s="32">
        <f>SUM(R127:U127)</f>
        <v>-18316</v>
      </c>
      <c r="AH127" s="63"/>
      <c r="AI127" s="74">
        <f t="shared" ref="AI127:AI134" si="333">SUM(AG127/AC127)-1</f>
        <v>9.591336085681812E-2</v>
      </c>
    </row>
    <row r="128" spans="2:35" ht="12.75" customHeight="1">
      <c r="B128" s="83" t="s">
        <v>175</v>
      </c>
      <c r="C128" s="81">
        <v>0</v>
      </c>
      <c r="D128" s="81">
        <v>-3000</v>
      </c>
      <c r="E128" s="81">
        <v>-1000</v>
      </c>
      <c r="F128" s="81">
        <v>-2250</v>
      </c>
      <c r="G128" s="81">
        <v>0</v>
      </c>
      <c r="H128" s="81">
        <v>0</v>
      </c>
      <c r="J128" s="81">
        <v>-2250</v>
      </c>
      <c r="K128" s="81">
        <f>-2250-J128</f>
        <v>0</v>
      </c>
      <c r="L128" s="81">
        <f>-2250-K128-J128</f>
        <v>0</v>
      </c>
      <c r="M128" s="32">
        <f t="shared" ref="M128:M133" si="334">SUM(F128-SUM(J128:L128))</f>
        <v>0</v>
      </c>
      <c r="N128" s="81">
        <v>0</v>
      </c>
      <c r="O128" s="81">
        <v>0</v>
      </c>
      <c r="P128" s="81">
        <v>0</v>
      </c>
      <c r="Q128" s="32">
        <f t="shared" ref="Q128:Q133" si="335">SUM(G128-SUM(N128:P128))</f>
        <v>0</v>
      </c>
      <c r="R128" s="81">
        <v>0</v>
      </c>
      <c r="S128" s="81">
        <v>0</v>
      </c>
      <c r="T128" s="81">
        <v>0</v>
      </c>
      <c r="U128" s="32">
        <f t="shared" si="332"/>
        <v>0</v>
      </c>
      <c r="V128" s="81">
        <v>-4000</v>
      </c>
      <c r="W128" s="32"/>
      <c r="X128" s="32">
        <f>SUM(I128:L128)</f>
        <v>-2250</v>
      </c>
      <c r="Y128" s="32">
        <f>SUM(J128:M128)</f>
        <v>-2250</v>
      </c>
      <c r="Z128" s="32">
        <f t="shared" ref="Z128:Z133" si="336">SUM(K128:N128)</f>
        <v>0</v>
      </c>
      <c r="AA128" s="32">
        <f t="shared" ref="AA128:AA133" si="337">SUM(L128:O128)</f>
        <v>0</v>
      </c>
      <c r="AB128" s="32">
        <f t="shared" ref="AB128:AB133" si="338">SUM(M128:P128)</f>
        <v>0</v>
      </c>
      <c r="AC128" s="32">
        <f t="shared" ref="AC128:AC133" si="339">SUM(N128:Q128)</f>
        <v>0</v>
      </c>
      <c r="AD128" s="32">
        <f t="shared" ref="AD128:AD133" si="340">SUM(O128:R128)</f>
        <v>0</v>
      </c>
      <c r="AE128" s="32">
        <f t="shared" ref="AE128:AE133" si="341">SUM(P128:S128)</f>
        <v>0</v>
      </c>
      <c r="AF128" s="32">
        <f t="shared" ref="AF128:AG133" si="342">SUM(Q128:T128)</f>
        <v>0</v>
      </c>
      <c r="AG128" s="32">
        <f t="shared" si="342"/>
        <v>0</v>
      </c>
      <c r="AH128" s="63"/>
      <c r="AI128" s="74" t="e">
        <f t="shared" si="333"/>
        <v>#DIV/0!</v>
      </c>
    </row>
    <row r="129" spans="2:35" ht="12.75" customHeight="1">
      <c r="B129" s="83" t="s">
        <v>176</v>
      </c>
      <c r="C129" s="81">
        <v>-2664</v>
      </c>
      <c r="D129" s="81">
        <v>-2798</v>
      </c>
      <c r="E129" s="81">
        <v>-3203</v>
      </c>
      <c r="F129" s="81">
        <v>-3751</v>
      </c>
      <c r="G129" s="81">
        <v>-4217</v>
      </c>
      <c r="H129" s="81">
        <v>-4634</v>
      </c>
      <c r="J129" s="81">
        <v>-945</v>
      </c>
      <c r="K129" s="81">
        <f>-1886-J129</f>
        <v>-941</v>
      </c>
      <c r="L129" s="81">
        <f>-2823-K129-J129</f>
        <v>-937</v>
      </c>
      <c r="M129" s="32">
        <f t="shared" si="334"/>
        <v>-928</v>
      </c>
      <c r="N129" s="81">
        <v>-1060</v>
      </c>
      <c r="O129" s="81">
        <f>-2120-N129</f>
        <v>-1060</v>
      </c>
      <c r="P129" s="81">
        <f>-3176-O129-N129</f>
        <v>-1056</v>
      </c>
      <c r="Q129" s="32">
        <f t="shared" si="335"/>
        <v>-1041</v>
      </c>
      <c r="R129" s="81">
        <v>-1170</v>
      </c>
      <c r="S129" s="81">
        <f>-2334-R129</f>
        <v>-1164</v>
      </c>
      <c r="T129" s="81">
        <f>-3488-S129-R129</f>
        <v>-1154</v>
      </c>
      <c r="U129" s="32">
        <f t="shared" si="332"/>
        <v>-1146</v>
      </c>
      <c r="V129" s="81">
        <v>-1293</v>
      </c>
      <c r="W129" s="32"/>
      <c r="X129" s="32">
        <f>SUM(I129:L129)</f>
        <v>-2823</v>
      </c>
      <c r="Y129" s="32">
        <f>SUM(J129:M129)</f>
        <v>-3751</v>
      </c>
      <c r="Z129" s="32">
        <f t="shared" si="336"/>
        <v>-3866</v>
      </c>
      <c r="AA129" s="32">
        <f t="shared" si="337"/>
        <v>-3985</v>
      </c>
      <c r="AB129" s="32">
        <f t="shared" si="338"/>
        <v>-4104</v>
      </c>
      <c r="AC129" s="32">
        <f t="shared" si="339"/>
        <v>-4217</v>
      </c>
      <c r="AD129" s="32">
        <f t="shared" si="340"/>
        <v>-4327</v>
      </c>
      <c r="AE129" s="32">
        <f t="shared" si="341"/>
        <v>-4431</v>
      </c>
      <c r="AF129" s="32">
        <f t="shared" si="342"/>
        <v>-4529</v>
      </c>
      <c r="AG129" s="32">
        <f t="shared" si="342"/>
        <v>-4634</v>
      </c>
      <c r="AH129" s="63"/>
      <c r="AI129" s="74">
        <f t="shared" si="333"/>
        <v>9.8885463599715395E-2</v>
      </c>
    </row>
    <row r="130" spans="2:35" ht="12.75" customHeight="1">
      <c r="B130" s="83" t="s">
        <v>177</v>
      </c>
      <c r="C130" s="81">
        <v>7212</v>
      </c>
      <c r="D130" s="81">
        <v>0</v>
      </c>
      <c r="E130" s="81">
        <v>3218</v>
      </c>
      <c r="F130" s="81">
        <v>0</v>
      </c>
      <c r="G130" s="81">
        <v>0</v>
      </c>
      <c r="H130" s="81">
        <v>3924</v>
      </c>
      <c r="J130" s="81">
        <v>0</v>
      </c>
      <c r="K130" s="81">
        <v>0</v>
      </c>
      <c r="L130" s="81">
        <v>0</v>
      </c>
      <c r="M130" s="32">
        <f t="shared" si="334"/>
        <v>0</v>
      </c>
      <c r="N130" s="81">
        <v>0</v>
      </c>
      <c r="O130" s="81">
        <v>0</v>
      </c>
      <c r="P130" s="81">
        <v>0</v>
      </c>
      <c r="Q130" s="32">
        <f t="shared" si="335"/>
        <v>0</v>
      </c>
      <c r="R130" s="81">
        <v>0</v>
      </c>
      <c r="S130" s="81">
        <v>0</v>
      </c>
      <c r="T130" s="81">
        <f>3924-S130-R130</f>
        <v>3924</v>
      </c>
      <c r="U130" s="32">
        <f t="shared" si="332"/>
        <v>0</v>
      </c>
      <c r="V130" s="81">
        <v>0</v>
      </c>
      <c r="W130" s="32"/>
      <c r="X130" s="32">
        <f>SUM(I130:L130)</f>
        <v>0</v>
      </c>
      <c r="Y130" s="32">
        <f>SUM(J130:M130)</f>
        <v>0</v>
      </c>
      <c r="Z130" s="32">
        <f t="shared" si="336"/>
        <v>0</v>
      </c>
      <c r="AA130" s="32">
        <f t="shared" si="337"/>
        <v>0</v>
      </c>
      <c r="AB130" s="32">
        <f t="shared" si="338"/>
        <v>0</v>
      </c>
      <c r="AC130" s="32">
        <f t="shared" si="339"/>
        <v>0</v>
      </c>
      <c r="AD130" s="32">
        <f t="shared" si="340"/>
        <v>0</v>
      </c>
      <c r="AE130" s="32">
        <f t="shared" si="341"/>
        <v>0</v>
      </c>
      <c r="AF130" s="32">
        <f t="shared" si="342"/>
        <v>3924</v>
      </c>
      <c r="AG130" s="32">
        <f t="shared" si="342"/>
        <v>3924</v>
      </c>
      <c r="AH130" s="63"/>
      <c r="AI130" s="74" t="e">
        <f t="shared" si="333"/>
        <v>#DIV/0!</v>
      </c>
    </row>
    <row r="131" spans="2:35" ht="12.75" customHeight="1">
      <c r="B131" s="83" t="s">
        <v>178</v>
      </c>
      <c r="C131" s="81">
        <v>190</v>
      </c>
      <c r="D131" s="81">
        <v>208</v>
      </c>
      <c r="E131" s="81">
        <v>196</v>
      </c>
      <c r="F131" s="81">
        <v>260</v>
      </c>
      <c r="G131" s="81">
        <v>335</v>
      </c>
      <c r="H131" s="81">
        <v>396</v>
      </c>
      <c r="J131" s="81">
        <v>56</v>
      </c>
      <c r="K131" s="81">
        <f>118-J131</f>
        <v>62</v>
      </c>
      <c r="L131" s="81">
        <f>189-K131-J131</f>
        <v>71</v>
      </c>
      <c r="M131" s="32">
        <f t="shared" si="334"/>
        <v>71</v>
      </c>
      <c r="N131" s="81">
        <v>104</v>
      </c>
      <c r="O131" s="81">
        <f>183-N131</f>
        <v>79</v>
      </c>
      <c r="P131" s="81">
        <f>267-O131-N131</f>
        <v>84</v>
      </c>
      <c r="Q131" s="32">
        <f t="shared" si="335"/>
        <v>68</v>
      </c>
      <c r="R131" s="81">
        <v>127</v>
      </c>
      <c r="S131" s="81">
        <f>246-R131</f>
        <v>119</v>
      </c>
      <c r="T131" s="81">
        <f>341-S131-R131</f>
        <v>95</v>
      </c>
      <c r="U131" s="32">
        <f t="shared" si="332"/>
        <v>55</v>
      </c>
      <c r="V131" s="81">
        <v>78</v>
      </c>
      <c r="W131" s="32"/>
      <c r="X131" s="32">
        <f>SUM(I131:L131)</f>
        <v>189</v>
      </c>
      <c r="Y131" s="32">
        <f>SUM(J131:M131)</f>
        <v>260</v>
      </c>
      <c r="Z131" s="32">
        <f t="shared" si="336"/>
        <v>308</v>
      </c>
      <c r="AA131" s="32">
        <f t="shared" si="337"/>
        <v>325</v>
      </c>
      <c r="AB131" s="32">
        <f t="shared" si="338"/>
        <v>338</v>
      </c>
      <c r="AC131" s="32">
        <f t="shared" si="339"/>
        <v>335</v>
      </c>
      <c r="AD131" s="32">
        <f t="shared" si="340"/>
        <v>358</v>
      </c>
      <c r="AE131" s="32">
        <f t="shared" si="341"/>
        <v>398</v>
      </c>
      <c r="AF131" s="32">
        <f t="shared" si="342"/>
        <v>409</v>
      </c>
      <c r="AG131" s="32">
        <f t="shared" si="342"/>
        <v>396</v>
      </c>
      <c r="AH131" s="63"/>
      <c r="AI131" s="74">
        <f t="shared" si="333"/>
        <v>0.18208955223880596</v>
      </c>
    </row>
    <row r="132" spans="2:35" ht="12.75" customHeight="1">
      <c r="B132" s="83" t="s">
        <v>179</v>
      </c>
      <c r="C132" s="81">
        <v>-160</v>
      </c>
      <c r="D132" s="81">
        <v>-144</v>
      </c>
      <c r="E132" s="81">
        <v>-120</v>
      </c>
      <c r="F132" s="81">
        <v>-130</v>
      </c>
      <c r="G132" s="81">
        <v>-208</v>
      </c>
      <c r="H132" s="81">
        <v>-281</v>
      </c>
      <c r="J132" s="81">
        <v>-112</v>
      </c>
      <c r="K132" s="81">
        <f>-118-J132</f>
        <v>-6</v>
      </c>
      <c r="L132" s="81">
        <f>-125-K132-J132</f>
        <v>-7</v>
      </c>
      <c r="M132" s="32">
        <f t="shared" si="334"/>
        <v>-5</v>
      </c>
      <c r="N132" s="81">
        <v>-172</v>
      </c>
      <c r="O132" s="81">
        <f>-181-N132</f>
        <v>-9</v>
      </c>
      <c r="P132" s="81">
        <f>-189-O132-N132</f>
        <v>-8</v>
      </c>
      <c r="Q132" s="32">
        <f t="shared" si="335"/>
        <v>-19</v>
      </c>
      <c r="R132" s="81">
        <v>-235</v>
      </c>
      <c r="S132" s="81">
        <f>-242-R132</f>
        <v>-7</v>
      </c>
      <c r="T132" s="81">
        <f>-254-S132-R132</f>
        <v>-12</v>
      </c>
      <c r="U132" s="32">
        <f t="shared" si="332"/>
        <v>-27</v>
      </c>
      <c r="V132" s="81">
        <v>-231</v>
      </c>
      <c r="W132" s="32"/>
      <c r="X132" s="32">
        <f>SUM(I132:L132)</f>
        <v>-125</v>
      </c>
      <c r="Y132" s="32">
        <f>SUM(J132:M132)</f>
        <v>-130</v>
      </c>
      <c r="Z132" s="32">
        <f t="shared" si="336"/>
        <v>-190</v>
      </c>
      <c r="AA132" s="32">
        <f t="shared" si="337"/>
        <v>-193</v>
      </c>
      <c r="AB132" s="32">
        <f t="shared" si="338"/>
        <v>-194</v>
      </c>
      <c r="AC132" s="32">
        <f t="shared" si="339"/>
        <v>-208</v>
      </c>
      <c r="AD132" s="32">
        <f t="shared" si="340"/>
        <v>-271</v>
      </c>
      <c r="AE132" s="32">
        <f t="shared" si="341"/>
        <v>-269</v>
      </c>
      <c r="AF132" s="32">
        <f t="shared" si="342"/>
        <v>-273</v>
      </c>
      <c r="AG132" s="32">
        <f t="shared" si="342"/>
        <v>-281</v>
      </c>
      <c r="AH132" s="63"/>
      <c r="AI132" s="74">
        <f t="shared" si="333"/>
        <v>0.35096153846153855</v>
      </c>
    </row>
    <row r="133" spans="2:35" ht="12.75" customHeight="1">
      <c r="B133" s="83" t="s">
        <v>180</v>
      </c>
      <c r="C133" s="81">
        <v>-432</v>
      </c>
      <c r="D133" s="81">
        <v>0</v>
      </c>
      <c r="E133" s="81">
        <v>-198</v>
      </c>
      <c r="F133" s="81">
        <v>200</v>
      </c>
      <c r="G133" s="81">
        <v>170</v>
      </c>
      <c r="H133" s="81">
        <v>-52</v>
      </c>
      <c r="J133" s="81">
        <v>19</v>
      </c>
      <c r="K133" s="81">
        <f>172-J133</f>
        <v>153</v>
      </c>
      <c r="L133" s="81">
        <f>167-K133-J133</f>
        <v>-5</v>
      </c>
      <c r="M133" s="32">
        <f t="shared" si="334"/>
        <v>33</v>
      </c>
      <c r="N133" s="81">
        <v>329</v>
      </c>
      <c r="O133" s="81">
        <f>203-N133</f>
        <v>-126</v>
      </c>
      <c r="P133" s="81">
        <f>399-O133-N133</f>
        <v>196</v>
      </c>
      <c r="Q133" s="32">
        <f t="shared" si="335"/>
        <v>-229</v>
      </c>
      <c r="R133" s="81">
        <v>-186</v>
      </c>
      <c r="S133" s="81">
        <f>-198-R133</f>
        <v>-12</v>
      </c>
      <c r="T133" s="81">
        <f>-97-S133-R133</f>
        <v>101</v>
      </c>
      <c r="U133" s="32">
        <f t="shared" si="332"/>
        <v>45</v>
      </c>
      <c r="V133" s="81">
        <v>185</v>
      </c>
      <c r="W133" s="32"/>
      <c r="X133" s="32">
        <f>SUM(I133:L133)</f>
        <v>167</v>
      </c>
      <c r="Y133" s="32">
        <f>SUM(J133:M133)</f>
        <v>200</v>
      </c>
      <c r="Z133" s="32">
        <f t="shared" si="336"/>
        <v>510</v>
      </c>
      <c r="AA133" s="32">
        <f t="shared" si="337"/>
        <v>231</v>
      </c>
      <c r="AB133" s="32">
        <f t="shared" si="338"/>
        <v>432</v>
      </c>
      <c r="AC133" s="32">
        <f t="shared" si="339"/>
        <v>170</v>
      </c>
      <c r="AD133" s="32">
        <f t="shared" si="340"/>
        <v>-345</v>
      </c>
      <c r="AE133" s="32">
        <f t="shared" si="341"/>
        <v>-231</v>
      </c>
      <c r="AF133" s="32">
        <f t="shared" si="342"/>
        <v>-326</v>
      </c>
      <c r="AG133" s="32">
        <f t="shared" si="342"/>
        <v>-52</v>
      </c>
      <c r="AH133" s="63"/>
      <c r="AI133" s="74">
        <f t="shared" si="333"/>
        <v>-1.3058823529411765</v>
      </c>
    </row>
    <row r="134" spans="2:35" ht="12.75" customHeight="1">
      <c r="B134" s="13" t="s">
        <v>53</v>
      </c>
      <c r="C134" s="14">
        <f t="shared" ref="C134:H134" si="343">SUM(C127:C133)</f>
        <v>-3968</v>
      </c>
      <c r="D134" s="14">
        <f t="shared" si="343"/>
        <v>-14410</v>
      </c>
      <c r="E134" s="14">
        <f t="shared" si="343"/>
        <v>-12696</v>
      </c>
      <c r="F134" s="14">
        <f t="shared" si="343"/>
        <v>-17772</v>
      </c>
      <c r="G134" s="14">
        <f t="shared" si="343"/>
        <v>-20633</v>
      </c>
      <c r="H134" s="14">
        <f t="shared" si="343"/>
        <v>-18963</v>
      </c>
      <c r="J134" s="14">
        <f t="shared" ref="J134:V134" si="344">SUM(J127:J133)</f>
        <v>-6347</v>
      </c>
      <c r="K134" s="14">
        <f t="shared" si="344"/>
        <v>-2926</v>
      </c>
      <c r="L134" s="14">
        <f t="shared" si="344"/>
        <v>-3919</v>
      </c>
      <c r="M134" s="14">
        <f t="shared" si="344"/>
        <v>-4580</v>
      </c>
      <c r="N134" s="14">
        <f t="shared" si="344"/>
        <v>-4379</v>
      </c>
      <c r="O134" s="14">
        <f t="shared" si="344"/>
        <v>-3874</v>
      </c>
      <c r="P134" s="14">
        <f t="shared" si="344"/>
        <v>-5311</v>
      </c>
      <c r="Q134" s="14">
        <f t="shared" si="344"/>
        <v>-7069</v>
      </c>
      <c r="R134" s="14">
        <f t="shared" si="344"/>
        <v>-5475</v>
      </c>
      <c r="S134" s="14">
        <f t="shared" si="344"/>
        <v>-5660</v>
      </c>
      <c r="T134" s="14">
        <f t="shared" si="344"/>
        <v>-1828</v>
      </c>
      <c r="U134" s="14">
        <f t="shared" si="344"/>
        <v>-6000</v>
      </c>
      <c r="V134" s="14">
        <f t="shared" si="344"/>
        <v>-8986</v>
      </c>
      <c r="X134" s="14">
        <f t="shared" ref="X134:AG134" si="345">SUM(X127:X133)</f>
        <v>-13192</v>
      </c>
      <c r="Y134" s="14">
        <f t="shared" si="345"/>
        <v>-17772</v>
      </c>
      <c r="Z134" s="14">
        <f t="shared" si="345"/>
        <v>-15804</v>
      </c>
      <c r="AA134" s="14">
        <f t="shared" si="345"/>
        <v>-16752</v>
      </c>
      <c r="AB134" s="14">
        <f t="shared" si="345"/>
        <v>-18144</v>
      </c>
      <c r="AC134" s="14">
        <f t="shared" si="345"/>
        <v>-20633</v>
      </c>
      <c r="AD134" s="14">
        <f t="shared" si="345"/>
        <v>-21729</v>
      </c>
      <c r="AE134" s="14">
        <f t="shared" si="345"/>
        <v>-23515</v>
      </c>
      <c r="AF134" s="14">
        <f t="shared" si="345"/>
        <v>-20032</v>
      </c>
      <c r="AG134" s="14">
        <f t="shared" si="345"/>
        <v>-18963</v>
      </c>
      <c r="AH134" s="41"/>
      <c r="AI134" s="75">
        <f t="shared" si="333"/>
        <v>-8.0938302718945421E-2</v>
      </c>
    </row>
    <row r="135" spans="2:35" ht="5.0999999999999996" customHeight="1">
      <c r="B135" s="70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11"/>
      <c r="AI135" s="44"/>
    </row>
    <row r="136" spans="2:35">
      <c r="B136" s="173" t="s">
        <v>78</v>
      </c>
      <c r="C136" s="174">
        <v>7838</v>
      </c>
      <c r="D136" s="175">
        <f t="shared" ref="D136:H136" si="346">C143</f>
        <v>16289</v>
      </c>
      <c r="E136" s="175">
        <f t="shared" si="346"/>
        <v>16487</v>
      </c>
      <c r="F136" s="175">
        <f t="shared" si="346"/>
        <v>15689</v>
      </c>
      <c r="G136" s="175">
        <f t="shared" si="346"/>
        <v>16286</v>
      </c>
      <c r="H136" s="175">
        <f t="shared" si="346"/>
        <v>11975</v>
      </c>
      <c r="I136" s="175"/>
      <c r="J136" s="175">
        <f>F136</f>
        <v>15689</v>
      </c>
      <c r="K136" s="175">
        <f t="shared" ref="K136:V136" si="347">J143</f>
        <v>13334</v>
      </c>
      <c r="L136" s="175">
        <f t="shared" si="347"/>
        <v>13842</v>
      </c>
      <c r="M136" s="175">
        <f t="shared" si="347"/>
        <v>15590</v>
      </c>
      <c r="N136" s="175">
        <f t="shared" si="347"/>
        <v>16286</v>
      </c>
      <c r="O136" s="175">
        <f t="shared" si="347"/>
        <v>13591</v>
      </c>
      <c r="P136" s="175">
        <f t="shared" si="347"/>
        <v>12993</v>
      </c>
      <c r="Q136" s="175">
        <f t="shared" si="347"/>
        <v>12947</v>
      </c>
      <c r="R136" s="175">
        <f t="shared" si="347"/>
        <v>11975</v>
      </c>
      <c r="S136" s="175">
        <f t="shared" si="347"/>
        <v>12367</v>
      </c>
      <c r="T136" s="175">
        <f t="shared" si="347"/>
        <v>11734</v>
      </c>
      <c r="U136" s="175">
        <f t="shared" ref="U136:V136" si="348">T143</f>
        <v>17092</v>
      </c>
      <c r="V136" s="175">
        <f t="shared" si="347"/>
        <v>17164</v>
      </c>
      <c r="W136" s="175"/>
      <c r="X136" s="175">
        <f>M136</f>
        <v>15590</v>
      </c>
      <c r="Y136" s="175">
        <f>X143</f>
        <v>16286</v>
      </c>
      <c r="Z136" s="175">
        <f t="shared" ref="Z136:AG136" si="349">Y143</f>
        <v>13591</v>
      </c>
      <c r="AA136" s="175">
        <f t="shared" si="349"/>
        <v>12993</v>
      </c>
      <c r="AB136" s="175">
        <f t="shared" si="349"/>
        <v>12947</v>
      </c>
      <c r="AC136" s="175">
        <f t="shared" si="349"/>
        <v>11975</v>
      </c>
      <c r="AD136" s="175">
        <f t="shared" si="349"/>
        <v>12367</v>
      </c>
      <c r="AE136" s="175">
        <f t="shared" si="349"/>
        <v>11734</v>
      </c>
      <c r="AF136" s="175">
        <f t="shared" si="349"/>
        <v>17092</v>
      </c>
      <c r="AG136" s="168">
        <f t="shared" si="349"/>
        <v>17164</v>
      </c>
      <c r="AH136" s="11"/>
      <c r="AI136" s="44"/>
    </row>
    <row r="137" spans="2:35">
      <c r="B137" s="123" t="s">
        <v>89</v>
      </c>
      <c r="C137" s="169">
        <f>1205+1648+141</f>
        <v>2994</v>
      </c>
      <c r="D137" s="159">
        <f t="shared" ref="D137:H137" si="350">-C141</f>
        <v>2882</v>
      </c>
      <c r="E137" s="159">
        <f t="shared" si="350"/>
        <v>3312</v>
      </c>
      <c r="F137" s="159">
        <f t="shared" si="350"/>
        <v>4688</v>
      </c>
      <c r="G137" s="159">
        <f t="shared" si="350"/>
        <v>5704</v>
      </c>
      <c r="H137" s="159">
        <f t="shared" si="350"/>
        <v>7788</v>
      </c>
      <c r="I137" s="159"/>
      <c r="J137" s="159">
        <f t="shared" ref="J137" si="351">F137</f>
        <v>4688</v>
      </c>
      <c r="K137" s="159">
        <f t="shared" ref="K137:V137" si="352">-J141</f>
        <v>5049</v>
      </c>
      <c r="L137" s="159">
        <f t="shared" si="352"/>
        <v>5286</v>
      </c>
      <c r="M137" s="159">
        <f t="shared" si="352"/>
        <v>5449</v>
      </c>
      <c r="N137" s="159">
        <f t="shared" si="352"/>
        <v>5704</v>
      </c>
      <c r="O137" s="159">
        <f t="shared" si="352"/>
        <v>6045</v>
      </c>
      <c r="P137" s="159">
        <f t="shared" si="352"/>
        <v>5955</v>
      </c>
      <c r="Q137" s="159">
        <f t="shared" si="352"/>
        <v>6329</v>
      </c>
      <c r="R137" s="159">
        <f t="shared" si="352"/>
        <v>7788</v>
      </c>
      <c r="S137" s="159">
        <f t="shared" si="352"/>
        <v>7599</v>
      </c>
      <c r="T137" s="159">
        <f t="shared" si="352"/>
        <v>7402</v>
      </c>
      <c r="U137" s="159">
        <f t="shared" si="352"/>
        <v>7349</v>
      </c>
      <c r="V137" s="159">
        <f t="shared" si="352"/>
        <v>7823</v>
      </c>
      <c r="W137" s="159"/>
      <c r="X137" s="159">
        <f>M137</f>
        <v>5449</v>
      </c>
      <c r="Y137" s="159">
        <f>-X141</f>
        <v>5704</v>
      </c>
      <c r="Z137" s="159">
        <f t="shared" ref="Z137:AG137" si="353">-Y141</f>
        <v>6045</v>
      </c>
      <c r="AA137" s="159">
        <f t="shared" si="353"/>
        <v>5955</v>
      </c>
      <c r="AB137" s="159">
        <f t="shared" si="353"/>
        <v>6329</v>
      </c>
      <c r="AC137" s="159">
        <f t="shared" si="353"/>
        <v>7788</v>
      </c>
      <c r="AD137" s="159">
        <f t="shared" si="353"/>
        <v>7599</v>
      </c>
      <c r="AE137" s="159">
        <f t="shared" si="353"/>
        <v>7402</v>
      </c>
      <c r="AF137" s="159">
        <f t="shared" si="353"/>
        <v>7349</v>
      </c>
      <c r="AG137" s="163">
        <f t="shared" si="353"/>
        <v>7823</v>
      </c>
      <c r="AH137" s="11"/>
      <c r="AI137" s="44"/>
    </row>
    <row r="138" spans="2:35">
      <c r="B138" s="132" t="s">
        <v>65</v>
      </c>
      <c r="C138" s="133">
        <f t="shared" ref="C138" si="354">SUM(C136:C137)</f>
        <v>10832</v>
      </c>
      <c r="D138" s="133">
        <f t="shared" ref="D138:G138" si="355">SUM(D136:D137)</f>
        <v>19171</v>
      </c>
      <c r="E138" s="133">
        <f t="shared" si="355"/>
        <v>19799</v>
      </c>
      <c r="F138" s="133">
        <f t="shared" si="355"/>
        <v>20377</v>
      </c>
      <c r="G138" s="133">
        <f t="shared" si="355"/>
        <v>21990</v>
      </c>
      <c r="H138" s="133">
        <f t="shared" ref="H138" si="356">SUM(H136:H137)</f>
        <v>19763</v>
      </c>
      <c r="I138" s="159"/>
      <c r="J138" s="133">
        <f t="shared" ref="J138:T138" si="357">SUM(J136:J137)</f>
        <v>20377</v>
      </c>
      <c r="K138" s="133">
        <f t="shared" si="357"/>
        <v>18383</v>
      </c>
      <c r="L138" s="133">
        <f t="shared" si="357"/>
        <v>19128</v>
      </c>
      <c r="M138" s="133">
        <f t="shared" si="357"/>
        <v>21039</v>
      </c>
      <c r="N138" s="133">
        <f t="shared" si="357"/>
        <v>21990</v>
      </c>
      <c r="O138" s="133">
        <f t="shared" si="357"/>
        <v>19636</v>
      </c>
      <c r="P138" s="133">
        <f t="shared" si="357"/>
        <v>18948</v>
      </c>
      <c r="Q138" s="133">
        <f t="shared" si="357"/>
        <v>19276</v>
      </c>
      <c r="R138" s="133">
        <f t="shared" si="357"/>
        <v>19763</v>
      </c>
      <c r="S138" s="133">
        <f t="shared" si="357"/>
        <v>19966</v>
      </c>
      <c r="T138" s="133">
        <f t="shared" si="357"/>
        <v>19136</v>
      </c>
      <c r="U138" s="133">
        <f t="shared" ref="U138:V138" si="358">SUM(U136:U137)</f>
        <v>24441</v>
      </c>
      <c r="V138" s="133">
        <f t="shared" si="358"/>
        <v>24987</v>
      </c>
      <c r="W138" s="159"/>
      <c r="X138" s="133">
        <f t="shared" ref="X138:AF138" si="359">SUM(X136:X137)</f>
        <v>21039</v>
      </c>
      <c r="Y138" s="133">
        <f t="shared" si="359"/>
        <v>21990</v>
      </c>
      <c r="Z138" s="133">
        <f t="shared" si="359"/>
        <v>19636</v>
      </c>
      <c r="AA138" s="133">
        <f t="shared" si="359"/>
        <v>18948</v>
      </c>
      <c r="AB138" s="133">
        <f t="shared" si="359"/>
        <v>19276</v>
      </c>
      <c r="AC138" s="133">
        <f t="shared" si="359"/>
        <v>19763</v>
      </c>
      <c r="AD138" s="133">
        <f t="shared" si="359"/>
        <v>19966</v>
      </c>
      <c r="AE138" s="133">
        <f t="shared" si="359"/>
        <v>19136</v>
      </c>
      <c r="AF138" s="133">
        <f t="shared" si="359"/>
        <v>24441</v>
      </c>
      <c r="AG138" s="164">
        <f t="shared" ref="AG138" si="360">SUM(AG136:AG137)</f>
        <v>24987</v>
      </c>
      <c r="AH138" s="11"/>
      <c r="AI138" s="44"/>
    </row>
    <row r="139" spans="2:35" ht="5.0999999999999996" customHeight="1">
      <c r="B139" s="126"/>
      <c r="C139" s="160"/>
      <c r="D139" s="160"/>
      <c r="E139" s="160"/>
      <c r="F139" s="160"/>
      <c r="G139" s="160"/>
      <c r="H139" s="160"/>
      <c r="I139" s="159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59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5"/>
      <c r="AH139" s="11"/>
      <c r="AI139" s="44"/>
    </row>
    <row r="140" spans="2:35">
      <c r="B140" s="123" t="s">
        <v>79</v>
      </c>
      <c r="C140" s="169">
        <v>440</v>
      </c>
      <c r="D140" s="169">
        <v>-37</v>
      </c>
      <c r="E140" s="169">
        <v>-1287</v>
      </c>
      <c r="F140" s="169">
        <v>636</v>
      </c>
      <c r="G140" s="169">
        <v>382</v>
      </c>
      <c r="H140" s="169">
        <v>420</v>
      </c>
      <c r="I140" s="159"/>
      <c r="J140" s="169">
        <v>692</v>
      </c>
      <c r="K140" s="169">
        <f>828-J140</f>
        <v>136</v>
      </c>
      <c r="L140" s="169">
        <f>844-K140-J140</f>
        <v>16</v>
      </c>
      <c r="M140" s="159">
        <f t="shared" ref="M140" si="361">SUM(F140-SUM(J140:L140))</f>
        <v>-208</v>
      </c>
      <c r="N140" s="169">
        <v>300</v>
      </c>
      <c r="O140" s="169">
        <f>124-N140</f>
        <v>-176</v>
      </c>
      <c r="P140" s="169">
        <f>74-O140-N140</f>
        <v>-50</v>
      </c>
      <c r="Q140" s="159">
        <f t="shared" ref="Q140" si="362">SUM(G140-SUM(N140:P140))</f>
        <v>308</v>
      </c>
      <c r="R140" s="169">
        <v>-508</v>
      </c>
      <c r="S140" s="169">
        <f>-243-R140</f>
        <v>265</v>
      </c>
      <c r="T140" s="169">
        <f>416-S140-R140</f>
        <v>659</v>
      </c>
      <c r="U140" s="159">
        <f>SUM(H140-SUM(R140:T140))</f>
        <v>4</v>
      </c>
      <c r="V140" s="169">
        <v>34</v>
      </c>
      <c r="W140" s="159"/>
      <c r="X140" s="159">
        <f>M140</f>
        <v>-208</v>
      </c>
      <c r="Y140" s="159">
        <f>N140</f>
        <v>300</v>
      </c>
      <c r="Z140" s="159">
        <f>O140</f>
        <v>-176</v>
      </c>
      <c r="AA140" s="159">
        <f>P140</f>
        <v>-50</v>
      </c>
      <c r="AB140" s="159">
        <f>Q140</f>
        <v>308</v>
      </c>
      <c r="AC140" s="159">
        <f>R140</f>
        <v>-508</v>
      </c>
      <c r="AD140" s="159">
        <f>S140</f>
        <v>265</v>
      </c>
      <c r="AE140" s="159">
        <f>T140</f>
        <v>659</v>
      </c>
      <c r="AF140" s="159">
        <f>U140</f>
        <v>4</v>
      </c>
      <c r="AG140" s="163">
        <f>V140</f>
        <v>34</v>
      </c>
      <c r="AH140" s="11"/>
      <c r="AI140" s="44"/>
    </row>
    <row r="141" spans="2:35">
      <c r="B141" s="123" t="s">
        <v>88</v>
      </c>
      <c r="C141" s="169">
        <f>-901-1850-131</f>
        <v>-2882</v>
      </c>
      <c r="D141" s="169">
        <f>-894-2260-158</f>
        <v>-3312</v>
      </c>
      <c r="E141" s="169">
        <f>-1449-2342-897</f>
        <v>-4688</v>
      </c>
      <c r="F141" s="169">
        <f>-1764-3005-935</f>
        <v>-5704</v>
      </c>
      <c r="G141" s="169">
        <f>-3089-3524-1175</f>
        <v>-7788</v>
      </c>
      <c r="H141" s="169">
        <f>-2990-3625-1208</f>
        <v>-7823</v>
      </c>
      <c r="I141" s="159"/>
      <c r="J141" s="169">
        <f>-1705-2591-753</f>
        <v>-5049</v>
      </c>
      <c r="K141" s="169">
        <f>-2739-931-1616</f>
        <v>-5286</v>
      </c>
      <c r="L141" s="169">
        <f>-1627-2907-915</f>
        <v>-5449</v>
      </c>
      <c r="M141" s="159">
        <f>F141</f>
        <v>-5704</v>
      </c>
      <c r="N141" s="169">
        <f>-1616-3164-1265</f>
        <v>-6045</v>
      </c>
      <c r="O141" s="169">
        <f>-1584-3367-1004</f>
        <v>-5955</v>
      </c>
      <c r="P141" s="169">
        <f>-3472-1596-1261</f>
        <v>-6329</v>
      </c>
      <c r="Q141" s="159">
        <f>G141</f>
        <v>-7788</v>
      </c>
      <c r="R141" s="169">
        <f>-3112-3518-969</f>
        <v>-7599</v>
      </c>
      <c r="S141" s="169">
        <f>-2926-3543-933</f>
        <v>-7402</v>
      </c>
      <c r="T141" s="169">
        <f>-2696-3614-1039</f>
        <v>-7349</v>
      </c>
      <c r="U141" s="159">
        <f>H141</f>
        <v>-7823</v>
      </c>
      <c r="V141" s="169">
        <f>-3300-3712-1408</f>
        <v>-8420</v>
      </c>
      <c r="W141" s="159"/>
      <c r="X141" s="159">
        <f>M141</f>
        <v>-5704</v>
      </c>
      <c r="Y141" s="159">
        <f>N141</f>
        <v>-6045</v>
      </c>
      <c r="Z141" s="159">
        <f>O141</f>
        <v>-5955</v>
      </c>
      <c r="AA141" s="159">
        <f>P141</f>
        <v>-6329</v>
      </c>
      <c r="AB141" s="159">
        <f>Q141</f>
        <v>-7788</v>
      </c>
      <c r="AC141" s="159">
        <f>R141</f>
        <v>-7599</v>
      </c>
      <c r="AD141" s="159">
        <f>S141</f>
        <v>-7402</v>
      </c>
      <c r="AE141" s="159">
        <f>T141</f>
        <v>-7349</v>
      </c>
      <c r="AF141" s="159">
        <f>U141</f>
        <v>-7823</v>
      </c>
      <c r="AG141" s="163">
        <f>V141</f>
        <v>-8420</v>
      </c>
      <c r="AH141" s="11"/>
      <c r="AI141" s="44"/>
    </row>
    <row r="142" spans="2:35">
      <c r="B142" s="123" t="s">
        <v>57</v>
      </c>
      <c r="C142" s="159">
        <f t="shared" ref="C142:H142" si="363">+C134+C124+C115</f>
        <v>7899</v>
      </c>
      <c r="D142" s="159">
        <f t="shared" si="363"/>
        <v>665</v>
      </c>
      <c r="E142" s="159">
        <f t="shared" si="363"/>
        <v>1865</v>
      </c>
      <c r="F142" s="159">
        <f t="shared" si="363"/>
        <v>977</v>
      </c>
      <c r="G142" s="159">
        <f t="shared" si="363"/>
        <v>-2609</v>
      </c>
      <c r="H142" s="159">
        <f t="shared" si="363"/>
        <v>4804</v>
      </c>
      <c r="I142" s="159"/>
      <c r="J142" s="159">
        <f t="shared" ref="J142:U142" si="364">+J134+J124+J115</f>
        <v>-2686</v>
      </c>
      <c r="K142" s="159">
        <f t="shared" si="364"/>
        <v>609</v>
      </c>
      <c r="L142" s="159">
        <f t="shared" si="364"/>
        <v>1895</v>
      </c>
      <c r="M142" s="159">
        <f t="shared" si="364"/>
        <v>1159</v>
      </c>
      <c r="N142" s="159">
        <f t="shared" si="364"/>
        <v>-2654</v>
      </c>
      <c r="O142" s="159">
        <f t="shared" si="364"/>
        <v>-512</v>
      </c>
      <c r="P142" s="159">
        <f t="shared" si="364"/>
        <v>378</v>
      </c>
      <c r="Q142" s="159">
        <f t="shared" si="364"/>
        <v>179</v>
      </c>
      <c r="R142" s="159">
        <f t="shared" si="364"/>
        <v>711</v>
      </c>
      <c r="S142" s="159">
        <f t="shared" si="364"/>
        <v>-1095</v>
      </c>
      <c r="T142" s="159">
        <f t="shared" si="364"/>
        <v>4646</v>
      </c>
      <c r="U142" s="159">
        <f t="shared" si="364"/>
        <v>542</v>
      </c>
      <c r="V142" s="159">
        <f t="shared" ref="V142" si="365">+V134+V124+V115</f>
        <v>-1845</v>
      </c>
      <c r="W142" s="159"/>
      <c r="X142" s="159">
        <f>M142</f>
        <v>1159</v>
      </c>
      <c r="Y142" s="159">
        <f>N142</f>
        <v>-2654</v>
      </c>
      <c r="Z142" s="159">
        <f>O142</f>
        <v>-512</v>
      </c>
      <c r="AA142" s="159">
        <f>P142</f>
        <v>378</v>
      </c>
      <c r="AB142" s="159">
        <f>Q142</f>
        <v>179</v>
      </c>
      <c r="AC142" s="159">
        <f>R142</f>
        <v>711</v>
      </c>
      <c r="AD142" s="159">
        <f>S142</f>
        <v>-1095</v>
      </c>
      <c r="AE142" s="159">
        <f>T142</f>
        <v>4646</v>
      </c>
      <c r="AF142" s="159">
        <f>U142</f>
        <v>542</v>
      </c>
      <c r="AG142" s="163">
        <f>V142</f>
        <v>-1845</v>
      </c>
      <c r="AH142" s="11"/>
      <c r="AI142" s="44"/>
    </row>
    <row r="143" spans="2:35">
      <c r="B143" s="86" t="s">
        <v>66</v>
      </c>
      <c r="C143" s="133">
        <f t="shared" ref="C143:H143" si="366">SUM(C138:C142)</f>
        <v>16289</v>
      </c>
      <c r="D143" s="133">
        <f t="shared" si="366"/>
        <v>16487</v>
      </c>
      <c r="E143" s="133">
        <f t="shared" si="366"/>
        <v>15689</v>
      </c>
      <c r="F143" s="133">
        <f t="shared" si="366"/>
        <v>16286</v>
      </c>
      <c r="G143" s="133">
        <f t="shared" si="366"/>
        <v>11975</v>
      </c>
      <c r="H143" s="133">
        <f t="shared" si="366"/>
        <v>17164</v>
      </c>
      <c r="I143" s="159"/>
      <c r="J143" s="133">
        <f t="shared" ref="J143:U143" si="367">SUM(J138:J142)</f>
        <v>13334</v>
      </c>
      <c r="K143" s="133">
        <f t="shared" si="367"/>
        <v>13842</v>
      </c>
      <c r="L143" s="133">
        <f t="shared" si="367"/>
        <v>15590</v>
      </c>
      <c r="M143" s="133">
        <f t="shared" si="367"/>
        <v>16286</v>
      </c>
      <c r="N143" s="133">
        <f t="shared" si="367"/>
        <v>13591</v>
      </c>
      <c r="O143" s="133">
        <f t="shared" si="367"/>
        <v>12993</v>
      </c>
      <c r="P143" s="133">
        <f t="shared" si="367"/>
        <v>12947</v>
      </c>
      <c r="Q143" s="133">
        <f t="shared" si="367"/>
        <v>11975</v>
      </c>
      <c r="R143" s="133">
        <f t="shared" si="367"/>
        <v>12367</v>
      </c>
      <c r="S143" s="133">
        <f t="shared" si="367"/>
        <v>11734</v>
      </c>
      <c r="T143" s="133">
        <f t="shared" si="367"/>
        <v>17092</v>
      </c>
      <c r="U143" s="133">
        <f t="shared" si="367"/>
        <v>17164</v>
      </c>
      <c r="V143" s="133">
        <f t="shared" ref="V143" si="368">SUM(V138:V142)</f>
        <v>14756</v>
      </c>
      <c r="W143" s="159"/>
      <c r="X143" s="133">
        <f t="shared" ref="X143:AF143" si="369">SUM(X138:X142)</f>
        <v>16286</v>
      </c>
      <c r="Y143" s="133">
        <f t="shared" si="369"/>
        <v>13591</v>
      </c>
      <c r="Z143" s="133">
        <f t="shared" si="369"/>
        <v>12993</v>
      </c>
      <c r="AA143" s="133">
        <f t="shared" si="369"/>
        <v>12947</v>
      </c>
      <c r="AB143" s="133">
        <f t="shared" si="369"/>
        <v>11975</v>
      </c>
      <c r="AC143" s="133">
        <f t="shared" si="369"/>
        <v>12367</v>
      </c>
      <c r="AD143" s="133">
        <f t="shared" si="369"/>
        <v>11734</v>
      </c>
      <c r="AE143" s="133">
        <f t="shared" si="369"/>
        <v>17092</v>
      </c>
      <c r="AF143" s="133">
        <f t="shared" si="369"/>
        <v>17164</v>
      </c>
      <c r="AG143" s="164">
        <f t="shared" ref="AG143" si="370">SUM(AG138:AG142)</f>
        <v>14756</v>
      </c>
      <c r="AH143" s="11"/>
      <c r="AI143" s="44"/>
    </row>
    <row r="144" spans="2:35" ht="5.0999999999999996" customHeight="1">
      <c r="B144" s="87"/>
      <c r="C144" s="64"/>
      <c r="D144" s="64"/>
      <c r="E144" s="64"/>
      <c r="F144" s="64"/>
      <c r="G144" s="64"/>
      <c r="H144" s="64"/>
      <c r="I144" s="159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162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6"/>
      <c r="AH144" s="11"/>
      <c r="AI144" s="44"/>
    </row>
    <row r="145" spans="2:35">
      <c r="B145" s="170" t="s">
        <v>81</v>
      </c>
      <c r="C145" s="171">
        <f t="shared" ref="C145:H145" si="371">ROUND(C143-C43,1)</f>
        <v>0</v>
      </c>
      <c r="D145" s="171">
        <f t="shared" si="371"/>
        <v>0</v>
      </c>
      <c r="E145" s="171">
        <f t="shared" si="371"/>
        <v>0</v>
      </c>
      <c r="F145" s="171">
        <f t="shared" si="371"/>
        <v>0</v>
      </c>
      <c r="G145" s="171">
        <f t="shared" si="371"/>
        <v>0</v>
      </c>
      <c r="H145" s="171">
        <f t="shared" si="371"/>
        <v>0</v>
      </c>
      <c r="I145" s="172"/>
      <c r="J145" s="171">
        <f t="shared" ref="J145:U145" si="372">J143-J43</f>
        <v>0</v>
      </c>
      <c r="K145" s="171">
        <f t="shared" si="372"/>
        <v>0</v>
      </c>
      <c r="L145" s="171">
        <f t="shared" si="372"/>
        <v>0</v>
      </c>
      <c r="M145" s="171">
        <f t="shared" si="372"/>
        <v>0</v>
      </c>
      <c r="N145" s="171">
        <f t="shared" si="372"/>
        <v>0</v>
      </c>
      <c r="O145" s="171">
        <f t="shared" si="372"/>
        <v>0</v>
      </c>
      <c r="P145" s="171">
        <f t="shared" si="372"/>
        <v>0</v>
      </c>
      <c r="Q145" s="171">
        <f t="shared" si="372"/>
        <v>0</v>
      </c>
      <c r="R145" s="171">
        <f t="shared" si="372"/>
        <v>0</v>
      </c>
      <c r="S145" s="171">
        <f t="shared" si="372"/>
        <v>0</v>
      </c>
      <c r="T145" s="171">
        <f t="shared" si="372"/>
        <v>0</v>
      </c>
      <c r="U145" s="171">
        <f t="shared" si="372"/>
        <v>0</v>
      </c>
      <c r="V145" s="171">
        <f t="shared" ref="V145" si="373">V143-V43</f>
        <v>0</v>
      </c>
      <c r="W145" s="171"/>
      <c r="X145" s="171">
        <f t="shared" ref="X145:AF145" si="374">X143-X43</f>
        <v>0</v>
      </c>
      <c r="Y145" s="171">
        <f t="shared" si="374"/>
        <v>0</v>
      </c>
      <c r="Z145" s="171">
        <f t="shared" si="374"/>
        <v>0</v>
      </c>
      <c r="AA145" s="171">
        <f t="shared" si="374"/>
        <v>0</v>
      </c>
      <c r="AB145" s="171">
        <f t="shared" si="374"/>
        <v>0</v>
      </c>
      <c r="AC145" s="171">
        <f t="shared" si="374"/>
        <v>0</v>
      </c>
      <c r="AD145" s="171">
        <f t="shared" si="374"/>
        <v>0</v>
      </c>
      <c r="AE145" s="171">
        <f t="shared" si="374"/>
        <v>0</v>
      </c>
      <c r="AF145" s="171">
        <f t="shared" si="374"/>
        <v>0</v>
      </c>
      <c r="AG145" s="167">
        <f t="shared" ref="AG145" si="375">AG143-AG43</f>
        <v>0</v>
      </c>
      <c r="AH145" s="11"/>
      <c r="AI145" s="44"/>
    </row>
    <row r="146" spans="2:35" ht="5.0999999999999996" customHeight="1">
      <c r="B146" s="8"/>
      <c r="C146" s="64"/>
      <c r="D146" s="64"/>
      <c r="E146" s="64"/>
      <c r="F146" s="64"/>
      <c r="G146" s="64"/>
      <c r="H146" s="64"/>
      <c r="I146" s="32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44"/>
    </row>
    <row r="147" spans="2:35" ht="12.75" customHeight="1">
      <c r="B147" s="71" t="s">
        <v>58</v>
      </c>
      <c r="C147" s="61"/>
      <c r="D147" s="61"/>
      <c r="E147" s="61"/>
      <c r="F147" s="61"/>
      <c r="G147" s="61"/>
      <c r="H147" s="61"/>
      <c r="I147" s="11"/>
      <c r="J147" s="61"/>
      <c r="K147" s="61"/>
      <c r="L147" s="61"/>
      <c r="M147" s="61"/>
      <c r="N147" s="61"/>
      <c r="O147" s="61"/>
      <c r="P147" s="61"/>
      <c r="Q147" s="61"/>
      <c r="R147" s="81"/>
      <c r="S147" s="61"/>
      <c r="T147" s="61"/>
      <c r="U147" s="61"/>
      <c r="V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5"/>
      <c r="AI147" s="44"/>
    </row>
    <row r="148" spans="2:35" ht="12.75" customHeight="1">
      <c r="B148" s="8" t="s">
        <v>100</v>
      </c>
      <c r="C148" s="81">
        <v>2671</v>
      </c>
      <c r="D148" s="81">
        <v>3012</v>
      </c>
      <c r="E148" s="81">
        <v>3741</v>
      </c>
      <c r="F148" s="81">
        <v>3433</v>
      </c>
      <c r="G148" s="81">
        <v>5775</v>
      </c>
      <c r="H148" s="81">
        <v>4541</v>
      </c>
      <c r="I148" s="11"/>
      <c r="J148" s="81">
        <v>721</v>
      </c>
      <c r="K148" s="81">
        <f>2635-J148</f>
        <v>1914</v>
      </c>
      <c r="L148" s="81">
        <f>3013-K148-J148</f>
        <v>378</v>
      </c>
      <c r="M148" s="32">
        <f t="shared" ref="M148:M149" si="376">SUM(F148-SUM(J148:L148))</f>
        <v>420</v>
      </c>
      <c r="N148" s="81">
        <v>1503</v>
      </c>
      <c r="O148" s="81">
        <f>3658-N148</f>
        <v>2155</v>
      </c>
      <c r="P148" s="81">
        <f>4699-O148-N148</f>
        <v>1041</v>
      </c>
      <c r="Q148" s="32">
        <f t="shared" ref="Q148:Q149" si="377">SUM(G148-SUM(N148:P148))</f>
        <v>1076</v>
      </c>
      <c r="R148" s="81">
        <v>1194</v>
      </c>
      <c r="S148" s="81">
        <f>3055-R148</f>
        <v>1861</v>
      </c>
      <c r="T148" s="81">
        <f>3587-S148-R148</f>
        <v>532</v>
      </c>
      <c r="U148" s="32">
        <f t="shared" ref="U148:V149" si="378">SUM(H148-SUM(R148:T148))</f>
        <v>954</v>
      </c>
      <c r="V148" s="81">
        <v>1290</v>
      </c>
      <c r="X148" s="32">
        <f>SUM(I148:L148)</f>
        <v>3013</v>
      </c>
      <c r="Y148" s="32">
        <f>SUM(J148:M148)</f>
        <v>3433</v>
      </c>
      <c r="Z148" s="32">
        <f>SUM(K148:N148)</f>
        <v>4215</v>
      </c>
      <c r="AA148" s="32">
        <f>SUM(L148:O148)</f>
        <v>4456</v>
      </c>
      <c r="AB148" s="32">
        <f>SUM(M148:P148)</f>
        <v>5119</v>
      </c>
      <c r="AC148" s="32">
        <f>SUM(N148:Q148)</f>
        <v>5775</v>
      </c>
      <c r="AD148" s="32">
        <f>SUM(O148:R148)</f>
        <v>5466</v>
      </c>
      <c r="AE148" s="32">
        <f>SUM(P148:S148)</f>
        <v>5172</v>
      </c>
      <c r="AF148" s="32">
        <f>SUM(Q148:T148)</f>
        <v>4663</v>
      </c>
      <c r="AG148" s="32">
        <f>SUM(R148:U148)</f>
        <v>4541</v>
      </c>
      <c r="AH148" s="65"/>
      <c r="AI148" s="44"/>
    </row>
    <row r="149" spans="2:35" ht="12.75" customHeight="1">
      <c r="B149" s="8" t="s">
        <v>181</v>
      </c>
      <c r="C149" s="81">
        <v>537</v>
      </c>
      <c r="D149" s="81">
        <v>643</v>
      </c>
      <c r="E149" s="81">
        <v>607</v>
      </c>
      <c r="F149" s="81">
        <v>617</v>
      </c>
      <c r="G149" s="81">
        <v>583</v>
      </c>
      <c r="H149" s="81">
        <v>587</v>
      </c>
      <c r="I149" s="32"/>
      <c r="J149" s="81">
        <v>244</v>
      </c>
      <c r="K149" s="81">
        <f>293-J149</f>
        <v>49</v>
      </c>
      <c r="L149" s="81">
        <f>568-K149-J149</f>
        <v>275</v>
      </c>
      <c r="M149" s="32">
        <f t="shared" si="376"/>
        <v>49</v>
      </c>
      <c r="N149" s="81">
        <v>213</v>
      </c>
      <c r="O149" s="81">
        <f>261-N149</f>
        <v>48</v>
      </c>
      <c r="P149" s="81">
        <f>534-O149-N149</f>
        <v>273</v>
      </c>
      <c r="Q149" s="32">
        <f t="shared" si="377"/>
        <v>49</v>
      </c>
      <c r="R149" s="81">
        <v>213</v>
      </c>
      <c r="S149" s="81">
        <f>261-R149</f>
        <v>48</v>
      </c>
      <c r="T149" s="81">
        <f>539-S149-R149</f>
        <v>278</v>
      </c>
      <c r="U149" s="32">
        <f t="shared" si="378"/>
        <v>48</v>
      </c>
      <c r="V149" s="81">
        <v>213</v>
      </c>
      <c r="W149" s="32"/>
      <c r="X149" s="32">
        <f>SUM(I149:L149)</f>
        <v>568</v>
      </c>
      <c r="Y149" s="32">
        <f>SUM(J149:M149)</f>
        <v>617</v>
      </c>
      <c r="Z149" s="32">
        <f>SUM(K149:N149)</f>
        <v>586</v>
      </c>
      <c r="AA149" s="32">
        <f>SUM(L149:O149)</f>
        <v>585</v>
      </c>
      <c r="AB149" s="32">
        <f>SUM(M149:P149)</f>
        <v>583</v>
      </c>
      <c r="AC149" s="32">
        <f>SUM(N149:Q149)</f>
        <v>583</v>
      </c>
      <c r="AD149" s="32">
        <f>SUM(O149:R149)</f>
        <v>583</v>
      </c>
      <c r="AE149" s="32">
        <f>SUM(P149:S149)</f>
        <v>583</v>
      </c>
      <c r="AF149" s="32">
        <f>SUM(Q149:T149)</f>
        <v>588</v>
      </c>
      <c r="AG149" s="32">
        <f>SUM(R149:U149)</f>
        <v>587</v>
      </c>
      <c r="AH149" s="11"/>
      <c r="AI149" s="44"/>
    </row>
    <row r="150" spans="2:35" ht="5.0999999999999996" customHeight="1" thickBot="1">
      <c r="B150" s="72"/>
      <c r="C150" s="73"/>
      <c r="D150" s="73"/>
      <c r="E150" s="73"/>
      <c r="F150" s="73"/>
      <c r="G150" s="73"/>
      <c r="H150" s="73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I150" s="44"/>
    </row>
    <row r="151" spans="2:35" ht="12.75" customHeight="1">
      <c r="B151" s="52"/>
      <c r="C151" s="66"/>
      <c r="D151" s="66"/>
      <c r="E151" s="66"/>
      <c r="F151" s="66"/>
      <c r="G151" s="66"/>
      <c r="H151" s="66"/>
    </row>
    <row r="152" spans="2:35" ht="12.75" customHeight="1">
      <c r="C152" s="55"/>
      <c r="D152" s="55"/>
      <c r="E152" s="55"/>
      <c r="F152" s="55"/>
      <c r="G152" s="55"/>
      <c r="H152" s="55"/>
    </row>
    <row r="153" spans="2:35" ht="12.75" customHeight="1"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</row>
    <row r="154" spans="2:35" ht="12.75" customHeight="1"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</row>
    <row r="155" spans="2:35" ht="12.75" customHeight="1"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</row>
    <row r="156" spans="2:35" ht="12.75" customHeight="1"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</row>
    <row r="157" spans="2:35" ht="12.75" customHeight="1"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85"/>
    </row>
    <row r="158" spans="2:35" ht="12.75" customHeight="1"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</row>
    <row r="159" spans="2:35" ht="12.75" customHeight="1"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85"/>
    </row>
    <row r="160" spans="2:35"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85"/>
    </row>
    <row r="161" spans="5:15"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85"/>
    </row>
    <row r="162" spans="5:15">
      <c r="E162" s="55"/>
      <c r="F162" s="55"/>
      <c r="G162" s="55"/>
      <c r="H162" s="55"/>
      <c r="I162" s="55"/>
      <c r="J162" s="55"/>
      <c r="K162" s="55"/>
      <c r="L162" s="55"/>
      <c r="M162" s="55"/>
      <c r="N162" s="55"/>
    </row>
    <row r="163" spans="5:15"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85"/>
    </row>
    <row r="164" spans="5:15"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85"/>
    </row>
    <row r="165" spans="5:15">
      <c r="E165" s="55"/>
      <c r="F165" s="55"/>
      <c r="G165" s="55"/>
      <c r="H165" s="55"/>
      <c r="I165" s="55"/>
      <c r="J165" s="55"/>
      <c r="K165" s="55"/>
      <c r="L165" s="55"/>
      <c r="M165" s="55"/>
      <c r="N165" s="55"/>
    </row>
    <row r="166" spans="5:15">
      <c r="E166" s="55"/>
      <c r="F166" s="55"/>
      <c r="G166" s="55"/>
      <c r="H166" s="55"/>
      <c r="I166" s="55"/>
      <c r="J166" s="55"/>
      <c r="K166" s="55"/>
      <c r="L166" s="55"/>
      <c r="M166" s="55"/>
      <c r="N166" s="55"/>
    </row>
  </sheetData>
  <mergeCells count="3">
    <mergeCell ref="AI6:AI8"/>
    <mergeCell ref="AI38:AI40"/>
    <mergeCell ref="AI91:AI93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E30 I51 Y21:AC22 Y26:AC26 Y25:AA25" formulaRange="1"/>
    <ignoredError sqref="D21:G22 J21:T22 J26:T26 D26:G26 AH116:AI116 J30:T30 D30:G30 AH117 AH125:AI126 AF115:AF117 AF125:AF126 AH115 AH124 AH127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F32"/>
  <sheetViews>
    <sheetView showGridLines="0" zoomScaleNormal="100" workbookViewId="0">
      <selection activeCell="A27" sqref="A27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8" width="8.625" style="8" bestFit="1" customWidth="1"/>
    <col min="9" max="9" width="1.5" style="8" customWidth="1"/>
    <col min="10" max="11" width="8" style="8" customWidth="1" outlineLevel="1"/>
    <col min="12" max="13" width="8.75" style="8" customWidth="1" outlineLevel="1"/>
    <col min="14" max="14" width="8.5" style="8" customWidth="1" outlineLevel="1"/>
    <col min="15" max="15" width="8.25" style="8" customWidth="1" outlineLevel="1"/>
    <col min="16" max="16" width="8.5" style="8" bestFit="1" customWidth="1"/>
    <col min="17" max="22" width="9.125" style="8" bestFit="1" customWidth="1"/>
    <col min="23" max="23" width="1.5" style="8" customWidth="1"/>
    <col min="24" max="27" width="8.75" style="8" customWidth="1" outlineLevel="1"/>
    <col min="28" max="28" width="8.75" style="8" customWidth="1"/>
    <col min="29" max="31" width="8.75" style="8" customWidth="1" outlineLevel="1"/>
    <col min="32" max="32" width="8.75" style="8" customWidth="1"/>
    <col min="33" max="16384" width="9" style="8"/>
  </cols>
  <sheetData>
    <row r="2" spans="1:32" s="5" customFormat="1" ht="12.75" customHeight="1">
      <c r="B2" s="1" t="str">
        <f>'Historical Financials'!B2</f>
        <v>Visa Inc (NYSE: V)</v>
      </c>
      <c r="C2" s="2" t="s">
        <v>0</v>
      </c>
      <c r="D2" s="2"/>
      <c r="E2" s="2" t="s">
        <v>0</v>
      </c>
      <c r="F2" s="2"/>
      <c r="G2" s="2"/>
      <c r="H2" s="2"/>
      <c r="I2" s="3"/>
      <c r="J2" s="2"/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2"/>
      <c r="V2" s="2"/>
      <c r="W2" s="3"/>
      <c r="X2" s="2"/>
      <c r="Y2" s="2"/>
      <c r="Z2" s="2"/>
      <c r="AA2" s="2"/>
      <c r="AB2" s="2" t="s">
        <v>10</v>
      </c>
      <c r="AC2" s="2"/>
      <c r="AD2" s="2"/>
      <c r="AE2" s="2"/>
      <c r="AF2" s="2"/>
    </row>
    <row r="3" spans="1:32" s="5" customFormat="1" ht="12.75" customHeight="1">
      <c r="B3" s="6" t="s">
        <v>61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1Q23</v>
      </c>
      <c r="K3" s="7" t="str">
        <f>'Historical Financials'!K7</f>
        <v>2Q23</v>
      </c>
      <c r="L3" s="7" t="str">
        <f>'Historical Financials'!L7</f>
        <v>3Q23</v>
      </c>
      <c r="M3" s="7" t="str">
        <f>'Historical Financials'!M7</f>
        <v>4Q23</v>
      </c>
      <c r="N3" s="7" t="str">
        <f>'Historical Financials'!N7</f>
        <v>1Q24</v>
      </c>
      <c r="O3" s="7" t="str">
        <f>'Historical Financials'!O7</f>
        <v>2Q24</v>
      </c>
      <c r="P3" s="7" t="str">
        <f>'Historical Financials'!P7</f>
        <v>3Q24</v>
      </c>
      <c r="Q3" s="7" t="str">
        <f>'Historical Financials'!Q7</f>
        <v>4Q24</v>
      </c>
      <c r="R3" s="7" t="str">
        <f>'Historical Financials'!R7</f>
        <v>1Q25</v>
      </c>
      <c r="S3" s="7" t="str">
        <f>'Historical Financials'!S7</f>
        <v>2Q25</v>
      </c>
      <c r="T3" s="7" t="str">
        <f>'Historical Financials'!T7</f>
        <v>3Q25</v>
      </c>
      <c r="U3" s="7" t="str">
        <f>'Historical Financials'!U7</f>
        <v>4Q25</v>
      </c>
      <c r="V3" s="7" t="str">
        <f>'Historical Financials'!V7</f>
        <v>1Q26</v>
      </c>
      <c r="W3" s="4"/>
      <c r="X3" s="4" t="str">
        <f t="shared" ref="X3:AF4" si="0">M3</f>
        <v>4Q23</v>
      </c>
      <c r="Y3" s="4" t="str">
        <f t="shared" si="0"/>
        <v>1Q24</v>
      </c>
      <c r="Z3" s="4" t="str">
        <f t="shared" si="0"/>
        <v>2Q24</v>
      </c>
      <c r="AA3" s="4" t="str">
        <f t="shared" si="0"/>
        <v>3Q24</v>
      </c>
      <c r="AB3" s="4" t="str">
        <f t="shared" si="0"/>
        <v>4Q24</v>
      </c>
      <c r="AC3" s="4" t="str">
        <f t="shared" si="0"/>
        <v>1Q25</v>
      </c>
      <c r="AD3" s="4" t="str">
        <f t="shared" si="0"/>
        <v>2Q25</v>
      </c>
      <c r="AE3" s="4" t="str">
        <f t="shared" si="0"/>
        <v>3Q25</v>
      </c>
      <c r="AF3" s="4" t="str">
        <f t="shared" si="0"/>
        <v>4Q25</v>
      </c>
    </row>
    <row r="4" spans="1:32" s="5" customFormat="1" ht="12.75" customHeight="1">
      <c r="B4" s="6" t="s">
        <v>110</v>
      </c>
      <c r="C4" s="3">
        <f>'Historical Financials'!C8</f>
        <v>44104</v>
      </c>
      <c r="D4" s="3">
        <f>'Historical Financials'!D8</f>
        <v>44469</v>
      </c>
      <c r="E4" s="3">
        <f>'Historical Financials'!E8</f>
        <v>44834</v>
      </c>
      <c r="F4" s="3">
        <f>'Historical Financials'!F8</f>
        <v>45199</v>
      </c>
      <c r="G4" s="3">
        <f>'Historical Financials'!G8</f>
        <v>45565</v>
      </c>
      <c r="H4" s="3">
        <f>'Historical Financials'!H8</f>
        <v>45930</v>
      </c>
      <c r="I4" s="3"/>
      <c r="J4" s="3">
        <f>'Historical Financials'!J8</f>
        <v>44926</v>
      </c>
      <c r="K4" s="3">
        <f>'Historical Financials'!K8</f>
        <v>45015</v>
      </c>
      <c r="L4" s="3">
        <f>'Historical Financials'!L8</f>
        <v>45107</v>
      </c>
      <c r="M4" s="3">
        <f>'Historical Financials'!M8</f>
        <v>45199</v>
      </c>
      <c r="N4" s="3">
        <f>'Historical Financials'!N8</f>
        <v>45291</v>
      </c>
      <c r="O4" s="3">
        <f>'Historical Financials'!O8</f>
        <v>45381</v>
      </c>
      <c r="P4" s="3">
        <f>'Historical Financials'!P8</f>
        <v>45473</v>
      </c>
      <c r="Q4" s="3">
        <f>'Historical Financials'!Q8</f>
        <v>45565</v>
      </c>
      <c r="R4" s="3">
        <f>'Historical Financials'!R8</f>
        <v>45657</v>
      </c>
      <c r="S4" s="3">
        <f>'Historical Financials'!S8</f>
        <v>45746</v>
      </c>
      <c r="T4" s="3">
        <f>'Historical Financials'!T8</f>
        <v>45838</v>
      </c>
      <c r="U4" s="3">
        <f>'Historical Financials'!U8</f>
        <v>45930</v>
      </c>
      <c r="V4" s="3">
        <f>'Historical Financials'!V8</f>
        <v>46022</v>
      </c>
      <c r="W4" s="3"/>
      <c r="X4" s="3">
        <f t="shared" si="0"/>
        <v>45199</v>
      </c>
      <c r="Y4" s="3">
        <f t="shared" si="0"/>
        <v>45291</v>
      </c>
      <c r="Z4" s="3">
        <f t="shared" si="0"/>
        <v>45381</v>
      </c>
      <c r="AA4" s="3">
        <f t="shared" si="0"/>
        <v>45473</v>
      </c>
      <c r="AB4" s="3">
        <f t="shared" si="0"/>
        <v>45565</v>
      </c>
      <c r="AC4" s="3">
        <f t="shared" si="0"/>
        <v>45657</v>
      </c>
      <c r="AD4" s="3">
        <f t="shared" si="0"/>
        <v>45746</v>
      </c>
      <c r="AE4" s="3">
        <f t="shared" si="0"/>
        <v>45838</v>
      </c>
      <c r="AF4" s="3">
        <f t="shared" si="0"/>
        <v>45930</v>
      </c>
    </row>
    <row r="5" spans="1:32" ht="5.0999999999999996" customHeight="1"/>
    <row r="6" spans="1:32">
      <c r="A6" s="35" t="s">
        <v>16</v>
      </c>
      <c r="B6" s="1" t="s">
        <v>111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5.0999999999999996" customHeight="1"/>
    <row r="8" spans="1:32" ht="12.75" customHeight="1">
      <c r="A8" s="79" t="s">
        <v>16</v>
      </c>
      <c r="B8" s="77" t="s">
        <v>112</v>
      </c>
      <c r="C8" s="10"/>
      <c r="D8" s="10"/>
      <c r="E8" s="10"/>
      <c r="F8" s="10"/>
      <c r="G8" s="10"/>
      <c r="H8" s="10"/>
      <c r="I8" s="10"/>
      <c r="J8" s="89"/>
      <c r="K8" s="89"/>
      <c r="L8" s="89"/>
      <c r="M8" s="32"/>
      <c r="N8" s="89"/>
      <c r="O8" s="89"/>
      <c r="P8" s="89"/>
      <c r="Q8" s="32"/>
      <c r="R8" s="89"/>
      <c r="S8" s="89"/>
      <c r="T8" s="89"/>
      <c r="U8" s="89"/>
      <c r="V8" s="89"/>
      <c r="W8" s="5"/>
      <c r="X8" s="11"/>
      <c r="Y8" s="11"/>
      <c r="Z8" s="11"/>
      <c r="AA8" s="11"/>
      <c r="AB8" s="11"/>
      <c r="AC8" s="11"/>
      <c r="AD8" s="11"/>
      <c r="AE8" s="11"/>
      <c r="AF8" s="11"/>
    </row>
    <row r="9" spans="1:32" ht="12.75" customHeight="1">
      <c r="A9" s="79"/>
      <c r="B9" s="9" t="s">
        <v>115</v>
      </c>
      <c r="C9" s="80">
        <v>9804</v>
      </c>
      <c r="D9" s="80">
        <v>11475</v>
      </c>
      <c r="E9" s="80">
        <v>13361</v>
      </c>
      <c r="F9" s="80">
        <v>14826</v>
      </c>
      <c r="G9" s="80">
        <v>16114</v>
      </c>
      <c r="H9" s="80">
        <v>17539</v>
      </c>
      <c r="I9" s="10"/>
      <c r="J9" s="80">
        <v>3511</v>
      </c>
      <c r="K9" s="80">
        <v>3771</v>
      </c>
      <c r="L9" s="80">
        <v>3668</v>
      </c>
      <c r="M9" s="32">
        <f t="shared" ref="M9:M13" si="1">SUM(F9-SUM(J9:L9))</f>
        <v>3876</v>
      </c>
      <c r="N9" s="80">
        <v>3915</v>
      </c>
      <c r="O9" s="80">
        <v>4033</v>
      </c>
      <c r="P9" s="80">
        <v>3967</v>
      </c>
      <c r="Q9" s="32">
        <f t="shared" ref="Q9:Q13" si="2">SUM(G9-SUM(N9:P9))</f>
        <v>4199</v>
      </c>
      <c r="R9" s="80">
        <v>4208</v>
      </c>
      <c r="S9" s="80">
        <v>4399</v>
      </c>
      <c r="T9" s="80">
        <v>4330</v>
      </c>
      <c r="U9" s="32">
        <v>4602</v>
      </c>
      <c r="V9" s="80">
        <v>4760</v>
      </c>
      <c r="W9" s="5"/>
      <c r="X9" s="32">
        <f>SUM(J9:M9)</f>
        <v>14826</v>
      </c>
      <c r="Y9" s="32">
        <f>SUM(K9:N9)</f>
        <v>15230</v>
      </c>
      <c r="Z9" s="32">
        <f>SUM(L9:O9)</f>
        <v>15492</v>
      </c>
      <c r="AA9" s="32">
        <f>SUM(M9:P9)</f>
        <v>15791</v>
      </c>
      <c r="AB9" s="32">
        <f>SUM(N9:Q9)</f>
        <v>16114</v>
      </c>
      <c r="AC9" s="32">
        <f>SUM(O9:R9)</f>
        <v>16407</v>
      </c>
      <c r="AD9" s="32">
        <f>SUM(P9:S9)</f>
        <v>16773</v>
      </c>
      <c r="AE9" s="32">
        <f>SUM(Q9:T9)</f>
        <v>17136</v>
      </c>
      <c r="AF9" s="32">
        <f>SUM(R9:U9)</f>
        <v>17539</v>
      </c>
    </row>
    <row r="10" spans="1:32" ht="12.75" customHeight="1">
      <c r="A10" s="79"/>
      <c r="B10" s="9" t="s">
        <v>116</v>
      </c>
      <c r="C10" s="80">
        <v>10975</v>
      </c>
      <c r="D10" s="80">
        <v>12792</v>
      </c>
      <c r="E10" s="80">
        <v>14438</v>
      </c>
      <c r="F10" s="80">
        <v>16007</v>
      </c>
      <c r="G10" s="80">
        <v>17714</v>
      </c>
      <c r="H10" s="80">
        <v>19993</v>
      </c>
      <c r="I10" s="10"/>
      <c r="J10" s="80">
        <v>3827</v>
      </c>
      <c r="K10" s="80">
        <v>3819</v>
      </c>
      <c r="L10" s="80">
        <v>4105</v>
      </c>
      <c r="M10" s="32">
        <f t="shared" si="1"/>
        <v>4256</v>
      </c>
      <c r="N10" s="80">
        <v>4356</v>
      </c>
      <c r="O10" s="80">
        <v>4259</v>
      </c>
      <c r="P10" s="80">
        <v>4489</v>
      </c>
      <c r="Q10" s="32">
        <f t="shared" si="2"/>
        <v>4610</v>
      </c>
      <c r="R10" s="80">
        <v>4745</v>
      </c>
      <c r="S10" s="80">
        <v>4701</v>
      </c>
      <c r="T10" s="80">
        <v>5153</v>
      </c>
      <c r="U10" s="32">
        <v>5394</v>
      </c>
      <c r="V10" s="80">
        <v>5544</v>
      </c>
      <c r="W10" s="5"/>
      <c r="X10" s="32">
        <f t="shared" ref="X10:X13" si="3">SUM(J10:M10)</f>
        <v>16007</v>
      </c>
      <c r="Y10" s="32">
        <f t="shared" ref="Y10:Y13" si="4">SUM(K10:N10)</f>
        <v>16536</v>
      </c>
      <c r="Z10" s="32">
        <f t="shared" ref="Z10:Z13" si="5">SUM(L10:O10)</f>
        <v>16976</v>
      </c>
      <c r="AA10" s="32">
        <f t="shared" ref="AA10:AA13" si="6">SUM(M10:P10)</f>
        <v>17360</v>
      </c>
      <c r="AB10" s="32">
        <f t="shared" ref="AB10:AB13" si="7">SUM(N10:Q10)</f>
        <v>17714</v>
      </c>
      <c r="AC10" s="32">
        <f t="shared" ref="AC10:AC13" si="8">SUM(O10:R10)</f>
        <v>18103</v>
      </c>
      <c r="AD10" s="32">
        <f t="shared" ref="AD10:AD13" si="9">SUM(P10:S10)</f>
        <v>18545</v>
      </c>
      <c r="AE10" s="32">
        <f t="shared" ref="AE10:AE13" si="10">SUM(Q10:T10)</f>
        <v>19209</v>
      </c>
      <c r="AF10" s="32">
        <f t="shared" ref="AF10:AF13" si="11">SUM(R10:U10)</f>
        <v>19993</v>
      </c>
    </row>
    <row r="11" spans="1:32" ht="12.75" customHeight="1">
      <c r="A11" s="79"/>
      <c r="B11" s="9" t="s">
        <v>117</v>
      </c>
      <c r="C11" s="80">
        <v>6299</v>
      </c>
      <c r="D11" s="80">
        <v>6530</v>
      </c>
      <c r="E11" s="80">
        <v>9815</v>
      </c>
      <c r="F11" s="80">
        <v>11638</v>
      </c>
      <c r="G11" s="80">
        <v>12665</v>
      </c>
      <c r="H11" s="80">
        <v>14166</v>
      </c>
      <c r="I11" s="10"/>
      <c r="J11" s="80">
        <v>2797</v>
      </c>
      <c r="K11" s="80">
        <v>2749</v>
      </c>
      <c r="L11" s="80">
        <v>2920</v>
      </c>
      <c r="M11" s="32">
        <f t="shared" si="1"/>
        <v>3172</v>
      </c>
      <c r="N11" s="80">
        <v>3019</v>
      </c>
      <c r="O11" s="80">
        <v>2984</v>
      </c>
      <c r="P11" s="80">
        <v>3194</v>
      </c>
      <c r="Q11" s="32">
        <f t="shared" si="2"/>
        <v>3468</v>
      </c>
      <c r="R11" s="80">
        <v>3442</v>
      </c>
      <c r="S11" s="80">
        <v>3291</v>
      </c>
      <c r="T11" s="80">
        <v>3633</v>
      </c>
      <c r="U11" s="32">
        <v>3800</v>
      </c>
      <c r="V11" s="80">
        <v>3652</v>
      </c>
      <c r="W11" s="5"/>
      <c r="X11" s="32">
        <f t="shared" si="3"/>
        <v>11638</v>
      </c>
      <c r="Y11" s="32">
        <f t="shared" si="4"/>
        <v>11860</v>
      </c>
      <c r="Z11" s="32">
        <f t="shared" si="5"/>
        <v>12095</v>
      </c>
      <c r="AA11" s="32">
        <f t="shared" si="6"/>
        <v>12369</v>
      </c>
      <c r="AB11" s="32">
        <f t="shared" si="7"/>
        <v>12665</v>
      </c>
      <c r="AC11" s="32">
        <f t="shared" si="8"/>
        <v>13088</v>
      </c>
      <c r="AD11" s="32">
        <f t="shared" si="9"/>
        <v>13395</v>
      </c>
      <c r="AE11" s="32">
        <f t="shared" si="10"/>
        <v>13834</v>
      </c>
      <c r="AF11" s="32">
        <f t="shared" si="11"/>
        <v>14166</v>
      </c>
    </row>
    <row r="12" spans="1:32" ht="12.75" customHeight="1">
      <c r="A12" s="79"/>
      <c r="B12" s="9" t="s">
        <v>118</v>
      </c>
      <c r="C12" s="80">
        <v>1432</v>
      </c>
      <c r="D12" s="80">
        <v>1675</v>
      </c>
      <c r="E12" s="80">
        <v>1991</v>
      </c>
      <c r="F12" s="80">
        <v>2479</v>
      </c>
      <c r="G12" s="80">
        <v>3197</v>
      </c>
      <c r="H12" s="80">
        <v>4053</v>
      </c>
      <c r="I12" s="10"/>
      <c r="J12" s="80">
        <v>587</v>
      </c>
      <c r="K12" s="80">
        <v>551</v>
      </c>
      <c r="L12" s="80">
        <v>597</v>
      </c>
      <c r="M12" s="32">
        <f t="shared" si="1"/>
        <v>744</v>
      </c>
      <c r="N12" s="80">
        <v>692</v>
      </c>
      <c r="O12" s="80">
        <v>756</v>
      </c>
      <c r="P12" s="80">
        <v>780</v>
      </c>
      <c r="Q12" s="32">
        <f t="shared" si="2"/>
        <v>969</v>
      </c>
      <c r="R12" s="80">
        <v>912</v>
      </c>
      <c r="S12" s="80">
        <v>937</v>
      </c>
      <c r="T12" s="80">
        <v>1028</v>
      </c>
      <c r="U12" s="32">
        <v>1176</v>
      </c>
      <c r="V12" s="80">
        <v>1214</v>
      </c>
      <c r="W12" s="5"/>
      <c r="X12" s="32">
        <f t="shared" si="3"/>
        <v>2479</v>
      </c>
      <c r="Y12" s="32">
        <f t="shared" si="4"/>
        <v>2584</v>
      </c>
      <c r="Z12" s="32">
        <f t="shared" si="5"/>
        <v>2789</v>
      </c>
      <c r="AA12" s="32">
        <f t="shared" si="6"/>
        <v>2972</v>
      </c>
      <c r="AB12" s="32">
        <f t="shared" si="7"/>
        <v>3197</v>
      </c>
      <c r="AC12" s="32">
        <f t="shared" si="8"/>
        <v>3417</v>
      </c>
      <c r="AD12" s="32">
        <f t="shared" si="9"/>
        <v>3598</v>
      </c>
      <c r="AE12" s="32">
        <f t="shared" si="10"/>
        <v>3846</v>
      </c>
      <c r="AF12" s="32">
        <f t="shared" si="11"/>
        <v>4053</v>
      </c>
    </row>
    <row r="13" spans="1:32">
      <c r="B13" s="9" t="s">
        <v>119</v>
      </c>
      <c r="C13" s="80">
        <v>-6664</v>
      </c>
      <c r="D13" s="80">
        <v>-8367</v>
      </c>
      <c r="E13" s="80">
        <v>-10295</v>
      </c>
      <c r="F13" s="80">
        <v>-12297</v>
      </c>
      <c r="G13" s="80">
        <v>-13764</v>
      </c>
      <c r="H13" s="80">
        <v>-15751</v>
      </c>
      <c r="I13" s="80"/>
      <c r="J13" s="80">
        <v>-2786</v>
      </c>
      <c r="K13" s="80">
        <v>-2905</v>
      </c>
      <c r="L13" s="80">
        <v>-3167</v>
      </c>
      <c r="M13" s="32">
        <f t="shared" si="1"/>
        <v>-3439</v>
      </c>
      <c r="N13" s="80">
        <v>-3348</v>
      </c>
      <c r="O13" s="80">
        <v>-3257</v>
      </c>
      <c r="P13" s="80">
        <v>-3530</v>
      </c>
      <c r="Q13" s="32">
        <f t="shared" si="2"/>
        <v>-3629</v>
      </c>
      <c r="R13" s="80">
        <v>-3797</v>
      </c>
      <c r="S13" s="80">
        <v>-3734</v>
      </c>
      <c r="T13" s="80">
        <v>-3972</v>
      </c>
      <c r="U13" s="32">
        <v>-4248</v>
      </c>
      <c r="V13" s="80">
        <v>-4269</v>
      </c>
      <c r="W13" s="5"/>
      <c r="X13" s="32">
        <f t="shared" si="3"/>
        <v>-12297</v>
      </c>
      <c r="Y13" s="32">
        <f t="shared" si="4"/>
        <v>-12859</v>
      </c>
      <c r="Z13" s="32">
        <f t="shared" si="5"/>
        <v>-13211</v>
      </c>
      <c r="AA13" s="32">
        <f t="shared" si="6"/>
        <v>-13574</v>
      </c>
      <c r="AB13" s="32">
        <f t="shared" si="7"/>
        <v>-13764</v>
      </c>
      <c r="AC13" s="32">
        <f t="shared" si="8"/>
        <v>-14213</v>
      </c>
      <c r="AD13" s="32">
        <f t="shared" si="9"/>
        <v>-14690</v>
      </c>
      <c r="AE13" s="32">
        <f t="shared" si="10"/>
        <v>-15132</v>
      </c>
      <c r="AF13" s="32">
        <f t="shared" si="11"/>
        <v>-15751</v>
      </c>
    </row>
    <row r="14" spans="1:32">
      <c r="B14" s="13" t="s">
        <v>62</v>
      </c>
      <c r="C14" s="14">
        <f t="shared" ref="C14:D14" si="12">SUM(C9:C13)</f>
        <v>21846</v>
      </c>
      <c r="D14" s="14">
        <f t="shared" si="12"/>
        <v>24105</v>
      </c>
      <c r="E14" s="14">
        <f>SUM(E9:E13)</f>
        <v>29310</v>
      </c>
      <c r="F14" s="14">
        <f>SUM(F9:F13)</f>
        <v>32653</v>
      </c>
      <c r="G14" s="14">
        <f>SUM(G9:G13)</f>
        <v>35926</v>
      </c>
      <c r="H14" s="14">
        <f>SUM(H9:H13)</f>
        <v>40000</v>
      </c>
      <c r="I14" s="11"/>
      <c r="J14" s="14">
        <f t="shared" ref="J14:U14" si="13">SUM(J9:J13)</f>
        <v>7936</v>
      </c>
      <c r="K14" s="14">
        <f t="shared" si="13"/>
        <v>7985</v>
      </c>
      <c r="L14" s="14">
        <f t="shared" si="13"/>
        <v>8123</v>
      </c>
      <c r="M14" s="14">
        <f t="shared" si="13"/>
        <v>8609</v>
      </c>
      <c r="N14" s="14">
        <f t="shared" si="13"/>
        <v>8634</v>
      </c>
      <c r="O14" s="14">
        <f t="shared" si="13"/>
        <v>8775</v>
      </c>
      <c r="P14" s="14">
        <f t="shared" si="13"/>
        <v>8900</v>
      </c>
      <c r="Q14" s="14">
        <f t="shared" si="13"/>
        <v>9617</v>
      </c>
      <c r="R14" s="14">
        <f t="shared" si="13"/>
        <v>9510</v>
      </c>
      <c r="S14" s="14">
        <f t="shared" si="13"/>
        <v>9594</v>
      </c>
      <c r="T14" s="14">
        <f t="shared" si="13"/>
        <v>10172</v>
      </c>
      <c r="U14" s="14">
        <f t="shared" si="13"/>
        <v>10724</v>
      </c>
      <c r="V14" s="14">
        <f t="shared" ref="V14" si="14">SUM(V9:V13)</f>
        <v>10901</v>
      </c>
      <c r="W14" s="5"/>
      <c r="X14" s="14">
        <f t="shared" ref="X14:AF14" si="15">SUM(X9:X13)</f>
        <v>32653</v>
      </c>
      <c r="Y14" s="14">
        <f t="shared" si="15"/>
        <v>33351</v>
      </c>
      <c r="Z14" s="14">
        <f t="shared" si="15"/>
        <v>34141</v>
      </c>
      <c r="AA14" s="14">
        <f t="shared" si="15"/>
        <v>34918</v>
      </c>
      <c r="AB14" s="14">
        <f t="shared" si="15"/>
        <v>35926</v>
      </c>
      <c r="AC14" s="14">
        <f t="shared" si="15"/>
        <v>36802</v>
      </c>
      <c r="AD14" s="14">
        <f t="shared" si="15"/>
        <v>37621</v>
      </c>
      <c r="AE14" s="14">
        <f t="shared" si="15"/>
        <v>38893</v>
      </c>
      <c r="AF14" s="14">
        <f t="shared" si="15"/>
        <v>40000</v>
      </c>
    </row>
    <row r="15" spans="1:32" outlineLevel="1">
      <c r="B15" s="124" t="s">
        <v>114</v>
      </c>
      <c r="C15" s="78">
        <f>C14-'Historical Financials'!C11</f>
        <v>0</v>
      </c>
      <c r="D15" s="78">
        <f>D14-'Historical Financials'!D11</f>
        <v>0</v>
      </c>
      <c r="E15" s="78">
        <f>E14-'Historical Financials'!E11</f>
        <v>0</v>
      </c>
      <c r="F15" s="78">
        <f>F14-'Historical Financials'!F11</f>
        <v>0</v>
      </c>
      <c r="G15" s="78">
        <f>G14-'Historical Financials'!G11</f>
        <v>0</v>
      </c>
      <c r="H15" s="78">
        <f>H14-'Historical Financials'!H11</f>
        <v>0</v>
      </c>
      <c r="I15" s="11"/>
      <c r="J15" s="78">
        <f>J14-'Historical Financials'!J11</f>
        <v>0</v>
      </c>
      <c r="K15" s="78">
        <f>K14-'Historical Financials'!K11</f>
        <v>0</v>
      </c>
      <c r="L15" s="78">
        <f>L14-'Historical Financials'!L11</f>
        <v>0</v>
      </c>
      <c r="M15" s="78">
        <f>M14-'Historical Financials'!M11</f>
        <v>0</v>
      </c>
      <c r="N15" s="78">
        <f>N14-'Historical Financials'!N11</f>
        <v>0</v>
      </c>
      <c r="O15" s="78">
        <f>O14-'Historical Financials'!O11</f>
        <v>0</v>
      </c>
      <c r="P15" s="78">
        <f>P14-'Historical Financials'!P11</f>
        <v>0</v>
      </c>
      <c r="Q15" s="78">
        <f>Q14-'Historical Financials'!Q11</f>
        <v>0</v>
      </c>
      <c r="R15" s="78">
        <f>R14-'Historical Financials'!R11</f>
        <v>0</v>
      </c>
      <c r="S15" s="78">
        <f>S14-'Historical Financials'!S11</f>
        <v>0</v>
      </c>
      <c r="T15" s="78">
        <f>T14-'Historical Financials'!T11</f>
        <v>0</v>
      </c>
      <c r="U15" s="78">
        <f>U14-'Historical Financials'!U11</f>
        <v>0</v>
      </c>
      <c r="V15" s="78">
        <f>V14-'Historical Financials'!V11</f>
        <v>0</v>
      </c>
      <c r="W15" s="78"/>
      <c r="X15" s="78">
        <f>X14-'Historical Financials'!X11</f>
        <v>0</v>
      </c>
      <c r="Y15" s="78">
        <f>Y14-'Historical Financials'!Y11</f>
        <v>0</v>
      </c>
      <c r="Z15" s="78">
        <f>Z14-'Historical Financials'!Z11</f>
        <v>0</v>
      </c>
      <c r="AA15" s="78">
        <f>AA14-'Historical Financials'!AA11</f>
        <v>0</v>
      </c>
      <c r="AB15" s="78">
        <f>AB14-'Historical Financials'!AB11</f>
        <v>0</v>
      </c>
      <c r="AC15" s="78">
        <f>AC14-'Historical Financials'!AC11</f>
        <v>0</v>
      </c>
      <c r="AD15" s="78">
        <f>AD14-'Historical Financials'!AD11</f>
        <v>0</v>
      </c>
      <c r="AE15" s="78">
        <f>AE14-'Historical Financials'!AE11</f>
        <v>0</v>
      </c>
      <c r="AF15" s="78">
        <f>AF14-'Historical Financials'!AF11</f>
        <v>0</v>
      </c>
    </row>
    <row r="16" spans="1:32">
      <c r="B16" s="18"/>
      <c r="C16" s="19"/>
      <c r="D16" s="19"/>
      <c r="E16" s="19"/>
      <c r="F16" s="19"/>
      <c r="G16" s="19"/>
      <c r="H16" s="19"/>
      <c r="I16" s="20"/>
      <c r="J16" s="21"/>
      <c r="K16" s="21"/>
      <c r="L16" s="21"/>
      <c r="M16" s="22"/>
      <c r="N16" s="21"/>
      <c r="O16" s="21"/>
      <c r="P16" s="21"/>
      <c r="Q16" s="21"/>
      <c r="R16" s="21"/>
      <c r="S16" s="21"/>
      <c r="T16" s="21"/>
      <c r="U16" s="21"/>
      <c r="V16" s="21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1:32">
      <c r="B17" s="138" t="str">
        <f>B9&amp;"(%)"</f>
        <v>Service Revenues(%)</v>
      </c>
      <c r="C17" s="139">
        <f t="shared" ref="C17:D17" si="16">SUM(C9/C$14)</f>
        <v>0.4487778082944246</v>
      </c>
      <c r="D17" s="139">
        <f t="shared" si="16"/>
        <v>0.47604231487243309</v>
      </c>
      <c r="E17" s="139">
        <f t="shared" ref="E17:H21" si="17">SUM(E9/E$14)</f>
        <v>0.45585124530876836</v>
      </c>
      <c r="F17" s="139">
        <f t="shared" si="17"/>
        <v>0.454047101338315</v>
      </c>
      <c r="G17" s="139">
        <f t="shared" si="17"/>
        <v>0.4485330958080499</v>
      </c>
      <c r="H17" s="139">
        <f t="shared" si="17"/>
        <v>0.438475</v>
      </c>
      <c r="I17" s="140"/>
      <c r="J17" s="139">
        <f t="shared" ref="J17:U17" si="18">SUM(J9/J$14)</f>
        <v>0.44241431451612906</v>
      </c>
      <c r="K17" s="139">
        <f t="shared" si="18"/>
        <v>0.47226048841577961</v>
      </c>
      <c r="L17" s="139">
        <f t="shared" si="18"/>
        <v>0.45155730641388647</v>
      </c>
      <c r="M17" s="139">
        <f t="shared" si="18"/>
        <v>0.45022650714368684</v>
      </c>
      <c r="N17" s="139">
        <f t="shared" si="18"/>
        <v>0.4534398888116748</v>
      </c>
      <c r="O17" s="139">
        <f t="shared" si="18"/>
        <v>0.45960113960113957</v>
      </c>
      <c r="P17" s="139">
        <f t="shared" si="18"/>
        <v>0.44573033707865167</v>
      </c>
      <c r="Q17" s="139">
        <f t="shared" si="18"/>
        <v>0.4366226473952376</v>
      </c>
      <c r="R17" s="139">
        <f t="shared" si="18"/>
        <v>0.44248159831756045</v>
      </c>
      <c r="S17" s="139">
        <f t="shared" si="18"/>
        <v>0.45851573900354387</v>
      </c>
      <c r="T17" s="139">
        <f t="shared" si="18"/>
        <v>0.42567833267793942</v>
      </c>
      <c r="U17" s="139">
        <f t="shared" si="18"/>
        <v>0.4291309212980231</v>
      </c>
      <c r="V17" s="139">
        <f t="shared" ref="V17" si="19">SUM(V9/V$14)</f>
        <v>0.43665718741399873</v>
      </c>
      <c r="W17" s="140"/>
      <c r="X17" s="141">
        <f t="shared" ref="X17:AF17" si="20">SUM(X9/X$14)</f>
        <v>0.454047101338315</v>
      </c>
      <c r="Y17" s="141">
        <f t="shared" si="20"/>
        <v>0.45665797127522412</v>
      </c>
      <c r="Z17" s="141">
        <f t="shared" si="20"/>
        <v>0.45376526756685509</v>
      </c>
      <c r="AA17" s="141">
        <f t="shared" si="20"/>
        <v>0.45223094106191647</v>
      </c>
      <c r="AB17" s="141">
        <f t="shared" si="20"/>
        <v>0.4485330958080499</v>
      </c>
      <c r="AC17" s="141">
        <f t="shared" si="20"/>
        <v>0.44581816205640995</v>
      </c>
      <c r="AD17" s="141">
        <f t="shared" si="20"/>
        <v>0.44584141835676883</v>
      </c>
      <c r="AE17" s="141">
        <f t="shared" si="20"/>
        <v>0.44059342298099913</v>
      </c>
      <c r="AF17" s="142">
        <f t="shared" si="20"/>
        <v>0.438475</v>
      </c>
    </row>
    <row r="18" spans="1:32">
      <c r="B18" s="143" t="str">
        <f>B10&amp;"(%)"</f>
        <v>Data Processing Revenues(%)</v>
      </c>
      <c r="C18" s="144">
        <f t="shared" ref="C18:D18" si="21">SUM(C10/C$14)</f>
        <v>0.50238029845280596</v>
      </c>
      <c r="D18" s="144">
        <f t="shared" si="21"/>
        <v>0.53067828251400129</v>
      </c>
      <c r="E18" s="144">
        <f t="shared" si="17"/>
        <v>0.49259638348686458</v>
      </c>
      <c r="F18" s="144">
        <f t="shared" si="17"/>
        <v>0.49021529415367654</v>
      </c>
      <c r="G18" s="144">
        <f t="shared" si="17"/>
        <v>0.49306908645549186</v>
      </c>
      <c r="H18" s="144">
        <f t="shared" si="17"/>
        <v>0.49982500000000002</v>
      </c>
      <c r="I18" s="145"/>
      <c r="J18" s="144">
        <f t="shared" ref="J18:U18" si="22">SUM(J10/J$14)</f>
        <v>0.48223286290322581</v>
      </c>
      <c r="K18" s="144">
        <f t="shared" si="22"/>
        <v>0.47827175954915468</v>
      </c>
      <c r="L18" s="144">
        <f t="shared" si="22"/>
        <v>0.5053551643481472</v>
      </c>
      <c r="M18" s="144">
        <f t="shared" si="22"/>
        <v>0.49436636078522478</v>
      </c>
      <c r="N18" s="144">
        <f t="shared" si="22"/>
        <v>0.50451702571230017</v>
      </c>
      <c r="O18" s="144">
        <f t="shared" si="22"/>
        <v>0.48535612535612538</v>
      </c>
      <c r="P18" s="144">
        <f t="shared" si="22"/>
        <v>0.50438202247191011</v>
      </c>
      <c r="Q18" s="144">
        <f t="shared" si="22"/>
        <v>0.47935946760944159</v>
      </c>
      <c r="R18" s="144">
        <f t="shared" si="22"/>
        <v>0.4989484752891693</v>
      </c>
      <c r="S18" s="144">
        <f t="shared" si="22"/>
        <v>0.48999374609130708</v>
      </c>
      <c r="T18" s="144">
        <f t="shared" si="22"/>
        <v>0.50658670861187571</v>
      </c>
      <c r="U18" s="144">
        <f t="shared" si="22"/>
        <v>0.5029839612085043</v>
      </c>
      <c r="V18" s="144">
        <f t="shared" ref="V18" si="23">SUM(V10/V$14)</f>
        <v>0.50857719475277496</v>
      </c>
      <c r="W18" s="145"/>
      <c r="X18" s="146">
        <f t="shared" ref="X18:AF18" si="24">SUM(X10/X$14)</f>
        <v>0.49021529415367654</v>
      </c>
      <c r="Y18" s="146">
        <f t="shared" si="24"/>
        <v>0.4958172168750562</v>
      </c>
      <c r="Z18" s="146">
        <f t="shared" si="24"/>
        <v>0.49723206701619754</v>
      </c>
      <c r="AA18" s="146">
        <f t="shared" si="24"/>
        <v>0.49716478607022169</v>
      </c>
      <c r="AB18" s="146">
        <f t="shared" si="24"/>
        <v>0.49306908645549186</v>
      </c>
      <c r="AC18" s="146">
        <f t="shared" si="24"/>
        <v>0.49190261398837021</v>
      </c>
      <c r="AD18" s="146">
        <f t="shared" si="24"/>
        <v>0.49294277132452619</v>
      </c>
      <c r="AE18" s="146">
        <f t="shared" si="24"/>
        <v>0.49389350268685883</v>
      </c>
      <c r="AF18" s="147">
        <f t="shared" si="24"/>
        <v>0.49982500000000002</v>
      </c>
    </row>
    <row r="19" spans="1:32">
      <c r="B19" s="143" t="str">
        <f>B11&amp;"(%)"</f>
        <v>International Transaction Revenues(%)</v>
      </c>
      <c r="C19" s="144">
        <f t="shared" ref="C19:D20" si="25">SUM(C11/C$14)</f>
        <v>0.28833653758125055</v>
      </c>
      <c r="D19" s="144">
        <f t="shared" si="25"/>
        <v>0.27089815390997718</v>
      </c>
      <c r="E19" s="144">
        <f t="shared" si="17"/>
        <v>0.33486864551347661</v>
      </c>
      <c r="F19" s="144">
        <f t="shared" si="17"/>
        <v>0.3564144182770343</v>
      </c>
      <c r="G19" s="144">
        <f t="shared" si="17"/>
        <v>0.35253020096865778</v>
      </c>
      <c r="H19" s="144">
        <f t="shared" si="17"/>
        <v>0.35415000000000002</v>
      </c>
      <c r="I19" s="145"/>
      <c r="J19" s="144">
        <f t="shared" ref="J19:U19" si="26">SUM(J11/J$14)</f>
        <v>0.35244455645161288</v>
      </c>
      <c r="K19" s="144">
        <f t="shared" si="26"/>
        <v>0.34427050720100189</v>
      </c>
      <c r="L19" s="144">
        <f t="shared" si="26"/>
        <v>0.35947310107103286</v>
      </c>
      <c r="M19" s="144">
        <f t="shared" si="26"/>
        <v>0.36845162039725871</v>
      </c>
      <c r="N19" s="144">
        <f t="shared" si="26"/>
        <v>0.34966411860088026</v>
      </c>
      <c r="O19" s="144">
        <f t="shared" si="26"/>
        <v>0.34005698005698004</v>
      </c>
      <c r="P19" s="144">
        <f t="shared" si="26"/>
        <v>0.35887640449438202</v>
      </c>
      <c r="Q19" s="144">
        <f t="shared" si="26"/>
        <v>0.36061141728189666</v>
      </c>
      <c r="R19" s="144">
        <f t="shared" si="26"/>
        <v>0.3619348054679285</v>
      </c>
      <c r="S19" s="144">
        <f t="shared" si="26"/>
        <v>0.34302689180737961</v>
      </c>
      <c r="T19" s="144">
        <f t="shared" si="26"/>
        <v>0.35715690129767991</v>
      </c>
      <c r="U19" s="144">
        <f t="shared" si="26"/>
        <v>0.35434539350988437</v>
      </c>
      <c r="V19" s="144">
        <f t="shared" ref="V19" si="27">SUM(V11/V$14)</f>
        <v>0.33501513622603429</v>
      </c>
      <c r="W19" s="145"/>
      <c r="X19" s="146">
        <f t="shared" ref="X19:AF19" si="28">SUM(X11/X$14)</f>
        <v>0.3564144182770343</v>
      </c>
      <c r="Y19" s="146">
        <f t="shared" si="28"/>
        <v>0.35561152589127765</v>
      </c>
      <c r="Z19" s="146">
        <f t="shared" si="28"/>
        <v>0.35426613163059079</v>
      </c>
      <c r="AA19" s="146">
        <f t="shared" si="28"/>
        <v>0.35422991007503296</v>
      </c>
      <c r="AB19" s="146">
        <f t="shared" si="28"/>
        <v>0.35253020096865778</v>
      </c>
      <c r="AC19" s="146">
        <f t="shared" si="28"/>
        <v>0.35563284604097606</v>
      </c>
      <c r="AD19" s="146">
        <f t="shared" si="28"/>
        <v>0.3560511416496106</v>
      </c>
      <c r="AE19" s="146">
        <f t="shared" si="28"/>
        <v>0.35569382665261101</v>
      </c>
      <c r="AF19" s="147">
        <f t="shared" si="28"/>
        <v>0.35415000000000002</v>
      </c>
    </row>
    <row r="20" spans="1:32">
      <c r="B20" s="143" t="str">
        <f>B12&amp;"(%)"</f>
        <v>Other Revenues(%)</v>
      </c>
      <c r="C20" s="144">
        <f t="shared" si="25"/>
        <v>6.5549757392657698E-2</v>
      </c>
      <c r="D20" s="144">
        <f t="shared" si="25"/>
        <v>6.9487658162207006E-2</v>
      </c>
      <c r="E20" s="144">
        <f t="shared" si="17"/>
        <v>6.7929034459228932E-2</v>
      </c>
      <c r="F20" s="144">
        <f t="shared" si="17"/>
        <v>7.5919517349095036E-2</v>
      </c>
      <c r="G20" s="144">
        <f t="shared" si="17"/>
        <v>8.8988476312419976E-2</v>
      </c>
      <c r="H20" s="144">
        <f t="shared" si="17"/>
        <v>0.101325</v>
      </c>
      <c r="I20" s="145"/>
      <c r="J20" s="144">
        <f t="shared" ref="J20:U20" si="29">SUM(J12/J$14)</f>
        <v>7.3966733870967735E-2</v>
      </c>
      <c r="K20" s="144">
        <f t="shared" si="29"/>
        <v>6.9004383218534748E-2</v>
      </c>
      <c r="L20" s="144">
        <f t="shared" si="29"/>
        <v>7.3495014157331034E-2</v>
      </c>
      <c r="M20" s="144">
        <f t="shared" si="29"/>
        <v>8.6421187129747945E-2</v>
      </c>
      <c r="N20" s="144">
        <f t="shared" si="29"/>
        <v>8.0148251100301132E-2</v>
      </c>
      <c r="O20" s="144">
        <f t="shared" si="29"/>
        <v>8.615384615384615E-2</v>
      </c>
      <c r="P20" s="144">
        <f t="shared" si="29"/>
        <v>8.7640449438202248E-2</v>
      </c>
      <c r="Q20" s="144">
        <f t="shared" si="29"/>
        <v>0.10075907247582407</v>
      </c>
      <c r="R20" s="144">
        <f t="shared" si="29"/>
        <v>9.5899053627760258E-2</v>
      </c>
      <c r="S20" s="144">
        <f t="shared" si="29"/>
        <v>9.7665207421304981E-2</v>
      </c>
      <c r="T20" s="144">
        <f t="shared" si="29"/>
        <v>0.10106173810460087</v>
      </c>
      <c r="U20" s="144">
        <f t="shared" si="29"/>
        <v>0.10966057441253264</v>
      </c>
      <c r="V20" s="144">
        <f t="shared" ref="V20" si="30">SUM(V12/V$14)</f>
        <v>0.11136592973121733</v>
      </c>
      <c r="W20" s="145"/>
      <c r="X20" s="146">
        <f t="shared" ref="X20:AF20" si="31">SUM(X12/X$14)</f>
        <v>7.5919517349095036E-2</v>
      </c>
      <c r="Y20" s="146">
        <f t="shared" si="31"/>
        <v>7.7478936163833168E-2</v>
      </c>
      <c r="Z20" s="146">
        <f t="shared" si="31"/>
        <v>8.1690635892328875E-2</v>
      </c>
      <c r="AA20" s="146">
        <f t="shared" si="31"/>
        <v>8.5113694942436563E-2</v>
      </c>
      <c r="AB20" s="146">
        <f t="shared" si="31"/>
        <v>8.8988476312419976E-2</v>
      </c>
      <c r="AC20" s="146">
        <f t="shared" si="31"/>
        <v>9.2848214770936369E-2</v>
      </c>
      <c r="AD20" s="146">
        <f t="shared" si="31"/>
        <v>9.5638074479678897E-2</v>
      </c>
      <c r="AE20" s="146">
        <f t="shared" si="31"/>
        <v>9.8886689121435736E-2</v>
      </c>
      <c r="AF20" s="147">
        <f t="shared" si="31"/>
        <v>0.101325</v>
      </c>
    </row>
    <row r="21" spans="1:32" ht="12.75" customHeight="1">
      <c r="B21" s="148" t="str">
        <f>B13&amp;"(%)"</f>
        <v>Client Incentives(%)</v>
      </c>
      <c r="C21" s="149">
        <f t="shared" ref="C21:D21" si="32">SUM(C13/C$14)</f>
        <v>-0.30504440172113889</v>
      </c>
      <c r="D21" s="149">
        <f t="shared" si="32"/>
        <v>-0.34710640945861854</v>
      </c>
      <c r="E21" s="149">
        <f t="shared" si="17"/>
        <v>-0.35124530876833843</v>
      </c>
      <c r="F21" s="149">
        <f t="shared" si="17"/>
        <v>-0.37659633111812085</v>
      </c>
      <c r="G21" s="149">
        <f t="shared" si="17"/>
        <v>-0.3831208595446195</v>
      </c>
      <c r="H21" s="149">
        <f t="shared" si="17"/>
        <v>-0.39377499999999999</v>
      </c>
      <c r="I21" s="150"/>
      <c r="J21" s="149">
        <f t="shared" ref="J21:U21" si="33">SUM(J13/J$14)</f>
        <v>-0.3510584677419355</v>
      </c>
      <c r="K21" s="149">
        <f t="shared" si="33"/>
        <v>-0.36380713838447087</v>
      </c>
      <c r="L21" s="149">
        <f t="shared" si="33"/>
        <v>-0.38988058599039765</v>
      </c>
      <c r="M21" s="149">
        <f t="shared" si="33"/>
        <v>-0.39946567545591821</v>
      </c>
      <c r="N21" s="149">
        <f t="shared" si="33"/>
        <v>-0.38776928422515639</v>
      </c>
      <c r="O21" s="149">
        <f t="shared" si="33"/>
        <v>-0.37116809116809119</v>
      </c>
      <c r="P21" s="149">
        <f t="shared" si="33"/>
        <v>-0.39662921348314606</v>
      </c>
      <c r="Q21" s="149">
        <f t="shared" si="33"/>
        <v>-0.3773526047623999</v>
      </c>
      <c r="R21" s="149">
        <f t="shared" si="33"/>
        <v>-0.3992639327024185</v>
      </c>
      <c r="S21" s="149">
        <f t="shared" si="33"/>
        <v>-0.38920158432353552</v>
      </c>
      <c r="T21" s="149">
        <f t="shared" si="33"/>
        <v>-0.39048368069209594</v>
      </c>
      <c r="U21" s="149">
        <f t="shared" si="33"/>
        <v>-0.3961208504289444</v>
      </c>
      <c r="V21" s="149">
        <f t="shared" ref="V21" si="34">SUM(V13/V$14)</f>
        <v>-0.39161544812402532</v>
      </c>
      <c r="W21" s="150"/>
      <c r="X21" s="151">
        <f t="shared" ref="X21:AF21" si="35">SUM(X13/X$14)</f>
        <v>-0.37659633111812085</v>
      </c>
      <c r="Y21" s="151">
        <f t="shared" si="35"/>
        <v>-0.38556565020539113</v>
      </c>
      <c r="Z21" s="151">
        <f t="shared" si="35"/>
        <v>-0.38695410210597231</v>
      </c>
      <c r="AA21" s="151">
        <f t="shared" si="35"/>
        <v>-0.38873933214960765</v>
      </c>
      <c r="AB21" s="151">
        <f t="shared" si="35"/>
        <v>-0.3831208595446195</v>
      </c>
      <c r="AC21" s="151">
        <f t="shared" si="35"/>
        <v>-0.38620183685669257</v>
      </c>
      <c r="AD21" s="151">
        <f t="shared" si="35"/>
        <v>-0.39047340581058454</v>
      </c>
      <c r="AE21" s="151">
        <f t="shared" si="35"/>
        <v>-0.38906744144190469</v>
      </c>
      <c r="AF21" s="152">
        <f t="shared" si="35"/>
        <v>-0.39377499999999999</v>
      </c>
    </row>
    <row r="22" spans="1:32"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2"/>
      <c r="N22" s="21"/>
      <c r="O22" s="21"/>
      <c r="P22" s="21"/>
      <c r="Q22" s="21"/>
      <c r="R22" s="21"/>
      <c r="S22" s="21"/>
      <c r="T22" s="21"/>
      <c r="U22" s="21"/>
      <c r="V22" s="21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1:32">
      <c r="A23" s="35" t="s">
        <v>16</v>
      </c>
      <c r="B23" s="1" t="s">
        <v>113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5.0999999999999996" customHeight="1"/>
    <row r="25" spans="1:32" ht="12.75" customHeight="1">
      <c r="A25" s="79" t="s">
        <v>16</v>
      </c>
      <c r="B25" s="77" t="s">
        <v>113</v>
      </c>
      <c r="C25" s="10"/>
      <c r="D25" s="10"/>
      <c r="E25" s="10"/>
      <c r="F25" s="10"/>
      <c r="G25" s="10"/>
      <c r="H25" s="10"/>
      <c r="I25" s="10"/>
      <c r="J25" s="89"/>
      <c r="K25" s="89"/>
      <c r="L25" s="89"/>
      <c r="M25" s="32"/>
      <c r="N25" s="89"/>
      <c r="O25" s="89"/>
      <c r="P25" s="89"/>
      <c r="Q25" s="32"/>
      <c r="R25" s="89"/>
      <c r="S25" s="89"/>
      <c r="T25" s="89"/>
      <c r="U25" s="89"/>
      <c r="V25" s="89"/>
      <c r="W25" s="5"/>
      <c r="X25" s="11"/>
      <c r="Y25" s="11"/>
      <c r="Z25" s="11"/>
      <c r="AA25" s="11"/>
      <c r="AB25" s="11"/>
      <c r="AC25" s="11"/>
      <c r="AD25" s="11"/>
      <c r="AE25" s="11"/>
      <c r="AF25" s="11"/>
    </row>
    <row r="26" spans="1:32" ht="12.75" customHeight="1">
      <c r="A26" s="79"/>
      <c r="B26" s="9" t="s">
        <v>120</v>
      </c>
      <c r="C26" s="80">
        <v>10125</v>
      </c>
      <c r="D26" s="80">
        <v>11160</v>
      </c>
      <c r="E26" s="80">
        <v>12851</v>
      </c>
      <c r="F26" s="80">
        <v>14138</v>
      </c>
      <c r="G26" s="80">
        <v>14780</v>
      </c>
      <c r="H26" s="80">
        <v>15633</v>
      </c>
      <c r="I26" s="10"/>
      <c r="J26" s="80">
        <v>3567</v>
      </c>
      <c r="K26" s="80">
        <v>3540</v>
      </c>
      <c r="L26" s="80">
        <v>3443</v>
      </c>
      <c r="M26" s="32">
        <v>3588</v>
      </c>
      <c r="N26" s="80">
        <v>3645</v>
      </c>
      <c r="O26" s="80">
        <v>3643</v>
      </c>
      <c r="P26" s="80">
        <v>3621</v>
      </c>
      <c r="Q26" s="32">
        <v>3871</v>
      </c>
      <c r="R26" s="80">
        <v>3738</v>
      </c>
      <c r="S26" s="80">
        <v>3811</v>
      </c>
      <c r="T26" s="80">
        <v>3927</v>
      </c>
      <c r="U26" s="32">
        <f t="shared" ref="U26:V27" si="36">SUM(H26-SUM(R26:T26))</f>
        <v>4157</v>
      </c>
      <c r="V26" s="80">
        <v>4163</v>
      </c>
      <c r="W26" s="5"/>
      <c r="X26" s="32">
        <f t="shared" ref="X26:X27" si="37">SUM(J26:M26)</f>
        <v>14138</v>
      </c>
      <c r="Y26" s="32">
        <f t="shared" ref="Y26:Y27" si="38">SUM(K26:N26)</f>
        <v>14216</v>
      </c>
      <c r="Z26" s="32">
        <f t="shared" ref="Z26:Z27" si="39">SUM(L26:O26)</f>
        <v>14319</v>
      </c>
      <c r="AA26" s="32">
        <f t="shared" ref="AA26:AA27" si="40">SUM(M26:P26)</f>
        <v>14497</v>
      </c>
      <c r="AB26" s="32">
        <f t="shared" ref="AB26:AB27" si="41">SUM(N26:Q26)</f>
        <v>14780</v>
      </c>
      <c r="AC26" s="32">
        <f t="shared" ref="AC26:AC27" si="42">SUM(O26:R26)</f>
        <v>14873</v>
      </c>
      <c r="AD26" s="32">
        <f t="shared" ref="AD26:AD27" si="43">SUM(P26:S26)</f>
        <v>15041</v>
      </c>
      <c r="AE26" s="32">
        <f t="shared" ref="AE26:AE27" si="44">SUM(Q26:T26)</f>
        <v>15347</v>
      </c>
      <c r="AF26" s="32">
        <f t="shared" ref="AF26:AF27" si="45">SUM(R26:U26)</f>
        <v>15633</v>
      </c>
    </row>
    <row r="27" spans="1:32">
      <c r="B27" s="9" t="s">
        <v>121</v>
      </c>
      <c r="C27" s="80">
        <v>11721</v>
      </c>
      <c r="D27" s="80">
        <v>12945</v>
      </c>
      <c r="E27" s="80">
        <v>16459</v>
      </c>
      <c r="F27" s="80">
        <v>18515</v>
      </c>
      <c r="G27" s="80">
        <v>21146</v>
      </c>
      <c r="H27" s="80">
        <v>24367</v>
      </c>
      <c r="I27" s="80"/>
      <c r="J27" s="80">
        <v>4369</v>
      </c>
      <c r="K27" s="80">
        <v>4445</v>
      </c>
      <c r="L27" s="80">
        <v>4680</v>
      </c>
      <c r="M27" s="32">
        <v>5021</v>
      </c>
      <c r="N27" s="80">
        <v>4989</v>
      </c>
      <c r="O27" s="80">
        <v>5132</v>
      </c>
      <c r="P27" s="80">
        <v>5279</v>
      </c>
      <c r="Q27" s="32">
        <v>5746</v>
      </c>
      <c r="R27" s="80">
        <v>5772</v>
      </c>
      <c r="S27" s="80">
        <v>5783</v>
      </c>
      <c r="T27" s="80">
        <v>6245</v>
      </c>
      <c r="U27" s="32">
        <f t="shared" si="36"/>
        <v>6567</v>
      </c>
      <c r="V27" s="80">
        <v>6738</v>
      </c>
      <c r="W27" s="5"/>
      <c r="X27" s="32">
        <f t="shared" si="37"/>
        <v>18515</v>
      </c>
      <c r="Y27" s="32">
        <f t="shared" si="38"/>
        <v>19135</v>
      </c>
      <c r="Z27" s="32">
        <f t="shared" si="39"/>
        <v>19822</v>
      </c>
      <c r="AA27" s="32">
        <f t="shared" si="40"/>
        <v>20421</v>
      </c>
      <c r="AB27" s="32">
        <f t="shared" si="41"/>
        <v>21146</v>
      </c>
      <c r="AC27" s="32">
        <f t="shared" si="42"/>
        <v>21929</v>
      </c>
      <c r="AD27" s="32">
        <f t="shared" si="43"/>
        <v>22580</v>
      </c>
      <c r="AE27" s="32">
        <f t="shared" si="44"/>
        <v>23546</v>
      </c>
      <c r="AF27" s="32">
        <f t="shared" si="45"/>
        <v>24367</v>
      </c>
    </row>
    <row r="28" spans="1:32">
      <c r="B28" s="13" t="s">
        <v>62</v>
      </c>
      <c r="C28" s="14">
        <f t="shared" ref="C28:H28" si="46">SUM(C26:C27)</f>
        <v>21846</v>
      </c>
      <c r="D28" s="14">
        <f t="shared" si="46"/>
        <v>24105</v>
      </c>
      <c r="E28" s="14">
        <f t="shared" si="46"/>
        <v>29310</v>
      </c>
      <c r="F28" s="14">
        <f t="shared" si="46"/>
        <v>32653</v>
      </c>
      <c r="G28" s="14">
        <f t="shared" si="46"/>
        <v>35926</v>
      </c>
      <c r="H28" s="14">
        <f t="shared" si="46"/>
        <v>40000</v>
      </c>
      <c r="I28" s="11"/>
      <c r="J28" s="14">
        <f t="shared" ref="J28:U28" si="47">SUM(J26:J27)</f>
        <v>7936</v>
      </c>
      <c r="K28" s="14">
        <f t="shared" si="47"/>
        <v>7985</v>
      </c>
      <c r="L28" s="14">
        <f t="shared" si="47"/>
        <v>8123</v>
      </c>
      <c r="M28" s="14">
        <f t="shared" si="47"/>
        <v>8609</v>
      </c>
      <c r="N28" s="14">
        <f t="shared" si="47"/>
        <v>8634</v>
      </c>
      <c r="O28" s="14">
        <f t="shared" si="47"/>
        <v>8775</v>
      </c>
      <c r="P28" s="14">
        <f t="shared" si="47"/>
        <v>8900</v>
      </c>
      <c r="Q28" s="14">
        <f t="shared" si="47"/>
        <v>9617</v>
      </c>
      <c r="R28" s="14">
        <f t="shared" si="47"/>
        <v>9510</v>
      </c>
      <c r="S28" s="14">
        <f t="shared" si="47"/>
        <v>9594</v>
      </c>
      <c r="T28" s="14">
        <f t="shared" si="47"/>
        <v>10172</v>
      </c>
      <c r="U28" s="14">
        <f t="shared" si="47"/>
        <v>10724</v>
      </c>
      <c r="V28" s="14">
        <f t="shared" ref="V28" si="48">SUM(V26:V27)</f>
        <v>10901</v>
      </c>
      <c r="W28" s="5"/>
      <c r="X28" s="14">
        <f t="shared" ref="X28:AF28" si="49">SUM(X26:X27)</f>
        <v>32653</v>
      </c>
      <c r="Y28" s="14">
        <f t="shared" si="49"/>
        <v>33351</v>
      </c>
      <c r="Z28" s="14">
        <f t="shared" si="49"/>
        <v>34141</v>
      </c>
      <c r="AA28" s="14">
        <f t="shared" si="49"/>
        <v>34918</v>
      </c>
      <c r="AB28" s="14">
        <f t="shared" si="49"/>
        <v>35926</v>
      </c>
      <c r="AC28" s="14">
        <f t="shared" si="49"/>
        <v>36802</v>
      </c>
      <c r="AD28" s="14">
        <f t="shared" si="49"/>
        <v>37621</v>
      </c>
      <c r="AE28" s="14">
        <f t="shared" si="49"/>
        <v>38893</v>
      </c>
      <c r="AF28" s="14">
        <f t="shared" si="49"/>
        <v>40000</v>
      </c>
    </row>
    <row r="29" spans="1:32" outlineLevel="1">
      <c r="B29" s="124" t="s">
        <v>114</v>
      </c>
      <c r="C29" s="78">
        <f t="shared" ref="C29:H29" si="50">C28-C14</f>
        <v>0</v>
      </c>
      <c r="D29" s="78">
        <f t="shared" si="50"/>
        <v>0</v>
      </c>
      <c r="E29" s="78">
        <f t="shared" si="50"/>
        <v>0</v>
      </c>
      <c r="F29" s="78">
        <f t="shared" si="50"/>
        <v>0</v>
      </c>
      <c r="G29" s="78">
        <f t="shared" si="50"/>
        <v>0</v>
      </c>
      <c r="H29" s="78">
        <f t="shared" si="50"/>
        <v>0</v>
      </c>
      <c r="I29" s="11"/>
      <c r="J29" s="78">
        <f t="shared" ref="J29:U29" si="51">J28-J14</f>
        <v>0</v>
      </c>
      <c r="K29" s="78">
        <f t="shared" si="51"/>
        <v>0</v>
      </c>
      <c r="L29" s="78">
        <f t="shared" si="51"/>
        <v>0</v>
      </c>
      <c r="M29" s="78">
        <f t="shared" si="51"/>
        <v>0</v>
      </c>
      <c r="N29" s="78">
        <f t="shared" si="51"/>
        <v>0</v>
      </c>
      <c r="O29" s="78">
        <f t="shared" si="51"/>
        <v>0</v>
      </c>
      <c r="P29" s="78">
        <f t="shared" si="51"/>
        <v>0</v>
      </c>
      <c r="Q29" s="78">
        <f t="shared" si="51"/>
        <v>0</v>
      </c>
      <c r="R29" s="78">
        <f t="shared" si="51"/>
        <v>0</v>
      </c>
      <c r="S29" s="78">
        <f t="shared" si="51"/>
        <v>0</v>
      </c>
      <c r="T29" s="78">
        <f t="shared" si="51"/>
        <v>0</v>
      </c>
      <c r="U29" s="78">
        <f t="shared" si="51"/>
        <v>0</v>
      </c>
      <c r="V29" s="78">
        <f t="shared" ref="V29" si="52">V28-V14</f>
        <v>0</v>
      </c>
      <c r="W29" s="78"/>
      <c r="X29" s="78">
        <f t="shared" ref="X29" si="53">X28-X14</f>
        <v>0</v>
      </c>
      <c r="Y29" s="78">
        <f t="shared" ref="Y29" si="54">Y28-Y14</f>
        <v>0</v>
      </c>
      <c r="Z29" s="78">
        <f t="shared" ref="Z29" si="55">Z28-Z14</f>
        <v>0</v>
      </c>
      <c r="AA29" s="78">
        <f t="shared" ref="AA29" si="56">AA28-AA14</f>
        <v>0</v>
      </c>
      <c r="AB29" s="78">
        <f t="shared" ref="AB29" si="57">AB28-AB14</f>
        <v>0</v>
      </c>
      <c r="AC29" s="78">
        <f t="shared" ref="AC29" si="58">AC28-AC14</f>
        <v>0</v>
      </c>
      <c r="AD29" s="78">
        <f t="shared" ref="AD29" si="59">AD28-AD14</f>
        <v>0</v>
      </c>
      <c r="AE29" s="78">
        <f t="shared" ref="AE29" si="60">AE28-AE14</f>
        <v>0</v>
      </c>
      <c r="AF29" s="78">
        <f t="shared" ref="AF29" si="61">AF28-AF14</f>
        <v>0</v>
      </c>
    </row>
    <row r="30" spans="1:32">
      <c r="B30" s="18"/>
      <c r="C30" s="19"/>
      <c r="D30" s="19"/>
      <c r="E30" s="19"/>
      <c r="F30" s="19"/>
      <c r="G30" s="19"/>
      <c r="H30" s="19"/>
      <c r="I30" s="20"/>
      <c r="J30" s="21"/>
      <c r="K30" s="21"/>
      <c r="L30" s="21"/>
      <c r="M30" s="22"/>
      <c r="N30" s="21"/>
      <c r="O30" s="21"/>
      <c r="P30" s="21"/>
      <c r="Q30" s="21"/>
      <c r="R30" s="21"/>
      <c r="S30" s="21"/>
      <c r="T30" s="21"/>
      <c r="U30" s="21"/>
      <c r="V30" s="21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1:32">
      <c r="B31" s="138" t="str">
        <f>B26&amp;"(%)"</f>
        <v>U.S. Revenues(%)</v>
      </c>
      <c r="C31" s="139">
        <f t="shared" ref="C31:H31" si="62">SUM(C26/C$28)</f>
        <v>0.46347157374347708</v>
      </c>
      <c r="D31" s="139">
        <f t="shared" si="62"/>
        <v>0.46297448662103297</v>
      </c>
      <c r="E31" s="139">
        <f t="shared" si="62"/>
        <v>0.43845104060047763</v>
      </c>
      <c r="F31" s="139">
        <f t="shared" si="62"/>
        <v>0.43297706183199092</v>
      </c>
      <c r="G31" s="139">
        <f t="shared" si="62"/>
        <v>0.41140121360574516</v>
      </c>
      <c r="H31" s="139">
        <f t="shared" si="62"/>
        <v>0.39082499999999998</v>
      </c>
      <c r="I31" s="140"/>
      <c r="J31" s="139">
        <f t="shared" ref="J31:U31" si="63">SUM(J26/J$28)</f>
        <v>0.44947076612903225</v>
      </c>
      <c r="K31" s="139">
        <f t="shared" si="63"/>
        <v>0.443331246086412</v>
      </c>
      <c r="L31" s="139">
        <f t="shared" si="63"/>
        <v>0.42385818047519391</v>
      </c>
      <c r="M31" s="139">
        <f t="shared" si="63"/>
        <v>0.41677314438378443</v>
      </c>
      <c r="N31" s="139">
        <f t="shared" si="63"/>
        <v>0.42216817234190412</v>
      </c>
      <c r="O31" s="139">
        <f t="shared" si="63"/>
        <v>0.41515669515669518</v>
      </c>
      <c r="P31" s="139">
        <f t="shared" si="63"/>
        <v>0.40685393258426966</v>
      </c>
      <c r="Q31" s="139">
        <f t="shared" si="63"/>
        <v>0.40251637724862221</v>
      </c>
      <c r="R31" s="139">
        <f t="shared" si="63"/>
        <v>0.39305993690851737</v>
      </c>
      <c r="S31" s="139">
        <f t="shared" si="63"/>
        <v>0.39722743381279968</v>
      </c>
      <c r="T31" s="139">
        <f t="shared" si="63"/>
        <v>0.38605977192292568</v>
      </c>
      <c r="U31" s="139">
        <f t="shared" si="63"/>
        <v>0.38763521074226037</v>
      </c>
      <c r="V31" s="139">
        <f t="shared" ref="V31" si="64">SUM(V26/V$28)</f>
        <v>0.38189156958077242</v>
      </c>
      <c r="W31" s="140"/>
      <c r="X31" s="141">
        <f t="shared" ref="X31:AF31" si="65">SUM(X26/X$28)</f>
        <v>0.43297706183199092</v>
      </c>
      <c r="Y31" s="141">
        <f t="shared" si="65"/>
        <v>0.42625408533477255</v>
      </c>
      <c r="Z31" s="141">
        <f t="shared" si="65"/>
        <v>0.41940775021235466</v>
      </c>
      <c r="AA31" s="141">
        <f t="shared" si="65"/>
        <v>0.41517269030299558</v>
      </c>
      <c r="AB31" s="141">
        <f t="shared" si="65"/>
        <v>0.41140121360574516</v>
      </c>
      <c r="AC31" s="141">
        <f t="shared" si="65"/>
        <v>0.40413564480191294</v>
      </c>
      <c r="AD31" s="141">
        <f t="shared" si="65"/>
        <v>0.39980330134765157</v>
      </c>
      <c r="AE31" s="141">
        <f t="shared" si="65"/>
        <v>0.39459542848327461</v>
      </c>
      <c r="AF31" s="142">
        <f t="shared" si="65"/>
        <v>0.39082499999999998</v>
      </c>
    </row>
    <row r="32" spans="1:32" ht="12.75" customHeight="1">
      <c r="B32" s="148" t="str">
        <f>B27&amp;"(%)"</f>
        <v>International Revenues(%)</v>
      </c>
      <c r="C32" s="149">
        <f t="shared" ref="C32:D32" si="66">SUM(C27/C$28)</f>
        <v>0.53652842625652297</v>
      </c>
      <c r="D32" s="149">
        <f t="shared" si="66"/>
        <v>0.53702551337896698</v>
      </c>
      <c r="E32" s="149">
        <f>SUM(E27/E$28)</f>
        <v>0.56154895939952232</v>
      </c>
      <c r="F32" s="149">
        <f>SUM(F27/F$28)</f>
        <v>0.56702293816800908</v>
      </c>
      <c r="G32" s="149">
        <f>SUM(G27/G$28)</f>
        <v>0.58859878639425489</v>
      </c>
      <c r="H32" s="149">
        <f>SUM(H27/H$28)</f>
        <v>0.60917500000000002</v>
      </c>
      <c r="I32" s="150"/>
      <c r="J32" s="149">
        <f t="shared" ref="J32:U32" si="67">SUM(J27/J$28)</f>
        <v>0.55052923387096775</v>
      </c>
      <c r="K32" s="149">
        <f t="shared" si="67"/>
        <v>0.55666875391358794</v>
      </c>
      <c r="L32" s="149">
        <f t="shared" si="67"/>
        <v>0.57614181952480614</v>
      </c>
      <c r="M32" s="149">
        <f t="shared" si="67"/>
        <v>0.58322685561621557</v>
      </c>
      <c r="N32" s="149">
        <f t="shared" si="67"/>
        <v>0.57783182765809593</v>
      </c>
      <c r="O32" s="149">
        <f t="shared" si="67"/>
        <v>0.58484330484330482</v>
      </c>
      <c r="P32" s="149">
        <f t="shared" si="67"/>
        <v>0.59314606741573028</v>
      </c>
      <c r="Q32" s="149">
        <f t="shared" si="67"/>
        <v>0.59748362275137779</v>
      </c>
      <c r="R32" s="149">
        <f t="shared" si="67"/>
        <v>0.60694006309148263</v>
      </c>
      <c r="S32" s="149">
        <f t="shared" si="67"/>
        <v>0.60277256618720032</v>
      </c>
      <c r="T32" s="149">
        <f t="shared" si="67"/>
        <v>0.61394022807707427</v>
      </c>
      <c r="U32" s="149">
        <f t="shared" si="67"/>
        <v>0.61236478925773963</v>
      </c>
      <c r="V32" s="149">
        <f t="shared" ref="V32" si="68">SUM(V27/V$28)</f>
        <v>0.61810843041922758</v>
      </c>
      <c r="W32" s="150"/>
      <c r="X32" s="151">
        <f t="shared" ref="X32:AF32" si="69">SUM(X27/X$28)</f>
        <v>0.56702293816800908</v>
      </c>
      <c r="Y32" s="151">
        <f t="shared" si="69"/>
        <v>0.5737459146652274</v>
      </c>
      <c r="Z32" s="151">
        <f t="shared" si="69"/>
        <v>0.58059224978764534</v>
      </c>
      <c r="AA32" s="151">
        <f t="shared" si="69"/>
        <v>0.58482730969700436</v>
      </c>
      <c r="AB32" s="151">
        <f t="shared" si="69"/>
        <v>0.58859878639425489</v>
      </c>
      <c r="AC32" s="151">
        <f t="shared" si="69"/>
        <v>0.59586435519808711</v>
      </c>
      <c r="AD32" s="151">
        <f t="shared" si="69"/>
        <v>0.60019669865234837</v>
      </c>
      <c r="AE32" s="151">
        <f t="shared" si="69"/>
        <v>0.60540457151672533</v>
      </c>
      <c r="AF32" s="152">
        <f t="shared" si="69"/>
        <v>0.60917500000000002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J26:U27 X26:AF27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I86"/>
  <sheetViews>
    <sheetView showGridLines="0" tabSelected="1" zoomScale="115" zoomScaleNormal="115" workbookViewId="0">
      <selection activeCell="AG47" sqref="AG4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5" width="8.625" style="8" hidden="1" customWidth="1" outlineLevel="1"/>
    <col min="6" max="6" width="9" style="8" bestFit="1" customWidth="1" collapsed="1"/>
    <col min="7" max="7" width="9.25" style="8" bestFit="1" customWidth="1"/>
    <col min="8" max="8" width="9" style="8"/>
    <col min="9" max="9" width="1.5" style="8" customWidth="1"/>
    <col min="10" max="11" width="8" style="8" hidden="1" customWidth="1" outlineLevel="1"/>
    <col min="12" max="15" width="8.875" style="8" hidden="1" customWidth="1" outlineLevel="1"/>
    <col min="16" max="16" width="8.875" style="8" bestFit="1" customWidth="1" collapsed="1"/>
    <col min="17" max="22" width="8.875" style="8" bestFit="1" customWidth="1"/>
    <col min="23" max="23" width="1.625" style="8" customWidth="1"/>
    <col min="24" max="25" width="9.25" style="8" hidden="1" customWidth="1" outlineLevel="1"/>
    <col min="26" max="26" width="9.75" style="8" hidden="1" customWidth="1" outlineLevel="1"/>
    <col min="27" max="27" width="9" style="8" hidden="1" customWidth="1" outlineLevel="1"/>
    <col min="28" max="28" width="9" style="8" hidden="1" customWidth="1" outlineLevel="1" collapsed="1"/>
    <col min="29" max="29" width="9" style="8" customWidth="1" collapsed="1"/>
    <col min="30" max="30" width="9" style="8" hidden="1" customWidth="1" outlineLevel="1"/>
    <col min="31" max="32" width="8.5" style="8" hidden="1" customWidth="1" outlineLevel="1"/>
    <col min="33" max="33" width="8.5" style="8" bestFit="1" customWidth="1" collapsed="1"/>
    <col min="34" max="34" width="1.5" style="8" customWidth="1"/>
    <col min="35" max="35" width="9.375" style="122" bestFit="1" customWidth="1"/>
    <col min="36" max="16384" width="9" style="8"/>
  </cols>
  <sheetData>
    <row r="2" spans="2:35" s="5" customFormat="1" ht="12.75" customHeight="1">
      <c r="B2" s="1" t="str">
        <f>'Historical Financials'!B2</f>
        <v>Visa Inc (NYSE: V)</v>
      </c>
      <c r="C2" s="2" t="s">
        <v>0</v>
      </c>
      <c r="D2" s="2" t="s">
        <v>0</v>
      </c>
      <c r="E2" s="2"/>
      <c r="F2" s="2" t="s">
        <v>0</v>
      </c>
      <c r="G2" s="2"/>
      <c r="H2" s="2"/>
      <c r="I2" s="3"/>
      <c r="J2" s="2" t="s">
        <v>1</v>
      </c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2"/>
      <c r="V2" s="2"/>
      <c r="W2" s="3"/>
      <c r="X2" s="2"/>
      <c r="Y2" s="2"/>
      <c r="Z2" s="2"/>
      <c r="AA2" s="2" t="s">
        <v>10</v>
      </c>
      <c r="AB2" s="2" t="s">
        <v>10</v>
      </c>
      <c r="AC2" s="2" t="s">
        <v>10</v>
      </c>
      <c r="AD2" s="2"/>
      <c r="AE2" s="2"/>
      <c r="AF2" s="2"/>
      <c r="AG2" s="2"/>
      <c r="AH2" s="3"/>
      <c r="AI2" s="155" t="s">
        <v>21</v>
      </c>
    </row>
    <row r="3" spans="2:35" s="5" customFormat="1" ht="12.75" customHeight="1">
      <c r="B3" s="6" t="s">
        <v>22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1Q23</v>
      </c>
      <c r="K3" s="7" t="str">
        <f>'Historical Financials'!K7</f>
        <v>2Q23</v>
      </c>
      <c r="L3" s="7" t="str">
        <f>'Historical Financials'!L7</f>
        <v>3Q23</v>
      </c>
      <c r="M3" s="7" t="str">
        <f>'Historical Financials'!M7</f>
        <v>4Q23</v>
      </c>
      <c r="N3" s="7" t="str">
        <f>'Historical Financials'!N7</f>
        <v>1Q24</v>
      </c>
      <c r="O3" s="7" t="str">
        <f>'Historical Financials'!O7</f>
        <v>2Q24</v>
      </c>
      <c r="P3" s="7" t="str">
        <f>'Historical Financials'!P7</f>
        <v>3Q24</v>
      </c>
      <c r="Q3" s="7" t="str">
        <f>'Historical Financials'!Q7</f>
        <v>4Q24</v>
      </c>
      <c r="R3" s="7" t="str">
        <f>'Historical Financials'!R7</f>
        <v>1Q25</v>
      </c>
      <c r="S3" s="7" t="str">
        <f>'Historical Financials'!S7</f>
        <v>2Q25</v>
      </c>
      <c r="T3" s="7" t="str">
        <f>'Historical Financials'!T7</f>
        <v>3Q25</v>
      </c>
      <c r="U3" s="7" t="str">
        <f>'Historical Financials'!U7</f>
        <v>4Q25</v>
      </c>
      <c r="V3" s="7" t="str">
        <f>'Historical Financials'!V7</f>
        <v>1Q26</v>
      </c>
      <c r="W3" s="3"/>
      <c r="X3" s="4" t="str">
        <f>M3</f>
        <v>4Q23</v>
      </c>
      <c r="Y3" s="4" t="str">
        <f>N3</f>
        <v>1Q24</v>
      </c>
      <c r="Z3" s="4" t="str">
        <f>O3</f>
        <v>2Q24</v>
      </c>
      <c r="AA3" s="4" t="str">
        <f>P3</f>
        <v>3Q24</v>
      </c>
      <c r="AB3" s="4" t="str">
        <f>Q3</f>
        <v>4Q24</v>
      </c>
      <c r="AC3" s="4" t="str">
        <f>R3</f>
        <v>1Q25</v>
      </c>
      <c r="AD3" s="4" t="str">
        <f>S3</f>
        <v>2Q25</v>
      </c>
      <c r="AE3" s="4" t="str">
        <f>T3</f>
        <v>3Q25</v>
      </c>
      <c r="AF3" s="4" t="str">
        <f>U3</f>
        <v>4Q25</v>
      </c>
      <c r="AG3" s="4" t="str">
        <f>V3</f>
        <v>1Q26</v>
      </c>
      <c r="AH3" s="3"/>
      <c r="AI3" s="155"/>
    </row>
    <row r="4" spans="2:35" s="5" customFormat="1" ht="12.75" customHeight="1">
      <c r="B4" s="6" t="s">
        <v>68</v>
      </c>
      <c r="C4" s="3">
        <f>'Historical Financials'!C8</f>
        <v>44104</v>
      </c>
      <c r="D4" s="3">
        <f>'Historical Financials'!D8</f>
        <v>44469</v>
      </c>
      <c r="E4" s="3">
        <f>'Historical Financials'!E8</f>
        <v>44834</v>
      </c>
      <c r="F4" s="3">
        <f>'Historical Financials'!F8</f>
        <v>45199</v>
      </c>
      <c r="G4" s="3">
        <f>'Historical Financials'!G8</f>
        <v>45565</v>
      </c>
      <c r="H4" s="3">
        <f>'Historical Financials'!H8</f>
        <v>45930</v>
      </c>
      <c r="I4" s="3"/>
      <c r="J4" s="3">
        <f>'Historical Financials'!J8</f>
        <v>44926</v>
      </c>
      <c r="K4" s="3">
        <f>'Historical Financials'!K8</f>
        <v>45015</v>
      </c>
      <c r="L4" s="3">
        <f>'Historical Financials'!L8</f>
        <v>45107</v>
      </c>
      <c r="M4" s="3">
        <f>'Historical Financials'!M8</f>
        <v>45199</v>
      </c>
      <c r="N4" s="3">
        <f>'Historical Financials'!N8</f>
        <v>45291</v>
      </c>
      <c r="O4" s="3">
        <f>'Historical Financials'!O8</f>
        <v>45381</v>
      </c>
      <c r="P4" s="3">
        <f>'Historical Financials'!P8</f>
        <v>45473</v>
      </c>
      <c r="Q4" s="3">
        <f>'Historical Financials'!Q8</f>
        <v>45565</v>
      </c>
      <c r="R4" s="3">
        <f>'Historical Financials'!R8</f>
        <v>45657</v>
      </c>
      <c r="S4" s="3">
        <f>'Historical Financials'!S8</f>
        <v>45746</v>
      </c>
      <c r="T4" s="3">
        <f>'Historical Financials'!T8</f>
        <v>45838</v>
      </c>
      <c r="U4" s="3">
        <f>'Historical Financials'!U8</f>
        <v>45930</v>
      </c>
      <c r="V4" s="3">
        <f>'Historical Financials'!V8</f>
        <v>46022</v>
      </c>
      <c r="W4" s="3"/>
      <c r="X4" s="3">
        <f>M4</f>
        <v>45199</v>
      </c>
      <c r="Y4" s="3">
        <f>N4</f>
        <v>45291</v>
      </c>
      <c r="Z4" s="3">
        <f>O4</f>
        <v>45381</v>
      </c>
      <c r="AA4" s="3">
        <f>P4</f>
        <v>45473</v>
      </c>
      <c r="AB4" s="3">
        <f>Q4</f>
        <v>45565</v>
      </c>
      <c r="AC4" s="3">
        <f>R4</f>
        <v>45657</v>
      </c>
      <c r="AD4" s="3">
        <f>S4</f>
        <v>45746</v>
      </c>
      <c r="AE4" s="3">
        <f>T4</f>
        <v>45838</v>
      </c>
      <c r="AF4" s="3">
        <f>U4</f>
        <v>45930</v>
      </c>
      <c r="AG4" s="3">
        <f>V4</f>
        <v>46022</v>
      </c>
      <c r="AH4" s="3"/>
      <c r="AI4" s="155"/>
    </row>
    <row r="5" spans="2:35" ht="5.0999999999999996" customHeight="1">
      <c r="AI5" s="118"/>
    </row>
    <row r="6" spans="2:35" ht="12.75" customHeight="1">
      <c r="B6" s="9" t="str">
        <f>'Revenue Drivers'!B9</f>
        <v>Service Revenues</v>
      </c>
      <c r="C6" s="88">
        <f>'Revenue Drivers'!C9</f>
        <v>9804</v>
      </c>
      <c r="D6" s="88">
        <f>'Revenue Drivers'!D9</f>
        <v>11475</v>
      </c>
      <c r="E6" s="88">
        <f>'Revenue Drivers'!E9</f>
        <v>13361</v>
      </c>
      <c r="F6" s="88">
        <f>'Revenue Drivers'!F9</f>
        <v>14826</v>
      </c>
      <c r="G6" s="88">
        <f>'Revenue Drivers'!G9</f>
        <v>16114</v>
      </c>
      <c r="H6" s="88">
        <f>'Revenue Drivers'!H9</f>
        <v>17539</v>
      </c>
      <c r="I6" s="10"/>
      <c r="J6" s="88">
        <f>'Revenue Drivers'!J9</f>
        <v>3511</v>
      </c>
      <c r="K6" s="88">
        <f>'Revenue Drivers'!K9</f>
        <v>3771</v>
      </c>
      <c r="L6" s="88">
        <f>'Revenue Drivers'!L9</f>
        <v>3668</v>
      </c>
      <c r="M6" s="88">
        <f>'Revenue Drivers'!M9</f>
        <v>3876</v>
      </c>
      <c r="N6" s="88">
        <f>'Revenue Drivers'!N9</f>
        <v>3915</v>
      </c>
      <c r="O6" s="88">
        <f>'Revenue Drivers'!O9</f>
        <v>4033</v>
      </c>
      <c r="P6" s="88">
        <f>'Revenue Drivers'!P9</f>
        <v>3967</v>
      </c>
      <c r="Q6" s="88">
        <f>'Revenue Drivers'!Q9</f>
        <v>4199</v>
      </c>
      <c r="R6" s="88">
        <f>'Revenue Drivers'!R9</f>
        <v>4208</v>
      </c>
      <c r="S6" s="88">
        <f>'Revenue Drivers'!S9</f>
        <v>4399</v>
      </c>
      <c r="T6" s="88">
        <f>'Revenue Drivers'!T9</f>
        <v>4330</v>
      </c>
      <c r="U6" s="88">
        <f>'Revenue Drivers'!U9</f>
        <v>4602</v>
      </c>
      <c r="V6" s="88">
        <f>'Revenue Drivers'!V9</f>
        <v>4760</v>
      </c>
      <c r="W6" s="5"/>
      <c r="X6" s="129">
        <f>SUM(J6:M6)</f>
        <v>14826</v>
      </c>
      <c r="Y6" s="129">
        <f>SUM(K6:N6)</f>
        <v>15230</v>
      </c>
      <c r="Z6" s="129">
        <f>SUM(L6:O6)</f>
        <v>15492</v>
      </c>
      <c r="AA6" s="129">
        <f>SUM(M6:P6)</f>
        <v>15791</v>
      </c>
      <c r="AB6" s="129">
        <f>SUM(N6:Q6)</f>
        <v>16114</v>
      </c>
      <c r="AC6" s="129">
        <f>SUM(O6:R6)</f>
        <v>16407</v>
      </c>
      <c r="AD6" s="129">
        <f>SUM(P6:S6)</f>
        <v>16773</v>
      </c>
      <c r="AE6" s="129">
        <f>SUM(Q6:T6)</f>
        <v>17136</v>
      </c>
      <c r="AF6" s="129">
        <f>SUM(R6:U6)</f>
        <v>17539</v>
      </c>
      <c r="AG6" s="129">
        <f>SUM(S6:V6)</f>
        <v>18091</v>
      </c>
      <c r="AI6" s="119">
        <f>SUM(AG6/AC6)-1</f>
        <v>0.10263911744986887</v>
      </c>
    </row>
    <row r="7" spans="2:35" ht="12.75" customHeight="1">
      <c r="B7" s="9" t="str">
        <f>'Revenue Drivers'!B10</f>
        <v>Data Processing Revenues</v>
      </c>
      <c r="C7" s="88">
        <f>'Revenue Drivers'!C10</f>
        <v>10975</v>
      </c>
      <c r="D7" s="88">
        <f>'Revenue Drivers'!D10</f>
        <v>12792</v>
      </c>
      <c r="E7" s="88">
        <f>'Revenue Drivers'!E10</f>
        <v>14438</v>
      </c>
      <c r="F7" s="88">
        <f>'Revenue Drivers'!F10</f>
        <v>16007</v>
      </c>
      <c r="G7" s="88">
        <f>'Revenue Drivers'!G10</f>
        <v>17714</v>
      </c>
      <c r="H7" s="88">
        <f>'Revenue Drivers'!H10</f>
        <v>19993</v>
      </c>
      <c r="I7" s="10"/>
      <c r="J7" s="88">
        <f>'Revenue Drivers'!J10</f>
        <v>3827</v>
      </c>
      <c r="K7" s="88">
        <f>'Revenue Drivers'!K10</f>
        <v>3819</v>
      </c>
      <c r="L7" s="88">
        <f>'Revenue Drivers'!L10</f>
        <v>4105</v>
      </c>
      <c r="M7" s="88">
        <f>'Revenue Drivers'!M10</f>
        <v>4256</v>
      </c>
      <c r="N7" s="88">
        <f>'Revenue Drivers'!N10</f>
        <v>4356</v>
      </c>
      <c r="O7" s="88">
        <f>'Revenue Drivers'!O10</f>
        <v>4259</v>
      </c>
      <c r="P7" s="88">
        <f>'Revenue Drivers'!P10</f>
        <v>4489</v>
      </c>
      <c r="Q7" s="88">
        <f>'Revenue Drivers'!Q10</f>
        <v>4610</v>
      </c>
      <c r="R7" s="88">
        <f>'Revenue Drivers'!R10</f>
        <v>4745</v>
      </c>
      <c r="S7" s="88">
        <f>'Revenue Drivers'!S10</f>
        <v>4701</v>
      </c>
      <c r="T7" s="88">
        <f>'Revenue Drivers'!T10</f>
        <v>5153</v>
      </c>
      <c r="U7" s="88">
        <f>'Revenue Drivers'!U10</f>
        <v>5394</v>
      </c>
      <c r="V7" s="88">
        <f>'Revenue Drivers'!V10</f>
        <v>5544</v>
      </c>
      <c r="W7" s="5"/>
      <c r="X7" s="129">
        <f>SUM(J7:M7)</f>
        <v>16007</v>
      </c>
      <c r="Y7" s="129">
        <f>SUM(K7:N7)</f>
        <v>16536</v>
      </c>
      <c r="Z7" s="129">
        <f>SUM(L7:O7)</f>
        <v>16976</v>
      </c>
      <c r="AA7" s="129">
        <f>SUM(M7:P7)</f>
        <v>17360</v>
      </c>
      <c r="AB7" s="129">
        <f>SUM(N7:Q7)</f>
        <v>17714</v>
      </c>
      <c r="AC7" s="129">
        <f>SUM(O7:R7)</f>
        <v>18103</v>
      </c>
      <c r="AD7" s="129">
        <f>SUM(P7:S7)</f>
        <v>18545</v>
      </c>
      <c r="AE7" s="129">
        <f>SUM(Q7:T7)</f>
        <v>19209</v>
      </c>
      <c r="AF7" s="129">
        <f>SUM(R7:U7)</f>
        <v>19993</v>
      </c>
      <c r="AG7" s="129">
        <f>SUM(S7:V7)</f>
        <v>20792</v>
      </c>
      <c r="AI7" s="119">
        <f t="shared" ref="AI7:AI11" si="0">SUM(AG7/AC7)-1</f>
        <v>0.14853891620173454</v>
      </c>
    </row>
    <row r="8" spans="2:35" ht="12.75" customHeight="1">
      <c r="B8" s="9" t="str">
        <f>'Revenue Drivers'!B11</f>
        <v>International Transaction Revenues</v>
      </c>
      <c r="C8" s="88">
        <f>'Revenue Drivers'!C11</f>
        <v>6299</v>
      </c>
      <c r="D8" s="88">
        <f>'Revenue Drivers'!D11</f>
        <v>6530</v>
      </c>
      <c r="E8" s="88">
        <f>'Revenue Drivers'!E11</f>
        <v>9815</v>
      </c>
      <c r="F8" s="88">
        <f>'Revenue Drivers'!F11</f>
        <v>11638</v>
      </c>
      <c r="G8" s="88">
        <f>'Revenue Drivers'!G11</f>
        <v>12665</v>
      </c>
      <c r="H8" s="88">
        <f>'Revenue Drivers'!H11</f>
        <v>14166</v>
      </c>
      <c r="I8" s="10"/>
      <c r="J8" s="88">
        <f>'Revenue Drivers'!J11</f>
        <v>2797</v>
      </c>
      <c r="K8" s="88">
        <f>'Revenue Drivers'!K11</f>
        <v>2749</v>
      </c>
      <c r="L8" s="88">
        <f>'Revenue Drivers'!L11</f>
        <v>2920</v>
      </c>
      <c r="M8" s="88">
        <f>'Revenue Drivers'!M11</f>
        <v>3172</v>
      </c>
      <c r="N8" s="88">
        <f>'Revenue Drivers'!N11</f>
        <v>3019</v>
      </c>
      <c r="O8" s="88">
        <f>'Revenue Drivers'!O11</f>
        <v>2984</v>
      </c>
      <c r="P8" s="88">
        <f>'Revenue Drivers'!P11</f>
        <v>3194</v>
      </c>
      <c r="Q8" s="88">
        <f>'Revenue Drivers'!Q11</f>
        <v>3468</v>
      </c>
      <c r="R8" s="88">
        <f>'Revenue Drivers'!R11</f>
        <v>3442</v>
      </c>
      <c r="S8" s="88">
        <f>'Revenue Drivers'!S11</f>
        <v>3291</v>
      </c>
      <c r="T8" s="88">
        <f>'Revenue Drivers'!T11</f>
        <v>3633</v>
      </c>
      <c r="U8" s="88">
        <f>'Revenue Drivers'!U11</f>
        <v>3800</v>
      </c>
      <c r="V8" s="88">
        <f>'Revenue Drivers'!V11</f>
        <v>3652</v>
      </c>
      <c r="W8" s="5"/>
      <c r="X8" s="129">
        <f>SUM(J8:M8)</f>
        <v>11638</v>
      </c>
      <c r="Y8" s="129">
        <f>SUM(K8:N8)</f>
        <v>11860</v>
      </c>
      <c r="Z8" s="129">
        <f>SUM(L8:O8)</f>
        <v>12095</v>
      </c>
      <c r="AA8" s="129">
        <f>SUM(M8:P8)</f>
        <v>12369</v>
      </c>
      <c r="AB8" s="129">
        <f>SUM(N8:Q8)</f>
        <v>12665</v>
      </c>
      <c r="AC8" s="129">
        <f>SUM(O8:R8)</f>
        <v>13088</v>
      </c>
      <c r="AD8" s="129">
        <f>SUM(P8:S8)</f>
        <v>13395</v>
      </c>
      <c r="AE8" s="129">
        <f>SUM(Q8:T8)</f>
        <v>13834</v>
      </c>
      <c r="AF8" s="129">
        <f>SUM(R8:U8)</f>
        <v>14166</v>
      </c>
      <c r="AG8" s="129">
        <f>SUM(S8:V8)</f>
        <v>14376</v>
      </c>
      <c r="AI8" s="119">
        <f t="shared" si="0"/>
        <v>9.8410757946210348E-2</v>
      </c>
    </row>
    <row r="9" spans="2:35" ht="12.75" customHeight="1">
      <c r="B9" s="9" t="str">
        <f>'Revenue Drivers'!B12</f>
        <v>Other Revenues</v>
      </c>
      <c r="C9" s="88">
        <f>'Revenue Drivers'!C12</f>
        <v>1432</v>
      </c>
      <c r="D9" s="88">
        <f>'Revenue Drivers'!D12</f>
        <v>1675</v>
      </c>
      <c r="E9" s="88">
        <f>'Revenue Drivers'!E12</f>
        <v>1991</v>
      </c>
      <c r="F9" s="88">
        <f>'Revenue Drivers'!F12</f>
        <v>2479</v>
      </c>
      <c r="G9" s="88">
        <f>'Revenue Drivers'!G12</f>
        <v>3197</v>
      </c>
      <c r="H9" s="88">
        <f>'Revenue Drivers'!H12</f>
        <v>4053</v>
      </c>
      <c r="I9" s="10"/>
      <c r="J9" s="88">
        <f>'Revenue Drivers'!J12</f>
        <v>587</v>
      </c>
      <c r="K9" s="88">
        <f>'Revenue Drivers'!K12</f>
        <v>551</v>
      </c>
      <c r="L9" s="88">
        <f>'Revenue Drivers'!L12</f>
        <v>597</v>
      </c>
      <c r="M9" s="88">
        <f>'Revenue Drivers'!M12</f>
        <v>744</v>
      </c>
      <c r="N9" s="88">
        <f>'Revenue Drivers'!N12</f>
        <v>692</v>
      </c>
      <c r="O9" s="88">
        <f>'Revenue Drivers'!O12</f>
        <v>756</v>
      </c>
      <c r="P9" s="88">
        <f>'Revenue Drivers'!P12</f>
        <v>780</v>
      </c>
      <c r="Q9" s="88">
        <f>'Revenue Drivers'!Q12</f>
        <v>969</v>
      </c>
      <c r="R9" s="88">
        <f>'Revenue Drivers'!R12</f>
        <v>912</v>
      </c>
      <c r="S9" s="88">
        <f>'Revenue Drivers'!S12</f>
        <v>937</v>
      </c>
      <c r="T9" s="88">
        <f>'Revenue Drivers'!T12</f>
        <v>1028</v>
      </c>
      <c r="U9" s="88">
        <f>'Revenue Drivers'!U12</f>
        <v>1176</v>
      </c>
      <c r="V9" s="88">
        <f>'Revenue Drivers'!V12</f>
        <v>1214</v>
      </c>
      <c r="W9" s="5"/>
      <c r="X9" s="129">
        <f>SUM(J9:M9)</f>
        <v>2479</v>
      </c>
      <c r="Y9" s="129">
        <f>SUM(K9:N9)</f>
        <v>2584</v>
      </c>
      <c r="Z9" s="129">
        <f>SUM(L9:O9)</f>
        <v>2789</v>
      </c>
      <c r="AA9" s="129">
        <f>SUM(M9:P9)</f>
        <v>2972</v>
      </c>
      <c r="AB9" s="129">
        <f>SUM(N9:Q9)</f>
        <v>3197</v>
      </c>
      <c r="AC9" s="129">
        <f>SUM(O9:R9)</f>
        <v>3417</v>
      </c>
      <c r="AD9" s="129">
        <f>SUM(P9:S9)</f>
        <v>3598</v>
      </c>
      <c r="AE9" s="129">
        <f>SUM(Q9:T9)</f>
        <v>3846</v>
      </c>
      <c r="AF9" s="129">
        <f>SUM(R9:U9)</f>
        <v>4053</v>
      </c>
      <c r="AG9" s="129">
        <f>SUM(S9:V9)</f>
        <v>4355</v>
      </c>
      <c r="AI9" s="119">
        <f t="shared" si="0"/>
        <v>0.27450980392156854</v>
      </c>
    </row>
    <row r="10" spans="2:35" ht="12.75" customHeight="1">
      <c r="B10" s="9" t="str">
        <f>'Revenue Drivers'!B13</f>
        <v>Client Incentives</v>
      </c>
      <c r="C10" s="88">
        <f>'Revenue Drivers'!C13</f>
        <v>-6664</v>
      </c>
      <c r="D10" s="88">
        <f>'Revenue Drivers'!D13</f>
        <v>-8367</v>
      </c>
      <c r="E10" s="88">
        <f>'Revenue Drivers'!E13</f>
        <v>-10295</v>
      </c>
      <c r="F10" s="88">
        <f>'Revenue Drivers'!F13</f>
        <v>-12297</v>
      </c>
      <c r="G10" s="88">
        <f>'Revenue Drivers'!G13</f>
        <v>-13764</v>
      </c>
      <c r="H10" s="88">
        <f>'Revenue Drivers'!H13</f>
        <v>-15751</v>
      </c>
      <c r="I10" s="10"/>
      <c r="J10" s="88">
        <f>'Revenue Drivers'!J13</f>
        <v>-2786</v>
      </c>
      <c r="K10" s="88">
        <f>'Revenue Drivers'!K13</f>
        <v>-2905</v>
      </c>
      <c r="L10" s="88">
        <f>'Revenue Drivers'!L13</f>
        <v>-3167</v>
      </c>
      <c r="M10" s="88">
        <f>'Revenue Drivers'!M13</f>
        <v>-3439</v>
      </c>
      <c r="N10" s="88">
        <f>'Revenue Drivers'!N13</f>
        <v>-3348</v>
      </c>
      <c r="O10" s="88">
        <f>'Revenue Drivers'!O13</f>
        <v>-3257</v>
      </c>
      <c r="P10" s="88">
        <f>'Revenue Drivers'!P13</f>
        <v>-3530</v>
      </c>
      <c r="Q10" s="88">
        <f>'Revenue Drivers'!Q13</f>
        <v>-3629</v>
      </c>
      <c r="R10" s="88">
        <f>'Revenue Drivers'!R13</f>
        <v>-3797</v>
      </c>
      <c r="S10" s="88">
        <f>'Revenue Drivers'!S13</f>
        <v>-3734</v>
      </c>
      <c r="T10" s="88">
        <f>'Revenue Drivers'!T13</f>
        <v>-3972</v>
      </c>
      <c r="U10" s="88">
        <f>'Revenue Drivers'!U13</f>
        <v>-4248</v>
      </c>
      <c r="V10" s="88">
        <f>'Revenue Drivers'!V13</f>
        <v>-4269</v>
      </c>
      <c r="W10" s="5"/>
      <c r="X10" s="129">
        <f>SUM(J10:M10)</f>
        <v>-12297</v>
      </c>
      <c r="Y10" s="129">
        <f>SUM(K10:N10)</f>
        <v>-12859</v>
      </c>
      <c r="Z10" s="129">
        <f>SUM(L10:O10)</f>
        <v>-13211</v>
      </c>
      <c r="AA10" s="129">
        <f>SUM(M10:P10)</f>
        <v>-13574</v>
      </c>
      <c r="AB10" s="129">
        <f>SUM(N10:Q10)</f>
        <v>-13764</v>
      </c>
      <c r="AC10" s="129">
        <f>SUM(O10:R10)</f>
        <v>-14213</v>
      </c>
      <c r="AD10" s="129">
        <f>SUM(P10:S10)</f>
        <v>-14690</v>
      </c>
      <c r="AE10" s="129">
        <f>SUM(Q10:T10)</f>
        <v>-15132</v>
      </c>
      <c r="AF10" s="129">
        <f>SUM(R10:U10)</f>
        <v>-15751</v>
      </c>
      <c r="AG10" s="129">
        <f>SUM(S10:V10)</f>
        <v>-16223</v>
      </c>
      <c r="AI10" s="119">
        <f t="shared" si="0"/>
        <v>0.14141982691901789</v>
      </c>
    </row>
    <row r="11" spans="2:35" ht="12.75" customHeight="1">
      <c r="B11" s="13" t="s">
        <v>12</v>
      </c>
      <c r="C11" s="14">
        <f t="shared" ref="C11:H11" si="1">SUM(C6:C10)</f>
        <v>21846</v>
      </c>
      <c r="D11" s="14">
        <f t="shared" si="1"/>
        <v>24105</v>
      </c>
      <c r="E11" s="14">
        <f t="shared" si="1"/>
        <v>29310</v>
      </c>
      <c r="F11" s="14">
        <f t="shared" si="1"/>
        <v>32653</v>
      </c>
      <c r="G11" s="14">
        <f t="shared" si="1"/>
        <v>35926</v>
      </c>
      <c r="H11" s="14">
        <f t="shared" si="1"/>
        <v>40000</v>
      </c>
      <c r="I11" s="10"/>
      <c r="J11" s="14">
        <f t="shared" ref="J11:V11" si="2">SUM(J6:J10)</f>
        <v>7936</v>
      </c>
      <c r="K11" s="14">
        <f t="shared" si="2"/>
        <v>7985</v>
      </c>
      <c r="L11" s="14">
        <f t="shared" si="2"/>
        <v>8123</v>
      </c>
      <c r="M11" s="14">
        <f t="shared" si="2"/>
        <v>8609</v>
      </c>
      <c r="N11" s="14">
        <f t="shared" si="2"/>
        <v>8634</v>
      </c>
      <c r="O11" s="14">
        <f t="shared" si="2"/>
        <v>8775</v>
      </c>
      <c r="P11" s="14">
        <f t="shared" si="2"/>
        <v>8900</v>
      </c>
      <c r="Q11" s="14">
        <f t="shared" si="2"/>
        <v>9617</v>
      </c>
      <c r="R11" s="14">
        <f t="shared" si="2"/>
        <v>9510</v>
      </c>
      <c r="S11" s="14">
        <f t="shared" si="2"/>
        <v>9594</v>
      </c>
      <c r="T11" s="14">
        <f t="shared" si="2"/>
        <v>10172</v>
      </c>
      <c r="U11" s="14">
        <f t="shared" si="2"/>
        <v>10724</v>
      </c>
      <c r="V11" s="14">
        <f t="shared" si="2"/>
        <v>10901</v>
      </c>
      <c r="W11" s="5"/>
      <c r="X11" s="14">
        <f t="shared" ref="X11:AG11" si="3">SUM(X6:X10)</f>
        <v>32653</v>
      </c>
      <c r="Y11" s="14">
        <f t="shared" si="3"/>
        <v>33351</v>
      </c>
      <c r="Z11" s="14">
        <f t="shared" si="3"/>
        <v>34141</v>
      </c>
      <c r="AA11" s="14">
        <f t="shared" si="3"/>
        <v>34918</v>
      </c>
      <c r="AB11" s="14">
        <f t="shared" si="3"/>
        <v>35926</v>
      </c>
      <c r="AC11" s="14">
        <f t="shared" si="3"/>
        <v>36802</v>
      </c>
      <c r="AD11" s="14">
        <f t="shared" si="3"/>
        <v>37621</v>
      </c>
      <c r="AE11" s="14">
        <f t="shared" si="3"/>
        <v>38893</v>
      </c>
      <c r="AF11" s="14">
        <f t="shared" si="3"/>
        <v>40000</v>
      </c>
      <c r="AG11" s="14">
        <f t="shared" si="3"/>
        <v>41391</v>
      </c>
      <c r="AI11" s="120">
        <f t="shared" si="0"/>
        <v>0.12469431009184273</v>
      </c>
    </row>
    <row r="12" spans="2:35" ht="12.75" customHeight="1">
      <c r="B12" s="16" t="s">
        <v>25</v>
      </c>
      <c r="C12" s="108"/>
      <c r="D12" s="108"/>
      <c r="E12" s="108"/>
      <c r="F12" s="17">
        <f>SUM(F11/E11)-1</f>
        <v>0.11405663596042315</v>
      </c>
      <c r="G12" s="17">
        <f>SUM(G11/F11)-1</f>
        <v>0.10023581294214923</v>
      </c>
      <c r="H12" s="17">
        <f>SUM(H11/G11)-1</f>
        <v>0.11339976618604908</v>
      </c>
      <c r="I12" s="11"/>
      <c r="J12" s="108"/>
      <c r="K12" s="108"/>
      <c r="L12" s="108"/>
      <c r="M12" s="108"/>
      <c r="N12" s="17">
        <f t="shared" ref="N12:V12" si="4">SUM(N11/J11)-1</f>
        <v>8.7953629032258007E-2</v>
      </c>
      <c r="O12" s="17">
        <f t="shared" si="4"/>
        <v>9.8935504070131408E-2</v>
      </c>
      <c r="P12" s="17">
        <f t="shared" si="4"/>
        <v>9.5654314908285132E-2</v>
      </c>
      <c r="Q12" s="17">
        <f t="shared" si="4"/>
        <v>0.11708676965965847</v>
      </c>
      <c r="R12" s="17">
        <f t="shared" si="4"/>
        <v>0.10145934676858936</v>
      </c>
      <c r="S12" s="17">
        <f t="shared" si="4"/>
        <v>9.3333333333333268E-2</v>
      </c>
      <c r="T12" s="17">
        <f t="shared" si="4"/>
        <v>0.14292134831460679</v>
      </c>
      <c r="U12" s="17">
        <f t="shared" si="4"/>
        <v>0.11510866174482692</v>
      </c>
      <c r="V12" s="17">
        <f t="shared" si="4"/>
        <v>0.14626708727655102</v>
      </c>
      <c r="W12" s="5"/>
      <c r="X12" s="108"/>
      <c r="Y12" s="108"/>
      <c r="Z12" s="108"/>
      <c r="AA12" s="108"/>
      <c r="AB12" s="17">
        <f t="shared" ref="AB12:AG12" si="5">SUM(AB11/X11)-1</f>
        <v>0.10023581294214923</v>
      </c>
      <c r="AC12" s="17">
        <f t="shared" si="5"/>
        <v>0.10347515816617192</v>
      </c>
      <c r="AD12" s="17">
        <f t="shared" si="5"/>
        <v>0.10193023051463057</v>
      </c>
      <c r="AE12" s="17">
        <f t="shared" si="5"/>
        <v>0.11383813505928164</v>
      </c>
      <c r="AF12" s="17">
        <f t="shared" si="5"/>
        <v>0.11339976618604908</v>
      </c>
      <c r="AG12" s="17">
        <f t="shared" si="5"/>
        <v>0.12469431009184273</v>
      </c>
      <c r="AI12" s="121">
        <f>SUM(AG12-AC12)*1000</f>
        <v>21.219151925670808</v>
      </c>
    </row>
    <row r="13" spans="2:35" ht="12.75" customHeight="1">
      <c r="B13" s="16" t="s">
        <v>26</v>
      </c>
      <c r="C13" s="17" t="s">
        <v>27</v>
      </c>
      <c r="D13" s="17" t="s">
        <v>27</v>
      </c>
      <c r="E13" s="17" t="s">
        <v>27</v>
      </c>
      <c r="F13" s="17" t="s">
        <v>27</v>
      </c>
      <c r="G13" s="17" t="s">
        <v>27</v>
      </c>
      <c r="H13" s="17" t="s">
        <v>27</v>
      </c>
      <c r="I13" s="11"/>
      <c r="J13" s="108"/>
      <c r="K13" s="17">
        <f t="shared" ref="K13:V13" si="6">SUM(K11/J11)-1</f>
        <v>6.1743951612902581E-3</v>
      </c>
      <c r="L13" s="17">
        <f t="shared" si="6"/>
        <v>1.7282404508453419E-2</v>
      </c>
      <c r="M13" s="17">
        <f t="shared" si="6"/>
        <v>5.9830112027575932E-2</v>
      </c>
      <c r="N13" s="17">
        <f t="shared" si="6"/>
        <v>2.9039377395747579E-3</v>
      </c>
      <c r="O13" s="17">
        <f t="shared" si="6"/>
        <v>1.6330785267546943E-2</v>
      </c>
      <c r="P13" s="17">
        <f t="shared" si="6"/>
        <v>1.4245014245014342E-2</v>
      </c>
      <c r="Q13" s="17">
        <f t="shared" si="6"/>
        <v>8.0561797752809028E-2</v>
      </c>
      <c r="R13" s="17">
        <f t="shared" si="6"/>
        <v>-1.1126130810023893E-2</v>
      </c>
      <c r="S13" s="17">
        <f t="shared" si="6"/>
        <v>8.8328075709778187E-3</v>
      </c>
      <c r="T13" s="17">
        <f t="shared" si="6"/>
        <v>6.0245987075255414E-2</v>
      </c>
      <c r="U13" s="17">
        <f t="shared" si="6"/>
        <v>5.426661423515533E-2</v>
      </c>
      <c r="V13" s="17">
        <f t="shared" si="6"/>
        <v>1.6505035434539295E-2</v>
      </c>
      <c r="W13" s="5"/>
      <c r="X13" s="17" t="s">
        <v>27</v>
      </c>
      <c r="Y13" s="17" t="s">
        <v>27</v>
      </c>
      <c r="Z13" s="17" t="s">
        <v>27</v>
      </c>
      <c r="AA13" s="17" t="s">
        <v>27</v>
      </c>
      <c r="AB13" s="17" t="s">
        <v>27</v>
      </c>
      <c r="AC13" s="17" t="s">
        <v>27</v>
      </c>
      <c r="AD13" s="17" t="s">
        <v>27</v>
      </c>
      <c r="AE13" s="17" t="s">
        <v>27</v>
      </c>
      <c r="AF13" s="17" t="s">
        <v>27</v>
      </c>
      <c r="AG13" s="17" t="s">
        <v>27</v>
      </c>
      <c r="AI13" s="118"/>
    </row>
    <row r="14" spans="2:35" ht="5.0999999999999996" customHeight="1"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5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I14" s="118"/>
    </row>
    <row r="15" spans="2:35" ht="12.75" customHeight="1">
      <c r="B15" s="23" t="s">
        <v>189</v>
      </c>
      <c r="C15" s="128">
        <f>'Historical Financials'!C13</f>
        <v>-3785</v>
      </c>
      <c r="D15" s="128">
        <f>'Historical Financials'!D13</f>
        <v>-4240</v>
      </c>
      <c r="E15" s="128">
        <f>'Historical Financials'!E13</f>
        <v>-4990</v>
      </c>
      <c r="F15" s="128">
        <f>'Historical Financials'!F13</f>
        <v>-5831</v>
      </c>
      <c r="G15" s="128">
        <f>'Historical Financials'!G13</f>
        <v>-6264</v>
      </c>
      <c r="H15" s="128">
        <f>'Historical Financials'!H13</f>
        <v>-6961</v>
      </c>
      <c r="I15" s="88"/>
      <c r="J15" s="128">
        <f>'Historical Financials'!J13</f>
        <v>-1337</v>
      </c>
      <c r="K15" s="128">
        <f>'Historical Financials'!K13</f>
        <v>-1515</v>
      </c>
      <c r="L15" s="128">
        <f>'Historical Financials'!L13</f>
        <v>-1481</v>
      </c>
      <c r="M15" s="128">
        <f>'Historical Financials'!M13</f>
        <v>-1498</v>
      </c>
      <c r="N15" s="128">
        <f>'Historical Financials'!N13</f>
        <v>-1479</v>
      </c>
      <c r="O15" s="128">
        <f>'Historical Financials'!O13</f>
        <v>-1603</v>
      </c>
      <c r="P15" s="128">
        <f>'Historical Financials'!P13</f>
        <v>-1573</v>
      </c>
      <c r="Q15" s="128">
        <f>'Historical Financials'!Q13</f>
        <v>-1609</v>
      </c>
      <c r="R15" s="128">
        <f>'Historical Financials'!R13</f>
        <v>-1813</v>
      </c>
      <c r="S15" s="128">
        <f>'Historical Financials'!S13</f>
        <v>-1657</v>
      </c>
      <c r="T15" s="128">
        <f>'Historical Financials'!T13</f>
        <v>-1749</v>
      </c>
      <c r="U15" s="128">
        <f>'Historical Financials'!U13</f>
        <v>-1742</v>
      </c>
      <c r="V15" s="128">
        <f>'Historical Financials'!V13</f>
        <v>-1764</v>
      </c>
      <c r="W15" s="5"/>
      <c r="X15" s="129">
        <f>SUM(J15:M15)</f>
        <v>-5831</v>
      </c>
      <c r="Y15" s="129">
        <f>SUM(K15:N15)</f>
        <v>-5973</v>
      </c>
      <c r="Z15" s="129">
        <f>SUM(L15:O15)</f>
        <v>-6061</v>
      </c>
      <c r="AA15" s="129">
        <f>SUM(M15:P15)</f>
        <v>-6153</v>
      </c>
      <c r="AB15" s="129">
        <f>SUM(N15:Q15)</f>
        <v>-6264</v>
      </c>
      <c r="AC15" s="129">
        <f>SUM(O15:R15)</f>
        <v>-6598</v>
      </c>
      <c r="AD15" s="129">
        <f>SUM(P15:S15)</f>
        <v>-6652</v>
      </c>
      <c r="AE15" s="129">
        <f>SUM(Q15:T15)</f>
        <v>-6828</v>
      </c>
      <c r="AF15" s="129">
        <f>SUM(R15:U15)</f>
        <v>-6961</v>
      </c>
      <c r="AG15" s="129">
        <f>SUM(S15:V15)</f>
        <v>-6912</v>
      </c>
      <c r="AI15" s="119">
        <f t="shared" ref="AI15:AI22" si="7">SUM(AG15/AC15)-1</f>
        <v>4.7590178842073394E-2</v>
      </c>
    </row>
    <row r="16" spans="2:35" ht="12.75" customHeight="1">
      <c r="B16" s="23" t="s">
        <v>188</v>
      </c>
      <c r="C16" s="128">
        <f>'Historical Financials'!C14</f>
        <v>-971</v>
      </c>
      <c r="D16" s="128">
        <f>'Historical Financials'!D14</f>
        <v>-1136</v>
      </c>
      <c r="E16" s="128">
        <f>'Historical Financials'!E14</f>
        <v>-1336</v>
      </c>
      <c r="F16" s="128">
        <f>'Historical Financials'!F14</f>
        <v>-1341</v>
      </c>
      <c r="G16" s="128">
        <f>'Historical Financials'!G14</f>
        <v>-1560</v>
      </c>
      <c r="H16" s="128">
        <f>'Historical Financials'!H14</f>
        <v>-1684</v>
      </c>
      <c r="I16" s="88"/>
      <c r="J16" s="128">
        <f>'Historical Financials'!J14</f>
        <v>-332</v>
      </c>
      <c r="K16" s="128">
        <f>'Historical Financials'!K14</f>
        <v>-309</v>
      </c>
      <c r="L16" s="128">
        <f>'Historical Financials'!L14</f>
        <v>-297</v>
      </c>
      <c r="M16" s="128">
        <f>'Historical Financials'!M14</f>
        <v>-403</v>
      </c>
      <c r="N16" s="128">
        <f>'Historical Financials'!N14</f>
        <v>-293</v>
      </c>
      <c r="O16" s="128">
        <f>'Historical Financials'!O14</f>
        <v>-338</v>
      </c>
      <c r="P16" s="128">
        <f>'Historical Financials'!P14</f>
        <v>-378</v>
      </c>
      <c r="Q16" s="128">
        <f>'Historical Financials'!Q14</f>
        <v>-551</v>
      </c>
      <c r="R16" s="128">
        <f>'Historical Financials'!R14</f>
        <v>-306</v>
      </c>
      <c r="S16" s="128">
        <f>'Historical Financials'!S14</f>
        <v>-381</v>
      </c>
      <c r="T16" s="128">
        <f>'Historical Financials'!T14</f>
        <v>-421</v>
      </c>
      <c r="U16" s="128">
        <f>'Historical Financials'!U14</f>
        <v>-576</v>
      </c>
      <c r="V16" s="128">
        <f>'Historical Financials'!V14</f>
        <v>-410</v>
      </c>
      <c r="W16" s="5"/>
      <c r="X16" s="129">
        <f>SUM(J16:M16)</f>
        <v>-1341</v>
      </c>
      <c r="Y16" s="129">
        <f>SUM(K16:N16)</f>
        <v>-1302</v>
      </c>
      <c r="Z16" s="129">
        <f>SUM(L16:O16)</f>
        <v>-1331</v>
      </c>
      <c r="AA16" s="129">
        <f>SUM(M16:P16)</f>
        <v>-1412</v>
      </c>
      <c r="AB16" s="129">
        <f>SUM(N16:Q16)</f>
        <v>-1560</v>
      </c>
      <c r="AC16" s="129">
        <f>SUM(O16:R16)</f>
        <v>-1573</v>
      </c>
      <c r="AD16" s="129">
        <f>SUM(P16:S16)</f>
        <v>-1616</v>
      </c>
      <c r="AE16" s="129">
        <f>SUM(Q16:T16)</f>
        <v>-1659</v>
      </c>
      <c r="AF16" s="129">
        <f>SUM(R16:U16)</f>
        <v>-1684</v>
      </c>
      <c r="AG16" s="129">
        <f>SUM(S16:V16)</f>
        <v>-1788</v>
      </c>
      <c r="AI16" s="119">
        <f t="shared" si="7"/>
        <v>0.13668150031786386</v>
      </c>
    </row>
    <row r="17" spans="2:35" ht="12.75" customHeight="1">
      <c r="B17" s="23" t="s">
        <v>187</v>
      </c>
      <c r="C17" s="128">
        <f>'Historical Financials'!C15</f>
        <v>-727</v>
      </c>
      <c r="D17" s="128">
        <f>'Historical Financials'!D15</f>
        <v>-730</v>
      </c>
      <c r="E17" s="128">
        <f>'Historical Financials'!E15</f>
        <v>-743</v>
      </c>
      <c r="F17" s="128">
        <f>'Historical Financials'!F15</f>
        <v>-736</v>
      </c>
      <c r="G17" s="128">
        <f>'Historical Financials'!G15</f>
        <v>-778</v>
      </c>
      <c r="H17" s="128">
        <f>'Historical Financials'!H15</f>
        <v>-894</v>
      </c>
      <c r="I17" s="88"/>
      <c r="J17" s="128">
        <f>'Historical Financials'!J15</f>
        <v>-178</v>
      </c>
      <c r="K17" s="128">
        <f>'Historical Financials'!K15</f>
        <v>-179</v>
      </c>
      <c r="L17" s="128">
        <f>'Historical Financials'!L15</f>
        <v>-182</v>
      </c>
      <c r="M17" s="128">
        <f>'Historical Financials'!M15</f>
        <v>-197</v>
      </c>
      <c r="N17" s="128">
        <f>'Historical Financials'!N15</f>
        <v>-181</v>
      </c>
      <c r="O17" s="128">
        <f>'Historical Financials'!O15</f>
        <v>-189</v>
      </c>
      <c r="P17" s="128">
        <f>'Historical Financials'!P15</f>
        <v>-200</v>
      </c>
      <c r="Q17" s="128">
        <f>'Historical Financials'!Q15</f>
        <v>-208</v>
      </c>
      <c r="R17" s="128">
        <f>'Historical Financials'!R15</f>
        <v>-207</v>
      </c>
      <c r="S17" s="128">
        <f>'Historical Financials'!S15</f>
        <v>-224</v>
      </c>
      <c r="T17" s="128">
        <f>'Historical Financials'!T15</f>
        <v>-224</v>
      </c>
      <c r="U17" s="128">
        <f>'Historical Financials'!U15</f>
        <v>-239</v>
      </c>
      <c r="V17" s="128">
        <f>'Historical Financials'!V15</f>
        <v>-233</v>
      </c>
      <c r="W17" s="5"/>
      <c r="X17" s="129">
        <f>SUM(J17:M17)</f>
        <v>-736</v>
      </c>
      <c r="Y17" s="129">
        <f>SUM(K17:N17)</f>
        <v>-739</v>
      </c>
      <c r="Z17" s="129">
        <f>SUM(L17:O17)</f>
        <v>-749</v>
      </c>
      <c r="AA17" s="129">
        <f>SUM(M17:P17)</f>
        <v>-767</v>
      </c>
      <c r="AB17" s="129">
        <f>SUM(N17:Q17)</f>
        <v>-778</v>
      </c>
      <c r="AC17" s="129">
        <f>SUM(O17:R17)</f>
        <v>-804</v>
      </c>
      <c r="AD17" s="129">
        <f>SUM(P17:S17)</f>
        <v>-839</v>
      </c>
      <c r="AE17" s="129">
        <f>SUM(Q17:T17)</f>
        <v>-863</v>
      </c>
      <c r="AF17" s="129">
        <f>SUM(R17:U17)</f>
        <v>-894</v>
      </c>
      <c r="AG17" s="129">
        <f>SUM(S17:V17)</f>
        <v>-920</v>
      </c>
      <c r="AI17" s="119">
        <f t="shared" si="7"/>
        <v>0.14427860696517403</v>
      </c>
    </row>
    <row r="18" spans="2:35" ht="12.75" customHeight="1">
      <c r="B18" s="23" t="s">
        <v>186</v>
      </c>
      <c r="C18" s="128">
        <f>'Historical Financials'!C16</f>
        <v>-408</v>
      </c>
      <c r="D18" s="128">
        <f>'Historical Financials'!D16</f>
        <v>-403</v>
      </c>
      <c r="E18" s="128">
        <f>'Historical Financials'!E16</f>
        <v>-505</v>
      </c>
      <c r="F18" s="128">
        <f>'Historical Financials'!F16</f>
        <v>-545</v>
      </c>
      <c r="G18" s="128">
        <f>'Historical Financials'!G16</f>
        <v>-635</v>
      </c>
      <c r="H18" s="128">
        <f>'Historical Financials'!H16</f>
        <v>-759</v>
      </c>
      <c r="I18" s="88"/>
      <c r="J18" s="128">
        <f>'Historical Financials'!J16</f>
        <v>-109</v>
      </c>
      <c r="K18" s="128">
        <f>'Historical Financials'!K16</f>
        <v>-130</v>
      </c>
      <c r="L18" s="128">
        <f>'Historical Financials'!L16</f>
        <v>-133</v>
      </c>
      <c r="M18" s="128">
        <f>'Historical Financials'!M16</f>
        <v>-173</v>
      </c>
      <c r="N18" s="128">
        <f>'Historical Financials'!N16</f>
        <v>-131</v>
      </c>
      <c r="O18" s="128">
        <f>'Historical Financials'!O16</f>
        <v>-160</v>
      </c>
      <c r="P18" s="128">
        <f>'Historical Financials'!P16</f>
        <v>-152</v>
      </c>
      <c r="Q18" s="128">
        <f>'Historical Financials'!Q16</f>
        <v>-192</v>
      </c>
      <c r="R18" s="128">
        <f>'Historical Financials'!R16</f>
        <v>-143</v>
      </c>
      <c r="S18" s="128">
        <f>'Historical Financials'!S16</f>
        <v>-173</v>
      </c>
      <c r="T18" s="128">
        <f>'Historical Financials'!T16</f>
        <v>-187</v>
      </c>
      <c r="U18" s="128">
        <f>'Historical Financials'!U16</f>
        <v>-256</v>
      </c>
      <c r="V18" s="128">
        <f>'Historical Financials'!V16</f>
        <v>-208</v>
      </c>
      <c r="W18" s="5"/>
      <c r="X18" s="129">
        <f>SUM(J18:M18)</f>
        <v>-545</v>
      </c>
      <c r="Y18" s="129">
        <f>SUM(K18:N18)</f>
        <v>-567</v>
      </c>
      <c r="Z18" s="129">
        <f>SUM(L18:O18)</f>
        <v>-597</v>
      </c>
      <c r="AA18" s="129">
        <f>SUM(M18:P18)</f>
        <v>-616</v>
      </c>
      <c r="AB18" s="129">
        <f>SUM(N18:Q18)</f>
        <v>-635</v>
      </c>
      <c r="AC18" s="129">
        <f>SUM(O18:R18)</f>
        <v>-647</v>
      </c>
      <c r="AD18" s="129">
        <f>SUM(P18:S18)</f>
        <v>-660</v>
      </c>
      <c r="AE18" s="129">
        <f>SUM(Q18:T18)</f>
        <v>-695</v>
      </c>
      <c r="AF18" s="129">
        <f>SUM(R18:U18)</f>
        <v>-759</v>
      </c>
      <c r="AG18" s="129">
        <f>SUM(S18:V18)</f>
        <v>-824</v>
      </c>
      <c r="AI18" s="119">
        <f t="shared" si="7"/>
        <v>0.27357032457496144</v>
      </c>
    </row>
    <row r="19" spans="2:35" ht="12.75" customHeight="1">
      <c r="B19" s="23" t="s">
        <v>185</v>
      </c>
      <c r="C19" s="128">
        <f>'Historical Financials'!C17</f>
        <v>-767</v>
      </c>
      <c r="D19" s="128">
        <f>'Historical Financials'!D17</f>
        <v>-804</v>
      </c>
      <c r="E19" s="128">
        <f>'Historical Financials'!E17</f>
        <v>-861</v>
      </c>
      <c r="F19" s="128">
        <f>'Historical Financials'!F17</f>
        <v>-943</v>
      </c>
      <c r="G19" s="128">
        <f>'Historical Financials'!G17</f>
        <v>-1034</v>
      </c>
      <c r="H19" s="128">
        <f>'Historical Financials'!H17</f>
        <v>-1220</v>
      </c>
      <c r="I19" s="88"/>
      <c r="J19" s="128">
        <f>'Historical Financials'!J17</f>
        <v>-227</v>
      </c>
      <c r="K19" s="128">
        <f>'Historical Financials'!K17</f>
        <v>-234</v>
      </c>
      <c r="L19" s="128">
        <f>'Historical Financials'!L17</f>
        <v>-235</v>
      </c>
      <c r="M19" s="128">
        <f>'Historical Financials'!M17</f>
        <v>-247</v>
      </c>
      <c r="N19" s="128">
        <f>'Historical Financials'!N17</f>
        <v>-247</v>
      </c>
      <c r="O19" s="128">
        <f>'Historical Financials'!O17</f>
        <v>-249</v>
      </c>
      <c r="P19" s="128">
        <f>'Historical Financials'!P17</f>
        <v>-264</v>
      </c>
      <c r="Q19" s="128">
        <f>'Historical Financials'!Q17</f>
        <v>-274</v>
      </c>
      <c r="R19" s="128">
        <f>'Historical Financials'!R17</f>
        <v>-282</v>
      </c>
      <c r="S19" s="128">
        <f>'Historical Financials'!S17</f>
        <v>-305</v>
      </c>
      <c r="T19" s="128">
        <f>'Historical Financials'!T17</f>
        <v>-317</v>
      </c>
      <c r="U19" s="128">
        <f>'Historical Financials'!U17</f>
        <v>-316</v>
      </c>
      <c r="V19" s="128">
        <f>'Historical Financials'!V17</f>
        <v>-326</v>
      </c>
      <c r="W19" s="5"/>
      <c r="X19" s="129">
        <f>SUM(J19:M19)</f>
        <v>-943</v>
      </c>
      <c r="Y19" s="129">
        <f>SUM(K19:N19)</f>
        <v>-963</v>
      </c>
      <c r="Z19" s="129">
        <f>SUM(L19:O19)</f>
        <v>-978</v>
      </c>
      <c r="AA19" s="129">
        <f>SUM(M19:P19)</f>
        <v>-1007</v>
      </c>
      <c r="AB19" s="129">
        <f>SUM(N19:Q19)</f>
        <v>-1034</v>
      </c>
      <c r="AC19" s="129">
        <f>SUM(O19:R19)</f>
        <v>-1069</v>
      </c>
      <c r="AD19" s="129">
        <f>SUM(P19:S19)</f>
        <v>-1125</v>
      </c>
      <c r="AE19" s="129">
        <f>SUM(Q19:T19)</f>
        <v>-1178</v>
      </c>
      <c r="AF19" s="129">
        <f>SUM(R19:U19)</f>
        <v>-1220</v>
      </c>
      <c r="AG19" s="129">
        <f>SUM(S19:V19)</f>
        <v>-1264</v>
      </c>
      <c r="AI19" s="119">
        <f t="shared" si="7"/>
        <v>0.18241347053320855</v>
      </c>
    </row>
    <row r="20" spans="2:35" ht="12.75" customHeight="1">
      <c r="B20" s="23" t="s">
        <v>184</v>
      </c>
      <c r="C20" s="128">
        <f>'Historical Financials'!C18</f>
        <v>-1096</v>
      </c>
      <c r="D20" s="128">
        <f>'Historical Financials'!D18</f>
        <v>-985</v>
      </c>
      <c r="E20" s="128">
        <f>'Historical Financials'!E18</f>
        <v>-1194</v>
      </c>
      <c r="F20" s="128">
        <f>'Historical Financials'!F18</f>
        <v>-1330</v>
      </c>
      <c r="G20" s="128">
        <f>'Historical Financials'!G18</f>
        <v>-1598</v>
      </c>
      <c r="H20" s="128">
        <f>'Historical Financials'!H18</f>
        <v>-1926</v>
      </c>
      <c r="I20" s="88"/>
      <c r="J20" s="128">
        <f>'Historical Financials'!J18</f>
        <v>-322</v>
      </c>
      <c r="K20" s="128">
        <f>'Historical Financials'!K18</f>
        <v>-282</v>
      </c>
      <c r="L20" s="128">
        <f>'Historical Financials'!L18</f>
        <v>-314</v>
      </c>
      <c r="M20" s="128">
        <f>'Historical Financials'!M18</f>
        <v>-412</v>
      </c>
      <c r="N20" s="128">
        <f>'Historical Financials'!N18</f>
        <v>-340</v>
      </c>
      <c r="O20" s="128">
        <f>'Historical Financials'!O18</f>
        <v>-452</v>
      </c>
      <c r="P20" s="128">
        <f>'Historical Financials'!P18</f>
        <v>-382</v>
      </c>
      <c r="Q20" s="128">
        <f>'Historical Financials'!Q18</f>
        <v>-424</v>
      </c>
      <c r="R20" s="128">
        <f>'Historical Financials'!R18</f>
        <v>-481</v>
      </c>
      <c r="S20" s="128">
        <f>'Historical Financials'!S18</f>
        <v>-419</v>
      </c>
      <c r="T20" s="128">
        <f>'Historical Financials'!T18</f>
        <v>-482</v>
      </c>
      <c r="U20" s="128">
        <f>'Historical Financials'!U18</f>
        <v>-544</v>
      </c>
      <c r="V20" s="128">
        <f>'Historical Financials'!V18</f>
        <v>-515</v>
      </c>
      <c r="W20" s="5"/>
      <c r="X20" s="129">
        <f>SUM(J20:M20)</f>
        <v>-1330</v>
      </c>
      <c r="Y20" s="129">
        <f>SUM(K20:N20)</f>
        <v>-1348</v>
      </c>
      <c r="Z20" s="129">
        <f>SUM(L20:O20)</f>
        <v>-1518</v>
      </c>
      <c r="AA20" s="129">
        <f>SUM(M20:P20)</f>
        <v>-1586</v>
      </c>
      <c r="AB20" s="129">
        <f>SUM(N20:Q20)</f>
        <v>-1598</v>
      </c>
      <c r="AC20" s="129">
        <f>SUM(O20:R20)</f>
        <v>-1739</v>
      </c>
      <c r="AD20" s="129">
        <f>SUM(P20:S20)</f>
        <v>-1706</v>
      </c>
      <c r="AE20" s="129">
        <f>SUM(Q20:T20)</f>
        <v>-1806</v>
      </c>
      <c r="AF20" s="129">
        <f>SUM(R20:U20)</f>
        <v>-1926</v>
      </c>
      <c r="AG20" s="129">
        <f>SUM(S20:V20)</f>
        <v>-1960</v>
      </c>
      <c r="AI20" s="119">
        <f t="shared" si="7"/>
        <v>0.12708453133985054</v>
      </c>
    </row>
    <row r="21" spans="2:35" ht="12.75" customHeight="1">
      <c r="B21" s="23" t="s">
        <v>183</v>
      </c>
      <c r="C21" s="128">
        <f>'Historical Financials'!C19</f>
        <v>-11</v>
      </c>
      <c r="D21" s="128">
        <f>'Historical Financials'!D19</f>
        <v>-3</v>
      </c>
      <c r="E21" s="128">
        <f>'Historical Financials'!E19</f>
        <v>-868</v>
      </c>
      <c r="F21" s="128">
        <f>'Historical Financials'!F19</f>
        <v>-927</v>
      </c>
      <c r="G21" s="128">
        <f>'Historical Financials'!G19</f>
        <v>-462</v>
      </c>
      <c r="H21" s="128">
        <f>'Historical Financials'!H19</f>
        <v>-2562</v>
      </c>
      <c r="I21" s="88"/>
      <c r="J21" s="128">
        <f>'Historical Financials'!J19</f>
        <v>-341</v>
      </c>
      <c r="K21" s="128">
        <f>'Historical Financials'!K19</f>
        <v>0</v>
      </c>
      <c r="L21" s="128">
        <f>'Historical Financials'!L19</f>
        <v>-457</v>
      </c>
      <c r="M21" s="128">
        <f>'Historical Financials'!M19</f>
        <v>-129</v>
      </c>
      <c r="N21" s="128">
        <f>'Historical Financials'!N19</f>
        <v>-9</v>
      </c>
      <c r="O21" s="128">
        <f>'Historical Financials'!O19</f>
        <v>-430</v>
      </c>
      <c r="P21" s="128">
        <f>'Historical Financials'!P19</f>
        <v>-13</v>
      </c>
      <c r="Q21" s="128">
        <f>'Historical Financials'!Q19</f>
        <v>-10</v>
      </c>
      <c r="R21" s="128">
        <f>'Historical Financials'!R19</f>
        <v>-44</v>
      </c>
      <c r="S21" s="128">
        <f>'Historical Financials'!S19</f>
        <v>-1000</v>
      </c>
      <c r="T21" s="128">
        <f>'Historical Financials'!T19</f>
        <v>-615</v>
      </c>
      <c r="U21" s="128">
        <f>'Historical Financials'!U19</f>
        <v>-903</v>
      </c>
      <c r="V21" s="128">
        <f>'Historical Financials'!V19</f>
        <v>-708</v>
      </c>
      <c r="W21" s="5"/>
      <c r="X21" s="129">
        <f>SUM(J21:M21)</f>
        <v>-927</v>
      </c>
      <c r="Y21" s="129">
        <f>SUM(K21:N21)</f>
        <v>-595</v>
      </c>
      <c r="Z21" s="129">
        <f>SUM(L21:O21)</f>
        <v>-1025</v>
      </c>
      <c r="AA21" s="129">
        <f>SUM(M21:P21)</f>
        <v>-581</v>
      </c>
      <c r="AB21" s="129">
        <f>SUM(N21:Q21)</f>
        <v>-462</v>
      </c>
      <c r="AC21" s="129">
        <f>SUM(O21:R21)</f>
        <v>-497</v>
      </c>
      <c r="AD21" s="129">
        <f>SUM(P21:S21)</f>
        <v>-1067</v>
      </c>
      <c r="AE21" s="129">
        <f>SUM(Q21:T21)</f>
        <v>-1669</v>
      </c>
      <c r="AF21" s="129">
        <f>SUM(R21:U21)</f>
        <v>-2562</v>
      </c>
      <c r="AG21" s="129">
        <f>SUM(S21:V21)</f>
        <v>-3226</v>
      </c>
      <c r="AI21" s="119">
        <f t="shared" si="7"/>
        <v>5.4909456740442657</v>
      </c>
    </row>
    <row r="22" spans="2:35" ht="12.75" customHeight="1">
      <c r="B22" s="13" t="s">
        <v>28</v>
      </c>
      <c r="C22" s="14">
        <f t="shared" ref="C22:H22" si="8">SUM(C11+SUM(C15:C21))</f>
        <v>14081</v>
      </c>
      <c r="D22" s="14">
        <f t="shared" si="8"/>
        <v>15804</v>
      </c>
      <c r="E22" s="14">
        <f t="shared" si="8"/>
        <v>18813</v>
      </c>
      <c r="F22" s="14">
        <f t="shared" si="8"/>
        <v>21000</v>
      </c>
      <c r="G22" s="14">
        <f t="shared" si="8"/>
        <v>23595</v>
      </c>
      <c r="H22" s="14">
        <f t="shared" si="8"/>
        <v>23994</v>
      </c>
      <c r="I22" s="11"/>
      <c r="J22" s="14">
        <f t="shared" ref="J22:V22" si="9">SUM(J11+SUM(J15:J21))</f>
        <v>5090</v>
      </c>
      <c r="K22" s="14">
        <f t="shared" si="9"/>
        <v>5336</v>
      </c>
      <c r="L22" s="14">
        <f t="shared" si="9"/>
        <v>5024</v>
      </c>
      <c r="M22" s="14">
        <f t="shared" si="9"/>
        <v>5550</v>
      </c>
      <c r="N22" s="14">
        <f t="shared" si="9"/>
        <v>5954</v>
      </c>
      <c r="O22" s="14">
        <f t="shared" si="9"/>
        <v>5354</v>
      </c>
      <c r="P22" s="14">
        <f t="shared" si="9"/>
        <v>5938</v>
      </c>
      <c r="Q22" s="14">
        <f t="shared" si="9"/>
        <v>6349</v>
      </c>
      <c r="R22" s="14">
        <f t="shared" si="9"/>
        <v>6234</v>
      </c>
      <c r="S22" s="14">
        <f t="shared" si="9"/>
        <v>5435</v>
      </c>
      <c r="T22" s="14">
        <f t="shared" si="9"/>
        <v>6177</v>
      </c>
      <c r="U22" s="14">
        <f t="shared" si="9"/>
        <v>6148</v>
      </c>
      <c r="V22" s="14">
        <f t="shared" si="9"/>
        <v>6737</v>
      </c>
      <c r="W22" s="5"/>
      <c r="X22" s="14">
        <f t="shared" ref="X22:AG22" si="10">SUM(X11+SUM(X15:X21))</f>
        <v>21000</v>
      </c>
      <c r="Y22" s="14">
        <f t="shared" si="10"/>
        <v>21864</v>
      </c>
      <c r="Z22" s="14">
        <f t="shared" si="10"/>
        <v>21882</v>
      </c>
      <c r="AA22" s="14">
        <f t="shared" si="10"/>
        <v>22796</v>
      </c>
      <c r="AB22" s="14">
        <f t="shared" si="10"/>
        <v>23595</v>
      </c>
      <c r="AC22" s="14">
        <f t="shared" si="10"/>
        <v>23875</v>
      </c>
      <c r="AD22" s="14">
        <f t="shared" si="10"/>
        <v>23956</v>
      </c>
      <c r="AE22" s="14">
        <f t="shared" si="10"/>
        <v>24195</v>
      </c>
      <c r="AF22" s="14">
        <f t="shared" si="10"/>
        <v>23994</v>
      </c>
      <c r="AG22" s="14">
        <f t="shared" si="10"/>
        <v>24497</v>
      </c>
      <c r="AI22" s="120">
        <f t="shared" si="7"/>
        <v>2.6052356020942469E-2</v>
      </c>
    </row>
    <row r="23" spans="2:35" ht="12.75" customHeight="1">
      <c r="B23" s="16" t="s">
        <v>29</v>
      </c>
      <c r="C23" s="17">
        <f t="shared" ref="C23:H23" si="11">C22/C11</f>
        <v>0.64455735603771858</v>
      </c>
      <c r="D23" s="17">
        <f t="shared" si="11"/>
        <v>0.65563161169881767</v>
      </c>
      <c r="E23" s="17">
        <f t="shared" si="11"/>
        <v>0.64186284544524053</v>
      </c>
      <c r="F23" s="17">
        <f t="shared" si="11"/>
        <v>0.64312620586163594</v>
      </c>
      <c r="G23" s="17">
        <f t="shared" si="11"/>
        <v>0.65676668707899566</v>
      </c>
      <c r="H23" s="17">
        <f t="shared" si="11"/>
        <v>0.59984999999999999</v>
      </c>
      <c r="I23" s="27"/>
      <c r="J23" s="17">
        <f t="shared" ref="J23:V23" si="12">J22/J11</f>
        <v>0.64138104838709675</v>
      </c>
      <c r="K23" s="17">
        <f t="shared" si="12"/>
        <v>0.66825297432686281</v>
      </c>
      <c r="L23" s="17">
        <f t="shared" si="12"/>
        <v>0.6184907054044072</v>
      </c>
      <c r="M23" s="17">
        <f t="shared" si="12"/>
        <v>0.64467417818561967</v>
      </c>
      <c r="N23" s="17">
        <f t="shared" si="12"/>
        <v>0.68959925874449846</v>
      </c>
      <c r="O23" s="17">
        <f t="shared" si="12"/>
        <v>0.61014245014245017</v>
      </c>
      <c r="P23" s="17">
        <f t="shared" si="12"/>
        <v>0.66719101123595503</v>
      </c>
      <c r="Q23" s="17">
        <f t="shared" si="12"/>
        <v>0.660185088905064</v>
      </c>
      <c r="R23" s="17">
        <f t="shared" si="12"/>
        <v>0.65552050473186119</v>
      </c>
      <c r="S23" s="17">
        <f t="shared" si="12"/>
        <v>0.56649989576818849</v>
      </c>
      <c r="T23" s="17">
        <f t="shared" si="12"/>
        <v>0.60725521038143926</v>
      </c>
      <c r="U23" s="17">
        <f t="shared" si="12"/>
        <v>0.57329354718388659</v>
      </c>
      <c r="V23" s="17">
        <f t="shared" si="12"/>
        <v>0.61801669571598938</v>
      </c>
      <c r="W23" s="28"/>
      <c r="X23" s="17">
        <f t="shared" ref="X23:AG23" si="13">X22/X11</f>
        <v>0.64312620586163594</v>
      </c>
      <c r="Y23" s="17">
        <f t="shared" si="13"/>
        <v>0.65557254655032837</v>
      </c>
      <c r="Z23" s="17">
        <f t="shared" si="13"/>
        <v>0.64093025980492668</v>
      </c>
      <c r="AA23" s="17">
        <f t="shared" si="13"/>
        <v>0.65284380548714127</v>
      </c>
      <c r="AB23" s="17">
        <f t="shared" si="13"/>
        <v>0.65676668707899566</v>
      </c>
      <c r="AC23" s="17">
        <f t="shared" si="13"/>
        <v>0.64874191620020649</v>
      </c>
      <c r="AD23" s="17">
        <f t="shared" si="13"/>
        <v>0.63677201562956864</v>
      </c>
      <c r="AE23" s="17">
        <f t="shared" si="13"/>
        <v>0.62209137891137223</v>
      </c>
      <c r="AF23" s="17">
        <f t="shared" si="13"/>
        <v>0.59984999999999999</v>
      </c>
      <c r="AG23" s="17">
        <f t="shared" si="13"/>
        <v>0.59184363750573799</v>
      </c>
      <c r="AI23" s="121">
        <f>SUM(AG23-AC23)*1000</f>
        <v>-56.898278694468509</v>
      </c>
    </row>
    <row r="24" spans="2:35" ht="5.0999999999999996" customHeight="1">
      <c r="AI24" s="118"/>
    </row>
    <row r="25" spans="2:35" ht="12.75" customHeight="1">
      <c r="B25" s="31" t="s">
        <v>95</v>
      </c>
      <c r="C25" s="134">
        <f>-C19</f>
        <v>767</v>
      </c>
      <c r="D25" s="134">
        <f t="shared" ref="D25:U25" si="14">-D19</f>
        <v>804</v>
      </c>
      <c r="E25" s="134">
        <f t="shared" si="14"/>
        <v>861</v>
      </c>
      <c r="F25" s="134">
        <f t="shared" si="14"/>
        <v>943</v>
      </c>
      <c r="G25" s="134">
        <f t="shared" si="14"/>
        <v>1034</v>
      </c>
      <c r="H25" s="134">
        <f t="shared" si="14"/>
        <v>1220</v>
      </c>
      <c r="J25" s="134">
        <f t="shared" si="14"/>
        <v>227</v>
      </c>
      <c r="K25" s="134">
        <f t="shared" si="14"/>
        <v>234</v>
      </c>
      <c r="L25" s="134">
        <f t="shared" si="14"/>
        <v>235</v>
      </c>
      <c r="M25" s="134">
        <f t="shared" si="14"/>
        <v>247</v>
      </c>
      <c r="N25" s="134">
        <f t="shared" si="14"/>
        <v>247</v>
      </c>
      <c r="O25" s="134">
        <f t="shared" si="14"/>
        <v>249</v>
      </c>
      <c r="P25" s="134">
        <f t="shared" si="14"/>
        <v>264</v>
      </c>
      <c r="Q25" s="134">
        <f t="shared" si="14"/>
        <v>274</v>
      </c>
      <c r="R25" s="134">
        <f t="shared" si="14"/>
        <v>282</v>
      </c>
      <c r="S25" s="134">
        <f t="shared" si="14"/>
        <v>305</v>
      </c>
      <c r="T25" s="134">
        <f t="shared" si="14"/>
        <v>317</v>
      </c>
      <c r="U25" s="134">
        <f t="shared" si="14"/>
        <v>316</v>
      </c>
      <c r="V25" s="134">
        <f t="shared" ref="V25" si="15">-V19</f>
        <v>326</v>
      </c>
      <c r="X25" s="129">
        <f>SUM(J25:M25)</f>
        <v>943</v>
      </c>
      <c r="Y25" s="129">
        <f>SUM(K25:N25)</f>
        <v>963</v>
      </c>
      <c r="Z25" s="129">
        <f>SUM(L25:O25)</f>
        <v>978</v>
      </c>
      <c r="AA25" s="129">
        <f>SUM(M25:P25)</f>
        <v>1007</v>
      </c>
      <c r="AB25" s="129">
        <f>SUM(N25:Q25)</f>
        <v>1034</v>
      </c>
      <c r="AC25" s="129">
        <f>SUM(O25:R25)</f>
        <v>1069</v>
      </c>
      <c r="AD25" s="129">
        <f>SUM(P25:S25)</f>
        <v>1125</v>
      </c>
      <c r="AE25" s="129">
        <f>SUM(Q25:T25)</f>
        <v>1178</v>
      </c>
      <c r="AF25" s="129">
        <f>SUM(R25:U25)</f>
        <v>1220</v>
      </c>
      <c r="AG25" s="129">
        <f>SUM(S25:V25)</f>
        <v>1264</v>
      </c>
      <c r="AI25" s="119">
        <f t="shared" ref="AI25:AI26" si="16">SUM(AG25/AC25)-1</f>
        <v>0.18241347053320855</v>
      </c>
    </row>
    <row r="26" spans="2:35" ht="12.75" customHeight="1">
      <c r="B26" s="25" t="s">
        <v>11</v>
      </c>
      <c r="C26" s="26">
        <f t="shared" ref="C26:H26" si="17">SUM(C22+SUM(C25:C25))</f>
        <v>14848</v>
      </c>
      <c r="D26" s="26">
        <f t="shared" si="17"/>
        <v>16608</v>
      </c>
      <c r="E26" s="26">
        <f t="shared" si="17"/>
        <v>19674</v>
      </c>
      <c r="F26" s="26">
        <f t="shared" si="17"/>
        <v>21943</v>
      </c>
      <c r="G26" s="26">
        <f t="shared" si="17"/>
        <v>24629</v>
      </c>
      <c r="H26" s="26">
        <f t="shared" si="17"/>
        <v>25214</v>
      </c>
      <c r="J26" s="26">
        <f t="shared" ref="J26:V26" si="18">SUM(J22+SUM(J25:J25))</f>
        <v>5317</v>
      </c>
      <c r="K26" s="26">
        <f t="shared" si="18"/>
        <v>5570</v>
      </c>
      <c r="L26" s="26">
        <f t="shared" si="18"/>
        <v>5259</v>
      </c>
      <c r="M26" s="26">
        <f t="shared" si="18"/>
        <v>5797</v>
      </c>
      <c r="N26" s="26">
        <f t="shared" si="18"/>
        <v>6201</v>
      </c>
      <c r="O26" s="26">
        <f t="shared" si="18"/>
        <v>5603</v>
      </c>
      <c r="P26" s="26">
        <f t="shared" si="18"/>
        <v>6202</v>
      </c>
      <c r="Q26" s="26">
        <f t="shared" si="18"/>
        <v>6623</v>
      </c>
      <c r="R26" s="26">
        <f t="shared" si="18"/>
        <v>6516</v>
      </c>
      <c r="S26" s="26">
        <f t="shared" si="18"/>
        <v>5740</v>
      </c>
      <c r="T26" s="26">
        <f t="shared" si="18"/>
        <v>6494</v>
      </c>
      <c r="U26" s="26">
        <f t="shared" si="18"/>
        <v>6464</v>
      </c>
      <c r="V26" s="26">
        <f t="shared" si="18"/>
        <v>7063</v>
      </c>
      <c r="X26" s="26">
        <f t="shared" ref="X26:AG26" si="19">SUM(X22+SUM(X25:X25))</f>
        <v>21943</v>
      </c>
      <c r="Y26" s="26">
        <f t="shared" si="19"/>
        <v>22827</v>
      </c>
      <c r="Z26" s="26">
        <f t="shared" si="19"/>
        <v>22860</v>
      </c>
      <c r="AA26" s="26">
        <f t="shared" si="19"/>
        <v>23803</v>
      </c>
      <c r="AB26" s="26">
        <f t="shared" si="19"/>
        <v>24629</v>
      </c>
      <c r="AC26" s="26">
        <f t="shared" si="19"/>
        <v>24944</v>
      </c>
      <c r="AD26" s="26">
        <f t="shared" si="19"/>
        <v>25081</v>
      </c>
      <c r="AE26" s="26">
        <f t="shared" si="19"/>
        <v>25373</v>
      </c>
      <c r="AF26" s="26">
        <f t="shared" si="19"/>
        <v>25214</v>
      </c>
      <c r="AG26" s="26">
        <f t="shared" si="19"/>
        <v>25761</v>
      </c>
      <c r="AI26" s="120">
        <f t="shared" si="16"/>
        <v>3.2753367543296941E-2</v>
      </c>
    </row>
    <row r="27" spans="2:35" ht="12.75" customHeight="1">
      <c r="B27" s="16" t="s">
        <v>30</v>
      </c>
      <c r="C27" s="17">
        <f t="shared" ref="C27:H27" si="20">C26/C11</f>
        <v>0.67966675821660716</v>
      </c>
      <c r="D27" s="17">
        <f t="shared" si="20"/>
        <v>0.688985687616677</v>
      </c>
      <c r="E27" s="17">
        <f t="shared" si="20"/>
        <v>0.67123848515864892</v>
      </c>
      <c r="F27" s="17">
        <f t="shared" si="20"/>
        <v>0.67200563501056565</v>
      </c>
      <c r="G27" s="17">
        <f t="shared" si="20"/>
        <v>0.68554807103490512</v>
      </c>
      <c r="H27" s="17">
        <f t="shared" si="20"/>
        <v>0.63034999999999997</v>
      </c>
      <c r="J27" s="17">
        <f t="shared" ref="J27:V27" si="21">J26/J11</f>
        <v>0.66998487903225812</v>
      </c>
      <c r="K27" s="17">
        <f t="shared" si="21"/>
        <v>0.69755792110206638</v>
      </c>
      <c r="L27" s="17">
        <f t="shared" si="21"/>
        <v>0.64742090360704174</v>
      </c>
      <c r="M27" s="17">
        <f t="shared" si="21"/>
        <v>0.67336508305261933</v>
      </c>
      <c r="N27" s="17">
        <f t="shared" si="21"/>
        <v>0.71820708825573309</v>
      </c>
      <c r="O27" s="17">
        <f t="shared" si="21"/>
        <v>0.63851851851851849</v>
      </c>
      <c r="P27" s="17">
        <f t="shared" si="21"/>
        <v>0.69685393258426964</v>
      </c>
      <c r="Q27" s="17">
        <f t="shared" si="21"/>
        <v>0.68867630238119992</v>
      </c>
      <c r="R27" s="17">
        <f t="shared" si="21"/>
        <v>0.68517350157728707</v>
      </c>
      <c r="S27" s="17">
        <f t="shared" si="21"/>
        <v>0.59829059829059827</v>
      </c>
      <c r="T27" s="17">
        <f t="shared" si="21"/>
        <v>0.63841918993314983</v>
      </c>
      <c r="U27" s="17">
        <f t="shared" si="21"/>
        <v>0.60276016411786648</v>
      </c>
      <c r="V27" s="17">
        <f t="shared" si="21"/>
        <v>0.64792220897165398</v>
      </c>
      <c r="X27" s="17">
        <f t="shared" ref="X27:AG27" si="22">X26/X11</f>
        <v>0.67200563501056565</v>
      </c>
      <c r="Y27" s="17">
        <f t="shared" si="22"/>
        <v>0.6844472429612305</v>
      </c>
      <c r="Z27" s="17">
        <f t="shared" si="22"/>
        <v>0.66957616941507281</v>
      </c>
      <c r="AA27" s="17">
        <f t="shared" si="22"/>
        <v>0.68168279970215939</v>
      </c>
      <c r="AB27" s="17">
        <f t="shared" si="22"/>
        <v>0.68554807103490512</v>
      </c>
      <c r="AC27" s="17">
        <f t="shared" si="22"/>
        <v>0.67778925058420736</v>
      </c>
      <c r="AD27" s="17">
        <f t="shared" si="22"/>
        <v>0.66667552696632204</v>
      </c>
      <c r="AE27" s="17">
        <f t="shared" si="22"/>
        <v>0.65237960558455244</v>
      </c>
      <c r="AF27" s="17">
        <f t="shared" si="22"/>
        <v>0.63034999999999997</v>
      </c>
      <c r="AG27" s="17">
        <f t="shared" si="22"/>
        <v>0.62238167717619775</v>
      </c>
      <c r="AI27" s="121">
        <f>SUM(AG27-AC27)*1000</f>
        <v>-55.407573408009611</v>
      </c>
    </row>
    <row r="28" spans="2:35" ht="5.0999999999999996" customHeight="1">
      <c r="AI28" s="118"/>
    </row>
    <row r="29" spans="2:35" ht="12.75" customHeight="1">
      <c r="B29" s="31" t="s">
        <v>102</v>
      </c>
      <c r="C29" s="128">
        <f>'Historical Financials'!C100</f>
        <v>416</v>
      </c>
      <c r="D29" s="128">
        <f>'Historical Financials'!D100</f>
        <v>542</v>
      </c>
      <c r="E29" s="128">
        <f>'Historical Financials'!E100</f>
        <v>602</v>
      </c>
      <c r="F29" s="128">
        <f>'Historical Financials'!F100</f>
        <v>765</v>
      </c>
      <c r="G29" s="128">
        <f>'Historical Financials'!G100</f>
        <v>850</v>
      </c>
      <c r="H29" s="128">
        <f>'Historical Financials'!H100</f>
        <v>897</v>
      </c>
      <c r="J29" s="128">
        <f>'Historical Financials'!J100</f>
        <v>177</v>
      </c>
      <c r="K29" s="128">
        <f>'Historical Financials'!K100</f>
        <v>223</v>
      </c>
      <c r="L29" s="128">
        <f>'Historical Financials'!L100</f>
        <v>191</v>
      </c>
      <c r="M29" s="128">
        <f>'Historical Financials'!M100</f>
        <v>174</v>
      </c>
      <c r="N29" s="128">
        <f>'Historical Financials'!N100</f>
        <v>209</v>
      </c>
      <c r="O29" s="128">
        <f>'Historical Financials'!O100</f>
        <v>242</v>
      </c>
      <c r="P29" s="128">
        <f>'Historical Financials'!P100</f>
        <v>211</v>
      </c>
      <c r="Q29" s="128">
        <f>'Historical Financials'!Q100</f>
        <v>188</v>
      </c>
      <c r="R29" s="128">
        <f>'Historical Financials'!R100</f>
        <v>224</v>
      </c>
      <c r="S29" s="128">
        <f>'Historical Financials'!S100</f>
        <v>259</v>
      </c>
      <c r="T29" s="128">
        <f>'Historical Financials'!T100</f>
        <v>223</v>
      </c>
      <c r="U29" s="128">
        <f>'Historical Financials'!U100</f>
        <v>191</v>
      </c>
      <c r="V29" s="128">
        <f>'Historical Financials'!V100</f>
        <v>231</v>
      </c>
      <c r="X29" s="129">
        <f>SUM(J29:M29)</f>
        <v>765</v>
      </c>
      <c r="Y29" s="129">
        <f>SUM(K29:N29)</f>
        <v>797</v>
      </c>
      <c r="Z29" s="129">
        <f>SUM(L29:O29)</f>
        <v>816</v>
      </c>
      <c r="AA29" s="129">
        <f>SUM(M29:P29)</f>
        <v>836</v>
      </c>
      <c r="AB29" s="129">
        <f>SUM(N29:Q29)</f>
        <v>850</v>
      </c>
      <c r="AC29" s="129">
        <f>SUM(O29:R29)</f>
        <v>865</v>
      </c>
      <c r="AD29" s="129">
        <f>SUM(P29:S29)</f>
        <v>882</v>
      </c>
      <c r="AE29" s="129">
        <f>SUM(Q29:T29)</f>
        <v>894</v>
      </c>
      <c r="AF29" s="129">
        <f>SUM(R29:U29)</f>
        <v>897</v>
      </c>
      <c r="AG29" s="129">
        <f>SUM(S29:V29)</f>
        <v>904</v>
      </c>
      <c r="AI29" s="119">
        <f t="shared" ref="AI29:AI31" si="23">SUM(AG29/AC29)-1</f>
        <v>4.5086705202312061E-2</v>
      </c>
    </row>
    <row r="30" spans="2:35" ht="12.75" customHeight="1">
      <c r="B30" s="23" t="s">
        <v>190</v>
      </c>
      <c r="C30" s="134">
        <f>-C21</f>
        <v>11</v>
      </c>
      <c r="D30" s="134">
        <f t="shared" ref="D30:U30" si="24">-D21</f>
        <v>3</v>
      </c>
      <c r="E30" s="134">
        <f t="shared" si="24"/>
        <v>868</v>
      </c>
      <c r="F30" s="134">
        <f t="shared" si="24"/>
        <v>927</v>
      </c>
      <c r="G30" s="134">
        <f t="shared" si="24"/>
        <v>462</v>
      </c>
      <c r="H30" s="134">
        <f t="shared" si="24"/>
        <v>2562</v>
      </c>
      <c r="J30" s="134">
        <f t="shared" si="24"/>
        <v>341</v>
      </c>
      <c r="K30" s="134">
        <f t="shared" si="24"/>
        <v>0</v>
      </c>
      <c r="L30" s="134">
        <f t="shared" si="24"/>
        <v>457</v>
      </c>
      <c r="M30" s="134">
        <f t="shared" si="24"/>
        <v>129</v>
      </c>
      <c r="N30" s="134">
        <f t="shared" si="24"/>
        <v>9</v>
      </c>
      <c r="O30" s="134">
        <f t="shared" si="24"/>
        <v>430</v>
      </c>
      <c r="P30" s="134">
        <f t="shared" si="24"/>
        <v>13</v>
      </c>
      <c r="Q30" s="134">
        <f t="shared" si="24"/>
        <v>10</v>
      </c>
      <c r="R30" s="134">
        <f t="shared" si="24"/>
        <v>44</v>
      </c>
      <c r="S30" s="134">
        <f t="shared" si="24"/>
        <v>1000</v>
      </c>
      <c r="T30" s="134">
        <f t="shared" si="24"/>
        <v>615</v>
      </c>
      <c r="U30" s="134">
        <f t="shared" si="24"/>
        <v>903</v>
      </c>
      <c r="V30" s="134">
        <f t="shared" ref="V30" si="25">-V21</f>
        <v>708</v>
      </c>
      <c r="X30" s="129">
        <f>SUM(J30:M30)</f>
        <v>927</v>
      </c>
      <c r="Y30" s="129">
        <f>SUM(K30:N30)</f>
        <v>595</v>
      </c>
      <c r="Z30" s="129">
        <f>SUM(L30:O30)</f>
        <v>1025</v>
      </c>
      <c r="AA30" s="129">
        <f>SUM(M30:P30)</f>
        <v>581</v>
      </c>
      <c r="AB30" s="129">
        <f>SUM(N30:Q30)</f>
        <v>462</v>
      </c>
      <c r="AC30" s="129">
        <f>SUM(O30:R30)</f>
        <v>497</v>
      </c>
      <c r="AD30" s="129">
        <f>SUM(P30:S30)</f>
        <v>1067</v>
      </c>
      <c r="AE30" s="129">
        <f>SUM(Q30:T30)</f>
        <v>1669</v>
      </c>
      <c r="AF30" s="129">
        <f>SUM(R30:U30)</f>
        <v>2562</v>
      </c>
      <c r="AG30" s="129">
        <f>SUM(S30:V30)</f>
        <v>3226</v>
      </c>
      <c r="AI30" s="119">
        <f t="shared" si="23"/>
        <v>5.4909456740442657</v>
      </c>
    </row>
    <row r="31" spans="2:35" ht="12.75" customHeight="1">
      <c r="B31" s="13" t="s">
        <v>31</v>
      </c>
      <c r="C31" s="14">
        <f t="shared" ref="C31:H31" si="26">+SUM(C26+SUM(C29:C30))</f>
        <v>15275</v>
      </c>
      <c r="D31" s="14">
        <f t="shared" si="26"/>
        <v>17153</v>
      </c>
      <c r="E31" s="14">
        <f t="shared" si="26"/>
        <v>21144</v>
      </c>
      <c r="F31" s="14">
        <f t="shared" si="26"/>
        <v>23635</v>
      </c>
      <c r="G31" s="14">
        <f t="shared" si="26"/>
        <v>25941</v>
      </c>
      <c r="H31" s="14">
        <f t="shared" si="26"/>
        <v>28673</v>
      </c>
      <c r="I31" s="11"/>
      <c r="J31" s="14">
        <f t="shared" ref="J31:V31" si="27">+SUM(J26+SUM(J29:J30))</f>
        <v>5835</v>
      </c>
      <c r="K31" s="14">
        <f t="shared" si="27"/>
        <v>5793</v>
      </c>
      <c r="L31" s="14">
        <f t="shared" si="27"/>
        <v>5907</v>
      </c>
      <c r="M31" s="14">
        <f t="shared" si="27"/>
        <v>6100</v>
      </c>
      <c r="N31" s="14">
        <f t="shared" si="27"/>
        <v>6419</v>
      </c>
      <c r="O31" s="14">
        <f t="shared" si="27"/>
        <v>6275</v>
      </c>
      <c r="P31" s="14">
        <f t="shared" si="27"/>
        <v>6426</v>
      </c>
      <c r="Q31" s="14">
        <f t="shared" si="27"/>
        <v>6821</v>
      </c>
      <c r="R31" s="14">
        <f t="shared" si="27"/>
        <v>6784</v>
      </c>
      <c r="S31" s="14">
        <f t="shared" si="27"/>
        <v>6999</v>
      </c>
      <c r="T31" s="14">
        <f t="shared" si="27"/>
        <v>7332</v>
      </c>
      <c r="U31" s="14">
        <f t="shared" si="27"/>
        <v>7558</v>
      </c>
      <c r="V31" s="14">
        <f t="shared" si="27"/>
        <v>8002</v>
      </c>
      <c r="X31" s="14">
        <f t="shared" ref="X31:AG31" si="28">+SUM(X26+SUM(X29:X30))</f>
        <v>23635</v>
      </c>
      <c r="Y31" s="14">
        <f t="shared" si="28"/>
        <v>24219</v>
      </c>
      <c r="Z31" s="14">
        <f t="shared" si="28"/>
        <v>24701</v>
      </c>
      <c r="AA31" s="14">
        <f t="shared" si="28"/>
        <v>25220</v>
      </c>
      <c r="AB31" s="14">
        <f t="shared" si="28"/>
        <v>25941</v>
      </c>
      <c r="AC31" s="14">
        <f t="shared" si="28"/>
        <v>26306</v>
      </c>
      <c r="AD31" s="14">
        <f t="shared" si="28"/>
        <v>27030</v>
      </c>
      <c r="AE31" s="14">
        <f t="shared" si="28"/>
        <v>27936</v>
      </c>
      <c r="AF31" s="14">
        <f t="shared" si="28"/>
        <v>28673</v>
      </c>
      <c r="AG31" s="14">
        <f t="shared" si="28"/>
        <v>29891</v>
      </c>
      <c r="AI31" s="120">
        <f t="shared" si="23"/>
        <v>0.13628069641906793</v>
      </c>
    </row>
    <row r="32" spans="2:35" ht="12.75" customHeight="1">
      <c r="B32" s="16" t="s">
        <v>32</v>
      </c>
      <c r="C32" s="17">
        <f t="shared" ref="C32:H32" si="29">C31/C11</f>
        <v>0.69921267051176417</v>
      </c>
      <c r="D32" s="17">
        <f t="shared" si="29"/>
        <v>0.71159510475005183</v>
      </c>
      <c r="E32" s="17">
        <f t="shared" si="29"/>
        <v>0.72139201637666328</v>
      </c>
      <c r="F32" s="17">
        <f t="shared" si="29"/>
        <v>0.72382323216856037</v>
      </c>
      <c r="G32" s="17">
        <f t="shared" si="29"/>
        <v>0.72206758336580745</v>
      </c>
      <c r="H32" s="17">
        <f t="shared" si="29"/>
        <v>0.71682500000000005</v>
      </c>
      <c r="J32" s="17">
        <f t="shared" ref="J32:V32" si="30">J31/J11</f>
        <v>0.73525705645161288</v>
      </c>
      <c r="K32" s="17">
        <f t="shared" si="30"/>
        <v>0.72548528490920472</v>
      </c>
      <c r="L32" s="17">
        <f t="shared" si="30"/>
        <v>0.72719438631047639</v>
      </c>
      <c r="M32" s="17">
        <f t="shared" si="30"/>
        <v>0.70856080845626668</v>
      </c>
      <c r="N32" s="17">
        <f t="shared" si="30"/>
        <v>0.74345610377577021</v>
      </c>
      <c r="O32" s="17">
        <f t="shared" si="30"/>
        <v>0.71509971509971515</v>
      </c>
      <c r="P32" s="17">
        <f t="shared" si="30"/>
        <v>0.72202247191011237</v>
      </c>
      <c r="Q32" s="17">
        <f t="shared" si="30"/>
        <v>0.70926484350629093</v>
      </c>
      <c r="R32" s="17">
        <f t="shared" si="30"/>
        <v>0.71335436382754991</v>
      </c>
      <c r="S32" s="17">
        <f t="shared" si="30"/>
        <v>0.72951844903064411</v>
      </c>
      <c r="T32" s="17">
        <f t="shared" si="30"/>
        <v>0.72080220212347623</v>
      </c>
      <c r="U32" s="17">
        <f t="shared" si="30"/>
        <v>0.70477433793360689</v>
      </c>
      <c r="V32" s="17">
        <f t="shared" si="30"/>
        <v>0.73406109531235664</v>
      </c>
      <c r="X32" s="17">
        <f t="shared" ref="X32:AG32" si="31">X31/X11</f>
        <v>0.72382323216856037</v>
      </c>
      <c r="Y32" s="17">
        <f t="shared" si="31"/>
        <v>0.72618512188540074</v>
      </c>
      <c r="Z32" s="17">
        <f t="shared" si="31"/>
        <v>0.72349960458100226</v>
      </c>
      <c r="AA32" s="17">
        <f t="shared" si="31"/>
        <v>0.72226358897989573</v>
      </c>
      <c r="AB32" s="17">
        <f t="shared" si="31"/>
        <v>0.72206758336580745</v>
      </c>
      <c r="AC32" s="17">
        <f t="shared" si="31"/>
        <v>0.71479810879843486</v>
      </c>
      <c r="AD32" s="17">
        <f t="shared" si="31"/>
        <v>0.71848169905106196</v>
      </c>
      <c r="AE32" s="17">
        <f t="shared" si="31"/>
        <v>0.71827835343120872</v>
      </c>
      <c r="AF32" s="17">
        <f t="shared" si="31"/>
        <v>0.71682500000000005</v>
      </c>
      <c r="AG32" s="17">
        <f t="shared" si="31"/>
        <v>0.72216182261844364</v>
      </c>
      <c r="AI32" s="121">
        <f>SUM(AG32-AC32)*1000</f>
        <v>7.3637138200087771</v>
      </c>
    </row>
    <row r="33" spans="2:35" ht="5.0999999999999996" customHeight="1">
      <c r="AI33" s="118"/>
    </row>
    <row r="34" spans="2:35" ht="12.75" customHeight="1">
      <c r="B34" s="23" t="s">
        <v>33</v>
      </c>
      <c r="C34" s="128">
        <f>'Historical Financials'!C118</f>
        <v>-736</v>
      </c>
      <c r="D34" s="128">
        <f>'Historical Financials'!D118</f>
        <v>-705</v>
      </c>
      <c r="E34" s="128">
        <f>'Historical Financials'!E118</f>
        <v>-970</v>
      </c>
      <c r="F34" s="128">
        <f>'Historical Financials'!F118</f>
        <v>-1059</v>
      </c>
      <c r="G34" s="128">
        <f>'Historical Financials'!G118</f>
        <v>-1257</v>
      </c>
      <c r="H34" s="128">
        <f>'Historical Financials'!H118</f>
        <v>-1482</v>
      </c>
      <c r="J34" s="128">
        <f>'Historical Financials'!J118</f>
        <v>-249</v>
      </c>
      <c r="K34" s="128">
        <f>'Historical Financials'!K118</f>
        <v>-210</v>
      </c>
      <c r="L34" s="128">
        <f>'Historical Financials'!L118</f>
        <v>-295</v>
      </c>
      <c r="M34" s="128">
        <f>'Historical Financials'!M118</f>
        <v>-305</v>
      </c>
      <c r="N34" s="128">
        <f>'Historical Financials'!N118</f>
        <v>-267</v>
      </c>
      <c r="O34" s="128">
        <f>'Historical Financials'!O118</f>
        <v>-281</v>
      </c>
      <c r="P34" s="128">
        <f>'Historical Financials'!P118</f>
        <v>-400</v>
      </c>
      <c r="Q34" s="128">
        <f>'Historical Financials'!Q118</f>
        <v>-309</v>
      </c>
      <c r="R34" s="128">
        <f>'Historical Financials'!R118</f>
        <v>-345</v>
      </c>
      <c r="S34" s="128">
        <f>'Historical Financials'!S118</f>
        <v>-327</v>
      </c>
      <c r="T34" s="128">
        <f>'Historical Financials'!T118</f>
        <v>-421</v>
      </c>
      <c r="U34" s="128">
        <f>'Historical Financials'!U118</f>
        <v>-389</v>
      </c>
      <c r="V34" s="128">
        <f>'Historical Financials'!V118</f>
        <v>-378</v>
      </c>
      <c r="X34" s="129">
        <f>SUM(J34:M34)</f>
        <v>-1059</v>
      </c>
      <c r="Y34" s="129">
        <f>SUM(K34:N34)</f>
        <v>-1077</v>
      </c>
      <c r="Z34" s="129">
        <f>SUM(L34:O34)</f>
        <v>-1148</v>
      </c>
      <c r="AA34" s="129">
        <f>SUM(M34:P34)</f>
        <v>-1253</v>
      </c>
      <c r="AB34" s="129">
        <f>SUM(N34:Q34)</f>
        <v>-1257</v>
      </c>
      <c r="AC34" s="129">
        <f>SUM(O34:R34)</f>
        <v>-1335</v>
      </c>
      <c r="AD34" s="129">
        <f>SUM(P34:S34)</f>
        <v>-1381</v>
      </c>
      <c r="AE34" s="129">
        <f>SUM(Q34:T34)</f>
        <v>-1402</v>
      </c>
      <c r="AF34" s="129">
        <f>SUM(R34:U34)</f>
        <v>-1482</v>
      </c>
      <c r="AG34" s="129">
        <f>SUM(S34:V34)</f>
        <v>-1515</v>
      </c>
      <c r="AI34" s="119">
        <f t="shared" ref="AI34:AI39" si="32">SUM(AG34/AC34)-1</f>
        <v>0.13483146067415741</v>
      </c>
    </row>
    <row r="35" spans="2:35" ht="12.75" customHeight="1">
      <c r="B35" s="23" t="s">
        <v>34</v>
      </c>
      <c r="C35" s="128">
        <f>-'Historical Financials'!C148</f>
        <v>-2671</v>
      </c>
      <c r="D35" s="128">
        <f>-'Historical Financials'!D148</f>
        <v>-3012</v>
      </c>
      <c r="E35" s="128">
        <f>-'Historical Financials'!E148</f>
        <v>-3741</v>
      </c>
      <c r="F35" s="128">
        <f>-'Historical Financials'!F148</f>
        <v>-3433</v>
      </c>
      <c r="G35" s="128">
        <f>-'Historical Financials'!G148</f>
        <v>-5775</v>
      </c>
      <c r="H35" s="128">
        <f>-'Historical Financials'!H148</f>
        <v>-4541</v>
      </c>
      <c r="J35" s="128">
        <f>-'Historical Financials'!J148</f>
        <v>-721</v>
      </c>
      <c r="K35" s="128">
        <f>-'Historical Financials'!K148</f>
        <v>-1914</v>
      </c>
      <c r="L35" s="128">
        <f>-'Historical Financials'!L148</f>
        <v>-378</v>
      </c>
      <c r="M35" s="128">
        <f>-'Historical Financials'!M148</f>
        <v>-420</v>
      </c>
      <c r="N35" s="128">
        <f>-'Historical Financials'!N148</f>
        <v>-1503</v>
      </c>
      <c r="O35" s="128">
        <f>-'Historical Financials'!O148</f>
        <v>-2155</v>
      </c>
      <c r="P35" s="128">
        <f>-'Historical Financials'!P148</f>
        <v>-1041</v>
      </c>
      <c r="Q35" s="128">
        <f>-'Historical Financials'!Q148</f>
        <v>-1076</v>
      </c>
      <c r="R35" s="128">
        <f>-'Historical Financials'!R148</f>
        <v>-1194</v>
      </c>
      <c r="S35" s="128">
        <f>-'Historical Financials'!S148</f>
        <v>-1861</v>
      </c>
      <c r="T35" s="128">
        <f>-'Historical Financials'!T148</f>
        <v>-532</v>
      </c>
      <c r="U35" s="128">
        <f>-'Historical Financials'!U148</f>
        <v>-954</v>
      </c>
      <c r="V35" s="128">
        <f>-'Historical Financials'!V148</f>
        <v>-1290</v>
      </c>
      <c r="X35" s="129">
        <f>SUM(J35:M35)</f>
        <v>-3433</v>
      </c>
      <c r="Y35" s="129">
        <f>SUM(K35:N35)</f>
        <v>-4215</v>
      </c>
      <c r="Z35" s="129">
        <f>SUM(L35:O35)</f>
        <v>-4456</v>
      </c>
      <c r="AA35" s="129">
        <f>SUM(M35:P35)</f>
        <v>-5119</v>
      </c>
      <c r="AB35" s="129">
        <f>SUM(N35:Q35)</f>
        <v>-5775</v>
      </c>
      <c r="AC35" s="129">
        <f>SUM(O35:R35)</f>
        <v>-5466</v>
      </c>
      <c r="AD35" s="129">
        <f>SUM(P35:S35)</f>
        <v>-5172</v>
      </c>
      <c r="AE35" s="129">
        <f>SUM(Q35:T35)</f>
        <v>-4663</v>
      </c>
      <c r="AF35" s="129">
        <f>SUM(R35:U35)</f>
        <v>-4541</v>
      </c>
      <c r="AG35" s="129">
        <f>SUM(S35:V35)</f>
        <v>-4637</v>
      </c>
      <c r="AI35" s="119">
        <f t="shared" si="32"/>
        <v>-0.15166483717526524</v>
      </c>
    </row>
    <row r="36" spans="2:35" ht="12.75" customHeight="1">
      <c r="B36" s="23" t="s">
        <v>67</v>
      </c>
      <c r="C36" s="128">
        <f>-'Historical Financials'!C149</f>
        <v>-537</v>
      </c>
      <c r="D36" s="128">
        <f>-'Historical Financials'!D149</f>
        <v>-643</v>
      </c>
      <c r="E36" s="128">
        <f>-'Historical Financials'!E149</f>
        <v>-607</v>
      </c>
      <c r="F36" s="128">
        <f>-'Historical Financials'!F149</f>
        <v>-617</v>
      </c>
      <c r="G36" s="128">
        <f>-'Historical Financials'!G149</f>
        <v>-583</v>
      </c>
      <c r="H36" s="128">
        <f>-'Historical Financials'!H149</f>
        <v>-587</v>
      </c>
      <c r="J36" s="128">
        <f>-'Historical Financials'!J149</f>
        <v>-244</v>
      </c>
      <c r="K36" s="128">
        <f>-'Historical Financials'!K149</f>
        <v>-49</v>
      </c>
      <c r="L36" s="128">
        <f>-'Historical Financials'!L149</f>
        <v>-275</v>
      </c>
      <c r="M36" s="128">
        <f>-'Historical Financials'!M149</f>
        <v>-49</v>
      </c>
      <c r="N36" s="128">
        <f>-'Historical Financials'!N149</f>
        <v>-213</v>
      </c>
      <c r="O36" s="128">
        <f>-'Historical Financials'!O149</f>
        <v>-48</v>
      </c>
      <c r="P36" s="128">
        <f>-'Historical Financials'!P149</f>
        <v>-273</v>
      </c>
      <c r="Q36" s="128">
        <f>-'Historical Financials'!Q149</f>
        <v>-49</v>
      </c>
      <c r="R36" s="128">
        <f>-'Historical Financials'!R149</f>
        <v>-213</v>
      </c>
      <c r="S36" s="128">
        <f>-'Historical Financials'!S149</f>
        <v>-48</v>
      </c>
      <c r="T36" s="128">
        <f>-'Historical Financials'!T149</f>
        <v>-278</v>
      </c>
      <c r="U36" s="128">
        <f>-'Historical Financials'!U149</f>
        <v>-48</v>
      </c>
      <c r="V36" s="128">
        <f>-'Historical Financials'!V149</f>
        <v>-213</v>
      </c>
      <c r="X36" s="129">
        <f>SUM(J36:M36)</f>
        <v>-617</v>
      </c>
      <c r="Y36" s="129">
        <f>SUM(K36:N36)</f>
        <v>-586</v>
      </c>
      <c r="Z36" s="129">
        <f>SUM(L36:O36)</f>
        <v>-585</v>
      </c>
      <c r="AA36" s="129">
        <f>SUM(M36:P36)</f>
        <v>-583</v>
      </c>
      <c r="AB36" s="129">
        <f>SUM(N36:Q36)</f>
        <v>-583</v>
      </c>
      <c r="AC36" s="129">
        <f>SUM(O36:R36)</f>
        <v>-583</v>
      </c>
      <c r="AD36" s="129">
        <f>SUM(P36:S36)</f>
        <v>-583</v>
      </c>
      <c r="AE36" s="129">
        <f>SUM(Q36:T36)</f>
        <v>-588</v>
      </c>
      <c r="AF36" s="129">
        <f>SUM(R36:U36)</f>
        <v>-587</v>
      </c>
      <c r="AG36" s="129">
        <f>SUM(S36:V36)</f>
        <v>-587</v>
      </c>
      <c r="AI36" s="119">
        <f t="shared" si="32"/>
        <v>6.8610634648369473E-3</v>
      </c>
    </row>
    <row r="37" spans="2:35" ht="12.75" customHeight="1">
      <c r="B37" s="23" t="s">
        <v>193</v>
      </c>
      <c r="C37" s="128">
        <f>'Historical Financials'!C129</f>
        <v>-2664</v>
      </c>
      <c r="D37" s="128">
        <f>'Historical Financials'!D129</f>
        <v>-2798</v>
      </c>
      <c r="E37" s="128">
        <f>'Historical Financials'!E129</f>
        <v>-3203</v>
      </c>
      <c r="F37" s="128">
        <f>'Historical Financials'!F129</f>
        <v>-3751</v>
      </c>
      <c r="G37" s="128">
        <f>'Historical Financials'!G129</f>
        <v>-4217</v>
      </c>
      <c r="H37" s="128">
        <f>'Historical Financials'!H129</f>
        <v>-4634</v>
      </c>
      <c r="J37" s="128">
        <f>'Historical Financials'!J129</f>
        <v>-945</v>
      </c>
      <c r="K37" s="128">
        <f>'Historical Financials'!K129</f>
        <v>-941</v>
      </c>
      <c r="L37" s="128">
        <f>'Historical Financials'!L129</f>
        <v>-937</v>
      </c>
      <c r="M37" s="128">
        <f>'Historical Financials'!M129</f>
        <v>-928</v>
      </c>
      <c r="N37" s="128">
        <f>'Historical Financials'!N129</f>
        <v>-1060</v>
      </c>
      <c r="O37" s="128">
        <f>'Historical Financials'!O129</f>
        <v>-1060</v>
      </c>
      <c r="P37" s="128">
        <f>'Historical Financials'!P129</f>
        <v>-1056</v>
      </c>
      <c r="Q37" s="128">
        <f>'Historical Financials'!Q129</f>
        <v>-1041</v>
      </c>
      <c r="R37" s="128">
        <f>'Historical Financials'!R129</f>
        <v>-1170</v>
      </c>
      <c r="S37" s="128">
        <f>'Historical Financials'!S129</f>
        <v>-1164</v>
      </c>
      <c r="T37" s="128">
        <f>'Historical Financials'!T129</f>
        <v>-1154</v>
      </c>
      <c r="U37" s="128">
        <f>'Historical Financials'!U129</f>
        <v>-1146</v>
      </c>
      <c r="V37" s="128">
        <f>'Historical Financials'!V129</f>
        <v>-1293</v>
      </c>
      <c r="X37" s="129">
        <f>SUM(J37:M37)</f>
        <v>-3751</v>
      </c>
      <c r="Y37" s="129">
        <f>SUM(K37:N37)</f>
        <v>-3866</v>
      </c>
      <c r="Z37" s="129">
        <f>SUM(L37:O37)</f>
        <v>-3985</v>
      </c>
      <c r="AA37" s="129">
        <f>SUM(M37:P37)</f>
        <v>-4104</v>
      </c>
      <c r="AB37" s="129">
        <f>SUM(N37:Q37)</f>
        <v>-4217</v>
      </c>
      <c r="AC37" s="129">
        <f>SUM(O37:R37)</f>
        <v>-4327</v>
      </c>
      <c r="AD37" s="129">
        <f>SUM(P37:S37)</f>
        <v>-4431</v>
      </c>
      <c r="AE37" s="129">
        <f>SUM(Q37:T37)</f>
        <v>-4529</v>
      </c>
      <c r="AF37" s="129">
        <f>SUM(R37:U37)</f>
        <v>-4634</v>
      </c>
      <c r="AG37" s="129">
        <f>SUM(S37:V37)</f>
        <v>-4757</v>
      </c>
      <c r="AI37" s="119">
        <f t="shared" si="32"/>
        <v>9.9376011093136096E-2</v>
      </c>
    </row>
    <row r="38" spans="2:35" ht="12.75" customHeight="1">
      <c r="B38" s="23" t="s">
        <v>35</v>
      </c>
      <c r="C38" s="128">
        <f>SUM('Historical Financials'!C107:C114)</f>
        <v>-8398</v>
      </c>
      <c r="D38" s="128">
        <f>SUM('Historical Financials'!D107:D114)</f>
        <v>-6702</v>
      </c>
      <c r="E38" s="128">
        <f>SUM('Historical Financials'!E107:E114)</f>
        <v>-7657</v>
      </c>
      <c r="F38" s="128">
        <f>SUM('Historical Financials'!F107:F114)</f>
        <v>-10022</v>
      </c>
      <c r="G38" s="128">
        <f>SUM('Historical Financials'!G107:G114)</f>
        <v>-15432</v>
      </c>
      <c r="H38" s="128">
        <f>SUM('Historical Financials'!H107:H114)</f>
        <v>-15172</v>
      </c>
      <c r="J38" s="128">
        <f>SUM('Historical Financials'!J107:J114)</f>
        <v>-3138</v>
      </c>
      <c r="K38" s="128">
        <f>SUM('Historical Financials'!K107:K114)</f>
        <v>-3824</v>
      </c>
      <c r="L38" s="128">
        <f>SUM('Historical Financials'!L107:L114)</f>
        <v>-1777</v>
      </c>
      <c r="M38" s="128">
        <f>SUM('Historical Financials'!M107:M114)</f>
        <v>-1283</v>
      </c>
      <c r="N38" s="128">
        <f>SUM('Historical Financials'!N107:N114)</f>
        <v>-5122</v>
      </c>
      <c r="O38" s="128">
        <f>SUM('Historical Financials'!O107:O114)</f>
        <v>-3787</v>
      </c>
      <c r="P38" s="128">
        <f>SUM('Historical Financials'!P107:P114)</f>
        <v>-3777</v>
      </c>
      <c r="Q38" s="128">
        <f>SUM('Historical Financials'!Q107:Q114)</f>
        <v>-2746</v>
      </c>
      <c r="R38" s="128">
        <f>SUM('Historical Financials'!R107:R114)</f>
        <v>-4168</v>
      </c>
      <c r="S38" s="128">
        <f>SUM('Historical Financials'!S107:S114)</f>
        <v>-4091</v>
      </c>
      <c r="T38" s="128">
        <f>SUM('Historical Financials'!T107:T114)</f>
        <v>-3529</v>
      </c>
      <c r="U38" s="128">
        <f>SUM('Historical Financials'!U107:U114)</f>
        <v>-3384</v>
      </c>
      <c r="V38" s="128">
        <f>SUM('Historical Financials'!V107:V114)</f>
        <v>-3486</v>
      </c>
      <c r="X38" s="129">
        <f>SUM(J38:M38)</f>
        <v>-10022</v>
      </c>
      <c r="Y38" s="129">
        <f>SUM(K38:N38)</f>
        <v>-12006</v>
      </c>
      <c r="Z38" s="129">
        <f>SUM(L38:O38)</f>
        <v>-11969</v>
      </c>
      <c r="AA38" s="129">
        <f>SUM(M38:P38)</f>
        <v>-13969</v>
      </c>
      <c r="AB38" s="129">
        <f>SUM(N38:Q38)</f>
        <v>-15432</v>
      </c>
      <c r="AC38" s="129">
        <f>SUM(O38:R38)</f>
        <v>-14478</v>
      </c>
      <c r="AD38" s="129">
        <f>SUM(P38:S38)</f>
        <v>-14782</v>
      </c>
      <c r="AE38" s="129">
        <f>SUM(Q38:T38)</f>
        <v>-14534</v>
      </c>
      <c r="AF38" s="129">
        <f>SUM(R38:U38)</f>
        <v>-15172</v>
      </c>
      <c r="AG38" s="129">
        <f>SUM(S38:V38)</f>
        <v>-14490</v>
      </c>
      <c r="AI38" s="119">
        <f t="shared" si="32"/>
        <v>8.2884376295067064E-4</v>
      </c>
    </row>
    <row r="39" spans="2:35" ht="12.75" customHeight="1">
      <c r="B39" s="13" t="s">
        <v>36</v>
      </c>
      <c r="C39" s="14">
        <f t="shared" ref="C39:H39" si="33">SUM(C31+SUM(C34:C38))</f>
        <v>269</v>
      </c>
      <c r="D39" s="14">
        <f t="shared" si="33"/>
        <v>3293</v>
      </c>
      <c r="E39" s="14">
        <f t="shared" si="33"/>
        <v>4966</v>
      </c>
      <c r="F39" s="14">
        <f t="shared" si="33"/>
        <v>4753</v>
      </c>
      <c r="G39" s="14">
        <f t="shared" si="33"/>
        <v>-1323</v>
      </c>
      <c r="H39" s="14">
        <f t="shared" si="33"/>
        <v>2257</v>
      </c>
      <c r="J39" s="14">
        <f t="shared" ref="J39:S39" si="34">SUM(J31+SUM(J34:J38))</f>
        <v>538</v>
      </c>
      <c r="K39" s="14">
        <f t="shared" si="34"/>
        <v>-1145</v>
      </c>
      <c r="L39" s="14">
        <f t="shared" si="34"/>
        <v>2245</v>
      </c>
      <c r="M39" s="14">
        <f t="shared" si="34"/>
        <v>3115</v>
      </c>
      <c r="N39" s="14">
        <f t="shared" si="34"/>
        <v>-1746</v>
      </c>
      <c r="O39" s="14">
        <f t="shared" si="34"/>
        <v>-1056</v>
      </c>
      <c r="P39" s="14">
        <f t="shared" si="34"/>
        <v>-121</v>
      </c>
      <c r="Q39" s="14">
        <f t="shared" si="34"/>
        <v>1600</v>
      </c>
      <c r="R39" s="14">
        <f t="shared" si="34"/>
        <v>-306</v>
      </c>
      <c r="S39" s="14">
        <f t="shared" si="34"/>
        <v>-492</v>
      </c>
      <c r="T39" s="14">
        <f>SUM(T31+SUM(T34:T38))</f>
        <v>1418</v>
      </c>
      <c r="U39" s="14">
        <f>SUM(U31+SUM(U34:U38))</f>
        <v>1637</v>
      </c>
      <c r="V39" s="14">
        <f>SUM(V31+SUM(V34:V38))</f>
        <v>1342</v>
      </c>
      <c r="X39" s="14">
        <f t="shared" ref="X39" si="35">SUM(X31+SUM(X34:X38))</f>
        <v>4753</v>
      </c>
      <c r="Y39" s="14">
        <f t="shared" ref="Y39:AF39" si="36">SUM(Y31+SUM(Y34:Y38))</f>
        <v>2469</v>
      </c>
      <c r="Z39" s="14">
        <f t="shared" si="36"/>
        <v>2558</v>
      </c>
      <c r="AA39" s="14">
        <f t="shared" si="36"/>
        <v>192</v>
      </c>
      <c r="AB39" s="14">
        <f t="shared" si="36"/>
        <v>-1323</v>
      </c>
      <c r="AC39" s="14">
        <f t="shared" si="36"/>
        <v>117</v>
      </c>
      <c r="AD39" s="14">
        <f t="shared" si="36"/>
        <v>681</v>
      </c>
      <c r="AE39" s="14">
        <f t="shared" si="36"/>
        <v>2220</v>
      </c>
      <c r="AF39" s="14">
        <f t="shared" si="36"/>
        <v>2257</v>
      </c>
      <c r="AG39" s="14">
        <f t="shared" ref="AG39" si="37">SUM(AG31+SUM(AG34:AG38))</f>
        <v>3905</v>
      </c>
      <c r="AI39" s="120">
        <f t="shared" si="32"/>
        <v>32.376068376068375</v>
      </c>
    </row>
    <row r="40" spans="2:35" ht="5.0999999999999996" customHeight="1"/>
    <row r="41" spans="2:35" ht="12.75" customHeight="1">
      <c r="B41" s="31" t="s">
        <v>191</v>
      </c>
      <c r="C41" s="128">
        <f>SUM('Historical Financials'!C119:C120)</f>
        <v>2435</v>
      </c>
      <c r="D41" s="128">
        <f>SUM('Historical Financials'!D119:D120)</f>
        <v>590</v>
      </c>
      <c r="E41" s="128">
        <f>SUM('Historical Financials'!E119:E120)</f>
        <v>-1412</v>
      </c>
      <c r="F41" s="128">
        <f>SUM('Historical Financials'!F119:F120)</f>
        <v>-1203</v>
      </c>
      <c r="G41" s="128">
        <f>SUM('Historical Financials'!G119:G120)</f>
        <v>570</v>
      </c>
      <c r="H41" s="128">
        <f>SUM('Historical Financials'!H119:H120)</f>
        <v>3024</v>
      </c>
      <c r="I41" s="32"/>
      <c r="J41" s="128">
        <f>SUM('Historical Financials'!J119:J120)</f>
        <v>-685</v>
      </c>
      <c r="K41" s="128">
        <f>SUM('Historical Financials'!K119:K120)</f>
        <v>-42</v>
      </c>
      <c r="L41" s="128">
        <f>SUM('Historical Financials'!L119:L120)</f>
        <v>320</v>
      </c>
      <c r="M41" s="128">
        <f>SUM('Historical Financials'!M119:M120)</f>
        <v>-796</v>
      </c>
      <c r="N41" s="128">
        <f>SUM('Historical Financials'!N119:N120)</f>
        <v>-1606</v>
      </c>
      <c r="O41" s="128">
        <f>SUM('Historical Financials'!O119:O120)</f>
        <v>65</v>
      </c>
      <c r="P41" s="128">
        <f>SUM('Historical Financials'!P119:P120)</f>
        <v>964</v>
      </c>
      <c r="Q41" s="128">
        <f>SUM('Historical Financials'!Q119:Q120)</f>
        <v>1147</v>
      </c>
      <c r="R41" s="128">
        <f>SUM('Historical Financials'!R119:R120)</f>
        <v>2042</v>
      </c>
      <c r="S41" s="128">
        <f>SUM('Historical Financials'!S119:S120)</f>
        <v>226</v>
      </c>
      <c r="T41" s="128">
        <f>SUM('Historical Financials'!T119:T120)</f>
        <v>200</v>
      </c>
      <c r="U41" s="128">
        <f>SUM('Historical Financials'!U119:U120)</f>
        <v>556</v>
      </c>
      <c r="V41" s="128">
        <f>SUM('Historical Financials'!V119:V120)</f>
        <v>725</v>
      </c>
      <c r="X41" s="129">
        <f>SUM(J41:M41)</f>
        <v>-1203</v>
      </c>
      <c r="Y41" s="129">
        <f>SUM(K41:N41)</f>
        <v>-2124</v>
      </c>
      <c r="Z41" s="129">
        <f>SUM(L41:O41)</f>
        <v>-2017</v>
      </c>
      <c r="AA41" s="129">
        <f>SUM(M41:P41)</f>
        <v>-1373</v>
      </c>
      <c r="AB41" s="129">
        <f>SUM(N41:Q41)</f>
        <v>570</v>
      </c>
      <c r="AC41" s="129">
        <f>SUM(O41:R41)</f>
        <v>4218</v>
      </c>
      <c r="AD41" s="129">
        <f>SUM(P41:S41)</f>
        <v>4379</v>
      </c>
      <c r="AE41" s="129">
        <f>SUM(Q41:T41)</f>
        <v>3615</v>
      </c>
      <c r="AF41" s="129">
        <f>SUM(R41:U41)</f>
        <v>3024</v>
      </c>
      <c r="AG41" s="129">
        <f>SUM(S41:V41)</f>
        <v>1707</v>
      </c>
    </row>
    <row r="42" spans="2:35" ht="12.75" customHeight="1">
      <c r="B42" s="31" t="s">
        <v>82</v>
      </c>
      <c r="C42" s="128">
        <f>'Historical Financials'!C121</f>
        <v>-77</v>
      </c>
      <c r="D42" s="128">
        <f>'Historical Financials'!D121</f>
        <v>-75</v>
      </c>
      <c r="E42" s="128">
        <f>'Historical Financials'!E121</f>
        <v>-1948</v>
      </c>
      <c r="F42" s="128">
        <f>'Historical Financials'!F121</f>
        <v>0</v>
      </c>
      <c r="G42" s="128">
        <f>'Historical Financials'!G121</f>
        <v>-915</v>
      </c>
      <c r="H42" s="128">
        <f>'Historical Financials'!H121</f>
        <v>-887</v>
      </c>
      <c r="I42" s="32"/>
      <c r="J42" s="128">
        <f>'Historical Financials'!J121</f>
        <v>0</v>
      </c>
      <c r="K42" s="128">
        <f>'Historical Financials'!K121</f>
        <v>0</v>
      </c>
      <c r="L42" s="128">
        <f>'Historical Financials'!L121</f>
        <v>0</v>
      </c>
      <c r="M42" s="128">
        <f>'Historical Financials'!M121</f>
        <v>0</v>
      </c>
      <c r="N42" s="128">
        <f>'Historical Financials'!N121</f>
        <v>0</v>
      </c>
      <c r="O42" s="128">
        <f>'Historical Financials'!O121</f>
        <v>-915</v>
      </c>
      <c r="P42" s="128">
        <f>'Historical Financials'!P121</f>
        <v>0</v>
      </c>
      <c r="Q42" s="128">
        <f>'Historical Financials'!Q121</f>
        <v>0</v>
      </c>
      <c r="R42" s="128">
        <f>'Historical Financials'!R121</f>
        <v>-906</v>
      </c>
      <c r="S42" s="128">
        <f>'Historical Financials'!S121</f>
        <v>19</v>
      </c>
      <c r="T42" s="128">
        <f>'Historical Financials'!T121</f>
        <v>0</v>
      </c>
      <c r="U42" s="128">
        <f>'Historical Financials'!U121</f>
        <v>0</v>
      </c>
      <c r="V42" s="128">
        <f>'Historical Financials'!V121</f>
        <v>0</v>
      </c>
      <c r="X42" s="129">
        <f>SUM(J42:M42)</f>
        <v>0</v>
      </c>
      <c r="Y42" s="129">
        <f>SUM(K42:N42)</f>
        <v>0</v>
      </c>
      <c r="Z42" s="129">
        <f>SUM(L42:O42)</f>
        <v>-915</v>
      </c>
      <c r="AA42" s="129">
        <f>SUM(M42:P42)</f>
        <v>-915</v>
      </c>
      <c r="AB42" s="129">
        <f>SUM(N42:Q42)</f>
        <v>-915</v>
      </c>
      <c r="AC42" s="129">
        <f>SUM(O42:R42)</f>
        <v>-1821</v>
      </c>
      <c r="AD42" s="129">
        <f>SUM(P42:S42)</f>
        <v>-887</v>
      </c>
      <c r="AE42" s="129">
        <f>SUM(Q42:T42)</f>
        <v>-887</v>
      </c>
      <c r="AF42" s="129">
        <f>SUM(R42:U42)</f>
        <v>-887</v>
      </c>
      <c r="AG42" s="129">
        <f>SUM(S42:V42)</f>
        <v>19</v>
      </c>
    </row>
    <row r="43" spans="2:35" ht="12.75" customHeight="1">
      <c r="B43" s="31" t="s">
        <v>103</v>
      </c>
      <c r="C43" s="128">
        <f>SUM('Historical Financials'!C127+'Historical Financials'!C131+'Historical Financials'!C132)</f>
        <v>-8084</v>
      </c>
      <c r="D43" s="128">
        <f>SUM('Historical Financials'!D127+'Historical Financials'!D131+'Historical Financials'!D132)</f>
        <v>-8612</v>
      </c>
      <c r="E43" s="128">
        <f>SUM('Historical Financials'!E127+'Historical Financials'!E131+'Historical Financials'!E132)</f>
        <v>-11513</v>
      </c>
      <c r="F43" s="128">
        <f>SUM('Historical Financials'!F127+'Historical Financials'!F131+'Historical Financials'!F132)</f>
        <v>-11971</v>
      </c>
      <c r="G43" s="128">
        <f>SUM('Historical Financials'!G127+'Historical Financials'!G131+'Historical Financials'!G132)</f>
        <v>-16586</v>
      </c>
      <c r="H43" s="128">
        <f>SUM('Historical Financials'!H127+'Historical Financials'!H131+'Historical Financials'!H132)</f>
        <v>-18201</v>
      </c>
      <c r="I43" s="32"/>
      <c r="J43" s="128">
        <f>SUM('Historical Financials'!J127+'Historical Financials'!J131+'Historical Financials'!J132)</f>
        <v>-3171</v>
      </c>
      <c r="K43" s="128">
        <f>SUM('Historical Financials'!K127+'Historical Financials'!K131+'Historical Financials'!K132)</f>
        <v>-2138</v>
      </c>
      <c r="L43" s="128">
        <f>SUM('Historical Financials'!L127+'Historical Financials'!L131+'Historical Financials'!L132)</f>
        <v>-2977</v>
      </c>
      <c r="M43" s="128">
        <f>SUM('Historical Financials'!M127+'Historical Financials'!M131+'Historical Financials'!M132)</f>
        <v>-3685</v>
      </c>
      <c r="N43" s="128">
        <f>SUM('Historical Financials'!N127+'Historical Financials'!N131+'Historical Financials'!N132)</f>
        <v>-3648</v>
      </c>
      <c r="O43" s="128">
        <f>SUM('Historical Financials'!O127+'Historical Financials'!O131+'Historical Financials'!O132)</f>
        <v>-2688</v>
      </c>
      <c r="P43" s="128">
        <f>SUM('Historical Financials'!P127+'Historical Financials'!P131+'Historical Financials'!P132)</f>
        <v>-4451</v>
      </c>
      <c r="Q43" s="128">
        <f>SUM('Historical Financials'!Q127+'Historical Financials'!Q131+'Historical Financials'!Q132)</f>
        <v>-5799</v>
      </c>
      <c r="R43" s="128">
        <f>SUM('Historical Financials'!R127+'Historical Financials'!R131+'Historical Financials'!R132)</f>
        <v>-4119</v>
      </c>
      <c r="S43" s="128">
        <f>SUM('Historical Financials'!S127+'Historical Financials'!S131+'Historical Financials'!S132)</f>
        <v>-4484</v>
      </c>
      <c r="T43" s="128">
        <f>SUM('Historical Financials'!T127+'Historical Financials'!T131+'Historical Financials'!T132)</f>
        <v>-4699</v>
      </c>
      <c r="U43" s="128">
        <f>SUM('Historical Financials'!U127+'Historical Financials'!U131+'Historical Financials'!U132)</f>
        <v>-4899</v>
      </c>
      <c r="V43" s="128">
        <f>SUM('Historical Financials'!V127+'Historical Financials'!V131+'Historical Financials'!V132)</f>
        <v>-3878</v>
      </c>
      <c r="X43" s="129">
        <f>SUM(J43:M43)</f>
        <v>-11971</v>
      </c>
      <c r="Y43" s="129">
        <f>SUM(K43:N43)</f>
        <v>-12448</v>
      </c>
      <c r="Z43" s="129">
        <f>SUM(L43:O43)</f>
        <v>-12998</v>
      </c>
      <c r="AA43" s="129">
        <f>SUM(M43:P43)</f>
        <v>-14472</v>
      </c>
      <c r="AB43" s="129">
        <f>SUM(N43:Q43)</f>
        <v>-16586</v>
      </c>
      <c r="AC43" s="129">
        <f>SUM(O43:R43)</f>
        <v>-17057</v>
      </c>
      <c r="AD43" s="129">
        <f>SUM(P43:S43)</f>
        <v>-18853</v>
      </c>
      <c r="AE43" s="129">
        <f>SUM(Q43:T43)</f>
        <v>-19101</v>
      </c>
      <c r="AF43" s="129">
        <f>SUM(R43:U43)</f>
        <v>-18201</v>
      </c>
      <c r="AG43" s="129">
        <f>SUM(S43:V43)</f>
        <v>-17960</v>
      </c>
    </row>
    <row r="44" spans="2:35" ht="12.75" customHeight="1">
      <c r="B44" s="31" t="s">
        <v>194</v>
      </c>
      <c r="C44" s="128">
        <f>SUM('Historical Financials'!C128+'Historical Financials'!C130)</f>
        <v>7212</v>
      </c>
      <c r="D44" s="128">
        <f>SUM('Historical Financials'!D128+'Historical Financials'!D130)</f>
        <v>-3000</v>
      </c>
      <c r="E44" s="128">
        <f>SUM('Historical Financials'!E128+'Historical Financials'!E130)</f>
        <v>2218</v>
      </c>
      <c r="F44" s="128">
        <f>SUM('Historical Financials'!F128+'Historical Financials'!F130)</f>
        <v>-2250</v>
      </c>
      <c r="G44" s="128">
        <f>SUM('Historical Financials'!G128+'Historical Financials'!G130)</f>
        <v>0</v>
      </c>
      <c r="H44" s="128">
        <f>SUM('Historical Financials'!H128+'Historical Financials'!H130)</f>
        <v>3924</v>
      </c>
      <c r="I44" s="32"/>
      <c r="J44" s="128">
        <f>SUM('Historical Financials'!J128+'Historical Financials'!J130)</f>
        <v>-2250</v>
      </c>
      <c r="K44" s="128">
        <f>SUM('Historical Financials'!K128+'Historical Financials'!K130)</f>
        <v>0</v>
      </c>
      <c r="L44" s="128">
        <f>SUM('Historical Financials'!L128+'Historical Financials'!L130)</f>
        <v>0</v>
      </c>
      <c r="M44" s="128">
        <f>SUM('Historical Financials'!M128+'Historical Financials'!M130)</f>
        <v>0</v>
      </c>
      <c r="N44" s="128">
        <f>SUM('Historical Financials'!N128+'Historical Financials'!N130)</f>
        <v>0</v>
      </c>
      <c r="O44" s="128">
        <f>SUM('Historical Financials'!O128+'Historical Financials'!O130)</f>
        <v>0</v>
      </c>
      <c r="P44" s="128">
        <f>SUM('Historical Financials'!P128+'Historical Financials'!P130)</f>
        <v>0</v>
      </c>
      <c r="Q44" s="128">
        <f>SUM('Historical Financials'!Q128+'Historical Financials'!Q130)</f>
        <v>0</v>
      </c>
      <c r="R44" s="128">
        <f>SUM('Historical Financials'!R128+'Historical Financials'!R130)</f>
        <v>0</v>
      </c>
      <c r="S44" s="128">
        <f>SUM('Historical Financials'!S128+'Historical Financials'!S130)</f>
        <v>0</v>
      </c>
      <c r="T44" s="128">
        <f>SUM('Historical Financials'!T128+'Historical Financials'!T130)</f>
        <v>3924</v>
      </c>
      <c r="U44" s="128">
        <f>SUM('Historical Financials'!U128+'Historical Financials'!U130)</f>
        <v>0</v>
      </c>
      <c r="V44" s="128">
        <f>SUM('Historical Financials'!V128+'Historical Financials'!V130)</f>
        <v>-4000</v>
      </c>
      <c r="X44" s="129">
        <f>SUM(J44:M44)</f>
        <v>-2250</v>
      </c>
      <c r="Y44" s="129">
        <f>SUM(K44:N44)</f>
        <v>0</v>
      </c>
      <c r="Z44" s="129">
        <f>SUM(L44:O44)</f>
        <v>0</v>
      </c>
      <c r="AA44" s="129">
        <f>SUM(M44:P44)</f>
        <v>0</v>
      </c>
      <c r="AB44" s="129">
        <f>SUM(N44:Q44)</f>
        <v>0</v>
      </c>
      <c r="AC44" s="129">
        <f>SUM(O44:R44)</f>
        <v>0</v>
      </c>
      <c r="AD44" s="129">
        <f>SUM(P44:S44)</f>
        <v>0</v>
      </c>
      <c r="AE44" s="129">
        <f>SUM(Q44:T44)</f>
        <v>3924</v>
      </c>
      <c r="AF44" s="129">
        <f>SUM(R44:U44)</f>
        <v>3924</v>
      </c>
      <c r="AG44" s="129">
        <f>SUM(S44:V44)</f>
        <v>-76</v>
      </c>
    </row>
    <row r="45" spans="2:35" ht="12.75" customHeight="1">
      <c r="B45" s="31" t="s">
        <v>195</v>
      </c>
      <c r="C45" s="128">
        <f>'Historical Financials'!C99</f>
        <v>6664</v>
      </c>
      <c r="D45" s="128">
        <f>'Historical Financials'!D99</f>
        <v>8367</v>
      </c>
      <c r="E45" s="128">
        <f>'Historical Financials'!E99</f>
        <v>10295</v>
      </c>
      <c r="F45" s="128">
        <f>'Historical Financials'!F99</f>
        <v>12297</v>
      </c>
      <c r="G45" s="128">
        <f>'Historical Financials'!G99</f>
        <v>13764</v>
      </c>
      <c r="H45" s="128">
        <f>'Historical Financials'!H99</f>
        <v>15751</v>
      </c>
      <c r="I45" s="32"/>
      <c r="J45" s="128">
        <f>'Historical Financials'!J99</f>
        <v>2786</v>
      </c>
      <c r="K45" s="128">
        <f>'Historical Financials'!K99</f>
        <v>2905</v>
      </c>
      <c r="L45" s="128">
        <f>'Historical Financials'!L99</f>
        <v>3167</v>
      </c>
      <c r="M45" s="128">
        <f>'Historical Financials'!M99</f>
        <v>3439</v>
      </c>
      <c r="N45" s="128">
        <f>'Historical Financials'!N99</f>
        <v>3348</v>
      </c>
      <c r="O45" s="128">
        <f>'Historical Financials'!O99</f>
        <v>3257</v>
      </c>
      <c r="P45" s="128">
        <f>'Historical Financials'!P99</f>
        <v>3530</v>
      </c>
      <c r="Q45" s="128">
        <f>'Historical Financials'!Q99</f>
        <v>3629</v>
      </c>
      <c r="R45" s="128">
        <f>'Historical Financials'!R99</f>
        <v>3797</v>
      </c>
      <c r="S45" s="128">
        <f>'Historical Financials'!S99</f>
        <v>3734</v>
      </c>
      <c r="T45" s="128">
        <f>'Historical Financials'!T99</f>
        <v>3972</v>
      </c>
      <c r="U45" s="128">
        <f>'Historical Financials'!U99</f>
        <v>4248</v>
      </c>
      <c r="V45" s="128">
        <f>'Historical Financials'!V99</f>
        <v>4269</v>
      </c>
      <c r="X45" s="129">
        <f>SUM(J45:M45)</f>
        <v>12297</v>
      </c>
      <c r="Y45" s="129">
        <f>SUM(K45:N45)</f>
        <v>12859</v>
      </c>
      <c r="Z45" s="129">
        <f>SUM(L45:O45)</f>
        <v>13211</v>
      </c>
      <c r="AA45" s="129">
        <f>SUM(M45:P45)</f>
        <v>13574</v>
      </c>
      <c r="AB45" s="129">
        <f>SUM(N45:Q45)</f>
        <v>13764</v>
      </c>
      <c r="AC45" s="129">
        <f>SUM(O45:R45)</f>
        <v>14213</v>
      </c>
      <c r="AD45" s="129">
        <f>SUM(P45:S45)</f>
        <v>14690</v>
      </c>
      <c r="AE45" s="129">
        <f>SUM(Q45:T45)</f>
        <v>15132</v>
      </c>
      <c r="AF45" s="129">
        <f>SUM(R45:U45)</f>
        <v>15751</v>
      </c>
      <c r="AG45" s="129">
        <f>SUM(S45:V45)</f>
        <v>16223</v>
      </c>
    </row>
    <row r="46" spans="2:35" ht="12.75" customHeight="1">
      <c r="B46" s="31" t="s">
        <v>90</v>
      </c>
      <c r="C46" s="128">
        <f>'Historical Financials'!C133</f>
        <v>-432</v>
      </c>
      <c r="D46" s="128">
        <f>'Historical Financials'!D133</f>
        <v>0</v>
      </c>
      <c r="E46" s="128">
        <f>'Historical Financials'!E133</f>
        <v>-198</v>
      </c>
      <c r="F46" s="128">
        <f>'Historical Financials'!F133</f>
        <v>200</v>
      </c>
      <c r="G46" s="128">
        <f>'Historical Financials'!G133</f>
        <v>170</v>
      </c>
      <c r="H46" s="128">
        <f>'Historical Financials'!H133</f>
        <v>-52</v>
      </c>
      <c r="I46" s="32"/>
      <c r="J46" s="128">
        <f>'Historical Financials'!J133</f>
        <v>19</v>
      </c>
      <c r="K46" s="128">
        <f>'Historical Financials'!K133</f>
        <v>153</v>
      </c>
      <c r="L46" s="128">
        <f>'Historical Financials'!L133</f>
        <v>-5</v>
      </c>
      <c r="M46" s="128">
        <f>'Historical Financials'!M133</f>
        <v>33</v>
      </c>
      <c r="N46" s="128">
        <f>'Historical Financials'!N133</f>
        <v>329</v>
      </c>
      <c r="O46" s="128">
        <f>'Historical Financials'!O133</f>
        <v>-126</v>
      </c>
      <c r="P46" s="128">
        <f>'Historical Financials'!P133</f>
        <v>196</v>
      </c>
      <c r="Q46" s="128">
        <f>'Historical Financials'!Q133</f>
        <v>-229</v>
      </c>
      <c r="R46" s="128">
        <f>'Historical Financials'!R133</f>
        <v>-186</v>
      </c>
      <c r="S46" s="128">
        <f>'Historical Financials'!S133</f>
        <v>-12</v>
      </c>
      <c r="T46" s="128">
        <f>'Historical Financials'!T133</f>
        <v>101</v>
      </c>
      <c r="U46" s="128">
        <f>'Historical Financials'!U133</f>
        <v>45</v>
      </c>
      <c r="V46" s="128">
        <f>'Historical Financials'!V133</f>
        <v>185</v>
      </c>
      <c r="X46" s="129">
        <f>SUM(J46:M46)</f>
        <v>200</v>
      </c>
      <c r="Y46" s="129">
        <f>SUM(K46:N46)</f>
        <v>510</v>
      </c>
      <c r="Z46" s="129">
        <f>SUM(L46:O46)</f>
        <v>231</v>
      </c>
      <c r="AA46" s="129">
        <f>SUM(M46:P46)</f>
        <v>432</v>
      </c>
      <c r="AB46" s="129">
        <f>SUM(N46:Q46)</f>
        <v>170</v>
      </c>
      <c r="AC46" s="129">
        <f>SUM(O46:R46)</f>
        <v>-345</v>
      </c>
      <c r="AD46" s="129">
        <f>SUM(P46:S46)</f>
        <v>-231</v>
      </c>
      <c r="AE46" s="129">
        <f>SUM(Q46:T46)</f>
        <v>-326</v>
      </c>
      <c r="AF46" s="129">
        <f>SUM(R46:U46)</f>
        <v>-52</v>
      </c>
      <c r="AG46" s="129">
        <f>SUM(S46:V46)</f>
        <v>319</v>
      </c>
    </row>
    <row r="47" spans="2:35" ht="12.75" customHeight="1">
      <c r="B47" s="31" t="s">
        <v>63</v>
      </c>
      <c r="C47" s="90"/>
      <c r="D47" s="90">
        <f t="shared" ref="D47" si="38">SUM(D52)-SUM(C52)-SUM(D39:D46)</f>
        <v>-365</v>
      </c>
      <c r="E47" s="90">
        <f t="shared" ref="E47" si="39">SUM(E52)-SUM(D52)-SUM(E39:E46)</f>
        <v>-3206</v>
      </c>
      <c r="F47" s="90">
        <f t="shared" ref="F47" si="40">SUM(F52)-SUM(E52)-SUM(F39:F46)</f>
        <v>-1229</v>
      </c>
      <c r="G47" s="90">
        <f t="shared" ref="G47" si="41">SUM(G52)-SUM(F52)-SUM(G39:G46)</f>
        <v>9</v>
      </c>
      <c r="H47" s="90">
        <f t="shared" ref="H47" si="42">SUM(H52)-SUM(G52)-SUM(H39:H46)</f>
        <v>-627</v>
      </c>
      <c r="I47" s="32"/>
      <c r="J47" s="90"/>
      <c r="K47" s="90">
        <f t="shared" ref="K47" si="43">SUM(K52)-SUM(J52)-SUM(K39:K46)</f>
        <v>775</v>
      </c>
      <c r="L47" s="90">
        <f t="shared" ref="L47" si="44">SUM(L52)-SUM(K52)-SUM(L39:L46)</f>
        <v>-1002</v>
      </c>
      <c r="M47" s="90">
        <f t="shared" ref="M47" si="45">SUM(M52)-SUM(L52)-SUM(M39:M46)</f>
        <v>-1410</v>
      </c>
      <c r="N47" s="90">
        <f t="shared" ref="N47" si="46">SUM(N52)-SUM(M52)-SUM(N39:N46)</f>
        <v>628</v>
      </c>
      <c r="O47" s="90">
        <f t="shared" ref="O47" si="47">SUM(O52)-SUM(N52)-SUM(O39:O46)</f>
        <v>865</v>
      </c>
      <c r="P47" s="90">
        <f t="shared" ref="P47:U47" si="48">SUM(P52)-SUM(O52)-SUM(P39:P46)</f>
        <v>-164</v>
      </c>
      <c r="Q47" s="90">
        <f t="shared" si="48"/>
        <v>-1320</v>
      </c>
      <c r="R47" s="90">
        <f t="shared" si="48"/>
        <v>70</v>
      </c>
      <c r="S47" s="90">
        <f t="shared" si="48"/>
        <v>376</v>
      </c>
      <c r="T47" s="90">
        <f t="shared" si="48"/>
        <v>442</v>
      </c>
      <c r="U47" s="90">
        <f t="shared" si="48"/>
        <v>-1515</v>
      </c>
      <c r="V47" s="90">
        <f>SUM(V52)-SUM(U52)-SUM(V39:V46)</f>
        <v>-1051</v>
      </c>
      <c r="X47" s="129">
        <f>SUM(J47:M47)</f>
        <v>-1637</v>
      </c>
      <c r="Y47" s="129">
        <f>SUM(K47:N47)</f>
        <v>-1009</v>
      </c>
      <c r="Z47" s="129">
        <f>SUM(L47:O47)</f>
        <v>-919</v>
      </c>
      <c r="AA47" s="129">
        <f>SUM(M47:P47)</f>
        <v>-81</v>
      </c>
      <c r="AB47" s="129">
        <f>SUM(N47:Q47)</f>
        <v>9</v>
      </c>
      <c r="AC47" s="129">
        <f>SUM(O47:R47)</f>
        <v>-549</v>
      </c>
      <c r="AD47" s="129">
        <f>SUM(P47:S47)</f>
        <v>-1038</v>
      </c>
      <c r="AE47" s="129">
        <f>SUM(Q47:T47)</f>
        <v>-432</v>
      </c>
      <c r="AF47" s="129">
        <f>SUM(R47:U47)</f>
        <v>-627</v>
      </c>
      <c r="AG47" s="129">
        <f>SUM(S47:V47)</f>
        <v>-1748</v>
      </c>
    </row>
    <row r="48" spans="2:35" ht="12.75" customHeight="1">
      <c r="B48" s="13" t="s">
        <v>37</v>
      </c>
      <c r="C48" s="14">
        <f t="shared" ref="C48:H48" si="49">SUM(C39+SUM(C41:C47))</f>
        <v>7987</v>
      </c>
      <c r="D48" s="14">
        <f t="shared" si="49"/>
        <v>198</v>
      </c>
      <c r="E48" s="14">
        <f t="shared" si="49"/>
        <v>-798</v>
      </c>
      <c r="F48" s="14">
        <f t="shared" si="49"/>
        <v>597</v>
      </c>
      <c r="G48" s="14">
        <f t="shared" si="49"/>
        <v>-4311</v>
      </c>
      <c r="H48" s="14">
        <f t="shared" si="49"/>
        <v>5189</v>
      </c>
      <c r="J48" s="14">
        <f t="shared" ref="J48:V48" si="50">SUM(J39+SUM(J41:J47))</f>
        <v>-2763</v>
      </c>
      <c r="K48" s="14">
        <f t="shared" si="50"/>
        <v>508</v>
      </c>
      <c r="L48" s="14">
        <f t="shared" si="50"/>
        <v>1748</v>
      </c>
      <c r="M48" s="14">
        <f t="shared" si="50"/>
        <v>696</v>
      </c>
      <c r="N48" s="14">
        <f t="shared" si="50"/>
        <v>-2695</v>
      </c>
      <c r="O48" s="14">
        <f t="shared" si="50"/>
        <v>-598</v>
      </c>
      <c r="P48" s="14">
        <f t="shared" si="50"/>
        <v>-46</v>
      </c>
      <c r="Q48" s="14">
        <f t="shared" si="50"/>
        <v>-972</v>
      </c>
      <c r="R48" s="14">
        <f t="shared" si="50"/>
        <v>392</v>
      </c>
      <c r="S48" s="14">
        <f t="shared" si="50"/>
        <v>-633</v>
      </c>
      <c r="T48" s="14">
        <f t="shared" si="50"/>
        <v>5358</v>
      </c>
      <c r="U48" s="14">
        <f t="shared" si="50"/>
        <v>72</v>
      </c>
      <c r="V48" s="14">
        <f t="shared" si="50"/>
        <v>-2408</v>
      </c>
      <c r="X48" s="14">
        <f t="shared" ref="X48:AG48" si="51">SUM(X39+SUM(X41:X47))</f>
        <v>189</v>
      </c>
      <c r="Y48" s="14">
        <f t="shared" si="51"/>
        <v>257</v>
      </c>
      <c r="Z48" s="14">
        <f t="shared" si="51"/>
        <v>-849</v>
      </c>
      <c r="AA48" s="14">
        <f t="shared" si="51"/>
        <v>-2643</v>
      </c>
      <c r="AB48" s="14">
        <f t="shared" si="51"/>
        <v>-4311</v>
      </c>
      <c r="AC48" s="14">
        <f t="shared" si="51"/>
        <v>-1224</v>
      </c>
      <c r="AD48" s="14">
        <f t="shared" si="51"/>
        <v>-1259</v>
      </c>
      <c r="AE48" s="14">
        <f t="shared" si="51"/>
        <v>4145</v>
      </c>
      <c r="AF48" s="14">
        <f t="shared" si="51"/>
        <v>5189</v>
      </c>
      <c r="AG48" s="14">
        <f t="shared" si="51"/>
        <v>2389</v>
      </c>
    </row>
    <row r="49" spans="1:33" ht="5.0999999999999996" customHeight="1"/>
    <row r="50" spans="1:33" ht="12.75" customHeight="1">
      <c r="A50" s="5"/>
      <c r="B50" s="33" t="s">
        <v>38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</row>
    <row r="51" spans="1:33" ht="5.0999999999999996" customHeight="1"/>
    <row r="52" spans="1:33" ht="12.75" customHeight="1">
      <c r="B52" s="8" t="s">
        <v>39</v>
      </c>
      <c r="C52" s="88">
        <f>'Historical Financials'!C43</f>
        <v>16289</v>
      </c>
      <c r="D52" s="88">
        <f>'Historical Financials'!D43</f>
        <v>16487</v>
      </c>
      <c r="E52" s="88">
        <f>'Historical Financials'!E43</f>
        <v>15689</v>
      </c>
      <c r="F52" s="88">
        <f>'Historical Financials'!F43</f>
        <v>16286</v>
      </c>
      <c r="G52" s="88">
        <f>'Historical Financials'!G43</f>
        <v>11975</v>
      </c>
      <c r="H52" s="88">
        <f>'Historical Financials'!H43</f>
        <v>17164</v>
      </c>
      <c r="I52" s="32"/>
      <c r="J52" s="88">
        <f>'Historical Financials'!J43</f>
        <v>13334</v>
      </c>
      <c r="K52" s="88">
        <f>'Historical Financials'!K43</f>
        <v>13842</v>
      </c>
      <c r="L52" s="88">
        <f>'Historical Financials'!L43</f>
        <v>15590</v>
      </c>
      <c r="M52" s="88">
        <f>'Historical Financials'!M43</f>
        <v>16286</v>
      </c>
      <c r="N52" s="88">
        <f>'Historical Financials'!N43</f>
        <v>13591</v>
      </c>
      <c r="O52" s="88">
        <f>'Historical Financials'!O43</f>
        <v>12993</v>
      </c>
      <c r="P52" s="88">
        <f>'Historical Financials'!P43</f>
        <v>12947</v>
      </c>
      <c r="Q52" s="88">
        <f>'Historical Financials'!Q43</f>
        <v>11975</v>
      </c>
      <c r="R52" s="88">
        <f>'Historical Financials'!R43</f>
        <v>12367</v>
      </c>
      <c r="S52" s="88">
        <f>'Historical Financials'!S43</f>
        <v>11734</v>
      </c>
      <c r="T52" s="88">
        <f>'Historical Financials'!T43</f>
        <v>17092</v>
      </c>
      <c r="U52" s="88">
        <f>'Historical Financials'!U43</f>
        <v>17164</v>
      </c>
      <c r="V52" s="88">
        <f>'Historical Financials'!V43</f>
        <v>14756</v>
      </c>
      <c r="X52" s="10">
        <f>M52</f>
        <v>16286</v>
      </c>
      <c r="Y52" s="10">
        <f>N52</f>
        <v>13591</v>
      </c>
      <c r="Z52" s="10">
        <f>O52</f>
        <v>12993</v>
      </c>
      <c r="AA52" s="10">
        <f>P52</f>
        <v>12947</v>
      </c>
      <c r="AB52" s="10">
        <f>Q52</f>
        <v>11975</v>
      </c>
      <c r="AC52" s="10">
        <f>R52</f>
        <v>12367</v>
      </c>
      <c r="AD52" s="10">
        <f>S52</f>
        <v>11734</v>
      </c>
      <c r="AE52" s="10">
        <f>T52</f>
        <v>17092</v>
      </c>
      <c r="AF52" s="10">
        <f>U52</f>
        <v>17164</v>
      </c>
      <c r="AG52" s="10">
        <f>V52</f>
        <v>14756</v>
      </c>
    </row>
    <row r="53" spans="1:33" ht="12.75" customHeight="1">
      <c r="B53" s="8" t="s">
        <v>133</v>
      </c>
      <c r="C53" s="88">
        <f>'Historical Financials'!C44</f>
        <v>901</v>
      </c>
      <c r="D53" s="88">
        <f>'Historical Financials'!D44</f>
        <v>894</v>
      </c>
      <c r="E53" s="88">
        <f>'Historical Financials'!E44</f>
        <v>1449</v>
      </c>
      <c r="F53" s="88">
        <f>'Historical Financials'!F44</f>
        <v>1764</v>
      </c>
      <c r="G53" s="88">
        <f>'Historical Financials'!G44</f>
        <v>3089</v>
      </c>
      <c r="H53" s="88">
        <f>'Historical Financials'!H44</f>
        <v>2990</v>
      </c>
      <c r="I53" s="32"/>
      <c r="J53" s="88">
        <f>'Historical Financials'!J44</f>
        <v>1705</v>
      </c>
      <c r="K53" s="88">
        <f>'Historical Financials'!K44</f>
        <v>1616</v>
      </c>
      <c r="L53" s="88">
        <f>'Historical Financials'!L44</f>
        <v>1627</v>
      </c>
      <c r="M53" s="88">
        <f>'Historical Financials'!M44</f>
        <v>1764</v>
      </c>
      <c r="N53" s="88">
        <f>'Historical Financials'!N44</f>
        <v>1616</v>
      </c>
      <c r="O53" s="88">
        <f>'Historical Financials'!O44</f>
        <v>1584</v>
      </c>
      <c r="P53" s="88">
        <f>'Historical Financials'!P44</f>
        <v>1596</v>
      </c>
      <c r="Q53" s="88">
        <f>'Historical Financials'!Q44</f>
        <v>3089</v>
      </c>
      <c r="R53" s="88">
        <f>'Historical Financials'!R44</f>
        <v>3112</v>
      </c>
      <c r="S53" s="88">
        <f>'Historical Financials'!S44</f>
        <v>2926</v>
      </c>
      <c r="T53" s="88">
        <f>'Historical Financials'!T44</f>
        <v>2696</v>
      </c>
      <c r="U53" s="88">
        <f>'Historical Financials'!U44</f>
        <v>2990</v>
      </c>
      <c r="V53" s="88">
        <f>'Historical Financials'!V44</f>
        <v>3300</v>
      </c>
      <c r="X53" s="10">
        <f>M53</f>
        <v>1764</v>
      </c>
      <c r="Y53" s="10">
        <f>N53</f>
        <v>1616</v>
      </c>
      <c r="Z53" s="10">
        <f>O53</f>
        <v>1584</v>
      </c>
      <c r="AA53" s="10">
        <f>P53</f>
        <v>1596</v>
      </c>
      <c r="AB53" s="10">
        <f>Q53</f>
        <v>3089</v>
      </c>
      <c r="AC53" s="10">
        <f>R53</f>
        <v>3112</v>
      </c>
      <c r="AD53" s="10">
        <f>S53</f>
        <v>2926</v>
      </c>
      <c r="AE53" s="10">
        <f>T53</f>
        <v>2696</v>
      </c>
      <c r="AF53" s="10">
        <f>U53</f>
        <v>2990</v>
      </c>
      <c r="AG53" s="10">
        <f>V53</f>
        <v>3300</v>
      </c>
    </row>
    <row r="54" spans="1:33" ht="12.75" customHeight="1">
      <c r="B54" s="8" t="s">
        <v>134</v>
      </c>
      <c r="C54" s="88">
        <f>'Historical Financials'!C45</f>
        <v>3752</v>
      </c>
      <c r="D54" s="88">
        <f>'Historical Financials'!D45</f>
        <v>2025</v>
      </c>
      <c r="E54" s="88">
        <f>'Historical Financials'!E45</f>
        <v>2833</v>
      </c>
      <c r="F54" s="88">
        <f>'Historical Financials'!F45</f>
        <v>3842</v>
      </c>
      <c r="G54" s="88">
        <f>'Historical Financials'!G45</f>
        <v>3200</v>
      </c>
      <c r="H54" s="88">
        <f>'Historical Financials'!H45</f>
        <v>1833</v>
      </c>
      <c r="I54" s="32"/>
      <c r="J54" s="88">
        <f>'Historical Financials'!J45</f>
        <v>2785</v>
      </c>
      <c r="K54" s="88">
        <f>'Historical Financials'!K45</f>
        <v>2752</v>
      </c>
      <c r="L54" s="88">
        <f>'Historical Financials'!L45</f>
        <v>3166</v>
      </c>
      <c r="M54" s="88">
        <f>'Historical Financials'!M45</f>
        <v>3842</v>
      </c>
      <c r="N54" s="88">
        <f>'Historical Financials'!N45</f>
        <v>5005</v>
      </c>
      <c r="O54" s="88">
        <f>'Historical Financials'!O45</f>
        <v>4710</v>
      </c>
      <c r="P54" s="88">
        <f>'Historical Financials'!P45</f>
        <v>3697</v>
      </c>
      <c r="Q54" s="88">
        <f>'Historical Financials'!Q45</f>
        <v>3200</v>
      </c>
      <c r="R54" s="88">
        <f>'Historical Financials'!R45</f>
        <v>1967</v>
      </c>
      <c r="S54" s="88">
        <f>'Historical Financials'!S45</f>
        <v>2017</v>
      </c>
      <c r="T54" s="88">
        <f>'Historical Financials'!T45</f>
        <v>2088</v>
      </c>
      <c r="U54" s="88">
        <f>'Historical Financials'!U45</f>
        <v>1833</v>
      </c>
      <c r="V54" s="88">
        <f>'Historical Financials'!V45</f>
        <v>1641</v>
      </c>
      <c r="X54" s="10">
        <f>M54</f>
        <v>3842</v>
      </c>
      <c r="Y54" s="10">
        <f>N54</f>
        <v>5005</v>
      </c>
      <c r="Z54" s="10">
        <f>O54</f>
        <v>4710</v>
      </c>
      <c r="AA54" s="10">
        <f>P54</f>
        <v>3697</v>
      </c>
      <c r="AB54" s="10">
        <f>Q54</f>
        <v>3200</v>
      </c>
      <c r="AC54" s="10">
        <f>R54</f>
        <v>1967</v>
      </c>
      <c r="AD54" s="10">
        <f>S54</f>
        <v>2017</v>
      </c>
      <c r="AE54" s="10">
        <f>T54</f>
        <v>2088</v>
      </c>
      <c r="AF54" s="10">
        <f>U54</f>
        <v>1833</v>
      </c>
      <c r="AG54" s="10">
        <f>V54</f>
        <v>1641</v>
      </c>
    </row>
    <row r="55" spans="1:33" ht="12.75" customHeight="1">
      <c r="B55" s="31" t="s">
        <v>196</v>
      </c>
      <c r="C55" s="80">
        <v>7000</v>
      </c>
      <c r="D55" s="80">
        <v>7000</v>
      </c>
      <c r="E55" s="80">
        <v>7000</v>
      </c>
      <c r="F55" s="80">
        <v>7000</v>
      </c>
      <c r="G55" s="80">
        <v>7000</v>
      </c>
      <c r="H55" s="80">
        <v>7000</v>
      </c>
      <c r="I55" s="88"/>
      <c r="J55" s="80">
        <v>7000</v>
      </c>
      <c r="K55" s="80">
        <v>7000</v>
      </c>
      <c r="L55" s="80">
        <v>7000</v>
      </c>
      <c r="M55" s="10">
        <f>G55</f>
        <v>7000</v>
      </c>
      <c r="N55" s="80">
        <v>7000</v>
      </c>
      <c r="O55" s="80">
        <v>7000</v>
      </c>
      <c r="P55" s="80">
        <v>7000</v>
      </c>
      <c r="Q55" s="10">
        <f>H55</f>
        <v>7000</v>
      </c>
      <c r="R55" s="80">
        <v>7000</v>
      </c>
      <c r="S55" s="80">
        <v>7000</v>
      </c>
      <c r="T55" s="80">
        <v>7000</v>
      </c>
      <c r="U55" s="10">
        <f>H55</f>
        <v>7000</v>
      </c>
      <c r="V55" s="80">
        <v>7000</v>
      </c>
      <c r="X55" s="10">
        <f>M55</f>
        <v>7000</v>
      </c>
      <c r="Y55" s="10">
        <f>N55</f>
        <v>7000</v>
      </c>
      <c r="Z55" s="10">
        <f>O55</f>
        <v>7000</v>
      </c>
      <c r="AA55" s="10">
        <f>P55</f>
        <v>7000</v>
      </c>
      <c r="AB55" s="10">
        <f>Q55</f>
        <v>7000</v>
      </c>
      <c r="AC55" s="10">
        <f>R55</f>
        <v>7000</v>
      </c>
      <c r="AD55" s="10">
        <f>S55</f>
        <v>7000</v>
      </c>
      <c r="AE55" s="10">
        <f>T55</f>
        <v>7000</v>
      </c>
      <c r="AF55" s="10">
        <f>U55</f>
        <v>7000</v>
      </c>
      <c r="AG55" s="10">
        <f>V55</f>
        <v>7000</v>
      </c>
    </row>
    <row r="56" spans="1:33" ht="12.75" customHeight="1">
      <c r="B56" s="13" t="s">
        <v>40</v>
      </c>
      <c r="C56" s="14">
        <f t="shared" ref="C56:H56" si="52">SUM(C52:C55)</f>
        <v>27942</v>
      </c>
      <c r="D56" s="14">
        <f t="shared" si="52"/>
        <v>26406</v>
      </c>
      <c r="E56" s="14">
        <f t="shared" si="52"/>
        <v>26971</v>
      </c>
      <c r="F56" s="14">
        <f t="shared" si="52"/>
        <v>28892</v>
      </c>
      <c r="G56" s="14">
        <f t="shared" si="52"/>
        <v>25264</v>
      </c>
      <c r="H56" s="14">
        <f t="shared" si="52"/>
        <v>28987</v>
      </c>
      <c r="I56" s="32"/>
      <c r="J56" s="14">
        <f t="shared" ref="J56:T56" si="53">SUM(J52:J55)</f>
        <v>24824</v>
      </c>
      <c r="K56" s="14">
        <f t="shared" si="53"/>
        <v>25210</v>
      </c>
      <c r="L56" s="14">
        <f t="shared" si="53"/>
        <v>27383</v>
      </c>
      <c r="M56" s="14">
        <f t="shared" si="53"/>
        <v>28892</v>
      </c>
      <c r="N56" s="14">
        <f t="shared" si="53"/>
        <v>27212</v>
      </c>
      <c r="O56" s="14">
        <f t="shared" si="53"/>
        <v>26287</v>
      </c>
      <c r="P56" s="14">
        <f t="shared" si="53"/>
        <v>25240</v>
      </c>
      <c r="Q56" s="14">
        <f t="shared" si="53"/>
        <v>25264</v>
      </c>
      <c r="R56" s="14">
        <f t="shared" si="53"/>
        <v>24446</v>
      </c>
      <c r="S56" s="14">
        <f t="shared" si="53"/>
        <v>23677</v>
      </c>
      <c r="T56" s="14">
        <f t="shared" si="53"/>
        <v>28876</v>
      </c>
      <c r="U56" s="14">
        <f t="shared" ref="U56:V56" si="54">SUM(U52:U55)</f>
        <v>28987</v>
      </c>
      <c r="V56" s="14">
        <f t="shared" si="54"/>
        <v>26697</v>
      </c>
      <c r="X56" s="14">
        <f t="shared" ref="X56" si="55">SUM(X52:X52)</f>
        <v>16286</v>
      </c>
      <c r="Y56" s="14">
        <f t="shared" ref="Y56:AA56" si="56">SUM(Y52:Y52)</f>
        <v>13591</v>
      </c>
      <c r="Z56" s="14">
        <f t="shared" si="56"/>
        <v>12993</v>
      </c>
      <c r="AA56" s="14">
        <f t="shared" si="56"/>
        <v>12947</v>
      </c>
      <c r="AB56" s="14">
        <f>SUM(AB52:AB55)</f>
        <v>25264</v>
      </c>
      <c r="AC56" s="14">
        <f>SUM(AC52:AC55)</f>
        <v>24446</v>
      </c>
      <c r="AD56" s="14">
        <f>SUM(AD52:AD55)</f>
        <v>23677</v>
      </c>
      <c r="AE56" s="14">
        <f>SUM(AE52:AE55)</f>
        <v>28876</v>
      </c>
      <c r="AF56" s="14">
        <f>SUM(AF52:AF55)</f>
        <v>28987</v>
      </c>
      <c r="AG56" s="14">
        <f>SUM(AG52:AG55)</f>
        <v>26697</v>
      </c>
    </row>
    <row r="57" spans="1:33" ht="12.75" hidden="1" customHeight="1" outlineLevel="1">
      <c r="B57" s="136" t="s">
        <v>104</v>
      </c>
      <c r="C57" s="135">
        <f>75-C72</f>
        <v>-23995</v>
      </c>
      <c r="D57" s="135">
        <f>75-D72</f>
        <v>-20902</v>
      </c>
      <c r="E57" s="135">
        <f>75-E72</f>
        <v>-22375</v>
      </c>
      <c r="F57" s="137"/>
      <c r="G57" s="137"/>
      <c r="H57" s="137"/>
      <c r="I57" s="32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</row>
    <row r="58" spans="1:33" ht="12.75" hidden="1" customHeight="1" outlineLevel="1">
      <c r="B58" s="136" t="s">
        <v>105</v>
      </c>
      <c r="C58" s="135">
        <v>50</v>
      </c>
      <c r="D58" s="135">
        <v>50</v>
      </c>
      <c r="E58" s="135">
        <v>50</v>
      </c>
      <c r="F58" s="137"/>
      <c r="G58" s="137"/>
      <c r="H58" s="137"/>
      <c r="I58" s="32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</row>
    <row r="59" spans="1:33" ht="5.0999999999999996" customHeight="1" collapsed="1"/>
    <row r="60" spans="1:33" ht="12.75" customHeight="1">
      <c r="B60" s="34" t="s">
        <v>41</v>
      </c>
    </row>
    <row r="61" spans="1:33" ht="12.75" customHeight="1">
      <c r="B61" s="8" t="s">
        <v>106</v>
      </c>
      <c r="C61" s="88">
        <f>'Historical Financials'!C47</f>
        <v>1618</v>
      </c>
      <c r="D61" s="88">
        <f>'Historical Financials'!D47</f>
        <v>1968</v>
      </c>
      <c r="E61" s="88">
        <f>'Historical Financials'!E47</f>
        <v>2020</v>
      </c>
      <c r="F61" s="88">
        <f>'Historical Financials'!F47</f>
        <v>2291</v>
      </c>
      <c r="G61" s="88">
        <f>'Historical Financials'!G47</f>
        <v>2561</v>
      </c>
      <c r="H61" s="88">
        <f>'Historical Financials'!H47</f>
        <v>3126</v>
      </c>
      <c r="J61" s="88">
        <f>'Historical Financials'!J47</f>
        <v>2113</v>
      </c>
      <c r="K61" s="88">
        <f>'Historical Financials'!K47</f>
        <v>2122</v>
      </c>
      <c r="L61" s="88">
        <f>'Historical Financials'!L47</f>
        <v>2282</v>
      </c>
      <c r="M61" s="88">
        <f>'Historical Financials'!M47</f>
        <v>2291</v>
      </c>
      <c r="N61" s="88">
        <f>'Historical Financials'!N47</f>
        <v>2506</v>
      </c>
      <c r="O61" s="88">
        <f>'Historical Financials'!O47</f>
        <v>2272</v>
      </c>
      <c r="P61" s="88">
        <f>'Historical Financials'!P47</f>
        <v>2521</v>
      </c>
      <c r="Q61" s="88">
        <f>'Historical Financials'!Q47</f>
        <v>2561</v>
      </c>
      <c r="R61" s="88">
        <f>'Historical Financials'!R47</f>
        <v>2590</v>
      </c>
      <c r="S61" s="88">
        <f>'Historical Financials'!S47</f>
        <v>2719</v>
      </c>
      <c r="T61" s="88">
        <f>'Historical Financials'!T47</f>
        <v>2920</v>
      </c>
      <c r="U61" s="88">
        <f>'Historical Financials'!U47</f>
        <v>3126</v>
      </c>
      <c r="V61" s="88">
        <f>'Historical Financials'!V47</f>
        <v>3231</v>
      </c>
      <c r="W61" s="10"/>
      <c r="X61" s="10">
        <f>M61</f>
        <v>2291</v>
      </c>
      <c r="Y61" s="10">
        <f>N61</f>
        <v>2506</v>
      </c>
      <c r="Z61" s="10">
        <f>O61</f>
        <v>2272</v>
      </c>
      <c r="AA61" s="10">
        <f>P61</f>
        <v>2521</v>
      </c>
      <c r="AB61" s="10">
        <f>Q61</f>
        <v>2561</v>
      </c>
      <c r="AC61" s="10">
        <f>R61</f>
        <v>2590</v>
      </c>
      <c r="AD61" s="10">
        <f>S61</f>
        <v>2719</v>
      </c>
      <c r="AE61" s="10">
        <f>T61</f>
        <v>2920</v>
      </c>
      <c r="AF61" s="10">
        <f>U61</f>
        <v>3126</v>
      </c>
      <c r="AG61" s="10">
        <f>V61</f>
        <v>3231</v>
      </c>
    </row>
    <row r="62" spans="1:33" ht="12.75" customHeight="1">
      <c r="B62" s="8" t="s">
        <v>137</v>
      </c>
      <c r="C62" s="88">
        <f>'Historical Financials'!C48</f>
        <v>1850</v>
      </c>
      <c r="D62" s="88">
        <f>'Historical Financials'!D48</f>
        <v>2260</v>
      </c>
      <c r="E62" s="88">
        <f>'Historical Financials'!E48</f>
        <v>2342</v>
      </c>
      <c r="F62" s="88">
        <f>'Historical Financials'!F48</f>
        <v>3005</v>
      </c>
      <c r="G62" s="88">
        <f>'Historical Financials'!G48</f>
        <v>3524</v>
      </c>
      <c r="H62" s="88">
        <f>'Historical Financials'!H48</f>
        <v>3625</v>
      </c>
      <c r="I62" s="88"/>
      <c r="J62" s="88">
        <f>'Historical Financials'!J48</f>
        <v>2591</v>
      </c>
      <c r="K62" s="88">
        <f>'Historical Financials'!K48</f>
        <v>2739</v>
      </c>
      <c r="L62" s="88">
        <f>'Historical Financials'!L48</f>
        <v>2907</v>
      </c>
      <c r="M62" s="88">
        <f>'Historical Financials'!M48</f>
        <v>3005</v>
      </c>
      <c r="N62" s="88">
        <f>'Historical Financials'!N48</f>
        <v>3164</v>
      </c>
      <c r="O62" s="88">
        <f>'Historical Financials'!O48</f>
        <v>3367</v>
      </c>
      <c r="P62" s="88">
        <f>'Historical Financials'!P48</f>
        <v>3472</v>
      </c>
      <c r="Q62" s="88">
        <f>'Historical Financials'!Q48</f>
        <v>3524</v>
      </c>
      <c r="R62" s="88">
        <f>'Historical Financials'!R48</f>
        <v>3518</v>
      </c>
      <c r="S62" s="88">
        <f>'Historical Financials'!S48</f>
        <v>3543</v>
      </c>
      <c r="T62" s="88">
        <f>'Historical Financials'!T48</f>
        <v>3614</v>
      </c>
      <c r="U62" s="88">
        <f>'Historical Financials'!U48</f>
        <v>3625</v>
      </c>
      <c r="V62" s="88">
        <f>'Historical Financials'!V48</f>
        <v>3712</v>
      </c>
      <c r="X62" s="10">
        <f>M62</f>
        <v>3005</v>
      </c>
      <c r="Y62" s="10">
        <f>N62</f>
        <v>3164</v>
      </c>
      <c r="Z62" s="10">
        <f>O62</f>
        <v>3367</v>
      </c>
      <c r="AA62" s="10">
        <f>P62</f>
        <v>3472</v>
      </c>
      <c r="AB62" s="10">
        <f>Q62</f>
        <v>3524</v>
      </c>
      <c r="AC62" s="10">
        <f>R62</f>
        <v>3518</v>
      </c>
      <c r="AD62" s="10">
        <f>S62</f>
        <v>3543</v>
      </c>
      <c r="AE62" s="10">
        <f>T62</f>
        <v>3614</v>
      </c>
      <c r="AF62" s="10">
        <f>U62</f>
        <v>3625</v>
      </c>
      <c r="AG62" s="10">
        <f>V62</f>
        <v>3712</v>
      </c>
    </row>
    <row r="63" spans="1:33" ht="12.75" customHeight="1">
      <c r="B63" s="8" t="s">
        <v>94</v>
      </c>
      <c r="C63" s="88">
        <f>'Historical Financials'!C56</f>
        <v>2737</v>
      </c>
      <c r="D63" s="88">
        <f>'Historical Financials'!D56</f>
        <v>2715</v>
      </c>
      <c r="E63" s="88">
        <f>'Historical Financials'!E56</f>
        <v>3223</v>
      </c>
      <c r="F63" s="88">
        <f>'Historical Financials'!F56</f>
        <v>3425</v>
      </c>
      <c r="G63" s="88">
        <f>'Historical Financials'!G56</f>
        <v>3824</v>
      </c>
      <c r="H63" s="88">
        <f>'Historical Financials'!H56</f>
        <v>4236</v>
      </c>
      <c r="J63" s="88">
        <f>'Historical Financials'!J56</f>
        <v>3236</v>
      </c>
      <c r="K63" s="88">
        <f>'Historical Financials'!K56</f>
        <v>3359</v>
      </c>
      <c r="L63" s="88">
        <f>'Historical Financials'!L56</f>
        <v>3370</v>
      </c>
      <c r="M63" s="88">
        <f>'Historical Financials'!M56</f>
        <v>3425</v>
      </c>
      <c r="N63" s="88">
        <f>'Historical Financials'!N56</f>
        <v>3472</v>
      </c>
      <c r="O63" s="88">
        <f>'Historical Financials'!O56</f>
        <v>3630</v>
      </c>
      <c r="P63" s="88">
        <f>'Historical Financials'!P56</f>
        <v>3766</v>
      </c>
      <c r="Q63" s="88">
        <f>'Historical Financials'!Q56</f>
        <v>3824</v>
      </c>
      <c r="R63" s="88">
        <f>'Historical Financials'!R56</f>
        <v>3974</v>
      </c>
      <c r="S63" s="88">
        <f>'Historical Financials'!S56</f>
        <v>4023</v>
      </c>
      <c r="T63" s="88">
        <f>'Historical Financials'!T56</f>
        <v>4143</v>
      </c>
      <c r="U63" s="88">
        <f>'Historical Financials'!U56</f>
        <v>4236</v>
      </c>
      <c r="V63" s="88">
        <f>'Historical Financials'!V56</f>
        <v>4276</v>
      </c>
      <c r="W63" s="10"/>
      <c r="X63" s="10">
        <f>M63</f>
        <v>3425</v>
      </c>
      <c r="Y63" s="10">
        <f>N63</f>
        <v>3472</v>
      </c>
      <c r="Z63" s="10">
        <f>O63</f>
        <v>3630</v>
      </c>
      <c r="AA63" s="10">
        <f>P63</f>
        <v>3766</v>
      </c>
      <c r="AB63" s="10">
        <f>Q63</f>
        <v>3824</v>
      </c>
      <c r="AC63" s="10">
        <f>R63</f>
        <v>3974</v>
      </c>
      <c r="AD63" s="10">
        <f>S63</f>
        <v>4023</v>
      </c>
      <c r="AE63" s="10">
        <f>T63</f>
        <v>4143</v>
      </c>
      <c r="AF63" s="10">
        <f>U63</f>
        <v>4236</v>
      </c>
      <c r="AG63" s="10">
        <f>V63</f>
        <v>4276</v>
      </c>
    </row>
    <row r="64" spans="1:33" ht="12.75" customHeight="1">
      <c r="B64" s="8" t="s">
        <v>42</v>
      </c>
      <c r="C64" s="88">
        <f>'Historical Financials'!C63</f>
        <v>174</v>
      </c>
      <c r="D64" s="88">
        <f>'Historical Financials'!D63</f>
        <v>266</v>
      </c>
      <c r="E64" s="88">
        <f>'Historical Financials'!E63</f>
        <v>340</v>
      </c>
      <c r="F64" s="88">
        <f>'Historical Financials'!F63</f>
        <v>375</v>
      </c>
      <c r="G64" s="88">
        <f>'Historical Financials'!G63</f>
        <v>479</v>
      </c>
      <c r="H64" s="88">
        <f>'Historical Financials'!H63</f>
        <v>555</v>
      </c>
      <c r="I64" s="88"/>
      <c r="J64" s="88">
        <f>'Historical Financials'!J63</f>
        <v>258</v>
      </c>
      <c r="K64" s="88">
        <f>'Historical Financials'!K63</f>
        <v>280</v>
      </c>
      <c r="L64" s="88">
        <f>'Historical Financials'!L63</f>
        <v>281</v>
      </c>
      <c r="M64" s="88">
        <f>'Historical Financials'!M63</f>
        <v>375</v>
      </c>
      <c r="N64" s="88">
        <f>'Historical Financials'!N63</f>
        <v>348</v>
      </c>
      <c r="O64" s="88">
        <f>'Historical Financials'!O63</f>
        <v>338</v>
      </c>
      <c r="P64" s="88">
        <f>'Historical Financials'!P63</f>
        <v>331</v>
      </c>
      <c r="Q64" s="88">
        <f>'Historical Financials'!Q63</f>
        <v>479</v>
      </c>
      <c r="R64" s="88">
        <f>'Historical Financials'!R63</f>
        <v>405</v>
      </c>
      <c r="S64" s="88">
        <f>'Historical Financials'!S63</f>
        <v>421</v>
      </c>
      <c r="T64" s="88">
        <f>'Historical Financials'!T63</f>
        <v>462</v>
      </c>
      <c r="U64" s="88">
        <f>'Historical Financials'!U63</f>
        <v>555</v>
      </c>
      <c r="V64" s="88">
        <f>'Historical Financials'!V63</f>
        <v>433</v>
      </c>
      <c r="X64" s="10">
        <f>M64</f>
        <v>375</v>
      </c>
      <c r="Y64" s="10">
        <f>N64</f>
        <v>348</v>
      </c>
      <c r="Z64" s="10">
        <f>O64</f>
        <v>338</v>
      </c>
      <c r="AA64" s="10">
        <f>P64</f>
        <v>331</v>
      </c>
      <c r="AB64" s="10">
        <f>Q64</f>
        <v>479</v>
      </c>
      <c r="AC64" s="10">
        <f>R64</f>
        <v>405</v>
      </c>
      <c r="AD64" s="10">
        <f>S64</f>
        <v>421</v>
      </c>
      <c r="AE64" s="10">
        <f>T64</f>
        <v>462</v>
      </c>
      <c r="AF64" s="10">
        <f>U64</f>
        <v>555</v>
      </c>
      <c r="AG64" s="10">
        <f>V64</f>
        <v>433</v>
      </c>
    </row>
    <row r="65" spans="1:33" ht="12.75" customHeight="1">
      <c r="B65" s="8" t="s">
        <v>43</v>
      </c>
      <c r="C65" s="88">
        <f>'Historical Financials'!C71</f>
        <v>14510</v>
      </c>
      <c r="D65" s="88">
        <f>'Historical Financials'!D71</f>
        <v>15739</v>
      </c>
      <c r="E65" s="88">
        <f>'Historical Financials'!E71</f>
        <v>20853</v>
      </c>
      <c r="F65" s="88">
        <f>'Historical Financials'!F71</f>
        <v>23098</v>
      </c>
      <c r="G65" s="88">
        <f>'Historical Financials'!G71</f>
        <v>26517</v>
      </c>
      <c r="H65" s="88">
        <f>'Historical Financials'!H71</f>
        <v>35048</v>
      </c>
      <c r="I65" s="88"/>
      <c r="J65" s="88">
        <f>'Historical Financials'!J71</f>
        <v>19353</v>
      </c>
      <c r="K65" s="88">
        <f>'Historical Financials'!K71</f>
        <v>19097</v>
      </c>
      <c r="L65" s="88">
        <f>'Historical Financials'!L71</f>
        <v>21230</v>
      </c>
      <c r="M65" s="88">
        <f>'Historical Financials'!M71</f>
        <v>23098</v>
      </c>
      <c r="N65" s="88">
        <f>'Historical Financials'!N71</f>
        <v>22634</v>
      </c>
      <c r="O65" s="88">
        <f>'Historical Financials'!O71</f>
        <v>23443</v>
      </c>
      <c r="P65" s="88">
        <f>'Historical Financials'!P71</f>
        <v>22612</v>
      </c>
      <c r="Q65" s="88">
        <f>'Historical Financials'!Q71</f>
        <v>26517</v>
      </c>
      <c r="R65" s="88">
        <f>'Historical Financials'!R71</f>
        <v>29091</v>
      </c>
      <c r="S65" s="88">
        <f>'Historical Financials'!S71</f>
        <v>30381</v>
      </c>
      <c r="T65" s="88">
        <f>'Historical Financials'!T71</f>
        <v>34427</v>
      </c>
      <c r="U65" s="88">
        <f>'Historical Financials'!U71</f>
        <v>35048</v>
      </c>
      <c r="V65" s="88">
        <f>'Historical Financials'!V71</f>
        <v>31491</v>
      </c>
      <c r="X65" s="10">
        <f>M65</f>
        <v>23098</v>
      </c>
      <c r="Y65" s="10">
        <f>N65</f>
        <v>22634</v>
      </c>
      <c r="Z65" s="10">
        <f>O65</f>
        <v>23443</v>
      </c>
      <c r="AA65" s="10">
        <f>P65</f>
        <v>22612</v>
      </c>
      <c r="AB65" s="10">
        <f>Q65</f>
        <v>26517</v>
      </c>
      <c r="AC65" s="10">
        <f>R65</f>
        <v>29091</v>
      </c>
      <c r="AD65" s="10">
        <f>S65</f>
        <v>30381</v>
      </c>
      <c r="AE65" s="10">
        <f>T65</f>
        <v>34427</v>
      </c>
      <c r="AF65" s="10">
        <f>U65</f>
        <v>35048</v>
      </c>
      <c r="AG65" s="10">
        <f>V65</f>
        <v>31491</v>
      </c>
    </row>
    <row r="66" spans="1:33" ht="12.75" customHeight="1">
      <c r="B66" s="8" t="s">
        <v>15</v>
      </c>
      <c r="C66" s="88">
        <f>'Historical Financials'!C77</f>
        <v>44709</v>
      </c>
      <c r="D66" s="88">
        <f>'Historical Financials'!D77</f>
        <v>45307</v>
      </c>
      <c r="E66" s="88">
        <f>'Historical Financials'!E77</f>
        <v>49920</v>
      </c>
      <c r="F66" s="88">
        <f>'Historical Financials'!F77</f>
        <v>51766</v>
      </c>
      <c r="G66" s="88">
        <f>'Historical Financials'!G77</f>
        <v>55374</v>
      </c>
      <c r="H66" s="88">
        <f>'Historical Financials'!H77</f>
        <v>61718</v>
      </c>
      <c r="I66" s="88"/>
      <c r="J66" s="88">
        <f>'Historical Financials'!J77</f>
        <v>48463</v>
      </c>
      <c r="K66" s="88">
        <f>'Historical Financials'!K77</f>
        <v>48190</v>
      </c>
      <c r="L66" s="88">
        <f>'Historical Financials'!L77</f>
        <v>50253</v>
      </c>
      <c r="M66" s="88">
        <f>'Historical Financials'!M77</f>
        <v>51766</v>
      </c>
      <c r="N66" s="88">
        <f>'Historical Financials'!N77</f>
        <v>51676</v>
      </c>
      <c r="O66" s="88">
        <f>'Historical Financials'!O77</f>
        <v>51914</v>
      </c>
      <c r="P66" s="88">
        <f>'Historical Financials'!P77</f>
        <v>51311</v>
      </c>
      <c r="Q66" s="88">
        <f>'Historical Financials'!Q77</f>
        <v>55374</v>
      </c>
      <c r="R66" s="88">
        <f>'Historical Financials'!R77</f>
        <v>53592</v>
      </c>
      <c r="S66" s="88">
        <f>'Historical Financials'!S77</f>
        <v>54823</v>
      </c>
      <c r="T66" s="88">
        <f>'Historical Financials'!T77</f>
        <v>61360</v>
      </c>
      <c r="U66" s="88">
        <f>'Historical Financials'!U77</f>
        <v>61718</v>
      </c>
      <c r="V66" s="88">
        <f>'Historical Financials'!V77</f>
        <v>58037</v>
      </c>
      <c r="X66" s="10">
        <f>M66</f>
        <v>51766</v>
      </c>
      <c r="Y66" s="10">
        <f>N66</f>
        <v>51676</v>
      </c>
      <c r="Z66" s="10">
        <f>O66</f>
        <v>51914</v>
      </c>
      <c r="AA66" s="10">
        <f>P66</f>
        <v>51311</v>
      </c>
      <c r="AB66" s="10">
        <f>Q66</f>
        <v>55374</v>
      </c>
      <c r="AC66" s="10">
        <f>R66</f>
        <v>53592</v>
      </c>
      <c r="AD66" s="10">
        <f>S66</f>
        <v>54823</v>
      </c>
      <c r="AE66" s="10">
        <f>T66</f>
        <v>61360</v>
      </c>
      <c r="AF66" s="10">
        <f>U66</f>
        <v>61718</v>
      </c>
      <c r="AG66" s="10">
        <f>V66</f>
        <v>58037</v>
      </c>
    </row>
    <row r="67" spans="1:33" ht="5.0999999999999996" customHeight="1">
      <c r="H67" s="10"/>
    </row>
    <row r="68" spans="1:33">
      <c r="B68" s="34" t="s">
        <v>91</v>
      </c>
      <c r="H68" s="10"/>
    </row>
    <row r="69" spans="1:33">
      <c r="B69" s="8" t="s">
        <v>92</v>
      </c>
      <c r="C69" s="88">
        <f>'Historical Financials'!C69</f>
        <v>2999</v>
      </c>
      <c r="D69" s="88">
        <f>'Historical Financials'!D69</f>
        <v>999</v>
      </c>
      <c r="E69" s="88">
        <f>'Historical Financials'!E69</f>
        <v>2250</v>
      </c>
      <c r="F69" s="88">
        <f>'Historical Financials'!F69</f>
        <v>0</v>
      </c>
      <c r="G69" s="88">
        <f>'Historical Financials'!G69</f>
        <v>0</v>
      </c>
      <c r="H69" s="88">
        <f>'Historical Financials'!H69</f>
        <v>5569</v>
      </c>
      <c r="J69" s="88">
        <f>'Historical Financials'!J69</f>
        <v>0</v>
      </c>
      <c r="K69" s="88">
        <f>'Historical Financials'!K69</f>
        <v>0</v>
      </c>
      <c r="L69" s="88">
        <f>'Historical Financials'!L69</f>
        <v>0</v>
      </c>
      <c r="M69" s="88">
        <f>'Historical Financials'!M69</f>
        <v>0</v>
      </c>
      <c r="N69" s="88">
        <f>'Historical Financials'!N69</f>
        <v>0</v>
      </c>
      <c r="O69" s="88">
        <f>'Historical Financials'!O69</f>
        <v>0</v>
      </c>
      <c r="P69" s="88">
        <f>'Historical Financials'!P69</f>
        <v>0</v>
      </c>
      <c r="Q69" s="88">
        <f>'Historical Financials'!Q69</f>
        <v>0</v>
      </c>
      <c r="R69" s="88">
        <f>'Historical Financials'!R69</f>
        <v>3929</v>
      </c>
      <c r="S69" s="88">
        <f>'Historical Financials'!S69</f>
        <v>3948</v>
      </c>
      <c r="T69" s="88">
        <f>'Historical Financials'!T69</f>
        <v>5548</v>
      </c>
      <c r="U69" s="88">
        <f>'Historical Financials'!U69</f>
        <v>5569</v>
      </c>
      <c r="V69" s="88">
        <f>'Historical Financials'!V69</f>
        <v>1589</v>
      </c>
      <c r="X69" s="10">
        <f>M69</f>
        <v>0</v>
      </c>
      <c r="Y69" s="10">
        <f>N69</f>
        <v>0</v>
      </c>
      <c r="Z69" s="10">
        <f>O69</f>
        <v>0</v>
      </c>
      <c r="AA69" s="10">
        <f>P69</f>
        <v>0</v>
      </c>
      <c r="AB69" s="10">
        <f>Q69</f>
        <v>0</v>
      </c>
      <c r="AC69" s="10">
        <f>R69</f>
        <v>3929</v>
      </c>
      <c r="AD69" s="10">
        <f>S69</f>
        <v>3948</v>
      </c>
      <c r="AE69" s="10">
        <f>T69</f>
        <v>5548</v>
      </c>
      <c r="AF69" s="10">
        <f>U69</f>
        <v>5569</v>
      </c>
      <c r="AG69" s="10">
        <f>V69</f>
        <v>1589</v>
      </c>
    </row>
    <row r="70" spans="1:33">
      <c r="B70" s="8" t="s">
        <v>93</v>
      </c>
      <c r="C70" s="88">
        <f>'Historical Financials'!C74</f>
        <v>21071</v>
      </c>
      <c r="D70" s="88">
        <f>'Historical Financials'!D74</f>
        <v>19978</v>
      </c>
      <c r="E70" s="88">
        <f>'Historical Financials'!E74</f>
        <v>20200</v>
      </c>
      <c r="F70" s="88">
        <f>'Historical Financials'!F74</f>
        <v>20463</v>
      </c>
      <c r="G70" s="88">
        <f>'Historical Financials'!G74</f>
        <v>20836</v>
      </c>
      <c r="H70" s="88">
        <f>'Historical Financials'!H74</f>
        <v>19602</v>
      </c>
      <c r="J70" s="88">
        <f>'Historical Financials'!J74</f>
        <v>20487</v>
      </c>
      <c r="K70" s="88">
        <f>'Historical Financials'!K74</f>
        <v>20606</v>
      </c>
      <c r="L70" s="88">
        <f>'Historical Financials'!L74</f>
        <v>20560</v>
      </c>
      <c r="M70" s="88">
        <f>'Historical Financials'!M74</f>
        <v>20463</v>
      </c>
      <c r="N70" s="88">
        <f>'Historical Financials'!N74</f>
        <v>20703</v>
      </c>
      <c r="O70" s="88">
        <f>'Historical Financials'!O74</f>
        <v>20603</v>
      </c>
      <c r="P70" s="88">
        <f>'Historical Financials'!P74</f>
        <v>20602</v>
      </c>
      <c r="Q70" s="88">
        <f>'Historical Financials'!Q74</f>
        <v>20836</v>
      </c>
      <c r="R70" s="88">
        <f>'Historical Financials'!R74</f>
        <v>16680</v>
      </c>
      <c r="S70" s="88">
        <f>'Historical Financials'!S74</f>
        <v>16814</v>
      </c>
      <c r="T70" s="88">
        <f>'Historical Financials'!T74</f>
        <v>19590</v>
      </c>
      <c r="U70" s="88">
        <f>'Historical Financials'!U74</f>
        <v>19602</v>
      </c>
      <c r="V70" s="88">
        <f>'Historical Financials'!V74</f>
        <v>19588</v>
      </c>
      <c r="X70" s="10">
        <f>M70</f>
        <v>20463</v>
      </c>
      <c r="Y70" s="10">
        <f>N70</f>
        <v>20703</v>
      </c>
      <c r="Z70" s="10">
        <f>O70</f>
        <v>20603</v>
      </c>
      <c r="AA70" s="10">
        <f>P70</f>
        <v>20602</v>
      </c>
      <c r="AB70" s="10">
        <f>Q70</f>
        <v>20836</v>
      </c>
      <c r="AC70" s="10">
        <f>R70</f>
        <v>16680</v>
      </c>
      <c r="AD70" s="10">
        <f>S70</f>
        <v>16814</v>
      </c>
      <c r="AE70" s="10">
        <f>T70</f>
        <v>19590</v>
      </c>
      <c r="AF70" s="10">
        <f>U70</f>
        <v>19602</v>
      </c>
      <c r="AG70" s="10">
        <f>V70</f>
        <v>19588</v>
      </c>
    </row>
    <row r="71" spans="1:33">
      <c r="H71" s="10"/>
    </row>
    <row r="72" spans="1:33">
      <c r="B72" s="8" t="s">
        <v>192</v>
      </c>
      <c r="C72" s="153">
        <f>SUM(C69:C70)</f>
        <v>24070</v>
      </c>
      <c r="D72" s="153">
        <f t="shared" ref="D72:U72" si="57">SUM(D69:D70)</f>
        <v>20977</v>
      </c>
      <c r="E72" s="153">
        <f t="shared" si="57"/>
        <v>22450</v>
      </c>
      <c r="F72" s="153">
        <f t="shared" si="57"/>
        <v>20463</v>
      </c>
      <c r="G72" s="153">
        <f t="shared" si="57"/>
        <v>20836</v>
      </c>
      <c r="H72" s="153">
        <f t="shared" si="57"/>
        <v>25171</v>
      </c>
      <c r="J72" s="153">
        <f t="shared" si="57"/>
        <v>20487</v>
      </c>
      <c r="K72" s="153">
        <f t="shared" si="57"/>
        <v>20606</v>
      </c>
      <c r="L72" s="153">
        <f t="shared" si="57"/>
        <v>20560</v>
      </c>
      <c r="M72" s="153">
        <f t="shared" si="57"/>
        <v>20463</v>
      </c>
      <c r="N72" s="153">
        <f t="shared" si="57"/>
        <v>20703</v>
      </c>
      <c r="O72" s="153">
        <f t="shared" si="57"/>
        <v>20603</v>
      </c>
      <c r="P72" s="153">
        <f t="shared" si="57"/>
        <v>20602</v>
      </c>
      <c r="Q72" s="153">
        <f t="shared" si="57"/>
        <v>20836</v>
      </c>
      <c r="R72" s="153">
        <f t="shared" si="57"/>
        <v>20609</v>
      </c>
      <c r="S72" s="153">
        <f t="shared" si="57"/>
        <v>20762</v>
      </c>
      <c r="T72" s="153">
        <f t="shared" si="57"/>
        <v>25138</v>
      </c>
      <c r="U72" s="153">
        <f t="shared" si="57"/>
        <v>25171</v>
      </c>
      <c r="V72" s="153">
        <f t="shared" ref="V72" si="58">SUM(V69:V70)</f>
        <v>21177</v>
      </c>
      <c r="X72" s="10">
        <f>M72</f>
        <v>20463</v>
      </c>
      <c r="Y72" s="10">
        <f>N72</f>
        <v>20703</v>
      </c>
      <c r="Z72" s="10">
        <f>O72</f>
        <v>20603</v>
      </c>
      <c r="AA72" s="10">
        <f>P72</f>
        <v>20602</v>
      </c>
      <c r="AB72" s="10">
        <f>Q72</f>
        <v>20836</v>
      </c>
      <c r="AC72" s="10">
        <f>R72</f>
        <v>20609</v>
      </c>
      <c r="AD72" s="10">
        <f>S72</f>
        <v>20762</v>
      </c>
      <c r="AE72" s="10">
        <f>T72</f>
        <v>25138</v>
      </c>
      <c r="AF72" s="10">
        <f>U72</f>
        <v>25171</v>
      </c>
      <c r="AG72" s="10">
        <f>V72</f>
        <v>21177</v>
      </c>
    </row>
    <row r="73" spans="1:33" ht="12.75" customHeight="1">
      <c r="B73" s="13" t="s">
        <v>20</v>
      </c>
      <c r="C73" s="14">
        <f t="shared" ref="C73:H73" si="59">SUM(C72:C72)</f>
        <v>24070</v>
      </c>
      <c r="D73" s="14">
        <f t="shared" si="59"/>
        <v>20977</v>
      </c>
      <c r="E73" s="14">
        <f t="shared" si="59"/>
        <v>22450</v>
      </c>
      <c r="F73" s="14">
        <f t="shared" si="59"/>
        <v>20463</v>
      </c>
      <c r="G73" s="14">
        <f t="shared" si="59"/>
        <v>20836</v>
      </c>
      <c r="H73" s="14">
        <f t="shared" si="59"/>
        <v>25171</v>
      </c>
      <c r="J73" s="14">
        <f t="shared" ref="J73:V73" si="60">SUM(J72:J72)</f>
        <v>20487</v>
      </c>
      <c r="K73" s="14">
        <f t="shared" si="60"/>
        <v>20606</v>
      </c>
      <c r="L73" s="14">
        <f t="shared" si="60"/>
        <v>20560</v>
      </c>
      <c r="M73" s="14">
        <f t="shared" si="60"/>
        <v>20463</v>
      </c>
      <c r="N73" s="14">
        <f t="shared" si="60"/>
        <v>20703</v>
      </c>
      <c r="O73" s="14">
        <f t="shared" si="60"/>
        <v>20603</v>
      </c>
      <c r="P73" s="14">
        <f t="shared" si="60"/>
        <v>20602</v>
      </c>
      <c r="Q73" s="14">
        <f t="shared" si="60"/>
        <v>20836</v>
      </c>
      <c r="R73" s="14">
        <f t="shared" si="60"/>
        <v>20609</v>
      </c>
      <c r="S73" s="14">
        <f t="shared" si="60"/>
        <v>20762</v>
      </c>
      <c r="T73" s="14">
        <f t="shared" si="60"/>
        <v>25138</v>
      </c>
      <c r="U73" s="14">
        <f t="shared" si="60"/>
        <v>25171</v>
      </c>
      <c r="V73" s="14">
        <f t="shared" si="60"/>
        <v>21177</v>
      </c>
      <c r="X73" s="14">
        <f t="shared" ref="X73:AF73" si="61">SUM(X72:X72)</f>
        <v>20463</v>
      </c>
      <c r="Y73" s="14">
        <f t="shared" si="61"/>
        <v>20703</v>
      </c>
      <c r="Z73" s="14">
        <f t="shared" si="61"/>
        <v>20603</v>
      </c>
      <c r="AA73" s="14">
        <f t="shared" si="61"/>
        <v>20602</v>
      </c>
      <c r="AB73" s="14">
        <f t="shared" si="61"/>
        <v>20836</v>
      </c>
      <c r="AC73" s="14">
        <f t="shared" si="61"/>
        <v>20609</v>
      </c>
      <c r="AD73" s="14">
        <f t="shared" si="61"/>
        <v>20762</v>
      </c>
      <c r="AE73" s="14">
        <f t="shared" si="61"/>
        <v>25138</v>
      </c>
      <c r="AF73" s="14">
        <f t="shared" si="61"/>
        <v>25171</v>
      </c>
      <c r="AG73" s="14">
        <f t="shared" ref="AG73" si="62">SUM(AG72:AG72)</f>
        <v>21177</v>
      </c>
    </row>
    <row r="74" spans="1:33" ht="5.0999999999999996" customHeight="1"/>
    <row r="75" spans="1:33" ht="12.75" customHeight="1">
      <c r="B75" s="8" t="s">
        <v>44</v>
      </c>
      <c r="C75" s="88">
        <f>'Historical Financials'!C85</f>
        <v>36210</v>
      </c>
      <c r="D75" s="88">
        <f>'Historical Financials'!D85</f>
        <v>37589</v>
      </c>
      <c r="E75" s="88">
        <f>'Historical Financials'!E85</f>
        <v>35581</v>
      </c>
      <c r="F75" s="88">
        <f>'Historical Financials'!F85</f>
        <v>38733</v>
      </c>
      <c r="G75" s="88">
        <f>'Historical Financials'!G85</f>
        <v>39137</v>
      </c>
      <c r="H75" s="88">
        <f>'Historical Financials'!H85</f>
        <v>37909</v>
      </c>
      <c r="J75" s="88">
        <f>'Historical Financials'!J85</f>
        <v>36924</v>
      </c>
      <c r="K75" s="88">
        <f>'Historical Financials'!K85</f>
        <v>38565</v>
      </c>
      <c r="L75" s="88">
        <f>'Historical Financials'!L85</f>
        <v>38981</v>
      </c>
      <c r="M75" s="88">
        <f>'Historical Financials'!M85</f>
        <v>38733</v>
      </c>
      <c r="N75" s="88">
        <f>'Historical Financials'!N85</f>
        <v>39733</v>
      </c>
      <c r="O75" s="88">
        <f>'Historical Financials'!O85</f>
        <v>40485</v>
      </c>
      <c r="P75" s="88">
        <f>'Historical Financials'!P85</f>
        <v>39729</v>
      </c>
      <c r="Q75" s="88">
        <f>'Historical Financials'!Q85</f>
        <v>39137</v>
      </c>
      <c r="R75" s="88">
        <f>'Historical Financials'!R85</f>
        <v>38296</v>
      </c>
      <c r="S75" s="88">
        <f>'Historical Financials'!S85</f>
        <v>38030</v>
      </c>
      <c r="T75" s="88">
        <f>'Historical Financials'!T85</f>
        <v>38664</v>
      </c>
      <c r="U75" s="88">
        <f>'Historical Financials'!U85</f>
        <v>37909</v>
      </c>
      <c r="V75" s="88">
        <f>'Historical Financials'!V85</f>
        <v>38777</v>
      </c>
      <c r="X75" s="10">
        <f t="shared" ref="X75:AG75" si="63">L75</f>
        <v>38981</v>
      </c>
      <c r="Y75" s="10">
        <f t="shared" si="63"/>
        <v>38733</v>
      </c>
      <c r="Z75" s="10">
        <f t="shared" si="63"/>
        <v>39733</v>
      </c>
      <c r="AA75" s="10">
        <f t="shared" si="63"/>
        <v>40485</v>
      </c>
      <c r="AB75" s="129">
        <f t="shared" si="63"/>
        <v>39729</v>
      </c>
      <c r="AC75" s="129">
        <f t="shared" si="63"/>
        <v>39137</v>
      </c>
      <c r="AD75" s="129">
        <f t="shared" si="63"/>
        <v>38296</v>
      </c>
      <c r="AE75" s="129">
        <f t="shared" si="63"/>
        <v>38030</v>
      </c>
      <c r="AF75" s="129">
        <f t="shared" si="63"/>
        <v>38664</v>
      </c>
      <c r="AG75" s="129">
        <f t="shared" si="63"/>
        <v>37909</v>
      </c>
    </row>
    <row r="76" spans="1:33" ht="12.75" customHeight="1">
      <c r="B76" s="13" t="s">
        <v>45</v>
      </c>
      <c r="C76" s="14">
        <f t="shared" ref="C76:H76" si="64">SUM(C73:C75)</f>
        <v>60280</v>
      </c>
      <c r="D76" s="14">
        <f t="shared" si="64"/>
        <v>58566</v>
      </c>
      <c r="E76" s="14">
        <f t="shared" si="64"/>
        <v>58031</v>
      </c>
      <c r="F76" s="14">
        <f t="shared" si="64"/>
        <v>59196</v>
      </c>
      <c r="G76" s="14">
        <f t="shared" si="64"/>
        <v>59973</v>
      </c>
      <c r="H76" s="14">
        <f t="shared" si="64"/>
        <v>63080</v>
      </c>
      <c r="J76" s="14">
        <f t="shared" ref="J76:O76" si="65">SUM(J73:J75)</f>
        <v>57411</v>
      </c>
      <c r="K76" s="14">
        <f t="shared" si="65"/>
        <v>59171</v>
      </c>
      <c r="L76" s="14">
        <f t="shared" si="65"/>
        <v>59541</v>
      </c>
      <c r="M76" s="14">
        <f t="shared" si="65"/>
        <v>59196</v>
      </c>
      <c r="N76" s="14">
        <f t="shared" si="65"/>
        <v>60436</v>
      </c>
      <c r="O76" s="14">
        <f t="shared" si="65"/>
        <v>61088</v>
      </c>
      <c r="P76" s="14">
        <f t="shared" ref="P76:V76" si="66">SUM(P73:P75)</f>
        <v>60331</v>
      </c>
      <c r="Q76" s="14">
        <f t="shared" si="66"/>
        <v>59973</v>
      </c>
      <c r="R76" s="14">
        <f t="shared" si="66"/>
        <v>58905</v>
      </c>
      <c r="S76" s="14">
        <f t="shared" si="66"/>
        <v>58792</v>
      </c>
      <c r="T76" s="14">
        <f t="shared" si="66"/>
        <v>63802</v>
      </c>
      <c r="U76" s="14">
        <f t="shared" si="66"/>
        <v>63080</v>
      </c>
      <c r="V76" s="14">
        <f t="shared" si="66"/>
        <v>59954</v>
      </c>
      <c r="X76" s="14">
        <f t="shared" ref="X76" si="67">SUM(X73:X75)</f>
        <v>59444</v>
      </c>
      <c r="Y76" s="14">
        <f t="shared" ref="Y76:AD76" si="68">SUM(Y73:Y75)</f>
        <v>59436</v>
      </c>
      <c r="Z76" s="14">
        <f t="shared" si="68"/>
        <v>60336</v>
      </c>
      <c r="AA76" s="14">
        <f t="shared" si="68"/>
        <v>61087</v>
      </c>
      <c r="AB76" s="14">
        <f t="shared" si="68"/>
        <v>60565</v>
      </c>
      <c r="AC76" s="14">
        <f t="shared" si="68"/>
        <v>59746</v>
      </c>
      <c r="AD76" s="14">
        <f t="shared" si="68"/>
        <v>59058</v>
      </c>
      <c r="AE76" s="14">
        <f>SUM(AE73:AE75)</f>
        <v>63168</v>
      </c>
      <c r="AF76" s="14">
        <f>SUM(AF73:AF75)</f>
        <v>63835</v>
      </c>
      <c r="AG76" s="14">
        <f>SUM(AG73:AG75)</f>
        <v>59086</v>
      </c>
    </row>
    <row r="77" spans="1:33" ht="5.0999999999999996" customHeight="1"/>
    <row r="78" spans="1:33" ht="12.75" customHeight="1">
      <c r="A78" s="5"/>
      <c r="B78" s="33" t="s">
        <v>64</v>
      </c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</row>
    <row r="79" spans="1:33" ht="5.0999999999999996" customHeight="1"/>
    <row r="80" spans="1:33" ht="12.75" customHeight="1">
      <c r="B80" s="31" t="s">
        <v>83</v>
      </c>
      <c r="C80" s="82">
        <f t="shared" ref="C80:H80" si="69">C73/C31</f>
        <v>1.5757774140752865</v>
      </c>
      <c r="D80" s="82">
        <f t="shared" si="69"/>
        <v>1.2229347635982044</v>
      </c>
      <c r="E80" s="82">
        <f t="shared" si="69"/>
        <v>1.0617669315172154</v>
      </c>
      <c r="F80" s="82">
        <f t="shared" si="69"/>
        <v>0.86579225724561037</v>
      </c>
      <c r="G80" s="82">
        <f t="shared" si="69"/>
        <v>0.80320727805404568</v>
      </c>
      <c r="H80" s="82">
        <f t="shared" si="69"/>
        <v>0.87786419279461514</v>
      </c>
      <c r="J80" s="154"/>
      <c r="K80" s="154"/>
      <c r="L80" s="154"/>
      <c r="M80" s="82">
        <f t="shared" ref="M80:T80" si="70">SUM(M73/SUM(J31:M31))</f>
        <v>0.86579225724561037</v>
      </c>
      <c r="N80" s="82">
        <f t="shared" si="70"/>
        <v>0.85482472438994173</v>
      </c>
      <c r="O80" s="82">
        <f t="shared" si="70"/>
        <v>0.83409578559572484</v>
      </c>
      <c r="P80" s="82">
        <f t="shared" si="70"/>
        <v>0.81689135606661378</v>
      </c>
      <c r="Q80" s="82">
        <f t="shared" si="70"/>
        <v>0.80320727805404568</v>
      </c>
      <c r="R80" s="82">
        <f t="shared" si="70"/>
        <v>0.78343343723865277</v>
      </c>
      <c r="S80" s="82">
        <f t="shared" si="70"/>
        <v>0.76810950795412503</v>
      </c>
      <c r="T80" s="82">
        <f t="shared" si="70"/>
        <v>0.89984249713631159</v>
      </c>
      <c r="U80" s="82">
        <f>SUM(U73/SUM(R31:U31))</f>
        <v>0.87786419279461514</v>
      </c>
      <c r="V80" s="82">
        <f>SUM(V73/SUM(S31:V31))</f>
        <v>0.70847412264561238</v>
      </c>
      <c r="W80" s="82"/>
      <c r="X80" s="82">
        <f t="shared" ref="X80:AF80" si="71">X73/X31</f>
        <v>0.86579225724561037</v>
      </c>
      <c r="Y80" s="82">
        <f t="shared" si="71"/>
        <v>0.85482472438994173</v>
      </c>
      <c r="Z80" s="82">
        <f t="shared" si="71"/>
        <v>0.83409578559572484</v>
      </c>
      <c r="AA80" s="82">
        <f t="shared" si="71"/>
        <v>0.81689135606661378</v>
      </c>
      <c r="AB80" s="82">
        <f t="shared" si="71"/>
        <v>0.80320727805404568</v>
      </c>
      <c r="AC80" s="82">
        <f t="shared" si="71"/>
        <v>0.78343343723865277</v>
      </c>
      <c r="AD80" s="82">
        <f t="shared" si="71"/>
        <v>0.76810950795412503</v>
      </c>
      <c r="AE80" s="82">
        <f t="shared" si="71"/>
        <v>0.89984249713631159</v>
      </c>
      <c r="AF80" s="82">
        <f t="shared" si="71"/>
        <v>0.87786419279461514</v>
      </c>
      <c r="AG80" s="82">
        <f t="shared" ref="AG80" si="72">AG73/AG31</f>
        <v>0.70847412264561238</v>
      </c>
    </row>
    <row r="81" spans="2:33" ht="12.75" customHeight="1">
      <c r="B81" s="31" t="s">
        <v>84</v>
      </c>
      <c r="C81" s="82">
        <f t="shared" ref="C81:H81" si="73">SUM(C73-C52)/C31</f>
        <v>0.50939443535188211</v>
      </c>
      <c r="D81" s="82">
        <f t="shared" si="73"/>
        <v>0.26176179094036028</v>
      </c>
      <c r="E81" s="82">
        <f t="shared" si="73"/>
        <v>0.3197597427166099</v>
      </c>
      <c r="F81" s="82">
        <f t="shared" si="73"/>
        <v>0.17672942669769409</v>
      </c>
      <c r="G81" s="82">
        <f t="shared" si="73"/>
        <v>0.34158282255888361</v>
      </c>
      <c r="H81" s="82">
        <f t="shared" si="73"/>
        <v>0.27925225822202071</v>
      </c>
      <c r="J81" s="154"/>
      <c r="K81" s="154"/>
      <c r="L81" s="154"/>
      <c r="M81" s="82">
        <f t="shared" ref="M81:T81" si="74">SUM(M73-M52)/SUM(J31:M31)</f>
        <v>0.17672942669769409</v>
      </c>
      <c r="N81" s="82">
        <f t="shared" si="74"/>
        <v>0.29365374292910523</v>
      </c>
      <c r="O81" s="82">
        <f t="shared" si="74"/>
        <v>0.30808469292741186</v>
      </c>
      <c r="P81" s="82">
        <f t="shared" si="74"/>
        <v>0.30352894528152258</v>
      </c>
      <c r="Q81" s="82">
        <f t="shared" si="74"/>
        <v>0.34158282255888361</v>
      </c>
      <c r="R81" s="82">
        <f t="shared" si="74"/>
        <v>0.31331255226944421</v>
      </c>
      <c r="S81" s="82">
        <f t="shared" si="74"/>
        <v>0.33399926008139103</v>
      </c>
      <c r="T81" s="82">
        <f t="shared" si="74"/>
        <v>0.28801546391752575</v>
      </c>
      <c r="U81" s="82">
        <f>SUM(U73-U52)/SUM(R31:U31)</f>
        <v>0.27925225822202071</v>
      </c>
      <c r="V81" s="82">
        <f>SUM(V73-V52)/SUM(S31:V31)</f>
        <v>0.21481382355893078</v>
      </c>
      <c r="W81" s="82"/>
      <c r="X81" s="82">
        <f t="shared" ref="X81:AF81" si="75">SUM(X73-X52)/X31</f>
        <v>0.17672942669769409</v>
      </c>
      <c r="Y81" s="82">
        <f t="shared" si="75"/>
        <v>0.29365374292910523</v>
      </c>
      <c r="Z81" s="82">
        <f t="shared" si="75"/>
        <v>0.30808469292741186</v>
      </c>
      <c r="AA81" s="82">
        <f t="shared" si="75"/>
        <v>0.30352894528152258</v>
      </c>
      <c r="AB81" s="82">
        <f t="shared" si="75"/>
        <v>0.34158282255888361</v>
      </c>
      <c r="AC81" s="82">
        <f t="shared" si="75"/>
        <v>0.31331255226944421</v>
      </c>
      <c r="AD81" s="82">
        <f t="shared" si="75"/>
        <v>0.33399926008139103</v>
      </c>
      <c r="AE81" s="82">
        <f t="shared" si="75"/>
        <v>0.28801546391752575</v>
      </c>
      <c r="AF81" s="82">
        <f t="shared" si="75"/>
        <v>0.27925225822202071</v>
      </c>
      <c r="AG81" s="82">
        <f t="shared" ref="AG81" si="76">SUM(AG73-AG52)/AG31</f>
        <v>0.21481382355893078</v>
      </c>
    </row>
    <row r="82" spans="2:33" ht="12.75" customHeight="1">
      <c r="B82" s="31" t="s">
        <v>85</v>
      </c>
      <c r="C82" s="82">
        <f t="shared" ref="C82:H82" si="77">C31/-C36</f>
        <v>28.445065176908752</v>
      </c>
      <c r="D82" s="82">
        <f t="shared" si="77"/>
        <v>26.676516329704508</v>
      </c>
      <c r="E82" s="82">
        <f t="shared" si="77"/>
        <v>34.833607907743001</v>
      </c>
      <c r="F82" s="82">
        <f t="shared" si="77"/>
        <v>38.306320907617504</v>
      </c>
      <c r="G82" s="82">
        <f t="shared" si="77"/>
        <v>44.495711835334475</v>
      </c>
      <c r="H82" s="82">
        <f t="shared" si="77"/>
        <v>48.846678023850082</v>
      </c>
      <c r="J82" s="154"/>
      <c r="K82" s="154"/>
      <c r="L82" s="154"/>
      <c r="M82" s="82" cm="1">
        <f t="array" ref="M82">SUM(J31:M31)/SUM(-J36:M36)</f>
        <v>38.306320907617504</v>
      </c>
      <c r="N82" s="82" cm="1">
        <f t="array" ref="N82">SUM(K31:N31)/SUM(-K36:N36)</f>
        <v>41.329351535836174</v>
      </c>
      <c r="O82" s="82" cm="1">
        <f t="array" ref="O82">SUM(L31:O31)/SUM(-L36:O36)</f>
        <v>42.223931623931627</v>
      </c>
      <c r="P82" s="82" cm="1">
        <f t="array" ref="P82">SUM(M31:P31)/SUM(-M36:P36)</f>
        <v>43.259005145797602</v>
      </c>
      <c r="Q82" s="82" cm="1">
        <f t="array" ref="Q82">SUM(N31:Q31)/SUM(-N36:Q36)</f>
        <v>44.495711835334475</v>
      </c>
      <c r="R82" s="82" cm="1">
        <f t="array" ref="R82">SUM(O31:R31)/SUM(-O36:R36)</f>
        <v>45.121783876500857</v>
      </c>
      <c r="S82" s="82" cm="1">
        <f t="array" ref="S82">SUM(P31:S31)/SUM(-P36:S36)</f>
        <v>46.363636363636367</v>
      </c>
      <c r="T82" s="82" cm="1">
        <f t="array" ref="T82">SUM(Q31:T31)/SUM(-Q36:T36)</f>
        <v>47.510204081632651</v>
      </c>
      <c r="U82" s="82" cm="1">
        <f t="array" ref="U82">SUM(R31:U31)/SUM(-R36:U36)</f>
        <v>48.846678023850082</v>
      </c>
      <c r="V82" s="82" cm="1">
        <f t="array" ref="V82">SUM(S31:V31)/SUM(-S36:V36)</f>
        <v>50.921635434412266</v>
      </c>
      <c r="W82" s="82"/>
      <c r="X82" s="82">
        <f t="shared" ref="X82:AF82" si="78">X31/-X36</f>
        <v>38.306320907617504</v>
      </c>
      <c r="Y82" s="82">
        <f t="shared" si="78"/>
        <v>41.329351535836174</v>
      </c>
      <c r="Z82" s="82">
        <f t="shared" si="78"/>
        <v>42.223931623931627</v>
      </c>
      <c r="AA82" s="82">
        <f t="shared" si="78"/>
        <v>43.259005145797602</v>
      </c>
      <c r="AB82" s="82">
        <f t="shared" si="78"/>
        <v>44.495711835334475</v>
      </c>
      <c r="AC82" s="82">
        <f t="shared" si="78"/>
        <v>45.121783876500857</v>
      </c>
      <c r="AD82" s="82">
        <f t="shared" si="78"/>
        <v>46.363636363636367</v>
      </c>
      <c r="AE82" s="82">
        <f t="shared" si="78"/>
        <v>47.510204081632651</v>
      </c>
      <c r="AF82" s="82">
        <f t="shared" si="78"/>
        <v>48.846678023850082</v>
      </c>
      <c r="AG82" s="82">
        <f t="shared" ref="AG82" si="79">AG31/-AG36</f>
        <v>50.921635434412266</v>
      </c>
    </row>
    <row r="83" spans="2:33" ht="12.75" customHeight="1">
      <c r="B83" s="31" t="s">
        <v>86</v>
      </c>
      <c r="C83" s="82" cm="1">
        <f t="array" ref="C83">SUM(C31+C34)/SUM(-C35:C36)</f>
        <v>4.5321072319201994</v>
      </c>
      <c r="D83" s="82" cm="1">
        <f t="array" ref="D83">SUM(D31+D34)/SUM(-D35:D36)</f>
        <v>4.5001367989056087</v>
      </c>
      <c r="E83" s="82" cm="1">
        <f t="array" ref="E83">SUM(E31+E34)/SUM(-E35:E36)</f>
        <v>4.6398344066237351</v>
      </c>
      <c r="F83" s="82" cm="1">
        <f t="array" ref="F83">SUM(F31+F34)/SUM(-F35:F36)</f>
        <v>5.5743209876543212</v>
      </c>
      <c r="G83" s="82" cm="1">
        <f t="array" ref="G83">SUM(G31+G34)/SUM(-G35:G36)</f>
        <v>3.8823529411764706</v>
      </c>
      <c r="H83" s="82" cm="1">
        <f t="array" ref="H83">SUM(H31+H34)/SUM(-H35:H36)</f>
        <v>5.3024570982839316</v>
      </c>
      <c r="J83" s="154"/>
      <c r="K83" s="154"/>
      <c r="L83" s="154"/>
      <c r="M83" s="82" cm="1">
        <f t="array" ref="M83">SUM(J31:M31+J34:M34)/SUM(-J35:M36)</f>
        <v>5.5743209876543212</v>
      </c>
      <c r="N83" s="82" cm="1">
        <f t="array" ref="N83">SUM(K31:N31+K34:N34)/SUM(-K35:N36)</f>
        <v>4.8202457821287235</v>
      </c>
      <c r="O83" s="82" cm="1">
        <f t="array" ref="O83">SUM(L31:O31+L34:O34)/SUM(-L35:O36)</f>
        <v>4.6722872445943269</v>
      </c>
      <c r="P83" s="82" cm="1">
        <f t="array" ref="P83">SUM(M31:P31+M34:P34)/SUM(-M35:P36)</f>
        <v>4.2032620133286569</v>
      </c>
      <c r="Q83" s="82" cm="1">
        <f t="array" ref="Q83">SUM(N31:Q31+N34:Q34)/SUM(-N35:Q36)</f>
        <v>3.8823529411764706</v>
      </c>
      <c r="R83" s="82" cm="1">
        <f t="array" ref="R83">SUM(O31:R31+O34:R34)/SUM(-O35:R36)</f>
        <v>4.1281203504711526</v>
      </c>
      <c r="S83" s="82" cm="1">
        <f t="array" ref="S83">SUM(P31:S31+P34:S34)/SUM(-P35:S36)</f>
        <v>4.4568201563857519</v>
      </c>
      <c r="T83" s="82" cm="1">
        <f t="array" ref="T83">SUM(Q31:T31+Q34:T34)/SUM(-Q35:T36)</f>
        <v>5.0531327366215955</v>
      </c>
      <c r="U83" s="82" cm="1">
        <f t="array" ref="U83">SUM(R31:U31+R34:U34)/SUM(-R35:U36)</f>
        <v>5.3024570982839316</v>
      </c>
      <c r="V83" s="82" cm="1">
        <f t="array" ref="V83">SUM(S31:V31+S34:V34)/SUM(-S35:V36)</f>
        <v>5.431852986217458</v>
      </c>
      <c r="W83" s="82"/>
      <c r="X83" s="82" cm="1">
        <f t="array" ref="X83">SUM(X31+X34)/SUM(-X35:X36)</f>
        <v>5.5743209876543212</v>
      </c>
      <c r="Y83" s="82" cm="1">
        <f t="array" ref="Y83">SUM(Y31+Y34)/SUM(-Y35:Y36)</f>
        <v>4.8202457821287235</v>
      </c>
      <c r="Z83" s="82" cm="1">
        <f t="array" ref="Z83">SUM(Z31+Z34)/SUM(-Z35:Z36)</f>
        <v>4.6722872445943269</v>
      </c>
      <c r="AA83" s="82" cm="1">
        <f t="array" ref="AA83">SUM(AA31+AA34)/SUM(-AA35:AA36)</f>
        <v>4.2032620133286569</v>
      </c>
      <c r="AB83" s="82" cm="1">
        <f t="array" ref="AB83">SUM(AB31+AB34)/SUM(-AB35:AB36)</f>
        <v>3.8823529411764706</v>
      </c>
      <c r="AC83" s="82" cm="1">
        <f t="array" ref="AC83">SUM(AC31+AC34)/SUM(-AC35:AC36)</f>
        <v>4.1281203504711526</v>
      </c>
      <c r="AD83" s="82" cm="1">
        <f t="array" ref="AD83">SUM(AD31+AD34)/SUM(-AD35:AD36)</f>
        <v>4.4568201563857519</v>
      </c>
      <c r="AE83" s="82" cm="1">
        <f t="array" ref="AE83">SUM(AE31+AE34)/SUM(-AE35:AE36)</f>
        <v>5.0531327366215955</v>
      </c>
      <c r="AF83" s="82" cm="1">
        <f t="array" ref="AF83">SUM(AF31+AF34)/SUM(-AF35:AF36)</f>
        <v>5.3024570982839316</v>
      </c>
      <c r="AG83" s="82" cm="1">
        <f t="array" ref="AG83">SUM(AG31+AG34)/SUM(-AG35:AG36)</f>
        <v>5.431852986217458</v>
      </c>
    </row>
    <row r="84" spans="2:33" ht="12.75" customHeight="1">
      <c r="B84" s="31" t="s">
        <v>87</v>
      </c>
      <c r="C84" s="82" cm="1">
        <f t="array" ref="C84">SUM(C31)/SUM(-C34:C36)</f>
        <v>3.872971602434077</v>
      </c>
      <c r="D84" s="82" cm="1">
        <f t="array" ref="D84">SUM(D31)/SUM(-D34:D36)</f>
        <v>3.9341743119266055</v>
      </c>
      <c r="E84" s="82" cm="1">
        <f t="array" ref="E84">SUM(E31)/SUM(-E34:E36)</f>
        <v>3.9759308010530274</v>
      </c>
      <c r="F84" s="82" cm="1">
        <f t="array" ref="F84">SUM(F31)/SUM(-F34:F36)</f>
        <v>4.6261499314934431</v>
      </c>
      <c r="G84" s="82" cm="1">
        <f t="array" ref="G84">SUM(G31)/SUM(-G34:G36)</f>
        <v>3.4065659881812214</v>
      </c>
      <c r="H84" s="82" cm="1">
        <f t="array" ref="H84">SUM(H31)/SUM(-H34:H36)</f>
        <v>4.3378214826021182</v>
      </c>
      <c r="J84" s="154"/>
      <c r="K84" s="154"/>
      <c r="L84" s="154"/>
      <c r="M84" s="82" cm="1">
        <f t="array" ref="M84">SUM(J31:M31)/SUM(-J34:M36)</f>
        <v>4.6261499314934431</v>
      </c>
      <c r="N84" s="82" cm="1">
        <f t="array" ref="N84">SUM(K31:N31)/SUM(-K34:N36)</f>
        <v>4.1202790064647843</v>
      </c>
      <c r="O84" s="82" cm="1">
        <f t="array" ref="O84">SUM(L31:O31)/SUM(-L34:O36)</f>
        <v>3.9911132654709971</v>
      </c>
      <c r="P84" s="82" cm="1">
        <f t="array" ref="P84">SUM(M31:P31)/SUM(-M34:P36)</f>
        <v>3.6261682242990654</v>
      </c>
      <c r="Q84" s="82" cm="1">
        <f t="array" ref="Q84">SUM(N31:Q31)/SUM(-N34:Q36)</f>
        <v>3.4065659881812214</v>
      </c>
      <c r="R84" s="82" cm="1">
        <f t="array" ref="R84">SUM(O31:R31)/SUM(-O34:R36)</f>
        <v>3.5625677139761649</v>
      </c>
      <c r="S84" s="82" cm="1">
        <f t="array" ref="S84">SUM(P31:S31)/SUM(-P34:S36)</f>
        <v>3.7878363228699552</v>
      </c>
      <c r="T84" s="82" cm="1">
        <f t="array" ref="T84">SUM(Q31:T31)/SUM(-Q34:T36)</f>
        <v>4.1990079663309787</v>
      </c>
      <c r="U84" s="82" cm="1">
        <f t="array" ref="U84">SUM(R31:U31)/SUM(-R34:U36)</f>
        <v>4.3378214826021182</v>
      </c>
      <c r="V84" s="82" cm="1">
        <f t="array" ref="V84">SUM(S31:V31)/SUM(-S34:V36)</f>
        <v>4.4355245585398428</v>
      </c>
      <c r="W84" s="82"/>
      <c r="X84" s="82" cm="1">
        <f t="array" ref="X84">SUM(X31)/SUM(-X34:X36)</f>
        <v>4.6261499314934431</v>
      </c>
      <c r="Y84" s="82" cm="1">
        <f t="array" ref="Y84">SUM(Y31)/SUM(-Y34:Y36)</f>
        <v>4.1202790064647843</v>
      </c>
      <c r="Z84" s="82" cm="1">
        <f t="array" ref="Z84">SUM(Z31)/SUM(-Z34:Z36)</f>
        <v>3.9911132654709971</v>
      </c>
      <c r="AA84" s="82" cm="1">
        <f t="array" ref="AA84">SUM(AA31)/SUM(-AA34:AA36)</f>
        <v>3.6261682242990654</v>
      </c>
      <c r="AB84" s="82" cm="1">
        <f t="array" ref="AB84">SUM(AB31)/SUM(-AB34:AB36)</f>
        <v>3.4065659881812214</v>
      </c>
      <c r="AC84" s="82" cm="1">
        <f t="array" ref="AC84">SUM(AC31)/SUM(-AC34:AC36)</f>
        <v>3.5625677139761649</v>
      </c>
      <c r="AD84" s="82" cm="1">
        <f t="array" ref="AD84">SUM(AD31)/SUM(-AD34:AD36)</f>
        <v>3.7878363228699552</v>
      </c>
      <c r="AE84" s="82" cm="1">
        <f t="array" ref="AE84">SUM(AE31)/SUM(-AE34:AE36)</f>
        <v>4.1990079663309787</v>
      </c>
      <c r="AF84" s="82" cm="1">
        <f t="array" ref="AF84">SUM(AF31)/SUM(-AF34:AF36)</f>
        <v>4.3378214826021182</v>
      </c>
      <c r="AG84" s="82" cm="1">
        <f t="array" ref="AG84">SUM(AG31)/SUM(-AG34:AG36)</f>
        <v>4.4355245585398428</v>
      </c>
    </row>
    <row r="85" spans="2:33" ht="12.75" customHeight="1">
      <c r="B85" s="8" t="s">
        <v>46</v>
      </c>
      <c r="C85" s="82">
        <f t="shared" ref="C85:H85" si="80">C76/C73</f>
        <v>2.5043622766929787</v>
      </c>
      <c r="D85" s="82">
        <f t="shared" si="80"/>
        <v>2.7919149544739477</v>
      </c>
      <c r="E85" s="82">
        <f t="shared" si="80"/>
        <v>2.5848997772828506</v>
      </c>
      <c r="F85" s="82">
        <f t="shared" si="80"/>
        <v>2.8928309632018765</v>
      </c>
      <c r="G85" s="82">
        <f t="shared" si="80"/>
        <v>2.87833557304665</v>
      </c>
      <c r="H85" s="82">
        <f t="shared" si="80"/>
        <v>2.5060585594533391</v>
      </c>
      <c r="J85" s="154"/>
      <c r="K85" s="154"/>
      <c r="L85" s="154"/>
      <c r="M85" s="82">
        <f t="shared" ref="M85:T85" si="81">M76/M73</f>
        <v>2.8928309632018765</v>
      </c>
      <c r="N85" s="82">
        <f t="shared" si="81"/>
        <v>2.9191904554895425</v>
      </c>
      <c r="O85" s="82">
        <f t="shared" si="81"/>
        <v>2.9650050963451924</v>
      </c>
      <c r="P85" s="82">
        <f t="shared" si="81"/>
        <v>2.9284050092224057</v>
      </c>
      <c r="Q85" s="82">
        <f t="shared" si="81"/>
        <v>2.87833557304665</v>
      </c>
      <c r="R85" s="82">
        <f t="shared" si="81"/>
        <v>2.8582172837110003</v>
      </c>
      <c r="S85" s="82">
        <f t="shared" si="81"/>
        <v>2.8317117811386185</v>
      </c>
      <c r="T85" s="82">
        <f t="shared" si="81"/>
        <v>2.5380698544036915</v>
      </c>
      <c r="U85" s="82">
        <f>U76/U73</f>
        <v>2.5060585594533391</v>
      </c>
      <c r="V85" s="82">
        <f>V76/V73</f>
        <v>2.8310903338527647</v>
      </c>
      <c r="W85" s="82"/>
      <c r="X85" s="82">
        <f t="shared" ref="X85" si="82">X76/X73</f>
        <v>2.9049503982798219</v>
      </c>
      <c r="Y85" s="82">
        <f t="shared" ref="Y85:AD85" si="83">Y76/Y73</f>
        <v>2.8708882770612956</v>
      </c>
      <c r="Z85" s="82">
        <f t="shared" si="83"/>
        <v>2.9285055574430907</v>
      </c>
      <c r="AA85" s="82">
        <f t="shared" si="83"/>
        <v>2.9651004756819725</v>
      </c>
      <c r="AB85" s="82">
        <f t="shared" si="83"/>
        <v>2.9067479362641584</v>
      </c>
      <c r="AC85" s="82">
        <f t="shared" si="83"/>
        <v>2.8990246979474987</v>
      </c>
      <c r="AD85" s="82">
        <f t="shared" si="83"/>
        <v>2.8445236489740875</v>
      </c>
      <c r="AE85" s="82">
        <f>AE76/AE73</f>
        <v>2.5128490731163975</v>
      </c>
      <c r="AF85" s="82">
        <f>AF76/AF73</f>
        <v>2.5360533947797066</v>
      </c>
      <c r="AG85" s="82">
        <f>AG76/AG73</f>
        <v>2.7901024696604808</v>
      </c>
    </row>
    <row r="86" spans="2:33" ht="5.0999999999999996" customHeight="1" thickBot="1"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</row>
  </sheetData>
  <mergeCells count="1">
    <mergeCell ref="AI2:AI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E39:I40 AH40:AI40 I34:I36 AH42:AI42 AH38 AH39 I38 AH41:AI41 J39:S40 I41 I42 C41:H41 C42:H42 J42:R42 J41:R41 V41" formulaRange="1"/>
    <ignoredError sqref="E13:I13 I22 I29 I25:I26 AI13:AI14 F12:I12 W20 I20 AI24 I31 Y23:AF24 Y27:AF28 Y32:AF32 Y13:AF14 AC12:AF12 Y80:AF85 N12:T12 K13:T13 E32:T32 E27:T28 E14:T14 E23:T24 E80:I85 AI33 W80:W85 W32 W27:W29 W12:W14 W23:W25 AI28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2026-04-10T17:06:56Z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