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E8380ED2-A368-4685-A145-CF661520EA32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68" i="9" l="1"/>
  <c r="R68" i="9"/>
  <c r="Q68" i="9"/>
  <c r="P68" i="9"/>
  <c r="O68" i="9"/>
  <c r="N68" i="9"/>
  <c r="M68" i="9"/>
  <c r="L68" i="9"/>
  <c r="K68" i="9"/>
  <c r="J68" i="9"/>
  <c r="I68" i="9"/>
  <c r="G68" i="9"/>
  <c r="F68" i="9"/>
  <c r="E68" i="9"/>
  <c r="D68" i="9"/>
  <c r="C68" i="9"/>
  <c r="C69" i="9" s="1"/>
  <c r="S71" i="9"/>
  <c r="R71" i="9"/>
  <c r="Q71" i="9"/>
  <c r="P71" i="9"/>
  <c r="O71" i="9"/>
  <c r="N71" i="9"/>
  <c r="M71" i="9"/>
  <c r="L71" i="9"/>
  <c r="K71" i="9"/>
  <c r="J71" i="9"/>
  <c r="I71" i="9"/>
  <c r="G71" i="9"/>
  <c r="F71" i="9"/>
  <c r="E71" i="9"/>
  <c r="D71" i="9"/>
  <c r="C71" i="9"/>
  <c r="S66" i="9"/>
  <c r="R66" i="9"/>
  <c r="Q66" i="9"/>
  <c r="P66" i="9"/>
  <c r="O66" i="9"/>
  <c r="N66" i="9"/>
  <c r="M66" i="9"/>
  <c r="L66" i="9"/>
  <c r="K66" i="9"/>
  <c r="J66" i="9"/>
  <c r="I66" i="9"/>
  <c r="G66" i="9"/>
  <c r="F66" i="9"/>
  <c r="E66" i="9"/>
  <c r="D66" i="9"/>
  <c r="C66" i="9"/>
  <c r="S62" i="9"/>
  <c r="R62" i="9"/>
  <c r="Q62" i="9"/>
  <c r="P62" i="9"/>
  <c r="O62" i="9"/>
  <c r="N62" i="9"/>
  <c r="M62" i="9"/>
  <c r="L62" i="9"/>
  <c r="K62" i="9"/>
  <c r="J62" i="9"/>
  <c r="S61" i="9"/>
  <c r="R61" i="9"/>
  <c r="Q61" i="9"/>
  <c r="P61" i="9"/>
  <c r="O61" i="9"/>
  <c r="N61" i="9"/>
  <c r="M61" i="9"/>
  <c r="L61" i="9"/>
  <c r="K61" i="9"/>
  <c r="J61" i="9"/>
  <c r="I62" i="9"/>
  <c r="I61" i="9"/>
  <c r="G62" i="9"/>
  <c r="F62" i="9"/>
  <c r="G61" i="9"/>
  <c r="F61" i="9"/>
  <c r="E62" i="9"/>
  <c r="D62" i="9"/>
  <c r="E61" i="9"/>
  <c r="D61" i="9"/>
  <c r="C62" i="9"/>
  <c r="C61" i="9"/>
  <c r="S60" i="9"/>
  <c r="AB60" i="9" s="1"/>
  <c r="R60" i="9"/>
  <c r="Q60" i="9"/>
  <c r="P60" i="9"/>
  <c r="Y60" i="9" s="1"/>
  <c r="O60" i="9"/>
  <c r="N60" i="9"/>
  <c r="M60" i="9"/>
  <c r="V60" i="9" s="1"/>
  <c r="L60" i="9"/>
  <c r="U60" i="9" s="1"/>
  <c r="K60" i="9"/>
  <c r="J60" i="9"/>
  <c r="S59" i="9"/>
  <c r="R59" i="9"/>
  <c r="Q59" i="9"/>
  <c r="P59" i="9"/>
  <c r="O59" i="9"/>
  <c r="N59" i="9"/>
  <c r="M59" i="9"/>
  <c r="L59" i="9"/>
  <c r="K59" i="9"/>
  <c r="J59" i="9"/>
  <c r="I60" i="9"/>
  <c r="I59" i="9"/>
  <c r="G60" i="9"/>
  <c r="F60" i="9"/>
  <c r="E60" i="9"/>
  <c r="D60" i="9"/>
  <c r="G59" i="9"/>
  <c r="F59" i="9"/>
  <c r="E59" i="9"/>
  <c r="D59" i="9"/>
  <c r="C60" i="9"/>
  <c r="AA60" i="9"/>
  <c r="Z60" i="9"/>
  <c r="X60" i="9"/>
  <c r="W60" i="9"/>
  <c r="C59" i="9"/>
  <c r="S58" i="9"/>
  <c r="R58" i="9"/>
  <c r="Q58" i="9"/>
  <c r="P58" i="9"/>
  <c r="O58" i="9"/>
  <c r="N58" i="9"/>
  <c r="M58" i="9"/>
  <c r="L58" i="9"/>
  <c r="K58" i="9"/>
  <c r="J58" i="9"/>
  <c r="I58" i="9"/>
  <c r="G58" i="9"/>
  <c r="F58" i="9"/>
  <c r="E58" i="9"/>
  <c r="D58" i="9"/>
  <c r="C58" i="9"/>
  <c r="S57" i="9"/>
  <c r="R57" i="9"/>
  <c r="Q57" i="9"/>
  <c r="P57" i="9"/>
  <c r="O57" i="9"/>
  <c r="X57" i="9" s="1"/>
  <c r="N57" i="9"/>
  <c r="M57" i="9"/>
  <c r="V57" i="9" s="1"/>
  <c r="L57" i="9"/>
  <c r="U57" i="9" s="1"/>
  <c r="K57" i="9"/>
  <c r="J57" i="9"/>
  <c r="S56" i="9"/>
  <c r="R56" i="9"/>
  <c r="Q56" i="9"/>
  <c r="P56" i="9"/>
  <c r="O56" i="9"/>
  <c r="N56" i="9"/>
  <c r="M56" i="9"/>
  <c r="L56" i="9"/>
  <c r="K56" i="9"/>
  <c r="J56" i="9"/>
  <c r="S55" i="9"/>
  <c r="R55" i="9"/>
  <c r="Q55" i="9"/>
  <c r="P55" i="9"/>
  <c r="O55" i="9"/>
  <c r="N55" i="9"/>
  <c r="M55" i="9"/>
  <c r="L55" i="9"/>
  <c r="K55" i="9"/>
  <c r="J55" i="9"/>
  <c r="I57" i="9"/>
  <c r="I56" i="9"/>
  <c r="I55" i="9"/>
  <c r="G57" i="9"/>
  <c r="F57" i="9"/>
  <c r="E57" i="9"/>
  <c r="D57" i="9"/>
  <c r="G56" i="9"/>
  <c r="F56" i="9"/>
  <c r="E56" i="9"/>
  <c r="D56" i="9"/>
  <c r="G55" i="9"/>
  <c r="F55" i="9"/>
  <c r="E55" i="9"/>
  <c r="D55" i="9"/>
  <c r="C57" i="9"/>
  <c r="C56" i="9"/>
  <c r="W57" i="9"/>
  <c r="AB57" i="9"/>
  <c r="AA57" i="9"/>
  <c r="Z57" i="9"/>
  <c r="Y57" i="9"/>
  <c r="C55" i="9"/>
  <c r="S50" i="9"/>
  <c r="R50" i="9"/>
  <c r="Q50" i="9"/>
  <c r="P50" i="9"/>
  <c r="O50" i="9"/>
  <c r="N50" i="9"/>
  <c r="M50" i="9"/>
  <c r="L50" i="9"/>
  <c r="K50" i="9"/>
  <c r="J50" i="9"/>
  <c r="I50" i="9"/>
  <c r="G50" i="9"/>
  <c r="F50" i="9"/>
  <c r="E50" i="9"/>
  <c r="D50" i="9"/>
  <c r="C50" i="9"/>
  <c r="S49" i="9"/>
  <c r="R49" i="9"/>
  <c r="Q49" i="9"/>
  <c r="P49" i="9"/>
  <c r="O49" i="9"/>
  <c r="N49" i="9"/>
  <c r="M49" i="9"/>
  <c r="L49" i="9"/>
  <c r="K49" i="9"/>
  <c r="J49" i="9"/>
  <c r="I49" i="9"/>
  <c r="G49" i="9"/>
  <c r="F49" i="9"/>
  <c r="E49" i="9"/>
  <c r="D49" i="9"/>
  <c r="C49" i="9"/>
  <c r="S43" i="9"/>
  <c r="R43" i="9"/>
  <c r="Q43" i="9"/>
  <c r="P43" i="9"/>
  <c r="O43" i="9"/>
  <c r="N43" i="9"/>
  <c r="M43" i="9"/>
  <c r="L43" i="9"/>
  <c r="K43" i="9"/>
  <c r="J43" i="9"/>
  <c r="I43" i="9"/>
  <c r="G43" i="9"/>
  <c r="F43" i="9"/>
  <c r="E43" i="9"/>
  <c r="D43" i="9"/>
  <c r="C43" i="9"/>
  <c r="S42" i="9"/>
  <c r="R42" i="9"/>
  <c r="Q42" i="9"/>
  <c r="P42" i="9"/>
  <c r="O42" i="9"/>
  <c r="N42" i="9"/>
  <c r="M42" i="9"/>
  <c r="L42" i="9"/>
  <c r="K42" i="9"/>
  <c r="J42" i="9"/>
  <c r="I42" i="9"/>
  <c r="G42" i="9"/>
  <c r="F42" i="9"/>
  <c r="E42" i="9"/>
  <c r="D42" i="9"/>
  <c r="C42" i="9"/>
  <c r="S41" i="9"/>
  <c r="R41" i="9"/>
  <c r="Q41" i="9"/>
  <c r="P41" i="9"/>
  <c r="O41" i="9"/>
  <c r="N41" i="9"/>
  <c r="M41" i="9"/>
  <c r="L41" i="9"/>
  <c r="K41" i="9"/>
  <c r="J41" i="9"/>
  <c r="I41" i="9"/>
  <c r="G41" i="9"/>
  <c r="F41" i="9"/>
  <c r="E41" i="9"/>
  <c r="D41" i="9"/>
  <c r="C41" i="9"/>
  <c r="S40" i="9"/>
  <c r="R40" i="9"/>
  <c r="Q40" i="9"/>
  <c r="P40" i="9"/>
  <c r="O40" i="9"/>
  <c r="N40" i="9"/>
  <c r="M40" i="9"/>
  <c r="L40" i="9"/>
  <c r="K40" i="9"/>
  <c r="J40" i="9"/>
  <c r="I40" i="9"/>
  <c r="G40" i="9"/>
  <c r="F40" i="9"/>
  <c r="E40" i="9"/>
  <c r="D40" i="9"/>
  <c r="C40" i="9"/>
  <c r="S39" i="9"/>
  <c r="R39" i="9"/>
  <c r="Q39" i="9"/>
  <c r="P39" i="9"/>
  <c r="O39" i="9"/>
  <c r="N39" i="9"/>
  <c r="M39" i="9"/>
  <c r="L39" i="9"/>
  <c r="K39" i="9"/>
  <c r="J39" i="9"/>
  <c r="I39" i="9"/>
  <c r="G39" i="9"/>
  <c r="F39" i="9"/>
  <c r="E39" i="9"/>
  <c r="D39" i="9"/>
  <c r="C39" i="9"/>
  <c r="S38" i="9"/>
  <c r="R38" i="9"/>
  <c r="Q38" i="9"/>
  <c r="P38" i="9"/>
  <c r="O38" i="9"/>
  <c r="N38" i="9"/>
  <c r="M38" i="9"/>
  <c r="L38" i="9"/>
  <c r="K38" i="9"/>
  <c r="J38" i="9"/>
  <c r="I38" i="9"/>
  <c r="G38" i="9"/>
  <c r="F38" i="9"/>
  <c r="E38" i="9"/>
  <c r="D38" i="9"/>
  <c r="C38" i="9"/>
  <c r="S37" i="9"/>
  <c r="R37" i="9"/>
  <c r="Q37" i="9"/>
  <c r="P37" i="9"/>
  <c r="O37" i="9"/>
  <c r="N37" i="9"/>
  <c r="M37" i="9"/>
  <c r="L37" i="9"/>
  <c r="K37" i="9"/>
  <c r="J37" i="9"/>
  <c r="I37" i="9"/>
  <c r="G37" i="9"/>
  <c r="F37" i="9"/>
  <c r="E37" i="9"/>
  <c r="D37" i="9"/>
  <c r="C37" i="9"/>
  <c r="S36" i="9"/>
  <c r="R36" i="9"/>
  <c r="Q36" i="9"/>
  <c r="P36" i="9"/>
  <c r="O36" i="9"/>
  <c r="N36" i="9"/>
  <c r="M36" i="9"/>
  <c r="L36" i="9"/>
  <c r="K36" i="9"/>
  <c r="J36" i="9"/>
  <c r="I36" i="9"/>
  <c r="G36" i="9"/>
  <c r="F36" i="9"/>
  <c r="E36" i="9"/>
  <c r="D36" i="9"/>
  <c r="C36" i="9"/>
  <c r="S33" i="9"/>
  <c r="R33" i="9"/>
  <c r="Q33" i="9"/>
  <c r="P33" i="9"/>
  <c r="O33" i="9"/>
  <c r="N33" i="9"/>
  <c r="M33" i="9"/>
  <c r="L33" i="9"/>
  <c r="K33" i="9"/>
  <c r="J33" i="9"/>
  <c r="I33" i="9"/>
  <c r="G33" i="9"/>
  <c r="F33" i="9"/>
  <c r="E33" i="9"/>
  <c r="D33" i="9"/>
  <c r="C33" i="9"/>
  <c r="S32" i="9"/>
  <c r="R32" i="9"/>
  <c r="Q32" i="9"/>
  <c r="P32" i="9"/>
  <c r="O32" i="9"/>
  <c r="N32" i="9"/>
  <c r="M32" i="9"/>
  <c r="L32" i="9"/>
  <c r="K32" i="9"/>
  <c r="J32" i="9"/>
  <c r="I32" i="9"/>
  <c r="G32" i="9"/>
  <c r="F32" i="9"/>
  <c r="E32" i="9"/>
  <c r="D32" i="9"/>
  <c r="C32" i="9"/>
  <c r="G31" i="9"/>
  <c r="F31" i="9"/>
  <c r="E31" i="9"/>
  <c r="D31" i="9"/>
  <c r="C31" i="9"/>
  <c r="S30" i="9"/>
  <c r="R30" i="9"/>
  <c r="Q30" i="9"/>
  <c r="P30" i="9"/>
  <c r="O30" i="9"/>
  <c r="N30" i="9"/>
  <c r="M30" i="9"/>
  <c r="L30" i="9"/>
  <c r="K30" i="9"/>
  <c r="J30" i="9"/>
  <c r="I30" i="9"/>
  <c r="G30" i="9"/>
  <c r="F30" i="9"/>
  <c r="E30" i="9"/>
  <c r="D30" i="9"/>
  <c r="C30" i="9"/>
  <c r="S26" i="9"/>
  <c r="R26" i="9"/>
  <c r="Q26" i="9"/>
  <c r="P26" i="9"/>
  <c r="O26" i="9"/>
  <c r="N26" i="9"/>
  <c r="M26" i="9"/>
  <c r="L26" i="9"/>
  <c r="K26" i="9"/>
  <c r="J26" i="9"/>
  <c r="I26" i="9"/>
  <c r="G26" i="9"/>
  <c r="F26" i="9"/>
  <c r="E26" i="9"/>
  <c r="D26" i="9"/>
  <c r="C26" i="9"/>
  <c r="S22" i="9"/>
  <c r="R22" i="9"/>
  <c r="Q22" i="9"/>
  <c r="P22" i="9"/>
  <c r="O22" i="9"/>
  <c r="N22" i="9"/>
  <c r="M22" i="9"/>
  <c r="L22" i="9"/>
  <c r="K22" i="9"/>
  <c r="J22" i="9"/>
  <c r="I22" i="9"/>
  <c r="G22" i="9"/>
  <c r="F22" i="9"/>
  <c r="E22" i="9"/>
  <c r="D22" i="9"/>
  <c r="C22" i="9"/>
  <c r="S18" i="9"/>
  <c r="R18" i="9"/>
  <c r="Q18" i="9"/>
  <c r="P18" i="9"/>
  <c r="O18" i="9"/>
  <c r="N18" i="9"/>
  <c r="M18" i="9"/>
  <c r="L18" i="9"/>
  <c r="K18" i="9"/>
  <c r="J18" i="9"/>
  <c r="S17" i="9"/>
  <c r="R17" i="9"/>
  <c r="Q17" i="9"/>
  <c r="P17" i="9"/>
  <c r="O17" i="9"/>
  <c r="N17" i="9"/>
  <c r="M17" i="9"/>
  <c r="L17" i="9"/>
  <c r="K17" i="9"/>
  <c r="J17" i="9"/>
  <c r="S16" i="9"/>
  <c r="R16" i="9"/>
  <c r="Q16" i="9"/>
  <c r="P16" i="9"/>
  <c r="O16" i="9"/>
  <c r="N16" i="9"/>
  <c r="M16" i="9"/>
  <c r="L16" i="9"/>
  <c r="K16" i="9"/>
  <c r="J16" i="9"/>
  <c r="S15" i="9"/>
  <c r="R15" i="9"/>
  <c r="Q15" i="9"/>
  <c r="P15" i="9"/>
  <c r="O15" i="9"/>
  <c r="N15" i="9"/>
  <c r="M15" i="9"/>
  <c r="L15" i="9"/>
  <c r="K15" i="9"/>
  <c r="J15" i="9"/>
  <c r="S14" i="9"/>
  <c r="R14" i="9"/>
  <c r="Q14" i="9"/>
  <c r="P14" i="9"/>
  <c r="O14" i="9"/>
  <c r="N14" i="9"/>
  <c r="M14" i="9"/>
  <c r="L14" i="9"/>
  <c r="K14" i="9"/>
  <c r="J14" i="9"/>
  <c r="S13" i="9"/>
  <c r="R13" i="9"/>
  <c r="Q13" i="9"/>
  <c r="P13" i="9"/>
  <c r="O13" i="9"/>
  <c r="N13" i="9"/>
  <c r="M13" i="9"/>
  <c r="L13" i="9"/>
  <c r="K13" i="9"/>
  <c r="J13" i="9"/>
  <c r="S12" i="9"/>
  <c r="R12" i="9"/>
  <c r="Q12" i="9"/>
  <c r="P12" i="9"/>
  <c r="O12" i="9"/>
  <c r="N12" i="9"/>
  <c r="M12" i="9"/>
  <c r="L12" i="9"/>
  <c r="K12" i="9"/>
  <c r="J12" i="9"/>
  <c r="I18" i="9"/>
  <c r="I17" i="9"/>
  <c r="I16" i="9"/>
  <c r="I15" i="9"/>
  <c r="I14" i="9"/>
  <c r="I13" i="9"/>
  <c r="I12" i="9"/>
  <c r="G18" i="9"/>
  <c r="F18" i="9"/>
  <c r="E18" i="9"/>
  <c r="D18" i="9"/>
  <c r="G17" i="9"/>
  <c r="F17" i="9"/>
  <c r="E17" i="9"/>
  <c r="D17" i="9"/>
  <c r="G16" i="9"/>
  <c r="F16" i="9"/>
  <c r="E16" i="9"/>
  <c r="D16" i="9"/>
  <c r="G15" i="9"/>
  <c r="F15" i="9"/>
  <c r="E15" i="9"/>
  <c r="D15" i="9"/>
  <c r="G14" i="9"/>
  <c r="F14" i="9"/>
  <c r="E14" i="9"/>
  <c r="D14" i="9"/>
  <c r="G13" i="9"/>
  <c r="F13" i="9"/>
  <c r="E13" i="9"/>
  <c r="D13" i="9"/>
  <c r="G12" i="9"/>
  <c r="F12" i="9"/>
  <c r="E12" i="9"/>
  <c r="D12" i="9"/>
  <c r="C18" i="9"/>
  <c r="C17" i="9"/>
  <c r="C16" i="9"/>
  <c r="C15" i="9"/>
  <c r="C14" i="9"/>
  <c r="C13" i="9"/>
  <c r="C12" i="9"/>
  <c r="S7" i="9"/>
  <c r="R7" i="9"/>
  <c r="Q7" i="9"/>
  <c r="P7" i="9"/>
  <c r="O7" i="9"/>
  <c r="N7" i="9"/>
  <c r="M7" i="9"/>
  <c r="L7" i="9"/>
  <c r="K7" i="9"/>
  <c r="J7" i="9"/>
  <c r="S6" i="9"/>
  <c r="R6" i="9"/>
  <c r="Q6" i="9"/>
  <c r="P6" i="9"/>
  <c r="O6" i="9"/>
  <c r="N6" i="9"/>
  <c r="M6" i="9"/>
  <c r="L6" i="9"/>
  <c r="K6" i="9"/>
  <c r="J6" i="9"/>
  <c r="I7" i="9"/>
  <c r="I6" i="9"/>
  <c r="G7" i="9"/>
  <c r="F7" i="9"/>
  <c r="E7" i="9"/>
  <c r="D7" i="9"/>
  <c r="G6" i="9"/>
  <c r="F6" i="9"/>
  <c r="E6" i="9"/>
  <c r="D6" i="9"/>
  <c r="C7" i="9"/>
  <c r="C6" i="9"/>
  <c r="C4" i="9"/>
  <c r="C3" i="9"/>
  <c r="B7" i="9"/>
  <c r="B6" i="9"/>
  <c r="AB26" i="10"/>
  <c r="AA26" i="10"/>
  <c r="Z26" i="10"/>
  <c r="Y26" i="10"/>
  <c r="X26" i="10"/>
  <c r="W26" i="10"/>
  <c r="V26" i="10"/>
  <c r="U26" i="10"/>
  <c r="AB25" i="10"/>
  <c r="AA25" i="10"/>
  <c r="Z25" i="10"/>
  <c r="Y25" i="10"/>
  <c r="X25" i="10"/>
  <c r="W25" i="10"/>
  <c r="V25" i="10"/>
  <c r="U25" i="10"/>
  <c r="AB23" i="10"/>
  <c r="AA23" i="10"/>
  <c r="Z23" i="10"/>
  <c r="Y23" i="10"/>
  <c r="X23" i="10"/>
  <c r="W23" i="10"/>
  <c r="V23" i="10"/>
  <c r="U23" i="10"/>
  <c r="AB21" i="10"/>
  <c r="AA21" i="10"/>
  <c r="Z21" i="10"/>
  <c r="Y21" i="10"/>
  <c r="X21" i="10"/>
  <c r="W21" i="10"/>
  <c r="V21" i="10"/>
  <c r="U21" i="10"/>
  <c r="AB20" i="10"/>
  <c r="AA20" i="10"/>
  <c r="Z20" i="10"/>
  <c r="Y20" i="10"/>
  <c r="X20" i="10"/>
  <c r="W20" i="10"/>
  <c r="V20" i="10"/>
  <c r="U20" i="10"/>
  <c r="AB12" i="10"/>
  <c r="AA12" i="10"/>
  <c r="Z12" i="10"/>
  <c r="Y12" i="10"/>
  <c r="X12" i="10"/>
  <c r="W12" i="10"/>
  <c r="V12" i="10"/>
  <c r="U12" i="10"/>
  <c r="AB10" i="10"/>
  <c r="AA10" i="10"/>
  <c r="Z10" i="10"/>
  <c r="Y10" i="10"/>
  <c r="X10" i="10"/>
  <c r="W10" i="10"/>
  <c r="V10" i="10"/>
  <c r="U10" i="10"/>
  <c r="AA9" i="10"/>
  <c r="Z9" i="10"/>
  <c r="Y9" i="10"/>
  <c r="X9" i="10"/>
  <c r="W9" i="10"/>
  <c r="V9" i="10"/>
  <c r="U9" i="10"/>
  <c r="AB9" i="10"/>
  <c r="AB139" i="8"/>
  <c r="AA139" i="8"/>
  <c r="Z139" i="8"/>
  <c r="Y139" i="8"/>
  <c r="X139" i="8"/>
  <c r="W139" i="8"/>
  <c r="V139" i="8"/>
  <c r="AB138" i="8"/>
  <c r="AA138" i="8"/>
  <c r="Z138" i="8"/>
  <c r="Y138" i="8"/>
  <c r="X138" i="8"/>
  <c r="W138" i="8"/>
  <c r="V138" i="8"/>
  <c r="AB144" i="8"/>
  <c r="AA144" i="8"/>
  <c r="Z144" i="8"/>
  <c r="Y144" i="8"/>
  <c r="X144" i="8"/>
  <c r="W144" i="8"/>
  <c r="V144" i="8"/>
  <c r="AB143" i="8"/>
  <c r="AA143" i="8"/>
  <c r="Z143" i="8"/>
  <c r="Y143" i="8"/>
  <c r="X143" i="8"/>
  <c r="W143" i="8"/>
  <c r="V143" i="8"/>
  <c r="AB142" i="8"/>
  <c r="AA142" i="8"/>
  <c r="Z142" i="8"/>
  <c r="Y142" i="8"/>
  <c r="X142" i="8"/>
  <c r="W142" i="8"/>
  <c r="V142" i="8"/>
  <c r="U144" i="8"/>
  <c r="U143" i="8"/>
  <c r="U142" i="8"/>
  <c r="U139" i="8"/>
  <c r="U138" i="8"/>
  <c r="R142" i="8"/>
  <c r="S142" i="8" s="1"/>
  <c r="Q147" i="8"/>
  <c r="R111" i="8"/>
  <c r="S97" i="8"/>
  <c r="S96" i="8"/>
  <c r="S95" i="8"/>
  <c r="S94" i="8"/>
  <c r="S93" i="8"/>
  <c r="R93" i="8"/>
  <c r="R94" i="8"/>
  <c r="R95" i="8"/>
  <c r="R96" i="8"/>
  <c r="R97" i="8"/>
  <c r="S103" i="8"/>
  <c r="S102" i="8"/>
  <c r="S101" i="8"/>
  <c r="S100" i="8"/>
  <c r="S99" i="8"/>
  <c r="R99" i="8"/>
  <c r="R100" i="8"/>
  <c r="R101" i="8"/>
  <c r="R102" i="8"/>
  <c r="R103" i="8"/>
  <c r="S107" i="8"/>
  <c r="S106" i="8"/>
  <c r="S105" i="8"/>
  <c r="R105" i="8"/>
  <c r="R106" i="8"/>
  <c r="R107" i="8"/>
  <c r="S122" i="8"/>
  <c r="S121" i="8"/>
  <c r="S120" i="8"/>
  <c r="S118" i="8"/>
  <c r="S117" i="8"/>
  <c r="S116" i="8"/>
  <c r="S115" i="8"/>
  <c r="S114" i="8"/>
  <c r="S113" i="8"/>
  <c r="S112" i="8"/>
  <c r="S111" i="8"/>
  <c r="R112" i="8"/>
  <c r="R113" i="8"/>
  <c r="R114" i="8"/>
  <c r="R115" i="8"/>
  <c r="R116" i="8"/>
  <c r="R117" i="8"/>
  <c r="R118" i="8"/>
  <c r="R120" i="8"/>
  <c r="R121" i="8"/>
  <c r="R122" i="8"/>
  <c r="S135" i="8"/>
  <c r="S134" i="8"/>
  <c r="S133" i="8"/>
  <c r="S132" i="8"/>
  <c r="S131" i="8"/>
  <c r="S130" i="8"/>
  <c r="S129" i="8"/>
  <c r="S126" i="8"/>
  <c r="S127" i="8"/>
  <c r="R126" i="8"/>
  <c r="R127" i="8"/>
  <c r="R128" i="8"/>
  <c r="R129" i="8"/>
  <c r="R130" i="8"/>
  <c r="R131" i="8"/>
  <c r="R132" i="8"/>
  <c r="R133" i="8"/>
  <c r="R134" i="8"/>
  <c r="R135" i="8"/>
  <c r="R151" i="8"/>
  <c r="R150" i="8"/>
  <c r="G107" i="8"/>
  <c r="F107" i="8"/>
  <c r="E107" i="8"/>
  <c r="D107" i="8"/>
  <c r="C107" i="8"/>
  <c r="N151" i="8"/>
  <c r="O151" i="8" s="1"/>
  <c r="N150" i="8"/>
  <c r="O150" i="8" s="1"/>
  <c r="J151" i="8"/>
  <c r="K151" i="8" s="1"/>
  <c r="J150" i="8"/>
  <c r="K150" i="8" s="1"/>
  <c r="N142" i="8"/>
  <c r="O142" i="8" s="1"/>
  <c r="O126" i="8"/>
  <c r="P126" i="8" s="1"/>
  <c r="O127" i="8"/>
  <c r="P127" i="8" s="1"/>
  <c r="O134" i="8"/>
  <c r="N135" i="8"/>
  <c r="O135" i="8" s="1"/>
  <c r="N134" i="8"/>
  <c r="N133" i="8"/>
  <c r="O133" i="8" s="1"/>
  <c r="P133" i="8" s="1"/>
  <c r="AB133" i="8" s="1"/>
  <c r="N132" i="8"/>
  <c r="O132" i="8" s="1"/>
  <c r="P132" i="8" s="1"/>
  <c r="Y132" i="8" s="1"/>
  <c r="N131" i="8"/>
  <c r="N130" i="8"/>
  <c r="N129" i="8"/>
  <c r="O129" i="8" s="1"/>
  <c r="N128" i="8"/>
  <c r="O128" i="8" s="1"/>
  <c r="P128" i="8" s="1"/>
  <c r="O111" i="8"/>
  <c r="O112" i="8"/>
  <c r="P112" i="8" s="1"/>
  <c r="Y112" i="8" s="1"/>
  <c r="N122" i="8"/>
  <c r="O122" i="8" s="1"/>
  <c r="N121" i="8"/>
  <c r="O121" i="8" s="1"/>
  <c r="P121" i="8" s="1"/>
  <c r="AB121" i="8" s="1"/>
  <c r="N120" i="8"/>
  <c r="O120" i="8" s="1"/>
  <c r="P120" i="8" s="1"/>
  <c r="AB120" i="8" s="1"/>
  <c r="N118" i="8"/>
  <c r="O118" i="8" s="1"/>
  <c r="P118" i="8" s="1"/>
  <c r="N117" i="8"/>
  <c r="O117" i="8" s="1"/>
  <c r="P117" i="8" s="1"/>
  <c r="AA117" i="8" s="1"/>
  <c r="N116" i="8"/>
  <c r="O116" i="8" s="1"/>
  <c r="P116" i="8" s="1"/>
  <c r="AB116" i="8" s="1"/>
  <c r="N115" i="8"/>
  <c r="O115" i="8" s="1"/>
  <c r="P115" i="8" s="1"/>
  <c r="AB115" i="8" s="1"/>
  <c r="N113" i="8"/>
  <c r="O113" i="8" s="1"/>
  <c r="P113" i="8" s="1"/>
  <c r="AB113" i="8" s="1"/>
  <c r="N107" i="8"/>
  <c r="O107" i="8" s="1"/>
  <c r="P107" i="8" s="1"/>
  <c r="AB107" i="8" s="1"/>
  <c r="N106" i="8"/>
  <c r="O106" i="8" s="1"/>
  <c r="N105" i="8"/>
  <c r="O105" i="8" s="1"/>
  <c r="N103" i="8"/>
  <c r="O103" i="8" s="1"/>
  <c r="P103" i="8" s="1"/>
  <c r="AB103" i="8" s="1"/>
  <c r="N102" i="8"/>
  <c r="O102" i="8" s="1"/>
  <c r="P102" i="8" s="1"/>
  <c r="Z102" i="8" s="1"/>
  <c r="N101" i="8"/>
  <c r="O101" i="8" s="1"/>
  <c r="P101" i="8" s="1"/>
  <c r="Z101" i="8" s="1"/>
  <c r="N100" i="8"/>
  <c r="O100" i="8" s="1"/>
  <c r="P100" i="8" s="1"/>
  <c r="Y100" i="8" s="1"/>
  <c r="N99" i="8"/>
  <c r="O99" i="8" s="1"/>
  <c r="P99" i="8" s="1"/>
  <c r="N97" i="8"/>
  <c r="O97" i="8" s="1"/>
  <c r="P97" i="8" s="1"/>
  <c r="N96" i="8"/>
  <c r="O96" i="8" s="1"/>
  <c r="P96" i="8" s="1"/>
  <c r="AB96" i="8" s="1"/>
  <c r="N95" i="8"/>
  <c r="O95" i="8" s="1"/>
  <c r="P95" i="8" s="1"/>
  <c r="N94" i="8"/>
  <c r="O94" i="8" s="1"/>
  <c r="P94" i="8" s="1"/>
  <c r="AB94" i="8" s="1"/>
  <c r="N93" i="8"/>
  <c r="O93" i="8" s="1"/>
  <c r="P93" i="8" s="1"/>
  <c r="O143" i="8"/>
  <c r="K143" i="8"/>
  <c r="K129" i="8"/>
  <c r="L129" i="8" s="1"/>
  <c r="J142" i="8"/>
  <c r="K142" i="8" s="1"/>
  <c r="J134" i="8"/>
  <c r="K134" i="8" s="1"/>
  <c r="J133" i="8"/>
  <c r="K133" i="8" s="1"/>
  <c r="J132" i="8"/>
  <c r="K132" i="8" s="1"/>
  <c r="L132" i="8" s="1"/>
  <c r="W132" i="8" s="1"/>
  <c r="J131" i="8"/>
  <c r="K131" i="8" s="1"/>
  <c r="L131" i="8" s="1"/>
  <c r="V131" i="8" s="1"/>
  <c r="J130" i="8"/>
  <c r="K130" i="8" s="1"/>
  <c r="J129" i="8"/>
  <c r="J128" i="8"/>
  <c r="K128" i="8" s="1"/>
  <c r="L128" i="8" s="1"/>
  <c r="X128" i="8" s="1"/>
  <c r="J122" i="8"/>
  <c r="K122" i="8" s="1"/>
  <c r="J121" i="8"/>
  <c r="K121" i="8" s="1"/>
  <c r="J120" i="8"/>
  <c r="K120" i="8" s="1"/>
  <c r="L120" i="8" s="1"/>
  <c r="U120" i="8" s="1"/>
  <c r="J118" i="8"/>
  <c r="K118" i="8" s="1"/>
  <c r="L118" i="8" s="1"/>
  <c r="J117" i="8"/>
  <c r="K117" i="8" s="1"/>
  <c r="L117" i="8" s="1"/>
  <c r="V117" i="8" s="1"/>
  <c r="J116" i="8"/>
  <c r="J115" i="8"/>
  <c r="K115" i="8" s="1"/>
  <c r="L115" i="8" s="1"/>
  <c r="V115" i="8" s="1"/>
  <c r="J114" i="8"/>
  <c r="K114" i="8" s="1"/>
  <c r="L114" i="8" s="1"/>
  <c r="X114" i="8" s="1"/>
  <c r="J113" i="8"/>
  <c r="K113" i="8" s="1"/>
  <c r="L113" i="8" s="1"/>
  <c r="J107" i="8"/>
  <c r="K107" i="8" s="1"/>
  <c r="J106" i="8"/>
  <c r="K106" i="8" s="1"/>
  <c r="J105" i="8"/>
  <c r="K105" i="8" s="1"/>
  <c r="J103" i="8"/>
  <c r="K103" i="8" s="1"/>
  <c r="L103" i="8" s="1"/>
  <c r="V103" i="8" s="1"/>
  <c r="J102" i="8"/>
  <c r="J101" i="8"/>
  <c r="K101" i="8" s="1"/>
  <c r="L101" i="8" s="1"/>
  <c r="U101" i="8" s="1"/>
  <c r="J100" i="8"/>
  <c r="K100" i="8" s="1"/>
  <c r="L100" i="8" s="1"/>
  <c r="W100" i="8" s="1"/>
  <c r="J99" i="8"/>
  <c r="J97" i="8"/>
  <c r="K97" i="8" s="1"/>
  <c r="J96" i="8"/>
  <c r="K96" i="8" s="1"/>
  <c r="L96" i="8" s="1"/>
  <c r="U96" i="8" s="1"/>
  <c r="J95" i="8"/>
  <c r="K95" i="8" s="1"/>
  <c r="L95" i="8" s="1"/>
  <c r="J94" i="8"/>
  <c r="K94" i="8" s="1"/>
  <c r="L94" i="8" s="1"/>
  <c r="J93" i="8"/>
  <c r="K93" i="8" s="1"/>
  <c r="N143" i="8"/>
  <c r="J143" i="8"/>
  <c r="I143" i="8"/>
  <c r="M143" i="8"/>
  <c r="AB78" i="8"/>
  <c r="AA78" i="8"/>
  <c r="Z78" i="8"/>
  <c r="X78" i="8"/>
  <c r="W78" i="8"/>
  <c r="V78" i="8"/>
  <c r="P78" i="8"/>
  <c r="Y78" i="8" s="1"/>
  <c r="L78" i="8"/>
  <c r="C62" i="8"/>
  <c r="D143" i="8"/>
  <c r="C143" i="8"/>
  <c r="D139" i="8" s="1"/>
  <c r="D62" i="8"/>
  <c r="G143" i="8"/>
  <c r="F143" i="8"/>
  <c r="E143" i="8"/>
  <c r="L127" i="8"/>
  <c r="W127" i="8" s="1"/>
  <c r="L126" i="8"/>
  <c r="X126" i="8" s="1"/>
  <c r="P114" i="8"/>
  <c r="AB114" i="8" s="1"/>
  <c r="P119" i="8"/>
  <c r="AB119" i="8" s="1"/>
  <c r="L119" i="8"/>
  <c r="X119" i="8" s="1"/>
  <c r="L112" i="8"/>
  <c r="X112" i="8" s="1"/>
  <c r="P98" i="8"/>
  <c r="AB98" i="8" s="1"/>
  <c r="L98" i="8"/>
  <c r="W98" i="8" s="1"/>
  <c r="P34" i="8"/>
  <c r="L34" i="8"/>
  <c r="F76" i="8"/>
  <c r="F79" i="8" s="1"/>
  <c r="AB72" i="8"/>
  <c r="AA72" i="8"/>
  <c r="Z72" i="8"/>
  <c r="X72" i="8"/>
  <c r="W72" i="8"/>
  <c r="V72" i="8"/>
  <c r="P72" i="8"/>
  <c r="Y72" i="8" s="1"/>
  <c r="L72" i="8"/>
  <c r="U72" i="8" s="1"/>
  <c r="AB71" i="8"/>
  <c r="AA71" i="8"/>
  <c r="Z71" i="8"/>
  <c r="X71" i="8"/>
  <c r="W71" i="8"/>
  <c r="V71" i="8"/>
  <c r="P71" i="8"/>
  <c r="Y71" i="8" s="1"/>
  <c r="L71" i="8"/>
  <c r="U71" i="8" s="1"/>
  <c r="L8" i="8"/>
  <c r="P8" i="8"/>
  <c r="P70" i="8"/>
  <c r="L70" i="8"/>
  <c r="P67" i="8"/>
  <c r="L67" i="8"/>
  <c r="P66" i="8"/>
  <c r="L66" i="8"/>
  <c r="L62" i="8"/>
  <c r="L61" i="8"/>
  <c r="L60" i="8"/>
  <c r="P62" i="8"/>
  <c r="P61" i="8"/>
  <c r="P60" i="8"/>
  <c r="P56" i="8"/>
  <c r="P55" i="8"/>
  <c r="P54" i="8"/>
  <c r="P53" i="8"/>
  <c r="P52" i="8"/>
  <c r="L56" i="8"/>
  <c r="L55" i="8"/>
  <c r="L54" i="8"/>
  <c r="L53" i="8"/>
  <c r="L52" i="8"/>
  <c r="P48" i="8"/>
  <c r="P47" i="8"/>
  <c r="P46" i="8"/>
  <c r="P45" i="8"/>
  <c r="P44" i="8"/>
  <c r="P43" i="8"/>
  <c r="P42" i="8"/>
  <c r="L48" i="8"/>
  <c r="L47" i="8"/>
  <c r="L46" i="8"/>
  <c r="L45" i="8"/>
  <c r="L44" i="8"/>
  <c r="L43" i="8"/>
  <c r="L42" i="8"/>
  <c r="P27" i="8"/>
  <c r="P23" i="8"/>
  <c r="L27" i="8"/>
  <c r="L23" i="8"/>
  <c r="P19" i="8"/>
  <c r="P18" i="8"/>
  <c r="P17" i="8"/>
  <c r="P16" i="8"/>
  <c r="P15" i="8"/>
  <c r="P14" i="8"/>
  <c r="P13" i="8"/>
  <c r="L19" i="8"/>
  <c r="L18" i="8"/>
  <c r="L17" i="8"/>
  <c r="L16" i="8"/>
  <c r="L15" i="8"/>
  <c r="L14" i="8"/>
  <c r="L13" i="8"/>
  <c r="P10" i="8"/>
  <c r="L10" i="8"/>
  <c r="P21" i="10"/>
  <c r="P20" i="10"/>
  <c r="L21" i="10"/>
  <c r="L20" i="10"/>
  <c r="P10" i="10"/>
  <c r="P9" i="10"/>
  <c r="L10" i="10"/>
  <c r="L9" i="10"/>
  <c r="U41" i="9" l="1"/>
  <c r="Z40" i="9"/>
  <c r="Z41" i="9"/>
  <c r="AA40" i="9"/>
  <c r="AB41" i="9"/>
  <c r="Y40" i="9"/>
  <c r="Y41" i="9"/>
  <c r="AA41" i="9"/>
  <c r="AB40" i="9"/>
  <c r="V41" i="9"/>
  <c r="W41" i="9"/>
  <c r="X41" i="9"/>
  <c r="X37" i="9"/>
  <c r="X38" i="9"/>
  <c r="V40" i="9"/>
  <c r="U40" i="9"/>
  <c r="W40" i="9"/>
  <c r="X40" i="9"/>
  <c r="AA38" i="9"/>
  <c r="AB37" i="9"/>
  <c r="W37" i="9"/>
  <c r="V37" i="9"/>
  <c r="W38" i="9"/>
  <c r="V38" i="9"/>
  <c r="Z38" i="9"/>
  <c r="Z37" i="9"/>
  <c r="AA37" i="9"/>
  <c r="AB38" i="9"/>
  <c r="U37" i="9"/>
  <c r="U38" i="9"/>
  <c r="Y37" i="9"/>
  <c r="Y38" i="9"/>
  <c r="AB12" i="9"/>
  <c r="Z13" i="9"/>
  <c r="X14" i="9"/>
  <c r="V15" i="9"/>
  <c r="AA13" i="9"/>
  <c r="Z14" i="9"/>
  <c r="AB13" i="9"/>
  <c r="AA12" i="9"/>
  <c r="Y13" i="9"/>
  <c r="W14" i="9"/>
  <c r="Z12" i="9"/>
  <c r="V12" i="9"/>
  <c r="Y14" i="9"/>
  <c r="X15" i="9"/>
  <c r="U15" i="9"/>
  <c r="Y12" i="9"/>
  <c r="X13" i="9"/>
  <c r="V14" i="9"/>
  <c r="AB14" i="9"/>
  <c r="AD14" i="9" s="1"/>
  <c r="AB15" i="9"/>
  <c r="Y15" i="9"/>
  <c r="W13" i="9"/>
  <c r="U12" i="9"/>
  <c r="U13" i="9"/>
  <c r="U14" i="9"/>
  <c r="W15" i="9"/>
  <c r="AA14" i="9"/>
  <c r="V13" i="9"/>
  <c r="Z15" i="9"/>
  <c r="X12" i="9"/>
  <c r="AA15" i="9"/>
  <c r="W12" i="9"/>
  <c r="C8" i="9"/>
  <c r="C19" i="9" s="1"/>
  <c r="C72" i="9"/>
  <c r="C81" i="9" s="1"/>
  <c r="C52" i="9"/>
  <c r="AB97" i="8"/>
  <c r="AB95" i="8"/>
  <c r="AB93" i="8"/>
  <c r="AB99" i="8"/>
  <c r="AB118" i="8"/>
  <c r="AB126" i="8"/>
  <c r="AB127" i="8"/>
  <c r="AB128" i="8"/>
  <c r="W118" i="8"/>
  <c r="W94" i="8"/>
  <c r="K102" i="8"/>
  <c r="L102" i="8" s="1"/>
  <c r="L130" i="8"/>
  <c r="W130" i="8" s="1"/>
  <c r="K116" i="8"/>
  <c r="L116" i="8" s="1"/>
  <c r="O131" i="8"/>
  <c r="X131" i="8" s="1"/>
  <c r="X113" i="8"/>
  <c r="AD113" i="8" s="1"/>
  <c r="L121" i="8"/>
  <c r="V121" i="8" s="1"/>
  <c r="L97" i="8"/>
  <c r="X97" i="8" s="1"/>
  <c r="L93" i="8"/>
  <c r="X93" i="8" s="1"/>
  <c r="L133" i="8"/>
  <c r="X133" i="8" s="1"/>
  <c r="O130" i="8"/>
  <c r="P130" i="8" s="1"/>
  <c r="K99" i="8"/>
  <c r="L107" i="8"/>
  <c r="V107" i="8" s="1"/>
  <c r="P129" i="8"/>
  <c r="Z129" i="8" s="1"/>
  <c r="X129" i="8"/>
  <c r="X95" i="8"/>
  <c r="Y107" i="8"/>
  <c r="Z107" i="8"/>
  <c r="AA107" i="8"/>
  <c r="U78" i="8"/>
  <c r="AD78" i="8"/>
  <c r="U131" i="8"/>
  <c r="AA132" i="8"/>
  <c r="W131" i="8"/>
  <c r="AA128" i="8"/>
  <c r="Z132" i="8"/>
  <c r="U132" i="8"/>
  <c r="W129" i="8"/>
  <c r="V132" i="8"/>
  <c r="AB132" i="8"/>
  <c r="U130" i="8"/>
  <c r="X132" i="8"/>
  <c r="U129" i="8"/>
  <c r="V129" i="8"/>
  <c r="U127" i="8"/>
  <c r="X127" i="8"/>
  <c r="Y128" i="8"/>
  <c r="AA133" i="8"/>
  <c r="V127" i="8"/>
  <c r="W126" i="8"/>
  <c r="Y126" i="8"/>
  <c r="AA126" i="8"/>
  <c r="Z128" i="8"/>
  <c r="AD126" i="8"/>
  <c r="AD128" i="8"/>
  <c r="AD133" i="8"/>
  <c r="U133" i="8"/>
  <c r="Z126" i="8"/>
  <c r="Y127" i="8"/>
  <c r="V128" i="8"/>
  <c r="U128" i="8"/>
  <c r="U126" i="8"/>
  <c r="Z127" i="8"/>
  <c r="W128" i="8"/>
  <c r="Y133" i="8"/>
  <c r="V126" i="8"/>
  <c r="AA127" i="8"/>
  <c r="Z133" i="8"/>
  <c r="Y113" i="8"/>
  <c r="Z113" i="8"/>
  <c r="U118" i="8"/>
  <c r="V118" i="8"/>
  <c r="X118" i="8"/>
  <c r="AD118" i="8" s="1"/>
  <c r="U113" i="8"/>
  <c r="U114" i="8"/>
  <c r="V113" i="8"/>
  <c r="V114" i="8"/>
  <c r="W113" i="8"/>
  <c r="W114" i="8"/>
  <c r="Z119" i="8"/>
  <c r="Z114" i="8"/>
  <c r="AD114" i="8"/>
  <c r="AA113" i="8"/>
  <c r="Y114" i="8"/>
  <c r="AA114" i="8"/>
  <c r="AA119" i="8"/>
  <c r="Y118" i="8"/>
  <c r="Z118" i="8"/>
  <c r="W120" i="8"/>
  <c r="X117" i="8"/>
  <c r="AA118" i="8"/>
  <c r="Z120" i="8"/>
  <c r="AA115" i="8"/>
  <c r="AA120" i="8"/>
  <c r="AD119" i="8"/>
  <c r="AB117" i="8"/>
  <c r="W117" i="8"/>
  <c r="Y119" i="8"/>
  <c r="V120" i="8"/>
  <c r="X120" i="8"/>
  <c r="AD120" i="8" s="1"/>
  <c r="Z117" i="8"/>
  <c r="Y120" i="8"/>
  <c r="Y117" i="8"/>
  <c r="U119" i="8"/>
  <c r="U117" i="8"/>
  <c r="W119" i="8"/>
  <c r="V119" i="8"/>
  <c r="AA116" i="8"/>
  <c r="Y115" i="8"/>
  <c r="AA112" i="8"/>
  <c r="W121" i="8"/>
  <c r="Y116" i="8"/>
  <c r="X115" i="8"/>
  <c r="AD115" i="8" s="1"/>
  <c r="Z116" i="8"/>
  <c r="U121" i="8"/>
  <c r="X121" i="8"/>
  <c r="AD121" i="8" s="1"/>
  <c r="Z121" i="8"/>
  <c r="Z112" i="8"/>
  <c r="W115" i="8"/>
  <c r="U112" i="8"/>
  <c r="Z115" i="8"/>
  <c r="Y121" i="8"/>
  <c r="V112" i="8"/>
  <c r="W112" i="8"/>
  <c r="AA121" i="8"/>
  <c r="U115" i="8"/>
  <c r="AB112" i="8"/>
  <c r="AD112" i="8" s="1"/>
  <c r="Y95" i="8"/>
  <c r="Z95" i="8"/>
  <c r="Y96" i="8"/>
  <c r="AA95" i="8"/>
  <c r="V96" i="8"/>
  <c r="W96" i="8"/>
  <c r="X96" i="8"/>
  <c r="AD96" i="8" s="1"/>
  <c r="U95" i="8"/>
  <c r="Z96" i="8"/>
  <c r="V95" i="8"/>
  <c r="AA96" i="8"/>
  <c r="W95" i="8"/>
  <c r="Z100" i="8"/>
  <c r="Z99" i="8"/>
  <c r="AA100" i="8"/>
  <c r="X98" i="8"/>
  <c r="AD98" i="8" s="1"/>
  <c r="Y98" i="8"/>
  <c r="Z98" i="8"/>
  <c r="AA98" i="8"/>
  <c r="AA99" i="8"/>
  <c r="AB100" i="8"/>
  <c r="U100" i="8"/>
  <c r="Y99" i="8"/>
  <c r="V100" i="8"/>
  <c r="U98" i="8"/>
  <c r="V98" i="8"/>
  <c r="X100" i="8"/>
  <c r="X94" i="8"/>
  <c r="AD94" i="8" s="1"/>
  <c r="Y97" i="8"/>
  <c r="U94" i="8"/>
  <c r="Z97" i="8"/>
  <c r="V94" i="8"/>
  <c r="AA97" i="8"/>
  <c r="AA101" i="8"/>
  <c r="AB101" i="8"/>
  <c r="V101" i="8"/>
  <c r="W101" i="8"/>
  <c r="Y94" i="8"/>
  <c r="X101" i="8"/>
  <c r="Z94" i="8"/>
  <c r="Y101" i="8"/>
  <c r="AA94" i="8"/>
  <c r="U103" i="8"/>
  <c r="Y93" i="8"/>
  <c r="W103" i="8"/>
  <c r="Z93" i="8"/>
  <c r="X103" i="8"/>
  <c r="AD103" i="8" s="1"/>
  <c r="AA93" i="8"/>
  <c r="Y103" i="8"/>
  <c r="AA102" i="8"/>
  <c r="Z103" i="8"/>
  <c r="AA103" i="8"/>
  <c r="Y102" i="8"/>
  <c r="AB102" i="8"/>
  <c r="AB75" i="8"/>
  <c r="AA75" i="8"/>
  <c r="Z75" i="8"/>
  <c r="X75" i="8"/>
  <c r="W75" i="8"/>
  <c r="V75" i="8"/>
  <c r="AB74" i="8"/>
  <c r="AA74" i="8"/>
  <c r="Z74" i="8"/>
  <c r="X74" i="8"/>
  <c r="W74" i="8"/>
  <c r="V74" i="8"/>
  <c r="AB73" i="8"/>
  <c r="AA73" i="8"/>
  <c r="Z73" i="8"/>
  <c r="X73" i="8"/>
  <c r="W73" i="8"/>
  <c r="V73" i="8"/>
  <c r="P75" i="8"/>
  <c r="Y75" i="8" s="1"/>
  <c r="P74" i="8"/>
  <c r="Y74" i="8" s="1"/>
  <c r="P73" i="8"/>
  <c r="Y73" i="8" s="1"/>
  <c r="L75" i="8"/>
  <c r="U75" i="8" s="1"/>
  <c r="L74" i="8"/>
  <c r="U74" i="8" s="1"/>
  <c r="L73" i="8"/>
  <c r="U73" i="8" s="1"/>
  <c r="Y62" i="8"/>
  <c r="Y61" i="8"/>
  <c r="U62" i="8"/>
  <c r="U61" i="8"/>
  <c r="AB62" i="8"/>
  <c r="AA62" i="8"/>
  <c r="Z62" i="8"/>
  <c r="X62" i="8"/>
  <c r="W62" i="8"/>
  <c r="V62" i="8"/>
  <c r="AB61" i="8"/>
  <c r="AA61" i="8"/>
  <c r="Z61" i="8"/>
  <c r="X61" i="8"/>
  <c r="W61" i="8"/>
  <c r="V61" i="8"/>
  <c r="Y47" i="8"/>
  <c r="Y46" i="8"/>
  <c r="Y44" i="8"/>
  <c r="Y43" i="8"/>
  <c r="U47" i="8"/>
  <c r="U46" i="8"/>
  <c r="U44" i="8"/>
  <c r="U43" i="8"/>
  <c r="AB44" i="8"/>
  <c r="AA44" i="8"/>
  <c r="Z44" i="8"/>
  <c r="X44" i="8"/>
  <c r="W44" i="8"/>
  <c r="V44" i="8"/>
  <c r="AB43" i="8"/>
  <c r="AA43" i="8"/>
  <c r="Z43" i="8"/>
  <c r="X43" i="8"/>
  <c r="W43" i="8"/>
  <c r="V43" i="8"/>
  <c r="AB47" i="8"/>
  <c r="AA47" i="8"/>
  <c r="Z47" i="8"/>
  <c r="X47" i="8"/>
  <c r="W47" i="8"/>
  <c r="V47" i="8"/>
  <c r="AB46" i="8"/>
  <c r="AA46" i="8"/>
  <c r="Z46" i="8"/>
  <c r="X46" i="8"/>
  <c r="W46" i="8"/>
  <c r="V46" i="8"/>
  <c r="AB19" i="8"/>
  <c r="Y18" i="8"/>
  <c r="AB17" i="8"/>
  <c r="Y16" i="8"/>
  <c r="AB15" i="8"/>
  <c r="Y14" i="8"/>
  <c r="U19" i="8"/>
  <c r="X18" i="8"/>
  <c r="U17" i="8"/>
  <c r="X16" i="8"/>
  <c r="U15" i="8"/>
  <c r="X14" i="8"/>
  <c r="S4" i="10"/>
  <c r="AB4" i="10" s="1"/>
  <c r="R4" i="10"/>
  <c r="AA4" i="10" s="1"/>
  <c r="Q4" i="10"/>
  <c r="Z4" i="10" s="1"/>
  <c r="O4" i="10"/>
  <c r="X4" i="10" s="1"/>
  <c r="N4" i="10"/>
  <c r="W4" i="10" s="1"/>
  <c r="M4" i="10"/>
  <c r="V4" i="10" s="1"/>
  <c r="K4" i="10"/>
  <c r="J4" i="10"/>
  <c r="I4" i="10"/>
  <c r="S3" i="10"/>
  <c r="AB3" i="10" s="1"/>
  <c r="R3" i="10"/>
  <c r="AA3" i="10" s="1"/>
  <c r="Q3" i="10"/>
  <c r="Z3" i="10" s="1"/>
  <c r="P3" i="10"/>
  <c r="Y3" i="10" s="1"/>
  <c r="O3" i="10"/>
  <c r="X3" i="10" s="1"/>
  <c r="N3" i="10"/>
  <c r="W3" i="10" s="1"/>
  <c r="M3" i="10"/>
  <c r="V3" i="10" s="1"/>
  <c r="L3" i="10"/>
  <c r="U3" i="10" s="1"/>
  <c r="K3" i="10"/>
  <c r="J3" i="10"/>
  <c r="I3" i="10"/>
  <c r="G4" i="10"/>
  <c r="F4" i="10"/>
  <c r="E4" i="10"/>
  <c r="D4" i="10"/>
  <c r="C4" i="10"/>
  <c r="G3" i="10"/>
  <c r="F3" i="10"/>
  <c r="E3" i="10"/>
  <c r="D3" i="10"/>
  <c r="C3" i="10"/>
  <c r="D22" i="10"/>
  <c r="D26" i="10" s="1"/>
  <c r="C22" i="10"/>
  <c r="C26" i="10" s="1"/>
  <c r="D11" i="10"/>
  <c r="C11" i="10"/>
  <c r="B2" i="10"/>
  <c r="B26" i="10"/>
  <c r="B25" i="10"/>
  <c r="S22" i="10"/>
  <c r="R22" i="10"/>
  <c r="R26" i="10" s="1"/>
  <c r="Q22" i="10"/>
  <c r="O22" i="10"/>
  <c r="O26" i="10" s="1"/>
  <c r="N22" i="10"/>
  <c r="N26" i="10" s="1"/>
  <c r="M22" i="10"/>
  <c r="M26" i="10" s="1"/>
  <c r="K22" i="10"/>
  <c r="J22" i="10"/>
  <c r="J26" i="10" s="1"/>
  <c r="I22" i="10"/>
  <c r="G22" i="10"/>
  <c r="G26" i="10" s="1"/>
  <c r="F22" i="10"/>
  <c r="F26" i="10" s="1"/>
  <c r="E22" i="10"/>
  <c r="E26" i="10" s="1"/>
  <c r="B15" i="10"/>
  <c r="B14" i="10"/>
  <c r="S11" i="10"/>
  <c r="S15" i="10" s="1"/>
  <c r="AB15" i="10" s="1"/>
  <c r="R11" i="10"/>
  <c r="Q11" i="10"/>
  <c r="O11" i="10"/>
  <c r="N11" i="10"/>
  <c r="N15" i="10" s="1"/>
  <c r="W15" i="10" s="1"/>
  <c r="M11" i="10"/>
  <c r="K11" i="10"/>
  <c r="K15" i="10" s="1"/>
  <c r="J11" i="10"/>
  <c r="I11" i="10"/>
  <c r="I15" i="10" s="1"/>
  <c r="G11" i="10"/>
  <c r="F11" i="10"/>
  <c r="F15" i="10" s="1"/>
  <c r="E11" i="10"/>
  <c r="AD15" i="9" l="1"/>
  <c r="AD13" i="9"/>
  <c r="AD12" i="9"/>
  <c r="C20" i="9"/>
  <c r="C23" i="9"/>
  <c r="AD97" i="8"/>
  <c r="AD95" i="8"/>
  <c r="AD93" i="8"/>
  <c r="AD127" i="8"/>
  <c r="AB130" i="8"/>
  <c r="Z130" i="8"/>
  <c r="AA130" i="8"/>
  <c r="L99" i="8"/>
  <c r="U99" i="8" s="1"/>
  <c r="V116" i="8"/>
  <c r="X116" i="8"/>
  <c r="AD116" i="8" s="1"/>
  <c r="U102" i="8"/>
  <c r="X102" i="8"/>
  <c r="V102" i="8"/>
  <c r="W102" i="8"/>
  <c r="X130" i="8"/>
  <c r="V99" i="8"/>
  <c r="X99" i="8"/>
  <c r="AD99" i="8" s="1"/>
  <c r="U116" i="8"/>
  <c r="V130" i="8"/>
  <c r="W116" i="8"/>
  <c r="P131" i="8"/>
  <c r="W93" i="8"/>
  <c r="W97" i="8"/>
  <c r="U93" i="8"/>
  <c r="V93" i="8"/>
  <c r="W133" i="8"/>
  <c r="Y130" i="8"/>
  <c r="V97" i="8"/>
  <c r="V133" i="8"/>
  <c r="AA129" i="8"/>
  <c r="U97" i="8"/>
  <c r="U107" i="8"/>
  <c r="X107" i="8"/>
  <c r="W107" i="8"/>
  <c r="Y129" i="8"/>
  <c r="AB129" i="8"/>
  <c r="AD129" i="8" s="1"/>
  <c r="AD132" i="8"/>
  <c r="AD117" i="8"/>
  <c r="AD100" i="8"/>
  <c r="AD101" i="8"/>
  <c r="AD102" i="8"/>
  <c r="AD61" i="8"/>
  <c r="AD62" i="8"/>
  <c r="AB18" i="8"/>
  <c r="AD18" i="8" s="1"/>
  <c r="AD43" i="8"/>
  <c r="AD44" i="8"/>
  <c r="AD47" i="8"/>
  <c r="AD46" i="8"/>
  <c r="X17" i="8"/>
  <c r="AD17" i="8" s="1"/>
  <c r="AB16" i="8"/>
  <c r="AD16" i="8" s="1"/>
  <c r="V15" i="8"/>
  <c r="X15" i="8"/>
  <c r="AD15" i="8" s="1"/>
  <c r="V17" i="8"/>
  <c r="Z18" i="8"/>
  <c r="Z14" i="8"/>
  <c r="AB14" i="8"/>
  <c r="AD14" i="8" s="1"/>
  <c r="X19" i="8"/>
  <c r="AD19" i="8" s="1"/>
  <c r="Z16" i="8"/>
  <c r="V19" i="8"/>
  <c r="AA14" i="8"/>
  <c r="W15" i="8"/>
  <c r="AA16" i="8"/>
  <c r="W17" i="8"/>
  <c r="AA18" i="8"/>
  <c r="W19" i="8"/>
  <c r="U14" i="8"/>
  <c r="Y15" i="8"/>
  <c r="U16" i="8"/>
  <c r="Y17" i="8"/>
  <c r="U18" i="8"/>
  <c r="Y19" i="8"/>
  <c r="V14" i="8"/>
  <c r="Z15" i="8"/>
  <c r="V16" i="8"/>
  <c r="Z17" i="8"/>
  <c r="V18" i="8"/>
  <c r="Z19" i="8"/>
  <c r="W14" i="8"/>
  <c r="AA15" i="8"/>
  <c r="W16" i="8"/>
  <c r="AA17" i="8"/>
  <c r="W18" i="8"/>
  <c r="AA19" i="8"/>
  <c r="I23" i="10"/>
  <c r="C23" i="10"/>
  <c r="N23" i="10"/>
  <c r="F23" i="10"/>
  <c r="G23" i="10"/>
  <c r="O23" i="10"/>
  <c r="Q23" i="10"/>
  <c r="J23" i="10"/>
  <c r="R23" i="10"/>
  <c r="S23" i="10"/>
  <c r="D23" i="10"/>
  <c r="K23" i="10"/>
  <c r="E23" i="10"/>
  <c r="M23" i="10"/>
  <c r="M15" i="10"/>
  <c r="V15" i="10" s="1"/>
  <c r="C14" i="10"/>
  <c r="C15" i="10"/>
  <c r="D25" i="10"/>
  <c r="C25" i="10"/>
  <c r="D15" i="10"/>
  <c r="D14" i="10"/>
  <c r="F14" i="10"/>
  <c r="E25" i="10"/>
  <c r="O25" i="10"/>
  <c r="Q15" i="10"/>
  <c r="Z15" i="10" s="1"/>
  <c r="M14" i="10"/>
  <c r="V14" i="10" s="1"/>
  <c r="E15" i="10"/>
  <c r="G25" i="10"/>
  <c r="I14" i="10"/>
  <c r="N14" i="10"/>
  <c r="W14" i="10" s="1"/>
  <c r="J25" i="10"/>
  <c r="Q14" i="10"/>
  <c r="Z14" i="10" s="1"/>
  <c r="M25" i="10"/>
  <c r="E14" i="10"/>
  <c r="R25" i="10"/>
  <c r="K14" i="10"/>
  <c r="S14" i="10"/>
  <c r="AB14" i="10" s="1"/>
  <c r="G15" i="10"/>
  <c r="O15" i="10"/>
  <c r="X15" i="10" s="1"/>
  <c r="P22" i="10"/>
  <c r="I26" i="10"/>
  <c r="Q26" i="10"/>
  <c r="L11" i="10"/>
  <c r="F25" i="10"/>
  <c r="N25" i="10"/>
  <c r="J15" i="10"/>
  <c r="R15" i="10"/>
  <c r="AA15" i="10" s="1"/>
  <c r="K26" i="10"/>
  <c r="S26" i="10"/>
  <c r="G14" i="10"/>
  <c r="O14" i="10"/>
  <c r="X14" i="10" s="1"/>
  <c r="L22" i="10"/>
  <c r="I25" i="10"/>
  <c r="Q25" i="10"/>
  <c r="P11" i="10"/>
  <c r="J14" i="10"/>
  <c r="R14" i="10"/>
  <c r="AA14" i="10" s="1"/>
  <c r="K25" i="10"/>
  <c r="S25" i="10"/>
  <c r="C24" i="9" l="1"/>
  <c r="C27" i="9"/>
  <c r="AD130" i="8"/>
  <c r="W99" i="8"/>
  <c r="AB131" i="8"/>
  <c r="AD131" i="8" s="1"/>
  <c r="Z131" i="8"/>
  <c r="AA131" i="8"/>
  <c r="Y131" i="8"/>
  <c r="Z22" i="10"/>
  <c r="P23" i="10"/>
  <c r="L23" i="10"/>
  <c r="P25" i="10"/>
  <c r="Z11" i="10"/>
  <c r="X22" i="10"/>
  <c r="X11" i="10"/>
  <c r="V11" i="10"/>
  <c r="AA11" i="10"/>
  <c r="AA22" i="10"/>
  <c r="U22" i="10"/>
  <c r="V22" i="10"/>
  <c r="U11" i="10"/>
  <c r="AB22" i="10"/>
  <c r="Y22" i="10"/>
  <c r="AB11" i="10"/>
  <c r="W22" i="10"/>
  <c r="L26" i="10"/>
  <c r="L25" i="10"/>
  <c r="W11" i="10"/>
  <c r="Y11" i="10"/>
  <c r="P26" i="10"/>
  <c r="L15" i="10"/>
  <c r="U15" i="10" s="1"/>
  <c r="L14" i="10"/>
  <c r="U14" i="10" s="1"/>
  <c r="P15" i="10"/>
  <c r="Y15" i="10" s="1"/>
  <c r="P14" i="10"/>
  <c r="Y14" i="10" s="1"/>
  <c r="C34" i="9" l="1"/>
  <c r="C45" i="9" s="1"/>
  <c r="C80" i="9" a="1"/>
  <c r="C80" i="9" s="1"/>
  <c r="C76" i="9"/>
  <c r="C77" i="9"/>
  <c r="C79" i="9" a="1"/>
  <c r="C79" i="9" s="1"/>
  <c r="C78" i="9"/>
  <c r="C28" i="9"/>
  <c r="Y23" i="8"/>
  <c r="X23" i="8"/>
  <c r="AB13" i="8"/>
  <c r="X13" i="8"/>
  <c r="AA34" i="8"/>
  <c r="Z34" i="8"/>
  <c r="Y34" i="8"/>
  <c r="X34" i="8"/>
  <c r="W34" i="8"/>
  <c r="V34" i="8"/>
  <c r="U34" i="8"/>
  <c r="AA31" i="8"/>
  <c r="Z31" i="8"/>
  <c r="X31" i="8"/>
  <c r="W31" i="8"/>
  <c r="V31" i="8"/>
  <c r="U49" i="9"/>
  <c r="Y42" i="8"/>
  <c r="U45" i="8"/>
  <c r="Y45" i="8"/>
  <c r="U55" i="9"/>
  <c r="Y48" i="8"/>
  <c r="U55" i="8"/>
  <c r="U54" i="8"/>
  <c r="U53" i="8"/>
  <c r="U58" i="9"/>
  <c r="U59" i="9"/>
  <c r="Y56" i="8"/>
  <c r="Y55" i="8"/>
  <c r="Y54" i="8"/>
  <c r="Y53" i="8"/>
  <c r="Y52" i="8"/>
  <c r="Y60" i="8"/>
  <c r="Y66" i="8"/>
  <c r="U66" i="9"/>
  <c r="S49" i="8"/>
  <c r="R49" i="8"/>
  <c r="Q49" i="8"/>
  <c r="O49" i="8"/>
  <c r="N49" i="8"/>
  <c r="M49" i="8"/>
  <c r="K49" i="8"/>
  <c r="J49" i="8"/>
  <c r="I49" i="8"/>
  <c r="G49" i="8"/>
  <c r="F49" i="8"/>
  <c r="E49" i="8"/>
  <c r="D49" i="8"/>
  <c r="C49" i="8"/>
  <c r="C57" i="8" s="1"/>
  <c r="P135" i="8"/>
  <c r="L135" i="8"/>
  <c r="P134" i="8"/>
  <c r="L134" i="8"/>
  <c r="P122" i="8"/>
  <c r="L122" i="8"/>
  <c r="P111" i="8"/>
  <c r="L111" i="8"/>
  <c r="AB55" i="8"/>
  <c r="AA55" i="8"/>
  <c r="Z55" i="8"/>
  <c r="X55" i="8"/>
  <c r="W55" i="8"/>
  <c r="V55" i="8"/>
  <c r="AB54" i="8"/>
  <c r="AA54" i="8"/>
  <c r="Z54" i="8"/>
  <c r="X54" i="8"/>
  <c r="W54" i="8"/>
  <c r="V54" i="8"/>
  <c r="AB45" i="8"/>
  <c r="AA45" i="8"/>
  <c r="Z45" i="8"/>
  <c r="X45" i="8"/>
  <c r="W45" i="8"/>
  <c r="V45" i="8"/>
  <c r="AB67" i="8"/>
  <c r="AA67" i="8"/>
  <c r="Z67" i="8"/>
  <c r="X67" i="8"/>
  <c r="W67" i="8"/>
  <c r="V67" i="8"/>
  <c r="Y67" i="8"/>
  <c r="U67" i="8"/>
  <c r="C136" i="8"/>
  <c r="C123" i="8"/>
  <c r="C87" i="8"/>
  <c r="C86" i="8"/>
  <c r="C76" i="8"/>
  <c r="C79" i="8" s="1"/>
  <c r="C63" i="8"/>
  <c r="C68" i="8" s="1"/>
  <c r="C39" i="8"/>
  <c r="C38" i="8"/>
  <c r="C11" i="8"/>
  <c r="C20" i="8" s="1"/>
  <c r="AA68" i="9"/>
  <c r="Z68" i="9"/>
  <c r="X68" i="9"/>
  <c r="W68" i="9"/>
  <c r="V68" i="9"/>
  <c r="AA70" i="8"/>
  <c r="Z70" i="8"/>
  <c r="X70" i="8"/>
  <c r="W70" i="8"/>
  <c r="V70" i="8"/>
  <c r="AA66" i="8"/>
  <c r="Z66" i="8"/>
  <c r="X66" i="8"/>
  <c r="W66" i="8"/>
  <c r="V66" i="8"/>
  <c r="AA60" i="8"/>
  <c r="Z60" i="8"/>
  <c r="AA56" i="8"/>
  <c r="Z56" i="8"/>
  <c r="X56" i="8"/>
  <c r="W56" i="8"/>
  <c r="V56" i="8"/>
  <c r="AA53" i="8"/>
  <c r="Z53" i="8"/>
  <c r="X53" i="8"/>
  <c r="W53" i="8"/>
  <c r="V53" i="8"/>
  <c r="AA52" i="8"/>
  <c r="Z52" i="8"/>
  <c r="X52" i="8"/>
  <c r="W52" i="8"/>
  <c r="V52" i="8"/>
  <c r="AA48" i="8"/>
  <c r="Z48" i="8"/>
  <c r="X48" i="8"/>
  <c r="W48" i="8"/>
  <c r="V48" i="8"/>
  <c r="AA42" i="8"/>
  <c r="Z42" i="8"/>
  <c r="X42" i="8"/>
  <c r="W42" i="8"/>
  <c r="V42" i="8"/>
  <c r="P51" i="9"/>
  <c r="Y51" i="9" s="1"/>
  <c r="L51" i="9"/>
  <c r="U51" i="9" s="1"/>
  <c r="AB59" i="9"/>
  <c r="AA59" i="9"/>
  <c r="Z59" i="9"/>
  <c r="AB58" i="9"/>
  <c r="AA58" i="9"/>
  <c r="Z58" i="9"/>
  <c r="X58" i="9"/>
  <c r="W58" i="9"/>
  <c r="V58" i="9"/>
  <c r="AB56" i="9"/>
  <c r="AA56" i="9"/>
  <c r="Z56" i="9"/>
  <c r="X56" i="9"/>
  <c r="W56" i="9"/>
  <c r="V56" i="9"/>
  <c r="AB55" i="9"/>
  <c r="AA55" i="9"/>
  <c r="Z55" i="9"/>
  <c r="X55" i="9"/>
  <c r="W55" i="9"/>
  <c r="V55" i="9"/>
  <c r="AA66" i="9"/>
  <c r="Z66" i="9"/>
  <c r="X66" i="9"/>
  <c r="W66" i="9"/>
  <c r="V66" i="9"/>
  <c r="AA65" i="9"/>
  <c r="Z65" i="9"/>
  <c r="X65" i="9"/>
  <c r="W65" i="9"/>
  <c r="V65" i="9"/>
  <c r="AB68" i="9"/>
  <c r="X51" i="9"/>
  <c r="W51" i="9"/>
  <c r="V51" i="9"/>
  <c r="AA51" i="9"/>
  <c r="Z51" i="9"/>
  <c r="Y68" i="9"/>
  <c r="U68" i="9"/>
  <c r="S69" i="9"/>
  <c r="R69" i="9"/>
  <c r="Q69" i="9"/>
  <c r="O69" i="9"/>
  <c r="N69" i="9"/>
  <c r="M69" i="9"/>
  <c r="K69" i="9"/>
  <c r="J69" i="9"/>
  <c r="I69" i="9"/>
  <c r="G69" i="9"/>
  <c r="F69" i="9"/>
  <c r="E69" i="9"/>
  <c r="D69" i="9"/>
  <c r="AA50" i="9"/>
  <c r="Z50" i="9"/>
  <c r="X50" i="9"/>
  <c r="W50" i="9"/>
  <c r="V50" i="9"/>
  <c r="AA49" i="9"/>
  <c r="Z49" i="9"/>
  <c r="X49" i="9"/>
  <c r="W49" i="9"/>
  <c r="V49" i="9"/>
  <c r="S31" i="9"/>
  <c r="R31" i="9"/>
  <c r="Q31" i="9"/>
  <c r="O31" i="9"/>
  <c r="N31" i="9"/>
  <c r="M31" i="9"/>
  <c r="K31" i="9"/>
  <c r="J31" i="9"/>
  <c r="I31" i="9"/>
  <c r="L150" i="8"/>
  <c r="P106" i="8"/>
  <c r="X60" i="8"/>
  <c r="W59" i="9"/>
  <c r="V59" i="9"/>
  <c r="L151" i="8"/>
  <c r="L31" i="9" s="1"/>
  <c r="P151" i="8"/>
  <c r="P31" i="9" s="1"/>
  <c r="P150" i="8"/>
  <c r="P143" i="8"/>
  <c r="P142" i="8"/>
  <c r="L143" i="8"/>
  <c r="L142" i="8"/>
  <c r="AB70" i="8"/>
  <c r="AB66" i="8"/>
  <c r="AB60" i="8"/>
  <c r="AB56" i="8"/>
  <c r="AB53" i="8"/>
  <c r="AB52" i="8"/>
  <c r="AB48" i="8"/>
  <c r="AB42" i="8"/>
  <c r="U56" i="9"/>
  <c r="U66" i="8"/>
  <c r="Y70" i="8"/>
  <c r="U70" i="8"/>
  <c r="AA27" i="8"/>
  <c r="U27" i="8"/>
  <c r="L31" i="8"/>
  <c r="U31" i="8" s="1"/>
  <c r="Y65" i="9"/>
  <c r="U65" i="9"/>
  <c r="AB31" i="8"/>
  <c r="AB34" i="8"/>
  <c r="P31" i="8"/>
  <c r="Y31" i="8" s="1"/>
  <c r="U69" i="9" l="1"/>
  <c r="W69" i="9"/>
  <c r="V69" i="9"/>
  <c r="C80" i="8"/>
  <c r="AB23" i="8"/>
  <c r="AD23" i="8" s="1"/>
  <c r="C12" i="10"/>
  <c r="U7" i="9"/>
  <c r="V6" i="9"/>
  <c r="U6" i="9"/>
  <c r="W6" i="9"/>
  <c r="V7" i="9"/>
  <c r="X6" i="9"/>
  <c r="W7" i="9"/>
  <c r="X7" i="9"/>
  <c r="Z23" i="8"/>
  <c r="AA23" i="8"/>
  <c r="U23" i="8"/>
  <c r="V23" i="8"/>
  <c r="W23" i="8"/>
  <c r="X49" i="8"/>
  <c r="Z49" i="8"/>
  <c r="AA49" i="8"/>
  <c r="AB49" i="8"/>
  <c r="P49" i="8"/>
  <c r="L49" i="8"/>
  <c r="U50" i="9"/>
  <c r="Y49" i="8"/>
  <c r="AD54" i="8"/>
  <c r="AD55" i="8"/>
  <c r="AD45" i="8"/>
  <c r="AD67" i="8"/>
  <c r="C24" i="8"/>
  <c r="C82" i="8"/>
  <c r="W17" i="9"/>
  <c r="V42" i="9"/>
  <c r="W42" i="9"/>
  <c r="X17" i="9"/>
  <c r="Z17" i="9"/>
  <c r="AA17" i="9"/>
  <c r="Y17" i="9"/>
  <c r="U17" i="9"/>
  <c r="U42" i="9"/>
  <c r="V122" i="8"/>
  <c r="U48" i="8"/>
  <c r="U60" i="8"/>
  <c r="W122" i="8"/>
  <c r="V60" i="8"/>
  <c r="U42" i="8"/>
  <c r="W60" i="8"/>
  <c r="U56" i="8"/>
  <c r="Y106" i="8"/>
  <c r="V17" i="9"/>
  <c r="U52" i="8"/>
  <c r="Z106" i="8"/>
  <c r="AA106" i="8"/>
  <c r="U122" i="8"/>
  <c r="V27" i="8"/>
  <c r="W27" i="8"/>
  <c r="X27" i="8"/>
  <c r="Y27" i="8"/>
  <c r="AD48" i="8"/>
  <c r="AD56" i="8"/>
  <c r="Z27" i="8"/>
  <c r="U13" i="8"/>
  <c r="AD75" i="8"/>
  <c r="V13" i="8"/>
  <c r="AD53" i="8"/>
  <c r="AD66" i="8"/>
  <c r="W13" i="8"/>
  <c r="Y13" i="8"/>
  <c r="Z13" i="8"/>
  <c r="AA13" i="8"/>
  <c r="Q123" i="8"/>
  <c r="X59" i="9"/>
  <c r="Y55" i="9"/>
  <c r="Y59" i="9"/>
  <c r="Y66" i="9"/>
  <c r="Y56" i="9"/>
  <c r="D123" i="8"/>
  <c r="Y58" i="9"/>
  <c r="Z69" i="9"/>
  <c r="AB69" i="9"/>
  <c r="X69" i="9"/>
  <c r="L69" i="9"/>
  <c r="Y69" i="9"/>
  <c r="AA69" i="9"/>
  <c r="P69" i="9"/>
  <c r="G123" i="8"/>
  <c r="U18" i="9"/>
  <c r="X26" i="9"/>
  <c r="AA16" i="9"/>
  <c r="V39" i="9"/>
  <c r="Y50" i="9"/>
  <c r="Y49" i="9"/>
  <c r="M123" i="8"/>
  <c r="U16" i="9"/>
  <c r="AB18" i="9"/>
  <c r="AB17" i="9"/>
  <c r="E123" i="8"/>
  <c r="I123" i="8"/>
  <c r="F123" i="8"/>
  <c r="L106" i="8"/>
  <c r="U106" i="8" s="1"/>
  <c r="X111" i="8"/>
  <c r="L105" i="8"/>
  <c r="U105" i="8" s="1"/>
  <c r="S123" i="8"/>
  <c r="Y111" i="8"/>
  <c r="P105" i="8"/>
  <c r="Y105" i="8" s="1"/>
  <c r="AB106" i="8"/>
  <c r="AB27" i="8"/>
  <c r="AD34" i="8"/>
  <c r="X8" i="9" l="1"/>
  <c r="W8" i="9"/>
  <c r="V8" i="9"/>
  <c r="U8" i="9"/>
  <c r="U19" i="9" s="1"/>
  <c r="W26" i="9"/>
  <c r="AA39" i="9"/>
  <c r="Y18" i="9"/>
  <c r="C21" i="8"/>
  <c r="W43" i="9"/>
  <c r="AA18" i="9"/>
  <c r="U134" i="8"/>
  <c r="V16" i="9"/>
  <c r="V106" i="8"/>
  <c r="V134" i="8"/>
  <c r="Z111" i="8"/>
  <c r="X18" i="9"/>
  <c r="AD18" i="9" s="1"/>
  <c r="W18" i="9"/>
  <c r="V43" i="9"/>
  <c r="AA105" i="8"/>
  <c r="Z18" i="9"/>
  <c r="Z16" i="9"/>
  <c r="X39" i="9"/>
  <c r="W39" i="9"/>
  <c r="X134" i="8"/>
  <c r="V18" i="9"/>
  <c r="U39" i="9"/>
  <c r="X122" i="8"/>
  <c r="X123" i="8" s="1"/>
  <c r="Y16" i="9"/>
  <c r="U26" i="9"/>
  <c r="V26" i="9"/>
  <c r="W134" i="8"/>
  <c r="AA111" i="8"/>
  <c r="V111" i="8"/>
  <c r="V123" i="8" s="1"/>
  <c r="Z105" i="8"/>
  <c r="X105" i="8"/>
  <c r="V105" i="8"/>
  <c r="X106" i="8"/>
  <c r="AD106" i="8" s="1"/>
  <c r="W106" i="8"/>
  <c r="W16" i="9"/>
  <c r="X16" i="9"/>
  <c r="W111" i="8"/>
  <c r="W123" i="8" s="1"/>
  <c r="W105" i="8"/>
  <c r="U111" i="8"/>
  <c r="U123" i="8" s="1"/>
  <c r="Y39" i="9"/>
  <c r="U43" i="9"/>
  <c r="Z39" i="9"/>
  <c r="X43" i="9"/>
  <c r="AD17" i="9"/>
  <c r="AB16" i="9"/>
  <c r="AA122" i="8"/>
  <c r="AB105" i="8"/>
  <c r="AA22" i="9"/>
  <c r="K123" i="8"/>
  <c r="AA36" i="9"/>
  <c r="U22" i="9"/>
  <c r="J123" i="8"/>
  <c r="R123" i="8"/>
  <c r="O123" i="8"/>
  <c r="AB111" i="8"/>
  <c r="N123" i="8"/>
  <c r="AD27" i="8"/>
  <c r="AB66" i="9"/>
  <c r="AB65" i="9"/>
  <c r="S139" i="8"/>
  <c r="O139" i="8"/>
  <c r="N139" i="8"/>
  <c r="L139" i="8"/>
  <c r="K139" i="8"/>
  <c r="I136" i="8"/>
  <c r="J136" i="8"/>
  <c r="K136" i="8"/>
  <c r="J139" i="8"/>
  <c r="Q139" i="8"/>
  <c r="M139" i="8"/>
  <c r="V19" i="9" l="1"/>
  <c r="W19" i="9"/>
  <c r="X19" i="9"/>
  <c r="AA123" i="8"/>
  <c r="Z7" i="9"/>
  <c r="Y7" i="9"/>
  <c r="AA7" i="9"/>
  <c r="Z6" i="9"/>
  <c r="Y6" i="9"/>
  <c r="AA6" i="9"/>
  <c r="C28" i="8"/>
  <c r="C90" i="8" s="1"/>
  <c r="C108" i="8" s="1"/>
  <c r="C25" i="8"/>
  <c r="V22" i="9"/>
  <c r="Y122" i="8"/>
  <c r="Y123" i="8" s="1"/>
  <c r="Z22" i="9"/>
  <c r="AD16" i="9"/>
  <c r="Y22" i="9"/>
  <c r="Y134" i="8"/>
  <c r="L123" i="8"/>
  <c r="Y36" i="9"/>
  <c r="Y26" i="9"/>
  <c r="AA26" i="9"/>
  <c r="AA134" i="8"/>
  <c r="Z36" i="9"/>
  <c r="Z134" i="8"/>
  <c r="X135" i="8"/>
  <c r="V135" i="8"/>
  <c r="W135" i="8"/>
  <c r="U135" i="8"/>
  <c r="X22" i="9"/>
  <c r="W22" i="9"/>
  <c r="Z26" i="9"/>
  <c r="AA135" i="8"/>
  <c r="Y135" i="8"/>
  <c r="Z135" i="8"/>
  <c r="X42" i="9"/>
  <c r="AB42" i="9"/>
  <c r="Z122" i="8"/>
  <c r="Z123" i="8" s="1"/>
  <c r="AD111" i="8"/>
  <c r="AB134" i="8"/>
  <c r="AD134" i="8" s="1"/>
  <c r="AB122" i="8"/>
  <c r="AD122" i="8" s="1"/>
  <c r="X36" i="9"/>
  <c r="P123" i="8"/>
  <c r="R139" i="8"/>
  <c r="U150" i="8"/>
  <c r="AB135" i="8"/>
  <c r="G8" i="9"/>
  <c r="G19" i="9" s="1"/>
  <c r="D8" i="9"/>
  <c r="D19" i="9" s="1"/>
  <c r="E8" i="9"/>
  <c r="E19" i="9" s="1"/>
  <c r="F8" i="9"/>
  <c r="F19" i="9" s="1"/>
  <c r="L8" i="9"/>
  <c r="L19" i="9" s="1"/>
  <c r="J8" i="9"/>
  <c r="J19" i="9" s="1"/>
  <c r="K8" i="9"/>
  <c r="K19" i="9" s="1"/>
  <c r="I8" i="9"/>
  <c r="I19" i="9" s="1"/>
  <c r="R8" i="9"/>
  <c r="R19" i="9" s="1"/>
  <c r="Q8" i="9"/>
  <c r="Q19" i="9" s="1"/>
  <c r="S8" i="9"/>
  <c r="S19" i="9" s="1"/>
  <c r="O8" i="9"/>
  <c r="O19" i="9" s="1"/>
  <c r="N8" i="9"/>
  <c r="N19" i="9" s="1"/>
  <c r="M8" i="9"/>
  <c r="M19" i="9" s="1"/>
  <c r="E139" i="8"/>
  <c r="F139" i="8"/>
  <c r="G139" i="8"/>
  <c r="P139" i="8"/>
  <c r="I139" i="8" l="1"/>
  <c r="AB123" i="8"/>
  <c r="U23" i="9"/>
  <c r="U27" i="9" s="1"/>
  <c r="Z8" i="9"/>
  <c r="AA8" i="9"/>
  <c r="C35" i="8"/>
  <c r="C32" i="8"/>
  <c r="V23" i="9"/>
  <c r="V27" i="9" s="1"/>
  <c r="C29" i="8"/>
  <c r="X23" i="9"/>
  <c r="X27" i="9" s="1"/>
  <c r="W23" i="9"/>
  <c r="W27" i="9" s="1"/>
  <c r="Y42" i="9"/>
  <c r="U36" i="9"/>
  <c r="W36" i="9"/>
  <c r="Z42" i="9"/>
  <c r="AD135" i="8"/>
  <c r="AA43" i="9"/>
  <c r="Z43" i="9"/>
  <c r="Y43" i="9"/>
  <c r="AA42" i="9"/>
  <c r="V36" i="9"/>
  <c r="P8" i="9"/>
  <c r="P19" i="9" s="1"/>
  <c r="AB43" i="9"/>
  <c r="Z150" i="8"/>
  <c r="AA150" i="8"/>
  <c r="X150" i="8"/>
  <c r="W150" i="8"/>
  <c r="V150" i="8"/>
  <c r="AB150" i="8"/>
  <c r="Y150" i="8"/>
  <c r="AA19" i="9" l="1"/>
  <c r="AA23" i="9" s="1"/>
  <c r="AA27" i="9" s="1"/>
  <c r="Z19" i="9"/>
  <c r="Z23" i="9" s="1"/>
  <c r="Z27" i="9" s="1"/>
  <c r="Y8" i="9"/>
  <c r="C144" i="8"/>
  <c r="Y19" i="9" l="1"/>
  <c r="Y23" i="9" s="1"/>
  <c r="Y27" i="9" s="1"/>
  <c r="C140" i="8"/>
  <c r="C145" i="8" s="1"/>
  <c r="D138" i="8" s="1"/>
  <c r="AB51" i="9"/>
  <c r="AB50" i="9"/>
  <c r="P4" i="10"/>
  <c r="Y4" i="10" s="1"/>
  <c r="L4" i="10"/>
  <c r="U4" i="10" s="1"/>
  <c r="C147" i="8" l="1"/>
  <c r="F52" i="9"/>
  <c r="R52" i="9"/>
  <c r="E52" i="9"/>
  <c r="K52" i="9"/>
  <c r="G52" i="9"/>
  <c r="O52" i="9"/>
  <c r="D52" i="9"/>
  <c r="J52" i="9"/>
  <c r="I52" i="9"/>
  <c r="M52" i="9"/>
  <c r="N52" i="9"/>
  <c r="Q52" i="9"/>
  <c r="S52" i="9"/>
  <c r="B2" i="9" l="1"/>
  <c r="S63" i="8"/>
  <c r="R63" i="8"/>
  <c r="AA61" i="9" s="1"/>
  <c r="Q63" i="8"/>
  <c r="Z61" i="9" s="1"/>
  <c r="O63" i="8"/>
  <c r="X61" i="9" s="1"/>
  <c r="N63" i="8"/>
  <c r="W61" i="9" s="1"/>
  <c r="M63" i="8"/>
  <c r="V61" i="9" s="1"/>
  <c r="K63" i="8"/>
  <c r="J63" i="8"/>
  <c r="I63" i="8"/>
  <c r="G63" i="8"/>
  <c r="F63" i="8"/>
  <c r="E63" i="8"/>
  <c r="D63" i="8"/>
  <c r="AB49" i="9"/>
  <c r="AB52" i="9" s="1"/>
  <c r="S4" i="9"/>
  <c r="AB4" i="9" s="1"/>
  <c r="S3" i="9"/>
  <c r="AB3" i="9" s="1"/>
  <c r="AB8" i="8"/>
  <c r="AB87" i="8" s="1"/>
  <c r="AB7" i="8"/>
  <c r="AB86" i="8" s="1"/>
  <c r="S87" i="8"/>
  <c r="S86" i="8"/>
  <c r="S76" i="8"/>
  <c r="S39" i="8"/>
  <c r="S38" i="8"/>
  <c r="S11" i="8"/>
  <c r="S20" i="8" s="1"/>
  <c r="Q136" i="8"/>
  <c r="G136" i="8"/>
  <c r="F136" i="8"/>
  <c r="E136" i="8"/>
  <c r="AA52" i="9"/>
  <c r="Z52" i="9"/>
  <c r="X52" i="9"/>
  <c r="R4" i="9"/>
  <c r="AA4" i="9" s="1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J4" i="9"/>
  <c r="I4" i="9"/>
  <c r="R3" i="9"/>
  <c r="AA3" i="9" s="1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J3" i="9"/>
  <c r="I3" i="9"/>
  <c r="G4" i="9"/>
  <c r="F4" i="9"/>
  <c r="E4" i="9"/>
  <c r="D4" i="9"/>
  <c r="G3" i="9"/>
  <c r="F3" i="9"/>
  <c r="E3" i="9"/>
  <c r="D3" i="9"/>
  <c r="K76" i="8"/>
  <c r="R87" i="8"/>
  <c r="Q87" i="8"/>
  <c r="P87" i="8"/>
  <c r="O87" i="8"/>
  <c r="N87" i="8"/>
  <c r="M87" i="8"/>
  <c r="L87" i="8"/>
  <c r="K87" i="8"/>
  <c r="J87" i="8"/>
  <c r="I87" i="8"/>
  <c r="R86" i="8"/>
  <c r="Q86" i="8"/>
  <c r="P86" i="8"/>
  <c r="O86" i="8"/>
  <c r="N86" i="8"/>
  <c r="M86" i="8"/>
  <c r="L86" i="8"/>
  <c r="K86" i="8"/>
  <c r="J86" i="8"/>
  <c r="I86" i="8"/>
  <c r="O76" i="8"/>
  <c r="N76" i="8"/>
  <c r="M76" i="8"/>
  <c r="J76" i="8"/>
  <c r="I76" i="8"/>
  <c r="R39" i="8"/>
  <c r="Q39" i="8"/>
  <c r="P39" i="8"/>
  <c r="O39" i="8"/>
  <c r="N39" i="8"/>
  <c r="M39" i="8"/>
  <c r="L39" i="8"/>
  <c r="K39" i="8"/>
  <c r="J39" i="8"/>
  <c r="I39" i="8"/>
  <c r="R38" i="8"/>
  <c r="Q38" i="8"/>
  <c r="P38" i="8"/>
  <c r="O38" i="8"/>
  <c r="N38" i="8"/>
  <c r="M38" i="8"/>
  <c r="L38" i="8"/>
  <c r="K38" i="8"/>
  <c r="J38" i="8"/>
  <c r="I38" i="8"/>
  <c r="G39" i="8"/>
  <c r="F39" i="8"/>
  <c r="E39" i="8"/>
  <c r="D39" i="8"/>
  <c r="G38" i="8"/>
  <c r="F38" i="8"/>
  <c r="E38" i="8"/>
  <c r="D38" i="8"/>
  <c r="N11" i="8"/>
  <c r="N20" i="8" s="1"/>
  <c r="M11" i="8"/>
  <c r="M20" i="8" s="1"/>
  <c r="K11" i="8"/>
  <c r="K20" i="8" s="1"/>
  <c r="J11" i="8"/>
  <c r="J20" i="8" s="1"/>
  <c r="I11" i="8"/>
  <c r="I20" i="8" s="1"/>
  <c r="R11" i="8"/>
  <c r="R20" i="8" s="1"/>
  <c r="V8" i="8"/>
  <c r="U8" i="8"/>
  <c r="V7" i="8"/>
  <c r="U7" i="8"/>
  <c r="Z8" i="8"/>
  <c r="Y8" i="8"/>
  <c r="X8" i="8"/>
  <c r="W8" i="8"/>
  <c r="Z7" i="8"/>
  <c r="Y7" i="8"/>
  <c r="X7" i="8"/>
  <c r="W7" i="8"/>
  <c r="AA8" i="8"/>
  <c r="AA7" i="8"/>
  <c r="I79" i="8" l="1"/>
  <c r="AB71" i="9"/>
  <c r="S79" i="8"/>
  <c r="J79" i="8"/>
  <c r="K79" i="8"/>
  <c r="V71" i="9"/>
  <c r="M79" i="8"/>
  <c r="W71" i="9"/>
  <c r="N79" i="8"/>
  <c r="X71" i="9"/>
  <c r="O79" i="8"/>
  <c r="K12" i="10"/>
  <c r="I12" i="10"/>
  <c r="J12" i="10"/>
  <c r="M24" i="8"/>
  <c r="M12" i="10"/>
  <c r="S24" i="8"/>
  <c r="S12" i="10"/>
  <c r="N24" i="8"/>
  <c r="N12" i="10"/>
  <c r="R12" i="10"/>
  <c r="U10" i="8"/>
  <c r="W10" i="8"/>
  <c r="X10" i="8"/>
  <c r="V10" i="8"/>
  <c r="AA10" i="8"/>
  <c r="Z10" i="8"/>
  <c r="Y10" i="8"/>
  <c r="AD42" i="8"/>
  <c r="AD70" i="8"/>
  <c r="AD52" i="8"/>
  <c r="AD60" i="8"/>
  <c r="S68" i="8"/>
  <c r="Z151" i="8"/>
  <c r="L52" i="9"/>
  <c r="K57" i="8"/>
  <c r="Z63" i="8"/>
  <c r="AA63" i="8"/>
  <c r="AB63" i="8"/>
  <c r="X63" i="8"/>
  <c r="L63" i="8"/>
  <c r="U61" i="9" s="1"/>
  <c r="P63" i="8"/>
  <c r="Y61" i="9" s="1"/>
  <c r="K68" i="8"/>
  <c r="AB76" i="8"/>
  <c r="AB79" i="8" s="1"/>
  <c r="AB10" i="8"/>
  <c r="J68" i="8"/>
  <c r="AB38" i="8"/>
  <c r="AB39" i="8"/>
  <c r="I68" i="8"/>
  <c r="J57" i="8"/>
  <c r="D136" i="8"/>
  <c r="R136" i="8"/>
  <c r="M136" i="8"/>
  <c r="N136" i="8"/>
  <c r="R57" i="8"/>
  <c r="O57" i="8"/>
  <c r="I57" i="8"/>
  <c r="N57" i="8"/>
  <c r="M57" i="8"/>
  <c r="G68" i="8"/>
  <c r="X151" i="8"/>
  <c r="W52" i="9"/>
  <c r="V52" i="9"/>
  <c r="Y151" i="8"/>
  <c r="V151" i="8"/>
  <c r="W151" i="8"/>
  <c r="U151" i="8"/>
  <c r="L11" i="8"/>
  <c r="L20" i="8" s="1"/>
  <c r="L76" i="8"/>
  <c r="L57" i="8"/>
  <c r="P57" i="8"/>
  <c r="K80" i="8" l="1"/>
  <c r="K82" i="8" s="1"/>
  <c r="J80" i="8"/>
  <c r="J82" i="8" s="1"/>
  <c r="S80" i="8"/>
  <c r="U71" i="9"/>
  <c r="U72" i="9" s="1"/>
  <c r="U81" i="9" s="1"/>
  <c r="L79" i="8"/>
  <c r="I80" i="8"/>
  <c r="I82" i="8" s="1"/>
  <c r="L24" i="8"/>
  <c r="L12" i="10"/>
  <c r="K24" i="8"/>
  <c r="AB62" i="9"/>
  <c r="AB7" i="9"/>
  <c r="AD7" i="9" s="1"/>
  <c r="J24" i="8"/>
  <c r="S21" i="8"/>
  <c r="S28" i="8"/>
  <c r="S90" i="8" s="1"/>
  <c r="I24" i="8"/>
  <c r="Y63" i="8"/>
  <c r="AD13" i="8"/>
  <c r="AB57" i="8"/>
  <c r="AB68" i="8"/>
  <c r="AB80" i="8" s="1"/>
  <c r="AD63" i="8"/>
  <c r="AB11" i="8"/>
  <c r="AB20" i="8" s="1"/>
  <c r="AD10" i="8"/>
  <c r="P52" i="9"/>
  <c r="Y52" i="9"/>
  <c r="W72" i="9"/>
  <c r="W81" i="9" s="1"/>
  <c r="V72" i="9"/>
  <c r="V81" i="9" s="1"/>
  <c r="S72" i="9"/>
  <c r="S81" i="9" s="1"/>
  <c r="AB32" i="9"/>
  <c r="X32" i="9"/>
  <c r="X72" i="9"/>
  <c r="X81" i="9" s="1"/>
  <c r="AB72" i="9"/>
  <c r="AB81" i="9" s="1"/>
  <c r="S57" i="8"/>
  <c r="AB61" i="9"/>
  <c r="AB30" i="9"/>
  <c r="S136" i="8"/>
  <c r="O136" i="8"/>
  <c r="AB36" i="9"/>
  <c r="U52" i="9"/>
  <c r="N68" i="8"/>
  <c r="W62" i="9" s="1"/>
  <c r="M68" i="8"/>
  <c r="V62" i="9" s="1"/>
  <c r="L68" i="8"/>
  <c r="U62" i="9" s="1"/>
  <c r="O68" i="8"/>
  <c r="X62" i="9" s="1"/>
  <c r="V31" i="9"/>
  <c r="Y31" i="9"/>
  <c r="Z30" i="9"/>
  <c r="AB33" i="9"/>
  <c r="W31" i="9"/>
  <c r="AA30" i="9"/>
  <c r="X31" i="9"/>
  <c r="Y30" i="9"/>
  <c r="U31" i="9"/>
  <c r="N21" i="8"/>
  <c r="N28" i="8"/>
  <c r="N90" i="8" s="1"/>
  <c r="M21" i="8"/>
  <c r="M80" i="8" l="1"/>
  <c r="M82" i="8" s="1"/>
  <c r="L80" i="8"/>
  <c r="N80" i="8"/>
  <c r="N82" i="8" s="1"/>
  <c r="O80" i="8"/>
  <c r="O82" i="8" s="1"/>
  <c r="S35" i="8"/>
  <c r="S32" i="8"/>
  <c r="N35" i="8"/>
  <c r="N32" i="8"/>
  <c r="M28" i="8"/>
  <c r="M90" i="8" s="1"/>
  <c r="J28" i="8"/>
  <c r="J90" i="8" s="1"/>
  <c r="K25" i="8"/>
  <c r="K21" i="8"/>
  <c r="J21" i="8"/>
  <c r="S82" i="8"/>
  <c r="S23" i="9"/>
  <c r="S27" i="9" s="1"/>
  <c r="S25" i="8"/>
  <c r="I28" i="8"/>
  <c r="I90" i="8" s="1"/>
  <c r="I21" i="8"/>
  <c r="AB82" i="8"/>
  <c r="Z32" i="9"/>
  <c r="AA32" i="9"/>
  <c r="Y32" i="9"/>
  <c r="AD32" i="9"/>
  <c r="V32" i="9"/>
  <c r="W32" i="9"/>
  <c r="U32" i="9"/>
  <c r="AA31" i="9"/>
  <c r="AA151" i="8"/>
  <c r="Z31" i="9"/>
  <c r="AA33" i="9"/>
  <c r="N25" i="8"/>
  <c r="AA136" i="8"/>
  <c r="AB136" i="8"/>
  <c r="Y136" i="8"/>
  <c r="W136" i="8"/>
  <c r="Z136" i="8"/>
  <c r="P136" i="8"/>
  <c r="L82" i="8"/>
  <c r="Z33" i="9"/>
  <c r="AD105" i="8"/>
  <c r="Y33" i="9"/>
  <c r="W30" i="9"/>
  <c r="V30" i="9"/>
  <c r="X30" i="9"/>
  <c r="U30" i="9"/>
  <c r="X33" i="9"/>
  <c r="AD33" i="9" s="1"/>
  <c r="U33" i="9"/>
  <c r="V33" i="9"/>
  <c r="W33" i="9"/>
  <c r="L21" i="8"/>
  <c r="L28" i="8"/>
  <c r="L90" i="8" s="1"/>
  <c r="M25" i="8"/>
  <c r="M32" i="8" l="1"/>
  <c r="M35" i="8"/>
  <c r="I35" i="8"/>
  <c r="I32" i="8"/>
  <c r="J32" i="8"/>
  <c r="J35" i="8"/>
  <c r="L35" i="8"/>
  <c r="L32" i="8"/>
  <c r="S108" i="8"/>
  <c r="S144" i="8" s="1"/>
  <c r="N108" i="8"/>
  <c r="N144" i="8" s="1"/>
  <c r="Y34" i="9"/>
  <c r="Z34" i="9"/>
  <c r="AA34" i="9"/>
  <c r="U34" i="9"/>
  <c r="AD30" i="9"/>
  <c r="X34" i="9"/>
  <c r="V34" i="9"/>
  <c r="W34" i="9"/>
  <c r="K28" i="8"/>
  <c r="K90" i="8" s="1"/>
  <c r="J25" i="8"/>
  <c r="AB24" i="8"/>
  <c r="S29" i="8"/>
  <c r="S20" i="9"/>
  <c r="I25" i="8"/>
  <c r="AD31" i="8"/>
  <c r="AD123" i="8"/>
  <c r="AB31" i="9"/>
  <c r="AD31" i="9" s="1"/>
  <c r="AB151" i="8"/>
  <c r="AB26" i="9"/>
  <c r="AD26" i="9" s="1"/>
  <c r="AB22" i="9"/>
  <c r="AB39" i="9"/>
  <c r="S24" i="9"/>
  <c r="J29" i="8"/>
  <c r="L25" i="8"/>
  <c r="U136" i="8"/>
  <c r="L136" i="8"/>
  <c r="X136" i="8"/>
  <c r="AD136" i="8" s="1"/>
  <c r="V136" i="8"/>
  <c r="N29" i="8"/>
  <c r="M29" i="8"/>
  <c r="K35" i="8" l="1"/>
  <c r="K32" i="8"/>
  <c r="I108" i="8"/>
  <c r="I144" i="8" s="1"/>
  <c r="M108" i="8"/>
  <c r="M144" i="8" s="1"/>
  <c r="J108" i="8"/>
  <c r="J144" i="8" s="1"/>
  <c r="K29" i="8"/>
  <c r="AB21" i="8"/>
  <c r="AB28" i="8"/>
  <c r="AB90" i="8" s="1"/>
  <c r="AD22" i="9"/>
  <c r="AB6" i="9"/>
  <c r="AB8" i="9" s="1"/>
  <c r="I29" i="8"/>
  <c r="S28" i="9"/>
  <c r="S34" i="9"/>
  <c r="S44" i="9" s="1"/>
  <c r="L29" i="8"/>
  <c r="AB19" i="9" l="1"/>
  <c r="AB23" i="9" s="1"/>
  <c r="AB27" i="9" s="1"/>
  <c r="AB34" i="9" s="1"/>
  <c r="AB35" i="8"/>
  <c r="AB32" i="8"/>
  <c r="K108" i="8"/>
  <c r="K144" i="8" s="1"/>
  <c r="AB29" i="8"/>
  <c r="AB25" i="8"/>
  <c r="X20" i="9"/>
  <c r="W20" i="9"/>
  <c r="U20" i="9"/>
  <c r="Z9" i="9"/>
  <c r="AD6" i="9"/>
  <c r="S45" i="9"/>
  <c r="U24" i="9"/>
  <c r="L108" i="8"/>
  <c r="L144" i="8" s="1"/>
  <c r="V79" i="9" l="1" a="1"/>
  <c r="V79" i="9" s="1"/>
  <c r="W78" i="9"/>
  <c r="V20" i="9"/>
  <c r="Y9" i="9"/>
  <c r="AD8" i="9"/>
  <c r="AB9" i="9"/>
  <c r="AD9" i="9" s="1"/>
  <c r="V24" i="9"/>
  <c r="W24" i="9"/>
  <c r="Z20" i="9"/>
  <c r="U80" i="9" a="1"/>
  <c r="U80" i="9" s="1"/>
  <c r="U78" i="9"/>
  <c r="U79" i="9" a="1"/>
  <c r="U79" i="9" s="1"/>
  <c r="U77" i="9"/>
  <c r="U28" i="9"/>
  <c r="U76" i="9"/>
  <c r="B87" i="8"/>
  <c r="B86" i="8"/>
  <c r="G87" i="8"/>
  <c r="F87" i="8"/>
  <c r="E87" i="8"/>
  <c r="D87" i="8"/>
  <c r="G86" i="8"/>
  <c r="F86" i="8"/>
  <c r="E86" i="8"/>
  <c r="D86" i="8"/>
  <c r="B39" i="8"/>
  <c r="B38" i="8"/>
  <c r="AA39" i="8"/>
  <c r="Z39" i="8"/>
  <c r="Y39" i="8"/>
  <c r="W39" i="8"/>
  <c r="V39" i="8"/>
  <c r="U39" i="8"/>
  <c r="X39" i="8"/>
  <c r="AA38" i="8"/>
  <c r="Z38" i="8"/>
  <c r="Y38" i="8"/>
  <c r="X38" i="8"/>
  <c r="W38" i="8"/>
  <c r="V38" i="8"/>
  <c r="U38" i="8"/>
  <c r="W80" i="9" l="1" a="1"/>
  <c r="W80" i="9" s="1"/>
  <c r="V77" i="9"/>
  <c r="W28" i="9"/>
  <c r="W76" i="9"/>
  <c r="W79" i="9" a="1"/>
  <c r="W79" i="9" s="1"/>
  <c r="V80" i="9" a="1"/>
  <c r="V80" i="9" s="1"/>
  <c r="W77" i="9"/>
  <c r="V78" i="9"/>
  <c r="V28" i="9"/>
  <c r="V76" i="9"/>
  <c r="X76" i="9"/>
  <c r="X24" i="9"/>
  <c r="Y20" i="9"/>
  <c r="Z24" i="9"/>
  <c r="U86" i="8"/>
  <c r="U87" i="8"/>
  <c r="X86" i="8"/>
  <c r="Y86" i="8"/>
  <c r="Y87" i="8"/>
  <c r="Z87" i="8"/>
  <c r="W86" i="8"/>
  <c r="Z86" i="8"/>
  <c r="W87" i="8"/>
  <c r="V87" i="8"/>
  <c r="AA86" i="8"/>
  <c r="X87" i="8"/>
  <c r="V86" i="8"/>
  <c r="AA87" i="8"/>
  <c r="X80" i="9" l="1" a="1"/>
  <c r="X80" i="9" s="1"/>
  <c r="X79" i="9" a="1"/>
  <c r="X79" i="9" s="1"/>
  <c r="X28" i="9"/>
  <c r="X77" i="9"/>
  <c r="X78" i="9"/>
  <c r="Y24" i="9"/>
  <c r="AB20" i="9"/>
  <c r="AD20" i="9" s="1"/>
  <c r="AD19" i="9"/>
  <c r="Z78" i="9"/>
  <c r="Z28" i="9"/>
  <c r="Z80" i="9" a="1"/>
  <c r="Z80" i="9" s="1"/>
  <c r="Z79" i="9" a="1"/>
  <c r="Z79" i="9" s="1"/>
  <c r="Z76" i="9"/>
  <c r="Z77" i="9"/>
  <c r="AD23" i="9" l="1"/>
  <c r="AB24" i="9"/>
  <c r="AD24" i="9" s="1"/>
  <c r="Y78" i="9"/>
  <c r="Y77" i="9"/>
  <c r="Y79" i="9" a="1"/>
  <c r="Y79" i="9" s="1"/>
  <c r="Y28" i="9"/>
  <c r="Y80" i="9" a="1"/>
  <c r="Y80" i="9" s="1"/>
  <c r="Y76" i="9"/>
  <c r="AB78" i="9" l="1"/>
  <c r="AD27" i="9"/>
  <c r="AB79" i="9" a="1"/>
  <c r="AB79" i="9" s="1"/>
  <c r="AB28" i="9"/>
  <c r="AD28" i="9" s="1"/>
  <c r="AB77" i="9"/>
  <c r="AB76" i="9"/>
  <c r="AB80" i="9" a="1"/>
  <c r="AB80" i="9" s="1"/>
  <c r="AD34" i="9"/>
  <c r="P76" i="8" l="1"/>
  <c r="R76" i="8"/>
  <c r="Y71" i="9" l="1"/>
  <c r="Y72" i="9" s="1"/>
  <c r="Y81" i="9" s="1"/>
  <c r="P79" i="8"/>
  <c r="AA71" i="9"/>
  <c r="R79" i="8"/>
  <c r="Q57" i="8"/>
  <c r="Q76" i="8"/>
  <c r="Z71" i="9" l="1"/>
  <c r="Z72" i="9" s="1"/>
  <c r="Z81" i="9" s="1"/>
  <c r="Q79" i="8"/>
  <c r="S9" i="9"/>
  <c r="S10" i="9"/>
  <c r="AA72" i="9"/>
  <c r="AA81" i="9" s="1"/>
  <c r="V11" i="8" l="1"/>
  <c r="V20" i="8" s="1"/>
  <c r="V24" i="8" s="1"/>
  <c r="F57" i="8"/>
  <c r="E57" i="8"/>
  <c r="D57" i="8"/>
  <c r="G57" i="8"/>
  <c r="W11" i="8" l="1"/>
  <c r="W20" i="8" s="1"/>
  <c r="W24" i="8" s="1"/>
  <c r="W49" i="8"/>
  <c r="W57" i="8" s="1"/>
  <c r="W76" i="8"/>
  <c r="W79" i="8" s="1"/>
  <c r="U49" i="8"/>
  <c r="U57" i="8" s="1"/>
  <c r="W63" i="8"/>
  <c r="W68" i="8" s="1"/>
  <c r="V63" i="8"/>
  <c r="V68" i="8" s="1"/>
  <c r="V49" i="8"/>
  <c r="V57" i="8" s="1"/>
  <c r="U76" i="8"/>
  <c r="U79" i="8" s="1"/>
  <c r="U11" i="8"/>
  <c r="U20" i="8" s="1"/>
  <c r="U24" i="8" s="1"/>
  <c r="U63" i="8"/>
  <c r="U68" i="8" s="1"/>
  <c r="V76" i="8"/>
  <c r="V79" i="8" s="1"/>
  <c r="Y76" i="8"/>
  <c r="Y79" i="8" s="1"/>
  <c r="Y57" i="8"/>
  <c r="Z76" i="8"/>
  <c r="Z79" i="8" s="1"/>
  <c r="Y11" i="8"/>
  <c r="Y20" i="8" s="1"/>
  <c r="Y68" i="8"/>
  <c r="Z68" i="8"/>
  <c r="X11" i="8"/>
  <c r="X20" i="8" s="1"/>
  <c r="Z11" i="8"/>
  <c r="Z20" i="8" s="1"/>
  <c r="Z57" i="8"/>
  <c r="AD11" i="8" l="1"/>
  <c r="W80" i="8"/>
  <c r="W82" i="8" s="1"/>
  <c r="U80" i="8"/>
  <c r="U82" i="8" s="1"/>
  <c r="V80" i="8"/>
  <c r="V82" i="8" s="1"/>
  <c r="Y80" i="8"/>
  <c r="Y82" i="8" s="1"/>
  <c r="Z80" i="8"/>
  <c r="Z82" i="8" s="1"/>
  <c r="X24" i="8" l="1"/>
  <c r="Y24" i="8"/>
  <c r="U21" i="8"/>
  <c r="V21" i="8"/>
  <c r="Z24" i="8"/>
  <c r="V28" i="8" l="1"/>
  <c r="V90" i="8" s="1"/>
  <c r="V25" i="8"/>
  <c r="Z21" i="8"/>
  <c r="Y28" i="8"/>
  <c r="Y90" i="8" s="1"/>
  <c r="X28" i="8"/>
  <c r="X90" i="8" s="1"/>
  <c r="AD20" i="8"/>
  <c r="Y21" i="8"/>
  <c r="X21" i="8"/>
  <c r="AD21" i="8" s="1"/>
  <c r="W21" i="8"/>
  <c r="Z28" i="8"/>
  <c r="Z90" i="8" s="1"/>
  <c r="AA78" i="9"/>
  <c r="AA20" i="9"/>
  <c r="X32" i="8" l="1"/>
  <c r="X35" i="8"/>
  <c r="Z35" i="8"/>
  <c r="Z32" i="8"/>
  <c r="Y32" i="8"/>
  <c r="Y35" i="8"/>
  <c r="V35" i="8"/>
  <c r="V32" i="8"/>
  <c r="V29" i="8"/>
  <c r="U28" i="8"/>
  <c r="U90" i="8" s="1"/>
  <c r="W28" i="8"/>
  <c r="W90" i="8" s="1"/>
  <c r="Y25" i="8"/>
  <c r="W25" i="8"/>
  <c r="X25" i="8"/>
  <c r="AD25" i="8" s="1"/>
  <c r="AD24" i="8"/>
  <c r="U25" i="8"/>
  <c r="Z25" i="8"/>
  <c r="AA24" i="9"/>
  <c r="Y29" i="8"/>
  <c r="Z29" i="8"/>
  <c r="W32" i="8" l="1"/>
  <c r="W35" i="8"/>
  <c r="U32" i="8"/>
  <c r="U35" i="8"/>
  <c r="W29" i="8"/>
  <c r="U29" i="8"/>
  <c r="AD35" i="8"/>
  <c r="AD32" i="8"/>
  <c r="AD28" i="8"/>
  <c r="X29" i="8"/>
  <c r="AD29" i="8" s="1"/>
  <c r="AA80" i="9" a="1"/>
  <c r="AA80" i="9" s="1"/>
  <c r="AA28" i="9"/>
  <c r="AA79" i="9" a="1"/>
  <c r="AA79" i="9" s="1"/>
  <c r="AA76" i="9"/>
  <c r="AA77" i="9"/>
  <c r="X68" i="8" l="1"/>
  <c r="AD68" i="8" s="1"/>
  <c r="O11" i="8" l="1"/>
  <c r="O20" i="8" s="1"/>
  <c r="G11" i="8"/>
  <c r="G20" i="8" s="1"/>
  <c r="F11" i="8"/>
  <c r="F20" i="8" s="1"/>
  <c r="E11" i="8"/>
  <c r="E20" i="8" s="1"/>
  <c r="D11" i="8"/>
  <c r="D20" i="8" s="1"/>
  <c r="G76" i="8"/>
  <c r="E76" i="8"/>
  <c r="D76" i="8"/>
  <c r="R68" i="8"/>
  <c r="P68" i="8"/>
  <c r="AA11" i="8"/>
  <c r="AA20" i="8" s="1"/>
  <c r="Q72" i="9"/>
  <c r="Q81" i="9" s="1"/>
  <c r="I72" i="9"/>
  <c r="E72" i="9" l="1"/>
  <c r="E81" i="9" s="1"/>
  <c r="E79" i="8"/>
  <c r="G72" i="9"/>
  <c r="G81" i="9" s="1"/>
  <c r="G79" i="8"/>
  <c r="G80" i="8" s="1"/>
  <c r="Y62" i="9"/>
  <c r="P80" i="8"/>
  <c r="AA62" i="9"/>
  <c r="R80" i="8"/>
  <c r="D79" i="8"/>
  <c r="D12" i="10"/>
  <c r="E12" i="10"/>
  <c r="F12" i="10"/>
  <c r="G24" i="8"/>
  <c r="G12" i="10"/>
  <c r="O24" i="8"/>
  <c r="O12" i="10"/>
  <c r="D24" i="8"/>
  <c r="E24" i="8"/>
  <c r="F24" i="8"/>
  <c r="D68" i="8"/>
  <c r="F68" i="8"/>
  <c r="E68" i="8"/>
  <c r="J72" i="9"/>
  <c r="R72" i="9"/>
  <c r="R81" i="9" s="1"/>
  <c r="K72" i="9"/>
  <c r="K23" i="9"/>
  <c r="K27" i="9" s="1"/>
  <c r="Q9" i="9"/>
  <c r="F72" i="9"/>
  <c r="F81" i="9" s="1"/>
  <c r="Q10" i="9"/>
  <c r="X76" i="8"/>
  <c r="X79" i="8" s="1"/>
  <c r="AD79" i="8" s="1"/>
  <c r="R24" i="8"/>
  <c r="Q68" i="8"/>
  <c r="AA68" i="8"/>
  <c r="AA76" i="8"/>
  <c r="AA79" i="8" s="1"/>
  <c r="G23" i="9"/>
  <c r="G27" i="9" s="1"/>
  <c r="G9" i="9"/>
  <c r="E23" i="9"/>
  <c r="E27" i="9" s="1"/>
  <c r="E9" i="9"/>
  <c r="F23" i="9"/>
  <c r="F27" i="9" s="1"/>
  <c r="F9" i="9"/>
  <c r="M72" i="9"/>
  <c r="M81" i="9" s="1"/>
  <c r="D23" i="9"/>
  <c r="D27" i="9" s="1"/>
  <c r="N72" i="9"/>
  <c r="N81" i="9" s="1"/>
  <c r="O72" i="9"/>
  <c r="O81" i="9" s="1"/>
  <c r="Z62" i="9" l="1"/>
  <c r="Q80" i="8"/>
  <c r="F80" i="8"/>
  <c r="F82" i="8" s="1"/>
  <c r="D80" i="8"/>
  <c r="D82" i="8" s="1"/>
  <c r="E80" i="8"/>
  <c r="E82" i="8" s="1"/>
  <c r="X80" i="8"/>
  <c r="AD80" i="8" s="1"/>
  <c r="AD76" i="8"/>
  <c r="R28" i="8"/>
  <c r="R90" i="8" s="1"/>
  <c r="G28" i="8"/>
  <c r="G90" i="8" s="1"/>
  <c r="O21" i="8"/>
  <c r="D28" i="8"/>
  <c r="D90" i="8" s="1"/>
  <c r="D108" i="8" s="1"/>
  <c r="E28" i="8"/>
  <c r="E90" i="8" s="1"/>
  <c r="F21" i="8"/>
  <c r="P72" i="9"/>
  <c r="P81" i="9" s="1"/>
  <c r="P82" i="8"/>
  <c r="AD49" i="8"/>
  <c r="R82" i="8"/>
  <c r="G82" i="8"/>
  <c r="L72" i="9"/>
  <c r="L81" i="9" s="1"/>
  <c r="L10" i="9"/>
  <c r="P9" i="9"/>
  <c r="M9" i="9"/>
  <c r="N10" i="9"/>
  <c r="P23" i="9"/>
  <c r="P27" i="9" s="1"/>
  <c r="K10" i="9"/>
  <c r="M10" i="9"/>
  <c r="J10" i="9"/>
  <c r="N23" i="9"/>
  <c r="N27" i="9" s="1"/>
  <c r="L23" i="9"/>
  <c r="L27" i="9" s="1"/>
  <c r="N79" i="9" s="1" a="1"/>
  <c r="N79" i="9" s="1"/>
  <c r="N9" i="9"/>
  <c r="AA57" i="8"/>
  <c r="AA24" i="8"/>
  <c r="O9" i="9"/>
  <c r="O23" i="9"/>
  <c r="O27" i="9" s="1"/>
  <c r="O10" i="9"/>
  <c r="Q23" i="9"/>
  <c r="Q27" i="9" s="1"/>
  <c r="AA9" i="9"/>
  <c r="J23" i="9"/>
  <c r="J27" i="9" s="1"/>
  <c r="P10" i="9"/>
  <c r="R9" i="9"/>
  <c r="R23" i="9"/>
  <c r="R27" i="9" s="1"/>
  <c r="R10" i="9"/>
  <c r="I23" i="9"/>
  <c r="I27" i="9" s="1"/>
  <c r="M23" i="9"/>
  <c r="M27" i="9" s="1"/>
  <c r="N77" i="9" l="1"/>
  <c r="R79" i="9" a="1"/>
  <c r="R79" i="9" s="1"/>
  <c r="R78" i="9" a="1"/>
  <c r="R78" i="9" s="1"/>
  <c r="R80" i="9" a="1"/>
  <c r="R80" i="9" s="1"/>
  <c r="R76" i="9"/>
  <c r="R77" i="9"/>
  <c r="N76" i="9"/>
  <c r="L78" i="9" a="1"/>
  <c r="L78" i="9" s="1"/>
  <c r="L80" i="9" a="1"/>
  <c r="L80" i="9" s="1"/>
  <c r="L79" i="9" a="1"/>
  <c r="L79" i="9" s="1"/>
  <c r="L76" i="9"/>
  <c r="L77" i="9"/>
  <c r="M79" i="9" a="1"/>
  <c r="M79" i="9" s="1"/>
  <c r="M78" i="9" a="1"/>
  <c r="M78" i="9" s="1"/>
  <c r="M80" i="9" a="1"/>
  <c r="M80" i="9" s="1"/>
  <c r="M77" i="9"/>
  <c r="M76" i="9"/>
  <c r="N78" i="9" a="1"/>
  <c r="N78" i="9" s="1"/>
  <c r="O80" i="9" a="1"/>
  <c r="O80" i="9" s="1"/>
  <c r="O79" i="9" a="1"/>
  <c r="O79" i="9" s="1"/>
  <c r="O78" i="9" a="1"/>
  <c r="O78" i="9" s="1"/>
  <c r="O77" i="9"/>
  <c r="O76" i="9"/>
  <c r="P80" i="9" a="1"/>
  <c r="P80" i="9" s="1"/>
  <c r="P79" i="9" a="1"/>
  <c r="P79" i="9" s="1"/>
  <c r="P78" i="9" a="1"/>
  <c r="P78" i="9" s="1"/>
  <c r="P76" i="9"/>
  <c r="P77" i="9"/>
  <c r="Q80" i="9" a="1"/>
  <c r="Q80" i="9" s="1"/>
  <c r="Q79" i="9" a="1"/>
  <c r="Q79" i="9" s="1"/>
  <c r="Q78" i="9" a="1"/>
  <c r="Q78" i="9" s="1"/>
  <c r="Q76" i="9"/>
  <c r="Q77" i="9"/>
  <c r="N80" i="9" a="1"/>
  <c r="N80" i="9" s="1"/>
  <c r="E35" i="8"/>
  <c r="E32" i="8"/>
  <c r="D32" i="8"/>
  <c r="D35" i="8"/>
  <c r="G32" i="8"/>
  <c r="G35" i="8"/>
  <c r="R32" i="8"/>
  <c r="R35" i="8"/>
  <c r="S76" i="9"/>
  <c r="N20" i="9"/>
  <c r="R21" i="8"/>
  <c r="G21" i="8"/>
  <c r="D21" i="8"/>
  <c r="F28" i="8"/>
  <c r="F90" i="8" s="1"/>
  <c r="O28" i="8"/>
  <c r="O90" i="8" s="1"/>
  <c r="E21" i="8"/>
  <c r="X57" i="8"/>
  <c r="AA28" i="8"/>
  <c r="AA90" i="8" s="1"/>
  <c r="E25" i="8"/>
  <c r="R25" i="8"/>
  <c r="AA21" i="8"/>
  <c r="G25" i="8"/>
  <c r="AA80" i="8"/>
  <c r="Q82" i="8"/>
  <c r="G29" i="8"/>
  <c r="D25" i="8"/>
  <c r="E78" i="9"/>
  <c r="E20" i="9"/>
  <c r="D78" i="9"/>
  <c r="D20" i="9"/>
  <c r="F78" i="9"/>
  <c r="F20" i="9"/>
  <c r="K20" i="9"/>
  <c r="P20" i="9"/>
  <c r="L20" i="9"/>
  <c r="G20" i="9"/>
  <c r="G78" i="9"/>
  <c r="O32" i="8" l="1"/>
  <c r="O35" i="8"/>
  <c r="F32" i="8"/>
  <c r="F35" i="8"/>
  <c r="AA35" i="8"/>
  <c r="AA32" i="8"/>
  <c r="R108" i="8"/>
  <c r="R144" i="8" s="1"/>
  <c r="G108" i="8"/>
  <c r="G144" i="8" s="1"/>
  <c r="E108" i="8"/>
  <c r="X82" i="8"/>
  <c r="AD57" i="8"/>
  <c r="F25" i="8"/>
  <c r="F29" i="8"/>
  <c r="O25" i="8"/>
  <c r="E29" i="8"/>
  <c r="R29" i="8"/>
  <c r="D29" i="8"/>
  <c r="AA82" i="8"/>
  <c r="AA25" i="8"/>
  <c r="G24" i="9"/>
  <c r="J20" i="9"/>
  <c r="P24" i="9"/>
  <c r="F24" i="9"/>
  <c r="D24" i="9"/>
  <c r="K24" i="9"/>
  <c r="O20" i="9"/>
  <c r="E24" i="9"/>
  <c r="Q20" i="9"/>
  <c r="M20" i="9"/>
  <c r="I20" i="9"/>
  <c r="L24" i="9"/>
  <c r="R20" i="9"/>
  <c r="F108" i="8" l="1"/>
  <c r="F144" i="8" s="1"/>
  <c r="O108" i="8"/>
  <c r="O144" i="8" s="1"/>
  <c r="O29" i="8"/>
  <c r="S80" i="9" a="1"/>
  <c r="S80" i="9" s="1"/>
  <c r="S77" i="9"/>
  <c r="S78" i="9" a="1"/>
  <c r="S78" i="9" s="1"/>
  <c r="S79" i="9" a="1"/>
  <c r="S79" i="9" s="1"/>
  <c r="E144" i="8"/>
  <c r="D144" i="8"/>
  <c r="W108" i="8"/>
  <c r="N24" i="9"/>
  <c r="I24" i="9"/>
  <c r="M24" i="9"/>
  <c r="J24" i="9"/>
  <c r="D79" i="9" a="1"/>
  <c r="D79" i="9" s="1"/>
  <c r="D80" i="9" a="1"/>
  <c r="D80" i="9" s="1"/>
  <c r="D34" i="9"/>
  <c r="D44" i="9" s="1"/>
  <c r="D28" i="9"/>
  <c r="F80" i="9" a="1"/>
  <c r="F80" i="9" s="1"/>
  <c r="F79" i="9" a="1"/>
  <c r="F79" i="9" s="1"/>
  <c r="F28" i="9"/>
  <c r="F34" i="9"/>
  <c r="F44" i="9" s="1"/>
  <c r="F76" i="9"/>
  <c r="F77" i="9"/>
  <c r="G79" i="9" a="1"/>
  <c r="G79" i="9" s="1"/>
  <c r="G80" i="9" a="1"/>
  <c r="G80" i="9" s="1"/>
  <c r="G28" i="9"/>
  <c r="G77" i="9"/>
  <c r="G34" i="9"/>
  <c r="G44" i="9" s="1"/>
  <c r="G76" i="9"/>
  <c r="N28" i="9"/>
  <c r="N34" i="9"/>
  <c r="N44" i="9" s="1"/>
  <c r="R24" i="9"/>
  <c r="Q24" i="9"/>
  <c r="L34" i="9"/>
  <c r="L44" i="9" s="1"/>
  <c r="L28" i="9"/>
  <c r="K34" i="9"/>
  <c r="K44" i="9" s="1"/>
  <c r="K28" i="9"/>
  <c r="O24" i="9"/>
  <c r="E80" i="9" a="1"/>
  <c r="E80" i="9" s="1"/>
  <c r="E34" i="9"/>
  <c r="E44" i="9" s="1"/>
  <c r="E28" i="9"/>
  <c r="E79" i="9" a="1"/>
  <c r="E79" i="9" s="1"/>
  <c r="E77" i="9"/>
  <c r="E76" i="9"/>
  <c r="P28" i="9"/>
  <c r="P34" i="9"/>
  <c r="P44" i="9" s="1"/>
  <c r="X108" i="8" l="1"/>
  <c r="U108" i="8"/>
  <c r="V108" i="8"/>
  <c r="AA29" i="8"/>
  <c r="D45" i="9"/>
  <c r="M34" i="9"/>
  <c r="M44" i="9" s="1"/>
  <c r="W44" i="9" s="1"/>
  <c r="W45" i="9" s="1"/>
  <c r="M28" i="9"/>
  <c r="G45" i="9"/>
  <c r="F45" i="9"/>
  <c r="Q34" i="9"/>
  <c r="Q44" i="9" s="1"/>
  <c r="Q28" i="9"/>
  <c r="J34" i="9"/>
  <c r="J44" i="9" s="1"/>
  <c r="J28" i="9"/>
  <c r="E45" i="9"/>
  <c r="O28" i="9"/>
  <c r="O34" i="9"/>
  <c r="O44" i="9" s="1"/>
  <c r="P45" i="9"/>
  <c r="I34" i="9"/>
  <c r="I28" i="9"/>
  <c r="R28" i="9"/>
  <c r="R34" i="9"/>
  <c r="R44" i="9" s="1"/>
  <c r="AA44" i="9" l="1"/>
  <c r="AA45" i="9" s="1"/>
  <c r="V44" i="9"/>
  <c r="V45" i="9" s="1"/>
  <c r="U44" i="9"/>
  <c r="U45" i="9" s="1"/>
  <c r="Y44" i="9"/>
  <c r="Y45" i="9" s="1"/>
  <c r="Z44" i="9"/>
  <c r="Z45" i="9" s="1"/>
  <c r="X44" i="9"/>
  <c r="X45" i="9" s="1"/>
  <c r="AB44" i="9"/>
  <c r="AB45" i="9" s="1"/>
  <c r="Q45" i="9"/>
  <c r="R45" i="9"/>
  <c r="O45" i="9"/>
  <c r="N45" i="9"/>
  <c r="I45" i="9"/>
  <c r="K45" i="9"/>
  <c r="L45" i="9"/>
  <c r="J45" i="9" l="1"/>
  <c r="M45" i="9"/>
  <c r="D140" i="8" l="1"/>
  <c r="D145" i="8" s="1"/>
  <c r="D147" i="8" s="1"/>
  <c r="E138" i="8" l="1"/>
  <c r="E140" i="8" s="1"/>
  <c r="E145" i="8" s="1"/>
  <c r="E147" i="8" s="1"/>
  <c r="F138" i="8" l="1"/>
  <c r="I138" i="8" s="1"/>
  <c r="F140" i="8" l="1"/>
  <c r="F145" i="8" l="1"/>
  <c r="F147" i="8" s="1"/>
  <c r="G138" i="8" l="1"/>
  <c r="G140" i="8" s="1"/>
  <c r="G145" i="8" s="1"/>
  <c r="I140" i="8"/>
  <c r="I145" i="8" s="1"/>
  <c r="G147" i="8" l="1"/>
  <c r="I147" i="8"/>
  <c r="J138" i="8"/>
  <c r="J140" i="8" s="1"/>
  <c r="J145" i="8" s="1"/>
  <c r="J147" i="8" l="1"/>
  <c r="K138" i="8"/>
  <c r="K140" i="8" s="1"/>
  <c r="K145" i="8" s="1"/>
  <c r="K147" i="8" s="1"/>
  <c r="L138" i="8" l="1"/>
  <c r="L140" i="8" s="1"/>
  <c r="L145" i="8" s="1"/>
  <c r="L147" i="8" s="1"/>
  <c r="M138" i="8" l="1"/>
  <c r="M140" i="8" s="1"/>
  <c r="M145" i="8" s="1"/>
  <c r="M147" i="8" s="1"/>
  <c r="V140" i="8" l="1"/>
  <c r="V145" i="8" s="1"/>
  <c r="V147" i="8" s="1"/>
  <c r="N138" i="8"/>
  <c r="N140" i="8" s="1"/>
  <c r="N145" i="8" s="1"/>
  <c r="N147" i="8" s="1"/>
  <c r="W140" i="8" l="1"/>
  <c r="W145" i="8" s="1"/>
  <c r="W147" i="8" s="1"/>
  <c r="O138" i="8"/>
  <c r="O140" i="8" s="1"/>
  <c r="O145" i="8" s="1"/>
  <c r="O147" i="8" s="1"/>
  <c r="X140" i="8" l="1"/>
  <c r="X145" i="8" s="1"/>
  <c r="X147" i="8" s="1"/>
  <c r="P138" i="8"/>
  <c r="P140" i="8" s="1"/>
  <c r="Q11" i="8" l="1"/>
  <c r="Q20" i="8" s="1"/>
  <c r="Q24" i="8" l="1"/>
  <c r="Q12" i="10"/>
  <c r="Q28" i="8" l="1"/>
  <c r="Q90" i="8" s="1"/>
  <c r="Q32" i="8" l="1"/>
  <c r="Q35" i="8"/>
  <c r="Q21" i="8"/>
  <c r="Q25" i="8"/>
  <c r="Q29" i="8" l="1"/>
  <c r="Q108" i="8" l="1"/>
  <c r="Q144" i="8" s="1"/>
  <c r="P11" i="8"/>
  <c r="P20" i="8" s="1"/>
  <c r="P24" i="8" l="1"/>
  <c r="P12" i="10"/>
  <c r="P28" i="8" l="1"/>
  <c r="P90" i="8" s="1"/>
  <c r="P32" i="8" l="1"/>
  <c r="P35" i="8"/>
  <c r="P21" i="8"/>
  <c r="P25" i="8"/>
  <c r="P29" i="8" l="1"/>
  <c r="AB108" i="8" l="1"/>
  <c r="AD108" i="8" s="1"/>
  <c r="AD90" i="8"/>
  <c r="Y108" i="8"/>
  <c r="Z108" i="8"/>
  <c r="P108" i="8"/>
  <c r="P144" i="8" s="1"/>
  <c r="P145" i="8" l="1"/>
  <c r="P147" i="8" s="1"/>
  <c r="Y140" i="8"/>
  <c r="AA108" i="8"/>
  <c r="Q138" i="8" l="1"/>
  <c r="Q140" i="8" s="1"/>
  <c r="Q145" i="8" s="1"/>
  <c r="Y145" i="8"/>
  <c r="Y147" i="8" s="1"/>
  <c r="Z140" i="8"/>
  <c r="Z145" i="8" s="1"/>
  <c r="Z147" i="8" s="1"/>
  <c r="R138" i="8" l="1"/>
  <c r="R140" i="8" s="1"/>
  <c r="R145" i="8" s="1"/>
  <c r="R147" i="8" s="1"/>
  <c r="AA140" i="8"/>
  <c r="AA145" i="8" s="1"/>
  <c r="AA147" i="8" s="1"/>
  <c r="U140" i="8"/>
  <c r="U145" i="8" s="1"/>
  <c r="U147" i="8" s="1"/>
  <c r="S138" i="8" l="1"/>
  <c r="S140" i="8" s="1"/>
  <c r="S145" i="8" s="1"/>
  <c r="AB140" i="8"/>
  <c r="AB145" i="8" s="1"/>
  <c r="AB147" i="8" s="1"/>
  <c r="S147" i="8" l="1"/>
  <c r="D72" i="9"/>
  <c r="D81" i="9" s="1"/>
  <c r="D76" i="9"/>
  <c r="D7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<sst xmlns="http://schemas.openxmlformats.org/spreadsheetml/2006/main" count="259" uniqueCount="199">
  <si>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</si>
  <si>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</si>
  <si>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</si>
  <si>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</si>
  <si>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</si>
  <si>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</si>
  <si>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</si>
  <si>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</si>
  <si>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</si>
  <si>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</si>
  <si>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</si>
  <si>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</si>
  <si>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</si>
  <si>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</si>
  <si>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Liabilities</t>
  </si>
  <si>
    <t>X</t>
  </si>
  <si>
    <t>Total Current Liabilities</t>
  </si>
  <si>
    <t>Total Current Assets</t>
  </si>
  <si>
    <t>Total Assets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</si>
  <si>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</si>
  <si>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</si>
  <si>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</si>
  <si>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</si>
  <si>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</si>
  <si>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</si>
  <si>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</si>
  <si>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</si>
  <si>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</si>
  <si>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</si>
  <si>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</si>
  <si>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</si>
  <si>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</si>
  <si>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</si>
  <si>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</si>
  <si>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</si>
  <si>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</si>
  <si>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</si>
  <si>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</si>
  <si>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</si>
  <si>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</si>
  <si>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</si>
  <si>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</si>
  <si>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</si>
  <si>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</si>
  <si>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</si>
  <si>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</si>
  <si>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</si>
  <si>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</si>
  <si>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</si>
  <si>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</si>
  <si>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</si>
  <si>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</si>
  <si>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</si>
  <si>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</si>
  <si>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</si>
  <si>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</si>
  <si>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</si>
  <si>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</si>
  <si>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</si>
  <si>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</si>
  <si>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</si>
  <si>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</si>
  <si>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</si>
  <si>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</si>
  <si>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</si>
  <si>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</si>
  <si>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</si>
  <si>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</si>
  <si>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</si>
  <si>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</si>
  <si>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</si>
  <si>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</si>
  <si>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</si>
  <si>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</si>
  <si>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</si>
  <si>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</si>
  <si>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</si>
  <si>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</si>
  <si>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</si>
  <si>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</si>
  <si>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</si>
  <si>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</si>
  <si>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</si>
  <si>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</si>
  <si>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</si>
  <si>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</si>
  <si>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</si>
  <si>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</si>
  <si>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</si>
  <si>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</si>
  <si>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</si>
  <si>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(-) 'Proceeds from issuance of Debt / (Repayment), net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</si>
  <si>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</si>
  <si>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</si>
  <si>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</si>
  <si>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</si>
  <si>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</si>
  <si>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</si>
  <si>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</si>
  <si>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</si>
  <si>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Goodwill</t>
  </si>
  <si>
    <t xml:space="preserve">Income taxes paid </t>
  </si>
  <si>
    <t>Income from continuing operations, net of tax</t>
  </si>
  <si>
    <t>(+) Stock-Based Compensation</t>
  </si>
  <si>
    <t>Short-Term Investments</t>
  </si>
  <si>
    <t>Accounts Receivable</t>
  </si>
  <si>
    <t>Common Stock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</si>
  <si>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</si>
  <si>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</si>
  <si>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</si>
  <si>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</si>
  <si>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</si>
  <si>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</si>
  <si>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</si>
  <si>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PayPal Holdings Inc (NASDAQ: PYPL)</t>
  </si>
  <si>
    <t>Transaction Revenues</t>
  </si>
  <si>
    <t>Revenues from other VASs</t>
  </si>
  <si>
    <t xml:space="preserve">U.S. </t>
  </si>
  <si>
    <t>Cash and cash equivalents</t>
  </si>
  <si>
    <t>Short-term investments</t>
  </si>
  <si>
    <t>Accounts receivable, net</t>
  </si>
  <si>
    <t>Loans and interest receivable, held for sale</t>
  </si>
  <si>
    <t>Loans and interest receivable</t>
  </si>
  <si>
    <t>Funds receivable and customer accounts</t>
  </si>
  <si>
    <t>Prepaid expenses and other current assets</t>
  </si>
  <si>
    <t>Long-term investments</t>
  </si>
  <si>
    <t>Property and equipment, net</t>
  </si>
  <si>
    <t>Intangible assets, net</t>
  </si>
  <si>
    <t>Other assets</t>
  </si>
  <si>
    <t>Accounts payable</t>
  </si>
  <si>
    <t>Funds payable and amounts due to customers</t>
  </si>
  <si>
    <t>Accrued expenses and other current liabilities</t>
  </si>
  <si>
    <t>Other long-term liabilities</t>
  </si>
  <si>
    <t>Long-term debt</t>
  </si>
  <si>
    <t>Preferred stock</t>
  </si>
  <si>
    <t xml:space="preserve">Treasury stock </t>
  </si>
  <si>
    <t>Additional paid-in-capital</t>
  </si>
  <si>
    <t>Retained earnings</t>
  </si>
  <si>
    <t>Accumulated OCI</t>
  </si>
  <si>
    <t>Changes in Working Capital:</t>
  </si>
  <si>
    <t>Transaction expense</t>
  </si>
  <si>
    <t>Transaction and credit losses</t>
  </si>
  <si>
    <t>Customer support and operations</t>
  </si>
  <si>
    <t>Sales and marketing</t>
  </si>
  <si>
    <t>Technology and development</t>
  </si>
  <si>
    <t>General and administrative</t>
  </si>
  <si>
    <t>Restructuring and other</t>
  </si>
  <si>
    <t>Other income (expense), net</t>
  </si>
  <si>
    <t>Depreciation and amortization</t>
  </si>
  <si>
    <t>Stock-based compensation</t>
  </si>
  <si>
    <t>Deferred income taxes</t>
  </si>
  <si>
    <t>Net (gains) losses on strategic investments</t>
  </si>
  <si>
    <t>Gain on divestiture of business, excluding transaction costs</t>
  </si>
  <si>
    <t>Accretion of discounts on investments, net of amortization of premiums</t>
  </si>
  <si>
    <t>Adjustments to loans and interest receivable, held for sale</t>
  </si>
  <si>
    <t>Other</t>
  </si>
  <si>
    <t>Originations of loans receivable, held for sale</t>
  </si>
  <si>
    <t>Proceeds from repayments and sales of loans receivable, originally classified as held for sale</t>
  </si>
  <si>
    <t>Accounts receivable</t>
  </si>
  <si>
    <t>Purchases of reverse repurchase agreements</t>
  </si>
  <si>
    <t>Maturities of reverse repurchase agreements</t>
  </si>
  <si>
    <t>Purchases of property and equipment</t>
  </si>
  <si>
    <t>Proceeds from sales of property and equipment</t>
  </si>
  <si>
    <t>Purchases and originations of loans receivable</t>
  </si>
  <si>
    <t>Purchases of investments</t>
  </si>
  <si>
    <t>Maturities and sales of investments</t>
  </si>
  <si>
    <t>Funds receivable</t>
  </si>
  <si>
    <t>Collateral posted related to derivative instruments, net</t>
  </si>
  <si>
    <t>Proceeds from repayments and sales of loans receivable, originally classified as held for investment</t>
  </si>
  <si>
    <t>Borrowings from repurchase agreements</t>
  </si>
  <si>
    <t>Repayments of repurchase agreements</t>
  </si>
  <si>
    <t>Proceeds from issuance of common stock</t>
  </si>
  <si>
    <t>Purchases of treasury stock</t>
  </si>
  <si>
    <t>Tax withholdings related to net share settlements of equity awards</t>
  </si>
  <si>
    <t>Borrowings under financing arrangements</t>
  </si>
  <si>
    <t>Repayments under financing arrangements</t>
  </si>
  <si>
    <t>Collateral received related to derivative instruments and reverse repurchase agreements, net</t>
  </si>
  <si>
    <t>Divestiture / (Acquisitions)</t>
  </si>
  <si>
    <t>Total PayPal Stockholders' equity</t>
  </si>
  <si>
    <t>Total Equity</t>
  </si>
  <si>
    <t>Noncontrolling interest</t>
  </si>
  <si>
    <t>Other assets and liabilities</t>
  </si>
  <si>
    <t xml:space="preserve">International </t>
  </si>
  <si>
    <t>($ In Millions, except per share)</t>
  </si>
  <si>
    <t>(-) Transaction expense</t>
  </si>
  <si>
    <t>(-) Transaction and credit losses</t>
  </si>
  <si>
    <t>(-) Customer support and operations</t>
  </si>
  <si>
    <t>(-) Sales and marketing</t>
  </si>
  <si>
    <t>(-) Technology and development</t>
  </si>
  <si>
    <t>(-) General and administrative</t>
  </si>
  <si>
    <t>(-) Restructuring and other</t>
  </si>
  <si>
    <t>(+/-) Proceeds / (Purchases) of reverse repurchase agreements</t>
  </si>
  <si>
    <t>(+/-) Proceeds / (Purchases) of originations of loans receivable</t>
  </si>
  <si>
    <t>(+/-) Proceeds / (Purchases) of investments</t>
  </si>
  <si>
    <t>(-) Borrowings / (Repayment) from repurchase agreements</t>
  </si>
  <si>
    <t>(+/-) Funds payable and amounts due to customers</t>
  </si>
  <si>
    <t>(-) Proceeds from Equity Issuances / (Repurchases), net</t>
  </si>
  <si>
    <t>RCF</t>
  </si>
  <si>
    <t>Aggregate Debt Holdings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</si>
</sst>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8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41" fontId="11" fillId="0" borderId="12" xfId="0" applyNumberFormat="1" applyFont="1" applyBorder="1" applyAlignment="1">
      <alignment horizontal="right" vertical="top" wrapText="1"/>
    </xf>
    <xf numFmtId="0" fontId="4" fillId="0" borderId="0" xfId="0" applyFont="1" applyFill="1" applyAlignment="1">
      <alignment wrapText="1"/>
    </xf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0" fontId="8" fillId="0" borderId="0" xfId="0" applyFont="1" applyFill="1" applyAlignment="1">
      <alignment wrapText="1"/>
    </xf>
    <xf numFmtId="165" fontId="15" fillId="0" borderId="0" xfId="0" applyNumberFormat="1" applyFont="1" applyFill="1" applyAlignment="1">
      <alignment wrapText="1"/>
    </xf>
    <xf numFmtId="169" fontId="4" fillId="8" borderId="0" xfId="0" applyNumberFormat="1" applyFont="1" applyFill="1"/>
    <xf numFmtId="41" fontId="6" fillId="0" borderId="0" xfId="0" applyNumberFormat="1" applyFont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D168"/>
  <sheetViews>
    <sheetView showGridLines="0" tabSelected="1" zoomScaleNormal="100" workbookViewId="0">
      <selection activeCell="X90" sqref="X90"/>
    </sheetView>
  </sheetViews>
  <sheetFormatPr defaultRowHeight="12" outlineLevelCol="2"/>
  <cols>
    <col min="1" max="1" width="1.625" style="5" bestFit="1" customWidth="1"/>
    <col min="2" max="2" width="36.25" style="5" customWidth="1"/>
    <col min="3" max="4" width="9" style="5" hidden="1" customWidth="1" outlineLevel="1"/>
    <col min="5" max="5" width="9" style="5" bestFit="1" customWidth="1" collapsed="1"/>
    <col min="6" max="7" width="9" style="5" bestFit="1" customWidth="1"/>
    <col min="8" max="8" width="1.5" style="5" customWidth="1"/>
    <col min="9" max="12" width="8.875" style="5" hidden="1" customWidth="1" outlineLevel="2"/>
    <col min="13" max="14" width="8.875" style="5" hidden="1" customWidth="1" outlineLevel="1"/>
    <col min="15" max="15" width="8.875" style="5" bestFit="1" customWidth="1" collapsed="1"/>
    <col min="16" max="19" width="8.875" style="5" bestFit="1" customWidth="1"/>
    <col min="20" max="20" width="1.5" style="5" customWidth="1"/>
    <col min="21" max="23" width="8.75" style="5" hidden="1" customWidth="1" outlineLevel="1"/>
    <col min="24" max="24" width="9" style="5" bestFit="1" customWidth="1" collapsed="1"/>
    <col min="25" max="27" width="9" style="5" hidden="1" customWidth="1" outlineLevel="1"/>
    <col min="28" max="28" width="9" style="5" bestFit="1" customWidth="1" collapsed="1"/>
    <col min="29" max="29" width="1.25" style="5" customWidth="1"/>
    <col min="30" max="30" width="8" style="5" bestFit="1" customWidth="1"/>
    <col min="31" max="31" width="1.375" style="5" customWidth="1"/>
    <col min="32" max="16384" width="9" style="5"/>
  </cols>
  <sheetData>
    <row r="2" spans="1:30" ht="12.75" customHeight="1">
      <c r="B2" s="1" t="s">
        <v>114</v>
      </c>
      <c r="C2" s="99"/>
      <c r="D2" s="99"/>
      <c r="E2" s="99"/>
      <c r="F2" s="99"/>
      <c r="G2" s="99"/>
      <c r="H2" s="3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3"/>
      <c r="U2" s="99"/>
      <c r="V2" s="99"/>
      <c r="W2" s="99"/>
      <c r="X2" s="99"/>
      <c r="Y2" s="99"/>
      <c r="Z2" s="99"/>
      <c r="AA2" s="99"/>
      <c r="AB2" s="99"/>
      <c r="AC2" s="3"/>
      <c r="AD2" s="1"/>
    </row>
    <row r="3" spans="1:30" ht="12.75" customHeight="1">
      <c r="B3" s="6" t="s">
        <v>70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3"/>
      <c r="U3" s="4"/>
      <c r="V3" s="4"/>
      <c r="W3" s="4"/>
      <c r="X3" s="4"/>
      <c r="Y3" s="4"/>
      <c r="Z3" s="4"/>
      <c r="AA3" s="4"/>
      <c r="AB3" s="4"/>
      <c r="AC3" s="3"/>
      <c r="AD3" s="1"/>
    </row>
    <row r="4" spans="1:30" ht="12.75" customHeight="1">
      <c r="B4" s="6" t="s">
        <v>183</v>
      </c>
      <c r="C4" s="3"/>
      <c r="D4" s="3"/>
      <c r="E4" s="3"/>
      <c r="F4" s="8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1"/>
    </row>
    <row r="6" spans="1:30" ht="12.75" customHeight="1">
      <c r="A6" s="5" t="s">
        <v>15</v>
      </c>
      <c r="B6" s="1" t="s">
        <v>68</v>
      </c>
      <c r="C6" s="2" t="s">
        <v>0</v>
      </c>
      <c r="D6" s="2" t="s">
        <v>0</v>
      </c>
      <c r="E6" s="2" t="s">
        <v>0</v>
      </c>
      <c r="F6" s="2"/>
      <c r="G6" s="2"/>
      <c r="H6" s="3"/>
      <c r="I6" s="2" t="s">
        <v>1</v>
      </c>
      <c r="J6" s="2"/>
      <c r="K6" s="2"/>
      <c r="L6" s="2"/>
      <c r="M6" s="2"/>
      <c r="N6" s="2"/>
      <c r="O6" s="2" t="s">
        <v>1</v>
      </c>
      <c r="P6" s="2"/>
      <c r="Q6" s="2"/>
      <c r="R6" s="2"/>
      <c r="S6" s="2"/>
      <c r="T6" s="3"/>
      <c r="U6" s="2"/>
      <c r="V6" s="2"/>
      <c r="W6" s="2" t="s">
        <v>10</v>
      </c>
      <c r="X6" s="2" t="s">
        <v>10</v>
      </c>
      <c r="Y6" s="2"/>
      <c r="Z6" s="2"/>
      <c r="AA6" s="2"/>
      <c r="AB6" s="2"/>
      <c r="AC6" s="36"/>
      <c r="AD6" s="156" t="s">
        <v>20</v>
      </c>
    </row>
    <row r="7" spans="1:30" ht="12.75" customHeight="1">
      <c r="B7" s="6" t="s">
        <v>71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6</v>
      </c>
      <c r="J7" s="4" t="s">
        <v>7</v>
      </c>
      <c r="K7" s="4" t="s">
        <v>8</v>
      </c>
      <c r="L7" s="4" t="s">
        <v>9</v>
      </c>
      <c r="M7" s="4" t="s">
        <v>2</v>
      </c>
      <c r="N7" s="4" t="s">
        <v>3</v>
      </c>
      <c r="O7" s="4" t="s">
        <v>4</v>
      </c>
      <c r="P7" s="4" t="s">
        <v>5</v>
      </c>
      <c r="Q7" s="4" t="s">
        <v>22</v>
      </c>
      <c r="R7" s="4" t="s">
        <v>23</v>
      </c>
      <c r="S7" s="4" t="s">
        <v>58</v>
      </c>
      <c r="T7" s="3"/>
      <c r="U7" s="4" t="str">
        <f>L7</f>
        <v>4Q23</v>
      </c>
      <c r="V7" s="4" t="str">
        <f>M7</f>
        <v>1Q24</v>
      </c>
      <c r="W7" s="4" t="str">
        <f>N7</f>
        <v>2Q24</v>
      </c>
      <c r="X7" s="4" t="str">
        <f>O7</f>
        <v>3Q24</v>
      </c>
      <c r="Y7" s="4" t="str">
        <f>P7</f>
        <v>4Q24</v>
      </c>
      <c r="Z7" s="4" t="str">
        <f>Q7</f>
        <v>1Q25</v>
      </c>
      <c r="AA7" s="4" t="str">
        <f>R7</f>
        <v>2Q25</v>
      </c>
      <c r="AB7" s="4" t="str">
        <f>S7</f>
        <v>3Q25</v>
      </c>
      <c r="AC7" s="36"/>
      <c r="AD7" s="156"/>
    </row>
    <row r="8" spans="1:30" ht="12.75" customHeight="1">
      <c r="B8" s="6" t="s">
        <v>72</v>
      </c>
      <c r="C8" s="3">
        <v>44196</v>
      </c>
      <c r="D8" s="3">
        <v>44561</v>
      </c>
      <c r="E8" s="3">
        <v>44926</v>
      </c>
      <c r="F8" s="83">
        <v>45291</v>
      </c>
      <c r="G8" s="83">
        <v>45657</v>
      </c>
      <c r="H8" s="3"/>
      <c r="I8" s="3">
        <v>45016</v>
      </c>
      <c r="J8" s="3">
        <v>45107</v>
      </c>
      <c r="K8" s="3">
        <v>45199</v>
      </c>
      <c r="L8" s="3">
        <f>F8</f>
        <v>45291</v>
      </c>
      <c r="M8" s="3">
        <v>45382</v>
      </c>
      <c r="N8" s="3">
        <v>45473</v>
      </c>
      <c r="O8" s="3">
        <v>45565</v>
      </c>
      <c r="P8" s="3">
        <f>G8</f>
        <v>45657</v>
      </c>
      <c r="Q8" s="3">
        <v>45747</v>
      </c>
      <c r="R8" s="3">
        <v>45838</v>
      </c>
      <c r="S8" s="3">
        <v>45930</v>
      </c>
      <c r="T8" s="3"/>
      <c r="U8" s="3">
        <f>L8</f>
        <v>45291</v>
      </c>
      <c r="V8" s="3">
        <f>M8</f>
        <v>45382</v>
      </c>
      <c r="W8" s="3">
        <f>N8</f>
        <v>45473</v>
      </c>
      <c r="X8" s="3">
        <f>O8</f>
        <v>45565</v>
      </c>
      <c r="Y8" s="3">
        <f>P8</f>
        <v>45657</v>
      </c>
      <c r="Z8" s="3">
        <f>Q8</f>
        <v>45747</v>
      </c>
      <c r="AA8" s="3">
        <f>R8</f>
        <v>45838</v>
      </c>
      <c r="AB8" s="3">
        <f>S8</f>
        <v>45930</v>
      </c>
      <c r="AC8" s="36"/>
      <c r="AD8" s="156"/>
    </row>
    <row r="9" spans="1:30" ht="5.0999999999999996" customHeight="1">
      <c r="AD9" s="98"/>
    </row>
    <row r="10" spans="1:30" ht="12.75" customHeight="1">
      <c r="B10" s="9" t="s">
        <v>53</v>
      </c>
      <c r="C10" s="93">
        <v>21454</v>
      </c>
      <c r="D10" s="93">
        <v>25371</v>
      </c>
      <c r="E10" s="93">
        <v>27518</v>
      </c>
      <c r="F10" s="93">
        <v>29771</v>
      </c>
      <c r="G10" s="93">
        <v>31797</v>
      </c>
      <c r="H10" s="11"/>
      <c r="I10" s="93">
        <v>7040</v>
      </c>
      <c r="J10" s="93">
        <v>7287</v>
      </c>
      <c r="K10" s="93">
        <v>7418</v>
      </c>
      <c r="L10" s="30">
        <f>SUM(F10-SUM(I10:K10))</f>
        <v>8026</v>
      </c>
      <c r="M10" s="93">
        <v>7699</v>
      </c>
      <c r="N10" s="93">
        <v>7885</v>
      </c>
      <c r="O10" s="93">
        <v>7847</v>
      </c>
      <c r="P10" s="30">
        <f>SUM(G10-SUM(M10:O10))</f>
        <v>8366</v>
      </c>
      <c r="Q10" s="80">
        <v>7791</v>
      </c>
      <c r="R10" s="80">
        <v>8288</v>
      </c>
      <c r="S10" s="80">
        <v>8417</v>
      </c>
      <c r="U10" s="30">
        <f>SUM(I10:L10)</f>
        <v>29771</v>
      </c>
      <c r="V10" s="30">
        <f>SUM(J10:M10)</f>
        <v>30430</v>
      </c>
      <c r="W10" s="30">
        <f>SUM(K10:N10)</f>
        <v>31028</v>
      </c>
      <c r="X10" s="30">
        <f>SUM(L10:O10)</f>
        <v>31457</v>
      </c>
      <c r="Y10" s="30">
        <f>SUM(M10:P10)</f>
        <v>31797</v>
      </c>
      <c r="Z10" s="30">
        <f>SUM(N10:Q10)</f>
        <v>31889</v>
      </c>
      <c r="AA10" s="30">
        <f>SUM(O10:R10)</f>
        <v>32292</v>
      </c>
      <c r="AB10" s="30">
        <f>SUM(P10:S10)</f>
        <v>32862</v>
      </c>
      <c r="AC10" s="38"/>
      <c r="AD10" s="12">
        <f>SUM(AB10/X10)-1</f>
        <v>4.4664144705470976E-2</v>
      </c>
    </row>
    <row r="11" spans="1:30" ht="12.75" customHeight="1">
      <c r="B11" s="13" t="s">
        <v>12</v>
      </c>
      <c r="C11" s="14">
        <f t="shared" ref="C11" si="0">+SUM(C10:C10)</f>
        <v>21454</v>
      </c>
      <c r="D11" s="14">
        <f t="shared" ref="D11:G11" si="1">+SUM(D10:D10)</f>
        <v>25371</v>
      </c>
      <c r="E11" s="14">
        <f t="shared" si="1"/>
        <v>27518</v>
      </c>
      <c r="F11" s="14">
        <f t="shared" si="1"/>
        <v>29771</v>
      </c>
      <c r="G11" s="14">
        <f t="shared" si="1"/>
        <v>31797</v>
      </c>
      <c r="H11" s="11"/>
      <c r="I11" s="14">
        <f t="shared" ref="I11:R11" si="2">+SUM(I10:I10)</f>
        <v>7040</v>
      </c>
      <c r="J11" s="14">
        <f t="shared" si="2"/>
        <v>7287</v>
      </c>
      <c r="K11" s="14">
        <f t="shared" si="2"/>
        <v>7418</v>
      </c>
      <c r="L11" s="14">
        <f t="shared" si="2"/>
        <v>8026</v>
      </c>
      <c r="M11" s="14">
        <f t="shared" si="2"/>
        <v>7699</v>
      </c>
      <c r="N11" s="14">
        <f t="shared" si="2"/>
        <v>7885</v>
      </c>
      <c r="O11" s="14">
        <f t="shared" si="2"/>
        <v>7847</v>
      </c>
      <c r="P11" s="14">
        <f t="shared" si="2"/>
        <v>8366</v>
      </c>
      <c r="Q11" s="14">
        <f t="shared" si="2"/>
        <v>7791</v>
      </c>
      <c r="R11" s="14">
        <f t="shared" si="2"/>
        <v>8288</v>
      </c>
      <c r="S11" s="14">
        <f>+SUM(S10:S10)</f>
        <v>8417</v>
      </c>
      <c r="U11" s="14">
        <f t="shared" ref="U11:AA11" si="3">+SUM(U10:U10)</f>
        <v>29771</v>
      </c>
      <c r="V11" s="14">
        <f t="shared" si="3"/>
        <v>30430</v>
      </c>
      <c r="W11" s="14">
        <f t="shared" si="3"/>
        <v>31028</v>
      </c>
      <c r="X11" s="14">
        <f t="shared" si="3"/>
        <v>31457</v>
      </c>
      <c r="Y11" s="14">
        <f t="shared" si="3"/>
        <v>31797</v>
      </c>
      <c r="Z11" s="14">
        <f t="shared" si="3"/>
        <v>31889</v>
      </c>
      <c r="AA11" s="14">
        <f t="shared" si="3"/>
        <v>32292</v>
      </c>
      <c r="AB11" s="14">
        <f>+SUM(AB10:AB10)</f>
        <v>32862</v>
      </c>
      <c r="AC11" s="38"/>
      <c r="AD11" s="15">
        <f>SUM(AB11/X11)-1</f>
        <v>4.4664144705470976E-2</v>
      </c>
    </row>
    <row r="12" spans="1:30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2"/>
      <c r="R12" s="21"/>
      <c r="S12" s="21"/>
      <c r="AD12" s="73"/>
    </row>
    <row r="13" spans="1:30" ht="12.75" customHeight="1">
      <c r="B13" s="9" t="s">
        <v>140</v>
      </c>
      <c r="C13" s="80">
        <v>-7934</v>
      </c>
      <c r="D13" s="80">
        <v>-10315</v>
      </c>
      <c r="E13" s="80">
        <v>-12173</v>
      </c>
      <c r="F13" s="80">
        <v>-14385</v>
      </c>
      <c r="G13" s="80">
        <v>-15697</v>
      </c>
      <c r="H13" s="30"/>
      <c r="I13" s="80">
        <v>-3283</v>
      </c>
      <c r="J13" s="80">
        <v>-3541</v>
      </c>
      <c r="K13" s="80">
        <v>-3603</v>
      </c>
      <c r="L13" s="30">
        <f>SUM(F13-SUM(I13:K13))</f>
        <v>-3958</v>
      </c>
      <c r="M13" s="80">
        <v>-3917</v>
      </c>
      <c r="N13" s="80">
        <v>-3942</v>
      </c>
      <c r="O13" s="80">
        <v>-3841</v>
      </c>
      <c r="P13" s="30">
        <f>SUM(G13-SUM(M13:O13))</f>
        <v>-3997</v>
      </c>
      <c r="Q13" s="80">
        <v>-3704</v>
      </c>
      <c r="R13" s="80">
        <v>-3968</v>
      </c>
      <c r="S13" s="80">
        <v>-4063</v>
      </c>
      <c r="U13" s="30">
        <f>SUM(I13:L13)</f>
        <v>-14385</v>
      </c>
      <c r="V13" s="30">
        <f>SUM(J13:M13)</f>
        <v>-15019</v>
      </c>
      <c r="W13" s="30">
        <f>SUM(K13:N13)</f>
        <v>-15420</v>
      </c>
      <c r="X13" s="30">
        <f>SUM(L13:O13)</f>
        <v>-15658</v>
      </c>
      <c r="Y13" s="30">
        <f>SUM(M13:P13)</f>
        <v>-15697</v>
      </c>
      <c r="Z13" s="30">
        <f>SUM(N13:Q13)</f>
        <v>-15484</v>
      </c>
      <c r="AA13" s="30">
        <f>SUM(O13:R13)</f>
        <v>-15510</v>
      </c>
      <c r="AB13" s="30">
        <f>SUM(P13:S13)</f>
        <v>-15732</v>
      </c>
      <c r="AC13" s="11"/>
      <c r="AD13" s="73">
        <f>SUM(AB13/X13)-1</f>
        <v>4.7260186486142164E-3</v>
      </c>
    </row>
    <row r="14" spans="1:30" ht="12.75" customHeight="1">
      <c r="B14" s="9" t="s">
        <v>141</v>
      </c>
      <c r="C14" s="80">
        <v>-1741</v>
      </c>
      <c r="D14" s="80">
        <v>-1060</v>
      </c>
      <c r="E14" s="80">
        <v>-1572</v>
      </c>
      <c r="F14" s="80">
        <v>-1682</v>
      </c>
      <c r="G14" s="80">
        <v>-1442</v>
      </c>
      <c r="H14" s="30"/>
      <c r="I14" s="80">
        <v>-442</v>
      </c>
      <c r="J14" s="80">
        <v>-398</v>
      </c>
      <c r="K14" s="80">
        <v>-446</v>
      </c>
      <c r="L14" s="30">
        <f>SUM(F14-SUM(I14:K14))</f>
        <v>-396</v>
      </c>
      <c r="M14" s="80">
        <v>-321</v>
      </c>
      <c r="N14" s="80">
        <v>-335</v>
      </c>
      <c r="O14" s="80">
        <v>-352</v>
      </c>
      <c r="P14" s="30">
        <f>SUM(G14-SUM(M14:O14))</f>
        <v>-434</v>
      </c>
      <c r="Q14" s="80">
        <v>-371</v>
      </c>
      <c r="R14" s="80">
        <v>-476</v>
      </c>
      <c r="S14" s="80">
        <v>-483</v>
      </c>
      <c r="U14" s="30">
        <f>SUM(I14:L14)</f>
        <v>-1682</v>
      </c>
      <c r="V14" s="30">
        <f>SUM(J14:M14)</f>
        <v>-1561</v>
      </c>
      <c r="W14" s="30">
        <f>SUM(K14:N14)</f>
        <v>-1498</v>
      </c>
      <c r="X14" s="30">
        <f>SUM(L14:O14)</f>
        <v>-1404</v>
      </c>
      <c r="Y14" s="30">
        <f>SUM(M14:P14)</f>
        <v>-1442</v>
      </c>
      <c r="Z14" s="30">
        <f>SUM(N14:Q14)</f>
        <v>-1492</v>
      </c>
      <c r="AA14" s="30">
        <f>SUM(O14:R14)</f>
        <v>-1633</v>
      </c>
      <c r="AB14" s="30">
        <f>SUM(P14:S14)</f>
        <v>-1764</v>
      </c>
      <c r="AC14" s="11"/>
      <c r="AD14" s="73">
        <f t="shared" ref="AD14:AD19" si="4">SUM(AB14/X14)-1</f>
        <v>0.25641025641025639</v>
      </c>
    </row>
    <row r="15" spans="1:30" ht="12.75" customHeight="1">
      <c r="B15" s="9" t="s">
        <v>142</v>
      </c>
      <c r="C15" s="80">
        <v>-1778</v>
      </c>
      <c r="D15" s="80">
        <v>-2075</v>
      </c>
      <c r="E15" s="80">
        <v>-2120</v>
      </c>
      <c r="F15" s="80">
        <v>-1919</v>
      </c>
      <c r="G15" s="80">
        <v>-1768</v>
      </c>
      <c r="H15" s="30"/>
      <c r="I15" s="80">
        <v>-488</v>
      </c>
      <c r="J15" s="80">
        <v>-492</v>
      </c>
      <c r="K15" s="80">
        <v>-474</v>
      </c>
      <c r="L15" s="30">
        <f>SUM(F15-SUM(I15:K15))</f>
        <v>-465</v>
      </c>
      <c r="M15" s="80">
        <v>-454</v>
      </c>
      <c r="N15" s="80">
        <v>-436</v>
      </c>
      <c r="O15" s="80">
        <v>-427</v>
      </c>
      <c r="P15" s="30">
        <f>SUM(G15-SUM(M15:O15))</f>
        <v>-451</v>
      </c>
      <c r="Q15" s="80">
        <v>-398</v>
      </c>
      <c r="R15" s="80">
        <v>-413</v>
      </c>
      <c r="S15" s="80">
        <v>-447</v>
      </c>
      <c r="U15" s="30">
        <f>SUM(I15:L15)</f>
        <v>-1919</v>
      </c>
      <c r="V15" s="30">
        <f>SUM(J15:M15)</f>
        <v>-1885</v>
      </c>
      <c r="W15" s="30">
        <f>SUM(K15:N15)</f>
        <v>-1829</v>
      </c>
      <c r="X15" s="30">
        <f>SUM(L15:O15)</f>
        <v>-1782</v>
      </c>
      <c r="Y15" s="30">
        <f>SUM(M15:P15)</f>
        <v>-1768</v>
      </c>
      <c r="Z15" s="30">
        <f>SUM(N15:Q15)</f>
        <v>-1712</v>
      </c>
      <c r="AA15" s="30">
        <f>SUM(O15:R15)</f>
        <v>-1689</v>
      </c>
      <c r="AB15" s="30">
        <f>SUM(P15:S15)</f>
        <v>-1709</v>
      </c>
      <c r="AC15" s="11"/>
      <c r="AD15" s="73">
        <f t="shared" si="4"/>
        <v>-4.0965207631874279E-2</v>
      </c>
    </row>
    <row r="16" spans="1:30" ht="12.75" customHeight="1">
      <c r="B16" s="9" t="s">
        <v>143</v>
      </c>
      <c r="C16" s="80">
        <v>-1861</v>
      </c>
      <c r="D16" s="80">
        <v>-2445</v>
      </c>
      <c r="E16" s="80">
        <v>-2257</v>
      </c>
      <c r="F16" s="80">
        <v>-1809</v>
      </c>
      <c r="G16" s="80">
        <v>-2001</v>
      </c>
      <c r="H16" s="30"/>
      <c r="I16" s="80">
        <v>-436</v>
      </c>
      <c r="J16" s="80">
        <v>-465</v>
      </c>
      <c r="K16" s="80">
        <v>-442</v>
      </c>
      <c r="L16" s="30">
        <f>SUM(F16-SUM(I16:K16))</f>
        <v>-466</v>
      </c>
      <c r="M16" s="80">
        <v>-421</v>
      </c>
      <c r="N16" s="80">
        <v>-446</v>
      </c>
      <c r="O16" s="80">
        <v>-508</v>
      </c>
      <c r="P16" s="30">
        <f>SUM(G16-SUM(M16:O16))</f>
        <v>-626</v>
      </c>
      <c r="Q16" s="80">
        <v>-488</v>
      </c>
      <c r="R16" s="80">
        <v>-583</v>
      </c>
      <c r="S16" s="80">
        <v>-521</v>
      </c>
      <c r="U16" s="30">
        <f>SUM(I16:L16)</f>
        <v>-1809</v>
      </c>
      <c r="V16" s="30">
        <f>SUM(J16:M16)</f>
        <v>-1794</v>
      </c>
      <c r="W16" s="30">
        <f>SUM(K16:N16)</f>
        <v>-1775</v>
      </c>
      <c r="X16" s="30">
        <f>SUM(L16:O16)</f>
        <v>-1841</v>
      </c>
      <c r="Y16" s="30">
        <f>SUM(M16:P16)</f>
        <v>-2001</v>
      </c>
      <c r="Z16" s="30">
        <f>SUM(N16:Q16)</f>
        <v>-2068</v>
      </c>
      <c r="AA16" s="30">
        <f>SUM(O16:R16)</f>
        <v>-2205</v>
      </c>
      <c r="AB16" s="30">
        <f>SUM(P16:S16)</f>
        <v>-2218</v>
      </c>
      <c r="AC16" s="11"/>
      <c r="AD16" s="73">
        <f t="shared" si="4"/>
        <v>0.20478001086366104</v>
      </c>
    </row>
    <row r="17" spans="2:30" ht="12.75" customHeight="1">
      <c r="B17" s="9" t="s">
        <v>144</v>
      </c>
      <c r="C17" s="80">
        <v>-2642</v>
      </c>
      <c r="D17" s="80">
        <v>-3038</v>
      </c>
      <c r="E17" s="80">
        <v>-3253</v>
      </c>
      <c r="F17" s="80">
        <v>-2973</v>
      </c>
      <c r="G17" s="80">
        <v>-2979</v>
      </c>
      <c r="H17" s="30"/>
      <c r="I17" s="80">
        <v>-721</v>
      </c>
      <c r="J17" s="80">
        <v>-743</v>
      </c>
      <c r="K17" s="80">
        <v>-739</v>
      </c>
      <c r="L17" s="30">
        <f>SUM(F17-SUM(I17:K17))</f>
        <v>-770</v>
      </c>
      <c r="M17" s="80">
        <v>-742</v>
      </c>
      <c r="N17" s="80">
        <v>-718</v>
      </c>
      <c r="O17" s="80">
        <v>-746</v>
      </c>
      <c r="P17" s="30">
        <f>SUM(G17-SUM(M17:O17))</f>
        <v>-773</v>
      </c>
      <c r="Q17" s="80">
        <v>-731</v>
      </c>
      <c r="R17" s="80">
        <v>-767</v>
      </c>
      <c r="S17" s="80">
        <v>-801</v>
      </c>
      <c r="U17" s="30">
        <f>SUM(I17:L17)</f>
        <v>-2973</v>
      </c>
      <c r="V17" s="30">
        <f>SUM(J17:M17)</f>
        <v>-2994</v>
      </c>
      <c r="W17" s="30">
        <f>SUM(K17:N17)</f>
        <v>-2969</v>
      </c>
      <c r="X17" s="30">
        <f>SUM(L17:O17)</f>
        <v>-2976</v>
      </c>
      <c r="Y17" s="30">
        <f>SUM(M17:P17)</f>
        <v>-2979</v>
      </c>
      <c r="Z17" s="30">
        <f>SUM(N17:Q17)</f>
        <v>-2968</v>
      </c>
      <c r="AA17" s="30">
        <f>SUM(O17:R17)</f>
        <v>-3017</v>
      </c>
      <c r="AB17" s="30">
        <f>SUM(P17:S17)</f>
        <v>-3072</v>
      </c>
      <c r="AC17" s="11"/>
      <c r="AD17" s="73">
        <f t="shared" si="4"/>
        <v>3.2258064516129004E-2</v>
      </c>
    </row>
    <row r="18" spans="2:30" ht="12.75" customHeight="1">
      <c r="B18" s="9" t="s">
        <v>145</v>
      </c>
      <c r="C18" s="80">
        <v>-2070</v>
      </c>
      <c r="D18" s="80">
        <v>-2114</v>
      </c>
      <c r="E18" s="80">
        <v>-2099</v>
      </c>
      <c r="F18" s="80">
        <v>-2059</v>
      </c>
      <c r="G18" s="80">
        <v>-2147</v>
      </c>
      <c r="H18" s="30"/>
      <c r="I18" s="80">
        <v>-507</v>
      </c>
      <c r="J18" s="80">
        <v>-491</v>
      </c>
      <c r="K18" s="80">
        <v>-507</v>
      </c>
      <c r="L18" s="30">
        <f>SUM(F18-SUM(I18:K18))</f>
        <v>-554</v>
      </c>
      <c r="M18" s="80">
        <v>-464</v>
      </c>
      <c r="N18" s="80">
        <v>-570</v>
      </c>
      <c r="O18" s="80">
        <v>-519</v>
      </c>
      <c r="P18" s="30">
        <f>SUM(G18-SUM(M18:O18))</f>
        <v>-594</v>
      </c>
      <c r="Q18" s="80">
        <v>-503</v>
      </c>
      <c r="R18" s="80">
        <v>-461</v>
      </c>
      <c r="S18" s="80">
        <v>-513</v>
      </c>
      <c r="U18" s="30">
        <f>SUM(I18:L18)</f>
        <v>-2059</v>
      </c>
      <c r="V18" s="30">
        <f>SUM(J18:M18)</f>
        <v>-2016</v>
      </c>
      <c r="W18" s="30">
        <f>SUM(K18:N18)</f>
        <v>-2095</v>
      </c>
      <c r="X18" s="30">
        <f>SUM(L18:O18)</f>
        <v>-2107</v>
      </c>
      <c r="Y18" s="30">
        <f>SUM(M18:P18)</f>
        <v>-2147</v>
      </c>
      <c r="Z18" s="30">
        <f>SUM(N18:Q18)</f>
        <v>-2186</v>
      </c>
      <c r="AA18" s="30">
        <f>SUM(O18:R18)</f>
        <v>-2077</v>
      </c>
      <c r="AB18" s="30">
        <f>SUM(P18:S18)</f>
        <v>-2071</v>
      </c>
      <c r="AC18" s="11"/>
      <c r="AD18" s="73">
        <f t="shared" si="4"/>
        <v>-1.7085904129093499E-2</v>
      </c>
    </row>
    <row r="19" spans="2:30" ht="12.75" customHeight="1">
      <c r="B19" s="9" t="s">
        <v>146</v>
      </c>
      <c r="C19" s="80">
        <v>-139</v>
      </c>
      <c r="D19" s="80">
        <v>-62</v>
      </c>
      <c r="E19" s="80">
        <v>-207</v>
      </c>
      <c r="F19" s="80">
        <v>84</v>
      </c>
      <c r="G19" s="80">
        <v>-438</v>
      </c>
      <c r="H19" s="30"/>
      <c r="I19" s="80">
        <v>-164</v>
      </c>
      <c r="J19" s="80">
        <v>-24</v>
      </c>
      <c r="K19" s="80">
        <v>-39</v>
      </c>
      <c r="L19" s="30">
        <f>SUM(F19-SUM(I19:K19))</f>
        <v>311</v>
      </c>
      <c r="M19" s="80">
        <v>-212</v>
      </c>
      <c r="N19" s="80">
        <v>-113</v>
      </c>
      <c r="O19" s="80">
        <v>-63</v>
      </c>
      <c r="P19" s="30">
        <f>SUM(G19-SUM(M19:O19))</f>
        <v>-50</v>
      </c>
      <c r="Q19" s="80">
        <v>-66</v>
      </c>
      <c r="R19" s="80">
        <v>-116</v>
      </c>
      <c r="S19" s="80">
        <v>-69</v>
      </c>
      <c r="U19" s="30">
        <f>SUM(I19:L19)</f>
        <v>84</v>
      </c>
      <c r="V19" s="30">
        <f>SUM(J19:M19)</f>
        <v>36</v>
      </c>
      <c r="W19" s="30">
        <f>SUM(K19:N19)</f>
        <v>-53</v>
      </c>
      <c r="X19" s="30">
        <f>SUM(L19:O19)</f>
        <v>-77</v>
      </c>
      <c r="Y19" s="30">
        <f>SUM(M19:P19)</f>
        <v>-438</v>
      </c>
      <c r="Z19" s="30">
        <f>SUM(N19:Q19)</f>
        <v>-292</v>
      </c>
      <c r="AA19" s="30">
        <f>SUM(O19:R19)</f>
        <v>-295</v>
      </c>
      <c r="AB19" s="30">
        <f>SUM(P19:S19)</f>
        <v>-301</v>
      </c>
      <c r="AC19" s="11"/>
      <c r="AD19" s="73">
        <f t="shared" si="4"/>
        <v>2.9090909090909092</v>
      </c>
    </row>
    <row r="20" spans="2:30" ht="12.75" customHeight="1">
      <c r="B20" s="25" t="s">
        <v>73</v>
      </c>
      <c r="C20" s="26">
        <f t="shared" ref="C20:G20" si="5">+SUM(C11+SUM(C13:C19))</f>
        <v>3289</v>
      </c>
      <c r="D20" s="26">
        <f t="shared" si="5"/>
        <v>4262</v>
      </c>
      <c r="E20" s="26">
        <f t="shared" si="5"/>
        <v>3837</v>
      </c>
      <c r="F20" s="26">
        <f t="shared" si="5"/>
        <v>5028</v>
      </c>
      <c r="G20" s="26">
        <f t="shared" si="5"/>
        <v>5325</v>
      </c>
      <c r="H20" s="30"/>
      <c r="I20" s="26">
        <f t="shared" ref="I20:S20" si="6">+SUM(I11+SUM(I13:I19))</f>
        <v>999</v>
      </c>
      <c r="J20" s="26">
        <f t="shared" si="6"/>
        <v>1133</v>
      </c>
      <c r="K20" s="26">
        <f t="shared" si="6"/>
        <v>1168</v>
      </c>
      <c r="L20" s="26">
        <f t="shared" si="6"/>
        <v>1728</v>
      </c>
      <c r="M20" s="26">
        <f t="shared" si="6"/>
        <v>1168</v>
      </c>
      <c r="N20" s="26">
        <f t="shared" si="6"/>
        <v>1325</v>
      </c>
      <c r="O20" s="26">
        <f t="shared" si="6"/>
        <v>1391</v>
      </c>
      <c r="P20" s="26">
        <f t="shared" si="6"/>
        <v>1441</v>
      </c>
      <c r="Q20" s="26">
        <f t="shared" si="6"/>
        <v>1530</v>
      </c>
      <c r="R20" s="26">
        <f t="shared" si="6"/>
        <v>1504</v>
      </c>
      <c r="S20" s="26">
        <f t="shared" si="6"/>
        <v>1520</v>
      </c>
      <c r="U20" s="26">
        <f t="shared" ref="U20:AB20" si="7">+SUM(U11+SUM(U13:U19))</f>
        <v>5028</v>
      </c>
      <c r="V20" s="26">
        <f t="shared" si="7"/>
        <v>5197</v>
      </c>
      <c r="W20" s="26">
        <f t="shared" si="7"/>
        <v>5389</v>
      </c>
      <c r="X20" s="26">
        <f t="shared" si="7"/>
        <v>5612</v>
      </c>
      <c r="Y20" s="26">
        <f t="shared" si="7"/>
        <v>5325</v>
      </c>
      <c r="Z20" s="26">
        <f t="shared" si="7"/>
        <v>5687</v>
      </c>
      <c r="AA20" s="26">
        <f t="shared" si="7"/>
        <v>5866</v>
      </c>
      <c r="AB20" s="26">
        <f t="shared" si="7"/>
        <v>5995</v>
      </c>
      <c r="AC20" s="11"/>
      <c r="AD20" s="74">
        <f>SUM(AB20/X20)-1</f>
        <v>6.8246614397719174E-2</v>
      </c>
    </row>
    <row r="21" spans="2:30" ht="12.75" customHeight="1">
      <c r="B21" s="16" t="s">
        <v>28</v>
      </c>
      <c r="C21" s="17">
        <f t="shared" ref="C21:G21" si="8">C20/C11</f>
        <v>0.15330474503589075</v>
      </c>
      <c r="D21" s="17">
        <f t="shared" si="8"/>
        <v>0.16798707185369122</v>
      </c>
      <c r="E21" s="17">
        <f t="shared" si="8"/>
        <v>0.13943600552365723</v>
      </c>
      <c r="F21" s="17">
        <f t="shared" si="8"/>
        <v>0.16888918746431092</v>
      </c>
      <c r="G21" s="17">
        <f t="shared" si="8"/>
        <v>0.16746862911595434</v>
      </c>
      <c r="H21" s="30"/>
      <c r="I21" s="17">
        <f t="shared" ref="I21:S21" si="9">I20/I11</f>
        <v>0.14190340909090909</v>
      </c>
      <c r="J21" s="17">
        <f t="shared" si="9"/>
        <v>0.15548236585700562</v>
      </c>
      <c r="K21" s="17">
        <f t="shared" si="9"/>
        <v>0.15745483957940146</v>
      </c>
      <c r="L21" s="17">
        <f t="shared" si="9"/>
        <v>0.21530027410914529</v>
      </c>
      <c r="M21" s="17">
        <f t="shared" si="9"/>
        <v>0.15170801402779582</v>
      </c>
      <c r="N21" s="17">
        <f t="shared" si="9"/>
        <v>0.16804058338617628</v>
      </c>
      <c r="O21" s="17">
        <f t="shared" si="9"/>
        <v>0.17726519689053141</v>
      </c>
      <c r="P21" s="17">
        <f t="shared" si="9"/>
        <v>0.17224480038250059</v>
      </c>
      <c r="Q21" s="17">
        <f t="shared" si="9"/>
        <v>0.19638043896804006</v>
      </c>
      <c r="R21" s="17">
        <f t="shared" si="9"/>
        <v>0.18146718146718147</v>
      </c>
      <c r="S21" s="17">
        <f t="shared" si="9"/>
        <v>0.18058690744920994</v>
      </c>
      <c r="U21" s="17">
        <f t="shared" ref="U21:AB21" si="10">U20/U11</f>
        <v>0.16888918746431092</v>
      </c>
      <c r="V21" s="17">
        <f t="shared" si="10"/>
        <v>0.17078540913572132</v>
      </c>
      <c r="W21" s="17">
        <f t="shared" si="10"/>
        <v>0.1736818357612479</v>
      </c>
      <c r="X21" s="17">
        <f t="shared" si="10"/>
        <v>0.17840226340719076</v>
      </c>
      <c r="Y21" s="17">
        <f t="shared" si="10"/>
        <v>0.16746862911595434</v>
      </c>
      <c r="Z21" s="17">
        <f t="shared" si="10"/>
        <v>0.17833735770955503</v>
      </c>
      <c r="AA21" s="17">
        <f t="shared" si="10"/>
        <v>0.18165489904620338</v>
      </c>
      <c r="AB21" s="17">
        <f t="shared" si="10"/>
        <v>0.18242955389203336</v>
      </c>
      <c r="AC21" s="11"/>
      <c r="AD21" s="75">
        <f>SUM(AB21-X21)*1000</f>
        <v>4.0272904848425997</v>
      </c>
    </row>
    <row r="22" spans="2:30" ht="5.0999999999999996" customHeight="1">
      <c r="B22" s="16"/>
      <c r="C22" s="17"/>
      <c r="D22" s="17"/>
      <c r="E22" s="17"/>
      <c r="F22" s="17"/>
      <c r="G22" s="17"/>
      <c r="H22" s="30"/>
      <c r="I22" s="80"/>
      <c r="J22" s="80"/>
      <c r="K22" s="80"/>
      <c r="L22" s="80"/>
      <c r="M22" s="80"/>
      <c r="N22" s="80"/>
      <c r="O22" s="80"/>
      <c r="P22" s="80"/>
      <c r="Q22" s="30"/>
      <c r="R22" s="80"/>
      <c r="S22" s="80"/>
      <c r="U22" s="30"/>
      <c r="V22" s="30"/>
      <c r="W22" s="30"/>
      <c r="X22" s="30"/>
      <c r="Y22" s="30"/>
      <c r="Z22" s="30"/>
      <c r="AA22" s="30"/>
      <c r="AB22" s="30"/>
      <c r="AC22" s="11"/>
      <c r="AD22" s="73"/>
    </row>
    <row r="23" spans="2:30" ht="12.75" customHeight="1">
      <c r="B23" s="9" t="s">
        <v>147</v>
      </c>
      <c r="C23" s="80">
        <v>1776</v>
      </c>
      <c r="D23" s="80">
        <v>-163</v>
      </c>
      <c r="E23" s="80">
        <v>-471</v>
      </c>
      <c r="F23" s="80">
        <v>383</v>
      </c>
      <c r="G23" s="80">
        <v>4</v>
      </c>
      <c r="H23" s="30"/>
      <c r="I23" s="93">
        <v>75</v>
      </c>
      <c r="J23" s="93">
        <v>170</v>
      </c>
      <c r="K23" s="93">
        <v>73</v>
      </c>
      <c r="L23" s="30">
        <f>SUM(F23-SUM(I23:K23))</f>
        <v>65</v>
      </c>
      <c r="M23" s="93">
        <v>41</v>
      </c>
      <c r="N23" s="93">
        <v>74</v>
      </c>
      <c r="O23" s="93">
        <v>-80</v>
      </c>
      <c r="P23" s="30">
        <f>SUM(G23-SUM(M23:O23))</f>
        <v>-31</v>
      </c>
      <c r="Q23" s="80">
        <v>73</v>
      </c>
      <c r="R23" s="80">
        <v>25</v>
      </c>
      <c r="S23" s="80">
        <v>13</v>
      </c>
      <c r="U23" s="30">
        <f>SUM(I23:L23)</f>
        <v>383</v>
      </c>
      <c r="V23" s="30">
        <f>SUM(J23:M23)</f>
        <v>349</v>
      </c>
      <c r="W23" s="30">
        <f>SUM(K23:N23)</f>
        <v>253</v>
      </c>
      <c r="X23" s="30">
        <f>SUM(L23:O23)</f>
        <v>100</v>
      </c>
      <c r="Y23" s="30">
        <f>SUM(M23:P23)</f>
        <v>4</v>
      </c>
      <c r="Z23" s="30">
        <f>SUM(N23:Q23)</f>
        <v>36</v>
      </c>
      <c r="AA23" s="30">
        <f>SUM(O23:R23)</f>
        <v>-13</v>
      </c>
      <c r="AB23" s="30">
        <f>SUM(P23:S23)</f>
        <v>80</v>
      </c>
      <c r="AC23" s="11"/>
      <c r="AD23" s="73">
        <f t="shared" ref="AD23" si="11">SUM(AB23/X23)-1</f>
        <v>-0.19999999999999996</v>
      </c>
    </row>
    <row r="24" spans="2:30" ht="12.75" customHeight="1">
      <c r="B24" s="25" t="s">
        <v>107</v>
      </c>
      <c r="C24" s="26">
        <f t="shared" ref="C24:G24" si="12">SUM(C20+SUM(C23:C23))</f>
        <v>5065</v>
      </c>
      <c r="D24" s="26">
        <f t="shared" si="12"/>
        <v>4099</v>
      </c>
      <c r="E24" s="26">
        <f t="shared" si="12"/>
        <v>3366</v>
      </c>
      <c r="F24" s="26">
        <f t="shared" si="12"/>
        <v>5411</v>
      </c>
      <c r="G24" s="26">
        <f t="shared" si="12"/>
        <v>5329</v>
      </c>
      <c r="I24" s="26">
        <f t="shared" ref="I24:S24" si="13">SUM(I20+SUM(I23:I23))</f>
        <v>1074</v>
      </c>
      <c r="J24" s="26">
        <f t="shared" si="13"/>
        <v>1303</v>
      </c>
      <c r="K24" s="26">
        <f t="shared" si="13"/>
        <v>1241</v>
      </c>
      <c r="L24" s="26">
        <f t="shared" si="13"/>
        <v>1793</v>
      </c>
      <c r="M24" s="26">
        <f t="shared" si="13"/>
        <v>1209</v>
      </c>
      <c r="N24" s="26">
        <f t="shared" si="13"/>
        <v>1399</v>
      </c>
      <c r="O24" s="26">
        <f t="shared" si="13"/>
        <v>1311</v>
      </c>
      <c r="P24" s="26">
        <f t="shared" si="13"/>
        <v>1410</v>
      </c>
      <c r="Q24" s="26">
        <f t="shared" si="13"/>
        <v>1603</v>
      </c>
      <c r="R24" s="26">
        <f t="shared" si="13"/>
        <v>1529</v>
      </c>
      <c r="S24" s="26">
        <f t="shared" si="13"/>
        <v>1533</v>
      </c>
      <c r="U24" s="26">
        <f t="shared" ref="U24:W24" si="14">SUM(U20+SUM(U23:U23))</f>
        <v>5411</v>
      </c>
      <c r="V24" s="26">
        <f t="shared" si="14"/>
        <v>5546</v>
      </c>
      <c r="W24" s="26">
        <f t="shared" si="14"/>
        <v>5642</v>
      </c>
      <c r="X24" s="26">
        <f>SUM(X20+SUM(X23:X23))</f>
        <v>5712</v>
      </c>
      <c r="Y24" s="26">
        <f>SUM(Y20+SUM(Y23:Y23))</f>
        <v>5329</v>
      </c>
      <c r="Z24" s="26">
        <f>SUM(Z20+SUM(Z23:Z23))</f>
        <v>5723</v>
      </c>
      <c r="AA24" s="26">
        <f>SUM(AA20+SUM(AA23:AA23))</f>
        <v>5853</v>
      </c>
      <c r="AB24" s="26">
        <f>SUM(AB20+SUM(AB23:AB23))</f>
        <v>6075</v>
      </c>
      <c r="AC24" s="40"/>
      <c r="AD24" s="74">
        <f>SUM(AB24/X24)-1</f>
        <v>6.3550420168067223E-2</v>
      </c>
    </row>
    <row r="25" spans="2:30" ht="12.75" customHeight="1">
      <c r="B25" s="16" t="s">
        <v>108</v>
      </c>
      <c r="C25" s="17">
        <f t="shared" ref="C25:G25" si="15">C24/C11</f>
        <v>0.23608651067400019</v>
      </c>
      <c r="D25" s="17">
        <f t="shared" si="15"/>
        <v>0.16156241377951205</v>
      </c>
      <c r="E25" s="17">
        <f t="shared" si="15"/>
        <v>0.1223199360418635</v>
      </c>
      <c r="F25" s="17">
        <f t="shared" si="15"/>
        <v>0.18175405596049848</v>
      </c>
      <c r="G25" s="17">
        <f t="shared" si="15"/>
        <v>0.16759442714721515</v>
      </c>
      <c r="H25" s="27"/>
      <c r="I25" s="17">
        <f t="shared" ref="I25:S25" si="16">I24/I11</f>
        <v>0.15255681818181818</v>
      </c>
      <c r="J25" s="17">
        <f t="shared" si="16"/>
        <v>0.17881158226979552</v>
      </c>
      <c r="K25" s="17">
        <f t="shared" si="16"/>
        <v>0.16729576705311405</v>
      </c>
      <c r="L25" s="17">
        <f t="shared" si="16"/>
        <v>0.2233989534014453</v>
      </c>
      <c r="M25" s="17">
        <f t="shared" si="16"/>
        <v>0.15703338095856606</v>
      </c>
      <c r="N25" s="17">
        <f t="shared" si="16"/>
        <v>0.17742549143944197</v>
      </c>
      <c r="O25" s="17">
        <f t="shared" si="16"/>
        <v>0.16707021791767554</v>
      </c>
      <c r="P25" s="17">
        <f t="shared" si="16"/>
        <v>0.16853932584269662</v>
      </c>
      <c r="Q25" s="17">
        <f t="shared" si="16"/>
        <v>0.20575022461814915</v>
      </c>
      <c r="R25" s="17">
        <f t="shared" si="16"/>
        <v>0.18448359073359075</v>
      </c>
      <c r="S25" s="17">
        <f t="shared" si="16"/>
        <v>0.1821314007366045</v>
      </c>
      <c r="T25" s="28"/>
      <c r="U25" s="17">
        <f t="shared" ref="U25:AB25" si="17">U24/U11</f>
        <v>0.18175405596049848</v>
      </c>
      <c r="V25" s="17">
        <f t="shared" si="17"/>
        <v>0.18225435425566874</v>
      </c>
      <c r="W25" s="17">
        <f t="shared" si="17"/>
        <v>0.18183576124790513</v>
      </c>
      <c r="X25" s="17">
        <f t="shared" si="17"/>
        <v>0.18158120609085418</v>
      </c>
      <c r="Y25" s="17">
        <f t="shared" si="17"/>
        <v>0.16759442714721515</v>
      </c>
      <c r="Z25" s="17">
        <f t="shared" si="17"/>
        <v>0.17946627363667722</v>
      </c>
      <c r="AA25" s="17">
        <f t="shared" si="17"/>
        <v>0.18125232255667037</v>
      </c>
      <c r="AB25" s="17">
        <f t="shared" si="17"/>
        <v>0.18486397662954171</v>
      </c>
      <c r="AC25" s="41"/>
      <c r="AD25" s="75">
        <f>SUM(AB25-X25)*1000</f>
        <v>3.2827705386875294</v>
      </c>
    </row>
    <row r="26" spans="2:30" ht="5.0999999999999996" customHeight="1">
      <c r="B26" s="16"/>
      <c r="C26" s="17"/>
      <c r="D26" s="17"/>
      <c r="E26" s="17"/>
      <c r="F26" s="17"/>
      <c r="G26" s="17"/>
      <c r="H26" s="2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28"/>
      <c r="U26" s="17"/>
      <c r="V26" s="17"/>
      <c r="W26" s="17"/>
      <c r="X26" s="17"/>
      <c r="Y26" s="17"/>
      <c r="Z26" s="17"/>
      <c r="AA26" s="17"/>
      <c r="AB26" s="17"/>
      <c r="AC26" s="41"/>
      <c r="AD26" s="75"/>
    </row>
    <row r="27" spans="2:30" ht="12.75" customHeight="1">
      <c r="B27" s="9" t="s">
        <v>98</v>
      </c>
      <c r="C27" s="80">
        <v>-863</v>
      </c>
      <c r="D27" s="80">
        <v>70</v>
      </c>
      <c r="E27" s="80">
        <v>-947</v>
      </c>
      <c r="F27" s="80">
        <v>-1165</v>
      </c>
      <c r="G27" s="80">
        <v>-1182</v>
      </c>
      <c r="H27" s="30"/>
      <c r="I27" s="80">
        <v>-279</v>
      </c>
      <c r="J27" s="80">
        <v>-274</v>
      </c>
      <c r="K27" s="80">
        <v>-221</v>
      </c>
      <c r="L27" s="30">
        <f>SUM(F27-SUM(I27:K27))</f>
        <v>-391</v>
      </c>
      <c r="M27" s="80">
        <v>-321</v>
      </c>
      <c r="N27" s="80">
        <v>-271</v>
      </c>
      <c r="O27" s="80">
        <v>-301</v>
      </c>
      <c r="P27" s="30">
        <f>SUM(G27-SUM(M27:O27))</f>
        <v>-289</v>
      </c>
      <c r="Q27" s="80">
        <v>-316</v>
      </c>
      <c r="R27" s="80">
        <v>-268</v>
      </c>
      <c r="S27" s="80">
        <v>-285</v>
      </c>
      <c r="U27" s="30">
        <f>SUM(I27:L27)</f>
        <v>-1165</v>
      </c>
      <c r="V27" s="30">
        <f>SUM(J27:M27)</f>
        <v>-1207</v>
      </c>
      <c r="W27" s="30">
        <f>SUM(K27:N27)</f>
        <v>-1204</v>
      </c>
      <c r="X27" s="30">
        <f>SUM(L27:O27)</f>
        <v>-1284</v>
      </c>
      <c r="Y27" s="30">
        <f>SUM(M27:P27)</f>
        <v>-1182</v>
      </c>
      <c r="Z27" s="30">
        <f>SUM(N27:Q27)</f>
        <v>-1177</v>
      </c>
      <c r="AA27" s="30">
        <f>SUM(O27:R27)</f>
        <v>-1174</v>
      </c>
      <c r="AB27" s="30">
        <f>SUM(P27:S27)</f>
        <v>-1158</v>
      </c>
      <c r="AC27" s="11"/>
      <c r="AD27" s="73">
        <f>SUM(AB27/X27)-1</f>
        <v>-9.8130841121495282E-2</v>
      </c>
    </row>
    <row r="28" spans="2:30" ht="12.75" customHeight="1">
      <c r="B28" s="13" t="s">
        <v>99</v>
      </c>
      <c r="C28" s="14">
        <f t="shared" ref="C28:G28" si="18">SUM(C24+SUM(C27:C27))</f>
        <v>4202</v>
      </c>
      <c r="D28" s="14">
        <f t="shared" si="18"/>
        <v>4169</v>
      </c>
      <c r="E28" s="14">
        <f t="shared" si="18"/>
        <v>2419</v>
      </c>
      <c r="F28" s="14">
        <f t="shared" si="18"/>
        <v>4246</v>
      </c>
      <c r="G28" s="14">
        <f t="shared" si="18"/>
        <v>4147</v>
      </c>
      <c r="H28" s="11"/>
      <c r="I28" s="14">
        <f t="shared" ref="I28:S28" si="19">SUM(I24+SUM(I27:I27))</f>
        <v>795</v>
      </c>
      <c r="J28" s="14">
        <f t="shared" si="19"/>
        <v>1029</v>
      </c>
      <c r="K28" s="14">
        <f t="shared" si="19"/>
        <v>1020</v>
      </c>
      <c r="L28" s="14">
        <f t="shared" si="19"/>
        <v>1402</v>
      </c>
      <c r="M28" s="14">
        <f t="shared" si="19"/>
        <v>888</v>
      </c>
      <c r="N28" s="14">
        <f t="shared" si="19"/>
        <v>1128</v>
      </c>
      <c r="O28" s="14">
        <f t="shared" si="19"/>
        <v>1010</v>
      </c>
      <c r="P28" s="14">
        <f t="shared" si="19"/>
        <v>1121</v>
      </c>
      <c r="Q28" s="14">
        <f t="shared" si="19"/>
        <v>1287</v>
      </c>
      <c r="R28" s="14">
        <f t="shared" si="19"/>
        <v>1261</v>
      </c>
      <c r="S28" s="14">
        <f t="shared" si="19"/>
        <v>1248</v>
      </c>
      <c r="T28" s="30"/>
      <c r="U28" s="14">
        <f t="shared" ref="U28:AB28" si="20">SUM(U24+SUM(U27:U27))</f>
        <v>4246</v>
      </c>
      <c r="V28" s="14">
        <f t="shared" si="20"/>
        <v>4339</v>
      </c>
      <c r="W28" s="14">
        <f t="shared" si="20"/>
        <v>4438</v>
      </c>
      <c r="X28" s="14">
        <f t="shared" si="20"/>
        <v>4428</v>
      </c>
      <c r="Y28" s="14">
        <f t="shared" si="20"/>
        <v>4147</v>
      </c>
      <c r="Z28" s="14">
        <f t="shared" si="20"/>
        <v>4546</v>
      </c>
      <c r="AA28" s="14">
        <f t="shared" si="20"/>
        <v>4679</v>
      </c>
      <c r="AB28" s="14">
        <f t="shared" si="20"/>
        <v>4917</v>
      </c>
      <c r="AC28" s="34"/>
      <c r="AD28" s="74">
        <f>SUM(AB28/X28)-1</f>
        <v>0.11043360433604343</v>
      </c>
    </row>
    <row r="29" spans="2:30" ht="12.75" customHeight="1">
      <c r="B29" s="16" t="s">
        <v>97</v>
      </c>
      <c r="C29" s="17">
        <f t="shared" ref="C29:G29" si="21">C28/C11</f>
        <v>0.19586091171809453</v>
      </c>
      <c r="D29" s="17">
        <f t="shared" si="21"/>
        <v>0.16432146939419021</v>
      </c>
      <c r="E29" s="17">
        <f t="shared" si="21"/>
        <v>8.7906097826876958E-2</v>
      </c>
      <c r="F29" s="17">
        <f t="shared" si="21"/>
        <v>0.14262201471230393</v>
      </c>
      <c r="G29" s="17">
        <f t="shared" si="21"/>
        <v>0.13042110890964556</v>
      </c>
      <c r="H29" s="27"/>
      <c r="I29" s="17">
        <f t="shared" ref="I29:S29" si="22">I28/I11</f>
        <v>0.11292613636363637</v>
      </c>
      <c r="J29" s="17">
        <f t="shared" si="22"/>
        <v>0.14121037463976946</v>
      </c>
      <c r="K29" s="17">
        <f t="shared" si="22"/>
        <v>0.13750337018064168</v>
      </c>
      <c r="L29" s="17">
        <f t="shared" si="22"/>
        <v>0.17468228258160975</v>
      </c>
      <c r="M29" s="17">
        <f t="shared" si="22"/>
        <v>0.11533965450058449</v>
      </c>
      <c r="N29" s="17">
        <f t="shared" si="22"/>
        <v>0.14305643627140138</v>
      </c>
      <c r="O29" s="17">
        <f t="shared" si="22"/>
        <v>0.12871160953230534</v>
      </c>
      <c r="P29" s="17">
        <f t="shared" si="22"/>
        <v>0.13399474061678221</v>
      </c>
      <c r="Q29" s="17">
        <f t="shared" si="22"/>
        <v>0.16519060454370427</v>
      </c>
      <c r="R29" s="17">
        <f t="shared" si="22"/>
        <v>0.15214768339768339</v>
      </c>
      <c r="S29" s="17">
        <f t="shared" si="22"/>
        <v>0.14827135558987764</v>
      </c>
      <c r="T29" s="28"/>
      <c r="U29" s="17">
        <f t="shared" ref="U29:AB29" si="23">U28/U11</f>
        <v>0.14262201471230393</v>
      </c>
      <c r="V29" s="17">
        <f t="shared" si="23"/>
        <v>0.14258954978639501</v>
      </c>
      <c r="W29" s="17">
        <f t="shared" si="23"/>
        <v>0.14303210003867475</v>
      </c>
      <c r="X29" s="17">
        <f t="shared" si="23"/>
        <v>0.14076358203261596</v>
      </c>
      <c r="Y29" s="17">
        <f t="shared" si="23"/>
        <v>0.13042110890964556</v>
      </c>
      <c r="Z29" s="17">
        <f t="shared" si="23"/>
        <v>0.14255699457493179</v>
      </c>
      <c r="AA29" s="17">
        <f t="shared" si="23"/>
        <v>0.1448965688096123</v>
      </c>
      <c r="AB29" s="17">
        <f t="shared" si="23"/>
        <v>0.14962570750410809</v>
      </c>
      <c r="AC29" s="41"/>
      <c r="AD29" s="75">
        <f>SUM(AB29-X29)*1000</f>
        <v>8.8621254714921207</v>
      </c>
    </row>
    <row r="30" spans="2:30" ht="5.0999999999999996" customHeight="1">
      <c r="B30" s="16"/>
      <c r="C30" s="17"/>
      <c r="D30" s="17"/>
      <c r="E30" s="17"/>
      <c r="F30" s="17"/>
      <c r="G30" s="17"/>
      <c r="H30" s="2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28"/>
      <c r="U30" s="17"/>
      <c r="V30" s="17"/>
      <c r="W30" s="17"/>
      <c r="X30" s="17"/>
      <c r="Y30" s="17"/>
      <c r="Z30" s="17"/>
      <c r="AA30" s="17"/>
      <c r="AB30" s="17"/>
      <c r="AC30" s="41"/>
      <c r="AD30" s="75"/>
    </row>
    <row r="31" spans="2:30" ht="12.75" customHeight="1">
      <c r="B31" s="42" t="s">
        <v>80</v>
      </c>
      <c r="C31" s="80">
        <v>1173</v>
      </c>
      <c r="D31" s="80">
        <v>1174</v>
      </c>
      <c r="E31" s="80">
        <v>1154</v>
      </c>
      <c r="F31" s="80">
        <v>1103</v>
      </c>
      <c r="G31" s="80">
        <v>1029</v>
      </c>
      <c r="H31" s="27"/>
      <c r="I31" s="80">
        <v>1129</v>
      </c>
      <c r="J31" s="80">
        <v>1111</v>
      </c>
      <c r="K31" s="80">
        <v>1094</v>
      </c>
      <c r="L31" s="30">
        <f>F31</f>
        <v>1103</v>
      </c>
      <c r="M31" s="80">
        <v>1064</v>
      </c>
      <c r="N31" s="80">
        <v>1042</v>
      </c>
      <c r="O31" s="80">
        <v>1015</v>
      </c>
      <c r="P31" s="30">
        <f>G31</f>
        <v>1029</v>
      </c>
      <c r="Q31" s="80">
        <v>986</v>
      </c>
      <c r="R31" s="80">
        <v>969</v>
      </c>
      <c r="S31" s="80">
        <v>950</v>
      </c>
      <c r="T31" s="130"/>
      <c r="U31" s="30">
        <f>L31</f>
        <v>1103</v>
      </c>
      <c r="V31" s="30">
        <f>M31</f>
        <v>1064</v>
      </c>
      <c r="W31" s="30">
        <f>N31</f>
        <v>1042</v>
      </c>
      <c r="X31" s="30">
        <f>O31</f>
        <v>1015</v>
      </c>
      <c r="Y31" s="30">
        <f>P31</f>
        <v>1029</v>
      </c>
      <c r="Z31" s="30">
        <f>Q31</f>
        <v>986</v>
      </c>
      <c r="AA31" s="30">
        <f>R31</f>
        <v>969</v>
      </c>
      <c r="AB31" s="30">
        <f>S31</f>
        <v>950</v>
      </c>
      <c r="AC31" s="41"/>
      <c r="AD31" s="73">
        <f>SUM(AB31/X31)-1</f>
        <v>-6.4039408866995107E-2</v>
      </c>
    </row>
    <row r="32" spans="2:30" ht="12.75" customHeight="1">
      <c r="B32" s="13" t="s">
        <v>59</v>
      </c>
      <c r="C32" s="142">
        <f t="shared" ref="C32:G32" si="24">C28/C31</f>
        <v>3.5822676896845693</v>
      </c>
      <c r="D32" s="142">
        <f t="shared" si="24"/>
        <v>3.5511073253833048</v>
      </c>
      <c r="E32" s="142">
        <f t="shared" si="24"/>
        <v>2.0961871750433274</v>
      </c>
      <c r="F32" s="142">
        <f t="shared" si="24"/>
        <v>3.8495013599274706</v>
      </c>
      <c r="G32" s="142">
        <f t="shared" si="24"/>
        <v>4.0301263362487854</v>
      </c>
      <c r="H32" s="27"/>
      <c r="I32" s="142">
        <f t="shared" ref="I32:S32" si="25">I28/I31</f>
        <v>0.70416297608503098</v>
      </c>
      <c r="J32" s="142">
        <f t="shared" si="25"/>
        <v>0.9261926192619262</v>
      </c>
      <c r="K32" s="142">
        <f t="shared" si="25"/>
        <v>0.93235831809872027</v>
      </c>
      <c r="L32" s="142">
        <f t="shared" si="25"/>
        <v>1.2710788757932909</v>
      </c>
      <c r="M32" s="142">
        <f t="shared" si="25"/>
        <v>0.83458646616541354</v>
      </c>
      <c r="N32" s="142">
        <f t="shared" si="25"/>
        <v>1.0825335892514396</v>
      </c>
      <c r="O32" s="142">
        <f t="shared" si="25"/>
        <v>0.99507389162561577</v>
      </c>
      <c r="P32" s="142">
        <f t="shared" si="25"/>
        <v>1.0894071914480077</v>
      </c>
      <c r="Q32" s="142">
        <f t="shared" si="25"/>
        <v>1.3052738336713996</v>
      </c>
      <c r="R32" s="142">
        <f t="shared" si="25"/>
        <v>1.3013415892672859</v>
      </c>
      <c r="S32" s="142">
        <f t="shared" si="25"/>
        <v>1.3136842105263158</v>
      </c>
      <c r="T32" s="130"/>
      <c r="U32" s="142">
        <f t="shared" ref="U32:AB32" si="26">U28/U31</f>
        <v>3.8495013599274706</v>
      </c>
      <c r="V32" s="142">
        <f t="shared" si="26"/>
        <v>4.0780075187969924</v>
      </c>
      <c r="W32" s="142">
        <f t="shared" si="26"/>
        <v>4.2591170825335896</v>
      </c>
      <c r="X32" s="142">
        <f t="shared" si="26"/>
        <v>4.3625615763546799</v>
      </c>
      <c r="Y32" s="142">
        <f t="shared" si="26"/>
        <v>4.0301263362487854</v>
      </c>
      <c r="Z32" s="142">
        <f t="shared" si="26"/>
        <v>4.6105476673427992</v>
      </c>
      <c r="AA32" s="142">
        <f t="shared" si="26"/>
        <v>4.8286893704850362</v>
      </c>
      <c r="AB32" s="142">
        <f t="shared" si="26"/>
        <v>5.1757894736842109</v>
      </c>
      <c r="AC32" s="41"/>
      <c r="AD32" s="74">
        <f>SUM(AB32/X32)-1</f>
        <v>0.18641064042219369</v>
      </c>
    </row>
    <row r="33" spans="1:30" ht="5.0999999999999996" customHeight="1">
      <c r="B33" s="25"/>
      <c r="C33" s="46"/>
      <c r="D33" s="46"/>
      <c r="E33" s="46"/>
      <c r="F33" s="46"/>
      <c r="G33" s="46"/>
      <c r="H33" s="141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130"/>
      <c r="U33" s="130"/>
      <c r="V33" s="130"/>
      <c r="W33" s="130"/>
      <c r="X33" s="46"/>
      <c r="Y33" s="130"/>
      <c r="Z33" s="130"/>
      <c r="AA33" s="130"/>
      <c r="AB33" s="130"/>
      <c r="AC33" s="41"/>
      <c r="AD33" s="73"/>
    </row>
    <row r="34" spans="1:30" ht="12.75" customHeight="1">
      <c r="B34" s="42" t="s">
        <v>60</v>
      </c>
      <c r="C34" s="80">
        <v>1187</v>
      </c>
      <c r="D34" s="80">
        <v>1186</v>
      </c>
      <c r="E34" s="80">
        <v>1158</v>
      </c>
      <c r="F34" s="80">
        <v>1107</v>
      </c>
      <c r="G34" s="80">
        <v>1039</v>
      </c>
      <c r="H34" s="141"/>
      <c r="I34" s="80">
        <v>1134</v>
      </c>
      <c r="J34" s="80">
        <v>1114</v>
      </c>
      <c r="K34" s="80">
        <v>1098</v>
      </c>
      <c r="L34" s="30">
        <f>F34</f>
        <v>1107</v>
      </c>
      <c r="M34" s="80">
        <v>1072</v>
      </c>
      <c r="N34" s="80">
        <v>1047</v>
      </c>
      <c r="O34" s="80">
        <v>1024</v>
      </c>
      <c r="P34" s="30">
        <f>G34</f>
        <v>1039</v>
      </c>
      <c r="Q34" s="80">
        <v>999</v>
      </c>
      <c r="R34" s="80">
        <v>977</v>
      </c>
      <c r="S34" s="80">
        <v>960</v>
      </c>
      <c r="T34" s="130"/>
      <c r="U34" s="30">
        <f>L34</f>
        <v>1107</v>
      </c>
      <c r="V34" s="30">
        <f>M34</f>
        <v>1072</v>
      </c>
      <c r="W34" s="30">
        <f>N34</f>
        <v>1047</v>
      </c>
      <c r="X34" s="30">
        <f>O34</f>
        <v>1024</v>
      </c>
      <c r="Y34" s="30">
        <f>P34</f>
        <v>1039</v>
      </c>
      <c r="Z34" s="30">
        <f>Q34</f>
        <v>999</v>
      </c>
      <c r="AA34" s="30">
        <f>R34</f>
        <v>977</v>
      </c>
      <c r="AB34" s="30">
        <f>S34</f>
        <v>960</v>
      </c>
      <c r="AC34" s="41"/>
      <c r="AD34" s="73">
        <f>SUM(AB34/X34)-1</f>
        <v>-6.25E-2</v>
      </c>
    </row>
    <row r="35" spans="1:30" ht="12.75" customHeight="1">
      <c r="B35" s="13" t="s">
        <v>79</v>
      </c>
      <c r="C35" s="142">
        <f t="shared" ref="C35:G35" si="27">C28/C34</f>
        <v>3.5400168491996631</v>
      </c>
      <c r="D35" s="142">
        <f t="shared" si="27"/>
        <v>3.5151770657672849</v>
      </c>
      <c r="E35" s="142">
        <f t="shared" si="27"/>
        <v>2.0889464594127807</v>
      </c>
      <c r="F35" s="142">
        <f t="shared" si="27"/>
        <v>3.8355916892502258</v>
      </c>
      <c r="G35" s="142">
        <f t="shared" si="27"/>
        <v>3.991337824831569</v>
      </c>
      <c r="H35" s="27"/>
      <c r="I35" s="142">
        <f t="shared" ref="I35:S35" si="28">I28/I34</f>
        <v>0.70105820105820105</v>
      </c>
      <c r="J35" s="142">
        <f t="shared" si="28"/>
        <v>0.92369838420107719</v>
      </c>
      <c r="K35" s="142">
        <f t="shared" si="28"/>
        <v>0.92896174863387981</v>
      </c>
      <c r="L35" s="142">
        <f t="shared" si="28"/>
        <v>1.2664859981933152</v>
      </c>
      <c r="M35" s="142">
        <f t="shared" si="28"/>
        <v>0.82835820895522383</v>
      </c>
      <c r="N35" s="142">
        <f t="shared" si="28"/>
        <v>1.0773638968481376</v>
      </c>
      <c r="O35" s="142">
        <f t="shared" si="28"/>
        <v>0.986328125</v>
      </c>
      <c r="P35" s="142">
        <f t="shared" si="28"/>
        <v>1.0789220404234841</v>
      </c>
      <c r="Q35" s="142">
        <f t="shared" si="28"/>
        <v>1.2882882882882882</v>
      </c>
      <c r="R35" s="142">
        <f t="shared" si="28"/>
        <v>1.2906857727737973</v>
      </c>
      <c r="S35" s="142">
        <f t="shared" si="28"/>
        <v>1.3</v>
      </c>
      <c r="T35" s="130"/>
      <c r="U35" s="142">
        <f t="shared" ref="U35:AB35" si="29">U28/U34</f>
        <v>3.8355916892502258</v>
      </c>
      <c r="V35" s="142">
        <f t="shared" si="29"/>
        <v>4.0475746268656714</v>
      </c>
      <c r="W35" s="142">
        <f t="shared" si="29"/>
        <v>4.2387774594078316</v>
      </c>
      <c r="X35" s="142">
        <f t="shared" si="29"/>
        <v>4.32421875</v>
      </c>
      <c r="Y35" s="142">
        <f t="shared" si="29"/>
        <v>3.991337824831569</v>
      </c>
      <c r="Z35" s="142">
        <f t="shared" si="29"/>
        <v>4.5505505505505504</v>
      </c>
      <c r="AA35" s="142">
        <f t="shared" si="29"/>
        <v>4.7891504605936541</v>
      </c>
      <c r="AB35" s="142">
        <f t="shared" si="29"/>
        <v>5.1218750000000002</v>
      </c>
      <c r="AC35" s="41"/>
      <c r="AD35" s="74">
        <f>SUM(AB35/X35)-1</f>
        <v>0.18446251129177971</v>
      </c>
    </row>
    <row r="36" spans="1:30">
      <c r="B36" s="16"/>
      <c r="C36" s="17"/>
      <c r="D36" s="17"/>
      <c r="E36" s="17"/>
      <c r="F36" s="17"/>
      <c r="G36" s="17"/>
      <c r="H36" s="2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28"/>
      <c r="U36" s="17"/>
      <c r="V36" s="17"/>
      <c r="W36" s="17"/>
      <c r="X36" s="17"/>
      <c r="Y36" s="17"/>
      <c r="Z36" s="17"/>
      <c r="AA36" s="17"/>
      <c r="AB36" s="17"/>
      <c r="AC36" s="41"/>
    </row>
    <row r="37" spans="1:30" ht="12.75" customHeight="1">
      <c r="A37" s="5" t="s">
        <v>15</v>
      </c>
      <c r="B37" s="104" t="s">
        <v>69</v>
      </c>
      <c r="C37" s="105"/>
      <c r="D37" s="105"/>
      <c r="E37" s="105" t="s">
        <v>0</v>
      </c>
      <c r="F37" s="105"/>
      <c r="G37" s="105"/>
      <c r="H37" s="106"/>
      <c r="I37" s="105" t="s">
        <v>1</v>
      </c>
      <c r="J37" s="105"/>
      <c r="K37" s="105"/>
      <c r="L37" s="105"/>
      <c r="M37" s="105"/>
      <c r="N37" s="105"/>
      <c r="O37" s="105" t="s">
        <v>1</v>
      </c>
      <c r="P37" s="105"/>
      <c r="Q37" s="105"/>
      <c r="R37" s="105"/>
      <c r="S37" s="105"/>
      <c r="T37" s="104"/>
      <c r="U37" s="105"/>
      <c r="V37" s="105"/>
      <c r="W37" s="105" t="s">
        <v>10</v>
      </c>
      <c r="X37" s="105" t="s">
        <v>10</v>
      </c>
      <c r="Y37" s="105"/>
      <c r="Z37" s="105"/>
      <c r="AA37" s="105"/>
      <c r="AB37" s="105"/>
      <c r="AC37" s="106"/>
      <c r="AD37" s="157" t="s">
        <v>20</v>
      </c>
    </row>
    <row r="38" spans="1:30" ht="12.75" customHeight="1">
      <c r="B38" s="108" t="str">
        <f t="shared" ref="B38:G39" si="30">B7</f>
        <v>Fiscal Period</v>
      </c>
      <c r="C38" s="107">
        <f t="shared" si="30"/>
        <v>2020</v>
      </c>
      <c r="D38" s="107">
        <f t="shared" si="30"/>
        <v>2021</v>
      </c>
      <c r="E38" s="107">
        <f t="shared" si="30"/>
        <v>2022</v>
      </c>
      <c r="F38" s="107">
        <f t="shared" si="30"/>
        <v>2023</v>
      </c>
      <c r="G38" s="107">
        <f t="shared" si="30"/>
        <v>2024</v>
      </c>
      <c r="H38" s="106"/>
      <c r="I38" s="107" t="str">
        <f t="shared" ref="I38:S38" si="31">I7</f>
        <v>1Q23</v>
      </c>
      <c r="J38" s="107" t="str">
        <f t="shared" si="31"/>
        <v>2Q23</v>
      </c>
      <c r="K38" s="107" t="str">
        <f t="shared" si="31"/>
        <v>3Q23</v>
      </c>
      <c r="L38" s="107" t="str">
        <f t="shared" si="31"/>
        <v>4Q23</v>
      </c>
      <c r="M38" s="107" t="str">
        <f t="shared" si="31"/>
        <v>1Q24</v>
      </c>
      <c r="N38" s="107" t="str">
        <f t="shared" si="31"/>
        <v>2Q24</v>
      </c>
      <c r="O38" s="107" t="str">
        <f t="shared" si="31"/>
        <v>3Q24</v>
      </c>
      <c r="P38" s="107" t="str">
        <f t="shared" si="31"/>
        <v>4Q24</v>
      </c>
      <c r="Q38" s="107" t="str">
        <f t="shared" si="31"/>
        <v>1Q25</v>
      </c>
      <c r="R38" s="107" t="str">
        <f t="shared" si="31"/>
        <v>2Q25</v>
      </c>
      <c r="S38" s="107" t="str">
        <f t="shared" si="31"/>
        <v>3Q25</v>
      </c>
      <c r="T38" s="109"/>
      <c r="U38" s="107" t="str">
        <f t="shared" ref="U38:AB39" si="32">U7</f>
        <v>4Q23</v>
      </c>
      <c r="V38" s="107" t="str">
        <f t="shared" si="32"/>
        <v>1Q24</v>
      </c>
      <c r="W38" s="107" t="str">
        <f t="shared" si="32"/>
        <v>2Q24</v>
      </c>
      <c r="X38" s="107" t="str">
        <f t="shared" si="32"/>
        <v>3Q24</v>
      </c>
      <c r="Y38" s="107" t="str">
        <f t="shared" si="32"/>
        <v>4Q24</v>
      </c>
      <c r="Z38" s="107" t="str">
        <f t="shared" si="32"/>
        <v>1Q25</v>
      </c>
      <c r="AA38" s="107" t="str">
        <f t="shared" si="32"/>
        <v>2Q25</v>
      </c>
      <c r="AB38" s="107" t="str">
        <f t="shared" si="32"/>
        <v>3Q25</v>
      </c>
      <c r="AC38" s="106"/>
      <c r="AD38" s="157"/>
    </row>
    <row r="39" spans="1:30" ht="12.75" customHeight="1">
      <c r="B39" s="108" t="str">
        <f t="shared" si="30"/>
        <v>Fiscal Period End Date</v>
      </c>
      <c r="C39" s="110">
        <f t="shared" si="30"/>
        <v>44196</v>
      </c>
      <c r="D39" s="110">
        <f t="shared" si="30"/>
        <v>44561</v>
      </c>
      <c r="E39" s="110">
        <f t="shared" si="30"/>
        <v>44926</v>
      </c>
      <c r="F39" s="110">
        <f t="shared" si="30"/>
        <v>45291</v>
      </c>
      <c r="G39" s="110">
        <f t="shared" si="30"/>
        <v>45657</v>
      </c>
      <c r="H39" s="106"/>
      <c r="I39" s="110">
        <f t="shared" ref="I39:S39" si="33">I8</f>
        <v>45016</v>
      </c>
      <c r="J39" s="110">
        <f t="shared" si="33"/>
        <v>45107</v>
      </c>
      <c r="K39" s="110">
        <f t="shared" si="33"/>
        <v>45199</v>
      </c>
      <c r="L39" s="110">
        <f t="shared" si="33"/>
        <v>45291</v>
      </c>
      <c r="M39" s="110">
        <f t="shared" si="33"/>
        <v>45382</v>
      </c>
      <c r="N39" s="110">
        <f t="shared" si="33"/>
        <v>45473</v>
      </c>
      <c r="O39" s="110">
        <f t="shared" si="33"/>
        <v>45565</v>
      </c>
      <c r="P39" s="110">
        <f t="shared" si="33"/>
        <v>45657</v>
      </c>
      <c r="Q39" s="110">
        <f t="shared" si="33"/>
        <v>45747</v>
      </c>
      <c r="R39" s="110">
        <f t="shared" si="33"/>
        <v>45838</v>
      </c>
      <c r="S39" s="110">
        <f t="shared" si="33"/>
        <v>45930</v>
      </c>
      <c r="T39" s="111"/>
      <c r="U39" s="110">
        <f t="shared" si="32"/>
        <v>45291</v>
      </c>
      <c r="V39" s="110">
        <f t="shared" si="32"/>
        <v>45382</v>
      </c>
      <c r="W39" s="110">
        <f t="shared" si="32"/>
        <v>45473</v>
      </c>
      <c r="X39" s="110">
        <f t="shared" si="32"/>
        <v>45565</v>
      </c>
      <c r="Y39" s="110">
        <f t="shared" si="32"/>
        <v>45657</v>
      </c>
      <c r="Z39" s="110">
        <f t="shared" si="32"/>
        <v>45747</v>
      </c>
      <c r="AA39" s="110">
        <f t="shared" si="32"/>
        <v>45838</v>
      </c>
      <c r="AB39" s="110">
        <f t="shared" si="32"/>
        <v>45930</v>
      </c>
      <c r="AC39" s="106"/>
      <c r="AD39" s="157"/>
    </row>
    <row r="40" spans="1:30" ht="5.0999999999999996" customHeight="1">
      <c r="B40" s="44"/>
      <c r="C40" s="45"/>
      <c r="D40" s="45"/>
      <c r="E40" s="45"/>
      <c r="F40" s="45"/>
      <c r="G40" s="45"/>
    </row>
    <row r="41" spans="1:30">
      <c r="B41" s="76" t="s">
        <v>74</v>
      </c>
      <c r="C41" s="45"/>
      <c r="D41" s="45"/>
      <c r="E41" s="45"/>
      <c r="F41" s="45"/>
      <c r="G41" s="45"/>
    </row>
    <row r="42" spans="1:30" s="120" customFormat="1" ht="12.75" customHeight="1">
      <c r="B42" s="112" t="s">
        <v>118</v>
      </c>
      <c r="C42" s="121">
        <v>4794</v>
      </c>
      <c r="D42" s="121">
        <v>5197</v>
      </c>
      <c r="E42" s="121">
        <v>7776</v>
      </c>
      <c r="F42" s="121">
        <v>9081</v>
      </c>
      <c r="G42" s="121">
        <v>6561</v>
      </c>
      <c r="I42" s="80">
        <v>7101</v>
      </c>
      <c r="J42" s="80">
        <v>5504</v>
      </c>
      <c r="K42" s="80">
        <v>6816</v>
      </c>
      <c r="L42" s="30">
        <f>F42</f>
        <v>9081</v>
      </c>
      <c r="M42" s="80">
        <v>9693</v>
      </c>
      <c r="N42" s="80">
        <v>7701</v>
      </c>
      <c r="O42" s="80">
        <v>7272</v>
      </c>
      <c r="P42" s="30">
        <f>G42</f>
        <v>6561</v>
      </c>
      <c r="Q42" s="80">
        <v>7449</v>
      </c>
      <c r="R42" s="80">
        <v>6688</v>
      </c>
      <c r="S42" s="80">
        <v>8995</v>
      </c>
      <c r="U42" s="94">
        <f>L42</f>
        <v>9081</v>
      </c>
      <c r="V42" s="94">
        <f>M42</f>
        <v>9693</v>
      </c>
      <c r="W42" s="94">
        <f>N42</f>
        <v>7701</v>
      </c>
      <c r="X42" s="94">
        <f>O42</f>
        <v>7272</v>
      </c>
      <c r="Y42" s="94">
        <f>P42</f>
        <v>6561</v>
      </c>
      <c r="Z42" s="94">
        <f>Q42</f>
        <v>7449</v>
      </c>
      <c r="AA42" s="94">
        <f>R42</f>
        <v>6688</v>
      </c>
      <c r="AB42" s="94">
        <f>S42</f>
        <v>8995</v>
      </c>
      <c r="AC42" s="122"/>
      <c r="AD42" s="73">
        <f>SUM(AB42/X42)-1</f>
        <v>0.23693619361936191</v>
      </c>
    </row>
    <row r="43" spans="1:30" s="120" customFormat="1" ht="12.75" customHeight="1">
      <c r="B43" s="112" t="s">
        <v>119</v>
      </c>
      <c r="C43" s="121">
        <v>8289</v>
      </c>
      <c r="D43" s="121">
        <v>4303</v>
      </c>
      <c r="E43" s="121">
        <v>3092</v>
      </c>
      <c r="F43" s="121">
        <v>4979</v>
      </c>
      <c r="G43" s="121">
        <v>4262</v>
      </c>
      <c r="I43" s="80">
        <v>3559</v>
      </c>
      <c r="J43" s="80">
        <v>4398</v>
      </c>
      <c r="K43" s="80">
        <v>4731</v>
      </c>
      <c r="L43" s="30">
        <f>F43</f>
        <v>4979</v>
      </c>
      <c r="M43" s="80">
        <v>4625</v>
      </c>
      <c r="N43" s="80">
        <v>5915</v>
      </c>
      <c r="O43" s="80">
        <v>4647</v>
      </c>
      <c r="P43" s="30">
        <f>G43</f>
        <v>4262</v>
      </c>
      <c r="Q43" s="80">
        <v>3762</v>
      </c>
      <c r="R43" s="80">
        <v>3320</v>
      </c>
      <c r="S43" s="80">
        <v>1760</v>
      </c>
      <c r="U43" s="94">
        <f>L43</f>
        <v>4979</v>
      </c>
      <c r="V43" s="94">
        <f>M43</f>
        <v>4625</v>
      </c>
      <c r="W43" s="94">
        <f>N43</f>
        <v>5915</v>
      </c>
      <c r="X43" s="94">
        <f>O43</f>
        <v>4647</v>
      </c>
      <c r="Y43" s="94">
        <f>P43</f>
        <v>4262</v>
      </c>
      <c r="Z43" s="94">
        <f>Q43</f>
        <v>3762</v>
      </c>
      <c r="AA43" s="94">
        <f>R43</f>
        <v>3320</v>
      </c>
      <c r="AB43" s="94">
        <f>S43</f>
        <v>1760</v>
      </c>
      <c r="AC43" s="122"/>
      <c r="AD43" s="73">
        <f t="shared" ref="AD43:AD44" si="34">SUM(AB43/X43)-1</f>
        <v>-0.6212610286206155</v>
      </c>
    </row>
    <row r="44" spans="1:30" s="120" customFormat="1" ht="12.75" customHeight="1">
      <c r="B44" s="112" t="s">
        <v>120</v>
      </c>
      <c r="C44" s="121">
        <v>577</v>
      </c>
      <c r="D44" s="121">
        <v>800</v>
      </c>
      <c r="E44" s="121">
        <v>963</v>
      </c>
      <c r="F44" s="121">
        <v>1069</v>
      </c>
      <c r="G44" s="121">
        <v>984</v>
      </c>
      <c r="I44" s="80">
        <v>967</v>
      </c>
      <c r="J44" s="80">
        <v>928</v>
      </c>
      <c r="K44" s="80">
        <v>988</v>
      </c>
      <c r="L44" s="30">
        <f>F44</f>
        <v>1069</v>
      </c>
      <c r="M44" s="80">
        <v>1108</v>
      </c>
      <c r="N44" s="80">
        <v>987</v>
      </c>
      <c r="O44" s="80">
        <v>1038</v>
      </c>
      <c r="P44" s="30">
        <f>G44</f>
        <v>984</v>
      </c>
      <c r="Q44" s="80">
        <v>1082</v>
      </c>
      <c r="R44" s="80">
        <v>1099</v>
      </c>
      <c r="S44" s="80">
        <v>973</v>
      </c>
      <c r="U44" s="94">
        <f>L44</f>
        <v>1069</v>
      </c>
      <c r="V44" s="94">
        <f>M44</f>
        <v>1108</v>
      </c>
      <c r="W44" s="94">
        <f>N44</f>
        <v>987</v>
      </c>
      <c r="X44" s="94">
        <f>O44</f>
        <v>1038</v>
      </c>
      <c r="Y44" s="94">
        <f>P44</f>
        <v>984</v>
      </c>
      <c r="Z44" s="94">
        <f>Q44</f>
        <v>1082</v>
      </c>
      <c r="AA44" s="94">
        <f>R44</f>
        <v>1099</v>
      </c>
      <c r="AB44" s="94">
        <f>S44</f>
        <v>973</v>
      </c>
      <c r="AC44" s="122"/>
      <c r="AD44" s="73">
        <f t="shared" si="34"/>
        <v>-6.2620423892100208E-2</v>
      </c>
    </row>
    <row r="45" spans="1:30" s="120" customFormat="1" ht="12.75" customHeight="1">
      <c r="B45" s="112" t="s">
        <v>121</v>
      </c>
      <c r="C45" s="121">
        <v>0</v>
      </c>
      <c r="D45" s="121">
        <v>0</v>
      </c>
      <c r="E45" s="121">
        <v>0</v>
      </c>
      <c r="F45" s="121">
        <v>563</v>
      </c>
      <c r="G45" s="121">
        <v>541</v>
      </c>
      <c r="I45" s="80">
        <v>0</v>
      </c>
      <c r="J45" s="80">
        <v>1903</v>
      </c>
      <c r="K45" s="80">
        <v>2165</v>
      </c>
      <c r="L45" s="30">
        <f>F45</f>
        <v>563</v>
      </c>
      <c r="M45" s="80">
        <v>307</v>
      </c>
      <c r="N45" s="80">
        <v>369</v>
      </c>
      <c r="O45" s="80">
        <v>471</v>
      </c>
      <c r="P45" s="30">
        <f>G45</f>
        <v>541</v>
      </c>
      <c r="Q45" s="80">
        <v>714</v>
      </c>
      <c r="R45" s="80">
        <v>817</v>
      </c>
      <c r="S45" s="80">
        <v>1404</v>
      </c>
      <c r="U45" s="94">
        <f>L45</f>
        <v>563</v>
      </c>
      <c r="V45" s="94">
        <f>M45</f>
        <v>307</v>
      </c>
      <c r="W45" s="94">
        <f>N45</f>
        <v>369</v>
      </c>
      <c r="X45" s="94">
        <f>O45</f>
        <v>471</v>
      </c>
      <c r="Y45" s="94">
        <f>P45</f>
        <v>541</v>
      </c>
      <c r="Z45" s="94">
        <f>Q45</f>
        <v>714</v>
      </c>
      <c r="AA45" s="94">
        <f>R45</f>
        <v>817</v>
      </c>
      <c r="AB45" s="94">
        <f>S45</f>
        <v>1404</v>
      </c>
      <c r="AC45" s="122"/>
      <c r="AD45" s="73">
        <f t="shared" ref="AD45:AD47" si="35">SUM(AB45/X45)-1</f>
        <v>1.9808917197452227</v>
      </c>
    </row>
    <row r="46" spans="1:30" s="120" customFormat="1" ht="12.75" customHeight="1">
      <c r="B46" s="112" t="s">
        <v>122</v>
      </c>
      <c r="C46" s="121">
        <v>2769</v>
      </c>
      <c r="D46" s="121">
        <v>4846</v>
      </c>
      <c r="E46" s="121">
        <v>7431</v>
      </c>
      <c r="F46" s="121">
        <v>5433</v>
      </c>
      <c r="G46" s="121">
        <v>6422</v>
      </c>
      <c r="I46" s="80">
        <v>7495</v>
      </c>
      <c r="J46" s="80">
        <v>5547</v>
      </c>
      <c r="K46" s="80">
        <v>5066</v>
      </c>
      <c r="L46" s="30">
        <f>F46</f>
        <v>5433</v>
      </c>
      <c r="M46" s="80">
        <v>5202</v>
      </c>
      <c r="N46" s="80">
        <v>5319</v>
      </c>
      <c r="O46" s="80">
        <v>6003</v>
      </c>
      <c r="P46" s="30">
        <f>G46</f>
        <v>6422</v>
      </c>
      <c r="Q46" s="80">
        <v>6511</v>
      </c>
      <c r="R46" s="80">
        <v>6938</v>
      </c>
      <c r="S46" s="80">
        <v>6396</v>
      </c>
      <c r="U46" s="94">
        <f>L46</f>
        <v>5433</v>
      </c>
      <c r="V46" s="94">
        <f>M46</f>
        <v>5202</v>
      </c>
      <c r="W46" s="94">
        <f>N46</f>
        <v>5319</v>
      </c>
      <c r="X46" s="94">
        <f>O46</f>
        <v>6003</v>
      </c>
      <c r="Y46" s="94">
        <f>P46</f>
        <v>6422</v>
      </c>
      <c r="Z46" s="94">
        <f>Q46</f>
        <v>6511</v>
      </c>
      <c r="AA46" s="94">
        <f>R46</f>
        <v>6938</v>
      </c>
      <c r="AB46" s="94">
        <f>S46</f>
        <v>6396</v>
      </c>
      <c r="AC46" s="122"/>
      <c r="AD46" s="73">
        <f t="shared" si="35"/>
        <v>6.5467266366816546E-2</v>
      </c>
    </row>
    <row r="47" spans="1:30" s="120" customFormat="1" ht="12.75" customHeight="1">
      <c r="B47" s="112" t="s">
        <v>123</v>
      </c>
      <c r="C47" s="121">
        <v>33418</v>
      </c>
      <c r="D47" s="121">
        <v>36141</v>
      </c>
      <c r="E47" s="121">
        <v>36264</v>
      </c>
      <c r="F47" s="121">
        <v>38935</v>
      </c>
      <c r="G47" s="121">
        <v>37671</v>
      </c>
      <c r="I47" s="80">
        <v>35276</v>
      </c>
      <c r="J47" s="80">
        <v>33643</v>
      </c>
      <c r="K47" s="80">
        <v>34641</v>
      </c>
      <c r="L47" s="30">
        <f>F47</f>
        <v>38935</v>
      </c>
      <c r="M47" s="80">
        <v>38353</v>
      </c>
      <c r="N47" s="80">
        <v>38727</v>
      </c>
      <c r="O47" s="80">
        <v>39182</v>
      </c>
      <c r="P47" s="30">
        <f>G47</f>
        <v>37671</v>
      </c>
      <c r="Q47" s="80">
        <v>39205</v>
      </c>
      <c r="R47" s="80">
        <v>38923</v>
      </c>
      <c r="S47" s="80">
        <v>38668</v>
      </c>
      <c r="U47" s="94">
        <f>L47</f>
        <v>38935</v>
      </c>
      <c r="V47" s="94">
        <f>M47</f>
        <v>38353</v>
      </c>
      <c r="W47" s="94">
        <f>N47</f>
        <v>38727</v>
      </c>
      <c r="X47" s="94">
        <f>O47</f>
        <v>39182</v>
      </c>
      <c r="Y47" s="94">
        <f>P47</f>
        <v>37671</v>
      </c>
      <c r="Z47" s="94">
        <f>Q47</f>
        <v>39205</v>
      </c>
      <c r="AA47" s="94">
        <f>R47</f>
        <v>38923</v>
      </c>
      <c r="AB47" s="94">
        <f>S47</f>
        <v>38668</v>
      </c>
      <c r="AC47" s="122"/>
      <c r="AD47" s="73">
        <f t="shared" si="35"/>
        <v>-1.3118268592721138E-2</v>
      </c>
    </row>
    <row r="48" spans="1:30" s="120" customFormat="1" ht="12.75" customHeight="1">
      <c r="B48" s="112" t="s">
        <v>124</v>
      </c>
      <c r="C48" s="121">
        <v>1148</v>
      </c>
      <c r="D48" s="121">
        <v>1287</v>
      </c>
      <c r="E48" s="121">
        <v>1898</v>
      </c>
      <c r="F48" s="121">
        <v>2509</v>
      </c>
      <c r="G48" s="121">
        <v>4651</v>
      </c>
      <c r="I48" s="80">
        <v>2162</v>
      </c>
      <c r="J48" s="80">
        <v>2202</v>
      </c>
      <c r="K48" s="80">
        <v>2228</v>
      </c>
      <c r="L48" s="30">
        <f>F48</f>
        <v>2509</v>
      </c>
      <c r="M48" s="80">
        <v>4418</v>
      </c>
      <c r="N48" s="80">
        <v>3954</v>
      </c>
      <c r="O48" s="80">
        <v>4060</v>
      </c>
      <c r="P48" s="30">
        <f>G48</f>
        <v>4651</v>
      </c>
      <c r="Q48" s="80">
        <v>1888</v>
      </c>
      <c r="R48" s="80">
        <v>2094</v>
      </c>
      <c r="S48" s="80">
        <v>1980</v>
      </c>
      <c r="U48" s="94">
        <f>L48</f>
        <v>2509</v>
      </c>
      <c r="V48" s="94">
        <f>M48</f>
        <v>4418</v>
      </c>
      <c r="W48" s="94">
        <f>N48</f>
        <v>3954</v>
      </c>
      <c r="X48" s="94">
        <f>O48</f>
        <v>4060</v>
      </c>
      <c r="Y48" s="94">
        <f>P48</f>
        <v>4651</v>
      </c>
      <c r="Z48" s="94">
        <f>Q48</f>
        <v>1888</v>
      </c>
      <c r="AA48" s="94">
        <f>R48</f>
        <v>2094</v>
      </c>
      <c r="AB48" s="94">
        <f>S48</f>
        <v>1980</v>
      </c>
      <c r="AC48" s="122"/>
      <c r="AD48" s="73">
        <f t="shared" ref="AD48" si="36">SUM(AB48/X48)-1</f>
        <v>-0.51231527093596063</v>
      </c>
    </row>
    <row r="49" spans="2:30" ht="12.75" customHeight="1">
      <c r="B49" s="25" t="s">
        <v>17</v>
      </c>
      <c r="C49" s="26">
        <f t="shared" ref="C49:G49" si="37">SUM(C42:C48)</f>
        <v>50995</v>
      </c>
      <c r="D49" s="26">
        <f t="shared" si="37"/>
        <v>52574</v>
      </c>
      <c r="E49" s="26">
        <f t="shared" si="37"/>
        <v>57424</v>
      </c>
      <c r="F49" s="26">
        <f t="shared" si="37"/>
        <v>62569</v>
      </c>
      <c r="G49" s="26">
        <f t="shared" si="37"/>
        <v>61092</v>
      </c>
      <c r="H49" s="46"/>
      <c r="I49" s="26">
        <f t="shared" ref="I49:S49" si="38">SUM(I42:I48)</f>
        <v>56560</v>
      </c>
      <c r="J49" s="26">
        <f t="shared" si="38"/>
        <v>54125</v>
      </c>
      <c r="K49" s="26">
        <f t="shared" si="38"/>
        <v>56635</v>
      </c>
      <c r="L49" s="26">
        <f t="shared" si="38"/>
        <v>62569</v>
      </c>
      <c r="M49" s="26">
        <f t="shared" si="38"/>
        <v>63706</v>
      </c>
      <c r="N49" s="26">
        <f t="shared" si="38"/>
        <v>62972</v>
      </c>
      <c r="O49" s="26">
        <f t="shared" si="38"/>
        <v>62673</v>
      </c>
      <c r="P49" s="26">
        <f t="shared" si="38"/>
        <v>61092</v>
      </c>
      <c r="Q49" s="26">
        <f t="shared" si="38"/>
        <v>60611</v>
      </c>
      <c r="R49" s="26">
        <f t="shared" si="38"/>
        <v>59879</v>
      </c>
      <c r="S49" s="26">
        <f t="shared" si="38"/>
        <v>60176</v>
      </c>
      <c r="T49" s="46"/>
      <c r="U49" s="26">
        <f t="shared" ref="U49:AB49" si="39">SUM(U42:U48)</f>
        <v>62569</v>
      </c>
      <c r="V49" s="26">
        <f t="shared" si="39"/>
        <v>63706</v>
      </c>
      <c r="W49" s="26">
        <f t="shared" si="39"/>
        <v>62972</v>
      </c>
      <c r="X49" s="26">
        <f t="shared" si="39"/>
        <v>62673</v>
      </c>
      <c r="Y49" s="26">
        <f t="shared" si="39"/>
        <v>61092</v>
      </c>
      <c r="Z49" s="26">
        <f t="shared" si="39"/>
        <v>60611</v>
      </c>
      <c r="AA49" s="26">
        <f t="shared" si="39"/>
        <v>59879</v>
      </c>
      <c r="AB49" s="26">
        <f t="shared" si="39"/>
        <v>60176</v>
      </c>
      <c r="AC49" s="40"/>
      <c r="AD49" s="74">
        <f>SUM(AB49/X49)-1</f>
        <v>-3.9841718124232095E-2</v>
      </c>
    </row>
    <row r="50" spans="2:30" ht="5.0999999999999996" customHeight="1">
      <c r="B50" s="25"/>
      <c r="C50" s="47"/>
      <c r="D50" s="47"/>
      <c r="E50" s="47"/>
      <c r="F50" s="39"/>
      <c r="G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U50" s="40"/>
      <c r="V50" s="40"/>
      <c r="W50" s="40"/>
      <c r="X50" s="40"/>
      <c r="Y50" s="40"/>
      <c r="Z50" s="40"/>
      <c r="AA50" s="40"/>
      <c r="AB50" s="40"/>
      <c r="AC50" s="40"/>
      <c r="AD50" s="37"/>
    </row>
    <row r="51" spans="2:30" ht="12.75" customHeight="1">
      <c r="B51" s="76" t="s">
        <v>75</v>
      </c>
      <c r="C51" s="80"/>
      <c r="D51" s="80"/>
      <c r="E51" s="80"/>
      <c r="F51" s="80"/>
      <c r="G51" s="80"/>
      <c r="I51" s="80"/>
      <c r="J51" s="80"/>
      <c r="K51" s="80"/>
      <c r="L51" s="80"/>
      <c r="M51" s="80"/>
      <c r="N51" s="80"/>
      <c r="O51" s="80"/>
      <c r="P51" s="80"/>
      <c r="Q51" s="30"/>
      <c r="R51" s="80"/>
      <c r="S51" s="80"/>
      <c r="U51" s="30"/>
      <c r="V51" s="30"/>
      <c r="W51" s="30"/>
      <c r="X51" s="30"/>
      <c r="Y51" s="30"/>
      <c r="Z51" s="30"/>
      <c r="AA51" s="30"/>
      <c r="AB51" s="30"/>
      <c r="AC51" s="11"/>
      <c r="AD51" s="73"/>
    </row>
    <row r="52" spans="2:30" ht="12.75" customHeight="1">
      <c r="B52" s="9" t="s">
        <v>125</v>
      </c>
      <c r="C52" s="80">
        <v>6089</v>
      </c>
      <c r="D52" s="80">
        <v>6797</v>
      </c>
      <c r="E52" s="80">
        <v>5018</v>
      </c>
      <c r="F52" s="80">
        <v>3273</v>
      </c>
      <c r="G52" s="80">
        <v>4583</v>
      </c>
      <c r="I52" s="80">
        <v>4632</v>
      </c>
      <c r="J52" s="80">
        <v>4543</v>
      </c>
      <c r="K52" s="80">
        <v>3855</v>
      </c>
      <c r="L52" s="30">
        <f>F52</f>
        <v>3273</v>
      </c>
      <c r="M52" s="80">
        <v>3409</v>
      </c>
      <c r="N52" s="80">
        <v>4653</v>
      </c>
      <c r="O52" s="80">
        <v>4282</v>
      </c>
      <c r="P52" s="30">
        <f>G52</f>
        <v>4583</v>
      </c>
      <c r="Q52" s="80">
        <v>4613</v>
      </c>
      <c r="R52" s="80">
        <v>3645</v>
      </c>
      <c r="S52" s="80">
        <v>3601</v>
      </c>
      <c r="U52" s="30">
        <f>L52</f>
        <v>3273</v>
      </c>
      <c r="V52" s="30">
        <f>M52</f>
        <v>3409</v>
      </c>
      <c r="W52" s="30">
        <f>N52</f>
        <v>4653</v>
      </c>
      <c r="X52" s="30">
        <f>O52</f>
        <v>4282</v>
      </c>
      <c r="Y52" s="30">
        <f>P52</f>
        <v>4583</v>
      </c>
      <c r="Z52" s="30">
        <f>Q52</f>
        <v>4613</v>
      </c>
      <c r="AA52" s="30">
        <f>R52</f>
        <v>3645</v>
      </c>
      <c r="AB52" s="30">
        <f>S52</f>
        <v>3601</v>
      </c>
      <c r="AC52" s="11"/>
      <c r="AD52" s="73">
        <f t="shared" ref="AD52:AD57" si="40">SUM(AB52/X52)-1</f>
        <v>-0.15903783278841666</v>
      </c>
    </row>
    <row r="53" spans="2:30" ht="12.75" customHeight="1">
      <c r="B53" s="9" t="s">
        <v>126</v>
      </c>
      <c r="C53" s="80">
        <v>1807</v>
      </c>
      <c r="D53" s="80">
        <v>1909</v>
      </c>
      <c r="E53" s="80">
        <v>1730</v>
      </c>
      <c r="F53" s="80">
        <v>1488</v>
      </c>
      <c r="G53" s="80">
        <v>1508</v>
      </c>
      <c r="I53" s="80">
        <v>1633</v>
      </c>
      <c r="J53" s="80">
        <v>1589</v>
      </c>
      <c r="K53" s="80">
        <v>1529</v>
      </c>
      <c r="L53" s="30">
        <f>F53</f>
        <v>1488</v>
      </c>
      <c r="M53" s="80">
        <v>1426</v>
      </c>
      <c r="N53" s="80">
        <v>1459</v>
      </c>
      <c r="O53" s="80">
        <v>1496</v>
      </c>
      <c r="P53" s="30">
        <f>G53</f>
        <v>1508</v>
      </c>
      <c r="Q53" s="80">
        <v>1537</v>
      </c>
      <c r="R53" s="80">
        <v>1625</v>
      </c>
      <c r="S53" s="80">
        <v>1656</v>
      </c>
      <c r="U53" s="30">
        <f>L53</f>
        <v>1488</v>
      </c>
      <c r="V53" s="30">
        <f>M53</f>
        <v>1426</v>
      </c>
      <c r="W53" s="30">
        <f>N53</f>
        <v>1459</v>
      </c>
      <c r="X53" s="30">
        <f>O53</f>
        <v>1496</v>
      </c>
      <c r="Y53" s="30">
        <f>P53</f>
        <v>1508</v>
      </c>
      <c r="Z53" s="30">
        <f>Q53</f>
        <v>1537</v>
      </c>
      <c r="AA53" s="30">
        <f>R53</f>
        <v>1625</v>
      </c>
      <c r="AB53" s="30">
        <f>S53</f>
        <v>1656</v>
      </c>
      <c r="AC53" s="11"/>
      <c r="AD53" s="73">
        <f t="shared" si="40"/>
        <v>0.10695187165775399</v>
      </c>
    </row>
    <row r="54" spans="2:30" ht="12.75" customHeight="1">
      <c r="B54" s="9" t="s">
        <v>100</v>
      </c>
      <c r="C54" s="80">
        <v>9135</v>
      </c>
      <c r="D54" s="80">
        <v>11454</v>
      </c>
      <c r="E54" s="80">
        <v>11209</v>
      </c>
      <c r="F54" s="80">
        <v>11026</v>
      </c>
      <c r="G54" s="80">
        <v>10837</v>
      </c>
      <c r="I54" s="80">
        <v>11195</v>
      </c>
      <c r="J54" s="80">
        <v>11067</v>
      </c>
      <c r="K54" s="80">
        <v>10935</v>
      </c>
      <c r="L54" s="30">
        <f>F54</f>
        <v>11026</v>
      </c>
      <c r="M54" s="80">
        <v>10916</v>
      </c>
      <c r="N54" s="80">
        <v>10816</v>
      </c>
      <c r="O54" s="80">
        <v>10996</v>
      </c>
      <c r="P54" s="30">
        <f>G54</f>
        <v>10837</v>
      </c>
      <c r="Q54" s="80">
        <v>10910</v>
      </c>
      <c r="R54" s="80">
        <v>10976</v>
      </c>
      <c r="S54" s="80">
        <v>10941</v>
      </c>
      <c r="U54" s="30">
        <f>L54</f>
        <v>11026</v>
      </c>
      <c r="V54" s="30">
        <f>M54</f>
        <v>10916</v>
      </c>
      <c r="W54" s="30">
        <f>N54</f>
        <v>10816</v>
      </c>
      <c r="X54" s="30">
        <f>O54</f>
        <v>10996</v>
      </c>
      <c r="Y54" s="30">
        <f>P54</f>
        <v>10837</v>
      </c>
      <c r="Z54" s="30">
        <f>Q54</f>
        <v>10910</v>
      </c>
      <c r="AA54" s="30">
        <f>R54</f>
        <v>10976</v>
      </c>
      <c r="AB54" s="30">
        <f>S54</f>
        <v>10941</v>
      </c>
      <c r="AC54" s="11"/>
      <c r="AD54" s="73">
        <f t="shared" ref="AD54:AD55" si="41">SUM(AB54/X54)-1</f>
        <v>-5.0018188432157107E-3</v>
      </c>
    </row>
    <row r="55" spans="2:30" ht="12.75" customHeight="1">
      <c r="B55" s="9" t="s">
        <v>127</v>
      </c>
      <c r="C55" s="80">
        <v>1048</v>
      </c>
      <c r="D55" s="80">
        <v>1332</v>
      </c>
      <c r="E55" s="80">
        <v>788</v>
      </c>
      <c r="F55" s="80">
        <v>537</v>
      </c>
      <c r="G55" s="80">
        <v>326</v>
      </c>
      <c r="I55" s="80">
        <v>730</v>
      </c>
      <c r="J55" s="80">
        <v>640</v>
      </c>
      <c r="K55" s="80">
        <v>564</v>
      </c>
      <c r="L55" s="30">
        <f>F55</f>
        <v>537</v>
      </c>
      <c r="M55" s="80">
        <v>465</v>
      </c>
      <c r="N55" s="80">
        <v>403</v>
      </c>
      <c r="O55" s="80">
        <v>393</v>
      </c>
      <c r="P55" s="30">
        <f>G55</f>
        <v>326</v>
      </c>
      <c r="Q55" s="80">
        <v>296</v>
      </c>
      <c r="R55" s="80">
        <v>271</v>
      </c>
      <c r="S55" s="80">
        <v>226</v>
      </c>
      <c r="U55" s="30">
        <f>L55</f>
        <v>537</v>
      </c>
      <c r="V55" s="30">
        <f>M55</f>
        <v>465</v>
      </c>
      <c r="W55" s="30">
        <f>N55</f>
        <v>403</v>
      </c>
      <c r="X55" s="30">
        <f>O55</f>
        <v>393</v>
      </c>
      <c r="Y55" s="30">
        <f>P55</f>
        <v>326</v>
      </c>
      <c r="Z55" s="30">
        <f>Q55</f>
        <v>296</v>
      </c>
      <c r="AA55" s="30">
        <f>R55</f>
        <v>271</v>
      </c>
      <c r="AB55" s="30">
        <f>S55</f>
        <v>226</v>
      </c>
      <c r="AC55" s="11"/>
      <c r="AD55" s="73">
        <f t="shared" si="41"/>
        <v>-0.4249363867684478</v>
      </c>
    </row>
    <row r="56" spans="2:30" ht="12.75" customHeight="1">
      <c r="B56" s="9" t="s">
        <v>128</v>
      </c>
      <c r="C56" s="80">
        <v>1305</v>
      </c>
      <c r="D56" s="80">
        <v>1737</v>
      </c>
      <c r="E56" s="80">
        <v>2455</v>
      </c>
      <c r="F56" s="80">
        <v>3273</v>
      </c>
      <c r="G56" s="80">
        <v>3265</v>
      </c>
      <c r="I56" s="80">
        <v>2436</v>
      </c>
      <c r="J56" s="80">
        <v>2615</v>
      </c>
      <c r="K56" s="80">
        <v>2922</v>
      </c>
      <c r="L56" s="30">
        <f>F56</f>
        <v>3273</v>
      </c>
      <c r="M56" s="80">
        <v>3425</v>
      </c>
      <c r="N56" s="80">
        <v>3713</v>
      </c>
      <c r="O56" s="80">
        <v>3671</v>
      </c>
      <c r="P56" s="30">
        <f>G56</f>
        <v>3265</v>
      </c>
      <c r="Q56" s="80">
        <v>3307</v>
      </c>
      <c r="R56" s="80">
        <v>3381</v>
      </c>
      <c r="S56" s="80">
        <v>3201</v>
      </c>
      <c r="U56" s="30">
        <f>L56</f>
        <v>3273</v>
      </c>
      <c r="V56" s="30">
        <f>M56</f>
        <v>3425</v>
      </c>
      <c r="W56" s="30">
        <f>N56</f>
        <v>3713</v>
      </c>
      <c r="X56" s="30">
        <f>O56</f>
        <v>3671</v>
      </c>
      <c r="Y56" s="30">
        <f>P56</f>
        <v>3265</v>
      </c>
      <c r="Z56" s="30">
        <f>Q56</f>
        <v>3307</v>
      </c>
      <c r="AA56" s="30">
        <f>R56</f>
        <v>3381</v>
      </c>
      <c r="AB56" s="30">
        <f>S56</f>
        <v>3201</v>
      </c>
      <c r="AC56" s="11"/>
      <c r="AD56" s="73">
        <f t="shared" si="40"/>
        <v>-0.12803050939798422</v>
      </c>
    </row>
    <row r="57" spans="2:30" ht="12.75" customHeight="1">
      <c r="B57" s="13" t="s">
        <v>18</v>
      </c>
      <c r="C57" s="14">
        <f t="shared" ref="C57:G57" si="42">SUM(C52:C56)+C49</f>
        <v>70379</v>
      </c>
      <c r="D57" s="14">
        <f t="shared" si="42"/>
        <v>75803</v>
      </c>
      <c r="E57" s="14">
        <f t="shared" si="42"/>
        <v>78624</v>
      </c>
      <c r="F57" s="14">
        <f t="shared" si="42"/>
        <v>82166</v>
      </c>
      <c r="G57" s="14">
        <f t="shared" si="42"/>
        <v>81611</v>
      </c>
      <c r="I57" s="14">
        <f t="shared" ref="I57:S57" si="43">SUM(I52:I56)+I49</f>
        <v>77186</v>
      </c>
      <c r="J57" s="14">
        <f t="shared" si="43"/>
        <v>74579</v>
      </c>
      <c r="K57" s="14">
        <f t="shared" si="43"/>
        <v>76440</v>
      </c>
      <c r="L57" s="14">
        <f t="shared" si="43"/>
        <v>82166</v>
      </c>
      <c r="M57" s="14">
        <f t="shared" si="43"/>
        <v>83347</v>
      </c>
      <c r="N57" s="14">
        <f t="shared" si="43"/>
        <v>84016</v>
      </c>
      <c r="O57" s="14">
        <f t="shared" si="43"/>
        <v>83511</v>
      </c>
      <c r="P57" s="14">
        <f t="shared" si="43"/>
        <v>81611</v>
      </c>
      <c r="Q57" s="14">
        <f t="shared" si="43"/>
        <v>81274</v>
      </c>
      <c r="R57" s="14">
        <f t="shared" si="43"/>
        <v>79777</v>
      </c>
      <c r="S57" s="14">
        <f t="shared" si="43"/>
        <v>79801</v>
      </c>
      <c r="U57" s="14">
        <f t="shared" ref="U57:AB57" si="44">SUM(U52:U56)+U49</f>
        <v>82166</v>
      </c>
      <c r="V57" s="14">
        <f t="shared" si="44"/>
        <v>83347</v>
      </c>
      <c r="W57" s="14">
        <f t="shared" si="44"/>
        <v>84016</v>
      </c>
      <c r="X57" s="14">
        <f t="shared" si="44"/>
        <v>83511</v>
      </c>
      <c r="Y57" s="14">
        <f t="shared" si="44"/>
        <v>81611</v>
      </c>
      <c r="Z57" s="14">
        <f t="shared" si="44"/>
        <v>81274</v>
      </c>
      <c r="AA57" s="14">
        <f t="shared" si="44"/>
        <v>79777</v>
      </c>
      <c r="AB57" s="32">
        <f t="shared" si="44"/>
        <v>79801</v>
      </c>
      <c r="AC57" s="40"/>
      <c r="AD57" s="74">
        <f t="shared" si="40"/>
        <v>-4.4425285291757932E-2</v>
      </c>
    </row>
    <row r="58" spans="2:30" ht="12.75" customHeight="1">
      <c r="B58" s="25"/>
      <c r="C58" s="48"/>
      <c r="D58" s="48"/>
      <c r="E58" s="48"/>
      <c r="F58" s="39"/>
      <c r="G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U58" s="40"/>
      <c r="V58" s="40"/>
      <c r="W58" s="40"/>
      <c r="X58" s="40"/>
      <c r="Y58" s="40"/>
      <c r="Z58" s="40"/>
      <c r="AA58" s="40"/>
      <c r="AB58" s="40"/>
      <c r="AC58" s="40"/>
      <c r="AD58" s="37"/>
    </row>
    <row r="59" spans="2:30" ht="12.75" customHeight="1">
      <c r="B59" s="76" t="s">
        <v>42</v>
      </c>
      <c r="C59" s="48"/>
      <c r="D59" s="48"/>
      <c r="E59" s="48"/>
      <c r="F59" s="39"/>
      <c r="G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U59" s="40"/>
      <c r="V59" s="40"/>
      <c r="W59" s="40"/>
      <c r="X59" s="40"/>
      <c r="Y59" s="40"/>
      <c r="Z59" s="40"/>
      <c r="AA59" s="40"/>
      <c r="AB59" s="40"/>
      <c r="AC59" s="40"/>
      <c r="AD59" s="37"/>
    </row>
    <row r="60" spans="2:30" ht="12.75" customHeight="1">
      <c r="B60" s="118" t="s">
        <v>129</v>
      </c>
      <c r="C60" s="119">
        <v>252</v>
      </c>
      <c r="D60" s="119">
        <v>197</v>
      </c>
      <c r="E60" s="119">
        <v>126</v>
      </c>
      <c r="F60" s="119">
        <v>139</v>
      </c>
      <c r="G60" s="119">
        <v>227</v>
      </c>
      <c r="I60" s="80">
        <v>142</v>
      </c>
      <c r="J60" s="80">
        <v>137</v>
      </c>
      <c r="K60" s="80">
        <v>131</v>
      </c>
      <c r="L60" s="30">
        <f>F60</f>
        <v>139</v>
      </c>
      <c r="M60" s="80">
        <v>108</v>
      </c>
      <c r="N60" s="80">
        <v>133</v>
      </c>
      <c r="O60" s="80">
        <v>165</v>
      </c>
      <c r="P60" s="30">
        <f>G60</f>
        <v>227</v>
      </c>
      <c r="Q60" s="80">
        <v>175</v>
      </c>
      <c r="R60" s="80">
        <v>221</v>
      </c>
      <c r="S60" s="80">
        <v>208</v>
      </c>
      <c r="U60" s="95">
        <f>L60</f>
        <v>139</v>
      </c>
      <c r="V60" s="95">
        <f>M60</f>
        <v>108</v>
      </c>
      <c r="W60" s="95">
        <f>N60</f>
        <v>133</v>
      </c>
      <c r="X60" s="95">
        <f>O60</f>
        <v>165</v>
      </c>
      <c r="Y60" s="95">
        <f>P60</f>
        <v>227</v>
      </c>
      <c r="Z60" s="95">
        <f>Q60</f>
        <v>175</v>
      </c>
      <c r="AA60" s="95">
        <f>R60</f>
        <v>221</v>
      </c>
      <c r="AB60" s="95">
        <f>S60</f>
        <v>208</v>
      </c>
      <c r="AC60" s="11"/>
      <c r="AD60" s="73">
        <f t="shared" ref="AD60:AD63" si="45">SUM(AB60/X60)-1</f>
        <v>0.26060606060606051</v>
      </c>
    </row>
    <row r="61" spans="2:30" ht="12.75" customHeight="1">
      <c r="B61" s="118" t="s">
        <v>130</v>
      </c>
      <c r="C61" s="119">
        <v>35418</v>
      </c>
      <c r="D61" s="119">
        <v>38841</v>
      </c>
      <c r="E61" s="119">
        <v>40014</v>
      </c>
      <c r="F61" s="119">
        <v>41935</v>
      </c>
      <c r="G61" s="119">
        <v>39671</v>
      </c>
      <c r="I61" s="80">
        <v>39026</v>
      </c>
      <c r="J61" s="80">
        <v>37393</v>
      </c>
      <c r="K61" s="80">
        <v>38641</v>
      </c>
      <c r="L61" s="30">
        <f>F61</f>
        <v>41935</v>
      </c>
      <c r="M61" s="80">
        <v>41353</v>
      </c>
      <c r="N61" s="80">
        <v>41727</v>
      </c>
      <c r="O61" s="80">
        <v>41182</v>
      </c>
      <c r="P61" s="30">
        <f>G61</f>
        <v>39671</v>
      </c>
      <c r="Q61" s="80">
        <v>41205</v>
      </c>
      <c r="R61" s="80">
        <v>40923</v>
      </c>
      <c r="S61" s="80">
        <v>40668</v>
      </c>
      <c r="U61" s="95">
        <f>L61</f>
        <v>41935</v>
      </c>
      <c r="V61" s="95">
        <f>M61</f>
        <v>41353</v>
      </c>
      <c r="W61" s="95">
        <f>N61</f>
        <v>41727</v>
      </c>
      <c r="X61" s="95">
        <f>O61</f>
        <v>41182</v>
      </c>
      <c r="Y61" s="95">
        <f>P61</f>
        <v>39671</v>
      </c>
      <c r="Z61" s="95">
        <f>Q61</f>
        <v>41205</v>
      </c>
      <c r="AA61" s="95">
        <f>R61</f>
        <v>40923</v>
      </c>
      <c r="AB61" s="95">
        <f>S61</f>
        <v>40668</v>
      </c>
      <c r="AC61" s="11"/>
      <c r="AD61" s="73">
        <f t="shared" ref="AD61:AD62" si="46">SUM(AB61/X61)-1</f>
        <v>-1.2481181098538241E-2</v>
      </c>
    </row>
    <row r="62" spans="2:30" ht="12.75" customHeight="1">
      <c r="B62" s="118" t="s">
        <v>131</v>
      </c>
      <c r="C62" s="119">
        <f>2648+129</f>
        <v>2777</v>
      </c>
      <c r="D62" s="119">
        <f>3755+236</f>
        <v>3991</v>
      </c>
      <c r="E62" s="119">
        <v>4868</v>
      </c>
      <c r="F62" s="119">
        <v>6392</v>
      </c>
      <c r="G62" s="119">
        <v>8478</v>
      </c>
      <c r="I62" s="80">
        <v>4741</v>
      </c>
      <c r="J62" s="80">
        <v>4224</v>
      </c>
      <c r="K62" s="80">
        <v>4670</v>
      </c>
      <c r="L62" s="30">
        <f>F62</f>
        <v>6392</v>
      </c>
      <c r="M62" s="80">
        <v>8385</v>
      </c>
      <c r="N62" s="80">
        <v>8853</v>
      </c>
      <c r="O62" s="80">
        <v>8921</v>
      </c>
      <c r="P62" s="30">
        <f>G62</f>
        <v>8478</v>
      </c>
      <c r="Q62" s="80">
        <v>5242</v>
      </c>
      <c r="R62" s="80">
        <v>3906</v>
      </c>
      <c r="S62" s="80">
        <v>4048</v>
      </c>
      <c r="U62" s="95">
        <f>L62</f>
        <v>6392</v>
      </c>
      <c r="V62" s="95">
        <f>M62</f>
        <v>8385</v>
      </c>
      <c r="W62" s="95">
        <f>N62</f>
        <v>8853</v>
      </c>
      <c r="X62" s="95">
        <f>O62</f>
        <v>8921</v>
      </c>
      <c r="Y62" s="95">
        <f>P62</f>
        <v>8478</v>
      </c>
      <c r="Z62" s="95">
        <f>Q62</f>
        <v>5242</v>
      </c>
      <c r="AA62" s="95">
        <f>R62</f>
        <v>3906</v>
      </c>
      <c r="AB62" s="95">
        <f>S62</f>
        <v>4048</v>
      </c>
      <c r="AC62" s="11"/>
      <c r="AD62" s="73">
        <f t="shared" si="46"/>
        <v>-0.5462392108508014</v>
      </c>
    </row>
    <row r="63" spans="2:30" ht="12.75" customHeight="1">
      <c r="B63" s="25" t="s">
        <v>16</v>
      </c>
      <c r="C63" s="26">
        <f t="shared" ref="C63:G63" si="47">SUM(C60:C62)</f>
        <v>38447</v>
      </c>
      <c r="D63" s="26">
        <f t="shared" si="47"/>
        <v>43029</v>
      </c>
      <c r="E63" s="26">
        <f t="shared" si="47"/>
        <v>45008</v>
      </c>
      <c r="F63" s="26">
        <f t="shared" si="47"/>
        <v>48466</v>
      </c>
      <c r="G63" s="26">
        <f t="shared" si="47"/>
        <v>48376</v>
      </c>
      <c r="I63" s="26">
        <f t="shared" ref="I63:S63" si="48">SUM(I60:I62)</f>
        <v>43909</v>
      </c>
      <c r="J63" s="26">
        <f t="shared" si="48"/>
        <v>41754</v>
      </c>
      <c r="K63" s="26">
        <f t="shared" si="48"/>
        <v>43442</v>
      </c>
      <c r="L63" s="26">
        <f t="shared" si="48"/>
        <v>48466</v>
      </c>
      <c r="M63" s="26">
        <f t="shared" si="48"/>
        <v>49846</v>
      </c>
      <c r="N63" s="26">
        <f t="shared" si="48"/>
        <v>50713</v>
      </c>
      <c r="O63" s="26">
        <f t="shared" si="48"/>
        <v>50268</v>
      </c>
      <c r="P63" s="26">
        <f t="shared" si="48"/>
        <v>48376</v>
      </c>
      <c r="Q63" s="26">
        <f t="shared" si="48"/>
        <v>46622</v>
      </c>
      <c r="R63" s="26">
        <f t="shared" si="48"/>
        <v>45050</v>
      </c>
      <c r="S63" s="26">
        <f t="shared" si="48"/>
        <v>44924</v>
      </c>
      <c r="T63" s="46"/>
      <c r="U63" s="26">
        <f t="shared" ref="U63:AB63" si="49">SUM(U60:U62)</f>
        <v>48466</v>
      </c>
      <c r="V63" s="26">
        <f t="shared" si="49"/>
        <v>49846</v>
      </c>
      <c r="W63" s="26">
        <f t="shared" si="49"/>
        <v>50713</v>
      </c>
      <c r="X63" s="26">
        <f t="shared" si="49"/>
        <v>50268</v>
      </c>
      <c r="Y63" s="26">
        <f t="shared" si="49"/>
        <v>48376</v>
      </c>
      <c r="Z63" s="26">
        <f t="shared" si="49"/>
        <v>46622</v>
      </c>
      <c r="AA63" s="26">
        <f t="shared" si="49"/>
        <v>45050</v>
      </c>
      <c r="AB63" s="26">
        <f t="shared" si="49"/>
        <v>44924</v>
      </c>
      <c r="AC63" s="40"/>
      <c r="AD63" s="74">
        <f t="shared" si="45"/>
        <v>-0.10631017744887405</v>
      </c>
    </row>
    <row r="64" spans="2:30" ht="5.0999999999999996" customHeight="1">
      <c r="B64" s="25"/>
      <c r="C64" s="48"/>
      <c r="D64" s="48"/>
      <c r="E64" s="48"/>
      <c r="F64" s="39"/>
      <c r="G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U64" s="40"/>
      <c r="V64" s="40"/>
      <c r="W64" s="40"/>
      <c r="X64" s="40"/>
      <c r="Y64" s="40"/>
      <c r="Z64" s="40"/>
      <c r="AA64" s="40"/>
      <c r="AB64" s="40"/>
      <c r="AC64" s="40"/>
      <c r="AD64" s="37"/>
    </row>
    <row r="65" spans="2:30">
      <c r="B65" s="76" t="s">
        <v>76</v>
      </c>
      <c r="C65" s="48"/>
      <c r="D65" s="48"/>
      <c r="E65" s="48"/>
      <c r="F65" s="39"/>
      <c r="G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U65" s="40"/>
      <c r="V65" s="40"/>
      <c r="W65" s="40"/>
      <c r="X65" s="40"/>
      <c r="Y65" s="40"/>
      <c r="Z65" s="40"/>
      <c r="AA65" s="40"/>
      <c r="AB65" s="40"/>
      <c r="AC65" s="40"/>
      <c r="AD65" s="37"/>
    </row>
    <row r="66" spans="2:30" ht="12.75" customHeight="1">
      <c r="B66" s="118" t="s">
        <v>132</v>
      </c>
      <c r="C66" s="119">
        <v>2930</v>
      </c>
      <c r="D66" s="119">
        <v>2998</v>
      </c>
      <c r="E66" s="119">
        <v>2925</v>
      </c>
      <c r="F66" s="119">
        <v>2973</v>
      </c>
      <c r="G66" s="119">
        <v>2939</v>
      </c>
      <c r="H66" s="49"/>
      <c r="I66" s="80">
        <v>2938</v>
      </c>
      <c r="J66" s="80">
        <v>2615</v>
      </c>
      <c r="K66" s="80">
        <v>2618</v>
      </c>
      <c r="L66" s="30">
        <f>F66</f>
        <v>2973</v>
      </c>
      <c r="M66" s="80">
        <v>3116</v>
      </c>
      <c r="N66" s="80">
        <v>2954</v>
      </c>
      <c r="O66" s="80">
        <v>3093</v>
      </c>
      <c r="P66" s="30">
        <f>G66</f>
        <v>2939</v>
      </c>
      <c r="Q66" s="80">
        <v>2981</v>
      </c>
      <c r="R66" s="80">
        <v>3230</v>
      </c>
      <c r="S66" s="80">
        <v>3403</v>
      </c>
      <c r="T66" s="119"/>
      <c r="U66" s="95">
        <f>L66</f>
        <v>2973</v>
      </c>
      <c r="V66" s="95">
        <f>M66</f>
        <v>3116</v>
      </c>
      <c r="W66" s="95">
        <f>N66</f>
        <v>2954</v>
      </c>
      <c r="X66" s="95">
        <f>O66</f>
        <v>3093</v>
      </c>
      <c r="Y66" s="95">
        <f>P66</f>
        <v>2939</v>
      </c>
      <c r="Z66" s="95">
        <f>Q66</f>
        <v>2981</v>
      </c>
      <c r="AA66" s="95">
        <f>R66</f>
        <v>3230</v>
      </c>
      <c r="AB66" s="95">
        <f>S66</f>
        <v>3403</v>
      </c>
      <c r="AC66" s="40"/>
      <c r="AD66" s="73">
        <f t="shared" ref="AD66:AD80" si="50">SUM(AB66/X66)-1</f>
        <v>0.10022631749110888</v>
      </c>
    </row>
    <row r="67" spans="2:30" ht="12.75" customHeight="1">
      <c r="B67" s="118" t="s">
        <v>133</v>
      </c>
      <c r="C67" s="119">
        <v>8939</v>
      </c>
      <c r="D67" s="119">
        <v>8049</v>
      </c>
      <c r="E67" s="119">
        <v>10417</v>
      </c>
      <c r="F67" s="119">
        <v>9676</v>
      </c>
      <c r="G67" s="119">
        <v>9879</v>
      </c>
      <c r="H67" s="49"/>
      <c r="I67" s="80">
        <v>10481</v>
      </c>
      <c r="J67" s="80">
        <v>10549</v>
      </c>
      <c r="K67" s="80">
        <v>10640</v>
      </c>
      <c r="L67" s="30">
        <f>F67</f>
        <v>9676</v>
      </c>
      <c r="M67" s="80">
        <v>9683</v>
      </c>
      <c r="N67" s="80">
        <v>9727</v>
      </c>
      <c r="O67" s="80">
        <v>9976</v>
      </c>
      <c r="P67" s="30">
        <f>G67</f>
        <v>9879</v>
      </c>
      <c r="Q67" s="80">
        <v>11417</v>
      </c>
      <c r="R67" s="80">
        <v>11296</v>
      </c>
      <c r="S67" s="80">
        <v>11276</v>
      </c>
      <c r="T67" s="119"/>
      <c r="U67" s="95">
        <f>L67</f>
        <v>9676</v>
      </c>
      <c r="V67" s="95">
        <f>M67</f>
        <v>9683</v>
      </c>
      <c r="W67" s="95">
        <f>N67</f>
        <v>9727</v>
      </c>
      <c r="X67" s="95">
        <f>O67</f>
        <v>9976</v>
      </c>
      <c r="Y67" s="95">
        <f>P67</f>
        <v>9879</v>
      </c>
      <c r="Z67" s="95">
        <f>Q67</f>
        <v>11417</v>
      </c>
      <c r="AA67" s="95">
        <f>R67</f>
        <v>11296</v>
      </c>
      <c r="AB67" s="95">
        <f>S67</f>
        <v>11276</v>
      </c>
      <c r="AC67" s="40"/>
      <c r="AD67" s="73">
        <f t="shared" ref="AD67" si="51">SUM(AB67/X67)-1</f>
        <v>0.13031275060144343</v>
      </c>
    </row>
    <row r="68" spans="2:30" ht="12.75" customHeight="1">
      <c r="B68" s="13" t="s">
        <v>14</v>
      </c>
      <c r="C68" s="14">
        <f t="shared" ref="C68:G68" si="52">SUM(C66:C67)+C63</f>
        <v>50316</v>
      </c>
      <c r="D68" s="14">
        <f t="shared" si="52"/>
        <v>54076</v>
      </c>
      <c r="E68" s="14">
        <f t="shared" si="52"/>
        <v>58350</v>
      </c>
      <c r="F68" s="14">
        <f t="shared" si="52"/>
        <v>61115</v>
      </c>
      <c r="G68" s="14">
        <f t="shared" si="52"/>
        <v>61194</v>
      </c>
      <c r="I68" s="14">
        <f t="shared" ref="I68:S68" si="53">SUM(I66:I67)+I63</f>
        <v>57328</v>
      </c>
      <c r="J68" s="14">
        <f t="shared" si="53"/>
        <v>54918</v>
      </c>
      <c r="K68" s="14">
        <f t="shared" si="53"/>
        <v>56700</v>
      </c>
      <c r="L68" s="14">
        <f t="shared" si="53"/>
        <v>61115</v>
      </c>
      <c r="M68" s="14">
        <f t="shared" si="53"/>
        <v>62645</v>
      </c>
      <c r="N68" s="14">
        <f t="shared" si="53"/>
        <v>63394</v>
      </c>
      <c r="O68" s="14">
        <f t="shared" si="53"/>
        <v>63337</v>
      </c>
      <c r="P68" s="14">
        <f t="shared" si="53"/>
        <v>61194</v>
      </c>
      <c r="Q68" s="14">
        <f t="shared" si="53"/>
        <v>61020</v>
      </c>
      <c r="R68" s="14">
        <f t="shared" si="53"/>
        <v>59576</v>
      </c>
      <c r="S68" s="14">
        <f t="shared" si="53"/>
        <v>59603</v>
      </c>
      <c r="U68" s="14">
        <f t="shared" ref="U68:AB68" si="54">SUM(U66:U67)+U63</f>
        <v>61115</v>
      </c>
      <c r="V68" s="14">
        <f t="shared" si="54"/>
        <v>62645</v>
      </c>
      <c r="W68" s="14">
        <f t="shared" si="54"/>
        <v>63394</v>
      </c>
      <c r="X68" s="14">
        <f t="shared" si="54"/>
        <v>63337</v>
      </c>
      <c r="Y68" s="14">
        <f t="shared" si="54"/>
        <v>61194</v>
      </c>
      <c r="Z68" s="14">
        <f t="shared" si="54"/>
        <v>61020</v>
      </c>
      <c r="AA68" s="14">
        <f t="shared" si="54"/>
        <v>59576</v>
      </c>
      <c r="AB68" s="14">
        <f t="shared" si="54"/>
        <v>59603</v>
      </c>
      <c r="AC68" s="40"/>
      <c r="AD68" s="74">
        <f t="shared" si="50"/>
        <v>-5.8954481582645268E-2</v>
      </c>
    </row>
    <row r="69" spans="2:30" ht="5.0999999999999996" customHeight="1">
      <c r="B69" s="25"/>
      <c r="C69" s="47"/>
      <c r="D69" s="47"/>
      <c r="E69" s="47"/>
      <c r="F69" s="39"/>
      <c r="G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U69" s="40"/>
      <c r="V69" s="40"/>
      <c r="W69" s="40"/>
      <c r="X69" s="40"/>
      <c r="Y69" s="40"/>
      <c r="Z69" s="40"/>
      <c r="AA69" s="40"/>
      <c r="AB69" s="40"/>
      <c r="AC69" s="40"/>
      <c r="AD69" s="37"/>
    </row>
    <row r="70" spans="2:30" ht="12.75" customHeight="1">
      <c r="B70" s="9" t="s">
        <v>106</v>
      </c>
      <c r="C70" s="80">
        <v>0</v>
      </c>
      <c r="D70" s="80">
        <v>0</v>
      </c>
      <c r="E70" s="80">
        <v>0</v>
      </c>
      <c r="F70" s="80">
        <v>0</v>
      </c>
      <c r="G70" s="80">
        <v>0</v>
      </c>
      <c r="H70" s="30"/>
      <c r="I70" s="80">
        <v>0</v>
      </c>
      <c r="J70" s="80">
        <v>0</v>
      </c>
      <c r="K70" s="80">
        <v>0</v>
      </c>
      <c r="L70" s="30">
        <f>F70</f>
        <v>0</v>
      </c>
      <c r="M70" s="80">
        <v>0</v>
      </c>
      <c r="N70" s="80">
        <v>0</v>
      </c>
      <c r="O70" s="80">
        <v>0</v>
      </c>
      <c r="P70" s="30">
        <f>G70</f>
        <v>0</v>
      </c>
      <c r="Q70" s="80">
        <v>0</v>
      </c>
      <c r="R70" s="80">
        <v>0</v>
      </c>
      <c r="S70" s="80">
        <v>0</v>
      </c>
      <c r="U70" s="30">
        <f>L70</f>
        <v>0</v>
      </c>
      <c r="V70" s="30">
        <f>M70</f>
        <v>0</v>
      </c>
      <c r="W70" s="30">
        <f>N70</f>
        <v>0</v>
      </c>
      <c r="X70" s="30">
        <f>O70</f>
        <v>0</v>
      </c>
      <c r="Y70" s="30">
        <f>P70</f>
        <v>0</v>
      </c>
      <c r="Z70" s="30">
        <f>Q70</f>
        <v>0</v>
      </c>
      <c r="AA70" s="30">
        <f>R70</f>
        <v>0</v>
      </c>
      <c r="AB70" s="30">
        <f>S70</f>
        <v>0</v>
      </c>
      <c r="AC70" s="11"/>
      <c r="AD70" s="73" t="e">
        <f t="shared" si="50"/>
        <v>#DIV/0!</v>
      </c>
    </row>
    <row r="71" spans="2:30" ht="12.75" customHeight="1">
      <c r="B71" s="9" t="s">
        <v>134</v>
      </c>
      <c r="C71" s="80">
        <v>0</v>
      </c>
      <c r="D71" s="80">
        <v>0</v>
      </c>
      <c r="E71" s="80">
        <v>0</v>
      </c>
      <c r="F71" s="80">
        <v>0</v>
      </c>
      <c r="G71" s="80">
        <v>0</v>
      </c>
      <c r="H71" s="30"/>
      <c r="I71" s="80">
        <v>0</v>
      </c>
      <c r="J71" s="80">
        <v>0</v>
      </c>
      <c r="K71" s="80">
        <v>0</v>
      </c>
      <c r="L71" s="30">
        <f t="shared" ref="L71:L73" si="55">F71</f>
        <v>0</v>
      </c>
      <c r="M71" s="80">
        <v>0</v>
      </c>
      <c r="N71" s="80">
        <v>0</v>
      </c>
      <c r="O71" s="80">
        <v>0</v>
      </c>
      <c r="P71" s="30">
        <f t="shared" ref="P71:P73" si="56">G71</f>
        <v>0</v>
      </c>
      <c r="Q71" s="80">
        <v>0</v>
      </c>
      <c r="R71" s="80">
        <v>0</v>
      </c>
      <c r="S71" s="80">
        <v>0</v>
      </c>
      <c r="U71" s="30">
        <f t="shared" ref="U71:U73" si="57">L71</f>
        <v>0</v>
      </c>
      <c r="V71" s="30">
        <f t="shared" ref="V71:V73" si="58">M71</f>
        <v>0</v>
      </c>
      <c r="W71" s="30">
        <f t="shared" ref="W71:W73" si="59">N71</f>
        <v>0</v>
      </c>
      <c r="X71" s="30">
        <f t="shared" ref="X71:X73" si="60">O71</f>
        <v>0</v>
      </c>
      <c r="Y71" s="30">
        <f t="shared" ref="Y71:Y73" si="61">P71</f>
        <v>0</v>
      </c>
      <c r="Z71" s="30">
        <f t="shared" ref="Z71:Z73" si="62">Q71</f>
        <v>0</v>
      </c>
      <c r="AA71" s="30">
        <f t="shared" ref="AA71:AA73" si="63">R71</f>
        <v>0</v>
      </c>
      <c r="AB71" s="30">
        <f t="shared" ref="AB71:AB73" si="64">S71</f>
        <v>0</v>
      </c>
      <c r="AC71" s="11"/>
      <c r="AD71" s="73"/>
    </row>
    <row r="72" spans="2:30" ht="12.75" customHeight="1">
      <c r="B72" s="9" t="s">
        <v>135</v>
      </c>
      <c r="C72" s="80">
        <v>-8507</v>
      </c>
      <c r="D72" s="80">
        <v>-11880</v>
      </c>
      <c r="E72" s="80">
        <v>-16079</v>
      </c>
      <c r="F72" s="80">
        <v>-21045</v>
      </c>
      <c r="G72" s="80">
        <v>-27085</v>
      </c>
      <c r="H72" s="30"/>
      <c r="I72" s="80">
        <v>-17522</v>
      </c>
      <c r="J72" s="80">
        <v>-19064</v>
      </c>
      <c r="K72" s="80">
        <v>-20513</v>
      </c>
      <c r="L72" s="30">
        <f t="shared" si="55"/>
        <v>-21045</v>
      </c>
      <c r="M72" s="80">
        <v>-22552</v>
      </c>
      <c r="N72" s="80">
        <v>-24064</v>
      </c>
      <c r="O72" s="80">
        <v>-25851</v>
      </c>
      <c r="P72" s="30">
        <f t="shared" si="56"/>
        <v>-27085</v>
      </c>
      <c r="Q72" s="80">
        <v>-28597</v>
      </c>
      <c r="R72" s="80">
        <v>-30111</v>
      </c>
      <c r="S72" s="80">
        <v>-31624</v>
      </c>
      <c r="U72" s="30">
        <f t="shared" si="57"/>
        <v>-21045</v>
      </c>
      <c r="V72" s="30">
        <f t="shared" si="58"/>
        <v>-22552</v>
      </c>
      <c r="W72" s="30">
        <f t="shared" si="59"/>
        <v>-24064</v>
      </c>
      <c r="X72" s="30">
        <f t="shared" si="60"/>
        <v>-25851</v>
      </c>
      <c r="Y72" s="30">
        <f t="shared" si="61"/>
        <v>-27085</v>
      </c>
      <c r="Z72" s="30">
        <f t="shared" si="62"/>
        <v>-28597</v>
      </c>
      <c r="AA72" s="30">
        <f t="shared" si="63"/>
        <v>-30111</v>
      </c>
      <c r="AB72" s="30">
        <f t="shared" si="64"/>
        <v>-31624</v>
      </c>
      <c r="AC72" s="11"/>
      <c r="AD72" s="73"/>
    </row>
    <row r="73" spans="2:30" ht="12.75" customHeight="1">
      <c r="B73" s="9" t="s">
        <v>136</v>
      </c>
      <c r="C73" s="80">
        <v>16644</v>
      </c>
      <c r="D73" s="80">
        <v>17208</v>
      </c>
      <c r="E73" s="80">
        <v>18327</v>
      </c>
      <c r="F73" s="80">
        <v>19642</v>
      </c>
      <c r="G73" s="80">
        <v>20705</v>
      </c>
      <c r="H73" s="30"/>
      <c r="I73" s="80">
        <v>18529</v>
      </c>
      <c r="J73" s="80">
        <v>18943</v>
      </c>
      <c r="K73" s="80">
        <v>19307</v>
      </c>
      <c r="L73" s="30">
        <f>F73</f>
        <v>19642</v>
      </c>
      <c r="M73" s="80">
        <v>19825</v>
      </c>
      <c r="N73" s="80">
        <v>20163</v>
      </c>
      <c r="O73" s="80">
        <v>20426</v>
      </c>
      <c r="P73" s="30">
        <f>G73</f>
        <v>20705</v>
      </c>
      <c r="Q73" s="80">
        <v>20819</v>
      </c>
      <c r="R73" s="80">
        <v>21136</v>
      </c>
      <c r="S73" s="80">
        <v>21359</v>
      </c>
      <c r="U73" s="30">
        <f>L73</f>
        <v>19642</v>
      </c>
      <c r="V73" s="30">
        <f>M73</f>
        <v>19825</v>
      </c>
      <c r="W73" s="30">
        <f>N73</f>
        <v>20163</v>
      </c>
      <c r="X73" s="30">
        <f>O73</f>
        <v>20426</v>
      </c>
      <c r="Y73" s="30">
        <f>P73</f>
        <v>20705</v>
      </c>
      <c r="Z73" s="30">
        <f>Q73</f>
        <v>20819</v>
      </c>
      <c r="AA73" s="30">
        <f>R73</f>
        <v>21136</v>
      </c>
      <c r="AB73" s="30">
        <f>S73</f>
        <v>21359</v>
      </c>
      <c r="AC73" s="11"/>
      <c r="AD73" s="73"/>
    </row>
    <row r="74" spans="2:30" ht="12.75" customHeight="1">
      <c r="B74" s="9" t="s">
        <v>137</v>
      </c>
      <c r="C74" s="80">
        <v>12366</v>
      </c>
      <c r="D74" s="80">
        <v>16535</v>
      </c>
      <c r="E74" s="80">
        <v>18954</v>
      </c>
      <c r="F74" s="80">
        <v>23200</v>
      </c>
      <c r="G74" s="80">
        <v>27347</v>
      </c>
      <c r="H74" s="30"/>
      <c r="I74" s="80">
        <v>19749</v>
      </c>
      <c r="J74" s="80">
        <v>20778</v>
      </c>
      <c r="K74" s="80">
        <v>21798</v>
      </c>
      <c r="L74" s="30">
        <f>F74</f>
        <v>23200</v>
      </c>
      <c r="M74" s="80">
        <v>24088</v>
      </c>
      <c r="N74" s="80">
        <v>25216</v>
      </c>
      <c r="O74" s="80">
        <v>26226</v>
      </c>
      <c r="P74" s="30">
        <f>G74</f>
        <v>27347</v>
      </c>
      <c r="Q74" s="80">
        <v>28654</v>
      </c>
      <c r="R74" s="80">
        <v>29915</v>
      </c>
      <c r="S74" s="80">
        <v>31163</v>
      </c>
      <c r="U74" s="30">
        <f>L74</f>
        <v>23200</v>
      </c>
      <c r="V74" s="30">
        <f>M74</f>
        <v>24088</v>
      </c>
      <c r="W74" s="30">
        <f>N74</f>
        <v>25216</v>
      </c>
      <c r="X74" s="30">
        <f>O74</f>
        <v>26226</v>
      </c>
      <c r="Y74" s="30">
        <f>P74</f>
        <v>27347</v>
      </c>
      <c r="Z74" s="30">
        <f>Q74</f>
        <v>28654</v>
      </c>
      <c r="AA74" s="30">
        <f>R74</f>
        <v>29915</v>
      </c>
      <c r="AB74" s="30">
        <f>S74</f>
        <v>31163</v>
      </c>
      <c r="AC74" s="11"/>
      <c r="AD74" s="73"/>
    </row>
    <row r="75" spans="2:30" ht="12.75" customHeight="1">
      <c r="B75" s="9" t="s">
        <v>138</v>
      </c>
      <c r="C75" s="80">
        <v>-484</v>
      </c>
      <c r="D75" s="80">
        <v>-136</v>
      </c>
      <c r="E75" s="80">
        <v>-928</v>
      </c>
      <c r="F75" s="80">
        <v>-746</v>
      </c>
      <c r="G75" s="80">
        <v>-550</v>
      </c>
      <c r="H75" s="30"/>
      <c r="I75" s="80">
        <v>-898</v>
      </c>
      <c r="J75" s="80">
        <v>-996</v>
      </c>
      <c r="K75" s="80">
        <v>-852</v>
      </c>
      <c r="L75" s="30">
        <f>F75</f>
        <v>-746</v>
      </c>
      <c r="M75" s="80">
        <v>-659</v>
      </c>
      <c r="N75" s="80">
        <v>-693</v>
      </c>
      <c r="O75" s="80">
        <v>-627</v>
      </c>
      <c r="P75" s="30">
        <f>G75</f>
        <v>-550</v>
      </c>
      <c r="Q75" s="80">
        <v>-622</v>
      </c>
      <c r="R75" s="80">
        <v>-739</v>
      </c>
      <c r="S75" s="80">
        <v>-700</v>
      </c>
      <c r="U75" s="30">
        <f>L75</f>
        <v>-746</v>
      </c>
      <c r="V75" s="30">
        <f>M75</f>
        <v>-659</v>
      </c>
      <c r="W75" s="30">
        <f>N75</f>
        <v>-693</v>
      </c>
      <c r="X75" s="30">
        <f>O75</f>
        <v>-627</v>
      </c>
      <c r="Y75" s="30">
        <f>P75</f>
        <v>-550</v>
      </c>
      <c r="Z75" s="30">
        <f>Q75</f>
        <v>-622</v>
      </c>
      <c r="AA75" s="30">
        <f>R75</f>
        <v>-739</v>
      </c>
      <c r="AB75" s="30">
        <f>S75</f>
        <v>-700</v>
      </c>
      <c r="AC75" s="11"/>
      <c r="AD75" s="73">
        <f t="shared" si="50"/>
        <v>0.11642743221690588</v>
      </c>
    </row>
    <row r="76" spans="2:30" ht="12.75" customHeight="1">
      <c r="B76" s="13" t="s">
        <v>178</v>
      </c>
      <c r="C76" s="14">
        <f>SUM(C70:C75)</f>
        <v>20019</v>
      </c>
      <c r="D76" s="14">
        <f>SUM(D70:D75)</f>
        <v>21727</v>
      </c>
      <c r="E76" s="14">
        <f>SUM(E70:E75)</f>
        <v>20274</v>
      </c>
      <c r="F76" s="14">
        <f>SUM(F70:F75)</f>
        <v>21051</v>
      </c>
      <c r="G76" s="14">
        <f>SUM(G70:G75)</f>
        <v>20417</v>
      </c>
      <c r="H76" s="50"/>
      <c r="I76" s="14">
        <f>SUM(I70:I75)</f>
        <v>19858</v>
      </c>
      <c r="J76" s="14">
        <f>SUM(J70:J75)</f>
        <v>19661</v>
      </c>
      <c r="K76" s="14">
        <f>SUM(K70:K75)</f>
        <v>19740</v>
      </c>
      <c r="L76" s="14">
        <f>SUM(L70:L75)</f>
        <v>21051</v>
      </c>
      <c r="M76" s="14">
        <f>SUM(M70:M75)</f>
        <v>20702</v>
      </c>
      <c r="N76" s="14">
        <f>SUM(N70:N75)</f>
        <v>20622</v>
      </c>
      <c r="O76" s="14">
        <f>SUM(O70:O75)</f>
        <v>20174</v>
      </c>
      <c r="P76" s="14">
        <f>SUM(P70:P75)</f>
        <v>20417</v>
      </c>
      <c r="Q76" s="14">
        <f>SUM(Q70:Q75)</f>
        <v>20254</v>
      </c>
      <c r="R76" s="14">
        <f>SUM(R70:R75)</f>
        <v>20201</v>
      </c>
      <c r="S76" s="14">
        <f>SUM(S70:S75)</f>
        <v>20198</v>
      </c>
      <c r="U76" s="14">
        <f t="shared" ref="U76:AB76" si="65">SUM(U70:U75)</f>
        <v>21051</v>
      </c>
      <c r="V76" s="14">
        <f t="shared" si="65"/>
        <v>20702</v>
      </c>
      <c r="W76" s="14">
        <f t="shared" si="65"/>
        <v>20622</v>
      </c>
      <c r="X76" s="14">
        <f t="shared" si="65"/>
        <v>20174</v>
      </c>
      <c r="Y76" s="14">
        <f t="shared" si="65"/>
        <v>20417</v>
      </c>
      <c r="Z76" s="14">
        <f t="shared" si="65"/>
        <v>20254</v>
      </c>
      <c r="AA76" s="14">
        <f t="shared" si="65"/>
        <v>20201</v>
      </c>
      <c r="AB76" s="14">
        <f t="shared" si="65"/>
        <v>20198</v>
      </c>
      <c r="AC76" s="40"/>
      <c r="AD76" s="73">
        <f t="shared" si="50"/>
        <v>1.1896500446118008E-3</v>
      </c>
    </row>
    <row r="77" spans="2:30" s="161" customFormat="1" ht="5.0999999999999996" customHeight="1">
      <c r="B77" s="162"/>
      <c r="C77" s="163"/>
      <c r="D77" s="163"/>
      <c r="E77" s="163"/>
      <c r="F77" s="163"/>
      <c r="G77" s="163"/>
      <c r="H77" s="164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U77" s="163"/>
      <c r="V77" s="163"/>
      <c r="W77" s="163"/>
      <c r="X77" s="163"/>
      <c r="Y77" s="163"/>
      <c r="Z77" s="163"/>
      <c r="AA77" s="163"/>
      <c r="AB77" s="163"/>
      <c r="AC77" s="165"/>
      <c r="AD77" s="98"/>
    </row>
    <row r="78" spans="2:30" ht="12.75" customHeight="1">
      <c r="B78" s="9" t="s">
        <v>180</v>
      </c>
      <c r="C78" s="80">
        <v>44</v>
      </c>
      <c r="D78" s="80">
        <v>0</v>
      </c>
      <c r="E78" s="80">
        <v>0</v>
      </c>
      <c r="F78" s="80">
        <v>0</v>
      </c>
      <c r="G78" s="80">
        <v>0</v>
      </c>
      <c r="H78" s="30"/>
      <c r="I78" s="80">
        <v>0</v>
      </c>
      <c r="J78" s="80">
        <v>0</v>
      </c>
      <c r="K78" s="80">
        <v>0</v>
      </c>
      <c r="L78" s="30">
        <f>F78</f>
        <v>0</v>
      </c>
      <c r="M78" s="80">
        <v>0</v>
      </c>
      <c r="N78" s="80">
        <v>0</v>
      </c>
      <c r="O78" s="80">
        <v>0</v>
      </c>
      <c r="P78" s="30">
        <f>G78</f>
        <v>0</v>
      </c>
      <c r="Q78" s="80">
        <v>0</v>
      </c>
      <c r="R78" s="80">
        <v>0</v>
      </c>
      <c r="S78" s="80">
        <v>0</v>
      </c>
      <c r="U78" s="30">
        <f>L78</f>
        <v>0</v>
      </c>
      <c r="V78" s="30">
        <f>M78</f>
        <v>0</v>
      </c>
      <c r="W78" s="30">
        <f>N78</f>
        <v>0</v>
      </c>
      <c r="X78" s="30">
        <f>O78</f>
        <v>0</v>
      </c>
      <c r="Y78" s="30">
        <f>P78</f>
        <v>0</v>
      </c>
      <c r="Z78" s="30">
        <f>Q78</f>
        <v>0</v>
      </c>
      <c r="AA78" s="30">
        <f>R78</f>
        <v>0</v>
      </c>
      <c r="AB78" s="30">
        <f>S78</f>
        <v>0</v>
      </c>
      <c r="AC78" s="11"/>
      <c r="AD78" s="73" t="e">
        <f t="shared" ref="AD78:AD79" si="66">SUM(AB78/X78)-1</f>
        <v>#DIV/0!</v>
      </c>
    </row>
    <row r="79" spans="2:30" ht="12.75" customHeight="1">
      <c r="B79" s="13" t="s">
        <v>179</v>
      </c>
      <c r="C79" s="14">
        <f>SUM(C76:C78)</f>
        <v>20063</v>
      </c>
      <c r="D79" s="14">
        <f t="shared" ref="D79:G79" si="67">SUM(D76:D78)</f>
        <v>21727</v>
      </c>
      <c r="E79" s="14">
        <f t="shared" si="67"/>
        <v>20274</v>
      </c>
      <c r="F79" s="14">
        <f t="shared" si="67"/>
        <v>21051</v>
      </c>
      <c r="G79" s="14">
        <f t="shared" si="67"/>
        <v>20417</v>
      </c>
      <c r="H79" s="50"/>
      <c r="I79" s="14">
        <f t="shared" ref="I79" si="68">SUM(I76:I78)</f>
        <v>19858</v>
      </c>
      <c r="J79" s="14">
        <f t="shared" ref="J79" si="69">SUM(J76:J78)</f>
        <v>19661</v>
      </c>
      <c r="K79" s="14">
        <f t="shared" ref="K79" si="70">SUM(K76:K78)</f>
        <v>19740</v>
      </c>
      <c r="L79" s="14">
        <f t="shared" ref="L79" si="71">SUM(L76:L78)</f>
        <v>21051</v>
      </c>
      <c r="M79" s="14">
        <f t="shared" ref="M79" si="72">SUM(M76:M78)</f>
        <v>20702</v>
      </c>
      <c r="N79" s="14">
        <f t="shared" ref="N79" si="73">SUM(N76:N78)</f>
        <v>20622</v>
      </c>
      <c r="O79" s="14">
        <f t="shared" ref="O79" si="74">SUM(O76:O78)</f>
        <v>20174</v>
      </c>
      <c r="P79" s="14">
        <f t="shared" ref="P79" si="75">SUM(P76:P78)</f>
        <v>20417</v>
      </c>
      <c r="Q79" s="14">
        <f t="shared" ref="Q79" si="76">SUM(Q76:Q78)</f>
        <v>20254</v>
      </c>
      <c r="R79" s="14">
        <f t="shared" ref="R79" si="77">SUM(R76:R78)</f>
        <v>20201</v>
      </c>
      <c r="S79" s="14">
        <f t="shared" ref="S79" si="78">SUM(S76:S78)</f>
        <v>20198</v>
      </c>
      <c r="U79" s="14">
        <f t="shared" ref="U79:AB79" si="79">SUM(U73:U78)</f>
        <v>63147</v>
      </c>
      <c r="V79" s="14">
        <f t="shared" si="79"/>
        <v>63956</v>
      </c>
      <c r="W79" s="14">
        <f t="shared" si="79"/>
        <v>65308</v>
      </c>
      <c r="X79" s="14">
        <f t="shared" si="79"/>
        <v>66199</v>
      </c>
      <c r="Y79" s="14">
        <f t="shared" si="79"/>
        <v>67919</v>
      </c>
      <c r="Z79" s="14">
        <f t="shared" si="79"/>
        <v>69105</v>
      </c>
      <c r="AA79" s="14">
        <f t="shared" si="79"/>
        <v>70513</v>
      </c>
      <c r="AB79" s="14">
        <f t="shared" si="79"/>
        <v>72020</v>
      </c>
      <c r="AC79" s="40"/>
      <c r="AD79" s="73">
        <f t="shared" si="66"/>
        <v>8.7931841870723115E-2</v>
      </c>
    </row>
    <row r="80" spans="2:30" ht="12.75" customHeight="1">
      <c r="B80" s="25" t="s">
        <v>46</v>
      </c>
      <c r="C80" s="30">
        <f>SUM(C79+C68)</f>
        <v>70379</v>
      </c>
      <c r="D80" s="30">
        <f>SUM(D79+D68)</f>
        <v>75803</v>
      </c>
      <c r="E80" s="30">
        <f>SUM(E79+E68)</f>
        <v>78624</v>
      </c>
      <c r="F80" s="30">
        <f>SUM(F79+F68)</f>
        <v>82166</v>
      </c>
      <c r="G80" s="30">
        <f>SUM(G79+G68)</f>
        <v>81611</v>
      </c>
      <c r="H80" s="30"/>
      <c r="I80" s="30">
        <f>SUM(I79+I68)</f>
        <v>77186</v>
      </c>
      <c r="J80" s="30">
        <f>SUM(J79+J68)</f>
        <v>74579</v>
      </c>
      <c r="K80" s="30">
        <f>SUM(K79+K68)</f>
        <v>76440</v>
      </c>
      <c r="L80" s="30">
        <f>SUM(L79+L68)</f>
        <v>82166</v>
      </c>
      <c r="M80" s="30">
        <f>SUM(M79+M68)</f>
        <v>83347</v>
      </c>
      <c r="N80" s="30">
        <f>SUM(N79+N68)</f>
        <v>84016</v>
      </c>
      <c r="O80" s="30">
        <f>SUM(O79+O68)</f>
        <v>83511</v>
      </c>
      <c r="P80" s="30">
        <f>SUM(P79+P68)</f>
        <v>81611</v>
      </c>
      <c r="Q80" s="30">
        <f>SUM(Q79+Q68)</f>
        <v>81274</v>
      </c>
      <c r="R80" s="30">
        <f>SUM(R79+R68)</f>
        <v>79777</v>
      </c>
      <c r="S80" s="30">
        <f>SUM(S79+S68)</f>
        <v>79801</v>
      </c>
      <c r="T80" s="30"/>
      <c r="U80" s="30">
        <f>SUM(U76+U68)</f>
        <v>82166</v>
      </c>
      <c r="V80" s="30">
        <f>SUM(V76+V68)</f>
        <v>83347</v>
      </c>
      <c r="W80" s="30">
        <f>SUM(W76+W68)</f>
        <v>84016</v>
      </c>
      <c r="X80" s="30">
        <f>SUM(X76+X68)</f>
        <v>83511</v>
      </c>
      <c r="Y80" s="30">
        <f>SUM(Y76+Y68)</f>
        <v>81611</v>
      </c>
      <c r="Z80" s="30">
        <f>SUM(Z76+Z68)</f>
        <v>81274</v>
      </c>
      <c r="AA80" s="30">
        <f>SUM(AA76+AA68)</f>
        <v>79777</v>
      </c>
      <c r="AB80" s="30">
        <f>SUM(AB76+AB68)</f>
        <v>79801</v>
      </c>
      <c r="AC80" s="11"/>
      <c r="AD80" s="74">
        <f t="shared" si="50"/>
        <v>-4.4425285291757932E-2</v>
      </c>
    </row>
    <row r="81" spans="1:30" ht="5.0999999999999996" customHeight="1">
      <c r="B81" s="25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  <c r="Z81" s="30"/>
      <c r="AA81" s="30"/>
      <c r="AB81" s="30"/>
      <c r="AC81" s="11"/>
    </row>
    <row r="82" spans="1:30" ht="12.75" customHeight="1">
      <c r="B82" s="137" t="s">
        <v>55</v>
      </c>
      <c r="C82" s="67">
        <f>C80-C57</f>
        <v>0</v>
      </c>
      <c r="D82" s="67">
        <f>D80-D57</f>
        <v>0</v>
      </c>
      <c r="E82" s="67">
        <f>E80-E57</f>
        <v>0</v>
      </c>
      <c r="F82" s="67">
        <f>F80-F57</f>
        <v>0</v>
      </c>
      <c r="G82" s="67">
        <f>G80-G57</f>
        <v>0</v>
      </c>
      <c r="H82" s="68"/>
      <c r="I82" s="67">
        <f>I80-I57</f>
        <v>0</v>
      </c>
      <c r="J82" s="67">
        <f>J80-J57</f>
        <v>0</v>
      </c>
      <c r="K82" s="67">
        <f>K80-K57</f>
        <v>0</v>
      </c>
      <c r="L82" s="67">
        <f>L80-L57</f>
        <v>0</v>
      </c>
      <c r="M82" s="67">
        <f>M80-M57</f>
        <v>0</v>
      </c>
      <c r="N82" s="67">
        <f>N80-N57</f>
        <v>0</v>
      </c>
      <c r="O82" s="67">
        <f>O80-O57</f>
        <v>0</v>
      </c>
      <c r="P82" s="67">
        <f>P80-P57</f>
        <v>0</v>
      </c>
      <c r="Q82" s="67">
        <f>Q80-Q57</f>
        <v>0</v>
      </c>
      <c r="R82" s="67">
        <f>R80-R57</f>
        <v>0</v>
      </c>
      <c r="S82" s="67">
        <f>S80-S57</f>
        <v>0</v>
      </c>
      <c r="T82" s="28"/>
      <c r="U82" s="67">
        <f>U80-U57</f>
        <v>0</v>
      </c>
      <c r="V82" s="67">
        <f>V80-V57</f>
        <v>0</v>
      </c>
      <c r="W82" s="67">
        <f>W80-W57</f>
        <v>0</v>
      </c>
      <c r="X82" s="67">
        <f>X80-X57</f>
        <v>0</v>
      </c>
      <c r="Y82" s="67">
        <f>Y80-Y57</f>
        <v>0</v>
      </c>
      <c r="Z82" s="67">
        <f>Z80-Z57</f>
        <v>0</v>
      </c>
      <c r="AA82" s="67">
        <f>AA80-AA57</f>
        <v>0</v>
      </c>
      <c r="AB82" s="67">
        <f>AB80-AB57</f>
        <v>0</v>
      </c>
    </row>
    <row r="83" spans="1:30" ht="5.0999999999999996" customHeight="1" thickBot="1">
      <c r="B83" s="114"/>
      <c r="C83" s="115"/>
      <c r="D83" s="115"/>
      <c r="E83" s="115"/>
      <c r="F83" s="115"/>
      <c r="G83" s="115"/>
      <c r="H83" s="116"/>
      <c r="I83" s="115"/>
      <c r="J83" s="115"/>
      <c r="K83" s="115"/>
      <c r="L83" s="115"/>
      <c r="M83" s="115"/>
      <c r="N83" s="115"/>
      <c r="O83" s="115"/>
      <c r="P83" s="115"/>
      <c r="Q83" s="115"/>
      <c r="R83" s="115"/>
      <c r="S83" s="115"/>
      <c r="T83" s="117"/>
      <c r="U83" s="115"/>
      <c r="V83" s="115"/>
      <c r="W83" s="115"/>
      <c r="X83" s="115"/>
      <c r="Y83" s="115"/>
      <c r="Z83" s="115"/>
      <c r="AA83" s="115"/>
      <c r="AB83" s="115"/>
      <c r="AC83" s="71"/>
      <c r="AD83" s="71"/>
    </row>
    <row r="84" spans="1:30">
      <c r="B84" s="66"/>
      <c r="C84" s="51"/>
      <c r="D84" s="51"/>
      <c r="E84" s="24"/>
      <c r="F84" s="24"/>
      <c r="G84" s="24"/>
      <c r="H84" s="51"/>
    </row>
    <row r="85" spans="1:30" ht="12.75" customHeight="1">
      <c r="A85" s="5" t="s">
        <v>15</v>
      </c>
      <c r="B85" s="96" t="s">
        <v>13</v>
      </c>
      <c r="C85" s="100"/>
      <c r="D85" s="100"/>
      <c r="E85" s="100" t="s">
        <v>0</v>
      </c>
      <c r="F85" s="100"/>
      <c r="G85" s="100"/>
      <c r="H85" s="101"/>
      <c r="I85" s="100" t="s">
        <v>1</v>
      </c>
      <c r="J85" s="100"/>
      <c r="K85" s="100"/>
      <c r="L85" s="100"/>
      <c r="M85" s="100"/>
      <c r="N85" s="100"/>
      <c r="O85" s="100" t="s">
        <v>1</v>
      </c>
      <c r="P85" s="100"/>
      <c r="Q85" s="100"/>
      <c r="R85" s="100"/>
      <c r="S85" s="100"/>
      <c r="T85" s="96"/>
      <c r="U85" s="100"/>
      <c r="V85" s="100"/>
      <c r="W85" s="100" t="s">
        <v>10</v>
      </c>
      <c r="X85" s="100" t="s">
        <v>10</v>
      </c>
      <c r="Y85" s="100"/>
      <c r="Z85" s="100"/>
      <c r="AA85" s="100"/>
      <c r="AB85" s="100"/>
      <c r="AC85" s="101"/>
      <c r="AD85" s="158" t="s">
        <v>20</v>
      </c>
    </row>
    <row r="86" spans="1:30" ht="12.75" customHeight="1">
      <c r="B86" s="97" t="str">
        <f>B7</f>
        <v>Fiscal Period</v>
      </c>
      <c r="C86" s="102">
        <f>C7</f>
        <v>2020</v>
      </c>
      <c r="D86" s="102">
        <f>D7</f>
        <v>2021</v>
      </c>
      <c r="E86" s="102">
        <f>E7</f>
        <v>2022</v>
      </c>
      <c r="F86" s="102">
        <f>F7</f>
        <v>2023</v>
      </c>
      <c r="G86" s="102">
        <f>G7</f>
        <v>2024</v>
      </c>
      <c r="H86" s="101"/>
      <c r="I86" s="102" t="str">
        <f>I7</f>
        <v>1Q23</v>
      </c>
      <c r="J86" s="102" t="str">
        <f>J7</f>
        <v>2Q23</v>
      </c>
      <c r="K86" s="102" t="str">
        <f>K7</f>
        <v>3Q23</v>
      </c>
      <c r="L86" s="102" t="str">
        <f>L7</f>
        <v>4Q23</v>
      </c>
      <c r="M86" s="102" t="str">
        <f>M7</f>
        <v>1Q24</v>
      </c>
      <c r="N86" s="102" t="str">
        <f>N7</f>
        <v>2Q24</v>
      </c>
      <c r="O86" s="102" t="str">
        <f>O7</f>
        <v>3Q24</v>
      </c>
      <c r="P86" s="102" t="str">
        <f>P7</f>
        <v>4Q24</v>
      </c>
      <c r="Q86" s="102" t="str">
        <f>Q7</f>
        <v>1Q25</v>
      </c>
      <c r="R86" s="102" t="str">
        <f>R7</f>
        <v>2Q25</v>
      </c>
      <c r="S86" s="102" t="str">
        <f>S7</f>
        <v>3Q25</v>
      </c>
      <c r="T86" s="102"/>
      <c r="U86" s="102" t="str">
        <f>U7</f>
        <v>4Q23</v>
      </c>
      <c r="V86" s="102" t="str">
        <f>V7</f>
        <v>1Q24</v>
      </c>
      <c r="W86" s="102" t="str">
        <f>W7</f>
        <v>2Q24</v>
      </c>
      <c r="X86" s="102" t="str">
        <f>X7</f>
        <v>3Q24</v>
      </c>
      <c r="Y86" s="102" t="str">
        <f>Y7</f>
        <v>4Q24</v>
      </c>
      <c r="Z86" s="102" t="str">
        <f>Z7</f>
        <v>1Q25</v>
      </c>
      <c r="AA86" s="102" t="str">
        <f>AA7</f>
        <v>2Q25</v>
      </c>
      <c r="AB86" s="102" t="str">
        <f>AB7</f>
        <v>3Q25</v>
      </c>
      <c r="AC86" s="101"/>
      <c r="AD86" s="158"/>
    </row>
    <row r="87" spans="1:30" ht="12.75" customHeight="1">
      <c r="B87" s="97" t="str">
        <f>B8</f>
        <v>Fiscal Period End Date</v>
      </c>
      <c r="C87" s="103">
        <f>C8</f>
        <v>44196</v>
      </c>
      <c r="D87" s="103">
        <f>D8</f>
        <v>44561</v>
      </c>
      <c r="E87" s="103">
        <f>E8</f>
        <v>44926</v>
      </c>
      <c r="F87" s="103">
        <f>F8</f>
        <v>45291</v>
      </c>
      <c r="G87" s="103">
        <f>G8</f>
        <v>45657</v>
      </c>
      <c r="H87" s="101"/>
      <c r="I87" s="103">
        <f>I8</f>
        <v>45016</v>
      </c>
      <c r="J87" s="103">
        <f>J8</f>
        <v>45107</v>
      </c>
      <c r="K87" s="103">
        <f>K8</f>
        <v>45199</v>
      </c>
      <c r="L87" s="103">
        <f>L8</f>
        <v>45291</v>
      </c>
      <c r="M87" s="103">
        <f>M8</f>
        <v>45382</v>
      </c>
      <c r="N87" s="103">
        <f>N8</f>
        <v>45473</v>
      </c>
      <c r="O87" s="103">
        <f>O8</f>
        <v>45565</v>
      </c>
      <c r="P87" s="103">
        <f>P8</f>
        <v>45657</v>
      </c>
      <c r="Q87" s="103">
        <f>Q8</f>
        <v>45747</v>
      </c>
      <c r="R87" s="103">
        <f>R8</f>
        <v>45838</v>
      </c>
      <c r="S87" s="103">
        <f>S8</f>
        <v>45930</v>
      </c>
      <c r="T87" s="103"/>
      <c r="U87" s="103">
        <f>U8</f>
        <v>45291</v>
      </c>
      <c r="V87" s="103">
        <f>V8</f>
        <v>45382</v>
      </c>
      <c r="W87" s="103">
        <f>W8</f>
        <v>45473</v>
      </c>
      <c r="X87" s="103">
        <f>X8</f>
        <v>45565</v>
      </c>
      <c r="Y87" s="103">
        <f>Y8</f>
        <v>45657</v>
      </c>
      <c r="Z87" s="103">
        <f>Z8</f>
        <v>45747</v>
      </c>
      <c r="AA87" s="103">
        <f>AA8</f>
        <v>45838</v>
      </c>
      <c r="AB87" s="103">
        <f>AB8</f>
        <v>45930</v>
      </c>
      <c r="AC87" s="101"/>
      <c r="AD87" s="158"/>
    </row>
    <row r="88" spans="1:30" ht="5.0999999999999996" customHeight="1">
      <c r="B88" s="52"/>
      <c r="C88" s="45"/>
      <c r="D88" s="45"/>
      <c r="E88" s="45"/>
      <c r="F88" s="45"/>
      <c r="G88" s="45"/>
    </row>
    <row r="89" spans="1:30" ht="12.75" customHeight="1">
      <c r="B89" s="53" t="s">
        <v>47</v>
      </c>
      <c r="C89" s="54"/>
      <c r="D89" s="54"/>
      <c r="E89" s="54"/>
      <c r="F89" s="54"/>
      <c r="G89" s="54"/>
    </row>
    <row r="90" spans="1:30" ht="12.75" customHeight="1">
      <c r="B90" s="55" t="s">
        <v>102</v>
      </c>
      <c r="C90" s="30">
        <f>C28</f>
        <v>4202</v>
      </c>
      <c r="D90" s="30">
        <f>D28</f>
        <v>4169</v>
      </c>
      <c r="E90" s="30">
        <f>E28</f>
        <v>2419</v>
      </c>
      <c r="F90" s="30">
        <f>F28</f>
        <v>4246</v>
      </c>
      <c r="G90" s="30">
        <f>G28</f>
        <v>4147</v>
      </c>
      <c r="H90" s="30"/>
      <c r="I90" s="30">
        <f>I28</f>
        <v>795</v>
      </c>
      <c r="J90" s="30">
        <f>J28</f>
        <v>1029</v>
      </c>
      <c r="K90" s="30">
        <f>K28</f>
        <v>1020</v>
      </c>
      <c r="L90" s="30">
        <f>L28</f>
        <v>1402</v>
      </c>
      <c r="M90" s="30">
        <f>M28</f>
        <v>888</v>
      </c>
      <c r="N90" s="30">
        <f>N28</f>
        <v>1128</v>
      </c>
      <c r="O90" s="30">
        <f>O28</f>
        <v>1010</v>
      </c>
      <c r="P90" s="30">
        <f>P28</f>
        <v>1121</v>
      </c>
      <c r="Q90" s="30">
        <f>Q28</f>
        <v>1287</v>
      </c>
      <c r="R90" s="30">
        <f>R28</f>
        <v>1261</v>
      </c>
      <c r="S90" s="30">
        <f>S28</f>
        <v>1248</v>
      </c>
      <c r="T90" s="30"/>
      <c r="U90" s="30">
        <f>U28</f>
        <v>4246</v>
      </c>
      <c r="V90" s="30">
        <f>V28</f>
        <v>4339</v>
      </c>
      <c r="W90" s="30">
        <f>W28</f>
        <v>4438</v>
      </c>
      <c r="X90" s="30">
        <f>X28</f>
        <v>4428</v>
      </c>
      <c r="Y90" s="30">
        <f>Y28</f>
        <v>4147</v>
      </c>
      <c r="Z90" s="30">
        <f>Z28</f>
        <v>4546</v>
      </c>
      <c r="AA90" s="30">
        <f>AA28</f>
        <v>4679</v>
      </c>
      <c r="AB90" s="30">
        <f>AB28</f>
        <v>4917</v>
      </c>
      <c r="AC90" s="11"/>
      <c r="AD90" s="73">
        <f>SUM(AB90/X90)-1</f>
        <v>0.11043360433604343</v>
      </c>
    </row>
    <row r="91" spans="1:30" ht="5.0999999999999996" customHeight="1"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U91" s="30"/>
      <c r="V91" s="30"/>
      <c r="W91" s="30"/>
      <c r="X91" s="30"/>
      <c r="Y91" s="30"/>
      <c r="Z91" s="30"/>
      <c r="AA91" s="30"/>
      <c r="AB91" s="30"/>
      <c r="AC91" s="11"/>
      <c r="AD91" s="73"/>
    </row>
    <row r="92" spans="1:30">
      <c r="B92" s="34" t="s">
        <v>54</v>
      </c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U92" s="30"/>
      <c r="V92" s="30"/>
      <c r="W92" s="30"/>
      <c r="X92" s="30"/>
      <c r="Y92" s="30"/>
      <c r="Z92" s="30"/>
      <c r="AA92" s="30"/>
      <c r="AB92" s="30"/>
      <c r="AC92" s="11"/>
      <c r="AD92" s="73"/>
    </row>
    <row r="93" spans="1:30" ht="12.75" customHeight="1">
      <c r="B93" s="58" t="s">
        <v>141</v>
      </c>
      <c r="C93" s="80">
        <v>1741</v>
      </c>
      <c r="D93" s="80">
        <v>1060</v>
      </c>
      <c r="E93" s="80">
        <v>1572</v>
      </c>
      <c r="F93" s="80">
        <v>1682</v>
      </c>
      <c r="G93" s="80">
        <v>1442</v>
      </c>
      <c r="H93" s="30"/>
      <c r="I93" s="80">
        <v>442</v>
      </c>
      <c r="J93" s="80">
        <f>840-I93</f>
        <v>398</v>
      </c>
      <c r="K93" s="80">
        <f>1286-J93-I93</f>
        <v>446</v>
      </c>
      <c r="L93" s="30">
        <f t="shared" ref="L93:L103" si="80">SUM(F93-SUM(I93:K93))</f>
        <v>396</v>
      </c>
      <c r="M93" s="80">
        <v>321</v>
      </c>
      <c r="N93" s="80">
        <f>656-M93</f>
        <v>335</v>
      </c>
      <c r="O93" s="80">
        <f>1008-N93-M93</f>
        <v>352</v>
      </c>
      <c r="P93" s="30">
        <f t="shared" ref="P93:P103" si="81">SUM(G93-SUM(M93:O93))</f>
        <v>434</v>
      </c>
      <c r="Q93" s="80">
        <v>371</v>
      </c>
      <c r="R93" s="80">
        <f>847-Q93</f>
        <v>476</v>
      </c>
      <c r="S93" s="80">
        <f>1330-R93-Q93</f>
        <v>483</v>
      </c>
      <c r="U93" s="30">
        <f t="shared" ref="U93:U103" si="82">SUM(I93:L93)</f>
        <v>1682</v>
      </c>
      <c r="V93" s="30">
        <f t="shared" ref="V93:V103" si="83">SUM(J93:M93)</f>
        <v>1561</v>
      </c>
      <c r="W93" s="30">
        <f t="shared" ref="W93:W103" si="84">SUM(K93:N93)</f>
        <v>1498</v>
      </c>
      <c r="X93" s="30">
        <f t="shared" ref="X93:X103" si="85">SUM(L93:O93)</f>
        <v>1404</v>
      </c>
      <c r="Y93" s="30">
        <f t="shared" ref="Y93:Y103" si="86">SUM(M93:P93)</f>
        <v>1442</v>
      </c>
      <c r="Z93" s="30">
        <f t="shared" ref="Z93:Z103" si="87">SUM(N93:Q93)</f>
        <v>1492</v>
      </c>
      <c r="AA93" s="30">
        <f t="shared" ref="AA93:AA103" si="88">SUM(O93:R93)</f>
        <v>1633</v>
      </c>
      <c r="AB93" s="30">
        <f t="shared" ref="AB93:AB103" si="89">SUM(P93:S93)</f>
        <v>1764</v>
      </c>
      <c r="AC93" s="11"/>
      <c r="AD93" s="73">
        <f t="shared" ref="AD93:AD103" si="90">SUM(AB93/X93)-1</f>
        <v>0.25641025641025639</v>
      </c>
    </row>
    <row r="94" spans="1:30" ht="12.75" customHeight="1">
      <c r="B94" s="58" t="s">
        <v>148</v>
      </c>
      <c r="C94" s="80">
        <v>1189</v>
      </c>
      <c r="D94" s="80">
        <v>1265</v>
      </c>
      <c r="E94" s="80">
        <v>1317</v>
      </c>
      <c r="F94" s="80">
        <v>1072</v>
      </c>
      <c r="G94" s="80">
        <v>1032</v>
      </c>
      <c r="H94" s="30"/>
      <c r="I94" s="80">
        <v>270</v>
      </c>
      <c r="J94" s="80">
        <f>539-I94</f>
        <v>269</v>
      </c>
      <c r="K94" s="80">
        <f>809-J94-I94</f>
        <v>270</v>
      </c>
      <c r="L94" s="30">
        <f t="shared" ref="L94:L101" si="91">SUM(F94-SUM(I94:K94))</f>
        <v>263</v>
      </c>
      <c r="M94" s="80">
        <v>265</v>
      </c>
      <c r="N94" s="80">
        <f>528-M94</f>
        <v>263</v>
      </c>
      <c r="O94" s="80">
        <f>783-N94-M94</f>
        <v>255</v>
      </c>
      <c r="P94" s="30">
        <f t="shared" ref="P94:P101" si="92">SUM(G94-SUM(M94:O94))</f>
        <v>249</v>
      </c>
      <c r="Q94" s="80">
        <v>245</v>
      </c>
      <c r="R94" s="80">
        <f>484-Q94</f>
        <v>239</v>
      </c>
      <c r="S94" s="80">
        <f>729-R94-Q94</f>
        <v>245</v>
      </c>
      <c r="U94" s="30">
        <f t="shared" ref="U94:U101" si="93">SUM(I94:L94)</f>
        <v>1072</v>
      </c>
      <c r="V94" s="30">
        <f t="shared" ref="V94:V101" si="94">SUM(J94:M94)</f>
        <v>1067</v>
      </c>
      <c r="W94" s="30">
        <f t="shared" ref="W94:W101" si="95">SUM(K94:N94)</f>
        <v>1061</v>
      </c>
      <c r="X94" s="30">
        <f t="shared" ref="X94:X101" si="96">SUM(L94:O94)</f>
        <v>1046</v>
      </c>
      <c r="Y94" s="30">
        <f t="shared" ref="Y94:Y101" si="97">SUM(M94:P94)</f>
        <v>1032</v>
      </c>
      <c r="Z94" s="30">
        <f t="shared" ref="Z94:Z101" si="98">SUM(N94:Q94)</f>
        <v>1012</v>
      </c>
      <c r="AA94" s="30">
        <f t="shared" ref="AA94:AA101" si="99">SUM(O94:R94)</f>
        <v>988</v>
      </c>
      <c r="AB94" s="30">
        <f t="shared" ref="AB94:AB101" si="100">SUM(P94:S94)</f>
        <v>978</v>
      </c>
      <c r="AC94" s="11"/>
      <c r="AD94" s="73">
        <f t="shared" ref="AD94:AD101" si="101">SUM(AB94/X94)-1</f>
        <v>-6.5009560229445484E-2</v>
      </c>
    </row>
    <row r="95" spans="1:30" ht="12.75" customHeight="1">
      <c r="B95" s="58" t="s">
        <v>149</v>
      </c>
      <c r="C95" s="80">
        <v>1376</v>
      </c>
      <c r="D95" s="80">
        <v>1376</v>
      </c>
      <c r="E95" s="80">
        <v>1261</v>
      </c>
      <c r="F95" s="80">
        <v>1475</v>
      </c>
      <c r="G95" s="80">
        <v>1230</v>
      </c>
      <c r="H95" s="30"/>
      <c r="I95" s="80">
        <v>345</v>
      </c>
      <c r="J95" s="80">
        <f>708-I95</f>
        <v>363</v>
      </c>
      <c r="K95" s="80">
        <f>1087-J95-I95</f>
        <v>379</v>
      </c>
      <c r="L95" s="30">
        <f t="shared" ref="L95:L96" si="102">SUM(F95-SUM(I95:K95))</f>
        <v>388</v>
      </c>
      <c r="M95" s="80">
        <v>365</v>
      </c>
      <c r="N95" s="80">
        <f>663-M95</f>
        <v>298</v>
      </c>
      <c r="O95" s="80">
        <f>947-N95-M95</f>
        <v>284</v>
      </c>
      <c r="P95" s="30">
        <f t="shared" ref="P95:P96" si="103">SUM(G95-SUM(M95:O95))</f>
        <v>283</v>
      </c>
      <c r="Q95" s="80">
        <v>249</v>
      </c>
      <c r="R95" s="80">
        <f>535-Q95</f>
        <v>286</v>
      </c>
      <c r="S95" s="80">
        <f>792-R95-Q95</f>
        <v>257</v>
      </c>
      <c r="U95" s="30">
        <f t="shared" ref="U95:U96" si="104">SUM(I95:L95)</f>
        <v>1475</v>
      </c>
      <c r="V95" s="30">
        <f t="shared" ref="V95:V96" si="105">SUM(J95:M95)</f>
        <v>1495</v>
      </c>
      <c r="W95" s="30">
        <f t="shared" ref="W95:W96" si="106">SUM(K95:N95)</f>
        <v>1430</v>
      </c>
      <c r="X95" s="30">
        <f t="shared" ref="X95:X96" si="107">SUM(L95:O95)</f>
        <v>1335</v>
      </c>
      <c r="Y95" s="30">
        <f t="shared" ref="Y95:Y96" si="108">SUM(M95:P95)</f>
        <v>1230</v>
      </c>
      <c r="Z95" s="30">
        <f t="shared" ref="Z95:Z96" si="109">SUM(N95:Q95)</f>
        <v>1114</v>
      </c>
      <c r="AA95" s="30">
        <f t="shared" ref="AA95:AA96" si="110">SUM(O95:R95)</f>
        <v>1102</v>
      </c>
      <c r="AB95" s="30">
        <f t="shared" ref="AB95:AB96" si="111">SUM(P95:S95)</f>
        <v>1075</v>
      </c>
      <c r="AC95" s="11"/>
      <c r="AD95" s="73">
        <f t="shared" ref="AD95:AD96" si="112">SUM(AB95/X95)-1</f>
        <v>-0.19475655430711614</v>
      </c>
    </row>
    <row r="96" spans="1:30" ht="12.75" customHeight="1">
      <c r="B96" s="58" t="s">
        <v>150</v>
      </c>
      <c r="C96" s="80">
        <v>165</v>
      </c>
      <c r="D96" s="80">
        <v>-482</v>
      </c>
      <c r="E96" s="80">
        <v>-811</v>
      </c>
      <c r="F96" s="80">
        <v>-668</v>
      </c>
      <c r="G96" s="80">
        <v>231</v>
      </c>
      <c r="H96" s="30"/>
      <c r="I96" s="80">
        <v>-67</v>
      </c>
      <c r="J96" s="80">
        <f>-146-I96</f>
        <v>-79</v>
      </c>
      <c r="K96" s="80">
        <f>-439-J96-I96</f>
        <v>-293</v>
      </c>
      <c r="L96" s="30">
        <f t="shared" si="102"/>
        <v>-229</v>
      </c>
      <c r="M96" s="80">
        <v>52</v>
      </c>
      <c r="N96" s="80">
        <f>29-M96</f>
        <v>-23</v>
      </c>
      <c r="O96" s="80">
        <f>8-N96-M96</f>
        <v>-21</v>
      </c>
      <c r="P96" s="30">
        <f t="shared" si="103"/>
        <v>223</v>
      </c>
      <c r="Q96" s="80">
        <v>-6</v>
      </c>
      <c r="R96" s="80">
        <f>-89-Q96</f>
        <v>-83</v>
      </c>
      <c r="S96" s="80">
        <f>93-R96-Q96</f>
        <v>182</v>
      </c>
      <c r="U96" s="30">
        <f t="shared" si="104"/>
        <v>-668</v>
      </c>
      <c r="V96" s="30">
        <f t="shared" si="105"/>
        <v>-549</v>
      </c>
      <c r="W96" s="30">
        <f t="shared" si="106"/>
        <v>-493</v>
      </c>
      <c r="X96" s="30">
        <f t="shared" si="107"/>
        <v>-221</v>
      </c>
      <c r="Y96" s="30">
        <f t="shared" si="108"/>
        <v>231</v>
      </c>
      <c r="Z96" s="30">
        <f t="shared" si="109"/>
        <v>173</v>
      </c>
      <c r="AA96" s="30">
        <f t="shared" si="110"/>
        <v>113</v>
      </c>
      <c r="AB96" s="30">
        <f t="shared" si="111"/>
        <v>316</v>
      </c>
      <c r="AC96" s="11"/>
      <c r="AD96" s="73">
        <f t="shared" si="112"/>
        <v>-2.4298642533936654</v>
      </c>
    </row>
    <row r="97" spans="2:30" ht="12.75" customHeight="1">
      <c r="B97" s="58" t="s">
        <v>151</v>
      </c>
      <c r="C97" s="80">
        <v>-1914</v>
      </c>
      <c r="D97" s="80">
        <v>-46</v>
      </c>
      <c r="E97" s="80">
        <v>304</v>
      </c>
      <c r="F97" s="80">
        <v>-201</v>
      </c>
      <c r="G97" s="80">
        <v>285</v>
      </c>
      <c r="H97" s="30"/>
      <c r="I97" s="80">
        <v>-48</v>
      </c>
      <c r="J97" s="80">
        <f>-181-I97</f>
        <v>-133</v>
      </c>
      <c r="K97" s="80">
        <f>-205-J97-I97</f>
        <v>-24</v>
      </c>
      <c r="L97" s="30">
        <f t="shared" si="91"/>
        <v>4</v>
      </c>
      <c r="M97" s="80">
        <v>49</v>
      </c>
      <c r="N97" s="80">
        <f>55-M97</f>
        <v>6</v>
      </c>
      <c r="O97" s="80">
        <f>226-N97-M97</f>
        <v>171</v>
      </c>
      <c r="P97" s="30">
        <f t="shared" si="92"/>
        <v>59</v>
      </c>
      <c r="Q97" s="80">
        <v>-48</v>
      </c>
      <c r="R97" s="80">
        <f>-59-Q97</f>
        <v>-11</v>
      </c>
      <c r="S97" s="80">
        <f>-69-R97-Q97</f>
        <v>-10</v>
      </c>
      <c r="U97" s="30">
        <f t="shared" si="93"/>
        <v>-201</v>
      </c>
      <c r="V97" s="30">
        <f t="shared" si="94"/>
        <v>-104</v>
      </c>
      <c r="W97" s="30">
        <f t="shared" si="95"/>
        <v>35</v>
      </c>
      <c r="X97" s="30">
        <f t="shared" si="96"/>
        <v>230</v>
      </c>
      <c r="Y97" s="30">
        <f t="shared" si="97"/>
        <v>285</v>
      </c>
      <c r="Z97" s="30">
        <f t="shared" si="98"/>
        <v>188</v>
      </c>
      <c r="AA97" s="30">
        <f t="shared" si="99"/>
        <v>171</v>
      </c>
      <c r="AB97" s="30">
        <f t="shared" si="100"/>
        <v>-10</v>
      </c>
      <c r="AC97" s="11"/>
      <c r="AD97" s="73">
        <f t="shared" si="101"/>
        <v>-1.0434782608695652</v>
      </c>
    </row>
    <row r="98" spans="2:30" ht="12.75" customHeight="1">
      <c r="B98" s="58" t="s">
        <v>152</v>
      </c>
      <c r="C98" s="80">
        <v>0</v>
      </c>
      <c r="D98" s="80">
        <v>0</v>
      </c>
      <c r="E98" s="80">
        <v>0</v>
      </c>
      <c r="F98" s="80">
        <v>-356</v>
      </c>
      <c r="G98" s="80">
        <v>0</v>
      </c>
      <c r="H98" s="30"/>
      <c r="I98" s="80">
        <v>0</v>
      </c>
      <c r="J98" s="80">
        <v>0</v>
      </c>
      <c r="K98" s="80">
        <v>0</v>
      </c>
      <c r="L98" s="30">
        <f t="shared" ref="L98:L100" si="113">SUM(F98-SUM(I98:K98))</f>
        <v>-356</v>
      </c>
      <c r="M98" s="80">
        <v>0</v>
      </c>
      <c r="N98" s="80">
        <v>0</v>
      </c>
      <c r="O98" s="80">
        <v>0</v>
      </c>
      <c r="P98" s="30">
        <f t="shared" ref="P98:P100" si="114">SUM(G98-SUM(M98:O98))</f>
        <v>0</v>
      </c>
      <c r="Q98" s="80">
        <v>0</v>
      </c>
      <c r="R98" s="80">
        <v>0</v>
      </c>
      <c r="S98" s="80">
        <v>0</v>
      </c>
      <c r="U98" s="30">
        <f t="shared" ref="U98:U100" si="115">SUM(I98:L98)</f>
        <v>-356</v>
      </c>
      <c r="V98" s="30">
        <f t="shared" ref="V98:V100" si="116">SUM(J98:M98)</f>
        <v>-356</v>
      </c>
      <c r="W98" s="30">
        <f t="shared" ref="W98:W100" si="117">SUM(K98:N98)</f>
        <v>-356</v>
      </c>
      <c r="X98" s="30">
        <f t="shared" ref="X98:X100" si="118">SUM(L98:O98)</f>
        <v>-356</v>
      </c>
      <c r="Y98" s="30">
        <f t="shared" ref="Y98:Y100" si="119">SUM(M98:P98)</f>
        <v>0</v>
      </c>
      <c r="Z98" s="30">
        <f t="shared" ref="Z98:Z100" si="120">SUM(N98:Q98)</f>
        <v>0</v>
      </c>
      <c r="AA98" s="30">
        <f t="shared" ref="AA98:AA100" si="121">SUM(O98:R98)</f>
        <v>0</v>
      </c>
      <c r="AB98" s="30">
        <f t="shared" ref="AB98:AB100" si="122">SUM(P98:S98)</f>
        <v>0</v>
      </c>
      <c r="AC98" s="11"/>
      <c r="AD98" s="73">
        <f t="shared" ref="AD98:AD100" si="123">SUM(AB98/X98)-1</f>
        <v>-1</v>
      </c>
    </row>
    <row r="99" spans="2:30" ht="12.75" customHeight="1">
      <c r="B99" s="58" t="s">
        <v>153</v>
      </c>
      <c r="C99" s="80">
        <v>0</v>
      </c>
      <c r="D99" s="80">
        <v>0</v>
      </c>
      <c r="E99" s="80">
        <v>-70</v>
      </c>
      <c r="F99" s="80">
        <v>-367</v>
      </c>
      <c r="G99" s="80">
        <v>-335</v>
      </c>
      <c r="H99" s="30"/>
      <c r="I99" s="80">
        <v>-69</v>
      </c>
      <c r="J99" s="80">
        <f>-162-I99</f>
        <v>-93</v>
      </c>
      <c r="K99" s="80">
        <f>-265-J99-I99</f>
        <v>-103</v>
      </c>
      <c r="L99" s="30">
        <f t="shared" si="113"/>
        <v>-102</v>
      </c>
      <c r="M99" s="80">
        <v>-75</v>
      </c>
      <c r="N99" s="80">
        <f>-197-M99</f>
        <v>-122</v>
      </c>
      <c r="O99" s="80">
        <f>-290-N99-M99</f>
        <v>-93</v>
      </c>
      <c r="P99" s="30">
        <f t="shared" si="114"/>
        <v>-45</v>
      </c>
      <c r="Q99" s="80">
        <v>-30</v>
      </c>
      <c r="R99" s="80">
        <f>-57-Q99</f>
        <v>-27</v>
      </c>
      <c r="S99" s="80">
        <f>-77-R99-Q99</f>
        <v>-20</v>
      </c>
      <c r="U99" s="30">
        <f t="shared" si="115"/>
        <v>-367</v>
      </c>
      <c r="V99" s="30">
        <f t="shared" si="116"/>
        <v>-373</v>
      </c>
      <c r="W99" s="30">
        <f t="shared" si="117"/>
        <v>-402</v>
      </c>
      <c r="X99" s="30">
        <f t="shared" si="118"/>
        <v>-392</v>
      </c>
      <c r="Y99" s="30">
        <f t="shared" si="119"/>
        <v>-335</v>
      </c>
      <c r="Z99" s="30">
        <f t="shared" si="120"/>
        <v>-290</v>
      </c>
      <c r="AA99" s="30">
        <f t="shared" si="121"/>
        <v>-195</v>
      </c>
      <c r="AB99" s="30">
        <f t="shared" si="122"/>
        <v>-122</v>
      </c>
      <c r="AC99" s="11"/>
      <c r="AD99" s="73">
        <f t="shared" si="123"/>
        <v>-0.68877551020408156</v>
      </c>
    </row>
    <row r="100" spans="2:30" ht="12.75" customHeight="1">
      <c r="B100" s="58" t="s">
        <v>154</v>
      </c>
      <c r="C100" s="80">
        <v>0</v>
      </c>
      <c r="D100" s="80">
        <v>0</v>
      </c>
      <c r="E100" s="80">
        <v>0</v>
      </c>
      <c r="F100" s="80">
        <v>53</v>
      </c>
      <c r="G100" s="80">
        <v>125</v>
      </c>
      <c r="H100" s="30"/>
      <c r="I100" s="80">
        <v>0</v>
      </c>
      <c r="J100" s="80">
        <f>34-I100</f>
        <v>34</v>
      </c>
      <c r="K100" s="80">
        <f>49-J100-I100</f>
        <v>15</v>
      </c>
      <c r="L100" s="30">
        <f t="shared" si="113"/>
        <v>4</v>
      </c>
      <c r="M100" s="80">
        <v>37</v>
      </c>
      <c r="N100" s="80">
        <f>64-M100</f>
        <v>27</v>
      </c>
      <c r="O100" s="80">
        <f>92-N100-M100</f>
        <v>28</v>
      </c>
      <c r="P100" s="30">
        <f t="shared" si="114"/>
        <v>33</v>
      </c>
      <c r="Q100" s="80">
        <v>25</v>
      </c>
      <c r="R100" s="80">
        <f>52-Q100</f>
        <v>27</v>
      </c>
      <c r="S100" s="80">
        <f>122-R100-Q100</f>
        <v>70</v>
      </c>
      <c r="U100" s="30">
        <f t="shared" si="115"/>
        <v>53</v>
      </c>
      <c r="V100" s="30">
        <f t="shared" si="116"/>
        <v>90</v>
      </c>
      <c r="W100" s="30">
        <f t="shared" si="117"/>
        <v>83</v>
      </c>
      <c r="X100" s="30">
        <f t="shared" si="118"/>
        <v>96</v>
      </c>
      <c r="Y100" s="30">
        <f t="shared" si="119"/>
        <v>125</v>
      </c>
      <c r="Z100" s="30">
        <f t="shared" si="120"/>
        <v>113</v>
      </c>
      <c r="AA100" s="30">
        <f t="shared" si="121"/>
        <v>113</v>
      </c>
      <c r="AB100" s="30">
        <f t="shared" si="122"/>
        <v>155</v>
      </c>
      <c r="AC100" s="11"/>
      <c r="AD100" s="73">
        <f t="shared" si="123"/>
        <v>0.61458333333333326</v>
      </c>
    </row>
    <row r="101" spans="2:30" ht="12.75" customHeight="1">
      <c r="B101" s="58" t="s">
        <v>155</v>
      </c>
      <c r="C101" s="80">
        <v>47</v>
      </c>
      <c r="D101" s="80">
        <v>100</v>
      </c>
      <c r="E101" s="80">
        <v>275</v>
      </c>
      <c r="F101" s="80">
        <v>-104</v>
      </c>
      <c r="G101" s="80">
        <v>-3</v>
      </c>
      <c r="H101" s="30"/>
      <c r="I101" s="80">
        <v>-23</v>
      </c>
      <c r="J101" s="80">
        <f>-114-I101</f>
        <v>-91</v>
      </c>
      <c r="K101" s="80">
        <f>-2-J101-I101</f>
        <v>112</v>
      </c>
      <c r="L101" s="30">
        <f t="shared" si="91"/>
        <v>-102</v>
      </c>
      <c r="M101" s="80">
        <v>13</v>
      </c>
      <c r="N101" s="80">
        <f>-42-M101</f>
        <v>-55</v>
      </c>
      <c r="O101" s="80">
        <f>-138-N101-M101</f>
        <v>-96</v>
      </c>
      <c r="P101" s="30">
        <f t="shared" si="92"/>
        <v>135</v>
      </c>
      <c r="Q101" s="80">
        <v>-73</v>
      </c>
      <c r="R101" s="80">
        <f>-297-Q101</f>
        <v>-224</v>
      </c>
      <c r="S101" s="80">
        <f>-245-R101-Q101</f>
        <v>52</v>
      </c>
      <c r="U101" s="30">
        <f t="shared" si="93"/>
        <v>-104</v>
      </c>
      <c r="V101" s="30">
        <f t="shared" si="94"/>
        <v>-68</v>
      </c>
      <c r="W101" s="30">
        <f t="shared" si="95"/>
        <v>-32</v>
      </c>
      <c r="X101" s="30">
        <f t="shared" si="96"/>
        <v>-240</v>
      </c>
      <c r="Y101" s="30">
        <f t="shared" si="97"/>
        <v>-3</v>
      </c>
      <c r="Z101" s="30">
        <f t="shared" si="98"/>
        <v>-89</v>
      </c>
      <c r="AA101" s="30">
        <f t="shared" si="99"/>
        <v>-258</v>
      </c>
      <c r="AB101" s="30">
        <f t="shared" si="100"/>
        <v>-110</v>
      </c>
      <c r="AC101" s="11"/>
      <c r="AD101" s="73">
        <f t="shared" si="101"/>
        <v>-0.54166666666666674</v>
      </c>
    </row>
    <row r="102" spans="2:30" ht="12.75" customHeight="1">
      <c r="B102" s="58" t="s">
        <v>156</v>
      </c>
      <c r="C102" s="80">
        <v>0</v>
      </c>
      <c r="D102" s="80">
        <v>0</v>
      </c>
      <c r="E102" s="80">
        <v>0</v>
      </c>
      <c r="F102" s="80">
        <v>-11470</v>
      </c>
      <c r="G102" s="80">
        <v>-24498</v>
      </c>
      <c r="H102" s="30"/>
      <c r="I102" s="80">
        <v>0</v>
      </c>
      <c r="J102" s="80">
        <f>-1521-I102</f>
        <v>-1521</v>
      </c>
      <c r="K102" s="80">
        <f>-5705-J102-I102</f>
        <v>-4184</v>
      </c>
      <c r="L102" s="30">
        <f t="shared" si="80"/>
        <v>-5765</v>
      </c>
      <c r="M102" s="80">
        <v>-5345</v>
      </c>
      <c r="N102" s="80">
        <f>-11065-M102</f>
        <v>-5720</v>
      </c>
      <c r="O102" s="80">
        <f>-17173-N102-M102</f>
        <v>-6108</v>
      </c>
      <c r="P102" s="30">
        <f t="shared" si="81"/>
        <v>-7325</v>
      </c>
      <c r="Q102" s="80">
        <v>-6629</v>
      </c>
      <c r="R102" s="80">
        <f>-14358-Q102</f>
        <v>-7729</v>
      </c>
      <c r="S102" s="80">
        <f>-24040-R102-Q102</f>
        <v>-9682</v>
      </c>
      <c r="U102" s="30">
        <f t="shared" si="82"/>
        <v>-11470</v>
      </c>
      <c r="V102" s="30">
        <f t="shared" si="83"/>
        <v>-16815</v>
      </c>
      <c r="W102" s="30">
        <f t="shared" si="84"/>
        <v>-21014</v>
      </c>
      <c r="X102" s="30">
        <f t="shared" si="85"/>
        <v>-22938</v>
      </c>
      <c r="Y102" s="30">
        <f t="shared" si="86"/>
        <v>-24498</v>
      </c>
      <c r="Z102" s="30">
        <f t="shared" si="87"/>
        <v>-25782</v>
      </c>
      <c r="AA102" s="30">
        <f t="shared" si="88"/>
        <v>-27791</v>
      </c>
      <c r="AB102" s="30">
        <f t="shared" si="89"/>
        <v>-31365</v>
      </c>
      <c r="AC102" s="11"/>
      <c r="AD102" s="73">
        <f t="shared" si="90"/>
        <v>0.36738163745749408</v>
      </c>
    </row>
    <row r="103" spans="2:30" ht="12.75" customHeight="1">
      <c r="B103" s="58" t="s">
        <v>157</v>
      </c>
      <c r="C103" s="80">
        <v>0</v>
      </c>
      <c r="D103" s="80">
        <v>0</v>
      </c>
      <c r="E103" s="80">
        <v>0</v>
      </c>
      <c r="F103" s="80">
        <v>10795</v>
      </c>
      <c r="G103" s="80">
        <v>24352</v>
      </c>
      <c r="H103" s="30"/>
      <c r="I103" s="80">
        <v>0</v>
      </c>
      <c r="J103" s="80">
        <f>302-I103</f>
        <v>302</v>
      </c>
      <c r="K103" s="80">
        <f>3676-J103-I103</f>
        <v>3374</v>
      </c>
      <c r="L103" s="30">
        <f t="shared" si="80"/>
        <v>7119</v>
      </c>
      <c r="M103" s="80">
        <v>5232</v>
      </c>
      <c r="N103" s="80">
        <f>11175-M103</f>
        <v>5943</v>
      </c>
      <c r="O103" s="80">
        <f>17159-N103-M103</f>
        <v>5984</v>
      </c>
      <c r="P103" s="30">
        <f t="shared" si="81"/>
        <v>7193</v>
      </c>
      <c r="Q103" s="80">
        <v>6445</v>
      </c>
      <c r="R103" s="80">
        <f>14112-Q103</f>
        <v>7667</v>
      </c>
      <c r="S103" s="80">
        <f>23160-R103-Q103</f>
        <v>9048</v>
      </c>
      <c r="U103" s="30">
        <f t="shared" si="82"/>
        <v>10795</v>
      </c>
      <c r="V103" s="30">
        <f t="shared" si="83"/>
        <v>16027</v>
      </c>
      <c r="W103" s="30">
        <f t="shared" si="84"/>
        <v>21668</v>
      </c>
      <c r="X103" s="30">
        <f t="shared" si="85"/>
        <v>24278</v>
      </c>
      <c r="Y103" s="30">
        <f t="shared" si="86"/>
        <v>24352</v>
      </c>
      <c r="Z103" s="30">
        <f t="shared" si="87"/>
        <v>25565</v>
      </c>
      <c r="AA103" s="30">
        <f t="shared" si="88"/>
        <v>27289</v>
      </c>
      <c r="AB103" s="30">
        <f t="shared" si="89"/>
        <v>30353</v>
      </c>
      <c r="AC103" s="11"/>
      <c r="AD103" s="73">
        <f t="shared" si="90"/>
        <v>0.25022654254880972</v>
      </c>
    </row>
    <row r="104" spans="2:30" ht="12.75" customHeight="1">
      <c r="B104" s="34" t="s">
        <v>139</v>
      </c>
      <c r="C104" s="30"/>
      <c r="D104" s="30"/>
      <c r="E104" s="30"/>
      <c r="F104" s="30"/>
      <c r="G104" s="30"/>
      <c r="H104" s="30"/>
      <c r="I104" s="80"/>
      <c r="J104" s="80"/>
      <c r="K104" s="80"/>
      <c r="L104" s="30"/>
      <c r="M104" s="80"/>
      <c r="N104" s="80"/>
      <c r="O104" s="80"/>
      <c r="P104" s="30"/>
      <c r="Q104" s="80"/>
      <c r="R104" s="80"/>
      <c r="S104" s="80"/>
      <c r="U104" s="30"/>
      <c r="V104" s="30"/>
      <c r="W104" s="30"/>
      <c r="X104" s="30"/>
      <c r="Y104" s="30"/>
      <c r="Z104" s="30"/>
      <c r="AA104" s="30"/>
      <c r="AB104" s="30"/>
      <c r="AC104" s="57"/>
      <c r="AD104" s="73"/>
    </row>
    <row r="105" spans="2:30" ht="12.75" customHeight="1">
      <c r="B105" s="58" t="s">
        <v>158</v>
      </c>
      <c r="C105" s="80">
        <v>-100</v>
      </c>
      <c r="D105" s="80">
        <v>-222</v>
      </c>
      <c r="E105" s="80">
        <v>-163</v>
      </c>
      <c r="F105" s="80">
        <v>-114</v>
      </c>
      <c r="G105" s="80">
        <v>85</v>
      </c>
      <c r="H105" s="30"/>
      <c r="I105" s="80">
        <v>-3</v>
      </c>
      <c r="J105" s="80">
        <f>36-I105</f>
        <v>39</v>
      </c>
      <c r="K105" s="80">
        <f>-35-J105-I105</f>
        <v>-71</v>
      </c>
      <c r="L105" s="30">
        <f>SUM(F105-SUM(I105:K105))</f>
        <v>-79</v>
      </c>
      <c r="M105" s="80">
        <v>-39</v>
      </c>
      <c r="N105" s="80">
        <f>82-M105</f>
        <v>121</v>
      </c>
      <c r="O105" s="80">
        <f>31-N105-M105</f>
        <v>-51</v>
      </c>
      <c r="P105" s="30">
        <f>SUM(G105-SUM(M105:O105))</f>
        <v>54</v>
      </c>
      <c r="Q105" s="80">
        <v>-98</v>
      </c>
      <c r="R105" s="80">
        <f>-115-Q105</f>
        <v>-17</v>
      </c>
      <c r="S105" s="80">
        <f>11-R105-Q105</f>
        <v>126</v>
      </c>
      <c r="U105" s="30">
        <f>SUM(I105:L105)</f>
        <v>-114</v>
      </c>
      <c r="V105" s="30">
        <f>SUM(J105:M105)</f>
        <v>-150</v>
      </c>
      <c r="W105" s="30">
        <f>SUM(K105:N105)</f>
        <v>-68</v>
      </c>
      <c r="X105" s="30">
        <f>SUM(L105:O105)</f>
        <v>-48</v>
      </c>
      <c r="Y105" s="30">
        <f>SUM(M105:P105)</f>
        <v>85</v>
      </c>
      <c r="Z105" s="30">
        <f>SUM(N105:Q105)</f>
        <v>26</v>
      </c>
      <c r="AA105" s="30">
        <f>SUM(O105:R105)</f>
        <v>-112</v>
      </c>
      <c r="AB105" s="30">
        <f>SUM(P105:S105)</f>
        <v>65</v>
      </c>
      <c r="AC105" s="11"/>
      <c r="AD105" s="73">
        <f t="shared" ref="AD105:AD108" si="124">SUM(AB105/X105)-1</f>
        <v>-2.354166666666667</v>
      </c>
    </row>
    <row r="106" spans="2:30" ht="12.75" customHeight="1">
      <c r="B106" s="58" t="s">
        <v>129</v>
      </c>
      <c r="C106" s="80">
        <v>-4</v>
      </c>
      <c r="D106" s="80">
        <v>-31</v>
      </c>
      <c r="E106" s="80">
        <v>-35</v>
      </c>
      <c r="F106" s="80">
        <v>7</v>
      </c>
      <c r="G106" s="80">
        <v>83</v>
      </c>
      <c r="H106" s="30"/>
      <c r="I106" s="80">
        <v>3</v>
      </c>
      <c r="J106" s="80">
        <f>-12-I106</f>
        <v>-15</v>
      </c>
      <c r="K106" s="80">
        <f>-6-J106-I106</f>
        <v>6</v>
      </c>
      <c r="L106" s="30">
        <f>SUM(F106-SUM(I106:K106))</f>
        <v>13</v>
      </c>
      <c r="M106" s="80">
        <v>-22</v>
      </c>
      <c r="N106" s="80">
        <f>-11-M106</f>
        <v>11</v>
      </c>
      <c r="O106" s="80">
        <f>24-N106-M106</f>
        <v>35</v>
      </c>
      <c r="P106" s="30">
        <f>SUM(G106-SUM(M106:O106))</f>
        <v>59</v>
      </c>
      <c r="Q106" s="80">
        <v>-52</v>
      </c>
      <c r="R106" s="80">
        <f>-50-Q106</f>
        <v>2</v>
      </c>
      <c r="S106" s="80">
        <f>-6-R106-Q106</f>
        <v>44</v>
      </c>
      <c r="U106" s="30">
        <f>SUM(I106:L106)</f>
        <v>7</v>
      </c>
      <c r="V106" s="30">
        <f>SUM(J106:M106)</f>
        <v>-18</v>
      </c>
      <c r="W106" s="30">
        <f>SUM(K106:N106)</f>
        <v>8</v>
      </c>
      <c r="X106" s="30">
        <f>SUM(L106:O106)</f>
        <v>37</v>
      </c>
      <c r="Y106" s="30">
        <f>SUM(M106:P106)</f>
        <v>83</v>
      </c>
      <c r="Z106" s="30">
        <f>SUM(N106:Q106)</f>
        <v>53</v>
      </c>
      <c r="AA106" s="30">
        <f>SUM(O106:R106)</f>
        <v>44</v>
      </c>
      <c r="AB106" s="30">
        <f>SUM(P106:S106)</f>
        <v>53</v>
      </c>
      <c r="AC106" s="11"/>
      <c r="AD106" s="73">
        <f t="shared" si="124"/>
        <v>0.43243243243243246</v>
      </c>
    </row>
    <row r="107" spans="2:30" ht="12.75" customHeight="1">
      <c r="B107" s="58" t="s">
        <v>181</v>
      </c>
      <c r="C107" s="80">
        <f>-1120-171-230+1038</f>
        <v>-483</v>
      </c>
      <c r="D107" s="80">
        <f>-1178-486+73+199</f>
        <v>-1392</v>
      </c>
      <c r="E107" s="80">
        <f>-1230+118+856</f>
        <v>-256</v>
      </c>
      <c r="F107" s="80">
        <f>-1188+203-222</f>
        <v>-1207</v>
      </c>
      <c r="G107" s="80">
        <f>-1131+413-8</f>
        <v>-726</v>
      </c>
      <c r="H107" s="30"/>
      <c r="I107" s="80">
        <v>-475</v>
      </c>
      <c r="J107" s="80">
        <f>-1177-I107</f>
        <v>-702</v>
      </c>
      <c r="K107" s="80">
        <f>-865-J107-I107</f>
        <v>312</v>
      </c>
      <c r="L107" s="30">
        <f>SUM(F107-SUM(I107:K107))</f>
        <v>-342</v>
      </c>
      <c r="M107" s="80">
        <v>176</v>
      </c>
      <c r="N107" s="80">
        <f>-511-M107</f>
        <v>-687</v>
      </c>
      <c r="O107" s="80">
        <f>-647-N107-M107</f>
        <v>-136</v>
      </c>
      <c r="P107" s="30">
        <f>SUM(G107-SUM(M107:O107))</f>
        <v>-79</v>
      </c>
      <c r="Q107" s="80">
        <v>-526</v>
      </c>
      <c r="R107" s="80">
        <f>-1495-Q107</f>
        <v>-969</v>
      </c>
      <c r="S107" s="80">
        <f>-1564-R107-Q107</f>
        <v>-69</v>
      </c>
      <c r="U107" s="30">
        <f t="shared" ref="U107:AB107" si="125">SUM(I107:L107)</f>
        <v>-1207</v>
      </c>
      <c r="V107" s="30">
        <f t="shared" si="125"/>
        <v>-556</v>
      </c>
      <c r="W107" s="30">
        <f t="shared" si="125"/>
        <v>-541</v>
      </c>
      <c r="X107" s="30">
        <f t="shared" si="125"/>
        <v>-989</v>
      </c>
      <c r="Y107" s="30">
        <f t="shared" si="125"/>
        <v>-726</v>
      </c>
      <c r="Z107" s="30">
        <f t="shared" si="125"/>
        <v>-1428</v>
      </c>
      <c r="AA107" s="30">
        <f t="shared" si="125"/>
        <v>-1710</v>
      </c>
      <c r="AB107" s="30">
        <f t="shared" si="125"/>
        <v>-1643</v>
      </c>
      <c r="AC107" s="11"/>
      <c r="AD107" s="73"/>
    </row>
    <row r="108" spans="2:30" ht="12.75" customHeight="1">
      <c r="B108" s="13" t="s">
        <v>48</v>
      </c>
      <c r="C108" s="14">
        <f>SUM(C90:C107)</f>
        <v>6219</v>
      </c>
      <c r="D108" s="14">
        <f>SUM(D90:D107)</f>
        <v>5797</v>
      </c>
      <c r="E108" s="14">
        <f>SUM(E90:E107)</f>
        <v>5813</v>
      </c>
      <c r="F108" s="14">
        <f>SUM(F90:F107)</f>
        <v>4843</v>
      </c>
      <c r="G108" s="14">
        <f>SUM(G90:G107)</f>
        <v>7450</v>
      </c>
      <c r="I108" s="14">
        <f>SUM(I90:I107)</f>
        <v>1170</v>
      </c>
      <c r="J108" s="14">
        <f>SUM(J90:J107)</f>
        <v>-200</v>
      </c>
      <c r="K108" s="14">
        <f>SUM(K90:K107)</f>
        <v>1259</v>
      </c>
      <c r="L108" s="14">
        <f>SUM(L90:L107)</f>
        <v>2614</v>
      </c>
      <c r="M108" s="14">
        <f>SUM(M90:M107)</f>
        <v>1917</v>
      </c>
      <c r="N108" s="14">
        <f>SUM(N90:N107)</f>
        <v>1525</v>
      </c>
      <c r="O108" s="14">
        <f>SUM(O90:O107)</f>
        <v>1614</v>
      </c>
      <c r="P108" s="14">
        <f>SUM(P90:P107)</f>
        <v>2394</v>
      </c>
      <c r="Q108" s="14">
        <f>SUM(Q90:Q107)</f>
        <v>1160</v>
      </c>
      <c r="R108" s="14">
        <f>SUM(R90:R107)</f>
        <v>898</v>
      </c>
      <c r="S108" s="14">
        <f>SUM(S90:S107)</f>
        <v>1974</v>
      </c>
      <c r="U108" s="14">
        <f>SUM(U90:U107)</f>
        <v>4843</v>
      </c>
      <c r="V108" s="14">
        <f>SUM(V90:V107)</f>
        <v>5590</v>
      </c>
      <c r="W108" s="14">
        <f>SUM(W90:W107)</f>
        <v>7315</v>
      </c>
      <c r="X108" s="14">
        <f>SUM(X90:X107)</f>
        <v>7670</v>
      </c>
      <c r="Y108" s="14">
        <f>SUM(Y90:Y107)</f>
        <v>7450</v>
      </c>
      <c r="Z108" s="14">
        <f>SUM(Z90:Z107)</f>
        <v>6693</v>
      </c>
      <c r="AA108" s="14">
        <f>SUM(AA90:AA107)</f>
        <v>6066</v>
      </c>
      <c r="AB108" s="14">
        <f>SUM(AB90:AB107)</f>
        <v>6426</v>
      </c>
      <c r="AC108" s="40"/>
      <c r="AD108" s="74">
        <f t="shared" si="124"/>
        <v>-0.16219035202086052</v>
      </c>
    </row>
    <row r="109" spans="2:30" ht="12.75" customHeight="1">
      <c r="B109" s="51"/>
      <c r="C109" s="59"/>
      <c r="D109" s="59"/>
      <c r="E109" s="59"/>
      <c r="F109" s="59"/>
      <c r="G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U109" s="40"/>
      <c r="V109" s="40"/>
      <c r="W109" s="40"/>
      <c r="X109" s="40"/>
      <c r="Y109" s="40"/>
      <c r="Z109" s="40"/>
      <c r="AA109" s="40"/>
      <c r="AB109" s="40"/>
      <c r="AC109" s="40"/>
      <c r="AD109" s="37"/>
    </row>
    <row r="110" spans="2:30" ht="12.75" customHeight="1">
      <c r="B110" s="51" t="s">
        <v>49</v>
      </c>
      <c r="C110" s="56"/>
      <c r="D110" s="56"/>
      <c r="E110" s="56"/>
      <c r="F110" s="56"/>
      <c r="G110" s="56"/>
      <c r="I110" s="80"/>
      <c r="J110" s="80"/>
      <c r="K110" s="80"/>
      <c r="L110" s="30"/>
      <c r="M110" s="80"/>
      <c r="N110" s="80"/>
      <c r="O110" s="80"/>
      <c r="P110" s="30"/>
      <c r="Q110" s="56"/>
      <c r="R110" s="56"/>
      <c r="S110" s="56"/>
      <c r="U110" s="56"/>
      <c r="V110" s="56"/>
      <c r="W110" s="56"/>
      <c r="X110" s="56"/>
      <c r="Y110" s="56"/>
      <c r="Z110" s="56"/>
      <c r="AA110" s="56"/>
      <c r="AB110" s="56"/>
      <c r="AC110" s="57"/>
      <c r="AD110" s="73"/>
    </row>
    <row r="111" spans="2:30" ht="12.75" customHeight="1">
      <c r="B111" s="58" t="s">
        <v>159</v>
      </c>
      <c r="C111" s="80">
        <v>0</v>
      </c>
      <c r="D111" s="80">
        <v>0</v>
      </c>
      <c r="E111" s="80">
        <v>0</v>
      </c>
      <c r="F111" s="80">
        <v>0</v>
      </c>
      <c r="G111" s="80">
        <v>-424</v>
      </c>
      <c r="H111" s="30"/>
      <c r="I111" s="80">
        <v>0</v>
      </c>
      <c r="J111" s="80">
        <v>0</v>
      </c>
      <c r="K111" s="80">
        <v>0</v>
      </c>
      <c r="L111" s="30">
        <f>SUM(F111-SUM(I111:K111))</f>
        <v>0</v>
      </c>
      <c r="M111" s="80">
        <v>0</v>
      </c>
      <c r="N111" s="80">
        <v>0</v>
      </c>
      <c r="O111" s="80">
        <f>-299-N111-M111</f>
        <v>-299</v>
      </c>
      <c r="P111" s="30">
        <f>SUM(G111-SUM(M111:O111))</f>
        <v>-125</v>
      </c>
      <c r="Q111" s="80">
        <v>-200</v>
      </c>
      <c r="R111" s="80">
        <f>-201-Q111</f>
        <v>-1</v>
      </c>
      <c r="S111" s="80">
        <f>-201-R111-Q111</f>
        <v>0</v>
      </c>
      <c r="T111" s="30"/>
      <c r="U111" s="30">
        <f>SUM(I111:L111)</f>
        <v>0</v>
      </c>
      <c r="V111" s="30">
        <f>SUM(J111:M111)</f>
        <v>0</v>
      </c>
      <c r="W111" s="30">
        <f>SUM(K111:N111)</f>
        <v>0</v>
      </c>
      <c r="X111" s="30">
        <f>SUM(L111:O111)</f>
        <v>-299</v>
      </c>
      <c r="Y111" s="30">
        <f>SUM(M111:P111)</f>
        <v>-424</v>
      </c>
      <c r="Z111" s="30">
        <f>SUM(N111:Q111)</f>
        <v>-624</v>
      </c>
      <c r="AA111" s="30">
        <f>SUM(O111:R111)</f>
        <v>-625</v>
      </c>
      <c r="AB111" s="30">
        <f>SUM(P111:S111)</f>
        <v>-326</v>
      </c>
      <c r="AC111" s="57"/>
      <c r="AD111" s="73">
        <f t="shared" ref="AD111:AD122" si="126">SUM(AB111/X111)-1</f>
        <v>9.0301003344481545E-2</v>
      </c>
    </row>
    <row r="112" spans="2:30" ht="12.75" customHeight="1">
      <c r="B112" s="58" t="s">
        <v>160</v>
      </c>
      <c r="C112" s="80">
        <v>0</v>
      </c>
      <c r="D112" s="80">
        <v>0</v>
      </c>
      <c r="E112" s="80">
        <v>0</v>
      </c>
      <c r="F112" s="80">
        <v>0</v>
      </c>
      <c r="G112" s="80">
        <v>337</v>
      </c>
      <c r="H112" s="30"/>
      <c r="I112" s="80">
        <v>0</v>
      </c>
      <c r="J112" s="80">
        <v>0</v>
      </c>
      <c r="K112" s="80">
        <v>0</v>
      </c>
      <c r="L112" s="30">
        <f t="shared" ref="L112:L121" si="127">SUM(F112-SUM(I112:K112))</f>
        <v>0</v>
      </c>
      <c r="M112" s="80">
        <v>0</v>
      </c>
      <c r="N112" s="80">
        <v>0</v>
      </c>
      <c r="O112" s="80">
        <f>226-N112-M112</f>
        <v>226</v>
      </c>
      <c r="P112" s="30">
        <f t="shared" ref="P112:P121" si="128">SUM(G112-SUM(M112:O112))</f>
        <v>111</v>
      </c>
      <c r="Q112" s="80">
        <v>87</v>
      </c>
      <c r="R112" s="80">
        <f>288-Q112</f>
        <v>201</v>
      </c>
      <c r="S112" s="80">
        <f>288-R112-Q112</f>
        <v>0</v>
      </c>
      <c r="T112" s="30"/>
      <c r="U112" s="30">
        <f t="shared" ref="U112:U121" si="129">SUM(I112:L112)</f>
        <v>0</v>
      </c>
      <c r="V112" s="30">
        <f t="shared" ref="V112:V121" si="130">SUM(J112:M112)</f>
        <v>0</v>
      </c>
      <c r="W112" s="30">
        <f t="shared" ref="W112:W121" si="131">SUM(K112:N112)</f>
        <v>0</v>
      </c>
      <c r="X112" s="30">
        <f t="shared" ref="X112:X121" si="132">SUM(L112:O112)</f>
        <v>226</v>
      </c>
      <c r="Y112" s="30">
        <f t="shared" ref="Y112:Y121" si="133">SUM(M112:P112)</f>
        <v>337</v>
      </c>
      <c r="Z112" s="30">
        <f t="shared" ref="Z112:Z121" si="134">SUM(N112:Q112)</f>
        <v>424</v>
      </c>
      <c r="AA112" s="30">
        <f t="shared" ref="AA112:AA121" si="135">SUM(O112:R112)</f>
        <v>625</v>
      </c>
      <c r="AB112" s="30">
        <f t="shared" ref="AB112:AB121" si="136">SUM(P112:S112)</f>
        <v>399</v>
      </c>
      <c r="AC112" s="57"/>
      <c r="AD112" s="73">
        <f t="shared" ref="AD112:AD121" si="137">SUM(AB112/X112)-1</f>
        <v>0.76548672566371678</v>
      </c>
    </row>
    <row r="113" spans="2:30" ht="12.75" customHeight="1">
      <c r="B113" s="58" t="s">
        <v>161</v>
      </c>
      <c r="C113" s="80">
        <v>-866</v>
      </c>
      <c r="D113" s="80">
        <v>-908</v>
      </c>
      <c r="E113" s="80">
        <v>-706</v>
      </c>
      <c r="F113" s="80">
        <v>-623</v>
      </c>
      <c r="G113" s="80">
        <v>-683</v>
      </c>
      <c r="H113" s="30"/>
      <c r="I113" s="80">
        <v>-170</v>
      </c>
      <c r="J113" s="80">
        <f>-320-I113</f>
        <v>-150</v>
      </c>
      <c r="K113" s="80">
        <f>-478-J113-I113</f>
        <v>-158</v>
      </c>
      <c r="L113" s="30">
        <f t="shared" ref="L113:L114" si="138">SUM(F113-SUM(I113:K113))</f>
        <v>-145</v>
      </c>
      <c r="M113" s="80">
        <v>-154</v>
      </c>
      <c r="N113" s="80">
        <f>-311-M113</f>
        <v>-157</v>
      </c>
      <c r="O113" s="80">
        <f>-480-N113-M113</f>
        <v>-169</v>
      </c>
      <c r="P113" s="30">
        <f t="shared" ref="P113:P114" si="139">SUM(G113-SUM(M113:O113))</f>
        <v>-203</v>
      </c>
      <c r="Q113" s="80">
        <v>-196</v>
      </c>
      <c r="R113" s="80">
        <f>-402-Q113</f>
        <v>-206</v>
      </c>
      <c r="S113" s="80">
        <f>-658-R113-Q113</f>
        <v>-256</v>
      </c>
      <c r="T113" s="30"/>
      <c r="U113" s="30">
        <f t="shared" ref="U113:U114" si="140">SUM(I113:L113)</f>
        <v>-623</v>
      </c>
      <c r="V113" s="30">
        <f t="shared" ref="V113:V114" si="141">SUM(J113:M113)</f>
        <v>-607</v>
      </c>
      <c r="W113" s="30">
        <f t="shared" ref="W113:W114" si="142">SUM(K113:N113)</f>
        <v>-614</v>
      </c>
      <c r="X113" s="30">
        <f t="shared" ref="X113:X114" si="143">SUM(L113:O113)</f>
        <v>-625</v>
      </c>
      <c r="Y113" s="30">
        <f t="shared" ref="Y113:Y114" si="144">SUM(M113:P113)</f>
        <v>-683</v>
      </c>
      <c r="Z113" s="30">
        <f t="shared" ref="Z113:Z114" si="145">SUM(N113:Q113)</f>
        <v>-725</v>
      </c>
      <c r="AA113" s="30">
        <f t="shared" ref="AA113:AA114" si="146">SUM(O113:R113)</f>
        <v>-774</v>
      </c>
      <c r="AB113" s="30">
        <f t="shared" ref="AB113:AB114" si="147">SUM(P113:S113)</f>
        <v>-861</v>
      </c>
      <c r="AC113" s="57"/>
      <c r="AD113" s="73">
        <f t="shared" ref="AD113:AD114" si="148">SUM(AB113/X113)-1</f>
        <v>0.37759999999999994</v>
      </c>
    </row>
    <row r="114" spans="2:30" ht="12.75" customHeight="1">
      <c r="B114" s="58" t="s">
        <v>162</v>
      </c>
      <c r="C114" s="80">
        <v>120</v>
      </c>
      <c r="D114" s="80">
        <v>5</v>
      </c>
      <c r="E114" s="80">
        <v>5</v>
      </c>
      <c r="F114" s="80">
        <v>45</v>
      </c>
      <c r="G114" s="80">
        <v>1</v>
      </c>
      <c r="H114" s="30"/>
      <c r="I114" s="80">
        <v>1</v>
      </c>
      <c r="J114" s="80">
        <f>40-I114</f>
        <v>39</v>
      </c>
      <c r="K114" s="80">
        <f>44-J114-I114</f>
        <v>4</v>
      </c>
      <c r="L114" s="30">
        <f t="shared" si="138"/>
        <v>1</v>
      </c>
      <c r="M114" s="80">
        <v>0</v>
      </c>
      <c r="N114" s="80">
        <v>0</v>
      </c>
      <c r="O114" s="80">
        <v>0</v>
      </c>
      <c r="P114" s="30">
        <f t="shared" si="139"/>
        <v>1</v>
      </c>
      <c r="Q114" s="80">
        <v>2</v>
      </c>
      <c r="R114" s="80">
        <f>3-Q114</f>
        <v>1</v>
      </c>
      <c r="S114" s="80">
        <f>3-R114-Q114</f>
        <v>0</v>
      </c>
      <c r="T114" s="30"/>
      <c r="U114" s="30">
        <f t="shared" si="140"/>
        <v>45</v>
      </c>
      <c r="V114" s="30">
        <f t="shared" si="141"/>
        <v>44</v>
      </c>
      <c r="W114" s="30">
        <f t="shared" si="142"/>
        <v>5</v>
      </c>
      <c r="X114" s="30">
        <f t="shared" si="143"/>
        <v>1</v>
      </c>
      <c r="Y114" s="30">
        <f t="shared" si="144"/>
        <v>1</v>
      </c>
      <c r="Z114" s="30">
        <f t="shared" si="145"/>
        <v>3</v>
      </c>
      <c r="AA114" s="30">
        <f t="shared" si="146"/>
        <v>4</v>
      </c>
      <c r="AB114" s="30">
        <f t="shared" si="147"/>
        <v>4</v>
      </c>
      <c r="AC114" s="57"/>
      <c r="AD114" s="73">
        <f t="shared" si="148"/>
        <v>3</v>
      </c>
    </row>
    <row r="115" spans="2:30" ht="12.75" customHeight="1">
      <c r="B115" s="58" t="s">
        <v>163</v>
      </c>
      <c r="C115" s="80">
        <v>-6098</v>
      </c>
      <c r="D115" s="80">
        <v>-13420</v>
      </c>
      <c r="E115" s="80">
        <v>-28170</v>
      </c>
      <c r="F115" s="80">
        <v>-25198</v>
      </c>
      <c r="G115" s="80">
        <v>-21807</v>
      </c>
      <c r="H115" s="30"/>
      <c r="I115" s="80">
        <v>-8267</v>
      </c>
      <c r="J115" s="80">
        <f>-15167-I115</f>
        <v>-6900</v>
      </c>
      <c r="K115" s="80">
        <f>-19802-J115-I115</f>
        <v>-4635</v>
      </c>
      <c r="L115" s="30">
        <f t="shared" si="127"/>
        <v>-5396</v>
      </c>
      <c r="M115" s="80">
        <v>-4779</v>
      </c>
      <c r="N115" s="80">
        <f>-9961-M115</f>
        <v>-5182</v>
      </c>
      <c r="O115" s="80">
        <f>-15374-N115-M115</f>
        <v>-5413</v>
      </c>
      <c r="P115" s="30">
        <f t="shared" si="128"/>
        <v>-6433</v>
      </c>
      <c r="Q115" s="80">
        <v>-5508</v>
      </c>
      <c r="R115" s="80">
        <f>-11490-Q115</f>
        <v>-5982</v>
      </c>
      <c r="S115" s="80">
        <f>-15904-R115-Q115</f>
        <v>-4414</v>
      </c>
      <c r="T115" s="30"/>
      <c r="U115" s="30">
        <f t="shared" si="129"/>
        <v>-25198</v>
      </c>
      <c r="V115" s="30">
        <f t="shared" si="130"/>
        <v>-21710</v>
      </c>
      <c r="W115" s="30">
        <f t="shared" si="131"/>
        <v>-19992</v>
      </c>
      <c r="X115" s="30">
        <f t="shared" si="132"/>
        <v>-20770</v>
      </c>
      <c r="Y115" s="30">
        <f t="shared" si="133"/>
        <v>-21807</v>
      </c>
      <c r="Z115" s="30">
        <f t="shared" si="134"/>
        <v>-22536</v>
      </c>
      <c r="AA115" s="30">
        <f t="shared" si="135"/>
        <v>-23336</v>
      </c>
      <c r="AB115" s="30">
        <f t="shared" si="136"/>
        <v>-22337</v>
      </c>
      <c r="AC115" s="57"/>
      <c r="AD115" s="73">
        <f t="shared" si="137"/>
        <v>7.5445353875782439E-2</v>
      </c>
    </row>
    <row r="116" spans="2:30" ht="12.75" customHeight="1">
      <c r="B116" s="58" t="s">
        <v>168</v>
      </c>
      <c r="C116" s="80">
        <v>6392</v>
      </c>
      <c r="D116" s="80">
        <v>11826</v>
      </c>
      <c r="E116" s="80">
        <v>24903</v>
      </c>
      <c r="F116" s="80">
        <v>26660</v>
      </c>
      <c r="G116" s="80">
        <v>20272</v>
      </c>
      <c r="H116" s="30"/>
      <c r="I116" s="80">
        <v>8063</v>
      </c>
      <c r="J116" s="80">
        <f>15990-I116</f>
        <v>7927</v>
      </c>
      <c r="K116" s="80">
        <f>21319-J116-I116</f>
        <v>5329</v>
      </c>
      <c r="L116" s="30">
        <f t="shared" si="127"/>
        <v>5341</v>
      </c>
      <c r="M116" s="80">
        <v>4827</v>
      </c>
      <c r="N116" s="80">
        <f>9760-M116</f>
        <v>4933</v>
      </c>
      <c r="O116" s="80">
        <f>14705-N116-M116</f>
        <v>4945</v>
      </c>
      <c r="P116" s="30">
        <f t="shared" si="128"/>
        <v>5567</v>
      </c>
      <c r="Q116" s="80">
        <v>5477</v>
      </c>
      <c r="R116" s="80">
        <f>11210-Q116</f>
        <v>5733</v>
      </c>
      <c r="S116" s="80">
        <f>15945-R116-Q116</f>
        <v>4735</v>
      </c>
      <c r="T116" s="30"/>
      <c r="U116" s="30">
        <f t="shared" si="129"/>
        <v>26660</v>
      </c>
      <c r="V116" s="30">
        <f t="shared" si="130"/>
        <v>23424</v>
      </c>
      <c r="W116" s="30">
        <f t="shared" si="131"/>
        <v>20430</v>
      </c>
      <c r="X116" s="30">
        <f t="shared" si="132"/>
        <v>20046</v>
      </c>
      <c r="Y116" s="30">
        <f t="shared" si="133"/>
        <v>20272</v>
      </c>
      <c r="Z116" s="30">
        <f t="shared" si="134"/>
        <v>20922</v>
      </c>
      <c r="AA116" s="30">
        <f t="shared" si="135"/>
        <v>21722</v>
      </c>
      <c r="AB116" s="30">
        <f t="shared" si="136"/>
        <v>21512</v>
      </c>
      <c r="AC116" s="57"/>
      <c r="AD116" s="73">
        <f t="shared" si="137"/>
        <v>7.313179686720539E-2</v>
      </c>
    </row>
    <row r="117" spans="2:30" ht="12.75" customHeight="1">
      <c r="B117" s="58" t="s">
        <v>164</v>
      </c>
      <c r="C117" s="80">
        <v>-41513</v>
      </c>
      <c r="D117" s="80">
        <v>-40116</v>
      </c>
      <c r="E117" s="80">
        <v>-20219</v>
      </c>
      <c r="F117" s="80">
        <v>-21980</v>
      </c>
      <c r="G117" s="80">
        <v>-26209</v>
      </c>
      <c r="H117" s="30"/>
      <c r="I117" s="80">
        <v>-6100</v>
      </c>
      <c r="J117" s="80">
        <f>-10523-I117</f>
        <v>-4423</v>
      </c>
      <c r="K117" s="80">
        <f>-14975-J117-I117</f>
        <v>-4452</v>
      </c>
      <c r="L117" s="30">
        <f t="shared" ref="L117:L120" si="149">SUM(F117-SUM(I117:K117))</f>
        <v>-7005</v>
      </c>
      <c r="M117" s="80">
        <v>-7081</v>
      </c>
      <c r="N117" s="80">
        <f>-16004-M117</f>
        <v>-8923</v>
      </c>
      <c r="O117" s="80">
        <f>-20819-N117-M117</f>
        <v>-4815</v>
      </c>
      <c r="P117" s="30">
        <f t="shared" ref="P117:P120" si="150">SUM(G117-SUM(M117:O117))</f>
        <v>-5390</v>
      </c>
      <c r="Q117" s="80">
        <v>-5970</v>
      </c>
      <c r="R117" s="80">
        <f>-11564-Q117</f>
        <v>-5594</v>
      </c>
      <c r="S117" s="80">
        <f>-15951-R117-Q117</f>
        <v>-4387</v>
      </c>
      <c r="T117" s="30"/>
      <c r="U117" s="30">
        <f t="shared" ref="U117:U120" si="151">SUM(I117:L117)</f>
        <v>-21980</v>
      </c>
      <c r="V117" s="30">
        <f t="shared" ref="V117:V120" si="152">SUM(J117:M117)</f>
        <v>-22961</v>
      </c>
      <c r="W117" s="30">
        <f t="shared" ref="W117:W120" si="153">SUM(K117:N117)</f>
        <v>-27461</v>
      </c>
      <c r="X117" s="30">
        <f t="shared" ref="X117:X120" si="154">SUM(L117:O117)</f>
        <v>-27824</v>
      </c>
      <c r="Y117" s="30">
        <f t="shared" ref="Y117:Y120" si="155">SUM(M117:P117)</f>
        <v>-26209</v>
      </c>
      <c r="Z117" s="30">
        <f t="shared" ref="Z117:Z120" si="156">SUM(N117:Q117)</f>
        <v>-25098</v>
      </c>
      <c r="AA117" s="30">
        <f t="shared" ref="AA117:AA120" si="157">SUM(O117:R117)</f>
        <v>-21769</v>
      </c>
      <c r="AB117" s="30">
        <f t="shared" ref="AB117:AB120" si="158">SUM(P117:S117)</f>
        <v>-21341</v>
      </c>
      <c r="AC117" s="57"/>
      <c r="AD117" s="73">
        <f t="shared" ref="AD117:AD120" si="159">SUM(AB117/X117)-1</f>
        <v>-0.2330002875215641</v>
      </c>
    </row>
    <row r="118" spans="2:30" ht="12.75" customHeight="1">
      <c r="B118" s="58" t="s">
        <v>165</v>
      </c>
      <c r="C118" s="80">
        <v>30908</v>
      </c>
      <c r="D118" s="80">
        <v>39698</v>
      </c>
      <c r="E118" s="80">
        <v>23411</v>
      </c>
      <c r="F118" s="80">
        <v>24295</v>
      </c>
      <c r="G118" s="80">
        <v>26962</v>
      </c>
      <c r="H118" s="30"/>
      <c r="I118" s="80">
        <v>5445</v>
      </c>
      <c r="J118" s="80">
        <f>10742-I118</f>
        <v>5297</v>
      </c>
      <c r="K118" s="80">
        <f>16110-J118-I118</f>
        <v>5368</v>
      </c>
      <c r="L118" s="30">
        <f t="shared" si="149"/>
        <v>8185</v>
      </c>
      <c r="M118" s="80">
        <v>9242</v>
      </c>
      <c r="N118" s="80">
        <f>14241-M118</f>
        <v>4999</v>
      </c>
      <c r="O118" s="80">
        <f>21179-N118-M118</f>
        <v>6938</v>
      </c>
      <c r="P118" s="30">
        <f t="shared" si="150"/>
        <v>5783</v>
      </c>
      <c r="Q118" s="80">
        <v>5465</v>
      </c>
      <c r="R118" s="80">
        <f>11595-Q118</f>
        <v>6130</v>
      </c>
      <c r="S118" s="80">
        <f>19027-R118-Q118</f>
        <v>7432</v>
      </c>
      <c r="T118" s="30"/>
      <c r="U118" s="30">
        <f t="shared" si="151"/>
        <v>24295</v>
      </c>
      <c r="V118" s="30">
        <f t="shared" si="152"/>
        <v>28092</v>
      </c>
      <c r="W118" s="30">
        <f t="shared" si="153"/>
        <v>27794</v>
      </c>
      <c r="X118" s="30">
        <f t="shared" si="154"/>
        <v>29364</v>
      </c>
      <c r="Y118" s="30">
        <f t="shared" si="155"/>
        <v>26962</v>
      </c>
      <c r="Z118" s="30">
        <f t="shared" si="156"/>
        <v>23185</v>
      </c>
      <c r="AA118" s="30">
        <f t="shared" si="157"/>
        <v>24316</v>
      </c>
      <c r="AB118" s="30">
        <f t="shared" si="158"/>
        <v>24810</v>
      </c>
      <c r="AC118" s="57"/>
      <c r="AD118" s="73">
        <f t="shared" si="159"/>
        <v>-0.15508786268900698</v>
      </c>
    </row>
    <row r="119" spans="2:30" ht="12.75" customHeight="1">
      <c r="B119" s="58" t="s">
        <v>177</v>
      </c>
      <c r="C119" s="80">
        <v>-3609</v>
      </c>
      <c r="D119" s="80">
        <v>-2763</v>
      </c>
      <c r="E119" s="80">
        <v>0</v>
      </c>
      <c r="F119" s="80">
        <v>466</v>
      </c>
      <c r="G119" s="80">
        <v>0</v>
      </c>
      <c r="H119" s="30"/>
      <c r="I119" s="80">
        <v>0</v>
      </c>
      <c r="J119" s="80">
        <v>0</v>
      </c>
      <c r="K119" s="80">
        <v>0</v>
      </c>
      <c r="L119" s="30">
        <f t="shared" si="149"/>
        <v>466</v>
      </c>
      <c r="M119" s="80">
        <v>0</v>
      </c>
      <c r="N119" s="80">
        <v>0</v>
      </c>
      <c r="O119" s="80">
        <v>0</v>
      </c>
      <c r="P119" s="30">
        <f t="shared" si="150"/>
        <v>0</v>
      </c>
      <c r="Q119" s="80">
        <v>0</v>
      </c>
      <c r="R119" s="80">
        <v>0</v>
      </c>
      <c r="S119" s="80">
        <v>0</v>
      </c>
      <c r="T119" s="30"/>
      <c r="U119" s="30">
        <f t="shared" si="151"/>
        <v>466</v>
      </c>
      <c r="V119" s="30">
        <f t="shared" si="152"/>
        <v>466</v>
      </c>
      <c r="W119" s="30">
        <f t="shared" si="153"/>
        <v>466</v>
      </c>
      <c r="X119" s="30">
        <f t="shared" si="154"/>
        <v>466</v>
      </c>
      <c r="Y119" s="30">
        <f t="shared" si="155"/>
        <v>0</v>
      </c>
      <c r="Z119" s="30">
        <f t="shared" si="156"/>
        <v>0</v>
      </c>
      <c r="AA119" s="30">
        <f t="shared" si="157"/>
        <v>0</v>
      </c>
      <c r="AB119" s="30">
        <f t="shared" si="158"/>
        <v>0</v>
      </c>
      <c r="AC119" s="57"/>
      <c r="AD119" s="73">
        <f t="shared" si="159"/>
        <v>-1</v>
      </c>
    </row>
    <row r="120" spans="2:30" ht="12.75" customHeight="1">
      <c r="B120" s="58" t="s">
        <v>166</v>
      </c>
      <c r="C120" s="80">
        <v>-1552</v>
      </c>
      <c r="D120" s="80">
        <v>193</v>
      </c>
      <c r="E120" s="80">
        <v>-2720</v>
      </c>
      <c r="F120" s="80">
        <v>-2943</v>
      </c>
      <c r="G120" s="80">
        <v>2908</v>
      </c>
      <c r="H120" s="30"/>
      <c r="I120" s="80">
        <v>1195</v>
      </c>
      <c r="J120" s="80">
        <f>759-I120</f>
        <v>-436</v>
      </c>
      <c r="K120" s="80">
        <f>-1016-J120-I120</f>
        <v>-1775</v>
      </c>
      <c r="L120" s="30">
        <f t="shared" si="149"/>
        <v>-1927</v>
      </c>
      <c r="M120" s="80">
        <v>-1169</v>
      </c>
      <c r="N120" s="80">
        <f>-1367-M120</f>
        <v>-198</v>
      </c>
      <c r="O120" s="80">
        <f>152-N120-M120</f>
        <v>1519</v>
      </c>
      <c r="P120" s="30">
        <f t="shared" si="150"/>
        <v>2756</v>
      </c>
      <c r="Q120" s="80">
        <v>-2741</v>
      </c>
      <c r="R120" s="80">
        <f>-2785-Q120</f>
        <v>-44</v>
      </c>
      <c r="S120" s="80">
        <f>-1232-R120-Q120</f>
        <v>1553</v>
      </c>
      <c r="T120" s="30"/>
      <c r="U120" s="30">
        <f t="shared" si="151"/>
        <v>-2943</v>
      </c>
      <c r="V120" s="30">
        <f t="shared" si="152"/>
        <v>-5307</v>
      </c>
      <c r="W120" s="30">
        <f t="shared" si="153"/>
        <v>-5069</v>
      </c>
      <c r="X120" s="30">
        <f t="shared" si="154"/>
        <v>-1775</v>
      </c>
      <c r="Y120" s="30">
        <f t="shared" si="155"/>
        <v>2908</v>
      </c>
      <c r="Z120" s="30">
        <f t="shared" si="156"/>
        <v>1336</v>
      </c>
      <c r="AA120" s="30">
        <f t="shared" si="157"/>
        <v>1490</v>
      </c>
      <c r="AB120" s="30">
        <f t="shared" si="158"/>
        <v>1524</v>
      </c>
      <c r="AC120" s="57"/>
      <c r="AD120" s="73">
        <f t="shared" si="159"/>
        <v>-1.8585915492957747</v>
      </c>
    </row>
    <row r="121" spans="2:30" ht="12.75" customHeight="1">
      <c r="B121" s="58" t="s">
        <v>167</v>
      </c>
      <c r="C121" s="80">
        <v>-327</v>
      </c>
      <c r="D121" s="80">
        <v>336</v>
      </c>
      <c r="E121" s="80">
        <v>-19</v>
      </c>
      <c r="F121" s="80">
        <v>-56</v>
      </c>
      <c r="G121" s="80">
        <v>73</v>
      </c>
      <c r="H121" s="30"/>
      <c r="I121" s="80">
        <v>-22</v>
      </c>
      <c r="J121" s="80">
        <f>-11-I121</f>
        <v>11</v>
      </c>
      <c r="K121" s="80">
        <f>8-J121-I121</f>
        <v>19</v>
      </c>
      <c r="L121" s="30">
        <f t="shared" si="127"/>
        <v>-64</v>
      </c>
      <c r="M121" s="80">
        <v>74</v>
      </c>
      <c r="N121" s="80">
        <f>75-M121</f>
        <v>1</v>
      </c>
      <c r="O121" s="80">
        <f>-58-N121-M121</f>
        <v>-133</v>
      </c>
      <c r="P121" s="30">
        <f t="shared" si="128"/>
        <v>131</v>
      </c>
      <c r="Q121" s="80">
        <v>-53</v>
      </c>
      <c r="R121" s="80">
        <f>-316-Q121</f>
        <v>-263</v>
      </c>
      <c r="S121" s="80">
        <f>-207-R121-Q121</f>
        <v>109</v>
      </c>
      <c r="T121" s="30"/>
      <c r="U121" s="30">
        <f t="shared" si="129"/>
        <v>-56</v>
      </c>
      <c r="V121" s="30">
        <f t="shared" si="130"/>
        <v>40</v>
      </c>
      <c r="W121" s="30">
        <f t="shared" si="131"/>
        <v>30</v>
      </c>
      <c r="X121" s="30">
        <f t="shared" si="132"/>
        <v>-122</v>
      </c>
      <c r="Y121" s="30">
        <f t="shared" si="133"/>
        <v>73</v>
      </c>
      <c r="Z121" s="30">
        <f t="shared" si="134"/>
        <v>-54</v>
      </c>
      <c r="AA121" s="30">
        <f t="shared" si="135"/>
        <v>-318</v>
      </c>
      <c r="AB121" s="30">
        <f t="shared" si="136"/>
        <v>-76</v>
      </c>
      <c r="AC121" s="57"/>
      <c r="AD121" s="73">
        <f t="shared" si="137"/>
        <v>-0.37704918032786883</v>
      </c>
    </row>
    <row r="122" spans="2:30" ht="12.75" customHeight="1">
      <c r="B122" s="58" t="s">
        <v>155</v>
      </c>
      <c r="C122" s="80">
        <v>0</v>
      </c>
      <c r="D122" s="80">
        <v>0</v>
      </c>
      <c r="E122" s="80">
        <v>187</v>
      </c>
      <c r="F122" s="80">
        <v>86</v>
      </c>
      <c r="G122" s="80">
        <v>159</v>
      </c>
      <c r="H122" s="30"/>
      <c r="I122" s="80">
        <v>8</v>
      </c>
      <c r="J122" s="80">
        <f>83-I122</f>
        <v>75</v>
      </c>
      <c r="K122" s="80">
        <f>76-J122-I122</f>
        <v>-7</v>
      </c>
      <c r="L122" s="30">
        <f>SUM(F122-SUM(I122:K122))</f>
        <v>10</v>
      </c>
      <c r="M122" s="80">
        <v>20</v>
      </c>
      <c r="N122" s="80">
        <f>-100-M122</f>
        <v>-120</v>
      </c>
      <c r="O122" s="80">
        <f>-100-N122-M122</f>
        <v>0</v>
      </c>
      <c r="P122" s="30">
        <f>SUM(G122-SUM(M122:O122))</f>
        <v>259</v>
      </c>
      <c r="Q122" s="80">
        <v>-20</v>
      </c>
      <c r="R122" s="80">
        <f>-15-Q122</f>
        <v>5</v>
      </c>
      <c r="S122" s="80">
        <f>-15-R122-Q122</f>
        <v>0</v>
      </c>
      <c r="T122" s="30"/>
      <c r="U122" s="30">
        <f>SUM(I122:L122)</f>
        <v>86</v>
      </c>
      <c r="V122" s="30">
        <f>SUM(J122:M122)</f>
        <v>98</v>
      </c>
      <c r="W122" s="30">
        <f>SUM(K122:N122)</f>
        <v>-97</v>
      </c>
      <c r="X122" s="30">
        <f>SUM(L122:O122)</f>
        <v>-90</v>
      </c>
      <c r="Y122" s="30">
        <f>SUM(M122:P122)</f>
        <v>159</v>
      </c>
      <c r="Z122" s="30">
        <f>SUM(N122:Q122)</f>
        <v>119</v>
      </c>
      <c r="AA122" s="30">
        <f>SUM(O122:R122)</f>
        <v>244</v>
      </c>
      <c r="AB122" s="30">
        <f>SUM(P122:S122)</f>
        <v>244</v>
      </c>
      <c r="AC122" s="57"/>
      <c r="AD122" s="73">
        <f t="shared" si="126"/>
        <v>-3.7111111111111112</v>
      </c>
    </row>
    <row r="123" spans="2:30" ht="12.75" customHeight="1">
      <c r="B123" s="13" t="s">
        <v>50</v>
      </c>
      <c r="C123" s="14">
        <f>SUM(C111:C122)</f>
        <v>-16545</v>
      </c>
      <c r="D123" s="14">
        <f>SUM(D111:D122)</f>
        <v>-5149</v>
      </c>
      <c r="E123" s="14">
        <f>SUM(E111:E122)</f>
        <v>-3328</v>
      </c>
      <c r="F123" s="14">
        <f>SUM(F111:F122)</f>
        <v>752</v>
      </c>
      <c r="G123" s="14">
        <f>SUM(G111:G122)</f>
        <v>1589</v>
      </c>
      <c r="I123" s="14">
        <f>SUM(I111:I122)</f>
        <v>153</v>
      </c>
      <c r="J123" s="14">
        <f>SUM(J111:J122)</f>
        <v>1440</v>
      </c>
      <c r="K123" s="14">
        <f>SUM(K111:K122)</f>
        <v>-307</v>
      </c>
      <c r="L123" s="14">
        <f>SUM(L111:L122)</f>
        <v>-534</v>
      </c>
      <c r="M123" s="14">
        <f>SUM(M111:M122)</f>
        <v>980</v>
      </c>
      <c r="N123" s="14">
        <f>SUM(N111:N122)</f>
        <v>-4647</v>
      </c>
      <c r="O123" s="14">
        <f>SUM(O111:O122)</f>
        <v>2799</v>
      </c>
      <c r="P123" s="14">
        <f>SUM(P111:P122)</f>
        <v>2457</v>
      </c>
      <c r="Q123" s="14">
        <f>SUM(Q111:Q122)</f>
        <v>-3657</v>
      </c>
      <c r="R123" s="14">
        <f>SUM(R111:R122)</f>
        <v>-20</v>
      </c>
      <c r="S123" s="14">
        <f>SUM(S111:S122)</f>
        <v>4772</v>
      </c>
      <c r="U123" s="14">
        <f>SUM(U111:U122)</f>
        <v>752</v>
      </c>
      <c r="V123" s="14">
        <f>SUM(V111:V122)</f>
        <v>1579</v>
      </c>
      <c r="W123" s="14">
        <f>SUM(W111:W122)</f>
        <v>-4508</v>
      </c>
      <c r="X123" s="14">
        <f>SUM(X111:X122)</f>
        <v>-1402</v>
      </c>
      <c r="Y123" s="14">
        <f>SUM(Y111:Y122)</f>
        <v>1589</v>
      </c>
      <c r="Z123" s="14">
        <f>SUM(Z111:Z122)</f>
        <v>-3048</v>
      </c>
      <c r="AA123" s="14">
        <f>SUM(AA111:AA122)</f>
        <v>1579</v>
      </c>
      <c r="AB123" s="14">
        <f>SUM(AB111:AB122)</f>
        <v>3552</v>
      </c>
      <c r="AC123" s="40"/>
      <c r="AD123" s="74">
        <f t="shared" ref="AD123:AD136" si="160">SUM(AB123/X123)-1</f>
        <v>-3.5335235378031382</v>
      </c>
    </row>
    <row r="124" spans="2:30" ht="5.0999999999999996" customHeight="1">
      <c r="B124" s="50"/>
      <c r="C124" s="59"/>
      <c r="D124" s="59"/>
      <c r="E124" s="59"/>
      <c r="F124" s="59"/>
      <c r="G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U124" s="40"/>
      <c r="V124" s="40"/>
      <c r="W124" s="40"/>
      <c r="X124" s="40"/>
      <c r="Y124" s="40"/>
      <c r="Z124" s="40"/>
      <c r="AA124" s="40"/>
      <c r="AB124" s="40"/>
      <c r="AC124" s="40"/>
      <c r="AD124" s="37"/>
    </row>
    <row r="125" spans="2:30" ht="12.75" customHeight="1">
      <c r="B125" s="51" t="s">
        <v>51</v>
      </c>
      <c r="C125" s="61"/>
      <c r="D125" s="61"/>
      <c r="E125" s="61"/>
      <c r="F125" s="61"/>
      <c r="G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30"/>
      <c r="U125" s="30"/>
      <c r="V125" s="30"/>
      <c r="W125" s="30"/>
      <c r="X125" s="30"/>
      <c r="Y125" s="30"/>
      <c r="Z125" s="30"/>
      <c r="AA125" s="30"/>
      <c r="AB125" s="30"/>
      <c r="AC125" s="62"/>
      <c r="AD125" s="73"/>
    </row>
    <row r="126" spans="2:30" ht="12.75" customHeight="1">
      <c r="B126" s="82" t="s">
        <v>169</v>
      </c>
      <c r="C126" s="80">
        <v>0</v>
      </c>
      <c r="D126" s="80">
        <v>0</v>
      </c>
      <c r="E126" s="80">
        <v>0</v>
      </c>
      <c r="F126" s="80">
        <v>0</v>
      </c>
      <c r="G126" s="80">
        <v>656</v>
      </c>
      <c r="I126" s="80">
        <v>0</v>
      </c>
      <c r="J126" s="80">
        <v>0</v>
      </c>
      <c r="K126" s="80">
        <v>0</v>
      </c>
      <c r="L126" s="30">
        <f t="shared" ref="L126:L133" si="161">SUM(F126-SUM(I126:K126))</f>
        <v>0</v>
      </c>
      <c r="M126" s="80">
        <v>0</v>
      </c>
      <c r="N126" s="80">
        <v>0</v>
      </c>
      <c r="O126" s="80">
        <f>656-N126-M126</f>
        <v>656</v>
      </c>
      <c r="P126" s="30">
        <f t="shared" ref="P126:P133" si="162">SUM(G126-SUM(M126:O126))</f>
        <v>0</v>
      </c>
      <c r="Q126" s="80">
        <v>0</v>
      </c>
      <c r="R126" s="80">
        <f>405-Q126</f>
        <v>405</v>
      </c>
      <c r="S126" s="80">
        <f>2949-R126-Q126</f>
        <v>2544</v>
      </c>
      <c r="T126" s="30"/>
      <c r="U126" s="30">
        <f t="shared" ref="U126:U133" si="163">SUM(I126:L126)</f>
        <v>0</v>
      </c>
      <c r="V126" s="30">
        <f t="shared" ref="V126:V133" si="164">SUM(J126:M126)</f>
        <v>0</v>
      </c>
      <c r="W126" s="30">
        <f t="shared" ref="W126:W133" si="165">SUM(K126:N126)</f>
        <v>0</v>
      </c>
      <c r="X126" s="30">
        <f t="shared" ref="X126:X133" si="166">SUM(L126:O126)</f>
        <v>656</v>
      </c>
      <c r="Y126" s="30">
        <f t="shared" ref="Y126:Y133" si="167">SUM(M126:P126)</f>
        <v>656</v>
      </c>
      <c r="Z126" s="30">
        <f t="shared" ref="Z126:Z133" si="168">SUM(N126:Q126)</f>
        <v>656</v>
      </c>
      <c r="AA126" s="30">
        <f t="shared" ref="AA126:AA133" si="169">SUM(O126:R126)</f>
        <v>1061</v>
      </c>
      <c r="AB126" s="30">
        <f t="shared" ref="AB126:AB133" si="170">SUM(P126:S126)</f>
        <v>2949</v>
      </c>
      <c r="AC126" s="62"/>
      <c r="AD126" s="73">
        <f t="shared" ref="AD126:AD133" si="171">SUM(AB126/X126)-1</f>
        <v>3.4954268292682924</v>
      </c>
    </row>
    <row r="127" spans="2:30" ht="12.75" customHeight="1">
      <c r="B127" s="82" t="s">
        <v>170</v>
      </c>
      <c r="C127" s="80">
        <v>0</v>
      </c>
      <c r="D127" s="80">
        <v>0</v>
      </c>
      <c r="E127" s="80">
        <v>0</v>
      </c>
      <c r="F127" s="80">
        <v>0</v>
      </c>
      <c r="G127" s="80">
        <v>-656</v>
      </c>
      <c r="I127" s="80">
        <v>0</v>
      </c>
      <c r="J127" s="80">
        <v>0</v>
      </c>
      <c r="K127" s="80">
        <v>0</v>
      </c>
      <c r="L127" s="30">
        <f t="shared" si="161"/>
        <v>0</v>
      </c>
      <c r="M127" s="80">
        <v>0</v>
      </c>
      <c r="N127" s="80">
        <v>0</v>
      </c>
      <c r="O127" s="80">
        <f>-656-N127-M127</f>
        <v>-656</v>
      </c>
      <c r="P127" s="30">
        <f t="shared" si="162"/>
        <v>0</v>
      </c>
      <c r="Q127" s="80">
        <v>0</v>
      </c>
      <c r="R127" s="80">
        <f>-405-Q127</f>
        <v>-405</v>
      </c>
      <c r="S127" s="80">
        <f>-2949-R127-Q127</f>
        <v>-2544</v>
      </c>
      <c r="T127" s="30"/>
      <c r="U127" s="30">
        <f t="shared" si="163"/>
        <v>0</v>
      </c>
      <c r="V127" s="30">
        <f t="shared" si="164"/>
        <v>0</v>
      </c>
      <c r="W127" s="30">
        <f t="shared" si="165"/>
        <v>0</v>
      </c>
      <c r="X127" s="30">
        <f t="shared" si="166"/>
        <v>-656</v>
      </c>
      <c r="Y127" s="30">
        <f t="shared" si="167"/>
        <v>-656</v>
      </c>
      <c r="Z127" s="30">
        <f t="shared" si="168"/>
        <v>-656</v>
      </c>
      <c r="AA127" s="30">
        <f t="shared" si="169"/>
        <v>-1061</v>
      </c>
      <c r="AB127" s="30">
        <f t="shared" si="170"/>
        <v>-2949</v>
      </c>
      <c r="AC127" s="62"/>
      <c r="AD127" s="73">
        <f t="shared" si="171"/>
        <v>3.4954268292682924</v>
      </c>
    </row>
    <row r="128" spans="2:30" ht="12.75" customHeight="1">
      <c r="B128" s="82" t="s">
        <v>171</v>
      </c>
      <c r="C128" s="80">
        <v>137</v>
      </c>
      <c r="D128" s="80">
        <v>162</v>
      </c>
      <c r="E128" s="80">
        <v>143</v>
      </c>
      <c r="F128" s="80">
        <v>127</v>
      </c>
      <c r="G128" s="80">
        <v>95</v>
      </c>
      <c r="I128" s="80">
        <v>1</v>
      </c>
      <c r="J128" s="80">
        <f>82-I128</f>
        <v>81</v>
      </c>
      <c r="K128" s="80">
        <f>82-J128-I128</f>
        <v>0</v>
      </c>
      <c r="L128" s="30">
        <f t="shared" si="161"/>
        <v>45</v>
      </c>
      <c r="M128" s="80">
        <v>0</v>
      </c>
      <c r="N128" s="80">
        <f>55-M128</f>
        <v>55</v>
      </c>
      <c r="O128" s="80">
        <f>55-N128-M128</f>
        <v>0</v>
      </c>
      <c r="P128" s="30">
        <f t="shared" si="162"/>
        <v>40</v>
      </c>
      <c r="Q128" s="80">
        <v>0</v>
      </c>
      <c r="R128" s="80">
        <f>74-Q128</f>
        <v>74</v>
      </c>
      <c r="S128" s="80">
        <v>74</v>
      </c>
      <c r="T128" s="30"/>
      <c r="U128" s="30">
        <f t="shared" si="163"/>
        <v>127</v>
      </c>
      <c r="V128" s="30">
        <f t="shared" si="164"/>
        <v>126</v>
      </c>
      <c r="W128" s="30">
        <f t="shared" si="165"/>
        <v>100</v>
      </c>
      <c r="X128" s="30">
        <f t="shared" si="166"/>
        <v>100</v>
      </c>
      <c r="Y128" s="30">
        <f t="shared" si="167"/>
        <v>95</v>
      </c>
      <c r="Z128" s="30">
        <f t="shared" si="168"/>
        <v>95</v>
      </c>
      <c r="AA128" s="30">
        <f t="shared" si="169"/>
        <v>114</v>
      </c>
      <c r="AB128" s="30">
        <f t="shared" si="170"/>
        <v>188</v>
      </c>
      <c r="AC128" s="62"/>
      <c r="AD128" s="73">
        <f t="shared" si="171"/>
        <v>0.87999999999999989</v>
      </c>
    </row>
    <row r="129" spans="2:30" ht="12.75" customHeight="1">
      <c r="B129" s="82" t="s">
        <v>172</v>
      </c>
      <c r="C129" s="80">
        <v>-1635</v>
      </c>
      <c r="D129" s="80">
        <v>-3373</v>
      </c>
      <c r="E129" s="80">
        <v>-4199</v>
      </c>
      <c r="F129" s="80">
        <v>-5002</v>
      </c>
      <c r="G129" s="80">
        <v>-6047</v>
      </c>
      <c r="I129" s="80">
        <v>-1432</v>
      </c>
      <c r="J129" s="80">
        <f>-2961-I129</f>
        <v>-1529</v>
      </c>
      <c r="K129" s="80">
        <f>-4395-J129-I129</f>
        <v>-1434</v>
      </c>
      <c r="L129" s="30">
        <f t="shared" ref="L129:L132" si="172">SUM(F129-SUM(I129:K129))</f>
        <v>-607</v>
      </c>
      <c r="M129" s="80">
        <v>-1501</v>
      </c>
      <c r="N129" s="80">
        <f>-3002-M129</f>
        <v>-1501</v>
      </c>
      <c r="O129" s="80">
        <f>-4778-N129-M129</f>
        <v>-1776</v>
      </c>
      <c r="P129" s="30">
        <f t="shared" ref="P129:P132" si="173">SUM(G129-SUM(M129:O129))</f>
        <v>-1269</v>
      </c>
      <c r="Q129" s="80">
        <v>-1500</v>
      </c>
      <c r="R129" s="80">
        <f>-3051-Q129</f>
        <v>-1551</v>
      </c>
      <c r="S129" s="80">
        <f>-4551-R129-Q129</f>
        <v>-1500</v>
      </c>
      <c r="T129" s="30"/>
      <c r="U129" s="30">
        <f t="shared" ref="U129:U133" si="174">SUM(I129:L129)</f>
        <v>-5002</v>
      </c>
      <c r="V129" s="30">
        <f t="shared" ref="V129:V133" si="175">SUM(J129:M129)</f>
        <v>-5071</v>
      </c>
      <c r="W129" s="30">
        <f t="shared" ref="W129:W133" si="176">SUM(K129:N129)</f>
        <v>-5043</v>
      </c>
      <c r="X129" s="30">
        <f t="shared" ref="X129:X133" si="177">SUM(L129:O129)</f>
        <v>-5385</v>
      </c>
      <c r="Y129" s="30">
        <f t="shared" ref="Y129:Y133" si="178">SUM(M129:P129)</f>
        <v>-6047</v>
      </c>
      <c r="Z129" s="30">
        <f t="shared" ref="Z129:Z133" si="179">SUM(N129:Q129)</f>
        <v>-6046</v>
      </c>
      <c r="AA129" s="30">
        <f t="shared" ref="AA129:AA133" si="180">SUM(O129:R129)</f>
        <v>-6096</v>
      </c>
      <c r="AB129" s="30">
        <f t="shared" ref="AB129:AB133" si="181">SUM(P129:S129)</f>
        <v>-5820</v>
      </c>
      <c r="AC129" s="62"/>
      <c r="AD129" s="73">
        <f t="shared" ref="AD129:AD133" si="182">SUM(AB129/X129)-1</f>
        <v>8.0779944289693484E-2</v>
      </c>
    </row>
    <row r="130" spans="2:30" ht="12.75" customHeight="1">
      <c r="B130" s="82" t="s">
        <v>173</v>
      </c>
      <c r="C130" s="80">
        <v>-521</v>
      </c>
      <c r="D130" s="80">
        <v>-1036</v>
      </c>
      <c r="E130" s="80">
        <v>-336</v>
      </c>
      <c r="F130" s="80">
        <v>-257</v>
      </c>
      <c r="G130" s="80">
        <v>-351</v>
      </c>
      <c r="I130" s="80">
        <v>-149</v>
      </c>
      <c r="J130" s="80">
        <f>-200-I130</f>
        <v>-51</v>
      </c>
      <c r="K130" s="80">
        <f>-225-J130-I130</f>
        <v>-25</v>
      </c>
      <c r="L130" s="30">
        <f t="shared" si="172"/>
        <v>-32</v>
      </c>
      <c r="M130" s="80">
        <v>-167</v>
      </c>
      <c r="N130" s="80">
        <f>-230-M130</f>
        <v>-63</v>
      </c>
      <c r="O130" s="80">
        <f>-271-N130-M130</f>
        <v>-41</v>
      </c>
      <c r="P130" s="30">
        <f t="shared" si="173"/>
        <v>-80</v>
      </c>
      <c r="Q130" s="80">
        <v>-277</v>
      </c>
      <c r="R130" s="80">
        <f>-249-Q130</f>
        <v>28</v>
      </c>
      <c r="S130" s="80">
        <f>-317-R130-Q130</f>
        <v>-68</v>
      </c>
      <c r="T130" s="30"/>
      <c r="U130" s="30">
        <f t="shared" si="174"/>
        <v>-257</v>
      </c>
      <c r="V130" s="30">
        <f t="shared" si="175"/>
        <v>-275</v>
      </c>
      <c r="W130" s="30">
        <f t="shared" si="176"/>
        <v>-287</v>
      </c>
      <c r="X130" s="30">
        <f t="shared" si="177"/>
        <v>-303</v>
      </c>
      <c r="Y130" s="30">
        <f t="shared" si="178"/>
        <v>-351</v>
      </c>
      <c r="Z130" s="30">
        <f t="shared" si="179"/>
        <v>-461</v>
      </c>
      <c r="AA130" s="30">
        <f t="shared" si="180"/>
        <v>-370</v>
      </c>
      <c r="AB130" s="30">
        <f t="shared" si="181"/>
        <v>-397</v>
      </c>
      <c r="AC130" s="62"/>
      <c r="AD130" s="73">
        <f t="shared" si="182"/>
        <v>0.31023102310231021</v>
      </c>
    </row>
    <row r="131" spans="2:30" ht="12.75" customHeight="1">
      <c r="B131" s="82" t="s">
        <v>174</v>
      </c>
      <c r="C131" s="80">
        <v>6966</v>
      </c>
      <c r="D131" s="80">
        <v>272</v>
      </c>
      <c r="E131" s="80">
        <v>3475</v>
      </c>
      <c r="F131" s="80">
        <v>1528</v>
      </c>
      <c r="G131" s="80">
        <v>1546</v>
      </c>
      <c r="I131" s="80">
        <v>72</v>
      </c>
      <c r="J131" s="80">
        <f>720-I131</f>
        <v>648</v>
      </c>
      <c r="K131" s="80">
        <f>829-J131-I131</f>
        <v>109</v>
      </c>
      <c r="L131" s="30">
        <f t="shared" si="172"/>
        <v>699</v>
      </c>
      <c r="M131" s="80">
        <v>115</v>
      </c>
      <c r="N131" s="80">
        <f>1414-M131</f>
        <v>1299</v>
      </c>
      <c r="O131" s="80">
        <f>1546-N131-M131</f>
        <v>132</v>
      </c>
      <c r="P131" s="30">
        <f t="shared" si="173"/>
        <v>0</v>
      </c>
      <c r="Q131" s="80">
        <v>1491</v>
      </c>
      <c r="R131" s="80">
        <f>1491-Q131</f>
        <v>0</v>
      </c>
      <c r="S131" s="80">
        <f>2237-R131-Q131</f>
        <v>746</v>
      </c>
      <c r="T131" s="30"/>
      <c r="U131" s="30">
        <f t="shared" si="174"/>
        <v>1528</v>
      </c>
      <c r="V131" s="30">
        <f t="shared" si="175"/>
        <v>1571</v>
      </c>
      <c r="W131" s="30">
        <f t="shared" si="176"/>
        <v>2222</v>
      </c>
      <c r="X131" s="30">
        <f t="shared" si="177"/>
        <v>2245</v>
      </c>
      <c r="Y131" s="30">
        <f t="shared" si="178"/>
        <v>1546</v>
      </c>
      <c r="Z131" s="30">
        <f t="shared" si="179"/>
        <v>2922</v>
      </c>
      <c r="AA131" s="30">
        <f t="shared" si="180"/>
        <v>1623</v>
      </c>
      <c r="AB131" s="30">
        <f t="shared" si="181"/>
        <v>2237</v>
      </c>
      <c r="AC131" s="62"/>
      <c r="AD131" s="73">
        <f t="shared" si="182"/>
        <v>-3.5634743875277985E-3</v>
      </c>
    </row>
    <row r="132" spans="2:30" ht="12.75" customHeight="1">
      <c r="B132" s="82" t="s">
        <v>175</v>
      </c>
      <c r="C132" s="80">
        <v>-3000</v>
      </c>
      <c r="D132" s="80">
        <v>-361</v>
      </c>
      <c r="E132" s="80">
        <v>-1686</v>
      </c>
      <c r="F132" s="80">
        <v>-1053</v>
      </c>
      <c r="G132" s="80">
        <v>-1661</v>
      </c>
      <c r="I132" s="80">
        <v>-5</v>
      </c>
      <c r="J132" s="80">
        <f>-942-I132</f>
        <v>-937</v>
      </c>
      <c r="K132" s="80">
        <f>-942-J132-I132</f>
        <v>0</v>
      </c>
      <c r="L132" s="30">
        <f t="shared" si="172"/>
        <v>-111</v>
      </c>
      <c r="M132" s="80">
        <v>-359</v>
      </c>
      <c r="N132" s="80">
        <f>-411-M132</f>
        <v>-52</v>
      </c>
      <c r="O132" s="80">
        <f>-411-N132-M132</f>
        <v>0</v>
      </c>
      <c r="P132" s="30">
        <f t="shared" si="173"/>
        <v>-1250</v>
      </c>
      <c r="Q132" s="80">
        <v>0</v>
      </c>
      <c r="R132" s="80">
        <f>-1207-Q132</f>
        <v>-1207</v>
      </c>
      <c r="S132" s="80">
        <f>-1954-R132-Q132</f>
        <v>-747</v>
      </c>
      <c r="T132" s="30"/>
      <c r="U132" s="30">
        <f t="shared" si="174"/>
        <v>-1053</v>
      </c>
      <c r="V132" s="30">
        <f t="shared" si="175"/>
        <v>-1407</v>
      </c>
      <c r="W132" s="30">
        <f t="shared" si="176"/>
        <v>-522</v>
      </c>
      <c r="X132" s="30">
        <f t="shared" si="177"/>
        <v>-522</v>
      </c>
      <c r="Y132" s="30">
        <f t="shared" si="178"/>
        <v>-1661</v>
      </c>
      <c r="Z132" s="30">
        <f t="shared" si="179"/>
        <v>-1302</v>
      </c>
      <c r="AA132" s="30">
        <f t="shared" si="180"/>
        <v>-2457</v>
      </c>
      <c r="AB132" s="30">
        <f t="shared" si="181"/>
        <v>-3204</v>
      </c>
      <c r="AC132" s="62"/>
      <c r="AD132" s="73">
        <f t="shared" si="182"/>
        <v>5.1379310344827589</v>
      </c>
    </row>
    <row r="133" spans="2:30" ht="12.75" customHeight="1">
      <c r="B133" s="82" t="s">
        <v>130</v>
      </c>
      <c r="C133" s="80">
        <v>10597</v>
      </c>
      <c r="D133" s="80">
        <v>3572</v>
      </c>
      <c r="E133" s="80">
        <v>1405</v>
      </c>
      <c r="F133" s="80">
        <v>1861</v>
      </c>
      <c r="G133" s="80">
        <v>-1954</v>
      </c>
      <c r="I133" s="80">
        <v>-1139</v>
      </c>
      <c r="J133" s="80">
        <f>-2578-I133</f>
        <v>-1439</v>
      </c>
      <c r="K133" s="80">
        <f>-1277-J133-I133</f>
        <v>1301</v>
      </c>
      <c r="L133" s="30">
        <f t="shared" si="161"/>
        <v>3138</v>
      </c>
      <c r="M133" s="80">
        <v>-483</v>
      </c>
      <c r="N133" s="80">
        <f>-38-M133</f>
        <v>445</v>
      </c>
      <c r="O133" s="80">
        <f>-771-N133-M133</f>
        <v>-733</v>
      </c>
      <c r="P133" s="30">
        <f t="shared" si="162"/>
        <v>-1183</v>
      </c>
      <c r="Q133" s="80">
        <v>1417</v>
      </c>
      <c r="R133" s="80">
        <f>913-Q133</f>
        <v>-504</v>
      </c>
      <c r="S133" s="80">
        <f>663-R133-Q133</f>
        <v>-250</v>
      </c>
      <c r="T133" s="30"/>
      <c r="U133" s="30">
        <f t="shared" si="163"/>
        <v>1861</v>
      </c>
      <c r="V133" s="30">
        <f t="shared" si="164"/>
        <v>2517</v>
      </c>
      <c r="W133" s="30">
        <f t="shared" si="165"/>
        <v>4401</v>
      </c>
      <c r="X133" s="30">
        <f t="shared" si="166"/>
        <v>2367</v>
      </c>
      <c r="Y133" s="30">
        <f t="shared" si="167"/>
        <v>-1954</v>
      </c>
      <c r="Z133" s="30">
        <f t="shared" si="168"/>
        <v>-54</v>
      </c>
      <c r="AA133" s="30">
        <f t="shared" si="169"/>
        <v>-1003</v>
      </c>
      <c r="AB133" s="30">
        <f t="shared" si="170"/>
        <v>-520</v>
      </c>
      <c r="AC133" s="62"/>
      <c r="AD133" s="73">
        <f t="shared" si="171"/>
        <v>-1.2196873679763414</v>
      </c>
    </row>
    <row r="134" spans="2:30" ht="12.75" customHeight="1">
      <c r="B134" s="82" t="s">
        <v>176</v>
      </c>
      <c r="C134" s="80">
        <v>-38</v>
      </c>
      <c r="D134" s="80">
        <v>207</v>
      </c>
      <c r="E134" s="80">
        <v>-6</v>
      </c>
      <c r="F134" s="80">
        <v>-197</v>
      </c>
      <c r="G134" s="80">
        <v>156</v>
      </c>
      <c r="I134" s="80">
        <v>-129</v>
      </c>
      <c r="J134" s="80">
        <f>-175-I134</f>
        <v>-46</v>
      </c>
      <c r="K134" s="80">
        <f>-65-J134-I134</f>
        <v>110</v>
      </c>
      <c r="L134" s="30">
        <f>SUM(F134-SUM(I134:K134))</f>
        <v>-132</v>
      </c>
      <c r="M134" s="80">
        <v>33</v>
      </c>
      <c r="N134" s="80">
        <f>70-M134</f>
        <v>37</v>
      </c>
      <c r="O134" s="80">
        <f>-1-N134-M134</f>
        <v>-71</v>
      </c>
      <c r="P134" s="30">
        <f>SUM(G134-SUM(M134:O134))</f>
        <v>157</v>
      </c>
      <c r="Q134" s="80">
        <v>-135</v>
      </c>
      <c r="R134" s="80">
        <f>-145-Q134</f>
        <v>-10</v>
      </c>
      <c r="S134" s="80">
        <f>-155-R134-Q134</f>
        <v>-10</v>
      </c>
      <c r="T134" s="30"/>
      <c r="U134" s="30">
        <f>SUM(I134:L134)</f>
        <v>-197</v>
      </c>
      <c r="V134" s="30">
        <f>SUM(J134:M134)</f>
        <v>-35</v>
      </c>
      <c r="W134" s="30">
        <f>SUM(K134:N134)</f>
        <v>48</v>
      </c>
      <c r="X134" s="30">
        <f>SUM(L134:O134)</f>
        <v>-133</v>
      </c>
      <c r="Y134" s="30">
        <f>SUM(M134:P134)</f>
        <v>156</v>
      </c>
      <c r="Z134" s="30">
        <f>SUM(N134:Q134)</f>
        <v>-12</v>
      </c>
      <c r="AA134" s="30">
        <f>SUM(O134:R134)</f>
        <v>-59</v>
      </c>
      <c r="AB134" s="30">
        <f>SUM(P134:S134)</f>
        <v>2</v>
      </c>
      <c r="AC134" s="62"/>
      <c r="AD134" s="73">
        <f t="shared" ref="AD134" si="183">SUM(AB134/X134)-1</f>
        <v>-1.0150375939849625</v>
      </c>
    </row>
    <row r="135" spans="2:30" ht="12.75" customHeight="1">
      <c r="B135" s="82" t="s">
        <v>155</v>
      </c>
      <c r="C135" s="80">
        <v>-52</v>
      </c>
      <c r="D135" s="80">
        <v>0</v>
      </c>
      <c r="E135" s="80">
        <v>1</v>
      </c>
      <c r="F135" s="80">
        <v>0</v>
      </c>
      <c r="G135" s="80">
        <v>-60</v>
      </c>
      <c r="I135" s="80">
        <v>0</v>
      </c>
      <c r="J135" s="80">
        <v>0</v>
      </c>
      <c r="K135" s="80">
        <v>0</v>
      </c>
      <c r="L135" s="30">
        <f>SUM(F135-SUM(I135:K135))</f>
        <v>0</v>
      </c>
      <c r="M135" s="80">
        <v>0</v>
      </c>
      <c r="N135" s="80">
        <f>-20-M135</f>
        <v>-20</v>
      </c>
      <c r="O135" s="80">
        <f>-60-N135-M135</f>
        <v>-40</v>
      </c>
      <c r="P135" s="30">
        <f>SUM(G135-SUM(M135:O135))</f>
        <v>0</v>
      </c>
      <c r="Q135" s="80">
        <v>-2</v>
      </c>
      <c r="R135" s="80">
        <f>-6-Q135</f>
        <v>-4</v>
      </c>
      <c r="S135" s="80">
        <f>-6-R135-Q135</f>
        <v>0</v>
      </c>
      <c r="T135" s="30"/>
      <c r="U135" s="30">
        <f>SUM(I135:L135)</f>
        <v>0</v>
      </c>
      <c r="V135" s="30">
        <f>SUM(J135:M135)</f>
        <v>0</v>
      </c>
      <c r="W135" s="30">
        <f>SUM(K135:N135)</f>
        <v>-20</v>
      </c>
      <c r="X135" s="30">
        <f>SUM(L135:O135)</f>
        <v>-60</v>
      </c>
      <c r="Y135" s="30">
        <f>SUM(M135:P135)</f>
        <v>-60</v>
      </c>
      <c r="Z135" s="30">
        <f>SUM(N135:Q135)</f>
        <v>-62</v>
      </c>
      <c r="AA135" s="30">
        <f>SUM(O135:R135)</f>
        <v>-46</v>
      </c>
      <c r="AB135" s="30">
        <f>SUM(P135:S135)</f>
        <v>-6</v>
      </c>
      <c r="AC135" s="62"/>
      <c r="AD135" s="73">
        <f t="shared" si="160"/>
        <v>-0.9</v>
      </c>
    </row>
    <row r="136" spans="2:30" ht="12.75" customHeight="1">
      <c r="B136" s="13" t="s">
        <v>52</v>
      </c>
      <c r="C136" s="14">
        <f t="shared" ref="C136:G136" si="184">SUM(C126:C135)</f>
        <v>12454</v>
      </c>
      <c r="D136" s="14">
        <f t="shared" si="184"/>
        <v>-557</v>
      </c>
      <c r="E136" s="14">
        <f t="shared" si="184"/>
        <v>-1203</v>
      </c>
      <c r="F136" s="14">
        <f t="shared" si="184"/>
        <v>-2993</v>
      </c>
      <c r="G136" s="14">
        <f t="shared" si="184"/>
        <v>-8276</v>
      </c>
      <c r="I136" s="14">
        <f t="shared" ref="I136:S136" si="185">SUM(I126:I135)</f>
        <v>-2781</v>
      </c>
      <c r="J136" s="14">
        <f t="shared" si="185"/>
        <v>-3273</v>
      </c>
      <c r="K136" s="14">
        <f t="shared" si="185"/>
        <v>61</v>
      </c>
      <c r="L136" s="14">
        <f t="shared" si="185"/>
        <v>3000</v>
      </c>
      <c r="M136" s="14">
        <f t="shared" si="185"/>
        <v>-2362</v>
      </c>
      <c r="N136" s="14">
        <f t="shared" si="185"/>
        <v>200</v>
      </c>
      <c r="O136" s="14">
        <f t="shared" si="185"/>
        <v>-2529</v>
      </c>
      <c r="P136" s="14">
        <f t="shared" si="185"/>
        <v>-3585</v>
      </c>
      <c r="Q136" s="14">
        <f t="shared" si="185"/>
        <v>994</v>
      </c>
      <c r="R136" s="14">
        <f t="shared" si="185"/>
        <v>-3174</v>
      </c>
      <c r="S136" s="14">
        <f t="shared" si="185"/>
        <v>-1755</v>
      </c>
      <c r="U136" s="14">
        <f t="shared" ref="U136:AB136" si="186">SUM(U126:U135)</f>
        <v>-2993</v>
      </c>
      <c r="V136" s="14">
        <f t="shared" si="186"/>
        <v>-2574</v>
      </c>
      <c r="W136" s="14">
        <f t="shared" si="186"/>
        <v>899</v>
      </c>
      <c r="X136" s="14">
        <f t="shared" si="186"/>
        <v>-1691</v>
      </c>
      <c r="Y136" s="14">
        <f t="shared" si="186"/>
        <v>-8276</v>
      </c>
      <c r="Z136" s="14">
        <f t="shared" si="186"/>
        <v>-4920</v>
      </c>
      <c r="AA136" s="14">
        <f t="shared" si="186"/>
        <v>-8294</v>
      </c>
      <c r="AB136" s="14">
        <f t="shared" si="186"/>
        <v>-7520</v>
      </c>
      <c r="AC136" s="40"/>
      <c r="AD136" s="74">
        <f t="shared" si="160"/>
        <v>3.4470727380248372</v>
      </c>
    </row>
    <row r="137" spans="2:30" ht="5.0999999999999996" customHeight="1">
      <c r="B137" s="69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  <c r="Z137" s="30"/>
      <c r="AA137" s="30"/>
      <c r="AB137" s="30"/>
      <c r="AC137" s="11"/>
      <c r="AD137" s="43"/>
    </row>
    <row r="138" spans="2:30">
      <c r="B138" s="90" t="s">
        <v>77</v>
      </c>
      <c r="C138" s="160">
        <v>15743</v>
      </c>
      <c r="D138" s="91">
        <f t="shared" ref="D138:G138" si="187">C145</f>
        <v>4794</v>
      </c>
      <c r="E138" s="91">
        <f t="shared" si="187"/>
        <v>5197</v>
      </c>
      <c r="F138" s="91">
        <f t="shared" si="187"/>
        <v>7776</v>
      </c>
      <c r="G138" s="91">
        <f t="shared" si="187"/>
        <v>9081</v>
      </c>
      <c r="H138" s="91"/>
      <c r="I138" s="91">
        <f>F138</f>
        <v>7776</v>
      </c>
      <c r="J138" s="91">
        <f t="shared" ref="J138:S138" si="188">I145</f>
        <v>7101</v>
      </c>
      <c r="K138" s="91">
        <f t="shared" si="188"/>
        <v>5504</v>
      </c>
      <c r="L138" s="91">
        <f t="shared" si="188"/>
        <v>6816</v>
      </c>
      <c r="M138" s="91">
        <f t="shared" si="188"/>
        <v>9081</v>
      </c>
      <c r="N138" s="91">
        <f t="shared" si="188"/>
        <v>9693</v>
      </c>
      <c r="O138" s="91">
        <f t="shared" si="188"/>
        <v>7701</v>
      </c>
      <c r="P138" s="91">
        <f t="shared" si="188"/>
        <v>7272</v>
      </c>
      <c r="Q138" s="91">
        <f t="shared" si="188"/>
        <v>6561</v>
      </c>
      <c r="R138" s="91">
        <f t="shared" si="188"/>
        <v>7449</v>
      </c>
      <c r="S138" s="91">
        <f t="shared" si="188"/>
        <v>6588</v>
      </c>
      <c r="T138" s="91"/>
      <c r="U138" s="91">
        <f>L138</f>
        <v>6816</v>
      </c>
      <c r="V138" s="91">
        <f t="shared" ref="V138:AB139" si="189">M138</f>
        <v>9081</v>
      </c>
      <c r="W138" s="91">
        <f t="shared" si="189"/>
        <v>9693</v>
      </c>
      <c r="X138" s="91">
        <f t="shared" si="189"/>
        <v>7701</v>
      </c>
      <c r="Y138" s="91">
        <f t="shared" si="189"/>
        <v>7272</v>
      </c>
      <c r="Z138" s="91">
        <f t="shared" si="189"/>
        <v>6561</v>
      </c>
      <c r="AA138" s="91">
        <f t="shared" si="189"/>
        <v>7449</v>
      </c>
      <c r="AB138" s="138">
        <f t="shared" si="189"/>
        <v>6588</v>
      </c>
      <c r="AC138" s="11"/>
      <c r="AD138" s="43"/>
    </row>
    <row r="139" spans="2:30">
      <c r="B139" s="128" t="s">
        <v>90</v>
      </c>
      <c r="C139" s="80">
        <v>0</v>
      </c>
      <c r="D139" s="30">
        <f t="shared" ref="D139:G139" si="190">-C143</f>
        <v>13246</v>
      </c>
      <c r="E139" s="30">
        <f t="shared" si="190"/>
        <v>12832</v>
      </c>
      <c r="F139" s="30">
        <f t="shared" si="190"/>
        <v>11380</v>
      </c>
      <c r="G139" s="30">
        <f t="shared" si="190"/>
        <v>12753</v>
      </c>
      <c r="H139" s="30"/>
      <c r="I139" s="30">
        <f>F139</f>
        <v>11380</v>
      </c>
      <c r="J139" s="30">
        <f t="shared" ref="J139:S139" si="191">-I143</f>
        <v>10593</v>
      </c>
      <c r="K139" s="30">
        <f t="shared" si="191"/>
        <v>10111</v>
      </c>
      <c r="L139" s="30">
        <f t="shared" si="191"/>
        <v>9767</v>
      </c>
      <c r="M139" s="30">
        <f t="shared" si="191"/>
        <v>12753</v>
      </c>
      <c r="N139" s="30">
        <f t="shared" si="191"/>
        <v>12582</v>
      </c>
      <c r="O139" s="30">
        <f t="shared" si="191"/>
        <v>11657</v>
      </c>
      <c r="P139" s="30">
        <f t="shared" si="191"/>
        <v>14162</v>
      </c>
      <c r="Q139" s="30">
        <f t="shared" si="191"/>
        <v>15829</v>
      </c>
      <c r="R139" s="30">
        <f t="shared" si="191"/>
        <v>13532</v>
      </c>
      <c r="S139" s="30">
        <f t="shared" si="191"/>
        <v>12292</v>
      </c>
      <c r="T139" s="30"/>
      <c r="U139" s="30">
        <f>L139</f>
        <v>9767</v>
      </c>
      <c r="V139" s="30">
        <f t="shared" si="189"/>
        <v>12753</v>
      </c>
      <c r="W139" s="30">
        <f t="shared" si="189"/>
        <v>12582</v>
      </c>
      <c r="X139" s="30">
        <f t="shared" si="189"/>
        <v>11657</v>
      </c>
      <c r="Y139" s="30">
        <f t="shared" si="189"/>
        <v>14162</v>
      </c>
      <c r="Z139" s="30">
        <f t="shared" si="189"/>
        <v>15829</v>
      </c>
      <c r="AA139" s="30">
        <f t="shared" si="189"/>
        <v>13532</v>
      </c>
      <c r="AB139" s="132">
        <f t="shared" si="189"/>
        <v>12292</v>
      </c>
      <c r="AC139" s="11"/>
      <c r="AD139" s="43"/>
    </row>
    <row r="140" spans="2:30">
      <c r="B140" s="143" t="s">
        <v>65</v>
      </c>
      <c r="C140" s="144">
        <f t="shared" ref="C140" si="192">SUM(C138:C139)</f>
        <v>15743</v>
      </c>
      <c r="D140" s="144">
        <f t="shared" ref="D140:G140" si="193">SUM(D138:D139)</f>
        <v>18040</v>
      </c>
      <c r="E140" s="144">
        <f t="shared" si="193"/>
        <v>18029</v>
      </c>
      <c r="F140" s="144">
        <f t="shared" si="193"/>
        <v>19156</v>
      </c>
      <c r="G140" s="144">
        <f t="shared" si="193"/>
        <v>21834</v>
      </c>
      <c r="H140" s="30"/>
      <c r="I140" s="144">
        <f t="shared" ref="I140:S140" si="194">SUM(I138:I139)</f>
        <v>19156</v>
      </c>
      <c r="J140" s="144">
        <f t="shared" si="194"/>
        <v>17694</v>
      </c>
      <c r="K140" s="144">
        <f t="shared" si="194"/>
        <v>15615</v>
      </c>
      <c r="L140" s="144">
        <f t="shared" si="194"/>
        <v>16583</v>
      </c>
      <c r="M140" s="144">
        <f t="shared" si="194"/>
        <v>21834</v>
      </c>
      <c r="N140" s="144">
        <f t="shared" si="194"/>
        <v>22275</v>
      </c>
      <c r="O140" s="144">
        <f t="shared" si="194"/>
        <v>19358</v>
      </c>
      <c r="P140" s="144">
        <f t="shared" si="194"/>
        <v>21434</v>
      </c>
      <c r="Q140" s="144">
        <f t="shared" si="194"/>
        <v>22390</v>
      </c>
      <c r="R140" s="144">
        <f t="shared" si="194"/>
        <v>20981</v>
      </c>
      <c r="S140" s="144">
        <f t="shared" si="194"/>
        <v>18880</v>
      </c>
      <c r="T140" s="30"/>
      <c r="U140" s="131">
        <f t="shared" ref="U140:AB140" si="195">SUM(U138:U139)</f>
        <v>16583</v>
      </c>
      <c r="V140" s="131">
        <f t="shared" si="195"/>
        <v>21834</v>
      </c>
      <c r="W140" s="131">
        <f t="shared" si="195"/>
        <v>22275</v>
      </c>
      <c r="X140" s="144">
        <f t="shared" si="195"/>
        <v>19358</v>
      </c>
      <c r="Y140" s="144">
        <f t="shared" si="195"/>
        <v>21434</v>
      </c>
      <c r="Z140" s="144">
        <f t="shared" si="195"/>
        <v>22390</v>
      </c>
      <c r="AA140" s="144">
        <f t="shared" si="195"/>
        <v>20981</v>
      </c>
      <c r="AB140" s="145">
        <f t="shared" si="195"/>
        <v>18880</v>
      </c>
      <c r="AC140" s="11"/>
      <c r="AD140" s="43"/>
    </row>
    <row r="141" spans="2:30" ht="5.0999999999999996" customHeight="1">
      <c r="B141" s="135"/>
      <c r="C141" s="69"/>
      <c r="D141" s="69"/>
      <c r="E141" s="69"/>
      <c r="F141" s="69"/>
      <c r="G141" s="69"/>
      <c r="H141" s="30"/>
      <c r="I141" s="69"/>
      <c r="J141" s="69"/>
      <c r="K141" s="69"/>
      <c r="L141" s="69"/>
      <c r="M141" s="69"/>
      <c r="N141" s="69"/>
      <c r="O141" s="69"/>
      <c r="P141" s="69"/>
      <c r="Q141" s="69"/>
      <c r="R141" s="69"/>
      <c r="S141" s="69"/>
      <c r="T141" s="30"/>
      <c r="U141" s="69"/>
      <c r="V141" s="69"/>
      <c r="W141" s="69"/>
      <c r="X141" s="69"/>
      <c r="Y141" s="69"/>
      <c r="Z141" s="69"/>
      <c r="AA141" s="69"/>
      <c r="AB141" s="133"/>
      <c r="AC141" s="11"/>
      <c r="AD141" s="43"/>
    </row>
    <row r="142" spans="2:30">
      <c r="B142" s="128" t="s">
        <v>78</v>
      </c>
      <c r="C142" s="80">
        <v>169</v>
      </c>
      <c r="D142" s="80">
        <v>-102</v>
      </c>
      <c r="E142" s="80">
        <v>-155</v>
      </c>
      <c r="F142" s="80">
        <v>76</v>
      </c>
      <c r="G142" s="80">
        <v>-207</v>
      </c>
      <c r="H142" s="30"/>
      <c r="I142" s="80">
        <v>-4</v>
      </c>
      <c r="J142" s="80">
        <f>-50-I142</f>
        <v>-46</v>
      </c>
      <c r="K142" s="80">
        <f>-95-J142-I142</f>
        <v>-45</v>
      </c>
      <c r="L142" s="30">
        <f>SUM(F142-SUM(I142:K142))</f>
        <v>171</v>
      </c>
      <c r="M142" s="80">
        <v>-94</v>
      </c>
      <c r="N142" s="80">
        <f>-89-M142</f>
        <v>5</v>
      </c>
      <c r="O142" s="80">
        <f>103-N142-M142</f>
        <v>192</v>
      </c>
      <c r="P142" s="30">
        <f>SUM(G142-SUM(M142:O142))</f>
        <v>-310</v>
      </c>
      <c r="Q142" s="80">
        <v>94</v>
      </c>
      <c r="R142" s="80">
        <f>289-Q142</f>
        <v>195</v>
      </c>
      <c r="S142" s="80">
        <f>245-R142-Q142</f>
        <v>-44</v>
      </c>
      <c r="T142" s="30"/>
      <c r="U142" s="30">
        <f t="shared" ref="U142:U144" si="196">L142</f>
        <v>171</v>
      </c>
      <c r="V142" s="30">
        <f t="shared" ref="V142:V144" si="197">M142</f>
        <v>-94</v>
      </c>
      <c r="W142" s="30">
        <f t="shared" ref="W142:W144" si="198">N142</f>
        <v>5</v>
      </c>
      <c r="X142" s="30">
        <f t="shared" ref="X142:X144" si="199">O142</f>
        <v>192</v>
      </c>
      <c r="Y142" s="30">
        <f t="shared" ref="Y142:Y144" si="200">P142</f>
        <v>-310</v>
      </c>
      <c r="Z142" s="30">
        <f t="shared" ref="Z142:Z144" si="201">Q142</f>
        <v>94</v>
      </c>
      <c r="AA142" s="30">
        <f t="shared" ref="AA142:AA144" si="202">R142</f>
        <v>195</v>
      </c>
      <c r="AB142" s="132">
        <f t="shared" ref="AB142:AB144" si="203">S142</f>
        <v>-44</v>
      </c>
      <c r="AC142" s="11"/>
      <c r="AD142" s="43"/>
    </row>
    <row r="143" spans="2:30">
      <c r="B143" s="128" t="s">
        <v>88</v>
      </c>
      <c r="C143" s="80">
        <f>-13222-24</f>
        <v>-13246</v>
      </c>
      <c r="D143" s="80">
        <f>-12723-109</f>
        <v>-12832</v>
      </c>
      <c r="E143" s="80">
        <f>-11363-17</f>
        <v>-11380</v>
      </c>
      <c r="F143" s="80">
        <f>-12750-3</f>
        <v>-12753</v>
      </c>
      <c r="G143" s="80">
        <f>-15828-1</f>
        <v>-15829</v>
      </c>
      <c r="H143" s="30"/>
      <c r="I143" s="80">
        <f>-10580-13</f>
        <v>-10593</v>
      </c>
      <c r="J143" s="80">
        <f>-10100-11</f>
        <v>-10111</v>
      </c>
      <c r="K143" s="80">
        <f>-9761-6</f>
        <v>-9767</v>
      </c>
      <c r="L143" s="30">
        <f>F143</f>
        <v>-12753</v>
      </c>
      <c r="M143" s="80">
        <f>-12579-3</f>
        <v>-12582</v>
      </c>
      <c r="N143" s="80">
        <f>-11654-3</f>
        <v>-11657</v>
      </c>
      <c r="O143" s="80">
        <f>-14161-1</f>
        <v>-14162</v>
      </c>
      <c r="P143" s="30">
        <f>G143</f>
        <v>-15829</v>
      </c>
      <c r="Q143" s="80">
        <v>-13532</v>
      </c>
      <c r="R143" s="80">
        <v>-12292</v>
      </c>
      <c r="S143" s="80">
        <v>-14858</v>
      </c>
      <c r="T143" s="30"/>
      <c r="U143" s="30">
        <f t="shared" si="196"/>
        <v>-12753</v>
      </c>
      <c r="V143" s="30">
        <f t="shared" si="197"/>
        <v>-12582</v>
      </c>
      <c r="W143" s="30">
        <f t="shared" si="198"/>
        <v>-11657</v>
      </c>
      <c r="X143" s="30">
        <f t="shared" si="199"/>
        <v>-14162</v>
      </c>
      <c r="Y143" s="30">
        <f t="shared" si="200"/>
        <v>-15829</v>
      </c>
      <c r="Z143" s="30">
        <f t="shared" si="201"/>
        <v>-13532</v>
      </c>
      <c r="AA143" s="30">
        <f t="shared" si="202"/>
        <v>-12292</v>
      </c>
      <c r="AB143" s="132">
        <f t="shared" si="203"/>
        <v>-14858</v>
      </c>
      <c r="AC143" s="11"/>
      <c r="AD143" s="43"/>
    </row>
    <row r="144" spans="2:30">
      <c r="B144" s="128" t="s">
        <v>56</v>
      </c>
      <c r="C144" s="30">
        <f>+C136+C123+C108</f>
        <v>2128</v>
      </c>
      <c r="D144" s="30">
        <f>+D136+D123+D108</f>
        <v>91</v>
      </c>
      <c r="E144" s="30">
        <f>+E136+E123+E108</f>
        <v>1282</v>
      </c>
      <c r="F144" s="30">
        <f>+F136+F123+F108</f>
        <v>2602</v>
      </c>
      <c r="G144" s="30">
        <f>+G136+G123+G108</f>
        <v>763</v>
      </c>
      <c r="H144" s="30"/>
      <c r="I144" s="30">
        <f>+I136+I123+I108</f>
        <v>-1458</v>
      </c>
      <c r="J144" s="30">
        <f>+J136+J123+J108</f>
        <v>-2033</v>
      </c>
      <c r="K144" s="30">
        <f>+K136+K123+K108</f>
        <v>1013</v>
      </c>
      <c r="L144" s="30">
        <f>+L136+L123+L108</f>
        <v>5080</v>
      </c>
      <c r="M144" s="30">
        <f>+M136+M123+M108</f>
        <v>535</v>
      </c>
      <c r="N144" s="30">
        <f>+N136+N123+N108</f>
        <v>-2922</v>
      </c>
      <c r="O144" s="30">
        <f>+O136+O123+O108</f>
        <v>1884</v>
      </c>
      <c r="P144" s="30">
        <f>+P136+P123+P108</f>
        <v>1266</v>
      </c>
      <c r="Q144" s="30">
        <f>+Q136+Q123+Q108</f>
        <v>-1503</v>
      </c>
      <c r="R144" s="30">
        <f>+R136+R123+R108</f>
        <v>-2296</v>
      </c>
      <c r="S144" s="30">
        <f>+S136+S123+S108</f>
        <v>4991</v>
      </c>
      <c r="T144" s="30"/>
      <c r="U144" s="30">
        <f t="shared" si="196"/>
        <v>5080</v>
      </c>
      <c r="V144" s="30">
        <f t="shared" si="197"/>
        <v>535</v>
      </c>
      <c r="W144" s="30">
        <f t="shared" si="198"/>
        <v>-2922</v>
      </c>
      <c r="X144" s="30">
        <f t="shared" si="199"/>
        <v>1884</v>
      </c>
      <c r="Y144" s="30">
        <f t="shared" si="200"/>
        <v>1266</v>
      </c>
      <c r="Z144" s="30">
        <f t="shared" si="201"/>
        <v>-1503</v>
      </c>
      <c r="AA144" s="30">
        <f t="shared" si="202"/>
        <v>-2296</v>
      </c>
      <c r="AB144" s="132">
        <f t="shared" si="203"/>
        <v>4991</v>
      </c>
      <c r="AC144" s="11"/>
      <c r="AD144" s="43"/>
    </row>
    <row r="145" spans="2:30">
      <c r="B145" s="87" t="s">
        <v>66</v>
      </c>
      <c r="C145" s="144">
        <f t="shared" ref="C145:G145" si="204">SUM(C140:C144)</f>
        <v>4794</v>
      </c>
      <c r="D145" s="144">
        <f t="shared" si="204"/>
        <v>5197</v>
      </c>
      <c r="E145" s="144">
        <f t="shared" si="204"/>
        <v>7776</v>
      </c>
      <c r="F145" s="144">
        <f t="shared" si="204"/>
        <v>9081</v>
      </c>
      <c r="G145" s="144">
        <f t="shared" si="204"/>
        <v>6561</v>
      </c>
      <c r="H145" s="30"/>
      <c r="I145" s="144">
        <f t="shared" ref="I145:S145" si="205">SUM(I140:I144)</f>
        <v>7101</v>
      </c>
      <c r="J145" s="144">
        <f t="shared" si="205"/>
        <v>5504</v>
      </c>
      <c r="K145" s="144">
        <f t="shared" si="205"/>
        <v>6816</v>
      </c>
      <c r="L145" s="144">
        <f t="shared" si="205"/>
        <v>9081</v>
      </c>
      <c r="M145" s="144">
        <f t="shared" si="205"/>
        <v>9693</v>
      </c>
      <c r="N145" s="144">
        <f t="shared" si="205"/>
        <v>7701</v>
      </c>
      <c r="O145" s="144">
        <f t="shared" si="205"/>
        <v>7272</v>
      </c>
      <c r="P145" s="144">
        <f t="shared" si="205"/>
        <v>6561</v>
      </c>
      <c r="Q145" s="144">
        <f t="shared" si="205"/>
        <v>7449</v>
      </c>
      <c r="R145" s="144">
        <f t="shared" si="205"/>
        <v>6588</v>
      </c>
      <c r="S145" s="144">
        <f t="shared" si="205"/>
        <v>8969</v>
      </c>
      <c r="T145" s="30"/>
      <c r="U145" s="131">
        <f t="shared" ref="U145:AB145" si="206">SUM(U140:U144)</f>
        <v>9081</v>
      </c>
      <c r="V145" s="131">
        <f t="shared" si="206"/>
        <v>9693</v>
      </c>
      <c r="W145" s="131">
        <f t="shared" si="206"/>
        <v>7701</v>
      </c>
      <c r="X145" s="144">
        <f t="shared" si="206"/>
        <v>7272</v>
      </c>
      <c r="Y145" s="144">
        <f t="shared" si="206"/>
        <v>6561</v>
      </c>
      <c r="Z145" s="144">
        <f t="shared" si="206"/>
        <v>7449</v>
      </c>
      <c r="AA145" s="144">
        <f t="shared" si="206"/>
        <v>6588</v>
      </c>
      <c r="AB145" s="145">
        <f t="shared" si="206"/>
        <v>8969</v>
      </c>
      <c r="AC145" s="11"/>
      <c r="AD145" s="43"/>
    </row>
    <row r="146" spans="2:30" ht="5.0999999999999996" customHeight="1">
      <c r="B146" s="88"/>
      <c r="C146" s="63"/>
      <c r="D146" s="63"/>
      <c r="E146" s="63"/>
      <c r="F146" s="63"/>
      <c r="G146" s="63"/>
      <c r="H146" s="30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U146" s="11"/>
      <c r="V146" s="11"/>
      <c r="W146" s="11"/>
      <c r="X146" s="11"/>
      <c r="Y146" s="11"/>
      <c r="Z146" s="11"/>
      <c r="AA146" s="11"/>
      <c r="AB146" s="89"/>
      <c r="AC146" s="11"/>
      <c r="AD146" s="43"/>
    </row>
    <row r="147" spans="2:30">
      <c r="B147" s="136" t="s">
        <v>81</v>
      </c>
      <c r="C147" s="85">
        <f>ROUND(C145-C42,1)</f>
        <v>0</v>
      </c>
      <c r="D147" s="85">
        <f>ROUND(D145-D42,1)</f>
        <v>0</v>
      </c>
      <c r="E147" s="85">
        <f>ROUND(E145-E42,1)</f>
        <v>0</v>
      </c>
      <c r="F147" s="85">
        <f>ROUND(F145-F42,1)</f>
        <v>0</v>
      </c>
      <c r="G147" s="85">
        <f>ROUND(G145-G42,1)</f>
        <v>0</v>
      </c>
      <c r="H147" s="86"/>
      <c r="I147" s="85">
        <f>I145-I42</f>
        <v>0</v>
      </c>
      <c r="J147" s="85">
        <f>J145-J42</f>
        <v>0</v>
      </c>
      <c r="K147" s="85">
        <f>K145-K42</f>
        <v>0</v>
      </c>
      <c r="L147" s="85">
        <f>L145-L42</f>
        <v>0</v>
      </c>
      <c r="M147" s="85">
        <f>M145-M42</f>
        <v>0</v>
      </c>
      <c r="N147" s="85">
        <f>N145-N42</f>
        <v>0</v>
      </c>
      <c r="O147" s="85">
        <f>O145-O42</f>
        <v>0</v>
      </c>
      <c r="P147" s="85">
        <f>P145-P42</f>
        <v>0</v>
      </c>
      <c r="Q147" s="85">
        <f>Q145-Q42</f>
        <v>0</v>
      </c>
      <c r="R147" s="85">
        <f>R145-R42</f>
        <v>-100</v>
      </c>
      <c r="S147" s="85">
        <f>S145-S42</f>
        <v>-26</v>
      </c>
      <c r="T147" s="85"/>
      <c r="U147" s="85">
        <f>U145-U42</f>
        <v>0</v>
      </c>
      <c r="V147" s="85">
        <f>V145-V42</f>
        <v>0</v>
      </c>
      <c r="W147" s="85">
        <f>W145-W42</f>
        <v>0</v>
      </c>
      <c r="X147" s="85">
        <f>X145-X42</f>
        <v>0</v>
      </c>
      <c r="Y147" s="85">
        <f>Y145-Y42</f>
        <v>0</v>
      </c>
      <c r="Z147" s="85">
        <f>Z145-Z42</f>
        <v>0</v>
      </c>
      <c r="AA147" s="85">
        <f>AA145-AA42</f>
        <v>-100</v>
      </c>
      <c r="AB147" s="134">
        <f>AB145-AB42</f>
        <v>-26</v>
      </c>
      <c r="AC147" s="11"/>
      <c r="AD147" s="43"/>
    </row>
    <row r="148" spans="2:30" ht="5.0999999999999996" customHeight="1">
      <c r="B148" s="8"/>
      <c r="C148" s="63"/>
      <c r="D148" s="63"/>
      <c r="E148" s="63"/>
      <c r="F148" s="63"/>
      <c r="G148" s="63"/>
      <c r="H148" s="30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U148" s="11"/>
      <c r="V148" s="11"/>
      <c r="W148" s="11"/>
      <c r="X148" s="11"/>
      <c r="Y148" s="11"/>
      <c r="Z148" s="11"/>
      <c r="AA148" s="11"/>
      <c r="AB148" s="11"/>
      <c r="AC148" s="11"/>
      <c r="AD148" s="43"/>
    </row>
    <row r="149" spans="2:30" ht="12.75" customHeight="1">
      <c r="B149" s="70" t="s">
        <v>57</v>
      </c>
      <c r="C149" s="60"/>
      <c r="D149" s="60"/>
      <c r="E149" s="60"/>
      <c r="F149" s="60"/>
      <c r="G149" s="60"/>
      <c r="H149" s="11"/>
      <c r="I149" s="60"/>
      <c r="J149" s="60"/>
      <c r="K149" s="60"/>
      <c r="L149" s="60"/>
      <c r="M149" s="60"/>
      <c r="N149" s="60"/>
      <c r="O149" s="60"/>
      <c r="P149" s="60"/>
      <c r="Q149" s="80"/>
      <c r="R149" s="60"/>
      <c r="S149" s="60"/>
      <c r="U149" s="60"/>
      <c r="V149" s="60"/>
      <c r="W149" s="60"/>
      <c r="X149" s="60"/>
      <c r="Y149" s="60"/>
      <c r="Z149" s="60"/>
      <c r="AA149" s="60"/>
      <c r="AB149" s="60"/>
      <c r="AC149" s="64"/>
      <c r="AD149" s="43"/>
    </row>
    <row r="150" spans="2:30" ht="12.75" customHeight="1">
      <c r="B150" s="8" t="s">
        <v>89</v>
      </c>
      <c r="C150" s="80">
        <v>190</v>
      </c>
      <c r="D150" s="80">
        <v>231</v>
      </c>
      <c r="E150" s="80">
        <v>280</v>
      </c>
      <c r="F150" s="80">
        <v>331</v>
      </c>
      <c r="G150" s="80">
        <v>366</v>
      </c>
      <c r="H150" s="11"/>
      <c r="I150" s="80">
        <v>2</v>
      </c>
      <c r="J150" s="80">
        <f>167-I150</f>
        <v>165</v>
      </c>
      <c r="K150" s="80">
        <f>167-J150-I150</f>
        <v>0</v>
      </c>
      <c r="L150" s="30">
        <f>SUM(F150-SUM(I150:K150))</f>
        <v>164</v>
      </c>
      <c r="M150" s="80">
        <v>2</v>
      </c>
      <c r="N150" s="80">
        <f>166-M150</f>
        <v>164</v>
      </c>
      <c r="O150" s="80">
        <f>168-N150-M150</f>
        <v>2</v>
      </c>
      <c r="P150" s="30">
        <f>SUM(G150-SUM(M150:O150))</f>
        <v>198</v>
      </c>
      <c r="Q150" s="80">
        <v>2</v>
      </c>
      <c r="R150" s="80">
        <f>191-Q150</f>
        <v>189</v>
      </c>
      <c r="S150" s="80">
        <v>210</v>
      </c>
      <c r="U150" s="30">
        <f>SUM(I150:L150)</f>
        <v>331</v>
      </c>
      <c r="V150" s="30">
        <f>SUM(J150:M150)</f>
        <v>331</v>
      </c>
      <c r="W150" s="30">
        <f>SUM(K150:N150)</f>
        <v>330</v>
      </c>
      <c r="X150" s="30">
        <f>SUM(L150:O150)</f>
        <v>332</v>
      </c>
      <c r="Y150" s="30">
        <f>SUM(M150:P150)</f>
        <v>366</v>
      </c>
      <c r="Z150" s="30">
        <f>SUM(N150:Q150)</f>
        <v>366</v>
      </c>
      <c r="AA150" s="30">
        <f>SUM(O150:R150)</f>
        <v>391</v>
      </c>
      <c r="AB150" s="30">
        <f>SUM(P150:S150)</f>
        <v>599</v>
      </c>
      <c r="AC150" s="64"/>
      <c r="AD150" s="43"/>
    </row>
    <row r="151" spans="2:30" ht="12.75" customHeight="1">
      <c r="B151" s="8" t="s">
        <v>101</v>
      </c>
      <c r="C151" s="80">
        <v>565</v>
      </c>
      <c r="D151" s="80">
        <v>474</v>
      </c>
      <c r="E151" s="80">
        <v>878</v>
      </c>
      <c r="F151" s="80">
        <v>2118</v>
      </c>
      <c r="G151" s="80">
        <v>1027</v>
      </c>
      <c r="H151" s="30"/>
      <c r="I151" s="80">
        <v>495</v>
      </c>
      <c r="J151" s="80">
        <f>906-I151</f>
        <v>411</v>
      </c>
      <c r="K151" s="80">
        <f>1058-J151-I151</f>
        <v>152</v>
      </c>
      <c r="L151" s="30">
        <f>SUM(F151-SUM(I151:K151))</f>
        <v>1060</v>
      </c>
      <c r="M151" s="80">
        <v>83</v>
      </c>
      <c r="N151" s="80">
        <f>822-M151</f>
        <v>739</v>
      </c>
      <c r="O151" s="80">
        <f>975-N151-M151</f>
        <v>153</v>
      </c>
      <c r="P151" s="30">
        <f>SUM(G151-SUM(M151:O151))</f>
        <v>52</v>
      </c>
      <c r="Q151" s="80">
        <v>95</v>
      </c>
      <c r="R151" s="80">
        <f>837-Q151</f>
        <v>742</v>
      </c>
      <c r="S151" s="80">
        <v>1033</v>
      </c>
      <c r="T151" s="30"/>
      <c r="U151" s="30">
        <f>SUM(I151:L151)</f>
        <v>2118</v>
      </c>
      <c r="V151" s="30">
        <f>SUM(J151:M151)</f>
        <v>1706</v>
      </c>
      <c r="W151" s="30">
        <f>SUM(K151:N151)</f>
        <v>2034</v>
      </c>
      <c r="X151" s="30">
        <f>SUM(L151:O151)</f>
        <v>2035</v>
      </c>
      <c r="Y151" s="30">
        <f>SUM(M151:P151)</f>
        <v>1027</v>
      </c>
      <c r="Z151" s="30">
        <f>SUM(N151:Q151)</f>
        <v>1039</v>
      </c>
      <c r="AA151" s="30">
        <f>SUM(O151:R151)</f>
        <v>1042</v>
      </c>
      <c r="AB151" s="30">
        <f>SUM(P151:S151)</f>
        <v>1922</v>
      </c>
      <c r="AC151" s="11"/>
      <c r="AD151" s="43"/>
    </row>
    <row r="152" spans="2:30" ht="5.0999999999999996" customHeight="1" thickBot="1">
      <c r="B152" s="71"/>
      <c r="C152" s="72"/>
      <c r="D152" s="72"/>
      <c r="E152" s="72"/>
      <c r="F152" s="72"/>
      <c r="G152" s="72"/>
      <c r="H152" s="71"/>
      <c r="I152" s="71"/>
      <c r="J152" s="71"/>
      <c r="K152" s="71"/>
      <c r="L152" s="71"/>
      <c r="M152" s="71"/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 s="71"/>
      <c r="Z152" s="71"/>
      <c r="AA152" s="71"/>
      <c r="AB152" s="71"/>
      <c r="AD152" s="43"/>
    </row>
    <row r="153" spans="2:30" ht="12.75" customHeight="1">
      <c r="B153" s="51"/>
      <c r="C153" s="65"/>
      <c r="D153" s="65"/>
      <c r="E153" s="65"/>
      <c r="F153" s="65"/>
      <c r="G153" s="65"/>
    </row>
    <row r="154" spans="2:30" ht="12.75" customHeight="1">
      <c r="C154" s="54"/>
      <c r="D154" s="54"/>
      <c r="E154" s="54"/>
      <c r="F154" s="54"/>
      <c r="G154" s="54"/>
    </row>
    <row r="155" spans="2:30" ht="12.75" customHeight="1"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</row>
    <row r="156" spans="2:30" ht="12.75" customHeight="1"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</row>
    <row r="157" spans="2:30" ht="12.75" customHeight="1"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</row>
    <row r="158" spans="2:30" ht="12.75" customHeight="1"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</row>
    <row r="159" spans="2:30" ht="12.75" customHeight="1"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84"/>
    </row>
    <row r="160" spans="2:30" ht="12.75" customHeight="1"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</row>
    <row r="161" spans="3:14" ht="12.75" customHeight="1"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84"/>
    </row>
    <row r="162" spans="3:14">
      <c r="E162" s="54"/>
      <c r="F162" s="54"/>
      <c r="G162" s="54"/>
      <c r="H162" s="54"/>
      <c r="I162" s="54"/>
      <c r="J162" s="54"/>
      <c r="K162" s="54"/>
      <c r="L162" s="54"/>
      <c r="M162" s="54"/>
      <c r="N162" s="84"/>
    </row>
    <row r="163" spans="3:14">
      <c r="E163" s="54"/>
      <c r="F163" s="54"/>
      <c r="G163" s="54"/>
      <c r="H163" s="54"/>
      <c r="I163" s="54"/>
      <c r="J163" s="54"/>
      <c r="K163" s="54"/>
      <c r="L163" s="54"/>
      <c r="M163" s="54"/>
      <c r="N163" s="84"/>
    </row>
    <row r="164" spans="3:14">
      <c r="E164" s="54"/>
      <c r="F164" s="54"/>
      <c r="G164" s="54"/>
      <c r="H164" s="54"/>
      <c r="I164" s="54"/>
      <c r="J164" s="54"/>
      <c r="K164" s="54"/>
      <c r="L164" s="54"/>
      <c r="M164" s="54"/>
    </row>
    <row r="165" spans="3:14">
      <c r="E165" s="54"/>
      <c r="F165" s="54"/>
      <c r="G165" s="54"/>
      <c r="H165" s="54"/>
      <c r="I165" s="54"/>
      <c r="J165" s="54"/>
      <c r="K165" s="54"/>
      <c r="L165" s="54"/>
      <c r="M165" s="54"/>
      <c r="N165" s="84"/>
    </row>
    <row r="166" spans="3:14">
      <c r="E166" s="54"/>
      <c r="F166" s="54"/>
      <c r="G166" s="54"/>
      <c r="H166" s="54"/>
      <c r="I166" s="54"/>
      <c r="J166" s="54"/>
      <c r="K166" s="54"/>
      <c r="L166" s="54"/>
      <c r="M166" s="54"/>
      <c r="N166" s="84"/>
    </row>
    <row r="167" spans="3:14">
      <c r="E167" s="54"/>
      <c r="F167" s="54"/>
      <c r="G167" s="54"/>
      <c r="H167" s="54"/>
      <c r="I167" s="54"/>
      <c r="J167" s="54"/>
      <c r="K167" s="54"/>
      <c r="L167" s="54"/>
      <c r="M167" s="54"/>
    </row>
    <row r="168" spans="3:14">
      <c r="E168" s="54"/>
      <c r="F168" s="54"/>
      <c r="G168" s="54"/>
      <c r="H168" s="54"/>
      <c r="I168" s="54"/>
      <c r="J168" s="54"/>
      <c r="K168" s="54"/>
      <c r="L168" s="54"/>
      <c r="M168" s="54"/>
    </row>
  </sheetData>
  <mergeCells count="3">
    <mergeCell ref="AD6:AD8"/>
    <mergeCell ref="AD37:AD39"/>
    <mergeCell ref="AD85:AD87"/>
  </mergeCells>
  <pageMargins left="0.7" right="0.7" top="0.75" bottom="0.75" header="0.3" footer="0.3"/>
  <ignoredErrors>
    <ignoredError sqref="AA29 H49 U21:Y22 U25:Y25" formulaRange="1"/>
    <ignoredError sqref="D21:G22 I21:S22 I25:S25 D25:G25 AB124:AD125 AB108:AD109 I29:S29 D29:G29 AB110:AC110 AC123:AD123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B26"/>
  <sheetViews>
    <sheetView showGridLines="0" zoomScale="115" zoomScaleNormal="115" workbookViewId="0">
      <selection activeCell="F11" sqref="F11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4" width="8.625" style="8" hidden="1" customWidth="1" outlineLevel="1"/>
    <col min="5" max="5" width="8.625" style="8" bestFit="1" customWidth="1" collapsed="1"/>
    <col min="6" max="7" width="8.625" style="8" bestFit="1" customWidth="1"/>
    <col min="8" max="8" width="1.5" style="8" customWidth="1"/>
    <col min="9" max="10" width="8" style="8" hidden="1" customWidth="1" outlineLevel="1"/>
    <col min="11" max="12" width="8.75" style="8" hidden="1" customWidth="1" outlineLevel="1"/>
    <col min="13" max="13" width="8.5" style="8" hidden="1" customWidth="1" outlineLevel="1"/>
    <col min="14" max="14" width="8.25" style="8" hidden="1" customWidth="1" outlineLevel="1"/>
    <col min="15" max="15" width="8.5" style="8" bestFit="1" customWidth="1" collapsed="1"/>
    <col min="16" max="19" width="9.125" style="8" bestFit="1" customWidth="1"/>
    <col min="20" max="20" width="1.5" style="8" customWidth="1"/>
    <col min="21" max="23" width="8.75" style="8" hidden="1" customWidth="1" outlineLevel="1"/>
    <col min="24" max="24" width="8.75" style="8" customWidth="1" collapsed="1"/>
    <col min="25" max="27" width="8.75" style="8" hidden="1" customWidth="1" outlineLevel="1"/>
    <col min="28" max="28" width="8.75" style="8" customWidth="1" collapsed="1"/>
    <col min="29" max="16384" width="9" style="8"/>
  </cols>
  <sheetData>
    <row r="2" spans="1:28" s="5" customFormat="1" ht="12.75" customHeight="1">
      <c r="B2" s="1" t="str">
        <f>'Historical Financials'!B2</f>
        <v>PayPal Holdings Inc (NASDAQ: PYPL)</v>
      </c>
      <c r="C2" s="2" t="s">
        <v>0</v>
      </c>
      <c r="D2" s="2"/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/>
      <c r="V2" s="2"/>
      <c r="W2" s="2"/>
      <c r="X2" s="2" t="s">
        <v>10</v>
      </c>
      <c r="Y2" s="2"/>
      <c r="Z2" s="2"/>
      <c r="AA2" s="2"/>
      <c r="AB2" s="2"/>
    </row>
    <row r="3" spans="1:28" s="5" customFormat="1" ht="12.75" customHeight="1">
      <c r="B3" s="6" t="s">
        <v>61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1Q23</v>
      </c>
      <c r="J3" s="7" t="str">
        <f>'Historical Financials'!J7</f>
        <v>2Q23</v>
      </c>
      <c r="K3" s="7" t="str">
        <f>'Historical Financials'!K7</f>
        <v>3Q23</v>
      </c>
      <c r="L3" s="7" t="str">
        <f>'Historical Financials'!L7</f>
        <v>4Q23</v>
      </c>
      <c r="M3" s="7" t="str">
        <f>'Historical Financials'!M7</f>
        <v>1Q24</v>
      </c>
      <c r="N3" s="7" t="str">
        <f>'Historical Financials'!N7</f>
        <v>2Q24</v>
      </c>
      <c r="O3" s="7" t="str">
        <f>'Historical Financials'!O7</f>
        <v>3Q24</v>
      </c>
      <c r="P3" s="7" t="str">
        <f>'Historical Financials'!P7</f>
        <v>4Q24</v>
      </c>
      <c r="Q3" s="7" t="str">
        <f>'Historical Financials'!Q7</f>
        <v>1Q25</v>
      </c>
      <c r="R3" s="7" t="str">
        <f>'Historical Financials'!R7</f>
        <v>2Q25</v>
      </c>
      <c r="S3" s="7" t="str">
        <f>'Historical Financials'!S7</f>
        <v>3Q25</v>
      </c>
      <c r="T3" s="4"/>
      <c r="U3" s="4" t="str">
        <f>L3</f>
        <v>4Q23</v>
      </c>
      <c r="V3" s="4" t="str">
        <f>M3</f>
        <v>1Q24</v>
      </c>
      <c r="W3" s="4" t="str">
        <f>N3</f>
        <v>2Q24</v>
      </c>
      <c r="X3" s="4" t="str">
        <f>O3</f>
        <v>3Q24</v>
      </c>
      <c r="Y3" s="4" t="str">
        <f>P3</f>
        <v>4Q24</v>
      </c>
      <c r="Z3" s="4" t="str">
        <f>Q3</f>
        <v>1Q25</v>
      </c>
      <c r="AA3" s="4" t="str">
        <f>R3</f>
        <v>2Q25</v>
      </c>
      <c r="AB3" s="4" t="str">
        <f>S3</f>
        <v>3Q25</v>
      </c>
    </row>
    <row r="4" spans="1:28" s="5" customFormat="1" ht="12.75" customHeight="1">
      <c r="B4" s="6" t="s">
        <v>109</v>
      </c>
      <c r="C4" s="3">
        <f>'Historical Financials'!C8</f>
        <v>44196</v>
      </c>
      <c r="D4" s="3">
        <f>'Historical Financials'!D8</f>
        <v>44561</v>
      </c>
      <c r="E4" s="3">
        <f>'Historical Financials'!E8</f>
        <v>44926</v>
      </c>
      <c r="F4" s="3">
        <f>'Historical Financials'!F8</f>
        <v>45291</v>
      </c>
      <c r="G4" s="3">
        <f>'Historical Financials'!G8</f>
        <v>45657</v>
      </c>
      <c r="H4" s="3"/>
      <c r="I4" s="3">
        <f>'Historical Financials'!I8</f>
        <v>45016</v>
      </c>
      <c r="J4" s="3">
        <f>'Historical Financials'!J8</f>
        <v>45107</v>
      </c>
      <c r="K4" s="3">
        <f>'Historical Financials'!K8</f>
        <v>45199</v>
      </c>
      <c r="L4" s="3">
        <f>'Historical Financials'!L8</f>
        <v>45291</v>
      </c>
      <c r="M4" s="3">
        <f>'Historical Financials'!M8</f>
        <v>45382</v>
      </c>
      <c r="N4" s="3">
        <f>'Historical Financials'!N8</f>
        <v>45473</v>
      </c>
      <c r="O4" s="3">
        <f>'Historical Financials'!O8</f>
        <v>45565</v>
      </c>
      <c r="P4" s="3">
        <f>'Historical Financials'!P8</f>
        <v>45657</v>
      </c>
      <c r="Q4" s="3">
        <f>'Historical Financials'!Q8</f>
        <v>45747</v>
      </c>
      <c r="R4" s="3">
        <f>'Historical Financials'!R8</f>
        <v>45838</v>
      </c>
      <c r="S4" s="3">
        <f>'Historical Financials'!S8</f>
        <v>45930</v>
      </c>
      <c r="T4" s="3"/>
      <c r="U4" s="3">
        <f>L4</f>
        <v>45291</v>
      </c>
      <c r="V4" s="3">
        <f>M4</f>
        <v>45382</v>
      </c>
      <c r="W4" s="3">
        <f>N4</f>
        <v>45473</v>
      </c>
      <c r="X4" s="3">
        <f>O4</f>
        <v>45565</v>
      </c>
      <c r="Y4" s="3">
        <f>P4</f>
        <v>45657</v>
      </c>
      <c r="Z4" s="3">
        <f>Q4</f>
        <v>45747</v>
      </c>
      <c r="AA4" s="3">
        <f>R4</f>
        <v>45838</v>
      </c>
      <c r="AB4" s="3">
        <f>S4</f>
        <v>45930</v>
      </c>
    </row>
    <row r="5" spans="1:28" ht="5.0999999999999996" customHeight="1"/>
    <row r="6" spans="1:28">
      <c r="A6" s="34" t="s">
        <v>15</v>
      </c>
      <c r="B6" s="1" t="s">
        <v>110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5.0999999999999996" customHeight="1"/>
    <row r="8" spans="1:28" ht="12.75" customHeight="1">
      <c r="A8" s="78" t="s">
        <v>15</v>
      </c>
      <c r="B8" s="76" t="s">
        <v>111</v>
      </c>
      <c r="C8" s="10"/>
      <c r="D8" s="10"/>
      <c r="E8" s="10"/>
      <c r="F8" s="10"/>
      <c r="G8" s="10"/>
      <c r="H8" s="10"/>
      <c r="I8" s="93"/>
      <c r="J8" s="93"/>
      <c r="K8" s="93"/>
      <c r="L8" s="30"/>
      <c r="M8" s="93"/>
      <c r="N8" s="93"/>
      <c r="O8" s="93"/>
      <c r="P8" s="30"/>
      <c r="Q8" s="93"/>
      <c r="R8" s="93"/>
      <c r="S8" s="93"/>
      <c r="T8" s="5"/>
      <c r="U8" s="11"/>
      <c r="V8" s="11"/>
      <c r="W8" s="11"/>
      <c r="X8" s="11"/>
      <c r="Y8" s="11"/>
      <c r="Z8" s="11"/>
      <c r="AA8" s="11"/>
      <c r="AB8" s="11"/>
    </row>
    <row r="9" spans="1:28" ht="12.75" customHeight="1">
      <c r="A9" s="78"/>
      <c r="B9" s="9" t="s">
        <v>115</v>
      </c>
      <c r="C9" s="79">
        <v>19918</v>
      </c>
      <c r="D9" s="79">
        <v>23402</v>
      </c>
      <c r="E9" s="79">
        <v>25206</v>
      </c>
      <c r="F9" s="79">
        <v>26857</v>
      </c>
      <c r="G9" s="79">
        <v>28842</v>
      </c>
      <c r="H9" s="10"/>
      <c r="I9" s="79">
        <v>6364</v>
      </c>
      <c r="J9" s="79">
        <v>6556</v>
      </c>
      <c r="K9" s="79">
        <v>6654</v>
      </c>
      <c r="L9" s="30">
        <f>SUM(F9-SUM(I9:K9))</f>
        <v>7283</v>
      </c>
      <c r="M9" s="79">
        <v>7034</v>
      </c>
      <c r="N9" s="79">
        <v>7153</v>
      </c>
      <c r="O9" s="79">
        <v>7067</v>
      </c>
      <c r="P9" s="30">
        <f>SUM(G9-SUM(M9:O9))</f>
        <v>7588</v>
      </c>
      <c r="Q9" s="79">
        <v>7016</v>
      </c>
      <c r="R9" s="79">
        <v>7441</v>
      </c>
      <c r="S9" s="79">
        <v>7522</v>
      </c>
      <c r="T9" s="5"/>
      <c r="U9" s="30">
        <f t="shared" ref="U9:AA9" si="0">SUM(I9:L9)</f>
        <v>26857</v>
      </c>
      <c r="V9" s="30">
        <f t="shared" si="0"/>
        <v>27527</v>
      </c>
      <c r="W9" s="30">
        <f t="shared" si="0"/>
        <v>28124</v>
      </c>
      <c r="X9" s="30">
        <f t="shared" si="0"/>
        <v>28537</v>
      </c>
      <c r="Y9" s="30">
        <f t="shared" si="0"/>
        <v>28842</v>
      </c>
      <c r="Z9" s="30">
        <f t="shared" si="0"/>
        <v>28824</v>
      </c>
      <c r="AA9" s="30">
        <f t="shared" si="0"/>
        <v>29112</v>
      </c>
      <c r="AB9" s="30">
        <f>SUM(P9:S9)</f>
        <v>29567</v>
      </c>
    </row>
    <row r="10" spans="1:28">
      <c r="B10" s="9" t="s">
        <v>116</v>
      </c>
      <c r="C10" s="79">
        <v>1536</v>
      </c>
      <c r="D10" s="79">
        <v>1969</v>
      </c>
      <c r="E10" s="79">
        <v>2312</v>
      </c>
      <c r="F10" s="79">
        <v>2914</v>
      </c>
      <c r="G10" s="79">
        <v>2955</v>
      </c>
      <c r="H10" s="79"/>
      <c r="I10" s="79">
        <v>676</v>
      </c>
      <c r="J10" s="79">
        <v>731</v>
      </c>
      <c r="K10" s="79">
        <v>764</v>
      </c>
      <c r="L10" s="30">
        <f>SUM(F10-SUM(I10:K10))</f>
        <v>743</v>
      </c>
      <c r="M10" s="79">
        <v>665</v>
      </c>
      <c r="N10" s="79">
        <v>732</v>
      </c>
      <c r="O10" s="79">
        <v>780</v>
      </c>
      <c r="P10" s="30">
        <f>SUM(G10-SUM(M10:O10))</f>
        <v>778</v>
      </c>
      <c r="Q10" s="79">
        <v>775</v>
      </c>
      <c r="R10" s="79">
        <v>847</v>
      </c>
      <c r="S10" s="79">
        <v>895</v>
      </c>
      <c r="T10" s="5"/>
      <c r="U10" s="30">
        <f t="shared" ref="U10" si="1">SUM(I10:L10)</f>
        <v>2914</v>
      </c>
      <c r="V10" s="30">
        <f t="shared" ref="V10" si="2">SUM(J10:M10)</f>
        <v>2903</v>
      </c>
      <c r="W10" s="30">
        <f t="shared" ref="W10" si="3">SUM(K10:N10)</f>
        <v>2904</v>
      </c>
      <c r="X10" s="30">
        <f t="shared" ref="X10" si="4">SUM(L10:O10)</f>
        <v>2920</v>
      </c>
      <c r="Y10" s="30">
        <f t="shared" ref="Y10" si="5">SUM(M10:P10)</f>
        <v>2955</v>
      </c>
      <c r="Z10" s="30">
        <f t="shared" ref="Z10" si="6">SUM(N10:Q10)</f>
        <v>3065</v>
      </c>
      <c r="AA10" s="30">
        <f t="shared" ref="AA10" si="7">SUM(O10:R10)</f>
        <v>3180</v>
      </c>
      <c r="AB10" s="30">
        <f>SUM(P10:S10)</f>
        <v>3295</v>
      </c>
    </row>
    <row r="11" spans="1:28">
      <c r="B11" s="13" t="s">
        <v>62</v>
      </c>
      <c r="C11" s="14">
        <f t="shared" ref="C11:G11" si="8">SUM(C9:C10)</f>
        <v>21454</v>
      </c>
      <c r="D11" s="14">
        <f t="shared" si="8"/>
        <v>25371</v>
      </c>
      <c r="E11" s="14">
        <f t="shared" si="8"/>
        <v>27518</v>
      </c>
      <c r="F11" s="14">
        <f t="shared" si="8"/>
        <v>29771</v>
      </c>
      <c r="G11" s="14">
        <f t="shared" si="8"/>
        <v>31797</v>
      </c>
      <c r="H11" s="11"/>
      <c r="I11" s="14">
        <f t="shared" ref="I11:S11" si="9">SUM(I9:I10)</f>
        <v>7040</v>
      </c>
      <c r="J11" s="14">
        <f t="shared" si="9"/>
        <v>7287</v>
      </c>
      <c r="K11" s="14">
        <f t="shared" si="9"/>
        <v>7418</v>
      </c>
      <c r="L11" s="14">
        <f t="shared" si="9"/>
        <v>8026</v>
      </c>
      <c r="M11" s="14">
        <f t="shared" si="9"/>
        <v>7699</v>
      </c>
      <c r="N11" s="14">
        <f t="shared" si="9"/>
        <v>7885</v>
      </c>
      <c r="O11" s="14">
        <f t="shared" si="9"/>
        <v>7847</v>
      </c>
      <c r="P11" s="14">
        <f t="shared" si="9"/>
        <v>8366</v>
      </c>
      <c r="Q11" s="14">
        <f t="shared" si="9"/>
        <v>7791</v>
      </c>
      <c r="R11" s="14">
        <f t="shared" si="9"/>
        <v>8288</v>
      </c>
      <c r="S11" s="14">
        <f t="shared" si="9"/>
        <v>8417</v>
      </c>
      <c r="T11" s="5"/>
      <c r="U11" s="14">
        <f t="shared" ref="U11:AB11" si="10">SUM(U9:U10)</f>
        <v>29771</v>
      </c>
      <c r="V11" s="14">
        <f t="shared" si="10"/>
        <v>30430</v>
      </c>
      <c r="W11" s="14">
        <f t="shared" si="10"/>
        <v>31028</v>
      </c>
      <c r="X11" s="14">
        <f t="shared" si="10"/>
        <v>31457</v>
      </c>
      <c r="Y11" s="14">
        <f t="shared" si="10"/>
        <v>31797</v>
      </c>
      <c r="Z11" s="14">
        <f t="shared" si="10"/>
        <v>31889</v>
      </c>
      <c r="AA11" s="14">
        <f t="shared" si="10"/>
        <v>32292</v>
      </c>
      <c r="AB11" s="14">
        <f t="shared" si="10"/>
        <v>32862</v>
      </c>
    </row>
    <row r="12" spans="1:28" outlineLevel="1">
      <c r="B12" s="129" t="s">
        <v>113</v>
      </c>
      <c r="C12" s="77">
        <f>C11-'Historical Financials'!C11</f>
        <v>0</v>
      </c>
      <c r="D12" s="77">
        <f>D11-'Historical Financials'!D11</f>
        <v>0</v>
      </c>
      <c r="E12" s="77">
        <f>E11-'Historical Financials'!E11</f>
        <v>0</v>
      </c>
      <c r="F12" s="77">
        <f>F11-'Historical Financials'!F11</f>
        <v>0</v>
      </c>
      <c r="G12" s="77">
        <f>G11-'Historical Financials'!G11</f>
        <v>0</v>
      </c>
      <c r="H12" s="11"/>
      <c r="I12" s="77">
        <f>I11-'Historical Financials'!I11</f>
        <v>0</v>
      </c>
      <c r="J12" s="77">
        <f>J11-'Historical Financials'!J11</f>
        <v>0</v>
      </c>
      <c r="K12" s="77">
        <f>K11-'Historical Financials'!K11</f>
        <v>0</v>
      </c>
      <c r="L12" s="77">
        <f>L11-'Historical Financials'!L11</f>
        <v>0</v>
      </c>
      <c r="M12" s="77">
        <f>M11-'Historical Financials'!M11</f>
        <v>0</v>
      </c>
      <c r="N12" s="77">
        <f>N11-'Historical Financials'!N11</f>
        <v>0</v>
      </c>
      <c r="O12" s="77">
        <f>O11-'Historical Financials'!O11</f>
        <v>0</v>
      </c>
      <c r="P12" s="77">
        <f>P11-'Historical Financials'!P11</f>
        <v>0</v>
      </c>
      <c r="Q12" s="77">
        <f>Q11-'Historical Financials'!Q11</f>
        <v>0</v>
      </c>
      <c r="R12" s="77">
        <f>R11-'Historical Financials'!R11</f>
        <v>0</v>
      </c>
      <c r="S12" s="77">
        <f>S11-'Historical Financials'!S11</f>
        <v>0</v>
      </c>
      <c r="T12" s="77"/>
      <c r="U12" s="77">
        <f>U11-'Historical Financials'!U11</f>
        <v>0</v>
      </c>
      <c r="V12" s="77">
        <f>V11-'Historical Financials'!V11</f>
        <v>0</v>
      </c>
      <c r="W12" s="77">
        <f>W11-'Historical Financials'!W11</f>
        <v>0</v>
      </c>
      <c r="X12" s="77">
        <f>X11-'Historical Financials'!X11</f>
        <v>0</v>
      </c>
      <c r="Y12" s="77">
        <f>Y11-'Historical Financials'!Y11</f>
        <v>0</v>
      </c>
      <c r="Z12" s="77">
        <f>Z11-'Historical Financials'!Z11</f>
        <v>0</v>
      </c>
      <c r="AA12" s="77">
        <f>AA11-'Historical Financials'!AA11</f>
        <v>0</v>
      </c>
      <c r="AB12" s="77">
        <f>AB11-'Historical Financials'!AB11</f>
        <v>0</v>
      </c>
    </row>
    <row r="13" spans="1:28">
      <c r="B13" s="18"/>
      <c r="C13" s="19"/>
      <c r="D13" s="19"/>
      <c r="E13" s="19"/>
      <c r="F13" s="19"/>
      <c r="G13" s="19"/>
      <c r="H13" s="20"/>
      <c r="I13" s="21"/>
      <c r="J13" s="21"/>
      <c r="K13" s="21"/>
      <c r="L13" s="22"/>
      <c r="M13" s="21"/>
      <c r="N13" s="21"/>
      <c r="O13" s="21"/>
      <c r="P13" s="21"/>
      <c r="Q13" s="21"/>
      <c r="R13" s="21"/>
      <c r="S13" s="21"/>
      <c r="T13" s="20"/>
      <c r="U13" s="20"/>
      <c r="V13" s="20"/>
      <c r="W13" s="20"/>
      <c r="X13" s="20"/>
      <c r="Y13" s="20"/>
      <c r="Z13" s="20"/>
      <c r="AA13" s="20"/>
      <c r="AB13" s="20"/>
    </row>
    <row r="14" spans="1:28">
      <c r="B14" s="146" t="str">
        <f>B9&amp;"(%)"</f>
        <v>Transaction Revenues(%)</v>
      </c>
      <c r="C14" s="147">
        <f t="shared" ref="C14:G15" si="11">SUM(C9/C$11)</f>
        <v>0.92840495944812151</v>
      </c>
      <c r="D14" s="147">
        <f t="shared" si="11"/>
        <v>0.92239170706712392</v>
      </c>
      <c r="E14" s="147">
        <f t="shared" si="11"/>
        <v>0.91598226615306344</v>
      </c>
      <c r="F14" s="147">
        <f t="shared" si="11"/>
        <v>0.90211951227704812</v>
      </c>
      <c r="G14" s="147">
        <f t="shared" si="11"/>
        <v>0.90706670440607606</v>
      </c>
      <c r="H14" s="148"/>
      <c r="I14" s="147">
        <f t="shared" ref="I14:S14" si="12">SUM(I9/I$11)</f>
        <v>0.90397727272727268</v>
      </c>
      <c r="J14" s="147">
        <f t="shared" si="12"/>
        <v>0.89968436942500341</v>
      </c>
      <c r="K14" s="147">
        <f t="shared" si="12"/>
        <v>0.897007279590186</v>
      </c>
      <c r="L14" s="147">
        <f t="shared" si="12"/>
        <v>0.90742586593570895</v>
      </c>
      <c r="M14" s="147">
        <f t="shared" si="12"/>
        <v>0.91362514612287316</v>
      </c>
      <c r="N14" s="147">
        <f t="shared" si="12"/>
        <v>0.90716550412175012</v>
      </c>
      <c r="O14" s="147">
        <f t="shared" si="12"/>
        <v>0.90059895501465526</v>
      </c>
      <c r="P14" s="147">
        <f t="shared" si="12"/>
        <v>0.90700454219459714</v>
      </c>
      <c r="Q14" s="147">
        <f t="shared" si="12"/>
        <v>0.90052624823514316</v>
      </c>
      <c r="R14" s="147">
        <f t="shared" si="12"/>
        <v>0.89780405405405406</v>
      </c>
      <c r="S14" s="147">
        <f t="shared" si="12"/>
        <v>0.89366757752168235</v>
      </c>
      <c r="T14" s="148"/>
      <c r="U14" s="149">
        <f>L14</f>
        <v>0.90742586593570895</v>
      </c>
      <c r="V14" s="149">
        <f>M14</f>
        <v>0.91362514612287316</v>
      </c>
      <c r="W14" s="149">
        <f>N14</f>
        <v>0.90716550412175012</v>
      </c>
      <c r="X14" s="149">
        <f>O14</f>
        <v>0.90059895501465526</v>
      </c>
      <c r="Y14" s="149">
        <f>P14</f>
        <v>0.90700454219459714</v>
      </c>
      <c r="Z14" s="149">
        <f>Q14</f>
        <v>0.90052624823514316</v>
      </c>
      <c r="AA14" s="149">
        <f>R14</f>
        <v>0.89780405405405406</v>
      </c>
      <c r="AB14" s="150">
        <f>S14</f>
        <v>0.89366757752168235</v>
      </c>
    </row>
    <row r="15" spans="1:28" ht="12.75" customHeight="1">
      <c r="B15" s="151" t="str">
        <f>B10&amp;"(%)"</f>
        <v>Revenues from other VASs(%)</v>
      </c>
      <c r="C15" s="152">
        <f t="shared" si="11"/>
        <v>7.1595040551878444E-2</v>
      </c>
      <c r="D15" s="152">
        <f t="shared" si="11"/>
        <v>7.7608292932876119E-2</v>
      </c>
      <c r="E15" s="152">
        <f t="shared" si="11"/>
        <v>8.4017733846936546E-2</v>
      </c>
      <c r="F15" s="152">
        <f t="shared" si="11"/>
        <v>9.7880487722951867E-2</v>
      </c>
      <c r="G15" s="152">
        <f t="shared" si="11"/>
        <v>9.2933295593923951E-2</v>
      </c>
      <c r="H15" s="153"/>
      <c r="I15" s="152">
        <f t="shared" ref="I15:S15" si="13">SUM(I10/I$11)</f>
        <v>9.6022727272727273E-2</v>
      </c>
      <c r="J15" s="152">
        <f t="shared" si="13"/>
        <v>0.10031563057499657</v>
      </c>
      <c r="K15" s="152">
        <f t="shared" si="13"/>
        <v>0.10299272040981397</v>
      </c>
      <c r="L15" s="152">
        <f t="shared" si="13"/>
        <v>9.2574134064291061E-2</v>
      </c>
      <c r="M15" s="152">
        <f t="shared" si="13"/>
        <v>8.63748538771269E-2</v>
      </c>
      <c r="N15" s="152">
        <f t="shared" si="13"/>
        <v>9.2834495878249837E-2</v>
      </c>
      <c r="O15" s="152">
        <f t="shared" si="13"/>
        <v>9.9401044985344716E-2</v>
      </c>
      <c r="P15" s="152">
        <f t="shared" si="13"/>
        <v>9.2995457805402817E-2</v>
      </c>
      <c r="Q15" s="152">
        <f t="shared" si="13"/>
        <v>9.9473751764856885E-2</v>
      </c>
      <c r="R15" s="152">
        <f t="shared" si="13"/>
        <v>0.10219594594594594</v>
      </c>
      <c r="S15" s="152">
        <f t="shared" si="13"/>
        <v>0.10633242247831769</v>
      </c>
      <c r="T15" s="153"/>
      <c r="U15" s="154">
        <f>L15</f>
        <v>9.2574134064291061E-2</v>
      </c>
      <c r="V15" s="154">
        <f>M15</f>
        <v>8.63748538771269E-2</v>
      </c>
      <c r="W15" s="154">
        <f>N15</f>
        <v>9.2834495878249837E-2</v>
      </c>
      <c r="X15" s="154">
        <f>O15</f>
        <v>9.9401044985344716E-2</v>
      </c>
      <c r="Y15" s="154">
        <f>P15</f>
        <v>9.2995457805402817E-2</v>
      </c>
      <c r="Z15" s="154">
        <f>Q15</f>
        <v>9.9473751764856885E-2</v>
      </c>
      <c r="AA15" s="154">
        <f>R15</f>
        <v>0.10219594594594594</v>
      </c>
      <c r="AB15" s="155">
        <f>S15</f>
        <v>0.10633242247831769</v>
      </c>
    </row>
    <row r="16" spans="1:28">
      <c r="B16" s="18"/>
      <c r="C16" s="19"/>
      <c r="D16" s="19"/>
      <c r="E16" s="19"/>
      <c r="F16" s="19"/>
      <c r="G16" s="19"/>
      <c r="H16" s="20"/>
      <c r="I16" s="21"/>
      <c r="J16" s="21"/>
      <c r="K16" s="21"/>
      <c r="L16" s="22"/>
      <c r="M16" s="21"/>
      <c r="N16" s="21"/>
      <c r="O16" s="21"/>
      <c r="P16" s="21"/>
      <c r="Q16" s="21"/>
      <c r="R16" s="21"/>
      <c r="S16" s="21"/>
      <c r="T16" s="20"/>
      <c r="U16" s="20"/>
      <c r="V16" s="20"/>
      <c r="W16" s="20"/>
      <c r="X16" s="20"/>
      <c r="Y16" s="20"/>
      <c r="Z16" s="20"/>
      <c r="AA16" s="20"/>
      <c r="AB16" s="20"/>
    </row>
    <row r="17" spans="1:28">
      <c r="A17" s="34" t="s">
        <v>15</v>
      </c>
      <c r="B17" s="1" t="s">
        <v>112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 ht="5.0999999999999996" customHeight="1"/>
    <row r="19" spans="1:28" ht="12.75" customHeight="1">
      <c r="A19" s="78" t="s">
        <v>15</v>
      </c>
      <c r="B19" s="76" t="s">
        <v>112</v>
      </c>
      <c r="C19" s="10"/>
      <c r="D19" s="10"/>
      <c r="E19" s="10"/>
      <c r="F19" s="10"/>
      <c r="G19" s="10"/>
      <c r="H19" s="10"/>
      <c r="I19" s="93"/>
      <c r="J19" s="93"/>
      <c r="K19" s="93"/>
      <c r="L19" s="30"/>
      <c r="M19" s="93"/>
      <c r="N19" s="93"/>
      <c r="O19" s="93"/>
      <c r="P19" s="30"/>
      <c r="Q19" s="93"/>
      <c r="R19" s="93"/>
      <c r="S19" s="93"/>
      <c r="T19" s="5"/>
      <c r="U19" s="11"/>
      <c r="V19" s="11"/>
      <c r="W19" s="11"/>
      <c r="X19" s="11"/>
      <c r="Y19" s="11"/>
      <c r="Z19" s="11"/>
      <c r="AA19" s="11"/>
      <c r="AB19" s="11"/>
    </row>
    <row r="20" spans="1:28" ht="12.75" customHeight="1">
      <c r="A20" s="78"/>
      <c r="B20" s="9" t="s">
        <v>117</v>
      </c>
      <c r="C20" s="79">
        <v>11013</v>
      </c>
      <c r="D20" s="79">
        <v>13712</v>
      </c>
      <c r="E20" s="79">
        <v>15807</v>
      </c>
      <c r="F20" s="79">
        <v>17253</v>
      </c>
      <c r="G20" s="79">
        <v>18267</v>
      </c>
      <c r="H20" s="10"/>
      <c r="I20" s="79">
        <v>4147</v>
      </c>
      <c r="J20" s="79">
        <v>4210</v>
      </c>
      <c r="K20" s="79">
        <v>4257</v>
      </c>
      <c r="L20" s="30">
        <f>SUM(F20-SUM(I20:K20))</f>
        <v>4639</v>
      </c>
      <c r="M20" s="79">
        <v>4467</v>
      </c>
      <c r="N20" s="79">
        <v>4550</v>
      </c>
      <c r="O20" s="79">
        <v>4518</v>
      </c>
      <c r="P20" s="30">
        <f>SUM(G20-SUM(M20:O20))</f>
        <v>4732</v>
      </c>
      <c r="Q20" s="79">
        <v>4463</v>
      </c>
      <c r="R20" s="79">
        <v>4709</v>
      </c>
      <c r="S20" s="79">
        <v>4753</v>
      </c>
      <c r="T20" s="5"/>
      <c r="U20" s="30">
        <f t="shared" ref="U20:U21" si="14">SUM(I20:L20)</f>
        <v>17253</v>
      </c>
      <c r="V20" s="30">
        <f t="shared" ref="V20:V21" si="15">SUM(J20:M20)</f>
        <v>17573</v>
      </c>
      <c r="W20" s="30">
        <f t="shared" ref="W20:W21" si="16">SUM(K20:N20)</f>
        <v>17913</v>
      </c>
      <c r="X20" s="30">
        <f t="shared" ref="X20:X21" si="17">SUM(L20:O20)</f>
        <v>18174</v>
      </c>
      <c r="Y20" s="30">
        <f t="shared" ref="Y20:Y21" si="18">SUM(M20:P20)</f>
        <v>18267</v>
      </c>
      <c r="Z20" s="30">
        <f t="shared" ref="Z20:Z21" si="19">SUM(N20:Q20)</f>
        <v>18263</v>
      </c>
      <c r="AA20" s="30">
        <f t="shared" ref="AA20:AA21" si="20">SUM(O20:R20)</f>
        <v>18422</v>
      </c>
      <c r="AB20" s="30">
        <f>SUM(P20:S20)</f>
        <v>18657</v>
      </c>
    </row>
    <row r="21" spans="1:28">
      <c r="B21" s="9" t="s">
        <v>182</v>
      </c>
      <c r="C21" s="79">
        <v>10441</v>
      </c>
      <c r="D21" s="79">
        <v>11659</v>
      </c>
      <c r="E21" s="79">
        <v>11711</v>
      </c>
      <c r="F21" s="79">
        <v>12518</v>
      </c>
      <c r="G21" s="79">
        <v>13530</v>
      </c>
      <c r="H21" s="79"/>
      <c r="I21" s="79">
        <v>2893</v>
      </c>
      <c r="J21" s="79">
        <v>3077</v>
      </c>
      <c r="K21" s="79">
        <v>3161</v>
      </c>
      <c r="L21" s="30">
        <f>SUM(F21-SUM(I21:K21))</f>
        <v>3387</v>
      </c>
      <c r="M21" s="79">
        <v>3232</v>
      </c>
      <c r="N21" s="79">
        <v>3335</v>
      </c>
      <c r="O21" s="79">
        <v>3329</v>
      </c>
      <c r="P21" s="30">
        <f>SUM(G21-SUM(M21:O21))</f>
        <v>3634</v>
      </c>
      <c r="Q21" s="79">
        <v>3328</v>
      </c>
      <c r="R21" s="79">
        <v>3579</v>
      </c>
      <c r="S21" s="79">
        <v>3664</v>
      </c>
      <c r="T21" s="5"/>
      <c r="U21" s="30">
        <f t="shared" si="14"/>
        <v>12518</v>
      </c>
      <c r="V21" s="30">
        <f t="shared" si="15"/>
        <v>12857</v>
      </c>
      <c r="W21" s="30">
        <f t="shared" si="16"/>
        <v>13115</v>
      </c>
      <c r="X21" s="30">
        <f t="shared" si="17"/>
        <v>13283</v>
      </c>
      <c r="Y21" s="30">
        <f t="shared" si="18"/>
        <v>13530</v>
      </c>
      <c r="Z21" s="30">
        <f t="shared" si="19"/>
        <v>13626</v>
      </c>
      <c r="AA21" s="30">
        <f t="shared" si="20"/>
        <v>13870</v>
      </c>
      <c r="AB21" s="30">
        <f>SUM(P21:S21)</f>
        <v>14205</v>
      </c>
    </row>
    <row r="22" spans="1:28">
      <c r="B22" s="13" t="s">
        <v>62</v>
      </c>
      <c r="C22" s="14">
        <f t="shared" ref="C22:G22" si="21">SUM(C20:C21)</f>
        <v>21454</v>
      </c>
      <c r="D22" s="14">
        <f t="shared" si="21"/>
        <v>25371</v>
      </c>
      <c r="E22" s="14">
        <f t="shared" si="21"/>
        <v>27518</v>
      </c>
      <c r="F22" s="14">
        <f t="shared" si="21"/>
        <v>29771</v>
      </c>
      <c r="G22" s="14">
        <f t="shared" si="21"/>
        <v>31797</v>
      </c>
      <c r="H22" s="11"/>
      <c r="I22" s="14">
        <f t="shared" ref="I22:S22" si="22">SUM(I20:I21)</f>
        <v>7040</v>
      </c>
      <c r="J22" s="14">
        <f t="shared" si="22"/>
        <v>7287</v>
      </c>
      <c r="K22" s="14">
        <f t="shared" si="22"/>
        <v>7418</v>
      </c>
      <c r="L22" s="14">
        <f t="shared" si="22"/>
        <v>8026</v>
      </c>
      <c r="M22" s="14">
        <f t="shared" si="22"/>
        <v>7699</v>
      </c>
      <c r="N22" s="14">
        <f t="shared" si="22"/>
        <v>7885</v>
      </c>
      <c r="O22" s="14">
        <f t="shared" si="22"/>
        <v>7847</v>
      </c>
      <c r="P22" s="14">
        <f t="shared" si="22"/>
        <v>8366</v>
      </c>
      <c r="Q22" s="14">
        <f t="shared" si="22"/>
        <v>7791</v>
      </c>
      <c r="R22" s="14">
        <f t="shared" si="22"/>
        <v>8288</v>
      </c>
      <c r="S22" s="14">
        <f t="shared" si="22"/>
        <v>8417</v>
      </c>
      <c r="T22" s="5"/>
      <c r="U22" s="14">
        <f t="shared" ref="U22:AB22" si="23">SUM(U20:U21)</f>
        <v>29771</v>
      </c>
      <c r="V22" s="14">
        <f t="shared" si="23"/>
        <v>30430</v>
      </c>
      <c r="W22" s="14">
        <f t="shared" si="23"/>
        <v>31028</v>
      </c>
      <c r="X22" s="14">
        <f t="shared" si="23"/>
        <v>31457</v>
      </c>
      <c r="Y22" s="14">
        <f t="shared" si="23"/>
        <v>31797</v>
      </c>
      <c r="Z22" s="14">
        <f t="shared" si="23"/>
        <v>31889</v>
      </c>
      <c r="AA22" s="14">
        <f t="shared" si="23"/>
        <v>32292</v>
      </c>
      <c r="AB22" s="14">
        <f t="shared" si="23"/>
        <v>32862</v>
      </c>
    </row>
    <row r="23" spans="1:28" outlineLevel="1">
      <c r="B23" s="129" t="s">
        <v>113</v>
      </c>
      <c r="C23" s="77">
        <f t="shared" ref="C23:G23" si="24">C22-C11</f>
        <v>0</v>
      </c>
      <c r="D23" s="77">
        <f t="shared" si="24"/>
        <v>0</v>
      </c>
      <c r="E23" s="77">
        <f t="shared" si="24"/>
        <v>0</v>
      </c>
      <c r="F23" s="77">
        <f t="shared" si="24"/>
        <v>0</v>
      </c>
      <c r="G23" s="77">
        <f t="shared" si="24"/>
        <v>0</v>
      </c>
      <c r="H23" s="11"/>
      <c r="I23" s="77">
        <f t="shared" ref="I23:S23" si="25">I22-I11</f>
        <v>0</v>
      </c>
      <c r="J23" s="77">
        <f t="shared" si="25"/>
        <v>0</v>
      </c>
      <c r="K23" s="77">
        <f t="shared" si="25"/>
        <v>0</v>
      </c>
      <c r="L23" s="77">
        <f t="shared" si="25"/>
        <v>0</v>
      </c>
      <c r="M23" s="77">
        <f t="shared" si="25"/>
        <v>0</v>
      </c>
      <c r="N23" s="77">
        <f t="shared" si="25"/>
        <v>0</v>
      </c>
      <c r="O23" s="77">
        <f t="shared" si="25"/>
        <v>0</v>
      </c>
      <c r="P23" s="77">
        <f t="shared" si="25"/>
        <v>0</v>
      </c>
      <c r="Q23" s="77">
        <f t="shared" si="25"/>
        <v>0</v>
      </c>
      <c r="R23" s="77">
        <f t="shared" si="25"/>
        <v>0</v>
      </c>
      <c r="S23" s="77">
        <f t="shared" si="25"/>
        <v>0</v>
      </c>
      <c r="T23" s="77"/>
      <c r="U23" s="77">
        <f t="shared" ref="U23" si="26">U22-U11</f>
        <v>0</v>
      </c>
      <c r="V23" s="77">
        <f t="shared" ref="V23" si="27">V22-V11</f>
        <v>0</v>
      </c>
      <c r="W23" s="77">
        <f t="shared" ref="W23" si="28">W22-W11</f>
        <v>0</v>
      </c>
      <c r="X23" s="77">
        <f t="shared" ref="X23" si="29">X22-X11</f>
        <v>0</v>
      </c>
      <c r="Y23" s="77">
        <f t="shared" ref="Y23" si="30">Y22-Y11</f>
        <v>0</v>
      </c>
      <c r="Z23" s="77">
        <f t="shared" ref="Z23" si="31">Z22-Z11</f>
        <v>0</v>
      </c>
      <c r="AA23" s="77">
        <f t="shared" ref="AA23" si="32">AA22-AA11</f>
        <v>0</v>
      </c>
      <c r="AB23" s="77">
        <f t="shared" ref="AB23" si="33">AB22-AB11</f>
        <v>0</v>
      </c>
    </row>
    <row r="24" spans="1:28" ht="5.0999999999999996" customHeight="1">
      <c r="B24" s="18"/>
      <c r="C24" s="19"/>
      <c r="D24" s="19"/>
      <c r="E24" s="19"/>
      <c r="F24" s="19"/>
      <c r="G24" s="19"/>
      <c r="H24" s="20"/>
      <c r="I24" s="21"/>
      <c r="J24" s="21"/>
      <c r="K24" s="21"/>
      <c r="L24" s="22"/>
      <c r="M24" s="21"/>
      <c r="N24" s="21"/>
      <c r="O24" s="21"/>
      <c r="P24" s="21"/>
      <c r="Q24" s="21"/>
      <c r="R24" s="21"/>
      <c r="S24" s="21"/>
      <c r="T24" s="20"/>
      <c r="U24" s="20"/>
      <c r="V24" s="20"/>
      <c r="W24" s="20"/>
      <c r="X24" s="20"/>
      <c r="Y24" s="20"/>
      <c r="Z24" s="20"/>
      <c r="AA24" s="20"/>
      <c r="AB24" s="20"/>
    </row>
    <row r="25" spans="1:28">
      <c r="B25" s="146" t="str">
        <f>B20&amp;"(%)"</f>
        <v>U.S. (%)</v>
      </c>
      <c r="C25" s="147">
        <f t="shared" ref="C25:G25" si="34">SUM(C20/C$22)</f>
        <v>0.51333084739442525</v>
      </c>
      <c r="D25" s="147">
        <f t="shared" si="34"/>
        <v>0.54045957983524495</v>
      </c>
      <c r="E25" s="147">
        <f t="shared" si="34"/>
        <v>0.57442401337306492</v>
      </c>
      <c r="F25" s="147">
        <f t="shared" si="34"/>
        <v>0.57952369755802624</v>
      </c>
      <c r="G25" s="147">
        <f t="shared" si="34"/>
        <v>0.57448815926030761</v>
      </c>
      <c r="H25" s="148"/>
      <c r="I25" s="147">
        <f t="shared" ref="I25:S25" si="35">SUM(I20/I$22)</f>
        <v>0.58906250000000004</v>
      </c>
      <c r="J25" s="147">
        <f t="shared" si="35"/>
        <v>0.57774118292850285</v>
      </c>
      <c r="K25" s="147">
        <f t="shared" si="35"/>
        <v>0.57387435966567812</v>
      </c>
      <c r="L25" s="147">
        <f t="shared" si="35"/>
        <v>0.577996511338151</v>
      </c>
      <c r="M25" s="147">
        <f t="shared" si="35"/>
        <v>0.58020522145733211</v>
      </c>
      <c r="N25" s="147">
        <f t="shared" si="35"/>
        <v>0.5770450221940393</v>
      </c>
      <c r="O25" s="147">
        <f t="shared" si="35"/>
        <v>0.57576143749203512</v>
      </c>
      <c r="P25" s="147">
        <f t="shared" si="35"/>
        <v>0.56562275878556056</v>
      </c>
      <c r="Q25" s="147">
        <f t="shared" si="35"/>
        <v>0.57284045693749197</v>
      </c>
      <c r="R25" s="147">
        <f t="shared" si="35"/>
        <v>0.56817084942084939</v>
      </c>
      <c r="S25" s="147">
        <f t="shared" si="35"/>
        <v>0.56469050730664128</v>
      </c>
      <c r="T25" s="148"/>
      <c r="U25" s="149">
        <f t="shared" ref="U25:AB25" si="36">SUM(U20/U$22)</f>
        <v>0.57952369755802624</v>
      </c>
      <c r="V25" s="149">
        <f t="shared" si="36"/>
        <v>0.57748931975024642</v>
      </c>
      <c r="W25" s="149">
        <f t="shared" si="36"/>
        <v>0.57731726182802634</v>
      </c>
      <c r="X25" s="149">
        <f t="shared" si="36"/>
        <v>0.57774104332898879</v>
      </c>
      <c r="Y25" s="149">
        <f t="shared" si="36"/>
        <v>0.57448815926030761</v>
      </c>
      <c r="Z25" s="149">
        <f t="shared" si="36"/>
        <v>0.57270532158424536</v>
      </c>
      <c r="AA25" s="149">
        <f t="shared" si="36"/>
        <v>0.57048185309054877</v>
      </c>
      <c r="AB25" s="150">
        <f t="shared" si="36"/>
        <v>0.56773781267117029</v>
      </c>
    </row>
    <row r="26" spans="1:28" ht="12.75" customHeight="1">
      <c r="B26" s="151" t="str">
        <f>B21&amp;"(%)"</f>
        <v>International (%)</v>
      </c>
      <c r="C26" s="152">
        <f t="shared" ref="C26:D26" si="37">SUM(C21/C$22)</f>
        <v>0.4866691526055747</v>
      </c>
      <c r="D26" s="152">
        <f t="shared" si="37"/>
        <v>0.45954042016475505</v>
      </c>
      <c r="E26" s="152">
        <f>SUM(E21/E$22)</f>
        <v>0.42557598662693508</v>
      </c>
      <c r="F26" s="152">
        <f>SUM(F21/F$22)</f>
        <v>0.42047630244197376</v>
      </c>
      <c r="G26" s="152">
        <f>SUM(G21/G$22)</f>
        <v>0.42551184073969245</v>
      </c>
      <c r="H26" s="153"/>
      <c r="I26" s="152">
        <f t="shared" ref="I26:S26" si="38">SUM(I21/I$22)</f>
        <v>0.41093750000000001</v>
      </c>
      <c r="J26" s="152">
        <f t="shared" si="38"/>
        <v>0.42225881707149721</v>
      </c>
      <c r="K26" s="152">
        <f t="shared" si="38"/>
        <v>0.42612564033432193</v>
      </c>
      <c r="L26" s="152">
        <f t="shared" si="38"/>
        <v>0.422003488661849</v>
      </c>
      <c r="M26" s="152">
        <f t="shared" si="38"/>
        <v>0.41979477854266789</v>
      </c>
      <c r="N26" s="152">
        <f t="shared" si="38"/>
        <v>0.4229549778059607</v>
      </c>
      <c r="O26" s="152">
        <f t="shared" si="38"/>
        <v>0.42423856250796482</v>
      </c>
      <c r="P26" s="152">
        <f t="shared" si="38"/>
        <v>0.43437724121443938</v>
      </c>
      <c r="Q26" s="152">
        <f t="shared" si="38"/>
        <v>0.42715954306250803</v>
      </c>
      <c r="R26" s="152">
        <f t="shared" si="38"/>
        <v>0.43182915057915056</v>
      </c>
      <c r="S26" s="152">
        <f t="shared" si="38"/>
        <v>0.43530949269335867</v>
      </c>
      <c r="T26" s="153"/>
      <c r="U26" s="154">
        <f t="shared" ref="U26:AB26" si="39">SUM(U21/U$22)</f>
        <v>0.42047630244197376</v>
      </c>
      <c r="V26" s="154">
        <f t="shared" si="39"/>
        <v>0.42251068024975352</v>
      </c>
      <c r="W26" s="154">
        <f t="shared" si="39"/>
        <v>0.42268273817197372</v>
      </c>
      <c r="X26" s="154">
        <f t="shared" si="39"/>
        <v>0.42225895667101121</v>
      </c>
      <c r="Y26" s="154">
        <f t="shared" si="39"/>
        <v>0.42551184073969245</v>
      </c>
      <c r="Z26" s="154">
        <f t="shared" si="39"/>
        <v>0.42729467841575464</v>
      </c>
      <c r="AA26" s="154">
        <f t="shared" si="39"/>
        <v>0.42951814690945128</v>
      </c>
      <c r="AB26" s="155">
        <f t="shared" si="39"/>
        <v>0.43226218732882965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D82"/>
  <sheetViews>
    <sheetView showGridLines="0" zoomScaleNormal="100" workbookViewId="0">
      <selection activeCell="S68" sqref="S68"/>
    </sheetView>
  </sheetViews>
  <sheetFormatPr defaultRowHeight="12" outlineLevelCol="1"/>
  <cols>
    <col min="1" max="1" width="1.5" style="8" customWidth="1"/>
    <col min="2" max="2" width="41.625" style="8" customWidth="1"/>
    <col min="3" max="4" width="8.625" style="8" hidden="1" customWidth="1" outlineLevel="1"/>
    <col min="5" max="5" width="9" style="8" bestFit="1" customWidth="1" collapsed="1"/>
    <col min="6" max="6" width="9.25" style="8" bestFit="1" customWidth="1"/>
    <col min="7" max="7" width="9" style="8"/>
    <col min="8" max="8" width="1.5" style="8" customWidth="1"/>
    <col min="9" max="10" width="8" style="8" hidden="1" customWidth="1" outlineLevel="1"/>
    <col min="11" max="14" width="8.875" style="8" hidden="1" customWidth="1" outlineLevel="1"/>
    <col min="15" max="15" width="8.875" style="8" bestFit="1" customWidth="1" collapsed="1"/>
    <col min="16" max="19" width="8.875" style="8" bestFit="1" customWidth="1"/>
    <col min="20" max="20" width="1.625" style="8" customWidth="1"/>
    <col min="21" max="21" width="9.25" style="8" hidden="1" customWidth="1" outlineLevel="1"/>
    <col min="22" max="22" width="9.75" style="8" hidden="1" customWidth="1" outlineLevel="1"/>
    <col min="23" max="23" width="9" style="8" hidden="1" customWidth="1" outlineLevel="1"/>
    <col min="24" max="24" width="9" style="8" customWidth="1" collapsed="1"/>
    <col min="25" max="26" width="9" style="8" hidden="1" customWidth="1" outlineLevel="1"/>
    <col min="27" max="27" width="8.5" style="8" hidden="1" customWidth="1" outlineLevel="1"/>
    <col min="28" max="28" width="8.5" style="8" bestFit="1" customWidth="1" collapsed="1"/>
    <col min="29" max="29" width="1.5" style="8" customWidth="1"/>
    <col min="30" max="30" width="9.375" style="127" bestFit="1" customWidth="1"/>
    <col min="31" max="16384" width="9" style="8"/>
  </cols>
  <sheetData>
    <row r="2" spans="2:30" s="5" customFormat="1" ht="12.75" customHeight="1">
      <c r="B2" s="1" t="str">
        <f>'Historical Financials'!B2</f>
        <v>PayPal Holdings Inc (NASDAQ: PYPL)</v>
      </c>
      <c r="C2" s="2"/>
      <c r="D2" s="2"/>
      <c r="E2" s="2" t="s">
        <v>0</v>
      </c>
      <c r="F2" s="2"/>
      <c r="G2" s="2"/>
      <c r="H2" s="3"/>
      <c r="I2" s="2" t="s">
        <v>1</v>
      </c>
      <c r="J2" s="2"/>
      <c r="K2" s="2"/>
      <c r="L2" s="2"/>
      <c r="M2" s="2"/>
      <c r="N2" s="2"/>
      <c r="O2" s="2" t="s">
        <v>1</v>
      </c>
      <c r="P2" s="2"/>
      <c r="Q2" s="2"/>
      <c r="R2" s="2"/>
      <c r="S2" s="2"/>
      <c r="T2" s="3"/>
      <c r="U2" s="2"/>
      <c r="V2" s="2"/>
      <c r="W2" s="2" t="s">
        <v>10</v>
      </c>
      <c r="X2" s="2" t="s">
        <v>10</v>
      </c>
      <c r="Y2" s="2"/>
      <c r="Z2" s="2"/>
      <c r="AA2" s="2"/>
      <c r="AB2" s="2"/>
      <c r="AC2" s="3"/>
      <c r="AD2" s="159" t="s">
        <v>20</v>
      </c>
    </row>
    <row r="3" spans="2:30" s="5" customFormat="1" ht="12.75" customHeight="1">
      <c r="B3" s="6" t="s">
        <v>21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1Q23</v>
      </c>
      <c r="J3" s="7" t="str">
        <f>'Historical Financials'!J7</f>
        <v>2Q23</v>
      </c>
      <c r="K3" s="7" t="str">
        <f>'Historical Financials'!K7</f>
        <v>3Q23</v>
      </c>
      <c r="L3" s="7" t="str">
        <f>'Historical Financials'!L7</f>
        <v>4Q23</v>
      </c>
      <c r="M3" s="7" t="str">
        <f>'Historical Financials'!M7</f>
        <v>1Q24</v>
      </c>
      <c r="N3" s="7" t="str">
        <f>'Historical Financials'!N7</f>
        <v>2Q24</v>
      </c>
      <c r="O3" s="7" t="str">
        <f>'Historical Financials'!O7</f>
        <v>3Q24</v>
      </c>
      <c r="P3" s="7" t="str">
        <f>'Historical Financials'!P7</f>
        <v>4Q24</v>
      </c>
      <c r="Q3" s="7" t="str">
        <f>'Historical Financials'!Q7</f>
        <v>1Q25</v>
      </c>
      <c r="R3" s="7" t="str">
        <f>'Historical Financials'!R7</f>
        <v>2Q25</v>
      </c>
      <c r="S3" s="7" t="str">
        <f>'Historical Financials'!S7</f>
        <v>3Q25</v>
      </c>
      <c r="T3" s="3"/>
      <c r="U3" s="4" t="str">
        <f t="shared" ref="U3:AB4" si="0">L3</f>
        <v>4Q23</v>
      </c>
      <c r="V3" s="4" t="str">
        <f t="shared" si="0"/>
        <v>1Q24</v>
      </c>
      <c r="W3" s="4" t="str">
        <f t="shared" si="0"/>
        <v>2Q24</v>
      </c>
      <c r="X3" s="4" t="str">
        <f t="shared" si="0"/>
        <v>3Q24</v>
      </c>
      <c r="Y3" s="4" t="str">
        <f t="shared" si="0"/>
        <v>4Q24</v>
      </c>
      <c r="Z3" s="4" t="str">
        <f t="shared" si="0"/>
        <v>1Q25</v>
      </c>
      <c r="AA3" s="4" t="str">
        <f t="shared" si="0"/>
        <v>2Q25</v>
      </c>
      <c r="AB3" s="4" t="str">
        <f t="shared" si="0"/>
        <v>3Q25</v>
      </c>
      <c r="AC3" s="3"/>
      <c r="AD3" s="159"/>
    </row>
    <row r="4" spans="2:30" s="5" customFormat="1" ht="12.75" customHeight="1">
      <c r="B4" s="6" t="s">
        <v>109</v>
      </c>
      <c r="C4" s="3">
        <f>'Historical Financials'!C8</f>
        <v>44196</v>
      </c>
      <c r="D4" s="3">
        <f>'Historical Financials'!D8</f>
        <v>44561</v>
      </c>
      <c r="E4" s="3">
        <f>'Historical Financials'!E8</f>
        <v>44926</v>
      </c>
      <c r="F4" s="3">
        <f>'Historical Financials'!F8</f>
        <v>45291</v>
      </c>
      <c r="G4" s="3">
        <f>'Historical Financials'!G8</f>
        <v>45657</v>
      </c>
      <c r="H4" s="3"/>
      <c r="I4" s="3">
        <f>'Historical Financials'!I8</f>
        <v>45016</v>
      </c>
      <c r="J4" s="3">
        <f>'Historical Financials'!J8</f>
        <v>45107</v>
      </c>
      <c r="K4" s="3">
        <f>'Historical Financials'!K8</f>
        <v>45199</v>
      </c>
      <c r="L4" s="3">
        <f>'Historical Financials'!L8</f>
        <v>45291</v>
      </c>
      <c r="M4" s="3">
        <f>'Historical Financials'!M8</f>
        <v>45382</v>
      </c>
      <c r="N4" s="3">
        <f>'Historical Financials'!N8</f>
        <v>45473</v>
      </c>
      <c r="O4" s="3">
        <f>'Historical Financials'!O8</f>
        <v>45565</v>
      </c>
      <c r="P4" s="3">
        <f>'Historical Financials'!P8</f>
        <v>45657</v>
      </c>
      <c r="Q4" s="3">
        <f>'Historical Financials'!Q8</f>
        <v>45747</v>
      </c>
      <c r="R4" s="3">
        <f>'Historical Financials'!R8</f>
        <v>45838</v>
      </c>
      <c r="S4" s="3">
        <f>'Historical Financials'!S8</f>
        <v>45930</v>
      </c>
      <c r="T4" s="3"/>
      <c r="U4" s="3">
        <f t="shared" si="0"/>
        <v>45291</v>
      </c>
      <c r="V4" s="3">
        <f t="shared" si="0"/>
        <v>45382</v>
      </c>
      <c r="W4" s="3">
        <f t="shared" si="0"/>
        <v>45473</v>
      </c>
      <c r="X4" s="3">
        <f t="shared" si="0"/>
        <v>45565</v>
      </c>
      <c r="Y4" s="3">
        <f t="shared" si="0"/>
        <v>45657</v>
      </c>
      <c r="Z4" s="3">
        <f t="shared" si="0"/>
        <v>45747</v>
      </c>
      <c r="AA4" s="3">
        <f t="shared" si="0"/>
        <v>45838</v>
      </c>
      <c r="AB4" s="3">
        <f t="shared" si="0"/>
        <v>45930</v>
      </c>
      <c r="AC4" s="3"/>
      <c r="AD4" s="159"/>
    </row>
    <row r="5" spans="2:30" ht="5.0999999999999996" customHeight="1">
      <c r="AD5" s="123"/>
    </row>
    <row r="6" spans="2:30" ht="12.75" customHeight="1">
      <c r="B6" s="9" t="str">
        <f>'Revenue Drivers'!B9</f>
        <v>Transaction Revenues</v>
      </c>
      <c r="C6" s="92">
        <f>'Revenue Drivers'!C9</f>
        <v>19918</v>
      </c>
      <c r="D6" s="92">
        <f>'Revenue Drivers'!D9</f>
        <v>23402</v>
      </c>
      <c r="E6" s="92">
        <f>'Revenue Drivers'!E9</f>
        <v>25206</v>
      </c>
      <c r="F6" s="92">
        <f>'Revenue Drivers'!F9</f>
        <v>26857</v>
      </c>
      <c r="G6" s="92">
        <f>'Revenue Drivers'!G9</f>
        <v>28842</v>
      </c>
      <c r="H6" s="10"/>
      <c r="I6" s="92">
        <f>'Revenue Drivers'!I9</f>
        <v>6364</v>
      </c>
      <c r="J6" s="92">
        <f>'Revenue Drivers'!J9</f>
        <v>6556</v>
      </c>
      <c r="K6" s="92">
        <f>'Revenue Drivers'!K9</f>
        <v>6654</v>
      </c>
      <c r="L6" s="92">
        <f>'Revenue Drivers'!L9</f>
        <v>7283</v>
      </c>
      <c r="M6" s="92">
        <f>'Revenue Drivers'!M9</f>
        <v>7034</v>
      </c>
      <c r="N6" s="92">
        <f>'Revenue Drivers'!N9</f>
        <v>7153</v>
      </c>
      <c r="O6" s="92">
        <f>'Revenue Drivers'!O9</f>
        <v>7067</v>
      </c>
      <c r="P6" s="92">
        <f>'Revenue Drivers'!P9</f>
        <v>7588</v>
      </c>
      <c r="Q6" s="92">
        <f>'Revenue Drivers'!Q9</f>
        <v>7016</v>
      </c>
      <c r="R6" s="92">
        <f>'Revenue Drivers'!R9</f>
        <v>7441</v>
      </c>
      <c r="S6" s="92">
        <f>'Revenue Drivers'!S9</f>
        <v>7522</v>
      </c>
      <c r="T6" s="5"/>
      <c r="U6" s="140">
        <f t="shared" ref="U6:AA7" si="1">SUM(I6:L6)</f>
        <v>26857</v>
      </c>
      <c r="V6" s="140">
        <f t="shared" si="1"/>
        <v>27527</v>
      </c>
      <c r="W6" s="140">
        <f t="shared" si="1"/>
        <v>28124</v>
      </c>
      <c r="X6" s="140">
        <f t="shared" si="1"/>
        <v>28537</v>
      </c>
      <c r="Y6" s="140">
        <f t="shared" si="1"/>
        <v>28842</v>
      </c>
      <c r="Z6" s="140">
        <f t="shared" si="1"/>
        <v>28824</v>
      </c>
      <c r="AA6" s="140">
        <f t="shared" si="1"/>
        <v>29112</v>
      </c>
      <c r="AB6" s="140">
        <f>SUM(P6:S6)</f>
        <v>29567</v>
      </c>
      <c r="AD6" s="124">
        <f t="shared" ref="AD6:AD8" si="2">SUM(AB6/X6)-1</f>
        <v>3.6093492658653581E-2</v>
      </c>
    </row>
    <row r="7" spans="2:30" ht="12.75" customHeight="1">
      <c r="B7" s="9" t="str">
        <f>'Revenue Drivers'!B10</f>
        <v>Revenues from other VASs</v>
      </c>
      <c r="C7" s="92">
        <f>'Revenue Drivers'!C10</f>
        <v>1536</v>
      </c>
      <c r="D7" s="92">
        <f>'Revenue Drivers'!D10</f>
        <v>1969</v>
      </c>
      <c r="E7" s="92">
        <f>'Revenue Drivers'!E10</f>
        <v>2312</v>
      </c>
      <c r="F7" s="92">
        <f>'Revenue Drivers'!F10</f>
        <v>2914</v>
      </c>
      <c r="G7" s="92">
        <f>'Revenue Drivers'!G10</f>
        <v>2955</v>
      </c>
      <c r="H7" s="10"/>
      <c r="I7" s="92">
        <f>'Revenue Drivers'!I10</f>
        <v>676</v>
      </c>
      <c r="J7" s="92">
        <f>'Revenue Drivers'!J10</f>
        <v>731</v>
      </c>
      <c r="K7" s="92">
        <f>'Revenue Drivers'!K10</f>
        <v>764</v>
      </c>
      <c r="L7" s="92">
        <f>'Revenue Drivers'!L10</f>
        <v>743</v>
      </c>
      <c r="M7" s="92">
        <f>'Revenue Drivers'!M10</f>
        <v>665</v>
      </c>
      <c r="N7" s="92">
        <f>'Revenue Drivers'!N10</f>
        <v>732</v>
      </c>
      <c r="O7" s="92">
        <f>'Revenue Drivers'!O10</f>
        <v>780</v>
      </c>
      <c r="P7" s="92">
        <f>'Revenue Drivers'!P10</f>
        <v>778</v>
      </c>
      <c r="Q7" s="92">
        <f>'Revenue Drivers'!Q10</f>
        <v>775</v>
      </c>
      <c r="R7" s="92">
        <f>'Revenue Drivers'!R10</f>
        <v>847</v>
      </c>
      <c r="S7" s="92">
        <f>'Revenue Drivers'!S10</f>
        <v>895</v>
      </c>
      <c r="T7" s="5"/>
      <c r="U7" s="140">
        <f t="shared" si="1"/>
        <v>2914</v>
      </c>
      <c r="V7" s="140">
        <f t="shared" si="1"/>
        <v>2903</v>
      </c>
      <c r="W7" s="140">
        <f t="shared" si="1"/>
        <v>2904</v>
      </c>
      <c r="X7" s="140">
        <f t="shared" si="1"/>
        <v>2920</v>
      </c>
      <c r="Y7" s="140">
        <f t="shared" si="1"/>
        <v>2955</v>
      </c>
      <c r="Z7" s="140">
        <f t="shared" si="1"/>
        <v>3065</v>
      </c>
      <c r="AA7" s="140">
        <f t="shared" si="1"/>
        <v>3180</v>
      </c>
      <c r="AB7" s="140">
        <f>SUM(P7:S7)</f>
        <v>3295</v>
      </c>
      <c r="AD7" s="124">
        <f t="shared" si="2"/>
        <v>0.12842465753424648</v>
      </c>
    </row>
    <row r="8" spans="2:30" ht="12.75" customHeight="1">
      <c r="B8" s="13" t="s">
        <v>12</v>
      </c>
      <c r="C8" s="14">
        <f>SUM(C6:C7)</f>
        <v>21454</v>
      </c>
      <c r="D8" s="14">
        <f>SUM(D6:D7)</f>
        <v>25371</v>
      </c>
      <c r="E8" s="14">
        <f>SUM(E6:E7)</f>
        <v>27518</v>
      </c>
      <c r="F8" s="14">
        <f>SUM(F6:F7)</f>
        <v>29771</v>
      </c>
      <c r="G8" s="14">
        <f>SUM(G6:G7)</f>
        <v>31797</v>
      </c>
      <c r="H8" s="10"/>
      <c r="I8" s="14">
        <f>SUM(I6:I7)</f>
        <v>7040</v>
      </c>
      <c r="J8" s="14">
        <f>SUM(J6:J7)</f>
        <v>7287</v>
      </c>
      <c r="K8" s="14">
        <f>SUM(K6:K7)</f>
        <v>7418</v>
      </c>
      <c r="L8" s="14">
        <f>SUM(L6:L7)</f>
        <v>8026</v>
      </c>
      <c r="M8" s="14">
        <f>SUM(M6:M7)</f>
        <v>7699</v>
      </c>
      <c r="N8" s="14">
        <f>SUM(N6:N7)</f>
        <v>7885</v>
      </c>
      <c r="O8" s="14">
        <f>SUM(O6:O7)</f>
        <v>7847</v>
      </c>
      <c r="P8" s="14">
        <f>SUM(P6:P7)</f>
        <v>8366</v>
      </c>
      <c r="Q8" s="14">
        <f>SUM(Q6:Q7)</f>
        <v>7791</v>
      </c>
      <c r="R8" s="14">
        <f>SUM(R6:R7)</f>
        <v>8288</v>
      </c>
      <c r="S8" s="14">
        <f>SUM(S6:S7)</f>
        <v>8417</v>
      </c>
      <c r="T8" s="5"/>
      <c r="U8" s="14">
        <f>SUM(U6:U7)</f>
        <v>29771</v>
      </c>
      <c r="V8" s="14">
        <f>SUM(V6:V7)</f>
        <v>30430</v>
      </c>
      <c r="W8" s="14">
        <f>SUM(W6:W7)</f>
        <v>31028</v>
      </c>
      <c r="X8" s="14">
        <f>SUM(X6:X7)</f>
        <v>31457</v>
      </c>
      <c r="Y8" s="14">
        <f>SUM(Y6:Y7)</f>
        <v>31797</v>
      </c>
      <c r="Z8" s="14">
        <f>SUM(Z6:Z7)</f>
        <v>31889</v>
      </c>
      <c r="AA8" s="14">
        <f>SUM(AA6:AA7)</f>
        <v>32292</v>
      </c>
      <c r="AB8" s="14">
        <f>SUM(AB6:AB7)</f>
        <v>32862</v>
      </c>
      <c r="AD8" s="125">
        <f t="shared" si="2"/>
        <v>4.4664144705470976E-2</v>
      </c>
    </row>
    <row r="9" spans="2:30" ht="12.75" customHeight="1">
      <c r="B9" s="16" t="s">
        <v>24</v>
      </c>
      <c r="C9" s="113"/>
      <c r="D9" s="113"/>
      <c r="E9" s="17">
        <f>SUM(E8/D8)-1</f>
        <v>8.4624177210200546E-2</v>
      </c>
      <c r="F9" s="17">
        <f>SUM(F8/E8)-1</f>
        <v>8.1873682680427384E-2</v>
      </c>
      <c r="G9" s="17">
        <f>SUM(G8/F8)-1</f>
        <v>6.8052803063383793E-2</v>
      </c>
      <c r="H9" s="11"/>
      <c r="I9" s="113"/>
      <c r="J9" s="113"/>
      <c r="K9" s="113"/>
      <c r="L9" s="113"/>
      <c r="M9" s="17">
        <f t="shared" ref="M9:S9" si="3">SUM(M8/I8)-1</f>
        <v>9.3607954545454453E-2</v>
      </c>
      <c r="N9" s="17">
        <f t="shared" si="3"/>
        <v>8.2063949499108002E-2</v>
      </c>
      <c r="O9" s="17">
        <f t="shared" si="3"/>
        <v>5.7832299811269916E-2</v>
      </c>
      <c r="P9" s="17">
        <f t="shared" si="3"/>
        <v>4.2362322452030865E-2</v>
      </c>
      <c r="Q9" s="17">
        <f t="shared" si="3"/>
        <v>1.1949603844655154E-2</v>
      </c>
      <c r="R9" s="17">
        <f t="shared" si="3"/>
        <v>5.1109701965757814E-2</v>
      </c>
      <c r="S9" s="17">
        <f t="shared" si="3"/>
        <v>7.2639225181598155E-2</v>
      </c>
      <c r="T9" s="5"/>
      <c r="U9" s="113"/>
      <c r="V9" s="113"/>
      <c r="W9" s="113"/>
      <c r="X9" s="113"/>
      <c r="Y9" s="17">
        <f t="shared" ref="Y9:AB9" si="4">SUM(Y8/U8)-1</f>
        <v>6.8052803063383793E-2</v>
      </c>
      <c r="Z9" s="17">
        <f t="shared" si="4"/>
        <v>4.7946105816628393E-2</v>
      </c>
      <c r="AA9" s="17">
        <f t="shared" si="4"/>
        <v>4.0737398478793319E-2</v>
      </c>
      <c r="AB9" s="17">
        <f t="shared" si="4"/>
        <v>4.4664144705470976E-2</v>
      </c>
      <c r="AD9" s="126">
        <f>SUM(AB9-X9)*10000</f>
        <v>446.64144705470977</v>
      </c>
    </row>
    <row r="10" spans="2:30" ht="12.75" customHeight="1">
      <c r="B10" s="16" t="s">
        <v>25</v>
      </c>
      <c r="C10" s="17" t="s">
        <v>26</v>
      </c>
      <c r="D10" s="17" t="s">
        <v>26</v>
      </c>
      <c r="E10" s="17" t="s">
        <v>26</v>
      </c>
      <c r="F10" s="17" t="s">
        <v>26</v>
      </c>
      <c r="G10" s="17" t="s">
        <v>26</v>
      </c>
      <c r="H10" s="11"/>
      <c r="I10" s="113"/>
      <c r="J10" s="17">
        <f t="shared" ref="J10:S10" si="5">SUM(J8/I8)-1</f>
        <v>3.5085227272727337E-2</v>
      </c>
      <c r="K10" s="17">
        <f t="shared" si="5"/>
        <v>1.7977219706326375E-2</v>
      </c>
      <c r="L10" s="17">
        <f t="shared" si="5"/>
        <v>8.1962793205715867E-2</v>
      </c>
      <c r="M10" s="17">
        <f t="shared" si="5"/>
        <v>-4.0742586593570884E-2</v>
      </c>
      <c r="N10" s="17">
        <f t="shared" si="5"/>
        <v>2.4158981685933334E-2</v>
      </c>
      <c r="O10" s="17">
        <f t="shared" si="5"/>
        <v>-4.8192771084337727E-3</v>
      </c>
      <c r="P10" s="17">
        <f t="shared" si="5"/>
        <v>6.6139926086402401E-2</v>
      </c>
      <c r="Q10" s="17">
        <f t="shared" si="5"/>
        <v>-6.8730576141525224E-2</v>
      </c>
      <c r="R10" s="17">
        <f t="shared" si="5"/>
        <v>6.3791554357591984E-2</v>
      </c>
      <c r="S10" s="17">
        <f t="shared" si="5"/>
        <v>1.5564671814671804E-2</v>
      </c>
      <c r="T10" s="5"/>
      <c r="U10" s="17" t="s">
        <v>26</v>
      </c>
      <c r="V10" s="17" t="s">
        <v>26</v>
      </c>
      <c r="W10" s="17" t="s">
        <v>26</v>
      </c>
      <c r="X10" s="17" t="s">
        <v>26</v>
      </c>
      <c r="Y10" s="17" t="s">
        <v>26</v>
      </c>
      <c r="Z10" s="17" t="s">
        <v>26</v>
      </c>
      <c r="AA10" s="17" t="s">
        <v>26</v>
      </c>
      <c r="AB10" s="17" t="s">
        <v>26</v>
      </c>
      <c r="AD10" s="123"/>
    </row>
    <row r="11" spans="2:30" ht="5.0999999999999996" customHeight="1">
      <c r="B11" s="18"/>
      <c r="C11" s="19"/>
      <c r="D11" s="19"/>
      <c r="E11" s="19"/>
      <c r="F11" s="19"/>
      <c r="G11" s="19"/>
      <c r="H11" s="20"/>
      <c r="I11" s="21"/>
      <c r="J11" s="21"/>
      <c r="K11" s="21"/>
      <c r="L11" s="22"/>
      <c r="M11" s="21"/>
      <c r="N11" s="21"/>
      <c r="O11" s="21"/>
      <c r="P11" s="21"/>
      <c r="Q11" s="21"/>
      <c r="R11" s="21"/>
      <c r="S11" s="21"/>
      <c r="T11" s="20"/>
      <c r="U11" s="20"/>
      <c r="V11" s="20"/>
      <c r="W11" s="20"/>
      <c r="X11" s="20"/>
      <c r="Y11" s="20"/>
      <c r="Z11" s="20"/>
      <c r="AA11" s="20"/>
      <c r="AB11" s="20"/>
      <c r="AD11" s="123"/>
    </row>
    <row r="12" spans="2:30" ht="12.75" customHeight="1">
      <c r="B12" s="23" t="s">
        <v>184</v>
      </c>
      <c r="C12" s="139">
        <f>'Historical Financials'!C13</f>
        <v>-7934</v>
      </c>
      <c r="D12" s="139">
        <f>'Historical Financials'!D13</f>
        <v>-10315</v>
      </c>
      <c r="E12" s="139">
        <f>'Historical Financials'!E13</f>
        <v>-12173</v>
      </c>
      <c r="F12" s="139">
        <f>'Historical Financials'!F13</f>
        <v>-14385</v>
      </c>
      <c r="G12" s="139">
        <f>'Historical Financials'!G13</f>
        <v>-15697</v>
      </c>
      <c r="H12" s="92"/>
      <c r="I12" s="139">
        <f>'Historical Financials'!I13</f>
        <v>-3283</v>
      </c>
      <c r="J12" s="139">
        <f>'Historical Financials'!J13</f>
        <v>-3541</v>
      </c>
      <c r="K12" s="139">
        <f>'Historical Financials'!K13</f>
        <v>-3603</v>
      </c>
      <c r="L12" s="139">
        <f>'Historical Financials'!L13</f>
        <v>-3958</v>
      </c>
      <c r="M12" s="139">
        <f>'Historical Financials'!M13</f>
        <v>-3917</v>
      </c>
      <c r="N12" s="139">
        <f>'Historical Financials'!N13</f>
        <v>-3942</v>
      </c>
      <c r="O12" s="139">
        <f>'Historical Financials'!O13</f>
        <v>-3841</v>
      </c>
      <c r="P12" s="139">
        <f>'Historical Financials'!P13</f>
        <v>-3997</v>
      </c>
      <c r="Q12" s="139">
        <f>'Historical Financials'!Q13</f>
        <v>-3704</v>
      </c>
      <c r="R12" s="139">
        <f>'Historical Financials'!R13</f>
        <v>-3968</v>
      </c>
      <c r="S12" s="139">
        <f>'Historical Financials'!S13</f>
        <v>-4063</v>
      </c>
      <c r="T12" s="5"/>
      <c r="U12" s="140">
        <f t="shared" ref="U12:U15" si="6">SUM(I12:L12)</f>
        <v>-14385</v>
      </c>
      <c r="V12" s="140">
        <f t="shared" ref="V12:V15" si="7">SUM(J12:M12)</f>
        <v>-15019</v>
      </c>
      <c r="W12" s="140">
        <f t="shared" ref="W12:W15" si="8">SUM(K12:N12)</f>
        <v>-15420</v>
      </c>
      <c r="X12" s="140">
        <f t="shared" ref="X12:X15" si="9">SUM(L12:O12)</f>
        <v>-15658</v>
      </c>
      <c r="Y12" s="140">
        <f t="shared" ref="Y12:Y15" si="10">SUM(M12:P12)</f>
        <v>-15697</v>
      </c>
      <c r="Z12" s="140">
        <f t="shared" ref="Z12:Z15" si="11">SUM(N12:Q12)</f>
        <v>-15484</v>
      </c>
      <c r="AA12" s="140">
        <f t="shared" ref="AA12:AA15" si="12">SUM(O12:R12)</f>
        <v>-15510</v>
      </c>
      <c r="AB12" s="140">
        <f t="shared" ref="AB12:AB15" si="13">SUM(P12:S12)</f>
        <v>-15732</v>
      </c>
      <c r="AD12" s="124">
        <f t="shared" ref="AD12:AD15" si="14">SUM(AB12/X12)-1</f>
        <v>4.7260186486142164E-3</v>
      </c>
    </row>
    <row r="13" spans="2:30" ht="12.75" customHeight="1">
      <c r="B13" s="23" t="s">
        <v>185</v>
      </c>
      <c r="C13" s="139">
        <f>'Historical Financials'!C14</f>
        <v>-1741</v>
      </c>
      <c r="D13" s="139">
        <f>'Historical Financials'!D14</f>
        <v>-1060</v>
      </c>
      <c r="E13" s="139">
        <f>'Historical Financials'!E14</f>
        <v>-1572</v>
      </c>
      <c r="F13" s="139">
        <f>'Historical Financials'!F14</f>
        <v>-1682</v>
      </c>
      <c r="G13" s="139">
        <f>'Historical Financials'!G14</f>
        <v>-1442</v>
      </c>
      <c r="H13" s="92"/>
      <c r="I13" s="139">
        <f>'Historical Financials'!I14</f>
        <v>-442</v>
      </c>
      <c r="J13" s="139">
        <f>'Historical Financials'!J14</f>
        <v>-398</v>
      </c>
      <c r="K13" s="139">
        <f>'Historical Financials'!K14</f>
        <v>-446</v>
      </c>
      <c r="L13" s="139">
        <f>'Historical Financials'!L14</f>
        <v>-396</v>
      </c>
      <c r="M13" s="139">
        <f>'Historical Financials'!M14</f>
        <v>-321</v>
      </c>
      <c r="N13" s="139">
        <f>'Historical Financials'!N14</f>
        <v>-335</v>
      </c>
      <c r="O13" s="139">
        <f>'Historical Financials'!O14</f>
        <v>-352</v>
      </c>
      <c r="P13" s="139">
        <f>'Historical Financials'!P14</f>
        <v>-434</v>
      </c>
      <c r="Q13" s="139">
        <f>'Historical Financials'!Q14</f>
        <v>-371</v>
      </c>
      <c r="R13" s="139">
        <f>'Historical Financials'!R14</f>
        <v>-476</v>
      </c>
      <c r="S13" s="139">
        <f>'Historical Financials'!S14</f>
        <v>-483</v>
      </c>
      <c r="T13" s="5"/>
      <c r="U13" s="140">
        <f t="shared" si="6"/>
        <v>-1682</v>
      </c>
      <c r="V13" s="140">
        <f t="shared" si="7"/>
        <v>-1561</v>
      </c>
      <c r="W13" s="140">
        <f t="shared" si="8"/>
        <v>-1498</v>
      </c>
      <c r="X13" s="140">
        <f t="shared" si="9"/>
        <v>-1404</v>
      </c>
      <c r="Y13" s="140">
        <f t="shared" si="10"/>
        <v>-1442</v>
      </c>
      <c r="Z13" s="140">
        <f t="shared" si="11"/>
        <v>-1492</v>
      </c>
      <c r="AA13" s="140">
        <f t="shared" si="12"/>
        <v>-1633</v>
      </c>
      <c r="AB13" s="140">
        <f t="shared" si="13"/>
        <v>-1764</v>
      </c>
      <c r="AD13" s="124">
        <f t="shared" si="14"/>
        <v>0.25641025641025639</v>
      </c>
    </row>
    <row r="14" spans="2:30" ht="12.75" customHeight="1">
      <c r="B14" s="23" t="s">
        <v>186</v>
      </c>
      <c r="C14" s="139">
        <f>'Historical Financials'!C15</f>
        <v>-1778</v>
      </c>
      <c r="D14" s="139">
        <f>'Historical Financials'!D15</f>
        <v>-2075</v>
      </c>
      <c r="E14" s="139">
        <f>'Historical Financials'!E15</f>
        <v>-2120</v>
      </c>
      <c r="F14" s="139">
        <f>'Historical Financials'!F15</f>
        <v>-1919</v>
      </c>
      <c r="G14" s="139">
        <f>'Historical Financials'!G15</f>
        <v>-1768</v>
      </c>
      <c r="H14" s="92"/>
      <c r="I14" s="139">
        <f>'Historical Financials'!I15</f>
        <v>-488</v>
      </c>
      <c r="J14" s="139">
        <f>'Historical Financials'!J15</f>
        <v>-492</v>
      </c>
      <c r="K14" s="139">
        <f>'Historical Financials'!K15</f>
        <v>-474</v>
      </c>
      <c r="L14" s="139">
        <f>'Historical Financials'!L15</f>
        <v>-465</v>
      </c>
      <c r="M14" s="139">
        <f>'Historical Financials'!M15</f>
        <v>-454</v>
      </c>
      <c r="N14" s="139">
        <f>'Historical Financials'!N15</f>
        <v>-436</v>
      </c>
      <c r="O14" s="139">
        <f>'Historical Financials'!O15</f>
        <v>-427</v>
      </c>
      <c r="P14" s="139">
        <f>'Historical Financials'!P15</f>
        <v>-451</v>
      </c>
      <c r="Q14" s="139">
        <f>'Historical Financials'!Q15</f>
        <v>-398</v>
      </c>
      <c r="R14" s="139">
        <f>'Historical Financials'!R15</f>
        <v>-413</v>
      </c>
      <c r="S14" s="139">
        <f>'Historical Financials'!S15</f>
        <v>-447</v>
      </c>
      <c r="T14" s="5"/>
      <c r="U14" s="140">
        <f t="shared" si="6"/>
        <v>-1919</v>
      </c>
      <c r="V14" s="140">
        <f t="shared" si="7"/>
        <v>-1885</v>
      </c>
      <c r="W14" s="140">
        <f t="shared" si="8"/>
        <v>-1829</v>
      </c>
      <c r="X14" s="140">
        <f t="shared" si="9"/>
        <v>-1782</v>
      </c>
      <c r="Y14" s="140">
        <f t="shared" si="10"/>
        <v>-1768</v>
      </c>
      <c r="Z14" s="140">
        <f t="shared" si="11"/>
        <v>-1712</v>
      </c>
      <c r="AA14" s="140">
        <f t="shared" si="12"/>
        <v>-1689</v>
      </c>
      <c r="AB14" s="140">
        <f t="shared" si="13"/>
        <v>-1709</v>
      </c>
      <c r="AD14" s="124">
        <f t="shared" si="14"/>
        <v>-4.0965207631874279E-2</v>
      </c>
    </row>
    <row r="15" spans="2:30" ht="12.75" customHeight="1">
      <c r="B15" s="23" t="s">
        <v>187</v>
      </c>
      <c r="C15" s="139">
        <f>'Historical Financials'!C16</f>
        <v>-1861</v>
      </c>
      <c r="D15" s="139">
        <f>'Historical Financials'!D16</f>
        <v>-2445</v>
      </c>
      <c r="E15" s="139">
        <f>'Historical Financials'!E16</f>
        <v>-2257</v>
      </c>
      <c r="F15" s="139">
        <f>'Historical Financials'!F16</f>
        <v>-1809</v>
      </c>
      <c r="G15" s="139">
        <f>'Historical Financials'!G16</f>
        <v>-2001</v>
      </c>
      <c r="H15" s="92"/>
      <c r="I15" s="139">
        <f>'Historical Financials'!I16</f>
        <v>-436</v>
      </c>
      <c r="J15" s="139">
        <f>'Historical Financials'!J16</f>
        <v>-465</v>
      </c>
      <c r="K15" s="139">
        <f>'Historical Financials'!K16</f>
        <v>-442</v>
      </c>
      <c r="L15" s="139">
        <f>'Historical Financials'!L16</f>
        <v>-466</v>
      </c>
      <c r="M15" s="139">
        <f>'Historical Financials'!M16</f>
        <v>-421</v>
      </c>
      <c r="N15" s="139">
        <f>'Historical Financials'!N16</f>
        <v>-446</v>
      </c>
      <c r="O15" s="139">
        <f>'Historical Financials'!O16</f>
        <v>-508</v>
      </c>
      <c r="P15" s="139">
        <f>'Historical Financials'!P16</f>
        <v>-626</v>
      </c>
      <c r="Q15" s="139">
        <f>'Historical Financials'!Q16</f>
        <v>-488</v>
      </c>
      <c r="R15" s="139">
        <f>'Historical Financials'!R16</f>
        <v>-583</v>
      </c>
      <c r="S15" s="139">
        <f>'Historical Financials'!S16</f>
        <v>-521</v>
      </c>
      <c r="T15" s="5"/>
      <c r="U15" s="140">
        <f t="shared" si="6"/>
        <v>-1809</v>
      </c>
      <c r="V15" s="140">
        <f t="shared" si="7"/>
        <v>-1794</v>
      </c>
      <c r="W15" s="140">
        <f t="shared" si="8"/>
        <v>-1775</v>
      </c>
      <c r="X15" s="140">
        <f t="shared" si="9"/>
        <v>-1841</v>
      </c>
      <c r="Y15" s="140">
        <f t="shared" si="10"/>
        <v>-2001</v>
      </c>
      <c r="Z15" s="140">
        <f t="shared" si="11"/>
        <v>-2068</v>
      </c>
      <c r="AA15" s="140">
        <f t="shared" si="12"/>
        <v>-2205</v>
      </c>
      <c r="AB15" s="140">
        <f t="shared" si="13"/>
        <v>-2218</v>
      </c>
      <c r="AD15" s="124">
        <f t="shared" si="14"/>
        <v>0.20478001086366104</v>
      </c>
    </row>
    <row r="16" spans="2:30" ht="12.75" customHeight="1">
      <c r="B16" s="23" t="s">
        <v>188</v>
      </c>
      <c r="C16" s="139">
        <f>'Historical Financials'!C17</f>
        <v>-2642</v>
      </c>
      <c r="D16" s="139">
        <f>'Historical Financials'!D17</f>
        <v>-3038</v>
      </c>
      <c r="E16" s="139">
        <f>'Historical Financials'!E17</f>
        <v>-3253</v>
      </c>
      <c r="F16" s="139">
        <f>'Historical Financials'!F17</f>
        <v>-2973</v>
      </c>
      <c r="G16" s="139">
        <f>'Historical Financials'!G17</f>
        <v>-2979</v>
      </c>
      <c r="H16" s="92"/>
      <c r="I16" s="139">
        <f>'Historical Financials'!I17</f>
        <v>-721</v>
      </c>
      <c r="J16" s="139">
        <f>'Historical Financials'!J17</f>
        <v>-743</v>
      </c>
      <c r="K16" s="139">
        <f>'Historical Financials'!K17</f>
        <v>-739</v>
      </c>
      <c r="L16" s="139">
        <f>'Historical Financials'!L17</f>
        <v>-770</v>
      </c>
      <c r="M16" s="139">
        <f>'Historical Financials'!M17</f>
        <v>-742</v>
      </c>
      <c r="N16" s="139">
        <f>'Historical Financials'!N17</f>
        <v>-718</v>
      </c>
      <c r="O16" s="139">
        <f>'Historical Financials'!O17</f>
        <v>-746</v>
      </c>
      <c r="P16" s="139">
        <f>'Historical Financials'!P17</f>
        <v>-773</v>
      </c>
      <c r="Q16" s="139">
        <f>'Historical Financials'!Q17</f>
        <v>-731</v>
      </c>
      <c r="R16" s="139">
        <f>'Historical Financials'!R17</f>
        <v>-767</v>
      </c>
      <c r="S16" s="139">
        <f>'Historical Financials'!S17</f>
        <v>-801</v>
      </c>
      <c r="T16" s="5"/>
      <c r="U16" s="140">
        <f t="shared" ref="U16:AA18" si="15">SUM(I16:L16)</f>
        <v>-2973</v>
      </c>
      <c r="V16" s="140">
        <f t="shared" si="15"/>
        <v>-2994</v>
      </c>
      <c r="W16" s="140">
        <f t="shared" si="15"/>
        <v>-2969</v>
      </c>
      <c r="X16" s="140">
        <f t="shared" si="15"/>
        <v>-2976</v>
      </c>
      <c r="Y16" s="140">
        <f t="shared" si="15"/>
        <v>-2979</v>
      </c>
      <c r="Z16" s="140">
        <f t="shared" si="15"/>
        <v>-2968</v>
      </c>
      <c r="AA16" s="140">
        <f t="shared" si="15"/>
        <v>-3017</v>
      </c>
      <c r="AB16" s="140">
        <f>SUM(P16:S16)</f>
        <v>-3072</v>
      </c>
      <c r="AD16" s="124">
        <f t="shared" ref="AD16:AD18" si="16">SUM(AB16/X16)-1</f>
        <v>3.2258064516129004E-2</v>
      </c>
    </row>
    <row r="17" spans="2:30" ht="12.75" customHeight="1">
      <c r="B17" s="23" t="s">
        <v>189</v>
      </c>
      <c r="C17" s="139">
        <f>'Historical Financials'!C18</f>
        <v>-2070</v>
      </c>
      <c r="D17" s="139">
        <f>'Historical Financials'!D18</f>
        <v>-2114</v>
      </c>
      <c r="E17" s="139">
        <f>'Historical Financials'!E18</f>
        <v>-2099</v>
      </c>
      <c r="F17" s="139">
        <f>'Historical Financials'!F18</f>
        <v>-2059</v>
      </c>
      <c r="G17" s="139">
        <f>'Historical Financials'!G18</f>
        <v>-2147</v>
      </c>
      <c r="H17" s="92"/>
      <c r="I17" s="139">
        <f>'Historical Financials'!I18</f>
        <v>-507</v>
      </c>
      <c r="J17" s="139">
        <f>'Historical Financials'!J18</f>
        <v>-491</v>
      </c>
      <c r="K17" s="139">
        <f>'Historical Financials'!K18</f>
        <v>-507</v>
      </c>
      <c r="L17" s="139">
        <f>'Historical Financials'!L18</f>
        <v>-554</v>
      </c>
      <c r="M17" s="139">
        <f>'Historical Financials'!M18</f>
        <v>-464</v>
      </c>
      <c r="N17" s="139">
        <f>'Historical Financials'!N18</f>
        <v>-570</v>
      </c>
      <c r="O17" s="139">
        <f>'Historical Financials'!O18</f>
        <v>-519</v>
      </c>
      <c r="P17" s="139">
        <f>'Historical Financials'!P18</f>
        <v>-594</v>
      </c>
      <c r="Q17" s="139">
        <f>'Historical Financials'!Q18</f>
        <v>-503</v>
      </c>
      <c r="R17" s="139">
        <f>'Historical Financials'!R18</f>
        <v>-461</v>
      </c>
      <c r="S17" s="139">
        <f>'Historical Financials'!S18</f>
        <v>-513</v>
      </c>
      <c r="T17" s="5"/>
      <c r="U17" s="140">
        <f t="shared" si="15"/>
        <v>-2059</v>
      </c>
      <c r="V17" s="140">
        <f t="shared" si="15"/>
        <v>-2016</v>
      </c>
      <c r="W17" s="140">
        <f t="shared" si="15"/>
        <v>-2095</v>
      </c>
      <c r="X17" s="140">
        <f t="shared" si="15"/>
        <v>-2107</v>
      </c>
      <c r="Y17" s="140">
        <f t="shared" si="15"/>
        <v>-2147</v>
      </c>
      <c r="Z17" s="140">
        <f t="shared" si="15"/>
        <v>-2186</v>
      </c>
      <c r="AA17" s="140">
        <f t="shared" si="15"/>
        <v>-2077</v>
      </c>
      <c r="AB17" s="140">
        <f>SUM(P17:S17)</f>
        <v>-2071</v>
      </c>
      <c r="AD17" s="124">
        <f t="shared" si="16"/>
        <v>-1.7085904129093499E-2</v>
      </c>
    </row>
    <row r="18" spans="2:30" ht="12.75" customHeight="1">
      <c r="B18" s="23" t="s">
        <v>190</v>
      </c>
      <c r="C18" s="139">
        <f>'Historical Financials'!C19</f>
        <v>-139</v>
      </c>
      <c r="D18" s="139">
        <f>'Historical Financials'!D19</f>
        <v>-62</v>
      </c>
      <c r="E18" s="139">
        <f>'Historical Financials'!E19</f>
        <v>-207</v>
      </c>
      <c r="F18" s="139">
        <f>'Historical Financials'!F19</f>
        <v>84</v>
      </c>
      <c r="G18" s="139">
        <f>'Historical Financials'!G19</f>
        <v>-438</v>
      </c>
      <c r="H18" s="92"/>
      <c r="I18" s="139">
        <f>'Historical Financials'!I19</f>
        <v>-164</v>
      </c>
      <c r="J18" s="139">
        <f>'Historical Financials'!J19</f>
        <v>-24</v>
      </c>
      <c r="K18" s="139">
        <f>'Historical Financials'!K19</f>
        <v>-39</v>
      </c>
      <c r="L18" s="139">
        <f>'Historical Financials'!L19</f>
        <v>311</v>
      </c>
      <c r="M18" s="139">
        <f>'Historical Financials'!M19</f>
        <v>-212</v>
      </c>
      <c r="N18" s="139">
        <f>'Historical Financials'!N19</f>
        <v>-113</v>
      </c>
      <c r="O18" s="139">
        <f>'Historical Financials'!O19</f>
        <v>-63</v>
      </c>
      <c r="P18" s="139">
        <f>'Historical Financials'!P19</f>
        <v>-50</v>
      </c>
      <c r="Q18" s="139">
        <f>'Historical Financials'!Q19</f>
        <v>-66</v>
      </c>
      <c r="R18" s="139">
        <f>'Historical Financials'!R19</f>
        <v>-116</v>
      </c>
      <c r="S18" s="139">
        <f>'Historical Financials'!S19</f>
        <v>-69</v>
      </c>
      <c r="T18" s="5"/>
      <c r="U18" s="140">
        <f t="shared" si="15"/>
        <v>84</v>
      </c>
      <c r="V18" s="140">
        <f t="shared" si="15"/>
        <v>36</v>
      </c>
      <c r="W18" s="140">
        <f t="shared" si="15"/>
        <v>-53</v>
      </c>
      <c r="X18" s="140">
        <f t="shared" si="15"/>
        <v>-77</v>
      </c>
      <c r="Y18" s="140">
        <f t="shared" si="15"/>
        <v>-438</v>
      </c>
      <c r="Z18" s="140">
        <f t="shared" si="15"/>
        <v>-292</v>
      </c>
      <c r="AA18" s="140">
        <f t="shared" si="15"/>
        <v>-295</v>
      </c>
      <c r="AB18" s="140">
        <f>SUM(P18:S18)</f>
        <v>-301</v>
      </c>
      <c r="AD18" s="124">
        <f t="shared" si="16"/>
        <v>2.9090909090909092</v>
      </c>
    </row>
    <row r="19" spans="2:30" ht="12.75" customHeight="1">
      <c r="B19" s="13" t="s">
        <v>27</v>
      </c>
      <c r="C19" s="14">
        <f>SUM(C8+SUM(C12:C18))</f>
        <v>3289</v>
      </c>
      <c r="D19" s="14">
        <f>SUM(D8+SUM(D12:D18))</f>
        <v>4262</v>
      </c>
      <c r="E19" s="14">
        <f>SUM(E8+SUM(E12:E18))</f>
        <v>3837</v>
      </c>
      <c r="F19" s="14">
        <f>SUM(F8+SUM(F12:F18))</f>
        <v>5028</v>
      </c>
      <c r="G19" s="14">
        <f>SUM(G8+SUM(G12:G18))</f>
        <v>5325</v>
      </c>
      <c r="H19" s="11"/>
      <c r="I19" s="14">
        <f>SUM(I8+SUM(I12:I18))</f>
        <v>999</v>
      </c>
      <c r="J19" s="14">
        <f>SUM(J8+SUM(J12:J18))</f>
        <v>1133</v>
      </c>
      <c r="K19" s="14">
        <f>SUM(K8+SUM(K12:K18))</f>
        <v>1168</v>
      </c>
      <c r="L19" s="14">
        <f>SUM(L8+SUM(L12:L18))</f>
        <v>1728</v>
      </c>
      <c r="M19" s="14">
        <f>SUM(M8+SUM(M12:M18))</f>
        <v>1168</v>
      </c>
      <c r="N19" s="14">
        <f>SUM(N8+SUM(N12:N18))</f>
        <v>1325</v>
      </c>
      <c r="O19" s="14">
        <f>SUM(O8+SUM(O12:O18))</f>
        <v>1391</v>
      </c>
      <c r="P19" s="14">
        <f>SUM(P8+SUM(P12:P18))</f>
        <v>1441</v>
      </c>
      <c r="Q19" s="14">
        <f>SUM(Q8+SUM(Q12:Q18))</f>
        <v>1530</v>
      </c>
      <c r="R19" s="14">
        <f>SUM(R8+SUM(R12:R18))</f>
        <v>1504</v>
      </c>
      <c r="S19" s="14">
        <f>SUM(S8+SUM(S12:S18))</f>
        <v>1520</v>
      </c>
      <c r="T19" s="5"/>
      <c r="U19" s="14">
        <f>SUM(U8+SUM(U12:U18))</f>
        <v>5028</v>
      </c>
      <c r="V19" s="14">
        <f>SUM(V8+SUM(V12:V18))</f>
        <v>5197</v>
      </c>
      <c r="W19" s="14">
        <f>SUM(W8+SUM(W12:W18))</f>
        <v>5389</v>
      </c>
      <c r="X19" s="14">
        <f>SUM(X8+SUM(X12:X18))</f>
        <v>5612</v>
      </c>
      <c r="Y19" s="14">
        <f>SUM(Y8+SUM(Y12:Y18))</f>
        <v>5325</v>
      </c>
      <c r="Z19" s="14">
        <f>SUM(Z8+SUM(Z12:Z18))</f>
        <v>5687</v>
      </c>
      <c r="AA19" s="14">
        <f>SUM(AA8+SUM(AA12:AA18))</f>
        <v>5866</v>
      </c>
      <c r="AB19" s="14">
        <f>SUM(AB8+SUM(AB12:AB18))</f>
        <v>5995</v>
      </c>
      <c r="AD19" s="125">
        <f>SUM(AB19/X19)-1</f>
        <v>6.8246614397719174E-2</v>
      </c>
    </row>
    <row r="20" spans="2:30" ht="12.75" customHeight="1">
      <c r="B20" s="16" t="s">
        <v>28</v>
      </c>
      <c r="C20" s="17">
        <f>C19/C8</f>
        <v>0.15330474503589075</v>
      </c>
      <c r="D20" s="17">
        <f>D19/D8</f>
        <v>0.16798707185369122</v>
      </c>
      <c r="E20" s="17">
        <f>E19/E8</f>
        <v>0.13943600552365723</v>
      </c>
      <c r="F20" s="17">
        <f>F19/F8</f>
        <v>0.16888918746431092</v>
      </c>
      <c r="G20" s="17">
        <f>G19/G8</f>
        <v>0.16746862911595434</v>
      </c>
      <c r="H20" s="27"/>
      <c r="I20" s="17">
        <f>I19/I8</f>
        <v>0.14190340909090909</v>
      </c>
      <c r="J20" s="17">
        <f>J19/J8</f>
        <v>0.15548236585700562</v>
      </c>
      <c r="K20" s="17">
        <f>K19/K8</f>
        <v>0.15745483957940146</v>
      </c>
      <c r="L20" s="17">
        <f>L19/L8</f>
        <v>0.21530027410914529</v>
      </c>
      <c r="M20" s="17">
        <f>M19/M8</f>
        <v>0.15170801402779582</v>
      </c>
      <c r="N20" s="17">
        <f>N19/N8</f>
        <v>0.16804058338617628</v>
      </c>
      <c r="O20" s="17">
        <f>O19/O8</f>
        <v>0.17726519689053141</v>
      </c>
      <c r="P20" s="17">
        <f>P19/P8</f>
        <v>0.17224480038250059</v>
      </c>
      <c r="Q20" s="17">
        <f>Q19/Q8</f>
        <v>0.19638043896804006</v>
      </c>
      <c r="R20" s="17">
        <f>R19/R8</f>
        <v>0.18146718146718147</v>
      </c>
      <c r="S20" s="17">
        <f>S19/S8</f>
        <v>0.18058690744920994</v>
      </c>
      <c r="T20" s="28"/>
      <c r="U20" s="17">
        <f>U19/U8</f>
        <v>0.16888918746431092</v>
      </c>
      <c r="V20" s="17">
        <f>V19/V8</f>
        <v>0.17078540913572132</v>
      </c>
      <c r="W20" s="17">
        <f>W19/W8</f>
        <v>0.1736818357612479</v>
      </c>
      <c r="X20" s="17">
        <f>X19/X8</f>
        <v>0.17840226340719076</v>
      </c>
      <c r="Y20" s="17">
        <f>Y19/Y8</f>
        <v>0.16746862911595434</v>
      </c>
      <c r="Z20" s="17">
        <f>Z19/Z8</f>
        <v>0.17833735770955503</v>
      </c>
      <c r="AA20" s="17">
        <f>AA19/AA8</f>
        <v>0.18165489904620338</v>
      </c>
      <c r="AB20" s="17">
        <f>AB19/AB8</f>
        <v>0.18242955389203336</v>
      </c>
      <c r="AD20" s="126">
        <f>SUM(AB20-X20)*10000</f>
        <v>40.272904848425995</v>
      </c>
    </row>
    <row r="21" spans="2:30" ht="5.0999999999999996" customHeight="1">
      <c r="AD21" s="123"/>
    </row>
    <row r="22" spans="2:30" ht="12.75" customHeight="1">
      <c r="B22" s="29" t="s">
        <v>96</v>
      </c>
      <c r="C22" s="139">
        <f>'Historical Financials'!C94</f>
        <v>1189</v>
      </c>
      <c r="D22" s="139">
        <f>'Historical Financials'!D94</f>
        <v>1265</v>
      </c>
      <c r="E22" s="139">
        <f>'Historical Financials'!E94</f>
        <v>1317</v>
      </c>
      <c r="F22" s="139">
        <f>'Historical Financials'!F94</f>
        <v>1072</v>
      </c>
      <c r="G22" s="139">
        <f>'Historical Financials'!G94</f>
        <v>1032</v>
      </c>
      <c r="I22" s="139">
        <f>'Historical Financials'!I94</f>
        <v>270</v>
      </c>
      <c r="J22" s="139">
        <f>'Historical Financials'!J94</f>
        <v>269</v>
      </c>
      <c r="K22" s="139">
        <f>'Historical Financials'!K94</f>
        <v>270</v>
      </c>
      <c r="L22" s="139">
        <f>'Historical Financials'!L94</f>
        <v>263</v>
      </c>
      <c r="M22" s="139">
        <f>'Historical Financials'!M94</f>
        <v>265</v>
      </c>
      <c r="N22" s="139">
        <f>'Historical Financials'!N94</f>
        <v>263</v>
      </c>
      <c r="O22" s="139">
        <f>'Historical Financials'!O94</f>
        <v>255</v>
      </c>
      <c r="P22" s="139">
        <f>'Historical Financials'!P94</f>
        <v>249</v>
      </c>
      <c r="Q22" s="139">
        <f>'Historical Financials'!Q94</f>
        <v>245</v>
      </c>
      <c r="R22" s="139">
        <f>'Historical Financials'!R94</f>
        <v>239</v>
      </c>
      <c r="S22" s="139">
        <f>'Historical Financials'!S94</f>
        <v>245</v>
      </c>
      <c r="U22" s="10">
        <f t="shared" ref="U22:AA22" si="17">SUM(I22:L22)</f>
        <v>1072</v>
      </c>
      <c r="V22" s="10">
        <f t="shared" si="17"/>
        <v>1067</v>
      </c>
      <c r="W22" s="10">
        <f t="shared" si="17"/>
        <v>1061</v>
      </c>
      <c r="X22" s="10">
        <f t="shared" si="17"/>
        <v>1046</v>
      </c>
      <c r="Y22" s="10">
        <f t="shared" si="17"/>
        <v>1032</v>
      </c>
      <c r="Z22" s="10">
        <f t="shared" si="17"/>
        <v>1012</v>
      </c>
      <c r="AA22" s="10">
        <f t="shared" si="17"/>
        <v>988</v>
      </c>
      <c r="AB22" s="10">
        <f>SUM(P22:S22)</f>
        <v>978</v>
      </c>
      <c r="AD22" s="124">
        <f>SUM(AB22/X22)-1</f>
        <v>-6.5009560229445484E-2</v>
      </c>
    </row>
    <row r="23" spans="2:30" ht="12.75" customHeight="1">
      <c r="B23" s="25" t="s">
        <v>11</v>
      </c>
      <c r="C23" s="26">
        <f>SUM(C19+SUM(C22:C22))</f>
        <v>4478</v>
      </c>
      <c r="D23" s="26">
        <f>SUM(D19+SUM(D22:D22))</f>
        <v>5527</v>
      </c>
      <c r="E23" s="26">
        <f>SUM(E19+SUM(E22:E22))</f>
        <v>5154</v>
      </c>
      <c r="F23" s="26">
        <f>SUM(F19+SUM(F22:F22))</f>
        <v>6100</v>
      </c>
      <c r="G23" s="26">
        <f>SUM(G19+SUM(G22:G22))</f>
        <v>6357</v>
      </c>
      <c r="I23" s="26">
        <f>SUM(I19+SUM(I22:I22))</f>
        <v>1269</v>
      </c>
      <c r="J23" s="26">
        <f>SUM(J19+SUM(J22:J22))</f>
        <v>1402</v>
      </c>
      <c r="K23" s="26">
        <f>SUM(K19+SUM(K22:K22))</f>
        <v>1438</v>
      </c>
      <c r="L23" s="26">
        <f>SUM(L19+SUM(L22:L22))</f>
        <v>1991</v>
      </c>
      <c r="M23" s="26">
        <f>SUM(M19+SUM(M22:M22))</f>
        <v>1433</v>
      </c>
      <c r="N23" s="26">
        <f>SUM(N19+SUM(N22:N22))</f>
        <v>1588</v>
      </c>
      <c r="O23" s="26">
        <f>SUM(O19+SUM(O22:O22))</f>
        <v>1646</v>
      </c>
      <c r="P23" s="26">
        <f>SUM(P19+SUM(P22:P22))</f>
        <v>1690</v>
      </c>
      <c r="Q23" s="26">
        <f>SUM(Q19+SUM(Q22:Q22))</f>
        <v>1775</v>
      </c>
      <c r="R23" s="26">
        <f>SUM(R19+SUM(R22:R22))</f>
        <v>1743</v>
      </c>
      <c r="S23" s="26">
        <f>SUM(S19+SUM(S22:S22))</f>
        <v>1765</v>
      </c>
      <c r="U23" s="26">
        <f>SUM(U19+SUM(U22:U22))</f>
        <v>6100</v>
      </c>
      <c r="V23" s="26">
        <f>SUM(V19+SUM(V22:V22))</f>
        <v>6264</v>
      </c>
      <c r="W23" s="26">
        <f>SUM(W19+SUM(W22:W22))</f>
        <v>6450</v>
      </c>
      <c r="X23" s="26">
        <f>SUM(X19+SUM(X22:X22))</f>
        <v>6658</v>
      </c>
      <c r="Y23" s="26">
        <f>SUM(Y19+SUM(Y22:Y22))</f>
        <v>6357</v>
      </c>
      <c r="Z23" s="26">
        <f>SUM(Z19+SUM(Z22:Z22))</f>
        <v>6699</v>
      </c>
      <c r="AA23" s="26">
        <f>SUM(AA19+SUM(AA22:AA22))</f>
        <v>6854</v>
      </c>
      <c r="AB23" s="26">
        <f>SUM(AB19+SUM(AB22:AB22))</f>
        <v>6973</v>
      </c>
      <c r="AD23" s="125">
        <f>SUM(AB23/X23)-1</f>
        <v>4.7311504956443429E-2</v>
      </c>
    </row>
    <row r="24" spans="2:30" ht="12.75" customHeight="1">
      <c r="B24" s="16" t="s">
        <v>29</v>
      </c>
      <c r="C24" s="17">
        <f>C23/C8</f>
        <v>0.2087256455672602</v>
      </c>
      <c r="D24" s="17">
        <f>D23/D8</f>
        <v>0.21784714831894683</v>
      </c>
      <c r="E24" s="17">
        <f>E23/E8</f>
        <v>0.18729558834217602</v>
      </c>
      <c r="F24" s="17">
        <f>F23/F8</f>
        <v>0.2048973833596453</v>
      </c>
      <c r="G24" s="17">
        <f>G23/G8</f>
        <v>0.19992452118124351</v>
      </c>
      <c r="I24" s="17">
        <f>I23/I8</f>
        <v>0.18025568181818183</v>
      </c>
      <c r="J24" s="17">
        <f>J23/J8</f>
        <v>0.1923974200631261</v>
      </c>
      <c r="K24" s="17">
        <f>K23/K8</f>
        <v>0.19385279050957133</v>
      </c>
      <c r="L24" s="17">
        <f>L23/L8</f>
        <v>0.24806877647645154</v>
      </c>
      <c r="M24" s="17">
        <f>M23/M8</f>
        <v>0.18612806858033512</v>
      </c>
      <c r="N24" s="17">
        <f>N23/N8</f>
        <v>0.20139505389980977</v>
      </c>
      <c r="O24" s="17">
        <f>O23/O8</f>
        <v>0.20976169236650949</v>
      </c>
      <c r="P24" s="17">
        <f>P23/P8</f>
        <v>0.20200812813770022</v>
      </c>
      <c r="Q24" s="17">
        <f>Q23/Q8</f>
        <v>0.22782697984854319</v>
      </c>
      <c r="R24" s="17">
        <f>R23/R8</f>
        <v>0.21030405405405406</v>
      </c>
      <c r="S24" s="17">
        <f>S23/S8</f>
        <v>0.2096946655577997</v>
      </c>
      <c r="U24" s="17">
        <f>U23/U8</f>
        <v>0.2048973833596453</v>
      </c>
      <c r="V24" s="17">
        <f>V23/V8</f>
        <v>0.20584949063424252</v>
      </c>
      <c r="W24" s="17">
        <f>W23/W8</f>
        <v>0.20787675647801984</v>
      </c>
      <c r="X24" s="17">
        <f>X23/X8</f>
        <v>0.21165400387831007</v>
      </c>
      <c r="Y24" s="17">
        <f>Y23/Y8</f>
        <v>0.19992452118124351</v>
      </c>
      <c r="Z24" s="17">
        <f>Z23/Z8</f>
        <v>0.21007243877199033</v>
      </c>
      <c r="AA24" s="17">
        <f>AA23/AA8</f>
        <v>0.21225071225071226</v>
      </c>
      <c r="AB24" s="17">
        <f>AB23/AB8</f>
        <v>0.21219037185807316</v>
      </c>
      <c r="AD24" s="126">
        <f>SUM(AB24-X24)*10000</f>
        <v>5.3636797976308603</v>
      </c>
    </row>
    <row r="25" spans="2:30" ht="5.0999999999999996" customHeight="1">
      <c r="AD25" s="123"/>
    </row>
    <row r="26" spans="2:30" ht="12.75" customHeight="1">
      <c r="B26" s="29" t="s">
        <v>103</v>
      </c>
      <c r="C26" s="139">
        <f>'Historical Financials'!C95</f>
        <v>1376</v>
      </c>
      <c r="D26" s="139">
        <f>'Historical Financials'!D95</f>
        <v>1376</v>
      </c>
      <c r="E26" s="139">
        <f>'Historical Financials'!E95</f>
        <v>1261</v>
      </c>
      <c r="F26" s="139">
        <f>'Historical Financials'!F95</f>
        <v>1475</v>
      </c>
      <c r="G26" s="139">
        <f>'Historical Financials'!G95</f>
        <v>1230</v>
      </c>
      <c r="I26" s="139">
        <f>'Historical Financials'!I95</f>
        <v>345</v>
      </c>
      <c r="J26" s="139">
        <f>'Historical Financials'!J95</f>
        <v>363</v>
      </c>
      <c r="K26" s="139">
        <f>'Historical Financials'!K95</f>
        <v>379</v>
      </c>
      <c r="L26" s="139">
        <f>'Historical Financials'!L95</f>
        <v>388</v>
      </c>
      <c r="M26" s="139">
        <f>'Historical Financials'!M95</f>
        <v>365</v>
      </c>
      <c r="N26" s="139">
        <f>'Historical Financials'!N95</f>
        <v>298</v>
      </c>
      <c r="O26" s="139">
        <f>'Historical Financials'!O95</f>
        <v>284</v>
      </c>
      <c r="P26" s="139">
        <f>'Historical Financials'!P95</f>
        <v>283</v>
      </c>
      <c r="Q26" s="139">
        <f>'Historical Financials'!Q95</f>
        <v>249</v>
      </c>
      <c r="R26" s="139">
        <f>'Historical Financials'!R95</f>
        <v>286</v>
      </c>
      <c r="S26" s="139">
        <f>'Historical Financials'!S95</f>
        <v>257</v>
      </c>
      <c r="U26" s="140">
        <f t="shared" ref="U26:AA26" si="18">SUM(I26:L26)</f>
        <v>1475</v>
      </c>
      <c r="V26" s="140">
        <f t="shared" si="18"/>
        <v>1495</v>
      </c>
      <c r="W26" s="140">
        <f t="shared" si="18"/>
        <v>1430</v>
      </c>
      <c r="X26" s="140">
        <f t="shared" si="18"/>
        <v>1335</v>
      </c>
      <c r="Y26" s="140">
        <f t="shared" si="18"/>
        <v>1230</v>
      </c>
      <c r="Z26" s="140">
        <f t="shared" si="18"/>
        <v>1114</v>
      </c>
      <c r="AA26" s="140">
        <f t="shared" si="18"/>
        <v>1102</v>
      </c>
      <c r="AB26" s="140">
        <f>SUM(P26:S26)</f>
        <v>1075</v>
      </c>
      <c r="AD26" s="124">
        <f t="shared" ref="AD26" si="19">SUM(AB26/X26)-1</f>
        <v>-0.19475655430711614</v>
      </c>
    </row>
    <row r="27" spans="2:30" ht="12.75" customHeight="1">
      <c r="B27" s="13" t="s">
        <v>30</v>
      </c>
      <c r="C27" s="14">
        <f>+SUM(C23+SUM(C26:C26))</f>
        <v>5854</v>
      </c>
      <c r="D27" s="14">
        <f>+SUM(D23+SUM(D26:D26))</f>
        <v>6903</v>
      </c>
      <c r="E27" s="14">
        <f>+SUM(E23+SUM(E26:E26))</f>
        <v>6415</v>
      </c>
      <c r="F27" s="14">
        <f>+SUM(F23+SUM(F26:F26))</f>
        <v>7575</v>
      </c>
      <c r="G27" s="14">
        <f>+SUM(G23+SUM(G26:G26))</f>
        <v>7587</v>
      </c>
      <c r="H27" s="11"/>
      <c r="I27" s="14">
        <f>+SUM(I23+SUM(I26:I26))</f>
        <v>1614</v>
      </c>
      <c r="J27" s="14">
        <f>+SUM(J23+SUM(J26:J26))</f>
        <v>1765</v>
      </c>
      <c r="K27" s="14">
        <f>+SUM(K23+SUM(K26:K26))</f>
        <v>1817</v>
      </c>
      <c r="L27" s="14">
        <f>+SUM(L23+SUM(L26:L26))</f>
        <v>2379</v>
      </c>
      <c r="M27" s="14">
        <f>+SUM(M23+SUM(M26:M26))</f>
        <v>1798</v>
      </c>
      <c r="N27" s="14">
        <f>+SUM(N23+SUM(N26:N26))</f>
        <v>1886</v>
      </c>
      <c r="O27" s="14">
        <f>+SUM(O23+SUM(O26:O26))</f>
        <v>1930</v>
      </c>
      <c r="P27" s="14">
        <f>+SUM(P23+SUM(P26:P26))</f>
        <v>1973</v>
      </c>
      <c r="Q27" s="14">
        <f>+SUM(Q23+SUM(Q26:Q26))</f>
        <v>2024</v>
      </c>
      <c r="R27" s="14">
        <f>+SUM(R23+SUM(R26:R26))</f>
        <v>2029</v>
      </c>
      <c r="S27" s="14">
        <f>+SUM(S23+SUM(S26:S26))</f>
        <v>2022</v>
      </c>
      <c r="U27" s="14">
        <f>+SUM(U23+SUM(U26:U26))</f>
        <v>7575</v>
      </c>
      <c r="V27" s="14">
        <f>+SUM(V23+SUM(V26:V26))</f>
        <v>7759</v>
      </c>
      <c r="W27" s="14">
        <f>+SUM(W23+SUM(W26:W26))</f>
        <v>7880</v>
      </c>
      <c r="X27" s="14">
        <f>+SUM(X23+SUM(X26:X26))</f>
        <v>7993</v>
      </c>
      <c r="Y27" s="14">
        <f>+SUM(Y23+SUM(Y26:Y26))</f>
        <v>7587</v>
      </c>
      <c r="Z27" s="14">
        <f>+SUM(Z23+SUM(Z26:Z26))</f>
        <v>7813</v>
      </c>
      <c r="AA27" s="14">
        <f>+SUM(AA23+SUM(AA26:AA26))</f>
        <v>7956</v>
      </c>
      <c r="AB27" s="14">
        <f>+SUM(AB23+SUM(AB26:AB26))</f>
        <v>8048</v>
      </c>
      <c r="AD27" s="125">
        <f>SUM(AB27/X27)-1</f>
        <v>6.8810208932816863E-3</v>
      </c>
    </row>
    <row r="28" spans="2:30" ht="12.75" customHeight="1">
      <c r="B28" s="16" t="s">
        <v>31</v>
      </c>
      <c r="C28" s="17">
        <f>C27/C8</f>
        <v>0.27286286939498461</v>
      </c>
      <c r="D28" s="17">
        <f>D27/D8</f>
        <v>0.27208229868747785</v>
      </c>
      <c r="E28" s="17">
        <f>E27/E8</f>
        <v>0.23312013954502508</v>
      </c>
      <c r="F28" s="17">
        <f>F27/F8</f>
        <v>0.25444224245070707</v>
      </c>
      <c r="G28" s="17">
        <f>G27/G8</f>
        <v>0.23860741579394282</v>
      </c>
      <c r="I28" s="17">
        <f>I27/I8</f>
        <v>0.22926136363636362</v>
      </c>
      <c r="J28" s="17">
        <f>J27/J8</f>
        <v>0.2422121586386716</v>
      </c>
      <c r="K28" s="17">
        <f>K27/K8</f>
        <v>0.24494472903747641</v>
      </c>
      <c r="L28" s="17">
        <f>L27/L8</f>
        <v>0.29641166209818093</v>
      </c>
      <c r="M28" s="17">
        <f>M27/M8</f>
        <v>0.23353682296402131</v>
      </c>
      <c r="N28" s="17">
        <f>N27/N8</f>
        <v>0.23918833227647432</v>
      </c>
      <c r="O28" s="17">
        <f>O27/O8</f>
        <v>0.24595386772014782</v>
      </c>
      <c r="P28" s="17">
        <f>P27/P8</f>
        <v>0.23583552474300742</v>
      </c>
      <c r="Q28" s="17">
        <f>Q27/Q8</f>
        <v>0.25978693364138106</v>
      </c>
      <c r="R28" s="17">
        <f>R27/R8</f>
        <v>0.24481177606177607</v>
      </c>
      <c r="S28" s="17">
        <f>S27/S8</f>
        <v>0.24022810977783057</v>
      </c>
      <c r="U28" s="17">
        <f>U27/U8</f>
        <v>0.25444224245070707</v>
      </c>
      <c r="V28" s="17">
        <f>V27/V8</f>
        <v>0.25497863950049293</v>
      </c>
      <c r="W28" s="17">
        <f>W27/W8</f>
        <v>0.25396416140260408</v>
      </c>
      <c r="X28" s="17">
        <f>X27/X8</f>
        <v>0.25409288870521662</v>
      </c>
      <c r="Y28" s="17">
        <f>Y27/Y8</f>
        <v>0.23860741579394282</v>
      </c>
      <c r="Z28" s="17">
        <f>Z27/Z8</f>
        <v>0.24500611496127192</v>
      </c>
      <c r="AA28" s="17">
        <f>AA27/AA8</f>
        <v>0.24637681159420291</v>
      </c>
      <c r="AB28" s="17">
        <f>AB27/AB8</f>
        <v>0.24490292739334185</v>
      </c>
      <c r="AD28" s="126">
        <f>SUM(AB28-X28)*10000</f>
        <v>-91.899613118747723</v>
      </c>
    </row>
    <row r="29" spans="2:30" ht="5.0999999999999996" customHeight="1">
      <c r="AD29" s="123"/>
    </row>
    <row r="30" spans="2:30" ht="12.75" customHeight="1">
      <c r="B30" s="23" t="s">
        <v>32</v>
      </c>
      <c r="C30" s="139">
        <f>'Historical Financials'!C113</f>
        <v>-866</v>
      </c>
      <c r="D30" s="139">
        <f>'Historical Financials'!D113</f>
        <v>-908</v>
      </c>
      <c r="E30" s="139">
        <f>'Historical Financials'!E113</f>
        <v>-706</v>
      </c>
      <c r="F30" s="139">
        <f>'Historical Financials'!F113</f>
        <v>-623</v>
      </c>
      <c r="G30" s="139">
        <f>'Historical Financials'!G113</f>
        <v>-683</v>
      </c>
      <c r="I30" s="139">
        <f>'Historical Financials'!I113</f>
        <v>-170</v>
      </c>
      <c r="J30" s="139">
        <f>'Historical Financials'!J113</f>
        <v>-150</v>
      </c>
      <c r="K30" s="139">
        <f>'Historical Financials'!K113</f>
        <v>-158</v>
      </c>
      <c r="L30" s="139">
        <f>'Historical Financials'!L113</f>
        <v>-145</v>
      </c>
      <c r="M30" s="139">
        <f>'Historical Financials'!M113</f>
        <v>-154</v>
      </c>
      <c r="N30" s="139">
        <f>'Historical Financials'!N113</f>
        <v>-157</v>
      </c>
      <c r="O30" s="139">
        <f>'Historical Financials'!O113</f>
        <v>-169</v>
      </c>
      <c r="P30" s="139">
        <f>'Historical Financials'!P113</f>
        <v>-203</v>
      </c>
      <c r="Q30" s="139">
        <f>'Historical Financials'!Q113</f>
        <v>-196</v>
      </c>
      <c r="R30" s="139">
        <f>'Historical Financials'!R113</f>
        <v>-206</v>
      </c>
      <c r="S30" s="139">
        <f>'Historical Financials'!S113</f>
        <v>-256</v>
      </c>
      <c r="U30" s="10">
        <f t="shared" ref="U30:AB33" si="20">SUM(I30:L30)</f>
        <v>-623</v>
      </c>
      <c r="V30" s="10">
        <f t="shared" si="20"/>
        <v>-607</v>
      </c>
      <c r="W30" s="10">
        <f t="shared" si="20"/>
        <v>-614</v>
      </c>
      <c r="X30" s="140">
        <f t="shared" si="20"/>
        <v>-625</v>
      </c>
      <c r="Y30" s="140">
        <f t="shared" si="20"/>
        <v>-683</v>
      </c>
      <c r="Z30" s="140">
        <f t="shared" si="20"/>
        <v>-725</v>
      </c>
      <c r="AA30" s="140">
        <f t="shared" si="20"/>
        <v>-774</v>
      </c>
      <c r="AB30" s="140">
        <f t="shared" si="20"/>
        <v>-861</v>
      </c>
      <c r="AD30" s="124">
        <f>SUM(AB30/X30)-1</f>
        <v>0.37759999999999994</v>
      </c>
    </row>
    <row r="31" spans="2:30" ht="12.75" customHeight="1">
      <c r="B31" s="23" t="s">
        <v>33</v>
      </c>
      <c r="C31" s="139">
        <f>-'Historical Financials'!C151</f>
        <v>-565</v>
      </c>
      <c r="D31" s="139">
        <f>-'Historical Financials'!D151</f>
        <v>-474</v>
      </c>
      <c r="E31" s="139">
        <f>-'Historical Financials'!E151</f>
        <v>-878</v>
      </c>
      <c r="F31" s="139">
        <f>-'Historical Financials'!F151</f>
        <v>-2118</v>
      </c>
      <c r="G31" s="139">
        <f>-'Historical Financials'!G151</f>
        <v>-1027</v>
      </c>
      <c r="I31" s="139">
        <f>-'Historical Financials'!I151</f>
        <v>-495</v>
      </c>
      <c r="J31" s="139">
        <f>-'Historical Financials'!J151</f>
        <v>-411</v>
      </c>
      <c r="K31" s="139">
        <f>-'Historical Financials'!K151</f>
        <v>-152</v>
      </c>
      <c r="L31" s="139">
        <f>-'Historical Financials'!L151</f>
        <v>-1060</v>
      </c>
      <c r="M31" s="139">
        <f>-'Historical Financials'!M151</f>
        <v>-83</v>
      </c>
      <c r="N31" s="139">
        <f>-'Historical Financials'!N151</f>
        <v>-739</v>
      </c>
      <c r="O31" s="139">
        <f>-'Historical Financials'!O151</f>
        <v>-153</v>
      </c>
      <c r="P31" s="139">
        <f>-'Historical Financials'!P151</f>
        <v>-52</v>
      </c>
      <c r="Q31" s="139">
        <f>-'Historical Financials'!Q151</f>
        <v>-95</v>
      </c>
      <c r="R31" s="139">
        <f>-'Historical Financials'!R151</f>
        <v>-742</v>
      </c>
      <c r="S31" s="139">
        <f>-'Historical Financials'!S151</f>
        <v>-1033</v>
      </c>
      <c r="U31" s="10">
        <f t="shared" si="20"/>
        <v>-2118</v>
      </c>
      <c r="V31" s="10">
        <f t="shared" si="20"/>
        <v>-1706</v>
      </c>
      <c r="W31" s="10">
        <f t="shared" si="20"/>
        <v>-2034</v>
      </c>
      <c r="X31" s="140">
        <f t="shared" si="20"/>
        <v>-2035</v>
      </c>
      <c r="Y31" s="140">
        <f t="shared" si="20"/>
        <v>-1027</v>
      </c>
      <c r="Z31" s="140">
        <f t="shared" si="20"/>
        <v>-1039</v>
      </c>
      <c r="AA31" s="140">
        <f t="shared" si="20"/>
        <v>-1042</v>
      </c>
      <c r="AB31" s="140">
        <f t="shared" si="20"/>
        <v>-1922</v>
      </c>
      <c r="AD31" s="124">
        <f>SUM(AB31/X31)-1</f>
        <v>-5.5528255528255577E-2</v>
      </c>
    </row>
    <row r="32" spans="2:30" ht="12.75" customHeight="1">
      <c r="B32" s="23" t="s">
        <v>67</v>
      </c>
      <c r="C32" s="139">
        <f>-'Historical Financials'!C150</f>
        <v>-190</v>
      </c>
      <c r="D32" s="139">
        <f>-'Historical Financials'!D150</f>
        <v>-231</v>
      </c>
      <c r="E32" s="139">
        <f>-'Historical Financials'!E150</f>
        <v>-280</v>
      </c>
      <c r="F32" s="139">
        <f>-'Historical Financials'!F150</f>
        <v>-331</v>
      </c>
      <c r="G32" s="139">
        <f>-'Historical Financials'!G150</f>
        <v>-366</v>
      </c>
      <c r="I32" s="139">
        <f>-'Historical Financials'!I150</f>
        <v>-2</v>
      </c>
      <c r="J32" s="139">
        <f>-'Historical Financials'!J150</f>
        <v>-165</v>
      </c>
      <c r="K32" s="139">
        <f>-'Historical Financials'!K150</f>
        <v>0</v>
      </c>
      <c r="L32" s="139">
        <f>-'Historical Financials'!L150</f>
        <v>-164</v>
      </c>
      <c r="M32" s="139">
        <f>-'Historical Financials'!M150</f>
        <v>-2</v>
      </c>
      <c r="N32" s="139">
        <f>-'Historical Financials'!N150</f>
        <v>-164</v>
      </c>
      <c r="O32" s="139">
        <f>-'Historical Financials'!O150</f>
        <v>-2</v>
      </c>
      <c r="P32" s="139">
        <f>-'Historical Financials'!P150</f>
        <v>-198</v>
      </c>
      <c r="Q32" s="139">
        <f>-'Historical Financials'!Q150</f>
        <v>-2</v>
      </c>
      <c r="R32" s="139">
        <f>-'Historical Financials'!R150</f>
        <v>-189</v>
      </c>
      <c r="S32" s="139">
        <f>-'Historical Financials'!S150</f>
        <v>-210</v>
      </c>
      <c r="U32" s="10">
        <f t="shared" si="20"/>
        <v>-331</v>
      </c>
      <c r="V32" s="10">
        <f t="shared" si="20"/>
        <v>-331</v>
      </c>
      <c r="W32" s="10">
        <f t="shared" si="20"/>
        <v>-330</v>
      </c>
      <c r="X32" s="140">
        <f t="shared" si="20"/>
        <v>-332</v>
      </c>
      <c r="Y32" s="140">
        <f t="shared" si="20"/>
        <v>-366</v>
      </c>
      <c r="Z32" s="140">
        <f t="shared" si="20"/>
        <v>-366</v>
      </c>
      <c r="AA32" s="140">
        <f t="shared" si="20"/>
        <v>-391</v>
      </c>
      <c r="AB32" s="140">
        <f t="shared" si="20"/>
        <v>-599</v>
      </c>
      <c r="AD32" s="124">
        <f>SUM(AB32/X32)-1</f>
        <v>0.80421686746987953</v>
      </c>
    </row>
    <row r="33" spans="1:30" ht="12.75" customHeight="1">
      <c r="B33" s="23" t="s">
        <v>34</v>
      </c>
      <c r="C33" s="139">
        <f>SUM('Historical Financials'!C105:C107)</f>
        <v>-587</v>
      </c>
      <c r="D33" s="139">
        <f>SUM('Historical Financials'!D105:D107)</f>
        <v>-1645</v>
      </c>
      <c r="E33" s="139">
        <f>SUM('Historical Financials'!E105:E107)</f>
        <v>-454</v>
      </c>
      <c r="F33" s="139">
        <f>SUM('Historical Financials'!F105:F107)</f>
        <v>-1314</v>
      </c>
      <c r="G33" s="139">
        <f>SUM('Historical Financials'!G105:G107)</f>
        <v>-558</v>
      </c>
      <c r="I33" s="139">
        <f>SUM('Historical Financials'!I105:I107)</f>
        <v>-475</v>
      </c>
      <c r="J33" s="139">
        <f>SUM('Historical Financials'!J105:J107)</f>
        <v>-678</v>
      </c>
      <c r="K33" s="139">
        <f>SUM('Historical Financials'!K105:K107)</f>
        <v>247</v>
      </c>
      <c r="L33" s="139">
        <f>SUM('Historical Financials'!L105:L107)</f>
        <v>-408</v>
      </c>
      <c r="M33" s="139">
        <f>SUM('Historical Financials'!M105:M107)</f>
        <v>115</v>
      </c>
      <c r="N33" s="139">
        <f>SUM('Historical Financials'!N105:N107)</f>
        <v>-555</v>
      </c>
      <c r="O33" s="139">
        <f>SUM('Historical Financials'!O105:O107)</f>
        <v>-152</v>
      </c>
      <c r="P33" s="139">
        <f>SUM('Historical Financials'!P105:P107)</f>
        <v>34</v>
      </c>
      <c r="Q33" s="139">
        <f>SUM('Historical Financials'!Q105:Q107)</f>
        <v>-676</v>
      </c>
      <c r="R33" s="139">
        <f>SUM('Historical Financials'!R105:R107)</f>
        <v>-984</v>
      </c>
      <c r="S33" s="139">
        <f>SUM('Historical Financials'!S105:S107)</f>
        <v>101</v>
      </c>
      <c r="U33" s="10">
        <f t="shared" si="20"/>
        <v>-1314</v>
      </c>
      <c r="V33" s="10">
        <f t="shared" si="20"/>
        <v>-724</v>
      </c>
      <c r="W33" s="10">
        <f t="shared" si="20"/>
        <v>-601</v>
      </c>
      <c r="X33" s="140">
        <f t="shared" si="20"/>
        <v>-1000</v>
      </c>
      <c r="Y33" s="140">
        <f t="shared" si="20"/>
        <v>-558</v>
      </c>
      <c r="Z33" s="140">
        <f t="shared" si="20"/>
        <v>-1349</v>
      </c>
      <c r="AA33" s="140">
        <f t="shared" si="20"/>
        <v>-1778</v>
      </c>
      <c r="AB33" s="140">
        <f t="shared" si="20"/>
        <v>-1525</v>
      </c>
      <c r="AD33" s="124">
        <f>SUM(AB33/X33)-1</f>
        <v>0.52499999999999991</v>
      </c>
    </row>
    <row r="34" spans="1:30" ht="12.75" customHeight="1">
      <c r="B34" s="13" t="s">
        <v>35</v>
      </c>
      <c r="C34" s="14">
        <f>SUM(C27+SUM(C30:C33))</f>
        <v>3646</v>
      </c>
      <c r="D34" s="14">
        <f>SUM(D27+SUM(D30:D33))</f>
        <v>3645</v>
      </c>
      <c r="E34" s="14">
        <f>SUM(E27+SUM(E30:E33))</f>
        <v>4097</v>
      </c>
      <c r="F34" s="14">
        <f>SUM(F27+SUM(F30:F33))</f>
        <v>3189</v>
      </c>
      <c r="G34" s="14">
        <f>SUM(G27+SUM(G30:G33))</f>
        <v>4953</v>
      </c>
      <c r="I34" s="14">
        <f t="shared" ref="I34:R34" si="21">SUM(I27+SUM(I30:I33))</f>
        <v>472</v>
      </c>
      <c r="J34" s="14">
        <f t="shared" si="21"/>
        <v>361</v>
      </c>
      <c r="K34" s="14">
        <f t="shared" si="21"/>
        <v>1754</v>
      </c>
      <c r="L34" s="14">
        <f t="shared" si="21"/>
        <v>602</v>
      </c>
      <c r="M34" s="14">
        <f t="shared" si="21"/>
        <v>1674</v>
      </c>
      <c r="N34" s="14">
        <f t="shared" si="21"/>
        <v>271</v>
      </c>
      <c r="O34" s="14">
        <f t="shared" si="21"/>
        <v>1454</v>
      </c>
      <c r="P34" s="14">
        <f t="shared" si="21"/>
        <v>1554</v>
      </c>
      <c r="Q34" s="14">
        <f t="shared" si="21"/>
        <v>1055</v>
      </c>
      <c r="R34" s="14">
        <f t="shared" si="21"/>
        <v>-92</v>
      </c>
      <c r="S34" s="14">
        <f>SUM(S27+SUM(S30:S33))</f>
        <v>624</v>
      </c>
      <c r="U34" s="14">
        <f t="shared" ref="U34:AB34" si="22">SUM(U27+SUM(U30:U33))</f>
        <v>3189</v>
      </c>
      <c r="V34" s="14">
        <f t="shared" si="22"/>
        <v>4391</v>
      </c>
      <c r="W34" s="14">
        <f t="shared" si="22"/>
        <v>4301</v>
      </c>
      <c r="X34" s="14">
        <f t="shared" si="22"/>
        <v>4001</v>
      </c>
      <c r="Y34" s="14">
        <f t="shared" si="22"/>
        <v>4953</v>
      </c>
      <c r="Z34" s="14">
        <f t="shared" si="22"/>
        <v>4334</v>
      </c>
      <c r="AA34" s="14">
        <f t="shared" si="22"/>
        <v>3971</v>
      </c>
      <c r="AB34" s="14">
        <f t="shared" si="22"/>
        <v>3141</v>
      </c>
      <c r="AD34" s="125">
        <f>SUM(AB34/X34)-1</f>
        <v>-0.21494626343414147</v>
      </c>
    </row>
    <row r="35" spans="1:30" ht="5.0999999999999996" customHeight="1"/>
    <row r="36" spans="1:30" ht="12.75" customHeight="1">
      <c r="B36" s="29" t="s">
        <v>191</v>
      </c>
      <c r="C36" s="139">
        <f>SUM('Historical Financials'!C111:C112)</f>
        <v>0</v>
      </c>
      <c r="D36" s="139">
        <f>SUM('Historical Financials'!D111:D112)</f>
        <v>0</v>
      </c>
      <c r="E36" s="139">
        <f>SUM('Historical Financials'!E111:E112)</f>
        <v>0</v>
      </c>
      <c r="F36" s="139">
        <f>SUM('Historical Financials'!F111:F112)</f>
        <v>0</v>
      </c>
      <c r="G36" s="139">
        <f>SUM('Historical Financials'!G111:G112)</f>
        <v>-87</v>
      </c>
      <c r="H36" s="30"/>
      <c r="I36" s="139">
        <f>SUM('Historical Financials'!I111:I112)</f>
        <v>0</v>
      </c>
      <c r="J36" s="139">
        <f>SUM('Historical Financials'!J111:J112)</f>
        <v>0</v>
      </c>
      <c r="K36" s="139">
        <f>SUM('Historical Financials'!K111:K112)</f>
        <v>0</v>
      </c>
      <c r="L36" s="139">
        <f>SUM('Historical Financials'!L111:L112)</f>
        <v>0</v>
      </c>
      <c r="M36" s="139">
        <f>SUM('Historical Financials'!M111:M112)</f>
        <v>0</v>
      </c>
      <c r="N36" s="139">
        <f>SUM('Historical Financials'!N111:N112)</f>
        <v>0</v>
      </c>
      <c r="O36" s="139">
        <f>SUM('Historical Financials'!O111:O112)</f>
        <v>-73</v>
      </c>
      <c r="P36" s="139">
        <f>SUM('Historical Financials'!P111:P112)</f>
        <v>-14</v>
      </c>
      <c r="Q36" s="139">
        <f>SUM('Historical Financials'!Q111:Q112)</f>
        <v>-113</v>
      </c>
      <c r="R36" s="139">
        <f>SUM('Historical Financials'!R111:R112)</f>
        <v>200</v>
      </c>
      <c r="S36" s="139">
        <f>SUM('Historical Financials'!S111:S112)</f>
        <v>0</v>
      </c>
      <c r="U36" s="140">
        <f t="shared" ref="U36:AA44" si="23">SUM(I36:L36)</f>
        <v>0</v>
      </c>
      <c r="V36" s="140">
        <f t="shared" si="23"/>
        <v>0</v>
      </c>
      <c r="W36" s="140">
        <f t="shared" si="23"/>
        <v>0</v>
      </c>
      <c r="X36" s="140">
        <f t="shared" si="23"/>
        <v>-73</v>
      </c>
      <c r="Y36" s="140">
        <f t="shared" si="23"/>
        <v>-87</v>
      </c>
      <c r="Z36" s="140">
        <f t="shared" si="23"/>
        <v>-200</v>
      </c>
      <c r="AA36" s="140">
        <f t="shared" si="23"/>
        <v>0</v>
      </c>
      <c r="AB36" s="140">
        <f t="shared" ref="AB36:AB44" si="24">SUM(P36:S36)</f>
        <v>73</v>
      </c>
    </row>
    <row r="37" spans="1:30" ht="12.75" customHeight="1">
      <c r="B37" s="29" t="s">
        <v>192</v>
      </c>
      <c r="C37" s="139">
        <f>SUM('Historical Financials'!C115:C116)</f>
        <v>294</v>
      </c>
      <c r="D37" s="139">
        <f>SUM('Historical Financials'!D115:D116)</f>
        <v>-1594</v>
      </c>
      <c r="E37" s="139">
        <f>SUM('Historical Financials'!E115:E116)</f>
        <v>-3267</v>
      </c>
      <c r="F37" s="139">
        <f>SUM('Historical Financials'!F115:F116)</f>
        <v>1462</v>
      </c>
      <c r="G37" s="139">
        <f>SUM('Historical Financials'!G115:G116)</f>
        <v>-1535</v>
      </c>
      <c r="H37" s="30"/>
      <c r="I37" s="139">
        <f>SUM('Historical Financials'!I115:I116)</f>
        <v>-204</v>
      </c>
      <c r="J37" s="139">
        <f>SUM('Historical Financials'!J115:J116)</f>
        <v>1027</v>
      </c>
      <c r="K37" s="139">
        <f>SUM('Historical Financials'!K115:K116)</f>
        <v>694</v>
      </c>
      <c r="L37" s="139">
        <f>SUM('Historical Financials'!L115:L116)</f>
        <v>-55</v>
      </c>
      <c r="M37" s="139">
        <f>SUM('Historical Financials'!M115:M116)</f>
        <v>48</v>
      </c>
      <c r="N37" s="139">
        <f>SUM('Historical Financials'!N115:N116)</f>
        <v>-249</v>
      </c>
      <c r="O37" s="139">
        <f>SUM('Historical Financials'!O115:O116)</f>
        <v>-468</v>
      </c>
      <c r="P37" s="139">
        <f>SUM('Historical Financials'!P115:P116)</f>
        <v>-866</v>
      </c>
      <c r="Q37" s="139">
        <f>SUM('Historical Financials'!Q115:Q116)</f>
        <v>-31</v>
      </c>
      <c r="R37" s="139">
        <f>SUM('Historical Financials'!R115:R116)</f>
        <v>-249</v>
      </c>
      <c r="S37" s="139">
        <f>SUM('Historical Financials'!S115:S116)</f>
        <v>321</v>
      </c>
      <c r="U37" s="140">
        <f t="shared" ref="U37:U38" si="25">SUM(I37:L37)</f>
        <v>1462</v>
      </c>
      <c r="V37" s="140">
        <f t="shared" ref="V37:V38" si="26">SUM(J37:M37)</f>
        <v>1714</v>
      </c>
      <c r="W37" s="140">
        <f t="shared" ref="W37:W38" si="27">SUM(K37:N37)</f>
        <v>438</v>
      </c>
      <c r="X37" s="140">
        <f t="shared" ref="X37:X38" si="28">SUM(L37:O37)</f>
        <v>-724</v>
      </c>
      <c r="Y37" s="140">
        <f t="shared" ref="Y37:Y38" si="29">SUM(M37:P37)</f>
        <v>-1535</v>
      </c>
      <c r="Z37" s="140">
        <f t="shared" ref="Z37:Z38" si="30">SUM(N37:Q37)</f>
        <v>-1614</v>
      </c>
      <c r="AA37" s="140">
        <f t="shared" ref="AA37:AA38" si="31">SUM(O37:R37)</f>
        <v>-1614</v>
      </c>
      <c r="AB37" s="140">
        <f t="shared" ref="AB37:AB38" si="32">SUM(P37:S37)</f>
        <v>-825</v>
      </c>
    </row>
    <row r="38" spans="1:30" ht="12.75" customHeight="1">
      <c r="B38" s="29" t="s">
        <v>193</v>
      </c>
      <c r="C38" s="139">
        <f>SUM('Historical Financials'!C117:C118)</f>
        <v>-10605</v>
      </c>
      <c r="D38" s="139">
        <f>SUM('Historical Financials'!D117:D118)</f>
        <v>-418</v>
      </c>
      <c r="E38" s="139">
        <f>SUM('Historical Financials'!E117:E118)</f>
        <v>3192</v>
      </c>
      <c r="F38" s="139">
        <f>SUM('Historical Financials'!F117:F118)</f>
        <v>2315</v>
      </c>
      <c r="G38" s="139">
        <f>SUM('Historical Financials'!G117:G118)</f>
        <v>753</v>
      </c>
      <c r="H38" s="30"/>
      <c r="I38" s="139">
        <f>SUM('Historical Financials'!I117:I118)</f>
        <v>-655</v>
      </c>
      <c r="J38" s="139">
        <f>SUM('Historical Financials'!J117:J118)</f>
        <v>874</v>
      </c>
      <c r="K38" s="139">
        <f>SUM('Historical Financials'!K117:K118)</f>
        <v>916</v>
      </c>
      <c r="L38" s="139">
        <f>SUM('Historical Financials'!L117:L118)</f>
        <v>1180</v>
      </c>
      <c r="M38" s="139">
        <f>SUM('Historical Financials'!M117:M118)</f>
        <v>2161</v>
      </c>
      <c r="N38" s="139">
        <f>SUM('Historical Financials'!N117:N118)</f>
        <v>-3924</v>
      </c>
      <c r="O38" s="139">
        <f>SUM('Historical Financials'!O117:O118)</f>
        <v>2123</v>
      </c>
      <c r="P38" s="139">
        <f>SUM('Historical Financials'!P117:P118)</f>
        <v>393</v>
      </c>
      <c r="Q38" s="139">
        <f>SUM('Historical Financials'!Q117:Q118)</f>
        <v>-505</v>
      </c>
      <c r="R38" s="139">
        <f>SUM('Historical Financials'!R117:R118)</f>
        <v>536</v>
      </c>
      <c r="S38" s="139">
        <f>SUM('Historical Financials'!S117:S118)</f>
        <v>3045</v>
      </c>
      <c r="U38" s="140">
        <f t="shared" si="25"/>
        <v>2315</v>
      </c>
      <c r="V38" s="140">
        <f t="shared" si="26"/>
        <v>5131</v>
      </c>
      <c r="W38" s="140">
        <f t="shared" si="27"/>
        <v>333</v>
      </c>
      <c r="X38" s="140">
        <f t="shared" si="28"/>
        <v>1540</v>
      </c>
      <c r="Y38" s="140">
        <f t="shared" si="29"/>
        <v>753</v>
      </c>
      <c r="Z38" s="140">
        <f t="shared" si="30"/>
        <v>-1913</v>
      </c>
      <c r="AA38" s="140">
        <f t="shared" si="31"/>
        <v>2547</v>
      </c>
      <c r="AB38" s="140">
        <f t="shared" si="32"/>
        <v>3469</v>
      </c>
    </row>
    <row r="39" spans="1:30" ht="12.75" customHeight="1">
      <c r="B39" s="29" t="s">
        <v>82</v>
      </c>
      <c r="C39" s="139">
        <f>'Historical Financials'!C119</f>
        <v>-3609</v>
      </c>
      <c r="D39" s="139">
        <f>'Historical Financials'!D119</f>
        <v>-2763</v>
      </c>
      <c r="E39" s="139">
        <f>'Historical Financials'!E119</f>
        <v>0</v>
      </c>
      <c r="F39" s="139">
        <f>'Historical Financials'!F119</f>
        <v>466</v>
      </c>
      <c r="G39" s="139">
        <f>'Historical Financials'!G119</f>
        <v>0</v>
      </c>
      <c r="H39" s="30"/>
      <c r="I39" s="139">
        <f>'Historical Financials'!I119</f>
        <v>0</v>
      </c>
      <c r="J39" s="139">
        <f>'Historical Financials'!J119</f>
        <v>0</v>
      </c>
      <c r="K39" s="139">
        <f>'Historical Financials'!K119</f>
        <v>0</v>
      </c>
      <c r="L39" s="139">
        <f>'Historical Financials'!L119</f>
        <v>466</v>
      </c>
      <c r="M39" s="139">
        <f>'Historical Financials'!M119</f>
        <v>0</v>
      </c>
      <c r="N39" s="139">
        <f>'Historical Financials'!N119</f>
        <v>0</v>
      </c>
      <c r="O39" s="139">
        <f>'Historical Financials'!O119</f>
        <v>0</v>
      </c>
      <c r="P39" s="139">
        <f>'Historical Financials'!P119</f>
        <v>0</v>
      </c>
      <c r="Q39" s="139">
        <f>'Historical Financials'!Q119</f>
        <v>0</v>
      </c>
      <c r="R39" s="139">
        <f>'Historical Financials'!R119</f>
        <v>0</v>
      </c>
      <c r="S39" s="139">
        <f>'Historical Financials'!S119</f>
        <v>0</v>
      </c>
      <c r="U39" s="140">
        <f t="shared" si="23"/>
        <v>466</v>
      </c>
      <c r="V39" s="140">
        <f t="shared" si="23"/>
        <v>466</v>
      </c>
      <c r="W39" s="140">
        <f t="shared" si="23"/>
        <v>466</v>
      </c>
      <c r="X39" s="140">
        <f t="shared" si="23"/>
        <v>466</v>
      </c>
      <c r="Y39" s="140">
        <f t="shared" si="23"/>
        <v>0</v>
      </c>
      <c r="Z39" s="140">
        <f t="shared" si="23"/>
        <v>0</v>
      </c>
      <c r="AA39" s="140">
        <f t="shared" si="23"/>
        <v>0</v>
      </c>
      <c r="AB39" s="140">
        <f t="shared" si="24"/>
        <v>0</v>
      </c>
    </row>
    <row r="40" spans="1:30" ht="12.75" customHeight="1">
      <c r="B40" s="29" t="s">
        <v>194</v>
      </c>
      <c r="C40" s="139">
        <f>SUM('Historical Financials'!C126:C127)</f>
        <v>0</v>
      </c>
      <c r="D40" s="139">
        <f>SUM('Historical Financials'!D126:D127)</f>
        <v>0</v>
      </c>
      <c r="E40" s="139">
        <f>SUM('Historical Financials'!E126:E127)</f>
        <v>0</v>
      </c>
      <c r="F40" s="139">
        <f>SUM('Historical Financials'!F126:F127)</f>
        <v>0</v>
      </c>
      <c r="G40" s="139">
        <f>SUM('Historical Financials'!G126:G127)</f>
        <v>0</v>
      </c>
      <c r="H40" s="30"/>
      <c r="I40" s="139">
        <f>SUM('Historical Financials'!I126:I127)</f>
        <v>0</v>
      </c>
      <c r="J40" s="139">
        <f>SUM('Historical Financials'!J126:J127)</f>
        <v>0</v>
      </c>
      <c r="K40" s="139">
        <f>SUM('Historical Financials'!K126:K127)</f>
        <v>0</v>
      </c>
      <c r="L40" s="139">
        <f>SUM('Historical Financials'!L126:L127)</f>
        <v>0</v>
      </c>
      <c r="M40" s="139">
        <f>SUM('Historical Financials'!M126:M127)</f>
        <v>0</v>
      </c>
      <c r="N40" s="139">
        <f>SUM('Historical Financials'!N126:N127)</f>
        <v>0</v>
      </c>
      <c r="O40" s="139">
        <f>SUM('Historical Financials'!O126:O127)</f>
        <v>0</v>
      </c>
      <c r="P40" s="139">
        <f>SUM('Historical Financials'!P126:P127)</f>
        <v>0</v>
      </c>
      <c r="Q40" s="139">
        <f>SUM('Historical Financials'!Q126:Q127)</f>
        <v>0</v>
      </c>
      <c r="R40" s="139">
        <f>SUM('Historical Financials'!R126:R127)</f>
        <v>0</v>
      </c>
      <c r="S40" s="139">
        <f>SUM('Historical Financials'!S126:S127)</f>
        <v>0</v>
      </c>
      <c r="U40" s="140">
        <f t="shared" ref="U40" si="33">SUM(I40:L40)</f>
        <v>0</v>
      </c>
      <c r="V40" s="140">
        <f t="shared" ref="V40" si="34">SUM(J40:M40)</f>
        <v>0</v>
      </c>
      <c r="W40" s="140">
        <f t="shared" ref="W40" si="35">SUM(K40:N40)</f>
        <v>0</v>
      </c>
      <c r="X40" s="140">
        <f t="shared" ref="X40" si="36">SUM(L40:O40)</f>
        <v>0</v>
      </c>
      <c r="Y40" s="140">
        <f t="shared" ref="Y40" si="37">SUM(M40:P40)</f>
        <v>0</v>
      </c>
      <c r="Z40" s="140">
        <f t="shared" ref="Z40" si="38">SUM(N40:Q40)</f>
        <v>0</v>
      </c>
      <c r="AA40" s="140">
        <f t="shared" ref="AA40" si="39">SUM(O40:R40)</f>
        <v>0</v>
      </c>
      <c r="AB40" s="140">
        <f t="shared" ref="AB40" si="40">SUM(P40:S40)</f>
        <v>0</v>
      </c>
    </row>
    <row r="41" spans="1:30" ht="12.75" customHeight="1">
      <c r="B41" s="29" t="s">
        <v>196</v>
      </c>
      <c r="C41" s="139">
        <f>SUM('Historical Financials'!C128:C130)</f>
        <v>-2019</v>
      </c>
      <c r="D41" s="139">
        <f>SUM('Historical Financials'!D128:D130)</f>
        <v>-4247</v>
      </c>
      <c r="E41" s="139">
        <f>SUM('Historical Financials'!E128:E130)</f>
        <v>-4392</v>
      </c>
      <c r="F41" s="139">
        <f>SUM('Historical Financials'!F128:F130)</f>
        <v>-5132</v>
      </c>
      <c r="G41" s="139">
        <f>SUM('Historical Financials'!G128:G130)</f>
        <v>-6303</v>
      </c>
      <c r="H41" s="30"/>
      <c r="I41" s="139">
        <f>SUM('Historical Financials'!I128:I130)</f>
        <v>-1580</v>
      </c>
      <c r="J41" s="139">
        <f>SUM('Historical Financials'!J128:J130)</f>
        <v>-1499</v>
      </c>
      <c r="K41" s="139">
        <f>SUM('Historical Financials'!K128:K130)</f>
        <v>-1459</v>
      </c>
      <c r="L41" s="139">
        <f>SUM('Historical Financials'!L128:L130)</f>
        <v>-594</v>
      </c>
      <c r="M41" s="139">
        <f>SUM('Historical Financials'!M128:M130)</f>
        <v>-1668</v>
      </c>
      <c r="N41" s="139">
        <f>SUM('Historical Financials'!N128:N130)</f>
        <v>-1509</v>
      </c>
      <c r="O41" s="139">
        <f>SUM('Historical Financials'!O128:O130)</f>
        <v>-1817</v>
      </c>
      <c r="P41" s="139">
        <f>SUM('Historical Financials'!P128:P130)</f>
        <v>-1309</v>
      </c>
      <c r="Q41" s="139">
        <f>SUM('Historical Financials'!Q128:Q130)</f>
        <v>-1777</v>
      </c>
      <c r="R41" s="139">
        <f>SUM('Historical Financials'!R128:R130)</f>
        <v>-1449</v>
      </c>
      <c r="S41" s="139">
        <f>SUM('Historical Financials'!S128:S130)</f>
        <v>-1494</v>
      </c>
      <c r="U41" s="140">
        <f t="shared" ref="U41" si="41">SUM(I41:L41)</f>
        <v>-5132</v>
      </c>
      <c r="V41" s="140">
        <f t="shared" ref="V41" si="42">SUM(J41:M41)</f>
        <v>-5220</v>
      </c>
      <c r="W41" s="140">
        <f t="shared" ref="W41" si="43">SUM(K41:N41)</f>
        <v>-5230</v>
      </c>
      <c r="X41" s="140">
        <f t="shared" ref="X41" si="44">SUM(L41:O41)</f>
        <v>-5588</v>
      </c>
      <c r="Y41" s="140">
        <f t="shared" ref="Y41" si="45">SUM(M41:P41)</f>
        <v>-6303</v>
      </c>
      <c r="Z41" s="140">
        <f t="shared" ref="Z41" si="46">SUM(N41:Q41)</f>
        <v>-6412</v>
      </c>
      <c r="AA41" s="140">
        <f t="shared" ref="AA41" si="47">SUM(O41:R41)</f>
        <v>-6352</v>
      </c>
      <c r="AB41" s="140">
        <f t="shared" ref="AB41" si="48">SUM(P41:S41)</f>
        <v>-6029</v>
      </c>
    </row>
    <row r="42" spans="1:30" ht="12.75" customHeight="1">
      <c r="B42" s="29" t="s">
        <v>91</v>
      </c>
      <c r="C42" s="139">
        <f>SUM('Historical Financials'!C131:C132)</f>
        <v>3966</v>
      </c>
      <c r="D42" s="139">
        <f>SUM('Historical Financials'!D131:D132)</f>
        <v>-89</v>
      </c>
      <c r="E42" s="139">
        <f>SUM('Historical Financials'!E131:E132)</f>
        <v>1789</v>
      </c>
      <c r="F42" s="139">
        <f>SUM('Historical Financials'!F131:F132)</f>
        <v>475</v>
      </c>
      <c r="G42" s="139">
        <f>SUM('Historical Financials'!G131:G132)</f>
        <v>-115</v>
      </c>
      <c r="H42" s="30"/>
      <c r="I42" s="139">
        <f>SUM('Historical Financials'!I131:I132)</f>
        <v>67</v>
      </c>
      <c r="J42" s="139">
        <f>SUM('Historical Financials'!J131:J132)</f>
        <v>-289</v>
      </c>
      <c r="K42" s="139">
        <f>SUM('Historical Financials'!K131:K132)</f>
        <v>109</v>
      </c>
      <c r="L42" s="139">
        <f>SUM('Historical Financials'!L131:L132)</f>
        <v>588</v>
      </c>
      <c r="M42" s="139">
        <f>SUM('Historical Financials'!M131:M132)</f>
        <v>-244</v>
      </c>
      <c r="N42" s="139">
        <f>SUM('Historical Financials'!N131:N132)</f>
        <v>1247</v>
      </c>
      <c r="O42" s="139">
        <f>SUM('Historical Financials'!O131:O132)</f>
        <v>132</v>
      </c>
      <c r="P42" s="139">
        <f>SUM('Historical Financials'!P131:P132)</f>
        <v>-1250</v>
      </c>
      <c r="Q42" s="139">
        <f>SUM('Historical Financials'!Q131:Q132)</f>
        <v>1491</v>
      </c>
      <c r="R42" s="139">
        <f>SUM('Historical Financials'!R131:R132)</f>
        <v>-1207</v>
      </c>
      <c r="S42" s="139">
        <f>SUM('Historical Financials'!S131:S132)</f>
        <v>-1</v>
      </c>
      <c r="U42" s="140">
        <f t="shared" si="23"/>
        <v>475</v>
      </c>
      <c r="V42" s="140">
        <f t="shared" si="23"/>
        <v>164</v>
      </c>
      <c r="W42" s="140">
        <f t="shared" si="23"/>
        <v>1700</v>
      </c>
      <c r="X42" s="140">
        <f t="shared" si="23"/>
        <v>1723</v>
      </c>
      <c r="Y42" s="140">
        <f t="shared" si="23"/>
        <v>-115</v>
      </c>
      <c r="Z42" s="140">
        <f t="shared" si="23"/>
        <v>1620</v>
      </c>
      <c r="AA42" s="140">
        <f t="shared" si="23"/>
        <v>-834</v>
      </c>
      <c r="AB42" s="140">
        <f t="shared" si="24"/>
        <v>-967</v>
      </c>
    </row>
    <row r="43" spans="1:30" ht="12.75" customHeight="1">
      <c r="B43" s="29" t="s">
        <v>195</v>
      </c>
      <c r="C43" s="139">
        <f>'Historical Financials'!C133</f>
        <v>10597</v>
      </c>
      <c r="D43" s="139">
        <f>'Historical Financials'!D133</f>
        <v>3572</v>
      </c>
      <c r="E43" s="139">
        <f>'Historical Financials'!E133</f>
        <v>1405</v>
      </c>
      <c r="F43" s="139">
        <f>'Historical Financials'!F133</f>
        <v>1861</v>
      </c>
      <c r="G43" s="139">
        <f>'Historical Financials'!G133</f>
        <v>-1954</v>
      </c>
      <c r="H43" s="30"/>
      <c r="I43" s="139">
        <f>'Historical Financials'!I133</f>
        <v>-1139</v>
      </c>
      <c r="J43" s="139">
        <f>'Historical Financials'!J133</f>
        <v>-1439</v>
      </c>
      <c r="K43" s="139">
        <f>'Historical Financials'!K133</f>
        <v>1301</v>
      </c>
      <c r="L43" s="139">
        <f>'Historical Financials'!L133</f>
        <v>3138</v>
      </c>
      <c r="M43" s="139">
        <f>'Historical Financials'!M133</f>
        <v>-483</v>
      </c>
      <c r="N43" s="139">
        <f>'Historical Financials'!N133</f>
        <v>445</v>
      </c>
      <c r="O43" s="139">
        <f>'Historical Financials'!O133</f>
        <v>-733</v>
      </c>
      <c r="P43" s="139">
        <f>'Historical Financials'!P133</f>
        <v>-1183</v>
      </c>
      <c r="Q43" s="139">
        <f>'Historical Financials'!Q133</f>
        <v>1417</v>
      </c>
      <c r="R43" s="139">
        <f>'Historical Financials'!R133</f>
        <v>-504</v>
      </c>
      <c r="S43" s="139">
        <f>'Historical Financials'!S133</f>
        <v>-250</v>
      </c>
      <c r="U43" s="140">
        <f t="shared" si="23"/>
        <v>1861</v>
      </c>
      <c r="V43" s="140">
        <f t="shared" si="23"/>
        <v>2517</v>
      </c>
      <c r="W43" s="140">
        <f t="shared" si="23"/>
        <v>4401</v>
      </c>
      <c r="X43" s="140">
        <f t="shared" si="23"/>
        <v>2367</v>
      </c>
      <c r="Y43" s="140">
        <f t="shared" si="23"/>
        <v>-1954</v>
      </c>
      <c r="Z43" s="140">
        <f t="shared" si="23"/>
        <v>-54</v>
      </c>
      <c r="AA43" s="140">
        <f t="shared" si="23"/>
        <v>-1003</v>
      </c>
      <c r="AB43" s="140">
        <f t="shared" si="24"/>
        <v>-520</v>
      </c>
    </row>
    <row r="44" spans="1:30" ht="12.75" customHeight="1">
      <c r="B44" s="29" t="s">
        <v>63</v>
      </c>
      <c r="C44" s="94"/>
      <c r="D44" s="94">
        <f t="shared" ref="D44" si="49">SUM(D49-C49)-SUM(D34:D43)</f>
        <v>2297</v>
      </c>
      <c r="E44" s="94">
        <f>SUM(E49-D49)-SUM(E34:E43)</f>
        <v>-245</v>
      </c>
      <c r="F44" s="94">
        <f>SUM(F49-E49)-SUM(F34:F43)</f>
        <v>-3331</v>
      </c>
      <c r="G44" s="94">
        <f>SUM(G49-F49)-SUM(G34:G43)</f>
        <v>1768</v>
      </c>
      <c r="H44" s="30"/>
      <c r="I44" s="94"/>
      <c r="J44" s="94">
        <f>SUM(J49-I49)-SUM(J34:J43)</f>
        <v>-632</v>
      </c>
      <c r="K44" s="94">
        <f>SUM(K49-J49)-SUM(K34:K43)</f>
        <v>-2003</v>
      </c>
      <c r="L44" s="94">
        <f>SUM(L49-K49)-SUM(L34:L43)</f>
        <v>-3060</v>
      </c>
      <c r="M44" s="94">
        <f>SUM(M49-L49)-SUM(M34:M43)</f>
        <v>-876</v>
      </c>
      <c r="N44" s="94">
        <f>SUM(N49-M49)-SUM(N34:N43)</f>
        <v>1727</v>
      </c>
      <c r="O44" s="94">
        <f>SUM(O49-N49)-SUM(O34:O43)</f>
        <v>-1047</v>
      </c>
      <c r="P44" s="94">
        <f>SUM(P49-O49)-SUM(P34:P43)</f>
        <v>1964</v>
      </c>
      <c r="Q44" s="94">
        <f>SUM(Q49-P49)-SUM(Q34:Q43)</f>
        <v>-649</v>
      </c>
      <c r="R44" s="94">
        <f>SUM(R49-Q49)-SUM(R34:R43)</f>
        <v>2004</v>
      </c>
      <c r="S44" s="94">
        <f>SUM(S49-R49)-SUM(S34:S43)</f>
        <v>62</v>
      </c>
      <c r="U44" s="140">
        <f t="shared" si="23"/>
        <v>-5695</v>
      </c>
      <c r="V44" s="140">
        <f t="shared" si="23"/>
        <v>-6571</v>
      </c>
      <c r="W44" s="140">
        <f t="shared" si="23"/>
        <v>-4212</v>
      </c>
      <c r="X44" s="140">
        <f t="shared" si="23"/>
        <v>-3256</v>
      </c>
      <c r="Y44" s="140">
        <f t="shared" si="23"/>
        <v>1768</v>
      </c>
      <c r="Z44" s="140">
        <f t="shared" si="23"/>
        <v>1995</v>
      </c>
      <c r="AA44" s="140">
        <f t="shared" si="23"/>
        <v>2272</v>
      </c>
      <c r="AB44" s="140">
        <f t="shared" si="24"/>
        <v>3381</v>
      </c>
    </row>
    <row r="45" spans="1:30" ht="12.75" customHeight="1">
      <c r="B45" s="13" t="s">
        <v>36</v>
      </c>
      <c r="C45" s="14">
        <f>SUM(C34+SUM(C36:C44))</f>
        <v>2270</v>
      </c>
      <c r="D45" s="14">
        <f>SUM(D34+SUM(D36:D44))</f>
        <v>403</v>
      </c>
      <c r="E45" s="14">
        <f>SUM(E34+SUM(E36:E44))</f>
        <v>2579</v>
      </c>
      <c r="F45" s="14">
        <f>SUM(F34+SUM(F36:F44))</f>
        <v>1305</v>
      </c>
      <c r="G45" s="14">
        <f>SUM(G34+SUM(G36:G44))</f>
        <v>-2520</v>
      </c>
      <c r="I45" s="14">
        <f>SUM(I34+SUM(I36:I44))</f>
        <v>-3039</v>
      </c>
      <c r="J45" s="14">
        <f>SUM(J34+SUM(J36:J44))</f>
        <v>-1597</v>
      </c>
      <c r="K45" s="14">
        <f>SUM(K34+SUM(K36:K44))</f>
        <v>1312</v>
      </c>
      <c r="L45" s="14">
        <f>SUM(L34+SUM(L36:L44))</f>
        <v>2265</v>
      </c>
      <c r="M45" s="14">
        <f>SUM(M34+SUM(M36:M44))</f>
        <v>612</v>
      </c>
      <c r="N45" s="14">
        <f>SUM(N34+SUM(N36:N44))</f>
        <v>-1992</v>
      </c>
      <c r="O45" s="14">
        <f>SUM(O34+SUM(O36:O44))</f>
        <v>-429</v>
      </c>
      <c r="P45" s="14">
        <f>SUM(P34+SUM(P36:P44))</f>
        <v>-711</v>
      </c>
      <c r="Q45" s="14">
        <f>SUM(Q34+SUM(Q36:Q44))</f>
        <v>888</v>
      </c>
      <c r="R45" s="14">
        <f>SUM(R34+SUM(R36:R44))</f>
        <v>-761</v>
      </c>
      <c r="S45" s="14">
        <f>SUM(S34+SUM(S36:S44))</f>
        <v>2307</v>
      </c>
      <c r="U45" s="14">
        <f>SUM(U34+SUM(U36:U44))</f>
        <v>-1059</v>
      </c>
      <c r="V45" s="14">
        <f>SUM(V34+SUM(V36:V44))</f>
        <v>2592</v>
      </c>
      <c r="W45" s="14">
        <f>SUM(W34+SUM(W36:W44))</f>
        <v>2197</v>
      </c>
      <c r="X45" s="14">
        <f>SUM(X34+SUM(X36:X44))</f>
        <v>456</v>
      </c>
      <c r="Y45" s="14">
        <f>SUM(Y34+SUM(Y36:Y44))</f>
        <v>-2520</v>
      </c>
      <c r="Z45" s="14">
        <f>SUM(Z34+SUM(Z36:Z44))</f>
        <v>-2244</v>
      </c>
      <c r="AA45" s="14">
        <f>SUM(AA34+SUM(AA36:AA44))</f>
        <v>-1013</v>
      </c>
      <c r="AB45" s="14">
        <f>SUM(AB34+SUM(AB36:AB44))</f>
        <v>1723</v>
      </c>
    </row>
    <row r="46" spans="1:30" ht="5.0999999999999996" customHeight="1"/>
    <row r="47" spans="1:30" ht="12.75" customHeight="1">
      <c r="A47" s="5"/>
      <c r="B47" s="31" t="s">
        <v>37</v>
      </c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</row>
    <row r="48" spans="1:30" ht="5.0999999999999996" customHeight="1"/>
    <row r="49" spans="2:28" ht="12.75" customHeight="1">
      <c r="B49" s="8" t="s">
        <v>38</v>
      </c>
      <c r="C49" s="92">
        <f>'Historical Financials'!C42</f>
        <v>4794</v>
      </c>
      <c r="D49" s="92">
        <f>'Historical Financials'!D42</f>
        <v>5197</v>
      </c>
      <c r="E49" s="92">
        <f>'Historical Financials'!E42</f>
        <v>7776</v>
      </c>
      <c r="F49" s="92">
        <f>'Historical Financials'!F42</f>
        <v>9081</v>
      </c>
      <c r="G49" s="92">
        <f>'Historical Financials'!G42</f>
        <v>6561</v>
      </c>
      <c r="H49" s="30"/>
      <c r="I49" s="92">
        <f>'Historical Financials'!I42</f>
        <v>7101</v>
      </c>
      <c r="J49" s="92">
        <f>'Historical Financials'!J42</f>
        <v>5504</v>
      </c>
      <c r="K49" s="92">
        <f>'Historical Financials'!K42</f>
        <v>6816</v>
      </c>
      <c r="L49" s="92">
        <f>'Historical Financials'!L42</f>
        <v>9081</v>
      </c>
      <c r="M49" s="92">
        <f>'Historical Financials'!M42</f>
        <v>9693</v>
      </c>
      <c r="N49" s="92">
        <f>'Historical Financials'!N42</f>
        <v>7701</v>
      </c>
      <c r="O49" s="92">
        <f>'Historical Financials'!O42</f>
        <v>7272</v>
      </c>
      <c r="P49" s="92">
        <f>'Historical Financials'!P42</f>
        <v>6561</v>
      </c>
      <c r="Q49" s="92">
        <f>'Historical Financials'!Q42</f>
        <v>7449</v>
      </c>
      <c r="R49" s="92">
        <f>'Historical Financials'!R42</f>
        <v>6688</v>
      </c>
      <c r="S49" s="92">
        <f>'Historical Financials'!S42</f>
        <v>8995</v>
      </c>
      <c r="U49" s="10">
        <f t="shared" ref="U49:AA51" si="50">L49</f>
        <v>9081</v>
      </c>
      <c r="V49" s="10">
        <f t="shared" si="50"/>
        <v>9693</v>
      </c>
      <c r="W49" s="10">
        <f t="shared" si="50"/>
        <v>7701</v>
      </c>
      <c r="X49" s="10">
        <f t="shared" si="50"/>
        <v>7272</v>
      </c>
      <c r="Y49" s="10">
        <f t="shared" si="50"/>
        <v>6561</v>
      </c>
      <c r="Z49" s="10">
        <f t="shared" si="50"/>
        <v>7449</v>
      </c>
      <c r="AA49" s="10">
        <f t="shared" si="50"/>
        <v>6688</v>
      </c>
      <c r="AB49" s="10">
        <f>S49</f>
        <v>8995</v>
      </c>
    </row>
    <row r="50" spans="2:28" ht="12.75" customHeight="1">
      <c r="B50" s="8" t="s">
        <v>104</v>
      </c>
      <c r="C50" s="92">
        <f>'Historical Financials'!C43</f>
        <v>8289</v>
      </c>
      <c r="D50" s="92">
        <f>'Historical Financials'!D43</f>
        <v>4303</v>
      </c>
      <c r="E50" s="92">
        <f>'Historical Financials'!E43</f>
        <v>3092</v>
      </c>
      <c r="F50" s="92">
        <f>'Historical Financials'!F43</f>
        <v>4979</v>
      </c>
      <c r="G50" s="92">
        <f>'Historical Financials'!G43</f>
        <v>4262</v>
      </c>
      <c r="H50" s="30"/>
      <c r="I50" s="92">
        <f>'Historical Financials'!I43</f>
        <v>3559</v>
      </c>
      <c r="J50" s="92">
        <f>'Historical Financials'!J43</f>
        <v>4398</v>
      </c>
      <c r="K50" s="92">
        <f>'Historical Financials'!K43</f>
        <v>4731</v>
      </c>
      <c r="L50" s="92">
        <f>'Historical Financials'!L43</f>
        <v>4979</v>
      </c>
      <c r="M50" s="92">
        <f>'Historical Financials'!M43</f>
        <v>4625</v>
      </c>
      <c r="N50" s="92">
        <f>'Historical Financials'!N43</f>
        <v>5915</v>
      </c>
      <c r="O50" s="92">
        <f>'Historical Financials'!O43</f>
        <v>4647</v>
      </c>
      <c r="P50" s="92">
        <f>'Historical Financials'!P43</f>
        <v>4262</v>
      </c>
      <c r="Q50" s="92">
        <f>'Historical Financials'!Q43</f>
        <v>3762</v>
      </c>
      <c r="R50" s="92">
        <f>'Historical Financials'!R43</f>
        <v>3320</v>
      </c>
      <c r="S50" s="92">
        <f>'Historical Financials'!S43</f>
        <v>1760</v>
      </c>
      <c r="U50" s="10">
        <f t="shared" si="50"/>
        <v>4979</v>
      </c>
      <c r="V50" s="10">
        <f t="shared" si="50"/>
        <v>4625</v>
      </c>
      <c r="W50" s="10">
        <f t="shared" si="50"/>
        <v>5915</v>
      </c>
      <c r="X50" s="10">
        <f t="shared" si="50"/>
        <v>4647</v>
      </c>
      <c r="Y50" s="10">
        <f t="shared" si="50"/>
        <v>4262</v>
      </c>
      <c r="Z50" s="10">
        <f t="shared" si="50"/>
        <v>3762</v>
      </c>
      <c r="AA50" s="10">
        <f t="shared" si="50"/>
        <v>3320</v>
      </c>
      <c r="AB50" s="10">
        <f>S50</f>
        <v>1760</v>
      </c>
    </row>
    <row r="51" spans="2:28" ht="12.75" customHeight="1">
      <c r="B51" s="29" t="s">
        <v>197</v>
      </c>
      <c r="C51" s="79"/>
      <c r="D51" s="79"/>
      <c r="E51" s="79"/>
      <c r="F51" s="79"/>
      <c r="G51" s="79"/>
      <c r="H51" s="92"/>
      <c r="I51" s="79"/>
      <c r="J51" s="79"/>
      <c r="K51" s="79"/>
      <c r="L51" s="10">
        <f>F51</f>
        <v>0</v>
      </c>
      <c r="M51" s="79"/>
      <c r="N51" s="79"/>
      <c r="O51" s="79"/>
      <c r="P51" s="10">
        <f>G51</f>
        <v>0</v>
      </c>
      <c r="Q51" s="79"/>
      <c r="R51" s="79"/>
      <c r="S51" s="79"/>
      <c r="U51" s="10">
        <f t="shared" si="50"/>
        <v>0</v>
      </c>
      <c r="V51" s="10">
        <f t="shared" si="50"/>
        <v>0</v>
      </c>
      <c r="W51" s="10">
        <f t="shared" si="50"/>
        <v>0</v>
      </c>
      <c r="X51" s="10">
        <f t="shared" si="50"/>
        <v>0</v>
      </c>
      <c r="Y51" s="10">
        <f t="shared" si="50"/>
        <v>0</v>
      </c>
      <c r="Z51" s="10">
        <f t="shared" si="50"/>
        <v>0</v>
      </c>
      <c r="AA51" s="10">
        <f t="shared" si="50"/>
        <v>0</v>
      </c>
      <c r="AB51" s="10">
        <f>S51</f>
        <v>0</v>
      </c>
    </row>
    <row r="52" spans="2:28" ht="12.75" customHeight="1">
      <c r="B52" s="13" t="s">
        <v>39</v>
      </c>
      <c r="C52" s="14">
        <f>SUM(C49:C51)</f>
        <v>13083</v>
      </c>
      <c r="D52" s="14">
        <f>SUM(D49:D51)</f>
        <v>9500</v>
      </c>
      <c r="E52" s="14">
        <f>SUM(E49:E51)</f>
        <v>10868</v>
      </c>
      <c r="F52" s="14">
        <f>SUM(F49:F51)</f>
        <v>14060</v>
      </c>
      <c r="G52" s="14">
        <f>SUM(G49:G51)</f>
        <v>10823</v>
      </c>
      <c r="H52" s="30"/>
      <c r="I52" s="14">
        <f t="shared" ref="I52:S52" si="51">SUM(I49:I51)</f>
        <v>10660</v>
      </c>
      <c r="J52" s="14">
        <f t="shared" si="51"/>
        <v>9902</v>
      </c>
      <c r="K52" s="14">
        <f t="shared" si="51"/>
        <v>11547</v>
      </c>
      <c r="L52" s="14">
        <f t="shared" si="51"/>
        <v>14060</v>
      </c>
      <c r="M52" s="14">
        <f t="shared" si="51"/>
        <v>14318</v>
      </c>
      <c r="N52" s="14">
        <f t="shared" si="51"/>
        <v>13616</v>
      </c>
      <c r="O52" s="14">
        <f t="shared" si="51"/>
        <v>11919</v>
      </c>
      <c r="P52" s="14">
        <f t="shared" si="51"/>
        <v>10823</v>
      </c>
      <c r="Q52" s="14">
        <f t="shared" si="51"/>
        <v>11211</v>
      </c>
      <c r="R52" s="14">
        <f t="shared" si="51"/>
        <v>10008</v>
      </c>
      <c r="S52" s="14">
        <f t="shared" si="51"/>
        <v>10755</v>
      </c>
      <c r="U52" s="14">
        <f t="shared" ref="U52:W52" si="52">SUM(U49:U49)</f>
        <v>9081</v>
      </c>
      <c r="V52" s="14">
        <f t="shared" si="52"/>
        <v>9693</v>
      </c>
      <c r="W52" s="14">
        <f t="shared" si="52"/>
        <v>7701</v>
      </c>
      <c r="X52" s="14">
        <f>SUM(X49:X51)</f>
        <v>11919</v>
      </c>
      <c r="Y52" s="14">
        <f>SUM(Y49:Y51)</f>
        <v>10823</v>
      </c>
      <c r="Z52" s="14">
        <f>SUM(Z49:Z51)</f>
        <v>11211</v>
      </c>
      <c r="AA52" s="14">
        <f>SUM(AA49:AA51)</f>
        <v>10008</v>
      </c>
      <c r="AB52" s="14">
        <f>SUM(AB49:AB51)</f>
        <v>10755</v>
      </c>
    </row>
    <row r="53" spans="2:28" ht="5.0999999999999996" customHeight="1"/>
    <row r="54" spans="2:28" ht="12.75" customHeight="1">
      <c r="B54" s="33" t="s">
        <v>40</v>
      </c>
    </row>
    <row r="55" spans="2:28" ht="12.75" customHeight="1">
      <c r="B55" s="8" t="s">
        <v>105</v>
      </c>
      <c r="C55" s="92">
        <f>'Historical Financials'!C44</f>
        <v>577</v>
      </c>
      <c r="D55" s="92">
        <f>'Historical Financials'!D44</f>
        <v>800</v>
      </c>
      <c r="E55" s="92">
        <f>'Historical Financials'!E44</f>
        <v>963</v>
      </c>
      <c r="F55" s="92">
        <f>'Historical Financials'!F44</f>
        <v>1069</v>
      </c>
      <c r="G55" s="92">
        <f>'Historical Financials'!G44</f>
        <v>984</v>
      </c>
      <c r="I55" s="92">
        <f>'Historical Financials'!I44</f>
        <v>967</v>
      </c>
      <c r="J55" s="92">
        <f>'Historical Financials'!J44</f>
        <v>928</v>
      </c>
      <c r="K55" s="92">
        <f>'Historical Financials'!K44</f>
        <v>988</v>
      </c>
      <c r="L55" s="92">
        <f>'Historical Financials'!L44</f>
        <v>1069</v>
      </c>
      <c r="M55" s="92">
        <f>'Historical Financials'!M44</f>
        <v>1108</v>
      </c>
      <c r="N55" s="92">
        <f>'Historical Financials'!N44</f>
        <v>987</v>
      </c>
      <c r="O55" s="92">
        <f>'Historical Financials'!O44</f>
        <v>1038</v>
      </c>
      <c r="P55" s="92">
        <f>'Historical Financials'!P44</f>
        <v>984</v>
      </c>
      <c r="Q55" s="92">
        <f>'Historical Financials'!Q44</f>
        <v>1082</v>
      </c>
      <c r="R55" s="92">
        <f>'Historical Financials'!R44</f>
        <v>1099</v>
      </c>
      <c r="S55" s="92">
        <f>'Historical Financials'!S44</f>
        <v>973</v>
      </c>
      <c r="T55" s="10"/>
      <c r="U55" s="10">
        <f t="shared" ref="U55:AA62" si="53">L55</f>
        <v>1069</v>
      </c>
      <c r="V55" s="10">
        <f t="shared" si="53"/>
        <v>1108</v>
      </c>
      <c r="W55" s="10">
        <f t="shared" si="53"/>
        <v>987</v>
      </c>
      <c r="X55" s="10">
        <f t="shared" si="53"/>
        <v>1038</v>
      </c>
      <c r="Y55" s="10">
        <f t="shared" si="53"/>
        <v>984</v>
      </c>
      <c r="Z55" s="10">
        <f t="shared" si="53"/>
        <v>1082</v>
      </c>
      <c r="AA55" s="10">
        <f t="shared" si="53"/>
        <v>1099</v>
      </c>
      <c r="AB55" s="10">
        <f t="shared" ref="AB55:AB62" si="54">S55</f>
        <v>973</v>
      </c>
    </row>
    <row r="56" spans="2:28" ht="12.75" customHeight="1">
      <c r="B56" s="8" t="s">
        <v>122</v>
      </c>
      <c r="C56" s="92">
        <f>'Historical Financials'!C46</f>
        <v>2769</v>
      </c>
      <c r="D56" s="92">
        <f>'Historical Financials'!D46</f>
        <v>4846</v>
      </c>
      <c r="E56" s="92">
        <f>'Historical Financials'!E46</f>
        <v>7431</v>
      </c>
      <c r="F56" s="92">
        <f>'Historical Financials'!F46</f>
        <v>5433</v>
      </c>
      <c r="G56" s="92">
        <f>'Historical Financials'!G46</f>
        <v>6422</v>
      </c>
      <c r="H56" s="92"/>
      <c r="I56" s="92">
        <f>'Historical Financials'!I46</f>
        <v>7495</v>
      </c>
      <c r="J56" s="92">
        <f>'Historical Financials'!J46</f>
        <v>5547</v>
      </c>
      <c r="K56" s="92">
        <f>'Historical Financials'!K46</f>
        <v>5066</v>
      </c>
      <c r="L56" s="92">
        <f>'Historical Financials'!L46</f>
        <v>5433</v>
      </c>
      <c r="M56" s="92">
        <f>'Historical Financials'!M46</f>
        <v>5202</v>
      </c>
      <c r="N56" s="92">
        <f>'Historical Financials'!N46</f>
        <v>5319</v>
      </c>
      <c r="O56" s="92">
        <f>'Historical Financials'!O46</f>
        <v>6003</v>
      </c>
      <c r="P56" s="92">
        <f>'Historical Financials'!P46</f>
        <v>6422</v>
      </c>
      <c r="Q56" s="92">
        <f>'Historical Financials'!Q46</f>
        <v>6511</v>
      </c>
      <c r="R56" s="92">
        <f>'Historical Financials'!R46</f>
        <v>6938</v>
      </c>
      <c r="S56" s="92">
        <f>'Historical Financials'!S46</f>
        <v>6396</v>
      </c>
      <c r="U56" s="10">
        <f t="shared" si="53"/>
        <v>5433</v>
      </c>
      <c r="V56" s="10">
        <f t="shared" si="53"/>
        <v>5202</v>
      </c>
      <c r="W56" s="10">
        <f t="shared" si="53"/>
        <v>5319</v>
      </c>
      <c r="X56" s="10">
        <f t="shared" si="53"/>
        <v>6003</v>
      </c>
      <c r="Y56" s="10">
        <f t="shared" si="53"/>
        <v>6422</v>
      </c>
      <c r="Z56" s="10">
        <f t="shared" si="53"/>
        <v>6511</v>
      </c>
      <c r="AA56" s="10">
        <f t="shared" si="53"/>
        <v>6938</v>
      </c>
      <c r="AB56" s="10">
        <f t="shared" si="54"/>
        <v>6396</v>
      </c>
    </row>
    <row r="57" spans="2:28" ht="12.75" customHeight="1">
      <c r="B57" s="8" t="s">
        <v>123</v>
      </c>
      <c r="C57" s="92">
        <f>'Historical Financials'!C47</f>
        <v>33418</v>
      </c>
      <c r="D57" s="92">
        <f>'Historical Financials'!D47</f>
        <v>36141</v>
      </c>
      <c r="E57" s="92">
        <f>'Historical Financials'!E47</f>
        <v>36264</v>
      </c>
      <c r="F57" s="92">
        <f>'Historical Financials'!F47</f>
        <v>38935</v>
      </c>
      <c r="G57" s="92">
        <f>'Historical Financials'!G47</f>
        <v>37671</v>
      </c>
      <c r="I57" s="92">
        <f>'Historical Financials'!I47</f>
        <v>35276</v>
      </c>
      <c r="J57" s="92">
        <f>'Historical Financials'!J47</f>
        <v>33643</v>
      </c>
      <c r="K57" s="92">
        <f>'Historical Financials'!K47</f>
        <v>34641</v>
      </c>
      <c r="L57" s="92">
        <f>'Historical Financials'!L47</f>
        <v>38935</v>
      </c>
      <c r="M57" s="92">
        <f>'Historical Financials'!M47</f>
        <v>38353</v>
      </c>
      <c r="N57" s="92">
        <f>'Historical Financials'!N47</f>
        <v>38727</v>
      </c>
      <c r="O57" s="92">
        <f>'Historical Financials'!O47</f>
        <v>39182</v>
      </c>
      <c r="P57" s="92">
        <f>'Historical Financials'!P47</f>
        <v>37671</v>
      </c>
      <c r="Q57" s="92">
        <f>'Historical Financials'!Q47</f>
        <v>39205</v>
      </c>
      <c r="R57" s="92">
        <f>'Historical Financials'!R47</f>
        <v>38923</v>
      </c>
      <c r="S57" s="92">
        <f>'Historical Financials'!S47</f>
        <v>38668</v>
      </c>
      <c r="T57" s="10"/>
      <c r="U57" s="10">
        <f t="shared" ref="U57" si="55">L57</f>
        <v>38935</v>
      </c>
      <c r="V57" s="10">
        <f t="shared" ref="V57" si="56">M57</f>
        <v>38353</v>
      </c>
      <c r="W57" s="10">
        <f t="shared" ref="W57" si="57">N57</f>
        <v>38727</v>
      </c>
      <c r="X57" s="10">
        <f t="shared" ref="X57" si="58">O57</f>
        <v>39182</v>
      </c>
      <c r="Y57" s="10">
        <f t="shared" ref="Y57" si="59">P57</f>
        <v>37671</v>
      </c>
      <c r="Z57" s="10">
        <f t="shared" ref="Z57" si="60">Q57</f>
        <v>39205</v>
      </c>
      <c r="AA57" s="10">
        <f t="shared" ref="AA57" si="61">R57</f>
        <v>38923</v>
      </c>
      <c r="AB57" s="10">
        <f t="shared" ref="AB57" si="62">S57</f>
        <v>38668</v>
      </c>
    </row>
    <row r="58" spans="2:28" ht="12.75" customHeight="1">
      <c r="B58" s="8" t="s">
        <v>95</v>
      </c>
      <c r="C58" s="92">
        <f>'Historical Financials'!C53</f>
        <v>1807</v>
      </c>
      <c r="D58" s="92">
        <f>'Historical Financials'!D53</f>
        <v>1909</v>
      </c>
      <c r="E58" s="92">
        <f>'Historical Financials'!E53</f>
        <v>1730</v>
      </c>
      <c r="F58" s="92">
        <f>'Historical Financials'!F53</f>
        <v>1488</v>
      </c>
      <c r="G58" s="92">
        <f>'Historical Financials'!G53</f>
        <v>1508</v>
      </c>
      <c r="I58" s="92">
        <f>'Historical Financials'!I53</f>
        <v>1633</v>
      </c>
      <c r="J58" s="92">
        <f>'Historical Financials'!J53</f>
        <v>1589</v>
      </c>
      <c r="K58" s="92">
        <f>'Historical Financials'!K53</f>
        <v>1529</v>
      </c>
      <c r="L58" s="92">
        <f>'Historical Financials'!L53</f>
        <v>1488</v>
      </c>
      <c r="M58" s="92">
        <f>'Historical Financials'!M53</f>
        <v>1426</v>
      </c>
      <c r="N58" s="92">
        <f>'Historical Financials'!N53</f>
        <v>1459</v>
      </c>
      <c r="O58" s="92">
        <f>'Historical Financials'!O53</f>
        <v>1496</v>
      </c>
      <c r="P58" s="92">
        <f>'Historical Financials'!P53</f>
        <v>1508</v>
      </c>
      <c r="Q58" s="92">
        <f>'Historical Financials'!Q53</f>
        <v>1537</v>
      </c>
      <c r="R58" s="92">
        <f>'Historical Financials'!R53</f>
        <v>1625</v>
      </c>
      <c r="S58" s="92">
        <f>'Historical Financials'!S53</f>
        <v>1656</v>
      </c>
      <c r="T58" s="10"/>
      <c r="U58" s="10">
        <f t="shared" si="53"/>
        <v>1488</v>
      </c>
      <c r="V58" s="10">
        <f t="shared" si="53"/>
        <v>1426</v>
      </c>
      <c r="W58" s="10">
        <f t="shared" si="53"/>
        <v>1459</v>
      </c>
      <c r="X58" s="10">
        <f t="shared" si="53"/>
        <v>1496</v>
      </c>
      <c r="Y58" s="10">
        <f t="shared" si="53"/>
        <v>1508</v>
      </c>
      <c r="Z58" s="10">
        <f t="shared" si="53"/>
        <v>1537</v>
      </c>
      <c r="AA58" s="10">
        <f t="shared" si="53"/>
        <v>1625</v>
      </c>
      <c r="AB58" s="10">
        <f t="shared" si="54"/>
        <v>1656</v>
      </c>
    </row>
    <row r="59" spans="2:28" ht="12.75" customHeight="1">
      <c r="B59" s="8" t="s">
        <v>41</v>
      </c>
      <c r="C59" s="92">
        <f>'Historical Financials'!C60</f>
        <v>252</v>
      </c>
      <c r="D59" s="92">
        <f>'Historical Financials'!D60</f>
        <v>197</v>
      </c>
      <c r="E59" s="92">
        <f>'Historical Financials'!E60</f>
        <v>126</v>
      </c>
      <c r="F59" s="92">
        <f>'Historical Financials'!F60</f>
        <v>139</v>
      </c>
      <c r="G59" s="92">
        <f>'Historical Financials'!G60</f>
        <v>227</v>
      </c>
      <c r="H59" s="92"/>
      <c r="I59" s="92">
        <f>'Historical Financials'!I60</f>
        <v>142</v>
      </c>
      <c r="J59" s="92">
        <f>'Historical Financials'!J60</f>
        <v>137</v>
      </c>
      <c r="K59" s="92">
        <f>'Historical Financials'!K60</f>
        <v>131</v>
      </c>
      <c r="L59" s="92">
        <f>'Historical Financials'!L60</f>
        <v>139</v>
      </c>
      <c r="M59" s="92">
        <f>'Historical Financials'!M60</f>
        <v>108</v>
      </c>
      <c r="N59" s="92">
        <f>'Historical Financials'!N60</f>
        <v>133</v>
      </c>
      <c r="O59" s="92">
        <f>'Historical Financials'!O60</f>
        <v>165</v>
      </c>
      <c r="P59" s="92">
        <f>'Historical Financials'!P60</f>
        <v>227</v>
      </c>
      <c r="Q59" s="92">
        <f>'Historical Financials'!Q60</f>
        <v>175</v>
      </c>
      <c r="R59" s="92">
        <f>'Historical Financials'!R60</f>
        <v>221</v>
      </c>
      <c r="S59" s="92">
        <f>'Historical Financials'!S60</f>
        <v>208</v>
      </c>
      <c r="U59" s="10">
        <f t="shared" si="53"/>
        <v>139</v>
      </c>
      <c r="V59" s="10">
        <f t="shared" si="53"/>
        <v>108</v>
      </c>
      <c r="W59" s="10">
        <f t="shared" si="53"/>
        <v>133</v>
      </c>
      <c r="X59" s="10">
        <f t="shared" si="53"/>
        <v>165</v>
      </c>
      <c r="Y59" s="10">
        <f t="shared" si="53"/>
        <v>227</v>
      </c>
      <c r="Z59" s="10">
        <f t="shared" si="53"/>
        <v>175</v>
      </c>
      <c r="AA59" s="10">
        <f t="shared" si="53"/>
        <v>221</v>
      </c>
      <c r="AB59" s="10">
        <f t="shared" si="54"/>
        <v>208</v>
      </c>
    </row>
    <row r="60" spans="2:28" ht="12.75" customHeight="1">
      <c r="B60" s="8" t="s">
        <v>130</v>
      </c>
      <c r="C60" s="92">
        <f>'Historical Financials'!C61</f>
        <v>35418</v>
      </c>
      <c r="D60" s="92">
        <f>'Historical Financials'!D61</f>
        <v>38841</v>
      </c>
      <c r="E60" s="92">
        <f>'Historical Financials'!E61</f>
        <v>40014</v>
      </c>
      <c r="F60" s="92">
        <f>'Historical Financials'!F61</f>
        <v>41935</v>
      </c>
      <c r="G60" s="92">
        <f>'Historical Financials'!G61</f>
        <v>39671</v>
      </c>
      <c r="H60" s="92"/>
      <c r="I60" s="92">
        <f>'Historical Financials'!I61</f>
        <v>39026</v>
      </c>
      <c r="J60" s="92">
        <f>'Historical Financials'!J61</f>
        <v>37393</v>
      </c>
      <c r="K60" s="92">
        <f>'Historical Financials'!K61</f>
        <v>38641</v>
      </c>
      <c r="L60" s="92">
        <f>'Historical Financials'!L61</f>
        <v>41935</v>
      </c>
      <c r="M60" s="92">
        <f>'Historical Financials'!M61</f>
        <v>41353</v>
      </c>
      <c r="N60" s="92">
        <f>'Historical Financials'!N61</f>
        <v>41727</v>
      </c>
      <c r="O60" s="92">
        <f>'Historical Financials'!O61</f>
        <v>41182</v>
      </c>
      <c r="P60" s="92">
        <f>'Historical Financials'!P61</f>
        <v>39671</v>
      </c>
      <c r="Q60" s="92">
        <f>'Historical Financials'!Q61</f>
        <v>41205</v>
      </c>
      <c r="R60" s="92">
        <f>'Historical Financials'!R61</f>
        <v>40923</v>
      </c>
      <c r="S60" s="92">
        <f>'Historical Financials'!S61</f>
        <v>40668</v>
      </c>
      <c r="U60" s="10">
        <f t="shared" ref="U60" si="63">L60</f>
        <v>41935</v>
      </c>
      <c r="V60" s="10">
        <f t="shared" ref="V60" si="64">M60</f>
        <v>41353</v>
      </c>
      <c r="W60" s="10">
        <f t="shared" ref="W60" si="65">N60</f>
        <v>41727</v>
      </c>
      <c r="X60" s="10">
        <f t="shared" ref="X60" si="66">O60</f>
        <v>41182</v>
      </c>
      <c r="Y60" s="10">
        <f t="shared" ref="Y60" si="67">P60</f>
        <v>39671</v>
      </c>
      <c r="Z60" s="10">
        <f t="shared" ref="Z60" si="68">Q60</f>
        <v>41205</v>
      </c>
      <c r="AA60" s="10">
        <f t="shared" ref="AA60" si="69">R60</f>
        <v>40923</v>
      </c>
      <c r="AB60" s="10">
        <f t="shared" ref="AB60" si="70">S60</f>
        <v>40668</v>
      </c>
    </row>
    <row r="61" spans="2:28" ht="12.75" customHeight="1">
      <c r="B61" s="8" t="s">
        <v>42</v>
      </c>
      <c r="C61" s="92">
        <f>'Historical Financials'!C63</f>
        <v>38447</v>
      </c>
      <c r="D61" s="92">
        <f>'Historical Financials'!D63</f>
        <v>43029</v>
      </c>
      <c r="E61" s="92">
        <f>'Historical Financials'!E63</f>
        <v>45008</v>
      </c>
      <c r="F61" s="92">
        <f>'Historical Financials'!F63</f>
        <v>48466</v>
      </c>
      <c r="G61" s="92">
        <f>'Historical Financials'!G63</f>
        <v>48376</v>
      </c>
      <c r="H61" s="92"/>
      <c r="I61" s="92">
        <f>'Historical Financials'!I63</f>
        <v>43909</v>
      </c>
      <c r="J61" s="92">
        <f>'Historical Financials'!J63</f>
        <v>41754</v>
      </c>
      <c r="K61" s="92">
        <f>'Historical Financials'!K63</f>
        <v>43442</v>
      </c>
      <c r="L61" s="92">
        <f>'Historical Financials'!L63</f>
        <v>48466</v>
      </c>
      <c r="M61" s="92">
        <f>'Historical Financials'!M63</f>
        <v>49846</v>
      </c>
      <c r="N61" s="92">
        <f>'Historical Financials'!N63</f>
        <v>50713</v>
      </c>
      <c r="O61" s="92">
        <f>'Historical Financials'!O63</f>
        <v>50268</v>
      </c>
      <c r="P61" s="92">
        <f>'Historical Financials'!P63</f>
        <v>48376</v>
      </c>
      <c r="Q61" s="92">
        <f>'Historical Financials'!Q63</f>
        <v>46622</v>
      </c>
      <c r="R61" s="92">
        <f>'Historical Financials'!R63</f>
        <v>45050</v>
      </c>
      <c r="S61" s="92">
        <f>'Historical Financials'!S63</f>
        <v>44924</v>
      </c>
      <c r="U61" s="10">
        <f t="shared" si="53"/>
        <v>48466</v>
      </c>
      <c r="V61" s="10">
        <f t="shared" si="53"/>
        <v>49846</v>
      </c>
      <c r="W61" s="10">
        <f t="shared" si="53"/>
        <v>50713</v>
      </c>
      <c r="X61" s="10">
        <f t="shared" si="53"/>
        <v>50268</v>
      </c>
      <c r="Y61" s="10">
        <f t="shared" si="53"/>
        <v>48376</v>
      </c>
      <c r="Z61" s="10">
        <f t="shared" si="53"/>
        <v>46622</v>
      </c>
      <c r="AA61" s="10">
        <f t="shared" si="53"/>
        <v>45050</v>
      </c>
      <c r="AB61" s="10">
        <f t="shared" si="54"/>
        <v>44924</v>
      </c>
    </row>
    <row r="62" spans="2:28" ht="12.75" customHeight="1">
      <c r="B62" s="8" t="s">
        <v>14</v>
      </c>
      <c r="C62" s="92">
        <f>'Historical Financials'!C68</f>
        <v>50316</v>
      </c>
      <c r="D62" s="92">
        <f>'Historical Financials'!D68</f>
        <v>54076</v>
      </c>
      <c r="E62" s="92">
        <f>'Historical Financials'!E68</f>
        <v>58350</v>
      </c>
      <c r="F62" s="92">
        <f>'Historical Financials'!F68</f>
        <v>61115</v>
      </c>
      <c r="G62" s="92">
        <f>'Historical Financials'!G68</f>
        <v>61194</v>
      </c>
      <c r="H62" s="92"/>
      <c r="I62" s="92">
        <f>'Historical Financials'!I68</f>
        <v>57328</v>
      </c>
      <c r="J62" s="92">
        <f>'Historical Financials'!J68</f>
        <v>54918</v>
      </c>
      <c r="K62" s="92">
        <f>'Historical Financials'!K68</f>
        <v>56700</v>
      </c>
      <c r="L62" s="92">
        <f>'Historical Financials'!L68</f>
        <v>61115</v>
      </c>
      <c r="M62" s="92">
        <f>'Historical Financials'!M68</f>
        <v>62645</v>
      </c>
      <c r="N62" s="92">
        <f>'Historical Financials'!N68</f>
        <v>63394</v>
      </c>
      <c r="O62" s="92">
        <f>'Historical Financials'!O68</f>
        <v>63337</v>
      </c>
      <c r="P62" s="92">
        <f>'Historical Financials'!P68</f>
        <v>61194</v>
      </c>
      <c r="Q62" s="92">
        <f>'Historical Financials'!Q68</f>
        <v>61020</v>
      </c>
      <c r="R62" s="92">
        <f>'Historical Financials'!R68</f>
        <v>59576</v>
      </c>
      <c r="S62" s="92">
        <f>'Historical Financials'!S68</f>
        <v>59603</v>
      </c>
      <c r="U62" s="10">
        <f t="shared" si="53"/>
        <v>61115</v>
      </c>
      <c r="V62" s="10">
        <f t="shared" si="53"/>
        <v>62645</v>
      </c>
      <c r="W62" s="10">
        <f t="shared" si="53"/>
        <v>63394</v>
      </c>
      <c r="X62" s="10">
        <f t="shared" si="53"/>
        <v>63337</v>
      </c>
      <c r="Y62" s="10">
        <f t="shared" si="53"/>
        <v>61194</v>
      </c>
      <c r="Z62" s="10">
        <f t="shared" si="53"/>
        <v>61020</v>
      </c>
      <c r="AA62" s="10">
        <f t="shared" si="53"/>
        <v>59576</v>
      </c>
      <c r="AB62" s="10">
        <f t="shared" si="54"/>
        <v>59603</v>
      </c>
    </row>
    <row r="63" spans="2:28" ht="5.0999999999999996" customHeight="1">
      <c r="G63" s="10"/>
    </row>
    <row r="64" spans="2:28">
      <c r="B64" s="33" t="s">
        <v>92</v>
      </c>
      <c r="G64" s="10"/>
    </row>
    <row r="65" spans="1:28">
      <c r="B65" s="8" t="s">
        <v>93</v>
      </c>
      <c r="C65" s="79">
        <v>0</v>
      </c>
      <c r="D65" s="79">
        <v>0</v>
      </c>
      <c r="E65" s="79">
        <v>0</v>
      </c>
      <c r="F65" s="79">
        <v>0</v>
      </c>
      <c r="G65" s="79">
        <v>0</v>
      </c>
      <c r="I65" s="79">
        <v>0</v>
      </c>
      <c r="J65" s="79">
        <v>0</v>
      </c>
      <c r="K65" s="79">
        <v>0</v>
      </c>
      <c r="L65" s="79">
        <v>0</v>
      </c>
      <c r="M65" s="79">
        <v>0</v>
      </c>
      <c r="N65" s="79">
        <v>0</v>
      </c>
      <c r="O65" s="79">
        <v>0</v>
      </c>
      <c r="P65" s="79">
        <v>0</v>
      </c>
      <c r="Q65" s="79">
        <v>0</v>
      </c>
      <c r="R65" s="79">
        <v>0</v>
      </c>
      <c r="S65" s="79">
        <v>0</v>
      </c>
      <c r="U65" s="10">
        <f t="shared" ref="U65:AA66" si="71">L65</f>
        <v>0</v>
      </c>
      <c r="V65" s="10">
        <f t="shared" si="71"/>
        <v>0</v>
      </c>
      <c r="W65" s="10">
        <f t="shared" si="71"/>
        <v>0</v>
      </c>
      <c r="X65" s="10">
        <f t="shared" si="71"/>
        <v>0</v>
      </c>
      <c r="Y65" s="10">
        <f t="shared" si="71"/>
        <v>0</v>
      </c>
      <c r="Z65" s="10">
        <f t="shared" si="71"/>
        <v>0</v>
      </c>
      <c r="AA65" s="10">
        <f t="shared" si="71"/>
        <v>0</v>
      </c>
      <c r="AB65" s="10">
        <f>S65</f>
        <v>0</v>
      </c>
    </row>
    <row r="66" spans="1:28">
      <c r="B66" s="8" t="s">
        <v>94</v>
      </c>
      <c r="C66" s="92">
        <f>'Historical Financials'!C67</f>
        <v>8939</v>
      </c>
      <c r="D66" s="92">
        <f>'Historical Financials'!D67</f>
        <v>8049</v>
      </c>
      <c r="E66" s="92">
        <f>'Historical Financials'!E67</f>
        <v>10417</v>
      </c>
      <c r="F66" s="92">
        <f>'Historical Financials'!F67</f>
        <v>9676</v>
      </c>
      <c r="G66" s="92">
        <f>'Historical Financials'!G67</f>
        <v>9879</v>
      </c>
      <c r="I66" s="92">
        <f>'Historical Financials'!I67</f>
        <v>10481</v>
      </c>
      <c r="J66" s="92">
        <f>'Historical Financials'!J67</f>
        <v>10549</v>
      </c>
      <c r="K66" s="92">
        <f>'Historical Financials'!K67</f>
        <v>10640</v>
      </c>
      <c r="L66" s="92">
        <f>'Historical Financials'!L67</f>
        <v>9676</v>
      </c>
      <c r="M66" s="92">
        <f>'Historical Financials'!M67</f>
        <v>9683</v>
      </c>
      <c r="N66" s="92">
        <f>'Historical Financials'!N67</f>
        <v>9727</v>
      </c>
      <c r="O66" s="92">
        <f>'Historical Financials'!O67</f>
        <v>9976</v>
      </c>
      <c r="P66" s="92">
        <f>'Historical Financials'!P67</f>
        <v>9879</v>
      </c>
      <c r="Q66" s="92">
        <f>'Historical Financials'!Q67</f>
        <v>11417</v>
      </c>
      <c r="R66" s="92">
        <f>'Historical Financials'!R67</f>
        <v>11296</v>
      </c>
      <c r="S66" s="92">
        <f>'Historical Financials'!S67</f>
        <v>11276</v>
      </c>
      <c r="U66" s="10">
        <f t="shared" si="71"/>
        <v>9676</v>
      </c>
      <c r="V66" s="10">
        <f t="shared" si="71"/>
        <v>9683</v>
      </c>
      <c r="W66" s="10">
        <f t="shared" si="71"/>
        <v>9727</v>
      </c>
      <c r="X66" s="10">
        <f t="shared" si="71"/>
        <v>9976</v>
      </c>
      <c r="Y66" s="10">
        <f t="shared" si="71"/>
        <v>9879</v>
      </c>
      <c r="Z66" s="10">
        <f t="shared" si="71"/>
        <v>11417</v>
      </c>
      <c r="AA66" s="10">
        <f t="shared" si="71"/>
        <v>11296</v>
      </c>
      <c r="AB66" s="10">
        <f>S66</f>
        <v>11276</v>
      </c>
    </row>
    <row r="67" spans="1:28">
      <c r="G67" s="10"/>
    </row>
    <row r="68" spans="1:28">
      <c r="B68" s="8" t="s">
        <v>198</v>
      </c>
      <c r="C68" s="167">
        <f>SUM(C65:C66)</f>
        <v>8939</v>
      </c>
      <c r="D68" s="167">
        <f t="shared" ref="D68:S68" si="72">SUM(D65:D66)</f>
        <v>8049</v>
      </c>
      <c r="E68" s="167">
        <f t="shared" si="72"/>
        <v>10417</v>
      </c>
      <c r="F68" s="167">
        <f t="shared" si="72"/>
        <v>9676</v>
      </c>
      <c r="G68" s="167">
        <f t="shared" si="72"/>
        <v>9879</v>
      </c>
      <c r="I68" s="167">
        <f t="shared" si="72"/>
        <v>10481</v>
      </c>
      <c r="J68" s="167">
        <f t="shared" si="72"/>
        <v>10549</v>
      </c>
      <c r="K68" s="167">
        <f t="shared" si="72"/>
        <v>10640</v>
      </c>
      <c r="L68" s="167">
        <f t="shared" si="72"/>
        <v>9676</v>
      </c>
      <c r="M68" s="167">
        <f t="shared" si="72"/>
        <v>9683</v>
      </c>
      <c r="N68" s="167">
        <f t="shared" si="72"/>
        <v>9727</v>
      </c>
      <c r="O68" s="167">
        <f t="shared" si="72"/>
        <v>9976</v>
      </c>
      <c r="P68" s="167">
        <f t="shared" si="72"/>
        <v>9879</v>
      </c>
      <c r="Q68" s="167">
        <f t="shared" si="72"/>
        <v>11417</v>
      </c>
      <c r="R68" s="167">
        <f t="shared" si="72"/>
        <v>11296</v>
      </c>
      <c r="S68" s="167">
        <f t="shared" si="72"/>
        <v>11276</v>
      </c>
      <c r="U68" s="10">
        <f t="shared" ref="U68:AA68" si="73">L68</f>
        <v>9676</v>
      </c>
      <c r="V68" s="10">
        <f t="shared" si="73"/>
        <v>9683</v>
      </c>
      <c r="W68" s="10">
        <f t="shared" si="73"/>
        <v>9727</v>
      </c>
      <c r="X68" s="10">
        <f t="shared" si="73"/>
        <v>9976</v>
      </c>
      <c r="Y68" s="10">
        <f t="shared" si="73"/>
        <v>9879</v>
      </c>
      <c r="Z68" s="10">
        <f t="shared" si="73"/>
        <v>11417</v>
      </c>
      <c r="AA68" s="10">
        <f t="shared" si="73"/>
        <v>11296</v>
      </c>
      <c r="AB68" s="10">
        <f t="shared" ref="AB68" si="74">S68</f>
        <v>11276</v>
      </c>
    </row>
    <row r="69" spans="1:28" ht="12.75" customHeight="1">
      <c r="B69" s="13" t="s">
        <v>19</v>
      </c>
      <c r="C69" s="14">
        <f>SUM(C68:C68)</f>
        <v>8939</v>
      </c>
      <c r="D69" s="14">
        <f>SUM(D68:D68)</f>
        <v>8049</v>
      </c>
      <c r="E69" s="14">
        <f>SUM(E68:E68)</f>
        <v>10417</v>
      </c>
      <c r="F69" s="14">
        <f>SUM(F68:F68)</f>
        <v>9676</v>
      </c>
      <c r="G69" s="14">
        <f>SUM(G68:G68)</f>
        <v>9879</v>
      </c>
      <c r="I69" s="14">
        <f>SUM(I68:I68)</f>
        <v>10481</v>
      </c>
      <c r="J69" s="14">
        <f>SUM(J68:J68)</f>
        <v>10549</v>
      </c>
      <c r="K69" s="14">
        <f>SUM(K68:K68)</f>
        <v>10640</v>
      </c>
      <c r="L69" s="14">
        <f>SUM(L68:L68)</f>
        <v>9676</v>
      </c>
      <c r="M69" s="14">
        <f>SUM(M68:M68)</f>
        <v>9683</v>
      </c>
      <c r="N69" s="14">
        <f>SUM(N68:N68)</f>
        <v>9727</v>
      </c>
      <c r="O69" s="14">
        <f>SUM(O68:O68)</f>
        <v>9976</v>
      </c>
      <c r="P69" s="14">
        <f>SUM(P68:P68)</f>
        <v>9879</v>
      </c>
      <c r="Q69" s="14">
        <f>SUM(Q68:Q68)</f>
        <v>11417</v>
      </c>
      <c r="R69" s="14">
        <f>SUM(R68:R68)</f>
        <v>11296</v>
      </c>
      <c r="S69" s="14">
        <f>SUM(S68:S68)</f>
        <v>11276</v>
      </c>
      <c r="U69" s="14" t="e">
        <f>SUM(#REF!)</f>
        <v>#REF!</v>
      </c>
      <c r="V69" s="14" t="e">
        <f>SUM(#REF!)</f>
        <v>#REF!</v>
      </c>
      <c r="W69" s="14" t="e">
        <f>SUM(#REF!)</f>
        <v>#REF!</v>
      </c>
      <c r="X69" s="14">
        <f>SUM(X68:X68)</f>
        <v>9976</v>
      </c>
      <c r="Y69" s="14">
        <f>SUM(Y68:Y68)</f>
        <v>9879</v>
      </c>
      <c r="Z69" s="14">
        <f>SUM(Z68:Z68)</f>
        <v>11417</v>
      </c>
      <c r="AA69" s="14">
        <f>SUM(AA68:AA68)</f>
        <v>11296</v>
      </c>
      <c r="AB69" s="14">
        <f>SUM(AB68:AB68)</f>
        <v>11276</v>
      </c>
    </row>
    <row r="70" spans="1:28" ht="5.0999999999999996" customHeight="1"/>
    <row r="71" spans="1:28" ht="12.75" customHeight="1">
      <c r="B71" s="8" t="s">
        <v>43</v>
      </c>
      <c r="C71" s="92">
        <f>'Historical Financials'!C79</f>
        <v>20063</v>
      </c>
      <c r="D71" s="92">
        <f>'Historical Financials'!D79</f>
        <v>21727</v>
      </c>
      <c r="E71" s="92">
        <f>'Historical Financials'!E79</f>
        <v>20274</v>
      </c>
      <c r="F71" s="92">
        <f>'Historical Financials'!F79</f>
        <v>21051</v>
      </c>
      <c r="G71" s="92">
        <f>'Historical Financials'!G79</f>
        <v>20417</v>
      </c>
      <c r="I71" s="92">
        <f>'Historical Financials'!I79</f>
        <v>19858</v>
      </c>
      <c r="J71" s="92">
        <f>'Historical Financials'!J79</f>
        <v>19661</v>
      </c>
      <c r="K71" s="92">
        <f>'Historical Financials'!K79</f>
        <v>19740</v>
      </c>
      <c r="L71" s="92">
        <f>'Historical Financials'!L79</f>
        <v>21051</v>
      </c>
      <c r="M71" s="92">
        <f>'Historical Financials'!M79</f>
        <v>20702</v>
      </c>
      <c r="N71" s="92">
        <f>'Historical Financials'!N79</f>
        <v>20622</v>
      </c>
      <c r="O71" s="92">
        <f>'Historical Financials'!O79</f>
        <v>20174</v>
      </c>
      <c r="P71" s="92">
        <f>'Historical Financials'!P79</f>
        <v>20417</v>
      </c>
      <c r="Q71" s="92">
        <f>'Historical Financials'!Q79</f>
        <v>20254</v>
      </c>
      <c r="R71" s="92">
        <f>'Historical Financials'!R79</f>
        <v>20201</v>
      </c>
      <c r="S71" s="92">
        <f>'Historical Financials'!S79</f>
        <v>20198</v>
      </c>
      <c r="U71" s="10">
        <f t="shared" ref="U71:AB71" si="75">L71</f>
        <v>21051</v>
      </c>
      <c r="V71" s="10">
        <f t="shared" si="75"/>
        <v>20702</v>
      </c>
      <c r="W71" s="10">
        <f t="shared" si="75"/>
        <v>20622</v>
      </c>
      <c r="X71" s="140">
        <f t="shared" si="75"/>
        <v>20174</v>
      </c>
      <c r="Y71" s="140">
        <f t="shared" si="75"/>
        <v>20417</v>
      </c>
      <c r="Z71" s="140">
        <f t="shared" si="75"/>
        <v>20254</v>
      </c>
      <c r="AA71" s="140">
        <f t="shared" si="75"/>
        <v>20201</v>
      </c>
      <c r="AB71" s="140">
        <f t="shared" si="75"/>
        <v>20198</v>
      </c>
    </row>
    <row r="72" spans="1:28" ht="12.75" customHeight="1">
      <c r="B72" s="13" t="s">
        <v>44</v>
      </c>
      <c r="C72" s="14">
        <f>SUM(C69:C71)</f>
        <v>29002</v>
      </c>
      <c r="D72" s="14">
        <f>SUM(D69:D71)</f>
        <v>29776</v>
      </c>
      <c r="E72" s="14">
        <f>SUM(E69:E71)</f>
        <v>30691</v>
      </c>
      <c r="F72" s="14">
        <f>SUM(F69:F71)</f>
        <v>30727</v>
      </c>
      <c r="G72" s="14">
        <f>SUM(G69:G71)</f>
        <v>30296</v>
      </c>
      <c r="I72" s="14">
        <f t="shared" ref="I72:N72" si="76">SUM(I69:I71)</f>
        <v>30339</v>
      </c>
      <c r="J72" s="14">
        <f t="shared" si="76"/>
        <v>30210</v>
      </c>
      <c r="K72" s="14">
        <f t="shared" si="76"/>
        <v>30380</v>
      </c>
      <c r="L72" s="14">
        <f t="shared" si="76"/>
        <v>30727</v>
      </c>
      <c r="M72" s="14">
        <f t="shared" si="76"/>
        <v>30385</v>
      </c>
      <c r="N72" s="14">
        <f t="shared" si="76"/>
        <v>30349</v>
      </c>
      <c r="O72" s="14">
        <f>SUM(O69:O71)</f>
        <v>30150</v>
      </c>
      <c r="P72" s="14">
        <f>SUM(P69:P71)</f>
        <v>30296</v>
      </c>
      <c r="Q72" s="14">
        <f>SUM(Q69:Q71)</f>
        <v>31671</v>
      </c>
      <c r="R72" s="14">
        <f>SUM(R69:R71)</f>
        <v>31497</v>
      </c>
      <c r="S72" s="14">
        <f>SUM(S69:S71)</f>
        <v>31474</v>
      </c>
      <c r="U72" s="14" t="e">
        <f t="shared" ref="U72:Z72" si="77">SUM(U69:U71)</f>
        <v>#REF!</v>
      </c>
      <c r="V72" s="14" t="e">
        <f t="shared" si="77"/>
        <v>#REF!</v>
      </c>
      <c r="W72" s="14" t="e">
        <f t="shared" si="77"/>
        <v>#REF!</v>
      </c>
      <c r="X72" s="14">
        <f t="shared" si="77"/>
        <v>30150</v>
      </c>
      <c r="Y72" s="14">
        <f t="shared" si="77"/>
        <v>30296</v>
      </c>
      <c r="Z72" s="14">
        <f t="shared" si="77"/>
        <v>31671</v>
      </c>
      <c r="AA72" s="14">
        <f>SUM(AA69:AA71)</f>
        <v>31497</v>
      </c>
      <c r="AB72" s="14">
        <f>SUM(AB69:AB71)</f>
        <v>31474</v>
      </c>
    </row>
    <row r="73" spans="1:28" ht="5.0999999999999996" customHeight="1"/>
    <row r="74" spans="1:28" ht="12.75" customHeight="1">
      <c r="A74" s="5"/>
      <c r="B74" s="31" t="s">
        <v>64</v>
      </c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</row>
    <row r="75" spans="1:28" ht="5.0999999999999996" customHeight="1"/>
    <row r="76" spans="1:28" ht="12.75" customHeight="1">
      <c r="B76" s="29" t="s">
        <v>83</v>
      </c>
      <c r="C76" s="81">
        <f>C69/C27</f>
        <v>1.5269900922446191</v>
      </c>
      <c r="D76" s="81">
        <f>D69/D27</f>
        <v>1.1660147761842676</v>
      </c>
      <c r="E76" s="81">
        <f>E69/E27</f>
        <v>1.623850350740452</v>
      </c>
      <c r="F76" s="81">
        <f>F69/F27</f>
        <v>1.2773597359735973</v>
      </c>
      <c r="G76" s="81">
        <f>G69/G27</f>
        <v>1.3020956899960459</v>
      </c>
      <c r="I76" s="166"/>
      <c r="J76" s="166"/>
      <c r="K76" s="166"/>
      <c r="L76" s="81">
        <f>SUM(L69/SUM(I27:L27))</f>
        <v>1.2773597359735973</v>
      </c>
      <c r="M76" s="81">
        <f>SUM(M69/SUM(J27:M27))</f>
        <v>1.2479700992395928</v>
      </c>
      <c r="N76" s="81">
        <f>SUM(N69/SUM(K27:N27))</f>
        <v>1.2343908629441624</v>
      </c>
      <c r="O76" s="81">
        <f>SUM(O69/SUM(L27:O27))</f>
        <v>1.2480920805704991</v>
      </c>
      <c r="P76" s="81">
        <f>SUM(P69/SUM(M27:P27))</f>
        <v>1.3020956899960459</v>
      </c>
      <c r="Q76" s="81">
        <f>SUM(Q69/SUM(N27:Q27))</f>
        <v>1.4612824779214131</v>
      </c>
      <c r="R76" s="81">
        <f>SUM(R69/SUM(O27:R27))</f>
        <v>1.419808949220714</v>
      </c>
      <c r="S76" s="81">
        <f>SUM(S69/SUM(P27:S27))</f>
        <v>1.401093439363817</v>
      </c>
      <c r="T76" s="81"/>
      <c r="U76" s="81" t="e">
        <f>U69/U27</f>
        <v>#REF!</v>
      </c>
      <c r="V76" s="81" t="e">
        <f>V69/V27</f>
        <v>#REF!</v>
      </c>
      <c r="W76" s="81" t="e">
        <f>W69/W27</f>
        <v>#REF!</v>
      </c>
      <c r="X76" s="81">
        <f>X69/X27</f>
        <v>1.2480920805704991</v>
      </c>
      <c r="Y76" s="81">
        <f>Y69/Y27</f>
        <v>1.3020956899960459</v>
      </c>
      <c r="Z76" s="81">
        <f>Z69/Z27</f>
        <v>1.4612824779214131</v>
      </c>
      <c r="AA76" s="81">
        <f>AA69/AA27</f>
        <v>1.419808949220714</v>
      </c>
      <c r="AB76" s="81">
        <f>AB69/AB27</f>
        <v>1.401093439363817</v>
      </c>
    </row>
    <row r="77" spans="1:28" ht="12.75" customHeight="1">
      <c r="B77" s="29" t="s">
        <v>84</v>
      </c>
      <c r="C77" s="81">
        <f>SUM(C69-C49)/C27</f>
        <v>0.70806286299965837</v>
      </c>
      <c r="D77" s="81">
        <f>SUM(D69-D49)/D27</f>
        <v>0.41315370128929452</v>
      </c>
      <c r="E77" s="81">
        <f>SUM(E69-E49)/E27</f>
        <v>0.41169134840218241</v>
      </c>
      <c r="F77" s="81">
        <f>SUM(F69-F49)/F27</f>
        <v>7.8547854785478544E-2</v>
      </c>
      <c r="G77" s="81">
        <f>SUM(G69-G49)/G27</f>
        <v>0.43732700672202451</v>
      </c>
      <c r="I77" s="166"/>
      <c r="J77" s="166"/>
      <c r="K77" s="166"/>
      <c r="L77" s="81">
        <f>SUM(L69-L49)/SUM(I27:L27)</f>
        <v>7.8547854785478544E-2</v>
      </c>
      <c r="M77" s="81">
        <f>SUM(M69-M49)/SUM(J27:M27)</f>
        <v>-1.2888258796236629E-3</v>
      </c>
      <c r="N77" s="81">
        <f>SUM(N69-N49)/SUM(K27:N27)</f>
        <v>0.25710659898477156</v>
      </c>
      <c r="O77" s="81">
        <f>SUM(O69-O49)/SUM(L27:O27)</f>
        <v>0.33829600900788187</v>
      </c>
      <c r="P77" s="81">
        <f>SUM(P69-P49)/SUM(M27:P27)</f>
        <v>0.43732700672202451</v>
      </c>
      <c r="Q77" s="81">
        <f>SUM(Q69-Q49)/SUM(N27:Q27)</f>
        <v>0.50787149622424166</v>
      </c>
      <c r="R77" s="81">
        <f>SUM(R69-R49)/SUM(O27:R27)</f>
        <v>0.579185520361991</v>
      </c>
      <c r="S77" s="81">
        <f>SUM(S69-S49)/SUM(P27:S27)</f>
        <v>0.28342445328031807</v>
      </c>
      <c r="T77" s="81"/>
      <c r="U77" s="81" t="e">
        <f>SUM(U69-U49)/U27</f>
        <v>#REF!</v>
      </c>
      <c r="V77" s="81" t="e">
        <f>SUM(V69-V49)/V27</f>
        <v>#REF!</v>
      </c>
      <c r="W77" s="81" t="e">
        <f>SUM(W69-W49)/W27</f>
        <v>#REF!</v>
      </c>
      <c r="X77" s="81">
        <f>SUM(X69-X49)/X27</f>
        <v>0.33829600900788187</v>
      </c>
      <c r="Y77" s="81">
        <f>SUM(Y69-Y49)/Y27</f>
        <v>0.43732700672202451</v>
      </c>
      <c r="Z77" s="81">
        <f>SUM(Z69-Z49)/Z27</f>
        <v>0.50787149622424166</v>
      </c>
      <c r="AA77" s="81">
        <f>SUM(AA69-AA49)/AA27</f>
        <v>0.579185520361991</v>
      </c>
      <c r="AB77" s="81">
        <f>SUM(AB69-AB49)/AB27</f>
        <v>0.28342445328031807</v>
      </c>
    </row>
    <row r="78" spans="1:28" ht="12.75" customHeight="1">
      <c r="B78" s="29" t="s">
        <v>85</v>
      </c>
      <c r="C78" s="81">
        <f>C27/-C32</f>
        <v>30.810526315789474</v>
      </c>
      <c r="D78" s="81">
        <f>D27/-D32</f>
        <v>29.883116883116884</v>
      </c>
      <c r="E78" s="81">
        <f>E27/-E32</f>
        <v>22.910714285714285</v>
      </c>
      <c r="F78" s="81">
        <f>F27/-F32</f>
        <v>22.885196374622357</v>
      </c>
      <c r="G78" s="81">
        <f>G27/-G32</f>
        <v>20.729508196721312</v>
      </c>
      <c r="I78" s="166"/>
      <c r="J78" s="166"/>
      <c r="K78" s="166"/>
      <c r="L78" s="81" cm="1">
        <f t="array" ref="L78">SUM(I27:L27)/SUM(-I32:L32)</f>
        <v>22.885196374622357</v>
      </c>
      <c r="M78" s="81" cm="1">
        <f t="array" ref="M78">SUM(J27:M27)/SUM(-J32:M32)</f>
        <v>23.44108761329305</v>
      </c>
      <c r="N78" s="81" cm="1">
        <f t="array" ref="N78">SUM(K27:N27)/SUM(-K32:N32)</f>
        <v>23.878787878787879</v>
      </c>
      <c r="O78" s="81" cm="1">
        <f t="array" ref="O78">SUM(L27:O27)/SUM(-L32:O32)</f>
        <v>24.075301204819276</v>
      </c>
      <c r="P78" s="81" cm="1">
        <f t="array" ref="P78">SUM(M27:P27)/SUM(-M32:P32)</f>
        <v>20.729508196721312</v>
      </c>
      <c r="Q78" s="81" cm="1">
        <f t="array" ref="Q78">SUM(N27:Q27)/SUM(-N32:Q32)</f>
        <v>21.346994535519126</v>
      </c>
      <c r="R78" s="81" cm="1">
        <f t="array" ref="R78">SUM(O27:R27)/SUM(-O32:R32)</f>
        <v>20.347826086956523</v>
      </c>
      <c r="S78" s="81" cm="1">
        <f t="array" ref="S78">SUM(P27:S27)/SUM(-P32:S32)</f>
        <v>13.435726210350584</v>
      </c>
      <c r="T78" s="81"/>
      <c r="U78" s="81">
        <f>U27/-U32</f>
        <v>22.885196374622357</v>
      </c>
      <c r="V78" s="81">
        <f>V27/-V32</f>
        <v>23.44108761329305</v>
      </c>
      <c r="W78" s="81">
        <f>W27/-W32</f>
        <v>23.878787878787879</v>
      </c>
      <c r="X78" s="81">
        <f>X27/-X32</f>
        <v>24.075301204819276</v>
      </c>
      <c r="Y78" s="81">
        <f>Y27/-Y32</f>
        <v>20.729508196721312</v>
      </c>
      <c r="Z78" s="81">
        <f>Z27/-Z32</f>
        <v>21.346994535519126</v>
      </c>
      <c r="AA78" s="81">
        <f>AA27/-AA32</f>
        <v>20.347826086956523</v>
      </c>
      <c r="AB78" s="81">
        <f>AB27/-AB32</f>
        <v>13.435726210350584</v>
      </c>
    </row>
    <row r="79" spans="1:28" ht="12.75" customHeight="1">
      <c r="B79" s="29" t="s">
        <v>86</v>
      </c>
      <c r="C79" s="81" cm="1">
        <f t="array" ref="C79">SUM(C27+C30)/SUM(-C31:C32)</f>
        <v>6.6066225165562917</v>
      </c>
      <c r="D79" s="81" cm="1">
        <f t="array" ref="D79">SUM(D27+D30)/SUM(-D31:D32)</f>
        <v>8.5035460992907801</v>
      </c>
      <c r="E79" s="81" cm="1">
        <f t="array" ref="E79">SUM(E27+E30)/SUM(-E31:E32)</f>
        <v>4.9300518134715023</v>
      </c>
      <c r="F79" s="81" cm="1">
        <f t="array" ref="F79">SUM(F27+F30)/SUM(-F31:F32)</f>
        <v>2.838709677419355</v>
      </c>
      <c r="G79" s="81" cm="1">
        <f t="array" ref="G79">SUM(G27+G30)/SUM(-G31:G32)</f>
        <v>4.9562096195262022</v>
      </c>
      <c r="I79" s="166"/>
      <c r="J79" s="166"/>
      <c r="K79" s="166"/>
      <c r="L79" s="81" cm="1">
        <f t="array" ref="L79">SUM(I27:L27+I30:L30)/SUM(-I31:L32)</f>
        <v>2.838709677419355</v>
      </c>
      <c r="M79" s="81" cm="1">
        <f t="array" ref="M79">SUM(J27:M27+J30:M30)/SUM(-J31:M32)</f>
        <v>3.5110456553755522</v>
      </c>
      <c r="N79" s="81" cm="1">
        <f t="array" ref="N79">SUM(K27:N27+K30:N30)/SUM(-K31:N32)</f>
        <v>3.0736040609137056</v>
      </c>
      <c r="O79" s="81" cm="1">
        <f t="array" ref="O79">SUM(L27:O27+L30:O30)/SUM(-L31:O32)</f>
        <v>3.1128010139416982</v>
      </c>
      <c r="P79" s="81" cm="1">
        <f t="array" ref="P79">SUM(M27:P27+M30:P30)/SUM(-M31:P32)</f>
        <v>4.9562096195262022</v>
      </c>
      <c r="Q79" s="81" cm="1">
        <f t="array" ref="Q79">SUM(N27:Q27+N30:Q30)/SUM(-N31:Q32)</f>
        <v>5.0448398576512457</v>
      </c>
      <c r="R79" s="81" cm="1">
        <f t="array" ref="R79">SUM(O27:R27+O30:R30)/SUM(-O31:R32)</f>
        <v>5.0118632240055829</v>
      </c>
      <c r="S79" s="81" cm="1">
        <f t="array" ref="S79">SUM(P27:S27+P30:S30)/SUM(-P31:S32)</f>
        <v>2.8508528361761205</v>
      </c>
      <c r="T79" s="81"/>
      <c r="U79" s="81" cm="1">
        <f t="array" ref="U79">SUM(U27+U30)/SUM(-U31:U32)</f>
        <v>2.838709677419355</v>
      </c>
      <c r="V79" s="81" cm="1">
        <f t="array" ref="V79">SUM(V27+V30)/SUM(-V31:V32)</f>
        <v>3.5110456553755522</v>
      </c>
      <c r="W79" s="81" cm="1">
        <f t="array" ref="W79">SUM(W27+W30)/SUM(-W31:W32)</f>
        <v>3.0736040609137056</v>
      </c>
      <c r="X79" s="81" cm="1">
        <f t="array" ref="X79">SUM(X27+X30)/SUM(-X31:X32)</f>
        <v>3.1128010139416982</v>
      </c>
      <c r="Y79" s="81" cm="1">
        <f t="array" ref="Y79">SUM(Y27+Y30)/SUM(-Y31:Y32)</f>
        <v>4.9562096195262022</v>
      </c>
      <c r="Z79" s="81" cm="1">
        <f t="array" ref="Z79">SUM(Z27+Z30)/SUM(-Z31:Z32)</f>
        <v>5.0448398576512457</v>
      </c>
      <c r="AA79" s="81" cm="1">
        <f t="array" ref="AA79">SUM(AA27+AA30)/SUM(-AA31:AA32)</f>
        <v>5.0118632240055829</v>
      </c>
      <c r="AB79" s="81" cm="1">
        <f t="array" ref="AB79">SUM(AB27+AB30)/SUM(-AB31:AB32)</f>
        <v>2.8508528361761205</v>
      </c>
    </row>
    <row r="80" spans="1:28" ht="12.75" customHeight="1">
      <c r="B80" s="29" t="s">
        <v>87</v>
      </c>
      <c r="C80" s="81" cm="1">
        <f t="array" ref="C80">SUM(C27)/SUM(-C30:C32)</f>
        <v>3.6113510178901911</v>
      </c>
      <c r="D80" s="81" cm="1">
        <f t="array" ref="D80">SUM(D27)/SUM(-D30:D32)</f>
        <v>4.2796032238065713</v>
      </c>
      <c r="E80" s="81" cm="1">
        <f t="array" ref="E80">SUM(E27)/SUM(-E30:E32)</f>
        <v>3.4415236051502145</v>
      </c>
      <c r="F80" s="81" cm="1">
        <f t="array" ref="F80">SUM(F27)/SUM(-F30:F32)</f>
        <v>2.4658203125</v>
      </c>
      <c r="G80" s="81" cm="1">
        <f t="array" ref="G80">SUM(G27)/SUM(-G30:G32)</f>
        <v>3.6546242774566475</v>
      </c>
      <c r="I80" s="166"/>
      <c r="J80" s="166"/>
      <c r="K80" s="166"/>
      <c r="L80" s="81" cm="1">
        <f t="array" ref="L80">SUM(I27:L27)/SUM(-I30:L32)</f>
        <v>2.4658203125</v>
      </c>
      <c r="M80" s="81" cm="1">
        <f t="array" ref="M80">SUM(J27:M27)/SUM(-J30:M32)</f>
        <v>2.9345688350983359</v>
      </c>
      <c r="N80" s="81" cm="1">
        <f t="array" ref="N80">SUM(K27:N27)/SUM(-K30:N32)</f>
        <v>2.6460711887172601</v>
      </c>
      <c r="O80" s="81" cm="1">
        <f t="array" ref="O80">SUM(L27:O27)/SUM(-L30:O32)</f>
        <v>2.6714572192513368</v>
      </c>
      <c r="P80" s="81" cm="1">
        <f t="array" ref="P80">SUM(M27:P27)/SUM(-M30:P32)</f>
        <v>3.6546242774566475</v>
      </c>
      <c r="Q80" s="81" cm="1">
        <f t="array" ref="Q80">SUM(N27:Q27)/SUM(-N30:Q32)</f>
        <v>3.6680751173708921</v>
      </c>
      <c r="R80" s="81" cm="1">
        <f t="array" ref="R80">SUM(O27:R27)/SUM(-O30:R32)</f>
        <v>3.6048935206162209</v>
      </c>
      <c r="S80" s="81" cm="1">
        <f t="array" ref="S80">SUM(P27:S27)/SUM(-P30:S32)</f>
        <v>2.3796570076877588</v>
      </c>
      <c r="T80" s="81"/>
      <c r="U80" s="81" cm="1">
        <f t="array" ref="U80">SUM(U27)/SUM(-U30:U32)</f>
        <v>2.4658203125</v>
      </c>
      <c r="V80" s="81" cm="1">
        <f t="array" ref="V80">SUM(V27)/SUM(-V30:V32)</f>
        <v>2.9345688350983359</v>
      </c>
      <c r="W80" s="81" cm="1">
        <f t="array" ref="W80">SUM(W27)/SUM(-W30:W32)</f>
        <v>2.6460711887172601</v>
      </c>
      <c r="X80" s="81" cm="1">
        <f t="array" ref="X80">SUM(X27)/SUM(-X30:X32)</f>
        <v>2.6714572192513368</v>
      </c>
      <c r="Y80" s="81" cm="1">
        <f t="array" ref="Y80">SUM(Y27)/SUM(-Y30:Y32)</f>
        <v>3.6546242774566475</v>
      </c>
      <c r="Z80" s="81" cm="1">
        <f t="array" ref="Z80">SUM(Z27)/SUM(-Z30:Z32)</f>
        <v>3.6680751173708921</v>
      </c>
      <c r="AA80" s="81" cm="1">
        <f t="array" ref="AA80">SUM(AA27)/SUM(-AA30:AA32)</f>
        <v>3.6048935206162209</v>
      </c>
      <c r="AB80" s="81" cm="1">
        <f t="array" ref="AB80">SUM(AB27)/SUM(-AB30:AB32)</f>
        <v>2.3796570076877588</v>
      </c>
    </row>
    <row r="81" spans="2:28" ht="12.75" customHeight="1">
      <c r="B81" s="8" t="s">
        <v>45</v>
      </c>
      <c r="C81" s="81">
        <f>C72/C69</f>
        <v>3.2444345005034121</v>
      </c>
      <c r="D81" s="81">
        <f>D72/D69</f>
        <v>3.699341533109703</v>
      </c>
      <c r="E81" s="81">
        <f>E72/E69</f>
        <v>2.9462417202649513</v>
      </c>
      <c r="F81" s="81">
        <f>F72/F69</f>
        <v>3.1755890863993388</v>
      </c>
      <c r="G81" s="81">
        <f>G72/G69</f>
        <v>3.0667071565947972</v>
      </c>
      <c r="I81" s="166"/>
      <c r="J81" s="166"/>
      <c r="K81" s="166"/>
      <c r="L81" s="81">
        <f t="shared" ref="L81:R81" si="78">L72/L69</f>
        <v>3.1755890863993388</v>
      </c>
      <c r="M81" s="81">
        <f t="shared" si="78"/>
        <v>3.1379737684601881</v>
      </c>
      <c r="N81" s="81">
        <f t="shared" si="78"/>
        <v>3.1200781330317673</v>
      </c>
      <c r="O81" s="81">
        <f t="shared" si="78"/>
        <v>3.0222534081796311</v>
      </c>
      <c r="P81" s="81">
        <f t="shared" si="78"/>
        <v>3.0667071565947972</v>
      </c>
      <c r="Q81" s="81">
        <f t="shared" si="78"/>
        <v>2.7740211964614172</v>
      </c>
      <c r="R81" s="81">
        <f t="shared" si="78"/>
        <v>2.7883321529745042</v>
      </c>
      <c r="S81" s="81">
        <f>S72/S69</f>
        <v>2.7912380276693862</v>
      </c>
      <c r="T81" s="81"/>
      <c r="U81" s="81" t="e">
        <f t="shared" ref="U81:Z81" si="79">U72/U69</f>
        <v>#REF!</v>
      </c>
      <c r="V81" s="81" t="e">
        <f t="shared" si="79"/>
        <v>#REF!</v>
      </c>
      <c r="W81" s="81" t="e">
        <f t="shared" si="79"/>
        <v>#REF!</v>
      </c>
      <c r="X81" s="81">
        <f t="shared" si="79"/>
        <v>3.0222534081796311</v>
      </c>
      <c r="Y81" s="81">
        <f t="shared" si="79"/>
        <v>3.0667071565947972</v>
      </c>
      <c r="Z81" s="81">
        <f t="shared" si="79"/>
        <v>2.7740211964614172</v>
      </c>
      <c r="AA81" s="81">
        <f>AA72/AA69</f>
        <v>2.7883321529745042</v>
      </c>
      <c r="AB81" s="81">
        <f>AB72/AB69</f>
        <v>2.7912380276693862</v>
      </c>
    </row>
    <row r="82" spans="2:28" ht="5.0999999999999996" customHeight="1" thickBot="1"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</row>
  </sheetData>
  <mergeCells count="1">
    <mergeCell ref="AD2:AD4"/>
  </mergeCells>
  <pageMargins left="0.7" right="0.7" top="0.75" bottom="0.75" header="0.3" footer="0.3"/>
  <ignoredErrors>
    <ignoredError sqref="D34:H35 AC35:AD35 H30:H32 AC39:AD39 AC33 AC34 H33 I34:R35 H39 C36:S38 C40:S42 C39:G39 I39:S39" formulaRange="1"/>
    <ignoredError sqref="D10:H11 H19 H22 T22 H26 AD27:AD34 T26 AD8:AD11 AD19:AD22 H23 D77:H81 I11:T11 D20:T21 D24:T25 D28:T28 E9:H9 J10:T10 M9:T9 T17 H17 AD23:AD25 H27 U76:AB81 U11:AB11 U20:AB21 U24:AB25 U28:AB28 U10:AB10 Y9:AB9 D76:H76 T76 T77:T81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2026-01-01T20:22:33Z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