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DA53348D-3B93-438F-9F6F-56B22E6AB261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0" i="8" l="1"/>
  <c r="Q70" i="8"/>
  <c r="M70" i="8"/>
  <c r="U67" i="8"/>
  <c r="Q67" i="8"/>
  <c r="M67" i="8"/>
  <c r="U66" i="8"/>
  <c r="Q66" i="8"/>
  <c r="M66" i="8"/>
  <c r="U62" i="8"/>
  <c r="U61" i="8"/>
  <c r="U60" i="8"/>
  <c r="U56" i="8"/>
  <c r="U55" i="8"/>
  <c r="U54" i="8"/>
  <c r="U53" i="8"/>
  <c r="U52" i="8"/>
  <c r="M62" i="8"/>
  <c r="M61" i="8"/>
  <c r="M60" i="8"/>
  <c r="Q62" i="8"/>
  <c r="Q61" i="8"/>
  <c r="Q60" i="8"/>
  <c r="Q56" i="8"/>
  <c r="Q55" i="8"/>
  <c r="Q54" i="8"/>
  <c r="Q53" i="8"/>
  <c r="Q52" i="8"/>
  <c r="M56" i="8"/>
  <c r="M55" i="8"/>
  <c r="M54" i="8"/>
  <c r="M53" i="8"/>
  <c r="M52" i="8"/>
  <c r="U48" i="8"/>
  <c r="U47" i="8"/>
  <c r="U46" i="8"/>
  <c r="U45" i="8"/>
  <c r="U44" i="8"/>
  <c r="U43" i="8"/>
  <c r="U42" i="8"/>
  <c r="Q48" i="8"/>
  <c r="Q47" i="8"/>
  <c r="Q46" i="8"/>
  <c r="Q45" i="8"/>
  <c r="Q44" i="8"/>
  <c r="Q43" i="8"/>
  <c r="Q42" i="8"/>
  <c r="M48" i="8"/>
  <c r="M47" i="8"/>
  <c r="M46" i="8"/>
  <c r="M45" i="8"/>
  <c r="M44" i="8"/>
  <c r="M43" i="8"/>
  <c r="M42" i="8"/>
  <c r="U27" i="8"/>
  <c r="U23" i="8"/>
  <c r="Q27" i="8"/>
  <c r="Q23" i="8"/>
  <c r="M27" i="8"/>
  <c r="M23" i="8"/>
  <c r="U19" i="8"/>
  <c r="U18" i="8"/>
  <c r="U17" i="8"/>
  <c r="U16" i="8"/>
  <c r="U15" i="8"/>
  <c r="U14" i="8"/>
  <c r="U13" i="8"/>
  <c r="Q19" i="8"/>
  <c r="Q18" i="8"/>
  <c r="Q17" i="8"/>
  <c r="Q16" i="8"/>
  <c r="Q15" i="8"/>
  <c r="Q14" i="8"/>
  <c r="Q13" i="8"/>
  <c r="M19" i="8"/>
  <c r="M18" i="8"/>
  <c r="M17" i="8"/>
  <c r="M16" i="8"/>
  <c r="M15" i="8"/>
  <c r="M14" i="8"/>
  <c r="M13" i="8"/>
  <c r="U10" i="8"/>
  <c r="Q10" i="8"/>
  <c r="M10" i="8"/>
  <c r="U21" i="10"/>
  <c r="U20" i="10"/>
  <c r="Q21" i="10"/>
  <c r="Q20" i="10"/>
  <c r="M21" i="10"/>
  <c r="M20" i="10"/>
  <c r="U10" i="10"/>
  <c r="U9" i="10"/>
  <c r="Q10" i="10"/>
  <c r="Q9" i="10"/>
  <c r="M10" i="10"/>
  <c r="M9" i="10"/>
  <c r="AD73" i="8" l="1"/>
  <c r="AC73" i="8"/>
  <c r="AB73" i="8"/>
  <c r="Z73" i="8"/>
  <c r="Y73" i="8"/>
  <c r="X73" i="8"/>
  <c r="AD72" i="8"/>
  <c r="AC72" i="8"/>
  <c r="AB72" i="8"/>
  <c r="Z72" i="8"/>
  <c r="Y72" i="8"/>
  <c r="X72" i="8"/>
  <c r="AD71" i="8"/>
  <c r="AC71" i="8"/>
  <c r="AB71" i="8"/>
  <c r="Z71" i="8"/>
  <c r="Y71" i="8"/>
  <c r="X71" i="8"/>
  <c r="U73" i="8"/>
  <c r="U72" i="8"/>
  <c r="U71" i="8"/>
  <c r="Q73" i="8"/>
  <c r="AA73" i="8" s="1"/>
  <c r="Q72" i="8"/>
  <c r="AA72" i="8" s="1"/>
  <c r="Q71" i="8"/>
  <c r="AA71" i="8" s="1"/>
  <c r="M73" i="8"/>
  <c r="W73" i="8" s="1"/>
  <c r="M72" i="8"/>
  <c r="W72" i="8" s="1"/>
  <c r="M71" i="8"/>
  <c r="W71" i="8" s="1"/>
  <c r="AA62" i="8"/>
  <c r="AA61" i="8"/>
  <c r="W62" i="8"/>
  <c r="W61" i="8"/>
  <c r="AD62" i="8"/>
  <c r="AC62" i="8"/>
  <c r="AB62" i="8"/>
  <c r="Z62" i="8"/>
  <c r="Y62" i="8"/>
  <c r="X62" i="8"/>
  <c r="AD61" i="8"/>
  <c r="AC61" i="8"/>
  <c r="AB61" i="8"/>
  <c r="Z61" i="8"/>
  <c r="Y61" i="8"/>
  <c r="X61" i="8"/>
  <c r="AA47" i="8"/>
  <c r="AA46" i="8"/>
  <c r="AA44" i="8"/>
  <c r="AA43" i="8"/>
  <c r="W47" i="8"/>
  <c r="W46" i="8"/>
  <c r="W44" i="8"/>
  <c r="W43" i="8"/>
  <c r="AD44" i="8"/>
  <c r="AC44" i="8"/>
  <c r="AB44" i="8"/>
  <c r="Z44" i="8"/>
  <c r="Y44" i="8"/>
  <c r="X44" i="8"/>
  <c r="AD43" i="8"/>
  <c r="AC43" i="8"/>
  <c r="AB43" i="8"/>
  <c r="Z43" i="8"/>
  <c r="Y43" i="8"/>
  <c r="X43" i="8"/>
  <c r="AD47" i="8"/>
  <c r="AC47" i="8"/>
  <c r="AB47" i="8"/>
  <c r="Z47" i="8"/>
  <c r="Y47" i="8"/>
  <c r="X47" i="8"/>
  <c r="AD46" i="8"/>
  <c r="AC46" i="8"/>
  <c r="AB46" i="8"/>
  <c r="Z46" i="8"/>
  <c r="Y46" i="8"/>
  <c r="X46" i="8"/>
  <c r="AD19" i="8"/>
  <c r="AA18" i="8"/>
  <c r="AD17" i="8"/>
  <c r="AA16" i="8"/>
  <c r="AD15" i="8"/>
  <c r="AA14" i="8"/>
  <c r="W19" i="8"/>
  <c r="Z18" i="8"/>
  <c r="W17" i="8"/>
  <c r="Z16" i="8"/>
  <c r="W15" i="8"/>
  <c r="Z14" i="8"/>
  <c r="AC10" i="10"/>
  <c r="AB9" i="10"/>
  <c r="Z10" i="10"/>
  <c r="W9" i="10"/>
  <c r="AF20" i="10"/>
  <c r="AC21" i="10"/>
  <c r="AD20" i="10"/>
  <c r="Z21" i="10"/>
  <c r="X20" i="10"/>
  <c r="AF4" i="10"/>
  <c r="U4" i="10"/>
  <c r="AE4" i="10" s="1"/>
  <c r="T4" i="10"/>
  <c r="AD4" i="10" s="1"/>
  <c r="S4" i="10"/>
  <c r="AC4" i="10" s="1"/>
  <c r="R4" i="10"/>
  <c r="AB4" i="10" s="1"/>
  <c r="P4" i="10"/>
  <c r="Z4" i="10" s="1"/>
  <c r="O4" i="10"/>
  <c r="Y4" i="10" s="1"/>
  <c r="N4" i="10"/>
  <c r="X4" i="10" s="1"/>
  <c r="L4" i="10"/>
  <c r="K4" i="10"/>
  <c r="J4" i="10"/>
  <c r="AF3" i="10"/>
  <c r="U3" i="10"/>
  <c r="AE3" i="10" s="1"/>
  <c r="T3" i="10"/>
  <c r="AD3" i="10" s="1"/>
  <c r="S3" i="10"/>
  <c r="AC3" i="10" s="1"/>
  <c r="R3" i="10"/>
  <c r="AB3" i="10" s="1"/>
  <c r="Q3" i="10"/>
  <c r="AA3" i="10" s="1"/>
  <c r="P3" i="10"/>
  <c r="Z3" i="10" s="1"/>
  <c r="O3" i="10"/>
  <c r="Y3" i="10" s="1"/>
  <c r="N3" i="10"/>
  <c r="X3" i="10" s="1"/>
  <c r="M3" i="10"/>
  <c r="W3" i="10" s="1"/>
  <c r="L3" i="10"/>
  <c r="K3" i="10"/>
  <c r="J3" i="10"/>
  <c r="G4" i="10"/>
  <c r="F4" i="10"/>
  <c r="E4" i="10"/>
  <c r="D4" i="10"/>
  <c r="C4" i="10"/>
  <c r="G3" i="10"/>
  <c r="F3" i="10"/>
  <c r="E3" i="10"/>
  <c r="D3" i="10"/>
  <c r="C3" i="10"/>
  <c r="H3" i="10"/>
  <c r="H4" i="10"/>
  <c r="D22" i="10"/>
  <c r="D26" i="10" s="1"/>
  <c r="C22" i="10"/>
  <c r="C26" i="10" s="1"/>
  <c r="D11" i="10"/>
  <c r="C11" i="10"/>
  <c r="B2" i="10"/>
  <c r="B26" i="10"/>
  <c r="B25" i="10"/>
  <c r="T22" i="10"/>
  <c r="S22" i="10"/>
  <c r="S26" i="10" s="1"/>
  <c r="AE26" i="10" s="1"/>
  <c r="R22" i="10"/>
  <c r="P22" i="10"/>
  <c r="P26" i="10" s="1"/>
  <c r="AB26" i="10" s="1"/>
  <c r="O22" i="10"/>
  <c r="O26" i="10" s="1"/>
  <c r="AA26" i="10" s="1"/>
  <c r="N22" i="10"/>
  <c r="N26" i="10" s="1"/>
  <c r="Z26" i="10" s="1"/>
  <c r="L22" i="10"/>
  <c r="K22" i="10"/>
  <c r="K26" i="10" s="1"/>
  <c r="W26" i="10" s="1"/>
  <c r="J22" i="10"/>
  <c r="H22" i="10"/>
  <c r="G22" i="10"/>
  <c r="G26" i="10" s="1"/>
  <c r="F22" i="10"/>
  <c r="F26" i="10" s="1"/>
  <c r="E22" i="10"/>
  <c r="E26" i="10" s="1"/>
  <c r="B15" i="10"/>
  <c r="B14" i="10"/>
  <c r="T11" i="10"/>
  <c r="T15" i="10" s="1"/>
  <c r="AF15" i="10" s="1"/>
  <c r="S11" i="10"/>
  <c r="R11" i="10"/>
  <c r="P11" i="10"/>
  <c r="O11" i="10"/>
  <c r="O15" i="10" s="1"/>
  <c r="AA15" i="10" s="1"/>
  <c r="N11" i="10"/>
  <c r="L11" i="10"/>
  <c r="L15" i="10" s="1"/>
  <c r="X15" i="10" s="1"/>
  <c r="K11" i="10"/>
  <c r="J11" i="10"/>
  <c r="J15" i="10" s="1"/>
  <c r="H11" i="10"/>
  <c r="H15" i="10" s="1"/>
  <c r="G11" i="10"/>
  <c r="F11" i="10"/>
  <c r="F15" i="10" s="1"/>
  <c r="E11" i="10"/>
  <c r="AF10" i="10"/>
  <c r="AF61" i="8" l="1"/>
  <c r="AF62" i="8"/>
  <c r="AD18" i="8"/>
  <c r="AF18" i="8" s="1"/>
  <c r="AF43" i="8"/>
  <c r="AF44" i="8"/>
  <c r="AF47" i="8"/>
  <c r="AF46" i="8"/>
  <c r="Z17" i="8"/>
  <c r="AF17" i="8" s="1"/>
  <c r="AD16" i="8"/>
  <c r="AF16" i="8" s="1"/>
  <c r="X15" i="8"/>
  <c r="Z15" i="8"/>
  <c r="AF15" i="8" s="1"/>
  <c r="X17" i="8"/>
  <c r="AB18" i="8"/>
  <c r="AB14" i="8"/>
  <c r="AD14" i="8"/>
  <c r="AF14" i="8" s="1"/>
  <c r="Z19" i="8"/>
  <c r="AF19" i="8" s="1"/>
  <c r="AB16" i="8"/>
  <c r="X19" i="8"/>
  <c r="AC14" i="8"/>
  <c r="Y15" i="8"/>
  <c r="AC16" i="8"/>
  <c r="Y17" i="8"/>
  <c r="AC18" i="8"/>
  <c r="Y19" i="8"/>
  <c r="W14" i="8"/>
  <c r="AA15" i="8"/>
  <c r="W16" i="8"/>
  <c r="AA17" i="8"/>
  <c r="W18" i="8"/>
  <c r="AA19" i="8"/>
  <c r="X14" i="8"/>
  <c r="AB15" i="8"/>
  <c r="X16" i="8"/>
  <c r="AB17" i="8"/>
  <c r="X18" i="8"/>
  <c r="AB19" i="8"/>
  <c r="Y14" i="8"/>
  <c r="AC15" i="8"/>
  <c r="Y16" i="8"/>
  <c r="AC17" i="8"/>
  <c r="Y18" i="8"/>
  <c r="AC19" i="8"/>
  <c r="Y21" i="10"/>
  <c r="W21" i="10"/>
  <c r="X21" i="10"/>
  <c r="J23" i="10"/>
  <c r="C23" i="10"/>
  <c r="O23" i="10"/>
  <c r="AD21" i="10"/>
  <c r="F23" i="10"/>
  <c r="G23" i="10"/>
  <c r="P23" i="10"/>
  <c r="H23" i="10"/>
  <c r="R23" i="10"/>
  <c r="K23" i="10"/>
  <c r="S23" i="10"/>
  <c r="T23" i="10"/>
  <c r="D23" i="10"/>
  <c r="L23" i="10"/>
  <c r="E23" i="10"/>
  <c r="N23" i="10"/>
  <c r="AB21" i="10"/>
  <c r="AA21" i="10"/>
  <c r="AA10" i="10"/>
  <c r="AB10" i="10"/>
  <c r="N15" i="10"/>
  <c r="Z15" i="10" s="1"/>
  <c r="X9" i="10"/>
  <c r="AD10" i="10"/>
  <c r="C14" i="10"/>
  <c r="Y9" i="10"/>
  <c r="Z9" i="10"/>
  <c r="C15" i="10"/>
  <c r="D25" i="10"/>
  <c r="AE20" i="10"/>
  <c r="C25" i="10"/>
  <c r="D15" i="10"/>
  <c r="D14" i="10"/>
  <c r="F14" i="10"/>
  <c r="H14" i="10"/>
  <c r="E25" i="10"/>
  <c r="Z20" i="10"/>
  <c r="P25" i="10"/>
  <c r="AB25" i="10" s="1"/>
  <c r="AB20" i="10"/>
  <c r="AE10" i="10"/>
  <c r="R15" i="10"/>
  <c r="AD15" i="10" s="1"/>
  <c r="N14" i="10"/>
  <c r="Z14" i="10" s="1"/>
  <c r="E15" i="10"/>
  <c r="G25" i="10"/>
  <c r="J14" i="10"/>
  <c r="AD9" i="10"/>
  <c r="O14" i="10"/>
  <c r="AA14" i="10" s="1"/>
  <c r="W20" i="10"/>
  <c r="K25" i="10"/>
  <c r="W25" i="10" s="1"/>
  <c r="W10" i="10"/>
  <c r="R14" i="10"/>
  <c r="AD14" i="10" s="1"/>
  <c r="Y20" i="10"/>
  <c r="N25" i="10"/>
  <c r="Z25" i="10" s="1"/>
  <c r="E14" i="10"/>
  <c r="AA20" i="10"/>
  <c r="S25" i="10"/>
  <c r="AE25" i="10" s="1"/>
  <c r="AC9" i="10"/>
  <c r="L14" i="10"/>
  <c r="X14" i="10" s="1"/>
  <c r="T14" i="10"/>
  <c r="AF14" i="10" s="1"/>
  <c r="G15" i="10"/>
  <c r="P15" i="10"/>
  <c r="AB15" i="10" s="1"/>
  <c r="Q22" i="10"/>
  <c r="H26" i="10"/>
  <c r="J26" i="10"/>
  <c r="R26" i="10"/>
  <c r="AD26" i="10" s="1"/>
  <c r="AE9" i="10"/>
  <c r="X10" i="10"/>
  <c r="M11" i="10"/>
  <c r="U11" i="10"/>
  <c r="F25" i="10"/>
  <c r="O25" i="10"/>
  <c r="AA25" i="10" s="1"/>
  <c r="AF9" i="10"/>
  <c r="Y10" i="10"/>
  <c r="K15" i="10"/>
  <c r="W15" i="10" s="1"/>
  <c r="S15" i="10"/>
  <c r="AE15" i="10" s="1"/>
  <c r="AE21" i="10"/>
  <c r="L26" i="10"/>
  <c r="X26" i="10" s="1"/>
  <c r="T26" i="10"/>
  <c r="AF26" i="10" s="1"/>
  <c r="G14" i="10"/>
  <c r="P14" i="10"/>
  <c r="AB14" i="10" s="1"/>
  <c r="AC20" i="10"/>
  <c r="AF21" i="10"/>
  <c r="M22" i="10"/>
  <c r="U22" i="10"/>
  <c r="H25" i="10"/>
  <c r="J25" i="10"/>
  <c r="R25" i="10"/>
  <c r="AD25" i="10" s="1"/>
  <c r="AA9" i="10"/>
  <c r="Q11" i="10"/>
  <c r="K14" i="10"/>
  <c r="W14" i="10" s="1"/>
  <c r="S14" i="10"/>
  <c r="AE14" i="10" s="1"/>
  <c r="L25" i="10"/>
  <c r="X25" i="10" s="1"/>
  <c r="T25" i="10"/>
  <c r="AF25" i="10" s="1"/>
  <c r="AD22" i="10" l="1"/>
  <c r="AD23" i="10" s="1"/>
  <c r="U23" i="10"/>
  <c r="Q23" i="10"/>
  <c r="M23" i="10"/>
  <c r="Q25" i="10"/>
  <c r="AC25" i="10" s="1"/>
  <c r="W11" i="10"/>
  <c r="X22" i="10"/>
  <c r="X23" i="10" s="1"/>
  <c r="AD11" i="10"/>
  <c r="AB22" i="10"/>
  <c r="AB23" i="10" s="1"/>
  <c r="AB11" i="10"/>
  <c r="Z11" i="10"/>
  <c r="AE11" i="10"/>
  <c r="AE12" i="10" s="1"/>
  <c r="AE22" i="10"/>
  <c r="AE23" i="10" s="1"/>
  <c r="Y22" i="10"/>
  <c r="Y23" i="10" s="1"/>
  <c r="Z22" i="10"/>
  <c r="Z23" i="10" s="1"/>
  <c r="W22" i="10"/>
  <c r="W23" i="10" s="1"/>
  <c r="Y11" i="10"/>
  <c r="AF22" i="10"/>
  <c r="AF23" i="10" s="1"/>
  <c r="AC22" i="10"/>
  <c r="AC23" i="10" s="1"/>
  <c r="AF11" i="10"/>
  <c r="AA22" i="10"/>
  <c r="AA23" i="10" s="1"/>
  <c r="X11" i="10"/>
  <c r="M26" i="10"/>
  <c r="Y26" i="10" s="1"/>
  <c r="M25" i="10"/>
  <c r="Y25" i="10" s="1"/>
  <c r="AA11" i="10"/>
  <c r="U26" i="10"/>
  <c r="U15" i="10"/>
  <c r="AC11" i="10"/>
  <c r="Q26" i="10"/>
  <c r="AC26" i="10" s="1"/>
  <c r="M15" i="10"/>
  <c r="Y15" i="10" s="1"/>
  <c r="M14" i="10"/>
  <c r="Y14" i="10" s="1"/>
  <c r="Q15" i="10"/>
  <c r="AC15" i="10" s="1"/>
  <c r="Q14" i="10"/>
  <c r="AC14" i="10" s="1"/>
  <c r="U25" i="10"/>
  <c r="U14" i="10"/>
  <c r="AA23" i="8" l="1"/>
  <c r="Z23" i="8"/>
  <c r="K14" i="9"/>
  <c r="O14" i="9"/>
  <c r="AD13" i="8"/>
  <c r="Z13" i="8"/>
  <c r="AC34" i="8"/>
  <c r="AB34" i="8"/>
  <c r="AA34" i="8"/>
  <c r="Z34" i="8"/>
  <c r="Y34" i="8"/>
  <c r="X34" i="8"/>
  <c r="W34" i="8"/>
  <c r="AC31" i="8"/>
  <c r="AB31" i="8"/>
  <c r="Z31" i="8"/>
  <c r="Y31" i="8"/>
  <c r="X31" i="8"/>
  <c r="K55" i="9"/>
  <c r="T55" i="9" s="1"/>
  <c r="AA42" i="8"/>
  <c r="W45" i="8"/>
  <c r="AA45" i="8"/>
  <c r="K63" i="9"/>
  <c r="T63" i="9" s="1"/>
  <c r="AA48" i="8"/>
  <c r="U49" i="8"/>
  <c r="U31" i="8"/>
  <c r="U11" i="8"/>
  <c r="H110" i="8"/>
  <c r="H107" i="8"/>
  <c r="H101" i="8"/>
  <c r="H82" i="8"/>
  <c r="H81" i="8"/>
  <c r="H74" i="8"/>
  <c r="H63" i="8"/>
  <c r="H68" i="8" s="1"/>
  <c r="H49" i="8"/>
  <c r="H57" i="8" s="1"/>
  <c r="H39" i="8"/>
  <c r="H38" i="8"/>
  <c r="H11" i="8"/>
  <c r="H20" i="8" s="1"/>
  <c r="U110" i="8"/>
  <c r="U107" i="8"/>
  <c r="U101" i="8"/>
  <c r="U82" i="8"/>
  <c r="U81" i="8"/>
  <c r="U74" i="8"/>
  <c r="U63" i="8"/>
  <c r="U68" i="8" s="1"/>
  <c r="U39" i="8"/>
  <c r="U38" i="8"/>
  <c r="K66" i="9"/>
  <c r="T66" i="9" s="1"/>
  <c r="W55" i="8"/>
  <c r="W54" i="8"/>
  <c r="W53" i="8"/>
  <c r="K65" i="9"/>
  <c r="T65" i="9" s="1"/>
  <c r="K67" i="9"/>
  <c r="T67" i="9" s="1"/>
  <c r="AA56" i="8"/>
  <c r="AA55" i="8"/>
  <c r="AA54" i="8"/>
  <c r="AA53" i="8"/>
  <c r="AA52" i="8"/>
  <c r="AA60" i="8"/>
  <c r="AA66" i="8"/>
  <c r="K73" i="9"/>
  <c r="T73" i="9" s="1"/>
  <c r="T49" i="8"/>
  <c r="S49" i="8"/>
  <c r="R49" i="8"/>
  <c r="P49" i="8"/>
  <c r="O49" i="8"/>
  <c r="N49" i="8"/>
  <c r="L49" i="8"/>
  <c r="K49" i="8"/>
  <c r="J49" i="8"/>
  <c r="G49" i="8"/>
  <c r="F49" i="8"/>
  <c r="E49" i="8"/>
  <c r="D49" i="8"/>
  <c r="C49" i="8"/>
  <c r="C57" i="8" s="1"/>
  <c r="Q106" i="8"/>
  <c r="M106" i="8"/>
  <c r="Q105" i="8"/>
  <c r="M105" i="8"/>
  <c r="Q104" i="8"/>
  <c r="M104" i="8"/>
  <c r="K47" i="9" s="1"/>
  <c r="Q100" i="8"/>
  <c r="O45" i="9" s="1"/>
  <c r="M100" i="8"/>
  <c r="X100" i="8" s="1"/>
  <c r="Q99" i="8"/>
  <c r="M99" i="8"/>
  <c r="K46" i="9" s="1"/>
  <c r="Q98" i="8"/>
  <c r="M98" i="8"/>
  <c r="Q97" i="8"/>
  <c r="M97" i="8"/>
  <c r="AD55" i="8"/>
  <c r="AC55" i="8"/>
  <c r="AB55" i="8"/>
  <c r="Z55" i="8"/>
  <c r="Y55" i="8"/>
  <c r="X55" i="8"/>
  <c r="AD54" i="8"/>
  <c r="AC54" i="8"/>
  <c r="AB54" i="8"/>
  <c r="Z54" i="8"/>
  <c r="Y54" i="8"/>
  <c r="X54" i="8"/>
  <c r="AD45" i="8"/>
  <c r="AC45" i="8"/>
  <c r="AB45" i="8"/>
  <c r="Z45" i="8"/>
  <c r="Y45" i="8"/>
  <c r="X45" i="8"/>
  <c r="AD67" i="8"/>
  <c r="AC67" i="8"/>
  <c r="AB67" i="8"/>
  <c r="Z67" i="8"/>
  <c r="Y67" i="8"/>
  <c r="X67" i="8"/>
  <c r="AA67" i="8"/>
  <c r="W67" i="8"/>
  <c r="C107" i="8"/>
  <c r="C101" i="8"/>
  <c r="C82" i="8"/>
  <c r="C81" i="8"/>
  <c r="C74" i="8"/>
  <c r="C63" i="8"/>
  <c r="C68" i="8" s="1"/>
  <c r="C39" i="8"/>
  <c r="C38" i="8"/>
  <c r="C11" i="8"/>
  <c r="C20" i="8" s="1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C70" i="8"/>
  <c r="AB70" i="8"/>
  <c r="Z70" i="8"/>
  <c r="Y70" i="8"/>
  <c r="X70" i="8"/>
  <c r="AC66" i="8"/>
  <c r="AB66" i="8"/>
  <c r="Z66" i="8"/>
  <c r="Y66" i="8"/>
  <c r="X66" i="8"/>
  <c r="AC60" i="8"/>
  <c r="AB60" i="8"/>
  <c r="AC56" i="8"/>
  <c r="AB56" i="8"/>
  <c r="Z56" i="8"/>
  <c r="Y56" i="8"/>
  <c r="X56" i="8"/>
  <c r="AC53" i="8"/>
  <c r="AB53" i="8"/>
  <c r="Z53" i="8"/>
  <c r="Y53" i="8"/>
  <c r="X53" i="8"/>
  <c r="AC52" i="8"/>
  <c r="AB52" i="8"/>
  <c r="Z52" i="8"/>
  <c r="Y52" i="8"/>
  <c r="X52" i="8"/>
  <c r="AC48" i="8"/>
  <c r="AB48" i="8"/>
  <c r="Z48" i="8"/>
  <c r="Y48" i="8"/>
  <c r="X48" i="8"/>
  <c r="AC42" i="8"/>
  <c r="AB42" i="8"/>
  <c r="Z42" i="8"/>
  <c r="Y42" i="8"/>
  <c r="X42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Q92" i="8"/>
  <c r="M92" i="8"/>
  <c r="Y92" i="8" s="1"/>
  <c r="M121" i="8"/>
  <c r="M90" i="8"/>
  <c r="K32" i="9" s="1"/>
  <c r="J27" i="9"/>
  <c r="J38" i="9"/>
  <c r="R45" i="9"/>
  <c r="R46" i="9"/>
  <c r="R38" i="9"/>
  <c r="R32" i="9"/>
  <c r="R27" i="9"/>
  <c r="M46" i="9"/>
  <c r="N38" i="9"/>
  <c r="Q91" i="8"/>
  <c r="N32" i="9"/>
  <c r="N27" i="9"/>
  <c r="P47" i="9"/>
  <c r="Z60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M122" i="8"/>
  <c r="K39" i="9" s="1"/>
  <c r="Q122" i="8"/>
  <c r="O39" i="9" s="1"/>
  <c r="Q121" i="8"/>
  <c r="Q114" i="8"/>
  <c r="Q113" i="8"/>
  <c r="AA113" i="8" s="1"/>
  <c r="M114" i="8"/>
  <c r="M113" i="8"/>
  <c r="Z113" i="8" s="1"/>
  <c r="AD70" i="8"/>
  <c r="AD66" i="8"/>
  <c r="AD60" i="8"/>
  <c r="AD56" i="8"/>
  <c r="AD53" i="8"/>
  <c r="AD52" i="8"/>
  <c r="AD48" i="8"/>
  <c r="AD42" i="8"/>
  <c r="D45" i="9"/>
  <c r="K64" i="9"/>
  <c r="T64" i="9" s="1"/>
  <c r="W66" i="8"/>
  <c r="AA70" i="8"/>
  <c r="W70" i="8"/>
  <c r="AC27" i="8"/>
  <c r="W27" i="8"/>
  <c r="M31" i="8"/>
  <c r="W31" i="8" s="1"/>
  <c r="O23" i="9"/>
  <c r="O34" i="9" s="1"/>
  <c r="K23" i="9"/>
  <c r="K34" i="9" s="1"/>
  <c r="O21" i="9"/>
  <c r="K21" i="9"/>
  <c r="O72" i="9"/>
  <c r="X72" i="9" s="1"/>
  <c r="K72" i="9"/>
  <c r="T72" i="9" s="1"/>
  <c r="AD31" i="8"/>
  <c r="AD34" i="8"/>
  <c r="Q31" i="8"/>
  <c r="AA31" i="8" s="1"/>
  <c r="U12" i="10" l="1"/>
  <c r="U20" i="8"/>
  <c r="AD23" i="8"/>
  <c r="C12" i="10"/>
  <c r="H24" i="8"/>
  <c r="H12" i="10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B23" i="8"/>
  <c r="AC23" i="8"/>
  <c r="W23" i="8"/>
  <c r="X23" i="8"/>
  <c r="Y23" i="8"/>
  <c r="U57" i="8"/>
  <c r="H75" i="8"/>
  <c r="H77" i="8" s="1"/>
  <c r="U75" i="8"/>
  <c r="Z49" i="8"/>
  <c r="AB49" i="8"/>
  <c r="AC49" i="8"/>
  <c r="AD49" i="8"/>
  <c r="Q49" i="8"/>
  <c r="M49" i="8"/>
  <c r="K56" i="9"/>
  <c r="T56" i="9" s="1"/>
  <c r="AA49" i="8"/>
  <c r="Q89" i="8"/>
  <c r="AD89" i="8" s="1"/>
  <c r="AF54" i="8"/>
  <c r="AF55" i="8"/>
  <c r="AF45" i="8"/>
  <c r="AF67" i="8"/>
  <c r="W14" i="9"/>
  <c r="C24" i="8"/>
  <c r="C75" i="8"/>
  <c r="C77" i="8" s="1"/>
  <c r="V21" i="9"/>
  <c r="U14" i="9"/>
  <c r="X34" i="9"/>
  <c r="V14" i="9"/>
  <c r="W92" i="8"/>
  <c r="Z92" i="8"/>
  <c r="AC92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W104" i="8"/>
  <c r="X99" i="8"/>
  <c r="Y100" i="8"/>
  <c r="Z23" i="9"/>
  <c r="W34" i="9"/>
  <c r="W48" i="8"/>
  <c r="W60" i="8"/>
  <c r="X92" i="8"/>
  <c r="Y99" i="8"/>
  <c r="Z100" i="8"/>
  <c r="X60" i="8"/>
  <c r="W90" i="8"/>
  <c r="AA100" i="8"/>
  <c r="T23" i="9"/>
  <c r="W42" i="8"/>
  <c r="Y60" i="8"/>
  <c r="X90" i="8"/>
  <c r="AB100" i="8"/>
  <c r="U23" i="9"/>
  <c r="W56" i="8"/>
  <c r="Y90" i="8"/>
  <c r="AA92" i="8"/>
  <c r="AC100" i="8"/>
  <c r="X104" i="8"/>
  <c r="V23" i="9"/>
  <c r="Z90" i="8"/>
  <c r="AA91" i="8"/>
  <c r="AB92" i="8"/>
  <c r="Y104" i="8"/>
  <c r="U21" i="9"/>
  <c r="W23" i="9"/>
  <c r="W52" i="8"/>
  <c r="AB91" i="8"/>
  <c r="W100" i="8"/>
  <c r="Z104" i="8"/>
  <c r="X23" i="9"/>
  <c r="AC91" i="8"/>
  <c r="W99" i="8"/>
  <c r="Y23" i="9"/>
  <c r="N49" i="9"/>
  <c r="X27" i="8"/>
  <c r="Y27" i="8"/>
  <c r="Z27" i="8"/>
  <c r="AA27" i="8"/>
  <c r="AF48" i="8"/>
  <c r="AF56" i="8"/>
  <c r="AB27" i="8"/>
  <c r="J49" i="9"/>
  <c r="W13" i="8"/>
  <c r="AF73" i="8"/>
  <c r="X13" i="8"/>
  <c r="AF53" i="8"/>
  <c r="AF66" i="8"/>
  <c r="Y13" i="8"/>
  <c r="AA13" i="8"/>
  <c r="AB13" i="8"/>
  <c r="R49" i="9"/>
  <c r="AC13" i="8"/>
  <c r="M49" i="9"/>
  <c r="R101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D101" i="8"/>
  <c r="H41" i="9"/>
  <c r="F67" i="9"/>
  <c r="O65" i="9"/>
  <c r="X65" i="9" s="1"/>
  <c r="Y85" i="9"/>
  <c r="AA85" i="9"/>
  <c r="W85" i="9"/>
  <c r="K85" i="9"/>
  <c r="X85" i="9"/>
  <c r="Z85" i="9"/>
  <c r="O85" i="9"/>
  <c r="G101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N101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01" i="8"/>
  <c r="J101" i="8"/>
  <c r="F101" i="8"/>
  <c r="M93" i="8"/>
  <c r="Q93" i="8"/>
  <c r="AC93" i="8" s="1"/>
  <c r="AD92" i="8"/>
  <c r="M91" i="8"/>
  <c r="W91" i="8" s="1"/>
  <c r="Z97" i="8"/>
  <c r="M88" i="8"/>
  <c r="W88" i="8" s="1"/>
  <c r="T101" i="8"/>
  <c r="Q90" i="8"/>
  <c r="AA97" i="8"/>
  <c r="AB98" i="8"/>
  <c r="Q88" i="8"/>
  <c r="AA88" i="8" s="1"/>
  <c r="X113" i="8"/>
  <c r="AD91" i="8"/>
  <c r="AD113" i="8"/>
  <c r="AC113" i="8"/>
  <c r="AB113" i="8"/>
  <c r="Y113" i="8"/>
  <c r="W113" i="8"/>
  <c r="AD100" i="8"/>
  <c r="AD27" i="8"/>
  <c r="AF34" i="8"/>
  <c r="H21" i="8" l="1"/>
  <c r="W10" i="9"/>
  <c r="V10" i="9"/>
  <c r="U10" i="9"/>
  <c r="T10" i="9"/>
  <c r="U24" i="8"/>
  <c r="U28" i="8" s="1"/>
  <c r="U85" i="8" s="1"/>
  <c r="U77" i="8"/>
  <c r="U21" i="8"/>
  <c r="H28" i="8"/>
  <c r="H85" i="8" s="1"/>
  <c r="H25" i="8"/>
  <c r="AA89" i="8"/>
  <c r="AC89" i="8"/>
  <c r="M89" i="8"/>
  <c r="Z89" i="8" s="1"/>
  <c r="AF89" i="8" s="1"/>
  <c r="AB89" i="8"/>
  <c r="AF92" i="8"/>
  <c r="V32" i="9"/>
  <c r="Z45" i="9"/>
  <c r="X22" i="9"/>
  <c r="C21" i="8"/>
  <c r="V47" i="9"/>
  <c r="Z22" i="9"/>
  <c r="AB93" i="8"/>
  <c r="W105" i="8"/>
  <c r="U20" i="9"/>
  <c r="X91" i="8"/>
  <c r="AC98" i="8"/>
  <c r="X105" i="8"/>
  <c r="AB97" i="8"/>
  <c r="AB90" i="8"/>
  <c r="AC90" i="8"/>
  <c r="K33" i="9"/>
  <c r="W22" i="9"/>
  <c r="AC22" i="9" s="1"/>
  <c r="V22" i="9"/>
  <c r="U47" i="9"/>
  <c r="N48" i="9"/>
  <c r="AA98" i="8"/>
  <c r="AC88" i="8"/>
  <c r="Y22" i="9"/>
  <c r="Y20" i="9"/>
  <c r="X19" i="9"/>
  <c r="J44" i="9"/>
  <c r="W45" i="9"/>
  <c r="V45" i="9"/>
  <c r="K48" i="9"/>
  <c r="Z105" i="8"/>
  <c r="U22" i="9"/>
  <c r="T45" i="9"/>
  <c r="Z99" i="8"/>
  <c r="AA93" i="8"/>
  <c r="X20" i="9"/>
  <c r="T32" i="9"/>
  <c r="U32" i="9"/>
  <c r="J48" i="9"/>
  <c r="Y105" i="8"/>
  <c r="AC97" i="8"/>
  <c r="X97" i="8"/>
  <c r="AB88" i="8"/>
  <c r="Z88" i="8"/>
  <c r="X88" i="8"/>
  <c r="W93" i="8"/>
  <c r="Z93" i="8"/>
  <c r="X93" i="8"/>
  <c r="U19" i="9"/>
  <c r="W19" i="9"/>
  <c r="V19" i="9"/>
  <c r="Z91" i="8"/>
  <c r="AF91" i="8" s="1"/>
  <c r="Y91" i="8"/>
  <c r="V20" i="9"/>
  <c r="W20" i="9"/>
  <c r="AA90" i="8"/>
  <c r="Y97" i="8"/>
  <c r="Y88" i="8"/>
  <c r="Y15" i="9"/>
  <c r="K28" i="9"/>
  <c r="W28" i="9" s="1"/>
  <c r="W15" i="9"/>
  <c r="U15" i="9"/>
  <c r="Y19" i="9"/>
  <c r="V15" i="9"/>
  <c r="W97" i="8"/>
  <c r="X45" i="9"/>
  <c r="T15" i="9"/>
  <c r="Y93" i="8"/>
  <c r="T47" i="9"/>
  <c r="Y45" i="9"/>
  <c r="X15" i="9"/>
  <c r="W47" i="9"/>
  <c r="Q47" i="9"/>
  <c r="AC23" i="9"/>
  <c r="AC21" i="9"/>
  <c r="AF100" i="8"/>
  <c r="AC34" i="9"/>
  <c r="K41" i="9"/>
  <c r="O48" i="9"/>
  <c r="N41" i="9"/>
  <c r="AA20" i="9"/>
  <c r="O33" i="9"/>
  <c r="AC99" i="8"/>
  <c r="N46" i="9"/>
  <c r="AD88" i="8"/>
  <c r="O27" i="9"/>
  <c r="Z27" i="9" s="1"/>
  <c r="O32" i="9"/>
  <c r="K38" i="9"/>
  <c r="L101" i="8"/>
  <c r="Y98" i="8"/>
  <c r="O28" i="9"/>
  <c r="Z28" i="9" s="1"/>
  <c r="O44" i="9"/>
  <c r="Z44" i="9" s="1"/>
  <c r="K27" i="9"/>
  <c r="T27" i="9" s="1"/>
  <c r="AA15" i="9"/>
  <c r="O38" i="9"/>
  <c r="K101" i="8"/>
  <c r="AD90" i="8"/>
  <c r="AF90" i="8" s="1"/>
  <c r="S101" i="8"/>
  <c r="AD98" i="8"/>
  <c r="P101" i="8"/>
  <c r="AD97" i="8"/>
  <c r="O101" i="8"/>
  <c r="AF27" i="8"/>
  <c r="AA73" i="9"/>
  <c r="AA72" i="9"/>
  <c r="O7" i="9"/>
  <c r="O6" i="9"/>
  <c r="AD114" i="8"/>
  <c r="T110" i="8"/>
  <c r="AB114" i="8"/>
  <c r="AD110" i="8"/>
  <c r="P110" i="8"/>
  <c r="O110" i="8"/>
  <c r="M110" i="8"/>
  <c r="L110" i="8"/>
  <c r="J107" i="8"/>
  <c r="K107" i="8"/>
  <c r="L107" i="8"/>
  <c r="K110" i="8"/>
  <c r="R110" i="8"/>
  <c r="N110" i="8"/>
  <c r="AD93" i="8"/>
  <c r="W16" i="9" l="1"/>
  <c r="W24" i="9" s="1"/>
  <c r="V16" i="9"/>
  <c r="T16" i="9"/>
  <c r="T24" i="9" s="1"/>
  <c r="U16" i="9"/>
  <c r="U24" i="9" s="1"/>
  <c r="Y7" i="9"/>
  <c r="X7" i="9"/>
  <c r="Z7" i="9"/>
  <c r="Y6" i="9"/>
  <c r="X6" i="9"/>
  <c r="Z6" i="9"/>
  <c r="U25" i="8"/>
  <c r="U35" i="8"/>
  <c r="U32" i="8"/>
  <c r="U29" i="8"/>
  <c r="H32" i="8"/>
  <c r="H35" i="8"/>
  <c r="H29" i="8"/>
  <c r="U94" i="8"/>
  <c r="U115" i="8" s="1"/>
  <c r="W89" i="8"/>
  <c r="X89" i="8"/>
  <c r="Y89" i="8"/>
  <c r="W48" i="9"/>
  <c r="C28" i="8"/>
  <c r="C85" i="8" s="1"/>
  <c r="C25" i="8"/>
  <c r="O41" i="9"/>
  <c r="U27" i="9"/>
  <c r="AA99" i="8"/>
  <c r="V24" i="9"/>
  <c r="Y27" i="9"/>
  <c r="AC20" i="9"/>
  <c r="X28" i="9"/>
  <c r="V28" i="9"/>
  <c r="X27" i="9"/>
  <c r="AA105" i="8"/>
  <c r="M101" i="8"/>
  <c r="Z98" i="8"/>
  <c r="AF98" i="8" s="1"/>
  <c r="X98" i="8"/>
  <c r="X44" i="9"/>
  <c r="X32" i="9"/>
  <c r="Z32" i="9"/>
  <c r="T28" i="9"/>
  <c r="AC105" i="8"/>
  <c r="Y28" i="9"/>
  <c r="AB104" i="8"/>
  <c r="AC104" i="8"/>
  <c r="AA104" i="8"/>
  <c r="Y44" i="9"/>
  <c r="AB105" i="8"/>
  <c r="Z106" i="8"/>
  <c r="X106" i="8"/>
  <c r="Y106" i="8"/>
  <c r="W106" i="8"/>
  <c r="W27" i="9"/>
  <c r="V27" i="9"/>
  <c r="Y32" i="9"/>
  <c r="V48" i="9"/>
  <c r="U48" i="9"/>
  <c r="T48" i="9"/>
  <c r="Z48" i="9"/>
  <c r="Y48" i="9"/>
  <c r="X48" i="9"/>
  <c r="AC106" i="8"/>
  <c r="AA106" i="8"/>
  <c r="AB106" i="8"/>
  <c r="W46" i="9"/>
  <c r="W98" i="8"/>
  <c r="O46" i="9"/>
  <c r="AA46" i="9" s="1"/>
  <c r="AB99" i="8"/>
  <c r="U33" i="9"/>
  <c r="W33" i="9"/>
  <c r="V33" i="9"/>
  <c r="T33" i="9"/>
  <c r="AA33" i="9"/>
  <c r="X33" i="9"/>
  <c r="Y33" i="9"/>
  <c r="Z33" i="9"/>
  <c r="U28" i="9"/>
  <c r="AC15" i="9"/>
  <c r="K49" i="9"/>
  <c r="O49" i="9"/>
  <c r="AF97" i="8"/>
  <c r="AD105" i="8"/>
  <c r="AF105" i="8" s="1"/>
  <c r="AD99" i="8"/>
  <c r="AF99" i="8" s="1"/>
  <c r="O9" i="9"/>
  <c r="O8" i="9"/>
  <c r="AD104" i="8"/>
  <c r="O47" i="9"/>
  <c r="AA28" i="9"/>
  <c r="AC28" i="9" s="1"/>
  <c r="K44" i="9"/>
  <c r="W44" i="9" s="1"/>
  <c r="Q101" i="8"/>
  <c r="S110" i="8"/>
  <c r="W121" i="8"/>
  <c r="AF93" i="8"/>
  <c r="Y110" i="8"/>
  <c r="AA110" i="8"/>
  <c r="X114" i="8"/>
  <c r="AD106" i="8"/>
  <c r="Y114" i="8"/>
  <c r="AA114" i="8"/>
  <c r="X110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W114" i="8"/>
  <c r="Z114" i="8"/>
  <c r="Z110" i="8"/>
  <c r="AB110" i="8"/>
  <c r="AC114" i="8"/>
  <c r="AC110" i="8"/>
  <c r="E110" i="8"/>
  <c r="F110" i="8"/>
  <c r="W110" i="8" s="1"/>
  <c r="G110" i="8"/>
  <c r="Q110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5" i="8"/>
  <c r="C32" i="8"/>
  <c r="H94" i="8"/>
  <c r="H115" i="8" s="1"/>
  <c r="U29" i="9"/>
  <c r="U35" i="9" s="1"/>
  <c r="C29" i="8"/>
  <c r="AC33" i="9"/>
  <c r="W29" i="9"/>
  <c r="W35" i="9" s="1"/>
  <c r="V29" i="9"/>
  <c r="V35" i="9" s="1"/>
  <c r="X46" i="9"/>
  <c r="T44" i="9"/>
  <c r="V44" i="9"/>
  <c r="Y46" i="9"/>
  <c r="AF106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B121" i="8"/>
  <c r="AC121" i="8"/>
  <c r="Z121" i="8"/>
  <c r="Y121" i="8"/>
  <c r="X121" i="8"/>
  <c r="AD121" i="8"/>
  <c r="AA121" i="8"/>
  <c r="AC14" i="9"/>
  <c r="X10" i="9" l="1"/>
  <c r="X16" i="9" s="1"/>
  <c r="X24" i="9" s="1"/>
  <c r="X29" i="9" s="1"/>
  <c r="X35" i="9" s="1"/>
  <c r="C94" i="8"/>
  <c r="C115" i="8" s="1"/>
  <c r="C111" i="8" l="1"/>
  <c r="C116" i="8" s="1"/>
  <c r="D109" i="8" s="1"/>
  <c r="AA57" i="9"/>
  <c r="AA56" i="9"/>
  <c r="Q8" i="8"/>
  <c r="Q4" i="10" s="1"/>
  <c r="AA4" i="10" s="1"/>
  <c r="M8" i="8"/>
  <c r="M4" i="10" s="1"/>
  <c r="W4" i="10" s="1"/>
  <c r="C118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T63" i="8"/>
  <c r="R68" i="9" s="1"/>
  <c r="S63" i="8"/>
  <c r="Q68" i="9" s="1"/>
  <c r="Z68" i="9" s="1"/>
  <c r="R63" i="8"/>
  <c r="P68" i="9" s="1"/>
  <c r="Y68" i="9" s="1"/>
  <c r="P63" i="8"/>
  <c r="N68" i="9" s="1"/>
  <c r="W68" i="9" s="1"/>
  <c r="O63" i="8"/>
  <c r="M68" i="9" s="1"/>
  <c r="V68" i="9" s="1"/>
  <c r="N63" i="8"/>
  <c r="L68" i="9" s="1"/>
  <c r="U68" i="9" s="1"/>
  <c r="L63" i="8"/>
  <c r="J68" i="9" s="1"/>
  <c r="K63" i="8"/>
  <c r="I68" i="9" s="1"/>
  <c r="J63" i="8"/>
  <c r="H68" i="9" s="1"/>
  <c r="G63" i="8"/>
  <c r="F68" i="9" s="1"/>
  <c r="F63" i="8"/>
  <c r="E68" i="9" s="1"/>
  <c r="E63" i="8"/>
  <c r="D68" i="9" s="1"/>
  <c r="D63" i="8"/>
  <c r="C68" i="9" s="1"/>
  <c r="AA55" i="9"/>
  <c r="AA58" i="9" s="1"/>
  <c r="R4" i="9"/>
  <c r="AA4" i="9" s="1"/>
  <c r="R3" i="9"/>
  <c r="AA3" i="9" s="1"/>
  <c r="AD8" i="8"/>
  <c r="AD82" i="8" s="1"/>
  <c r="AD7" i="8"/>
  <c r="AD81" i="8" s="1"/>
  <c r="T82" i="8"/>
  <c r="T81" i="8"/>
  <c r="T74" i="8"/>
  <c r="R87" i="9" s="1"/>
  <c r="T39" i="8"/>
  <c r="T38" i="8"/>
  <c r="T11" i="8"/>
  <c r="T20" i="8" s="1"/>
  <c r="R107" i="8"/>
  <c r="G107" i="8"/>
  <c r="F107" i="8"/>
  <c r="E107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L74" i="8"/>
  <c r="J87" i="9" s="1"/>
  <c r="S82" i="8"/>
  <c r="R82" i="8"/>
  <c r="Q82" i="8"/>
  <c r="P82" i="8"/>
  <c r="O82" i="8"/>
  <c r="N82" i="8"/>
  <c r="M82" i="8"/>
  <c r="L82" i="8"/>
  <c r="K82" i="8"/>
  <c r="J82" i="8"/>
  <c r="S81" i="8"/>
  <c r="R81" i="8"/>
  <c r="Q81" i="8"/>
  <c r="P81" i="8"/>
  <c r="O81" i="8"/>
  <c r="N81" i="8"/>
  <c r="M81" i="8"/>
  <c r="L81" i="8"/>
  <c r="K81" i="8"/>
  <c r="J81" i="8"/>
  <c r="P74" i="8"/>
  <c r="N87" i="9" s="1"/>
  <c r="O74" i="8"/>
  <c r="M87" i="9" s="1"/>
  <c r="N74" i="8"/>
  <c r="L87" i="9" s="1"/>
  <c r="K74" i="8"/>
  <c r="I87" i="9" s="1"/>
  <c r="J74" i="8"/>
  <c r="H87" i="9" s="1"/>
  <c r="S39" i="8"/>
  <c r="R39" i="8"/>
  <c r="Q39" i="8"/>
  <c r="P39" i="8"/>
  <c r="O39" i="8"/>
  <c r="N39" i="8"/>
  <c r="M39" i="8"/>
  <c r="L39" i="8"/>
  <c r="K39" i="8"/>
  <c r="J39" i="8"/>
  <c r="S38" i="8"/>
  <c r="R38" i="8"/>
  <c r="Q38" i="8"/>
  <c r="P38" i="8"/>
  <c r="O38" i="8"/>
  <c r="N38" i="8"/>
  <c r="M38" i="8"/>
  <c r="L38" i="8"/>
  <c r="K38" i="8"/>
  <c r="J38" i="8"/>
  <c r="G39" i="8"/>
  <c r="F39" i="8"/>
  <c r="E39" i="8"/>
  <c r="D39" i="8"/>
  <c r="G38" i="8"/>
  <c r="F38" i="8"/>
  <c r="E38" i="8"/>
  <c r="D38" i="8"/>
  <c r="O11" i="8"/>
  <c r="O20" i="8" s="1"/>
  <c r="N11" i="8"/>
  <c r="N20" i="8" s="1"/>
  <c r="L11" i="8"/>
  <c r="L20" i="8" s="1"/>
  <c r="K11" i="8"/>
  <c r="K20" i="8" s="1"/>
  <c r="J11" i="8"/>
  <c r="J20" i="8" s="1"/>
  <c r="S11" i="8"/>
  <c r="S20" i="8" s="1"/>
  <c r="X8" i="8"/>
  <c r="W8" i="8"/>
  <c r="X7" i="8"/>
  <c r="W7" i="8"/>
  <c r="AB8" i="8"/>
  <c r="AA8" i="8"/>
  <c r="Z8" i="8"/>
  <c r="Y8" i="8"/>
  <c r="AB7" i="8"/>
  <c r="AA7" i="8"/>
  <c r="Z7" i="8"/>
  <c r="Y7" i="8"/>
  <c r="AC8" i="8"/>
  <c r="AC7" i="8"/>
  <c r="L12" i="10" l="1"/>
  <c r="J12" i="10"/>
  <c r="K12" i="10"/>
  <c r="N24" i="8"/>
  <c r="N12" i="10"/>
  <c r="T24" i="8"/>
  <c r="T12" i="10"/>
  <c r="O24" i="8"/>
  <c r="O12" i="10"/>
  <c r="S12" i="10"/>
  <c r="W10" i="8"/>
  <c r="Y10" i="8"/>
  <c r="Z10" i="8"/>
  <c r="X10" i="8"/>
  <c r="AC10" i="8"/>
  <c r="AB10" i="8"/>
  <c r="AA10" i="8"/>
  <c r="AF42" i="8"/>
  <c r="AF70" i="8"/>
  <c r="AF52" i="8"/>
  <c r="AF60" i="8"/>
  <c r="T68" i="8"/>
  <c r="R69" i="9" s="1"/>
  <c r="U87" i="9"/>
  <c r="AA87" i="9"/>
  <c r="AB122" i="8"/>
  <c r="V87" i="9"/>
  <c r="W87" i="9"/>
  <c r="K58" i="9"/>
  <c r="L57" i="8"/>
  <c r="AB63" i="8"/>
  <c r="AC63" i="8"/>
  <c r="AD63" i="8"/>
  <c r="Z63" i="8"/>
  <c r="M63" i="8"/>
  <c r="K68" i="9" s="1"/>
  <c r="T68" i="9" s="1"/>
  <c r="Q63" i="8"/>
  <c r="O68" i="9" s="1"/>
  <c r="X68" i="9" s="1"/>
  <c r="L68" i="8"/>
  <c r="J69" i="9" s="1"/>
  <c r="AD74" i="8"/>
  <c r="AD10" i="8"/>
  <c r="K68" i="8"/>
  <c r="I69" i="9" s="1"/>
  <c r="AD38" i="8"/>
  <c r="AD39" i="8"/>
  <c r="J68" i="8"/>
  <c r="H69" i="9" s="1"/>
  <c r="K57" i="8"/>
  <c r="D107" i="8"/>
  <c r="S107" i="8"/>
  <c r="N107" i="8"/>
  <c r="O107" i="8"/>
  <c r="S57" i="8"/>
  <c r="P57" i="8"/>
  <c r="J57" i="8"/>
  <c r="O57" i="8"/>
  <c r="N57" i="8"/>
  <c r="G68" i="8"/>
  <c r="F69" i="9" s="1"/>
  <c r="Z122" i="8"/>
  <c r="V58" i="9"/>
  <c r="U58" i="9"/>
  <c r="AA122" i="8"/>
  <c r="X122" i="8"/>
  <c r="Y122" i="8"/>
  <c r="W122" i="8"/>
  <c r="M11" i="8"/>
  <c r="M20" i="8" s="1"/>
  <c r="M74" i="8"/>
  <c r="K87" i="9" s="1"/>
  <c r="M57" i="8"/>
  <c r="Q57" i="8"/>
  <c r="M24" i="8" l="1"/>
  <c r="M12" i="10"/>
  <c r="L24" i="8"/>
  <c r="T75" i="8"/>
  <c r="AA69" i="9"/>
  <c r="AA9" i="9"/>
  <c r="AC9" i="9" s="1"/>
  <c r="AA8" i="9"/>
  <c r="AC8" i="9" s="1"/>
  <c r="AA7" i="9"/>
  <c r="AC7" i="9" s="1"/>
  <c r="K24" i="8"/>
  <c r="T21" i="8"/>
  <c r="T28" i="8"/>
  <c r="T85" i="8" s="1"/>
  <c r="J24" i="8"/>
  <c r="AA63" i="8"/>
  <c r="AF13" i="8"/>
  <c r="AF104" i="8"/>
  <c r="AA48" i="9"/>
  <c r="AD57" i="8"/>
  <c r="AD68" i="8"/>
  <c r="AD75" i="8" s="1"/>
  <c r="AF63" i="8"/>
  <c r="AD11" i="8"/>
  <c r="AD20" i="8" s="1"/>
  <c r="AF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K75" i="8"/>
  <c r="K77" i="8" s="1"/>
  <c r="AA88" i="9"/>
  <c r="AA97" i="9" s="1"/>
  <c r="T87" i="9"/>
  <c r="T88" i="9" s="1"/>
  <c r="T97" i="9" s="1"/>
  <c r="AA19" i="9"/>
  <c r="T57" i="8"/>
  <c r="AA68" i="9"/>
  <c r="AA38" i="9"/>
  <c r="L75" i="8"/>
  <c r="L77" i="8" s="1"/>
  <c r="T107" i="8"/>
  <c r="J75" i="8"/>
  <c r="J77" i="8" s="1"/>
  <c r="P107" i="8"/>
  <c r="AA44" i="9"/>
  <c r="T58" i="9"/>
  <c r="O68" i="8"/>
  <c r="M69" i="9" s="1"/>
  <c r="V69" i="9" s="1"/>
  <c r="N68" i="8"/>
  <c r="L69" i="9" s="1"/>
  <c r="U69" i="9" s="1"/>
  <c r="M68" i="8"/>
  <c r="K69" i="9" s="1"/>
  <c r="T69" i="9" s="1"/>
  <c r="P68" i="8"/>
  <c r="N69" i="9" s="1"/>
  <c r="W69" i="9" s="1"/>
  <c r="U39" i="9"/>
  <c r="X39" i="9"/>
  <c r="Y38" i="9"/>
  <c r="AA41" i="9"/>
  <c r="V39" i="9"/>
  <c r="Z38" i="9"/>
  <c r="W39" i="9"/>
  <c r="X38" i="9"/>
  <c r="T39" i="9"/>
  <c r="O21" i="8"/>
  <c r="O28" i="8"/>
  <c r="O85" i="8" s="1"/>
  <c r="N21" i="8"/>
  <c r="AD12" i="10" l="1"/>
  <c r="T35" i="8"/>
  <c r="T32" i="8"/>
  <c r="O35" i="8"/>
  <c r="O32" i="8"/>
  <c r="AC19" i="9"/>
  <c r="N28" i="8"/>
  <c r="N85" i="8" s="1"/>
  <c r="K28" i="8"/>
  <c r="K85" i="8" s="1"/>
  <c r="L25" i="8"/>
  <c r="L21" i="8"/>
  <c r="K21" i="8"/>
  <c r="T77" i="8"/>
  <c r="R24" i="9"/>
  <c r="R29" i="9" s="1"/>
  <c r="R35" i="9" s="1"/>
  <c r="T25" i="8"/>
  <c r="J28" i="8"/>
  <c r="J85" i="8" s="1"/>
  <c r="J21" i="8"/>
  <c r="AD77" i="8"/>
  <c r="Y40" i="9"/>
  <c r="Z40" i="9"/>
  <c r="X40" i="9"/>
  <c r="AC40" i="9"/>
  <c r="U40" i="9"/>
  <c r="V40" i="9"/>
  <c r="T40" i="9"/>
  <c r="Z39" i="9"/>
  <c r="AC122" i="8"/>
  <c r="N75" i="8"/>
  <c r="N77" i="8" s="1"/>
  <c r="Y39" i="9"/>
  <c r="O75" i="8"/>
  <c r="O77" i="8" s="1"/>
  <c r="AA101" i="8"/>
  <c r="AC101" i="8"/>
  <c r="AB101" i="8"/>
  <c r="AD101" i="8"/>
  <c r="Z41" i="9"/>
  <c r="O25" i="8"/>
  <c r="AC107" i="8"/>
  <c r="AD107" i="8"/>
  <c r="Y101" i="8"/>
  <c r="AA107" i="8"/>
  <c r="Y107" i="8"/>
  <c r="AB107" i="8"/>
  <c r="Q107" i="8"/>
  <c r="P75" i="8"/>
  <c r="P77" i="8" s="1"/>
  <c r="M75" i="8"/>
  <c r="M77" i="8" s="1"/>
  <c r="Y41" i="9"/>
  <c r="AF88" i="8"/>
  <c r="X41" i="9"/>
  <c r="Z101" i="8"/>
  <c r="X101" i="8"/>
  <c r="W101" i="8"/>
  <c r="V38" i="9"/>
  <c r="U38" i="9"/>
  <c r="W38" i="9"/>
  <c r="T38" i="9"/>
  <c r="W41" i="9"/>
  <c r="AC41" i="9" s="1"/>
  <c r="T41" i="9"/>
  <c r="U41" i="9"/>
  <c r="V41" i="9"/>
  <c r="M21" i="8"/>
  <c r="M28" i="8"/>
  <c r="M85" i="8" s="1"/>
  <c r="N25" i="8"/>
  <c r="N32" i="8" l="1"/>
  <c r="N35" i="8"/>
  <c r="J35" i="8"/>
  <c r="J32" i="8"/>
  <c r="K32" i="8"/>
  <c r="K35" i="8"/>
  <c r="M35" i="8"/>
  <c r="M32" i="8"/>
  <c r="T94" i="8"/>
  <c r="T115" i="8" s="1"/>
  <c r="O94" i="8"/>
  <c r="O115" i="8" s="1"/>
  <c r="X42" i="9"/>
  <c r="Y42" i="9"/>
  <c r="Z42" i="9"/>
  <c r="T42" i="9"/>
  <c r="AC38" i="9"/>
  <c r="W42" i="9"/>
  <c r="U42" i="9"/>
  <c r="V42" i="9"/>
  <c r="L28" i="8"/>
  <c r="L85" i="8" s="1"/>
  <c r="K25" i="8"/>
  <c r="AD24" i="8"/>
  <c r="T29" i="8"/>
  <c r="R17" i="9"/>
  <c r="R25" i="9"/>
  <c r="J25" i="8"/>
  <c r="AF31" i="8"/>
  <c r="AF101" i="8"/>
  <c r="AA39" i="9"/>
  <c r="AC39" i="9" s="1"/>
  <c r="AD122" i="8"/>
  <c r="AA32" i="9"/>
  <c r="AC32" i="9" s="1"/>
  <c r="AA27" i="9"/>
  <c r="AA45" i="9"/>
  <c r="R30" i="9"/>
  <c r="K29" i="8"/>
  <c r="M25" i="8"/>
  <c r="W107" i="8"/>
  <c r="M107" i="8"/>
  <c r="Z107" i="8"/>
  <c r="AF107" i="8" s="1"/>
  <c r="X107" i="8"/>
  <c r="O29" i="8"/>
  <c r="N29" i="8"/>
  <c r="L35" i="8" l="1"/>
  <c r="L32" i="8"/>
  <c r="J94" i="8"/>
  <c r="J115" i="8" s="1"/>
  <c r="N94" i="8"/>
  <c r="N115" i="8" s="1"/>
  <c r="K94" i="8"/>
  <c r="K115" i="8" s="1"/>
  <c r="L29" i="8"/>
  <c r="AD21" i="8"/>
  <c r="AD28" i="8"/>
  <c r="AD85" i="8" s="1"/>
  <c r="AC27" i="9"/>
  <c r="AA6" i="9"/>
  <c r="AA10" i="9" s="1"/>
  <c r="AA16" i="9" s="1"/>
  <c r="AA24" i="9" s="1"/>
  <c r="AA29" i="9" s="1"/>
  <c r="AA35" i="9" s="1"/>
  <c r="AA42" i="9" s="1"/>
  <c r="J29" i="8"/>
  <c r="V17" i="9"/>
  <c r="R36" i="9"/>
  <c r="R42" i="9"/>
  <c r="R50" i="9" s="1"/>
  <c r="M29" i="8"/>
  <c r="AD35" i="8" l="1"/>
  <c r="AD32" i="8"/>
  <c r="L94" i="8"/>
  <c r="L115" i="8" s="1"/>
  <c r="AD29" i="8"/>
  <c r="AD25" i="8"/>
  <c r="U17" i="9"/>
  <c r="W25" i="9"/>
  <c r="W17" i="9"/>
  <c r="T17" i="9"/>
  <c r="V25" i="9"/>
  <c r="T25" i="9"/>
  <c r="Y11" i="9"/>
  <c r="AC6" i="9"/>
  <c r="R51" i="9"/>
  <c r="T30" i="9"/>
  <c r="M94" i="8"/>
  <c r="M115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X115" i="8"/>
  <c r="Y115" i="8"/>
  <c r="W115" i="8"/>
  <c r="T96" i="9" a="1"/>
  <c r="T96" i="9" s="1"/>
  <c r="T94" i="9"/>
  <c r="T95" i="9" a="1"/>
  <c r="T95" i="9" s="1"/>
  <c r="T93" i="9"/>
  <c r="T36" i="9"/>
  <c r="T92" i="9"/>
  <c r="B82" i="8"/>
  <c r="B81" i="8"/>
  <c r="G82" i="8"/>
  <c r="F82" i="8"/>
  <c r="E82" i="8"/>
  <c r="D82" i="8"/>
  <c r="G81" i="8"/>
  <c r="F81" i="8"/>
  <c r="E81" i="8"/>
  <c r="D81" i="8"/>
  <c r="B39" i="8"/>
  <c r="B38" i="8"/>
  <c r="AC39" i="8"/>
  <c r="AB39" i="8"/>
  <c r="AA39" i="8"/>
  <c r="Y39" i="8"/>
  <c r="X39" i="8"/>
  <c r="W39" i="8"/>
  <c r="Z39" i="8"/>
  <c r="AC38" i="8"/>
  <c r="AB38" i="8"/>
  <c r="AA38" i="8"/>
  <c r="Z38" i="8"/>
  <c r="Y38" i="8"/>
  <c r="X38" i="8"/>
  <c r="W38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W81" i="8"/>
  <c r="W82" i="8"/>
  <c r="Z81" i="8"/>
  <c r="AA81" i="8"/>
  <c r="AA82" i="8"/>
  <c r="AB82" i="8"/>
  <c r="Y81" i="8"/>
  <c r="AB81" i="8"/>
  <c r="Y82" i="8"/>
  <c r="X82" i="8"/>
  <c r="AC81" i="8"/>
  <c r="Z82" i="8"/>
  <c r="X81" i="8"/>
  <c r="AC82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Q74" i="8" l="1"/>
  <c r="O87" i="9" s="1"/>
  <c r="S74" i="8"/>
  <c r="Q87" i="9" s="1"/>
  <c r="Z87" i="9" l="1"/>
  <c r="X87" i="9"/>
  <c r="X88" i="9" s="1"/>
  <c r="X97" i="9" s="1"/>
  <c r="R57" i="8"/>
  <c r="R74" i="8"/>
  <c r="P87" i="9" s="1"/>
  <c r="R11" i="9" l="1"/>
  <c r="R12" i="9"/>
  <c r="Y87" i="9"/>
  <c r="Y88" i="9" s="1"/>
  <c r="Y97" i="9" s="1"/>
  <c r="Z88" i="9"/>
  <c r="Z97" i="9" s="1"/>
  <c r="X11" i="8" l="1"/>
  <c r="X20" i="8" s="1"/>
  <c r="F57" i="8"/>
  <c r="E57" i="8"/>
  <c r="D57" i="8"/>
  <c r="G57" i="8"/>
  <c r="X12" i="10" l="1"/>
  <c r="Y11" i="8"/>
  <c r="Y20" i="8" s="1"/>
  <c r="Y49" i="8"/>
  <c r="Y57" i="8" s="1"/>
  <c r="Y74" i="8"/>
  <c r="W49" i="8"/>
  <c r="W57" i="8" s="1"/>
  <c r="Y63" i="8"/>
  <c r="Y68" i="8" s="1"/>
  <c r="X63" i="8"/>
  <c r="X68" i="8" s="1"/>
  <c r="X49" i="8"/>
  <c r="X57" i="8" s="1"/>
  <c r="W74" i="8"/>
  <c r="W11" i="8"/>
  <c r="W20" i="8" s="1"/>
  <c r="W63" i="8"/>
  <c r="W68" i="8" s="1"/>
  <c r="X74" i="8"/>
  <c r="AA74" i="8"/>
  <c r="AA57" i="8"/>
  <c r="AB74" i="8"/>
  <c r="AA11" i="8"/>
  <c r="AA20" i="8" s="1"/>
  <c r="AA68" i="8"/>
  <c r="AB68" i="8"/>
  <c r="Z11" i="8"/>
  <c r="Z20" i="8" s="1"/>
  <c r="AB11" i="8"/>
  <c r="AB20" i="8" s="1"/>
  <c r="AB57" i="8"/>
  <c r="Z12" i="10" l="1"/>
  <c r="AB12" i="10"/>
  <c r="W12" i="10"/>
  <c r="Y12" i="10"/>
  <c r="AA12" i="10"/>
  <c r="AF11" i="8"/>
  <c r="AF12" i="10" s="1"/>
  <c r="Y75" i="8"/>
  <c r="Y77" i="8" s="1"/>
  <c r="W75" i="8"/>
  <c r="W77" i="8" s="1"/>
  <c r="X75" i="8"/>
  <c r="X77" i="8" s="1"/>
  <c r="AA75" i="8"/>
  <c r="AA77" i="8" s="1"/>
  <c r="AB75" i="8"/>
  <c r="AB77" i="8" s="1"/>
  <c r="X24" i="8" l="1"/>
  <c r="Z24" i="8"/>
  <c r="AA24" i="8"/>
  <c r="W21" i="8"/>
  <c r="X21" i="8"/>
  <c r="AB24" i="8"/>
  <c r="Z17" i="9"/>
  <c r="X28" i="8" l="1"/>
  <c r="X85" i="8" s="1"/>
  <c r="X25" i="8"/>
  <c r="AB21" i="8"/>
  <c r="AA28" i="8"/>
  <c r="AA85" i="8" s="1"/>
  <c r="Y24" i="8"/>
  <c r="Z28" i="8"/>
  <c r="Z85" i="8" s="1"/>
  <c r="AF20" i="8"/>
  <c r="AA21" i="8"/>
  <c r="Z21" i="8"/>
  <c r="AF21" i="8" s="1"/>
  <c r="Y21" i="8"/>
  <c r="W24" i="8"/>
  <c r="AB28" i="8"/>
  <c r="AB85" i="8" s="1"/>
  <c r="Z94" i="9"/>
  <c r="Z25" i="9"/>
  <c r="Z32" i="8" l="1"/>
  <c r="Z35" i="8"/>
  <c r="AB35" i="8"/>
  <c r="AB32" i="8"/>
  <c r="AA32" i="8"/>
  <c r="AA35" i="8"/>
  <c r="X35" i="8"/>
  <c r="X32" i="8"/>
  <c r="X29" i="8"/>
  <c r="W28" i="8"/>
  <c r="W85" i="8" s="1"/>
  <c r="Y28" i="8"/>
  <c r="Y85" i="8" s="1"/>
  <c r="AA25" i="8"/>
  <c r="Y25" i="8"/>
  <c r="Z25" i="8"/>
  <c r="AF25" i="8" s="1"/>
  <c r="AF24" i="8"/>
  <c r="W25" i="8"/>
  <c r="AB25" i="8"/>
  <c r="Z30" i="9"/>
  <c r="AA29" i="8"/>
  <c r="AB29" i="8"/>
  <c r="Y32" i="8" l="1"/>
  <c r="Y35" i="8"/>
  <c r="W32" i="8"/>
  <c r="W35" i="8"/>
  <c r="Y29" i="8"/>
  <c r="W29" i="8"/>
  <c r="AF35" i="8"/>
  <c r="AF32" i="8"/>
  <c r="AF28" i="8"/>
  <c r="Z29" i="8"/>
  <c r="AF29" i="8" s="1"/>
  <c r="Z96" i="9" a="1"/>
  <c r="Z96" i="9" s="1"/>
  <c r="Z36" i="9"/>
  <c r="Z95" i="9" a="1"/>
  <c r="Z95" i="9" s="1"/>
  <c r="Z92" i="9"/>
  <c r="Z93" i="9"/>
  <c r="Z68" i="8" l="1"/>
  <c r="AF68" i="8" s="1"/>
  <c r="P11" i="8" l="1"/>
  <c r="P20" i="8" s="1"/>
  <c r="G11" i="8"/>
  <c r="G20" i="8" s="1"/>
  <c r="F11" i="8"/>
  <c r="F20" i="8" s="1"/>
  <c r="E11" i="8"/>
  <c r="E20" i="8" s="1"/>
  <c r="D11" i="8"/>
  <c r="D20" i="8" s="1"/>
  <c r="G74" i="8"/>
  <c r="F87" i="9" s="1"/>
  <c r="F74" i="8"/>
  <c r="E87" i="9" s="1"/>
  <c r="E74" i="8"/>
  <c r="D87" i="9" s="1"/>
  <c r="D74" i="8"/>
  <c r="C87" i="9" s="1"/>
  <c r="S68" i="8"/>
  <c r="Q69" i="9" s="1"/>
  <c r="Z69" i="9" s="1"/>
  <c r="Q68" i="8"/>
  <c r="O69" i="9" s="1"/>
  <c r="X69" i="9" s="1"/>
  <c r="AC11" i="8"/>
  <c r="AC20" i="8" s="1"/>
  <c r="P88" i="9"/>
  <c r="P97" i="9" s="1"/>
  <c r="H88" i="9"/>
  <c r="H97" i="9" s="1"/>
  <c r="D12" i="10" l="1"/>
  <c r="E12" i="10"/>
  <c r="F12" i="10"/>
  <c r="G24" i="8"/>
  <c r="G12" i="10"/>
  <c r="AC12" i="10"/>
  <c r="P24" i="8"/>
  <c r="P12" i="10"/>
  <c r="D24" i="8"/>
  <c r="E24" i="8"/>
  <c r="F24" i="8"/>
  <c r="D68" i="8"/>
  <c r="C69" i="9" s="1"/>
  <c r="F68" i="8"/>
  <c r="E69" i="9" s="1"/>
  <c r="E68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Z74" i="8"/>
  <c r="S24" i="8"/>
  <c r="R68" i="8"/>
  <c r="P69" i="9" s="1"/>
  <c r="Y69" i="9" s="1"/>
  <c r="AC68" i="8"/>
  <c r="AC74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Z75" i="8" l="1"/>
  <c r="AF75" i="8" s="1"/>
  <c r="AF74" i="8"/>
  <c r="E75" i="8"/>
  <c r="E77" i="8" s="1"/>
  <c r="S28" i="8"/>
  <c r="S85" i="8" s="1"/>
  <c r="G28" i="8"/>
  <c r="G85" i="8" s="1"/>
  <c r="P21" i="8"/>
  <c r="D28" i="8"/>
  <c r="D85" i="8" s="1"/>
  <c r="E28" i="8"/>
  <c r="E85" i="8" s="1"/>
  <c r="F21" i="8"/>
  <c r="D75" i="8"/>
  <c r="D77" i="8" s="1"/>
  <c r="O88" i="9"/>
  <c r="O97" i="9" s="1"/>
  <c r="Q75" i="8"/>
  <c r="Q77" i="8" s="1"/>
  <c r="AF49" i="8"/>
  <c r="S75" i="8"/>
  <c r="S77" i="8" s="1"/>
  <c r="F75" i="8"/>
  <c r="F77" i="8" s="1"/>
  <c r="G75" i="8"/>
  <c r="G77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C57" i="8"/>
  <c r="AC24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E35" i="8" l="1"/>
  <c r="E32" i="8"/>
  <c r="D32" i="8"/>
  <c r="D35" i="8"/>
  <c r="G32" i="8"/>
  <c r="G35" i="8"/>
  <c r="S32" i="8"/>
  <c r="S35" i="8"/>
  <c r="R92" i="9"/>
  <c r="M17" i="9"/>
  <c r="M25" i="9"/>
  <c r="S21" i="8"/>
  <c r="G21" i="8"/>
  <c r="D21" i="8"/>
  <c r="F28" i="8"/>
  <c r="F85" i="8" s="1"/>
  <c r="P28" i="8"/>
  <c r="P85" i="8" s="1"/>
  <c r="E21" i="8"/>
  <c r="Z57" i="8"/>
  <c r="AC28" i="8"/>
  <c r="AC85" i="8" s="1"/>
  <c r="E25" i="8"/>
  <c r="S25" i="8"/>
  <c r="AC21" i="8"/>
  <c r="G25" i="8"/>
  <c r="AC75" i="8"/>
  <c r="R75" i="8"/>
  <c r="R77" i="8" s="1"/>
  <c r="O17" i="9"/>
  <c r="K17" i="9"/>
  <c r="G29" i="8"/>
  <c r="D25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P32" i="8" l="1"/>
  <c r="P35" i="8"/>
  <c r="F32" i="8"/>
  <c r="F35" i="8"/>
  <c r="AC35" i="8"/>
  <c r="AC32" i="8"/>
  <c r="S94" i="8"/>
  <c r="S115" i="8" s="1"/>
  <c r="G94" i="8"/>
  <c r="G115" i="8" s="1"/>
  <c r="E94" i="8"/>
  <c r="D94" i="8"/>
  <c r="Z77" i="8"/>
  <c r="AF57" i="8"/>
  <c r="F25" i="8"/>
  <c r="F29" i="8"/>
  <c r="P25" i="8"/>
  <c r="E29" i="8"/>
  <c r="S29" i="8"/>
  <c r="D29" i="8"/>
  <c r="AC77" i="8"/>
  <c r="AC25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94" i="8" l="1"/>
  <c r="F115" i="8" s="1"/>
  <c r="P94" i="8"/>
  <c r="P115" i="8" s="1"/>
  <c r="Z115" i="8" s="1"/>
  <c r="P29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15" i="8"/>
  <c r="D115" i="8"/>
  <c r="Y94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Z94" i="8" l="1"/>
  <c r="W94" i="8"/>
  <c r="X94" i="8"/>
  <c r="AC29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D111" i="8" l="1"/>
  <c r="D116" i="8" s="1"/>
  <c r="D118" i="8" s="1"/>
  <c r="E109" i="8" l="1"/>
  <c r="E111" i="8" s="1"/>
  <c r="E116" i="8" s="1"/>
  <c r="E118" i="8" s="1"/>
  <c r="F109" i="8" l="1"/>
  <c r="F111" i="8" l="1"/>
  <c r="F116" i="8" l="1"/>
  <c r="F118" i="8" s="1"/>
  <c r="G109" i="8" l="1"/>
  <c r="G111" i="8" s="1"/>
  <c r="G116" i="8" s="1"/>
  <c r="J111" i="8"/>
  <c r="J116" i="8" s="1"/>
  <c r="G118" i="8" l="1"/>
  <c r="H109" i="8"/>
  <c r="H111" i="8" s="1"/>
  <c r="H116" i="8" s="1"/>
  <c r="H118" i="8" s="1"/>
  <c r="J118" i="8"/>
  <c r="K109" i="8"/>
  <c r="K111" i="8" s="1"/>
  <c r="K116" i="8" s="1"/>
  <c r="X109" i="8"/>
  <c r="K118" i="8" l="1"/>
  <c r="L109" i="8"/>
  <c r="L111" i="8" s="1"/>
  <c r="L116" i="8" s="1"/>
  <c r="L118" i="8" s="1"/>
  <c r="Y109" i="8"/>
  <c r="Z109" i="8" l="1"/>
  <c r="M109" i="8"/>
  <c r="M111" i="8" s="1"/>
  <c r="M116" i="8" s="1"/>
  <c r="M118" i="8" s="1"/>
  <c r="AA109" i="8" l="1"/>
  <c r="N109" i="8"/>
  <c r="N111" i="8" s="1"/>
  <c r="N116" i="8" s="1"/>
  <c r="N118" i="8" s="1"/>
  <c r="AB109" i="8" l="1"/>
  <c r="X111" i="8"/>
  <c r="X116" i="8" s="1"/>
  <c r="X118" i="8" s="1"/>
  <c r="O109" i="8"/>
  <c r="O111" i="8" s="1"/>
  <c r="O116" i="8" s="1"/>
  <c r="O118" i="8" s="1"/>
  <c r="AC109" i="8" l="1"/>
  <c r="Y111" i="8"/>
  <c r="Y116" i="8" s="1"/>
  <c r="Y118" i="8" s="1"/>
  <c r="P109" i="8"/>
  <c r="P111" i="8" s="1"/>
  <c r="P116" i="8" s="1"/>
  <c r="P118" i="8" s="1"/>
  <c r="AD109" i="8" l="1"/>
  <c r="Z111" i="8"/>
  <c r="Z116" i="8" s="1"/>
  <c r="Z118" i="8" s="1"/>
  <c r="Q109" i="8"/>
  <c r="Q111" i="8" s="1"/>
  <c r="R11" i="8" l="1"/>
  <c r="R20" i="8" s="1"/>
  <c r="R24" i="8" l="1"/>
  <c r="R12" i="10"/>
  <c r="R28" i="8" l="1"/>
  <c r="R85" i="8" s="1"/>
  <c r="R32" i="8" l="1"/>
  <c r="R35" i="8"/>
  <c r="R21" i="8"/>
  <c r="R25" i="8"/>
  <c r="R29" i="8" l="1"/>
  <c r="R94" i="8" l="1"/>
  <c r="R115" i="8" s="1"/>
  <c r="Q11" i="8"/>
  <c r="Q20" i="8" s="1"/>
  <c r="Q24" i="8" l="1"/>
  <c r="Q12" i="10"/>
  <c r="Q28" i="8" l="1"/>
  <c r="Q85" i="8" s="1"/>
  <c r="Q32" i="8" l="1"/>
  <c r="Q35" i="8"/>
  <c r="Q21" i="8"/>
  <c r="Q25" i="8"/>
  <c r="Q29" i="8" l="1"/>
  <c r="AD94" i="8" l="1"/>
  <c r="AF94" i="8" s="1"/>
  <c r="AF85" i="8"/>
  <c r="AA94" i="8"/>
  <c r="AB94" i="8"/>
  <c r="Q94" i="8"/>
  <c r="Q115" i="8" s="1"/>
  <c r="Q116" i="8" l="1"/>
  <c r="Q118" i="8" s="1"/>
  <c r="AD115" i="8"/>
  <c r="AC115" i="8"/>
  <c r="AB115" i="8"/>
  <c r="AA115" i="8"/>
  <c r="AA111" i="8"/>
  <c r="AC94" i="8"/>
  <c r="R109" i="8" l="1"/>
  <c r="R111" i="8" s="1"/>
  <c r="R116" i="8" s="1"/>
  <c r="R118" i="8" s="1"/>
  <c r="AA116" i="8"/>
  <c r="AA118" i="8" s="1"/>
  <c r="AB111" i="8"/>
  <c r="AB116" i="8" s="1"/>
  <c r="AB118" i="8" s="1"/>
  <c r="S109" i="8" l="1"/>
  <c r="S111" i="8" s="1"/>
  <c r="S116" i="8" s="1"/>
  <c r="S118" i="8" s="1"/>
  <c r="AC111" i="8"/>
  <c r="AC116" i="8" s="1"/>
  <c r="AC118" i="8" s="1"/>
  <c r="W111" i="8"/>
  <c r="W116" i="8" s="1"/>
  <c r="W118" i="8" s="1"/>
  <c r="T109" i="8" l="1"/>
  <c r="T111" i="8" s="1"/>
  <c r="T116" i="8" s="1"/>
  <c r="AD111" i="8"/>
  <c r="AD116" i="8" s="1"/>
  <c r="AD118" i="8" s="1"/>
  <c r="T118" i="8" l="1"/>
  <c r="U109" i="8"/>
  <c r="U111" i="8" s="1"/>
  <c r="U116" i="8" s="1"/>
  <c r="C88" i="9"/>
  <c r="C97" i="9" s="1"/>
  <c r="C92" i="9"/>
  <c r="C93" i="9"/>
  <c r="U118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<sst xmlns="http://schemas.openxmlformats.org/spreadsheetml/2006/main" count="236" uniqueCount="191">
  <si>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</si>
  <si>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</si>
  <si>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</si>
  <si>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</si>
  <si>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</si>
  <si>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</si>
  <si>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</si>
  <si>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</si>
  <si>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</si>
  <si>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</si>
  <si>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</si>
  <si>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</si>
  <si>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</si>
  <si>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</si>
  <si>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</si>
  <si>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</si>
  <si>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</si>
  <si>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</si>
  <si>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</si>
  <si>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</si>
  <si>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</si>
  <si>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</si>
  <si>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</si>
  <si>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</si>
  <si>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</si>
  <si>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</si>
  <si>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</si>
  <si>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</si>
  <si>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</si>
  <si>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</si>
  <si>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</si>
  <si>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</si>
  <si>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</si>
  <si>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</si>
  <si>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</si>
  <si>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</si>
  <si>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</si>
  <si>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</si>
  <si>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</si>
  <si>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</si>
  <si>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</si>
  <si>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</si>
  <si>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</si>
  <si>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</si>
  <si>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</si>
  <si>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</si>
  <si>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</si>
  <si>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</si>
  <si>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</si>
  <si>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</si>
  <si>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</si>
  <si>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</si>
  <si>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</si>
  <si>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</si>
  <si>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</si>
  <si>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</si>
  <si>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</si>
  <si>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</si>
  <si>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</si>
  <si>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</si>
  <si>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</si>
  <si>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</si>
  <si>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</si>
  <si>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</si>
  <si>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</si>
  <si>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</si>
  <si>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</si>
  <si>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</si>
  <si>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</si>
  <si>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</si>
  <si>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</si>
  <si>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</si>
  <si>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</si>
  <si>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</si>
  <si>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</si>
  <si>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</si>
  <si>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</si>
  <si>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</si>
  <si>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</si>
  <si>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</si>
  <si>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</si>
  <si>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</si>
  <si>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</si>
  <si>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</si>
  <si>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</si>
  <si>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</si>
  <si>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</si>
  <si>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</si>
  <si>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</si>
  <si>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</si>
  <si>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</si>
  <si>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</si>
  <si>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</si>
  <si>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</si>
  <si>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</si>
  <si>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</si>
  <si>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</si>
  <si>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</si>
  <si>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</si>
  <si>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</si>
  <si>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</si>
  <si>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</si>
  <si>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</si>
  <si>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</si>
  <si>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</si>
  <si>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</si>
  <si>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</si>
  <si>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</si>
  <si>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</si>
  <si>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</si>
  <si>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</si>
  <si>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</si>
  <si>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</si>
  <si>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</si>
  <si>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</si>
  <si>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</si>
  <si>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</si>
  <si>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</si>
  <si>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</si>
  <si>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</si>
  <si>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</si>
  <si>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</si>
  <si>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</si>
  <si>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</si>
  <si>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</si>
  <si>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</si>
  <si>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</si>
  <si>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</si>
  <si>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</si>
  <si>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</si>
  <si>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</si>
  <si>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</si>
  <si>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</si>
  <si>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</si>
  <si>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</si>
  <si>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</si>
  <si>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</si>
  <si>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</si>
  <si>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</si>
  <si>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</si>
  <si>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</si>
  <si>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</si>
  <si>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</si>
  <si>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</si>
  <si>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</si>
  <si>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</si>
  <si>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</si>
  <si>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</si>
  <si>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</si>
  <si>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</si>
  <si>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</si>
  <si>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</si>
  <si>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</si>
  <si>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</si>
  <si>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Other LT Liabilities</t>
  </si>
  <si>
    <t>4Q25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</si>
  <si>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</si>
  <si>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</si>
  <si>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</si>
  <si>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</si>
  <si>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</si>
  <si>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</si>
  <si>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</si>
  <si>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</si>
  <si>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</si>
  <si>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ST Investments</t>
  </si>
  <si>
    <t>LT Investments</t>
  </si>
  <si>
    <t>Other Assets</t>
  </si>
  <si>
    <t>PayPal Holdings Inc (NASDAQ: PYPL)</t>
  </si>
  <si>
    <t>Transaction Revenues</t>
  </si>
  <si>
    <t>Revenues from other VASs</t>
  </si>
  <si>
    <t xml:space="preserve">U.S. </t>
  </si>
  <si>
    <t>International</t>
  </si>
  <si>
    <t>Transaction Expenses</t>
  </si>
  <si>
    <t>Transaction &amp; Credit Losses</t>
  </si>
  <si>
    <t>Customer Support &amp; Op. Expenses</t>
  </si>
  <si>
    <t>Sales &amp; Marketing Expenses</t>
  </si>
  <si>
    <t>R&amp;D Expenses</t>
  </si>
  <si>
    <t>G&amp;A Expenses</t>
  </si>
  <si>
    <t>Restructuring &amp; Other Expenses</t>
  </si>
  <si>
    <t>Other Income/(Expenses), net</t>
  </si>
  <si>
    <t>Cash &amp; CEs</t>
  </si>
  <si>
    <t>AR, net</t>
  </si>
  <si>
    <t>Loans &amp; Interest Receivable</t>
  </si>
  <si>
    <t>Loans &amp; Interest Receivable, net</t>
  </si>
  <si>
    <t>Funds Receivable &amp; Customer Accounts</t>
  </si>
  <si>
    <t>Prepaid Expenses &amp; Other Current</t>
  </si>
  <si>
    <t>Intangibles</t>
  </si>
  <si>
    <t>AP</t>
  </si>
  <si>
    <t>Funds Payable &amp; Amts Due to Customers</t>
  </si>
  <si>
    <t>Accrued Expenses &amp; Other Current Liab.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</si>
</sst>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6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F139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4" width="9" style="5" customWidth="1" outlineLevel="1"/>
    <col min="5" max="8" width="9" style="5" bestFit="1" customWidth="1"/>
    <col min="9" max="9" width="1.5" style="5" customWidth="1"/>
    <col min="10" max="13" width="8.875" style="5" customWidth="1" outlineLevel="2"/>
    <col min="14" max="15" width="8.875" style="5" customWidth="1" outlineLevel="1"/>
    <col min="16" max="21" width="8.875" style="5" bestFit="1" customWidth="1"/>
    <col min="22" max="22" width="1.5" style="5" customWidth="1"/>
    <col min="23" max="25" width="8.75" style="5" customWidth="1" outlineLevel="1"/>
    <col min="26" max="26" width="9" style="5" bestFit="1" customWidth="1"/>
    <col min="27" max="29" width="9" style="5" customWidth="1" outlineLevel="1"/>
    <col min="30" max="30" width="9" style="5" bestFit="1" customWidth="1"/>
    <col min="31" max="31" width="1.25" style="5" customWidth="1"/>
    <col min="32" max="32" width="8" style="5" bestFit="1" customWidth="1"/>
    <col min="33" max="33" width="1.375" style="5" customWidth="1"/>
    <col min="34" max="16384" width="9" style="5"/>
  </cols>
  <sheetData>
    <row r="2" spans="1:32" ht="12.75" customHeight="1">
      <c r="B2" s="1" t="s">
        <v>168</v>
      </c>
      <c r="C2" s="101"/>
      <c r="D2" s="101"/>
      <c r="E2" s="101"/>
      <c r="F2" s="101"/>
      <c r="G2" s="101"/>
      <c r="H2" s="101"/>
      <c r="I2" s="3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3"/>
      <c r="W2" s="101"/>
      <c r="X2" s="101"/>
      <c r="Y2" s="101"/>
      <c r="Z2" s="101"/>
      <c r="AA2" s="101"/>
      <c r="AB2" s="101"/>
      <c r="AC2" s="101"/>
      <c r="AD2" s="101"/>
      <c r="AE2" s="3"/>
      <c r="AF2" s="1"/>
    </row>
    <row r="3" spans="1:32" ht="12.75" customHeight="1">
      <c r="B3" s="6" t="s">
        <v>74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/>
      <c r="Y3" s="4"/>
      <c r="Z3" s="4"/>
      <c r="AA3" s="4"/>
      <c r="AB3" s="4"/>
      <c r="AC3" s="4"/>
      <c r="AD3" s="4"/>
      <c r="AE3" s="3"/>
      <c r="AF3" s="1"/>
    </row>
    <row r="4" spans="1:32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1"/>
    </row>
    <row r="6" spans="1:32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2"/>
      <c r="I6" s="3"/>
      <c r="J6" s="2" t="s">
        <v>1</v>
      </c>
      <c r="K6" s="2"/>
      <c r="L6" s="2"/>
      <c r="M6" s="2"/>
      <c r="N6" s="2"/>
      <c r="O6" s="2"/>
      <c r="P6" s="2" t="s">
        <v>1</v>
      </c>
      <c r="Q6" s="2"/>
      <c r="R6" s="2"/>
      <c r="S6" s="2"/>
      <c r="T6" s="2"/>
      <c r="U6" s="2"/>
      <c r="V6" s="3"/>
      <c r="W6" s="2"/>
      <c r="X6" s="2"/>
      <c r="Y6" s="2" t="s">
        <v>10</v>
      </c>
      <c r="Z6" s="2" t="s">
        <v>10</v>
      </c>
      <c r="AA6" s="2"/>
      <c r="AB6" s="2"/>
      <c r="AC6" s="2"/>
      <c r="AD6" s="2"/>
      <c r="AE6" s="38"/>
      <c r="AF6" s="152" t="s">
        <v>22</v>
      </c>
    </row>
    <row r="7" spans="1:32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7">
        <v>2025</v>
      </c>
      <c r="I7" s="3"/>
      <c r="J7" s="4" t="s">
        <v>6</v>
      </c>
      <c r="K7" s="4" t="s">
        <v>7</v>
      </c>
      <c r="L7" s="4" t="s">
        <v>8</v>
      </c>
      <c r="M7" s="4" t="s">
        <v>9</v>
      </c>
      <c r="N7" s="4" t="s">
        <v>2</v>
      </c>
      <c r="O7" s="4" t="s">
        <v>3</v>
      </c>
      <c r="P7" s="4" t="s">
        <v>4</v>
      </c>
      <c r="Q7" s="4" t="s">
        <v>5</v>
      </c>
      <c r="R7" s="4" t="s">
        <v>24</v>
      </c>
      <c r="S7" s="4" t="s">
        <v>25</v>
      </c>
      <c r="T7" s="4" t="s">
        <v>61</v>
      </c>
      <c r="U7" s="4" t="s">
        <v>155</v>
      </c>
      <c r="V7" s="3"/>
      <c r="W7" s="4" t="str">
        <f>M7</f>
        <v>4Q23</v>
      </c>
      <c r="X7" s="4" t="str">
        <f>N7</f>
        <v>1Q24</v>
      </c>
      <c r="Y7" s="4" t="str">
        <f>O7</f>
        <v>2Q24</v>
      </c>
      <c r="Z7" s="4" t="str">
        <f>P7</f>
        <v>3Q24</v>
      </c>
      <c r="AA7" s="4" t="str">
        <f>Q7</f>
        <v>4Q24</v>
      </c>
      <c r="AB7" s="4" t="str">
        <f>R7</f>
        <v>1Q25</v>
      </c>
      <c r="AC7" s="4" t="str">
        <f>S7</f>
        <v>2Q25</v>
      </c>
      <c r="AD7" s="4" t="str">
        <f>T7</f>
        <v>3Q25</v>
      </c>
      <c r="AE7" s="38"/>
      <c r="AF7" s="152"/>
    </row>
    <row r="8" spans="1:32" ht="12.75" customHeight="1">
      <c r="B8" s="6" t="s">
        <v>76</v>
      </c>
      <c r="C8" s="3"/>
      <c r="D8" s="3"/>
      <c r="E8" s="3"/>
      <c r="F8" s="85"/>
      <c r="G8" s="85"/>
      <c r="H8" s="85"/>
      <c r="I8" s="3"/>
      <c r="J8" s="3"/>
      <c r="K8" s="3"/>
      <c r="L8" s="3"/>
      <c r="M8" s="3">
        <f>F8</f>
        <v>0</v>
      </c>
      <c r="N8" s="3"/>
      <c r="O8" s="3"/>
      <c r="P8" s="3"/>
      <c r="Q8" s="3">
        <f>G8</f>
        <v>0</v>
      </c>
      <c r="R8" s="3"/>
      <c r="S8" s="3"/>
      <c r="T8" s="3"/>
      <c r="U8" s="3"/>
      <c r="V8" s="3"/>
      <c r="W8" s="3">
        <f>M8</f>
        <v>0</v>
      </c>
      <c r="X8" s="3">
        <f>N8</f>
        <v>0</v>
      </c>
      <c r="Y8" s="3">
        <f>O8</f>
        <v>0</v>
      </c>
      <c r="Z8" s="3">
        <f>P8</f>
        <v>0</v>
      </c>
      <c r="AA8" s="3">
        <f>Q8</f>
        <v>0</v>
      </c>
      <c r="AB8" s="3">
        <f>R8</f>
        <v>0</v>
      </c>
      <c r="AC8" s="3">
        <f>S8</f>
        <v>0</v>
      </c>
      <c r="AD8" s="3">
        <f>T8</f>
        <v>0</v>
      </c>
      <c r="AE8" s="38"/>
      <c r="AF8" s="152"/>
    </row>
    <row r="9" spans="1:32" ht="5.0999999999999996" customHeight="1">
      <c r="AF9" s="100"/>
    </row>
    <row r="10" spans="1:32" ht="12.75" customHeight="1">
      <c r="B10" s="9" t="s">
        <v>56</v>
      </c>
      <c r="C10" s="95">
        <v>21454</v>
      </c>
      <c r="D10" s="95">
        <v>25371</v>
      </c>
      <c r="E10" s="95">
        <v>27518</v>
      </c>
      <c r="F10" s="95">
        <v>29771</v>
      </c>
      <c r="G10" s="95">
        <v>31797</v>
      </c>
      <c r="H10" s="95"/>
      <c r="I10" s="11"/>
      <c r="J10" s="95">
        <v>7040</v>
      </c>
      <c r="K10" s="95">
        <v>7287</v>
      </c>
      <c r="L10" s="95">
        <v>7418</v>
      </c>
      <c r="M10" s="32">
        <f t="shared" ref="M10" si="0">SUM(F10-SUM(J10:L10))</f>
        <v>8026</v>
      </c>
      <c r="N10" s="95">
        <v>7699</v>
      </c>
      <c r="O10" s="95">
        <v>7885</v>
      </c>
      <c r="P10" s="95">
        <v>7847</v>
      </c>
      <c r="Q10" s="32">
        <f t="shared" ref="Q10" si="1">SUM(G10-SUM(N10:P10))</f>
        <v>8366</v>
      </c>
      <c r="R10" s="82">
        <v>7791</v>
      </c>
      <c r="S10" s="82">
        <v>8288</v>
      </c>
      <c r="T10" s="82">
        <v>8417</v>
      </c>
      <c r="U10" s="32">
        <f t="shared" ref="U10" si="2">SUM(H10-SUM(R10:T10))</f>
        <v>-24496</v>
      </c>
      <c r="W10" s="32">
        <f>SUM(J10:M10)</f>
        <v>29771</v>
      </c>
      <c r="X10" s="32">
        <f>SUM(K10:N10)</f>
        <v>30430</v>
      </c>
      <c r="Y10" s="32">
        <f>SUM(L10:O10)</f>
        <v>31028</v>
      </c>
      <c r="Z10" s="32">
        <f>SUM(M10:P10)</f>
        <v>31457</v>
      </c>
      <c r="AA10" s="32">
        <f>SUM(N10:Q10)</f>
        <v>31797</v>
      </c>
      <c r="AB10" s="32">
        <f>SUM(O10:R10)</f>
        <v>31889</v>
      </c>
      <c r="AC10" s="32">
        <f>SUM(P10:S10)</f>
        <v>32292</v>
      </c>
      <c r="AD10" s="32">
        <f>SUM(Q10:T10)</f>
        <v>32862</v>
      </c>
      <c r="AE10" s="40"/>
      <c r="AF10" s="12">
        <f>SUM(AD10/Z10)-1</f>
        <v>4.4664144705470976E-2</v>
      </c>
    </row>
    <row r="11" spans="1:32" ht="12.75" customHeight="1">
      <c r="B11" s="13" t="s">
        <v>12</v>
      </c>
      <c r="C11" s="14">
        <f t="shared" ref="C11" si="3">+SUM(C10:C10)</f>
        <v>21454</v>
      </c>
      <c r="D11" s="14">
        <f t="shared" ref="D11:G11" si="4">+SUM(D10:D10)</f>
        <v>25371</v>
      </c>
      <c r="E11" s="14">
        <f t="shared" si="4"/>
        <v>27518</v>
      </c>
      <c r="F11" s="14">
        <f t="shared" si="4"/>
        <v>29771</v>
      </c>
      <c r="G11" s="14">
        <f t="shared" si="4"/>
        <v>31797</v>
      </c>
      <c r="H11" s="14">
        <f t="shared" ref="H11" si="5">+SUM(H10:H10)</f>
        <v>0</v>
      </c>
      <c r="I11" s="11"/>
      <c r="J11" s="14">
        <f t="shared" ref="J11:S11" si="6">+SUM(J10:J10)</f>
        <v>7040</v>
      </c>
      <c r="K11" s="14">
        <f t="shared" si="6"/>
        <v>7287</v>
      </c>
      <c r="L11" s="14">
        <f t="shared" si="6"/>
        <v>7418</v>
      </c>
      <c r="M11" s="14">
        <f t="shared" si="6"/>
        <v>8026</v>
      </c>
      <c r="N11" s="14">
        <f t="shared" si="6"/>
        <v>7699</v>
      </c>
      <c r="O11" s="14">
        <f t="shared" si="6"/>
        <v>7885</v>
      </c>
      <c r="P11" s="14">
        <f t="shared" si="6"/>
        <v>7847</v>
      </c>
      <c r="Q11" s="14">
        <f t="shared" si="6"/>
        <v>8366</v>
      </c>
      <c r="R11" s="14">
        <f t="shared" si="6"/>
        <v>7791</v>
      </c>
      <c r="S11" s="14">
        <f t="shared" si="6"/>
        <v>8288</v>
      </c>
      <c r="T11" s="14">
        <f>+SUM(T10:T10)</f>
        <v>8417</v>
      </c>
      <c r="U11" s="14">
        <f>+SUM(U10:U10)</f>
        <v>-24496</v>
      </c>
      <c r="W11" s="14">
        <f t="shared" ref="W11:AC11" si="7">+SUM(W10:W10)</f>
        <v>29771</v>
      </c>
      <c r="X11" s="14">
        <f t="shared" si="7"/>
        <v>30430</v>
      </c>
      <c r="Y11" s="14">
        <f t="shared" si="7"/>
        <v>31028</v>
      </c>
      <c r="Z11" s="14">
        <f t="shared" si="7"/>
        <v>31457</v>
      </c>
      <c r="AA11" s="14">
        <f t="shared" si="7"/>
        <v>31797</v>
      </c>
      <c r="AB11" s="14">
        <f t="shared" si="7"/>
        <v>31889</v>
      </c>
      <c r="AC11" s="14">
        <f t="shared" si="7"/>
        <v>32292</v>
      </c>
      <c r="AD11" s="14">
        <f>+SUM(AD10:AD10)</f>
        <v>32862</v>
      </c>
      <c r="AE11" s="40"/>
      <c r="AF11" s="15">
        <f>SUM(AD11/Z11)-1</f>
        <v>4.4664144705470976E-2</v>
      </c>
    </row>
    <row r="12" spans="1:32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1"/>
      <c r="O12" s="21"/>
      <c r="P12" s="21"/>
      <c r="Q12" s="21"/>
      <c r="R12" s="22"/>
      <c r="S12" s="21"/>
      <c r="T12" s="21"/>
      <c r="U12" s="21"/>
      <c r="AF12" s="75"/>
    </row>
    <row r="13" spans="1:32" ht="12.75" customHeight="1">
      <c r="B13" s="9" t="s">
        <v>173</v>
      </c>
      <c r="C13" s="82">
        <v>-7934</v>
      </c>
      <c r="D13" s="82">
        <v>-10315</v>
      </c>
      <c r="E13" s="82">
        <v>-12173</v>
      </c>
      <c r="F13" s="82">
        <v>-14385</v>
      </c>
      <c r="G13" s="82">
        <v>-15697</v>
      </c>
      <c r="H13" s="82"/>
      <c r="I13" s="32"/>
      <c r="J13" s="82">
        <v>-3283</v>
      </c>
      <c r="K13" s="82">
        <v>-3541</v>
      </c>
      <c r="L13" s="82">
        <v>-3603</v>
      </c>
      <c r="M13" s="32">
        <f t="shared" ref="M13:M19" si="8">SUM(F13-SUM(J13:L13))</f>
        <v>-3958</v>
      </c>
      <c r="N13" s="82">
        <v>-3917</v>
      </c>
      <c r="O13" s="82">
        <v>-3942</v>
      </c>
      <c r="P13" s="82">
        <v>-3841</v>
      </c>
      <c r="Q13" s="32">
        <f t="shared" ref="Q13:Q19" si="9">SUM(G13-SUM(N13:P13))</f>
        <v>-3997</v>
      </c>
      <c r="R13" s="82">
        <v>-3704</v>
      </c>
      <c r="S13" s="82">
        <v>-3968</v>
      </c>
      <c r="T13" s="82">
        <v>-4063</v>
      </c>
      <c r="U13" s="32">
        <f t="shared" ref="U13:U19" si="10">SUM(H13-SUM(R13:T13))</f>
        <v>11735</v>
      </c>
      <c r="W13" s="32">
        <f>SUM(J13:M13)</f>
        <v>-14385</v>
      </c>
      <c r="X13" s="32">
        <f>SUM(K13:N13)</f>
        <v>-15019</v>
      </c>
      <c r="Y13" s="32">
        <f>SUM(L13:O13)</f>
        <v>-15420</v>
      </c>
      <c r="Z13" s="32">
        <f>SUM(M13:P13)</f>
        <v>-15658</v>
      </c>
      <c r="AA13" s="32">
        <f>SUM(N13:Q13)</f>
        <v>-15697</v>
      </c>
      <c r="AB13" s="32">
        <f>SUM(O13:R13)</f>
        <v>-15484</v>
      </c>
      <c r="AC13" s="32">
        <f>SUM(P13:S13)</f>
        <v>-15510</v>
      </c>
      <c r="AD13" s="32">
        <f>SUM(Q13:T13)</f>
        <v>-15732</v>
      </c>
      <c r="AE13" s="11"/>
      <c r="AF13" s="75">
        <f>SUM(AD13/Z13)-1</f>
        <v>4.7260186486142164E-3</v>
      </c>
    </row>
    <row r="14" spans="1:32" ht="12.75" customHeight="1">
      <c r="B14" s="9" t="s">
        <v>174</v>
      </c>
      <c r="C14" s="82">
        <v>-1741</v>
      </c>
      <c r="D14" s="82">
        <v>-1060</v>
      </c>
      <c r="E14" s="82">
        <v>-1572</v>
      </c>
      <c r="F14" s="82">
        <v>-1682</v>
      </c>
      <c r="G14" s="82">
        <v>-1442</v>
      </c>
      <c r="H14" s="82"/>
      <c r="I14" s="32"/>
      <c r="J14" s="82">
        <v>-442</v>
      </c>
      <c r="K14" s="82">
        <v>-398</v>
      </c>
      <c r="L14" s="82">
        <v>-446</v>
      </c>
      <c r="M14" s="32">
        <f t="shared" si="8"/>
        <v>-396</v>
      </c>
      <c r="N14" s="82">
        <v>-321</v>
      </c>
      <c r="O14" s="82">
        <v>-335</v>
      </c>
      <c r="P14" s="82">
        <v>-352</v>
      </c>
      <c r="Q14" s="32">
        <f t="shared" si="9"/>
        <v>-434</v>
      </c>
      <c r="R14" s="82">
        <v>-371</v>
      </c>
      <c r="S14" s="82">
        <v>-476</v>
      </c>
      <c r="T14" s="82">
        <v>-483</v>
      </c>
      <c r="U14" s="32">
        <f t="shared" si="10"/>
        <v>1330</v>
      </c>
      <c r="W14" s="32">
        <f>SUM(J14:M14)</f>
        <v>-1682</v>
      </c>
      <c r="X14" s="32">
        <f>SUM(K14:N14)</f>
        <v>-1561</v>
      </c>
      <c r="Y14" s="32">
        <f>SUM(L14:O14)</f>
        <v>-1498</v>
      </c>
      <c r="Z14" s="32">
        <f>SUM(M14:P14)</f>
        <v>-1404</v>
      </c>
      <c r="AA14" s="32">
        <f>SUM(N14:Q14)</f>
        <v>-1442</v>
      </c>
      <c r="AB14" s="32">
        <f>SUM(O14:R14)</f>
        <v>-1492</v>
      </c>
      <c r="AC14" s="32">
        <f>SUM(P14:S14)</f>
        <v>-1633</v>
      </c>
      <c r="AD14" s="32">
        <f>SUM(Q14:T14)</f>
        <v>-1764</v>
      </c>
      <c r="AE14" s="11"/>
      <c r="AF14" s="75">
        <f t="shared" ref="AF14:AF19" si="11">SUM(AD14/Z14)-1</f>
        <v>0.25641025641025639</v>
      </c>
    </row>
    <row r="15" spans="1:32" ht="12.75" customHeight="1">
      <c r="B15" s="9" t="s">
        <v>175</v>
      </c>
      <c r="C15" s="82">
        <v>-1778</v>
      </c>
      <c r="D15" s="82">
        <v>-2075</v>
      </c>
      <c r="E15" s="82">
        <v>-2120</v>
      </c>
      <c r="F15" s="82">
        <v>-1919</v>
      </c>
      <c r="G15" s="82">
        <v>-1768</v>
      </c>
      <c r="H15" s="82"/>
      <c r="I15" s="32"/>
      <c r="J15" s="82">
        <v>-488</v>
      </c>
      <c r="K15" s="82">
        <v>-492</v>
      </c>
      <c r="L15" s="82">
        <v>-474</v>
      </c>
      <c r="M15" s="32">
        <f t="shared" si="8"/>
        <v>-465</v>
      </c>
      <c r="N15" s="82">
        <v>-454</v>
      </c>
      <c r="O15" s="82">
        <v>-436</v>
      </c>
      <c r="P15" s="82">
        <v>-427</v>
      </c>
      <c r="Q15" s="32">
        <f t="shared" si="9"/>
        <v>-451</v>
      </c>
      <c r="R15" s="82">
        <v>-398</v>
      </c>
      <c r="S15" s="82">
        <v>-413</v>
      </c>
      <c r="T15" s="82">
        <v>-447</v>
      </c>
      <c r="U15" s="32">
        <f t="shared" si="10"/>
        <v>1258</v>
      </c>
      <c r="W15" s="32">
        <f>SUM(J15:M15)</f>
        <v>-1919</v>
      </c>
      <c r="X15" s="32">
        <f>SUM(K15:N15)</f>
        <v>-1885</v>
      </c>
      <c r="Y15" s="32">
        <f>SUM(L15:O15)</f>
        <v>-1829</v>
      </c>
      <c r="Z15" s="32">
        <f>SUM(M15:P15)</f>
        <v>-1782</v>
      </c>
      <c r="AA15" s="32">
        <f>SUM(N15:Q15)</f>
        <v>-1768</v>
      </c>
      <c r="AB15" s="32">
        <f>SUM(O15:R15)</f>
        <v>-1712</v>
      </c>
      <c r="AC15" s="32">
        <f>SUM(P15:S15)</f>
        <v>-1689</v>
      </c>
      <c r="AD15" s="32">
        <f>SUM(Q15:T15)</f>
        <v>-1709</v>
      </c>
      <c r="AE15" s="11"/>
      <c r="AF15" s="75">
        <f t="shared" si="11"/>
        <v>-4.0965207631874279E-2</v>
      </c>
    </row>
    <row r="16" spans="1:32" ht="12.75" customHeight="1">
      <c r="B16" s="9" t="s">
        <v>176</v>
      </c>
      <c r="C16" s="82">
        <v>-1861</v>
      </c>
      <c r="D16" s="82">
        <v>-2445</v>
      </c>
      <c r="E16" s="82">
        <v>-2257</v>
      </c>
      <c r="F16" s="82">
        <v>-1809</v>
      </c>
      <c r="G16" s="82">
        <v>-2001</v>
      </c>
      <c r="H16" s="82"/>
      <c r="I16" s="32"/>
      <c r="J16" s="82">
        <v>-436</v>
      </c>
      <c r="K16" s="82">
        <v>-465</v>
      </c>
      <c r="L16" s="82">
        <v>-442</v>
      </c>
      <c r="M16" s="32">
        <f t="shared" si="8"/>
        <v>-466</v>
      </c>
      <c r="N16" s="82">
        <v>-421</v>
      </c>
      <c r="O16" s="82">
        <v>-446</v>
      </c>
      <c r="P16" s="82">
        <v>-508</v>
      </c>
      <c r="Q16" s="32">
        <f t="shared" si="9"/>
        <v>-626</v>
      </c>
      <c r="R16" s="82">
        <v>-488</v>
      </c>
      <c r="S16" s="82">
        <v>-583</v>
      </c>
      <c r="T16" s="82">
        <v>-521</v>
      </c>
      <c r="U16" s="32">
        <f t="shared" si="10"/>
        <v>1592</v>
      </c>
      <c r="W16" s="32">
        <f>SUM(J16:M16)</f>
        <v>-1809</v>
      </c>
      <c r="X16" s="32">
        <f>SUM(K16:N16)</f>
        <v>-1794</v>
      </c>
      <c r="Y16" s="32">
        <f>SUM(L16:O16)</f>
        <v>-1775</v>
      </c>
      <c r="Z16" s="32">
        <f>SUM(M16:P16)</f>
        <v>-1841</v>
      </c>
      <c r="AA16" s="32">
        <f>SUM(N16:Q16)</f>
        <v>-2001</v>
      </c>
      <c r="AB16" s="32">
        <f>SUM(O16:R16)</f>
        <v>-2068</v>
      </c>
      <c r="AC16" s="32">
        <f>SUM(P16:S16)</f>
        <v>-2205</v>
      </c>
      <c r="AD16" s="32">
        <f>SUM(Q16:T16)</f>
        <v>-2218</v>
      </c>
      <c r="AE16" s="11"/>
      <c r="AF16" s="75">
        <f t="shared" si="11"/>
        <v>0.20478001086366104</v>
      </c>
    </row>
    <row r="17" spans="2:32" ht="12.75" customHeight="1">
      <c r="B17" s="9" t="s">
        <v>177</v>
      </c>
      <c r="C17" s="82">
        <v>-2642</v>
      </c>
      <c r="D17" s="82">
        <v>-3038</v>
      </c>
      <c r="E17" s="82">
        <v>-3253</v>
      </c>
      <c r="F17" s="82">
        <v>-2973</v>
      </c>
      <c r="G17" s="82">
        <v>-2979</v>
      </c>
      <c r="H17" s="82"/>
      <c r="I17" s="32"/>
      <c r="J17" s="82">
        <v>-721</v>
      </c>
      <c r="K17" s="82">
        <v>-743</v>
      </c>
      <c r="L17" s="82">
        <v>-739</v>
      </c>
      <c r="M17" s="32">
        <f t="shared" si="8"/>
        <v>-770</v>
      </c>
      <c r="N17" s="82">
        <v>-742</v>
      </c>
      <c r="O17" s="82">
        <v>-718</v>
      </c>
      <c r="P17" s="82">
        <v>-746</v>
      </c>
      <c r="Q17" s="32">
        <f t="shared" si="9"/>
        <v>-773</v>
      </c>
      <c r="R17" s="82">
        <v>-731</v>
      </c>
      <c r="S17" s="82">
        <v>-767</v>
      </c>
      <c r="T17" s="82">
        <v>-801</v>
      </c>
      <c r="U17" s="32">
        <f t="shared" si="10"/>
        <v>2299</v>
      </c>
      <c r="W17" s="32">
        <f>SUM(J17:M17)</f>
        <v>-2973</v>
      </c>
      <c r="X17" s="32">
        <f>SUM(K17:N17)</f>
        <v>-2994</v>
      </c>
      <c r="Y17" s="32">
        <f>SUM(L17:O17)</f>
        <v>-2969</v>
      </c>
      <c r="Z17" s="32">
        <f>SUM(M17:P17)</f>
        <v>-2976</v>
      </c>
      <c r="AA17" s="32">
        <f>SUM(N17:Q17)</f>
        <v>-2979</v>
      </c>
      <c r="AB17" s="32">
        <f>SUM(O17:R17)</f>
        <v>-2968</v>
      </c>
      <c r="AC17" s="32">
        <f>SUM(P17:S17)</f>
        <v>-3017</v>
      </c>
      <c r="AD17" s="32">
        <f>SUM(Q17:T17)</f>
        <v>-3072</v>
      </c>
      <c r="AE17" s="11"/>
      <c r="AF17" s="75">
        <f t="shared" si="11"/>
        <v>3.2258064516129004E-2</v>
      </c>
    </row>
    <row r="18" spans="2:32" ht="12.75" customHeight="1">
      <c r="B18" s="9" t="s">
        <v>178</v>
      </c>
      <c r="C18" s="82">
        <v>-2070</v>
      </c>
      <c r="D18" s="82">
        <v>-2114</v>
      </c>
      <c r="E18" s="82">
        <v>-2099</v>
      </c>
      <c r="F18" s="82">
        <v>-2059</v>
      </c>
      <c r="G18" s="82">
        <v>-2147</v>
      </c>
      <c r="H18" s="82"/>
      <c r="I18" s="32"/>
      <c r="J18" s="82">
        <v>-507</v>
      </c>
      <c r="K18" s="82">
        <v>-491</v>
      </c>
      <c r="L18" s="82">
        <v>-507</v>
      </c>
      <c r="M18" s="32">
        <f t="shared" si="8"/>
        <v>-554</v>
      </c>
      <c r="N18" s="82">
        <v>-464</v>
      </c>
      <c r="O18" s="82">
        <v>-570</v>
      </c>
      <c r="P18" s="82">
        <v>-519</v>
      </c>
      <c r="Q18" s="32">
        <f t="shared" si="9"/>
        <v>-594</v>
      </c>
      <c r="R18" s="82">
        <v>-503</v>
      </c>
      <c r="S18" s="82">
        <v>-461</v>
      </c>
      <c r="T18" s="82">
        <v>-513</v>
      </c>
      <c r="U18" s="32">
        <f t="shared" si="10"/>
        <v>1477</v>
      </c>
      <c r="W18" s="32">
        <f>SUM(J18:M18)</f>
        <v>-2059</v>
      </c>
      <c r="X18" s="32">
        <f>SUM(K18:N18)</f>
        <v>-2016</v>
      </c>
      <c r="Y18" s="32">
        <f>SUM(L18:O18)</f>
        <v>-2095</v>
      </c>
      <c r="Z18" s="32">
        <f>SUM(M18:P18)</f>
        <v>-2107</v>
      </c>
      <c r="AA18" s="32">
        <f>SUM(N18:Q18)</f>
        <v>-2147</v>
      </c>
      <c r="AB18" s="32">
        <f>SUM(O18:R18)</f>
        <v>-2186</v>
      </c>
      <c r="AC18" s="32">
        <f>SUM(P18:S18)</f>
        <v>-2077</v>
      </c>
      <c r="AD18" s="32">
        <f>SUM(Q18:T18)</f>
        <v>-2071</v>
      </c>
      <c r="AE18" s="11"/>
      <c r="AF18" s="75">
        <f t="shared" si="11"/>
        <v>-1.7085904129093499E-2</v>
      </c>
    </row>
    <row r="19" spans="2:32" ht="12.75" customHeight="1">
      <c r="B19" s="9" t="s">
        <v>179</v>
      </c>
      <c r="C19" s="82">
        <v>-139</v>
      </c>
      <c r="D19" s="82">
        <v>-62</v>
      </c>
      <c r="E19" s="82">
        <v>-207</v>
      </c>
      <c r="F19" s="82">
        <v>84</v>
      </c>
      <c r="G19" s="82">
        <v>-438</v>
      </c>
      <c r="H19" s="82"/>
      <c r="I19" s="32"/>
      <c r="J19" s="82">
        <v>-164</v>
      </c>
      <c r="K19" s="82">
        <v>-24</v>
      </c>
      <c r="L19" s="82">
        <v>-39</v>
      </c>
      <c r="M19" s="32">
        <f t="shared" si="8"/>
        <v>311</v>
      </c>
      <c r="N19" s="82">
        <v>-212</v>
      </c>
      <c r="O19" s="82">
        <v>-113</v>
      </c>
      <c r="P19" s="82">
        <v>-63</v>
      </c>
      <c r="Q19" s="32">
        <f t="shared" si="9"/>
        <v>-50</v>
      </c>
      <c r="R19" s="82">
        <v>-66</v>
      </c>
      <c r="S19" s="82">
        <v>-116</v>
      </c>
      <c r="T19" s="82">
        <v>-69</v>
      </c>
      <c r="U19" s="32">
        <f t="shared" si="10"/>
        <v>251</v>
      </c>
      <c r="W19" s="32">
        <f>SUM(J19:M19)</f>
        <v>84</v>
      </c>
      <c r="X19" s="32">
        <f>SUM(K19:N19)</f>
        <v>36</v>
      </c>
      <c r="Y19" s="32">
        <f>SUM(L19:O19)</f>
        <v>-53</v>
      </c>
      <c r="Z19" s="32">
        <f>SUM(M19:P19)</f>
        <v>-77</v>
      </c>
      <c r="AA19" s="32">
        <f>SUM(N19:Q19)</f>
        <v>-438</v>
      </c>
      <c r="AB19" s="32">
        <f>SUM(O19:R19)</f>
        <v>-292</v>
      </c>
      <c r="AC19" s="32">
        <f>SUM(P19:S19)</f>
        <v>-295</v>
      </c>
      <c r="AD19" s="32">
        <f>SUM(Q19:T19)</f>
        <v>-301</v>
      </c>
      <c r="AE19" s="11"/>
      <c r="AF19" s="75">
        <f t="shared" si="11"/>
        <v>2.9090909090909092</v>
      </c>
    </row>
    <row r="20" spans="2:32" ht="12.75" customHeight="1">
      <c r="B20" s="25" t="s">
        <v>77</v>
      </c>
      <c r="C20" s="26">
        <f>+SUM(C11+SUM(C13:C19))</f>
        <v>3289</v>
      </c>
      <c r="D20" s="26">
        <f>+SUM(D11+SUM(D13:D19))</f>
        <v>4262</v>
      </c>
      <c r="E20" s="26">
        <f>+SUM(E11+SUM(E13:E19))</f>
        <v>3837</v>
      </c>
      <c r="F20" s="26">
        <f>+SUM(F11+SUM(F13:F19))</f>
        <v>5028</v>
      </c>
      <c r="G20" s="26">
        <f>+SUM(G11+SUM(G13:G19))</f>
        <v>5325</v>
      </c>
      <c r="H20" s="26">
        <f>+SUM(H11+SUM(H13:H19))</f>
        <v>0</v>
      </c>
      <c r="I20" s="32"/>
      <c r="J20" s="26">
        <f>+SUM(J11+SUM(J13:J19))</f>
        <v>999</v>
      </c>
      <c r="K20" s="26">
        <f>+SUM(K11+SUM(K13:K19))</f>
        <v>1133</v>
      </c>
      <c r="L20" s="26">
        <f>+SUM(L11+SUM(L13:L19))</f>
        <v>1168</v>
      </c>
      <c r="M20" s="26">
        <f>+SUM(M11+SUM(M13:M19))</f>
        <v>1728</v>
      </c>
      <c r="N20" s="26">
        <f>+SUM(N11+SUM(N13:N19))</f>
        <v>1168</v>
      </c>
      <c r="O20" s="26">
        <f>+SUM(O11+SUM(O13:O19))</f>
        <v>1325</v>
      </c>
      <c r="P20" s="26">
        <f>+SUM(P11+SUM(P13:P19))</f>
        <v>1391</v>
      </c>
      <c r="Q20" s="26">
        <f>+SUM(Q11+SUM(Q13:Q19))</f>
        <v>1441</v>
      </c>
      <c r="R20" s="26">
        <f>+SUM(R11+SUM(R13:R19))</f>
        <v>1530</v>
      </c>
      <c r="S20" s="26">
        <f>+SUM(S11+SUM(S13:S19))</f>
        <v>1504</v>
      </c>
      <c r="T20" s="26">
        <f>+SUM(T11+SUM(T13:T19))</f>
        <v>1520</v>
      </c>
      <c r="U20" s="26">
        <f>+SUM(U11+SUM(U13:U19))</f>
        <v>-4554</v>
      </c>
      <c r="W20" s="26">
        <f>+SUM(W11+SUM(W13:W19))</f>
        <v>5028</v>
      </c>
      <c r="X20" s="26">
        <f>+SUM(X11+SUM(X13:X19))</f>
        <v>5197</v>
      </c>
      <c r="Y20" s="26">
        <f>+SUM(Y11+SUM(Y13:Y19))</f>
        <v>5389</v>
      </c>
      <c r="Z20" s="26">
        <f>+SUM(Z11+SUM(Z13:Z19))</f>
        <v>5612</v>
      </c>
      <c r="AA20" s="26">
        <f>+SUM(AA11+SUM(AA13:AA19))</f>
        <v>5325</v>
      </c>
      <c r="AB20" s="26">
        <f>+SUM(AB11+SUM(AB13:AB19))</f>
        <v>5687</v>
      </c>
      <c r="AC20" s="26">
        <f>+SUM(AC11+SUM(AC13:AC19))</f>
        <v>5866</v>
      </c>
      <c r="AD20" s="26">
        <f>+SUM(AD11+SUM(AD13:AD19))</f>
        <v>5995</v>
      </c>
      <c r="AE20" s="11"/>
      <c r="AF20" s="76">
        <f>SUM(AD20/Z20)-1</f>
        <v>6.8246614397719174E-2</v>
      </c>
    </row>
    <row r="21" spans="2:32" ht="12.75" customHeight="1">
      <c r="B21" s="16" t="s">
        <v>31</v>
      </c>
      <c r="C21" s="17">
        <f>C20/C11</f>
        <v>0.15330474503589075</v>
      </c>
      <c r="D21" s="17">
        <f>D20/D11</f>
        <v>0.16798707185369122</v>
      </c>
      <c r="E21" s="17">
        <f>E20/E11</f>
        <v>0.13943600552365723</v>
      </c>
      <c r="F21" s="17">
        <f>F20/F11</f>
        <v>0.16888918746431092</v>
      </c>
      <c r="G21" s="17">
        <f>G20/G11</f>
        <v>0.16746862911595434</v>
      </c>
      <c r="H21" s="17" t="e">
        <f>H20/H11</f>
        <v>#DIV/0!</v>
      </c>
      <c r="I21" s="32"/>
      <c r="J21" s="17">
        <f>J20/J11</f>
        <v>0.14190340909090909</v>
      </c>
      <c r="K21" s="17">
        <f>K20/K11</f>
        <v>0.15548236585700562</v>
      </c>
      <c r="L21" s="17">
        <f>L20/L11</f>
        <v>0.15745483957940146</v>
      </c>
      <c r="M21" s="17">
        <f>M20/M11</f>
        <v>0.21530027410914529</v>
      </c>
      <c r="N21" s="17">
        <f>N20/N11</f>
        <v>0.15170801402779582</v>
      </c>
      <c r="O21" s="17">
        <f>O20/O11</f>
        <v>0.16804058338617628</v>
      </c>
      <c r="P21" s="17">
        <f>P20/P11</f>
        <v>0.17726519689053141</v>
      </c>
      <c r="Q21" s="17">
        <f>Q20/Q11</f>
        <v>0.17224480038250059</v>
      </c>
      <c r="R21" s="17">
        <f>R20/R11</f>
        <v>0.19638043896804006</v>
      </c>
      <c r="S21" s="17">
        <f>S20/S11</f>
        <v>0.18146718146718147</v>
      </c>
      <c r="T21" s="17">
        <f>T20/T11</f>
        <v>0.18058690744920994</v>
      </c>
      <c r="U21" s="17">
        <f>U20/U11</f>
        <v>0.18590790333115612</v>
      </c>
      <c r="W21" s="17">
        <f>W20/W11</f>
        <v>0.16888918746431092</v>
      </c>
      <c r="X21" s="17">
        <f>X20/X11</f>
        <v>0.17078540913572132</v>
      </c>
      <c r="Y21" s="17">
        <f>Y20/Y11</f>
        <v>0.1736818357612479</v>
      </c>
      <c r="Z21" s="17">
        <f>Z20/Z11</f>
        <v>0.17840226340719076</v>
      </c>
      <c r="AA21" s="17">
        <f>AA20/AA11</f>
        <v>0.16746862911595434</v>
      </c>
      <c r="AB21" s="17">
        <f>AB20/AB11</f>
        <v>0.17833735770955503</v>
      </c>
      <c r="AC21" s="17">
        <f>AC20/AC11</f>
        <v>0.18165489904620338</v>
      </c>
      <c r="AD21" s="17">
        <f>AD20/AD11</f>
        <v>0.18242955389203336</v>
      </c>
      <c r="AE21" s="11"/>
      <c r="AF21" s="77">
        <f>SUM(AD21-Z21)*1000</f>
        <v>4.0272904848425997</v>
      </c>
    </row>
    <row r="22" spans="2:32" ht="5.0999999999999996" customHeight="1">
      <c r="B22" s="16"/>
      <c r="C22" s="17"/>
      <c r="D22" s="17"/>
      <c r="E22" s="17"/>
      <c r="F22" s="17"/>
      <c r="G22" s="17"/>
      <c r="H22" s="17"/>
      <c r="I22" s="32"/>
      <c r="J22" s="82"/>
      <c r="K22" s="82"/>
      <c r="L22" s="82"/>
      <c r="M22" s="82"/>
      <c r="N22" s="82"/>
      <c r="O22" s="82"/>
      <c r="P22" s="82"/>
      <c r="Q22" s="82"/>
      <c r="R22" s="32"/>
      <c r="S22" s="82"/>
      <c r="T22" s="82"/>
      <c r="U22" s="82"/>
      <c r="W22" s="32"/>
      <c r="X22" s="32"/>
      <c r="Y22" s="32"/>
      <c r="Z22" s="32"/>
      <c r="AA22" s="32"/>
      <c r="AB22" s="32"/>
      <c r="AC22" s="32"/>
      <c r="AD22" s="32"/>
      <c r="AE22" s="11"/>
      <c r="AF22" s="75"/>
    </row>
    <row r="23" spans="2:32" ht="12.75" customHeight="1">
      <c r="B23" s="9" t="s">
        <v>180</v>
      </c>
      <c r="C23" s="82">
        <v>1776</v>
      </c>
      <c r="D23" s="82">
        <v>-163</v>
      </c>
      <c r="E23" s="82">
        <v>-471</v>
      </c>
      <c r="F23" s="82">
        <v>383</v>
      </c>
      <c r="G23" s="82">
        <v>4</v>
      </c>
      <c r="H23" s="82"/>
      <c r="I23" s="32"/>
      <c r="J23" s="95">
        <v>75</v>
      </c>
      <c r="K23" s="95">
        <v>170</v>
      </c>
      <c r="L23" s="95">
        <v>73</v>
      </c>
      <c r="M23" s="32">
        <f t="shared" ref="M23" si="12">SUM(F23-SUM(J23:L23))</f>
        <v>65</v>
      </c>
      <c r="N23" s="95">
        <v>41</v>
      </c>
      <c r="O23" s="95">
        <v>74</v>
      </c>
      <c r="P23" s="95">
        <v>-80</v>
      </c>
      <c r="Q23" s="32">
        <f t="shared" ref="Q23" si="13">SUM(G23-SUM(N23:P23))</f>
        <v>-31</v>
      </c>
      <c r="R23" s="82">
        <v>73</v>
      </c>
      <c r="S23" s="82">
        <v>25</v>
      </c>
      <c r="T23" s="82">
        <v>13</v>
      </c>
      <c r="U23" s="32">
        <f t="shared" ref="U23" si="14">SUM(H23-SUM(R23:T23))</f>
        <v>-111</v>
      </c>
      <c r="W23" s="32">
        <f>SUM(J23:M23)</f>
        <v>383</v>
      </c>
      <c r="X23" s="32">
        <f>SUM(K23:N23)</f>
        <v>349</v>
      </c>
      <c r="Y23" s="32">
        <f>SUM(L23:O23)</f>
        <v>253</v>
      </c>
      <c r="Z23" s="32">
        <f>SUM(M23:P23)</f>
        <v>100</v>
      </c>
      <c r="AA23" s="32">
        <f>SUM(N23:Q23)</f>
        <v>4</v>
      </c>
      <c r="AB23" s="32">
        <f>SUM(O23:R23)</f>
        <v>36</v>
      </c>
      <c r="AC23" s="32">
        <f>SUM(P23:S23)</f>
        <v>-13</v>
      </c>
      <c r="AD23" s="32">
        <f>SUM(Q23:T23)</f>
        <v>80</v>
      </c>
      <c r="AE23" s="11"/>
      <c r="AF23" s="75"/>
    </row>
    <row r="24" spans="2:32" ht="12.75" customHeight="1">
      <c r="B24" s="25" t="s">
        <v>158</v>
      </c>
      <c r="C24" s="26">
        <f>SUM(C20+SUM(C23:C23))</f>
        <v>5065</v>
      </c>
      <c r="D24" s="26">
        <f>SUM(D20+SUM(D23:D23))</f>
        <v>4099</v>
      </c>
      <c r="E24" s="26">
        <f>SUM(E20+SUM(E23:E23))</f>
        <v>3366</v>
      </c>
      <c r="F24" s="26">
        <f>SUM(F20+SUM(F23:F23))</f>
        <v>5411</v>
      </c>
      <c r="G24" s="26">
        <f>SUM(G20+SUM(G23:G23))</f>
        <v>5329</v>
      </c>
      <c r="H24" s="26">
        <f>SUM(H20+SUM(H23:H23))</f>
        <v>0</v>
      </c>
      <c r="J24" s="26">
        <f>SUM(J20+SUM(J23:J23))</f>
        <v>1074</v>
      </c>
      <c r="K24" s="26">
        <f>SUM(K20+SUM(K23:K23))</f>
        <v>1303</v>
      </c>
      <c r="L24" s="26">
        <f>SUM(L20+SUM(L23:L23))</f>
        <v>1241</v>
      </c>
      <c r="M24" s="26">
        <f>SUM(M20+SUM(M23:M23))</f>
        <v>1793</v>
      </c>
      <c r="N24" s="26">
        <f>SUM(N20+SUM(N23:N23))</f>
        <v>1209</v>
      </c>
      <c r="O24" s="26">
        <f>SUM(O20+SUM(O23:O23))</f>
        <v>1399</v>
      </c>
      <c r="P24" s="26">
        <f>SUM(P20+SUM(P23:P23))</f>
        <v>1311</v>
      </c>
      <c r="Q24" s="26">
        <f>SUM(Q20+SUM(Q23:Q23))</f>
        <v>1410</v>
      </c>
      <c r="R24" s="26">
        <f>SUM(R20+SUM(R23:R23))</f>
        <v>1603</v>
      </c>
      <c r="S24" s="26">
        <f>SUM(S20+SUM(S23:S23))</f>
        <v>1529</v>
      </c>
      <c r="T24" s="26">
        <f>SUM(T20+SUM(T23:T23))</f>
        <v>1533</v>
      </c>
      <c r="U24" s="26">
        <f>SUM(U20+SUM(U23:U23))</f>
        <v>-4665</v>
      </c>
      <c r="W24" s="26" t="e">
        <f>SUM(W20+SUM(#REF!))</f>
        <v>#REF!</v>
      </c>
      <c r="X24" s="26" t="e">
        <f>SUM(X20+SUM(#REF!))</f>
        <v>#REF!</v>
      </c>
      <c r="Y24" s="26" t="e">
        <f>SUM(Y20+SUM(#REF!))</f>
        <v>#REF!</v>
      </c>
      <c r="Z24" s="26">
        <f>SUM(Z20+SUM(Z23:Z23))</f>
        <v>5712</v>
      </c>
      <c r="AA24" s="26">
        <f>SUM(AA20+SUM(AA23:AA23))</f>
        <v>5329</v>
      </c>
      <c r="AB24" s="26">
        <f>SUM(AB20+SUM(AB23:AB23))</f>
        <v>5723</v>
      </c>
      <c r="AC24" s="26">
        <f>SUM(AC20+SUM(AC23:AC23))</f>
        <v>5853</v>
      </c>
      <c r="AD24" s="26">
        <f>SUM(AD20+SUM(AD23:AD23))</f>
        <v>6075</v>
      </c>
      <c r="AE24" s="42"/>
      <c r="AF24" s="76">
        <f>SUM(AD24/Z24)-1</f>
        <v>6.3550420168067223E-2</v>
      </c>
    </row>
    <row r="25" spans="2:32" ht="12.75" customHeight="1">
      <c r="B25" s="16" t="s">
        <v>159</v>
      </c>
      <c r="C25" s="17">
        <f>C24/C11</f>
        <v>0.23608651067400019</v>
      </c>
      <c r="D25" s="17">
        <f>D24/D11</f>
        <v>0.16156241377951205</v>
      </c>
      <c r="E25" s="17">
        <f>E24/E11</f>
        <v>0.1223199360418635</v>
      </c>
      <c r="F25" s="17">
        <f>F24/F11</f>
        <v>0.18175405596049848</v>
      </c>
      <c r="G25" s="17">
        <f>G24/G11</f>
        <v>0.16759442714721515</v>
      </c>
      <c r="H25" s="17" t="e">
        <f>H24/H11</f>
        <v>#DIV/0!</v>
      </c>
      <c r="I25" s="27"/>
      <c r="J25" s="17">
        <f>J24/J11</f>
        <v>0.15255681818181818</v>
      </c>
      <c r="K25" s="17">
        <f>K24/K11</f>
        <v>0.17881158226979552</v>
      </c>
      <c r="L25" s="17">
        <f>L24/L11</f>
        <v>0.16729576705311405</v>
      </c>
      <c r="M25" s="17">
        <f>M24/M11</f>
        <v>0.2233989534014453</v>
      </c>
      <c r="N25" s="17">
        <f>N24/N11</f>
        <v>0.15703338095856606</v>
      </c>
      <c r="O25" s="17">
        <f>O24/O11</f>
        <v>0.17742549143944197</v>
      </c>
      <c r="P25" s="17">
        <f>P24/P11</f>
        <v>0.16707021791767554</v>
      </c>
      <c r="Q25" s="17">
        <f>Q24/Q11</f>
        <v>0.16853932584269662</v>
      </c>
      <c r="R25" s="17">
        <f>R24/R11</f>
        <v>0.20575022461814915</v>
      </c>
      <c r="S25" s="17">
        <f>S24/S11</f>
        <v>0.18448359073359075</v>
      </c>
      <c r="T25" s="17">
        <f>T24/T11</f>
        <v>0.1821314007366045</v>
      </c>
      <c r="U25" s="17">
        <f>U24/U11</f>
        <v>0.19043925538863488</v>
      </c>
      <c r="V25" s="28"/>
      <c r="W25" s="17" t="e">
        <f>W24/W11</f>
        <v>#REF!</v>
      </c>
      <c r="X25" s="17" t="e">
        <f>X24/X11</f>
        <v>#REF!</v>
      </c>
      <c r="Y25" s="17" t="e">
        <f>Y24/Y11</f>
        <v>#REF!</v>
      </c>
      <c r="Z25" s="17">
        <f>Z24/Z11</f>
        <v>0.18158120609085418</v>
      </c>
      <c r="AA25" s="17">
        <f>AA24/AA11</f>
        <v>0.16759442714721515</v>
      </c>
      <c r="AB25" s="17">
        <f>AB24/AB11</f>
        <v>0.17946627363667722</v>
      </c>
      <c r="AC25" s="17">
        <f>AC24/AC11</f>
        <v>0.18125232255667037</v>
      </c>
      <c r="AD25" s="17">
        <f>AD24/AD11</f>
        <v>0.18486397662954171</v>
      </c>
      <c r="AE25" s="43"/>
      <c r="AF25" s="77">
        <f>SUM(AD25-Z25)*1000</f>
        <v>3.2827705386875294</v>
      </c>
    </row>
    <row r="26" spans="2:32" ht="5.0999999999999996" customHeight="1">
      <c r="B26" s="16"/>
      <c r="C26" s="17"/>
      <c r="D26" s="17"/>
      <c r="E26" s="17"/>
      <c r="F26" s="17"/>
      <c r="G26" s="17"/>
      <c r="H26" s="17"/>
      <c r="I26" s="2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28"/>
      <c r="W26" s="17"/>
      <c r="X26" s="17"/>
      <c r="Y26" s="17"/>
      <c r="Z26" s="17"/>
      <c r="AA26" s="17"/>
      <c r="AB26" s="17"/>
      <c r="AC26" s="17"/>
      <c r="AD26" s="17"/>
      <c r="AE26" s="43"/>
      <c r="AF26" s="77"/>
    </row>
    <row r="27" spans="2:32" ht="12.75" customHeight="1">
      <c r="B27" s="9" t="s">
        <v>104</v>
      </c>
      <c r="C27" s="82">
        <v>-863</v>
      </c>
      <c r="D27" s="82">
        <v>70</v>
      </c>
      <c r="E27" s="82">
        <v>-947</v>
      </c>
      <c r="F27" s="82">
        <v>-1165</v>
      </c>
      <c r="G27" s="82">
        <v>-1182</v>
      </c>
      <c r="H27" s="82"/>
      <c r="I27" s="32"/>
      <c r="J27" s="82">
        <v>-279</v>
      </c>
      <c r="K27" s="82">
        <v>-274</v>
      </c>
      <c r="L27" s="82">
        <v>-221</v>
      </c>
      <c r="M27" s="32">
        <f t="shared" ref="M27" si="15">SUM(F27-SUM(J27:L27))</f>
        <v>-391</v>
      </c>
      <c r="N27" s="82">
        <v>-321</v>
      </c>
      <c r="O27" s="82">
        <v>-271</v>
      </c>
      <c r="P27" s="82">
        <v>-301</v>
      </c>
      <c r="Q27" s="32">
        <f t="shared" ref="Q27" si="16">SUM(G27-SUM(N27:P27))</f>
        <v>-289</v>
      </c>
      <c r="R27" s="82">
        <v>-316</v>
      </c>
      <c r="S27" s="82">
        <v>-268</v>
      </c>
      <c r="T27" s="82">
        <v>-285</v>
      </c>
      <c r="U27" s="32">
        <f t="shared" ref="U27" si="17">SUM(H27-SUM(R27:T27))</f>
        <v>869</v>
      </c>
      <c r="W27" s="32">
        <f>SUM(J27:M27)</f>
        <v>-1165</v>
      </c>
      <c r="X27" s="32">
        <f>SUM(K27:N27)</f>
        <v>-1207</v>
      </c>
      <c r="Y27" s="32">
        <f>SUM(L27:O27)</f>
        <v>-1204</v>
      </c>
      <c r="Z27" s="32">
        <f>SUM(M27:P27)</f>
        <v>-1284</v>
      </c>
      <c r="AA27" s="32">
        <f>SUM(N27:Q27)</f>
        <v>-1182</v>
      </c>
      <c r="AB27" s="32">
        <f>SUM(O27:R27)</f>
        <v>-1177</v>
      </c>
      <c r="AC27" s="32">
        <f>SUM(P27:S27)</f>
        <v>-1174</v>
      </c>
      <c r="AD27" s="32">
        <f>SUM(Q27:T27)</f>
        <v>-1158</v>
      </c>
      <c r="AE27" s="11"/>
      <c r="AF27" s="75">
        <f>SUM(AD27/Z27)-1</f>
        <v>-9.8130841121495282E-2</v>
      </c>
    </row>
    <row r="28" spans="2:32" ht="12.75" customHeight="1">
      <c r="B28" s="13" t="s">
        <v>105</v>
      </c>
      <c r="C28" s="14">
        <f t="shared" ref="C28:H28" si="18">SUM(C24+SUM(C27:C27))</f>
        <v>4202</v>
      </c>
      <c r="D28" s="14">
        <f t="shared" si="18"/>
        <v>4169</v>
      </c>
      <c r="E28" s="14">
        <f t="shared" si="18"/>
        <v>2419</v>
      </c>
      <c r="F28" s="14">
        <f t="shared" si="18"/>
        <v>4246</v>
      </c>
      <c r="G28" s="14">
        <f t="shared" si="18"/>
        <v>4147</v>
      </c>
      <c r="H28" s="14">
        <f t="shared" si="18"/>
        <v>0</v>
      </c>
      <c r="I28" s="11"/>
      <c r="J28" s="14">
        <f t="shared" ref="J28:U28" si="19">SUM(J24+SUM(J27:J27))</f>
        <v>795</v>
      </c>
      <c r="K28" s="14">
        <f t="shared" si="19"/>
        <v>1029</v>
      </c>
      <c r="L28" s="14">
        <f t="shared" si="19"/>
        <v>1020</v>
      </c>
      <c r="M28" s="14">
        <f t="shared" si="19"/>
        <v>1402</v>
      </c>
      <c r="N28" s="14">
        <f t="shared" si="19"/>
        <v>888</v>
      </c>
      <c r="O28" s="14">
        <f t="shared" si="19"/>
        <v>1128</v>
      </c>
      <c r="P28" s="14">
        <f t="shared" si="19"/>
        <v>1010</v>
      </c>
      <c r="Q28" s="14">
        <f t="shared" si="19"/>
        <v>1121</v>
      </c>
      <c r="R28" s="14">
        <f t="shared" si="19"/>
        <v>1287</v>
      </c>
      <c r="S28" s="14">
        <f t="shared" si="19"/>
        <v>1261</v>
      </c>
      <c r="T28" s="14">
        <f t="shared" si="19"/>
        <v>1248</v>
      </c>
      <c r="U28" s="14">
        <f t="shared" si="19"/>
        <v>-3796</v>
      </c>
      <c r="V28" s="32"/>
      <c r="W28" s="14" t="e">
        <f t="shared" ref="W28:AD28" si="20">SUM(W24+SUM(W27:W27))</f>
        <v>#REF!</v>
      </c>
      <c r="X28" s="14" t="e">
        <f t="shared" si="20"/>
        <v>#REF!</v>
      </c>
      <c r="Y28" s="14" t="e">
        <f t="shared" si="20"/>
        <v>#REF!</v>
      </c>
      <c r="Z28" s="14">
        <f t="shared" si="20"/>
        <v>4428</v>
      </c>
      <c r="AA28" s="14">
        <f t="shared" si="20"/>
        <v>4147</v>
      </c>
      <c r="AB28" s="14">
        <f t="shared" si="20"/>
        <v>4546</v>
      </c>
      <c r="AC28" s="14">
        <f t="shared" si="20"/>
        <v>4679</v>
      </c>
      <c r="AD28" s="14">
        <f t="shared" si="20"/>
        <v>4917</v>
      </c>
      <c r="AE28" s="36"/>
      <c r="AF28" s="76">
        <f>SUM(AD28/Z28)-1</f>
        <v>0.11043360433604343</v>
      </c>
    </row>
    <row r="29" spans="2:32" ht="12.75" customHeight="1">
      <c r="B29" s="16" t="s">
        <v>103</v>
      </c>
      <c r="C29" s="17">
        <f>C28/C11</f>
        <v>0.19586091171809453</v>
      </c>
      <c r="D29" s="17">
        <f>D28/D11</f>
        <v>0.16432146939419021</v>
      </c>
      <c r="E29" s="17">
        <f>E28/E11</f>
        <v>8.7906097826876958E-2</v>
      </c>
      <c r="F29" s="17">
        <f>F28/F11</f>
        <v>0.14262201471230393</v>
      </c>
      <c r="G29" s="17">
        <f>G28/G11</f>
        <v>0.13042110890964556</v>
      </c>
      <c r="H29" s="17" t="e">
        <f>H28/H11</f>
        <v>#DIV/0!</v>
      </c>
      <c r="I29" s="27"/>
      <c r="J29" s="17">
        <f>J28/J11</f>
        <v>0.11292613636363637</v>
      </c>
      <c r="K29" s="17">
        <f>K28/K11</f>
        <v>0.14121037463976946</v>
      </c>
      <c r="L29" s="17">
        <f>L28/L11</f>
        <v>0.13750337018064168</v>
      </c>
      <c r="M29" s="17">
        <f>M28/M11</f>
        <v>0.17468228258160975</v>
      </c>
      <c r="N29" s="17">
        <f>N28/N11</f>
        <v>0.11533965450058449</v>
      </c>
      <c r="O29" s="17">
        <f>O28/O11</f>
        <v>0.14305643627140138</v>
      </c>
      <c r="P29" s="17">
        <f>P28/P11</f>
        <v>0.12871160953230534</v>
      </c>
      <c r="Q29" s="17">
        <f>Q28/Q11</f>
        <v>0.13399474061678221</v>
      </c>
      <c r="R29" s="17">
        <f>R28/R11</f>
        <v>0.16519060454370427</v>
      </c>
      <c r="S29" s="17">
        <f>S28/S11</f>
        <v>0.15214768339768339</v>
      </c>
      <c r="T29" s="17">
        <f>T28/T11</f>
        <v>0.14827135558987764</v>
      </c>
      <c r="U29" s="17">
        <f>U28/U11</f>
        <v>0.15496407576747223</v>
      </c>
      <c r="V29" s="28"/>
      <c r="W29" s="17" t="e">
        <f>W28/W11</f>
        <v>#REF!</v>
      </c>
      <c r="X29" s="17" t="e">
        <f>X28/X11</f>
        <v>#REF!</v>
      </c>
      <c r="Y29" s="17" t="e">
        <f>Y28/Y11</f>
        <v>#REF!</v>
      </c>
      <c r="Z29" s="17">
        <f>Z28/Z11</f>
        <v>0.14076358203261596</v>
      </c>
      <c r="AA29" s="17">
        <f>AA28/AA11</f>
        <v>0.13042110890964556</v>
      </c>
      <c r="AB29" s="17">
        <f>AB28/AB11</f>
        <v>0.14255699457493179</v>
      </c>
      <c r="AC29" s="17">
        <f>AC28/AC11</f>
        <v>0.1448965688096123</v>
      </c>
      <c r="AD29" s="17">
        <f>AD28/AD11</f>
        <v>0.14962570750410809</v>
      </c>
      <c r="AE29" s="43"/>
      <c r="AF29" s="77">
        <f>SUM(AD29-Z29)*1000</f>
        <v>8.8621254714921207</v>
      </c>
    </row>
    <row r="30" spans="2:32" ht="5.0999999999999996" customHeight="1">
      <c r="B30" s="16"/>
      <c r="C30" s="17"/>
      <c r="D30" s="17"/>
      <c r="E30" s="17"/>
      <c r="F30" s="17"/>
      <c r="G30" s="17"/>
      <c r="H30" s="17"/>
      <c r="I30" s="2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28"/>
      <c r="W30" s="17"/>
      <c r="X30" s="17"/>
      <c r="Y30" s="17"/>
      <c r="Z30" s="17"/>
      <c r="AA30" s="17"/>
      <c r="AB30" s="17"/>
      <c r="AC30" s="17"/>
      <c r="AD30" s="17"/>
      <c r="AE30" s="43"/>
      <c r="AF30" s="77"/>
    </row>
    <row r="31" spans="2:32" ht="12.75" customHeight="1">
      <c r="B31" s="44" t="s">
        <v>84</v>
      </c>
      <c r="C31" s="82"/>
      <c r="D31" s="82"/>
      <c r="E31" s="82"/>
      <c r="F31" s="82"/>
      <c r="G31" s="82"/>
      <c r="H31" s="82"/>
      <c r="I31" s="27"/>
      <c r="J31" s="82"/>
      <c r="K31" s="82"/>
      <c r="L31" s="82"/>
      <c r="M31" s="32">
        <f>F31</f>
        <v>0</v>
      </c>
      <c r="N31" s="82"/>
      <c r="O31" s="82"/>
      <c r="P31" s="82"/>
      <c r="Q31" s="32">
        <f>G31</f>
        <v>0</v>
      </c>
      <c r="R31" s="82"/>
      <c r="S31" s="82"/>
      <c r="T31" s="82"/>
      <c r="U31" s="82">
        <f>H31</f>
        <v>0</v>
      </c>
      <c r="V31" s="132"/>
      <c r="W31" s="32">
        <f>M31</f>
        <v>0</v>
      </c>
      <c r="X31" s="32">
        <f>N31</f>
        <v>0</v>
      </c>
      <c r="Y31" s="32">
        <f>O31</f>
        <v>0</v>
      </c>
      <c r="Z31" s="32">
        <f>P31</f>
        <v>0</v>
      </c>
      <c r="AA31" s="32">
        <f>Q31</f>
        <v>0</v>
      </c>
      <c r="AB31" s="32">
        <f>R31</f>
        <v>0</v>
      </c>
      <c r="AC31" s="32">
        <f>S31</f>
        <v>0</v>
      </c>
      <c r="AD31" s="32">
        <f>T31</f>
        <v>0</v>
      </c>
      <c r="AE31" s="43"/>
      <c r="AF31" s="75" t="e">
        <f>SUM(AD31/Z31)-1</f>
        <v>#DIV/0!</v>
      </c>
    </row>
    <row r="32" spans="2:32" ht="12.75" customHeight="1">
      <c r="B32" s="13" t="s">
        <v>62</v>
      </c>
      <c r="C32" s="144" t="e">
        <f>C28/C31</f>
        <v>#DIV/0!</v>
      </c>
      <c r="D32" s="144" t="e">
        <f>D28/D31</f>
        <v>#DIV/0!</v>
      </c>
      <c r="E32" s="144" t="e">
        <f>E28/E31</f>
        <v>#DIV/0!</v>
      </c>
      <c r="F32" s="144" t="e">
        <f>F28/F31</f>
        <v>#DIV/0!</v>
      </c>
      <c r="G32" s="144" t="e">
        <f>G28/G31</f>
        <v>#DIV/0!</v>
      </c>
      <c r="H32" s="144" t="e">
        <f>H28/H31</f>
        <v>#DIV/0!</v>
      </c>
      <c r="I32" s="27"/>
      <c r="J32" s="144" t="e">
        <f>J28/J31</f>
        <v>#DIV/0!</v>
      </c>
      <c r="K32" s="144" t="e">
        <f>K28/K31</f>
        <v>#DIV/0!</v>
      </c>
      <c r="L32" s="144" t="e">
        <f>L28/L31</f>
        <v>#DIV/0!</v>
      </c>
      <c r="M32" s="144" t="e">
        <f>M28/M31</f>
        <v>#DIV/0!</v>
      </c>
      <c r="N32" s="144" t="e">
        <f>N28/N31</f>
        <v>#DIV/0!</v>
      </c>
      <c r="O32" s="144" t="e">
        <f>O28/O31</f>
        <v>#DIV/0!</v>
      </c>
      <c r="P32" s="144" t="e">
        <f>P28/P31</f>
        <v>#DIV/0!</v>
      </c>
      <c r="Q32" s="144" t="e">
        <f>Q28/Q31</f>
        <v>#DIV/0!</v>
      </c>
      <c r="R32" s="144" t="e">
        <f>R28/R31</f>
        <v>#DIV/0!</v>
      </c>
      <c r="S32" s="144" t="e">
        <f>S28/S31</f>
        <v>#DIV/0!</v>
      </c>
      <c r="T32" s="144" t="e">
        <f>T28/T31</f>
        <v>#DIV/0!</v>
      </c>
      <c r="U32" s="144" t="e">
        <f>U28/U31</f>
        <v>#DIV/0!</v>
      </c>
      <c r="V32" s="132"/>
      <c r="W32" s="144" t="e">
        <f>W28/W31</f>
        <v>#REF!</v>
      </c>
      <c r="X32" s="144" t="e">
        <f>X28/X31</f>
        <v>#REF!</v>
      </c>
      <c r="Y32" s="144" t="e">
        <f>Y28/Y31</f>
        <v>#REF!</v>
      </c>
      <c r="Z32" s="144" t="e">
        <f>Z28/Z31</f>
        <v>#DIV/0!</v>
      </c>
      <c r="AA32" s="144" t="e">
        <f>AA28/AA31</f>
        <v>#DIV/0!</v>
      </c>
      <c r="AB32" s="144" t="e">
        <f>AB28/AB31</f>
        <v>#DIV/0!</v>
      </c>
      <c r="AC32" s="144" t="e">
        <f>AC28/AC31</f>
        <v>#DIV/0!</v>
      </c>
      <c r="AD32" s="144" t="e">
        <f>AD28/AD31</f>
        <v>#DIV/0!</v>
      </c>
      <c r="AE32" s="43"/>
      <c r="AF32" s="76" t="e">
        <f>SUM(AD32/Z32)-1</f>
        <v>#DIV/0!</v>
      </c>
    </row>
    <row r="33" spans="1:32" ht="12.75" customHeight="1">
      <c r="B33" s="25"/>
      <c r="C33" s="48"/>
      <c r="D33" s="48"/>
      <c r="E33" s="48"/>
      <c r="F33" s="48"/>
      <c r="G33" s="48"/>
      <c r="H33" s="48"/>
      <c r="I33" s="143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132"/>
      <c r="W33" s="132"/>
      <c r="X33" s="132"/>
      <c r="Y33" s="132"/>
      <c r="Z33" s="48"/>
      <c r="AA33" s="132"/>
      <c r="AB33" s="132"/>
      <c r="AC33" s="132"/>
      <c r="AD33" s="132"/>
      <c r="AE33" s="43"/>
      <c r="AF33" s="75"/>
    </row>
    <row r="34" spans="1:32" ht="12.75" customHeight="1">
      <c r="B34" s="44" t="s">
        <v>63</v>
      </c>
      <c r="C34" s="82"/>
      <c r="D34" s="82"/>
      <c r="E34" s="82"/>
      <c r="F34" s="82"/>
      <c r="G34" s="82"/>
      <c r="H34" s="82"/>
      <c r="I34" s="143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132"/>
      <c r="W34" s="32">
        <f>M34</f>
        <v>0</v>
      </c>
      <c r="X34" s="32">
        <f>N34</f>
        <v>0</v>
      </c>
      <c r="Y34" s="32">
        <f>O34</f>
        <v>0</v>
      </c>
      <c r="Z34" s="32">
        <f>P34</f>
        <v>0</v>
      </c>
      <c r="AA34" s="32">
        <f>Q34</f>
        <v>0</v>
      </c>
      <c r="AB34" s="32">
        <f>R34</f>
        <v>0</v>
      </c>
      <c r="AC34" s="32">
        <f>S34</f>
        <v>0</v>
      </c>
      <c r="AD34" s="32">
        <f>T34</f>
        <v>0</v>
      </c>
      <c r="AE34" s="43"/>
      <c r="AF34" s="75" t="e">
        <f>SUM(AD34/Z34)-1</f>
        <v>#DIV/0!</v>
      </c>
    </row>
    <row r="35" spans="1:32" ht="12.75" customHeight="1">
      <c r="B35" s="13" t="s">
        <v>83</v>
      </c>
      <c r="C35" s="144" t="e">
        <f>C28/C34</f>
        <v>#DIV/0!</v>
      </c>
      <c r="D35" s="144" t="e">
        <f>D28/D34</f>
        <v>#DIV/0!</v>
      </c>
      <c r="E35" s="144" t="e">
        <f>E28/E34</f>
        <v>#DIV/0!</v>
      </c>
      <c r="F35" s="144" t="e">
        <f>F28/F34</f>
        <v>#DIV/0!</v>
      </c>
      <c r="G35" s="144" t="e">
        <f>G28/G34</f>
        <v>#DIV/0!</v>
      </c>
      <c r="H35" s="144" t="e">
        <f>H28/H34</f>
        <v>#DIV/0!</v>
      </c>
      <c r="I35" s="27"/>
      <c r="J35" s="144" t="e">
        <f>J28/J34</f>
        <v>#DIV/0!</v>
      </c>
      <c r="K35" s="144" t="e">
        <f>K28/K34</f>
        <v>#DIV/0!</v>
      </c>
      <c r="L35" s="144" t="e">
        <f>L28/L34</f>
        <v>#DIV/0!</v>
      </c>
      <c r="M35" s="144" t="e">
        <f>M28/M34</f>
        <v>#DIV/0!</v>
      </c>
      <c r="N35" s="144" t="e">
        <f>N28/N34</f>
        <v>#DIV/0!</v>
      </c>
      <c r="O35" s="144" t="e">
        <f>O28/O34</f>
        <v>#DIV/0!</v>
      </c>
      <c r="P35" s="144" t="e">
        <f>P28/P34</f>
        <v>#DIV/0!</v>
      </c>
      <c r="Q35" s="144" t="e">
        <f>Q28/Q34</f>
        <v>#DIV/0!</v>
      </c>
      <c r="R35" s="144" t="e">
        <f>R28/R34</f>
        <v>#DIV/0!</v>
      </c>
      <c r="S35" s="144" t="e">
        <f>S28/S34</f>
        <v>#DIV/0!</v>
      </c>
      <c r="T35" s="144" t="e">
        <f>T28/T34</f>
        <v>#DIV/0!</v>
      </c>
      <c r="U35" s="144" t="e">
        <f>U28/U34</f>
        <v>#DIV/0!</v>
      </c>
      <c r="V35" s="132"/>
      <c r="W35" s="144" t="e">
        <f>W28/W34</f>
        <v>#REF!</v>
      </c>
      <c r="X35" s="144" t="e">
        <f>X28/X34</f>
        <v>#REF!</v>
      </c>
      <c r="Y35" s="144" t="e">
        <f>Y28/Y34</f>
        <v>#REF!</v>
      </c>
      <c r="Z35" s="144" t="e">
        <f>Z28/Z34</f>
        <v>#DIV/0!</v>
      </c>
      <c r="AA35" s="144" t="e">
        <f>AA28/AA34</f>
        <v>#DIV/0!</v>
      </c>
      <c r="AB35" s="144" t="e">
        <f>AB28/AB34</f>
        <v>#DIV/0!</v>
      </c>
      <c r="AC35" s="144" t="e">
        <f>AC28/AC34</f>
        <v>#DIV/0!</v>
      </c>
      <c r="AD35" s="144" t="e">
        <f>AD28/AD34</f>
        <v>#DIV/0!</v>
      </c>
      <c r="AE35" s="43"/>
      <c r="AF35" s="76" t="e">
        <f>SUM(AD35/Z35)-1</f>
        <v>#DIV/0!</v>
      </c>
    </row>
    <row r="36" spans="1:32">
      <c r="B36" s="16"/>
      <c r="C36" s="17"/>
      <c r="D36" s="17"/>
      <c r="E36" s="17"/>
      <c r="F36" s="17"/>
      <c r="G36" s="17"/>
      <c r="H36" s="17"/>
      <c r="I36" s="2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28"/>
      <c r="W36" s="17"/>
      <c r="X36" s="17"/>
      <c r="Y36" s="17"/>
      <c r="Z36" s="17"/>
      <c r="AA36" s="17"/>
      <c r="AB36" s="17"/>
      <c r="AC36" s="17"/>
      <c r="AD36" s="17"/>
      <c r="AE36" s="43"/>
    </row>
    <row r="37" spans="1:32" ht="12.75" customHeight="1">
      <c r="A37" s="5" t="s">
        <v>16</v>
      </c>
      <c r="B37" s="106" t="s">
        <v>73</v>
      </c>
      <c r="C37" s="107"/>
      <c r="D37" s="107"/>
      <c r="E37" s="107"/>
      <c r="F37" s="107"/>
      <c r="G37" s="107"/>
      <c r="H37" s="107"/>
      <c r="I37" s="108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6"/>
      <c r="W37" s="107"/>
      <c r="X37" s="107"/>
      <c r="Y37" s="107" t="s">
        <v>10</v>
      </c>
      <c r="Z37" s="107"/>
      <c r="AA37" s="107"/>
      <c r="AB37" s="107"/>
      <c r="AC37" s="107"/>
      <c r="AD37" s="107"/>
      <c r="AE37" s="108"/>
      <c r="AF37" s="153" t="s">
        <v>22</v>
      </c>
    </row>
    <row r="38" spans="1:32" ht="12.75" customHeight="1">
      <c r="B38" s="110" t="str">
        <f>B7</f>
        <v>Fiscal Period</v>
      </c>
      <c r="C38" s="109">
        <f>C7</f>
        <v>2020</v>
      </c>
      <c r="D38" s="109">
        <f>D7</f>
        <v>2021</v>
      </c>
      <c r="E38" s="109">
        <f>E7</f>
        <v>2022</v>
      </c>
      <c r="F38" s="109">
        <f>F7</f>
        <v>2023</v>
      </c>
      <c r="G38" s="109">
        <f>G7</f>
        <v>2024</v>
      </c>
      <c r="H38" s="109">
        <f>H7</f>
        <v>2025</v>
      </c>
      <c r="I38" s="108"/>
      <c r="J38" s="109" t="str">
        <f>J7</f>
        <v>1Q23</v>
      </c>
      <c r="K38" s="109" t="str">
        <f>K7</f>
        <v>2Q23</v>
      </c>
      <c r="L38" s="109" t="str">
        <f>L7</f>
        <v>3Q23</v>
      </c>
      <c r="M38" s="109" t="str">
        <f>M7</f>
        <v>4Q23</v>
      </c>
      <c r="N38" s="109" t="str">
        <f>N7</f>
        <v>1Q24</v>
      </c>
      <c r="O38" s="109" t="str">
        <f>O7</f>
        <v>2Q24</v>
      </c>
      <c r="P38" s="109" t="str">
        <f>P7</f>
        <v>3Q24</v>
      </c>
      <c r="Q38" s="109" t="str">
        <f>Q7</f>
        <v>4Q24</v>
      </c>
      <c r="R38" s="109" t="str">
        <f>R7</f>
        <v>1Q25</v>
      </c>
      <c r="S38" s="109" t="str">
        <f>S7</f>
        <v>2Q25</v>
      </c>
      <c r="T38" s="109" t="str">
        <f>T7</f>
        <v>3Q25</v>
      </c>
      <c r="U38" s="109" t="str">
        <f>U7</f>
        <v>4Q25</v>
      </c>
      <c r="V38" s="111"/>
      <c r="W38" s="109" t="str">
        <f>W7</f>
        <v>4Q23</v>
      </c>
      <c r="X38" s="109" t="str">
        <f>X7</f>
        <v>1Q24</v>
      </c>
      <c r="Y38" s="109" t="str">
        <f>Y7</f>
        <v>2Q24</v>
      </c>
      <c r="Z38" s="109" t="str">
        <f>Z7</f>
        <v>3Q24</v>
      </c>
      <c r="AA38" s="109" t="str">
        <f>AA7</f>
        <v>4Q24</v>
      </c>
      <c r="AB38" s="109" t="str">
        <f>AB7</f>
        <v>1Q25</v>
      </c>
      <c r="AC38" s="109" t="str">
        <f>AC7</f>
        <v>2Q25</v>
      </c>
      <c r="AD38" s="109" t="str">
        <f>AD7</f>
        <v>3Q25</v>
      </c>
      <c r="AE38" s="108"/>
      <c r="AF38" s="153"/>
    </row>
    <row r="39" spans="1:32" ht="12.75" customHeight="1">
      <c r="B39" s="110" t="str">
        <f>B8</f>
        <v>Fiscal Period End Date</v>
      </c>
      <c r="C39" s="112">
        <f>C8</f>
        <v>0</v>
      </c>
      <c r="D39" s="112">
        <f>D8</f>
        <v>0</v>
      </c>
      <c r="E39" s="112">
        <f>E8</f>
        <v>0</v>
      </c>
      <c r="F39" s="112">
        <f>F8</f>
        <v>0</v>
      </c>
      <c r="G39" s="112">
        <f>G8</f>
        <v>0</v>
      </c>
      <c r="H39" s="112">
        <f>H8</f>
        <v>0</v>
      </c>
      <c r="I39" s="108"/>
      <c r="J39" s="112">
        <f>J8</f>
        <v>0</v>
      </c>
      <c r="K39" s="112">
        <f>K8</f>
        <v>0</v>
      </c>
      <c r="L39" s="112">
        <f>L8</f>
        <v>0</v>
      </c>
      <c r="M39" s="112">
        <f>M8</f>
        <v>0</v>
      </c>
      <c r="N39" s="112">
        <f>N8</f>
        <v>0</v>
      </c>
      <c r="O39" s="112">
        <f>O8</f>
        <v>0</v>
      </c>
      <c r="P39" s="112">
        <f>P8</f>
        <v>0</v>
      </c>
      <c r="Q39" s="112">
        <f>Q8</f>
        <v>0</v>
      </c>
      <c r="R39" s="112">
        <f>R8</f>
        <v>0</v>
      </c>
      <c r="S39" s="112">
        <f>S8</f>
        <v>0</v>
      </c>
      <c r="T39" s="112">
        <f>T8</f>
        <v>0</v>
      </c>
      <c r="U39" s="112">
        <f>U8</f>
        <v>0</v>
      </c>
      <c r="V39" s="113"/>
      <c r="W39" s="112">
        <f>W8</f>
        <v>0</v>
      </c>
      <c r="X39" s="112">
        <f>X8</f>
        <v>0</v>
      </c>
      <c r="Y39" s="112">
        <f>Y8</f>
        <v>0</v>
      </c>
      <c r="Z39" s="112">
        <f>Z8</f>
        <v>0</v>
      </c>
      <c r="AA39" s="112">
        <f>AA8</f>
        <v>0</v>
      </c>
      <c r="AB39" s="112">
        <f>AB8</f>
        <v>0</v>
      </c>
      <c r="AC39" s="112">
        <f>AC8</f>
        <v>0</v>
      </c>
      <c r="AD39" s="112">
        <f>AD8</f>
        <v>0</v>
      </c>
      <c r="AE39" s="108"/>
      <c r="AF39" s="153"/>
    </row>
    <row r="40" spans="1:32" ht="5.0999999999999996" customHeight="1">
      <c r="B40" s="46"/>
      <c r="C40" s="47"/>
      <c r="D40" s="47"/>
      <c r="E40" s="47"/>
      <c r="F40" s="47"/>
      <c r="G40" s="47"/>
      <c r="H40" s="47"/>
    </row>
    <row r="41" spans="1:32">
      <c r="B41" s="78" t="s">
        <v>78</v>
      </c>
      <c r="C41" s="47"/>
      <c r="D41" s="47"/>
      <c r="E41" s="47"/>
      <c r="F41" s="47"/>
      <c r="G41" s="47"/>
      <c r="H41" s="47"/>
    </row>
    <row r="42" spans="1:32" s="122" customFormat="1" ht="12.75" customHeight="1">
      <c r="B42" s="114" t="s">
        <v>181</v>
      </c>
      <c r="C42" s="123"/>
      <c r="D42" s="123">
        <v>4794</v>
      </c>
      <c r="E42" s="123">
        <v>7776</v>
      </c>
      <c r="F42" s="123">
        <v>9081</v>
      </c>
      <c r="G42" s="123">
        <v>6561</v>
      </c>
      <c r="H42" s="123"/>
      <c r="J42" s="82">
        <v>7101</v>
      </c>
      <c r="K42" s="82">
        <v>5504</v>
      </c>
      <c r="L42" s="82">
        <v>6816</v>
      </c>
      <c r="M42" s="32">
        <f t="shared" ref="M42:M48" si="21">F42</f>
        <v>9081</v>
      </c>
      <c r="N42" s="82">
        <v>9693</v>
      </c>
      <c r="O42" s="82">
        <v>7701</v>
      </c>
      <c r="P42" s="82">
        <v>7272</v>
      </c>
      <c r="Q42" s="32">
        <f t="shared" ref="Q42:Q48" si="22">G42</f>
        <v>6561</v>
      </c>
      <c r="R42" s="82">
        <v>7449</v>
      </c>
      <c r="S42" s="82">
        <v>6688</v>
      </c>
      <c r="T42" s="82">
        <v>8995</v>
      </c>
      <c r="U42" s="32">
        <f t="shared" ref="U42:U48" si="23">H42</f>
        <v>0</v>
      </c>
      <c r="W42" s="96">
        <f>M42</f>
        <v>9081</v>
      </c>
      <c r="X42" s="96">
        <f>N42</f>
        <v>9693</v>
      </c>
      <c r="Y42" s="96">
        <f>O42</f>
        <v>7701</v>
      </c>
      <c r="Z42" s="96">
        <f>P42</f>
        <v>7272</v>
      </c>
      <c r="AA42" s="96">
        <f>Q42</f>
        <v>6561</v>
      </c>
      <c r="AB42" s="96">
        <f>R42</f>
        <v>7449</v>
      </c>
      <c r="AC42" s="96">
        <f>S42</f>
        <v>6688</v>
      </c>
      <c r="AD42" s="96">
        <f>T42</f>
        <v>8995</v>
      </c>
      <c r="AE42" s="124"/>
      <c r="AF42" s="75">
        <f>SUM(AD42/Z42)-1</f>
        <v>0.23693619361936191</v>
      </c>
    </row>
    <row r="43" spans="1:32" s="122" customFormat="1" ht="12.75" customHeight="1">
      <c r="B43" s="114" t="s">
        <v>165</v>
      </c>
      <c r="C43" s="123"/>
      <c r="D43" s="123">
        <v>8289</v>
      </c>
      <c r="E43" s="123">
        <v>3092</v>
      </c>
      <c r="F43" s="123">
        <v>4979</v>
      </c>
      <c r="G43" s="123">
        <v>4262</v>
      </c>
      <c r="H43" s="123"/>
      <c r="J43" s="82">
        <v>3559</v>
      </c>
      <c r="K43" s="82">
        <v>4398</v>
      </c>
      <c r="L43" s="82">
        <v>4731</v>
      </c>
      <c r="M43" s="32">
        <f t="shared" si="21"/>
        <v>4979</v>
      </c>
      <c r="N43" s="82">
        <v>4625</v>
      </c>
      <c r="O43" s="82">
        <v>5915</v>
      </c>
      <c r="P43" s="82">
        <v>4647</v>
      </c>
      <c r="Q43" s="32">
        <f t="shared" si="22"/>
        <v>4262</v>
      </c>
      <c r="R43" s="82">
        <v>3762</v>
      </c>
      <c r="S43" s="82">
        <v>3320</v>
      </c>
      <c r="T43" s="82">
        <v>1760</v>
      </c>
      <c r="U43" s="32">
        <f t="shared" si="23"/>
        <v>0</v>
      </c>
      <c r="W43" s="96">
        <f t="shared" ref="W43:W44" si="24">M43</f>
        <v>4979</v>
      </c>
      <c r="X43" s="96">
        <f t="shared" ref="X43:X44" si="25">N43</f>
        <v>4625</v>
      </c>
      <c r="Y43" s="96">
        <f t="shared" ref="Y43:Y44" si="26">O43</f>
        <v>5915</v>
      </c>
      <c r="Z43" s="96">
        <f t="shared" ref="Z43:Z44" si="27">P43</f>
        <v>4647</v>
      </c>
      <c r="AA43" s="96">
        <f t="shared" ref="AA43:AA44" si="28">Q43</f>
        <v>4262</v>
      </c>
      <c r="AB43" s="96">
        <f t="shared" ref="AB43:AB44" si="29">R43</f>
        <v>3762</v>
      </c>
      <c r="AC43" s="96">
        <f t="shared" ref="AC43:AC44" si="30">S43</f>
        <v>3320</v>
      </c>
      <c r="AD43" s="96">
        <f t="shared" ref="AD43:AD44" si="31">T43</f>
        <v>1760</v>
      </c>
      <c r="AE43" s="124"/>
      <c r="AF43" s="75">
        <f t="shared" ref="AF43:AF44" si="32">SUM(AD43/Z43)-1</f>
        <v>-0.6212610286206155</v>
      </c>
    </row>
    <row r="44" spans="1:32" s="122" customFormat="1" ht="12.75" customHeight="1">
      <c r="B44" s="114" t="s">
        <v>182</v>
      </c>
      <c r="C44" s="123"/>
      <c r="D44" s="123">
        <v>577</v>
      </c>
      <c r="E44" s="123">
        <v>963</v>
      </c>
      <c r="F44" s="123">
        <v>1069</v>
      </c>
      <c r="G44" s="123">
        <v>984</v>
      </c>
      <c r="H44" s="123"/>
      <c r="J44" s="82">
        <v>967</v>
      </c>
      <c r="K44" s="82">
        <v>928</v>
      </c>
      <c r="L44" s="82">
        <v>988</v>
      </c>
      <c r="M44" s="32">
        <f t="shared" si="21"/>
        <v>1069</v>
      </c>
      <c r="N44" s="82">
        <v>1108</v>
      </c>
      <c r="O44" s="82">
        <v>987</v>
      </c>
      <c r="P44" s="82">
        <v>1038</v>
      </c>
      <c r="Q44" s="32">
        <f t="shared" si="22"/>
        <v>984</v>
      </c>
      <c r="R44" s="82">
        <v>1082</v>
      </c>
      <c r="S44" s="82">
        <v>1099</v>
      </c>
      <c r="T44" s="82">
        <v>973</v>
      </c>
      <c r="U44" s="32">
        <f t="shared" si="23"/>
        <v>0</v>
      </c>
      <c r="W44" s="96">
        <f t="shared" si="24"/>
        <v>1069</v>
      </c>
      <c r="X44" s="96">
        <f t="shared" si="25"/>
        <v>1108</v>
      </c>
      <c r="Y44" s="96">
        <f t="shared" si="26"/>
        <v>987</v>
      </c>
      <c r="Z44" s="96">
        <f t="shared" si="27"/>
        <v>1038</v>
      </c>
      <c r="AA44" s="96">
        <f t="shared" si="28"/>
        <v>984</v>
      </c>
      <c r="AB44" s="96">
        <f t="shared" si="29"/>
        <v>1082</v>
      </c>
      <c r="AC44" s="96">
        <f t="shared" si="30"/>
        <v>1099</v>
      </c>
      <c r="AD44" s="96">
        <f t="shared" si="31"/>
        <v>973</v>
      </c>
      <c r="AE44" s="124"/>
      <c r="AF44" s="75">
        <f t="shared" si="32"/>
        <v>-6.2620423892100208E-2</v>
      </c>
    </row>
    <row r="45" spans="1:32" s="122" customFormat="1" ht="12.75" customHeight="1">
      <c r="B45" s="114" t="s">
        <v>183</v>
      </c>
      <c r="C45" s="123"/>
      <c r="D45" s="123">
        <v>0</v>
      </c>
      <c r="E45" s="123">
        <v>0</v>
      </c>
      <c r="F45" s="123">
        <v>563</v>
      </c>
      <c r="G45" s="123">
        <v>541</v>
      </c>
      <c r="H45" s="123"/>
      <c r="J45" s="82">
        <v>0</v>
      </c>
      <c r="K45" s="82">
        <v>1903</v>
      </c>
      <c r="L45" s="82">
        <v>2165</v>
      </c>
      <c r="M45" s="32">
        <f t="shared" si="21"/>
        <v>563</v>
      </c>
      <c r="N45" s="82">
        <v>307</v>
      </c>
      <c r="O45" s="82">
        <v>369</v>
      </c>
      <c r="P45" s="82">
        <v>471</v>
      </c>
      <c r="Q45" s="32">
        <f t="shared" si="22"/>
        <v>541</v>
      </c>
      <c r="R45" s="82">
        <v>714</v>
      </c>
      <c r="S45" s="82">
        <v>817</v>
      </c>
      <c r="T45" s="82">
        <v>1404</v>
      </c>
      <c r="U45" s="32">
        <f t="shared" si="23"/>
        <v>0</v>
      </c>
      <c r="W45" s="96">
        <f>M45</f>
        <v>563</v>
      </c>
      <c r="X45" s="96">
        <f>N45</f>
        <v>307</v>
      </c>
      <c r="Y45" s="96">
        <f>O45</f>
        <v>369</v>
      </c>
      <c r="Z45" s="96">
        <f>P45</f>
        <v>471</v>
      </c>
      <c r="AA45" s="96">
        <f>Q45</f>
        <v>541</v>
      </c>
      <c r="AB45" s="96">
        <f>R45</f>
        <v>714</v>
      </c>
      <c r="AC45" s="96">
        <f>S45</f>
        <v>817</v>
      </c>
      <c r="AD45" s="96">
        <f>T45</f>
        <v>1404</v>
      </c>
      <c r="AE45" s="124"/>
      <c r="AF45" s="75">
        <f t="shared" ref="AF45:AF47" si="33">SUM(AD45/Z45)-1</f>
        <v>1.9808917197452227</v>
      </c>
    </row>
    <row r="46" spans="1:32" s="122" customFormat="1" ht="12.75" customHeight="1">
      <c r="B46" s="114" t="s">
        <v>184</v>
      </c>
      <c r="C46" s="123"/>
      <c r="D46" s="123">
        <v>2769</v>
      </c>
      <c r="E46" s="123">
        <v>7431</v>
      </c>
      <c r="F46" s="123">
        <v>5433</v>
      </c>
      <c r="G46" s="123">
        <v>6422</v>
      </c>
      <c r="H46" s="123"/>
      <c r="J46" s="82">
        <v>7495</v>
      </c>
      <c r="K46" s="82">
        <v>5547</v>
      </c>
      <c r="L46" s="82">
        <v>5066</v>
      </c>
      <c r="M46" s="32">
        <f t="shared" si="21"/>
        <v>5433</v>
      </c>
      <c r="N46" s="82">
        <v>5202</v>
      </c>
      <c r="O46" s="82">
        <v>5319</v>
      </c>
      <c r="P46" s="82">
        <v>6003</v>
      </c>
      <c r="Q46" s="32">
        <f t="shared" si="22"/>
        <v>6422</v>
      </c>
      <c r="R46" s="82">
        <v>6511</v>
      </c>
      <c r="S46" s="82">
        <v>6938</v>
      </c>
      <c r="T46" s="82">
        <v>6396</v>
      </c>
      <c r="U46" s="32">
        <f t="shared" si="23"/>
        <v>0</v>
      </c>
      <c r="W46" s="96">
        <f t="shared" ref="W46:W47" si="34">M46</f>
        <v>5433</v>
      </c>
      <c r="X46" s="96">
        <f t="shared" ref="X46:X47" si="35">N46</f>
        <v>5202</v>
      </c>
      <c r="Y46" s="96">
        <f t="shared" ref="Y46:Y47" si="36">O46</f>
        <v>5319</v>
      </c>
      <c r="Z46" s="96">
        <f t="shared" ref="Z46:Z47" si="37">P46</f>
        <v>6003</v>
      </c>
      <c r="AA46" s="96">
        <f t="shared" ref="AA46:AA47" si="38">Q46</f>
        <v>6422</v>
      </c>
      <c r="AB46" s="96">
        <f t="shared" ref="AB46:AB47" si="39">R46</f>
        <v>6511</v>
      </c>
      <c r="AC46" s="96">
        <f t="shared" ref="AC46:AC47" si="40">S46</f>
        <v>6938</v>
      </c>
      <c r="AD46" s="96">
        <f t="shared" ref="AD46:AD47" si="41">T46</f>
        <v>6396</v>
      </c>
      <c r="AE46" s="124"/>
      <c r="AF46" s="75">
        <f t="shared" si="33"/>
        <v>6.5467266366816546E-2</v>
      </c>
    </row>
    <row r="47" spans="1:32" s="122" customFormat="1" ht="12.75" customHeight="1">
      <c r="B47" s="114" t="s">
        <v>185</v>
      </c>
      <c r="C47" s="123"/>
      <c r="D47" s="123">
        <v>33418</v>
      </c>
      <c r="E47" s="123">
        <v>36264</v>
      </c>
      <c r="F47" s="123">
        <v>38935</v>
      </c>
      <c r="G47" s="123">
        <v>37671</v>
      </c>
      <c r="H47" s="123"/>
      <c r="J47" s="82">
        <v>35276</v>
      </c>
      <c r="K47" s="82">
        <v>33643</v>
      </c>
      <c r="L47" s="82">
        <v>34641</v>
      </c>
      <c r="M47" s="32">
        <f t="shared" si="21"/>
        <v>38935</v>
      </c>
      <c r="N47" s="82">
        <v>38353</v>
      </c>
      <c r="O47" s="82">
        <v>38727</v>
      </c>
      <c r="P47" s="82">
        <v>39182</v>
      </c>
      <c r="Q47" s="32">
        <f t="shared" si="22"/>
        <v>37671</v>
      </c>
      <c r="R47" s="82">
        <v>39205</v>
      </c>
      <c r="S47" s="82">
        <v>38923</v>
      </c>
      <c r="T47" s="82">
        <v>38668</v>
      </c>
      <c r="U47" s="32">
        <f t="shared" si="23"/>
        <v>0</v>
      </c>
      <c r="W47" s="96">
        <f t="shared" si="34"/>
        <v>38935</v>
      </c>
      <c r="X47" s="96">
        <f t="shared" si="35"/>
        <v>38353</v>
      </c>
      <c r="Y47" s="96">
        <f t="shared" si="36"/>
        <v>38727</v>
      </c>
      <c r="Z47" s="96">
        <f t="shared" si="37"/>
        <v>39182</v>
      </c>
      <c r="AA47" s="96">
        <f t="shared" si="38"/>
        <v>37671</v>
      </c>
      <c r="AB47" s="96">
        <f t="shared" si="39"/>
        <v>39205</v>
      </c>
      <c r="AC47" s="96">
        <f t="shared" si="40"/>
        <v>38923</v>
      </c>
      <c r="AD47" s="96">
        <f t="shared" si="41"/>
        <v>38668</v>
      </c>
      <c r="AE47" s="124"/>
      <c r="AF47" s="75">
        <f t="shared" si="33"/>
        <v>-1.3118268592721138E-2</v>
      </c>
    </row>
    <row r="48" spans="1:32" s="122" customFormat="1" ht="12.75" customHeight="1">
      <c r="B48" s="114" t="s">
        <v>186</v>
      </c>
      <c r="C48" s="123"/>
      <c r="D48" s="123">
        <v>1148</v>
      </c>
      <c r="E48" s="123">
        <v>1898</v>
      </c>
      <c r="F48" s="123">
        <v>2509</v>
      </c>
      <c r="G48" s="123">
        <v>4651</v>
      </c>
      <c r="H48" s="123"/>
      <c r="J48" s="82">
        <v>2162</v>
      </c>
      <c r="K48" s="82">
        <v>2202</v>
      </c>
      <c r="L48" s="82">
        <v>2228</v>
      </c>
      <c r="M48" s="32">
        <f t="shared" si="21"/>
        <v>2509</v>
      </c>
      <c r="N48" s="82">
        <v>4418</v>
      </c>
      <c r="O48" s="82">
        <v>3954</v>
      </c>
      <c r="P48" s="82">
        <v>4060</v>
      </c>
      <c r="Q48" s="32">
        <f t="shared" si="22"/>
        <v>4651</v>
      </c>
      <c r="R48" s="82">
        <v>1888</v>
      </c>
      <c r="S48" s="82">
        <v>2094</v>
      </c>
      <c r="T48" s="82">
        <v>1980</v>
      </c>
      <c r="U48" s="32">
        <f t="shared" si="23"/>
        <v>0</v>
      </c>
      <c r="W48" s="96">
        <f>M48</f>
        <v>2509</v>
      </c>
      <c r="X48" s="96">
        <f>N48</f>
        <v>4418</v>
      </c>
      <c r="Y48" s="96">
        <f>O48</f>
        <v>3954</v>
      </c>
      <c r="Z48" s="96">
        <f>P48</f>
        <v>4060</v>
      </c>
      <c r="AA48" s="96">
        <f>Q48</f>
        <v>4651</v>
      </c>
      <c r="AB48" s="96">
        <f>R48</f>
        <v>1888</v>
      </c>
      <c r="AC48" s="96">
        <f>S48</f>
        <v>2094</v>
      </c>
      <c r="AD48" s="96">
        <f>T48</f>
        <v>1980</v>
      </c>
      <c r="AE48" s="124"/>
      <c r="AF48" s="75">
        <f t="shared" ref="AF48" si="42">SUM(AD48/Z48)-1</f>
        <v>-0.51231527093596063</v>
      </c>
    </row>
    <row r="49" spans="2:32" ht="12.75" customHeight="1">
      <c r="B49" s="25" t="s">
        <v>18</v>
      </c>
      <c r="C49" s="26">
        <f>SUM(C42:C48)</f>
        <v>0</v>
      </c>
      <c r="D49" s="26">
        <f>SUM(D42:D48)</f>
        <v>50995</v>
      </c>
      <c r="E49" s="26">
        <f>SUM(E42:E48)</f>
        <v>57424</v>
      </c>
      <c r="F49" s="26">
        <f>SUM(F42:F48)</f>
        <v>62569</v>
      </c>
      <c r="G49" s="26">
        <f>SUM(G42:G48)</f>
        <v>61092</v>
      </c>
      <c r="H49" s="26">
        <f>SUM(H42:H48)</f>
        <v>0</v>
      </c>
      <c r="I49" s="48"/>
      <c r="J49" s="26">
        <f>SUM(J42:J48)</f>
        <v>56560</v>
      </c>
      <c r="K49" s="26">
        <f>SUM(K42:K48)</f>
        <v>54125</v>
      </c>
      <c r="L49" s="26">
        <f>SUM(L42:L48)</f>
        <v>56635</v>
      </c>
      <c r="M49" s="26">
        <f>SUM(M42:M48)</f>
        <v>62569</v>
      </c>
      <c r="N49" s="26">
        <f>SUM(N42:N48)</f>
        <v>63706</v>
      </c>
      <c r="O49" s="26">
        <f>SUM(O42:O48)</f>
        <v>62972</v>
      </c>
      <c r="P49" s="26">
        <f>SUM(P42:P48)</f>
        <v>62673</v>
      </c>
      <c r="Q49" s="26">
        <f>SUM(Q42:Q48)</f>
        <v>61092</v>
      </c>
      <c r="R49" s="26">
        <f>SUM(R42:R48)</f>
        <v>60611</v>
      </c>
      <c r="S49" s="26">
        <f>SUM(S42:S48)</f>
        <v>59879</v>
      </c>
      <c r="T49" s="26">
        <f>SUM(T42:T48)</f>
        <v>60176</v>
      </c>
      <c r="U49" s="26">
        <f>SUM(U42:U48)</f>
        <v>0</v>
      </c>
      <c r="V49" s="48"/>
      <c r="W49" s="26">
        <f>SUM(W42:W48)</f>
        <v>62569</v>
      </c>
      <c r="X49" s="26">
        <f>SUM(X42:X48)</f>
        <v>63706</v>
      </c>
      <c r="Y49" s="26">
        <f>SUM(Y42:Y48)</f>
        <v>62972</v>
      </c>
      <c r="Z49" s="26">
        <f>SUM(Z42:Z48)</f>
        <v>62673</v>
      </c>
      <c r="AA49" s="26">
        <f>SUM(AA42:AA48)</f>
        <v>61092</v>
      </c>
      <c r="AB49" s="26">
        <f>SUM(AB42:AB48)</f>
        <v>60611</v>
      </c>
      <c r="AC49" s="26">
        <f>SUM(AC42:AC48)</f>
        <v>59879</v>
      </c>
      <c r="AD49" s="26">
        <f>SUM(AD42:AD48)</f>
        <v>60176</v>
      </c>
      <c r="AE49" s="42"/>
      <c r="AF49" s="76">
        <f>SUM(AD49/Z49)-1</f>
        <v>-3.9841718124232095E-2</v>
      </c>
    </row>
    <row r="50" spans="2:32" ht="5.0999999999999996" customHeight="1">
      <c r="B50" s="25"/>
      <c r="C50" s="49"/>
      <c r="D50" s="49"/>
      <c r="E50" s="49"/>
      <c r="F50" s="41"/>
      <c r="G50" s="41"/>
      <c r="H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W50" s="42"/>
      <c r="X50" s="42"/>
      <c r="Y50" s="42"/>
      <c r="Z50" s="42"/>
      <c r="AA50" s="42"/>
      <c r="AB50" s="42"/>
      <c r="AC50" s="42"/>
      <c r="AD50" s="42"/>
      <c r="AE50" s="42"/>
      <c r="AF50" s="39"/>
    </row>
    <row r="51" spans="2:32" ht="12.75" customHeight="1">
      <c r="B51" s="78" t="s">
        <v>79</v>
      </c>
      <c r="C51" s="82"/>
      <c r="D51" s="82"/>
      <c r="E51" s="82"/>
      <c r="F51" s="82"/>
      <c r="G51" s="82"/>
      <c r="H51" s="82"/>
      <c r="J51" s="82"/>
      <c r="K51" s="82"/>
      <c r="L51" s="82"/>
      <c r="M51" s="82"/>
      <c r="N51" s="82"/>
      <c r="O51" s="82"/>
      <c r="P51" s="82"/>
      <c r="Q51" s="82"/>
      <c r="R51" s="32"/>
      <c r="S51" s="82"/>
      <c r="T51" s="82"/>
      <c r="U51" s="82"/>
      <c r="W51" s="32"/>
      <c r="X51" s="32"/>
      <c r="Y51" s="32"/>
      <c r="Z51" s="32"/>
      <c r="AA51" s="32"/>
      <c r="AB51" s="32"/>
      <c r="AC51" s="32"/>
      <c r="AD51" s="32"/>
      <c r="AE51" s="11"/>
      <c r="AF51" s="75"/>
    </row>
    <row r="52" spans="2:32" ht="12.75" customHeight="1">
      <c r="B52" s="9" t="s">
        <v>166</v>
      </c>
      <c r="C52" s="82"/>
      <c r="D52" s="82">
        <v>6089</v>
      </c>
      <c r="E52" s="82">
        <v>5018</v>
      </c>
      <c r="F52" s="82">
        <v>3273</v>
      </c>
      <c r="G52" s="82">
        <v>4583</v>
      </c>
      <c r="H52" s="82"/>
      <c r="J52" s="82">
        <v>4632</v>
      </c>
      <c r="K52" s="82">
        <v>4543</v>
      </c>
      <c r="L52" s="82">
        <v>3855</v>
      </c>
      <c r="M52" s="32">
        <f t="shared" ref="M52:M56" si="43">F52</f>
        <v>3273</v>
      </c>
      <c r="N52" s="82">
        <v>3409</v>
      </c>
      <c r="O52" s="82">
        <v>4653</v>
      </c>
      <c r="P52" s="82">
        <v>4282</v>
      </c>
      <c r="Q52" s="32">
        <f t="shared" ref="Q52:Q56" si="44">G52</f>
        <v>4583</v>
      </c>
      <c r="R52" s="82">
        <v>4613</v>
      </c>
      <c r="S52" s="82">
        <v>3645</v>
      </c>
      <c r="T52" s="82">
        <v>3601</v>
      </c>
      <c r="U52" s="32">
        <f t="shared" ref="U52:U56" si="45">H52</f>
        <v>0</v>
      </c>
      <c r="W52" s="32">
        <f>M52</f>
        <v>3273</v>
      </c>
      <c r="X52" s="32">
        <f>N52</f>
        <v>3409</v>
      </c>
      <c r="Y52" s="32">
        <f>O52</f>
        <v>4653</v>
      </c>
      <c r="Z52" s="32">
        <f>P52</f>
        <v>4282</v>
      </c>
      <c r="AA52" s="32">
        <f>Q52</f>
        <v>4583</v>
      </c>
      <c r="AB52" s="32">
        <f>R52</f>
        <v>4613</v>
      </c>
      <c r="AC52" s="32">
        <f>S52</f>
        <v>3645</v>
      </c>
      <c r="AD52" s="32">
        <f>T52</f>
        <v>3601</v>
      </c>
      <c r="AE52" s="11"/>
      <c r="AF52" s="75">
        <f t="shared" ref="AF52:AF57" si="46">SUM(AD52/Z52)-1</f>
        <v>-0.15903783278841666</v>
      </c>
    </row>
    <row r="53" spans="2:32" ht="12.75" customHeight="1">
      <c r="B53" s="9" t="s">
        <v>152</v>
      </c>
      <c r="C53" s="82"/>
      <c r="D53" s="82">
        <v>1807</v>
      </c>
      <c r="E53" s="82">
        <v>1730</v>
      </c>
      <c r="F53" s="82">
        <v>1488</v>
      </c>
      <c r="G53" s="82">
        <v>1508</v>
      </c>
      <c r="H53" s="82"/>
      <c r="J53" s="82">
        <v>1633</v>
      </c>
      <c r="K53" s="82">
        <v>1589</v>
      </c>
      <c r="L53" s="82">
        <v>1529</v>
      </c>
      <c r="M53" s="32">
        <f t="shared" si="43"/>
        <v>1488</v>
      </c>
      <c r="N53" s="82">
        <v>1426</v>
      </c>
      <c r="O53" s="82">
        <v>1459</v>
      </c>
      <c r="P53" s="82">
        <v>1496</v>
      </c>
      <c r="Q53" s="32">
        <f t="shared" si="44"/>
        <v>1508</v>
      </c>
      <c r="R53" s="82">
        <v>1537</v>
      </c>
      <c r="S53" s="82">
        <v>1625</v>
      </c>
      <c r="T53" s="82">
        <v>1656</v>
      </c>
      <c r="U53" s="32">
        <f t="shared" si="45"/>
        <v>0</v>
      </c>
      <c r="W53" s="32">
        <f>M53</f>
        <v>1488</v>
      </c>
      <c r="X53" s="32">
        <f>N53</f>
        <v>1426</v>
      </c>
      <c r="Y53" s="32">
        <f>O53</f>
        <v>1459</v>
      </c>
      <c r="Z53" s="32">
        <f>P53</f>
        <v>1496</v>
      </c>
      <c r="AA53" s="32">
        <f>Q53</f>
        <v>1508</v>
      </c>
      <c r="AB53" s="32">
        <f>R53</f>
        <v>1537</v>
      </c>
      <c r="AC53" s="32">
        <f>S53</f>
        <v>1625</v>
      </c>
      <c r="AD53" s="32">
        <f>T53</f>
        <v>1656</v>
      </c>
      <c r="AE53" s="11"/>
      <c r="AF53" s="75">
        <f t="shared" si="46"/>
        <v>0.10695187165775399</v>
      </c>
    </row>
    <row r="54" spans="2:32" ht="12.75" customHeight="1">
      <c r="B54" s="9" t="s">
        <v>107</v>
      </c>
      <c r="C54" s="82"/>
      <c r="D54" s="82">
        <v>9135</v>
      </c>
      <c r="E54" s="82">
        <v>11209</v>
      </c>
      <c r="F54" s="82">
        <v>11026</v>
      </c>
      <c r="G54" s="82">
        <v>10837</v>
      </c>
      <c r="H54" s="82"/>
      <c r="J54" s="82">
        <v>11195</v>
      </c>
      <c r="K54" s="82">
        <v>11067</v>
      </c>
      <c r="L54" s="82">
        <v>10935</v>
      </c>
      <c r="M54" s="32">
        <f t="shared" si="43"/>
        <v>11026</v>
      </c>
      <c r="N54" s="82">
        <v>10916</v>
      </c>
      <c r="O54" s="82">
        <v>10816</v>
      </c>
      <c r="P54" s="82">
        <v>10996</v>
      </c>
      <c r="Q54" s="32">
        <f t="shared" si="44"/>
        <v>10837</v>
      </c>
      <c r="R54" s="82">
        <v>10910</v>
      </c>
      <c r="S54" s="82">
        <v>10976</v>
      </c>
      <c r="T54" s="82">
        <v>10941</v>
      </c>
      <c r="U54" s="32">
        <f t="shared" si="45"/>
        <v>0</v>
      </c>
      <c r="W54" s="32">
        <f>M54</f>
        <v>11026</v>
      </c>
      <c r="X54" s="32">
        <f>N54</f>
        <v>10916</v>
      </c>
      <c r="Y54" s="32">
        <f>O54</f>
        <v>10816</v>
      </c>
      <c r="Z54" s="32">
        <f>P54</f>
        <v>10996</v>
      </c>
      <c r="AA54" s="32">
        <f>Q54</f>
        <v>10837</v>
      </c>
      <c r="AB54" s="32">
        <f>R54</f>
        <v>10910</v>
      </c>
      <c r="AC54" s="32">
        <f>S54</f>
        <v>10976</v>
      </c>
      <c r="AD54" s="32">
        <f>T54</f>
        <v>10941</v>
      </c>
      <c r="AE54" s="11"/>
      <c r="AF54" s="75">
        <f t="shared" ref="AF54:AF55" si="47">SUM(AD54/Z54)-1</f>
        <v>-5.0018188432157107E-3</v>
      </c>
    </row>
    <row r="55" spans="2:32" ht="12.75" customHeight="1">
      <c r="B55" s="9" t="s">
        <v>187</v>
      </c>
      <c r="C55" s="82"/>
      <c r="D55" s="82">
        <v>1048</v>
      </c>
      <c r="E55" s="82">
        <v>788</v>
      </c>
      <c r="F55" s="82">
        <v>537</v>
      </c>
      <c r="G55" s="82">
        <v>326</v>
      </c>
      <c r="H55" s="82"/>
      <c r="J55" s="82">
        <v>730</v>
      </c>
      <c r="K55" s="82">
        <v>640</v>
      </c>
      <c r="L55" s="82">
        <v>564</v>
      </c>
      <c r="M55" s="32">
        <f t="shared" si="43"/>
        <v>537</v>
      </c>
      <c r="N55" s="82">
        <v>465</v>
      </c>
      <c r="O55" s="82">
        <v>403</v>
      </c>
      <c r="P55" s="82">
        <v>393</v>
      </c>
      <c r="Q55" s="32">
        <f t="shared" si="44"/>
        <v>326</v>
      </c>
      <c r="R55" s="82">
        <v>296</v>
      </c>
      <c r="S55" s="82">
        <v>271</v>
      </c>
      <c r="T55" s="82">
        <v>226</v>
      </c>
      <c r="U55" s="32">
        <f t="shared" si="45"/>
        <v>0</v>
      </c>
      <c r="W55" s="32">
        <f>M55</f>
        <v>537</v>
      </c>
      <c r="X55" s="32">
        <f>N55</f>
        <v>465</v>
      </c>
      <c r="Y55" s="32">
        <f>O55</f>
        <v>403</v>
      </c>
      <c r="Z55" s="32">
        <f>P55</f>
        <v>393</v>
      </c>
      <c r="AA55" s="32">
        <f>Q55</f>
        <v>326</v>
      </c>
      <c r="AB55" s="32">
        <f>R55</f>
        <v>296</v>
      </c>
      <c r="AC55" s="32">
        <f>S55</f>
        <v>271</v>
      </c>
      <c r="AD55" s="32">
        <f>T55</f>
        <v>226</v>
      </c>
      <c r="AE55" s="11"/>
      <c r="AF55" s="75">
        <f t="shared" si="47"/>
        <v>-0.4249363867684478</v>
      </c>
    </row>
    <row r="56" spans="2:32" ht="12.75" customHeight="1">
      <c r="B56" s="9" t="s">
        <v>167</v>
      </c>
      <c r="C56" s="82"/>
      <c r="D56" s="82">
        <v>1305</v>
      </c>
      <c r="E56" s="82">
        <v>2455</v>
      </c>
      <c r="F56" s="82">
        <v>3273</v>
      </c>
      <c r="G56" s="82">
        <v>3265</v>
      </c>
      <c r="H56" s="82"/>
      <c r="J56" s="82">
        <v>2436</v>
      </c>
      <c r="K56" s="82">
        <v>2615</v>
      </c>
      <c r="L56" s="82">
        <v>2922</v>
      </c>
      <c r="M56" s="32">
        <f t="shared" si="43"/>
        <v>3273</v>
      </c>
      <c r="N56" s="82">
        <v>3425</v>
      </c>
      <c r="O56" s="82">
        <v>3713</v>
      </c>
      <c r="P56" s="82">
        <v>3671</v>
      </c>
      <c r="Q56" s="32">
        <f t="shared" si="44"/>
        <v>3265</v>
      </c>
      <c r="R56" s="82">
        <v>3307</v>
      </c>
      <c r="S56" s="82">
        <v>3381</v>
      </c>
      <c r="T56" s="82">
        <v>3201</v>
      </c>
      <c r="U56" s="32">
        <f t="shared" si="45"/>
        <v>0</v>
      </c>
      <c r="W56" s="32">
        <f>M56</f>
        <v>3273</v>
      </c>
      <c r="X56" s="32">
        <f>N56</f>
        <v>3425</v>
      </c>
      <c r="Y56" s="32">
        <f>O56</f>
        <v>3713</v>
      </c>
      <c r="Z56" s="32">
        <f>P56</f>
        <v>3671</v>
      </c>
      <c r="AA56" s="32">
        <f>Q56</f>
        <v>3265</v>
      </c>
      <c r="AB56" s="32">
        <f>R56</f>
        <v>3307</v>
      </c>
      <c r="AC56" s="32">
        <f>S56</f>
        <v>3381</v>
      </c>
      <c r="AD56" s="32">
        <f>T56</f>
        <v>3201</v>
      </c>
      <c r="AE56" s="11"/>
      <c r="AF56" s="75">
        <f t="shared" si="46"/>
        <v>-0.12803050939798422</v>
      </c>
    </row>
    <row r="57" spans="2:32" ht="12.75" customHeight="1">
      <c r="B57" s="13" t="s">
        <v>19</v>
      </c>
      <c r="C57" s="14">
        <f>SUM(C52:C56)+C49</f>
        <v>0</v>
      </c>
      <c r="D57" s="14">
        <f>SUM(D52:D56)+D49</f>
        <v>70379</v>
      </c>
      <c r="E57" s="14">
        <f>SUM(E52:E56)+E49</f>
        <v>78624</v>
      </c>
      <c r="F57" s="14">
        <f>SUM(F52:F56)+F49</f>
        <v>82166</v>
      </c>
      <c r="G57" s="14">
        <f>SUM(G52:G56)+G49</f>
        <v>81611</v>
      </c>
      <c r="H57" s="14">
        <f>SUM(H52:H56)+H49</f>
        <v>0</v>
      </c>
      <c r="J57" s="14">
        <f>SUM(J52:J56)+J49</f>
        <v>77186</v>
      </c>
      <c r="K57" s="14">
        <f>SUM(K52:K56)+K49</f>
        <v>74579</v>
      </c>
      <c r="L57" s="14">
        <f>SUM(L52:L56)+L49</f>
        <v>76440</v>
      </c>
      <c r="M57" s="14">
        <f>SUM(M52:M56)+M49</f>
        <v>82166</v>
      </c>
      <c r="N57" s="14">
        <f>SUM(N52:N56)+N49</f>
        <v>83347</v>
      </c>
      <c r="O57" s="14">
        <f>SUM(O52:O56)+O49</f>
        <v>84016</v>
      </c>
      <c r="P57" s="14">
        <f>SUM(P52:P56)+P49</f>
        <v>83511</v>
      </c>
      <c r="Q57" s="14">
        <f>SUM(Q52:Q56)+Q49</f>
        <v>81611</v>
      </c>
      <c r="R57" s="14">
        <f>SUM(R52:R56)+R49</f>
        <v>81274</v>
      </c>
      <c r="S57" s="14">
        <f>SUM(S52:S56)+S49</f>
        <v>79777</v>
      </c>
      <c r="T57" s="14">
        <f>SUM(T52:T56)+T49</f>
        <v>79801</v>
      </c>
      <c r="U57" s="14">
        <f>SUM(U52:U56)+U49</f>
        <v>0</v>
      </c>
      <c r="W57" s="14">
        <f>SUM(W52:W56)+W49</f>
        <v>82166</v>
      </c>
      <c r="X57" s="14">
        <f>SUM(X52:X56)+X49</f>
        <v>83347</v>
      </c>
      <c r="Y57" s="14">
        <f>SUM(Y52:Y56)+Y49</f>
        <v>84016</v>
      </c>
      <c r="Z57" s="14">
        <f>SUM(Z52:Z56)+Z49</f>
        <v>83511</v>
      </c>
      <c r="AA57" s="14">
        <f>SUM(AA52:AA56)+AA49</f>
        <v>81611</v>
      </c>
      <c r="AB57" s="14">
        <f>SUM(AB52:AB56)+AB49</f>
        <v>81274</v>
      </c>
      <c r="AC57" s="14">
        <f>SUM(AC52:AC56)+AC49</f>
        <v>79777</v>
      </c>
      <c r="AD57" s="34">
        <f>SUM(AD52:AD56)+AD49</f>
        <v>79801</v>
      </c>
      <c r="AE57" s="42"/>
      <c r="AF57" s="76">
        <f t="shared" si="46"/>
        <v>-4.4425285291757932E-2</v>
      </c>
    </row>
    <row r="58" spans="2:32" ht="12.75" customHeight="1">
      <c r="B58" s="25"/>
      <c r="C58" s="50"/>
      <c r="D58" s="50"/>
      <c r="E58" s="50"/>
      <c r="F58" s="41"/>
      <c r="G58" s="41"/>
      <c r="H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W58" s="42"/>
      <c r="X58" s="42"/>
      <c r="Y58" s="42"/>
      <c r="Z58" s="42"/>
      <c r="AA58" s="42"/>
      <c r="AB58" s="42"/>
      <c r="AC58" s="42"/>
      <c r="AD58" s="42"/>
      <c r="AE58" s="42"/>
      <c r="AF58" s="39"/>
    </row>
    <row r="59" spans="2:32" ht="12.75" customHeight="1">
      <c r="B59" s="78" t="s">
        <v>45</v>
      </c>
      <c r="C59" s="50"/>
      <c r="D59" s="50"/>
      <c r="E59" s="50"/>
      <c r="F59" s="41"/>
      <c r="G59" s="41"/>
      <c r="H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W59" s="42"/>
      <c r="X59" s="42"/>
      <c r="Y59" s="42"/>
      <c r="Z59" s="42"/>
      <c r="AA59" s="42"/>
      <c r="AB59" s="42"/>
      <c r="AC59" s="42"/>
      <c r="AD59" s="42"/>
      <c r="AE59" s="42"/>
      <c r="AF59" s="39"/>
    </row>
    <row r="60" spans="2:32" ht="12.75" customHeight="1">
      <c r="B60" s="120" t="s">
        <v>188</v>
      </c>
      <c r="C60" s="121"/>
      <c r="D60" s="121">
        <v>252</v>
      </c>
      <c r="E60" s="121">
        <v>126</v>
      </c>
      <c r="F60" s="121">
        <v>139</v>
      </c>
      <c r="G60" s="121">
        <v>227</v>
      </c>
      <c r="H60" s="121"/>
      <c r="J60" s="82">
        <v>142</v>
      </c>
      <c r="K60" s="82">
        <v>137</v>
      </c>
      <c r="L60" s="82">
        <v>131</v>
      </c>
      <c r="M60" s="32">
        <f t="shared" ref="M60:M62" si="48">F60</f>
        <v>139</v>
      </c>
      <c r="N60" s="82">
        <v>108</v>
      </c>
      <c r="O60" s="82">
        <v>133</v>
      </c>
      <c r="P60" s="82">
        <v>165</v>
      </c>
      <c r="Q60" s="32">
        <f t="shared" ref="Q60:Q62" si="49">G60</f>
        <v>227</v>
      </c>
      <c r="R60" s="82">
        <v>175</v>
      </c>
      <c r="S60" s="82">
        <v>221</v>
      </c>
      <c r="T60" s="82">
        <v>208</v>
      </c>
      <c r="U60" s="32">
        <f t="shared" ref="U60:U62" si="50">H60</f>
        <v>0</v>
      </c>
      <c r="W60" s="97">
        <f>M60</f>
        <v>139</v>
      </c>
      <c r="X60" s="97">
        <f>N60</f>
        <v>108</v>
      </c>
      <c r="Y60" s="97">
        <f>O60</f>
        <v>133</v>
      </c>
      <c r="Z60" s="97">
        <f>P60</f>
        <v>165</v>
      </c>
      <c r="AA60" s="97">
        <f>Q60</f>
        <v>227</v>
      </c>
      <c r="AB60" s="97">
        <f>R60</f>
        <v>175</v>
      </c>
      <c r="AC60" s="97">
        <f>S60</f>
        <v>221</v>
      </c>
      <c r="AD60" s="97">
        <f>T60</f>
        <v>208</v>
      </c>
      <c r="AE60" s="11"/>
      <c r="AF60" s="75">
        <f t="shared" ref="AF60:AF63" si="51">SUM(AD60/Z60)-1</f>
        <v>0.26060606060606051</v>
      </c>
    </row>
    <row r="61" spans="2:32" ht="12.75" customHeight="1">
      <c r="B61" s="120" t="s">
        <v>189</v>
      </c>
      <c r="C61" s="121"/>
      <c r="D61" s="121">
        <v>35418</v>
      </c>
      <c r="E61" s="121">
        <v>40014</v>
      </c>
      <c r="F61" s="121">
        <v>41935</v>
      </c>
      <c r="G61" s="121">
        <v>39671</v>
      </c>
      <c r="H61" s="121"/>
      <c r="J61" s="82">
        <v>39026</v>
      </c>
      <c r="K61" s="82">
        <v>37393</v>
      </c>
      <c r="L61" s="82">
        <v>38641</v>
      </c>
      <c r="M61" s="32">
        <f t="shared" si="48"/>
        <v>41935</v>
      </c>
      <c r="N61" s="82">
        <v>41353</v>
      </c>
      <c r="O61" s="82">
        <v>41727</v>
      </c>
      <c r="P61" s="82">
        <v>41182</v>
      </c>
      <c r="Q61" s="32">
        <f t="shared" si="49"/>
        <v>39671</v>
      </c>
      <c r="R61" s="82">
        <v>41205</v>
      </c>
      <c r="S61" s="82">
        <v>40923</v>
      </c>
      <c r="T61" s="82">
        <v>40668</v>
      </c>
      <c r="U61" s="32">
        <f t="shared" si="50"/>
        <v>0</v>
      </c>
      <c r="W61" s="97">
        <f t="shared" ref="W61:W62" si="52">M61</f>
        <v>41935</v>
      </c>
      <c r="X61" s="97">
        <f t="shared" ref="X61:X62" si="53">N61</f>
        <v>41353</v>
      </c>
      <c r="Y61" s="97">
        <f t="shared" ref="Y61:Y62" si="54">O61</f>
        <v>41727</v>
      </c>
      <c r="Z61" s="97">
        <f t="shared" ref="Z61:Z62" si="55">P61</f>
        <v>41182</v>
      </c>
      <c r="AA61" s="97">
        <f t="shared" ref="AA61:AA62" si="56">Q61</f>
        <v>39671</v>
      </c>
      <c r="AB61" s="97">
        <f t="shared" ref="AB61:AB62" si="57">R61</f>
        <v>41205</v>
      </c>
      <c r="AC61" s="97">
        <f t="shared" ref="AC61:AC62" si="58">S61</f>
        <v>40923</v>
      </c>
      <c r="AD61" s="97">
        <f t="shared" ref="AD61:AD62" si="59">T61</f>
        <v>40668</v>
      </c>
      <c r="AE61" s="11"/>
      <c r="AF61" s="75">
        <f t="shared" ref="AF61:AF62" si="60">SUM(AD61/Z61)-1</f>
        <v>-1.2481181098538241E-2</v>
      </c>
    </row>
    <row r="62" spans="2:32" ht="12.75" customHeight="1">
      <c r="B62" s="120" t="s">
        <v>190</v>
      </c>
      <c r="C62" s="121"/>
      <c r="D62" s="121">
        <v>2777</v>
      </c>
      <c r="E62" s="121">
        <v>4868</v>
      </c>
      <c r="F62" s="121">
        <v>6392</v>
      </c>
      <c r="G62" s="121">
        <v>8478</v>
      </c>
      <c r="H62" s="121"/>
      <c r="J62" s="82">
        <v>4741</v>
      </c>
      <c r="K62" s="82">
        <v>4224</v>
      </c>
      <c r="L62" s="82">
        <v>4670</v>
      </c>
      <c r="M62" s="32">
        <f t="shared" si="48"/>
        <v>6392</v>
      </c>
      <c r="N62" s="82">
        <v>8385</v>
      </c>
      <c r="O62" s="82">
        <v>8853</v>
      </c>
      <c r="P62" s="82">
        <v>8921</v>
      </c>
      <c r="Q62" s="32">
        <f t="shared" si="49"/>
        <v>8478</v>
      </c>
      <c r="R62" s="82">
        <v>5242</v>
      </c>
      <c r="S62" s="82">
        <v>3906</v>
      </c>
      <c r="T62" s="82">
        <v>4048</v>
      </c>
      <c r="U62" s="32">
        <f t="shared" si="50"/>
        <v>0</v>
      </c>
      <c r="W62" s="97">
        <f t="shared" si="52"/>
        <v>6392</v>
      </c>
      <c r="X62" s="97">
        <f t="shared" si="53"/>
        <v>8385</v>
      </c>
      <c r="Y62" s="97">
        <f t="shared" si="54"/>
        <v>8853</v>
      </c>
      <c r="Z62" s="97">
        <f t="shared" si="55"/>
        <v>8921</v>
      </c>
      <c r="AA62" s="97">
        <f t="shared" si="56"/>
        <v>8478</v>
      </c>
      <c r="AB62" s="97">
        <f t="shared" si="57"/>
        <v>5242</v>
      </c>
      <c r="AC62" s="97">
        <f t="shared" si="58"/>
        <v>3906</v>
      </c>
      <c r="AD62" s="97">
        <f t="shared" si="59"/>
        <v>4048</v>
      </c>
      <c r="AE62" s="11"/>
      <c r="AF62" s="75">
        <f t="shared" si="60"/>
        <v>-0.5462392108508014</v>
      </c>
    </row>
    <row r="63" spans="2:32" ht="12.75" customHeight="1">
      <c r="B63" s="25" t="s">
        <v>17</v>
      </c>
      <c r="C63" s="26">
        <f>SUM(C60:C62)</f>
        <v>0</v>
      </c>
      <c r="D63" s="26">
        <f>SUM(D60:D62)</f>
        <v>38447</v>
      </c>
      <c r="E63" s="26">
        <f>SUM(E60:E62)</f>
        <v>45008</v>
      </c>
      <c r="F63" s="26">
        <f>SUM(F60:F62)</f>
        <v>48466</v>
      </c>
      <c r="G63" s="26">
        <f>SUM(G60:G62)</f>
        <v>48376</v>
      </c>
      <c r="H63" s="26">
        <f>SUM(H60:H62)</f>
        <v>0</v>
      </c>
      <c r="J63" s="26">
        <f>SUM(J60:J62)</f>
        <v>43909</v>
      </c>
      <c r="K63" s="26">
        <f>SUM(K60:K62)</f>
        <v>41754</v>
      </c>
      <c r="L63" s="26">
        <f>SUM(L60:L62)</f>
        <v>43442</v>
      </c>
      <c r="M63" s="26">
        <f>SUM(M60:M62)</f>
        <v>48466</v>
      </c>
      <c r="N63" s="26">
        <f>SUM(N60:N62)</f>
        <v>49846</v>
      </c>
      <c r="O63" s="26">
        <f>SUM(O60:O62)</f>
        <v>50713</v>
      </c>
      <c r="P63" s="26">
        <f>SUM(P60:P62)</f>
        <v>50268</v>
      </c>
      <c r="Q63" s="26">
        <f>SUM(Q60:Q62)</f>
        <v>48376</v>
      </c>
      <c r="R63" s="26">
        <f>SUM(R60:R62)</f>
        <v>46622</v>
      </c>
      <c r="S63" s="26">
        <f>SUM(S60:S62)</f>
        <v>45050</v>
      </c>
      <c r="T63" s="26">
        <f>SUM(T60:T62)</f>
        <v>44924</v>
      </c>
      <c r="U63" s="26">
        <f>SUM(U60:U62)</f>
        <v>0</v>
      </c>
      <c r="V63" s="48"/>
      <c r="W63" s="26">
        <f>SUM(W60:W62)</f>
        <v>48466</v>
      </c>
      <c r="X63" s="26">
        <f>SUM(X60:X62)</f>
        <v>49846</v>
      </c>
      <c r="Y63" s="26">
        <f>SUM(Y60:Y62)</f>
        <v>50713</v>
      </c>
      <c r="Z63" s="26">
        <f>SUM(Z60:Z62)</f>
        <v>50268</v>
      </c>
      <c r="AA63" s="26">
        <f>SUM(AA60:AA62)</f>
        <v>48376</v>
      </c>
      <c r="AB63" s="26">
        <f>SUM(AB60:AB62)</f>
        <v>46622</v>
      </c>
      <c r="AC63" s="26">
        <f>SUM(AC60:AC62)</f>
        <v>45050</v>
      </c>
      <c r="AD63" s="26">
        <f>SUM(AD60:AD62)</f>
        <v>44924</v>
      </c>
      <c r="AE63" s="42"/>
      <c r="AF63" s="76">
        <f t="shared" si="51"/>
        <v>-0.10631017744887405</v>
      </c>
    </row>
    <row r="64" spans="2:32" ht="5.0999999999999996" customHeight="1">
      <c r="B64" s="25"/>
      <c r="C64" s="50"/>
      <c r="D64" s="50"/>
      <c r="E64" s="50"/>
      <c r="F64" s="41"/>
      <c r="G64" s="41"/>
      <c r="H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W64" s="42"/>
      <c r="X64" s="42"/>
      <c r="Y64" s="42"/>
      <c r="Z64" s="42"/>
      <c r="AA64" s="42"/>
      <c r="AB64" s="42"/>
      <c r="AC64" s="42"/>
      <c r="AD64" s="42"/>
      <c r="AE64" s="42"/>
      <c r="AF64" s="39"/>
    </row>
    <row r="65" spans="1:32">
      <c r="B65" s="78" t="s">
        <v>80</v>
      </c>
      <c r="C65" s="50"/>
      <c r="D65" s="50"/>
      <c r="E65" s="50"/>
      <c r="F65" s="41"/>
      <c r="G65" s="41"/>
      <c r="H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W65" s="42"/>
      <c r="X65" s="42"/>
      <c r="Y65" s="42"/>
      <c r="Z65" s="42"/>
      <c r="AA65" s="42"/>
      <c r="AB65" s="42"/>
      <c r="AC65" s="42"/>
      <c r="AD65" s="42"/>
      <c r="AE65" s="42"/>
      <c r="AF65" s="39"/>
    </row>
    <row r="66" spans="1:32" ht="12.75" customHeight="1">
      <c r="B66" s="120" t="s">
        <v>154</v>
      </c>
      <c r="C66" s="121"/>
      <c r="D66" s="121">
        <v>2930</v>
      </c>
      <c r="E66" s="121">
        <v>2925</v>
      </c>
      <c r="F66" s="121">
        <v>2973</v>
      </c>
      <c r="G66" s="121">
        <v>2939</v>
      </c>
      <c r="H66" s="121"/>
      <c r="I66" s="51"/>
      <c r="J66" s="82">
        <v>2938</v>
      </c>
      <c r="K66" s="82">
        <v>2615</v>
      </c>
      <c r="L66" s="82">
        <v>2618</v>
      </c>
      <c r="M66" s="32">
        <f t="shared" ref="M66:M67" si="61">F66</f>
        <v>2973</v>
      </c>
      <c r="N66" s="82">
        <v>3116</v>
      </c>
      <c r="O66" s="82">
        <v>2954</v>
      </c>
      <c r="P66" s="82">
        <v>3093</v>
      </c>
      <c r="Q66" s="32">
        <f t="shared" ref="Q66:Q67" si="62">G66</f>
        <v>2939</v>
      </c>
      <c r="R66" s="82">
        <v>2981</v>
      </c>
      <c r="S66" s="82">
        <v>3230</v>
      </c>
      <c r="T66" s="82">
        <v>3403</v>
      </c>
      <c r="U66" s="32">
        <f t="shared" ref="U66:U67" si="63">H66</f>
        <v>0</v>
      </c>
      <c r="V66" s="121"/>
      <c r="W66" s="97">
        <f>M66</f>
        <v>2973</v>
      </c>
      <c r="X66" s="97">
        <f>N66</f>
        <v>3116</v>
      </c>
      <c r="Y66" s="97">
        <f>O66</f>
        <v>2954</v>
      </c>
      <c r="Z66" s="97">
        <f>P66</f>
        <v>3093</v>
      </c>
      <c r="AA66" s="97">
        <f>Q66</f>
        <v>2939</v>
      </c>
      <c r="AB66" s="97">
        <f>R66</f>
        <v>2981</v>
      </c>
      <c r="AC66" s="97">
        <f>S66</f>
        <v>3230</v>
      </c>
      <c r="AD66" s="97">
        <f>T66</f>
        <v>3403</v>
      </c>
      <c r="AE66" s="42"/>
      <c r="AF66" s="75">
        <f t="shared" ref="AF66:AF75" si="64">SUM(AD66/Z66)-1</f>
        <v>0.10022631749110888</v>
      </c>
    </row>
    <row r="67" spans="1:32" ht="12.75" customHeight="1">
      <c r="B67" s="120" t="s">
        <v>153</v>
      </c>
      <c r="C67" s="121"/>
      <c r="D67" s="121">
        <v>8939</v>
      </c>
      <c r="E67" s="121">
        <v>10417</v>
      </c>
      <c r="F67" s="121">
        <v>9676</v>
      </c>
      <c r="G67" s="121">
        <v>9879</v>
      </c>
      <c r="H67" s="121"/>
      <c r="I67" s="51"/>
      <c r="J67" s="82">
        <v>10481</v>
      </c>
      <c r="K67" s="82">
        <v>10549</v>
      </c>
      <c r="L67" s="82">
        <v>10640</v>
      </c>
      <c r="M67" s="32">
        <f t="shared" si="61"/>
        <v>9676</v>
      </c>
      <c r="N67" s="82">
        <v>9683</v>
      </c>
      <c r="O67" s="82">
        <v>9727</v>
      </c>
      <c r="P67" s="82">
        <v>9976</v>
      </c>
      <c r="Q67" s="32">
        <f t="shared" si="62"/>
        <v>9879</v>
      </c>
      <c r="R67" s="82">
        <v>11417</v>
      </c>
      <c r="S67" s="82">
        <v>11296</v>
      </c>
      <c r="T67" s="82">
        <v>11276</v>
      </c>
      <c r="U67" s="32">
        <f t="shared" si="63"/>
        <v>0</v>
      </c>
      <c r="V67" s="121"/>
      <c r="W67" s="97">
        <f>M67</f>
        <v>9676</v>
      </c>
      <c r="X67" s="97">
        <f>N67</f>
        <v>9683</v>
      </c>
      <c r="Y67" s="97">
        <f>O67</f>
        <v>9727</v>
      </c>
      <c r="Z67" s="97">
        <f>P67</f>
        <v>9976</v>
      </c>
      <c r="AA67" s="97">
        <f>Q67</f>
        <v>9879</v>
      </c>
      <c r="AB67" s="97">
        <f>R67</f>
        <v>11417</v>
      </c>
      <c r="AC67" s="97">
        <f>S67</f>
        <v>11296</v>
      </c>
      <c r="AD67" s="97">
        <f>T67</f>
        <v>11276</v>
      </c>
      <c r="AE67" s="42"/>
      <c r="AF67" s="75">
        <f t="shared" ref="AF67" si="65">SUM(AD67/Z67)-1</f>
        <v>0.13031275060144343</v>
      </c>
    </row>
    <row r="68" spans="1:32" ht="12.75" customHeight="1">
      <c r="B68" s="13" t="s">
        <v>15</v>
      </c>
      <c r="C68" s="14">
        <f>SUM(C66:C67)+C63</f>
        <v>0</v>
      </c>
      <c r="D68" s="14">
        <f>SUM(D66:D67)+D63</f>
        <v>50316</v>
      </c>
      <c r="E68" s="14">
        <f>SUM(E66:E67)+E63</f>
        <v>58350</v>
      </c>
      <c r="F68" s="14">
        <f>SUM(F66:F67)+F63</f>
        <v>61115</v>
      </c>
      <c r="G68" s="14">
        <f>SUM(G66:G67)+G63</f>
        <v>61194</v>
      </c>
      <c r="H68" s="14">
        <f>SUM(H66:H67)+H63</f>
        <v>0</v>
      </c>
      <c r="J68" s="14">
        <f>SUM(J66:J67)+J63</f>
        <v>57328</v>
      </c>
      <c r="K68" s="14">
        <f>SUM(K66:K67)+K63</f>
        <v>54918</v>
      </c>
      <c r="L68" s="14">
        <f>SUM(L66:L67)+L63</f>
        <v>56700</v>
      </c>
      <c r="M68" s="14">
        <f>SUM(M66:M67)+M63</f>
        <v>61115</v>
      </c>
      <c r="N68" s="14">
        <f>SUM(N66:N67)+N63</f>
        <v>62645</v>
      </c>
      <c r="O68" s="14">
        <f>SUM(O66:O67)+O63</f>
        <v>63394</v>
      </c>
      <c r="P68" s="14">
        <f>SUM(P66:P67)+P63</f>
        <v>63337</v>
      </c>
      <c r="Q68" s="14">
        <f>SUM(Q66:Q67)+Q63</f>
        <v>61194</v>
      </c>
      <c r="R68" s="14">
        <f>SUM(R66:R67)+R63</f>
        <v>61020</v>
      </c>
      <c r="S68" s="14">
        <f>SUM(S66:S67)+S63</f>
        <v>59576</v>
      </c>
      <c r="T68" s="14">
        <f>SUM(T66:T67)+T63</f>
        <v>59603</v>
      </c>
      <c r="U68" s="14">
        <f>SUM(U66:U67)+U63</f>
        <v>0</v>
      </c>
      <c r="W68" s="14">
        <f>SUM(W66:W67)+W63</f>
        <v>61115</v>
      </c>
      <c r="X68" s="14">
        <f>SUM(X66:X67)+X63</f>
        <v>62645</v>
      </c>
      <c r="Y68" s="14">
        <f>SUM(Y66:Y67)+Y63</f>
        <v>63394</v>
      </c>
      <c r="Z68" s="14">
        <f>SUM(Z66:Z67)+Z63</f>
        <v>63337</v>
      </c>
      <c r="AA68" s="14">
        <f>SUM(AA66:AA67)+AA63</f>
        <v>61194</v>
      </c>
      <c r="AB68" s="14">
        <f>SUM(AB66:AB67)+AB63</f>
        <v>61020</v>
      </c>
      <c r="AC68" s="14">
        <f>SUM(AC66:AC67)+AC63</f>
        <v>59576</v>
      </c>
      <c r="AD68" s="14">
        <f>SUM(AD66:AD67)+AD63</f>
        <v>59603</v>
      </c>
      <c r="AE68" s="42"/>
      <c r="AF68" s="76">
        <f t="shared" si="64"/>
        <v>-5.8954481582645268E-2</v>
      </c>
    </row>
    <row r="69" spans="1:32" ht="5.0999999999999996" customHeight="1">
      <c r="B69" s="25"/>
      <c r="C69" s="49"/>
      <c r="D69" s="49"/>
      <c r="E69" s="49"/>
      <c r="F69" s="41"/>
      <c r="G69" s="41"/>
      <c r="H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W69" s="42"/>
      <c r="X69" s="42"/>
      <c r="Y69" s="42"/>
      <c r="Z69" s="42"/>
      <c r="AA69" s="42"/>
      <c r="AB69" s="42"/>
      <c r="AC69" s="42"/>
      <c r="AD69" s="42"/>
      <c r="AE69" s="42"/>
      <c r="AF69" s="39"/>
    </row>
    <row r="70" spans="1:32" ht="12.75" customHeight="1">
      <c r="B70" s="9" t="s">
        <v>156</v>
      </c>
      <c r="C70" s="82"/>
      <c r="D70" s="82">
        <v>20063</v>
      </c>
      <c r="E70" s="82">
        <v>20274</v>
      </c>
      <c r="F70" s="82">
        <v>21051</v>
      </c>
      <c r="G70" s="82">
        <v>20417</v>
      </c>
      <c r="H70" s="82"/>
      <c r="I70" s="32"/>
      <c r="J70" s="82">
        <v>19858</v>
      </c>
      <c r="K70" s="82">
        <v>19661</v>
      </c>
      <c r="L70" s="82">
        <v>19740</v>
      </c>
      <c r="M70" s="32">
        <f t="shared" ref="M70:M73" si="66">F70</f>
        <v>21051</v>
      </c>
      <c r="N70" s="82">
        <v>20702</v>
      </c>
      <c r="O70" s="82">
        <v>20622</v>
      </c>
      <c r="P70" s="82">
        <v>20174</v>
      </c>
      <c r="Q70" s="32">
        <f t="shared" ref="Q70:Q73" si="67">G70</f>
        <v>20417</v>
      </c>
      <c r="R70" s="82">
        <v>20254</v>
      </c>
      <c r="S70" s="82">
        <v>20201</v>
      </c>
      <c r="T70" s="82">
        <v>20198</v>
      </c>
      <c r="U70" s="32">
        <f t="shared" ref="U70:U73" si="68">H70</f>
        <v>0</v>
      </c>
      <c r="W70" s="32">
        <f>M70</f>
        <v>21051</v>
      </c>
      <c r="X70" s="32">
        <f>N70</f>
        <v>20702</v>
      </c>
      <c r="Y70" s="32">
        <f>O70</f>
        <v>20622</v>
      </c>
      <c r="Z70" s="32">
        <f>P70</f>
        <v>20174</v>
      </c>
      <c r="AA70" s="32">
        <f>Q70</f>
        <v>20417</v>
      </c>
      <c r="AB70" s="32">
        <f>R70</f>
        <v>20254</v>
      </c>
      <c r="AC70" s="32">
        <f>S70</f>
        <v>20201</v>
      </c>
      <c r="AD70" s="32">
        <f>T70</f>
        <v>20198</v>
      </c>
      <c r="AE70" s="11"/>
      <c r="AF70" s="75">
        <f t="shared" si="64"/>
        <v>1.1896500446118008E-3</v>
      </c>
    </row>
    <row r="71" spans="1:32" ht="12.75" customHeight="1">
      <c r="B71" s="9" t="s">
        <v>138</v>
      </c>
      <c r="C71" s="82"/>
      <c r="D71" s="82"/>
      <c r="E71" s="82"/>
      <c r="F71" s="82"/>
      <c r="G71" s="82"/>
      <c r="H71" s="82"/>
      <c r="I71" s="32"/>
      <c r="J71" s="82"/>
      <c r="K71" s="82"/>
      <c r="L71" s="82"/>
      <c r="M71" s="32">
        <f t="shared" si="66"/>
        <v>0</v>
      </c>
      <c r="N71" s="82"/>
      <c r="O71" s="82"/>
      <c r="P71" s="82"/>
      <c r="Q71" s="32">
        <f t="shared" si="67"/>
        <v>0</v>
      </c>
      <c r="R71" s="82"/>
      <c r="S71" s="82"/>
      <c r="T71" s="82"/>
      <c r="U71" s="32">
        <f t="shared" si="68"/>
        <v>0</v>
      </c>
      <c r="W71" s="32">
        <f t="shared" ref="W71:W73" si="69">M71</f>
        <v>0</v>
      </c>
      <c r="X71" s="32">
        <f t="shared" ref="X71:X73" si="70">N71</f>
        <v>0</v>
      </c>
      <c r="Y71" s="32">
        <f t="shared" ref="Y71:Y73" si="71">O71</f>
        <v>0</v>
      </c>
      <c r="Z71" s="32">
        <f t="shared" ref="Z71:Z73" si="72">P71</f>
        <v>0</v>
      </c>
      <c r="AA71" s="32">
        <f t="shared" ref="AA71:AA73" si="73">Q71</f>
        <v>0</v>
      </c>
      <c r="AB71" s="32">
        <f t="shared" ref="AB71:AB73" si="74">R71</f>
        <v>0</v>
      </c>
      <c r="AC71" s="32">
        <f t="shared" ref="AC71:AC73" si="75">S71</f>
        <v>0</v>
      </c>
      <c r="AD71" s="32">
        <f t="shared" ref="AD71:AD73" si="76">T71</f>
        <v>0</v>
      </c>
      <c r="AE71" s="11"/>
      <c r="AF71" s="75"/>
    </row>
    <row r="72" spans="1:32" ht="12.75" customHeight="1">
      <c r="B72" s="9" t="s">
        <v>157</v>
      </c>
      <c r="C72" s="82"/>
      <c r="D72" s="82"/>
      <c r="E72" s="82"/>
      <c r="F72" s="82"/>
      <c r="G72" s="82"/>
      <c r="H72" s="82"/>
      <c r="I72" s="32"/>
      <c r="J72" s="82"/>
      <c r="K72" s="82"/>
      <c r="L72" s="82"/>
      <c r="M72" s="32">
        <f t="shared" si="66"/>
        <v>0</v>
      </c>
      <c r="N72" s="82"/>
      <c r="O72" s="82"/>
      <c r="P72" s="82"/>
      <c r="Q72" s="32">
        <f t="shared" si="67"/>
        <v>0</v>
      </c>
      <c r="R72" s="82"/>
      <c r="S72" s="82"/>
      <c r="T72" s="82"/>
      <c r="U72" s="32">
        <f t="shared" si="68"/>
        <v>0</v>
      </c>
      <c r="W72" s="32">
        <f t="shared" si="69"/>
        <v>0</v>
      </c>
      <c r="X72" s="32">
        <f t="shared" si="70"/>
        <v>0</v>
      </c>
      <c r="Y72" s="32">
        <f t="shared" si="71"/>
        <v>0</v>
      </c>
      <c r="Z72" s="32">
        <f t="shared" si="72"/>
        <v>0</v>
      </c>
      <c r="AA72" s="32">
        <f t="shared" si="73"/>
        <v>0</v>
      </c>
      <c r="AB72" s="32">
        <f t="shared" si="74"/>
        <v>0</v>
      </c>
      <c r="AC72" s="32">
        <f t="shared" si="75"/>
        <v>0</v>
      </c>
      <c r="AD72" s="32">
        <f t="shared" si="76"/>
        <v>0</v>
      </c>
      <c r="AE72" s="11"/>
      <c r="AF72" s="75"/>
    </row>
    <row r="73" spans="1:32" ht="12.75" customHeight="1">
      <c r="B73" s="9" t="s">
        <v>138</v>
      </c>
      <c r="C73" s="82"/>
      <c r="D73" s="82"/>
      <c r="E73" s="82"/>
      <c r="F73" s="82"/>
      <c r="G73" s="82"/>
      <c r="H73" s="82"/>
      <c r="I73" s="32"/>
      <c r="J73" s="82"/>
      <c r="K73" s="82"/>
      <c r="L73" s="82"/>
      <c r="M73" s="32">
        <f t="shared" si="66"/>
        <v>0</v>
      </c>
      <c r="N73" s="82"/>
      <c r="O73" s="82"/>
      <c r="P73" s="82"/>
      <c r="Q73" s="32">
        <f t="shared" si="67"/>
        <v>0</v>
      </c>
      <c r="R73" s="82"/>
      <c r="S73" s="82"/>
      <c r="T73" s="82"/>
      <c r="U73" s="32">
        <f t="shared" si="68"/>
        <v>0</v>
      </c>
      <c r="W73" s="32">
        <f t="shared" si="69"/>
        <v>0</v>
      </c>
      <c r="X73" s="32">
        <f t="shared" si="70"/>
        <v>0</v>
      </c>
      <c r="Y73" s="32">
        <f t="shared" si="71"/>
        <v>0</v>
      </c>
      <c r="Z73" s="32">
        <f t="shared" si="72"/>
        <v>0</v>
      </c>
      <c r="AA73" s="32">
        <f t="shared" si="73"/>
        <v>0</v>
      </c>
      <c r="AB73" s="32">
        <f t="shared" si="74"/>
        <v>0</v>
      </c>
      <c r="AC73" s="32">
        <f t="shared" si="75"/>
        <v>0</v>
      </c>
      <c r="AD73" s="32">
        <f t="shared" si="76"/>
        <v>0</v>
      </c>
      <c r="AE73" s="11"/>
      <c r="AF73" s="75" t="e">
        <f t="shared" si="64"/>
        <v>#DIV/0!</v>
      </c>
    </row>
    <row r="74" spans="1:32" ht="12.75" customHeight="1">
      <c r="B74" s="13" t="s">
        <v>14</v>
      </c>
      <c r="C74" s="14">
        <f t="shared" ref="C74:H74" si="77">SUM(C70:C73)</f>
        <v>0</v>
      </c>
      <c r="D74" s="14">
        <f t="shared" si="77"/>
        <v>20063</v>
      </c>
      <c r="E74" s="14">
        <f t="shared" si="77"/>
        <v>20274</v>
      </c>
      <c r="F74" s="14">
        <f t="shared" si="77"/>
        <v>21051</v>
      </c>
      <c r="G74" s="14">
        <f t="shared" si="77"/>
        <v>20417</v>
      </c>
      <c r="H74" s="14">
        <f t="shared" si="77"/>
        <v>0</v>
      </c>
      <c r="I74" s="52"/>
      <c r="J74" s="14">
        <f t="shared" ref="J74:U74" si="78">SUM(J70:J73)</f>
        <v>19858</v>
      </c>
      <c r="K74" s="14">
        <f t="shared" si="78"/>
        <v>19661</v>
      </c>
      <c r="L74" s="14">
        <f t="shared" si="78"/>
        <v>19740</v>
      </c>
      <c r="M74" s="14">
        <f t="shared" si="78"/>
        <v>21051</v>
      </c>
      <c r="N74" s="14">
        <f t="shared" si="78"/>
        <v>20702</v>
      </c>
      <c r="O74" s="14">
        <f t="shared" si="78"/>
        <v>20622</v>
      </c>
      <c r="P74" s="14">
        <f t="shared" si="78"/>
        <v>20174</v>
      </c>
      <c r="Q74" s="14">
        <f t="shared" si="78"/>
        <v>20417</v>
      </c>
      <c r="R74" s="14">
        <f t="shared" si="78"/>
        <v>20254</v>
      </c>
      <c r="S74" s="14">
        <f t="shared" si="78"/>
        <v>20201</v>
      </c>
      <c r="T74" s="14">
        <f t="shared" si="78"/>
        <v>20198</v>
      </c>
      <c r="U74" s="14">
        <f t="shared" si="78"/>
        <v>0</v>
      </c>
      <c r="W74" s="14">
        <f t="shared" ref="W74:AD74" si="79">SUM(W70:W73)</f>
        <v>21051</v>
      </c>
      <c r="X74" s="14">
        <f t="shared" si="79"/>
        <v>20702</v>
      </c>
      <c r="Y74" s="14">
        <f t="shared" si="79"/>
        <v>20622</v>
      </c>
      <c r="Z74" s="14">
        <f t="shared" si="79"/>
        <v>20174</v>
      </c>
      <c r="AA74" s="14">
        <f t="shared" si="79"/>
        <v>20417</v>
      </c>
      <c r="AB74" s="14">
        <f t="shared" si="79"/>
        <v>20254</v>
      </c>
      <c r="AC74" s="14">
        <f t="shared" si="79"/>
        <v>20201</v>
      </c>
      <c r="AD74" s="14">
        <f t="shared" si="79"/>
        <v>20198</v>
      </c>
      <c r="AE74" s="42"/>
      <c r="AF74" s="75">
        <f t="shared" si="64"/>
        <v>1.1896500446118008E-3</v>
      </c>
    </row>
    <row r="75" spans="1:32" ht="12.75" customHeight="1">
      <c r="B75" s="25" t="s">
        <v>49</v>
      </c>
      <c r="C75" s="32">
        <f t="shared" ref="C75:H75" si="80">SUM(C74+C68)</f>
        <v>0</v>
      </c>
      <c r="D75" s="32">
        <f t="shared" si="80"/>
        <v>70379</v>
      </c>
      <c r="E75" s="32">
        <f t="shared" si="80"/>
        <v>78624</v>
      </c>
      <c r="F75" s="32">
        <f t="shared" si="80"/>
        <v>82166</v>
      </c>
      <c r="G75" s="32">
        <f t="shared" si="80"/>
        <v>81611</v>
      </c>
      <c r="H75" s="32">
        <f t="shared" si="80"/>
        <v>0</v>
      </c>
      <c r="I75" s="32"/>
      <c r="J75" s="32">
        <f t="shared" ref="J75:U75" si="81">SUM(J74+J68)</f>
        <v>77186</v>
      </c>
      <c r="K75" s="32">
        <f t="shared" si="81"/>
        <v>74579</v>
      </c>
      <c r="L75" s="32">
        <f t="shared" si="81"/>
        <v>76440</v>
      </c>
      <c r="M75" s="32">
        <f t="shared" si="81"/>
        <v>82166</v>
      </c>
      <c r="N75" s="32">
        <f t="shared" si="81"/>
        <v>83347</v>
      </c>
      <c r="O75" s="32">
        <f t="shared" si="81"/>
        <v>84016</v>
      </c>
      <c r="P75" s="32">
        <f t="shared" si="81"/>
        <v>83511</v>
      </c>
      <c r="Q75" s="32">
        <f t="shared" si="81"/>
        <v>81611</v>
      </c>
      <c r="R75" s="32">
        <f t="shared" si="81"/>
        <v>81274</v>
      </c>
      <c r="S75" s="32">
        <f t="shared" si="81"/>
        <v>79777</v>
      </c>
      <c r="T75" s="32">
        <f t="shared" si="81"/>
        <v>79801</v>
      </c>
      <c r="U75" s="32">
        <f t="shared" si="81"/>
        <v>0</v>
      </c>
      <c r="V75" s="32"/>
      <c r="W75" s="32">
        <f t="shared" ref="W75:AD75" si="82">SUM(W74+W68)</f>
        <v>82166</v>
      </c>
      <c r="X75" s="32">
        <f t="shared" si="82"/>
        <v>83347</v>
      </c>
      <c r="Y75" s="32">
        <f t="shared" si="82"/>
        <v>84016</v>
      </c>
      <c r="Z75" s="32">
        <f t="shared" si="82"/>
        <v>83511</v>
      </c>
      <c r="AA75" s="32">
        <f t="shared" si="82"/>
        <v>81611</v>
      </c>
      <c r="AB75" s="32">
        <f t="shared" si="82"/>
        <v>81274</v>
      </c>
      <c r="AC75" s="32">
        <f t="shared" si="82"/>
        <v>79777</v>
      </c>
      <c r="AD75" s="32">
        <f t="shared" si="82"/>
        <v>79801</v>
      </c>
      <c r="AE75" s="11"/>
      <c r="AF75" s="76">
        <f t="shared" si="64"/>
        <v>-4.4425285291757932E-2</v>
      </c>
    </row>
    <row r="76" spans="1:32" ht="5.0999999999999996" customHeight="1">
      <c r="B76" s="25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1"/>
    </row>
    <row r="77" spans="1:32" ht="12.75" customHeight="1">
      <c r="B77" s="139" t="s">
        <v>58</v>
      </c>
      <c r="C77" s="69">
        <f>C75-C57</f>
        <v>0</v>
      </c>
      <c r="D77" s="69">
        <f>D75-D57</f>
        <v>0</v>
      </c>
      <c r="E77" s="69">
        <f>E75-E57</f>
        <v>0</v>
      </c>
      <c r="F77" s="69">
        <f>F75-F57</f>
        <v>0</v>
      </c>
      <c r="G77" s="69">
        <f>G75-G57</f>
        <v>0</v>
      </c>
      <c r="H77" s="69">
        <f>H75-H57</f>
        <v>0</v>
      </c>
      <c r="I77" s="70"/>
      <c r="J77" s="69">
        <f>J75-J57</f>
        <v>0</v>
      </c>
      <c r="K77" s="69">
        <f>K75-K57</f>
        <v>0</v>
      </c>
      <c r="L77" s="69">
        <f>L75-L57</f>
        <v>0</v>
      </c>
      <c r="M77" s="69">
        <f>M75-M57</f>
        <v>0</v>
      </c>
      <c r="N77" s="69">
        <f>N75-N57</f>
        <v>0</v>
      </c>
      <c r="O77" s="69">
        <f>O75-O57</f>
        <v>0</v>
      </c>
      <c r="P77" s="69">
        <f>P75-P57</f>
        <v>0</v>
      </c>
      <c r="Q77" s="69">
        <f>Q75-Q57</f>
        <v>0</v>
      </c>
      <c r="R77" s="69">
        <f>R75-R57</f>
        <v>0</v>
      </c>
      <c r="S77" s="69">
        <f>S75-S57</f>
        <v>0</v>
      </c>
      <c r="T77" s="69">
        <f>T75-T57</f>
        <v>0</v>
      </c>
      <c r="U77" s="69">
        <f>U75-U57</f>
        <v>0</v>
      </c>
      <c r="V77" s="28"/>
      <c r="W77" s="69">
        <f>W75-W57</f>
        <v>0</v>
      </c>
      <c r="X77" s="69">
        <f>X75-X57</f>
        <v>0</v>
      </c>
      <c r="Y77" s="69">
        <f>Y75-Y57</f>
        <v>0</v>
      </c>
      <c r="Z77" s="69">
        <f>Z75-Z57</f>
        <v>0</v>
      </c>
      <c r="AA77" s="69">
        <f>AA75-AA57</f>
        <v>0</v>
      </c>
      <c r="AB77" s="69">
        <f>AB75-AB57</f>
        <v>0</v>
      </c>
      <c r="AC77" s="69">
        <f>AC75-AC57</f>
        <v>0</v>
      </c>
      <c r="AD77" s="69">
        <f>AD75-AD57</f>
        <v>0</v>
      </c>
    </row>
    <row r="78" spans="1:32" ht="5.0999999999999996" customHeight="1" thickBot="1">
      <c r="B78" s="116"/>
      <c r="C78" s="117"/>
      <c r="D78" s="117"/>
      <c r="E78" s="117"/>
      <c r="F78" s="117"/>
      <c r="G78" s="117"/>
      <c r="H78" s="117"/>
      <c r="I78" s="118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9"/>
      <c r="W78" s="117"/>
      <c r="X78" s="117"/>
      <c r="Y78" s="117"/>
      <c r="Z78" s="117"/>
      <c r="AA78" s="117"/>
      <c r="AB78" s="117"/>
      <c r="AC78" s="117"/>
      <c r="AD78" s="117"/>
      <c r="AE78" s="73"/>
      <c r="AF78" s="73"/>
    </row>
    <row r="79" spans="1:32">
      <c r="B79" s="68"/>
      <c r="C79" s="53"/>
      <c r="D79" s="53"/>
      <c r="E79" s="24"/>
      <c r="F79" s="24"/>
      <c r="G79" s="24"/>
      <c r="H79" s="24"/>
      <c r="I79" s="53"/>
    </row>
    <row r="80" spans="1:32" ht="12.75" customHeight="1">
      <c r="A80" s="5" t="s">
        <v>16</v>
      </c>
      <c r="B80" s="98" t="s">
        <v>13</v>
      </c>
      <c r="C80" s="102"/>
      <c r="D80" s="102"/>
      <c r="E80" s="102"/>
      <c r="F80" s="102"/>
      <c r="G80" s="102"/>
      <c r="H80" s="102"/>
      <c r="I80" s="103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98"/>
      <c r="W80" s="102"/>
      <c r="X80" s="102"/>
      <c r="Y80" s="102" t="s">
        <v>10</v>
      </c>
      <c r="Z80" s="102"/>
      <c r="AA80" s="102"/>
      <c r="AB80" s="102"/>
      <c r="AC80" s="102"/>
      <c r="AD80" s="102"/>
      <c r="AE80" s="103"/>
      <c r="AF80" s="154" t="s">
        <v>22</v>
      </c>
    </row>
    <row r="81" spans="2:32" ht="12.75" customHeight="1">
      <c r="B81" s="99" t="str">
        <f>B7</f>
        <v>Fiscal Period</v>
      </c>
      <c r="C81" s="104">
        <f>C7</f>
        <v>2020</v>
      </c>
      <c r="D81" s="104">
        <f>D7</f>
        <v>2021</v>
      </c>
      <c r="E81" s="104">
        <f>E7</f>
        <v>2022</v>
      </c>
      <c r="F81" s="104">
        <f>F7</f>
        <v>2023</v>
      </c>
      <c r="G81" s="104">
        <f>G7</f>
        <v>2024</v>
      </c>
      <c r="H81" s="104">
        <f>H7</f>
        <v>2025</v>
      </c>
      <c r="I81" s="103"/>
      <c r="J81" s="104" t="str">
        <f>J7</f>
        <v>1Q23</v>
      </c>
      <c r="K81" s="104" t="str">
        <f>K7</f>
        <v>2Q23</v>
      </c>
      <c r="L81" s="104" t="str">
        <f>L7</f>
        <v>3Q23</v>
      </c>
      <c r="M81" s="104" t="str">
        <f>M7</f>
        <v>4Q23</v>
      </c>
      <c r="N81" s="104" t="str">
        <f>N7</f>
        <v>1Q24</v>
      </c>
      <c r="O81" s="104" t="str">
        <f>O7</f>
        <v>2Q24</v>
      </c>
      <c r="P81" s="104" t="str">
        <f>P7</f>
        <v>3Q24</v>
      </c>
      <c r="Q81" s="104" t="str">
        <f>Q7</f>
        <v>4Q24</v>
      </c>
      <c r="R81" s="104" t="str">
        <f>R7</f>
        <v>1Q25</v>
      </c>
      <c r="S81" s="104" t="str">
        <f>S7</f>
        <v>2Q25</v>
      </c>
      <c r="T81" s="104" t="str">
        <f>T7</f>
        <v>3Q25</v>
      </c>
      <c r="U81" s="104" t="str">
        <f>U7</f>
        <v>4Q25</v>
      </c>
      <c r="V81" s="104"/>
      <c r="W81" s="104" t="str">
        <f>W7</f>
        <v>4Q23</v>
      </c>
      <c r="X81" s="104" t="str">
        <f>X7</f>
        <v>1Q24</v>
      </c>
      <c r="Y81" s="104" t="str">
        <f>Y7</f>
        <v>2Q24</v>
      </c>
      <c r="Z81" s="104" t="str">
        <f>Z7</f>
        <v>3Q24</v>
      </c>
      <c r="AA81" s="104" t="str">
        <f>AA7</f>
        <v>4Q24</v>
      </c>
      <c r="AB81" s="104" t="str">
        <f>AB7</f>
        <v>1Q25</v>
      </c>
      <c r="AC81" s="104" t="str">
        <f>AC7</f>
        <v>2Q25</v>
      </c>
      <c r="AD81" s="104" t="str">
        <f>AD7</f>
        <v>3Q25</v>
      </c>
      <c r="AE81" s="103"/>
      <c r="AF81" s="154"/>
    </row>
    <row r="82" spans="2:32" ht="12.75" customHeight="1">
      <c r="B82" s="99" t="str">
        <f>B8</f>
        <v>Fiscal Period End Date</v>
      </c>
      <c r="C82" s="105">
        <f>C8</f>
        <v>0</v>
      </c>
      <c r="D82" s="105">
        <f>D8</f>
        <v>0</v>
      </c>
      <c r="E82" s="105">
        <f>E8</f>
        <v>0</v>
      </c>
      <c r="F82" s="105">
        <f>F8</f>
        <v>0</v>
      </c>
      <c r="G82" s="105">
        <f>G8</f>
        <v>0</v>
      </c>
      <c r="H82" s="105">
        <f>H8</f>
        <v>0</v>
      </c>
      <c r="I82" s="103"/>
      <c r="J82" s="105">
        <f>J8</f>
        <v>0</v>
      </c>
      <c r="K82" s="105">
        <f>K8</f>
        <v>0</v>
      </c>
      <c r="L82" s="105">
        <f>L8</f>
        <v>0</v>
      </c>
      <c r="M82" s="105">
        <f>M8</f>
        <v>0</v>
      </c>
      <c r="N82" s="105">
        <f>N8</f>
        <v>0</v>
      </c>
      <c r="O82" s="105">
        <f>O8</f>
        <v>0</v>
      </c>
      <c r="P82" s="105">
        <f>P8</f>
        <v>0</v>
      </c>
      <c r="Q82" s="105">
        <f>Q8</f>
        <v>0</v>
      </c>
      <c r="R82" s="105">
        <f>R8</f>
        <v>0</v>
      </c>
      <c r="S82" s="105">
        <f>S8</f>
        <v>0</v>
      </c>
      <c r="T82" s="105">
        <f>T8</f>
        <v>0</v>
      </c>
      <c r="U82" s="105">
        <f>U8</f>
        <v>0</v>
      </c>
      <c r="V82" s="105"/>
      <c r="W82" s="105">
        <f>W8</f>
        <v>0</v>
      </c>
      <c r="X82" s="105">
        <f>X8</f>
        <v>0</v>
      </c>
      <c r="Y82" s="105">
        <f>Y8</f>
        <v>0</v>
      </c>
      <c r="Z82" s="105">
        <f>Z8</f>
        <v>0</v>
      </c>
      <c r="AA82" s="105">
        <f>AA8</f>
        <v>0</v>
      </c>
      <c r="AB82" s="105">
        <f>AB8</f>
        <v>0</v>
      </c>
      <c r="AC82" s="105">
        <f>AC8</f>
        <v>0</v>
      </c>
      <c r="AD82" s="105">
        <f>AD8</f>
        <v>0</v>
      </c>
      <c r="AE82" s="103"/>
      <c r="AF82" s="154"/>
    </row>
    <row r="83" spans="2:32" ht="5.0999999999999996" customHeight="1">
      <c r="B83" s="54"/>
      <c r="C83" s="47"/>
      <c r="D83" s="47"/>
      <c r="E83" s="47"/>
      <c r="F83" s="47"/>
      <c r="G83" s="47"/>
      <c r="H83" s="47"/>
    </row>
    <row r="84" spans="2:32" ht="12.75" customHeight="1">
      <c r="B84" s="55" t="s">
        <v>50</v>
      </c>
      <c r="C84" s="56"/>
      <c r="D84" s="56"/>
      <c r="E84" s="56"/>
      <c r="F84" s="56"/>
      <c r="G84" s="56"/>
      <c r="H84" s="56"/>
    </row>
    <row r="85" spans="2:32" ht="12.75" customHeight="1">
      <c r="B85" s="57" t="s">
        <v>115</v>
      </c>
      <c r="C85" s="32">
        <f>C28</f>
        <v>4202</v>
      </c>
      <c r="D85" s="32">
        <f>D28</f>
        <v>4169</v>
      </c>
      <c r="E85" s="32">
        <f>E28</f>
        <v>2419</v>
      </c>
      <c r="F85" s="32">
        <f>F28</f>
        <v>4246</v>
      </c>
      <c r="G85" s="32">
        <f>G28</f>
        <v>4147</v>
      </c>
      <c r="H85" s="32">
        <f>H28</f>
        <v>0</v>
      </c>
      <c r="I85" s="32"/>
      <c r="J85" s="32">
        <f>J28</f>
        <v>795</v>
      </c>
      <c r="K85" s="32">
        <f>K28</f>
        <v>1029</v>
      </c>
      <c r="L85" s="32">
        <f>L28</f>
        <v>1020</v>
      </c>
      <c r="M85" s="32">
        <f>M28</f>
        <v>1402</v>
      </c>
      <c r="N85" s="32">
        <f>N28</f>
        <v>888</v>
      </c>
      <c r="O85" s="32">
        <f>O28</f>
        <v>1128</v>
      </c>
      <c r="P85" s="32">
        <f>P28</f>
        <v>1010</v>
      </c>
      <c r="Q85" s="32">
        <f>Q28</f>
        <v>1121</v>
      </c>
      <c r="R85" s="32">
        <f>R28</f>
        <v>1287</v>
      </c>
      <c r="S85" s="32">
        <f>S28</f>
        <v>1261</v>
      </c>
      <c r="T85" s="32">
        <f>T28</f>
        <v>1248</v>
      </c>
      <c r="U85" s="32">
        <f>U28</f>
        <v>-3796</v>
      </c>
      <c r="V85" s="32"/>
      <c r="W85" s="32" t="e">
        <f>W28</f>
        <v>#REF!</v>
      </c>
      <c r="X85" s="32" t="e">
        <f>X28</f>
        <v>#REF!</v>
      </c>
      <c r="Y85" s="32" t="e">
        <f>Y28</f>
        <v>#REF!</v>
      </c>
      <c r="Z85" s="32">
        <f>Z28</f>
        <v>4428</v>
      </c>
      <c r="AA85" s="32">
        <f>AA28</f>
        <v>4147</v>
      </c>
      <c r="AB85" s="32">
        <f>AB28</f>
        <v>4546</v>
      </c>
      <c r="AC85" s="32">
        <f>AC28</f>
        <v>4679</v>
      </c>
      <c r="AD85" s="32">
        <f>AD28</f>
        <v>4917</v>
      </c>
      <c r="AE85" s="11"/>
      <c r="AF85" s="75">
        <f>SUM(AD85/Z85)-1</f>
        <v>0.11043360433604343</v>
      </c>
    </row>
    <row r="86" spans="2:32" ht="5.0999999999999996" customHeight="1"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W86" s="32"/>
      <c r="X86" s="32"/>
      <c r="Y86" s="32"/>
      <c r="Z86" s="32"/>
      <c r="AA86" s="32"/>
      <c r="AB86" s="32"/>
      <c r="AC86" s="32"/>
      <c r="AD86" s="32"/>
      <c r="AE86" s="11"/>
      <c r="AF86" s="75"/>
    </row>
    <row r="87" spans="2:32" ht="12.75" customHeight="1">
      <c r="B87" s="36" t="s">
        <v>57</v>
      </c>
      <c r="C87" s="32"/>
      <c r="D87" s="32"/>
      <c r="E87" s="32"/>
      <c r="F87" s="32"/>
      <c r="G87" s="32"/>
      <c r="H87" s="32"/>
      <c r="I87" s="32"/>
      <c r="J87" s="82"/>
      <c r="K87" s="82"/>
      <c r="L87" s="82"/>
      <c r="M87" s="32"/>
      <c r="N87" s="82"/>
      <c r="O87" s="82"/>
      <c r="P87" s="82"/>
      <c r="Q87" s="32"/>
      <c r="R87" s="82"/>
      <c r="S87" s="82"/>
      <c r="T87" s="82"/>
      <c r="U87" s="82"/>
      <c r="W87" s="32"/>
      <c r="X87" s="32"/>
      <c r="Y87" s="32"/>
      <c r="Z87" s="32"/>
      <c r="AA87" s="32"/>
      <c r="AB87" s="32"/>
      <c r="AC87" s="32"/>
      <c r="AD87" s="32"/>
      <c r="AE87" s="59"/>
      <c r="AF87" s="75"/>
    </row>
    <row r="88" spans="2:32" ht="12.75" customHeight="1">
      <c r="B88" s="60" t="s">
        <v>139</v>
      </c>
      <c r="C88" s="82"/>
      <c r="D88" s="82"/>
      <c r="E88" s="82"/>
      <c r="F88" s="82"/>
      <c r="G88" s="82"/>
      <c r="H88" s="82"/>
      <c r="I88" s="32"/>
      <c r="J88" s="82"/>
      <c r="K88" s="82"/>
      <c r="L88" s="82"/>
      <c r="M88" s="32">
        <f t="shared" ref="M88:M91" si="83">SUM(F88-SUM(J88:L88))</f>
        <v>0</v>
      </c>
      <c r="N88" s="82"/>
      <c r="O88" s="82"/>
      <c r="P88" s="82"/>
      <c r="Q88" s="32">
        <f t="shared" ref="Q88:Q91" si="84">SUM(G88-SUM(N88:P88))</f>
        <v>0</v>
      </c>
      <c r="R88" s="82"/>
      <c r="S88" s="82"/>
      <c r="T88" s="82"/>
      <c r="U88" s="82"/>
      <c r="W88" s="32">
        <f>SUM(J88:M88)</f>
        <v>0</v>
      </c>
      <c r="X88" s="32">
        <f>SUM(K88:N88)</f>
        <v>0</v>
      </c>
      <c r="Y88" s="32">
        <f>SUM(L88:O88)</f>
        <v>0</v>
      </c>
      <c r="Z88" s="32">
        <f>SUM(M88:P88)</f>
        <v>0</v>
      </c>
      <c r="AA88" s="32">
        <f>SUM(N88:Q88)</f>
        <v>0</v>
      </c>
      <c r="AB88" s="32">
        <f>SUM(O88:R88)</f>
        <v>0</v>
      </c>
      <c r="AC88" s="32">
        <f>SUM(P88:S88)</f>
        <v>0</v>
      </c>
      <c r="AD88" s="32">
        <f>SUM(Q88:T88)</f>
        <v>0</v>
      </c>
      <c r="AE88" s="11"/>
      <c r="AF88" s="75" t="e">
        <f t="shared" ref="AF88:AF94" si="85">SUM(AD88/Z88)-1</f>
        <v>#DIV/0!</v>
      </c>
    </row>
    <row r="89" spans="2:32" ht="12.75" customHeight="1">
      <c r="B89" s="60" t="s">
        <v>140</v>
      </c>
      <c r="C89" s="82"/>
      <c r="D89" s="82"/>
      <c r="E89" s="82"/>
      <c r="F89" s="82"/>
      <c r="G89" s="82"/>
      <c r="H89" s="82"/>
      <c r="I89" s="32"/>
      <c r="J89" s="82"/>
      <c r="K89" s="82"/>
      <c r="L89" s="82"/>
      <c r="M89" s="32">
        <f t="shared" ref="M89" si="86">SUM(F89-SUM(J89:L89))</f>
        <v>0</v>
      </c>
      <c r="N89" s="82"/>
      <c r="O89" s="82"/>
      <c r="P89" s="82"/>
      <c r="Q89" s="32">
        <f t="shared" ref="Q89" si="87">SUM(G89-SUM(N89:P89))</f>
        <v>0</v>
      </c>
      <c r="R89" s="82"/>
      <c r="S89" s="82"/>
      <c r="T89" s="82"/>
      <c r="U89" s="82"/>
      <c r="W89" s="32">
        <f>SUM(J89:M89)</f>
        <v>0</v>
      </c>
      <c r="X89" s="32">
        <f>SUM(K89:N89)</f>
        <v>0</v>
      </c>
      <c r="Y89" s="32">
        <f>SUM(L89:O89)</f>
        <v>0</v>
      </c>
      <c r="Z89" s="32">
        <f>SUM(M89:P89)</f>
        <v>0</v>
      </c>
      <c r="AA89" s="32">
        <f>SUM(N89:Q89)</f>
        <v>0</v>
      </c>
      <c r="AB89" s="32">
        <f>SUM(O89:R89)</f>
        <v>0</v>
      </c>
      <c r="AC89" s="32">
        <f>SUM(P89:S89)</f>
        <v>0</v>
      </c>
      <c r="AD89" s="32">
        <f>SUM(Q89:T89)</f>
        <v>0</v>
      </c>
      <c r="AE89" s="11"/>
      <c r="AF89" s="75" t="e">
        <f t="shared" ref="AF89" si="88">SUM(AD89/Z89)-1</f>
        <v>#DIV/0!</v>
      </c>
    </row>
    <row r="90" spans="2:32" ht="12.75" customHeight="1">
      <c r="B90" s="60" t="s">
        <v>141</v>
      </c>
      <c r="C90" s="82"/>
      <c r="D90" s="82"/>
      <c r="E90" s="82"/>
      <c r="F90" s="82"/>
      <c r="G90" s="82"/>
      <c r="H90" s="82"/>
      <c r="I90" s="32"/>
      <c r="J90" s="82"/>
      <c r="K90" s="82"/>
      <c r="L90" s="82"/>
      <c r="M90" s="32">
        <f t="shared" si="83"/>
        <v>0</v>
      </c>
      <c r="N90" s="82"/>
      <c r="O90" s="82"/>
      <c r="P90" s="82"/>
      <c r="Q90" s="32">
        <f t="shared" si="84"/>
        <v>0</v>
      </c>
      <c r="R90" s="82"/>
      <c r="S90" s="82"/>
      <c r="T90" s="82"/>
      <c r="U90" s="82"/>
      <c r="W90" s="32">
        <f>SUM(J90:M90)</f>
        <v>0</v>
      </c>
      <c r="X90" s="32">
        <f>SUM(K90:N90)</f>
        <v>0</v>
      </c>
      <c r="Y90" s="32">
        <f>SUM(L90:O90)</f>
        <v>0</v>
      </c>
      <c r="Z90" s="32">
        <f>SUM(M90:P90)</f>
        <v>0</v>
      </c>
      <c r="AA90" s="32">
        <f>SUM(N90:Q90)</f>
        <v>0</v>
      </c>
      <c r="AB90" s="32">
        <f>SUM(O90:R90)</f>
        <v>0</v>
      </c>
      <c r="AC90" s="32">
        <f>SUM(P90:S90)</f>
        <v>0</v>
      </c>
      <c r="AD90" s="32">
        <f>SUM(Q90:T90)</f>
        <v>0</v>
      </c>
      <c r="AE90" s="11"/>
      <c r="AF90" s="75" t="e">
        <f t="shared" si="85"/>
        <v>#DIV/0!</v>
      </c>
    </row>
    <row r="91" spans="2:32" ht="12.75" customHeight="1">
      <c r="B91" s="60" t="s">
        <v>142</v>
      </c>
      <c r="C91" s="82"/>
      <c r="D91" s="82"/>
      <c r="E91" s="82"/>
      <c r="F91" s="82"/>
      <c r="G91" s="82"/>
      <c r="H91" s="82"/>
      <c r="I91" s="32"/>
      <c r="J91" s="82"/>
      <c r="K91" s="82"/>
      <c r="L91" s="82"/>
      <c r="M91" s="32">
        <f t="shared" si="83"/>
        <v>0</v>
      </c>
      <c r="N91" s="82"/>
      <c r="O91" s="82"/>
      <c r="P91" s="82"/>
      <c r="Q91" s="32">
        <f t="shared" si="84"/>
        <v>0</v>
      </c>
      <c r="R91" s="82"/>
      <c r="S91" s="82"/>
      <c r="T91" s="82"/>
      <c r="U91" s="82"/>
      <c r="W91" s="32">
        <f>SUM(J91:M91)</f>
        <v>0</v>
      </c>
      <c r="X91" s="32">
        <f>SUM(K91:N91)</f>
        <v>0</v>
      </c>
      <c r="Y91" s="32">
        <f>SUM(L91:O91)</f>
        <v>0</v>
      </c>
      <c r="Z91" s="32">
        <f>SUM(M91:P91)</f>
        <v>0</v>
      </c>
      <c r="AA91" s="32">
        <f>SUM(N91:Q91)</f>
        <v>0</v>
      </c>
      <c r="AB91" s="32">
        <f>SUM(O91:R91)</f>
        <v>0</v>
      </c>
      <c r="AC91" s="32">
        <f>SUM(P91:S91)</f>
        <v>0</v>
      </c>
      <c r="AD91" s="32">
        <f>SUM(Q91:T91)</f>
        <v>0</v>
      </c>
      <c r="AE91" s="11"/>
      <c r="AF91" s="75" t="e">
        <f t="shared" si="85"/>
        <v>#DIV/0!</v>
      </c>
    </row>
    <row r="92" spans="2:32" ht="12.75" customHeight="1">
      <c r="B92" s="60" t="s">
        <v>143</v>
      </c>
      <c r="C92" s="82"/>
      <c r="D92" s="82"/>
      <c r="E92" s="82"/>
      <c r="F92" s="82"/>
      <c r="G92" s="82"/>
      <c r="H92" s="82"/>
      <c r="I92" s="32"/>
      <c r="J92" s="82"/>
      <c r="K92" s="82"/>
      <c r="L92" s="82"/>
      <c r="M92" s="32">
        <f t="shared" ref="M92" si="89">SUM(F92-SUM(J92:L92))</f>
        <v>0</v>
      </c>
      <c r="N92" s="82"/>
      <c r="O92" s="82"/>
      <c r="P92" s="82"/>
      <c r="Q92" s="32">
        <f t="shared" ref="Q92" si="90">SUM(G92-SUM(N92:P92))</f>
        <v>0</v>
      </c>
      <c r="R92" s="82"/>
      <c r="S92" s="82"/>
      <c r="T92" s="82"/>
      <c r="U92" s="82"/>
      <c r="W92" s="32">
        <f>SUM(J92:M92)</f>
        <v>0</v>
      </c>
      <c r="X92" s="32">
        <f>SUM(K92:N92)</f>
        <v>0</v>
      </c>
      <c r="Y92" s="32">
        <f>SUM(L92:O92)</f>
        <v>0</v>
      </c>
      <c r="Z92" s="32">
        <f>SUM(M92:P92)</f>
        <v>0</v>
      </c>
      <c r="AA92" s="32">
        <f>SUM(N92:Q92)</f>
        <v>0</v>
      </c>
      <c r="AB92" s="32">
        <f>SUM(O92:R92)</f>
        <v>0</v>
      </c>
      <c r="AC92" s="32">
        <f>SUM(P92:S92)</f>
        <v>0</v>
      </c>
      <c r="AD92" s="32">
        <f>SUM(Q92:T92)</f>
        <v>0</v>
      </c>
      <c r="AE92" s="11"/>
      <c r="AF92" s="75" t="e">
        <f t="shared" si="85"/>
        <v>#DIV/0!</v>
      </c>
    </row>
    <row r="93" spans="2:32" ht="12.75" customHeight="1">
      <c r="B93" s="60" t="s">
        <v>144</v>
      </c>
      <c r="C93" s="82"/>
      <c r="D93" s="82"/>
      <c r="E93" s="82"/>
      <c r="F93" s="82"/>
      <c r="G93" s="82"/>
      <c r="H93" s="82"/>
      <c r="I93" s="32"/>
      <c r="J93" s="82"/>
      <c r="K93" s="82"/>
      <c r="L93" s="82"/>
      <c r="M93" s="32">
        <f t="shared" ref="M93" si="91">SUM(F93-SUM(J93:L93))</f>
        <v>0</v>
      </c>
      <c r="N93" s="82"/>
      <c r="O93" s="82"/>
      <c r="P93" s="82"/>
      <c r="Q93" s="32">
        <f t="shared" ref="Q93" si="92">SUM(G93-SUM(N93:P93))</f>
        <v>0</v>
      </c>
      <c r="R93" s="82"/>
      <c r="S93" s="82"/>
      <c r="T93" s="82"/>
      <c r="U93" s="82"/>
      <c r="W93" s="32">
        <f>SUM(J93:M93)</f>
        <v>0</v>
      </c>
      <c r="X93" s="32">
        <f>SUM(K93:N93)</f>
        <v>0</v>
      </c>
      <c r="Y93" s="32">
        <f>SUM(L93:O93)</f>
        <v>0</v>
      </c>
      <c r="Z93" s="32">
        <f>SUM(M93:P93)</f>
        <v>0</v>
      </c>
      <c r="AA93" s="32">
        <f>SUM(N93:Q93)</f>
        <v>0</v>
      </c>
      <c r="AB93" s="32">
        <f>SUM(O93:R93)</f>
        <v>0</v>
      </c>
      <c r="AC93" s="32">
        <f>SUM(P93:S93)</f>
        <v>0</v>
      </c>
      <c r="AD93" s="32">
        <f>SUM(Q93:T93)</f>
        <v>0</v>
      </c>
      <c r="AE93" s="11"/>
      <c r="AF93" s="75" t="e">
        <f t="shared" si="85"/>
        <v>#DIV/0!</v>
      </c>
    </row>
    <row r="94" spans="2:32" ht="12.75" customHeight="1">
      <c r="B94" s="13" t="s">
        <v>51</v>
      </c>
      <c r="C94" s="14">
        <f t="shared" ref="C94:H94" si="93">SUM(C85:C93)</f>
        <v>4202</v>
      </c>
      <c r="D94" s="14">
        <f t="shared" si="93"/>
        <v>4169</v>
      </c>
      <c r="E94" s="14">
        <f t="shared" si="93"/>
        <v>2419</v>
      </c>
      <c r="F94" s="14">
        <f t="shared" si="93"/>
        <v>4246</v>
      </c>
      <c r="G94" s="14">
        <f t="shared" si="93"/>
        <v>4147</v>
      </c>
      <c r="H94" s="14">
        <f t="shared" si="93"/>
        <v>0</v>
      </c>
      <c r="J94" s="14">
        <f t="shared" ref="J94:U94" si="94">SUM(J85:J93)</f>
        <v>795</v>
      </c>
      <c r="K94" s="14">
        <f t="shared" si="94"/>
        <v>1029</v>
      </c>
      <c r="L94" s="14">
        <f t="shared" si="94"/>
        <v>1020</v>
      </c>
      <c r="M94" s="14">
        <f t="shared" si="94"/>
        <v>1402</v>
      </c>
      <c r="N94" s="14">
        <f t="shared" si="94"/>
        <v>888</v>
      </c>
      <c r="O94" s="14">
        <f t="shared" si="94"/>
        <v>1128</v>
      </c>
      <c r="P94" s="14">
        <f t="shared" si="94"/>
        <v>1010</v>
      </c>
      <c r="Q94" s="14">
        <f t="shared" si="94"/>
        <v>1121</v>
      </c>
      <c r="R94" s="14">
        <f t="shared" si="94"/>
        <v>1287</v>
      </c>
      <c r="S94" s="14">
        <f t="shared" si="94"/>
        <v>1261</v>
      </c>
      <c r="T94" s="14">
        <f t="shared" si="94"/>
        <v>1248</v>
      </c>
      <c r="U94" s="14">
        <f t="shared" si="94"/>
        <v>-3796</v>
      </c>
      <c r="W94" s="14" t="e">
        <f t="shared" ref="W94:AD94" si="95">SUM(W85:W93)</f>
        <v>#REF!</v>
      </c>
      <c r="X94" s="14" t="e">
        <f t="shared" si="95"/>
        <v>#REF!</v>
      </c>
      <c r="Y94" s="14" t="e">
        <f t="shared" si="95"/>
        <v>#REF!</v>
      </c>
      <c r="Z94" s="14">
        <f t="shared" si="95"/>
        <v>4428</v>
      </c>
      <c r="AA94" s="14">
        <f t="shared" si="95"/>
        <v>4147</v>
      </c>
      <c r="AB94" s="14">
        <f t="shared" si="95"/>
        <v>4546</v>
      </c>
      <c r="AC94" s="14">
        <f t="shared" si="95"/>
        <v>4679</v>
      </c>
      <c r="AD94" s="14">
        <f t="shared" si="95"/>
        <v>4917</v>
      </c>
      <c r="AE94" s="42"/>
      <c r="AF94" s="76">
        <f t="shared" si="85"/>
        <v>0.11043360433604343</v>
      </c>
    </row>
    <row r="95" spans="2:32" ht="12.75" customHeight="1">
      <c r="B95" s="53"/>
      <c r="C95" s="61"/>
      <c r="D95" s="61"/>
      <c r="E95" s="61"/>
      <c r="F95" s="61"/>
      <c r="G95" s="61"/>
      <c r="H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W95" s="42"/>
      <c r="X95" s="42"/>
      <c r="Y95" s="42"/>
      <c r="Z95" s="42"/>
      <c r="AA95" s="42"/>
      <c r="AB95" s="42"/>
      <c r="AC95" s="42"/>
      <c r="AD95" s="42"/>
      <c r="AE95" s="42"/>
      <c r="AF95" s="39"/>
    </row>
    <row r="96" spans="2:32" ht="12.75" customHeight="1">
      <c r="B96" s="53" t="s">
        <v>52</v>
      </c>
      <c r="C96" s="58"/>
      <c r="D96" s="58"/>
      <c r="E96" s="58"/>
      <c r="F96" s="58"/>
      <c r="G96" s="58"/>
      <c r="H96" s="58"/>
      <c r="J96" s="82"/>
      <c r="K96" s="82"/>
      <c r="L96" s="82"/>
      <c r="M96" s="32"/>
      <c r="N96" s="82"/>
      <c r="O96" s="82"/>
      <c r="P96" s="82"/>
      <c r="Q96" s="32"/>
      <c r="R96" s="58"/>
      <c r="S96" s="58"/>
      <c r="T96" s="58"/>
      <c r="U96" s="58"/>
      <c r="W96" s="58"/>
      <c r="X96" s="58"/>
      <c r="Y96" s="58"/>
      <c r="Z96" s="58"/>
      <c r="AA96" s="58"/>
      <c r="AB96" s="58"/>
      <c r="AC96" s="58"/>
      <c r="AD96" s="58"/>
      <c r="AE96" s="59"/>
      <c r="AF96" s="75"/>
    </row>
    <row r="97" spans="2:32" ht="12.75" customHeight="1">
      <c r="B97" s="60" t="s">
        <v>145</v>
      </c>
      <c r="C97" s="82"/>
      <c r="D97" s="82"/>
      <c r="E97" s="82"/>
      <c r="F97" s="82"/>
      <c r="G97" s="82"/>
      <c r="H97" s="82"/>
      <c r="I97" s="32"/>
      <c r="J97" s="82"/>
      <c r="K97" s="82"/>
      <c r="L97" s="82"/>
      <c r="M97" s="32">
        <f t="shared" ref="M97:M100" si="96">SUM(F97-SUM(J97:L97))</f>
        <v>0</v>
      </c>
      <c r="N97" s="82"/>
      <c r="O97" s="82"/>
      <c r="P97" s="82"/>
      <c r="Q97" s="32">
        <f t="shared" ref="Q97:Q100" si="97">SUM(G97-SUM(N97:P97))</f>
        <v>0</v>
      </c>
      <c r="R97" s="82"/>
      <c r="S97" s="82"/>
      <c r="T97" s="82"/>
      <c r="U97" s="82"/>
      <c r="V97" s="32"/>
      <c r="W97" s="32">
        <f>SUM(J97:M97)</f>
        <v>0</v>
      </c>
      <c r="X97" s="32">
        <f>SUM(K97:N97)</f>
        <v>0</v>
      </c>
      <c r="Y97" s="32">
        <f>SUM(L97:O97)</f>
        <v>0</v>
      </c>
      <c r="Z97" s="32">
        <f>SUM(M97:P97)</f>
        <v>0</v>
      </c>
      <c r="AA97" s="32">
        <f>SUM(N97:Q97)</f>
        <v>0</v>
      </c>
      <c r="AB97" s="32">
        <f>SUM(O97:R97)</f>
        <v>0</v>
      </c>
      <c r="AC97" s="32">
        <f>SUM(P97:S97)</f>
        <v>0</v>
      </c>
      <c r="AD97" s="32">
        <f>SUM(Q97:T97)</f>
        <v>0</v>
      </c>
      <c r="AE97" s="59"/>
      <c r="AF97" s="75" t="e">
        <f t="shared" ref="AF97:AF100" si="98">SUM(AD97/Z97)-1</f>
        <v>#DIV/0!</v>
      </c>
    </row>
    <row r="98" spans="2:32" ht="12.75" customHeight="1">
      <c r="B98" s="60" t="s">
        <v>146</v>
      </c>
      <c r="C98" s="82"/>
      <c r="D98" s="82"/>
      <c r="E98" s="82"/>
      <c r="F98" s="82"/>
      <c r="G98" s="82"/>
      <c r="H98" s="82"/>
      <c r="I98" s="32"/>
      <c r="J98" s="82"/>
      <c r="K98" s="82"/>
      <c r="L98" s="82"/>
      <c r="M98" s="32">
        <f t="shared" si="96"/>
        <v>0</v>
      </c>
      <c r="N98" s="82"/>
      <c r="O98" s="82"/>
      <c r="P98" s="82"/>
      <c r="Q98" s="32">
        <f t="shared" si="97"/>
        <v>0</v>
      </c>
      <c r="R98" s="82"/>
      <c r="S98" s="82"/>
      <c r="T98" s="82"/>
      <c r="U98" s="82"/>
      <c r="V98" s="32"/>
      <c r="W98" s="32">
        <f>SUM(J98:M98)</f>
        <v>0</v>
      </c>
      <c r="X98" s="32">
        <f>SUM(K98:N98)</f>
        <v>0</v>
      </c>
      <c r="Y98" s="32">
        <f>SUM(L98:O98)</f>
        <v>0</v>
      </c>
      <c r="Z98" s="32">
        <f>SUM(M98:P98)</f>
        <v>0</v>
      </c>
      <c r="AA98" s="32">
        <f>SUM(N98:Q98)</f>
        <v>0</v>
      </c>
      <c r="AB98" s="32">
        <f>SUM(O98:R98)</f>
        <v>0</v>
      </c>
      <c r="AC98" s="32">
        <f>SUM(P98:S98)</f>
        <v>0</v>
      </c>
      <c r="AD98" s="32">
        <f>SUM(Q98:T98)</f>
        <v>0</v>
      </c>
      <c r="AE98" s="59"/>
      <c r="AF98" s="75" t="e">
        <f t="shared" si="98"/>
        <v>#DIV/0!</v>
      </c>
    </row>
    <row r="99" spans="2:32" ht="12.75" customHeight="1">
      <c r="B99" s="60" t="s">
        <v>147</v>
      </c>
      <c r="C99" s="82"/>
      <c r="D99" s="82"/>
      <c r="E99" s="82"/>
      <c r="F99" s="82"/>
      <c r="G99" s="82"/>
      <c r="H99" s="82"/>
      <c r="I99" s="32"/>
      <c r="J99" s="82"/>
      <c r="K99" s="82"/>
      <c r="L99" s="82"/>
      <c r="M99" s="32">
        <f t="shared" si="96"/>
        <v>0</v>
      </c>
      <c r="N99" s="82"/>
      <c r="O99" s="82"/>
      <c r="P99" s="82"/>
      <c r="Q99" s="32">
        <f t="shared" si="97"/>
        <v>0</v>
      </c>
      <c r="R99" s="82"/>
      <c r="S99" s="82"/>
      <c r="T99" s="82"/>
      <c r="U99" s="82"/>
      <c r="V99" s="32"/>
      <c r="W99" s="32">
        <f>SUM(J99:M99)</f>
        <v>0</v>
      </c>
      <c r="X99" s="32">
        <f>SUM(K99:N99)</f>
        <v>0</v>
      </c>
      <c r="Y99" s="32">
        <f>SUM(L99:O99)</f>
        <v>0</v>
      </c>
      <c r="Z99" s="32">
        <f>SUM(M99:P99)</f>
        <v>0</v>
      </c>
      <c r="AA99" s="32">
        <f>SUM(N99:Q99)</f>
        <v>0</v>
      </c>
      <c r="AB99" s="32">
        <f>SUM(O99:R99)</f>
        <v>0</v>
      </c>
      <c r="AC99" s="32">
        <f>SUM(P99:S99)</f>
        <v>0</v>
      </c>
      <c r="AD99" s="32">
        <f>SUM(Q99:T99)</f>
        <v>0</v>
      </c>
      <c r="AE99" s="59"/>
      <c r="AF99" s="75" t="e">
        <f t="shared" si="98"/>
        <v>#DIV/0!</v>
      </c>
    </row>
    <row r="100" spans="2:32" ht="12.75" customHeight="1">
      <c r="B100" s="60" t="s">
        <v>148</v>
      </c>
      <c r="C100" s="82"/>
      <c r="D100" s="82"/>
      <c r="E100" s="82"/>
      <c r="F100" s="82"/>
      <c r="G100" s="82"/>
      <c r="H100" s="82"/>
      <c r="I100" s="32"/>
      <c r="J100" s="82"/>
      <c r="K100" s="82"/>
      <c r="L100" s="82"/>
      <c r="M100" s="32">
        <f t="shared" si="96"/>
        <v>0</v>
      </c>
      <c r="N100" s="82"/>
      <c r="O100" s="82"/>
      <c r="P100" s="82"/>
      <c r="Q100" s="32">
        <f t="shared" si="97"/>
        <v>0</v>
      </c>
      <c r="R100" s="82"/>
      <c r="S100" s="82"/>
      <c r="T100" s="82"/>
      <c r="U100" s="82"/>
      <c r="V100" s="32"/>
      <c r="W100" s="32">
        <f>SUM(J100:M100)</f>
        <v>0</v>
      </c>
      <c r="X100" s="32">
        <f>SUM(K100:N100)</f>
        <v>0</v>
      </c>
      <c r="Y100" s="32">
        <f>SUM(L100:O100)</f>
        <v>0</v>
      </c>
      <c r="Z100" s="32">
        <f>SUM(M100:P100)</f>
        <v>0</v>
      </c>
      <c r="AA100" s="32">
        <f>SUM(N100:Q100)</f>
        <v>0</v>
      </c>
      <c r="AB100" s="32">
        <f>SUM(O100:R100)</f>
        <v>0</v>
      </c>
      <c r="AC100" s="32">
        <f>SUM(P100:S100)</f>
        <v>0</v>
      </c>
      <c r="AD100" s="32">
        <f>SUM(Q100:T100)</f>
        <v>0</v>
      </c>
      <c r="AE100" s="59"/>
      <c r="AF100" s="75" t="e">
        <f t="shared" si="98"/>
        <v>#DIV/0!</v>
      </c>
    </row>
    <row r="101" spans="2:32" ht="12.75" customHeight="1">
      <c r="B101" s="13" t="s">
        <v>53</v>
      </c>
      <c r="C101" s="14">
        <f t="shared" ref="C101:H101" si="99">SUM(C97:C100)</f>
        <v>0</v>
      </c>
      <c r="D101" s="14">
        <f t="shared" si="99"/>
        <v>0</v>
      </c>
      <c r="E101" s="14">
        <f t="shared" si="99"/>
        <v>0</v>
      </c>
      <c r="F101" s="14">
        <f t="shared" si="99"/>
        <v>0</v>
      </c>
      <c r="G101" s="14">
        <f t="shared" si="99"/>
        <v>0</v>
      </c>
      <c r="H101" s="14">
        <f t="shared" si="99"/>
        <v>0</v>
      </c>
      <c r="J101" s="14">
        <f t="shared" ref="J101:U101" si="100">SUM(J97:J100)</f>
        <v>0</v>
      </c>
      <c r="K101" s="14">
        <f t="shared" si="100"/>
        <v>0</v>
      </c>
      <c r="L101" s="14">
        <f t="shared" si="100"/>
        <v>0</v>
      </c>
      <c r="M101" s="14">
        <f t="shared" si="100"/>
        <v>0</v>
      </c>
      <c r="N101" s="14">
        <f t="shared" si="100"/>
        <v>0</v>
      </c>
      <c r="O101" s="14">
        <f t="shared" si="100"/>
        <v>0</v>
      </c>
      <c r="P101" s="14">
        <f t="shared" si="100"/>
        <v>0</v>
      </c>
      <c r="Q101" s="14">
        <f t="shared" si="100"/>
        <v>0</v>
      </c>
      <c r="R101" s="14">
        <f t="shared" si="100"/>
        <v>0</v>
      </c>
      <c r="S101" s="14">
        <f t="shared" si="100"/>
        <v>0</v>
      </c>
      <c r="T101" s="14">
        <f t="shared" si="100"/>
        <v>0</v>
      </c>
      <c r="U101" s="14">
        <f t="shared" si="100"/>
        <v>0</v>
      </c>
      <c r="W101" s="14">
        <f t="shared" ref="W101:AD101" si="101">SUM(W100:W100)</f>
        <v>0</v>
      </c>
      <c r="X101" s="14">
        <f t="shared" si="101"/>
        <v>0</v>
      </c>
      <c r="Y101" s="14">
        <f t="shared" si="101"/>
        <v>0</v>
      </c>
      <c r="Z101" s="14">
        <f t="shared" si="101"/>
        <v>0</v>
      </c>
      <c r="AA101" s="14">
        <f t="shared" si="101"/>
        <v>0</v>
      </c>
      <c r="AB101" s="14">
        <f t="shared" si="101"/>
        <v>0</v>
      </c>
      <c r="AC101" s="14">
        <f t="shared" si="101"/>
        <v>0</v>
      </c>
      <c r="AD101" s="14">
        <f t="shared" si="101"/>
        <v>0</v>
      </c>
      <c r="AE101" s="42"/>
      <c r="AF101" s="76" t="e">
        <f t="shared" ref="AF101:AF107" si="102">SUM(AD101/Z101)-1</f>
        <v>#DIV/0!</v>
      </c>
    </row>
    <row r="102" spans="2:32" ht="5.0999999999999996" customHeight="1">
      <c r="B102" s="52"/>
      <c r="C102" s="61"/>
      <c r="D102" s="61"/>
      <c r="E102" s="61"/>
      <c r="F102" s="61"/>
      <c r="G102" s="61"/>
      <c r="H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W102" s="42"/>
      <c r="X102" s="42"/>
      <c r="Y102" s="42"/>
      <c r="Z102" s="42"/>
      <c r="AA102" s="42"/>
      <c r="AB102" s="42"/>
      <c r="AC102" s="42"/>
      <c r="AD102" s="42"/>
      <c r="AE102" s="42"/>
      <c r="AF102" s="39"/>
    </row>
    <row r="103" spans="2:32" ht="12.75" customHeight="1">
      <c r="B103" s="53" t="s">
        <v>54</v>
      </c>
      <c r="C103" s="63"/>
      <c r="D103" s="63"/>
      <c r="E103" s="63"/>
      <c r="F103" s="63"/>
      <c r="G103" s="63"/>
      <c r="H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32"/>
      <c r="W103" s="32"/>
      <c r="X103" s="32"/>
      <c r="Y103" s="32"/>
      <c r="Z103" s="32"/>
      <c r="AA103" s="32"/>
      <c r="AB103" s="32"/>
      <c r="AC103" s="32"/>
      <c r="AD103" s="32"/>
      <c r="AE103" s="64"/>
      <c r="AF103" s="75"/>
    </row>
    <row r="104" spans="2:32" ht="12.75" customHeight="1">
      <c r="B104" s="84" t="s">
        <v>149</v>
      </c>
      <c r="C104" s="82"/>
      <c r="D104" s="82"/>
      <c r="E104" s="82"/>
      <c r="F104" s="82"/>
      <c r="G104" s="82"/>
      <c r="H104" s="82"/>
      <c r="J104" s="82"/>
      <c r="K104" s="82"/>
      <c r="L104" s="82"/>
      <c r="M104" s="32">
        <f t="shared" ref="M104:M106" si="103">SUM(F104-SUM(J104:L104))</f>
        <v>0</v>
      </c>
      <c r="N104" s="82"/>
      <c r="O104" s="82"/>
      <c r="P104" s="82"/>
      <c r="Q104" s="32">
        <f t="shared" ref="Q104:Q106" si="104">SUM(G104-SUM(N104:P104))</f>
        <v>0</v>
      </c>
      <c r="R104" s="82"/>
      <c r="S104" s="82"/>
      <c r="T104" s="82"/>
      <c r="U104" s="82"/>
      <c r="V104" s="32"/>
      <c r="W104" s="32">
        <f>SUM(J104:M104)</f>
        <v>0</v>
      </c>
      <c r="X104" s="32">
        <f>SUM(K104:N104)</f>
        <v>0</v>
      </c>
      <c r="Y104" s="32">
        <f>SUM(L104:O104)</f>
        <v>0</v>
      </c>
      <c r="Z104" s="32">
        <f>SUM(M104:P104)</f>
        <v>0</v>
      </c>
      <c r="AA104" s="32">
        <f>SUM(N104:Q104)</f>
        <v>0</v>
      </c>
      <c r="AB104" s="32">
        <f>SUM(O104:R104)</f>
        <v>0</v>
      </c>
      <c r="AC104" s="32">
        <f>SUM(P104:S104)</f>
        <v>0</v>
      </c>
      <c r="AD104" s="32">
        <f>SUM(Q104:T104)</f>
        <v>0</v>
      </c>
      <c r="AE104" s="64"/>
      <c r="AF104" s="75" t="e">
        <f t="shared" si="102"/>
        <v>#DIV/0!</v>
      </c>
    </row>
    <row r="105" spans="2:32" ht="12.75" customHeight="1">
      <c r="B105" s="84" t="s">
        <v>150</v>
      </c>
      <c r="C105" s="82"/>
      <c r="D105" s="82"/>
      <c r="E105" s="82"/>
      <c r="F105" s="82"/>
      <c r="G105" s="82"/>
      <c r="H105" s="82"/>
      <c r="J105" s="82"/>
      <c r="K105" s="82"/>
      <c r="L105" s="82"/>
      <c r="M105" s="32">
        <f t="shared" si="103"/>
        <v>0</v>
      </c>
      <c r="N105" s="82"/>
      <c r="O105" s="82"/>
      <c r="P105" s="82"/>
      <c r="Q105" s="32">
        <f t="shared" si="104"/>
        <v>0</v>
      </c>
      <c r="R105" s="82"/>
      <c r="S105" s="82"/>
      <c r="T105" s="82"/>
      <c r="U105" s="82"/>
      <c r="V105" s="32"/>
      <c r="W105" s="32">
        <f>SUM(J105:M105)</f>
        <v>0</v>
      </c>
      <c r="X105" s="32">
        <f>SUM(K105:N105)</f>
        <v>0</v>
      </c>
      <c r="Y105" s="32">
        <f>SUM(L105:O105)</f>
        <v>0</v>
      </c>
      <c r="Z105" s="32">
        <f>SUM(M105:P105)</f>
        <v>0</v>
      </c>
      <c r="AA105" s="32">
        <f>SUM(N105:Q105)</f>
        <v>0</v>
      </c>
      <c r="AB105" s="32">
        <f>SUM(O105:R105)</f>
        <v>0</v>
      </c>
      <c r="AC105" s="32">
        <f>SUM(P105:S105)</f>
        <v>0</v>
      </c>
      <c r="AD105" s="32">
        <f>SUM(Q105:T105)</f>
        <v>0</v>
      </c>
      <c r="AE105" s="64"/>
      <c r="AF105" s="75" t="e">
        <f t="shared" ref="AF105" si="105">SUM(AD105/Z105)-1</f>
        <v>#DIV/0!</v>
      </c>
    </row>
    <row r="106" spans="2:32" ht="12.75" customHeight="1">
      <c r="B106" s="84" t="s">
        <v>151</v>
      </c>
      <c r="C106" s="82"/>
      <c r="D106" s="82"/>
      <c r="E106" s="82"/>
      <c r="F106" s="82"/>
      <c r="G106" s="82"/>
      <c r="H106" s="82"/>
      <c r="J106" s="82"/>
      <c r="K106" s="82"/>
      <c r="L106" s="82"/>
      <c r="M106" s="32">
        <f t="shared" si="103"/>
        <v>0</v>
      </c>
      <c r="N106" s="82"/>
      <c r="O106" s="82"/>
      <c r="P106" s="82"/>
      <c r="Q106" s="32">
        <f t="shared" si="104"/>
        <v>0</v>
      </c>
      <c r="R106" s="82"/>
      <c r="S106" s="82"/>
      <c r="T106" s="82"/>
      <c r="U106" s="82"/>
      <c r="V106" s="32"/>
      <c r="W106" s="32">
        <f>SUM(J106:M106)</f>
        <v>0</v>
      </c>
      <c r="X106" s="32">
        <f>SUM(K106:N106)</f>
        <v>0</v>
      </c>
      <c r="Y106" s="32">
        <f>SUM(L106:O106)</f>
        <v>0</v>
      </c>
      <c r="Z106" s="32">
        <f>SUM(M106:P106)</f>
        <v>0</v>
      </c>
      <c r="AA106" s="32">
        <f>SUM(N106:Q106)</f>
        <v>0</v>
      </c>
      <c r="AB106" s="32">
        <f>SUM(O106:R106)</f>
        <v>0</v>
      </c>
      <c r="AC106" s="32">
        <f>SUM(P106:S106)</f>
        <v>0</v>
      </c>
      <c r="AD106" s="32">
        <f>SUM(Q106:T106)</f>
        <v>0</v>
      </c>
      <c r="AE106" s="64"/>
      <c r="AF106" s="75" t="e">
        <f t="shared" si="102"/>
        <v>#DIV/0!</v>
      </c>
    </row>
    <row r="107" spans="2:32" ht="12.75" customHeight="1">
      <c r="B107" s="13" t="s">
        <v>55</v>
      </c>
      <c r="C107" s="14">
        <f t="shared" ref="C107:H107" si="106">SUM(C104:C106)</f>
        <v>0</v>
      </c>
      <c r="D107" s="14">
        <f t="shared" si="106"/>
        <v>0</v>
      </c>
      <c r="E107" s="14">
        <f t="shared" si="106"/>
        <v>0</v>
      </c>
      <c r="F107" s="14">
        <f t="shared" si="106"/>
        <v>0</v>
      </c>
      <c r="G107" s="14">
        <f t="shared" si="106"/>
        <v>0</v>
      </c>
      <c r="H107" s="14">
        <f t="shared" si="106"/>
        <v>0</v>
      </c>
      <c r="J107" s="14">
        <f t="shared" ref="J107:U107" si="107">SUM(J104:J106)</f>
        <v>0</v>
      </c>
      <c r="K107" s="14">
        <f t="shared" si="107"/>
        <v>0</v>
      </c>
      <c r="L107" s="14">
        <f t="shared" si="107"/>
        <v>0</v>
      </c>
      <c r="M107" s="14">
        <f t="shared" si="107"/>
        <v>0</v>
      </c>
      <c r="N107" s="14">
        <f t="shared" si="107"/>
        <v>0</v>
      </c>
      <c r="O107" s="14">
        <f t="shared" si="107"/>
        <v>0</v>
      </c>
      <c r="P107" s="14">
        <f t="shared" si="107"/>
        <v>0</v>
      </c>
      <c r="Q107" s="14">
        <f t="shared" si="107"/>
        <v>0</v>
      </c>
      <c r="R107" s="14">
        <f t="shared" si="107"/>
        <v>0</v>
      </c>
      <c r="S107" s="14">
        <f t="shared" si="107"/>
        <v>0</v>
      </c>
      <c r="T107" s="14">
        <f t="shared" si="107"/>
        <v>0</v>
      </c>
      <c r="U107" s="14">
        <f t="shared" si="107"/>
        <v>0</v>
      </c>
      <c r="W107" s="14">
        <f t="shared" ref="W107:AD107" si="108">SUM(W104:W106)</f>
        <v>0</v>
      </c>
      <c r="X107" s="14">
        <f t="shared" si="108"/>
        <v>0</v>
      </c>
      <c r="Y107" s="14">
        <f t="shared" si="108"/>
        <v>0</v>
      </c>
      <c r="Z107" s="14">
        <f t="shared" si="108"/>
        <v>0</v>
      </c>
      <c r="AA107" s="14">
        <f t="shared" si="108"/>
        <v>0</v>
      </c>
      <c r="AB107" s="14">
        <f t="shared" si="108"/>
        <v>0</v>
      </c>
      <c r="AC107" s="14">
        <f t="shared" si="108"/>
        <v>0</v>
      </c>
      <c r="AD107" s="14">
        <f t="shared" si="108"/>
        <v>0</v>
      </c>
      <c r="AE107" s="42"/>
      <c r="AF107" s="76" t="e">
        <f t="shared" si="102"/>
        <v>#DIV/0!</v>
      </c>
    </row>
    <row r="108" spans="2:32" ht="5.0999999999999996" customHeight="1">
      <c r="B108" s="71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1"/>
      <c r="AF108" s="45"/>
    </row>
    <row r="109" spans="2:32">
      <c r="B109" s="92" t="s">
        <v>81</v>
      </c>
      <c r="C109" s="93"/>
      <c r="D109" s="93">
        <f t="shared" ref="D109:H109" si="109">C116</f>
        <v>4202</v>
      </c>
      <c r="E109" s="93">
        <f t="shared" si="109"/>
        <v>8371</v>
      </c>
      <c r="F109" s="93">
        <f t="shared" si="109"/>
        <v>10790</v>
      </c>
      <c r="G109" s="93">
        <f t="shared" si="109"/>
        <v>15036</v>
      </c>
      <c r="H109" s="93">
        <f t="shared" si="109"/>
        <v>19183</v>
      </c>
      <c r="I109" s="93"/>
      <c r="J109" s="93"/>
      <c r="K109" s="93">
        <f t="shared" ref="K109:T109" si="110">J116</f>
        <v>795</v>
      </c>
      <c r="L109" s="93">
        <f t="shared" si="110"/>
        <v>1824</v>
      </c>
      <c r="M109" s="93">
        <f t="shared" si="110"/>
        <v>2844</v>
      </c>
      <c r="N109" s="93">
        <f t="shared" si="110"/>
        <v>4246</v>
      </c>
      <c r="O109" s="93">
        <f t="shared" si="110"/>
        <v>5134</v>
      </c>
      <c r="P109" s="93">
        <f t="shared" si="110"/>
        <v>6262</v>
      </c>
      <c r="Q109" s="93">
        <f t="shared" si="110"/>
        <v>7272</v>
      </c>
      <c r="R109" s="93">
        <f t="shared" si="110"/>
        <v>8393</v>
      </c>
      <c r="S109" s="93">
        <f t="shared" si="110"/>
        <v>9680</v>
      </c>
      <c r="T109" s="93">
        <f t="shared" si="110"/>
        <v>10941</v>
      </c>
      <c r="U109" s="93">
        <f t="shared" ref="U109" si="111">T116</f>
        <v>12189</v>
      </c>
      <c r="V109" s="93"/>
      <c r="W109" s="93"/>
      <c r="X109" s="93">
        <f>J116</f>
        <v>795</v>
      </c>
      <c r="Y109" s="93">
        <f>K116</f>
        <v>1824</v>
      </c>
      <c r="Z109" s="93">
        <f>L116</f>
        <v>2844</v>
      </c>
      <c r="AA109" s="93">
        <f>M116</f>
        <v>4246</v>
      </c>
      <c r="AB109" s="93">
        <f>N116</f>
        <v>5134</v>
      </c>
      <c r="AC109" s="93">
        <f>O116</f>
        <v>6262</v>
      </c>
      <c r="AD109" s="140">
        <f>P116</f>
        <v>7272</v>
      </c>
      <c r="AE109" s="11"/>
      <c r="AF109" s="45"/>
    </row>
    <row r="110" spans="2:32">
      <c r="B110" s="130" t="s">
        <v>94</v>
      </c>
      <c r="C110" s="32"/>
      <c r="D110" s="32"/>
      <c r="E110" s="32">
        <f t="shared" ref="E110:H110" si="112">-D114</f>
        <v>0</v>
      </c>
      <c r="F110" s="32">
        <f t="shared" si="112"/>
        <v>0</v>
      </c>
      <c r="G110" s="32">
        <f t="shared" si="112"/>
        <v>0</v>
      </c>
      <c r="H110" s="32">
        <f t="shared" si="112"/>
        <v>0</v>
      </c>
      <c r="I110" s="32"/>
      <c r="J110" s="32"/>
      <c r="K110" s="32">
        <f t="shared" ref="K110:U110" si="113">-J114</f>
        <v>0</v>
      </c>
      <c r="L110" s="32">
        <f t="shared" si="113"/>
        <v>0</v>
      </c>
      <c r="M110" s="32">
        <f t="shared" si="113"/>
        <v>0</v>
      </c>
      <c r="N110" s="32">
        <f t="shared" si="113"/>
        <v>0</v>
      </c>
      <c r="O110" s="32">
        <f t="shared" si="113"/>
        <v>0</v>
      </c>
      <c r="P110" s="32">
        <f t="shared" si="113"/>
        <v>0</v>
      </c>
      <c r="Q110" s="32">
        <f t="shared" si="113"/>
        <v>0</v>
      </c>
      <c r="R110" s="32">
        <f t="shared" si="113"/>
        <v>0</v>
      </c>
      <c r="S110" s="32">
        <f t="shared" si="113"/>
        <v>0</v>
      </c>
      <c r="T110" s="32">
        <f t="shared" si="113"/>
        <v>0</v>
      </c>
      <c r="U110" s="32">
        <f t="shared" si="113"/>
        <v>0</v>
      </c>
      <c r="V110" s="32"/>
      <c r="W110" s="32">
        <f>F110</f>
        <v>0</v>
      </c>
      <c r="X110" s="32">
        <f>-J114</f>
        <v>0</v>
      </c>
      <c r="Y110" s="32">
        <f>-K114</f>
        <v>0</v>
      </c>
      <c r="Z110" s="32">
        <f>-L114</f>
        <v>0</v>
      </c>
      <c r="AA110" s="32">
        <f>-M114</f>
        <v>0</v>
      </c>
      <c r="AB110" s="32">
        <f>-N114</f>
        <v>0</v>
      </c>
      <c r="AC110" s="32">
        <f>-O114</f>
        <v>0</v>
      </c>
      <c r="AD110" s="134">
        <f>-P114</f>
        <v>0</v>
      </c>
      <c r="AE110" s="11"/>
      <c r="AF110" s="45"/>
    </row>
    <row r="111" spans="2:32">
      <c r="B111" s="145" t="s">
        <v>68</v>
      </c>
      <c r="C111" s="146">
        <f t="shared" ref="C111" si="114">SUM(C109:C110)</f>
        <v>0</v>
      </c>
      <c r="D111" s="146">
        <f t="shared" ref="D111:G111" si="115">SUM(D109:D110)</f>
        <v>4202</v>
      </c>
      <c r="E111" s="146">
        <f t="shared" si="115"/>
        <v>8371</v>
      </c>
      <c r="F111" s="146">
        <f t="shared" si="115"/>
        <v>10790</v>
      </c>
      <c r="G111" s="146">
        <f t="shared" si="115"/>
        <v>15036</v>
      </c>
      <c r="H111" s="146">
        <f t="shared" ref="H111" si="116">SUM(H109:H110)</f>
        <v>19183</v>
      </c>
      <c r="I111" s="32"/>
      <c r="J111" s="146">
        <f t="shared" ref="J111:T111" si="117">SUM(J109:J110)</f>
        <v>0</v>
      </c>
      <c r="K111" s="146">
        <f t="shared" si="117"/>
        <v>795</v>
      </c>
      <c r="L111" s="146">
        <f t="shared" si="117"/>
        <v>1824</v>
      </c>
      <c r="M111" s="146">
        <f t="shared" si="117"/>
        <v>2844</v>
      </c>
      <c r="N111" s="146">
        <f t="shared" si="117"/>
        <v>4246</v>
      </c>
      <c r="O111" s="146">
        <f t="shared" si="117"/>
        <v>5134</v>
      </c>
      <c r="P111" s="146">
        <f t="shared" si="117"/>
        <v>6262</v>
      </c>
      <c r="Q111" s="146">
        <f t="shared" si="117"/>
        <v>7272</v>
      </c>
      <c r="R111" s="146">
        <f t="shared" si="117"/>
        <v>8393</v>
      </c>
      <c r="S111" s="146">
        <f t="shared" si="117"/>
        <v>9680</v>
      </c>
      <c r="T111" s="146">
        <f t="shared" si="117"/>
        <v>10941</v>
      </c>
      <c r="U111" s="146">
        <f t="shared" ref="U111" si="118">SUM(U109:U110)</f>
        <v>12189</v>
      </c>
      <c r="V111" s="32"/>
      <c r="W111" s="133">
        <f t="shared" ref="W111:AD111" si="119">SUM(W109:W110)</f>
        <v>0</v>
      </c>
      <c r="X111" s="133">
        <f t="shared" si="119"/>
        <v>795</v>
      </c>
      <c r="Y111" s="133">
        <f t="shared" si="119"/>
        <v>1824</v>
      </c>
      <c r="Z111" s="146">
        <f t="shared" si="119"/>
        <v>2844</v>
      </c>
      <c r="AA111" s="146">
        <f t="shared" si="119"/>
        <v>4246</v>
      </c>
      <c r="AB111" s="146">
        <f t="shared" si="119"/>
        <v>5134</v>
      </c>
      <c r="AC111" s="146">
        <f t="shared" si="119"/>
        <v>6262</v>
      </c>
      <c r="AD111" s="147">
        <f t="shared" si="119"/>
        <v>7272</v>
      </c>
      <c r="AE111" s="11"/>
      <c r="AF111" s="45"/>
    </row>
    <row r="112" spans="2:32" ht="5.0999999999999996" customHeight="1">
      <c r="B112" s="137"/>
      <c r="C112" s="71"/>
      <c r="D112" s="71"/>
      <c r="E112" s="71"/>
      <c r="F112" s="71"/>
      <c r="G112" s="71"/>
      <c r="H112" s="71"/>
      <c r="I112" s="32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32"/>
      <c r="W112" s="71"/>
      <c r="X112" s="71"/>
      <c r="Y112" s="71"/>
      <c r="Z112" s="71"/>
      <c r="AA112" s="71"/>
      <c r="AB112" s="71"/>
      <c r="AC112" s="71"/>
      <c r="AD112" s="135"/>
      <c r="AE112" s="11"/>
      <c r="AF112" s="45"/>
    </row>
    <row r="113" spans="2:32">
      <c r="B113" s="130" t="s">
        <v>82</v>
      </c>
      <c r="C113" s="82"/>
      <c r="D113" s="82"/>
      <c r="E113" s="82"/>
      <c r="F113" s="82"/>
      <c r="G113" s="82"/>
      <c r="H113" s="82"/>
      <c r="I113" s="32"/>
      <c r="J113" s="82"/>
      <c r="K113" s="82"/>
      <c r="L113" s="82"/>
      <c r="M113" s="32">
        <f t="shared" ref="M113" si="120">SUM(F113-SUM(J113:L113))</f>
        <v>0</v>
      </c>
      <c r="N113" s="82"/>
      <c r="O113" s="82"/>
      <c r="P113" s="82"/>
      <c r="Q113" s="32">
        <f t="shared" ref="Q113" si="121">SUM(G113-SUM(N113:P113))</f>
        <v>0</v>
      </c>
      <c r="R113" s="82"/>
      <c r="S113" s="82"/>
      <c r="T113" s="82"/>
      <c r="U113" s="82"/>
      <c r="V113" s="32"/>
      <c r="W113" s="32">
        <f>SUM(J113:M113)</f>
        <v>0</v>
      </c>
      <c r="X113" s="32">
        <f>SUM(K113:N113)</f>
        <v>0</v>
      </c>
      <c r="Y113" s="32">
        <f>SUM(L113:O113)</f>
        <v>0</v>
      </c>
      <c r="Z113" s="32">
        <f>SUM(M113:P113)</f>
        <v>0</v>
      </c>
      <c r="AA113" s="32">
        <f>SUM(N113:Q113)</f>
        <v>0</v>
      </c>
      <c r="AB113" s="32">
        <f>SUM(O113:R113)</f>
        <v>0</v>
      </c>
      <c r="AC113" s="32">
        <f>SUM(P113:S113)</f>
        <v>0</v>
      </c>
      <c r="AD113" s="134">
        <f>SUM(Q113:T113)</f>
        <v>0</v>
      </c>
      <c r="AE113" s="11"/>
      <c r="AF113" s="45"/>
    </row>
    <row r="114" spans="2:32">
      <c r="B114" s="130" t="s">
        <v>92</v>
      </c>
      <c r="C114" s="82"/>
      <c r="D114" s="82"/>
      <c r="E114" s="82"/>
      <c r="F114" s="82"/>
      <c r="G114" s="82"/>
      <c r="H114" s="82"/>
      <c r="I114" s="32"/>
      <c r="J114" s="82"/>
      <c r="K114" s="82"/>
      <c r="L114" s="82"/>
      <c r="M114" s="32">
        <f>F114</f>
        <v>0</v>
      </c>
      <c r="N114" s="82"/>
      <c r="O114" s="82"/>
      <c r="P114" s="82"/>
      <c r="Q114" s="32">
        <f>G114</f>
        <v>0</v>
      </c>
      <c r="R114" s="82"/>
      <c r="S114" s="82"/>
      <c r="T114" s="82"/>
      <c r="U114" s="82"/>
      <c r="V114" s="32"/>
      <c r="W114" s="32">
        <f>M114</f>
        <v>0</v>
      </c>
      <c r="X114" s="32">
        <f>N114</f>
        <v>0</v>
      </c>
      <c r="Y114" s="32">
        <f>O114</f>
        <v>0</v>
      </c>
      <c r="Z114" s="32">
        <f>P114</f>
        <v>0</v>
      </c>
      <c r="AA114" s="32">
        <f>Q114</f>
        <v>0</v>
      </c>
      <c r="AB114" s="32">
        <f>R114</f>
        <v>0</v>
      </c>
      <c r="AC114" s="32">
        <f>S114</f>
        <v>0</v>
      </c>
      <c r="AD114" s="134">
        <f>T114</f>
        <v>0</v>
      </c>
      <c r="AE114" s="11"/>
      <c r="AF114" s="45"/>
    </row>
    <row r="115" spans="2:32">
      <c r="B115" s="130" t="s">
        <v>59</v>
      </c>
      <c r="C115" s="32">
        <f t="shared" ref="C115:G115" si="122">+C107+C101+C94</f>
        <v>4202</v>
      </c>
      <c r="D115" s="32">
        <f t="shared" si="122"/>
        <v>4169</v>
      </c>
      <c r="E115" s="32">
        <f t="shared" si="122"/>
        <v>2419</v>
      </c>
      <c r="F115" s="32">
        <f t="shared" si="122"/>
        <v>4246</v>
      </c>
      <c r="G115" s="32">
        <f t="shared" si="122"/>
        <v>4147</v>
      </c>
      <c r="H115" s="32">
        <f t="shared" ref="H115" si="123">+H107+H101+H94</f>
        <v>0</v>
      </c>
      <c r="I115" s="32"/>
      <c r="J115" s="32">
        <f t="shared" ref="J115:T115" si="124">+J107+J101+J94</f>
        <v>795</v>
      </c>
      <c r="K115" s="32">
        <f t="shared" si="124"/>
        <v>1029</v>
      </c>
      <c r="L115" s="32">
        <f t="shared" si="124"/>
        <v>1020</v>
      </c>
      <c r="M115" s="32">
        <f t="shared" si="124"/>
        <v>1402</v>
      </c>
      <c r="N115" s="32">
        <f t="shared" si="124"/>
        <v>888</v>
      </c>
      <c r="O115" s="32">
        <f t="shared" si="124"/>
        <v>1128</v>
      </c>
      <c r="P115" s="32">
        <f t="shared" si="124"/>
        <v>1010</v>
      </c>
      <c r="Q115" s="32">
        <f t="shared" si="124"/>
        <v>1121</v>
      </c>
      <c r="R115" s="32">
        <f t="shared" si="124"/>
        <v>1287</v>
      </c>
      <c r="S115" s="32">
        <f t="shared" si="124"/>
        <v>1261</v>
      </c>
      <c r="T115" s="32">
        <f t="shared" si="124"/>
        <v>1248</v>
      </c>
      <c r="U115" s="32">
        <f t="shared" ref="U115" si="125">+U107+U101+U94</f>
        <v>-3796</v>
      </c>
      <c r="V115" s="32"/>
      <c r="W115" s="32">
        <f>SUM(J115:M115)</f>
        <v>4246</v>
      </c>
      <c r="X115" s="32">
        <f>SUM(K115:N115)</f>
        <v>4339</v>
      </c>
      <c r="Y115" s="32">
        <f>SUM(L115:O115)</f>
        <v>4438</v>
      </c>
      <c r="Z115" s="32">
        <f>SUM(M115:P115)</f>
        <v>4428</v>
      </c>
      <c r="AA115" s="32">
        <f>SUM(N115:Q115)</f>
        <v>4147</v>
      </c>
      <c r="AB115" s="32">
        <f>SUM(O115:R115)</f>
        <v>4546</v>
      </c>
      <c r="AC115" s="32">
        <f>SUM(P115:S115)</f>
        <v>4679</v>
      </c>
      <c r="AD115" s="134">
        <f>SUM(Q115:T115)</f>
        <v>4917</v>
      </c>
      <c r="AE115" s="11"/>
      <c r="AF115" s="45"/>
    </row>
    <row r="116" spans="2:32">
      <c r="B116" s="89" t="s">
        <v>69</v>
      </c>
      <c r="C116" s="146">
        <f t="shared" ref="C116:H116" si="126">SUM(C111:C115)</f>
        <v>4202</v>
      </c>
      <c r="D116" s="146">
        <f t="shared" si="126"/>
        <v>8371</v>
      </c>
      <c r="E116" s="146">
        <f t="shared" si="126"/>
        <v>10790</v>
      </c>
      <c r="F116" s="146">
        <f t="shared" si="126"/>
        <v>15036</v>
      </c>
      <c r="G116" s="146">
        <f t="shared" si="126"/>
        <v>19183</v>
      </c>
      <c r="H116" s="146">
        <f t="shared" si="126"/>
        <v>19183</v>
      </c>
      <c r="I116" s="32"/>
      <c r="J116" s="146">
        <f t="shared" ref="J116:U116" si="127">SUM(J111:J115)</f>
        <v>795</v>
      </c>
      <c r="K116" s="146">
        <f t="shared" si="127"/>
        <v>1824</v>
      </c>
      <c r="L116" s="146">
        <f t="shared" si="127"/>
        <v>2844</v>
      </c>
      <c r="M116" s="146">
        <f t="shared" si="127"/>
        <v>4246</v>
      </c>
      <c r="N116" s="146">
        <f t="shared" si="127"/>
        <v>5134</v>
      </c>
      <c r="O116" s="146">
        <f t="shared" si="127"/>
        <v>6262</v>
      </c>
      <c r="P116" s="146">
        <f t="shared" si="127"/>
        <v>7272</v>
      </c>
      <c r="Q116" s="146">
        <f t="shared" si="127"/>
        <v>8393</v>
      </c>
      <c r="R116" s="146">
        <f t="shared" si="127"/>
        <v>9680</v>
      </c>
      <c r="S116" s="146">
        <f t="shared" si="127"/>
        <v>10941</v>
      </c>
      <c r="T116" s="146">
        <f t="shared" si="127"/>
        <v>12189</v>
      </c>
      <c r="U116" s="146">
        <f t="shared" si="127"/>
        <v>8393</v>
      </c>
      <c r="V116" s="32"/>
      <c r="W116" s="133">
        <f t="shared" ref="W116:AD116" si="128">SUM(W111:W115)</f>
        <v>4246</v>
      </c>
      <c r="X116" s="133">
        <f t="shared" si="128"/>
        <v>5134</v>
      </c>
      <c r="Y116" s="133">
        <f t="shared" si="128"/>
        <v>6262</v>
      </c>
      <c r="Z116" s="146">
        <f t="shared" si="128"/>
        <v>7272</v>
      </c>
      <c r="AA116" s="146">
        <f t="shared" si="128"/>
        <v>8393</v>
      </c>
      <c r="AB116" s="146">
        <f t="shared" si="128"/>
        <v>9680</v>
      </c>
      <c r="AC116" s="146">
        <f t="shared" si="128"/>
        <v>10941</v>
      </c>
      <c r="AD116" s="147">
        <f t="shared" si="128"/>
        <v>12189</v>
      </c>
      <c r="AE116" s="11"/>
      <c r="AF116" s="45"/>
    </row>
    <row r="117" spans="2:32" ht="5.0999999999999996" customHeight="1">
      <c r="B117" s="90"/>
      <c r="C117" s="65"/>
      <c r="D117" s="65"/>
      <c r="E117" s="65"/>
      <c r="F117" s="65"/>
      <c r="G117" s="65"/>
      <c r="H117" s="65"/>
      <c r="I117" s="32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W117" s="11"/>
      <c r="X117" s="11"/>
      <c r="Y117" s="11"/>
      <c r="Z117" s="11"/>
      <c r="AA117" s="11"/>
      <c r="AB117" s="11"/>
      <c r="AC117" s="11"/>
      <c r="AD117" s="91"/>
      <c r="AE117" s="11"/>
      <c r="AF117" s="45"/>
    </row>
    <row r="118" spans="2:32">
      <c r="B118" s="138" t="s">
        <v>85</v>
      </c>
      <c r="C118" s="87">
        <f>ROUND(C116-C42,1)</f>
        <v>4202</v>
      </c>
      <c r="D118" s="87">
        <f>ROUND(D116-D42,1)</f>
        <v>3577</v>
      </c>
      <c r="E118" s="87">
        <f>ROUND(E116-E42,1)</f>
        <v>3014</v>
      </c>
      <c r="F118" s="87">
        <f>ROUND(F116-F42,1)</f>
        <v>5955</v>
      </c>
      <c r="G118" s="87">
        <f>ROUND(G116-G42,1)</f>
        <v>12622</v>
      </c>
      <c r="H118" s="87">
        <f>ROUND(H116-H42,1)</f>
        <v>19183</v>
      </c>
      <c r="I118" s="88"/>
      <c r="J118" s="87">
        <f>J116-J42</f>
        <v>-6306</v>
      </c>
      <c r="K118" s="87">
        <f>K116-K42</f>
        <v>-3680</v>
      </c>
      <c r="L118" s="87">
        <f>L116-L42</f>
        <v>-3972</v>
      </c>
      <c r="M118" s="87">
        <f>M116-M42</f>
        <v>-4835</v>
      </c>
      <c r="N118" s="87">
        <f>N116-N42</f>
        <v>-4559</v>
      </c>
      <c r="O118" s="87">
        <f>O116-O42</f>
        <v>-1439</v>
      </c>
      <c r="P118" s="87">
        <f>P116-P42</f>
        <v>0</v>
      </c>
      <c r="Q118" s="87">
        <f>Q116-Q42</f>
        <v>1832</v>
      </c>
      <c r="R118" s="87">
        <f>R116-R42</f>
        <v>2231</v>
      </c>
      <c r="S118" s="87">
        <f>S116-S42</f>
        <v>4253</v>
      </c>
      <c r="T118" s="87">
        <f>T116-T42</f>
        <v>3194</v>
      </c>
      <c r="U118" s="87">
        <f>U116-U42</f>
        <v>8393</v>
      </c>
      <c r="V118" s="87"/>
      <c r="W118" s="87">
        <f>W116-W42</f>
        <v>-4835</v>
      </c>
      <c r="X118" s="87">
        <f>X116-X42</f>
        <v>-4559</v>
      </c>
      <c r="Y118" s="87">
        <f>Y116-Y42</f>
        <v>-1439</v>
      </c>
      <c r="Z118" s="87">
        <f>Z116-Z42</f>
        <v>0</v>
      </c>
      <c r="AA118" s="87">
        <f>AA116-AA42</f>
        <v>1832</v>
      </c>
      <c r="AB118" s="87">
        <f>AB116-AB42</f>
        <v>2231</v>
      </c>
      <c r="AC118" s="87">
        <f>AC116-AC42</f>
        <v>4253</v>
      </c>
      <c r="AD118" s="136">
        <f>AD116-AD42</f>
        <v>3194</v>
      </c>
      <c r="AE118" s="11"/>
      <c r="AF118" s="45"/>
    </row>
    <row r="119" spans="2:32" ht="5.0999999999999996" customHeight="1">
      <c r="B119" s="8"/>
      <c r="C119" s="65"/>
      <c r="D119" s="65"/>
      <c r="E119" s="65"/>
      <c r="F119" s="65"/>
      <c r="G119" s="65"/>
      <c r="H119" s="65"/>
      <c r="I119" s="32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W119" s="11"/>
      <c r="X119" s="11"/>
      <c r="Y119" s="11"/>
      <c r="Z119" s="11"/>
      <c r="AA119" s="11"/>
      <c r="AB119" s="11"/>
      <c r="AC119" s="11"/>
      <c r="AD119" s="11"/>
      <c r="AE119" s="11"/>
      <c r="AF119" s="45"/>
    </row>
    <row r="120" spans="2:32" ht="12.75" customHeight="1">
      <c r="B120" s="72" t="s">
        <v>60</v>
      </c>
      <c r="C120" s="62"/>
      <c r="D120" s="62"/>
      <c r="E120" s="62"/>
      <c r="F120" s="62"/>
      <c r="G120" s="62"/>
      <c r="H120" s="62"/>
      <c r="I120" s="11"/>
      <c r="J120" s="62"/>
      <c r="K120" s="62"/>
      <c r="L120" s="62"/>
      <c r="M120" s="62"/>
      <c r="N120" s="62"/>
      <c r="O120" s="62"/>
      <c r="P120" s="62"/>
      <c r="Q120" s="62"/>
      <c r="R120" s="82"/>
      <c r="S120" s="62"/>
      <c r="T120" s="62"/>
      <c r="U120" s="62"/>
      <c r="W120" s="62"/>
      <c r="X120" s="62"/>
      <c r="Y120" s="62"/>
      <c r="Z120" s="62"/>
      <c r="AA120" s="62"/>
      <c r="AB120" s="62"/>
      <c r="AC120" s="62"/>
      <c r="AD120" s="62"/>
      <c r="AE120" s="66"/>
      <c r="AF120" s="45"/>
    </row>
    <row r="121" spans="2:32" ht="12.75" customHeight="1">
      <c r="B121" s="8" t="s">
        <v>93</v>
      </c>
      <c r="C121" s="82"/>
      <c r="D121" s="82"/>
      <c r="E121" s="82"/>
      <c r="F121" s="82"/>
      <c r="G121" s="82"/>
      <c r="H121" s="82"/>
      <c r="I121" s="11"/>
      <c r="J121" s="82"/>
      <c r="K121" s="82"/>
      <c r="L121" s="82"/>
      <c r="M121" s="32">
        <f t="shared" ref="M121:M122" si="129">SUM(F121-SUM(J121:L121))</f>
        <v>0</v>
      </c>
      <c r="N121" s="82"/>
      <c r="O121" s="82"/>
      <c r="P121" s="82"/>
      <c r="Q121" s="32">
        <f t="shared" ref="Q121:Q122" si="130">SUM(G121-SUM(N121:P121))</f>
        <v>0</v>
      </c>
      <c r="R121" s="82"/>
      <c r="S121" s="82"/>
      <c r="T121" s="82"/>
      <c r="U121" s="82"/>
      <c r="W121" s="32">
        <f>SUM(J121:M121)</f>
        <v>0</v>
      </c>
      <c r="X121" s="32">
        <f>SUM(K121:N121)</f>
        <v>0</v>
      </c>
      <c r="Y121" s="32">
        <f>SUM(L121:O121)</f>
        <v>0</v>
      </c>
      <c r="Z121" s="32">
        <f>SUM(M121:P121)</f>
        <v>0</v>
      </c>
      <c r="AA121" s="32">
        <f>SUM(N121:Q121)</f>
        <v>0</v>
      </c>
      <c r="AB121" s="32">
        <f>SUM(O121:R121)</f>
        <v>0</v>
      </c>
      <c r="AC121" s="32">
        <f>SUM(P121:S121)</f>
        <v>0</v>
      </c>
      <c r="AD121" s="32">
        <f>SUM(Q121:T121)</f>
        <v>0</v>
      </c>
      <c r="AE121" s="66"/>
      <c r="AF121" s="45"/>
    </row>
    <row r="122" spans="2:32" ht="12.75" customHeight="1">
      <c r="B122" s="8" t="s">
        <v>109</v>
      </c>
      <c r="C122" s="82"/>
      <c r="D122" s="82"/>
      <c r="E122" s="82"/>
      <c r="F122" s="82"/>
      <c r="G122" s="82"/>
      <c r="H122" s="82"/>
      <c r="I122" s="32"/>
      <c r="J122" s="82"/>
      <c r="K122" s="82"/>
      <c r="L122" s="82"/>
      <c r="M122" s="32">
        <f t="shared" si="129"/>
        <v>0</v>
      </c>
      <c r="N122" s="82"/>
      <c r="O122" s="82"/>
      <c r="P122" s="82"/>
      <c r="Q122" s="32">
        <f t="shared" si="130"/>
        <v>0</v>
      </c>
      <c r="R122" s="82"/>
      <c r="S122" s="82"/>
      <c r="T122" s="82"/>
      <c r="U122" s="82"/>
      <c r="V122" s="32"/>
      <c r="W122" s="32">
        <f>SUM(J122:M122)</f>
        <v>0</v>
      </c>
      <c r="X122" s="32">
        <f>SUM(K122:N122)</f>
        <v>0</v>
      </c>
      <c r="Y122" s="32">
        <f>SUM(L122:O122)</f>
        <v>0</v>
      </c>
      <c r="Z122" s="32">
        <f>SUM(M122:P122)</f>
        <v>0</v>
      </c>
      <c r="AA122" s="32">
        <f>SUM(N122:Q122)</f>
        <v>0</v>
      </c>
      <c r="AB122" s="32">
        <f>SUM(O122:R122)</f>
        <v>0</v>
      </c>
      <c r="AC122" s="32">
        <f>SUM(P122:S122)</f>
        <v>0</v>
      </c>
      <c r="AD122" s="32">
        <f>SUM(Q122:T122)</f>
        <v>0</v>
      </c>
      <c r="AE122" s="11"/>
      <c r="AF122" s="45"/>
    </row>
    <row r="123" spans="2:32" ht="5.0999999999999996" customHeight="1" thickBot="1">
      <c r="B123" s="73"/>
      <c r="C123" s="74"/>
      <c r="D123" s="74"/>
      <c r="E123" s="74"/>
      <c r="F123" s="74"/>
      <c r="G123" s="74"/>
      <c r="H123" s="74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F123" s="45"/>
    </row>
    <row r="124" spans="2:32" ht="12.75" customHeight="1">
      <c r="B124" s="53"/>
      <c r="C124" s="67"/>
      <c r="D124" s="67"/>
      <c r="E124" s="67"/>
      <c r="F124" s="67"/>
      <c r="G124" s="67"/>
      <c r="H124" s="67"/>
    </row>
    <row r="125" spans="2:32" ht="12.75" customHeight="1">
      <c r="C125" s="56"/>
      <c r="D125" s="56"/>
      <c r="E125" s="56"/>
      <c r="F125" s="56"/>
      <c r="G125" s="56"/>
      <c r="H125" s="56"/>
    </row>
    <row r="126" spans="2:32" ht="12.75" customHeight="1"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32" ht="12.75" customHeight="1"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32" ht="12.75" customHeight="1"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3:15" ht="12.75" customHeight="1"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3:15" ht="12.75" customHeight="1"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86"/>
    </row>
    <row r="131" spans="3:15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3:15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86"/>
    </row>
    <row r="133" spans="3:15"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86"/>
    </row>
    <row r="134" spans="3:15"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86"/>
    </row>
    <row r="135" spans="3:15"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3:15"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86"/>
    </row>
    <row r="137" spans="3:15"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86"/>
    </row>
    <row r="138" spans="3:15"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3:15"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</sheetData>
  <mergeCells count="3">
    <mergeCell ref="AF6:AF8"/>
    <mergeCell ref="AF37:AF39"/>
    <mergeCell ref="AF80:AF82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C29 I49 W21:AA22 W25:AA25 W24:Y24" formulaRange="1"/>
    <ignoredError sqref="D21:G22 J21:T22 J25:T25 D25:G25 AD101:AF103 AD94:AF95 AE100 J29:T29 D29:G29 AD96:AE96 AE104:AF104" evalError="1"/>
    <ignoredError sqref="W114:AD114 W113:AD11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F26"/>
  <sheetViews>
    <sheetView showGridLines="0" zoomScale="115" zoomScaleNormal="115" workbookViewId="0">
      <selection activeCell="B33" sqref="B33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8" width="8.625" style="8" bestFit="1" customWidth="1"/>
    <col min="9" max="9" width="1.5" style="8" customWidth="1"/>
    <col min="10" max="11" width="8" style="8" customWidth="1" outlineLevel="1"/>
    <col min="12" max="13" width="8.75" style="8" customWidth="1" outlineLevel="1"/>
    <col min="14" max="14" width="8.5" style="8" customWidth="1" outlineLevel="1"/>
    <col min="15" max="15" width="8.25" style="8" customWidth="1" outlineLevel="1"/>
    <col min="16" max="16" width="8.5" style="8" bestFit="1" customWidth="1"/>
    <col min="17" max="21" width="9.125" style="8" bestFit="1" customWidth="1"/>
    <col min="22" max="22" width="1.5" style="8" customWidth="1"/>
    <col min="23" max="27" width="8.75" style="8" customWidth="1" outlineLevel="1"/>
    <col min="28" max="28" width="8.75" style="8" customWidth="1"/>
    <col min="29" max="31" width="8.75" style="8" customWidth="1" outlineLevel="1"/>
    <col min="32" max="32" width="8.75" style="8" customWidth="1"/>
    <col min="33" max="16384" width="9" style="8"/>
  </cols>
  <sheetData>
    <row r="2" spans="1:32" s="5" customFormat="1" ht="12.75" customHeight="1">
      <c r="B2" s="1" t="str">
        <f>'Historical Financials'!B2</f>
        <v>PayPal Holdings Inc (NASDAQ: PYPL)</v>
      </c>
      <c r="C2" s="2" t="s">
        <v>0</v>
      </c>
      <c r="D2" s="2" t="s">
        <v>0</v>
      </c>
      <c r="E2" s="2" t="s">
        <v>0</v>
      </c>
      <c r="F2" s="2"/>
      <c r="G2" s="2"/>
      <c r="H2" s="2"/>
      <c r="I2" s="3"/>
      <c r="J2" s="2"/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2"/>
      <c r="V2" s="3"/>
      <c r="W2" s="2"/>
      <c r="X2" s="2"/>
      <c r="Y2" s="2"/>
      <c r="Z2" s="2"/>
      <c r="AA2" s="2"/>
      <c r="AB2" s="2" t="s">
        <v>10</v>
      </c>
      <c r="AC2" s="2"/>
      <c r="AD2" s="2"/>
      <c r="AE2" s="2"/>
      <c r="AF2" s="2"/>
    </row>
    <row r="3" spans="1:32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1Q23</v>
      </c>
      <c r="K3" s="7" t="str">
        <f>'Historical Financials'!K7</f>
        <v>2Q23</v>
      </c>
      <c r="L3" s="7" t="str">
        <f>'Historical Financials'!L7</f>
        <v>3Q23</v>
      </c>
      <c r="M3" s="7" t="str">
        <f>'Historical Financials'!M7</f>
        <v>4Q23</v>
      </c>
      <c r="N3" s="7" t="str">
        <f>'Historical Financials'!N7</f>
        <v>1Q24</v>
      </c>
      <c r="O3" s="7" t="str">
        <f>'Historical Financials'!O7</f>
        <v>2Q24</v>
      </c>
      <c r="P3" s="7" t="str">
        <f>'Historical Financials'!P7</f>
        <v>3Q24</v>
      </c>
      <c r="Q3" s="7" t="str">
        <f>'Historical Financials'!Q7</f>
        <v>4Q24</v>
      </c>
      <c r="R3" s="7" t="str">
        <f>'Historical Financials'!R7</f>
        <v>1Q25</v>
      </c>
      <c r="S3" s="7" t="str">
        <f>'Historical Financials'!S7</f>
        <v>2Q25</v>
      </c>
      <c r="T3" s="7" t="str">
        <f>'Historical Financials'!T7</f>
        <v>3Q25</v>
      </c>
      <c r="U3" s="7" t="str">
        <f>'Historical Financials'!U7</f>
        <v>4Q25</v>
      </c>
      <c r="V3" s="4"/>
      <c r="W3" s="4" t="str">
        <f>M3</f>
        <v>4Q23</v>
      </c>
      <c r="X3" s="4" t="str">
        <f>N3</f>
        <v>1Q24</v>
      </c>
      <c r="Y3" s="4" t="str">
        <f>O3</f>
        <v>2Q24</v>
      </c>
      <c r="Z3" s="4" t="str">
        <f>P3</f>
        <v>3Q24</v>
      </c>
      <c r="AA3" s="4" t="str">
        <f>Q3</f>
        <v>4Q24</v>
      </c>
      <c r="AB3" s="4" t="str">
        <f>R3</f>
        <v>1Q25</v>
      </c>
      <c r="AC3" s="4" t="str">
        <f>S3</f>
        <v>2Q25</v>
      </c>
      <c r="AD3" s="4" t="str">
        <f>T3</f>
        <v>3Q25</v>
      </c>
      <c r="AE3" s="4" t="str">
        <f>U3</f>
        <v>4Q25</v>
      </c>
      <c r="AF3" s="4" t="e">
        <f>#REF!</f>
        <v>#REF!</v>
      </c>
    </row>
    <row r="4" spans="1:32" s="5" customFormat="1" ht="12.75" customHeight="1">
      <c r="B4" s="6" t="s">
        <v>160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>
        <f>'Historical Financials'!H8</f>
        <v>0</v>
      </c>
      <c r="I4" s="3"/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/>
      <c r="W4" s="3">
        <f>M4</f>
        <v>0</v>
      </c>
      <c r="X4" s="3">
        <f>N4</f>
        <v>0</v>
      </c>
      <c r="Y4" s="3">
        <f>O4</f>
        <v>0</v>
      </c>
      <c r="Z4" s="3">
        <f>P4</f>
        <v>0</v>
      </c>
      <c r="AA4" s="3">
        <f>Q4</f>
        <v>0</v>
      </c>
      <c r="AB4" s="3">
        <f>R4</f>
        <v>0</v>
      </c>
      <c r="AC4" s="3">
        <f>S4</f>
        <v>0</v>
      </c>
      <c r="AD4" s="3">
        <f>T4</f>
        <v>0</v>
      </c>
      <c r="AE4" s="3">
        <f>U4</f>
        <v>0</v>
      </c>
      <c r="AF4" s="3" t="e">
        <f>#REF!</f>
        <v>#REF!</v>
      </c>
    </row>
    <row r="5" spans="1:32" ht="5.0999999999999996" customHeight="1"/>
    <row r="6" spans="1:32">
      <c r="A6" s="36" t="s">
        <v>16</v>
      </c>
      <c r="B6" s="1" t="s">
        <v>161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5.0999999999999996" customHeight="1"/>
    <row r="8" spans="1:32" ht="12.75" customHeight="1">
      <c r="A8" s="80" t="s">
        <v>16</v>
      </c>
      <c r="B8" s="78" t="s">
        <v>162</v>
      </c>
      <c r="C8" s="10"/>
      <c r="D8" s="10"/>
      <c r="E8" s="10"/>
      <c r="F8" s="10"/>
      <c r="G8" s="10"/>
      <c r="H8" s="10"/>
      <c r="I8" s="10"/>
      <c r="J8" s="95"/>
      <c r="K8" s="95"/>
      <c r="L8" s="95"/>
      <c r="M8" s="32"/>
      <c r="N8" s="95"/>
      <c r="O8" s="95"/>
      <c r="P8" s="95"/>
      <c r="Q8" s="32"/>
      <c r="R8" s="95"/>
      <c r="S8" s="95"/>
      <c r="T8" s="95"/>
      <c r="U8" s="95"/>
      <c r="V8" s="5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ht="12.75" customHeight="1">
      <c r="A9" s="80"/>
      <c r="B9" s="9" t="s">
        <v>169</v>
      </c>
      <c r="C9" s="81">
        <v>19918</v>
      </c>
      <c r="D9" s="81">
        <v>23402</v>
      </c>
      <c r="E9" s="81">
        <v>25206</v>
      </c>
      <c r="F9" s="81">
        <v>26857</v>
      </c>
      <c r="G9" s="81">
        <v>28842</v>
      </c>
      <c r="H9" s="81"/>
      <c r="I9" s="10"/>
      <c r="J9" s="81">
        <v>6364</v>
      </c>
      <c r="K9" s="81">
        <v>6556</v>
      </c>
      <c r="L9" s="81">
        <v>6654</v>
      </c>
      <c r="M9" s="32">
        <f t="shared" ref="M9:M10" si="0">SUM(F9-SUM(J9:L9))</f>
        <v>7283</v>
      </c>
      <c r="N9" s="81">
        <v>7034</v>
      </c>
      <c r="O9" s="81">
        <v>7153</v>
      </c>
      <c r="P9" s="81">
        <v>7067</v>
      </c>
      <c r="Q9" s="32">
        <f t="shared" ref="Q9:Q10" si="1">SUM(G9-SUM(N9:P9))</f>
        <v>7588</v>
      </c>
      <c r="R9" s="81">
        <v>7016</v>
      </c>
      <c r="S9" s="81">
        <v>7441</v>
      </c>
      <c r="T9" s="81">
        <v>7522</v>
      </c>
      <c r="U9" s="32">
        <f t="shared" ref="U9:U10" si="2">SUM(H9-SUM(R9:T9))</f>
        <v>-21979</v>
      </c>
      <c r="V9" s="5"/>
      <c r="W9" s="32">
        <f>SUM(J9:M9)</f>
        <v>26857</v>
      </c>
      <c r="X9" s="32">
        <f>SUM(K9:N9)</f>
        <v>27527</v>
      </c>
      <c r="Y9" s="32">
        <f>SUM(L9:O9)</f>
        <v>28124</v>
      </c>
      <c r="Z9" s="32">
        <f>SUM(M9:P9)</f>
        <v>28537</v>
      </c>
      <c r="AA9" s="32">
        <f>SUM(N9:Q9)</f>
        <v>28842</v>
      </c>
      <c r="AB9" s="32">
        <f>SUM(O9:R9)</f>
        <v>28824</v>
      </c>
      <c r="AC9" s="32">
        <f>SUM(P9:S9)</f>
        <v>29112</v>
      </c>
      <c r="AD9" s="32">
        <f>SUM(Q9:T9)</f>
        <v>29567</v>
      </c>
      <c r="AE9" s="32">
        <f>SUM(R9:U9)</f>
        <v>0</v>
      </c>
      <c r="AF9" s="32">
        <f>SUM(S9:U9)</f>
        <v>-7016</v>
      </c>
    </row>
    <row r="10" spans="1:32">
      <c r="B10" s="9" t="s">
        <v>170</v>
      </c>
      <c r="C10" s="81">
        <v>1536</v>
      </c>
      <c r="D10" s="81">
        <v>1969</v>
      </c>
      <c r="E10" s="81">
        <v>2312</v>
      </c>
      <c r="F10" s="81">
        <v>2914</v>
      </c>
      <c r="G10" s="81">
        <v>2955</v>
      </c>
      <c r="H10" s="81"/>
      <c r="I10" s="81"/>
      <c r="J10" s="81">
        <v>676</v>
      </c>
      <c r="K10" s="81">
        <v>731</v>
      </c>
      <c r="L10" s="81">
        <v>764</v>
      </c>
      <c r="M10" s="32">
        <f t="shared" si="0"/>
        <v>743</v>
      </c>
      <c r="N10" s="81">
        <v>665</v>
      </c>
      <c r="O10" s="81">
        <v>732</v>
      </c>
      <c r="P10" s="81">
        <v>780</v>
      </c>
      <c r="Q10" s="32">
        <f t="shared" si="1"/>
        <v>778</v>
      </c>
      <c r="R10" s="81">
        <v>775</v>
      </c>
      <c r="S10" s="81">
        <v>847</v>
      </c>
      <c r="T10" s="81">
        <v>895</v>
      </c>
      <c r="U10" s="32">
        <f t="shared" si="2"/>
        <v>-2517</v>
      </c>
      <c r="V10" s="5"/>
      <c r="W10" s="32">
        <f>SUM(J10:M10)</f>
        <v>2914</v>
      </c>
      <c r="X10" s="32">
        <f>SUM(K10:N10)</f>
        <v>2903</v>
      </c>
      <c r="Y10" s="32">
        <f>SUM(L10:O10)</f>
        <v>2904</v>
      </c>
      <c r="Z10" s="32">
        <f>SUM(M10:P10)</f>
        <v>2920</v>
      </c>
      <c r="AA10" s="32">
        <f>SUM(N10:Q10)</f>
        <v>2955</v>
      </c>
      <c r="AB10" s="32">
        <f>SUM(O10:R10)</f>
        <v>3065</v>
      </c>
      <c r="AC10" s="32">
        <f>SUM(P10:S10)</f>
        <v>3180</v>
      </c>
      <c r="AD10" s="32">
        <f>SUM(Q10:T10)</f>
        <v>3295</v>
      </c>
      <c r="AE10" s="32">
        <f>SUM(R10:U10)</f>
        <v>0</v>
      </c>
      <c r="AF10" s="32">
        <f>SUM(S10:U10)</f>
        <v>-775</v>
      </c>
    </row>
    <row r="11" spans="1:32">
      <c r="B11" s="13" t="s">
        <v>65</v>
      </c>
      <c r="C11" s="14">
        <f>SUM(C9:C10)</f>
        <v>21454</v>
      </c>
      <c r="D11" s="14">
        <f>SUM(D9:D10)</f>
        <v>25371</v>
      </c>
      <c r="E11" s="14">
        <f>SUM(E9:E10)</f>
        <v>27518</v>
      </c>
      <c r="F11" s="14">
        <f>SUM(F9:F10)</f>
        <v>29771</v>
      </c>
      <c r="G11" s="14">
        <f>SUM(G9:G10)</f>
        <v>31797</v>
      </c>
      <c r="H11" s="14">
        <f>SUM(H9:H10)</f>
        <v>0</v>
      </c>
      <c r="I11" s="11"/>
      <c r="J11" s="14">
        <f>SUM(J9:J10)</f>
        <v>7040</v>
      </c>
      <c r="K11" s="14">
        <f>SUM(K9:K10)</f>
        <v>7287</v>
      </c>
      <c r="L11" s="14">
        <f>SUM(L9:L10)</f>
        <v>7418</v>
      </c>
      <c r="M11" s="14">
        <f>SUM(M9:M10)</f>
        <v>8026</v>
      </c>
      <c r="N11" s="14">
        <f>SUM(N9:N10)</f>
        <v>7699</v>
      </c>
      <c r="O11" s="14">
        <f>SUM(O9:O10)</f>
        <v>7885</v>
      </c>
      <c r="P11" s="14">
        <f>SUM(P9:P10)</f>
        <v>7847</v>
      </c>
      <c r="Q11" s="14">
        <f>SUM(Q9:Q10)</f>
        <v>8366</v>
      </c>
      <c r="R11" s="14">
        <f>SUM(R9:R10)</f>
        <v>7791</v>
      </c>
      <c r="S11" s="14">
        <f>SUM(S9:S10)</f>
        <v>8288</v>
      </c>
      <c r="T11" s="14">
        <f>SUM(T9:T10)</f>
        <v>8417</v>
      </c>
      <c r="U11" s="14">
        <f>SUM(U9:U10)</f>
        <v>-24496</v>
      </c>
      <c r="V11" s="5"/>
      <c r="W11" s="14">
        <f>SUM(W9:W10)</f>
        <v>29771</v>
      </c>
      <c r="X11" s="14">
        <f>SUM(X9:X10)</f>
        <v>30430</v>
      </c>
      <c r="Y11" s="14">
        <f>SUM(Y9:Y10)</f>
        <v>31028</v>
      </c>
      <c r="Z11" s="14">
        <f>SUM(Z9:Z10)</f>
        <v>31457</v>
      </c>
      <c r="AA11" s="14">
        <f>SUM(AA9:AA10)</f>
        <v>31797</v>
      </c>
      <c r="AB11" s="14">
        <f>SUM(AB9:AB10)</f>
        <v>31889</v>
      </c>
      <c r="AC11" s="14">
        <f>SUM(AC9:AC10)</f>
        <v>32292</v>
      </c>
      <c r="AD11" s="14">
        <f>SUM(AD9:AD10)</f>
        <v>32862</v>
      </c>
      <c r="AE11" s="14">
        <f>SUM(AE9:AE10)</f>
        <v>0</v>
      </c>
      <c r="AF11" s="14">
        <f>SUM(AF9:AF10)</f>
        <v>-7791</v>
      </c>
    </row>
    <row r="12" spans="1:32" outlineLevel="1">
      <c r="B12" s="131" t="s">
        <v>164</v>
      </c>
      <c r="C12" s="79">
        <f>C11-'Historical Financials'!C11</f>
        <v>0</v>
      </c>
      <c r="D12" s="79">
        <f>D11-'Historical Financials'!D11</f>
        <v>0</v>
      </c>
      <c r="E12" s="79">
        <f>E11-'Historical Financials'!E11</f>
        <v>0</v>
      </c>
      <c r="F12" s="79">
        <f>F11-'Historical Financials'!F11</f>
        <v>0</v>
      </c>
      <c r="G12" s="79">
        <f>G11-'Historical Financials'!G11</f>
        <v>0</v>
      </c>
      <c r="H12" s="79">
        <f>H11-'Historical Financials'!H11</f>
        <v>0</v>
      </c>
      <c r="I12" s="11"/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0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>
        <f>R11-'Historical Financials'!R11</f>
        <v>0</v>
      </c>
      <c r="S12" s="79">
        <f>S11-'Historical Financials'!S11</f>
        <v>0</v>
      </c>
      <c r="T12" s="79">
        <f>T11-'Historical Financials'!T11</f>
        <v>0</v>
      </c>
      <c r="U12" s="79">
        <f>U11-'Historical Financials'!U11</f>
        <v>0</v>
      </c>
      <c r="V12" s="79"/>
      <c r="W12" s="79">
        <f>W11-'Historical Financials'!W11</f>
        <v>0</v>
      </c>
      <c r="X12" s="79">
        <f>X11-'Historical Financials'!X11</f>
        <v>0</v>
      </c>
      <c r="Y12" s="79">
        <f>Y11-'Historical Financials'!Y11</f>
        <v>0</v>
      </c>
      <c r="Z12" s="79">
        <f>Z11-'Historical Financials'!Z11</f>
        <v>0</v>
      </c>
      <c r="AA12" s="79">
        <f>AA11-'Historical Financials'!AA11</f>
        <v>0</v>
      </c>
      <c r="AB12" s="79">
        <f>AB11-'Historical Financials'!AB11</f>
        <v>0</v>
      </c>
      <c r="AC12" s="79">
        <f>AC11-'Historical Financials'!AC11</f>
        <v>0</v>
      </c>
      <c r="AD12" s="79">
        <f>AD11-'Historical Financials'!AD11</f>
        <v>0</v>
      </c>
      <c r="AE12" s="79">
        <f>AE11-'Historical Financials'!AE11</f>
        <v>0</v>
      </c>
      <c r="AF12" s="79">
        <f>AF11-'Historical Financials'!AF11</f>
        <v>-7791.0446641447052</v>
      </c>
    </row>
    <row r="13" spans="1:32">
      <c r="B13" s="18"/>
      <c r="C13" s="19"/>
      <c r="D13" s="19"/>
      <c r="E13" s="19"/>
      <c r="F13" s="19"/>
      <c r="G13" s="19"/>
      <c r="H13" s="19"/>
      <c r="I13" s="20"/>
      <c r="J13" s="21"/>
      <c r="K13" s="21"/>
      <c r="L13" s="21"/>
      <c r="M13" s="22"/>
      <c r="N13" s="21"/>
      <c r="O13" s="21"/>
      <c r="P13" s="21"/>
      <c r="Q13" s="21"/>
      <c r="R13" s="21"/>
      <c r="S13" s="21"/>
      <c r="T13" s="21"/>
      <c r="U13" s="21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1:32">
      <c r="B14" s="156" t="str">
        <f>B9&amp;"(%)"</f>
        <v>Transaction Revenues(%)</v>
      </c>
      <c r="C14" s="157">
        <f>SUM(C9/C$11)</f>
        <v>0.92840495944812151</v>
      </c>
      <c r="D14" s="157">
        <f>SUM(D9/D$11)</f>
        <v>0.92239170706712392</v>
      </c>
      <c r="E14" s="157">
        <f>SUM(E9/E$11)</f>
        <v>0.91598226615306344</v>
      </c>
      <c r="F14" s="157">
        <f>SUM(F9/F$11)</f>
        <v>0.90211951227704812</v>
      </c>
      <c r="G14" s="157">
        <f>SUM(G9/G$11)</f>
        <v>0.90706670440607606</v>
      </c>
      <c r="H14" s="157" t="e">
        <f>SUM(H9/H$11)</f>
        <v>#DIV/0!</v>
      </c>
      <c r="I14" s="158"/>
      <c r="J14" s="157">
        <f>SUM(J9/J$11)</f>
        <v>0.90397727272727268</v>
      </c>
      <c r="K14" s="157">
        <f>SUM(K9/K$11)</f>
        <v>0.89968436942500341</v>
      </c>
      <c r="L14" s="157">
        <f>SUM(L9/L$11)</f>
        <v>0.897007279590186</v>
      </c>
      <c r="M14" s="157">
        <f>SUM(M9/M$11)</f>
        <v>0.90742586593570895</v>
      </c>
      <c r="N14" s="157">
        <f>SUM(N9/N$11)</f>
        <v>0.91362514612287316</v>
      </c>
      <c r="O14" s="157">
        <f>SUM(O9/O$11)</f>
        <v>0.90716550412175012</v>
      </c>
      <c r="P14" s="157">
        <f>SUM(P9/P$11)</f>
        <v>0.90059895501465526</v>
      </c>
      <c r="Q14" s="157">
        <f>SUM(Q9/Q$11)</f>
        <v>0.90700454219459714</v>
      </c>
      <c r="R14" s="157">
        <f>SUM(R9/R$11)</f>
        <v>0.90052624823514316</v>
      </c>
      <c r="S14" s="157">
        <f>SUM(S9/S$11)</f>
        <v>0.89780405405405406</v>
      </c>
      <c r="T14" s="157">
        <f>SUM(T9/T$11)</f>
        <v>0.89366757752168235</v>
      </c>
      <c r="U14" s="157">
        <f>SUM(U9/U$11)</f>
        <v>0.89724853037230567</v>
      </c>
      <c r="V14" s="158"/>
      <c r="W14" s="159">
        <f>K14</f>
        <v>0.89968436942500341</v>
      </c>
      <c r="X14" s="159">
        <f>L14</f>
        <v>0.897007279590186</v>
      </c>
      <c r="Y14" s="159">
        <f>M14</f>
        <v>0.90742586593570895</v>
      </c>
      <c r="Z14" s="159">
        <f>N14</f>
        <v>0.91362514612287316</v>
      </c>
      <c r="AA14" s="159">
        <f>O14</f>
        <v>0.90716550412175012</v>
      </c>
      <c r="AB14" s="159">
        <f>P14</f>
        <v>0.90059895501465526</v>
      </c>
      <c r="AC14" s="159">
        <f>Q14</f>
        <v>0.90700454219459714</v>
      </c>
      <c r="AD14" s="159">
        <f>R14</f>
        <v>0.90052624823514316</v>
      </c>
      <c r="AE14" s="159">
        <f>S14</f>
        <v>0.89780405405405406</v>
      </c>
      <c r="AF14" s="160">
        <f>T14</f>
        <v>0.89366757752168235</v>
      </c>
    </row>
    <row r="15" spans="1:32" ht="12.75" customHeight="1">
      <c r="B15" s="161" t="str">
        <f>B10&amp;"(%)"</f>
        <v>Revenues from other VASs(%)</v>
      </c>
      <c r="C15" s="162">
        <f>SUM(C10/C$11)</f>
        <v>7.1595040551878444E-2</v>
      </c>
      <c r="D15" s="162">
        <f>SUM(D10/D$11)</f>
        <v>7.7608292932876119E-2</v>
      </c>
      <c r="E15" s="162">
        <f>SUM(E10/E$11)</f>
        <v>8.4017733846936546E-2</v>
      </c>
      <c r="F15" s="162">
        <f>SUM(F10/F$11)</f>
        <v>9.7880487722951867E-2</v>
      </c>
      <c r="G15" s="162">
        <f>SUM(G10/G$11)</f>
        <v>9.2933295593923951E-2</v>
      </c>
      <c r="H15" s="162" t="e">
        <f>SUM(H10/H$11)</f>
        <v>#DIV/0!</v>
      </c>
      <c r="I15" s="163"/>
      <c r="J15" s="162">
        <f>SUM(J10/J$11)</f>
        <v>9.6022727272727273E-2</v>
      </c>
      <c r="K15" s="162">
        <f>SUM(K10/K$11)</f>
        <v>0.10031563057499657</v>
      </c>
      <c r="L15" s="162">
        <f>SUM(L10/L$11)</f>
        <v>0.10299272040981397</v>
      </c>
      <c r="M15" s="162">
        <f>SUM(M10/M$11)</f>
        <v>9.2574134064291061E-2</v>
      </c>
      <c r="N15" s="162">
        <f>SUM(N10/N$11)</f>
        <v>8.63748538771269E-2</v>
      </c>
      <c r="O15" s="162">
        <f>SUM(O10/O$11)</f>
        <v>9.2834495878249837E-2</v>
      </c>
      <c r="P15" s="162">
        <f>SUM(P10/P$11)</f>
        <v>9.9401044985344716E-2</v>
      </c>
      <c r="Q15" s="162">
        <f>SUM(Q10/Q$11)</f>
        <v>9.2995457805402817E-2</v>
      </c>
      <c r="R15" s="162">
        <f>SUM(R10/R$11)</f>
        <v>9.9473751764856885E-2</v>
      </c>
      <c r="S15" s="162">
        <f>SUM(S10/S$11)</f>
        <v>0.10219594594594594</v>
      </c>
      <c r="T15" s="162">
        <f>SUM(T10/T$11)</f>
        <v>0.10633242247831769</v>
      </c>
      <c r="U15" s="162">
        <f>SUM(U10/U$11)</f>
        <v>0.10275146962769431</v>
      </c>
      <c r="V15" s="163"/>
      <c r="W15" s="164">
        <f>K15</f>
        <v>0.10031563057499657</v>
      </c>
      <c r="X15" s="164">
        <f>L15</f>
        <v>0.10299272040981397</v>
      </c>
      <c r="Y15" s="164">
        <f>M15</f>
        <v>9.2574134064291061E-2</v>
      </c>
      <c r="Z15" s="164">
        <f>N15</f>
        <v>8.63748538771269E-2</v>
      </c>
      <c r="AA15" s="164">
        <f>O15</f>
        <v>9.2834495878249837E-2</v>
      </c>
      <c r="AB15" s="164">
        <f>P15</f>
        <v>9.9401044985344716E-2</v>
      </c>
      <c r="AC15" s="164">
        <f>Q15</f>
        <v>9.2995457805402817E-2</v>
      </c>
      <c r="AD15" s="164">
        <f>R15</f>
        <v>9.9473751764856885E-2</v>
      </c>
      <c r="AE15" s="164">
        <f>S15</f>
        <v>0.10219594594594594</v>
      </c>
      <c r="AF15" s="165">
        <f>T15</f>
        <v>0.10633242247831769</v>
      </c>
    </row>
    <row r="16" spans="1:32">
      <c r="B16" s="18"/>
      <c r="C16" s="19"/>
      <c r="D16" s="19"/>
      <c r="E16" s="19"/>
      <c r="F16" s="19"/>
      <c r="G16" s="19"/>
      <c r="H16" s="19"/>
      <c r="I16" s="20"/>
      <c r="J16" s="21"/>
      <c r="K16" s="21"/>
      <c r="L16" s="21"/>
      <c r="M16" s="22"/>
      <c r="N16" s="21"/>
      <c r="O16" s="21"/>
      <c r="P16" s="21"/>
      <c r="Q16" s="21"/>
      <c r="R16" s="21"/>
      <c r="S16" s="21"/>
      <c r="T16" s="21"/>
      <c r="U16" s="21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1:32">
      <c r="A17" s="36" t="s">
        <v>16</v>
      </c>
      <c r="B17" s="1" t="s">
        <v>163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5.0999999999999996" customHeight="1"/>
    <row r="19" spans="1:32" ht="12.75" customHeight="1">
      <c r="A19" s="80" t="s">
        <v>16</v>
      </c>
      <c r="B19" s="78" t="s">
        <v>163</v>
      </c>
      <c r="C19" s="10"/>
      <c r="D19" s="10"/>
      <c r="E19" s="10"/>
      <c r="F19" s="10"/>
      <c r="G19" s="10"/>
      <c r="H19" s="10"/>
      <c r="I19" s="10"/>
      <c r="J19" s="95"/>
      <c r="K19" s="95"/>
      <c r="L19" s="95"/>
      <c r="M19" s="32"/>
      <c r="N19" s="95"/>
      <c r="O19" s="95"/>
      <c r="P19" s="95"/>
      <c r="Q19" s="32"/>
      <c r="R19" s="95"/>
      <c r="S19" s="95"/>
      <c r="T19" s="95"/>
      <c r="U19" s="95"/>
      <c r="V19" s="5"/>
      <c r="W19" s="11"/>
      <c r="X19" s="11"/>
      <c r="Y19" s="11"/>
      <c r="Z19" s="11"/>
      <c r="AA19" s="11"/>
      <c r="AB19" s="11"/>
      <c r="AC19" s="11"/>
      <c r="AD19" s="11"/>
      <c r="AE19" s="11"/>
      <c r="AF19" s="11"/>
    </row>
    <row r="20" spans="1:32" ht="12.75" customHeight="1">
      <c r="A20" s="80"/>
      <c r="B20" s="9" t="s">
        <v>171</v>
      </c>
      <c r="C20" s="81">
        <v>11013</v>
      </c>
      <c r="D20" s="81">
        <v>13712</v>
      </c>
      <c r="E20" s="81">
        <v>15807</v>
      </c>
      <c r="F20" s="81">
        <v>17253</v>
      </c>
      <c r="G20" s="81">
        <v>18267</v>
      </c>
      <c r="H20" s="81"/>
      <c r="I20" s="10"/>
      <c r="J20" s="81">
        <v>4147</v>
      </c>
      <c r="K20" s="81">
        <v>4210</v>
      </c>
      <c r="L20" s="81">
        <v>4257</v>
      </c>
      <c r="M20" s="32">
        <f t="shared" ref="M20:M21" si="3">SUM(F20-SUM(J20:L20))</f>
        <v>4639</v>
      </c>
      <c r="N20" s="81">
        <v>4467</v>
      </c>
      <c r="O20" s="81">
        <v>4550</v>
      </c>
      <c r="P20" s="81">
        <v>4518</v>
      </c>
      <c r="Q20" s="32">
        <f t="shared" ref="Q20:Q21" si="4">SUM(G20-SUM(N20:P20))</f>
        <v>4732</v>
      </c>
      <c r="R20" s="81">
        <v>4463</v>
      </c>
      <c r="S20" s="81">
        <v>4709</v>
      </c>
      <c r="T20" s="81">
        <v>4753</v>
      </c>
      <c r="U20" s="32">
        <f t="shared" ref="U20:U21" si="5">SUM(H20-SUM(R20:T20))</f>
        <v>-13925</v>
      </c>
      <c r="V20" s="5"/>
      <c r="W20" s="32">
        <f t="shared" ref="W20:W21" si="6">SUM(J20:M20)</f>
        <v>17253</v>
      </c>
      <c r="X20" s="32">
        <f>SUM(K20:N20)</f>
        <v>17573</v>
      </c>
      <c r="Y20" s="32">
        <f>SUM(L20:O20)</f>
        <v>17913</v>
      </c>
      <c r="Z20" s="32">
        <f>SUM(M20:P20)</f>
        <v>18174</v>
      </c>
      <c r="AA20" s="32">
        <f>SUM(N20:Q20)</f>
        <v>18267</v>
      </c>
      <c r="AB20" s="32">
        <f>SUM(O20:R20)</f>
        <v>18263</v>
      </c>
      <c r="AC20" s="32">
        <f>SUM(P20:S20)</f>
        <v>18422</v>
      </c>
      <c r="AD20" s="32">
        <f>SUM(Q20:T20)</f>
        <v>18657</v>
      </c>
      <c r="AE20" s="32">
        <f>SUM(R20:U20)</f>
        <v>0</v>
      </c>
      <c r="AF20" s="32">
        <f>SUM(S20:U20)</f>
        <v>-4463</v>
      </c>
    </row>
    <row r="21" spans="1:32">
      <c r="B21" s="9" t="s">
        <v>172</v>
      </c>
      <c r="C21" s="81">
        <v>10441</v>
      </c>
      <c r="D21" s="81">
        <v>11659</v>
      </c>
      <c r="E21" s="81">
        <v>11711</v>
      </c>
      <c r="F21" s="81">
        <v>12518</v>
      </c>
      <c r="G21" s="81">
        <v>13530</v>
      </c>
      <c r="H21" s="81"/>
      <c r="I21" s="81"/>
      <c r="J21" s="81">
        <v>2893</v>
      </c>
      <c r="K21" s="81">
        <v>3077</v>
      </c>
      <c r="L21" s="81">
        <v>3161</v>
      </c>
      <c r="M21" s="32">
        <f t="shared" si="3"/>
        <v>3387</v>
      </c>
      <c r="N21" s="81">
        <v>3232</v>
      </c>
      <c r="O21" s="81">
        <v>3335</v>
      </c>
      <c r="P21" s="81">
        <v>3329</v>
      </c>
      <c r="Q21" s="32">
        <f t="shared" si="4"/>
        <v>3634</v>
      </c>
      <c r="R21" s="81">
        <v>3328</v>
      </c>
      <c r="S21" s="81">
        <v>3579</v>
      </c>
      <c r="T21" s="81">
        <v>3664</v>
      </c>
      <c r="U21" s="32">
        <f t="shared" si="5"/>
        <v>-10571</v>
      </c>
      <c r="V21" s="5"/>
      <c r="W21" s="32">
        <f t="shared" si="6"/>
        <v>12518</v>
      </c>
      <c r="X21" s="32">
        <f>SUM(K21:N21)</f>
        <v>12857</v>
      </c>
      <c r="Y21" s="32">
        <f>SUM(L21:O21)</f>
        <v>13115</v>
      </c>
      <c r="Z21" s="32">
        <f>SUM(M21:P21)</f>
        <v>13283</v>
      </c>
      <c r="AA21" s="32">
        <f>SUM(N21:Q21)</f>
        <v>13530</v>
      </c>
      <c r="AB21" s="32">
        <f>SUM(O21:R21)</f>
        <v>13626</v>
      </c>
      <c r="AC21" s="32">
        <f>SUM(P21:S21)</f>
        <v>13870</v>
      </c>
      <c r="AD21" s="32">
        <f>SUM(Q21:T21)</f>
        <v>14205</v>
      </c>
      <c r="AE21" s="32">
        <f>SUM(R21:U21)</f>
        <v>0</v>
      </c>
      <c r="AF21" s="32">
        <f>SUM(S21:U21)</f>
        <v>-3328</v>
      </c>
    </row>
    <row r="22" spans="1:32">
      <c r="B22" s="13" t="s">
        <v>65</v>
      </c>
      <c r="C22" s="14">
        <f>SUM(C20:C21)</f>
        <v>21454</v>
      </c>
      <c r="D22" s="14">
        <f>SUM(D20:D21)</f>
        <v>25371</v>
      </c>
      <c r="E22" s="14">
        <f>SUM(E20:E21)</f>
        <v>27518</v>
      </c>
      <c r="F22" s="14">
        <f>SUM(F20:F21)</f>
        <v>29771</v>
      </c>
      <c r="G22" s="14">
        <f>SUM(G20:G21)</f>
        <v>31797</v>
      </c>
      <c r="H22" s="14">
        <f>SUM(H20:H21)</f>
        <v>0</v>
      </c>
      <c r="I22" s="11"/>
      <c r="J22" s="14">
        <f>SUM(J20:J21)</f>
        <v>7040</v>
      </c>
      <c r="K22" s="14">
        <f>SUM(K20:K21)</f>
        <v>7287</v>
      </c>
      <c r="L22" s="14">
        <f>SUM(L20:L21)</f>
        <v>7418</v>
      </c>
      <c r="M22" s="14">
        <f>SUM(M20:M21)</f>
        <v>8026</v>
      </c>
      <c r="N22" s="14">
        <f>SUM(N20:N21)</f>
        <v>7699</v>
      </c>
      <c r="O22" s="14">
        <f>SUM(O20:O21)</f>
        <v>7885</v>
      </c>
      <c r="P22" s="14">
        <f>SUM(P20:P21)</f>
        <v>7847</v>
      </c>
      <c r="Q22" s="14">
        <f>SUM(Q20:Q21)</f>
        <v>8366</v>
      </c>
      <c r="R22" s="14">
        <f>SUM(R20:R21)</f>
        <v>7791</v>
      </c>
      <c r="S22" s="14">
        <f>SUM(S20:S21)</f>
        <v>8288</v>
      </c>
      <c r="T22" s="14">
        <f>SUM(T20:T21)</f>
        <v>8417</v>
      </c>
      <c r="U22" s="14">
        <f>SUM(U20:U21)</f>
        <v>-24496</v>
      </c>
      <c r="V22" s="5"/>
      <c r="W22" s="14">
        <f>SUM(W20:W21)</f>
        <v>29771</v>
      </c>
      <c r="X22" s="14">
        <f>SUM(X20:X21)</f>
        <v>30430</v>
      </c>
      <c r="Y22" s="14">
        <f>SUM(Y20:Y21)</f>
        <v>31028</v>
      </c>
      <c r="Z22" s="14">
        <f>SUM(Z20:Z21)</f>
        <v>31457</v>
      </c>
      <c r="AA22" s="14">
        <f>SUM(AA20:AA21)</f>
        <v>31797</v>
      </c>
      <c r="AB22" s="14">
        <f>SUM(AB20:AB21)</f>
        <v>31889</v>
      </c>
      <c r="AC22" s="14">
        <f>SUM(AC20:AC21)</f>
        <v>32292</v>
      </c>
      <c r="AD22" s="14">
        <f>SUM(AD20:AD21)</f>
        <v>32862</v>
      </c>
      <c r="AE22" s="14">
        <f>SUM(AE20:AE21)</f>
        <v>0</v>
      </c>
      <c r="AF22" s="14">
        <f>SUM(AF20:AF21)</f>
        <v>-7791</v>
      </c>
    </row>
    <row r="23" spans="1:32" outlineLevel="1">
      <c r="B23" s="131" t="s">
        <v>164</v>
      </c>
      <c r="C23" s="79">
        <f>C22-C11</f>
        <v>0</v>
      </c>
      <c r="D23" s="79">
        <f>D22-D11</f>
        <v>0</v>
      </c>
      <c r="E23" s="79">
        <f>E22-E11</f>
        <v>0</v>
      </c>
      <c r="F23" s="79">
        <f>F22-F11</f>
        <v>0</v>
      </c>
      <c r="G23" s="79">
        <f>G22-G11</f>
        <v>0</v>
      </c>
      <c r="H23" s="79">
        <f>H22-H11</f>
        <v>0</v>
      </c>
      <c r="I23" s="11"/>
      <c r="J23" s="79">
        <f>J22-J11</f>
        <v>0</v>
      </c>
      <c r="K23" s="79">
        <f>K22-K11</f>
        <v>0</v>
      </c>
      <c r="L23" s="79">
        <f>L22-L11</f>
        <v>0</v>
      </c>
      <c r="M23" s="79">
        <f>M22-M11</f>
        <v>0</v>
      </c>
      <c r="N23" s="79">
        <f>N22-N11</f>
        <v>0</v>
      </c>
      <c r="O23" s="79">
        <f>O22-O11</f>
        <v>0</v>
      </c>
      <c r="P23" s="79">
        <f>P22-P11</f>
        <v>0</v>
      </c>
      <c r="Q23" s="79">
        <f>Q22-Q11</f>
        <v>0</v>
      </c>
      <c r="R23" s="79">
        <f>R22-R11</f>
        <v>0</v>
      </c>
      <c r="S23" s="79">
        <f>S22-S11</f>
        <v>0</v>
      </c>
      <c r="T23" s="79">
        <f>T22-T11</f>
        <v>0</v>
      </c>
      <c r="U23" s="79">
        <f>U22-U11</f>
        <v>0</v>
      </c>
      <c r="V23" s="79"/>
      <c r="W23" s="79" t="e">
        <f>W22-#REF!</f>
        <v>#REF!</v>
      </c>
      <c r="X23" s="79" t="e">
        <f>X22-#REF!</f>
        <v>#REF!</v>
      </c>
      <c r="Y23" s="79" t="e">
        <f>Y22-#REF!</f>
        <v>#REF!</v>
      </c>
      <c r="Z23" s="79" t="e">
        <f>Z22-#REF!</f>
        <v>#REF!</v>
      </c>
      <c r="AA23" s="79" t="e">
        <f>AA22-#REF!</f>
        <v>#REF!</v>
      </c>
      <c r="AB23" s="79" t="e">
        <f>AB22-#REF!</f>
        <v>#REF!</v>
      </c>
      <c r="AC23" s="79" t="e">
        <f>AC22-#REF!</f>
        <v>#REF!</v>
      </c>
      <c r="AD23" s="79" t="e">
        <f>AD22-#REF!</f>
        <v>#REF!</v>
      </c>
      <c r="AE23" s="79" t="e">
        <f>AE22-#REF!</f>
        <v>#REF!</v>
      </c>
      <c r="AF23" s="79" t="e">
        <f>AF22-#REF!</f>
        <v>#REF!</v>
      </c>
    </row>
    <row r="24" spans="1:32">
      <c r="B24" s="18"/>
      <c r="C24" s="19"/>
      <c r="D24" s="19"/>
      <c r="E24" s="19"/>
      <c r="F24" s="19"/>
      <c r="G24" s="19"/>
      <c r="H24" s="19"/>
      <c r="I24" s="20"/>
      <c r="J24" s="21"/>
      <c r="K24" s="21"/>
      <c r="L24" s="21"/>
      <c r="M24" s="22"/>
      <c r="N24" s="21"/>
      <c r="O24" s="21"/>
      <c r="P24" s="21"/>
      <c r="Q24" s="21"/>
      <c r="R24" s="21"/>
      <c r="S24" s="21"/>
      <c r="T24" s="21"/>
      <c r="U24" s="21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1:32">
      <c r="B25" s="156" t="str">
        <f>B20&amp;"(%)"</f>
        <v>U.S. (%)</v>
      </c>
      <c r="C25" s="157">
        <f>SUM(C20/C$22)</f>
        <v>0.51333084739442525</v>
      </c>
      <c r="D25" s="157">
        <f>SUM(D20/D$22)</f>
        <v>0.54045957983524495</v>
      </c>
      <c r="E25" s="157">
        <f>SUM(E20/E$22)</f>
        <v>0.57442401337306492</v>
      </c>
      <c r="F25" s="157">
        <f>SUM(F20/F$22)</f>
        <v>0.57952369755802624</v>
      </c>
      <c r="G25" s="157">
        <f>SUM(G20/G$22)</f>
        <v>0.57448815926030761</v>
      </c>
      <c r="H25" s="157" t="e">
        <f>SUM(H20/H$22)</f>
        <v>#DIV/0!</v>
      </c>
      <c r="I25" s="158"/>
      <c r="J25" s="157">
        <f>SUM(J20/J$22)</f>
        <v>0.58906250000000004</v>
      </c>
      <c r="K25" s="157">
        <f>SUM(K20/K$22)</f>
        <v>0.57774118292850285</v>
      </c>
      <c r="L25" s="157">
        <f>SUM(L20/L$22)</f>
        <v>0.57387435966567812</v>
      </c>
      <c r="M25" s="157">
        <f>SUM(M20/M$22)</f>
        <v>0.577996511338151</v>
      </c>
      <c r="N25" s="157">
        <f>SUM(N20/N$22)</f>
        <v>0.58020522145733211</v>
      </c>
      <c r="O25" s="157">
        <f>SUM(O20/O$22)</f>
        <v>0.5770450221940393</v>
      </c>
      <c r="P25" s="157">
        <f>SUM(P20/P$22)</f>
        <v>0.57576143749203512</v>
      </c>
      <c r="Q25" s="157">
        <f>SUM(Q20/Q$22)</f>
        <v>0.56562275878556056</v>
      </c>
      <c r="R25" s="157">
        <f>SUM(R20/R$22)</f>
        <v>0.57284045693749197</v>
      </c>
      <c r="S25" s="157">
        <f>SUM(S20/S$22)</f>
        <v>0.56817084942084939</v>
      </c>
      <c r="T25" s="157">
        <f>SUM(T20/T$22)</f>
        <v>0.56469050730664128</v>
      </c>
      <c r="U25" s="157">
        <f>SUM(U20/U$22)</f>
        <v>0.56846015676028738</v>
      </c>
      <c r="V25" s="158"/>
      <c r="W25" s="159">
        <f t="shared" ref="W25:AF26" si="7">K25</f>
        <v>0.57774118292850285</v>
      </c>
      <c r="X25" s="159">
        <f t="shared" si="7"/>
        <v>0.57387435966567812</v>
      </c>
      <c r="Y25" s="159">
        <f t="shared" si="7"/>
        <v>0.577996511338151</v>
      </c>
      <c r="Z25" s="159">
        <f t="shared" si="7"/>
        <v>0.58020522145733211</v>
      </c>
      <c r="AA25" s="159">
        <f t="shared" si="7"/>
        <v>0.5770450221940393</v>
      </c>
      <c r="AB25" s="159">
        <f t="shared" si="7"/>
        <v>0.57576143749203512</v>
      </c>
      <c r="AC25" s="159">
        <f t="shared" si="7"/>
        <v>0.56562275878556056</v>
      </c>
      <c r="AD25" s="159">
        <f t="shared" si="7"/>
        <v>0.57284045693749197</v>
      </c>
      <c r="AE25" s="159">
        <f t="shared" si="7"/>
        <v>0.56817084942084939</v>
      </c>
      <c r="AF25" s="160">
        <f t="shared" si="7"/>
        <v>0.56469050730664128</v>
      </c>
    </row>
    <row r="26" spans="1:32" ht="12.75" customHeight="1">
      <c r="B26" s="161" t="str">
        <f>B21&amp;"(%)"</f>
        <v>International(%)</v>
      </c>
      <c r="C26" s="162">
        <f t="shared" ref="C26:E26" si="8">SUM(C21/C$22)</f>
        <v>0.4866691526055747</v>
      </c>
      <c r="D26" s="162">
        <f t="shared" si="8"/>
        <v>0.45954042016475505</v>
      </c>
      <c r="E26" s="162">
        <f>SUM(E21/E$22)</f>
        <v>0.42557598662693508</v>
      </c>
      <c r="F26" s="162">
        <f>SUM(F21/F$22)</f>
        <v>0.42047630244197376</v>
      </c>
      <c r="G26" s="162">
        <f>SUM(G21/G$22)</f>
        <v>0.42551184073969245</v>
      </c>
      <c r="H26" s="162" t="e">
        <f>SUM(H21/H$22)</f>
        <v>#DIV/0!</v>
      </c>
      <c r="I26" s="163"/>
      <c r="J26" s="162">
        <f>SUM(J21/J$22)</f>
        <v>0.41093750000000001</v>
      </c>
      <c r="K26" s="162">
        <f>SUM(K21/K$22)</f>
        <v>0.42225881707149721</v>
      </c>
      <c r="L26" s="162">
        <f>SUM(L21/L$22)</f>
        <v>0.42612564033432193</v>
      </c>
      <c r="M26" s="162">
        <f>SUM(M21/M$22)</f>
        <v>0.422003488661849</v>
      </c>
      <c r="N26" s="162">
        <f>SUM(N21/N$22)</f>
        <v>0.41979477854266789</v>
      </c>
      <c r="O26" s="162">
        <f>SUM(O21/O$22)</f>
        <v>0.4229549778059607</v>
      </c>
      <c r="P26" s="162">
        <f>SUM(P21/P$22)</f>
        <v>0.42423856250796482</v>
      </c>
      <c r="Q26" s="162">
        <f>SUM(Q21/Q$22)</f>
        <v>0.43437724121443938</v>
      </c>
      <c r="R26" s="162">
        <f>SUM(R21/R$22)</f>
        <v>0.42715954306250803</v>
      </c>
      <c r="S26" s="162">
        <f>SUM(S21/S$22)</f>
        <v>0.43182915057915056</v>
      </c>
      <c r="T26" s="162">
        <f>SUM(T21/T$22)</f>
        <v>0.43530949269335867</v>
      </c>
      <c r="U26" s="162">
        <f>SUM(U21/U$22)</f>
        <v>0.43153984323971262</v>
      </c>
      <c r="V26" s="163"/>
      <c r="W26" s="164">
        <f t="shared" si="7"/>
        <v>0.42225881707149721</v>
      </c>
      <c r="X26" s="164">
        <f t="shared" si="7"/>
        <v>0.42612564033432193</v>
      </c>
      <c r="Y26" s="164">
        <f t="shared" si="7"/>
        <v>0.422003488661849</v>
      </c>
      <c r="Z26" s="164">
        <f t="shared" si="7"/>
        <v>0.41979477854266789</v>
      </c>
      <c r="AA26" s="164">
        <f t="shared" si="7"/>
        <v>0.4229549778059607</v>
      </c>
      <c r="AB26" s="164">
        <f t="shared" si="7"/>
        <v>0.42423856250796482</v>
      </c>
      <c r="AC26" s="164">
        <f t="shared" si="7"/>
        <v>0.43437724121443938</v>
      </c>
      <c r="AD26" s="164">
        <f t="shared" si="7"/>
        <v>0.42715954306250803</v>
      </c>
      <c r="AE26" s="164">
        <f t="shared" si="7"/>
        <v>0.43182915057915056</v>
      </c>
      <c r="AF26" s="165">
        <f t="shared" si="7"/>
        <v>0.43530949269335867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PayPal Holdings Inc (NASDAQ: PYPL)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5" t="s">
        <v>22</v>
      </c>
    </row>
    <row r="3" spans="2:29" s="5" customFormat="1" ht="12.75" customHeight="1">
      <c r="B3" s="6" t="s">
        <v>23</v>
      </c>
      <c r="C3" s="7">
        <f>'Historical Financials'!D7</f>
        <v>2021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Financials'!J7</f>
        <v>1Q23</v>
      </c>
      <c r="I3" s="7" t="str">
        <f>'Historical Financials'!K7</f>
        <v>2Q23</v>
      </c>
      <c r="J3" s="7" t="str">
        <f>'Historical Financials'!L7</f>
        <v>3Q23</v>
      </c>
      <c r="K3" s="7" t="str">
        <f>'Historical Financials'!M7</f>
        <v>4Q23</v>
      </c>
      <c r="L3" s="7" t="str">
        <f>'Historical Financials'!N7</f>
        <v>1Q24</v>
      </c>
      <c r="M3" s="7" t="str">
        <f>'Historical Financials'!O7</f>
        <v>2Q24</v>
      </c>
      <c r="N3" s="7" t="str">
        <f>'Historical Financials'!P7</f>
        <v>3Q24</v>
      </c>
      <c r="O3" s="7" t="str">
        <f>'Historical Financials'!Q7</f>
        <v>4Q24</v>
      </c>
      <c r="P3" s="7" t="str">
        <f>'Historical Financials'!R7</f>
        <v>1Q25</v>
      </c>
      <c r="Q3" s="7" t="str">
        <f>'Historical Financials'!S7</f>
        <v>2Q25</v>
      </c>
      <c r="R3" s="7" t="str">
        <f>'Historical Financials'!T7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55"/>
    </row>
    <row r="4" spans="2:29" s="5" customFormat="1" ht="12.75" customHeight="1">
      <c r="B4" s="6" t="s">
        <v>71</v>
      </c>
      <c r="C4" s="3">
        <f>'Historical Financials'!D8</f>
        <v>0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Financials'!J8</f>
        <v>0</v>
      </c>
      <c r="I4" s="3">
        <f>'Historical Financials'!K8</f>
        <v>0</v>
      </c>
      <c r="J4" s="3">
        <f>'Historical Financials'!L8</f>
        <v>0</v>
      </c>
      <c r="K4" s="3">
        <f>'Historical Financials'!M8</f>
        <v>0</v>
      </c>
      <c r="L4" s="3">
        <f>'Historical Financials'!N8</f>
        <v>0</v>
      </c>
      <c r="M4" s="3">
        <f>'Historical Financials'!O8</f>
        <v>0</v>
      </c>
      <c r="N4" s="3">
        <f>'Historical Financials'!P8</f>
        <v>0</v>
      </c>
      <c r="O4" s="3">
        <f>'Historical Financials'!Q8</f>
        <v>0</v>
      </c>
      <c r="P4" s="3">
        <f>'Historical Financials'!R8</f>
        <v>0</v>
      </c>
      <c r="Q4" s="3">
        <f>'Historical Financials'!S8</f>
        <v>0</v>
      </c>
      <c r="R4" s="3">
        <f>'Historical Financials'!T8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55"/>
    </row>
    <row r="5" spans="2:29" ht="5.0999999999999996" customHeight="1">
      <c r="AC5" s="125"/>
    </row>
    <row r="6" spans="2:29" ht="12.75" customHeight="1">
      <c r="B6" s="9" t="str">
        <f>'Revenue Drivers'!B9</f>
        <v>Transaction Revenues</v>
      </c>
      <c r="C6" s="94">
        <f>'Revenue Drivers'!E9</f>
        <v>25206</v>
      </c>
      <c r="D6" s="94">
        <f>'Revenue Drivers'!F9</f>
        <v>26857</v>
      </c>
      <c r="E6" s="94">
        <f>'Revenue Drivers'!G9</f>
        <v>28842</v>
      </c>
      <c r="F6" s="94">
        <f>'Revenue Drivers'!H9</f>
        <v>0</v>
      </c>
      <c r="G6" s="10"/>
      <c r="H6" s="94">
        <f>'Revenue Drivers'!J9</f>
        <v>6364</v>
      </c>
      <c r="I6" s="94">
        <f>'Revenue Drivers'!K9</f>
        <v>6556</v>
      </c>
      <c r="J6" s="94">
        <f>'Revenue Drivers'!L9</f>
        <v>6654</v>
      </c>
      <c r="K6" s="94">
        <f>'Revenue Drivers'!M9</f>
        <v>7283</v>
      </c>
      <c r="L6" s="94">
        <f>'Revenue Drivers'!N9</f>
        <v>7034</v>
      </c>
      <c r="M6" s="94">
        <f>'Revenue Drivers'!O9</f>
        <v>7153</v>
      </c>
      <c r="N6" s="94">
        <f>'Revenue Drivers'!P9</f>
        <v>7067</v>
      </c>
      <c r="O6" s="94">
        <f>'Revenue Drivers'!Q9</f>
        <v>7588</v>
      </c>
      <c r="P6" s="94">
        <f>'Revenue Drivers'!R9</f>
        <v>7016</v>
      </c>
      <c r="Q6" s="94">
        <f>'Revenue Drivers'!S9</f>
        <v>7441</v>
      </c>
      <c r="R6" s="94">
        <f>'Revenue Drivers'!T9</f>
        <v>7522</v>
      </c>
      <c r="S6" s="5"/>
      <c r="T6" s="142">
        <f t="shared" ref="T6:Z9" si="1">SUM(H6:K6)</f>
        <v>26857</v>
      </c>
      <c r="U6" s="142">
        <f t="shared" si="1"/>
        <v>27527</v>
      </c>
      <c r="V6" s="142">
        <f t="shared" si="1"/>
        <v>28124</v>
      </c>
      <c r="W6" s="142">
        <f t="shared" si="1"/>
        <v>28537</v>
      </c>
      <c r="X6" s="142">
        <f t="shared" si="1"/>
        <v>28842</v>
      </c>
      <c r="Y6" s="142">
        <f t="shared" si="1"/>
        <v>28824</v>
      </c>
      <c r="Z6" s="142">
        <f t="shared" si="1"/>
        <v>29112</v>
      </c>
      <c r="AA6" s="142">
        <f>SUM(O6:R6)</f>
        <v>29567</v>
      </c>
      <c r="AC6" s="126">
        <f t="shared" ref="AC6:AC10" si="2">SUM(AA6/W6)-1</f>
        <v>3.6093492658653581E-2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Drivers'!B10</f>
        <v>Revenues from other VASs</v>
      </c>
      <c r="C9" s="94">
        <f>'Revenue Drivers'!E10</f>
        <v>2312</v>
      </c>
      <c r="D9" s="94">
        <f>'Revenue Drivers'!F10</f>
        <v>2914</v>
      </c>
      <c r="E9" s="94">
        <f>'Revenue Drivers'!G10</f>
        <v>2955</v>
      </c>
      <c r="F9" s="94">
        <f>'Revenue Drivers'!H10</f>
        <v>0</v>
      </c>
      <c r="G9" s="10"/>
      <c r="H9" s="94">
        <f>'Revenue Drivers'!J10</f>
        <v>676</v>
      </c>
      <c r="I9" s="94">
        <f>'Revenue Drivers'!K10</f>
        <v>731</v>
      </c>
      <c r="J9" s="94">
        <f>'Revenue Drivers'!L10</f>
        <v>764</v>
      </c>
      <c r="K9" s="94">
        <f>'Revenue Drivers'!M10</f>
        <v>743</v>
      </c>
      <c r="L9" s="94">
        <f>'Revenue Drivers'!N10</f>
        <v>665</v>
      </c>
      <c r="M9" s="94">
        <f>'Revenue Drivers'!O10</f>
        <v>732</v>
      </c>
      <c r="N9" s="94">
        <f>'Revenue Drivers'!P10</f>
        <v>780</v>
      </c>
      <c r="O9" s="94">
        <f>'Revenue Drivers'!Q10</f>
        <v>778</v>
      </c>
      <c r="P9" s="94">
        <f>'Revenue Drivers'!R10</f>
        <v>775</v>
      </c>
      <c r="Q9" s="94">
        <f>'Revenue Drivers'!S10</f>
        <v>847</v>
      </c>
      <c r="R9" s="94">
        <f>'Revenue Drivers'!T10</f>
        <v>895</v>
      </c>
      <c r="S9" s="5"/>
      <c r="T9" s="142">
        <f t="shared" si="1"/>
        <v>2914</v>
      </c>
      <c r="U9" s="142">
        <f t="shared" si="1"/>
        <v>2903</v>
      </c>
      <c r="V9" s="142">
        <f t="shared" si="1"/>
        <v>2904</v>
      </c>
      <c r="W9" s="142">
        <f t="shared" si="1"/>
        <v>2920</v>
      </c>
      <c r="X9" s="142">
        <f t="shared" si="1"/>
        <v>2955</v>
      </c>
      <c r="Y9" s="142">
        <f t="shared" si="1"/>
        <v>3065</v>
      </c>
      <c r="Z9" s="142">
        <f t="shared" si="1"/>
        <v>3180</v>
      </c>
      <c r="AA9" s="142">
        <f>SUM(O9:R9)</f>
        <v>3295</v>
      </c>
      <c r="AC9" s="126">
        <f t="shared" si="2"/>
        <v>0.12842465753424648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116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117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120</v>
      </c>
      <c r="C19" s="141">
        <f>'Historical Financials'!D13</f>
        <v>-10315</v>
      </c>
      <c r="D19" s="141">
        <f>'Historical Financials'!E13</f>
        <v>-12173</v>
      </c>
      <c r="E19" s="141">
        <f>'Historical Financials'!F13</f>
        <v>-14385</v>
      </c>
      <c r="F19" s="141">
        <f>'Historical Financials'!G13</f>
        <v>-15697</v>
      </c>
      <c r="G19" s="94"/>
      <c r="H19" s="141">
        <f>'Historical Financials'!J13</f>
        <v>-3283</v>
      </c>
      <c r="I19" s="141">
        <f>'Historical Financials'!K13</f>
        <v>-3541</v>
      </c>
      <c r="J19" s="141">
        <f>'Historical Financials'!L13</f>
        <v>-3603</v>
      </c>
      <c r="K19" s="141">
        <f>'Historical Financials'!M13</f>
        <v>-3958</v>
      </c>
      <c r="L19" s="141">
        <f>'Historical Financials'!N13</f>
        <v>-3917</v>
      </c>
      <c r="M19" s="141">
        <f>'Historical Financials'!O13</f>
        <v>-3942</v>
      </c>
      <c r="N19" s="141">
        <f>'Historical Financials'!P13</f>
        <v>-3841</v>
      </c>
      <c r="O19" s="141">
        <f>'Historical Financials'!Q13</f>
        <v>-3997</v>
      </c>
      <c r="P19" s="141">
        <f>'Historical Financials'!R13</f>
        <v>-3704</v>
      </c>
      <c r="Q19" s="141">
        <f>'Historical Financials'!S13</f>
        <v>-3968</v>
      </c>
      <c r="R19" s="141">
        <f>'Historical Financials'!T13</f>
        <v>-4063</v>
      </c>
      <c r="S19" s="5"/>
      <c r="T19" s="142">
        <f t="shared" ref="T19:Z23" si="32">SUM(H19:K19)</f>
        <v>-14385</v>
      </c>
      <c r="U19" s="142">
        <f t="shared" si="32"/>
        <v>-15019</v>
      </c>
      <c r="V19" s="142">
        <f t="shared" si="32"/>
        <v>-15420</v>
      </c>
      <c r="W19" s="142">
        <f t="shared" si="32"/>
        <v>-15658</v>
      </c>
      <c r="X19" s="142">
        <f t="shared" si="32"/>
        <v>-15697</v>
      </c>
      <c r="Y19" s="142">
        <f t="shared" si="32"/>
        <v>-15484</v>
      </c>
      <c r="Z19" s="142">
        <f t="shared" si="32"/>
        <v>-15510</v>
      </c>
      <c r="AA19" s="142">
        <f>SUM(O19:R19)</f>
        <v>-15732</v>
      </c>
      <c r="AC19" s="126">
        <f t="shared" ref="AC19:AC23" si="33">SUM(AA19/W19)-1</f>
        <v>4.7260186486142164E-3</v>
      </c>
    </row>
    <row r="20" spans="2:29" ht="12.75" customHeight="1">
      <c r="B20" s="23" t="s">
        <v>121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117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118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119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Financials'!D88</f>
        <v>0</v>
      </c>
      <c r="D27" s="141">
        <f>'Historical Financials'!E88</f>
        <v>0</v>
      </c>
      <c r="E27" s="141">
        <f>'Historical Financials'!F88</f>
        <v>0</v>
      </c>
      <c r="F27" s="141">
        <f>'Historical Financials'!G88</f>
        <v>0</v>
      </c>
      <c r="H27" s="141">
        <f>'Historical Financials'!J88</f>
        <v>0</v>
      </c>
      <c r="I27" s="141">
        <f>'Historical Financials'!K88</f>
        <v>0</v>
      </c>
      <c r="J27" s="141">
        <f>'Historical Financials'!L88</f>
        <v>0</v>
      </c>
      <c r="K27" s="141">
        <f>'Historical Financials'!M88</f>
        <v>0</v>
      </c>
      <c r="L27" s="141">
        <f>'Historical Financials'!N88</f>
        <v>0</v>
      </c>
      <c r="M27" s="141">
        <f>'Historical Financials'!O88</f>
        <v>0</v>
      </c>
      <c r="N27" s="141">
        <f>'Historical Financials'!P88</f>
        <v>0</v>
      </c>
      <c r="O27" s="141">
        <f>'Historical Financials'!Q88</f>
        <v>0</v>
      </c>
      <c r="P27" s="141">
        <f>'Historical Financials'!R88</f>
        <v>0</v>
      </c>
      <c r="Q27" s="141">
        <f>'Historical Financials'!S88</f>
        <v>0</v>
      </c>
      <c r="R27" s="141">
        <f>'Historical Financials'!T88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122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123</v>
      </c>
      <c r="C32" s="141">
        <f>'Historical Financials'!D90</f>
        <v>0</v>
      </c>
      <c r="D32" s="141">
        <f>'Historical Financials'!E90</f>
        <v>0</v>
      </c>
      <c r="E32" s="141">
        <f>'Historical Financials'!F90</f>
        <v>0</v>
      </c>
      <c r="F32" s="141">
        <f>'Historical Financials'!G90</f>
        <v>0</v>
      </c>
      <c r="H32" s="141">
        <f>'Historical Financials'!J90</f>
        <v>0</v>
      </c>
      <c r="I32" s="141">
        <f>'Historical Financials'!K90</f>
        <v>0</v>
      </c>
      <c r="J32" s="141">
        <f>'Historical Financials'!L90</f>
        <v>0</v>
      </c>
      <c r="K32" s="141">
        <f>'Historical Financials'!M90</f>
        <v>0</v>
      </c>
      <c r="L32" s="141">
        <f>'Historical Financials'!N90</f>
        <v>0</v>
      </c>
      <c r="M32" s="141">
        <f>'Historical Financials'!O90</f>
        <v>0</v>
      </c>
      <c r="N32" s="141">
        <f>'Historical Financials'!P90</f>
        <v>0</v>
      </c>
      <c r="O32" s="141">
        <f>'Historical Financials'!Q90</f>
        <v>0</v>
      </c>
      <c r="P32" s="141">
        <f>'Historical Financials'!R90</f>
        <v>0</v>
      </c>
      <c r="Q32" s="141">
        <f>'Historical Financials'!S90</f>
        <v>0</v>
      </c>
      <c r="R32" s="141">
        <f>'Historical Financials'!T90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124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125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Financials'!D97</f>
        <v>0</v>
      </c>
      <c r="D38" s="141">
        <f>'Historical Financials'!E97</f>
        <v>0</v>
      </c>
      <c r="E38" s="141">
        <f>'Historical Financials'!F97</f>
        <v>0</v>
      </c>
      <c r="F38" s="141">
        <f>'Historical Financials'!G97</f>
        <v>0</v>
      </c>
      <c r="H38" s="141">
        <f>'Historical Financials'!J97</f>
        <v>0</v>
      </c>
      <c r="I38" s="141">
        <f>'Historical Financials'!K97</f>
        <v>0</v>
      </c>
      <c r="J38" s="141">
        <f>'Historical Financials'!L97</f>
        <v>0</v>
      </c>
      <c r="K38" s="141">
        <f>'Historical Financials'!M97</f>
        <v>0</v>
      </c>
      <c r="L38" s="141">
        <f>'Historical Financials'!N97</f>
        <v>0</v>
      </c>
      <c r="M38" s="141">
        <f>'Historical Financials'!O97</f>
        <v>0</v>
      </c>
      <c r="N38" s="141">
        <f>'Historical Financials'!P97</f>
        <v>0</v>
      </c>
      <c r="O38" s="141">
        <f>'Historical Financials'!Q97</f>
        <v>0</v>
      </c>
      <c r="P38" s="141">
        <f>'Historical Financials'!R97</f>
        <v>0</v>
      </c>
      <c r="Q38" s="141">
        <f>'Historical Financials'!S97</f>
        <v>0</v>
      </c>
      <c r="R38" s="141">
        <f>'Historical Financials'!T97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Financials'!D122</f>
        <v>0</v>
      </c>
      <c r="D39" s="141">
        <f>-'Historical Financials'!E122</f>
        <v>0</v>
      </c>
      <c r="E39" s="141">
        <f>-'Historical Financials'!F122</f>
        <v>0</v>
      </c>
      <c r="F39" s="141">
        <f>-'Historical Financials'!G122</f>
        <v>0</v>
      </c>
      <c r="H39" s="141">
        <f>-'Historical Financials'!J122</f>
        <v>0</v>
      </c>
      <c r="I39" s="141">
        <f>-'Historical Financials'!K122</f>
        <v>0</v>
      </c>
      <c r="J39" s="141">
        <f>-'Historical Financials'!L122</f>
        <v>0</v>
      </c>
      <c r="K39" s="141">
        <f>-'Historical Financials'!M122</f>
        <v>0</v>
      </c>
      <c r="L39" s="141">
        <f>-'Historical Financials'!N122</f>
        <v>0</v>
      </c>
      <c r="M39" s="141">
        <f>-'Historical Financials'!O122</f>
        <v>0</v>
      </c>
      <c r="N39" s="141">
        <f>-'Historical Financials'!P122</f>
        <v>0</v>
      </c>
      <c r="O39" s="141">
        <f>-'Historical Financials'!Q122</f>
        <v>0</v>
      </c>
      <c r="P39" s="141">
        <f>-'Historical Financials'!R122</f>
        <v>0</v>
      </c>
      <c r="Q39" s="141">
        <f>-'Historical Financials'!S122</f>
        <v>0</v>
      </c>
      <c r="R39" s="141">
        <f>-'Historical Financials'!T122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Financials'!D121</f>
        <v>0</v>
      </c>
      <c r="D40" s="141">
        <f>-'Historical Financials'!E121</f>
        <v>0</v>
      </c>
      <c r="E40" s="141">
        <f>-'Historical Financials'!F121</f>
        <v>0</v>
      </c>
      <c r="F40" s="141">
        <f>-'Historical Financials'!G121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Financials'!D98</f>
        <v>0</v>
      </c>
      <c r="D44" s="141">
        <f>'Historical Financials'!E98</f>
        <v>0</v>
      </c>
      <c r="E44" s="141">
        <f>'Historical Financials'!F98</f>
        <v>0</v>
      </c>
      <c r="F44" s="141">
        <f>'Historical Financials'!G98</f>
        <v>0</v>
      </c>
      <c r="G44" s="32"/>
      <c r="H44" s="141">
        <f>'Historical Financials'!J98</f>
        <v>0</v>
      </c>
      <c r="I44" s="141">
        <f>'Historical Financials'!K98</f>
        <v>0</v>
      </c>
      <c r="J44" s="141">
        <f>'Historical Financials'!L98</f>
        <v>0</v>
      </c>
      <c r="K44" s="141">
        <f>'Historical Financials'!M98</f>
        <v>0</v>
      </c>
      <c r="L44" s="141">
        <f>'Historical Financials'!N98</f>
        <v>0</v>
      </c>
      <c r="M44" s="141">
        <f>'Historical Financials'!O98</f>
        <v>0</v>
      </c>
      <c r="N44" s="141">
        <f>'Historical Financials'!P98</f>
        <v>0</v>
      </c>
      <c r="O44" s="141">
        <f>'Historical Financials'!Q98</f>
        <v>0</v>
      </c>
      <c r="P44" s="141">
        <f>'Historical Financials'!R98</f>
        <v>0</v>
      </c>
      <c r="Q44" s="141">
        <f>'Historical Financials'!S98</f>
        <v>0</v>
      </c>
      <c r="R44" s="141">
        <f>'Historical Financials'!T98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Financials'!D100</f>
        <v>0</v>
      </c>
      <c r="D45" s="141">
        <f>'Historical Financials'!E100</f>
        <v>0</v>
      </c>
      <c r="E45" s="141">
        <f>'Historical Financials'!F100</f>
        <v>0</v>
      </c>
      <c r="F45" s="141">
        <f>'Historical Financials'!G100</f>
        <v>0</v>
      </c>
      <c r="G45" s="32"/>
      <c r="H45" s="141">
        <f>'Historical Financials'!J100</f>
        <v>0</v>
      </c>
      <c r="I45" s="141">
        <f>'Historical Financials'!K100</f>
        <v>0</v>
      </c>
      <c r="J45" s="141">
        <f>'Historical Financials'!L100</f>
        <v>0</v>
      </c>
      <c r="K45" s="141">
        <f>'Historical Financials'!M100</f>
        <v>0</v>
      </c>
      <c r="L45" s="141">
        <f>'Historical Financials'!N100</f>
        <v>0</v>
      </c>
      <c r="M45" s="141">
        <f>'Historical Financials'!O100</f>
        <v>0</v>
      </c>
      <c r="N45" s="141">
        <f>'Historical Financials'!P100</f>
        <v>0</v>
      </c>
      <c r="O45" s="141">
        <f>'Historical Financials'!Q100</f>
        <v>0</v>
      </c>
      <c r="P45" s="141">
        <f>'Historical Financials'!R100</f>
        <v>0</v>
      </c>
      <c r="Q45" s="141">
        <f>'Historical Financials'!S100</f>
        <v>0</v>
      </c>
      <c r="R45" s="141">
        <f>'Historical Financials'!T100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126</v>
      </c>
      <c r="C46" s="141">
        <f>'Historical Financials'!D99</f>
        <v>0</v>
      </c>
      <c r="D46" s="141">
        <f>'Historical Financials'!E99</f>
        <v>0</v>
      </c>
      <c r="E46" s="141">
        <f>'Historical Financials'!F99</f>
        <v>0</v>
      </c>
      <c r="F46" s="141">
        <f>'Historical Financials'!G99</f>
        <v>0</v>
      </c>
      <c r="G46" s="32"/>
      <c r="H46" s="141">
        <f>'Historical Financials'!J99</f>
        <v>0</v>
      </c>
      <c r="I46" s="141">
        <f>'Historical Financials'!K99</f>
        <v>0</v>
      </c>
      <c r="J46" s="141">
        <f>'Historical Financials'!L99</f>
        <v>0</v>
      </c>
      <c r="K46" s="141">
        <f>'Historical Financials'!M99</f>
        <v>0</v>
      </c>
      <c r="L46" s="141">
        <f>'Historical Financials'!N99</f>
        <v>0</v>
      </c>
      <c r="M46" s="141">
        <f>'Historical Financials'!O99</f>
        <v>0</v>
      </c>
      <c r="N46" s="141">
        <f>'Historical Financials'!P99</f>
        <v>0</v>
      </c>
      <c r="O46" s="141">
        <f>'Historical Financials'!Q99</f>
        <v>0</v>
      </c>
      <c r="P46" s="141">
        <f>'Historical Financials'!R99</f>
        <v>0</v>
      </c>
      <c r="Q46" s="141">
        <f>'Historical Financials'!S99</f>
        <v>0</v>
      </c>
      <c r="R46" s="141">
        <f>'Historical Financials'!T99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Financials'!D104</f>
        <v>0</v>
      </c>
      <c r="D47" s="141">
        <f>'Historical Financials'!E104</f>
        <v>0</v>
      </c>
      <c r="E47" s="141">
        <f>'Historical Financials'!F104</f>
        <v>0</v>
      </c>
      <c r="F47" s="141">
        <f>'Historical Financials'!G104</f>
        <v>0</v>
      </c>
      <c r="G47" s="32"/>
      <c r="H47" s="141">
        <f>'Historical Financials'!J104</f>
        <v>0</v>
      </c>
      <c r="I47" s="141">
        <f>'Historical Financials'!K104</f>
        <v>0</v>
      </c>
      <c r="J47" s="141">
        <f>'Historical Financials'!L104</f>
        <v>0</v>
      </c>
      <c r="K47" s="141">
        <f>'Historical Financials'!M104</f>
        <v>0</v>
      </c>
      <c r="L47" s="141">
        <f>'Historical Financials'!N104</f>
        <v>0</v>
      </c>
      <c r="M47" s="141">
        <f>'Historical Financials'!O104</f>
        <v>0</v>
      </c>
      <c r="N47" s="141">
        <f>'Historical Financials'!P104</f>
        <v>0</v>
      </c>
      <c r="O47" s="141">
        <f>'Historical Financials'!Q104</f>
        <v>0</v>
      </c>
      <c r="P47" s="141">
        <f>'Historical Financials'!R104</f>
        <v>0</v>
      </c>
      <c r="Q47" s="141">
        <f>'Historical Financials'!S104</f>
        <v>0</v>
      </c>
      <c r="R47" s="141">
        <f>'Historical Financials'!T104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127</v>
      </c>
      <c r="C48" s="141">
        <f>'Historical Financials'!D105</f>
        <v>0</v>
      </c>
      <c r="D48" s="141">
        <f>'Historical Financials'!E105</f>
        <v>0</v>
      </c>
      <c r="E48" s="141">
        <f>'Historical Financials'!F105</f>
        <v>0</v>
      </c>
      <c r="F48" s="141">
        <f>'Historical Financials'!G105</f>
        <v>0</v>
      </c>
      <c r="G48" s="32"/>
      <c r="H48" s="141">
        <f>'Historical Financials'!J105</f>
        <v>0</v>
      </c>
      <c r="I48" s="141">
        <f>'Historical Financials'!K105</f>
        <v>0</v>
      </c>
      <c r="J48" s="141">
        <f>'Historical Financials'!L105</f>
        <v>0</v>
      </c>
      <c r="K48" s="141">
        <f>'Historical Financials'!M105</f>
        <v>0</v>
      </c>
      <c r="L48" s="141">
        <f>'Historical Financials'!N105</f>
        <v>0</v>
      </c>
      <c r="M48" s="141">
        <f>'Historical Financials'!O105</f>
        <v>0</v>
      </c>
      <c r="N48" s="141">
        <f>'Historical Financials'!P105</f>
        <v>0</v>
      </c>
      <c r="O48" s="141">
        <f>'Historical Financials'!Q105</f>
        <v>0</v>
      </c>
      <c r="P48" s="141">
        <f>'Historical Financials'!R105</f>
        <v>0</v>
      </c>
      <c r="Q48" s="141">
        <f>'Historical Financials'!S105</f>
        <v>0</v>
      </c>
      <c r="R48" s="141">
        <f>'Historical Financials'!T105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Financials'!D106:D106)</f>
        <v>0</v>
      </c>
      <c r="D49" s="141">
        <f>SUM('Historical Financials'!E106:E106)</f>
        <v>0</v>
      </c>
      <c r="E49" s="141">
        <f>SUM('Historical Financials'!F106:F106)</f>
        <v>0</v>
      </c>
      <c r="F49" s="141">
        <f>SUM('Historical Financials'!G106:G106)</f>
        <v>0</v>
      </c>
      <c r="G49" s="32"/>
      <c r="H49" s="141">
        <f>SUM('Historical Financials'!J106:J106)</f>
        <v>0</v>
      </c>
      <c r="I49" s="141">
        <f>SUM('Historical Financials'!K106:K106)</f>
        <v>0</v>
      </c>
      <c r="J49" s="141">
        <f>SUM('Historical Financials'!L106:L106)</f>
        <v>0</v>
      </c>
      <c r="K49" s="141">
        <f>SUM('Historical Financials'!M106:M106)</f>
        <v>0</v>
      </c>
      <c r="L49" s="141">
        <f>SUM('Historical Financials'!N106:N106)</f>
        <v>0</v>
      </c>
      <c r="M49" s="141">
        <f>SUM('Historical Financials'!O106:O106)</f>
        <v>0</v>
      </c>
      <c r="N49" s="141">
        <f>SUM('Historical Financials'!P106:P106)</f>
        <v>0</v>
      </c>
      <c r="O49" s="141">
        <f>SUM('Historical Financials'!Q106:Q106)</f>
        <v>0</v>
      </c>
      <c r="P49" s="141">
        <f>SUM('Historical Financials'!R106:R106)</f>
        <v>0</v>
      </c>
      <c r="Q49" s="141">
        <f>SUM('Historical Financials'!S106:S106)</f>
        <v>0</v>
      </c>
      <c r="R49" s="141">
        <f>SUM('Historical Financials'!T106:T106)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Financials'!D42</f>
        <v>4794</v>
      </c>
      <c r="D55" s="94">
        <f>'Historical Financials'!E42</f>
        <v>7776</v>
      </c>
      <c r="E55" s="94">
        <f>'Historical Financials'!F42</f>
        <v>9081</v>
      </c>
      <c r="F55" s="94">
        <f>'Historical Financials'!G42</f>
        <v>6561</v>
      </c>
      <c r="G55" s="32"/>
      <c r="H55" s="94">
        <f>'Historical Financials'!J42</f>
        <v>7101</v>
      </c>
      <c r="I55" s="94">
        <f>'Historical Financials'!K42</f>
        <v>5504</v>
      </c>
      <c r="J55" s="94">
        <f>'Historical Financials'!L42</f>
        <v>6816</v>
      </c>
      <c r="K55" s="94">
        <f>'Historical Financials'!M42</f>
        <v>9081</v>
      </c>
      <c r="L55" s="94">
        <f>'Historical Financials'!N42</f>
        <v>9693</v>
      </c>
      <c r="M55" s="94">
        <f>'Historical Financials'!O42</f>
        <v>7701</v>
      </c>
      <c r="N55" s="94">
        <f>'Historical Financials'!P42</f>
        <v>7272</v>
      </c>
      <c r="O55" s="94">
        <f>'Historical Financials'!Q42</f>
        <v>6561</v>
      </c>
      <c r="P55" s="94">
        <f>'Historical Financials'!R42</f>
        <v>7449</v>
      </c>
      <c r="Q55" s="94">
        <f>'Historical Financials'!S42</f>
        <v>6688</v>
      </c>
      <c r="R55" s="94">
        <f>'Historical Financials'!T42</f>
        <v>8995</v>
      </c>
      <c r="T55" s="10">
        <f t="shared" ref="T55:Z57" si="102">K55</f>
        <v>9081</v>
      </c>
      <c r="U55" s="10">
        <f t="shared" si="102"/>
        <v>9693</v>
      </c>
      <c r="V55" s="10">
        <f t="shared" si="102"/>
        <v>7701</v>
      </c>
      <c r="W55" s="10">
        <f t="shared" si="102"/>
        <v>7272</v>
      </c>
      <c r="X55" s="10">
        <f t="shared" si="102"/>
        <v>6561</v>
      </c>
      <c r="Y55" s="10">
        <f t="shared" si="102"/>
        <v>7449</v>
      </c>
      <c r="Z55" s="10">
        <f t="shared" si="102"/>
        <v>6688</v>
      </c>
      <c r="AA55" s="10">
        <f>R55</f>
        <v>8995</v>
      </c>
    </row>
    <row r="56" spans="1:27" ht="12.75" customHeight="1">
      <c r="B56" s="8" t="s">
        <v>128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135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9081</v>
      </c>
      <c r="U58" s="14">
        <f t="shared" si="105"/>
        <v>9693</v>
      </c>
      <c r="V58" s="14">
        <f t="shared" si="105"/>
        <v>7701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132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133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137</v>
      </c>
      <c r="C63" s="94">
        <f>'Historical Financials'!D48</f>
        <v>1148</v>
      </c>
      <c r="D63" s="94">
        <f>'Historical Financials'!E48</f>
        <v>1898</v>
      </c>
      <c r="E63" s="94">
        <f>'Historical Financials'!F48</f>
        <v>2509</v>
      </c>
      <c r="F63" s="94">
        <f>'Historical Financials'!G48</f>
        <v>4651</v>
      </c>
      <c r="H63" s="94">
        <f>'Historical Financials'!J48</f>
        <v>2162</v>
      </c>
      <c r="I63" s="94">
        <f>'Historical Financials'!K48</f>
        <v>2202</v>
      </c>
      <c r="J63" s="94">
        <f>'Historical Financials'!L48</f>
        <v>2228</v>
      </c>
      <c r="K63" s="94">
        <f>'Historical Financials'!M48</f>
        <v>2509</v>
      </c>
      <c r="L63" s="94">
        <f>'Historical Financials'!N48</f>
        <v>4418</v>
      </c>
      <c r="M63" s="94">
        <f>'Historical Financials'!O48</f>
        <v>3954</v>
      </c>
      <c r="N63" s="94">
        <f>'Historical Financials'!P48</f>
        <v>4060</v>
      </c>
      <c r="O63" s="94">
        <f>'Historical Financials'!Q48</f>
        <v>4651</v>
      </c>
      <c r="P63" s="94">
        <f>'Historical Financials'!R48</f>
        <v>1888</v>
      </c>
      <c r="Q63" s="94">
        <f>'Historical Financials'!S48</f>
        <v>2094</v>
      </c>
      <c r="R63" s="94">
        <f>'Historical Financials'!T48</f>
        <v>1980</v>
      </c>
      <c r="S63" s="10"/>
      <c r="T63" s="10">
        <f t="shared" ref="T63:Z69" si="106">K63</f>
        <v>2509</v>
      </c>
      <c r="U63" s="10">
        <f t="shared" si="106"/>
        <v>4418</v>
      </c>
      <c r="V63" s="10">
        <f t="shared" si="106"/>
        <v>3954</v>
      </c>
      <c r="W63" s="10">
        <f t="shared" si="106"/>
        <v>4060</v>
      </c>
      <c r="X63" s="10">
        <f t="shared" si="106"/>
        <v>4651</v>
      </c>
      <c r="Y63" s="10">
        <f t="shared" si="106"/>
        <v>1888</v>
      </c>
      <c r="Z63" s="10">
        <f t="shared" si="106"/>
        <v>2094</v>
      </c>
      <c r="AA63" s="10">
        <f t="shared" ref="AA63:AA69" si="107">R63</f>
        <v>1980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Financials'!D52</f>
        <v>6089</v>
      </c>
      <c r="D65" s="94">
        <f>'Historical Financials'!E52</f>
        <v>5018</v>
      </c>
      <c r="E65" s="94">
        <f>'Historical Financials'!F52</f>
        <v>3273</v>
      </c>
      <c r="F65" s="94">
        <f>'Historical Financials'!G52</f>
        <v>4583</v>
      </c>
      <c r="H65" s="94">
        <f>'Historical Financials'!J52</f>
        <v>4632</v>
      </c>
      <c r="I65" s="94">
        <f>'Historical Financials'!K52</f>
        <v>4543</v>
      </c>
      <c r="J65" s="94">
        <f>'Historical Financials'!L52</f>
        <v>3855</v>
      </c>
      <c r="K65" s="94">
        <f>'Historical Financials'!M52</f>
        <v>3273</v>
      </c>
      <c r="L65" s="94">
        <f>'Historical Financials'!N52</f>
        <v>3409</v>
      </c>
      <c r="M65" s="94">
        <f>'Historical Financials'!O52</f>
        <v>4653</v>
      </c>
      <c r="N65" s="94">
        <f>'Historical Financials'!P52</f>
        <v>4282</v>
      </c>
      <c r="O65" s="94">
        <f>'Historical Financials'!Q52</f>
        <v>4583</v>
      </c>
      <c r="P65" s="94">
        <f>'Historical Financials'!R52</f>
        <v>4613</v>
      </c>
      <c r="Q65" s="94">
        <f>'Historical Financials'!S52</f>
        <v>3645</v>
      </c>
      <c r="R65" s="94">
        <f>'Historical Financials'!T52</f>
        <v>3601</v>
      </c>
      <c r="S65" s="10"/>
      <c r="T65" s="10">
        <f t="shared" si="106"/>
        <v>3273</v>
      </c>
      <c r="U65" s="10">
        <f t="shared" si="106"/>
        <v>3409</v>
      </c>
      <c r="V65" s="10">
        <f t="shared" si="106"/>
        <v>4653</v>
      </c>
      <c r="W65" s="10">
        <f t="shared" si="106"/>
        <v>4282</v>
      </c>
      <c r="X65" s="10">
        <f t="shared" si="106"/>
        <v>4583</v>
      </c>
      <c r="Y65" s="10">
        <f t="shared" si="106"/>
        <v>4613</v>
      </c>
      <c r="Z65" s="10">
        <f t="shared" si="106"/>
        <v>3645</v>
      </c>
      <c r="AA65" s="10">
        <f t="shared" si="107"/>
        <v>3601</v>
      </c>
    </row>
    <row r="66" spans="2:27" ht="12.75" customHeight="1">
      <c r="B66" s="8" t="s">
        <v>108</v>
      </c>
      <c r="C66" s="94">
        <f>'Historical Financials'!D56</f>
        <v>1305</v>
      </c>
      <c r="D66" s="94">
        <f>'Historical Financials'!E56</f>
        <v>2455</v>
      </c>
      <c r="E66" s="94">
        <f>'Historical Financials'!F56</f>
        <v>3273</v>
      </c>
      <c r="F66" s="94">
        <f>'Historical Financials'!G56</f>
        <v>3265</v>
      </c>
      <c r="H66" s="94">
        <f>'Historical Financials'!J56</f>
        <v>2436</v>
      </c>
      <c r="I66" s="94">
        <f>'Historical Financials'!K56</f>
        <v>2615</v>
      </c>
      <c r="J66" s="94">
        <f>'Historical Financials'!L56</f>
        <v>2922</v>
      </c>
      <c r="K66" s="94">
        <f>'Historical Financials'!M56</f>
        <v>3273</v>
      </c>
      <c r="L66" s="94">
        <f>'Historical Financials'!N56</f>
        <v>3425</v>
      </c>
      <c r="M66" s="94">
        <f>'Historical Financials'!O56</f>
        <v>3713</v>
      </c>
      <c r="N66" s="94">
        <f>'Historical Financials'!P56</f>
        <v>3671</v>
      </c>
      <c r="O66" s="94">
        <f>'Historical Financials'!Q56</f>
        <v>3265</v>
      </c>
      <c r="P66" s="94">
        <f>'Historical Financials'!R56</f>
        <v>3307</v>
      </c>
      <c r="Q66" s="94">
        <f>'Historical Financials'!S56</f>
        <v>3381</v>
      </c>
      <c r="R66" s="94">
        <f>'Historical Financials'!T56</f>
        <v>3201</v>
      </c>
      <c r="S66" s="10"/>
      <c r="T66" s="10">
        <f t="shared" si="106"/>
        <v>3273</v>
      </c>
      <c r="U66" s="10">
        <f t="shared" si="106"/>
        <v>3425</v>
      </c>
      <c r="V66" s="10">
        <f t="shared" si="106"/>
        <v>3713</v>
      </c>
      <c r="W66" s="10">
        <f t="shared" si="106"/>
        <v>3671</v>
      </c>
      <c r="X66" s="10">
        <f t="shared" si="106"/>
        <v>3265</v>
      </c>
      <c r="Y66" s="10">
        <f t="shared" si="106"/>
        <v>3307</v>
      </c>
      <c r="Z66" s="10">
        <f t="shared" si="106"/>
        <v>3381</v>
      </c>
      <c r="AA66" s="10">
        <f t="shared" si="107"/>
        <v>3201</v>
      </c>
    </row>
    <row r="67" spans="2:27" ht="12.75" customHeight="1">
      <c r="B67" s="8" t="s">
        <v>44</v>
      </c>
      <c r="C67" s="94">
        <f>'Historical Financials'!D60</f>
        <v>252</v>
      </c>
      <c r="D67" s="94">
        <f>'Historical Financials'!E60</f>
        <v>126</v>
      </c>
      <c r="E67" s="94">
        <f>'Historical Financials'!F60</f>
        <v>139</v>
      </c>
      <c r="F67" s="94">
        <f>'Historical Financials'!G60</f>
        <v>227</v>
      </c>
      <c r="G67" s="94"/>
      <c r="H67" s="94">
        <f>'Historical Financials'!J60</f>
        <v>142</v>
      </c>
      <c r="I67" s="94">
        <f>'Historical Financials'!K60</f>
        <v>137</v>
      </c>
      <c r="J67" s="94">
        <f>'Historical Financials'!L60</f>
        <v>131</v>
      </c>
      <c r="K67" s="94">
        <f>'Historical Financials'!M60</f>
        <v>139</v>
      </c>
      <c r="L67" s="94">
        <f>'Historical Financials'!N60</f>
        <v>108</v>
      </c>
      <c r="M67" s="94">
        <f>'Historical Financials'!O60</f>
        <v>133</v>
      </c>
      <c r="N67" s="94">
        <f>'Historical Financials'!P60</f>
        <v>165</v>
      </c>
      <c r="O67" s="94">
        <f>'Historical Financials'!Q60</f>
        <v>227</v>
      </c>
      <c r="P67" s="94">
        <f>'Historical Financials'!R60</f>
        <v>175</v>
      </c>
      <c r="Q67" s="94">
        <f>'Historical Financials'!S60</f>
        <v>221</v>
      </c>
      <c r="R67" s="94">
        <f>'Historical Financials'!T60</f>
        <v>208</v>
      </c>
      <c r="T67" s="10">
        <f t="shared" si="106"/>
        <v>139</v>
      </c>
      <c r="U67" s="10">
        <f t="shared" si="106"/>
        <v>108</v>
      </c>
      <c r="V67" s="10">
        <f t="shared" si="106"/>
        <v>133</v>
      </c>
      <c r="W67" s="10">
        <f t="shared" si="106"/>
        <v>165</v>
      </c>
      <c r="X67" s="10">
        <f t="shared" si="106"/>
        <v>227</v>
      </c>
      <c r="Y67" s="10">
        <f t="shared" si="106"/>
        <v>175</v>
      </c>
      <c r="Z67" s="10">
        <f t="shared" si="106"/>
        <v>221</v>
      </c>
      <c r="AA67" s="10">
        <f t="shared" si="107"/>
        <v>208</v>
      </c>
    </row>
    <row r="68" spans="2:27" ht="12.75" customHeight="1">
      <c r="B68" s="8" t="s">
        <v>45</v>
      </c>
      <c r="C68" s="94">
        <f>'Historical Financials'!D63</f>
        <v>38447</v>
      </c>
      <c r="D68" s="94">
        <f>'Historical Financials'!E63</f>
        <v>45008</v>
      </c>
      <c r="E68" s="94">
        <f>'Historical Financials'!F63</f>
        <v>48466</v>
      </c>
      <c r="F68" s="94">
        <f>'Historical Financials'!G63</f>
        <v>48376</v>
      </c>
      <c r="G68" s="94"/>
      <c r="H68" s="94">
        <f>'Historical Financials'!J63</f>
        <v>43909</v>
      </c>
      <c r="I68" s="94">
        <f>'Historical Financials'!K63</f>
        <v>41754</v>
      </c>
      <c r="J68" s="94">
        <f>'Historical Financials'!L63</f>
        <v>43442</v>
      </c>
      <c r="K68" s="94">
        <f>'Historical Financials'!M63</f>
        <v>48466</v>
      </c>
      <c r="L68" s="94">
        <f>'Historical Financials'!N63</f>
        <v>49846</v>
      </c>
      <c r="M68" s="94">
        <f>'Historical Financials'!O63</f>
        <v>50713</v>
      </c>
      <c r="N68" s="94">
        <f>'Historical Financials'!P63</f>
        <v>50268</v>
      </c>
      <c r="O68" s="94">
        <f>'Historical Financials'!Q63</f>
        <v>48376</v>
      </c>
      <c r="P68" s="94">
        <f>'Historical Financials'!R63</f>
        <v>46622</v>
      </c>
      <c r="Q68" s="94">
        <f>'Historical Financials'!S63</f>
        <v>45050</v>
      </c>
      <c r="R68" s="94">
        <f>'Historical Financials'!T63</f>
        <v>44924</v>
      </c>
      <c r="T68" s="10">
        <f t="shared" si="106"/>
        <v>48466</v>
      </c>
      <c r="U68" s="10">
        <f t="shared" si="106"/>
        <v>49846</v>
      </c>
      <c r="V68" s="10">
        <f t="shared" si="106"/>
        <v>50713</v>
      </c>
      <c r="W68" s="10">
        <f t="shared" si="106"/>
        <v>50268</v>
      </c>
      <c r="X68" s="10">
        <f t="shared" si="106"/>
        <v>48376</v>
      </c>
      <c r="Y68" s="10">
        <f t="shared" si="106"/>
        <v>46622</v>
      </c>
      <c r="Z68" s="10">
        <f t="shared" si="106"/>
        <v>45050</v>
      </c>
      <c r="AA68" s="10">
        <f t="shared" si="107"/>
        <v>44924</v>
      </c>
    </row>
    <row r="69" spans="2:27" ht="12.75" customHeight="1">
      <c r="B69" s="8" t="s">
        <v>15</v>
      </c>
      <c r="C69" s="94">
        <f>'Historical Financials'!D68</f>
        <v>50316</v>
      </c>
      <c r="D69" s="94">
        <f>'Historical Financials'!E68</f>
        <v>58350</v>
      </c>
      <c r="E69" s="94">
        <f>'Historical Financials'!F68</f>
        <v>61115</v>
      </c>
      <c r="F69" s="94">
        <f>'Historical Financials'!G68</f>
        <v>61194</v>
      </c>
      <c r="G69" s="94"/>
      <c r="H69" s="94">
        <f>'Historical Financials'!J68</f>
        <v>57328</v>
      </c>
      <c r="I69" s="94">
        <f>'Historical Financials'!K68</f>
        <v>54918</v>
      </c>
      <c r="J69" s="94">
        <f>'Historical Financials'!L68</f>
        <v>56700</v>
      </c>
      <c r="K69" s="94">
        <f>'Historical Financials'!M68</f>
        <v>61115</v>
      </c>
      <c r="L69" s="94">
        <f>'Historical Financials'!N68</f>
        <v>62645</v>
      </c>
      <c r="M69" s="94">
        <f>'Historical Financials'!O68</f>
        <v>63394</v>
      </c>
      <c r="N69" s="94">
        <f>'Historical Financials'!P68</f>
        <v>63337</v>
      </c>
      <c r="O69" s="94">
        <f>'Historical Financials'!Q68</f>
        <v>61194</v>
      </c>
      <c r="P69" s="94">
        <f>'Historical Financials'!R68</f>
        <v>61020</v>
      </c>
      <c r="Q69" s="94">
        <f>'Historical Financials'!S68</f>
        <v>59576</v>
      </c>
      <c r="R69" s="94">
        <f>'Historical Financials'!T68</f>
        <v>59603</v>
      </c>
      <c r="T69" s="10">
        <f t="shared" si="106"/>
        <v>61115</v>
      </c>
      <c r="U69" s="10">
        <f t="shared" si="106"/>
        <v>62645</v>
      </c>
      <c r="V69" s="10">
        <f t="shared" si="106"/>
        <v>63394</v>
      </c>
      <c r="W69" s="10">
        <f t="shared" si="106"/>
        <v>63337</v>
      </c>
      <c r="X69" s="10">
        <f t="shared" si="106"/>
        <v>61194</v>
      </c>
      <c r="Y69" s="10">
        <f t="shared" si="106"/>
        <v>61020</v>
      </c>
      <c r="Z69" s="10">
        <f t="shared" si="106"/>
        <v>59576</v>
      </c>
      <c r="AA69" s="10">
        <f t="shared" si="107"/>
        <v>59603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136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134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129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130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131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Financials'!D74</f>
        <v>20063</v>
      </c>
      <c r="D87" s="94">
        <f>'Historical Financials'!E74</f>
        <v>20274</v>
      </c>
      <c r="E87" s="94">
        <f>'Historical Financials'!F74</f>
        <v>21051</v>
      </c>
      <c r="F87" s="94">
        <f>'Historical Financials'!G74</f>
        <v>20417</v>
      </c>
      <c r="H87" s="94">
        <f>'Historical Financials'!J74</f>
        <v>19858</v>
      </c>
      <c r="I87" s="94">
        <f>'Historical Financials'!K74</f>
        <v>19661</v>
      </c>
      <c r="J87" s="94">
        <f>'Historical Financials'!L74</f>
        <v>19740</v>
      </c>
      <c r="K87" s="94">
        <f>'Historical Financials'!M74</f>
        <v>21051</v>
      </c>
      <c r="L87" s="94">
        <f>'Historical Financials'!N74</f>
        <v>20702</v>
      </c>
      <c r="M87" s="94">
        <f>'Historical Financials'!O74</f>
        <v>20622</v>
      </c>
      <c r="N87" s="94">
        <f>'Historical Financials'!P74</f>
        <v>20174</v>
      </c>
      <c r="O87" s="94">
        <f>'Historical Financials'!Q74</f>
        <v>20417</v>
      </c>
      <c r="P87" s="94">
        <f>'Historical Financials'!R74</f>
        <v>20254</v>
      </c>
      <c r="Q87" s="94">
        <f>'Historical Financials'!S74</f>
        <v>20201</v>
      </c>
      <c r="R87" s="94">
        <f>'Historical Financials'!T74</f>
        <v>20198</v>
      </c>
      <c r="T87" s="10">
        <f t="shared" ref="T87:AA87" si="130">K87</f>
        <v>21051</v>
      </c>
      <c r="U87" s="10">
        <f t="shared" si="130"/>
        <v>20702</v>
      </c>
      <c r="V87" s="10">
        <f t="shared" si="130"/>
        <v>20622</v>
      </c>
      <c r="W87" s="142">
        <f t="shared" si="130"/>
        <v>20174</v>
      </c>
      <c r="X87" s="142">
        <f t="shared" si="130"/>
        <v>20417</v>
      </c>
      <c r="Y87" s="142">
        <f t="shared" si="130"/>
        <v>20254</v>
      </c>
      <c r="Z87" s="142">
        <f t="shared" si="130"/>
        <v>20201</v>
      </c>
      <c r="AA87" s="142">
        <f t="shared" si="130"/>
        <v>20198</v>
      </c>
    </row>
    <row r="88" spans="1:27" ht="12.75" customHeight="1">
      <c r="B88" s="13" t="s">
        <v>47</v>
      </c>
      <c r="C88" s="14">
        <f>SUM(C85:C87)</f>
        <v>20390</v>
      </c>
      <c r="D88" s="14">
        <f>SUM(D85:D87)</f>
        <v>22775</v>
      </c>
      <c r="E88" s="14">
        <f>SUM(E85:E87)</f>
        <v>23551</v>
      </c>
      <c r="F88" s="14">
        <f>SUM(F85:F87)</f>
        <v>22167</v>
      </c>
      <c r="H88" s="14">
        <f t="shared" ref="H88:M88" si="131">SUM(H85:H87)</f>
        <v>22358</v>
      </c>
      <c r="I88" s="14">
        <f t="shared" si="131"/>
        <v>22161</v>
      </c>
      <c r="J88" s="14">
        <f t="shared" si="131"/>
        <v>22240</v>
      </c>
      <c r="K88" s="14">
        <f t="shared" si="131"/>
        <v>23551</v>
      </c>
      <c r="L88" s="14">
        <f t="shared" si="131"/>
        <v>23202</v>
      </c>
      <c r="M88" s="14">
        <f t="shared" si="131"/>
        <v>22372</v>
      </c>
      <c r="N88" s="14">
        <f>SUM(N85:N87)</f>
        <v>21924</v>
      </c>
      <c r="O88" s="14">
        <f>SUM(O85:O87)</f>
        <v>22167</v>
      </c>
      <c r="P88" s="14">
        <f>SUM(P85:P87)</f>
        <v>24454</v>
      </c>
      <c r="Q88" s="14">
        <f>SUM(Q85:Q87)</f>
        <v>23451</v>
      </c>
      <c r="R88" s="14">
        <f>SUM(R85:R87)</f>
        <v>23448</v>
      </c>
      <c r="T88" s="14">
        <f t="shared" ref="T88:Y88" si="132">SUM(T85:T87)</f>
        <v>23551</v>
      </c>
      <c r="U88" s="14">
        <f t="shared" si="132"/>
        <v>23202</v>
      </c>
      <c r="V88" s="14">
        <f t="shared" si="132"/>
        <v>22372</v>
      </c>
      <c r="W88" s="14">
        <f t="shared" si="132"/>
        <v>21924</v>
      </c>
      <c r="X88" s="14">
        <f t="shared" si="132"/>
        <v>22167</v>
      </c>
      <c r="Y88" s="14">
        <f t="shared" si="132"/>
        <v>24454</v>
      </c>
      <c r="Z88" s="14">
        <f>SUM(Z85:Z87)</f>
        <v>23451</v>
      </c>
      <c r="AA88" s="14">
        <f>SUM(AA85:AA87)</f>
        <v>23448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62.354740061162083</v>
      </c>
      <c r="D97" s="83">
        <f>D88/D85</f>
        <v>9.106357457017193</v>
      </c>
      <c r="E97" s="83">
        <f>E88/E85</f>
        <v>9.4204000000000008</v>
      </c>
      <c r="F97" s="83">
        <f>F88/F85</f>
        <v>12.666857142857143</v>
      </c>
      <c r="H97" s="83">
        <f t="shared" ref="H97:Q97" si="138">H88/H85</f>
        <v>8.9431999999999992</v>
      </c>
      <c r="I97" s="83">
        <f t="shared" si="138"/>
        <v>8.8643999999999998</v>
      </c>
      <c r="J97" s="83">
        <f t="shared" si="138"/>
        <v>8.8960000000000008</v>
      </c>
      <c r="K97" s="83">
        <f t="shared" si="138"/>
        <v>9.4204000000000008</v>
      </c>
      <c r="L97" s="83">
        <f t="shared" si="138"/>
        <v>9.2807999999999993</v>
      </c>
      <c r="M97" s="83">
        <f t="shared" si="138"/>
        <v>12.784000000000001</v>
      </c>
      <c r="N97" s="83">
        <f t="shared" si="138"/>
        <v>12.528</v>
      </c>
      <c r="O97" s="83">
        <f t="shared" si="138"/>
        <v>12.666857142857143</v>
      </c>
      <c r="P97" s="83">
        <f t="shared" si="138"/>
        <v>5.8223809523809527</v>
      </c>
      <c r="Q97" s="83">
        <f t="shared" si="138"/>
        <v>7.2156923076923078</v>
      </c>
      <c r="R97" s="83">
        <f>R88/R85</f>
        <v>7.2147692307692308</v>
      </c>
      <c r="S97" s="83"/>
      <c r="T97" s="83">
        <f t="shared" ref="T97:Y97" si="139">T88/T85</f>
        <v>9.4204000000000008</v>
      </c>
      <c r="U97" s="83">
        <f t="shared" si="139"/>
        <v>9.2807999999999993</v>
      </c>
      <c r="V97" s="83">
        <f t="shared" si="139"/>
        <v>12.784000000000001</v>
      </c>
      <c r="W97" s="83">
        <f t="shared" si="139"/>
        <v>12.528</v>
      </c>
      <c r="X97" s="83">
        <f t="shared" si="139"/>
        <v>12.666857142857143</v>
      </c>
      <c r="Y97" s="83">
        <f t="shared" si="139"/>
        <v>5.8223809523809527</v>
      </c>
      <c r="Z97" s="83">
        <f>Z88/Z85</f>
        <v>7.2156923076923078</v>
      </c>
      <c r="AA97" s="83">
        <f>AA88/AA85</f>
        <v>7.2147692307692308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2025-12-25T21:40:12Z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