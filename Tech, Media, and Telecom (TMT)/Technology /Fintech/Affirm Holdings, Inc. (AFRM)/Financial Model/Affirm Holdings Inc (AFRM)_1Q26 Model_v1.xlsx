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Felix\Downloads\"/>
    </mc:Choice>
  </mc:AlternateContent>
  <xr:revisionPtr revIDLastSave="0" documentId="8_{1520BA26-87FF-4292-AF5B-C4E4230ECB42}" xr6:coauthVersionLast="47" xr6:coauthVersionMax="47" xr10:uidLastSave="{00000000-0000-0000-0000-000000000000}"/>
  <bookViews>
    <workbookView xWindow="-120" yWindow="-120" windowWidth="29040" windowHeight="15720" xr2:uid="{BC9106CE-9107-4097-8948-317996376CB5}"/>
  </bookViews>
  <sheets>
    <sheet name="Historical Financials" sheetId="8" r:id="rId1"/>
    <sheet name="Revenue Drivers" sheetId="10" r:id="rId2"/>
    <sheet name="FCF" sheetId="11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9" i="11" l="1"/>
  <c r="S39" i="11"/>
  <c r="R39" i="11"/>
  <c r="Q39" i="11"/>
  <c r="P39" i="11"/>
  <c r="O39" i="11"/>
  <c r="N39" i="11"/>
  <c r="M39" i="11"/>
  <c r="Y39" i="11" s="1"/>
  <c r="L39" i="11"/>
  <c r="K39" i="11"/>
  <c r="J39" i="11"/>
  <c r="I39" i="11"/>
  <c r="H39" i="11"/>
  <c r="F39" i="11"/>
  <c r="E39" i="11"/>
  <c r="D39" i="11"/>
  <c r="C39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8" i="11"/>
  <c r="H37" i="11"/>
  <c r="F38" i="11"/>
  <c r="E38" i="11"/>
  <c r="D38" i="11"/>
  <c r="F37" i="11"/>
  <c r="E37" i="11"/>
  <c r="D37" i="11"/>
  <c r="C38" i="11"/>
  <c r="C37" i="11"/>
  <c r="T75" i="11"/>
  <c r="S75" i="11"/>
  <c r="R75" i="11"/>
  <c r="Q75" i="11"/>
  <c r="P75" i="11"/>
  <c r="O75" i="11"/>
  <c r="Z75" i="11" s="1"/>
  <c r="N75" i="11"/>
  <c r="M75" i="11"/>
  <c r="X75" i="11" s="1"/>
  <c r="L75" i="11"/>
  <c r="K75" i="11"/>
  <c r="J75" i="11"/>
  <c r="I75" i="11"/>
  <c r="H75" i="11"/>
  <c r="F75" i="11"/>
  <c r="E75" i="11"/>
  <c r="D75" i="11"/>
  <c r="C75" i="11"/>
  <c r="T72" i="11"/>
  <c r="S72" i="11"/>
  <c r="R72" i="11"/>
  <c r="Q72" i="11"/>
  <c r="P72" i="11"/>
  <c r="O72" i="11"/>
  <c r="N72" i="11"/>
  <c r="M72" i="11"/>
  <c r="X72" i="11" s="1"/>
  <c r="L72" i="11"/>
  <c r="K72" i="11"/>
  <c r="J72" i="11"/>
  <c r="I72" i="11"/>
  <c r="T71" i="11"/>
  <c r="S71" i="11"/>
  <c r="R71" i="11"/>
  <c r="AC71" i="11" s="1"/>
  <c r="Q71" i="11"/>
  <c r="AB71" i="11" s="1"/>
  <c r="P71" i="11"/>
  <c r="O71" i="11"/>
  <c r="N71" i="11"/>
  <c r="M71" i="11"/>
  <c r="L71" i="11"/>
  <c r="K71" i="11"/>
  <c r="J71" i="11"/>
  <c r="J73" i="11" s="1"/>
  <c r="I71" i="11"/>
  <c r="T70" i="11"/>
  <c r="S70" i="11"/>
  <c r="R70" i="11"/>
  <c r="Q70" i="11"/>
  <c r="P70" i="11"/>
  <c r="AA70" i="11" s="1"/>
  <c r="O70" i="11"/>
  <c r="N70" i="11"/>
  <c r="Y70" i="11" s="1"/>
  <c r="M70" i="11"/>
  <c r="X70" i="11" s="1"/>
  <c r="L70" i="11"/>
  <c r="K70" i="11"/>
  <c r="J70" i="11"/>
  <c r="I70" i="11"/>
  <c r="H72" i="11"/>
  <c r="H71" i="11"/>
  <c r="H70" i="11"/>
  <c r="F72" i="11"/>
  <c r="E72" i="11"/>
  <c r="D72" i="11"/>
  <c r="F71" i="11"/>
  <c r="E71" i="11"/>
  <c r="D71" i="11"/>
  <c r="V71" i="11" s="1"/>
  <c r="F70" i="11"/>
  <c r="E70" i="11"/>
  <c r="E73" i="11" s="1"/>
  <c r="D70" i="11"/>
  <c r="C72" i="11"/>
  <c r="C73" i="11" s="1"/>
  <c r="C71" i="11"/>
  <c r="C70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F36" i="11"/>
  <c r="E36" i="11"/>
  <c r="D36" i="11"/>
  <c r="C36" i="11"/>
  <c r="T68" i="11"/>
  <c r="S68" i="11"/>
  <c r="AD68" i="11" s="1"/>
  <c r="R68" i="11"/>
  <c r="AC68" i="11" s="1"/>
  <c r="Q68" i="11"/>
  <c r="P68" i="11"/>
  <c r="AA68" i="11" s="1"/>
  <c r="O68" i="11"/>
  <c r="N68" i="11"/>
  <c r="M68" i="11"/>
  <c r="L68" i="11"/>
  <c r="K68" i="11"/>
  <c r="V68" i="11" s="1"/>
  <c r="J68" i="11"/>
  <c r="I68" i="11"/>
  <c r="H68" i="11"/>
  <c r="F68" i="11"/>
  <c r="E68" i="11"/>
  <c r="D68" i="11"/>
  <c r="C68" i="11"/>
  <c r="T65" i="11"/>
  <c r="S65" i="11"/>
  <c r="AD65" i="11" s="1"/>
  <c r="R65" i="11"/>
  <c r="AC65" i="11" s="1"/>
  <c r="Q65" i="11"/>
  <c r="P65" i="11"/>
  <c r="AA65" i="11" s="1"/>
  <c r="O65" i="11"/>
  <c r="Z65" i="11" s="1"/>
  <c r="N65" i="11"/>
  <c r="M65" i="11"/>
  <c r="X65" i="11" s="1"/>
  <c r="L65" i="11"/>
  <c r="K65" i="11"/>
  <c r="V65" i="11" s="1"/>
  <c r="J65" i="11"/>
  <c r="I65" i="11"/>
  <c r="T64" i="11"/>
  <c r="S64" i="11"/>
  <c r="R64" i="11"/>
  <c r="AC64" i="11" s="1"/>
  <c r="Q64" i="11"/>
  <c r="AB64" i="11" s="1"/>
  <c r="P64" i="11"/>
  <c r="O64" i="11"/>
  <c r="Z64" i="11" s="1"/>
  <c r="N64" i="11"/>
  <c r="Y64" i="11" s="1"/>
  <c r="M64" i="11"/>
  <c r="X64" i="11" s="1"/>
  <c r="L64" i="11"/>
  <c r="W64" i="11" s="1"/>
  <c r="K64" i="11"/>
  <c r="V64" i="11" s="1"/>
  <c r="J64" i="11"/>
  <c r="I64" i="11"/>
  <c r="T63" i="11"/>
  <c r="S63" i="11"/>
  <c r="AD63" i="11" s="1"/>
  <c r="R63" i="11"/>
  <c r="AC63" i="11" s="1"/>
  <c r="Q63" i="11"/>
  <c r="AB63" i="11" s="1"/>
  <c r="P63" i="11"/>
  <c r="AA63" i="11" s="1"/>
  <c r="O63" i="11"/>
  <c r="Z63" i="11" s="1"/>
  <c r="N63" i="11"/>
  <c r="M63" i="11"/>
  <c r="X63" i="11" s="1"/>
  <c r="L63" i="11"/>
  <c r="K63" i="11"/>
  <c r="V63" i="11" s="1"/>
  <c r="J63" i="11"/>
  <c r="I63" i="11"/>
  <c r="T62" i="11"/>
  <c r="S62" i="11"/>
  <c r="R62" i="11"/>
  <c r="Q62" i="11"/>
  <c r="P62" i="11"/>
  <c r="O62" i="11"/>
  <c r="N62" i="11"/>
  <c r="M62" i="11"/>
  <c r="X62" i="11" s="1"/>
  <c r="L62" i="11"/>
  <c r="K62" i="11"/>
  <c r="J62" i="11"/>
  <c r="I62" i="11"/>
  <c r="T61" i="11"/>
  <c r="S61" i="11"/>
  <c r="R61" i="11"/>
  <c r="AC61" i="11" s="1"/>
  <c r="Q61" i="11"/>
  <c r="AB61" i="11" s="1"/>
  <c r="P61" i="11"/>
  <c r="AA61" i="11" s="1"/>
  <c r="O61" i="11"/>
  <c r="N61" i="11"/>
  <c r="Y61" i="11" s="1"/>
  <c r="M61" i="11"/>
  <c r="X61" i="11" s="1"/>
  <c r="L61" i="11"/>
  <c r="K61" i="11"/>
  <c r="J61" i="11"/>
  <c r="I61" i="11"/>
  <c r="T60" i="11"/>
  <c r="S60" i="11"/>
  <c r="R60" i="11"/>
  <c r="Q60" i="11"/>
  <c r="AB60" i="11" s="1"/>
  <c r="P60" i="11"/>
  <c r="O60" i="11"/>
  <c r="N60" i="11"/>
  <c r="Y60" i="11" s="1"/>
  <c r="M60" i="11"/>
  <c r="X60" i="11" s="1"/>
  <c r="L60" i="11"/>
  <c r="W60" i="11" s="1"/>
  <c r="K60" i="11"/>
  <c r="V60" i="11" s="1"/>
  <c r="J60" i="11"/>
  <c r="I60" i="11"/>
  <c r="T59" i="11"/>
  <c r="S59" i="11"/>
  <c r="R59" i="11"/>
  <c r="AC59" i="11" s="1"/>
  <c r="Q59" i="11"/>
  <c r="AB59" i="11" s="1"/>
  <c r="P59" i="11"/>
  <c r="O59" i="11"/>
  <c r="Z59" i="11" s="1"/>
  <c r="N59" i="11"/>
  <c r="Y59" i="11" s="1"/>
  <c r="M59" i="11"/>
  <c r="X59" i="11" s="1"/>
  <c r="L59" i="11"/>
  <c r="K59" i="11"/>
  <c r="J59" i="11"/>
  <c r="I59" i="11"/>
  <c r="H65" i="11"/>
  <c r="H64" i="11"/>
  <c r="H63" i="11"/>
  <c r="H62" i="11"/>
  <c r="H61" i="11"/>
  <c r="H60" i="11"/>
  <c r="H59" i="11"/>
  <c r="F65" i="11"/>
  <c r="E65" i="11"/>
  <c r="D65" i="11"/>
  <c r="F64" i="11"/>
  <c r="E64" i="11"/>
  <c r="D64" i="11"/>
  <c r="F63" i="11"/>
  <c r="E63" i="11"/>
  <c r="D63" i="11"/>
  <c r="F62" i="11"/>
  <c r="E62" i="11"/>
  <c r="D62" i="11"/>
  <c r="F61" i="11"/>
  <c r="E61" i="11"/>
  <c r="D61" i="11"/>
  <c r="F60" i="11"/>
  <c r="E60" i="11"/>
  <c r="D60" i="11"/>
  <c r="F59" i="11"/>
  <c r="E59" i="11"/>
  <c r="D59" i="11"/>
  <c r="C65" i="11"/>
  <c r="C64" i="11"/>
  <c r="AE63" i="11"/>
  <c r="Y63" i="11"/>
  <c r="W63" i="11"/>
  <c r="C63" i="11"/>
  <c r="C62" i="11"/>
  <c r="C61" i="11"/>
  <c r="C60" i="11"/>
  <c r="C59" i="11"/>
  <c r="AE61" i="11"/>
  <c r="AD61" i="11"/>
  <c r="Z61" i="11"/>
  <c r="W61" i="11"/>
  <c r="V61" i="11"/>
  <c r="T55" i="11"/>
  <c r="AE55" i="11" s="1"/>
  <c r="S55" i="11"/>
  <c r="R55" i="11"/>
  <c r="AC55" i="11" s="1"/>
  <c r="Q55" i="11"/>
  <c r="AB55" i="11" s="1"/>
  <c r="P55" i="11"/>
  <c r="AA55" i="11" s="1"/>
  <c r="O55" i="11"/>
  <c r="N55" i="11"/>
  <c r="M55" i="11"/>
  <c r="L55" i="11"/>
  <c r="W55" i="11" s="1"/>
  <c r="K55" i="11"/>
  <c r="J55" i="11"/>
  <c r="I55" i="11"/>
  <c r="H55" i="11"/>
  <c r="F55" i="11"/>
  <c r="E55" i="11"/>
  <c r="D55" i="11"/>
  <c r="C55" i="11"/>
  <c r="T54" i="11"/>
  <c r="S54" i="11"/>
  <c r="R54" i="11"/>
  <c r="AC54" i="11" s="1"/>
  <c r="Q54" i="11"/>
  <c r="P54" i="11"/>
  <c r="AA54" i="11" s="1"/>
  <c r="O54" i="11"/>
  <c r="N54" i="11"/>
  <c r="Y54" i="11" s="1"/>
  <c r="M54" i="11"/>
  <c r="X54" i="11" s="1"/>
  <c r="L54" i="11"/>
  <c r="W54" i="11" s="1"/>
  <c r="K54" i="11"/>
  <c r="J54" i="11"/>
  <c r="I54" i="11"/>
  <c r="T53" i="11"/>
  <c r="AE53" i="11" s="1"/>
  <c r="S53" i="11"/>
  <c r="R53" i="11"/>
  <c r="AC53" i="11" s="1"/>
  <c r="Q53" i="11"/>
  <c r="P53" i="11"/>
  <c r="AA53" i="11" s="1"/>
  <c r="O53" i="11"/>
  <c r="N53" i="11"/>
  <c r="Y53" i="11" s="1"/>
  <c r="M53" i="11"/>
  <c r="X53" i="11" s="1"/>
  <c r="L53" i="11"/>
  <c r="W53" i="11" s="1"/>
  <c r="K53" i="11"/>
  <c r="J53" i="11"/>
  <c r="I53" i="11"/>
  <c r="H54" i="11"/>
  <c r="H53" i="11"/>
  <c r="F54" i="11"/>
  <c r="E54" i="11"/>
  <c r="D54" i="11"/>
  <c r="F53" i="11"/>
  <c r="E53" i="11"/>
  <c r="D53" i="11"/>
  <c r="C54" i="11"/>
  <c r="C53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F32" i="11"/>
  <c r="E32" i="11"/>
  <c r="D32" i="11"/>
  <c r="C32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F28" i="11"/>
  <c r="E28" i="11"/>
  <c r="D28" i="11"/>
  <c r="C28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4" i="11"/>
  <c r="H23" i="11"/>
  <c r="H22" i="11"/>
  <c r="H21" i="11"/>
  <c r="F24" i="11"/>
  <c r="E24" i="11"/>
  <c r="D24" i="11"/>
  <c r="F23" i="11"/>
  <c r="E23" i="11"/>
  <c r="D23" i="11"/>
  <c r="F22" i="11"/>
  <c r="E22" i="11"/>
  <c r="D22" i="11"/>
  <c r="F21" i="11"/>
  <c r="E21" i="11"/>
  <c r="D21" i="11"/>
  <c r="C24" i="11"/>
  <c r="C23" i="11"/>
  <c r="C22" i="11"/>
  <c r="C21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7" i="11"/>
  <c r="H16" i="11"/>
  <c r="H15" i="11"/>
  <c r="H14" i="11"/>
  <c r="F17" i="11"/>
  <c r="E17" i="11"/>
  <c r="D17" i="11"/>
  <c r="C17" i="11"/>
  <c r="F16" i="11"/>
  <c r="E16" i="11"/>
  <c r="D16" i="11"/>
  <c r="C16" i="11"/>
  <c r="F15" i="11"/>
  <c r="E15" i="11"/>
  <c r="D15" i="11"/>
  <c r="C15" i="11"/>
  <c r="F14" i="11"/>
  <c r="E14" i="11"/>
  <c r="D14" i="11"/>
  <c r="C14" i="11"/>
  <c r="T9" i="11"/>
  <c r="S9" i="11"/>
  <c r="R9" i="11"/>
  <c r="Q9" i="11"/>
  <c r="P9" i="11"/>
  <c r="O9" i="11"/>
  <c r="N9" i="11"/>
  <c r="M9" i="11"/>
  <c r="L9" i="11"/>
  <c r="K9" i="11"/>
  <c r="J9" i="11"/>
  <c r="I9" i="11"/>
  <c r="T8" i="11"/>
  <c r="S8" i="11"/>
  <c r="R8" i="11"/>
  <c r="Q8" i="11"/>
  <c r="P8" i="11"/>
  <c r="O8" i="11"/>
  <c r="N8" i="11"/>
  <c r="M8" i="11"/>
  <c r="L8" i="11"/>
  <c r="K8" i="11"/>
  <c r="J8" i="11"/>
  <c r="I8" i="11"/>
  <c r="T7" i="11"/>
  <c r="S7" i="11"/>
  <c r="R7" i="11"/>
  <c r="Q7" i="11"/>
  <c r="P7" i="11"/>
  <c r="O7" i="11"/>
  <c r="N7" i="11"/>
  <c r="M7" i="11"/>
  <c r="L7" i="11"/>
  <c r="K7" i="11"/>
  <c r="J7" i="11"/>
  <c r="I7" i="11"/>
  <c r="T6" i="11"/>
  <c r="S6" i="11"/>
  <c r="R6" i="11"/>
  <c r="Q6" i="11"/>
  <c r="P6" i="11"/>
  <c r="O6" i="11"/>
  <c r="N6" i="11"/>
  <c r="M6" i="11"/>
  <c r="L6" i="11"/>
  <c r="K6" i="11"/>
  <c r="J6" i="11"/>
  <c r="I6" i="11"/>
  <c r="H9" i="11"/>
  <c r="H8" i="11"/>
  <c r="H7" i="11"/>
  <c r="H6" i="11"/>
  <c r="F9" i="11"/>
  <c r="E9" i="11"/>
  <c r="D9" i="11"/>
  <c r="C9" i="11"/>
  <c r="F8" i="11"/>
  <c r="E8" i="11"/>
  <c r="D8" i="11"/>
  <c r="C8" i="11"/>
  <c r="F7" i="11"/>
  <c r="E7" i="11"/>
  <c r="D7" i="11"/>
  <c r="C7" i="11"/>
  <c r="F6" i="11"/>
  <c r="E6" i="11"/>
  <c r="D6" i="11"/>
  <c r="C6" i="11"/>
  <c r="B9" i="11"/>
  <c r="B8" i="11"/>
  <c r="B7" i="11"/>
  <c r="B6" i="11"/>
  <c r="S54" i="10"/>
  <c r="AD54" i="10" s="1"/>
  <c r="S53" i="10"/>
  <c r="S52" i="10"/>
  <c r="S51" i="10"/>
  <c r="O53" i="10"/>
  <c r="Z53" i="10" s="1"/>
  <c r="O52" i="10"/>
  <c r="AC52" i="10" s="1"/>
  <c r="O51" i="10"/>
  <c r="AB51" i="10" s="1"/>
  <c r="K53" i="10"/>
  <c r="K52" i="10"/>
  <c r="W52" i="10" s="1"/>
  <c r="K51" i="10"/>
  <c r="Y51" i="10" s="1"/>
  <c r="Q61" i="10"/>
  <c r="Q58" i="10"/>
  <c r="N58" i="10"/>
  <c r="E58" i="10"/>
  <c r="C61" i="10"/>
  <c r="C60" i="10"/>
  <c r="C59" i="10"/>
  <c r="C58" i="10"/>
  <c r="B61" i="10"/>
  <c r="B60" i="10"/>
  <c r="B59" i="10"/>
  <c r="B58" i="10"/>
  <c r="T55" i="10"/>
  <c r="T59" i="10" s="1"/>
  <c r="R55" i="10"/>
  <c r="R61" i="10" s="1"/>
  <c r="Q55" i="10"/>
  <c r="Q60" i="10" s="1"/>
  <c r="P55" i="10"/>
  <c r="P59" i="10" s="1"/>
  <c r="N55" i="10"/>
  <c r="N60" i="10" s="1"/>
  <c r="M55" i="10"/>
  <c r="M59" i="10" s="1"/>
  <c r="L55" i="10"/>
  <c r="L59" i="10" s="1"/>
  <c r="J55" i="10"/>
  <c r="J58" i="10" s="1"/>
  <c r="I55" i="10"/>
  <c r="I60" i="10" s="1"/>
  <c r="H55" i="10"/>
  <c r="H60" i="10" s="1"/>
  <c r="F55" i="10"/>
  <c r="F61" i="10" s="1"/>
  <c r="E55" i="10"/>
  <c r="E60" i="10" s="1"/>
  <c r="D55" i="10"/>
  <c r="D61" i="10" s="1"/>
  <c r="C55" i="10"/>
  <c r="AC54" i="10"/>
  <c r="V54" i="10"/>
  <c r="AE53" i="10"/>
  <c r="AE52" i="10"/>
  <c r="V47" i="10"/>
  <c r="T46" i="10"/>
  <c r="R46" i="10"/>
  <c r="Q46" i="10"/>
  <c r="P46" i="10"/>
  <c r="N46" i="10"/>
  <c r="M46" i="10"/>
  <c r="L46" i="10"/>
  <c r="J46" i="10"/>
  <c r="I46" i="10"/>
  <c r="H46" i="10"/>
  <c r="F46" i="10"/>
  <c r="E46" i="10"/>
  <c r="D46" i="10"/>
  <c r="C46" i="10"/>
  <c r="AE45" i="10"/>
  <c r="AE46" i="10" s="1"/>
  <c r="AC45" i="10"/>
  <c r="AC46" i="10" s="1"/>
  <c r="AB45" i="10"/>
  <c r="AB46" i="10" s="1"/>
  <c r="AA45" i="10"/>
  <c r="AA46" i="10" s="1"/>
  <c r="Y45" i="10"/>
  <c r="X45" i="10"/>
  <c r="W45" i="10"/>
  <c r="W46" i="10" s="1"/>
  <c r="AD45" i="10"/>
  <c r="AD46" i="10" s="1"/>
  <c r="Z45" i="10"/>
  <c r="V45" i="10"/>
  <c r="V46" i="10" s="1"/>
  <c r="Y46" i="10"/>
  <c r="X46" i="10"/>
  <c r="V26" i="10"/>
  <c r="V33" i="10"/>
  <c r="AD42" i="10"/>
  <c r="AC42" i="10"/>
  <c r="AB42" i="10"/>
  <c r="AA42" i="10"/>
  <c r="Z42" i="10"/>
  <c r="Y42" i="10"/>
  <c r="X42" i="10"/>
  <c r="W42" i="10"/>
  <c r="V42" i="10"/>
  <c r="AE42" i="10"/>
  <c r="V39" i="10"/>
  <c r="AC31" i="10"/>
  <c r="AB31" i="10"/>
  <c r="AA31" i="10"/>
  <c r="Y31" i="10"/>
  <c r="X31" i="10"/>
  <c r="W31" i="10"/>
  <c r="AC30" i="10"/>
  <c r="AB30" i="10"/>
  <c r="AA30" i="10"/>
  <c r="Y30" i="10"/>
  <c r="X30" i="10"/>
  <c r="W30" i="10"/>
  <c r="AE31" i="10"/>
  <c r="AE30" i="10"/>
  <c r="K31" i="10"/>
  <c r="V31" i="10" s="1"/>
  <c r="K30" i="10"/>
  <c r="V30" i="10" s="1"/>
  <c r="O31" i="10"/>
  <c r="Z31" i="10" s="1"/>
  <c r="O30" i="10"/>
  <c r="Z30" i="10" s="1"/>
  <c r="S31" i="10"/>
  <c r="AD31" i="10" s="1"/>
  <c r="S30" i="10"/>
  <c r="AD30" i="10" s="1"/>
  <c r="T32" i="10"/>
  <c r="R32" i="10"/>
  <c r="Q32" i="10"/>
  <c r="P32" i="10"/>
  <c r="N32" i="10"/>
  <c r="M32" i="10"/>
  <c r="L32" i="10"/>
  <c r="J32" i="10"/>
  <c r="I32" i="10"/>
  <c r="H32" i="10"/>
  <c r="F32" i="10"/>
  <c r="E32" i="10"/>
  <c r="D32" i="10"/>
  <c r="C32" i="10"/>
  <c r="S11" i="10"/>
  <c r="AD11" i="10" s="1"/>
  <c r="O11" i="10"/>
  <c r="AB11" i="10" s="1"/>
  <c r="K11" i="10"/>
  <c r="V11" i="10" s="1"/>
  <c r="S10" i="10"/>
  <c r="AD10" i="10" s="1"/>
  <c r="O10" i="10"/>
  <c r="Z10" i="10" s="1"/>
  <c r="K10" i="10"/>
  <c r="X10" i="10" s="1"/>
  <c r="B19" i="10"/>
  <c r="B18" i="10"/>
  <c r="B17" i="10"/>
  <c r="E102" i="8"/>
  <c r="O102" i="8" s="1"/>
  <c r="AC102" i="8" s="1"/>
  <c r="O101" i="8"/>
  <c r="AC101" i="8" s="1"/>
  <c r="O100" i="8"/>
  <c r="AA100" i="8" s="1"/>
  <c r="O98" i="8"/>
  <c r="O97" i="8"/>
  <c r="AB97" i="8" s="1"/>
  <c r="O96" i="8"/>
  <c r="AC96" i="8" s="1"/>
  <c r="O94" i="8"/>
  <c r="AC94" i="8" s="1"/>
  <c r="O93" i="8"/>
  <c r="AB93" i="8" s="1"/>
  <c r="O92" i="8"/>
  <c r="O91" i="8"/>
  <c r="AB91" i="8" s="1"/>
  <c r="O90" i="8"/>
  <c r="AC90" i="8" s="1"/>
  <c r="O89" i="8"/>
  <c r="O88" i="8"/>
  <c r="AC88" i="8" s="1"/>
  <c r="O87" i="8"/>
  <c r="O110" i="8"/>
  <c r="O109" i="8"/>
  <c r="AC109" i="8" s="1"/>
  <c r="O108" i="8"/>
  <c r="AC108" i="8" s="1"/>
  <c r="O107" i="8"/>
  <c r="AC107" i="8" s="1"/>
  <c r="O106" i="8"/>
  <c r="AA106" i="8" s="1"/>
  <c r="O105" i="8"/>
  <c r="O120" i="8"/>
  <c r="AB120" i="8" s="1"/>
  <c r="O119" i="8"/>
  <c r="O118" i="8"/>
  <c r="O117" i="8"/>
  <c r="Z117" i="8" s="1"/>
  <c r="O116" i="8"/>
  <c r="AC116" i="8" s="1"/>
  <c r="O115" i="8"/>
  <c r="O114" i="8"/>
  <c r="AB114" i="8" s="1"/>
  <c r="O125" i="8"/>
  <c r="O124" i="8"/>
  <c r="AC120" i="8"/>
  <c r="AC119" i="8"/>
  <c r="AB119" i="8"/>
  <c r="AA119" i="8"/>
  <c r="Z119" i="8"/>
  <c r="AC118" i="8"/>
  <c r="AB118" i="8"/>
  <c r="AA118" i="8"/>
  <c r="Z118" i="8"/>
  <c r="Y118" i="8"/>
  <c r="T135" i="8"/>
  <c r="AE135" i="8" s="1"/>
  <c r="R135" i="8"/>
  <c r="Q135" i="8"/>
  <c r="P135" i="8"/>
  <c r="Q131" i="8" s="1"/>
  <c r="O135" i="8"/>
  <c r="Z135" i="8" s="1"/>
  <c r="AA131" i="8" s="1"/>
  <c r="N135" i="8"/>
  <c r="M135" i="8"/>
  <c r="X135" i="8" s="1"/>
  <c r="L135" i="8"/>
  <c r="W135" i="8" s="1"/>
  <c r="X131" i="8" s="1"/>
  <c r="J135" i="8"/>
  <c r="I135" i="8"/>
  <c r="H135" i="8"/>
  <c r="F135" i="8"/>
  <c r="E135" i="8"/>
  <c r="D135" i="8"/>
  <c r="C135" i="8"/>
  <c r="AE55" i="8"/>
  <c r="AC55" i="8"/>
  <c r="AB55" i="8"/>
  <c r="AA55" i="8"/>
  <c r="Z55" i="8"/>
  <c r="Y55" i="8"/>
  <c r="X55" i="8"/>
  <c r="W55" i="8"/>
  <c r="AE54" i="8"/>
  <c r="AC54" i="8"/>
  <c r="AB54" i="8"/>
  <c r="AA54" i="8"/>
  <c r="Y54" i="8"/>
  <c r="X54" i="8"/>
  <c r="W54" i="8"/>
  <c r="AE53" i="8"/>
  <c r="AC53" i="8"/>
  <c r="AB53" i="8"/>
  <c r="AA53" i="8"/>
  <c r="Y53" i="8"/>
  <c r="X53" i="8"/>
  <c r="W53" i="8"/>
  <c r="AE52" i="8"/>
  <c r="AC52" i="8"/>
  <c r="AB52" i="8"/>
  <c r="AA52" i="8"/>
  <c r="Y52" i="8"/>
  <c r="X52" i="8"/>
  <c r="W52" i="8"/>
  <c r="AE51" i="8"/>
  <c r="AC51" i="8"/>
  <c r="AB51" i="8"/>
  <c r="AA51" i="8"/>
  <c r="Y51" i="8"/>
  <c r="X51" i="8"/>
  <c r="W51" i="8"/>
  <c r="AE50" i="8"/>
  <c r="AC50" i="8"/>
  <c r="AB50" i="8"/>
  <c r="AA50" i="8"/>
  <c r="Y50" i="8"/>
  <c r="X50" i="8"/>
  <c r="W50" i="8"/>
  <c r="AE49" i="8"/>
  <c r="AC49" i="8"/>
  <c r="AB49" i="8"/>
  <c r="AA49" i="8"/>
  <c r="Y49" i="8"/>
  <c r="X49" i="8"/>
  <c r="W49" i="8"/>
  <c r="AE48" i="8"/>
  <c r="AC48" i="8"/>
  <c r="AB48" i="8"/>
  <c r="AA48" i="8"/>
  <c r="Y48" i="8"/>
  <c r="X48" i="8"/>
  <c r="W48" i="8"/>
  <c r="AE61" i="8"/>
  <c r="AC61" i="8"/>
  <c r="AB61" i="8"/>
  <c r="AA61" i="8"/>
  <c r="Y61" i="8"/>
  <c r="X61" i="8"/>
  <c r="W61" i="8"/>
  <c r="AE60" i="8"/>
  <c r="AC60" i="8"/>
  <c r="AB60" i="8"/>
  <c r="AA60" i="8"/>
  <c r="Y60" i="8"/>
  <c r="X60" i="8"/>
  <c r="W60" i="8"/>
  <c r="AE59" i="8"/>
  <c r="AC59" i="8"/>
  <c r="AB59" i="8"/>
  <c r="AA59" i="8"/>
  <c r="Y59" i="8"/>
  <c r="X59" i="8"/>
  <c r="W59" i="8"/>
  <c r="S55" i="8"/>
  <c r="AD55" i="8" s="1"/>
  <c r="O55" i="8"/>
  <c r="K55" i="8"/>
  <c r="V55" i="8" s="1"/>
  <c r="S54" i="8"/>
  <c r="AD54" i="8" s="1"/>
  <c r="O54" i="8"/>
  <c r="Z54" i="8" s="1"/>
  <c r="K54" i="8"/>
  <c r="V54" i="8" s="1"/>
  <c r="S53" i="8"/>
  <c r="AD53" i="8" s="1"/>
  <c r="O53" i="8"/>
  <c r="Z53" i="8" s="1"/>
  <c r="K53" i="8"/>
  <c r="V53" i="8" s="1"/>
  <c r="S52" i="8"/>
  <c r="AD52" i="8" s="1"/>
  <c r="O52" i="8"/>
  <c r="Z52" i="8" s="1"/>
  <c r="K52" i="8"/>
  <c r="V52" i="8" s="1"/>
  <c r="S51" i="8"/>
  <c r="AD51" i="8" s="1"/>
  <c r="O51" i="8"/>
  <c r="Z51" i="8" s="1"/>
  <c r="K51" i="8"/>
  <c r="V51" i="8" s="1"/>
  <c r="S64" i="8"/>
  <c r="O64" i="8"/>
  <c r="K64" i="8"/>
  <c r="S63" i="8"/>
  <c r="O63" i="8"/>
  <c r="K63" i="8"/>
  <c r="S62" i="8"/>
  <c r="O62" i="8"/>
  <c r="Z62" i="8" s="1"/>
  <c r="K62" i="8"/>
  <c r="V62" i="8" s="1"/>
  <c r="S61" i="8"/>
  <c r="AD61" i="8" s="1"/>
  <c r="O61" i="8"/>
  <c r="Z61" i="8" s="1"/>
  <c r="K61" i="8"/>
  <c r="V61" i="8" s="1"/>
  <c r="S60" i="8"/>
  <c r="AD60" i="8" s="1"/>
  <c r="O60" i="8"/>
  <c r="Z60" i="8" s="1"/>
  <c r="K60" i="8"/>
  <c r="V60" i="8" s="1"/>
  <c r="S59" i="8"/>
  <c r="AD59" i="8" s="1"/>
  <c r="O59" i="8"/>
  <c r="Z59" i="8" s="1"/>
  <c r="K59" i="8"/>
  <c r="V59" i="8" s="1"/>
  <c r="T66" i="8"/>
  <c r="R66" i="8"/>
  <c r="Q66" i="8"/>
  <c r="P66" i="8"/>
  <c r="N66" i="8"/>
  <c r="M66" i="8"/>
  <c r="L66" i="8"/>
  <c r="J66" i="8"/>
  <c r="I66" i="8"/>
  <c r="H66" i="8"/>
  <c r="F66" i="8"/>
  <c r="E66" i="8"/>
  <c r="D66" i="8"/>
  <c r="C66" i="8"/>
  <c r="T56" i="8"/>
  <c r="R56" i="8"/>
  <c r="Q56" i="8"/>
  <c r="P56" i="8"/>
  <c r="N56" i="8"/>
  <c r="M56" i="8"/>
  <c r="L56" i="8"/>
  <c r="J56" i="8"/>
  <c r="I56" i="8"/>
  <c r="H56" i="8"/>
  <c r="F56" i="8"/>
  <c r="E56" i="8"/>
  <c r="D56" i="8"/>
  <c r="C56" i="8"/>
  <c r="S120" i="8"/>
  <c r="AE120" i="8" s="1"/>
  <c r="K120" i="8"/>
  <c r="Y120" i="8" s="1"/>
  <c r="S119" i="8"/>
  <c r="AD119" i="8" s="1"/>
  <c r="K119" i="8"/>
  <c r="V119" i="8" s="1"/>
  <c r="S118" i="8"/>
  <c r="AE118" i="8" s="1"/>
  <c r="K118" i="8"/>
  <c r="X118" i="8" s="1"/>
  <c r="S117" i="8"/>
  <c r="AE117" i="8" s="1"/>
  <c r="K117" i="8"/>
  <c r="Y117" i="8" s="1"/>
  <c r="S116" i="8"/>
  <c r="AE116" i="8" s="1"/>
  <c r="K116" i="8"/>
  <c r="Y116" i="8" s="1"/>
  <c r="S115" i="8"/>
  <c r="AE115" i="8" s="1"/>
  <c r="AA115" i="8"/>
  <c r="K115" i="8"/>
  <c r="Y115" i="8" s="1"/>
  <c r="S96" i="8"/>
  <c r="AE96" i="8" s="1"/>
  <c r="S94" i="8"/>
  <c r="AD94" i="8" s="1"/>
  <c r="S93" i="8"/>
  <c r="AD93" i="8" s="1"/>
  <c r="S92" i="8"/>
  <c r="AE92" i="8" s="1"/>
  <c r="S91" i="8"/>
  <c r="AD91" i="8" s="1"/>
  <c r="S90" i="8"/>
  <c r="AE90" i="8" s="1"/>
  <c r="S89" i="8"/>
  <c r="AD89" i="8" s="1"/>
  <c r="S88" i="8"/>
  <c r="AE88" i="8" s="1"/>
  <c r="S109" i="8"/>
  <c r="AD109" i="8" s="1"/>
  <c r="S108" i="8"/>
  <c r="AE108" i="8" s="1"/>
  <c r="S107" i="8"/>
  <c r="AE107" i="8" s="1"/>
  <c r="S106" i="8"/>
  <c r="AE106" i="8" s="1"/>
  <c r="K109" i="8"/>
  <c r="V109" i="8" s="1"/>
  <c r="K108" i="8"/>
  <c r="X108" i="8" s="1"/>
  <c r="K107" i="8"/>
  <c r="X107" i="8" s="1"/>
  <c r="K106" i="8"/>
  <c r="V106" i="8" s="1"/>
  <c r="K97" i="8"/>
  <c r="W97" i="8" s="1"/>
  <c r="K96" i="8"/>
  <c r="Y96" i="8" s="1"/>
  <c r="K94" i="8"/>
  <c r="W94" i="8" s="1"/>
  <c r="K93" i="8"/>
  <c r="X93" i="8" s="1"/>
  <c r="AB92" i="8"/>
  <c r="K92" i="8"/>
  <c r="W92" i="8" s="1"/>
  <c r="K91" i="8"/>
  <c r="Y91" i="8" s="1"/>
  <c r="K90" i="8"/>
  <c r="Y90" i="8" s="1"/>
  <c r="AC89" i="8"/>
  <c r="K89" i="8"/>
  <c r="X89" i="8" s="1"/>
  <c r="S14" i="8"/>
  <c r="AE14" i="8" s="1"/>
  <c r="O14" i="8"/>
  <c r="AC14" i="8" s="1"/>
  <c r="K14" i="8"/>
  <c r="W14" i="8" s="1"/>
  <c r="S15" i="8"/>
  <c r="AE15" i="8" s="1"/>
  <c r="O15" i="8"/>
  <c r="AB15" i="8" s="1"/>
  <c r="K15" i="8"/>
  <c r="W15" i="8" s="1"/>
  <c r="S16" i="8"/>
  <c r="AE16" i="8" s="1"/>
  <c r="O16" i="8"/>
  <c r="AC16" i="8" s="1"/>
  <c r="K16" i="8"/>
  <c r="X16" i="8" s="1"/>
  <c r="AE39" i="11"/>
  <c r="AD39" i="11"/>
  <c r="AC39" i="11"/>
  <c r="AB39" i="11"/>
  <c r="Z39" i="11"/>
  <c r="W39" i="11"/>
  <c r="V39" i="11"/>
  <c r="AB54" i="11"/>
  <c r="AD75" i="11"/>
  <c r="AC75" i="11"/>
  <c r="AB75" i="11"/>
  <c r="AA75" i="11"/>
  <c r="Y75" i="11"/>
  <c r="W75" i="11"/>
  <c r="V75" i="11"/>
  <c r="AE75" i="11"/>
  <c r="AC72" i="11"/>
  <c r="AB72" i="11"/>
  <c r="AA72" i="11"/>
  <c r="Y72" i="11"/>
  <c r="W72" i="11"/>
  <c r="AA71" i="11"/>
  <c r="Y71" i="11"/>
  <c r="X71" i="11"/>
  <c r="W71" i="11"/>
  <c r="AC70" i="11"/>
  <c r="AB70" i="11"/>
  <c r="W70" i="11"/>
  <c r="AE72" i="11"/>
  <c r="AE71" i="11"/>
  <c r="AE70" i="11"/>
  <c r="AB68" i="11"/>
  <c r="Z68" i="11"/>
  <c r="Y68" i="11"/>
  <c r="X68" i="11"/>
  <c r="W68" i="11"/>
  <c r="AE68" i="11"/>
  <c r="AB65" i="11"/>
  <c r="Y65" i="11"/>
  <c r="W65" i="11"/>
  <c r="AD64" i="11"/>
  <c r="AA64" i="11"/>
  <c r="AD62" i="11"/>
  <c r="AC62" i="11"/>
  <c r="AB62" i="11"/>
  <c r="AA62" i="11"/>
  <c r="Z62" i="11"/>
  <c r="Y62" i="11"/>
  <c r="W62" i="11"/>
  <c r="V62" i="11"/>
  <c r="AD60" i="11"/>
  <c r="AC60" i="11"/>
  <c r="AA60" i="11"/>
  <c r="Z60" i="11"/>
  <c r="AD59" i="11"/>
  <c r="AA59" i="11"/>
  <c r="W59" i="11"/>
  <c r="V59" i="11"/>
  <c r="AE65" i="11"/>
  <c r="AE64" i="11"/>
  <c r="AE62" i="11"/>
  <c r="AE60" i="11"/>
  <c r="AE59" i="11"/>
  <c r="Y55" i="11"/>
  <c r="X55" i="11"/>
  <c r="AB53" i="11"/>
  <c r="AE54" i="11"/>
  <c r="S24" i="10"/>
  <c r="AE24" i="10" s="1"/>
  <c r="O24" i="10"/>
  <c r="AA24" i="10" s="1"/>
  <c r="K24" i="10"/>
  <c r="Y24" i="10" s="1"/>
  <c r="AC135" i="8"/>
  <c r="AD131" i="8" s="1"/>
  <c r="AB135" i="8"/>
  <c r="AA135" i="8"/>
  <c r="AB131" i="8" s="1"/>
  <c r="Y135" i="8"/>
  <c r="Z131" i="8" s="1"/>
  <c r="AC134" i="8"/>
  <c r="AB134" i="8"/>
  <c r="AA134" i="8"/>
  <c r="Y134" i="8"/>
  <c r="X134" i="8"/>
  <c r="W134" i="8"/>
  <c r="AE134" i="8"/>
  <c r="AE72" i="8"/>
  <c r="AC72" i="8"/>
  <c r="AB72" i="8"/>
  <c r="AA72" i="8"/>
  <c r="Y72" i="8"/>
  <c r="X72" i="8"/>
  <c r="W72" i="8"/>
  <c r="AE71" i="8"/>
  <c r="AC71" i="8"/>
  <c r="AB71" i="8"/>
  <c r="AA71" i="8"/>
  <c r="Y71" i="8"/>
  <c r="X71" i="8"/>
  <c r="W71" i="8"/>
  <c r="AE70" i="8"/>
  <c r="AC70" i="8"/>
  <c r="AB70" i="8"/>
  <c r="AA70" i="8"/>
  <c r="Y70" i="8"/>
  <c r="X70" i="8"/>
  <c r="W70" i="8"/>
  <c r="AE69" i="8"/>
  <c r="AC69" i="8"/>
  <c r="AB69" i="8"/>
  <c r="AA69" i="8"/>
  <c r="Y69" i="8"/>
  <c r="X69" i="8"/>
  <c r="W69" i="8"/>
  <c r="AE68" i="8"/>
  <c r="AC68" i="8"/>
  <c r="AB68" i="8"/>
  <c r="AA68" i="8"/>
  <c r="Y68" i="8"/>
  <c r="X68" i="8"/>
  <c r="W68" i="8"/>
  <c r="AE65" i="8"/>
  <c r="AC65" i="8"/>
  <c r="AB65" i="8"/>
  <c r="AA65" i="8"/>
  <c r="Y65" i="8"/>
  <c r="X65" i="8"/>
  <c r="W65" i="8"/>
  <c r="AE64" i="8"/>
  <c r="AC64" i="8"/>
  <c r="AB64" i="8"/>
  <c r="AA64" i="8"/>
  <c r="Y64" i="8"/>
  <c r="X64" i="8"/>
  <c r="W64" i="8"/>
  <c r="AE63" i="8"/>
  <c r="AC63" i="8"/>
  <c r="AB63" i="8"/>
  <c r="AA63" i="8"/>
  <c r="Y63" i="8"/>
  <c r="X63" i="8"/>
  <c r="W63" i="8"/>
  <c r="AE62" i="8"/>
  <c r="AC62" i="8"/>
  <c r="AB62" i="8"/>
  <c r="AA62" i="8"/>
  <c r="Y62" i="8"/>
  <c r="X62" i="8"/>
  <c r="W62" i="8"/>
  <c r="AE47" i="8"/>
  <c r="AC47" i="8"/>
  <c r="AB47" i="8"/>
  <c r="AA47" i="8"/>
  <c r="Y47" i="8"/>
  <c r="X47" i="8"/>
  <c r="W47" i="8"/>
  <c r="AE38" i="8"/>
  <c r="AC38" i="8"/>
  <c r="AB38" i="8"/>
  <c r="AA38" i="8"/>
  <c r="Y38" i="8"/>
  <c r="X38" i="8"/>
  <c r="W38" i="8"/>
  <c r="AC35" i="8"/>
  <c r="AB35" i="8"/>
  <c r="AA35" i="8"/>
  <c r="Y35" i="8"/>
  <c r="X35" i="8"/>
  <c r="W35" i="8"/>
  <c r="AE35" i="8"/>
  <c r="AC8" i="8"/>
  <c r="AB8" i="8"/>
  <c r="AA8" i="8"/>
  <c r="Y8" i="8"/>
  <c r="X8" i="8"/>
  <c r="W8" i="8"/>
  <c r="AD7" i="8"/>
  <c r="AC7" i="8"/>
  <c r="AB7" i="8"/>
  <c r="AA7" i="8"/>
  <c r="Z7" i="8"/>
  <c r="Y7" i="8"/>
  <c r="X7" i="8"/>
  <c r="W7" i="8"/>
  <c r="V7" i="8"/>
  <c r="AE8" i="8"/>
  <c r="AE7" i="8"/>
  <c r="S126" i="8"/>
  <c r="AE126" i="8" s="1"/>
  <c r="O126" i="8"/>
  <c r="AC126" i="8" s="1"/>
  <c r="K126" i="8"/>
  <c r="V126" i="8" s="1"/>
  <c r="S125" i="8"/>
  <c r="AD125" i="8" s="1"/>
  <c r="AC125" i="8"/>
  <c r="K125" i="8"/>
  <c r="Y125" i="8" s="1"/>
  <c r="S110" i="8"/>
  <c r="AE110" i="8" s="1"/>
  <c r="AB110" i="8"/>
  <c r="K110" i="8"/>
  <c r="Y110" i="8" s="1"/>
  <c r="S102" i="8"/>
  <c r="AD102" i="8" s="1"/>
  <c r="K102" i="8"/>
  <c r="W102" i="8" s="1"/>
  <c r="S101" i="8"/>
  <c r="AD101" i="8" s="1"/>
  <c r="K101" i="8"/>
  <c r="X101" i="8" s="1"/>
  <c r="S100" i="8"/>
  <c r="AE100" i="8" s="1"/>
  <c r="K100" i="8"/>
  <c r="X100" i="8" s="1"/>
  <c r="S98" i="8"/>
  <c r="AE98" i="8" s="1"/>
  <c r="AC98" i="8"/>
  <c r="K98" i="8"/>
  <c r="Y98" i="8" s="1"/>
  <c r="S97" i="8"/>
  <c r="AD97" i="8" s="1"/>
  <c r="K88" i="8"/>
  <c r="Y88" i="8" s="1"/>
  <c r="S65" i="8"/>
  <c r="AD65" i="8" s="1"/>
  <c r="O65" i="8"/>
  <c r="Z65" i="8" s="1"/>
  <c r="K65" i="8"/>
  <c r="V65" i="8" s="1"/>
  <c r="AD64" i="8"/>
  <c r="Z64" i="8"/>
  <c r="V64" i="8"/>
  <c r="AD63" i="8"/>
  <c r="Z63" i="8"/>
  <c r="V63" i="8"/>
  <c r="AD62" i="8"/>
  <c r="S50" i="8"/>
  <c r="AD50" i="8" s="1"/>
  <c r="O50" i="8"/>
  <c r="Z50" i="8" s="1"/>
  <c r="K50" i="8"/>
  <c r="V50" i="8" s="1"/>
  <c r="S49" i="8"/>
  <c r="AD49" i="8" s="1"/>
  <c r="O49" i="8"/>
  <c r="Z49" i="8" s="1"/>
  <c r="K49" i="8"/>
  <c r="V49" i="8" s="1"/>
  <c r="S22" i="8"/>
  <c r="AD22" i="8" s="1"/>
  <c r="O22" i="8"/>
  <c r="AC22" i="8" s="1"/>
  <c r="K22" i="8"/>
  <c r="W22" i="8" s="1"/>
  <c r="S21" i="8"/>
  <c r="AE21" i="8" s="1"/>
  <c r="O21" i="8"/>
  <c r="AC21" i="8" s="1"/>
  <c r="K21" i="8"/>
  <c r="Y21" i="8" s="1"/>
  <c r="V47" i="11"/>
  <c r="S124" i="8"/>
  <c r="AE124" i="8" s="1"/>
  <c r="Z124" i="8"/>
  <c r="K124" i="8"/>
  <c r="Y124" i="8" s="1"/>
  <c r="S114" i="8"/>
  <c r="AE114" i="8" s="1"/>
  <c r="K114" i="8"/>
  <c r="Y114" i="8" s="1"/>
  <c r="S72" i="8"/>
  <c r="AD72" i="8" s="1"/>
  <c r="O72" i="8"/>
  <c r="Z72" i="8" s="1"/>
  <c r="K72" i="8"/>
  <c r="V72" i="8" s="1"/>
  <c r="S71" i="8"/>
  <c r="AD71" i="8" s="1"/>
  <c r="O71" i="8"/>
  <c r="Z71" i="8" s="1"/>
  <c r="K71" i="8"/>
  <c r="V71" i="8" s="1"/>
  <c r="S70" i="8"/>
  <c r="AD70" i="8" s="1"/>
  <c r="O70" i="8"/>
  <c r="Z70" i="8" s="1"/>
  <c r="K70" i="8"/>
  <c r="V70" i="8" s="1"/>
  <c r="S69" i="8"/>
  <c r="AD69" i="8" s="1"/>
  <c r="O69" i="8"/>
  <c r="Z69" i="8" s="1"/>
  <c r="K69" i="8"/>
  <c r="V69" i="8" s="1"/>
  <c r="S68" i="8"/>
  <c r="AD68" i="8" s="1"/>
  <c r="O68" i="8"/>
  <c r="Z68" i="8" s="1"/>
  <c r="K68" i="8"/>
  <c r="V68" i="8" s="1"/>
  <c r="S48" i="8"/>
  <c r="AD48" i="8" s="1"/>
  <c r="O48" i="8"/>
  <c r="Z48" i="8" s="1"/>
  <c r="K48" i="8"/>
  <c r="V48" i="8" s="1"/>
  <c r="S47" i="8"/>
  <c r="AD47" i="8" s="1"/>
  <c r="O47" i="8"/>
  <c r="Z47" i="8" s="1"/>
  <c r="K47" i="8"/>
  <c r="V47" i="8" s="1"/>
  <c r="T4" i="11"/>
  <c r="AE4" i="11" s="1"/>
  <c r="T3" i="11"/>
  <c r="AE3" i="11" s="1"/>
  <c r="S9" i="10"/>
  <c r="AD9" i="10" s="1"/>
  <c r="T13" i="10"/>
  <c r="T18" i="10" s="1"/>
  <c r="T4" i="10"/>
  <c r="AE4" i="10" s="1"/>
  <c r="T3" i="10"/>
  <c r="AE3" i="10" s="1"/>
  <c r="T81" i="8"/>
  <c r="T127" i="8"/>
  <c r="T121" i="8"/>
  <c r="T80" i="8"/>
  <c r="T73" i="8"/>
  <c r="T43" i="8"/>
  <c r="T42" i="8"/>
  <c r="T11" i="8"/>
  <c r="T17" i="8" s="1"/>
  <c r="AD72" i="11"/>
  <c r="AD71" i="11"/>
  <c r="AD70" i="11"/>
  <c r="S3" i="11"/>
  <c r="AD3" i="11" s="1"/>
  <c r="R4" i="11"/>
  <c r="AC4" i="11" s="1"/>
  <c r="R3" i="11"/>
  <c r="AC3" i="11" s="1"/>
  <c r="S12" i="10"/>
  <c r="AE12" i="10" s="1"/>
  <c r="S3" i="10"/>
  <c r="AD3" i="10" s="1"/>
  <c r="R13" i="10"/>
  <c r="R4" i="10"/>
  <c r="AC4" i="10" s="1"/>
  <c r="R3" i="10"/>
  <c r="AC3" i="10" s="1"/>
  <c r="S143" i="8"/>
  <c r="AD143" i="8" s="1"/>
  <c r="S142" i="8"/>
  <c r="AE142" i="8" s="1"/>
  <c r="AD53" i="11"/>
  <c r="S38" i="8"/>
  <c r="AD38" i="8" s="1"/>
  <c r="S35" i="8"/>
  <c r="AD35" i="8" s="1"/>
  <c r="S31" i="8"/>
  <c r="AE31" i="8" s="1"/>
  <c r="S27" i="8"/>
  <c r="AE27" i="8" s="1"/>
  <c r="S20" i="8"/>
  <c r="AE20" i="8" s="1"/>
  <c r="S13" i="8"/>
  <c r="AD13" i="8" s="1"/>
  <c r="S10" i="8"/>
  <c r="S11" i="8" s="1"/>
  <c r="S8" i="8"/>
  <c r="S4" i="10" s="1"/>
  <c r="AD4" i="10" s="1"/>
  <c r="S131" i="8"/>
  <c r="R81" i="8"/>
  <c r="S80" i="8"/>
  <c r="R80" i="8"/>
  <c r="R73" i="8"/>
  <c r="R43" i="8"/>
  <c r="S42" i="8"/>
  <c r="R42" i="8"/>
  <c r="R11" i="8"/>
  <c r="O8" i="8"/>
  <c r="O4" i="11" s="1"/>
  <c r="Z4" i="11" s="1"/>
  <c r="K8" i="8"/>
  <c r="K4" i="10" s="1"/>
  <c r="V4" i="10" s="1"/>
  <c r="O134" i="8"/>
  <c r="Z134" i="8" s="1"/>
  <c r="H73" i="11"/>
  <c r="X47" i="11"/>
  <c r="W47" i="11"/>
  <c r="W43" i="11"/>
  <c r="F121" i="8"/>
  <c r="F127" i="8"/>
  <c r="Z72" i="11"/>
  <c r="Z71" i="11"/>
  <c r="V72" i="11"/>
  <c r="V70" i="11"/>
  <c r="M73" i="11"/>
  <c r="F73" i="11"/>
  <c r="Q4" i="11"/>
  <c r="AB4" i="11" s="1"/>
  <c r="P4" i="11"/>
  <c r="AA4" i="11" s="1"/>
  <c r="N4" i="11"/>
  <c r="Y4" i="11" s="1"/>
  <c r="M4" i="11"/>
  <c r="X4" i="11" s="1"/>
  <c r="L4" i="11"/>
  <c r="W4" i="11" s="1"/>
  <c r="J4" i="11"/>
  <c r="I4" i="11"/>
  <c r="Q3" i="11"/>
  <c r="AB3" i="11" s="1"/>
  <c r="P3" i="11"/>
  <c r="AA3" i="11" s="1"/>
  <c r="O3" i="11"/>
  <c r="Z3" i="11" s="1"/>
  <c r="N3" i="11"/>
  <c r="Y3" i="11" s="1"/>
  <c r="M3" i="11"/>
  <c r="X3" i="11" s="1"/>
  <c r="L3" i="11"/>
  <c r="W3" i="11" s="1"/>
  <c r="K3" i="11"/>
  <c r="V3" i="11" s="1"/>
  <c r="J3" i="11"/>
  <c r="I3" i="11"/>
  <c r="H4" i="11"/>
  <c r="H3" i="11"/>
  <c r="E4" i="11"/>
  <c r="D4" i="11"/>
  <c r="C4" i="11"/>
  <c r="E3" i="11"/>
  <c r="D3" i="11"/>
  <c r="C3" i="11"/>
  <c r="F3" i="11"/>
  <c r="F4" i="11"/>
  <c r="B2" i="11"/>
  <c r="F13" i="10"/>
  <c r="F19" i="10" s="1"/>
  <c r="F4" i="10"/>
  <c r="F3" i="10"/>
  <c r="R131" i="8"/>
  <c r="O131" i="8"/>
  <c r="M131" i="8"/>
  <c r="K131" i="8"/>
  <c r="V131" i="8" s="1"/>
  <c r="J131" i="8"/>
  <c r="I131" i="8"/>
  <c r="F131" i="8"/>
  <c r="F81" i="8"/>
  <c r="F80" i="8"/>
  <c r="F73" i="8"/>
  <c r="F43" i="8"/>
  <c r="F42" i="8"/>
  <c r="F11" i="8"/>
  <c r="F17" i="8" s="1"/>
  <c r="Q4" i="10"/>
  <c r="AB4" i="10" s="1"/>
  <c r="P4" i="10"/>
  <c r="AA4" i="10" s="1"/>
  <c r="N4" i="10"/>
  <c r="Y4" i="10" s="1"/>
  <c r="M4" i="10"/>
  <c r="X4" i="10" s="1"/>
  <c r="L4" i="10"/>
  <c r="W4" i="10" s="1"/>
  <c r="J4" i="10"/>
  <c r="I4" i="10"/>
  <c r="Q3" i="10"/>
  <c r="AB3" i="10" s="1"/>
  <c r="P3" i="10"/>
  <c r="AA3" i="10" s="1"/>
  <c r="O3" i="10"/>
  <c r="Z3" i="10" s="1"/>
  <c r="N3" i="10"/>
  <c r="Y3" i="10" s="1"/>
  <c r="M3" i="10"/>
  <c r="X3" i="10" s="1"/>
  <c r="L3" i="10"/>
  <c r="W3" i="10" s="1"/>
  <c r="K3" i="10"/>
  <c r="V3" i="10" s="1"/>
  <c r="J3" i="10"/>
  <c r="I3" i="10"/>
  <c r="H4" i="10"/>
  <c r="H3" i="10"/>
  <c r="D4" i="10"/>
  <c r="C4" i="10"/>
  <c r="D3" i="10"/>
  <c r="C3" i="10"/>
  <c r="E4" i="10"/>
  <c r="E3" i="10"/>
  <c r="O9" i="10"/>
  <c r="AC9" i="10" s="1"/>
  <c r="K9" i="10"/>
  <c r="Y9" i="10" s="1"/>
  <c r="O12" i="10"/>
  <c r="AC12" i="10" s="1"/>
  <c r="K12" i="10"/>
  <c r="X12" i="10" s="1"/>
  <c r="AA39" i="11" l="1"/>
  <c r="AG39" i="11" s="1"/>
  <c r="X39" i="11"/>
  <c r="Z70" i="11"/>
  <c r="D73" i="11"/>
  <c r="V55" i="11"/>
  <c r="AD15" i="11"/>
  <c r="Z16" i="11"/>
  <c r="V24" i="11"/>
  <c r="AD55" i="11"/>
  <c r="V15" i="11"/>
  <c r="W15" i="11"/>
  <c r="X23" i="11"/>
  <c r="AE23" i="11"/>
  <c r="AB17" i="11"/>
  <c r="V22" i="11"/>
  <c r="W22" i="11"/>
  <c r="AC22" i="11"/>
  <c r="AD24" i="11"/>
  <c r="AC24" i="11"/>
  <c r="X14" i="11"/>
  <c r="Y22" i="11"/>
  <c r="AA23" i="11"/>
  <c r="AG23" i="11" s="1"/>
  <c r="W24" i="11"/>
  <c r="AC15" i="11"/>
  <c r="AA16" i="11"/>
  <c r="AE17" i="11"/>
  <c r="AB22" i="11"/>
  <c r="AB24" i="11"/>
  <c r="Y23" i="11"/>
  <c r="Z23" i="11"/>
  <c r="Z55" i="11"/>
  <c r="W23" i="11"/>
  <c r="V17" i="11"/>
  <c r="AB15" i="11"/>
  <c r="W14" i="11"/>
  <c r="AE14" i="11"/>
  <c r="AA15" i="11"/>
  <c r="W16" i="11"/>
  <c r="AE16" i="11"/>
  <c r="AA17" i="11"/>
  <c r="AE22" i="11"/>
  <c r="AE24" i="11"/>
  <c r="X16" i="11"/>
  <c r="AE21" i="11"/>
  <c r="X22" i="11"/>
  <c r="V23" i="11"/>
  <c r="AD23" i="11"/>
  <c r="AA24" i="11"/>
  <c r="AA22" i="11"/>
  <c r="X24" i="11"/>
  <c r="Z22" i="11"/>
  <c r="Y24" i="11"/>
  <c r="AD22" i="11"/>
  <c r="AB23" i="11"/>
  <c r="Z24" i="11"/>
  <c r="AD21" i="11"/>
  <c r="AC23" i="11"/>
  <c r="AB16" i="11"/>
  <c r="V14" i="11"/>
  <c r="AB14" i="11"/>
  <c r="X17" i="11"/>
  <c r="AD14" i="11"/>
  <c r="Z15" i="11"/>
  <c r="AC16" i="11"/>
  <c r="Z17" i="11"/>
  <c r="AE15" i="11"/>
  <c r="Z14" i="11"/>
  <c r="X15" i="11"/>
  <c r="V16" i="11"/>
  <c r="AD16" i="11"/>
  <c r="AC17" i="11"/>
  <c r="Y14" i="11"/>
  <c r="AA14" i="11"/>
  <c r="Y15" i="11"/>
  <c r="AD17" i="11"/>
  <c r="W17" i="11"/>
  <c r="AC14" i="11"/>
  <c r="Y16" i="11"/>
  <c r="Y17" i="11"/>
  <c r="T61" i="10"/>
  <c r="T60" i="10"/>
  <c r="R58" i="10"/>
  <c r="Q59" i="10"/>
  <c r="R59" i="10"/>
  <c r="AE59" i="10" s="1"/>
  <c r="P60" i="10"/>
  <c r="R60" i="10"/>
  <c r="AE60" i="10" s="1"/>
  <c r="F59" i="10"/>
  <c r="F58" i="10"/>
  <c r="F60" i="10"/>
  <c r="E61" i="10"/>
  <c r="E59" i="10"/>
  <c r="N59" i="10"/>
  <c r="D59" i="10"/>
  <c r="D60" i="10"/>
  <c r="D58" i="10"/>
  <c r="H58" i="10"/>
  <c r="I58" i="10"/>
  <c r="H59" i="10"/>
  <c r="T58" i="10"/>
  <c r="L61" i="10"/>
  <c r="L60" i="10"/>
  <c r="M61" i="10"/>
  <c r="L58" i="10"/>
  <c r="M60" i="10"/>
  <c r="N61" i="10"/>
  <c r="M58" i="10"/>
  <c r="P61" i="10"/>
  <c r="P58" i="10"/>
  <c r="I59" i="10"/>
  <c r="J60" i="10"/>
  <c r="J59" i="10"/>
  <c r="H61" i="10"/>
  <c r="I61" i="10"/>
  <c r="J61" i="10"/>
  <c r="AE61" i="10"/>
  <c r="L47" i="10"/>
  <c r="W47" i="10" s="1"/>
  <c r="T47" i="10"/>
  <c r="AE47" i="10" s="1"/>
  <c r="I34" i="10"/>
  <c r="E47" i="10"/>
  <c r="R47" i="10"/>
  <c r="AC47" i="10" s="1"/>
  <c r="X52" i="10"/>
  <c r="E33" i="10"/>
  <c r="R33" i="10"/>
  <c r="AC33" i="10" s="1"/>
  <c r="T33" i="10"/>
  <c r="AE33" i="10" s="1"/>
  <c r="AC51" i="10"/>
  <c r="AA53" i="10"/>
  <c r="AE58" i="10"/>
  <c r="V51" i="10"/>
  <c r="AD51" i="10"/>
  <c r="Y52" i="10"/>
  <c r="AB53" i="10"/>
  <c r="W54" i="10"/>
  <c r="AE54" i="10"/>
  <c r="K55" i="10"/>
  <c r="K61" i="10" s="1"/>
  <c r="S55" i="10"/>
  <c r="W51" i="10"/>
  <c r="AE51" i="10"/>
  <c r="Z52" i="10"/>
  <c r="AC53" i="10"/>
  <c r="X54" i="10"/>
  <c r="X51" i="10"/>
  <c r="AA52" i="10"/>
  <c r="V53" i="10"/>
  <c r="AD53" i="10"/>
  <c r="Y54" i="10"/>
  <c r="AB52" i="10"/>
  <c r="W53" i="10"/>
  <c r="Z54" i="10"/>
  <c r="Z51" i="10"/>
  <c r="X53" i="10"/>
  <c r="AA54" i="10"/>
  <c r="O55" i="10"/>
  <c r="AA51" i="10"/>
  <c r="V52" i="10"/>
  <c r="AD52" i="10"/>
  <c r="Y53" i="10"/>
  <c r="AB54" i="10"/>
  <c r="O46" i="10"/>
  <c r="O48" i="10" s="1"/>
  <c r="I48" i="10"/>
  <c r="J48" i="10"/>
  <c r="F47" i="10"/>
  <c r="L33" i="10"/>
  <c r="W33" i="10" s="1"/>
  <c r="M47" i="10"/>
  <c r="X47" i="10" s="1"/>
  <c r="D47" i="10"/>
  <c r="N47" i="10"/>
  <c r="Y47" i="10" s="1"/>
  <c r="P47" i="10"/>
  <c r="AA47" i="10" s="1"/>
  <c r="M48" i="10"/>
  <c r="Q47" i="10"/>
  <c r="AB47" i="10" s="1"/>
  <c r="N48" i="10"/>
  <c r="Z46" i="10"/>
  <c r="K46" i="10"/>
  <c r="S46" i="10"/>
  <c r="Q48" i="10"/>
  <c r="R48" i="10"/>
  <c r="M33" i="10"/>
  <c r="X33" i="10" s="1"/>
  <c r="D33" i="10"/>
  <c r="N33" i="10"/>
  <c r="Y33" i="10" s="1"/>
  <c r="F33" i="10"/>
  <c r="Q33" i="10"/>
  <c r="AB33" i="10" s="1"/>
  <c r="P33" i="10"/>
  <c r="AA33" i="10" s="1"/>
  <c r="J34" i="10"/>
  <c r="M34" i="10"/>
  <c r="N34" i="10"/>
  <c r="Q34" i="10"/>
  <c r="R34" i="10"/>
  <c r="AB32" i="10"/>
  <c r="S32" i="10"/>
  <c r="O32" i="10"/>
  <c r="P34" i="10" s="1"/>
  <c r="K32" i="10"/>
  <c r="K34" i="10" s="1"/>
  <c r="X32" i="10"/>
  <c r="Z32" i="10"/>
  <c r="AC32" i="10"/>
  <c r="V32" i="10"/>
  <c r="W32" i="10"/>
  <c r="AE32" i="10"/>
  <c r="Y10" i="10"/>
  <c r="X11" i="10"/>
  <c r="AC11" i="10"/>
  <c r="AE11" i="10"/>
  <c r="W10" i="10"/>
  <c r="AE10" i="10"/>
  <c r="W11" i="10"/>
  <c r="AA10" i="10"/>
  <c r="Y11" i="10"/>
  <c r="AB10" i="10"/>
  <c r="Z11" i="10"/>
  <c r="AC10" i="10"/>
  <c r="AA11" i="10"/>
  <c r="V10" i="10"/>
  <c r="F17" i="10"/>
  <c r="R18" i="10"/>
  <c r="AE18" i="10" s="1"/>
  <c r="R19" i="10"/>
  <c r="AE19" i="10" s="1"/>
  <c r="R17" i="10"/>
  <c r="AE17" i="10" s="1"/>
  <c r="T19" i="10"/>
  <c r="T17" i="10"/>
  <c r="F18" i="10"/>
  <c r="X9" i="10"/>
  <c r="AD24" i="10"/>
  <c r="W9" i="10"/>
  <c r="Z9" i="10"/>
  <c r="V12" i="10"/>
  <c r="W12" i="10"/>
  <c r="Y12" i="10"/>
  <c r="AB24" i="10"/>
  <c r="AE119" i="8"/>
  <c r="N131" i="8"/>
  <c r="X92" i="8"/>
  <c r="Z116" i="8"/>
  <c r="W119" i="8"/>
  <c r="AB116" i="8"/>
  <c r="AA117" i="8"/>
  <c r="V93" i="8"/>
  <c r="AD116" i="8"/>
  <c r="AB117" i="8"/>
  <c r="X119" i="8"/>
  <c r="V120" i="8"/>
  <c r="AD120" i="8"/>
  <c r="Y93" i="8"/>
  <c r="AC117" i="8"/>
  <c r="Y119" i="8"/>
  <c r="W120" i="8"/>
  <c r="W108" i="8"/>
  <c r="V116" i="8"/>
  <c r="V117" i="8"/>
  <c r="AD117" i="8"/>
  <c r="X120" i="8"/>
  <c r="X109" i="8"/>
  <c r="K135" i="8"/>
  <c r="S135" i="8"/>
  <c r="W116" i="8"/>
  <c r="W117" i="8"/>
  <c r="X116" i="8"/>
  <c r="X117" i="8"/>
  <c r="V118" i="8"/>
  <c r="AD118" i="8"/>
  <c r="Z120" i="8"/>
  <c r="V89" i="8"/>
  <c r="W118" i="8"/>
  <c r="AA120" i="8"/>
  <c r="Y89" i="8"/>
  <c r="Z90" i="8"/>
  <c r="AB90" i="8"/>
  <c r="AA93" i="8"/>
  <c r="AB109" i="8"/>
  <c r="AA116" i="8"/>
  <c r="AD90" i="8"/>
  <c r="AE93" i="8"/>
  <c r="AE94" i="8"/>
  <c r="AD92" i="8"/>
  <c r="AC91" i="8"/>
  <c r="AC93" i="8"/>
  <c r="Z89" i="8"/>
  <c r="AA89" i="8"/>
  <c r="AC92" i="8"/>
  <c r="AA94" i="8"/>
  <c r="AA90" i="8"/>
  <c r="Y92" i="8"/>
  <c r="W89" i="8"/>
  <c r="W93" i="8"/>
  <c r="AE89" i="8"/>
  <c r="AE91" i="8"/>
  <c r="AD96" i="8"/>
  <c r="AB89" i="8"/>
  <c r="AA96" i="8"/>
  <c r="Z94" i="8"/>
  <c r="AB96" i="8"/>
  <c r="AA91" i="8"/>
  <c r="AA92" i="8"/>
  <c r="Z93" i="8"/>
  <c r="AB94" i="8"/>
  <c r="Z96" i="8"/>
  <c r="Z91" i="8"/>
  <c r="Z92" i="8"/>
  <c r="V90" i="8"/>
  <c r="V94" i="8"/>
  <c r="W90" i="8"/>
  <c r="X90" i="8"/>
  <c r="V91" i="8"/>
  <c r="X94" i="8"/>
  <c r="V96" i="8"/>
  <c r="W91" i="8"/>
  <c r="Y94" i="8"/>
  <c r="W96" i="8"/>
  <c r="X91" i="8"/>
  <c r="V92" i="8"/>
  <c r="X96" i="8"/>
  <c r="AD107" i="8"/>
  <c r="AE109" i="8"/>
  <c r="AB106" i="8"/>
  <c r="AC106" i="8"/>
  <c r="Y107" i="8"/>
  <c r="Y108" i="8"/>
  <c r="W109" i="8"/>
  <c r="AD108" i="8"/>
  <c r="AD106" i="8"/>
  <c r="Z107" i="8"/>
  <c r="Z108" i="8"/>
  <c r="Z109" i="8"/>
  <c r="Z106" i="8"/>
  <c r="AA107" i="8"/>
  <c r="AA108" i="8"/>
  <c r="AA109" i="8"/>
  <c r="AB107" i="8"/>
  <c r="AB108" i="8"/>
  <c r="W106" i="8"/>
  <c r="Y109" i="8"/>
  <c r="X106" i="8"/>
  <c r="V107" i="8"/>
  <c r="Y106" i="8"/>
  <c r="W107" i="8"/>
  <c r="V108" i="8"/>
  <c r="AD66" i="8"/>
  <c r="X66" i="8"/>
  <c r="Y66" i="8"/>
  <c r="V66" i="8"/>
  <c r="AA66" i="8"/>
  <c r="Z66" i="8"/>
  <c r="AB66" i="8"/>
  <c r="AC66" i="8"/>
  <c r="AE66" i="8"/>
  <c r="W66" i="8"/>
  <c r="O66" i="8"/>
  <c r="K66" i="8"/>
  <c r="S66" i="8"/>
  <c r="AC56" i="8"/>
  <c r="Z56" i="8"/>
  <c r="V56" i="8"/>
  <c r="AB56" i="8"/>
  <c r="AD56" i="8"/>
  <c r="W56" i="8"/>
  <c r="AE56" i="8"/>
  <c r="Y56" i="8"/>
  <c r="AA56" i="8"/>
  <c r="X56" i="8"/>
  <c r="O56" i="8"/>
  <c r="K56" i="8"/>
  <c r="S56" i="8"/>
  <c r="AD21" i="8"/>
  <c r="X14" i="8"/>
  <c r="AD14" i="8"/>
  <c r="AA16" i="8"/>
  <c r="AG16" i="8" s="1"/>
  <c r="AA14" i="8"/>
  <c r="AG14" i="8" s="1"/>
  <c r="V14" i="8"/>
  <c r="Y14" i="8"/>
  <c r="Z14" i="8"/>
  <c r="AB14" i="8"/>
  <c r="V114" i="8"/>
  <c r="AE125" i="8"/>
  <c r="X15" i="8"/>
  <c r="AA15" i="8"/>
  <c r="AG15" i="8" s="1"/>
  <c r="AB100" i="8"/>
  <c r="AC15" i="8"/>
  <c r="AD15" i="8"/>
  <c r="Y15" i="8"/>
  <c r="Z15" i="8"/>
  <c r="V15" i="8"/>
  <c r="W101" i="8"/>
  <c r="AA114" i="8"/>
  <c r="W126" i="8"/>
  <c r="X22" i="8"/>
  <c r="Z88" i="8"/>
  <c r="Y101" i="8"/>
  <c r="AC114" i="8"/>
  <c r="X126" i="8"/>
  <c r="AE22" i="8"/>
  <c r="AC97" i="8"/>
  <c r="Z101" i="8"/>
  <c r="AD114" i="8"/>
  <c r="AE97" i="8"/>
  <c r="AE101" i="8"/>
  <c r="AB115" i="8"/>
  <c r="Y16" i="8"/>
  <c r="V98" i="8"/>
  <c r="AE102" i="8"/>
  <c r="AA110" i="8"/>
  <c r="AG110" i="8" s="1"/>
  <c r="AA124" i="8"/>
  <c r="Z54" i="11"/>
  <c r="AD98" i="8"/>
  <c r="AC110" i="8"/>
  <c r="AB124" i="8"/>
  <c r="Z21" i="8"/>
  <c r="Y100" i="8"/>
  <c r="AD110" i="8"/>
  <c r="Z125" i="8"/>
  <c r="R17" i="8"/>
  <c r="R18" i="8" s="1"/>
  <c r="S17" i="8"/>
  <c r="S18" i="8" s="1"/>
  <c r="Z16" i="8"/>
  <c r="AB16" i="8"/>
  <c r="V16" i="8"/>
  <c r="AD16" i="8"/>
  <c r="W16" i="8"/>
  <c r="AE13" i="8"/>
  <c r="AA21" i="8"/>
  <c r="AG21" i="8" s="1"/>
  <c r="Y22" i="8"/>
  <c r="AA88" i="8"/>
  <c r="Y97" i="8"/>
  <c r="W98" i="8"/>
  <c r="AC100" i="8"/>
  <c r="AA101" i="8"/>
  <c r="Y102" i="8"/>
  <c r="W110" i="8"/>
  <c r="W114" i="8"/>
  <c r="AC115" i="8"/>
  <c r="AC124" i="8"/>
  <c r="AA125" i="8"/>
  <c r="Y126" i="8"/>
  <c r="V110" i="8"/>
  <c r="AD20" i="8"/>
  <c r="AB21" i="8"/>
  <c r="Z22" i="8"/>
  <c r="AD27" i="8"/>
  <c r="AD31" i="8"/>
  <c r="AB88" i="8"/>
  <c r="Z97" i="8"/>
  <c r="X98" i="8"/>
  <c r="V100" i="8"/>
  <c r="AD100" i="8"/>
  <c r="AB101" i="8"/>
  <c r="Z102" i="8"/>
  <c r="X110" i="8"/>
  <c r="X114" i="8"/>
  <c r="V115" i="8"/>
  <c r="AD115" i="8"/>
  <c r="V124" i="8"/>
  <c r="AD124" i="8"/>
  <c r="AB125" i="8"/>
  <c r="Z126" i="8"/>
  <c r="V54" i="11"/>
  <c r="X97" i="8"/>
  <c r="X102" i="8"/>
  <c r="AA22" i="8"/>
  <c r="AA97" i="8"/>
  <c r="W100" i="8"/>
  <c r="AA102" i="8"/>
  <c r="AG106" i="8"/>
  <c r="W115" i="8"/>
  <c r="W124" i="8"/>
  <c r="AA126" i="8"/>
  <c r="AG126" i="8" s="1"/>
  <c r="V88" i="8"/>
  <c r="AD88" i="8"/>
  <c r="Z98" i="8"/>
  <c r="V101" i="8"/>
  <c r="AB102" i="8"/>
  <c r="Z110" i="8"/>
  <c r="Z114" i="8"/>
  <c r="X115" i="8"/>
  <c r="X124" i="8"/>
  <c r="V125" i="8"/>
  <c r="AB126" i="8"/>
  <c r="V21" i="8"/>
  <c r="AB22" i="8"/>
  <c r="W88" i="8"/>
  <c r="AA98" i="8"/>
  <c r="AG98" i="8" s="1"/>
  <c r="W125" i="8"/>
  <c r="AD54" i="11"/>
  <c r="AD56" i="11" s="1"/>
  <c r="W21" i="8"/>
  <c r="X21" i="8"/>
  <c r="V22" i="8"/>
  <c r="X88" i="8"/>
  <c r="V97" i="8"/>
  <c r="AB98" i="8"/>
  <c r="Z100" i="8"/>
  <c r="V102" i="8"/>
  <c r="Z115" i="8"/>
  <c r="X125" i="8"/>
  <c r="AD126" i="8"/>
  <c r="AD10" i="8"/>
  <c r="AE10" i="8"/>
  <c r="AE47" i="11"/>
  <c r="AD37" i="11"/>
  <c r="X43" i="11"/>
  <c r="V43" i="11"/>
  <c r="Y47" i="11"/>
  <c r="AA9" i="10"/>
  <c r="Z12" i="10"/>
  <c r="AB9" i="10"/>
  <c r="AA12" i="10"/>
  <c r="AB12" i="10"/>
  <c r="V9" i="10"/>
  <c r="AD12" i="10"/>
  <c r="AD13" i="10" s="1"/>
  <c r="V24" i="10"/>
  <c r="AC24" i="10"/>
  <c r="Z24" i="10"/>
  <c r="W24" i="10"/>
  <c r="X24" i="10"/>
  <c r="AE9" i="10"/>
  <c r="D25" i="10"/>
  <c r="J25" i="10"/>
  <c r="N25" i="10"/>
  <c r="Y131" i="8"/>
  <c r="Z8" i="8"/>
  <c r="AD47" i="11"/>
  <c r="V8" i="8"/>
  <c r="AD8" i="8"/>
  <c r="AC47" i="11"/>
  <c r="AD43" i="11"/>
  <c r="AG115" i="8"/>
  <c r="AG100" i="8"/>
  <c r="AG63" i="8"/>
  <c r="AG65" i="8"/>
  <c r="AG62" i="8"/>
  <c r="AG64" i="8"/>
  <c r="AG50" i="8"/>
  <c r="AG49" i="8"/>
  <c r="O4" i="10"/>
  <c r="Z4" i="10" s="1"/>
  <c r="AC131" i="8"/>
  <c r="AE28" i="11"/>
  <c r="AB142" i="8"/>
  <c r="R73" i="11"/>
  <c r="R76" i="11" s="1"/>
  <c r="R85" i="11" s="1"/>
  <c r="AE143" i="8"/>
  <c r="S87" i="8"/>
  <c r="AE36" i="11"/>
  <c r="AC142" i="8"/>
  <c r="K4" i="11"/>
  <c r="V4" i="11" s="1"/>
  <c r="S81" i="8"/>
  <c r="AD142" i="8"/>
  <c r="AB143" i="8"/>
  <c r="R127" i="8"/>
  <c r="AC143" i="8"/>
  <c r="AE37" i="11"/>
  <c r="AE38" i="11"/>
  <c r="AE73" i="11"/>
  <c r="AE76" i="11" s="1"/>
  <c r="T56" i="11"/>
  <c r="T73" i="11"/>
  <c r="T76" i="11" s="1"/>
  <c r="T85" i="11" s="1"/>
  <c r="M25" i="10"/>
  <c r="E25" i="10"/>
  <c r="I25" i="10"/>
  <c r="P25" i="10"/>
  <c r="C25" i="10"/>
  <c r="T10" i="11"/>
  <c r="T18" i="11" s="1"/>
  <c r="R25" i="10"/>
  <c r="Q25" i="10"/>
  <c r="S105" i="8"/>
  <c r="AD32" i="11"/>
  <c r="T25" i="10"/>
  <c r="L25" i="10"/>
  <c r="H25" i="10"/>
  <c r="H37" i="10" s="1"/>
  <c r="F25" i="10"/>
  <c r="F26" i="10" s="1"/>
  <c r="T14" i="10"/>
  <c r="T16" i="10"/>
  <c r="T24" i="8"/>
  <c r="T18" i="8"/>
  <c r="AB56" i="11"/>
  <c r="S43" i="8"/>
  <c r="S23" i="8"/>
  <c r="S4" i="11"/>
  <c r="AD4" i="11" s="1"/>
  <c r="S73" i="8"/>
  <c r="R56" i="11"/>
  <c r="S13" i="10"/>
  <c r="S19" i="10" s="1"/>
  <c r="R14" i="10"/>
  <c r="R16" i="10"/>
  <c r="I73" i="11"/>
  <c r="K134" i="8"/>
  <c r="V134" i="8" s="1"/>
  <c r="H10" i="11"/>
  <c r="E10" i="11"/>
  <c r="E18" i="11" s="1"/>
  <c r="F10" i="11"/>
  <c r="F18" i="11" s="1"/>
  <c r="V73" i="11"/>
  <c r="Z73" i="11"/>
  <c r="C10" i="11"/>
  <c r="C18" i="11" s="1"/>
  <c r="I56" i="11"/>
  <c r="J56" i="11"/>
  <c r="D56" i="11"/>
  <c r="Y73" i="11"/>
  <c r="C56" i="11"/>
  <c r="H56" i="11"/>
  <c r="P73" i="11"/>
  <c r="Q73" i="11"/>
  <c r="M56" i="11"/>
  <c r="E56" i="11"/>
  <c r="L56" i="11"/>
  <c r="AC56" i="11"/>
  <c r="AC73" i="11"/>
  <c r="AE56" i="11"/>
  <c r="Y56" i="11"/>
  <c r="F76" i="11"/>
  <c r="F85" i="11" s="1"/>
  <c r="F56" i="11"/>
  <c r="Q56" i="11"/>
  <c r="N56" i="11"/>
  <c r="P56" i="11"/>
  <c r="P131" i="8"/>
  <c r="F14" i="10"/>
  <c r="F16" i="10"/>
  <c r="F24" i="8"/>
  <c r="F18" i="8"/>
  <c r="AG14" i="11" l="1"/>
  <c r="AG15" i="11"/>
  <c r="AG22" i="11"/>
  <c r="AG24" i="11"/>
  <c r="AG17" i="11"/>
  <c r="AG16" i="11"/>
  <c r="H18" i="11"/>
  <c r="H25" i="11" s="1"/>
  <c r="S61" i="10"/>
  <c r="S60" i="10"/>
  <c r="S59" i="10"/>
  <c r="S58" i="10"/>
  <c r="O61" i="10"/>
  <c r="O60" i="10"/>
  <c r="O58" i="10"/>
  <c r="O59" i="10"/>
  <c r="K58" i="10"/>
  <c r="K59" i="10"/>
  <c r="K60" i="10"/>
  <c r="E26" i="10"/>
  <c r="X55" i="10"/>
  <c r="AB55" i="10"/>
  <c r="Y55" i="10"/>
  <c r="AA55" i="10"/>
  <c r="AC55" i="10"/>
  <c r="P48" i="10"/>
  <c r="Z55" i="10"/>
  <c r="AE55" i="10"/>
  <c r="AD55" i="10"/>
  <c r="W55" i="10"/>
  <c r="V55" i="10"/>
  <c r="Q37" i="10"/>
  <c r="Q27" i="10"/>
  <c r="Q26" i="10"/>
  <c r="AB26" i="10" s="1"/>
  <c r="R27" i="10"/>
  <c r="R26" i="10"/>
  <c r="AC26" i="10" s="1"/>
  <c r="M37" i="10"/>
  <c r="M38" i="10" s="1"/>
  <c r="M27" i="10"/>
  <c r="M26" i="10"/>
  <c r="X26" i="10" s="1"/>
  <c r="N37" i="10"/>
  <c r="N38" i="10" s="1"/>
  <c r="N27" i="10"/>
  <c r="N26" i="10"/>
  <c r="Y26" i="10" s="1"/>
  <c r="L37" i="10"/>
  <c r="L38" i="10" s="1"/>
  <c r="L26" i="10"/>
  <c r="W26" i="10" s="1"/>
  <c r="P37" i="10"/>
  <c r="P38" i="10" s="1"/>
  <c r="P26" i="10"/>
  <c r="AA26" i="10" s="1"/>
  <c r="J37" i="10"/>
  <c r="J38" i="10" s="1"/>
  <c r="J27" i="10"/>
  <c r="T26" i="10"/>
  <c r="AE26" i="10" s="1"/>
  <c r="I37" i="10"/>
  <c r="I38" i="10" s="1"/>
  <c r="I27" i="10"/>
  <c r="D37" i="10"/>
  <c r="D26" i="10"/>
  <c r="T48" i="10"/>
  <c r="S48" i="10"/>
  <c r="S47" i="10"/>
  <c r="AD47" i="10" s="1"/>
  <c r="L48" i="10"/>
  <c r="K48" i="10"/>
  <c r="O47" i="10"/>
  <c r="Z47" i="10" s="1"/>
  <c r="O33" i="10"/>
  <c r="Z33" i="10" s="1"/>
  <c r="O34" i="10"/>
  <c r="L34" i="10"/>
  <c r="S33" i="10"/>
  <c r="AD33" i="10" s="1"/>
  <c r="S34" i="10"/>
  <c r="T34" i="10"/>
  <c r="C37" i="10"/>
  <c r="C38" i="10" s="1"/>
  <c r="F37" i="10"/>
  <c r="F38" i="10" s="1"/>
  <c r="T37" i="10"/>
  <c r="T38" i="10" s="1"/>
  <c r="E37" i="10"/>
  <c r="E38" i="10" s="1"/>
  <c r="R37" i="10"/>
  <c r="R38" i="10" s="1"/>
  <c r="H38" i="10"/>
  <c r="Q38" i="10"/>
  <c r="X13" i="10"/>
  <c r="Y32" i="10"/>
  <c r="AA32" i="10"/>
  <c r="AD32" i="10"/>
  <c r="AC13" i="10"/>
  <c r="Y13" i="10"/>
  <c r="W13" i="10"/>
  <c r="S17" i="10"/>
  <c r="S18" i="10"/>
  <c r="L131" i="8"/>
  <c r="V135" i="8"/>
  <c r="W131" i="8" s="1"/>
  <c r="T131" i="8"/>
  <c r="AD135" i="8"/>
  <c r="AE131" i="8" s="1"/>
  <c r="AG125" i="8"/>
  <c r="AG101" i="8"/>
  <c r="AG97" i="8"/>
  <c r="AG102" i="8"/>
  <c r="R24" i="8"/>
  <c r="R25" i="8" s="1"/>
  <c r="AE87" i="8"/>
  <c r="AD87" i="8"/>
  <c r="AD23" i="8"/>
  <c r="AE23" i="8"/>
  <c r="AE105" i="8"/>
  <c r="AD105" i="8"/>
  <c r="AA47" i="11"/>
  <c r="AB8" i="11"/>
  <c r="AB47" i="11"/>
  <c r="Z47" i="11"/>
  <c r="AD38" i="11"/>
  <c r="AE7" i="11"/>
  <c r="AD36" i="11"/>
  <c r="W44" i="11"/>
  <c r="AB73" i="11"/>
  <c r="AD73" i="11"/>
  <c r="AD76" i="11" s="1"/>
  <c r="AD85" i="11" s="1"/>
  <c r="AE32" i="11"/>
  <c r="AD28" i="11"/>
  <c r="Y43" i="11"/>
  <c r="AE43" i="11"/>
  <c r="D10" i="11"/>
  <c r="Q10" i="11"/>
  <c r="J10" i="11"/>
  <c r="P10" i="11"/>
  <c r="P18" i="11" s="1"/>
  <c r="N10" i="11"/>
  <c r="N18" i="11" s="1"/>
  <c r="I10" i="11"/>
  <c r="M10" i="11"/>
  <c r="M18" i="11" s="1"/>
  <c r="L10" i="11"/>
  <c r="L18" i="11" s="1"/>
  <c r="Z13" i="10"/>
  <c r="AD9" i="11"/>
  <c r="AD7" i="11"/>
  <c r="AC8" i="11"/>
  <c r="AC7" i="11"/>
  <c r="R10" i="11"/>
  <c r="W7" i="11"/>
  <c r="AA9" i="11"/>
  <c r="AE6" i="11"/>
  <c r="AG88" i="8"/>
  <c r="AG22" i="8"/>
  <c r="R74" i="8"/>
  <c r="R76" i="8" s="1"/>
  <c r="AA73" i="11"/>
  <c r="AD40" i="11"/>
  <c r="S134" i="8"/>
  <c r="AD134" i="8" s="1"/>
  <c r="X73" i="11"/>
  <c r="R121" i="8"/>
  <c r="N73" i="11"/>
  <c r="W73" i="11"/>
  <c r="S73" i="11"/>
  <c r="S76" i="11" s="1"/>
  <c r="S85" i="11" s="1"/>
  <c r="S56" i="11"/>
  <c r="V13" i="10"/>
  <c r="AA13" i="10"/>
  <c r="AB13" i="10"/>
  <c r="K25" i="10"/>
  <c r="K27" i="10" s="1"/>
  <c r="S25" i="10"/>
  <c r="T27" i="10" s="1"/>
  <c r="T25" i="11"/>
  <c r="T19" i="11"/>
  <c r="O25" i="10"/>
  <c r="P27" i="10" s="1"/>
  <c r="S16" i="10"/>
  <c r="T28" i="8"/>
  <c r="T25" i="8"/>
  <c r="S24" i="8"/>
  <c r="S25" i="8" s="1"/>
  <c r="Y45" i="11"/>
  <c r="V44" i="11"/>
  <c r="S121" i="8"/>
  <c r="S127" i="8"/>
  <c r="S14" i="10"/>
  <c r="C19" i="11"/>
  <c r="L73" i="11"/>
  <c r="F11" i="11"/>
  <c r="K73" i="11"/>
  <c r="O73" i="11"/>
  <c r="E19" i="11"/>
  <c r="E25" i="11"/>
  <c r="F19" i="11"/>
  <c r="F25" i="11"/>
  <c r="AE85" i="11"/>
  <c r="F28" i="8"/>
  <c r="F25" i="8"/>
  <c r="H19" i="11" l="1"/>
  <c r="H29" i="11"/>
  <c r="H30" i="11" s="1"/>
  <c r="H26" i="11"/>
  <c r="R18" i="11"/>
  <c r="R19" i="11" s="1"/>
  <c r="I18" i="11"/>
  <c r="I25" i="11" s="1"/>
  <c r="J18" i="11"/>
  <c r="J19" i="11" s="1"/>
  <c r="Q18" i="11"/>
  <c r="Q25" i="11" s="1"/>
  <c r="Q29" i="11" s="1"/>
  <c r="D18" i="11"/>
  <c r="D19" i="11" s="1"/>
  <c r="L27" i="10"/>
  <c r="O37" i="10"/>
  <c r="AA37" i="10" s="1"/>
  <c r="AA38" i="10" s="1"/>
  <c r="O27" i="10"/>
  <c r="O26" i="10"/>
  <c r="Z26" i="10" s="1"/>
  <c r="S27" i="10"/>
  <c r="S26" i="10"/>
  <c r="AD26" i="10" s="1"/>
  <c r="I40" i="10"/>
  <c r="R40" i="10"/>
  <c r="R39" i="10"/>
  <c r="AC39" i="10" s="1"/>
  <c r="T39" i="10"/>
  <c r="AE39" i="10" s="1"/>
  <c r="S37" i="10"/>
  <c r="AD37" i="10" s="1"/>
  <c r="AD38" i="10" s="1"/>
  <c r="M39" i="10"/>
  <c r="X39" i="10" s="1"/>
  <c r="M40" i="10"/>
  <c r="P39" i="10"/>
  <c r="AA39" i="10" s="1"/>
  <c r="F39" i="10"/>
  <c r="N39" i="10"/>
  <c r="Y39" i="10" s="1"/>
  <c r="N40" i="10"/>
  <c r="K37" i="10"/>
  <c r="Y37" i="10" s="1"/>
  <c r="Y38" i="10" s="1"/>
  <c r="J40" i="10"/>
  <c r="Q40" i="10"/>
  <c r="Q39" i="10"/>
  <c r="AB39" i="10" s="1"/>
  <c r="L39" i="10"/>
  <c r="W39" i="10" s="1"/>
  <c r="R28" i="8"/>
  <c r="E11" i="11"/>
  <c r="L11" i="11"/>
  <c r="AE44" i="11"/>
  <c r="AD44" i="11"/>
  <c r="AB9" i="11"/>
  <c r="Z8" i="11"/>
  <c r="AC6" i="11"/>
  <c r="AA6" i="11"/>
  <c r="AG6" i="11" s="1"/>
  <c r="AB6" i="11"/>
  <c r="AC45" i="11"/>
  <c r="AB45" i="11"/>
  <c r="Y9" i="11"/>
  <c r="V9" i="11"/>
  <c r="Y6" i="11"/>
  <c r="X6" i="11"/>
  <c r="V6" i="11"/>
  <c r="W6" i="11"/>
  <c r="AA45" i="11"/>
  <c r="AA7" i="11"/>
  <c r="Z45" i="11"/>
  <c r="W9" i="11"/>
  <c r="AE9" i="11"/>
  <c r="Z6" i="11"/>
  <c r="AB7" i="11"/>
  <c r="AC43" i="11"/>
  <c r="AB43" i="11"/>
  <c r="AE8" i="11"/>
  <c r="AD8" i="11"/>
  <c r="Y44" i="11"/>
  <c r="X44" i="11"/>
  <c r="AC9" i="11"/>
  <c r="Z9" i="11"/>
  <c r="AE45" i="11"/>
  <c r="AD45" i="11"/>
  <c r="AA8" i="11"/>
  <c r="Z43" i="11"/>
  <c r="AE40" i="11"/>
  <c r="AD6" i="11"/>
  <c r="Y7" i="11"/>
  <c r="X7" i="11"/>
  <c r="V7" i="11"/>
  <c r="X45" i="11"/>
  <c r="V45" i="11"/>
  <c r="W45" i="11"/>
  <c r="Y8" i="11"/>
  <c r="X8" i="11"/>
  <c r="V8" i="11"/>
  <c r="W8" i="11"/>
  <c r="X9" i="11"/>
  <c r="AA43" i="11"/>
  <c r="Z7" i="11"/>
  <c r="D11" i="11"/>
  <c r="M11" i="11"/>
  <c r="P11" i="11"/>
  <c r="I12" i="11"/>
  <c r="M12" i="11"/>
  <c r="J12" i="11"/>
  <c r="N11" i="11"/>
  <c r="Q12" i="11"/>
  <c r="T11" i="11"/>
  <c r="P25" i="11"/>
  <c r="P26" i="11" s="1"/>
  <c r="R12" i="11"/>
  <c r="Q11" i="11"/>
  <c r="N19" i="11"/>
  <c r="M19" i="11"/>
  <c r="O10" i="11"/>
  <c r="Y25" i="10"/>
  <c r="N12" i="11"/>
  <c r="X25" i="10"/>
  <c r="R11" i="11"/>
  <c r="V25" i="10"/>
  <c r="AB25" i="10"/>
  <c r="W25" i="10"/>
  <c r="AA25" i="10"/>
  <c r="K10" i="11"/>
  <c r="S10" i="11"/>
  <c r="T74" i="8"/>
  <c r="T76" i="8" s="1"/>
  <c r="AG124" i="8"/>
  <c r="T26" i="11"/>
  <c r="T29" i="11"/>
  <c r="Z25" i="10"/>
  <c r="AE25" i="10"/>
  <c r="AD25" i="10"/>
  <c r="AC25" i="10"/>
  <c r="S28" i="8"/>
  <c r="S32" i="8" s="1"/>
  <c r="T29" i="8"/>
  <c r="T32" i="8"/>
  <c r="AC44" i="11"/>
  <c r="C25" i="11"/>
  <c r="C29" i="11" s="1"/>
  <c r="C30" i="11" s="1"/>
  <c r="F74" i="8"/>
  <c r="F76" i="8" s="1"/>
  <c r="E29" i="11"/>
  <c r="E26" i="11"/>
  <c r="F29" i="11"/>
  <c r="F26" i="11"/>
  <c r="L25" i="11"/>
  <c r="L19" i="11"/>
  <c r="F32" i="8"/>
  <c r="F29" i="8"/>
  <c r="R25" i="11" l="1"/>
  <c r="R26" i="11" s="1"/>
  <c r="J25" i="11"/>
  <c r="J26" i="11" s="1"/>
  <c r="Q19" i="11"/>
  <c r="D25" i="11"/>
  <c r="D29" i="11" s="1"/>
  <c r="D30" i="11" s="1"/>
  <c r="I26" i="11"/>
  <c r="I29" i="11"/>
  <c r="I33" i="11" s="1"/>
  <c r="H33" i="11"/>
  <c r="H34" i="11" s="1"/>
  <c r="T12" i="11"/>
  <c r="S18" i="11"/>
  <c r="S19" i="11" s="1"/>
  <c r="I19" i="11"/>
  <c r="Q26" i="11"/>
  <c r="L12" i="11"/>
  <c r="K18" i="11"/>
  <c r="O12" i="11"/>
  <c r="O18" i="11"/>
  <c r="AC37" i="10"/>
  <c r="AC38" i="10" s="1"/>
  <c r="AB37" i="10"/>
  <c r="AB38" i="10" s="1"/>
  <c r="O38" i="10"/>
  <c r="Z37" i="10"/>
  <c r="Z38" i="10" s="1"/>
  <c r="AE37" i="10"/>
  <c r="AE38" i="10" s="1"/>
  <c r="O40" i="10"/>
  <c r="W37" i="10"/>
  <c r="W38" i="10" s="1"/>
  <c r="K38" i="10"/>
  <c r="O39" i="10" s="1"/>
  <c r="Z39" i="10" s="1"/>
  <c r="V37" i="10"/>
  <c r="V38" i="10" s="1"/>
  <c r="X37" i="10"/>
  <c r="X38" i="10" s="1"/>
  <c r="S38" i="10"/>
  <c r="P40" i="10"/>
  <c r="R32" i="8"/>
  <c r="R29" i="8"/>
  <c r="J29" i="11"/>
  <c r="J33" i="11" s="1"/>
  <c r="AA44" i="11"/>
  <c r="Z44" i="11"/>
  <c r="M25" i="11"/>
  <c r="M29" i="11" s="1"/>
  <c r="AE46" i="11"/>
  <c r="AD46" i="11"/>
  <c r="AB44" i="11"/>
  <c r="P29" i="11"/>
  <c r="P30" i="11" s="1"/>
  <c r="AD10" i="11"/>
  <c r="AD18" i="11" s="1"/>
  <c r="P19" i="11"/>
  <c r="P12" i="11"/>
  <c r="N25" i="11"/>
  <c r="N26" i="11" s="1"/>
  <c r="S12" i="11"/>
  <c r="AB10" i="11"/>
  <c r="AB18" i="11" s="1"/>
  <c r="S11" i="11"/>
  <c r="X10" i="11"/>
  <c r="X18" i="11" s="1"/>
  <c r="AA10" i="11"/>
  <c r="AA18" i="11" s="1"/>
  <c r="Z10" i="11"/>
  <c r="Z18" i="11" s="1"/>
  <c r="V10" i="11"/>
  <c r="V18" i="11" s="1"/>
  <c r="AC10" i="11"/>
  <c r="AC18" i="11" s="1"/>
  <c r="Y10" i="11"/>
  <c r="Y18" i="11" s="1"/>
  <c r="K12" i="11"/>
  <c r="AG7" i="11"/>
  <c r="AE10" i="11"/>
  <c r="W10" i="11"/>
  <c r="W18" i="11" s="1"/>
  <c r="O11" i="11"/>
  <c r="AG8" i="11"/>
  <c r="AG9" i="11"/>
  <c r="S74" i="8"/>
  <c r="S76" i="8" s="1"/>
  <c r="T33" i="11"/>
  <c r="T30" i="11"/>
  <c r="S29" i="8"/>
  <c r="T84" i="8"/>
  <c r="T111" i="8" s="1"/>
  <c r="T136" i="8" s="1"/>
  <c r="AE136" i="8" s="1"/>
  <c r="T36" i="8"/>
  <c r="T39" i="8"/>
  <c r="T33" i="8"/>
  <c r="C26" i="11"/>
  <c r="C33" i="11"/>
  <c r="C80" i="11" s="1"/>
  <c r="S33" i="8"/>
  <c r="S84" i="8"/>
  <c r="S111" i="8" s="1"/>
  <c r="S136" i="8" s="1"/>
  <c r="AD136" i="8" s="1"/>
  <c r="S39" i="8"/>
  <c r="S36" i="8"/>
  <c r="Q30" i="11"/>
  <c r="Q33" i="11"/>
  <c r="E30" i="11"/>
  <c r="E33" i="11"/>
  <c r="L29" i="11"/>
  <c r="L26" i="11"/>
  <c r="F30" i="11"/>
  <c r="F33" i="11"/>
  <c r="F84" i="8"/>
  <c r="F111" i="8" s="1"/>
  <c r="F136" i="8" s="1"/>
  <c r="F33" i="8"/>
  <c r="F39" i="8"/>
  <c r="F36" i="8"/>
  <c r="R29" i="11" l="1"/>
  <c r="R30" i="11" s="1"/>
  <c r="I30" i="11"/>
  <c r="D26" i="11"/>
  <c r="J30" i="11"/>
  <c r="H41" i="11"/>
  <c r="D33" i="11"/>
  <c r="D81" i="11" s="1"/>
  <c r="AE18" i="11"/>
  <c r="AE19" i="11" s="1"/>
  <c r="S40" i="10"/>
  <c r="S39" i="10"/>
  <c r="AD39" i="10" s="1"/>
  <c r="T40" i="10"/>
  <c r="K40" i="10"/>
  <c r="L40" i="10"/>
  <c r="R84" i="8"/>
  <c r="R111" i="8" s="1"/>
  <c r="R136" i="8" s="1"/>
  <c r="AC136" i="8" s="1"/>
  <c r="R33" i="8"/>
  <c r="R36" i="8"/>
  <c r="R39" i="8"/>
  <c r="P33" i="11"/>
  <c r="P34" i="11" s="1"/>
  <c r="M26" i="11"/>
  <c r="AD11" i="11"/>
  <c r="N29" i="11"/>
  <c r="N30" i="11" s="1"/>
  <c r="AB11" i="11"/>
  <c r="Z11" i="11"/>
  <c r="AA11" i="11"/>
  <c r="R33" i="11"/>
  <c r="R34" i="11" s="1"/>
  <c r="S25" i="11"/>
  <c r="S29" i="11" s="1"/>
  <c r="S30" i="11" s="1"/>
  <c r="AE11" i="11"/>
  <c r="AG10" i="11"/>
  <c r="AC11" i="11"/>
  <c r="T34" i="11"/>
  <c r="T41" i="11"/>
  <c r="T48" i="11" s="1"/>
  <c r="C84" i="11" a="1"/>
  <c r="C84" i="11" s="1"/>
  <c r="C81" i="11"/>
  <c r="C83" i="11" a="1"/>
  <c r="C83" i="11" s="1"/>
  <c r="C34" i="11"/>
  <c r="C41" i="11"/>
  <c r="C82" i="11"/>
  <c r="F84" i="11" a="1"/>
  <c r="F84" i="11" s="1"/>
  <c r="F83" i="11" a="1"/>
  <c r="F83" i="11" s="1"/>
  <c r="F41" i="11"/>
  <c r="F48" i="11" s="1"/>
  <c r="F34" i="11"/>
  <c r="F82" i="11"/>
  <c r="F80" i="11"/>
  <c r="F81" i="11"/>
  <c r="Q41" i="11"/>
  <c r="Q48" i="11" s="1"/>
  <c r="Q34" i="11"/>
  <c r="L30" i="11"/>
  <c r="L33" i="11"/>
  <c r="E41" i="11"/>
  <c r="E48" i="11" s="1"/>
  <c r="E34" i="11"/>
  <c r="E84" i="11" a="1"/>
  <c r="E84" i="11" s="1"/>
  <c r="E82" i="11"/>
  <c r="E83" i="11" a="1"/>
  <c r="E83" i="11" s="1"/>
  <c r="E81" i="11"/>
  <c r="E80" i="11"/>
  <c r="M30" i="11"/>
  <c r="M33" i="11"/>
  <c r="I34" i="11"/>
  <c r="I41" i="11"/>
  <c r="I48" i="11" s="1"/>
  <c r="J41" i="11"/>
  <c r="J48" i="11" s="1"/>
  <c r="J34" i="11"/>
  <c r="H48" i="11" l="1"/>
  <c r="H49" i="11" s="1"/>
  <c r="AE25" i="11"/>
  <c r="AE29" i="11" s="1"/>
  <c r="AE33" i="11" s="1"/>
  <c r="AE41" i="11" s="1"/>
  <c r="D34" i="11"/>
  <c r="D83" i="11" a="1"/>
  <c r="D83" i="11" s="1"/>
  <c r="D80" i="11"/>
  <c r="D82" i="11"/>
  <c r="D84" i="11" a="1"/>
  <c r="D84" i="11" s="1"/>
  <c r="D41" i="11"/>
  <c r="D48" i="11" s="1"/>
  <c r="P41" i="11"/>
  <c r="P48" i="11" s="1"/>
  <c r="N33" i="11"/>
  <c r="N34" i="11" s="1"/>
  <c r="C49" i="11"/>
  <c r="R41" i="11"/>
  <c r="R48" i="11" s="1"/>
  <c r="AG11" i="11"/>
  <c r="AE30" i="11"/>
  <c r="S26" i="11"/>
  <c r="S33" i="11"/>
  <c r="S82" i="11" s="1" a="1"/>
  <c r="S82" i="11" s="1"/>
  <c r="AE26" i="11"/>
  <c r="T49" i="11"/>
  <c r="L41" i="11"/>
  <c r="L48" i="11" s="1"/>
  <c r="L34" i="11"/>
  <c r="I49" i="11"/>
  <c r="F49" i="11"/>
  <c r="J49" i="11"/>
  <c r="M41" i="11"/>
  <c r="M48" i="11" s="1"/>
  <c r="M34" i="11"/>
  <c r="AE84" i="11" a="1"/>
  <c r="AE84" i="11" s="1"/>
  <c r="AE83" i="11" a="1"/>
  <c r="AE83" i="11" s="1"/>
  <c r="AE34" i="11"/>
  <c r="AE80" i="11"/>
  <c r="AE81" i="11"/>
  <c r="Q49" i="11"/>
  <c r="E49" i="11"/>
  <c r="AE82" i="11" l="1"/>
  <c r="N41" i="11"/>
  <c r="N48" i="11" s="1"/>
  <c r="D49" i="11"/>
  <c r="S34" i="11"/>
  <c r="T81" i="11"/>
  <c r="S83" i="11" a="1"/>
  <c r="S83" i="11" s="1"/>
  <c r="S84" i="11" a="1"/>
  <c r="S84" i="11" s="1"/>
  <c r="S80" i="11"/>
  <c r="S81" i="11"/>
  <c r="T83" i="11" a="1"/>
  <c r="T83" i="11" s="1"/>
  <c r="T80" i="11"/>
  <c r="T82" i="11" a="1"/>
  <c r="T82" i="11" s="1"/>
  <c r="S41" i="11"/>
  <c r="S48" i="11" s="1"/>
  <c r="T84" i="11" a="1"/>
  <c r="T84" i="11" s="1"/>
  <c r="R49" i="11"/>
  <c r="M49" i="11"/>
  <c r="AE48" i="11" l="1"/>
  <c r="N49" i="11"/>
  <c r="S49" i="11" l="1"/>
  <c r="B2" i="10"/>
  <c r="B16" i="10"/>
  <c r="J13" i="10"/>
  <c r="D13" i="10"/>
  <c r="P13" i="10"/>
  <c r="E13" i="10"/>
  <c r="Q13" i="10"/>
  <c r="O13" i="10"/>
  <c r="N13" i="10"/>
  <c r="M13" i="10"/>
  <c r="I13" i="10"/>
  <c r="C13" i="10"/>
  <c r="O143" i="8"/>
  <c r="K143" i="8"/>
  <c r="E131" i="8"/>
  <c r="D131" i="8"/>
  <c r="H131" i="8" s="1"/>
  <c r="AD61" i="10" l="1"/>
  <c r="AD59" i="10"/>
  <c r="AD58" i="10"/>
  <c r="AD60" i="10"/>
  <c r="AC61" i="10"/>
  <c r="AC59" i="10"/>
  <c r="AC58" i="10"/>
  <c r="AC60" i="10"/>
  <c r="AA58" i="10"/>
  <c r="AA61" i="10"/>
  <c r="AA60" i="10"/>
  <c r="AA59" i="10"/>
  <c r="V61" i="10"/>
  <c r="V60" i="10"/>
  <c r="V59" i="10"/>
  <c r="V58" i="10"/>
  <c r="W61" i="10"/>
  <c r="W60" i="10"/>
  <c r="W59" i="10"/>
  <c r="W58" i="10"/>
  <c r="Z58" i="10"/>
  <c r="Z61" i="10"/>
  <c r="Z60" i="10"/>
  <c r="Z59" i="10"/>
  <c r="AB60" i="10"/>
  <c r="AB58" i="10"/>
  <c r="AB59" i="10"/>
  <c r="AB61" i="10"/>
  <c r="N17" i="10"/>
  <c r="AA17" i="10" s="1"/>
  <c r="N19" i="10"/>
  <c r="AA19" i="10" s="1"/>
  <c r="N18" i="10"/>
  <c r="AA18" i="10" s="1"/>
  <c r="Q18" i="10"/>
  <c r="AD18" i="10" s="1"/>
  <c r="Q17" i="10"/>
  <c r="AD17" i="10" s="1"/>
  <c r="Q19" i="10"/>
  <c r="AD19" i="10" s="1"/>
  <c r="E17" i="10"/>
  <c r="E19" i="10"/>
  <c r="E18" i="10"/>
  <c r="O18" i="10"/>
  <c r="AB18" i="10" s="1"/>
  <c r="O17" i="10"/>
  <c r="AB17" i="10" s="1"/>
  <c r="O19" i="10"/>
  <c r="AB19" i="10" s="1"/>
  <c r="C18" i="10"/>
  <c r="C19" i="10"/>
  <c r="C17" i="10"/>
  <c r="D17" i="10"/>
  <c r="D19" i="10"/>
  <c r="D18" i="10"/>
  <c r="P19" i="10"/>
  <c r="AC19" i="10" s="1"/>
  <c r="P18" i="10"/>
  <c r="AC18" i="10" s="1"/>
  <c r="P17" i="10"/>
  <c r="AC17" i="10" s="1"/>
  <c r="I19" i="10"/>
  <c r="V19" i="10" s="1"/>
  <c r="I17" i="10"/>
  <c r="V17" i="10" s="1"/>
  <c r="I18" i="10"/>
  <c r="V18" i="10" s="1"/>
  <c r="J17" i="10"/>
  <c r="W17" i="10" s="1"/>
  <c r="J19" i="10"/>
  <c r="W19" i="10" s="1"/>
  <c r="J18" i="10"/>
  <c r="W18" i="10" s="1"/>
  <c r="M17" i="10"/>
  <c r="Z17" i="10" s="1"/>
  <c r="M19" i="10"/>
  <c r="Z19" i="10" s="1"/>
  <c r="M18" i="10"/>
  <c r="Z18" i="10" s="1"/>
  <c r="Y143" i="8"/>
  <c r="X143" i="8"/>
  <c r="AA143" i="8"/>
  <c r="Z143" i="8"/>
  <c r="W143" i="8"/>
  <c r="V143" i="8"/>
  <c r="AG47" i="8"/>
  <c r="AG48" i="8"/>
  <c r="C16" i="10"/>
  <c r="I16" i="10"/>
  <c r="V16" i="10" s="1"/>
  <c r="E16" i="10"/>
  <c r="M16" i="10"/>
  <c r="Z16" i="10" s="1"/>
  <c r="N16" i="10"/>
  <c r="AA16" i="10" s="1"/>
  <c r="P16" i="10"/>
  <c r="AC16" i="10" s="1"/>
  <c r="D16" i="10"/>
  <c r="O16" i="10"/>
  <c r="AB16" i="10" s="1"/>
  <c r="J16" i="10"/>
  <c r="W16" i="10" s="1"/>
  <c r="Q16" i="10"/>
  <c r="AD16" i="10" s="1"/>
  <c r="AE16" i="10"/>
  <c r="K13" i="10"/>
  <c r="AE13" i="10"/>
  <c r="H13" i="10"/>
  <c r="L13" i="10"/>
  <c r="Y60" i="10" l="1"/>
  <c r="Y59" i="10"/>
  <c r="Y61" i="10"/>
  <c r="Y58" i="10"/>
  <c r="X58" i="10"/>
  <c r="X60" i="10"/>
  <c r="X59" i="10"/>
  <c r="X61" i="10"/>
  <c r="L19" i="10"/>
  <c r="Y19" i="10" s="1"/>
  <c r="L18" i="10"/>
  <c r="Y18" i="10" s="1"/>
  <c r="L17" i="10"/>
  <c r="Y17" i="10" s="1"/>
  <c r="K17" i="10"/>
  <c r="X17" i="10" s="1"/>
  <c r="K18" i="10"/>
  <c r="X18" i="10" s="1"/>
  <c r="K19" i="10"/>
  <c r="X19" i="10" s="1"/>
  <c r="H19" i="10"/>
  <c r="H18" i="10"/>
  <c r="H17" i="10"/>
  <c r="AC46" i="11"/>
  <c r="AB46" i="11"/>
  <c r="AA46" i="11"/>
  <c r="Z46" i="11"/>
  <c r="X46" i="11"/>
  <c r="Y46" i="11"/>
  <c r="W46" i="11"/>
  <c r="V46" i="11"/>
  <c r="H16" i="10"/>
  <c r="L16" i="10"/>
  <c r="Y16" i="10" s="1"/>
  <c r="K16" i="10"/>
  <c r="X16" i="10" s="1"/>
  <c r="O31" i="8" l="1"/>
  <c r="K31" i="8"/>
  <c r="O142" i="8"/>
  <c r="K142" i="8"/>
  <c r="E127" i="8"/>
  <c r="P127" i="8"/>
  <c r="C127" i="8"/>
  <c r="O27" i="8"/>
  <c r="K27" i="8"/>
  <c r="Y27" i="8" l="1"/>
  <c r="X27" i="8"/>
  <c r="W27" i="8"/>
  <c r="V27" i="8"/>
  <c r="AA27" i="8"/>
  <c r="Z27" i="8"/>
  <c r="AC27" i="8"/>
  <c r="AB27" i="8"/>
  <c r="X31" i="8"/>
  <c r="Y31" i="8"/>
  <c r="W31" i="8"/>
  <c r="V31" i="8"/>
  <c r="AA31" i="8"/>
  <c r="Z31" i="8"/>
  <c r="AB31" i="8"/>
  <c r="AC31" i="8"/>
  <c r="Z127" i="8"/>
  <c r="Y127" i="8"/>
  <c r="X127" i="8"/>
  <c r="W142" i="8"/>
  <c r="V142" i="8"/>
  <c r="W127" i="8"/>
  <c r="AA142" i="8"/>
  <c r="Y142" i="8"/>
  <c r="X142" i="8"/>
  <c r="Z142" i="8"/>
  <c r="X56" i="11"/>
  <c r="AG70" i="8"/>
  <c r="AG72" i="8"/>
  <c r="AG69" i="8"/>
  <c r="AG59" i="8"/>
  <c r="AG71" i="8"/>
  <c r="AG68" i="8"/>
  <c r="Q127" i="8"/>
  <c r="J127" i="8"/>
  <c r="D127" i="8"/>
  <c r="H127" i="8"/>
  <c r="I127" i="8"/>
  <c r="L127" i="8"/>
  <c r="M127" i="8"/>
  <c r="N127" i="8"/>
  <c r="K87" i="8"/>
  <c r="Y87" i="8" l="1"/>
  <c r="X87" i="8"/>
  <c r="W87" i="8"/>
  <c r="V87" i="8"/>
  <c r="Z53" i="11"/>
  <c r="Z56" i="11" s="1"/>
  <c r="AD48" i="11"/>
  <c r="V53" i="11"/>
  <c r="V56" i="11" s="1"/>
  <c r="Z38" i="11"/>
  <c r="AC38" i="11"/>
  <c r="AA38" i="11"/>
  <c r="AG38" i="11" s="1"/>
  <c r="AB38" i="11"/>
  <c r="AC36" i="11"/>
  <c r="AA36" i="11"/>
  <c r="AG36" i="11" s="1"/>
  <c r="Z36" i="11"/>
  <c r="AB36" i="11"/>
  <c r="Y38" i="11"/>
  <c r="W38" i="11"/>
  <c r="V38" i="11"/>
  <c r="X38" i="11"/>
  <c r="AB37" i="11"/>
  <c r="AC37" i="11"/>
  <c r="Z37" i="11"/>
  <c r="AA37" i="11"/>
  <c r="AG37" i="11" s="1"/>
  <c r="Y36" i="11"/>
  <c r="V36" i="11"/>
  <c r="X36" i="11"/>
  <c r="W36" i="11"/>
  <c r="Y37" i="11"/>
  <c r="W37" i="11"/>
  <c r="V37" i="11"/>
  <c r="X37" i="11"/>
  <c r="AG31" i="8"/>
  <c r="O56" i="11"/>
  <c r="W56" i="11"/>
  <c r="K56" i="11"/>
  <c r="AG27" i="8"/>
  <c r="K105" i="8"/>
  <c r="O127" i="8"/>
  <c r="K127" i="8"/>
  <c r="V127" i="8"/>
  <c r="Y105" i="8" l="1"/>
  <c r="X105" i="8"/>
  <c r="W105" i="8"/>
  <c r="V105" i="8"/>
  <c r="Y28" i="11"/>
  <c r="X28" i="11"/>
  <c r="V28" i="11"/>
  <c r="W28" i="11"/>
  <c r="Y32" i="11"/>
  <c r="V32" i="11"/>
  <c r="X32" i="11"/>
  <c r="W32" i="11"/>
  <c r="AC32" i="11"/>
  <c r="AB32" i="11"/>
  <c r="Z32" i="11"/>
  <c r="AA32" i="11"/>
  <c r="AG32" i="11" s="1"/>
  <c r="AE49" i="11"/>
  <c r="P49" i="11"/>
  <c r="L49" i="11"/>
  <c r="AA56" i="11"/>
  <c r="AA127" i="8"/>
  <c r="AC127" i="8"/>
  <c r="AE127" i="8"/>
  <c r="AD127" i="8"/>
  <c r="AB127" i="8"/>
  <c r="Y40" i="11" l="1"/>
  <c r="W40" i="11"/>
  <c r="X40" i="11"/>
  <c r="V40" i="11"/>
  <c r="Q73" i="8"/>
  <c r="P73" i="8"/>
  <c r="N73" i="8"/>
  <c r="M73" i="8"/>
  <c r="V76" i="11" s="1"/>
  <c r="V85" i="11" s="1"/>
  <c r="L73" i="8"/>
  <c r="J73" i="8"/>
  <c r="J76" i="11" s="1"/>
  <c r="I73" i="8"/>
  <c r="I76" i="11" s="1"/>
  <c r="H73" i="8"/>
  <c r="H76" i="11" s="1"/>
  <c r="E73" i="8"/>
  <c r="E76" i="11" s="1"/>
  <c r="E85" i="11" s="1"/>
  <c r="D73" i="8"/>
  <c r="D76" i="11" s="1"/>
  <c r="D85" i="11" s="1"/>
  <c r="C73" i="8"/>
  <c r="C76" i="11" s="1"/>
  <c r="C85" i="11" s="1"/>
  <c r="O23" i="8"/>
  <c r="K23" i="8"/>
  <c r="O38" i="8"/>
  <c r="Z38" i="8" s="1"/>
  <c r="O35" i="8"/>
  <c r="Z35" i="8" s="1"/>
  <c r="O20" i="8"/>
  <c r="O13" i="8"/>
  <c r="O10" i="8"/>
  <c r="K13" i="8"/>
  <c r="K10" i="8"/>
  <c r="K20" i="8"/>
  <c r="AC13" i="8" l="1"/>
  <c r="AB13" i="8"/>
  <c r="AA13" i="8"/>
  <c r="Z13" i="8"/>
  <c r="AA20" i="8"/>
  <c r="Z20" i="8"/>
  <c r="AC20" i="8"/>
  <c r="AB20" i="8"/>
  <c r="AC23" i="8"/>
  <c r="AB23" i="8"/>
  <c r="AA23" i="8"/>
  <c r="Z23" i="8"/>
  <c r="Y13" i="8"/>
  <c r="X13" i="8"/>
  <c r="W13" i="8"/>
  <c r="V13" i="8"/>
  <c r="X20" i="8"/>
  <c r="Y20" i="8"/>
  <c r="W20" i="8"/>
  <c r="V20" i="8"/>
  <c r="Y23" i="8"/>
  <c r="X23" i="8"/>
  <c r="W23" i="8"/>
  <c r="V23" i="8"/>
  <c r="AB10" i="8"/>
  <c r="AA10" i="8"/>
  <c r="Z10" i="8"/>
  <c r="AC10" i="8"/>
  <c r="X10" i="8"/>
  <c r="W10" i="8"/>
  <c r="V10" i="8"/>
  <c r="Y10" i="8"/>
  <c r="AD25" i="11"/>
  <c r="Y76" i="11"/>
  <c r="Y85" i="11" s="1"/>
  <c r="M76" i="11"/>
  <c r="M85" i="11" s="1"/>
  <c r="N76" i="11"/>
  <c r="N85" i="11" s="1"/>
  <c r="Z76" i="11"/>
  <c r="Z85" i="11" s="1"/>
  <c r="AC76" i="11"/>
  <c r="AC85" i="11" s="1"/>
  <c r="Q76" i="11"/>
  <c r="Q85" i="11" s="1"/>
  <c r="AB76" i="11"/>
  <c r="AB85" i="11" s="1"/>
  <c r="P76" i="11"/>
  <c r="P85" i="11" s="1"/>
  <c r="L76" i="11"/>
  <c r="L85" i="11" s="1"/>
  <c r="AG35" i="8"/>
  <c r="AG38" i="8"/>
  <c r="V73" i="8"/>
  <c r="X73" i="8"/>
  <c r="Z73" i="8"/>
  <c r="AA73" i="8"/>
  <c r="AB73" i="8"/>
  <c r="AD73" i="8"/>
  <c r="W73" i="8"/>
  <c r="K73" i="8"/>
  <c r="Y73" i="8"/>
  <c r="AC73" i="8"/>
  <c r="O73" i="8"/>
  <c r="X76" i="11" s="1"/>
  <c r="X85" i="11" s="1"/>
  <c r="AE73" i="8"/>
  <c r="Y19" i="11" l="1"/>
  <c r="W19" i="11"/>
  <c r="X21" i="11"/>
  <c r="Y21" i="11"/>
  <c r="V21" i="11"/>
  <c r="W21" i="11"/>
  <c r="O25" i="11"/>
  <c r="Z19" i="11"/>
  <c r="AB19" i="11"/>
  <c r="AC21" i="11"/>
  <c r="Z21" i="11"/>
  <c r="AB21" i="11"/>
  <c r="AA21" i="11"/>
  <c r="AG21" i="11" s="1"/>
  <c r="X19" i="11"/>
  <c r="K25" i="11"/>
  <c r="AD19" i="11"/>
  <c r="W76" i="11"/>
  <c r="W85" i="11" s="1"/>
  <c r="K76" i="11"/>
  <c r="K85" i="11" s="1"/>
  <c r="AA76" i="11"/>
  <c r="AA85" i="11" s="1"/>
  <c r="O76" i="11"/>
  <c r="O85" i="11" s="1"/>
  <c r="AG23" i="8"/>
  <c r="AC25" i="11" l="1"/>
  <c r="AC26" i="11" s="1"/>
  <c r="AA87" i="8"/>
  <c r="AG87" i="8" s="1"/>
  <c r="Z87" i="8"/>
  <c r="AC87" i="8"/>
  <c r="AB87" i="8"/>
  <c r="AC105" i="8"/>
  <c r="AB105" i="8"/>
  <c r="Z105" i="8"/>
  <c r="AA105" i="8"/>
  <c r="AG105" i="8" s="1"/>
  <c r="O19" i="11"/>
  <c r="AB25" i="11"/>
  <c r="AB26" i="11" s="1"/>
  <c r="AC19" i="11"/>
  <c r="X25" i="11"/>
  <c r="X26" i="11" s="1"/>
  <c r="Y25" i="11"/>
  <c r="Y26" i="11" s="1"/>
  <c r="K19" i="11"/>
  <c r="Z25" i="11"/>
  <c r="Z26" i="11" s="1"/>
  <c r="AA25" i="11"/>
  <c r="W25" i="11"/>
  <c r="W26" i="11" s="1"/>
  <c r="V25" i="11"/>
  <c r="V19" i="11"/>
  <c r="AD29" i="11"/>
  <c r="O26" i="11"/>
  <c r="K26" i="11"/>
  <c r="K29" i="11"/>
  <c r="AG18" i="11"/>
  <c r="AA19" i="11"/>
  <c r="AG19" i="11" s="1"/>
  <c r="AD26" i="11"/>
  <c r="AG114" i="8"/>
  <c r="AC40" i="11" l="1"/>
  <c r="AA40" i="11"/>
  <c r="AG40" i="11" s="1"/>
  <c r="Z40" i="11"/>
  <c r="AB40" i="11"/>
  <c r="AB28" i="11"/>
  <c r="AB29" i="11" s="1"/>
  <c r="AC28" i="11"/>
  <c r="AC29" i="11" s="1"/>
  <c r="AC33" i="11" s="1"/>
  <c r="Z28" i="11"/>
  <c r="Z29" i="11" s="1"/>
  <c r="Z30" i="11" s="1"/>
  <c r="AA28" i="11"/>
  <c r="AA29" i="11" s="1"/>
  <c r="Y29" i="11"/>
  <c r="O29" i="11"/>
  <c r="O30" i="11" s="1"/>
  <c r="X29" i="11"/>
  <c r="X30" i="11" s="1"/>
  <c r="W29" i="11"/>
  <c r="W30" i="11" s="1"/>
  <c r="V26" i="11"/>
  <c r="V29" i="11"/>
  <c r="AD30" i="11"/>
  <c r="AD33" i="11"/>
  <c r="K30" i="11"/>
  <c r="K33" i="11"/>
  <c r="AA26" i="11"/>
  <c r="AG26" i="11" s="1"/>
  <c r="AG25" i="11"/>
  <c r="AG28" i="11" l="1"/>
  <c r="N80" i="11"/>
  <c r="N83" i="11" a="1"/>
  <c r="N83" i="11" s="1"/>
  <c r="N84" i="11" a="1"/>
  <c r="N84" i="11" s="1"/>
  <c r="N82" i="11" a="1"/>
  <c r="N82" i="11" s="1"/>
  <c r="N81" i="11"/>
  <c r="K84" i="11" a="1"/>
  <c r="K84" i="11" s="1"/>
  <c r="K82" i="11" a="1"/>
  <c r="K82" i="11" s="1"/>
  <c r="M84" i="11" a="1"/>
  <c r="M84" i="11" s="1"/>
  <c r="K81" i="11"/>
  <c r="M81" i="11"/>
  <c r="M80" i="11"/>
  <c r="L82" i="11" a="1"/>
  <c r="L82" i="11" s="1"/>
  <c r="L80" i="11"/>
  <c r="M82" i="11" a="1"/>
  <c r="M82" i="11" s="1"/>
  <c r="L81" i="11"/>
  <c r="L83" i="11" a="1"/>
  <c r="L83" i="11" s="1"/>
  <c r="M83" i="11" a="1"/>
  <c r="M83" i="11" s="1"/>
  <c r="L84" i="11" a="1"/>
  <c r="L84" i="11" s="1"/>
  <c r="K83" i="11" a="1"/>
  <c r="K83" i="11" s="1"/>
  <c r="K80" i="11"/>
  <c r="AB33" i="11"/>
  <c r="AB34" i="11" s="1"/>
  <c r="AB30" i="11"/>
  <c r="AC30" i="11"/>
  <c r="Y33" i="11"/>
  <c r="Y81" i="11" s="1"/>
  <c r="Y30" i="11"/>
  <c r="O33" i="11"/>
  <c r="X33" i="11"/>
  <c r="X41" i="11" s="1"/>
  <c r="W33" i="11"/>
  <c r="W81" i="11" s="1"/>
  <c r="Z33" i="11"/>
  <c r="Z80" i="11" s="1"/>
  <c r="V30" i="11"/>
  <c r="V33" i="11"/>
  <c r="AD34" i="11"/>
  <c r="AD82" i="11"/>
  <c r="AD83" i="11" a="1"/>
  <c r="AD83" i="11" s="1"/>
  <c r="AD41" i="11"/>
  <c r="AD84" i="11" a="1"/>
  <c r="AD84" i="11" s="1"/>
  <c r="AD81" i="11"/>
  <c r="AD80" i="11"/>
  <c r="AA33" i="11"/>
  <c r="AA30" i="11"/>
  <c r="AG30" i="11" s="1"/>
  <c r="AG29" i="11"/>
  <c r="K34" i="11"/>
  <c r="K41" i="11"/>
  <c r="K48" i="11" s="1"/>
  <c r="AC84" i="11" a="1"/>
  <c r="AC84" i="11" s="1"/>
  <c r="AC41" i="11"/>
  <c r="AC82" i="11"/>
  <c r="AC83" i="11" a="1"/>
  <c r="AC83" i="11" s="1"/>
  <c r="AC34" i="11"/>
  <c r="AC80" i="11"/>
  <c r="AC81" i="11"/>
  <c r="P121" i="8"/>
  <c r="L121" i="8"/>
  <c r="H121" i="8"/>
  <c r="O11" i="8"/>
  <c r="K11" i="8"/>
  <c r="K38" i="8"/>
  <c r="V38" i="8" s="1"/>
  <c r="K35" i="8"/>
  <c r="V35" i="8" s="1"/>
  <c r="Q81" i="8"/>
  <c r="P81" i="8"/>
  <c r="O81" i="8"/>
  <c r="N81" i="8"/>
  <c r="M81" i="8"/>
  <c r="L81" i="8"/>
  <c r="K81" i="8"/>
  <c r="J81" i="8"/>
  <c r="I81" i="8"/>
  <c r="H81" i="8"/>
  <c r="Q80" i="8"/>
  <c r="P80" i="8"/>
  <c r="O80" i="8"/>
  <c r="N80" i="8"/>
  <c r="M80" i="8"/>
  <c r="L80" i="8"/>
  <c r="K80" i="8"/>
  <c r="J80" i="8"/>
  <c r="I80" i="8"/>
  <c r="H80" i="8"/>
  <c r="Q43" i="8"/>
  <c r="P43" i="8"/>
  <c r="O43" i="8"/>
  <c r="N43" i="8"/>
  <c r="M43" i="8"/>
  <c r="L43" i="8"/>
  <c r="K43" i="8"/>
  <c r="J43" i="8"/>
  <c r="I43" i="8"/>
  <c r="H43" i="8"/>
  <c r="Q42" i="8"/>
  <c r="P42" i="8"/>
  <c r="O42" i="8"/>
  <c r="N42" i="8"/>
  <c r="M42" i="8"/>
  <c r="L42" i="8"/>
  <c r="K42" i="8"/>
  <c r="J42" i="8"/>
  <c r="I42" i="8"/>
  <c r="H42" i="8"/>
  <c r="E43" i="8"/>
  <c r="D43" i="8"/>
  <c r="C43" i="8"/>
  <c r="E42" i="8"/>
  <c r="D42" i="8"/>
  <c r="C42" i="8"/>
  <c r="Q11" i="8"/>
  <c r="Q17" i="8" s="1"/>
  <c r="P11" i="8"/>
  <c r="P17" i="8" s="1"/>
  <c r="N11" i="8"/>
  <c r="N17" i="8" s="1"/>
  <c r="M11" i="8"/>
  <c r="M17" i="8" s="1"/>
  <c r="L11" i="8"/>
  <c r="L17" i="8" s="1"/>
  <c r="J11" i="8"/>
  <c r="I11" i="8"/>
  <c r="H11" i="8"/>
  <c r="J14" i="10" l="1"/>
  <c r="J17" i="8"/>
  <c r="J18" i="8" s="1"/>
  <c r="H14" i="10"/>
  <c r="H17" i="8"/>
  <c r="H24" i="8" s="1"/>
  <c r="K14" i="10"/>
  <c r="K17" i="8"/>
  <c r="K18" i="8" s="1"/>
  <c r="I14" i="10"/>
  <c r="I17" i="8"/>
  <c r="I18" i="8" s="1"/>
  <c r="O14" i="10"/>
  <c r="O17" i="8"/>
  <c r="O18" i="8" s="1"/>
  <c r="AB83" i="11" a="1"/>
  <c r="AB83" i="11" s="1"/>
  <c r="AB84" i="11" a="1"/>
  <c r="AB84" i="11" s="1"/>
  <c r="AB81" i="11"/>
  <c r="AB80" i="11"/>
  <c r="AB82" i="11"/>
  <c r="AB41" i="11"/>
  <c r="R82" i="11" a="1"/>
  <c r="R82" i="11" s="1"/>
  <c r="R84" i="11" a="1"/>
  <c r="R84" i="11" s="1"/>
  <c r="R81" i="11"/>
  <c r="R80" i="11"/>
  <c r="R83" i="11" a="1"/>
  <c r="R83" i="11" s="1"/>
  <c r="Q81" i="11"/>
  <c r="P83" i="11" a="1"/>
  <c r="P83" i="11" s="1"/>
  <c r="Q83" i="11" a="1"/>
  <c r="Q83" i="11" s="1"/>
  <c r="P82" i="11" a="1"/>
  <c r="P82" i="11" s="1"/>
  <c r="O84" i="11" a="1"/>
  <c r="O84" i="11" s="1"/>
  <c r="Q84" i="11" a="1"/>
  <c r="Q84" i="11" s="1"/>
  <c r="O81" i="11"/>
  <c r="Q80" i="11"/>
  <c r="P84" i="11" a="1"/>
  <c r="P84" i="11" s="1"/>
  <c r="P80" i="11"/>
  <c r="Q82" i="11" a="1"/>
  <c r="Q82" i="11" s="1"/>
  <c r="O83" i="11" a="1"/>
  <c r="O83" i="11" s="1"/>
  <c r="P81" i="11"/>
  <c r="O80" i="11"/>
  <c r="O82" i="11" a="1"/>
  <c r="O82" i="11" s="1"/>
  <c r="W80" i="11"/>
  <c r="W84" i="11" a="1"/>
  <c r="W84" i="11" s="1"/>
  <c r="Y41" i="11"/>
  <c r="Y83" i="11" a="1"/>
  <c r="Y83" i="11" s="1"/>
  <c r="Y82" i="11"/>
  <c r="O41" i="11"/>
  <c r="O48" i="11" s="1"/>
  <c r="W83" i="11" a="1"/>
  <c r="W83" i="11" s="1"/>
  <c r="W82" i="11"/>
  <c r="W34" i="11"/>
  <c r="O34" i="11"/>
  <c r="Y84" i="11" a="1"/>
  <c r="Y84" i="11" s="1"/>
  <c r="Y80" i="11"/>
  <c r="Y34" i="11"/>
  <c r="W41" i="11"/>
  <c r="X84" i="11" a="1"/>
  <c r="X84" i="11" s="1"/>
  <c r="Z81" i="11"/>
  <c r="Z41" i="11"/>
  <c r="Z34" i="11"/>
  <c r="Z82" i="11"/>
  <c r="Z83" i="11" a="1"/>
  <c r="Z83" i="11" s="1"/>
  <c r="Z84" i="11" a="1"/>
  <c r="Z84" i="11" s="1"/>
  <c r="X83" i="11" a="1"/>
  <c r="X83" i="11" s="1"/>
  <c r="X80" i="11"/>
  <c r="X82" i="11"/>
  <c r="X81" i="11"/>
  <c r="X34" i="11"/>
  <c r="V83" i="11" a="1"/>
  <c r="V83" i="11" s="1"/>
  <c r="V81" i="11"/>
  <c r="V82" i="11"/>
  <c r="V80" i="11"/>
  <c r="V34" i="11"/>
  <c r="V84" i="11" a="1"/>
  <c r="V84" i="11" s="1"/>
  <c r="V41" i="11"/>
  <c r="P24" i="8"/>
  <c r="P28" i="8" s="1"/>
  <c r="P14" i="10"/>
  <c r="Q18" i="8"/>
  <c r="Q14" i="10"/>
  <c r="L24" i="8"/>
  <c r="L14" i="10"/>
  <c r="N24" i="8"/>
  <c r="N14" i="10"/>
  <c r="M18" i="8"/>
  <c r="M14" i="10"/>
  <c r="AA84" i="11" a="1"/>
  <c r="AA84" i="11" s="1"/>
  <c r="AA83" i="11" a="1"/>
  <c r="AA83" i="11" s="1"/>
  <c r="AA34" i="11"/>
  <c r="AG34" i="11" s="1"/>
  <c r="AA41" i="11"/>
  <c r="AG41" i="11" s="1"/>
  <c r="AG33" i="11"/>
  <c r="AA80" i="11"/>
  <c r="AA82" i="11"/>
  <c r="AA81" i="11"/>
  <c r="Q121" i="8"/>
  <c r="O121" i="8"/>
  <c r="I121" i="8"/>
  <c r="M121" i="8"/>
  <c r="N121" i="8"/>
  <c r="Y48" i="11" l="1"/>
  <c r="Y49" i="11" s="1"/>
  <c r="W48" i="11"/>
  <c r="W49" i="11" s="1"/>
  <c r="V48" i="11"/>
  <c r="V49" i="11" s="1"/>
  <c r="X48" i="11"/>
  <c r="X49" i="11" s="1"/>
  <c r="AC48" i="11"/>
  <c r="AC49" i="11" s="1"/>
  <c r="AB48" i="11"/>
  <c r="AB49" i="11" s="1"/>
  <c r="AA48" i="11"/>
  <c r="AA49" i="11" s="1"/>
  <c r="Z48" i="11"/>
  <c r="Z49" i="11" s="1"/>
  <c r="Q24" i="8"/>
  <c r="Q28" i="8" s="1"/>
  <c r="Q29" i="8" s="1"/>
  <c r="P18" i="8"/>
  <c r="P25" i="8"/>
  <c r="M24" i="8"/>
  <c r="M28" i="8" s="1"/>
  <c r="M29" i="8" s="1"/>
  <c r="L18" i="8"/>
  <c r="K49" i="11"/>
  <c r="O49" i="11"/>
  <c r="N18" i="8"/>
  <c r="P29" i="8"/>
  <c r="P32" i="8"/>
  <c r="P84" i="8" s="1"/>
  <c r="P111" i="8" s="1"/>
  <c r="AD49" i="11"/>
  <c r="N28" i="8"/>
  <c r="H28" i="8"/>
  <c r="L28" i="8"/>
  <c r="I24" i="8"/>
  <c r="N74" i="8"/>
  <c r="N76" i="8" s="1"/>
  <c r="H25" i="8"/>
  <c r="H18" i="8"/>
  <c r="J24" i="8"/>
  <c r="J121" i="8"/>
  <c r="K121" i="8"/>
  <c r="O24" i="8"/>
  <c r="O28" i="8" s="1"/>
  <c r="K24" i="8"/>
  <c r="K28" i="8" s="1"/>
  <c r="N25" i="8"/>
  <c r="L25" i="8"/>
  <c r="M32" i="8" l="1"/>
  <c r="M84" i="8" s="1"/>
  <c r="M111" i="8" s="1"/>
  <c r="Q32" i="8"/>
  <c r="Q84" i="8" s="1"/>
  <c r="Q111" i="8" s="1"/>
  <c r="Q136" i="8" s="1"/>
  <c r="AB136" i="8" s="1"/>
  <c r="Q25" i="8"/>
  <c r="M25" i="8"/>
  <c r="O29" i="8"/>
  <c r="O32" i="8"/>
  <c r="N29" i="8"/>
  <c r="N32" i="8"/>
  <c r="N84" i="8" s="1"/>
  <c r="N111" i="8" s="1"/>
  <c r="L29" i="8"/>
  <c r="L32" i="8"/>
  <c r="L84" i="8" s="1"/>
  <c r="L111" i="8" s="1"/>
  <c r="K29" i="8"/>
  <c r="K32" i="8"/>
  <c r="K84" i="8" s="1"/>
  <c r="K111" i="8" s="1"/>
  <c r="H29" i="8"/>
  <c r="H32" i="8"/>
  <c r="H84" i="8" s="1"/>
  <c r="H111" i="8" s="1"/>
  <c r="H136" i="8" s="1"/>
  <c r="P39" i="8"/>
  <c r="P33" i="8"/>
  <c r="P36" i="8"/>
  <c r="J28" i="8"/>
  <c r="I28" i="8"/>
  <c r="L74" i="8"/>
  <c r="L76" i="8" s="1"/>
  <c r="I25" i="8"/>
  <c r="J25" i="8"/>
  <c r="K74" i="8"/>
  <c r="K76" i="8" s="1"/>
  <c r="O74" i="8"/>
  <c r="O76" i="8" s="1"/>
  <c r="J74" i="8"/>
  <c r="J76" i="8" s="1"/>
  <c r="I74" i="8"/>
  <c r="I76" i="8" s="1"/>
  <c r="Q74" i="8"/>
  <c r="Q76" i="8" s="1"/>
  <c r="P74" i="8"/>
  <c r="P76" i="8" s="1"/>
  <c r="M74" i="8"/>
  <c r="M76" i="8" s="1"/>
  <c r="H74" i="8"/>
  <c r="H76" i="8" s="1"/>
  <c r="K25" i="8"/>
  <c r="O25" i="8"/>
  <c r="O84" i="8" l="1"/>
  <c r="O111" i="8" s="1"/>
  <c r="Q33" i="8"/>
  <c r="M36" i="8"/>
  <c r="Q39" i="8"/>
  <c r="M33" i="8"/>
  <c r="M39" i="8"/>
  <c r="Q36" i="8"/>
  <c r="I29" i="8"/>
  <c r="I32" i="8"/>
  <c r="I84" i="8" s="1"/>
  <c r="I111" i="8" s="1"/>
  <c r="J29" i="8"/>
  <c r="J32" i="8"/>
  <c r="J84" i="8" s="1"/>
  <c r="J111" i="8" s="1"/>
  <c r="H36" i="8"/>
  <c r="H33" i="8"/>
  <c r="H39" i="8"/>
  <c r="L36" i="8"/>
  <c r="L39" i="8"/>
  <c r="L33" i="8"/>
  <c r="N39" i="8"/>
  <c r="N33" i="8"/>
  <c r="N36" i="8"/>
  <c r="O39" i="8"/>
  <c r="O33" i="8"/>
  <c r="O36" i="8"/>
  <c r="K33" i="8"/>
  <c r="K36" i="8"/>
  <c r="K39" i="8"/>
  <c r="P136" i="8"/>
  <c r="AA136" i="8" s="1"/>
  <c r="L136" i="8"/>
  <c r="W136" i="8" s="1"/>
  <c r="M136" i="8"/>
  <c r="X136" i="8" s="1"/>
  <c r="N136" i="8"/>
  <c r="Y136" i="8" s="1"/>
  <c r="J39" i="8" l="1"/>
  <c r="J33" i="8"/>
  <c r="J36" i="8"/>
  <c r="I39" i="8"/>
  <c r="I33" i="8"/>
  <c r="I36" i="8"/>
  <c r="I136" i="8" l="1"/>
  <c r="J136" i="8"/>
  <c r="B81" i="8" l="1"/>
  <c r="B80" i="8"/>
  <c r="E81" i="8"/>
  <c r="D81" i="8"/>
  <c r="C81" i="8"/>
  <c r="E80" i="8"/>
  <c r="D80" i="8"/>
  <c r="C80" i="8"/>
  <c r="B43" i="8"/>
  <c r="B42" i="8"/>
  <c r="AE43" i="8"/>
  <c r="AD43" i="8"/>
  <c r="AC43" i="8"/>
  <c r="AA43" i="8"/>
  <c r="Z43" i="8"/>
  <c r="Y43" i="8"/>
  <c r="W43" i="8"/>
  <c r="V43" i="8"/>
  <c r="AB43" i="8"/>
  <c r="X43" i="8"/>
  <c r="AE42" i="8"/>
  <c r="AD42" i="8"/>
  <c r="AC42" i="8"/>
  <c r="AB42" i="8"/>
  <c r="AA42" i="8"/>
  <c r="Z42" i="8"/>
  <c r="Y42" i="8"/>
  <c r="X42" i="8"/>
  <c r="W42" i="8"/>
  <c r="V42" i="8"/>
  <c r="X80" i="8" l="1"/>
  <c r="Y80" i="8"/>
  <c r="Y81" i="8"/>
  <c r="AB80" i="8"/>
  <c r="AC80" i="8"/>
  <c r="X81" i="8"/>
  <c r="AC81" i="8"/>
  <c r="AD81" i="8"/>
  <c r="AA80" i="8"/>
  <c r="V80" i="8"/>
  <c r="AD80" i="8"/>
  <c r="AA81" i="8"/>
  <c r="Z81" i="8"/>
  <c r="W80" i="8"/>
  <c r="AE80" i="8"/>
  <c r="AB81" i="8"/>
  <c r="V81" i="8"/>
  <c r="Z80" i="8"/>
  <c r="W81" i="8"/>
  <c r="AE81" i="8"/>
  <c r="Z11" i="8" l="1"/>
  <c r="Z14" i="10" l="1"/>
  <c r="Z17" i="8"/>
  <c r="Z24" i="8" s="1"/>
  <c r="AA11" i="8"/>
  <c r="X11" i="8"/>
  <c r="Y11" i="8"/>
  <c r="AC11" i="8"/>
  <c r="AB11" i="8"/>
  <c r="AD11" i="8"/>
  <c r="Y14" i="10" l="1"/>
  <c r="Y17" i="8"/>
  <c r="Y24" i="8" s="1"/>
  <c r="AA14" i="10"/>
  <c r="AA17" i="8"/>
  <c r="AA24" i="8" s="1"/>
  <c r="AD14" i="10"/>
  <c r="AD17" i="8"/>
  <c r="AD24" i="8" s="1"/>
  <c r="AB14" i="10"/>
  <c r="AB17" i="8"/>
  <c r="AB24" i="8" s="1"/>
  <c r="AC14" i="10"/>
  <c r="AC17" i="8"/>
  <c r="AC24" i="8" s="1"/>
  <c r="X14" i="10"/>
  <c r="X17" i="8"/>
  <c r="X24" i="8" s="1"/>
  <c r="Z28" i="8"/>
  <c r="Z25" i="8"/>
  <c r="AG10" i="8"/>
  <c r="AA74" i="8"/>
  <c r="AA76" i="8" s="1"/>
  <c r="Y74" i="8"/>
  <c r="Y76" i="8" s="1"/>
  <c r="W74" i="8"/>
  <c r="W76" i="8" s="1"/>
  <c r="AG20" i="8"/>
  <c r="Z74" i="8"/>
  <c r="Z76" i="8" s="1"/>
  <c r="V74" i="8"/>
  <c r="V76" i="8" s="1"/>
  <c r="Z18" i="8"/>
  <c r="AG13" i="8"/>
  <c r="AC74" i="8"/>
  <c r="AC76" i="8" s="1"/>
  <c r="AD74" i="8"/>
  <c r="AD76" i="8" s="1"/>
  <c r="Z29" i="8" l="1"/>
  <c r="Z32" i="8"/>
  <c r="Z84" i="8" s="1"/>
  <c r="X28" i="8"/>
  <c r="AC28" i="8"/>
  <c r="AB28" i="8"/>
  <c r="Y28" i="8"/>
  <c r="AA28" i="8"/>
  <c r="AD28" i="8"/>
  <c r="Y25" i="8"/>
  <c r="X25" i="8"/>
  <c r="AA25" i="8"/>
  <c r="AC25" i="8"/>
  <c r="AB25" i="8"/>
  <c r="AD25" i="8"/>
  <c r="AC18" i="8"/>
  <c r="AB18" i="8"/>
  <c r="Y18" i="8"/>
  <c r="AD18" i="8"/>
  <c r="AA18" i="8"/>
  <c r="X18" i="8"/>
  <c r="AC29" i="8" l="1"/>
  <c r="AC32" i="8"/>
  <c r="AC84" i="8" s="1"/>
  <c r="AD29" i="8"/>
  <c r="AD32" i="8"/>
  <c r="AD84" i="8" s="1"/>
  <c r="Y29" i="8"/>
  <c r="Y32" i="8"/>
  <c r="X29" i="8"/>
  <c r="X32" i="8"/>
  <c r="X84" i="8" s="1"/>
  <c r="AA29" i="8"/>
  <c r="AA32" i="8"/>
  <c r="AA84" i="8" s="1"/>
  <c r="AB29" i="8"/>
  <c r="AB32" i="8"/>
  <c r="AB84" i="8" s="1"/>
  <c r="Z33" i="8"/>
  <c r="Z36" i="8"/>
  <c r="Z39" i="8"/>
  <c r="Y33" i="8" l="1"/>
  <c r="Y84" i="8"/>
  <c r="Y39" i="8"/>
  <c r="Y36" i="8"/>
  <c r="AC36" i="8"/>
  <c r="AC33" i="8"/>
  <c r="AC39" i="8"/>
  <c r="AA33" i="8"/>
  <c r="AA36" i="8"/>
  <c r="AA39" i="8"/>
  <c r="X39" i="8"/>
  <c r="X33" i="8"/>
  <c r="X36" i="8"/>
  <c r="AD33" i="8"/>
  <c r="AD36" i="8"/>
  <c r="AD39" i="8"/>
  <c r="AB39" i="8"/>
  <c r="AB33" i="8"/>
  <c r="AB36" i="8"/>
  <c r="X74" i="8" l="1"/>
  <c r="X76" i="8" s="1"/>
  <c r="V121" i="8"/>
  <c r="W121" i="8"/>
  <c r="AA121" i="8"/>
  <c r="X121" i="8"/>
  <c r="Y121" i="8"/>
  <c r="Z121" i="8"/>
  <c r="AB121" i="8"/>
  <c r="AD121" i="8"/>
  <c r="AC121" i="8"/>
  <c r="E11" i="8" l="1"/>
  <c r="D11" i="8"/>
  <c r="C11" i="8"/>
  <c r="E121" i="8"/>
  <c r="D121" i="8"/>
  <c r="C121" i="8"/>
  <c r="AE11" i="8"/>
  <c r="C14" i="10" l="1"/>
  <c r="C17" i="8"/>
  <c r="C24" i="8" s="1"/>
  <c r="D14" i="10"/>
  <c r="D17" i="8"/>
  <c r="D24" i="8" s="1"/>
  <c r="AE14" i="10"/>
  <c r="AE17" i="8"/>
  <c r="E14" i="10"/>
  <c r="E17" i="8"/>
  <c r="E24" i="8" s="1"/>
  <c r="AG11" i="8"/>
  <c r="AB74" i="8"/>
  <c r="AB76" i="8" s="1"/>
  <c r="AG73" i="8"/>
  <c r="C28" i="8" l="1"/>
  <c r="E28" i="8"/>
  <c r="D28" i="8"/>
  <c r="C74" i="8"/>
  <c r="C76" i="8" s="1"/>
  <c r="C25" i="8"/>
  <c r="D25" i="8"/>
  <c r="E25" i="8"/>
  <c r="D74" i="8"/>
  <c r="D76" i="8" s="1"/>
  <c r="E74" i="8"/>
  <c r="E76" i="8" s="1"/>
  <c r="AG66" i="8"/>
  <c r="D18" i="8"/>
  <c r="E18" i="8"/>
  <c r="C18" i="8"/>
  <c r="AE24" i="8"/>
  <c r="AE28" i="8" s="1"/>
  <c r="AE32" i="8" s="1"/>
  <c r="AE84" i="8" s="1"/>
  <c r="D29" i="8" l="1"/>
  <c r="D32" i="8"/>
  <c r="D84" i="8" s="1"/>
  <c r="D111" i="8" s="1"/>
  <c r="D136" i="8" s="1"/>
  <c r="E29" i="8"/>
  <c r="E32" i="8"/>
  <c r="E84" i="8" s="1"/>
  <c r="E111" i="8" s="1"/>
  <c r="E136" i="8" s="1"/>
  <c r="C29" i="8"/>
  <c r="C32" i="8"/>
  <c r="AE29" i="8"/>
  <c r="AG29" i="8" s="1"/>
  <c r="AG28" i="8"/>
  <c r="K136" i="8"/>
  <c r="V136" i="8" s="1"/>
  <c r="AG24" i="8"/>
  <c r="AE25" i="8"/>
  <c r="AG25" i="8" s="1"/>
  <c r="AG127" i="8"/>
  <c r="AE74" i="8"/>
  <c r="AG56" i="8"/>
  <c r="AG17" i="8"/>
  <c r="AE121" i="8"/>
  <c r="AG121" i="8" s="1"/>
  <c r="AE18" i="8"/>
  <c r="AG18" i="8" s="1"/>
  <c r="AG74" i="8" l="1"/>
  <c r="AE76" i="8"/>
  <c r="D33" i="8"/>
  <c r="C33" i="8"/>
  <c r="AE36" i="8"/>
  <c r="C39" i="8"/>
  <c r="C36" i="8"/>
  <c r="E36" i="8"/>
  <c r="E39" i="8"/>
  <c r="D39" i="8"/>
  <c r="D36" i="8"/>
  <c r="E33" i="8"/>
  <c r="O136" i="8"/>
  <c r="Z136" i="8" s="1"/>
  <c r="AG32" i="8" l="1"/>
  <c r="AE39" i="8"/>
  <c r="AE33" i="8"/>
  <c r="AG33" i="8" s="1"/>
  <c r="C111" i="8"/>
  <c r="C136" i="8" s="1"/>
  <c r="AA111" i="8"/>
  <c r="AB111" i="8"/>
  <c r="X111" i="8" l="1"/>
  <c r="Y111" i="8"/>
  <c r="Z111" i="8"/>
  <c r="AG36" i="8" l="1"/>
  <c r="AG39" i="8"/>
  <c r="C132" i="8" l="1"/>
  <c r="C137" i="8" l="1"/>
  <c r="C139" i="8" s="1"/>
  <c r="D130" i="8" l="1"/>
  <c r="H130" i="8" s="1"/>
  <c r="D132" i="8" l="1"/>
  <c r="D137" i="8" s="1"/>
  <c r="D139" i="8" s="1"/>
  <c r="E130" i="8" l="1"/>
  <c r="E132" i="8" s="1"/>
  <c r="E137" i="8" s="1"/>
  <c r="E139" i="8" s="1"/>
  <c r="H132" i="8"/>
  <c r="H137" i="8" l="1"/>
  <c r="H139" i="8" s="1"/>
  <c r="F130" i="8"/>
  <c r="F132" i="8" s="1"/>
  <c r="F137" i="8" s="1"/>
  <c r="F139" i="8" s="1"/>
  <c r="I130" i="8" l="1"/>
  <c r="I132" i="8" s="1"/>
  <c r="I137" i="8" s="1"/>
  <c r="I139" i="8" s="1"/>
  <c r="J130" i="8" l="1"/>
  <c r="J132" i="8" s="1"/>
  <c r="J137" i="8" l="1"/>
  <c r="J139" i="8" s="1"/>
  <c r="K130" i="8" l="1"/>
  <c r="K132" i="8" l="1"/>
  <c r="K137" i="8" s="1"/>
  <c r="K139" i="8" s="1"/>
  <c r="V130" i="8"/>
  <c r="V132" i="8" s="1"/>
  <c r="V137" i="8" s="1"/>
  <c r="V139" i="8" s="1"/>
  <c r="L130" i="8" l="1"/>
  <c r="L132" i="8" s="1"/>
  <c r="L137" i="8" l="1"/>
  <c r="L139" i="8" s="1"/>
  <c r="M130" i="8" l="1"/>
  <c r="M132" i="8" s="1"/>
  <c r="M137" i="8" l="1"/>
  <c r="M139" i="8" s="1"/>
  <c r="N130" i="8" l="1"/>
  <c r="N132" i="8" s="1"/>
  <c r="N137" i="8" l="1"/>
  <c r="N139" i="8" s="1"/>
  <c r="O130" i="8" l="1"/>
  <c r="O132" i="8" s="1"/>
  <c r="O137" i="8" s="1"/>
  <c r="O139" i="8" l="1"/>
  <c r="W11" i="8"/>
  <c r="V11" i="8"/>
  <c r="P130" i="8" l="1"/>
  <c r="P132" i="8" s="1"/>
  <c r="V14" i="10"/>
  <c r="V17" i="8"/>
  <c r="V24" i="8" s="1"/>
  <c r="W14" i="10"/>
  <c r="W17" i="8"/>
  <c r="P137" i="8" l="1"/>
  <c r="P139" i="8" s="1"/>
  <c r="V18" i="8"/>
  <c r="V28" i="8"/>
  <c r="W24" i="8"/>
  <c r="W18" i="8"/>
  <c r="V25" i="8"/>
  <c r="Q130" i="8" l="1"/>
  <c r="Q132" i="8" s="1"/>
  <c r="Q137" i="8" s="1"/>
  <c r="Q139" i="8" s="1"/>
  <c r="V29" i="8"/>
  <c r="V32" i="8"/>
  <c r="V84" i="8" s="1"/>
  <c r="W28" i="8"/>
  <c r="W25" i="8"/>
  <c r="R130" i="8" l="1"/>
  <c r="R132" i="8" s="1"/>
  <c r="R137" i="8" s="1"/>
  <c r="R139" i="8" s="1"/>
  <c r="W29" i="8"/>
  <c r="W32" i="8"/>
  <c r="W84" i="8" s="1"/>
  <c r="W111" i="8" s="1"/>
  <c r="V39" i="8"/>
  <c r="V33" i="8"/>
  <c r="V36" i="8"/>
  <c r="S130" i="8" l="1"/>
  <c r="S132" i="8" s="1"/>
  <c r="S137" i="8" s="1"/>
  <c r="S139" i="8" s="1"/>
  <c r="W36" i="8"/>
  <c r="W33" i="8"/>
  <c r="W39" i="8"/>
  <c r="AC111" i="8"/>
  <c r="AD111" i="8"/>
  <c r="V111" i="8"/>
  <c r="T130" i="8" l="1"/>
  <c r="T132" i="8" s="1"/>
  <c r="T137" i="8" s="1"/>
  <c r="T139" i="8" s="1"/>
  <c r="AE111" i="8"/>
  <c r="AG84" i="8"/>
  <c r="AG111" i="8" l="1"/>
  <c r="W130" i="8" l="1"/>
  <c r="W132" i="8" s="1"/>
  <c r="W137" i="8" s="1"/>
  <c r="W139" i="8" s="1"/>
  <c r="X130" i="8" l="1"/>
  <c r="X132" i="8" s="1"/>
  <c r="X137" i="8" s="1"/>
  <c r="X139" i="8" s="1"/>
  <c r="Y130" i="8" l="1"/>
  <c r="Y132" i="8" s="1"/>
  <c r="Y137" i="8" s="1"/>
  <c r="Y139" i="8" s="1"/>
  <c r="Z130" i="8" l="1"/>
  <c r="Z132" i="8" s="1"/>
  <c r="Z137" i="8" s="1"/>
  <c r="Z139" i="8" s="1"/>
  <c r="AA130" i="8" l="1"/>
  <c r="AA132" i="8" s="1"/>
  <c r="AA137" i="8" s="1"/>
  <c r="AA139" i="8" s="1"/>
  <c r="AB130" i="8" l="1"/>
  <c r="AB132" i="8" s="1"/>
  <c r="AB137" i="8" l="1"/>
  <c r="AB139" i="8" s="1"/>
  <c r="AC130" i="8" l="1"/>
  <c r="AC132" i="8" s="1"/>
  <c r="AC137" i="8" s="1"/>
  <c r="AC139" i="8" s="1"/>
  <c r="AD130" i="8" l="1"/>
  <c r="AD132" i="8" s="1"/>
  <c r="AD137" i="8" s="1"/>
  <c r="AD139" i="8" s="1"/>
  <c r="AE130" i="8" l="1"/>
  <c r="AE132" i="8" s="1"/>
  <c r="AE137" i="8" s="1"/>
  <c r="AE139" i="8" s="1"/>
  <c r="D38" i="10" l="1"/>
  <c r="D39" i="10" l="1"/>
  <c r="E39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<sst xmlns="http://schemas.openxmlformats.org/spreadsheetml/2006/main" count="331" uniqueCount="194">
  <si>
    <t>FYE</t>
  </si>
  <si>
    <t>Quarterly</t>
  </si>
  <si>
    <t>1Q24</t>
  </si>
  <si>
    <t>2Q24</t>
  </si>
  <si>
    <t>3Q24</t>
  </si>
  <si>
    <t>4Q24</t>
  </si>
  <si>
    <t>1Q23</t>
  </si>
  <si>
    <t>2Q23</t>
  </si>
  <si>
    <t>3Q23</t>
  </si>
  <si>
    <t>4Q23</t>
  </si>
  <si>
    <t>LTM</t>
  </si>
  <si>
    <t>EBITDA</t>
  </si>
  <si>
    <t>Total Revenue</t>
  </si>
  <si>
    <t>Accounts payable</t>
  </si>
  <si>
    <t>Changes in assets and liabilities:</t>
  </si>
  <si>
    <t>Cash-Flows Statement</t>
  </si>
  <si>
    <t>Total stockholders' equity</t>
  </si>
  <si>
    <t>Total Liabilities</t>
  </si>
  <si>
    <t>X</t>
  </si>
  <si>
    <t>Total Assets</t>
  </si>
  <si>
    <t>Gross Profit</t>
  </si>
  <si>
    <t>Total Debt</t>
  </si>
  <si>
    <t>Variance</t>
  </si>
  <si>
    <t>FCF Analysis</t>
  </si>
  <si>
    <t>1Q25</t>
  </si>
  <si>
    <t>2Q25</t>
  </si>
  <si>
    <t>Y/Y Growth (%)</t>
  </si>
  <si>
    <t>Q/Q Growth (%)</t>
  </si>
  <si>
    <t>N/A</t>
  </si>
  <si>
    <t>Gross Margin (%)</t>
  </si>
  <si>
    <t>Earning before Interest &amp; Taxes (EBIT)</t>
  </si>
  <si>
    <t>Operating Margin (%)</t>
  </si>
  <si>
    <t>EBITDA Margin (%)</t>
  </si>
  <si>
    <t>Adj. EBITDA</t>
  </si>
  <si>
    <t>Adj. EBITDA Margin (%)</t>
  </si>
  <si>
    <t>(-) Capital Expenditures</t>
  </si>
  <si>
    <t>(-) Cash Taxes</t>
  </si>
  <si>
    <t>(+/-) Changes in NWC</t>
  </si>
  <si>
    <t>Discretionary Cash-Flows</t>
  </si>
  <si>
    <t>Free-Cash Flows</t>
  </si>
  <si>
    <t>Capitalization</t>
  </si>
  <si>
    <t>Cash &amp; Cash Equivelants</t>
  </si>
  <si>
    <t>Total Liquidity</t>
  </si>
  <si>
    <t>Balance Sheet Metrics:</t>
  </si>
  <si>
    <t>Total Shareholder Equity</t>
  </si>
  <si>
    <t>Total Book Capitalization</t>
  </si>
  <si>
    <t>Debt-to-Book Capitalization</t>
  </si>
  <si>
    <t>Net loss</t>
  </si>
  <si>
    <t>Total liabilities and stockholders' equity</t>
  </si>
  <si>
    <t>Cash-Flows From Operating Activities</t>
  </si>
  <si>
    <t>Net income (loss)</t>
  </si>
  <si>
    <t>Depreciation and amortization</t>
  </si>
  <si>
    <t>Net cash used in operating activities</t>
  </si>
  <si>
    <t>Cash flows from investing activities:</t>
  </si>
  <si>
    <t>Net cash used in investing activities</t>
  </si>
  <si>
    <t>Cash flows from financing activities:</t>
  </si>
  <si>
    <t>Net cash provided by financing activities</t>
  </si>
  <si>
    <t>Consolidated Revenue</t>
  </si>
  <si>
    <t>Adjustments to reconcile net income:</t>
  </si>
  <si>
    <t>Balance Check</t>
  </si>
  <si>
    <t>Net Change in Cash</t>
  </si>
  <si>
    <t>Net Margin (%)</t>
  </si>
  <si>
    <t>Basic shares</t>
  </si>
  <si>
    <t>Basic EPS</t>
  </si>
  <si>
    <t>Fully Diluted Shares</t>
  </si>
  <si>
    <t>Diluted EPS</t>
  </si>
  <si>
    <t>Segment Anaysis</t>
  </si>
  <si>
    <t>Total Net Revenue</t>
  </si>
  <si>
    <t xml:space="preserve">(+/-) Other </t>
  </si>
  <si>
    <t>Credit Metrics</t>
  </si>
  <si>
    <t>Adjusted Cash Position BOP</t>
  </si>
  <si>
    <t>Adjusted Cash Position EOP</t>
  </si>
  <si>
    <t xml:space="preserve">(-) Cash Interest </t>
  </si>
  <si>
    <t>Income Statement</t>
  </si>
  <si>
    <t xml:space="preserve">Balance Sheet </t>
  </si>
  <si>
    <t>Historical Financials</t>
  </si>
  <si>
    <t>Fiscal Period</t>
  </si>
  <si>
    <t>Fiscal Period End Date</t>
  </si>
  <si>
    <t>Operating Profit</t>
  </si>
  <si>
    <t>EBT Margin (%)</t>
  </si>
  <si>
    <t>Cash and cash equivalents</t>
  </si>
  <si>
    <t>Goodwill</t>
  </si>
  <si>
    <t>Stock-based compensation</t>
  </si>
  <si>
    <t>Other assets</t>
  </si>
  <si>
    <t>Supplemental disclosures of other cash flow information:</t>
  </si>
  <si>
    <t>Income taxes paid</t>
  </si>
  <si>
    <t>Interest paid</t>
  </si>
  <si>
    <t>BOP Restricted Cash Adjustment</t>
  </si>
  <si>
    <t>EOP FX Adjustment</t>
  </si>
  <si>
    <t>EOP Restricted Cash Adjustment</t>
  </si>
  <si>
    <t>Unrestricted Cash BOP</t>
  </si>
  <si>
    <t>Revenue Segment Anaysis</t>
  </si>
  <si>
    <t>($ In Millions)</t>
  </si>
  <si>
    <t>($ In Millions, except EPS)</t>
  </si>
  <si>
    <t>Revenue by reportable segment</t>
  </si>
  <si>
    <t>(+) Depreciation and Amortization (D&amp;A)</t>
  </si>
  <si>
    <t>(+) Stock-Based Compensation (SBC)</t>
  </si>
  <si>
    <t>Summary Debt:</t>
  </si>
  <si>
    <t>LTM Total Leverage</t>
  </si>
  <si>
    <t>LTM Net Leverage</t>
  </si>
  <si>
    <t xml:space="preserve">LTM Interest Coverage </t>
  </si>
  <si>
    <t>LTM Debt Service Coverage</t>
  </si>
  <si>
    <t>LTM Fixed Charge Coverage</t>
  </si>
  <si>
    <t>3Q25</t>
  </si>
  <si>
    <t>4Q25</t>
  </si>
  <si>
    <t>1Q26</t>
  </si>
  <si>
    <t>Earnings before Taxes</t>
  </si>
  <si>
    <t>(+/-) XXX</t>
  </si>
  <si>
    <t>(-) Mandatory Outflows</t>
  </si>
  <si>
    <t>Affirm Holdings Inc (NASDAQ: AFRM)</t>
  </si>
  <si>
    <t>Loss on loan purchase commitment</t>
  </si>
  <si>
    <t>Provision for credit losses</t>
  </si>
  <si>
    <t>Funding costs</t>
  </si>
  <si>
    <t>Processing and servicing</t>
  </si>
  <si>
    <t>Technology and data analytics</t>
  </si>
  <si>
    <t>Sales and marketing</t>
  </si>
  <si>
    <t>General and administrative</t>
  </si>
  <si>
    <t>Restructuring charges, net</t>
  </si>
  <si>
    <t>Revenue Less Transaction Expenses</t>
  </si>
  <si>
    <t>Other income (expense), net</t>
  </si>
  <si>
    <t>Income tax benefit (expense)</t>
  </si>
  <si>
    <t>Provision for losses</t>
  </si>
  <si>
    <t xml:space="preserve">Amortization of premiums and discounts on loans </t>
  </si>
  <si>
    <t>(Gain) loss on sales of loans</t>
  </si>
  <si>
    <t>Changes in fair value of assets and liabilities</t>
  </si>
  <si>
    <t>Changes in fair value of servicing assets and liabilities</t>
  </si>
  <si>
    <t>Changes in fair value of residual trust certificates</t>
  </si>
  <si>
    <t>Amortization of commercial agreement</t>
  </si>
  <si>
    <t>Amortization of debt issuance costs</t>
  </si>
  <si>
    <t>Commercial agreement warrant expense</t>
  </si>
  <si>
    <t>Deferred tax (benefit) expense</t>
  </si>
  <si>
    <t>Other</t>
  </si>
  <si>
    <t>Purchases of loans held for sale and proceeds from sale, net</t>
  </si>
  <si>
    <t>Accounts receivables, net</t>
  </si>
  <si>
    <t>Accrued interest payable</t>
  </si>
  <si>
    <t>Accrued expenses and other liabilities</t>
  </si>
  <si>
    <t>Payable to third-party loan owners</t>
  </si>
  <si>
    <t>Purchases of loans net of proceeds from sale and principal repayments</t>
  </si>
  <si>
    <t>Origination of loans, proceeds from sale of loans, net</t>
  </si>
  <si>
    <t>Additions to property, equipment and software</t>
  </si>
  <si>
    <t>Principal repayment of loans</t>
  </si>
  <si>
    <t>Purchases of intangible assets</t>
  </si>
  <si>
    <t>Payments to acquire businesses, net of cash acquired</t>
  </si>
  <si>
    <t>Acquisition funds in transit / Other</t>
  </si>
  <si>
    <t>Proceeds from funding debt net of repayments and issuance costs</t>
  </si>
  <si>
    <t>Proceeds from issuance of convertible debt and securitization</t>
  </si>
  <si>
    <t>Net proceeds from issuance and repurchase of stock</t>
  </si>
  <si>
    <t>Restricted cash</t>
  </si>
  <si>
    <t>Securities available for sale at fair value</t>
  </si>
  <si>
    <t>Loans held for sale</t>
  </si>
  <si>
    <t>Loans held for investment, net</t>
  </si>
  <si>
    <t>Accounts receivable, net</t>
  </si>
  <si>
    <t>Property, equipment and software, net</t>
  </si>
  <si>
    <t>Payable to third-party</t>
  </si>
  <si>
    <t>Convertible debt</t>
  </si>
  <si>
    <t>Notes issued by securitization trusts</t>
  </si>
  <si>
    <t>Funding debt</t>
  </si>
  <si>
    <t>Class A common stock</t>
  </si>
  <si>
    <t>Class B common stock</t>
  </si>
  <si>
    <t>Additional paid in capital</t>
  </si>
  <si>
    <t>Accumulated deficit</t>
  </si>
  <si>
    <t>Accumulated other comprehensive loss</t>
  </si>
  <si>
    <t xml:space="preserve">Amortization of discount on securities available for sale	</t>
  </si>
  <si>
    <t xml:space="preserve">Impairment of right of use assets	</t>
  </si>
  <si>
    <t xml:space="preserve">Network revenue </t>
  </si>
  <si>
    <t xml:space="preserve">Interest Income </t>
  </si>
  <si>
    <t xml:space="preserve">Gain (loss) on sales of loans </t>
  </si>
  <si>
    <t xml:space="preserve">Servicing income </t>
  </si>
  <si>
    <t>KPIs</t>
  </si>
  <si>
    <t>Merchants</t>
  </si>
  <si>
    <t>GMW</t>
  </si>
  <si>
    <t>Total GMW</t>
  </si>
  <si>
    <t xml:space="preserve">Gross Merchandise Volume (GMV) </t>
  </si>
  <si>
    <t>&lt;=$1,000 TTM GMV</t>
  </si>
  <si>
    <t>&gt;$1,000 TTM GMV</t>
  </si>
  <si>
    <t>Total Active Merchants</t>
  </si>
  <si>
    <t>(%) of GMV sold</t>
  </si>
  <si>
    <t>Loans sold</t>
  </si>
  <si>
    <t>Total Loans Sold</t>
  </si>
  <si>
    <t>GMV per active customer</t>
  </si>
  <si>
    <t>GMV % Mix by loan type</t>
  </si>
  <si>
    <t xml:space="preserve">Core 0% APR </t>
  </si>
  <si>
    <t xml:space="preserve">Interest-Bearing </t>
  </si>
  <si>
    <t>Pay in 4 (bi-weekly 0% APR)</t>
  </si>
  <si>
    <t>Affirm Card / Direct to Consumer</t>
  </si>
  <si>
    <t>(-) Loss on loan purchase commitment</t>
  </si>
  <si>
    <t>(-) Provision for credit losses</t>
  </si>
  <si>
    <t>(-) Funding costs</t>
  </si>
  <si>
    <t>(-) Processing and servicing</t>
  </si>
  <si>
    <t>(-) Technology and data analytics</t>
  </si>
  <si>
    <t>(-) Sales and marketing</t>
  </si>
  <si>
    <t>(-) General and administrative</t>
  </si>
  <si>
    <t>(-) Restructuring charges, net</t>
  </si>
  <si>
    <t>Aggregate 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</si>
</sst>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&quot;$ &quot;#,##0_);_(&quot;$ &quot;\(#,##0\)"/>
    <numFmt numFmtId="166" formatCode="#,##0.0%;\(#,##0.0%\)"/>
    <numFmt numFmtId="167" formatCode="#,##0.0&quot;bps&quot;_);\(#,##0.0&quot;bps&quot;\)"/>
    <numFmt numFmtId="168" formatCode="#,##0.00&quot;bps&quot;_);\(#,##0.00&quot;bps&quot;\)"/>
    <numFmt numFmtId="169" formatCode="_(* #,##0.00&quot;x&quot;_);_(* \(#,##0.00&quot;x&quot;\);_(* &quot;-&quot;_);_(@_)"/>
    <numFmt numFmtId="174" formatCode="0.0%"/>
  </numFmts>
  <fonts count="31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b/>
      <sz val="9"/>
      <color theme="0"/>
      <name val="Calibri"/>
      <family val="2"/>
    </font>
    <font>
      <i/>
      <sz val="9"/>
      <color theme="0"/>
      <name val="Calibri"/>
      <family val="2"/>
    </font>
    <font>
      <sz val="9"/>
      <color theme="1"/>
      <name val="Calibri"/>
      <family val="2"/>
    </font>
    <font>
      <b/>
      <i/>
      <sz val="9"/>
      <color theme="0"/>
      <name val="Calibri"/>
      <family val="2"/>
    </font>
    <font>
      <sz val="9"/>
      <name val="Calibri"/>
      <family val="2"/>
    </font>
    <font>
      <i/>
      <sz val="9"/>
      <name val="Calibri"/>
      <family val="2"/>
    </font>
    <font>
      <b/>
      <sz val="9"/>
      <name val="Calibri"/>
      <family val="2"/>
    </font>
    <font>
      <b/>
      <i/>
      <sz val="9"/>
      <name val="Calibri"/>
      <family val="2"/>
    </font>
    <font>
      <i/>
      <sz val="8"/>
      <name val="Calibri"/>
      <family val="2"/>
    </font>
    <font>
      <sz val="9"/>
      <color rgb="FF0000CC"/>
      <name val="Calibri"/>
      <family val="2"/>
    </font>
    <font>
      <sz val="9"/>
      <color rgb="FF0000FF"/>
      <name val="Calibri"/>
      <family val="2"/>
    </font>
    <font>
      <sz val="8"/>
      <name val="Calibri"/>
      <family val="2"/>
    </font>
    <font>
      <sz val="8"/>
      <color theme="1"/>
      <name val="Calibri"/>
      <family val="2"/>
    </font>
    <font>
      <b/>
      <sz val="9"/>
      <color theme="1"/>
      <name val="Calibri"/>
      <family val="2"/>
    </font>
    <font>
      <i/>
      <sz val="9"/>
      <color theme="1"/>
      <name val="Calibri"/>
      <family val="2"/>
    </font>
    <font>
      <b/>
      <sz val="9"/>
      <color indexed="8"/>
      <name val="Calibri"/>
      <family val="2"/>
    </font>
    <font>
      <sz val="9"/>
      <color rgb="FF0000E1"/>
      <name val="Calibri"/>
      <family val="2"/>
    </font>
    <font>
      <sz val="10"/>
      <name val="Arial"/>
      <family val="2"/>
    </font>
    <font>
      <sz val="9"/>
      <color rgb="FFFF0000"/>
      <name val="Tw Cen MT"/>
      <family val="2"/>
      <scheme val="minor"/>
    </font>
    <font>
      <sz val="8"/>
      <color rgb="FFFF0000"/>
      <name val="Calibri"/>
      <family val="2"/>
    </font>
    <font>
      <b/>
      <sz val="8"/>
      <color theme="1"/>
      <name val="Calibri"/>
      <family val="2"/>
    </font>
    <font>
      <i/>
      <sz val="8"/>
      <color theme="1"/>
      <name val="Calibri"/>
      <family val="2"/>
    </font>
    <font>
      <sz val="7"/>
      <color rgb="FFFF0000"/>
      <name val="Calibri"/>
      <family val="2"/>
    </font>
    <font>
      <sz val="9"/>
      <color rgb="FF00B050"/>
      <name val="Calibri"/>
      <family val="2"/>
    </font>
    <font>
      <sz val="10"/>
      <name val="Arial Narrow MT"/>
      <family val="2"/>
    </font>
    <font>
      <b/>
      <i/>
      <sz val="8"/>
      <name val="Calibri"/>
      <family val="2"/>
    </font>
    <font>
      <b/>
      <sz val="8"/>
      <color theme="0"/>
      <name val="Calibri"/>
      <family val="2"/>
    </font>
    <font>
      <i/>
      <sz val="7"/>
      <color rgb="FFFF0000"/>
      <name val="Calibri"/>
      <family val="2"/>
    </font>
    <font>
      <i/>
      <sz val="8"/>
      <color rgb="FF0000CC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E5672"/>
        <bgColor indexed="64"/>
      </patternFill>
    </fill>
    <fill>
      <patternFill patternType="gray0625"/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9" fillId="0" borderId="0"/>
    <xf numFmtId="0" fontId="26" fillId="0" borderId="0" applyNumberFormat="0" applyFont="0" applyFill="0" applyBorder="0" applyAlignment="0" applyProtection="0"/>
  </cellStyleXfs>
  <cellXfs count="170">
    <xf numFmtId="0" fontId="0" fillId="0" borderId="0" xfId="0"/>
    <xf numFmtId="0" fontId="2" fillId="2" borderId="0" xfId="0" applyFont="1" applyFill="1" applyAlignment="1">
      <alignment vertical="center" wrapText="1"/>
    </xf>
    <xf numFmtId="0" fontId="2" fillId="2" borderId="3" xfId="0" applyFont="1" applyFill="1" applyBorder="1" applyAlignment="1">
      <alignment horizontal="centerContinuous" vertical="center" wrapText="1"/>
    </xf>
    <xf numFmtId="14" fontId="3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wrapText="1"/>
    </xf>
    <xf numFmtId="0" fontId="3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4" fillId="0" borderId="0" xfId="0" applyFont="1"/>
    <xf numFmtId="0" fontId="6" fillId="0" borderId="0" xfId="0" applyFont="1" applyAlignment="1">
      <alignment vertical="top" wrapText="1"/>
    </xf>
    <xf numFmtId="41" fontId="4" fillId="0" borderId="0" xfId="0" applyNumberFormat="1" applyFont="1"/>
    <xf numFmtId="37" fontId="4" fillId="0" borderId="0" xfId="0" applyNumberFormat="1" applyFont="1" applyAlignment="1">
      <alignment wrapText="1"/>
    </xf>
    <xf numFmtId="0" fontId="8" fillId="3" borderId="4" xfId="0" applyFont="1" applyFill="1" applyBorder="1" applyAlignment="1">
      <alignment vertical="top" wrapText="1"/>
    </xf>
    <xf numFmtId="5" fontId="8" fillId="3" borderId="2" xfId="0" applyNumberFormat="1" applyFont="1" applyFill="1" applyBorder="1" applyAlignment="1">
      <alignment horizontal="right" vertical="top" wrapText="1"/>
    </xf>
    <xf numFmtId="0" fontId="10" fillId="0" borderId="0" xfId="0" applyFont="1" applyAlignment="1">
      <alignment horizontal="left" vertical="center" wrapText="1" indent="1"/>
    </xf>
    <xf numFmtId="166" fontId="10" fillId="0" borderId="0" xfId="1" applyNumberFormat="1" applyFont="1" applyBorder="1" applyAlignment="1">
      <alignment horizontal="right" vertical="center" wrapText="1"/>
    </xf>
    <xf numFmtId="9" fontId="6" fillId="0" borderId="0" xfId="1" applyFont="1" applyAlignment="1">
      <alignment horizontal="left" vertical="top" wrapText="1" indent="1"/>
    </xf>
    <xf numFmtId="9" fontId="11" fillId="0" borderId="0" xfId="1" applyFont="1" applyAlignment="1">
      <alignment horizontal="right" vertical="top" wrapText="1"/>
    </xf>
    <xf numFmtId="9" fontId="4" fillId="0" borderId="0" xfId="1" applyFont="1" applyAlignment="1">
      <alignment wrapText="1"/>
    </xf>
    <xf numFmtId="9" fontId="12" fillId="0" borderId="0" xfId="1" applyFont="1" applyAlignment="1">
      <alignment horizontal="right" vertical="top" wrapText="1"/>
    </xf>
    <xf numFmtId="9" fontId="4" fillId="0" borderId="0" xfId="1" applyFont="1"/>
    <xf numFmtId="0" fontId="6" fillId="0" borderId="0" xfId="0" quotePrefix="1" applyFont="1" applyAlignment="1">
      <alignment vertical="top" wrapText="1"/>
    </xf>
    <xf numFmtId="37" fontId="6" fillId="0" borderId="0" xfId="0" applyNumberFormat="1" applyFont="1" applyAlignment="1">
      <alignment horizontal="right" vertical="top" wrapText="1"/>
    </xf>
    <xf numFmtId="0" fontId="8" fillId="0" borderId="0" xfId="0" applyFont="1" applyAlignment="1">
      <alignment vertical="top" wrapText="1"/>
    </xf>
    <xf numFmtId="5" fontId="8" fillId="0" borderId="2" xfId="0" applyNumberFormat="1" applyFont="1" applyBorder="1" applyAlignment="1">
      <alignment horizontal="right" vertical="top" wrapText="1"/>
    </xf>
    <xf numFmtId="9" fontId="13" fillId="0" borderId="0" xfId="1" applyFont="1" applyBorder="1" applyAlignment="1">
      <alignment horizontal="right" vertical="center" wrapText="1"/>
    </xf>
    <xf numFmtId="0" fontId="14" fillId="0" borderId="0" xfId="0" applyFont="1" applyAlignment="1">
      <alignment wrapText="1"/>
    </xf>
    <xf numFmtId="0" fontId="7" fillId="0" borderId="0" xfId="0" applyFont="1" applyAlignment="1">
      <alignment horizontal="left" vertical="center" wrapText="1" indent="1"/>
    </xf>
    <xf numFmtId="9" fontId="6" fillId="0" borderId="0" xfId="1" applyFont="1" applyBorder="1" applyAlignment="1">
      <alignment horizontal="right" vertical="center" wrapText="1"/>
    </xf>
    <xf numFmtId="0" fontId="4" fillId="0" borderId="0" xfId="0" quotePrefix="1" applyFont="1"/>
    <xf numFmtId="41" fontId="6" fillId="0" borderId="0" xfId="0" applyNumberFormat="1" applyFont="1" applyAlignment="1">
      <alignment horizontal="right" vertical="top" wrapText="1"/>
    </xf>
    <xf numFmtId="0" fontId="2" fillId="2" borderId="0" xfId="0" applyFont="1" applyFill="1" applyAlignment="1">
      <alignment wrapText="1"/>
    </xf>
    <xf numFmtId="0" fontId="15" fillId="0" borderId="5" xfId="0" applyFont="1" applyBorder="1"/>
    <xf numFmtId="0" fontId="15" fillId="0" borderId="0" xfId="0" applyFont="1"/>
    <xf numFmtId="0" fontId="4" fillId="0" borderId="1" xfId="0" applyFont="1" applyBorder="1"/>
    <xf numFmtId="0" fontId="4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65" fontId="4" fillId="0" borderId="0" xfId="0" applyNumberFormat="1" applyFont="1" applyAlignment="1">
      <alignment wrapText="1"/>
    </xf>
    <xf numFmtId="37" fontId="8" fillId="0" borderId="0" xfId="0" applyNumberFormat="1" applyFont="1" applyAlignment="1">
      <alignment horizontal="right" vertical="top" wrapText="1"/>
    </xf>
    <xf numFmtId="165" fontId="15" fillId="0" borderId="0" xfId="0" applyNumberFormat="1" applyFont="1" applyAlignment="1">
      <alignment wrapText="1"/>
    </xf>
    <xf numFmtId="9" fontId="6" fillId="0" borderId="0" xfId="1" applyFont="1" applyFill="1" applyBorder="1" applyAlignment="1">
      <alignment horizontal="right" vertical="center" wrapText="1"/>
    </xf>
    <xf numFmtId="0" fontId="6" fillId="0" borderId="0" xfId="0" applyFont="1" applyAlignment="1">
      <alignment horizontal="left" vertical="top" wrapText="1"/>
    </xf>
    <xf numFmtId="10" fontId="16" fillId="0" borderId="0" xfId="1" applyNumberFormat="1" applyFont="1" applyFill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37" fontId="15" fillId="0" borderId="0" xfId="0" applyNumberFormat="1" applyFont="1" applyAlignment="1">
      <alignment wrapText="1"/>
    </xf>
    <xf numFmtId="37" fontId="8" fillId="0" borderId="0" xfId="0" applyNumberFormat="1" applyFont="1" applyAlignment="1">
      <alignment wrapText="1"/>
    </xf>
    <xf numFmtId="0" fontId="8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7" fillId="0" borderId="0" xfId="0" applyFont="1" applyAlignment="1">
      <alignment wrapText="1"/>
    </xf>
    <xf numFmtId="164" fontId="4" fillId="0" borderId="0" xfId="2" applyNumberFormat="1" applyFont="1" applyBorder="1" applyAlignment="1">
      <alignment wrapText="1"/>
    </xf>
    <xf numFmtId="0" fontId="4" fillId="0" borderId="0" xfId="0" applyFont="1" applyAlignment="1">
      <alignment horizontal="left" wrapText="1" indent="1"/>
    </xf>
    <xf numFmtId="37" fontId="11" fillId="0" borderId="0" xfId="2" applyNumberFormat="1" applyFont="1" applyBorder="1" applyAlignment="1">
      <alignment wrapText="1"/>
    </xf>
    <xf numFmtId="37" fontId="11" fillId="0" borderId="0" xfId="2" applyNumberFormat="1" applyFont="1" applyFill="1" applyBorder="1" applyAlignment="1">
      <alignment wrapText="1"/>
    </xf>
    <xf numFmtId="0" fontId="4" fillId="0" borderId="0" xfId="0" applyFont="1" applyAlignment="1">
      <alignment horizontal="left" indent="1"/>
    </xf>
    <xf numFmtId="37" fontId="8" fillId="0" borderId="0" xfId="2" applyNumberFormat="1" applyFont="1" applyBorder="1" applyAlignment="1">
      <alignment wrapText="1"/>
    </xf>
    <xf numFmtId="37" fontId="15" fillId="0" borderId="0" xfId="2" applyNumberFormat="1" applyFont="1" applyBorder="1" applyAlignment="1">
      <alignment wrapText="1"/>
    </xf>
    <xf numFmtId="37" fontId="15" fillId="0" borderId="0" xfId="2" applyNumberFormat="1" applyFont="1" applyFill="1" applyBorder="1" applyAlignment="1">
      <alignment wrapText="1"/>
    </xf>
    <xf numFmtId="37" fontId="18" fillId="0" borderId="0" xfId="2" applyNumberFormat="1" applyFont="1" applyFill="1" applyBorder="1" applyAlignment="1">
      <alignment wrapText="1"/>
    </xf>
    <xf numFmtId="0" fontId="20" fillId="0" borderId="0" xfId="0" applyFont="1" applyAlignment="1">
      <alignment vertical="top" wrapText="1"/>
    </xf>
    <xf numFmtId="0" fontId="21" fillId="0" borderId="0" xfId="0" applyFont="1" applyAlignment="1">
      <alignment vertical="top" wrapText="1"/>
    </xf>
    <xf numFmtId="43" fontId="21" fillId="0" borderId="0" xfId="0" applyNumberFormat="1" applyFont="1" applyAlignment="1">
      <alignment wrapText="1"/>
    </xf>
    <xf numFmtId="0" fontId="22" fillId="0" borderId="0" xfId="0" applyFont="1" applyAlignment="1">
      <alignment wrapText="1"/>
    </xf>
    <xf numFmtId="41" fontId="8" fillId="0" borderId="0" xfId="0" applyNumberFormat="1" applyFont="1" applyAlignment="1">
      <alignment horizontal="right" vertical="top" wrapText="1"/>
    </xf>
    <xf numFmtId="0" fontId="4" fillId="0" borderId="1" xfId="0" applyFont="1" applyBorder="1" applyAlignment="1">
      <alignment wrapText="1"/>
    </xf>
    <xf numFmtId="164" fontId="4" fillId="0" borderId="1" xfId="2" applyNumberFormat="1" applyFont="1" applyBorder="1" applyAlignment="1">
      <alignment wrapText="1"/>
    </xf>
    <xf numFmtId="166" fontId="7" fillId="4" borderId="0" xfId="1" applyNumberFormat="1" applyFont="1" applyFill="1" applyBorder="1" applyAlignment="1">
      <alignment horizontal="right" vertical="center" wrapText="1"/>
    </xf>
    <xf numFmtId="166" fontId="9" fillId="4" borderId="0" xfId="1" applyNumberFormat="1" applyFont="1" applyFill="1" applyBorder="1" applyAlignment="1">
      <alignment horizontal="right" vertical="center" wrapText="1"/>
    </xf>
    <xf numFmtId="168" fontId="9" fillId="4" borderId="0" xfId="1" applyNumberFormat="1" applyFont="1" applyFill="1" applyBorder="1" applyAlignment="1">
      <alignment horizontal="right" vertical="center" wrapText="1"/>
    </xf>
    <xf numFmtId="7" fontId="8" fillId="3" borderId="2" xfId="0" applyNumberFormat="1" applyFont="1" applyFill="1" applyBorder="1" applyAlignment="1">
      <alignment horizontal="right" vertical="top" wrapText="1"/>
    </xf>
    <xf numFmtId="0" fontId="8" fillId="0" borderId="5" xfId="0" applyFont="1" applyBorder="1" applyAlignment="1">
      <alignment vertical="top" wrapText="1"/>
    </xf>
    <xf numFmtId="41" fontId="24" fillId="0" borderId="0" xfId="0" applyNumberFormat="1" applyFont="1" applyAlignment="1">
      <alignment horizontal="right" vertical="center" wrapText="1"/>
    </xf>
    <xf numFmtId="0" fontId="15" fillId="0" borderId="0" xfId="0" applyFont="1" applyAlignment="1">
      <alignment horizontal="center"/>
    </xf>
    <xf numFmtId="41" fontId="11" fillId="0" borderId="0" xfId="0" applyNumberFormat="1" applyFont="1"/>
    <xf numFmtId="41" fontId="11" fillId="0" borderId="0" xfId="0" applyNumberFormat="1" applyFont="1" applyAlignment="1">
      <alignment horizontal="right" vertical="top" wrapText="1"/>
    </xf>
    <xf numFmtId="0" fontId="4" fillId="0" borderId="0" xfId="0" quotePrefix="1" applyFont="1" applyAlignment="1">
      <alignment horizontal="left" indent="1"/>
    </xf>
    <xf numFmtId="14" fontId="3" fillId="2" borderId="0" xfId="0" quotePrefix="1" applyNumberFormat="1" applyFont="1" applyFill="1" applyAlignment="1">
      <alignment horizontal="center" vertical="center" wrapText="1"/>
    </xf>
    <xf numFmtId="3" fontId="4" fillId="0" borderId="0" xfId="0" applyNumberFormat="1" applyFont="1" applyAlignment="1">
      <alignment wrapText="1"/>
    </xf>
    <xf numFmtId="41" fontId="25" fillId="0" borderId="0" xfId="0" applyNumberFormat="1" applyFont="1"/>
    <xf numFmtId="37" fontId="11" fillId="0" borderId="0" xfId="0" applyNumberFormat="1" applyFont="1" applyAlignment="1">
      <alignment horizontal="right" vertical="top" wrapText="1"/>
    </xf>
    <xf numFmtId="41" fontId="6" fillId="0" borderId="0" xfId="0" applyNumberFormat="1" applyFont="1" applyAlignment="1">
      <alignment horizontal="right" wrapText="1"/>
    </xf>
    <xf numFmtId="0" fontId="2" fillId="6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166" fontId="7" fillId="0" borderId="0" xfId="1" applyNumberFormat="1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centerContinuous" vertical="center" wrapText="1"/>
    </xf>
    <xf numFmtId="0" fontId="2" fillId="6" borderId="3" xfId="0" applyFont="1" applyFill="1" applyBorder="1" applyAlignment="1">
      <alignment horizontal="centerContinuous" vertical="center" wrapText="1"/>
    </xf>
    <xf numFmtId="0" fontId="4" fillId="6" borderId="0" xfId="0" applyFont="1" applyFill="1" applyAlignment="1">
      <alignment wrapText="1"/>
    </xf>
    <xf numFmtId="0" fontId="5" fillId="6" borderId="0" xfId="0" applyFont="1" applyFill="1" applyAlignment="1">
      <alignment horizontal="center" vertical="center" wrapText="1"/>
    </xf>
    <xf numFmtId="14" fontId="3" fillId="6" borderId="0" xfId="0" applyNumberFormat="1" applyFont="1" applyFill="1" applyAlignment="1">
      <alignment horizontal="center" vertical="center" wrapText="1"/>
    </xf>
    <xf numFmtId="0" fontId="2" fillId="7" borderId="0" xfId="0" applyFont="1" applyFill="1" applyAlignment="1">
      <alignment vertical="center" wrapText="1"/>
    </xf>
    <xf numFmtId="0" fontId="2" fillId="7" borderId="3" xfId="0" applyFont="1" applyFill="1" applyBorder="1" applyAlignment="1">
      <alignment horizontal="centerContinuous" vertical="center" wrapText="1"/>
    </xf>
    <xf numFmtId="0" fontId="4" fillId="7" borderId="0" xfId="0" applyFont="1" applyFill="1" applyAlignment="1">
      <alignment wrapText="1"/>
    </xf>
    <xf numFmtId="0" fontId="5" fillId="7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vertical="center" wrapText="1"/>
    </xf>
    <xf numFmtId="0" fontId="5" fillId="7" borderId="0" xfId="0" applyFont="1" applyFill="1" applyAlignment="1">
      <alignment vertical="center" wrapText="1"/>
    </xf>
    <xf numFmtId="14" fontId="3" fillId="7" borderId="0" xfId="0" applyNumberFormat="1" applyFont="1" applyFill="1" applyAlignment="1">
      <alignment horizontal="center" vertical="center" wrapText="1"/>
    </xf>
    <xf numFmtId="14" fontId="3" fillId="7" borderId="0" xfId="0" applyNumberFormat="1" applyFont="1" applyFill="1" applyAlignment="1">
      <alignment vertical="center" wrapText="1"/>
    </xf>
    <xf numFmtId="166" fontId="10" fillId="8" borderId="0" xfId="1" applyNumberFormat="1" applyFont="1" applyFill="1" applyBorder="1" applyAlignment="1">
      <alignment horizontal="right" vertical="center" wrapText="1"/>
    </xf>
    <xf numFmtId="0" fontId="21" fillId="0" borderId="1" xfId="0" applyFont="1" applyBorder="1" applyAlignment="1">
      <alignment vertical="top" wrapText="1"/>
    </xf>
    <xf numFmtId="43" fontId="21" fillId="0" borderId="1" xfId="0" applyNumberFormat="1" applyFont="1" applyBorder="1" applyAlignment="1">
      <alignment wrapText="1"/>
    </xf>
    <xf numFmtId="0" fontId="22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41" fontId="11" fillId="0" borderId="0" xfId="0" applyNumberFormat="1" applyFont="1" applyAlignment="1">
      <alignment horizontal="right" wrapText="1"/>
    </xf>
    <xf numFmtId="41" fontId="6" fillId="0" borderId="0" xfId="0" applyNumberFormat="1" applyFont="1"/>
    <xf numFmtId="0" fontId="14" fillId="3" borderId="0" xfId="0" applyFont="1" applyFill="1"/>
    <xf numFmtId="166" fontId="10" fillId="3" borderId="0" xfId="1" applyNumberFormat="1" applyFont="1" applyFill="1" applyBorder="1" applyAlignment="1">
      <alignment horizontal="right" vertical="center" wrapText="1"/>
    </xf>
    <xf numFmtId="166" fontId="27" fillId="3" borderId="0" xfId="1" applyNumberFormat="1" applyFont="1" applyFill="1" applyBorder="1" applyAlignment="1">
      <alignment horizontal="right" vertical="center" wrapText="1"/>
    </xf>
    <xf numFmtId="167" fontId="27" fillId="3" borderId="0" xfId="1" applyNumberFormat="1" applyFont="1" applyFill="1" applyBorder="1" applyAlignment="1">
      <alignment horizontal="right" vertical="center" wrapText="1"/>
    </xf>
    <xf numFmtId="0" fontId="14" fillId="0" borderId="0" xfId="0" applyFont="1"/>
    <xf numFmtId="0" fontId="15" fillId="0" borderId="5" xfId="0" applyFont="1" applyBorder="1" applyAlignment="1">
      <alignment wrapText="1"/>
    </xf>
    <xf numFmtId="5" fontId="8" fillId="5" borderId="2" xfId="0" applyNumberFormat="1" applyFont="1" applyFill="1" applyBorder="1" applyAlignment="1">
      <alignment horizontal="right" vertical="top" wrapText="1"/>
    </xf>
    <xf numFmtId="0" fontId="29" fillId="0" borderId="0" xfId="0" applyFont="1" applyAlignment="1">
      <alignment horizontal="right" vertical="center" wrapText="1"/>
    </xf>
    <xf numFmtId="0" fontId="23" fillId="9" borderId="6" xfId="0" applyFont="1" applyFill="1" applyBorder="1"/>
    <xf numFmtId="9" fontId="30" fillId="0" borderId="2" xfId="1" applyFont="1" applyBorder="1"/>
    <xf numFmtId="9" fontId="10" fillId="0" borderId="2" xfId="1" applyFont="1" applyBorder="1"/>
    <xf numFmtId="9" fontId="10" fillId="0" borderId="7" xfId="1" applyFont="1" applyBorder="1"/>
    <xf numFmtId="0" fontId="23" fillId="9" borderId="8" xfId="0" applyFont="1" applyFill="1" applyBorder="1"/>
    <xf numFmtId="9" fontId="30" fillId="0" borderId="0" xfId="1" applyFont="1" applyBorder="1"/>
    <xf numFmtId="9" fontId="10" fillId="0" borderId="0" xfId="1" applyFont="1" applyBorder="1"/>
    <xf numFmtId="9" fontId="10" fillId="0" borderId="9" xfId="1" applyFont="1" applyBorder="1"/>
    <xf numFmtId="0" fontId="23" fillId="9" borderId="10" xfId="0" applyFont="1" applyFill="1" applyBorder="1"/>
    <xf numFmtId="9" fontId="30" fillId="0" borderId="5" xfId="1" applyFont="1" applyBorder="1"/>
    <xf numFmtId="9" fontId="10" fillId="0" borderId="5" xfId="1" applyFont="1" applyBorder="1"/>
    <xf numFmtId="9" fontId="10" fillId="0" borderId="11" xfId="1" applyFont="1" applyBorder="1"/>
    <xf numFmtId="9" fontId="10" fillId="0" borderId="2" xfId="1" applyFont="1" applyBorder="1" applyAlignment="1">
      <alignment horizontal="right"/>
    </xf>
    <xf numFmtId="9" fontId="10" fillId="0" borderId="5" xfId="1" applyFont="1" applyBorder="1" applyAlignment="1">
      <alignment horizontal="right"/>
    </xf>
    <xf numFmtId="9" fontId="10" fillId="0" borderId="0" xfId="1" applyFont="1" applyBorder="1" applyAlignment="1">
      <alignment horizontal="right"/>
    </xf>
    <xf numFmtId="0" fontId="4" fillId="0" borderId="0" xfId="0" quotePrefix="1" applyFont="1" applyAlignment="1">
      <alignment wrapText="1"/>
    </xf>
    <xf numFmtId="41" fontId="4" fillId="0" borderId="0" xfId="0" applyNumberFormat="1" applyFont="1" applyAlignment="1">
      <alignment vertical="center"/>
    </xf>
    <xf numFmtId="41" fontId="25" fillId="0" borderId="0" xfId="0" applyNumberFormat="1" applyFont="1" applyAlignment="1">
      <alignment vertical="center"/>
    </xf>
    <xf numFmtId="41" fontId="6" fillId="0" borderId="0" xfId="0" applyNumberFormat="1" applyFont="1" applyAlignment="1">
      <alignment horizontal="right" vertical="center" wrapText="1"/>
    </xf>
    <xf numFmtId="169" fontId="4" fillId="0" borderId="0" xfId="0" applyNumberFormat="1" applyFont="1"/>
    <xf numFmtId="169" fontId="4" fillId="8" borderId="0" xfId="0" applyNumberFormat="1" applyFont="1" applyFill="1"/>
    <xf numFmtId="0" fontId="2" fillId="2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28" fillId="2" borderId="0" xfId="0" applyFont="1" applyFill="1" applyAlignment="1">
      <alignment horizontal="center" vertical="center" wrapText="1"/>
    </xf>
    <xf numFmtId="41" fontId="6" fillId="0" borderId="0" xfId="0" applyNumberFormat="1" applyFont="1" applyBorder="1" applyAlignment="1">
      <alignment horizontal="right" vertical="top" wrapText="1"/>
    </xf>
    <xf numFmtId="41" fontId="11" fillId="0" borderId="0" xfId="0" applyNumberFormat="1" applyFont="1" applyBorder="1" applyAlignment="1">
      <alignment horizontal="right" vertical="top" wrapText="1"/>
    </xf>
    <xf numFmtId="0" fontId="4" fillId="0" borderId="0" xfId="0" applyFont="1" applyBorder="1" applyAlignment="1">
      <alignment wrapText="1"/>
    </xf>
    <xf numFmtId="37" fontId="4" fillId="0" borderId="0" xfId="0" applyNumberFormat="1" applyFont="1" applyBorder="1" applyAlignment="1">
      <alignment wrapText="1"/>
    </xf>
    <xf numFmtId="43" fontId="21" fillId="0" borderId="12" xfId="0" applyNumberFormat="1" applyFont="1" applyBorder="1" applyAlignment="1">
      <alignment wrapText="1"/>
    </xf>
    <xf numFmtId="41" fontId="6" fillId="0" borderId="12" xfId="0" applyNumberFormat="1" applyFont="1" applyBorder="1" applyAlignment="1">
      <alignment horizontal="right" vertical="top" wrapText="1"/>
    </xf>
    <xf numFmtId="41" fontId="6" fillId="0" borderId="13" xfId="0" applyNumberFormat="1" applyFont="1" applyBorder="1" applyAlignment="1">
      <alignment horizontal="right" vertical="top" wrapText="1"/>
    </xf>
    <xf numFmtId="5" fontId="8" fillId="5" borderId="14" xfId="0" applyNumberFormat="1" applyFont="1" applyFill="1" applyBorder="1" applyAlignment="1">
      <alignment horizontal="right" vertical="top" wrapText="1"/>
    </xf>
    <xf numFmtId="37" fontId="4" fillId="0" borderId="13" xfId="0" applyNumberFormat="1" applyFont="1" applyBorder="1" applyAlignment="1">
      <alignment wrapText="1"/>
    </xf>
    <xf numFmtId="43" fontId="21" fillId="0" borderId="15" xfId="0" applyNumberFormat="1" applyFont="1" applyBorder="1" applyAlignment="1">
      <alignment wrapText="1"/>
    </xf>
    <xf numFmtId="41" fontId="8" fillId="0" borderId="16" xfId="0" applyNumberFormat="1" applyFont="1" applyBorder="1" applyAlignment="1">
      <alignment horizontal="right" vertical="top" wrapText="1"/>
    </xf>
    <xf numFmtId="41" fontId="7" fillId="0" borderId="17" xfId="0" applyNumberFormat="1" applyFont="1" applyBorder="1" applyAlignment="1">
      <alignment horizontal="right" vertical="top" wrapText="1"/>
    </xf>
    <xf numFmtId="0" fontId="8" fillId="5" borderId="17" xfId="0" applyFont="1" applyFill="1" applyBorder="1" applyAlignment="1">
      <alignment horizontal="right" vertical="center" wrapText="1"/>
    </xf>
    <xf numFmtId="41" fontId="8" fillId="0" borderId="17" xfId="0" applyNumberFormat="1" applyFont="1" applyBorder="1" applyAlignment="1">
      <alignment horizontal="right" vertical="top" wrapText="1"/>
    </xf>
    <xf numFmtId="0" fontId="4" fillId="0" borderId="17" xfId="0" applyFont="1" applyBorder="1"/>
    <xf numFmtId="0" fontId="21" fillId="0" borderId="18" xfId="0" applyFont="1" applyBorder="1" applyAlignment="1">
      <alignment horizontal="right" vertical="top" wrapText="1"/>
    </xf>
    <xf numFmtId="41" fontId="6" fillId="0" borderId="19" xfId="0" applyNumberFormat="1" applyFont="1" applyBorder="1" applyAlignment="1">
      <alignment horizontal="right" vertical="top" wrapText="1"/>
    </xf>
    <xf numFmtId="41" fontId="6" fillId="0" borderId="20" xfId="0" applyNumberFormat="1" applyFont="1" applyBorder="1" applyAlignment="1">
      <alignment horizontal="right" vertical="top" wrapText="1"/>
    </xf>
    <xf numFmtId="164" fontId="21" fillId="0" borderId="12" xfId="0" applyNumberFormat="1" applyFont="1" applyBorder="1" applyAlignment="1">
      <alignment wrapText="1"/>
    </xf>
    <xf numFmtId="164" fontId="8" fillId="3" borderId="2" xfId="2" applyNumberFormat="1" applyFont="1" applyFill="1" applyBorder="1" applyAlignment="1">
      <alignment horizontal="right" vertical="top" wrapText="1"/>
    </xf>
    <xf numFmtId="9" fontId="30" fillId="0" borderId="22" xfId="1" applyFont="1" applyBorder="1"/>
    <xf numFmtId="174" fontId="30" fillId="0" borderId="22" xfId="1" applyNumberFormat="1" applyFont="1" applyBorder="1" applyAlignment="1">
      <alignment horizontal="right"/>
    </xf>
    <xf numFmtId="174" fontId="10" fillId="0" borderId="22" xfId="1" applyNumberFormat="1" applyFont="1" applyBorder="1"/>
    <xf numFmtId="174" fontId="10" fillId="0" borderId="23" xfId="1" applyNumberFormat="1" applyFont="1" applyBorder="1"/>
    <xf numFmtId="0" fontId="23" fillId="9" borderId="21" xfId="0" applyFont="1" applyFill="1" applyBorder="1" applyAlignment="1">
      <alignment vertical="center"/>
    </xf>
    <xf numFmtId="0" fontId="4" fillId="0" borderId="0" xfId="0" applyFont="1" applyFill="1"/>
    <xf numFmtId="0" fontId="8" fillId="0" borderId="0" xfId="0" applyFont="1" applyFill="1" applyBorder="1" applyAlignment="1">
      <alignment vertical="top" wrapText="1"/>
    </xf>
    <xf numFmtId="5" fontId="8" fillId="0" borderId="0" xfId="0" applyNumberFormat="1" applyFont="1" applyFill="1" applyBorder="1" applyAlignment="1">
      <alignment horizontal="right" vertical="top" wrapText="1"/>
    </xf>
    <xf numFmtId="37" fontId="4" fillId="0" borderId="0" xfId="0" applyNumberFormat="1" applyFont="1" applyFill="1" applyAlignment="1">
      <alignment wrapText="1"/>
    </xf>
    <xf numFmtId="0" fontId="4" fillId="0" borderId="0" xfId="0" applyFont="1" applyFill="1" applyAlignment="1">
      <alignment wrapText="1"/>
    </xf>
    <xf numFmtId="41" fontId="11" fillId="0" borderId="0" xfId="0" applyNumberFormat="1" applyFont="1" applyAlignment="1">
      <alignment vertical="center"/>
    </xf>
  </cellXfs>
  <cellStyles count="5">
    <cellStyle name="%" xfId="3" xr:uid="{B2D0E839-0EB6-4A26-A036-4291FCE77A81}"/>
    <cellStyle name="******************************************" xfId="4" xr:uid="{7C8B12D3-B631-462E-992D-9CE2477EE747}"/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CC"/>
      <color rgb="FF00B03C"/>
      <color rgb="FF487B79"/>
      <color rgb="FF0E56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7A1EF-DD86-43F0-AF53-6181CD7220DC}">
  <sheetPr>
    <tabColor rgb="FF002060"/>
  </sheetPr>
  <dimension ref="A2:AG156"/>
  <sheetViews>
    <sheetView showGridLines="0" tabSelected="1" zoomScaleNormal="100" workbookViewId="0">
      <selection activeCell="B2" sqref="B2"/>
    </sheetView>
  </sheetViews>
  <sheetFormatPr defaultRowHeight="12" outlineLevelCol="1"/>
  <cols>
    <col min="1" max="1" width="1.625" style="5" bestFit="1" customWidth="1"/>
    <col min="2" max="2" width="49.125" style="5" bestFit="1" customWidth="1"/>
    <col min="3" max="3" width="9.125" style="5" customWidth="1" outlineLevel="1"/>
    <col min="4" max="6" width="9.125" style="5" bestFit="1" customWidth="1"/>
    <col min="7" max="7" width="1.5" style="5" customWidth="1"/>
    <col min="8" max="9" width="7.875" style="5" customWidth="1" outlineLevel="1"/>
    <col min="10" max="11" width="8.625" style="5" customWidth="1" outlineLevel="1"/>
    <col min="12" max="13" width="7.875" style="5" customWidth="1" outlineLevel="1"/>
    <col min="14" max="14" width="8.625" style="5" bestFit="1" customWidth="1"/>
    <col min="15" max="15" width="8.625" style="5" customWidth="1"/>
    <col min="16" max="20" width="8" style="5" customWidth="1"/>
    <col min="21" max="21" width="1.5" style="5" customWidth="1"/>
    <col min="22" max="22" width="8" style="5" customWidth="1" outlineLevel="1"/>
    <col min="23" max="23" width="8.625" style="5" bestFit="1" customWidth="1" outlineLevel="1"/>
    <col min="24" max="24" width="8" style="5" customWidth="1" outlineLevel="1"/>
    <col min="25" max="25" width="8.625" style="5" customWidth="1" outlineLevel="1"/>
    <col min="26" max="26" width="8.25" style="5" customWidth="1" outlineLevel="1"/>
    <col min="27" max="27" width="8.25" style="5" bestFit="1" customWidth="1"/>
    <col min="28" max="28" width="8.25" style="5" customWidth="1" outlineLevel="1"/>
    <col min="29" max="29" width="8.625" style="5" customWidth="1" outlineLevel="1"/>
    <col min="30" max="30" width="8.25" style="5" customWidth="1" outlineLevel="1"/>
    <col min="31" max="31" width="8.625" style="5" bestFit="1" customWidth="1"/>
    <col min="32" max="32" width="1.25" style="5" customWidth="1"/>
    <col min="33" max="33" width="10.5" style="5" bestFit="1" customWidth="1"/>
    <col min="34" max="34" width="1.375" style="5" customWidth="1"/>
    <col min="35" max="16384" width="9" style="5"/>
  </cols>
  <sheetData>
    <row r="2" spans="1:33" ht="12.75" customHeight="1">
      <c r="B2" s="1" t="s">
        <v>109</v>
      </c>
      <c r="C2" s="85"/>
      <c r="D2" s="85"/>
      <c r="E2" s="85"/>
      <c r="F2" s="85"/>
      <c r="G2" s="3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3"/>
      <c r="V2" s="85"/>
      <c r="W2" s="85"/>
      <c r="X2" s="85"/>
      <c r="Y2" s="85"/>
      <c r="Z2" s="85"/>
      <c r="AA2" s="85"/>
      <c r="AB2" s="85"/>
      <c r="AC2" s="85"/>
      <c r="AD2" s="85"/>
      <c r="AE2" s="85"/>
      <c r="AF2" s="3"/>
      <c r="AG2" s="1"/>
    </row>
    <row r="3" spans="1:33" ht="12.75" customHeight="1">
      <c r="B3" s="6" t="s">
        <v>75</v>
      </c>
      <c r="C3" s="7"/>
      <c r="D3" s="7"/>
      <c r="E3" s="7"/>
      <c r="F3" s="7"/>
      <c r="G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3"/>
      <c r="V3" s="4"/>
      <c r="W3" s="4"/>
      <c r="X3" s="4"/>
      <c r="Y3" s="4"/>
      <c r="Z3" s="4"/>
      <c r="AA3" s="4"/>
      <c r="AB3" s="4"/>
      <c r="AC3" s="4"/>
      <c r="AD3" s="4"/>
      <c r="AE3" s="4"/>
      <c r="AF3" s="3"/>
      <c r="AG3" s="1"/>
    </row>
    <row r="4" spans="1:33" ht="12.75" customHeight="1">
      <c r="B4" s="6" t="s">
        <v>93</v>
      </c>
      <c r="C4" s="3"/>
      <c r="D4" s="77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1"/>
    </row>
    <row r="6" spans="1:33" ht="12.75" customHeight="1">
      <c r="A6" s="5" t="s">
        <v>18</v>
      </c>
      <c r="B6" s="1" t="s">
        <v>73</v>
      </c>
      <c r="C6" s="2"/>
      <c r="D6" s="2" t="s">
        <v>0</v>
      </c>
      <c r="E6" s="2"/>
      <c r="F6" s="2"/>
      <c r="G6" s="3"/>
      <c r="H6" s="2" t="s">
        <v>1</v>
      </c>
      <c r="I6" s="2"/>
      <c r="J6" s="2"/>
      <c r="K6" s="2"/>
      <c r="L6" s="2"/>
      <c r="M6" s="2"/>
      <c r="N6" s="2" t="s">
        <v>1</v>
      </c>
      <c r="O6" s="2"/>
      <c r="P6" s="2"/>
      <c r="Q6" s="2"/>
      <c r="R6" s="2"/>
      <c r="S6" s="2"/>
      <c r="T6" s="2"/>
      <c r="U6" s="3"/>
      <c r="V6" s="2"/>
      <c r="W6" s="2"/>
      <c r="X6" s="2"/>
      <c r="Y6" s="2"/>
      <c r="Z6" s="2"/>
      <c r="AA6" s="2" t="s">
        <v>10</v>
      </c>
      <c r="AB6" s="2"/>
      <c r="AC6" s="2"/>
      <c r="AD6" s="2"/>
      <c r="AE6" s="2"/>
      <c r="AF6" s="35"/>
      <c r="AG6" s="135" t="s">
        <v>22</v>
      </c>
    </row>
    <row r="7" spans="1:33" ht="12.75" customHeight="1">
      <c r="B7" s="6" t="s">
        <v>76</v>
      </c>
      <c r="C7" s="7">
        <v>2022</v>
      </c>
      <c r="D7" s="7">
        <v>2023</v>
      </c>
      <c r="E7" s="7">
        <v>2024</v>
      </c>
      <c r="F7" s="7">
        <v>2025</v>
      </c>
      <c r="G7" s="3"/>
      <c r="H7" s="4" t="s">
        <v>6</v>
      </c>
      <c r="I7" s="4" t="s">
        <v>7</v>
      </c>
      <c r="J7" s="4" t="s">
        <v>8</v>
      </c>
      <c r="K7" s="4" t="s">
        <v>9</v>
      </c>
      <c r="L7" s="4" t="s">
        <v>2</v>
      </c>
      <c r="M7" s="4" t="s">
        <v>3</v>
      </c>
      <c r="N7" s="4" t="s">
        <v>4</v>
      </c>
      <c r="O7" s="4" t="s">
        <v>5</v>
      </c>
      <c r="P7" s="4" t="s">
        <v>24</v>
      </c>
      <c r="Q7" s="4" t="s">
        <v>25</v>
      </c>
      <c r="R7" s="4" t="s">
        <v>103</v>
      </c>
      <c r="S7" s="4" t="s">
        <v>104</v>
      </c>
      <c r="T7" s="4" t="s">
        <v>105</v>
      </c>
      <c r="U7" s="4"/>
      <c r="V7" s="4" t="str">
        <f>K7</f>
        <v>4Q23</v>
      </c>
      <c r="W7" s="4" t="str">
        <f>L7</f>
        <v>1Q24</v>
      </c>
      <c r="X7" s="4" t="str">
        <f>M7</f>
        <v>2Q24</v>
      </c>
      <c r="Y7" s="4" t="str">
        <f>N7</f>
        <v>3Q24</v>
      </c>
      <c r="Z7" s="4" t="str">
        <f>O7</f>
        <v>4Q24</v>
      </c>
      <c r="AA7" s="4" t="str">
        <f>P7</f>
        <v>1Q25</v>
      </c>
      <c r="AB7" s="4" t="str">
        <f>Q7</f>
        <v>2Q25</v>
      </c>
      <c r="AC7" s="4" t="str">
        <f>R7</f>
        <v>3Q25</v>
      </c>
      <c r="AD7" s="4" t="str">
        <f>S7</f>
        <v>4Q25</v>
      </c>
      <c r="AE7" s="4" t="str">
        <f>T7</f>
        <v>1Q26</v>
      </c>
      <c r="AF7" s="35"/>
      <c r="AG7" s="135"/>
    </row>
    <row r="8" spans="1:33" ht="12.75" customHeight="1">
      <c r="B8" s="6" t="s">
        <v>77</v>
      </c>
      <c r="C8" s="3">
        <v>44713</v>
      </c>
      <c r="D8" s="3">
        <v>45078</v>
      </c>
      <c r="E8" s="3">
        <v>45444</v>
      </c>
      <c r="F8" s="3">
        <v>45809</v>
      </c>
      <c r="G8" s="3"/>
      <c r="H8" s="3">
        <v>44805</v>
      </c>
      <c r="I8" s="3">
        <v>44896</v>
      </c>
      <c r="J8" s="3">
        <v>44986</v>
      </c>
      <c r="K8" s="3">
        <f>D8</f>
        <v>45078</v>
      </c>
      <c r="L8" s="3">
        <v>45170</v>
      </c>
      <c r="M8" s="3">
        <v>45261</v>
      </c>
      <c r="N8" s="3">
        <v>45352</v>
      </c>
      <c r="O8" s="3">
        <f>E8</f>
        <v>45444</v>
      </c>
      <c r="P8" s="3">
        <v>45536</v>
      </c>
      <c r="Q8" s="3">
        <v>45627</v>
      </c>
      <c r="R8" s="3">
        <v>45717</v>
      </c>
      <c r="S8" s="3">
        <f>F8</f>
        <v>45809</v>
      </c>
      <c r="T8" s="3">
        <v>45901</v>
      </c>
      <c r="U8" s="3"/>
      <c r="V8" s="3">
        <f>K8</f>
        <v>45078</v>
      </c>
      <c r="W8" s="3">
        <f>L8</f>
        <v>45170</v>
      </c>
      <c r="X8" s="3">
        <f>M8</f>
        <v>45261</v>
      </c>
      <c r="Y8" s="3">
        <f>N8</f>
        <v>45352</v>
      </c>
      <c r="Z8" s="3">
        <f>O8</f>
        <v>45444</v>
      </c>
      <c r="AA8" s="3">
        <f>P8</f>
        <v>45536</v>
      </c>
      <c r="AB8" s="3">
        <f>Q8</f>
        <v>45627</v>
      </c>
      <c r="AC8" s="3">
        <f>R8</f>
        <v>45717</v>
      </c>
      <c r="AD8" s="3">
        <f>S8</f>
        <v>45809</v>
      </c>
      <c r="AE8" s="3">
        <f>T8</f>
        <v>45901</v>
      </c>
      <c r="AF8" s="35"/>
      <c r="AG8" s="135"/>
    </row>
    <row r="9" spans="1:33" ht="5.0999999999999996" customHeight="1">
      <c r="AG9" s="84"/>
    </row>
    <row r="10" spans="1:33" ht="12.75" customHeight="1">
      <c r="B10" s="9" t="s">
        <v>57</v>
      </c>
      <c r="C10" s="80">
        <v>1349.2919999999999</v>
      </c>
      <c r="D10" s="80">
        <v>1587.9850000000001</v>
      </c>
      <c r="E10" s="80">
        <v>2322.9989999999998</v>
      </c>
      <c r="F10" s="80">
        <v>3224.4100000000003</v>
      </c>
      <c r="G10" s="11"/>
      <c r="H10" s="80">
        <v>361.62400000000002</v>
      </c>
      <c r="I10" s="80">
        <v>399.55799999999999</v>
      </c>
      <c r="J10" s="80">
        <v>380.97800000000001</v>
      </c>
      <c r="K10" s="30">
        <f>SUM(D10-SUM(H10:J10))</f>
        <v>445.82500000000005</v>
      </c>
      <c r="L10" s="80">
        <v>496.54699999999997</v>
      </c>
      <c r="M10" s="80">
        <v>591.11</v>
      </c>
      <c r="N10" s="80">
        <v>576.15700000000004</v>
      </c>
      <c r="O10" s="30">
        <f>SUM(E10-SUM(L10:N10))</f>
        <v>659.18499999999995</v>
      </c>
      <c r="P10" s="80">
        <v>698.47900000000004</v>
      </c>
      <c r="Q10" s="80">
        <v>866.38100000000009</v>
      </c>
      <c r="R10" s="80">
        <v>783.13400000000001</v>
      </c>
      <c r="S10" s="30">
        <f>SUM(F10-SUM(P10:R10))</f>
        <v>876.41600000000017</v>
      </c>
      <c r="T10" s="80">
        <v>933.33699999999988</v>
      </c>
      <c r="U10" s="30"/>
      <c r="V10" s="30">
        <f t="shared" ref="V10:AD10" si="0">SUM(H10:K10)</f>
        <v>1587.9850000000001</v>
      </c>
      <c r="W10" s="30">
        <f t="shared" si="0"/>
        <v>1722.9080000000001</v>
      </c>
      <c r="X10" s="30">
        <f t="shared" si="0"/>
        <v>1914.46</v>
      </c>
      <c r="Y10" s="30">
        <f t="shared" si="0"/>
        <v>2109.6390000000001</v>
      </c>
      <c r="Z10" s="30">
        <f t="shared" si="0"/>
        <v>2322.9989999999998</v>
      </c>
      <c r="AA10" s="30">
        <f t="shared" si="0"/>
        <v>2524.931</v>
      </c>
      <c r="AB10" s="30">
        <f t="shared" si="0"/>
        <v>2800.2020000000002</v>
      </c>
      <c r="AC10" s="30">
        <f t="shared" si="0"/>
        <v>3007.1790000000001</v>
      </c>
      <c r="AD10" s="30">
        <f t="shared" si="0"/>
        <v>3224.4100000000003</v>
      </c>
      <c r="AE10" s="30">
        <f>SUM(Q10:T10)</f>
        <v>3459.2680000000005</v>
      </c>
      <c r="AF10" s="37"/>
      <c r="AG10" s="67">
        <f>SUM(AE10/AA10)-1</f>
        <v>0.37004456755451942</v>
      </c>
    </row>
    <row r="11" spans="1:33" ht="12.75" customHeight="1">
      <c r="B11" s="12" t="s">
        <v>12</v>
      </c>
      <c r="C11" s="13">
        <f t="shared" ref="C11:E11" si="1">+SUM(C10:C10)</f>
        <v>1349.2919999999999</v>
      </c>
      <c r="D11" s="13">
        <f t="shared" si="1"/>
        <v>1587.9850000000001</v>
      </c>
      <c r="E11" s="13">
        <f t="shared" si="1"/>
        <v>2322.9989999999998</v>
      </c>
      <c r="F11" s="13">
        <f t="shared" ref="F11" si="2">+SUM(F10:F10)</f>
        <v>3224.4100000000003</v>
      </c>
      <c r="G11" s="11"/>
      <c r="H11" s="13">
        <f t="shared" ref="H11:Q11" si="3">+SUM(H10:H10)</f>
        <v>361.62400000000002</v>
      </c>
      <c r="I11" s="13">
        <f t="shared" si="3"/>
        <v>399.55799999999999</v>
      </c>
      <c r="J11" s="13">
        <f t="shared" si="3"/>
        <v>380.97800000000001</v>
      </c>
      <c r="K11" s="13">
        <f t="shared" si="3"/>
        <v>445.82500000000005</v>
      </c>
      <c r="L11" s="13">
        <f t="shared" si="3"/>
        <v>496.54699999999997</v>
      </c>
      <c r="M11" s="13">
        <f t="shared" si="3"/>
        <v>591.11</v>
      </c>
      <c r="N11" s="13">
        <f t="shared" si="3"/>
        <v>576.15700000000004</v>
      </c>
      <c r="O11" s="13">
        <f t="shared" si="3"/>
        <v>659.18499999999995</v>
      </c>
      <c r="P11" s="13">
        <f t="shared" si="3"/>
        <v>698.47900000000004</v>
      </c>
      <c r="Q11" s="13">
        <f t="shared" si="3"/>
        <v>866.38100000000009</v>
      </c>
      <c r="R11" s="13">
        <f t="shared" ref="R11:S11" si="4">+SUM(R10:R10)</f>
        <v>783.13400000000001</v>
      </c>
      <c r="S11" s="13">
        <f t="shared" si="4"/>
        <v>876.41600000000017</v>
      </c>
      <c r="T11" s="13">
        <f t="shared" ref="T11" si="5">+SUM(T10:T10)</f>
        <v>933.33699999999988</v>
      </c>
      <c r="V11" s="13">
        <f t="shared" ref="V11:AE11" si="6">+SUM(V10:V10)</f>
        <v>1587.9850000000001</v>
      </c>
      <c r="W11" s="13">
        <f t="shared" si="6"/>
        <v>1722.9080000000001</v>
      </c>
      <c r="X11" s="13">
        <f t="shared" si="6"/>
        <v>1914.46</v>
      </c>
      <c r="Y11" s="13">
        <f t="shared" si="6"/>
        <v>2109.6390000000001</v>
      </c>
      <c r="Z11" s="13">
        <f t="shared" si="6"/>
        <v>2322.9989999999998</v>
      </c>
      <c r="AA11" s="13">
        <f t="shared" si="6"/>
        <v>2524.931</v>
      </c>
      <c r="AB11" s="13">
        <f t="shared" si="6"/>
        <v>2800.2020000000002</v>
      </c>
      <c r="AC11" s="13">
        <f t="shared" si="6"/>
        <v>3007.1790000000001</v>
      </c>
      <c r="AD11" s="13">
        <f t="shared" si="6"/>
        <v>3224.4100000000003</v>
      </c>
      <c r="AE11" s="13">
        <f t="shared" si="6"/>
        <v>3459.2680000000005</v>
      </c>
      <c r="AF11" s="37"/>
      <c r="AG11" s="68">
        <f t="shared" ref="AG11:AG32" si="7">SUM(AE11/AA11)-1</f>
        <v>0.37004456755451942</v>
      </c>
    </row>
    <row r="12" spans="1:33" s="18" customFormat="1" ht="5.0999999999999996" customHeight="1">
      <c r="B12" s="16"/>
      <c r="C12" s="17"/>
      <c r="D12" s="17"/>
      <c r="E12" s="17"/>
      <c r="F12" s="17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AG12" s="67"/>
    </row>
    <row r="13" spans="1:33" ht="12.75" customHeight="1">
      <c r="B13" s="9" t="s">
        <v>110</v>
      </c>
      <c r="C13" s="80">
        <v>-204.08099999999999</v>
      </c>
      <c r="D13" s="80">
        <v>-140.26499999999999</v>
      </c>
      <c r="E13" s="80">
        <v>-180.39500000000001</v>
      </c>
      <c r="F13" s="80">
        <v>-242.26400000000001</v>
      </c>
      <c r="G13" s="22"/>
      <c r="H13" s="75">
        <v>-35.61</v>
      </c>
      <c r="I13" s="75">
        <v>-38.421999999999997</v>
      </c>
      <c r="J13" s="75">
        <v>-31.224</v>
      </c>
      <c r="K13" s="30">
        <f>SUM(D13-SUM(H13:J13))</f>
        <v>-35.008999999999986</v>
      </c>
      <c r="L13" s="75">
        <v>-34.866</v>
      </c>
      <c r="M13" s="75">
        <v>-53.63</v>
      </c>
      <c r="N13" s="75">
        <v>-44.143000000000001</v>
      </c>
      <c r="O13" s="30">
        <f>SUM(E13-SUM(L13:N13))</f>
        <v>-47.756</v>
      </c>
      <c r="P13" s="75">
        <v>-54.237000000000002</v>
      </c>
      <c r="Q13" s="75">
        <v>-70.278000000000006</v>
      </c>
      <c r="R13" s="75">
        <v>-57.29</v>
      </c>
      <c r="S13" s="30">
        <f>SUM(F13-SUM(P13:R13))</f>
        <v>-60.459000000000003</v>
      </c>
      <c r="T13" s="75">
        <v>-71.552000000000007</v>
      </c>
      <c r="V13" s="30">
        <f t="shared" ref="V13" si="8">SUM(H13:K13)</f>
        <v>-140.26499999999999</v>
      </c>
      <c r="W13" s="30">
        <f t="shared" ref="W13" si="9">SUM(I13:L13)</f>
        <v>-139.52099999999999</v>
      </c>
      <c r="X13" s="30">
        <f t="shared" ref="X13" si="10">SUM(J13:M13)</f>
        <v>-154.72899999999998</v>
      </c>
      <c r="Y13" s="30">
        <f t="shared" ref="Y13" si="11">SUM(K13:N13)</f>
        <v>-167.648</v>
      </c>
      <c r="Z13" s="30">
        <f t="shared" ref="Z13" si="12">SUM(L13:O13)</f>
        <v>-180.39500000000001</v>
      </c>
      <c r="AA13" s="30">
        <f t="shared" ref="AA13" si="13">SUM(M13:P13)</f>
        <v>-199.76599999999999</v>
      </c>
      <c r="AB13" s="30">
        <f t="shared" ref="AB13" si="14">SUM(N13:Q13)</f>
        <v>-216.41399999999999</v>
      </c>
      <c r="AC13" s="30">
        <f t="shared" ref="AC13" si="15">SUM(O13:R13)</f>
        <v>-229.56100000000001</v>
      </c>
      <c r="AD13" s="30">
        <f t="shared" ref="AD13" si="16">SUM(P13:S13)</f>
        <v>-242.26400000000001</v>
      </c>
      <c r="AE13" s="30">
        <f>SUM(Q13:T13)</f>
        <v>-259.57900000000001</v>
      </c>
      <c r="AF13" s="11"/>
      <c r="AG13" s="67">
        <f t="shared" si="7"/>
        <v>0.299415315919626</v>
      </c>
    </row>
    <row r="14" spans="1:33" ht="12.75" customHeight="1">
      <c r="B14" s="9" t="s">
        <v>111</v>
      </c>
      <c r="C14" s="80">
        <v>-255.27200000000002</v>
      </c>
      <c r="D14" s="80">
        <v>-331.86</v>
      </c>
      <c r="E14" s="80">
        <v>-460.62799999999999</v>
      </c>
      <c r="F14" s="80">
        <v>-616.68299999999999</v>
      </c>
      <c r="G14" s="22"/>
      <c r="H14" s="75">
        <v>-64.25</v>
      </c>
      <c r="I14" s="75">
        <v>-106.68899999999999</v>
      </c>
      <c r="J14" s="75">
        <v>-66.438000000000002</v>
      </c>
      <c r="K14" s="30">
        <f>SUM(D14-SUM(H14:J14))</f>
        <v>-94.483000000000004</v>
      </c>
      <c r="L14" s="75">
        <v>-99.695999999999998</v>
      </c>
      <c r="M14" s="75">
        <v>-120.88</v>
      </c>
      <c r="N14" s="75">
        <v>-122.443</v>
      </c>
      <c r="O14" s="30">
        <f>SUM(E14-SUM(L14:N14))</f>
        <v>-117.60899999999998</v>
      </c>
      <c r="P14" s="75">
        <v>-159.82400000000001</v>
      </c>
      <c r="Q14" s="75">
        <v>-152.97999999999999</v>
      </c>
      <c r="R14" s="75">
        <v>-147.25200000000001</v>
      </c>
      <c r="S14" s="30">
        <f>SUM(F14-SUM(P14:R14))</f>
        <v>-156.62700000000001</v>
      </c>
      <c r="T14" s="75">
        <v>-162.75200000000001</v>
      </c>
      <c r="V14" s="30">
        <f t="shared" ref="V14" si="17">SUM(H14:K14)</f>
        <v>-331.86</v>
      </c>
      <c r="W14" s="30">
        <f t="shared" ref="W14" si="18">SUM(I14:L14)</f>
        <v>-367.30600000000004</v>
      </c>
      <c r="X14" s="30">
        <f t="shared" ref="X14" si="19">SUM(J14:M14)</f>
        <v>-381.49699999999996</v>
      </c>
      <c r="Y14" s="30">
        <f t="shared" ref="Y14" si="20">SUM(K14:N14)</f>
        <v>-437.50199999999995</v>
      </c>
      <c r="Z14" s="30">
        <f t="shared" ref="Z14" si="21">SUM(L14:O14)</f>
        <v>-460.62799999999999</v>
      </c>
      <c r="AA14" s="30">
        <f t="shared" ref="AA14" si="22">SUM(M14:P14)</f>
        <v>-520.75599999999997</v>
      </c>
      <c r="AB14" s="30">
        <f t="shared" ref="AB14" si="23">SUM(N14:Q14)</f>
        <v>-552.85599999999999</v>
      </c>
      <c r="AC14" s="30">
        <f t="shared" ref="AC14" si="24">SUM(O14:R14)</f>
        <v>-577.66499999999996</v>
      </c>
      <c r="AD14" s="30">
        <f t="shared" ref="AD14" si="25">SUM(P14:S14)</f>
        <v>-616.68299999999999</v>
      </c>
      <c r="AE14" s="30">
        <f>SUM(Q14:T14)</f>
        <v>-619.61099999999999</v>
      </c>
      <c r="AF14" s="11"/>
      <c r="AG14" s="67">
        <f t="shared" ref="AG14" si="26">SUM(AE14/AA14)-1</f>
        <v>0.18982978592661448</v>
      </c>
    </row>
    <row r="15" spans="1:33" ht="12.75" customHeight="1">
      <c r="B15" s="9" t="s">
        <v>112</v>
      </c>
      <c r="C15" s="80">
        <v>-69.694000000000003</v>
      </c>
      <c r="D15" s="80">
        <v>-183.01300000000001</v>
      </c>
      <c r="E15" s="80">
        <v>-344.25300000000004</v>
      </c>
      <c r="F15" s="80">
        <v>-425.45000000000005</v>
      </c>
      <c r="G15" s="22"/>
      <c r="H15" s="75">
        <v>-25.065999999999999</v>
      </c>
      <c r="I15" s="75">
        <v>-43.750999999999998</v>
      </c>
      <c r="J15" s="75">
        <v>-51.188000000000002</v>
      </c>
      <c r="K15" s="30">
        <f>SUM(D15-SUM(H15:J15))</f>
        <v>-63.00800000000001</v>
      </c>
      <c r="L15" s="75">
        <v>-73.930999999999997</v>
      </c>
      <c r="M15" s="75">
        <v>-84.617000000000004</v>
      </c>
      <c r="N15" s="75">
        <v>-90.448999999999998</v>
      </c>
      <c r="O15" s="30">
        <f>SUM(E15-SUM(L15:N15))</f>
        <v>-95.256000000000029</v>
      </c>
      <c r="P15" s="75">
        <v>-104.145</v>
      </c>
      <c r="Q15" s="75">
        <v>-107.762</v>
      </c>
      <c r="R15" s="75">
        <v>-107.631</v>
      </c>
      <c r="S15" s="30">
        <f>SUM(F15-SUM(P15:R15))</f>
        <v>-105.91200000000003</v>
      </c>
      <c r="T15" s="75">
        <v>-110.027</v>
      </c>
      <c r="V15" s="30">
        <f t="shared" ref="V15" si="27">SUM(H15:K15)</f>
        <v>-183.01300000000001</v>
      </c>
      <c r="W15" s="30">
        <f t="shared" ref="W15" si="28">SUM(I15:L15)</f>
        <v>-231.87799999999999</v>
      </c>
      <c r="X15" s="30">
        <f t="shared" ref="X15" si="29">SUM(J15:M15)</f>
        <v>-272.74400000000003</v>
      </c>
      <c r="Y15" s="30">
        <f t="shared" ref="Y15" si="30">SUM(K15:N15)</f>
        <v>-312.00500000000005</v>
      </c>
      <c r="Z15" s="30">
        <f t="shared" ref="Z15" si="31">SUM(L15:O15)</f>
        <v>-344.25300000000004</v>
      </c>
      <c r="AA15" s="30">
        <f t="shared" ref="AA15" si="32">SUM(M15:P15)</f>
        <v>-374.46699999999998</v>
      </c>
      <c r="AB15" s="30">
        <f t="shared" ref="AB15" si="33">SUM(N15:Q15)</f>
        <v>-397.61200000000002</v>
      </c>
      <c r="AC15" s="30">
        <f t="shared" ref="AC15" si="34">SUM(O15:R15)</f>
        <v>-414.79399999999998</v>
      </c>
      <c r="AD15" s="30">
        <f t="shared" ref="AD15" si="35">SUM(P15:S15)</f>
        <v>-425.45000000000005</v>
      </c>
      <c r="AE15" s="30">
        <f>SUM(Q15:T15)</f>
        <v>-431.33200000000005</v>
      </c>
      <c r="AF15" s="11"/>
      <c r="AG15" s="67">
        <f t="shared" ref="AG15" si="36">SUM(AE15/AA15)-1</f>
        <v>0.15185583776407552</v>
      </c>
    </row>
    <row r="16" spans="1:33" ht="12.75" customHeight="1">
      <c r="B16" s="9" t="s">
        <v>113</v>
      </c>
      <c r="C16" s="80">
        <v>-157.81399999999999</v>
      </c>
      <c r="D16" s="80">
        <v>-257.34300000000002</v>
      </c>
      <c r="E16" s="80">
        <v>-343.24900000000002</v>
      </c>
      <c r="F16" s="80">
        <v>-457.84900000000005</v>
      </c>
      <c r="G16" s="22"/>
      <c r="H16" s="75">
        <v>-54.359000000000002</v>
      </c>
      <c r="I16" s="75">
        <v>-66.507999999999996</v>
      </c>
      <c r="J16" s="75">
        <v>-65.228999999999999</v>
      </c>
      <c r="K16" s="30">
        <f>SUM(D16-SUM(H16:J16))</f>
        <v>-71.247000000000014</v>
      </c>
      <c r="L16" s="75">
        <v>-75.671000000000006</v>
      </c>
      <c r="M16" s="75">
        <v>-90.203000000000003</v>
      </c>
      <c r="N16" s="75">
        <v>-88.209000000000003</v>
      </c>
      <c r="O16" s="30">
        <f>SUM(E16-SUM(L16:N16))</f>
        <v>-89.165999999999997</v>
      </c>
      <c r="P16" s="75">
        <v>-95.146000000000001</v>
      </c>
      <c r="Q16" s="75">
        <v>-115.96</v>
      </c>
      <c r="R16" s="75">
        <v>-118.398</v>
      </c>
      <c r="S16" s="30">
        <f>SUM(F16-SUM(P16:R16))</f>
        <v>-128.34500000000003</v>
      </c>
      <c r="T16" s="75">
        <v>-133.80699999999999</v>
      </c>
      <c r="V16" s="30">
        <f t="shared" ref="V16" si="37">SUM(H16:K16)</f>
        <v>-257.34300000000002</v>
      </c>
      <c r="W16" s="30">
        <f t="shared" ref="W16" si="38">SUM(I16:L16)</f>
        <v>-278.65500000000003</v>
      </c>
      <c r="X16" s="30">
        <f t="shared" ref="X16" si="39">SUM(J16:M16)</f>
        <v>-302.35000000000002</v>
      </c>
      <c r="Y16" s="30">
        <f t="shared" ref="Y16" si="40">SUM(K16:N16)</f>
        <v>-325.33000000000004</v>
      </c>
      <c r="Z16" s="30">
        <f t="shared" ref="Z16" si="41">SUM(L16:O16)</f>
        <v>-343.24900000000002</v>
      </c>
      <c r="AA16" s="30">
        <f t="shared" ref="AA16" si="42">SUM(M16:P16)</f>
        <v>-362.72399999999999</v>
      </c>
      <c r="AB16" s="30">
        <f t="shared" ref="AB16" si="43">SUM(N16:Q16)</f>
        <v>-388.48099999999999</v>
      </c>
      <c r="AC16" s="30">
        <f t="shared" ref="AC16" si="44">SUM(O16:R16)</f>
        <v>-418.66999999999996</v>
      </c>
      <c r="AD16" s="30">
        <f t="shared" ref="AD16" si="45">SUM(P16:S16)</f>
        <v>-457.84900000000005</v>
      </c>
      <c r="AE16" s="30">
        <f>SUM(Q16:T16)</f>
        <v>-496.51</v>
      </c>
      <c r="AF16" s="11"/>
      <c r="AG16" s="67">
        <f t="shared" ref="AG16" si="46">SUM(AE16/AA16)-1</f>
        <v>0.36883691181173561</v>
      </c>
    </row>
    <row r="17" spans="2:33" ht="12.75" customHeight="1">
      <c r="B17" s="23" t="s">
        <v>118</v>
      </c>
      <c r="C17" s="24">
        <f>+SUM(C11+SUM(C13:C16))</f>
        <v>662.43099999999993</v>
      </c>
      <c r="D17" s="24">
        <f t="shared" ref="D17:F17" si="47">+SUM(D11+SUM(D13:D16))</f>
        <v>675.50400000000013</v>
      </c>
      <c r="E17" s="24">
        <f t="shared" si="47"/>
        <v>994.47399999999971</v>
      </c>
      <c r="F17" s="24">
        <f t="shared" si="47"/>
        <v>1482.1640000000002</v>
      </c>
      <c r="H17" s="24">
        <f t="shared" ref="H17" si="48">+SUM(H11+SUM(H13:H16))</f>
        <v>182.33900000000003</v>
      </c>
      <c r="I17" s="24">
        <f t="shared" ref="I17" si="49">+SUM(I11+SUM(I13:I16))</f>
        <v>144.18799999999999</v>
      </c>
      <c r="J17" s="24">
        <f t="shared" ref="J17" si="50">+SUM(J11+SUM(J13:J16))</f>
        <v>166.899</v>
      </c>
      <c r="K17" s="24">
        <f t="shared" ref="K17" si="51">+SUM(K11+SUM(K13:K16))</f>
        <v>182.07800000000003</v>
      </c>
      <c r="L17" s="24">
        <f t="shared" ref="L17" si="52">+SUM(L11+SUM(L13:L16))</f>
        <v>212.38299999999998</v>
      </c>
      <c r="M17" s="24">
        <f t="shared" ref="M17" si="53">+SUM(M11+SUM(M13:M16))</f>
        <v>241.77999999999997</v>
      </c>
      <c r="N17" s="24">
        <f t="shared" ref="N17" si="54">+SUM(N11+SUM(N13:N16))</f>
        <v>230.91300000000001</v>
      </c>
      <c r="O17" s="24">
        <f t="shared" ref="O17" si="55">+SUM(O11+SUM(O13:O16))</f>
        <v>309.39799999999997</v>
      </c>
      <c r="P17" s="24">
        <f t="shared" ref="P17" si="56">+SUM(P11+SUM(P13:P16))</f>
        <v>285.12700000000001</v>
      </c>
      <c r="Q17" s="24">
        <f t="shared" ref="Q17" si="57">+SUM(Q11+SUM(Q13:Q16))</f>
        <v>419.40100000000012</v>
      </c>
      <c r="R17" s="24">
        <f t="shared" ref="R17" si="58">+SUM(R11+SUM(R13:R16))</f>
        <v>352.56299999999999</v>
      </c>
      <c r="S17" s="24">
        <f t="shared" ref="S17" si="59">+SUM(S11+SUM(S13:S16))</f>
        <v>425.07300000000009</v>
      </c>
      <c r="T17" s="24">
        <f t="shared" ref="T17" si="60">+SUM(T11+SUM(T13:T16))</f>
        <v>455.19899999999984</v>
      </c>
      <c r="V17" s="24">
        <f t="shared" ref="V17" si="61">+SUM(V11+SUM(V13:V16))</f>
        <v>675.50400000000013</v>
      </c>
      <c r="W17" s="24">
        <f t="shared" ref="W17" si="62">+SUM(W11+SUM(W13:W16))</f>
        <v>705.54800000000023</v>
      </c>
      <c r="X17" s="24">
        <f t="shared" ref="X17" si="63">+SUM(X11+SUM(X13:X16))</f>
        <v>803.1400000000001</v>
      </c>
      <c r="Y17" s="24">
        <f t="shared" ref="Y17" si="64">+SUM(Y11+SUM(Y13:Y16))</f>
        <v>867.154</v>
      </c>
      <c r="Z17" s="24">
        <f t="shared" ref="Z17" si="65">+SUM(Z11+SUM(Z13:Z16))</f>
        <v>994.47399999999971</v>
      </c>
      <c r="AA17" s="24">
        <f t="shared" ref="AA17" si="66">+SUM(AA11+SUM(AA13:AA16))</f>
        <v>1067.2180000000001</v>
      </c>
      <c r="AB17" s="24">
        <f t="shared" ref="AB17" si="67">+SUM(AB11+SUM(AB13:AB16))</f>
        <v>1244.8390000000002</v>
      </c>
      <c r="AC17" s="24">
        <f t="shared" ref="AC17" si="68">+SUM(AC11+SUM(AC13:AC16))</f>
        <v>1366.489</v>
      </c>
      <c r="AD17" s="24">
        <f t="shared" ref="AD17" si="69">+SUM(AD11+SUM(AD13:AD16))</f>
        <v>1482.1640000000002</v>
      </c>
      <c r="AE17" s="24">
        <f t="shared" ref="AE17" si="70">+SUM(AE11+SUM(AE13:AE16))</f>
        <v>1652.2360000000003</v>
      </c>
      <c r="AF17" s="39"/>
      <c r="AG17" s="68">
        <f t="shared" si="7"/>
        <v>0.54817103909416831</v>
      </c>
    </row>
    <row r="18" spans="2:33" ht="12.75" customHeight="1">
      <c r="B18" s="14" t="s">
        <v>29</v>
      </c>
      <c r="C18" s="15">
        <f t="shared" ref="C18:E18" si="71">C17/C11</f>
        <v>0.49094710411089665</v>
      </c>
      <c r="D18" s="15">
        <f t="shared" si="71"/>
        <v>0.42538437075916968</v>
      </c>
      <c r="E18" s="15">
        <f t="shared" si="71"/>
        <v>0.4280991941882023</v>
      </c>
      <c r="F18" s="15">
        <f t="shared" ref="F18" si="72">F17/F11</f>
        <v>0.45966983106987019</v>
      </c>
      <c r="G18" s="25"/>
      <c r="H18" s="15">
        <f t="shared" ref="H18:Q18" si="73">H17/H11</f>
        <v>0.50422261796783407</v>
      </c>
      <c r="I18" s="15">
        <f t="shared" si="73"/>
        <v>0.36086875997977763</v>
      </c>
      <c r="J18" s="15">
        <f t="shared" si="73"/>
        <v>0.43808041409215231</v>
      </c>
      <c r="K18" s="15">
        <f t="shared" si="73"/>
        <v>0.40840688611002079</v>
      </c>
      <c r="L18" s="15">
        <f t="shared" si="73"/>
        <v>0.42771983316785722</v>
      </c>
      <c r="M18" s="15">
        <f t="shared" si="73"/>
        <v>0.40902708463737708</v>
      </c>
      <c r="N18" s="15">
        <f t="shared" si="73"/>
        <v>0.40078138424075382</v>
      </c>
      <c r="O18" s="15">
        <f t="shared" si="73"/>
        <v>0.46936444245545633</v>
      </c>
      <c r="P18" s="15">
        <f t="shared" si="73"/>
        <v>0.40821127048916289</v>
      </c>
      <c r="Q18" s="15">
        <f t="shared" si="73"/>
        <v>0.48408379223459436</v>
      </c>
      <c r="R18" s="15">
        <f t="shared" ref="R18:S18" si="74">R17/R11</f>
        <v>0.45019498578787281</v>
      </c>
      <c r="S18" s="15">
        <f t="shared" si="74"/>
        <v>0.48501282495983644</v>
      </c>
      <c r="T18" s="15">
        <f t="shared" ref="T18" si="75">T17/T11</f>
        <v>0.4877112982770424</v>
      </c>
      <c r="U18" s="26"/>
      <c r="V18" s="15">
        <f t="shared" ref="V18:AE18" si="76">V17/V11</f>
        <v>0.42538437075916968</v>
      </c>
      <c r="W18" s="15">
        <f t="shared" si="76"/>
        <v>0.40950996803079454</v>
      </c>
      <c r="X18" s="15">
        <f t="shared" si="76"/>
        <v>0.41951255184229502</v>
      </c>
      <c r="Y18" s="15">
        <f t="shared" si="76"/>
        <v>0.41104378521633317</v>
      </c>
      <c r="Z18" s="15">
        <f t="shared" si="76"/>
        <v>0.4280991941882023</v>
      </c>
      <c r="AA18" s="15">
        <f t="shared" si="76"/>
        <v>0.4226721443081019</v>
      </c>
      <c r="AB18" s="15">
        <f t="shared" si="76"/>
        <v>0.44455328579866743</v>
      </c>
      <c r="AC18" s="15">
        <f t="shared" si="76"/>
        <v>0.45440893275724525</v>
      </c>
      <c r="AD18" s="15">
        <f t="shared" si="76"/>
        <v>0.45966983106987019</v>
      </c>
      <c r="AE18" s="15">
        <f t="shared" si="76"/>
        <v>0.47762590235853369</v>
      </c>
      <c r="AF18" s="39"/>
      <c r="AG18" s="69">
        <f>SUM(AE18-AA18)*1000</f>
        <v>54.953758050431787</v>
      </c>
    </row>
    <row r="19" spans="2:33" ht="5.0999999999999996" customHeight="1">
      <c r="B19" s="27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39"/>
      <c r="AG19" s="67"/>
    </row>
    <row r="20" spans="2:33" ht="12.75" customHeight="1">
      <c r="B20" s="9" t="s">
        <v>114</v>
      </c>
      <c r="C20" s="80">
        <v>-418.64300000000003</v>
      </c>
      <c r="D20" s="80">
        <v>-615.81799999999998</v>
      </c>
      <c r="E20" s="80">
        <v>-501.85699999999997</v>
      </c>
      <c r="F20" s="80">
        <v>-589.72299999999996</v>
      </c>
      <c r="G20" s="30"/>
      <c r="H20" s="75">
        <v>-144.96100000000001</v>
      </c>
      <c r="I20" s="75">
        <v>-156.74700000000001</v>
      </c>
      <c r="J20" s="75">
        <v>-161.792</v>
      </c>
      <c r="K20" s="30">
        <f>SUM(D20-SUM(H20:J20))</f>
        <v>-152.31799999999998</v>
      </c>
      <c r="L20" s="75">
        <v>-132.965</v>
      </c>
      <c r="M20" s="75">
        <v>-119.833</v>
      </c>
      <c r="N20" s="75">
        <v>-124.828</v>
      </c>
      <c r="O20" s="30">
        <f>SUM(E20-SUM(L20:N20))</f>
        <v>-124.23099999999999</v>
      </c>
      <c r="P20" s="75">
        <v>-134.29</v>
      </c>
      <c r="Q20" s="75">
        <v>-148.21299999999999</v>
      </c>
      <c r="R20" s="75">
        <v>-152.62</v>
      </c>
      <c r="S20" s="30">
        <f t="shared" ref="S20:S23" si="77">SUM(F20-SUM(P20:R20))</f>
        <v>-154.59999999999997</v>
      </c>
      <c r="T20" s="75">
        <v>-168.10599999999999</v>
      </c>
      <c r="V20" s="30">
        <f t="shared" ref="V20:V23" si="78">SUM(H20:K20)</f>
        <v>-615.81799999999998</v>
      </c>
      <c r="W20" s="30">
        <f t="shared" ref="W20:W23" si="79">SUM(I20:L20)</f>
        <v>-603.822</v>
      </c>
      <c r="X20" s="30">
        <f t="shared" ref="X20:X23" si="80">SUM(J20:M20)</f>
        <v>-566.90800000000002</v>
      </c>
      <c r="Y20" s="30">
        <f t="shared" ref="Y20:Y23" si="81">SUM(K20:N20)</f>
        <v>-529.94399999999996</v>
      </c>
      <c r="Z20" s="30">
        <f t="shared" ref="Z20:Z23" si="82">SUM(L20:O20)</f>
        <v>-501.85699999999997</v>
      </c>
      <c r="AA20" s="30">
        <f t="shared" ref="AA20:AA23" si="83">SUM(M20:P20)</f>
        <v>-503.18200000000002</v>
      </c>
      <c r="AB20" s="30">
        <f t="shared" ref="AB20:AB23" si="84">SUM(N20:Q20)</f>
        <v>-531.56200000000001</v>
      </c>
      <c r="AC20" s="30">
        <f t="shared" ref="AC20:AC23" si="85">SUM(O20:R20)</f>
        <v>-559.35399999999993</v>
      </c>
      <c r="AD20" s="30">
        <f t="shared" ref="AD20:AD23" si="86">SUM(P20:S20)</f>
        <v>-589.72299999999996</v>
      </c>
      <c r="AE20" s="30">
        <f t="shared" ref="AE20:AE23" si="87">SUM(Q20:T20)</f>
        <v>-623.53899999999999</v>
      </c>
      <c r="AF20" s="11"/>
      <c r="AG20" s="67">
        <f t="shared" si="7"/>
        <v>0.23919178348987047</v>
      </c>
    </row>
    <row r="21" spans="2:33" ht="12.75" customHeight="1">
      <c r="B21" s="9" t="s">
        <v>115</v>
      </c>
      <c r="C21" s="80">
        <v>-532.34299999999996</v>
      </c>
      <c r="D21" s="80">
        <v>-638.28</v>
      </c>
      <c r="E21" s="80">
        <v>-576.40499999999997</v>
      </c>
      <c r="F21" s="80">
        <v>-434.84699999999998</v>
      </c>
      <c r="G21" s="30"/>
      <c r="H21" s="75">
        <v>-163.87299999999999</v>
      </c>
      <c r="I21" s="75">
        <v>-188.334</v>
      </c>
      <c r="J21" s="75">
        <v>-140.94200000000001</v>
      </c>
      <c r="K21" s="30">
        <f t="shared" ref="K21:K22" si="88">SUM(D21-SUM(H21:J21))</f>
        <v>-145.13099999999997</v>
      </c>
      <c r="L21" s="75">
        <v>-146.86600000000001</v>
      </c>
      <c r="M21" s="75">
        <v>-161.26499999999999</v>
      </c>
      <c r="N21" s="75">
        <v>-132.94999999999999</v>
      </c>
      <c r="O21" s="30">
        <f t="shared" ref="O21:O22" si="89">SUM(E21-SUM(L21:N21))</f>
        <v>-135.32400000000001</v>
      </c>
      <c r="P21" s="75">
        <v>-145.233</v>
      </c>
      <c r="Q21" s="75">
        <v>-136.03800000000001</v>
      </c>
      <c r="R21" s="75">
        <v>-74.022000000000006</v>
      </c>
      <c r="S21" s="30">
        <f t="shared" ref="S21:S22" si="90">SUM(F21-SUM(P21:R21))</f>
        <v>-79.553999999999974</v>
      </c>
      <c r="T21" s="75">
        <v>-78.491</v>
      </c>
      <c r="V21" s="30">
        <f t="shared" si="78"/>
        <v>-638.28</v>
      </c>
      <c r="W21" s="30">
        <f t="shared" si="79"/>
        <v>-621.27300000000002</v>
      </c>
      <c r="X21" s="30">
        <f t="shared" si="80"/>
        <v>-594.20399999999995</v>
      </c>
      <c r="Y21" s="30">
        <f t="shared" si="81"/>
        <v>-586.21199999999999</v>
      </c>
      <c r="Z21" s="30">
        <f t="shared" si="82"/>
        <v>-576.40499999999997</v>
      </c>
      <c r="AA21" s="30">
        <f t="shared" si="83"/>
        <v>-574.77199999999993</v>
      </c>
      <c r="AB21" s="30">
        <f t="shared" si="84"/>
        <v>-549.54500000000007</v>
      </c>
      <c r="AC21" s="30">
        <f t="shared" si="85"/>
        <v>-490.61700000000002</v>
      </c>
      <c r="AD21" s="30">
        <f t="shared" si="86"/>
        <v>-434.84699999999998</v>
      </c>
      <c r="AE21" s="30">
        <f t="shared" si="87"/>
        <v>-368.10499999999996</v>
      </c>
      <c r="AF21" s="11"/>
      <c r="AG21" s="67">
        <f t="shared" ref="AG21:AG22" si="91">SUM(AE21/AA21)-1</f>
        <v>-0.359563444287474</v>
      </c>
    </row>
    <row r="22" spans="2:33" ht="12.75" customHeight="1">
      <c r="B22" s="9" t="s">
        <v>116</v>
      </c>
      <c r="C22" s="80">
        <v>-577.49299999999994</v>
      </c>
      <c r="D22" s="80">
        <v>-586.39799999999991</v>
      </c>
      <c r="E22" s="80">
        <v>-525.29099999999994</v>
      </c>
      <c r="F22" s="80">
        <v>-545.053</v>
      </c>
      <c r="G22" s="30"/>
      <c r="H22" s="75">
        <v>-160.97200000000001</v>
      </c>
      <c r="I22" s="75">
        <v>-158.63900000000001</v>
      </c>
      <c r="J22" s="75">
        <v>-139.26599999999999</v>
      </c>
      <c r="K22" s="30">
        <f t="shared" si="88"/>
        <v>-127.52099999999996</v>
      </c>
      <c r="L22" s="75">
        <v>-140.334</v>
      </c>
      <c r="M22" s="75">
        <v>-132.77699999999999</v>
      </c>
      <c r="N22" s="75">
        <v>-128.721</v>
      </c>
      <c r="O22" s="30">
        <f t="shared" si="89"/>
        <v>-123.45899999999995</v>
      </c>
      <c r="P22" s="75">
        <v>-138.482</v>
      </c>
      <c r="Q22" s="75">
        <v>-139.41200000000001</v>
      </c>
      <c r="R22" s="75">
        <v>-134.303</v>
      </c>
      <c r="S22" s="30">
        <f t="shared" si="90"/>
        <v>-132.85599999999999</v>
      </c>
      <c r="T22" s="75">
        <v>-144.941</v>
      </c>
      <c r="V22" s="30">
        <f t="shared" si="78"/>
        <v>-586.39799999999991</v>
      </c>
      <c r="W22" s="30">
        <f t="shared" si="79"/>
        <v>-565.76</v>
      </c>
      <c r="X22" s="30">
        <f t="shared" si="80"/>
        <v>-539.89799999999991</v>
      </c>
      <c r="Y22" s="30">
        <f t="shared" si="81"/>
        <v>-529.35299999999995</v>
      </c>
      <c r="Z22" s="30">
        <f t="shared" si="82"/>
        <v>-525.29099999999994</v>
      </c>
      <c r="AA22" s="30">
        <f t="shared" si="83"/>
        <v>-523.43899999999996</v>
      </c>
      <c r="AB22" s="30">
        <f t="shared" si="84"/>
        <v>-530.07399999999996</v>
      </c>
      <c r="AC22" s="30">
        <f t="shared" si="85"/>
        <v>-535.65599999999995</v>
      </c>
      <c r="AD22" s="30">
        <f t="shared" si="86"/>
        <v>-545.053</v>
      </c>
      <c r="AE22" s="30">
        <f t="shared" si="87"/>
        <v>-551.51200000000006</v>
      </c>
      <c r="AF22" s="11"/>
      <c r="AG22" s="67">
        <f t="shared" si="91"/>
        <v>5.3631846308739073E-2</v>
      </c>
    </row>
    <row r="23" spans="2:33" ht="12.75" customHeight="1">
      <c r="B23" s="9" t="s">
        <v>117</v>
      </c>
      <c r="C23" s="80">
        <v>0</v>
      </c>
      <c r="D23" s="80">
        <v>-35.869999999999997</v>
      </c>
      <c r="E23" s="80">
        <v>-6.7680000000000007</v>
      </c>
      <c r="F23" s="80">
        <v>0.183</v>
      </c>
      <c r="G23" s="30"/>
      <c r="H23" s="75">
        <v>0</v>
      </c>
      <c r="I23" s="75">
        <v>0</v>
      </c>
      <c r="J23" s="75">
        <v>-34.933999999999997</v>
      </c>
      <c r="K23" s="30">
        <f>SUM(D23-SUM(H23:J23))</f>
        <v>-0.93599999999999994</v>
      </c>
      <c r="L23" s="75">
        <v>-1.665</v>
      </c>
      <c r="M23" s="75">
        <v>-5.6000000000000001E-2</v>
      </c>
      <c r="N23" s="75">
        <v>-5.2030000000000003</v>
      </c>
      <c r="O23" s="30">
        <f>SUM(E23-SUM(L23:N23))</f>
        <v>0.15599999999999969</v>
      </c>
      <c r="P23" s="75">
        <v>0.255</v>
      </c>
      <c r="Q23" s="75">
        <v>-0.06</v>
      </c>
      <c r="R23" s="75">
        <v>-1.2E-2</v>
      </c>
      <c r="S23" s="30">
        <f t="shared" si="77"/>
        <v>0</v>
      </c>
      <c r="T23" s="75">
        <v>0</v>
      </c>
      <c r="V23" s="30">
        <f t="shared" si="78"/>
        <v>-35.869999999999997</v>
      </c>
      <c r="W23" s="30">
        <f t="shared" si="79"/>
        <v>-37.534999999999997</v>
      </c>
      <c r="X23" s="30">
        <f t="shared" si="80"/>
        <v>-37.590999999999994</v>
      </c>
      <c r="Y23" s="30">
        <f t="shared" si="81"/>
        <v>-7.86</v>
      </c>
      <c r="Z23" s="30">
        <f t="shared" si="82"/>
        <v>-6.7680000000000007</v>
      </c>
      <c r="AA23" s="30">
        <f t="shared" si="83"/>
        <v>-4.8480000000000008</v>
      </c>
      <c r="AB23" s="30">
        <f t="shared" si="84"/>
        <v>-4.8520000000000003</v>
      </c>
      <c r="AC23" s="30">
        <f t="shared" si="85"/>
        <v>0.33899999999999969</v>
      </c>
      <c r="AD23" s="30">
        <f t="shared" si="86"/>
        <v>0.183</v>
      </c>
      <c r="AE23" s="30">
        <f t="shared" si="87"/>
        <v>-7.1999999999999995E-2</v>
      </c>
      <c r="AF23" s="11"/>
      <c r="AG23" s="67">
        <f t="shared" si="7"/>
        <v>-0.98514851485148514</v>
      </c>
    </row>
    <row r="24" spans="2:33" ht="12.75" customHeight="1">
      <c r="B24" s="23" t="s">
        <v>78</v>
      </c>
      <c r="C24" s="24">
        <f>+SUM(C17+SUM(C20:C23))</f>
        <v>-866.04799999999989</v>
      </c>
      <c r="D24" s="24">
        <f>+SUM(D17+SUM(D20:D23))</f>
        <v>-1200.8619999999996</v>
      </c>
      <c r="E24" s="24">
        <f>+SUM(E17+SUM(E20:E23))</f>
        <v>-615.84700000000021</v>
      </c>
      <c r="F24" s="24">
        <f>+SUM(F17+SUM(F20:F23))</f>
        <v>-87.27599999999984</v>
      </c>
      <c r="G24" s="30"/>
      <c r="H24" s="24">
        <f t="shared" ref="H24:Q24" si="92">+SUM(H17+SUM(H20:H23))</f>
        <v>-287.46699999999998</v>
      </c>
      <c r="I24" s="24">
        <f t="shared" si="92"/>
        <v>-359.53200000000004</v>
      </c>
      <c r="J24" s="24">
        <f t="shared" si="92"/>
        <v>-310.03499999999997</v>
      </c>
      <c r="K24" s="24">
        <f t="shared" si="92"/>
        <v>-243.82799999999986</v>
      </c>
      <c r="L24" s="24">
        <f t="shared" si="92"/>
        <v>-209.44700000000006</v>
      </c>
      <c r="M24" s="24">
        <f t="shared" si="92"/>
        <v>-172.15099999999995</v>
      </c>
      <c r="N24" s="24">
        <f t="shared" si="92"/>
        <v>-160.78899999999999</v>
      </c>
      <c r="O24" s="24">
        <f t="shared" si="92"/>
        <v>-73.45999999999998</v>
      </c>
      <c r="P24" s="24">
        <f t="shared" si="92"/>
        <v>-132.62299999999999</v>
      </c>
      <c r="Q24" s="24">
        <f t="shared" si="92"/>
        <v>-4.321999999999889</v>
      </c>
      <c r="R24" s="24">
        <f>+SUM(R17+SUM(R20:R23))</f>
        <v>-8.3940000000000055</v>
      </c>
      <c r="S24" s="24">
        <f t="shared" ref="S24" si="93">+SUM(S17+SUM(S20:S23))</f>
        <v>58.063000000000159</v>
      </c>
      <c r="T24" s="24">
        <f>+SUM(T17+SUM(T20:T23))</f>
        <v>63.660999999999831</v>
      </c>
      <c r="V24" s="24">
        <f t="shared" ref="V24:AE24" si="94">+SUM(V17+SUM(V20:V23))</f>
        <v>-1200.8619999999996</v>
      </c>
      <c r="W24" s="24">
        <f t="shared" si="94"/>
        <v>-1122.8419999999999</v>
      </c>
      <c r="X24" s="24">
        <f t="shared" si="94"/>
        <v>-935.46099999999979</v>
      </c>
      <c r="Y24" s="24">
        <f t="shared" si="94"/>
        <v>-786.21499999999992</v>
      </c>
      <c r="Z24" s="24">
        <f t="shared" si="94"/>
        <v>-615.84700000000021</v>
      </c>
      <c r="AA24" s="24">
        <f t="shared" si="94"/>
        <v>-539.02299999999991</v>
      </c>
      <c r="AB24" s="24">
        <f t="shared" si="94"/>
        <v>-371.19399999999996</v>
      </c>
      <c r="AC24" s="24">
        <f t="shared" si="94"/>
        <v>-218.79899999999998</v>
      </c>
      <c r="AD24" s="24">
        <f t="shared" si="94"/>
        <v>-87.27599999999984</v>
      </c>
      <c r="AE24" s="24">
        <f t="shared" si="94"/>
        <v>109.00800000000049</v>
      </c>
      <c r="AF24" s="11"/>
      <c r="AG24" s="68">
        <f t="shared" si="7"/>
        <v>-1.2022325577943809</v>
      </c>
    </row>
    <row r="25" spans="2:33" ht="12.75" customHeight="1">
      <c r="B25" s="14" t="s">
        <v>31</v>
      </c>
      <c r="C25" s="15">
        <f>C24/C11</f>
        <v>-0.64185365361982427</v>
      </c>
      <c r="D25" s="15">
        <f>D24/D11</f>
        <v>-0.75621747056804667</v>
      </c>
      <c r="E25" s="15">
        <f>E24/E11</f>
        <v>-0.26510859453663144</v>
      </c>
      <c r="F25" s="15">
        <f>F24/F11</f>
        <v>-2.706727742439697E-2</v>
      </c>
      <c r="G25" s="30"/>
      <c r="H25" s="15">
        <f t="shared" ref="H25:Q25" si="95">H24/H11</f>
        <v>-0.79493341149923669</v>
      </c>
      <c r="I25" s="15">
        <f t="shared" si="95"/>
        <v>-0.89982430585797313</v>
      </c>
      <c r="J25" s="15">
        <f t="shared" si="95"/>
        <v>-0.81378714781430939</v>
      </c>
      <c r="K25" s="15">
        <f t="shared" si="95"/>
        <v>-0.54691414792799831</v>
      </c>
      <c r="L25" s="15">
        <f t="shared" si="95"/>
        <v>-0.42180699913603359</v>
      </c>
      <c r="M25" s="15">
        <f t="shared" si="95"/>
        <v>-0.2912334421681243</v>
      </c>
      <c r="N25" s="15">
        <f t="shared" si="95"/>
        <v>-0.27907150307988965</v>
      </c>
      <c r="O25" s="15">
        <f t="shared" si="95"/>
        <v>-0.1114406426117099</v>
      </c>
      <c r="P25" s="15">
        <f t="shared" si="95"/>
        <v>-0.18987399764345095</v>
      </c>
      <c r="Q25" s="15">
        <f t="shared" si="95"/>
        <v>-4.9885673854803934E-3</v>
      </c>
      <c r="R25" s="15">
        <f>R24/R11</f>
        <v>-1.0718472189944511E-2</v>
      </c>
      <c r="S25" s="15">
        <f t="shared" ref="S25" si="96">S24/S11</f>
        <v>6.6250502044691267E-2</v>
      </c>
      <c r="T25" s="15">
        <f>T24/T11</f>
        <v>6.8207946325924973E-2</v>
      </c>
      <c r="V25" s="15">
        <f t="shared" ref="V25:AE25" si="97">V24/V11</f>
        <v>-0.75621747056804667</v>
      </c>
      <c r="W25" s="15">
        <f t="shared" si="97"/>
        <v>-0.65171326617555891</v>
      </c>
      <c r="X25" s="15">
        <f t="shared" si="97"/>
        <v>-0.48862916958306768</v>
      </c>
      <c r="Y25" s="15">
        <f t="shared" si="97"/>
        <v>-0.37267750548790568</v>
      </c>
      <c r="Z25" s="15">
        <f t="shared" si="97"/>
        <v>-0.26510859453663144</v>
      </c>
      <c r="AA25" s="15">
        <f t="shared" si="97"/>
        <v>-0.21348028916433753</v>
      </c>
      <c r="AB25" s="15">
        <f t="shared" si="97"/>
        <v>-0.13255972247716413</v>
      </c>
      <c r="AC25" s="15">
        <f t="shared" si="97"/>
        <v>-7.275888798106131E-2</v>
      </c>
      <c r="AD25" s="15">
        <f t="shared" si="97"/>
        <v>-2.706727742439697E-2</v>
      </c>
      <c r="AE25" s="15">
        <f t="shared" si="97"/>
        <v>3.1511868984999275E-2</v>
      </c>
      <c r="AF25" s="11"/>
      <c r="AG25" s="69">
        <f>SUM(AE25-AA25)*1000</f>
        <v>244.9921581493368</v>
      </c>
    </row>
    <row r="26" spans="2:33" ht="5.0999999999999996" customHeight="1">
      <c r="B26" s="14"/>
      <c r="C26" s="15"/>
      <c r="D26" s="15"/>
      <c r="E26" s="15"/>
      <c r="F26" s="15"/>
      <c r="G26" s="30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11"/>
      <c r="AG26" s="67"/>
    </row>
    <row r="27" spans="2:33" ht="12.75" customHeight="1">
      <c r="B27" s="9" t="s">
        <v>119</v>
      </c>
      <c r="C27" s="75">
        <v>141.21700000000001</v>
      </c>
      <c r="D27" s="75">
        <v>211.61700000000002</v>
      </c>
      <c r="E27" s="75">
        <v>100.32</v>
      </c>
      <c r="F27" s="75">
        <v>148.73899999999998</v>
      </c>
      <c r="G27" s="30"/>
      <c r="H27" s="75">
        <v>36.018000000000001</v>
      </c>
      <c r="I27" s="75">
        <v>35.527000000000001</v>
      </c>
      <c r="J27" s="75">
        <v>103.52200000000001</v>
      </c>
      <c r="K27" s="30">
        <f>SUM(D27-SUM(H27:J27))</f>
        <v>36.550000000000011</v>
      </c>
      <c r="L27" s="75">
        <v>38.707000000000001</v>
      </c>
      <c r="M27" s="75">
        <v>4.5490000000000004</v>
      </c>
      <c r="N27" s="75">
        <v>27.742999999999999</v>
      </c>
      <c r="O27" s="30">
        <f>SUM(E27-SUM(L27:N27))</f>
        <v>29.320999999999998</v>
      </c>
      <c r="P27" s="75">
        <v>34.302999999999997</v>
      </c>
      <c r="Q27" s="75">
        <v>87.180999999999997</v>
      </c>
      <c r="R27" s="75">
        <v>13.738</v>
      </c>
      <c r="S27" s="30">
        <f t="shared" ref="S27" si="98">SUM(F27-SUM(P27:R27))</f>
        <v>13.516999999999996</v>
      </c>
      <c r="T27" s="75">
        <v>19.358000000000001</v>
      </c>
      <c r="V27" s="30">
        <f t="shared" ref="V27" si="99">SUM(H27:K27)</f>
        <v>211.61700000000002</v>
      </c>
      <c r="W27" s="30">
        <f t="shared" ref="W27" si="100">SUM(I27:L27)</f>
        <v>214.30600000000001</v>
      </c>
      <c r="X27" s="30">
        <f t="shared" ref="X27" si="101">SUM(J27:M27)</f>
        <v>183.328</v>
      </c>
      <c r="Y27" s="30">
        <f t="shared" ref="Y27" si="102">SUM(K27:N27)</f>
        <v>107.54900000000001</v>
      </c>
      <c r="Z27" s="30">
        <f t="shared" ref="Z27" si="103">SUM(L27:O27)</f>
        <v>100.32</v>
      </c>
      <c r="AA27" s="30">
        <f t="shared" ref="AA27" si="104">SUM(M27:P27)</f>
        <v>95.915999999999997</v>
      </c>
      <c r="AB27" s="30">
        <f t="shared" ref="AB27" si="105">SUM(N27:Q27)</f>
        <v>178.548</v>
      </c>
      <c r="AC27" s="30">
        <f t="shared" ref="AC27" si="106">SUM(O27:R27)</f>
        <v>164.54300000000001</v>
      </c>
      <c r="AD27" s="30">
        <f t="shared" ref="AD27" si="107">SUM(P27:S27)</f>
        <v>148.73899999999998</v>
      </c>
      <c r="AE27" s="30">
        <f t="shared" ref="AE27" si="108">SUM(Q27:T27)</f>
        <v>133.79399999999998</v>
      </c>
      <c r="AF27" s="11"/>
      <c r="AG27" s="67">
        <f t="shared" si="7"/>
        <v>0.39490804453897144</v>
      </c>
    </row>
    <row r="28" spans="2:33" ht="12.75" customHeight="1">
      <c r="B28" s="23" t="s">
        <v>106</v>
      </c>
      <c r="C28" s="24">
        <f>SUM(C27:C27)+C24</f>
        <v>-724.8309999999999</v>
      </c>
      <c r="D28" s="24">
        <f>SUM(D27:D27)+D24</f>
        <v>-989.24499999999966</v>
      </c>
      <c r="E28" s="24">
        <f>SUM(E27:E27)+E24</f>
        <v>-515.52700000000027</v>
      </c>
      <c r="F28" s="24">
        <f>SUM(F27:F27)+F24</f>
        <v>61.463000000000136</v>
      </c>
      <c r="G28" s="30"/>
      <c r="H28" s="24">
        <f>SUM(H27:H27)+H24</f>
        <v>-251.44899999999998</v>
      </c>
      <c r="I28" s="24">
        <f>SUM(I27:I27)+I24</f>
        <v>-324.00500000000005</v>
      </c>
      <c r="J28" s="24">
        <f>SUM(J27:J27)+J24</f>
        <v>-206.51299999999998</v>
      </c>
      <c r="K28" s="24">
        <f>SUM(K27:K27)+K24</f>
        <v>-207.27799999999985</v>
      </c>
      <c r="L28" s="24">
        <f>SUM(L27:L27)+L24</f>
        <v>-170.74000000000007</v>
      </c>
      <c r="M28" s="24">
        <f>SUM(M27:M27)+M24</f>
        <v>-167.60199999999995</v>
      </c>
      <c r="N28" s="24">
        <f>SUM(N27:N27)+N24</f>
        <v>-133.04599999999999</v>
      </c>
      <c r="O28" s="24">
        <f>SUM(O27:O27)+O24</f>
        <v>-44.138999999999982</v>
      </c>
      <c r="P28" s="24">
        <f>SUM(P27:P27)+P24</f>
        <v>-98.32</v>
      </c>
      <c r="Q28" s="24">
        <f>SUM(Q27:Q27)+Q24</f>
        <v>82.859000000000108</v>
      </c>
      <c r="R28" s="24">
        <f>SUM(R27:R27)+R24</f>
        <v>5.3439999999999941</v>
      </c>
      <c r="S28" s="24">
        <f>SUM(S27:S27)+S24</f>
        <v>71.580000000000155</v>
      </c>
      <c r="T28" s="24">
        <f>SUM(T27:T27)+T24</f>
        <v>83.018999999999835</v>
      </c>
      <c r="V28" s="24">
        <f>SUM(V27:V27)+V24</f>
        <v>-989.24499999999966</v>
      </c>
      <c r="W28" s="24">
        <f>SUM(W27:W27)+W24</f>
        <v>-908.53599999999983</v>
      </c>
      <c r="X28" s="24">
        <f>SUM(X27:X27)+X24</f>
        <v>-752.13299999999981</v>
      </c>
      <c r="Y28" s="24">
        <f>SUM(Y27:Y27)+Y24</f>
        <v>-678.66599999999994</v>
      </c>
      <c r="Z28" s="24">
        <f>SUM(Z27:Z27)+Z24</f>
        <v>-515.52700000000027</v>
      </c>
      <c r="AA28" s="24">
        <f>SUM(AA27:AA27)+AA24</f>
        <v>-443.10699999999991</v>
      </c>
      <c r="AB28" s="24">
        <f>SUM(AB27:AB27)+AB24</f>
        <v>-192.64599999999996</v>
      </c>
      <c r="AC28" s="24">
        <f>SUM(AC27:AC27)+AC24</f>
        <v>-54.255999999999972</v>
      </c>
      <c r="AD28" s="24">
        <f>SUM(AD27:AD27)+AD24</f>
        <v>61.463000000000136</v>
      </c>
      <c r="AE28" s="24">
        <f>SUM(AE27:AE27)+AE24</f>
        <v>242.80200000000048</v>
      </c>
      <c r="AF28" s="11"/>
      <c r="AG28" s="67">
        <f t="shared" si="7"/>
        <v>-1.5479534288557855</v>
      </c>
    </row>
    <row r="29" spans="2:33" ht="12.75" customHeight="1">
      <c r="B29" s="14" t="s">
        <v>79</v>
      </c>
      <c r="C29" s="15">
        <f>C28/C11</f>
        <v>-0.53719358004049522</v>
      </c>
      <c r="D29" s="15">
        <f>D28/D11</f>
        <v>-0.62295613623554358</v>
      </c>
      <c r="E29" s="15">
        <f>E28/E11</f>
        <v>-0.2219230400013088</v>
      </c>
      <c r="F29" s="15">
        <f>F28/F11</f>
        <v>1.9061781845360896E-2</v>
      </c>
      <c r="G29" s="25"/>
      <c r="H29" s="15">
        <f>H28/H11</f>
        <v>-0.69533272127956103</v>
      </c>
      <c r="I29" s="15">
        <f>I28/I11</f>
        <v>-0.81090855395211725</v>
      </c>
      <c r="J29" s="15">
        <f>J28/J11</f>
        <v>-0.54206017145346963</v>
      </c>
      <c r="K29" s="15">
        <f>K28/K11</f>
        <v>-0.46493130712723563</v>
      </c>
      <c r="L29" s="15">
        <f>L28/L11</f>
        <v>-0.34385466028392092</v>
      </c>
      <c r="M29" s="15">
        <f>M28/M11</f>
        <v>-0.28353775101081008</v>
      </c>
      <c r="N29" s="15">
        <f>N28/N11</f>
        <v>-0.23091969723530215</v>
      </c>
      <c r="O29" s="15">
        <f>O28/O11</f>
        <v>-6.6959958130115196E-2</v>
      </c>
      <c r="P29" s="15">
        <f>P28/P11</f>
        <v>-0.1407630007487698</v>
      </c>
      <c r="Q29" s="15">
        <f>Q28/Q11</f>
        <v>9.5638062238207089E-2</v>
      </c>
      <c r="R29" s="15">
        <f>R28/R11</f>
        <v>6.8238641152088839E-3</v>
      </c>
      <c r="S29" s="15">
        <f>S28/S11</f>
        <v>8.167354315758743E-2</v>
      </c>
      <c r="T29" s="15">
        <f>T28/T11</f>
        <v>8.8948579130581823E-2</v>
      </c>
      <c r="V29" s="15">
        <f>V28/V11</f>
        <v>-0.62295613623554358</v>
      </c>
      <c r="W29" s="15">
        <f>W28/W11</f>
        <v>-0.52732705402726077</v>
      </c>
      <c r="X29" s="15">
        <f>X28/X11</f>
        <v>-0.3928695297890788</v>
      </c>
      <c r="Y29" s="15">
        <f>Y28/Y11</f>
        <v>-0.32169769330202935</v>
      </c>
      <c r="Z29" s="15">
        <f>Z28/Z11</f>
        <v>-0.2219230400013088</v>
      </c>
      <c r="AA29" s="15">
        <f>AA28/AA11</f>
        <v>-0.1754927164346273</v>
      </c>
      <c r="AB29" s="15">
        <f>AB28/AB11</f>
        <v>-6.8797179632040809E-2</v>
      </c>
      <c r="AC29" s="15">
        <f>AC28/AC11</f>
        <v>-1.804215844816686E-2</v>
      </c>
      <c r="AD29" s="15">
        <f>AD28/AD11</f>
        <v>1.9061781845360896E-2</v>
      </c>
      <c r="AE29" s="15">
        <f>AE28/AE11</f>
        <v>7.0188837638483187E-2</v>
      </c>
      <c r="AF29" s="40"/>
      <c r="AG29" s="69">
        <f>SUM(AE29-AA29)*1000</f>
        <v>245.68155407311048</v>
      </c>
    </row>
    <row r="30" spans="2:33" ht="5.0999999999999996" customHeight="1">
      <c r="B30" s="9"/>
      <c r="C30" s="75"/>
      <c r="D30" s="75"/>
      <c r="E30" s="75"/>
      <c r="F30" s="75"/>
      <c r="G30" s="30"/>
      <c r="H30" s="75"/>
      <c r="I30" s="75"/>
      <c r="J30" s="75"/>
      <c r="K30" s="30"/>
      <c r="L30" s="75"/>
      <c r="M30" s="75"/>
      <c r="N30" s="75"/>
      <c r="O30" s="30"/>
      <c r="P30" s="75"/>
      <c r="Q30" s="75"/>
      <c r="R30" s="75"/>
      <c r="S30" s="75"/>
      <c r="T30" s="75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11"/>
      <c r="AG30" s="67"/>
    </row>
    <row r="31" spans="2:33" ht="12.75" customHeight="1">
      <c r="B31" s="9" t="s">
        <v>120</v>
      </c>
      <c r="C31" s="75">
        <v>-18.308</v>
      </c>
      <c r="D31" s="75">
        <v>3.9000000000000004</v>
      </c>
      <c r="E31" s="75">
        <v>-2.23</v>
      </c>
      <c r="F31" s="75">
        <v>-9.2789999999999999</v>
      </c>
      <c r="G31" s="30"/>
      <c r="H31" s="75">
        <v>0.18</v>
      </c>
      <c r="I31" s="75">
        <v>1.5680000000000001</v>
      </c>
      <c r="J31" s="75">
        <v>0.83599999999999997</v>
      </c>
      <c r="K31" s="30">
        <f>SUM(D31-SUM(H31:J31))</f>
        <v>1.3160000000000003</v>
      </c>
      <c r="L31" s="75">
        <v>-1.0429999999999999</v>
      </c>
      <c r="M31" s="75">
        <v>0.7</v>
      </c>
      <c r="N31" s="75">
        <v>-0.89</v>
      </c>
      <c r="O31" s="30">
        <f>SUM(E31-SUM(L31:N31))</f>
        <v>-0.99699999999999989</v>
      </c>
      <c r="P31" s="75">
        <v>-1.9019999999999999</v>
      </c>
      <c r="Q31" s="75">
        <v>-2.4990000000000001</v>
      </c>
      <c r="R31" s="75">
        <v>-2.5409999999999999</v>
      </c>
      <c r="S31" s="30">
        <f t="shared" ref="S31" si="109">SUM(F31-SUM(P31:R31))</f>
        <v>-2.3369999999999997</v>
      </c>
      <c r="T31" s="75">
        <v>-2.3260000000000001</v>
      </c>
      <c r="V31" s="30">
        <f t="shared" ref="V31" si="110">SUM(H31:K31)</f>
        <v>3.9000000000000004</v>
      </c>
      <c r="W31" s="30">
        <f t="shared" ref="W31" si="111">SUM(I31:L31)</f>
        <v>2.6770000000000005</v>
      </c>
      <c r="X31" s="30">
        <f t="shared" ref="X31" si="112">SUM(J31:M31)</f>
        <v>1.8090000000000002</v>
      </c>
      <c r="Y31" s="30">
        <f t="shared" ref="Y31" si="113">SUM(K31:N31)</f>
        <v>8.3000000000000296E-2</v>
      </c>
      <c r="Z31" s="30">
        <f t="shared" ref="Z31" si="114">SUM(L31:O31)</f>
        <v>-2.23</v>
      </c>
      <c r="AA31" s="30">
        <f t="shared" ref="AA31" si="115">SUM(M31:P31)</f>
        <v>-3.0889999999999995</v>
      </c>
      <c r="AB31" s="30">
        <f t="shared" ref="AB31" si="116">SUM(N31:Q31)</f>
        <v>-6.2880000000000003</v>
      </c>
      <c r="AC31" s="30">
        <f t="shared" ref="AC31" si="117">SUM(O31:R31)</f>
        <v>-7.9390000000000001</v>
      </c>
      <c r="AD31" s="30">
        <f t="shared" ref="AD31" si="118">SUM(P31:S31)</f>
        <v>-9.2789999999999999</v>
      </c>
      <c r="AE31" s="30">
        <f>SUM(Q31:T31)</f>
        <v>-9.7029999999999994</v>
      </c>
      <c r="AF31" s="11"/>
      <c r="AG31" s="67">
        <f t="shared" si="7"/>
        <v>2.1411460019423765</v>
      </c>
    </row>
    <row r="32" spans="2:33" ht="12.75" customHeight="1">
      <c r="B32" s="12" t="s">
        <v>47</v>
      </c>
      <c r="C32" s="13">
        <f>SUM(C28+SUM(C31:C31))</f>
        <v>-743.1389999999999</v>
      </c>
      <c r="D32" s="13">
        <f>SUM(D28+SUM(D31:D31))</f>
        <v>-985.34499999999969</v>
      </c>
      <c r="E32" s="13">
        <f>SUM(E28+SUM(E31:E31))</f>
        <v>-517.75700000000029</v>
      </c>
      <c r="F32" s="13">
        <f>SUM(F28+SUM(F31:F31))</f>
        <v>52.18400000000014</v>
      </c>
      <c r="H32" s="13">
        <f>SUM(H28+SUM(H31:H31))</f>
        <v>-251.26899999999998</v>
      </c>
      <c r="I32" s="13">
        <f>SUM(I28+SUM(I31:I31))</f>
        <v>-322.43700000000007</v>
      </c>
      <c r="J32" s="13">
        <f>SUM(J28+SUM(J31:J31))</f>
        <v>-205.67699999999996</v>
      </c>
      <c r="K32" s="13">
        <f>SUM(K28+SUM(K31:K31))</f>
        <v>-205.96199999999985</v>
      </c>
      <c r="L32" s="13">
        <f>SUM(L28+SUM(L31:L31))</f>
        <v>-171.78300000000007</v>
      </c>
      <c r="M32" s="13">
        <f>SUM(M28+SUM(M31:M31))</f>
        <v>-166.90199999999996</v>
      </c>
      <c r="N32" s="13">
        <f>SUM(N28+SUM(N31:N31))</f>
        <v>-133.93599999999998</v>
      </c>
      <c r="O32" s="13">
        <f>SUM(O28+SUM(O31:O31))</f>
        <v>-45.135999999999981</v>
      </c>
      <c r="P32" s="13">
        <f>SUM(P28+SUM(P31:P31))</f>
        <v>-100.22199999999999</v>
      </c>
      <c r="Q32" s="13">
        <f>SUM(Q28+SUM(Q31:Q31))</f>
        <v>80.360000000000113</v>
      </c>
      <c r="R32" s="13">
        <f>SUM(R28+SUM(R31:R31))</f>
        <v>2.8029999999999942</v>
      </c>
      <c r="S32" s="13">
        <f>SUM(S28+SUM(S31:S31))</f>
        <v>69.243000000000151</v>
      </c>
      <c r="T32" s="13">
        <f>SUM(T28+SUM(T31:T31))</f>
        <v>80.692999999999842</v>
      </c>
      <c r="V32" s="13">
        <f>SUM(V28+SUM(V31:V31))</f>
        <v>-985.34499999999969</v>
      </c>
      <c r="W32" s="13">
        <f>SUM(W28+SUM(W31:W31))</f>
        <v>-905.85899999999981</v>
      </c>
      <c r="X32" s="13">
        <f>SUM(X28+SUM(X31:X31))</f>
        <v>-750.32399999999984</v>
      </c>
      <c r="Y32" s="13">
        <f>SUM(Y28+SUM(Y31:Y31))</f>
        <v>-678.58299999999997</v>
      </c>
      <c r="Z32" s="13">
        <f>SUM(Z28+SUM(Z31:Z31))</f>
        <v>-517.75700000000029</v>
      </c>
      <c r="AA32" s="13">
        <f>SUM(AA28+SUM(AA31:AA31))</f>
        <v>-446.19599999999991</v>
      </c>
      <c r="AB32" s="13">
        <f>SUM(AB28+SUM(AB31:AB31))</f>
        <v>-198.93399999999997</v>
      </c>
      <c r="AC32" s="13">
        <f>SUM(AC28+SUM(AC31:AC31))</f>
        <v>-62.194999999999972</v>
      </c>
      <c r="AD32" s="13">
        <f>SUM(AD28+SUM(AD31:AD31))</f>
        <v>52.18400000000014</v>
      </c>
      <c r="AE32" s="13">
        <f>SUM(AE28+SUM(AE31:AE31))</f>
        <v>233.09900000000047</v>
      </c>
      <c r="AF32" s="39"/>
      <c r="AG32" s="68">
        <f t="shared" si="7"/>
        <v>-1.5224139167540733</v>
      </c>
    </row>
    <row r="33" spans="1:33" ht="12.75" customHeight="1">
      <c r="B33" s="14" t="s">
        <v>61</v>
      </c>
      <c r="C33" s="15">
        <f>C32/C11</f>
        <v>-0.55076217749753198</v>
      </c>
      <c r="D33" s="15">
        <f>D32/D11</f>
        <v>-0.62050019364162734</v>
      </c>
      <c r="E33" s="15">
        <f>E32/E11</f>
        <v>-0.22288300597632643</v>
      </c>
      <c r="F33" s="15">
        <f>F32/F11</f>
        <v>1.6184046073545278E-2</v>
      </c>
      <c r="G33" s="25"/>
      <c r="H33" s="15">
        <f>H32/H11</f>
        <v>-0.69483496670574951</v>
      </c>
      <c r="I33" s="15">
        <f>I32/I11</f>
        <v>-0.80698421756040439</v>
      </c>
      <c r="J33" s="15">
        <f>J32/J11</f>
        <v>-0.53986581902367059</v>
      </c>
      <c r="K33" s="15">
        <f>K32/K11</f>
        <v>-0.46197947625189217</v>
      </c>
      <c r="L33" s="15">
        <f>L32/L11</f>
        <v>-0.34595516637901363</v>
      </c>
      <c r="M33" s="15">
        <f>M32/M11</f>
        <v>-0.28235353825853049</v>
      </c>
      <c r="N33" s="15">
        <f>N32/N11</f>
        <v>-0.23246441508130591</v>
      </c>
      <c r="O33" s="15">
        <f>O32/O11</f>
        <v>-6.8472431866623162E-2</v>
      </c>
      <c r="P33" s="15">
        <f>P32/P11</f>
        <v>-0.14348606042558185</v>
      </c>
      <c r="Q33" s="15">
        <f>Q32/Q11</f>
        <v>9.2753649953080816E-2</v>
      </c>
      <c r="R33" s="15">
        <f>R32/R11</f>
        <v>3.5792086667160335E-3</v>
      </c>
      <c r="S33" s="15">
        <f>S32/S11</f>
        <v>7.9007001241419753E-2</v>
      </c>
      <c r="T33" s="15">
        <f>T32/T11</f>
        <v>8.6456446063961731E-2</v>
      </c>
      <c r="V33" s="15">
        <f>V32/V11</f>
        <v>-0.62050019364162734</v>
      </c>
      <c r="W33" s="15">
        <f>W32/W11</f>
        <v>-0.52577328563103765</v>
      </c>
      <c r="X33" s="15">
        <f>X32/X11</f>
        <v>-0.3919246158185597</v>
      </c>
      <c r="Y33" s="15">
        <f>Y32/Y11</f>
        <v>-0.32165835007790428</v>
      </c>
      <c r="Z33" s="15">
        <f>Z32/Z11</f>
        <v>-0.22288300597632643</v>
      </c>
      <c r="AA33" s="15">
        <f>AA32/AA11</f>
        <v>-0.17671611620277936</v>
      </c>
      <c r="AB33" s="15">
        <f>AB32/AB11</f>
        <v>-7.1042731917197385E-2</v>
      </c>
      <c r="AC33" s="15">
        <f>AC32/AC11</f>
        <v>-2.0682174223749225E-2</v>
      </c>
      <c r="AD33" s="15">
        <f>AD32/AD11</f>
        <v>1.6184046073545278E-2</v>
      </c>
      <c r="AE33" s="15">
        <f>AE32/AE11</f>
        <v>6.7383908965711947E-2</v>
      </c>
      <c r="AF33" s="40"/>
      <c r="AG33" s="69">
        <f>SUM(AE33-AA33)*1000</f>
        <v>244.1000251684913</v>
      </c>
    </row>
    <row r="34" spans="1:33" ht="5.0999999999999996" customHeight="1">
      <c r="B34" s="14"/>
      <c r="C34" s="15"/>
      <c r="D34" s="15"/>
      <c r="E34" s="15"/>
      <c r="F34" s="15"/>
      <c r="G34" s="2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26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40"/>
      <c r="AG34" s="69"/>
    </row>
    <row r="35" spans="1:33" ht="12.75" customHeight="1">
      <c r="B35" s="41" t="s">
        <v>62</v>
      </c>
      <c r="C35" s="75">
        <v>281.73993925000002</v>
      </c>
      <c r="D35" s="75">
        <v>295.36526700000002</v>
      </c>
      <c r="E35" s="75">
        <v>309.85712899999999</v>
      </c>
      <c r="F35" s="75">
        <v>322.85187300000001</v>
      </c>
      <c r="G35" s="25"/>
      <c r="H35" s="75">
        <v>290.92926999999997</v>
      </c>
      <c r="I35" s="75">
        <v>293.68333100000001</v>
      </c>
      <c r="J35" s="75">
        <v>297.20471500000002</v>
      </c>
      <c r="K35" s="30">
        <f>D35</f>
        <v>295.36526700000002</v>
      </c>
      <c r="L35" s="75">
        <v>303.83967000000001</v>
      </c>
      <c r="M35" s="75">
        <v>307.57160199999998</v>
      </c>
      <c r="N35" s="75">
        <v>312.62672800000001</v>
      </c>
      <c r="O35" s="30">
        <f>E35</f>
        <v>309.85712899999999</v>
      </c>
      <c r="P35" s="75">
        <v>318.234555</v>
      </c>
      <c r="Q35" s="75">
        <v>322.28233399999999</v>
      </c>
      <c r="R35" s="75">
        <v>324.053967</v>
      </c>
      <c r="S35" s="30">
        <f>F35</f>
        <v>322.85187300000001</v>
      </c>
      <c r="T35" s="75">
        <v>330.23802499999999</v>
      </c>
      <c r="U35" s="30"/>
      <c r="V35" s="30">
        <f t="shared" ref="V35:AD35" si="119">K35</f>
        <v>295.36526700000002</v>
      </c>
      <c r="W35" s="30">
        <f t="shared" si="119"/>
        <v>303.83967000000001</v>
      </c>
      <c r="X35" s="30">
        <f t="shared" si="119"/>
        <v>307.57160199999998</v>
      </c>
      <c r="Y35" s="30">
        <f t="shared" si="119"/>
        <v>312.62672800000001</v>
      </c>
      <c r="Z35" s="30">
        <f t="shared" si="119"/>
        <v>309.85712899999999</v>
      </c>
      <c r="AA35" s="30">
        <f t="shared" si="119"/>
        <v>318.234555</v>
      </c>
      <c r="AB35" s="30">
        <f t="shared" si="119"/>
        <v>322.28233399999999</v>
      </c>
      <c r="AC35" s="30">
        <f t="shared" si="119"/>
        <v>324.053967</v>
      </c>
      <c r="AD35" s="30">
        <f t="shared" si="119"/>
        <v>322.85187300000001</v>
      </c>
      <c r="AE35" s="30">
        <f>T35</f>
        <v>330.23802499999999</v>
      </c>
      <c r="AF35" s="40"/>
      <c r="AG35" s="67">
        <f t="shared" ref="AG35" si="120">SUM(AE35/AA35)-1</f>
        <v>3.7718939729848078E-2</v>
      </c>
    </row>
    <row r="36" spans="1:33" ht="12.75" customHeight="1">
      <c r="B36" s="12" t="s">
        <v>63</v>
      </c>
      <c r="C36" s="70">
        <f t="shared" ref="C36:F36" si="121">C32/C35</f>
        <v>-2.6376771499924989</v>
      </c>
      <c r="D36" s="70">
        <f t="shared" si="121"/>
        <v>-3.3360219026700917</v>
      </c>
      <c r="E36" s="70">
        <f t="shared" si="121"/>
        <v>-1.6709539705313681</v>
      </c>
      <c r="F36" s="70">
        <f t="shared" si="121"/>
        <v>0.16163449669688035</v>
      </c>
      <c r="G36" s="11"/>
      <c r="H36" s="70">
        <f t="shared" ref="H36:Q36" si="122">H32/H35</f>
        <v>-0.86367727798581417</v>
      </c>
      <c r="I36" s="70">
        <f t="shared" si="122"/>
        <v>-1.0979070514560463</v>
      </c>
      <c r="J36" s="70">
        <f t="shared" si="122"/>
        <v>-0.69203814616467285</v>
      </c>
      <c r="K36" s="70">
        <f t="shared" si="122"/>
        <v>-0.69731286312686125</v>
      </c>
      <c r="L36" s="70">
        <f t="shared" si="122"/>
        <v>-0.56537383680017839</v>
      </c>
      <c r="M36" s="70">
        <f t="shared" si="122"/>
        <v>-0.54264437586146186</v>
      </c>
      <c r="N36" s="70">
        <f t="shared" si="122"/>
        <v>-0.42842146241571505</v>
      </c>
      <c r="O36" s="70">
        <f t="shared" si="122"/>
        <v>-0.14566713422301147</v>
      </c>
      <c r="P36" s="70">
        <f t="shared" si="122"/>
        <v>-0.31493123051957694</v>
      </c>
      <c r="Q36" s="70">
        <f t="shared" si="122"/>
        <v>0.24934658689669326</v>
      </c>
      <c r="R36" s="70">
        <f t="shared" ref="R36:T36" si="123">R32/R35</f>
        <v>8.649793816595969E-3</v>
      </c>
      <c r="S36" s="70">
        <f t="shared" si="123"/>
        <v>0.21447296977583324</v>
      </c>
      <c r="T36" s="70">
        <f t="shared" si="123"/>
        <v>0.24434799717567304</v>
      </c>
      <c r="U36" s="30"/>
      <c r="V36" s="70">
        <f t="shared" ref="V36:AE36" si="124">V32/V35</f>
        <v>-3.3360219026700917</v>
      </c>
      <c r="W36" s="70">
        <f t="shared" si="124"/>
        <v>-2.9813717214740252</v>
      </c>
      <c r="X36" s="70">
        <f t="shared" si="124"/>
        <v>-2.4395100039177215</v>
      </c>
      <c r="Y36" s="70">
        <f t="shared" si="124"/>
        <v>-2.1705853633858201</v>
      </c>
      <c r="Z36" s="70">
        <f t="shared" si="124"/>
        <v>-1.6709539705313681</v>
      </c>
      <c r="AA36" s="70">
        <f t="shared" si="124"/>
        <v>-1.4020978960000114</v>
      </c>
      <c r="AB36" s="70">
        <f t="shared" si="124"/>
        <v>-0.61726622595453828</v>
      </c>
      <c r="AC36" s="70">
        <f t="shared" si="124"/>
        <v>-0.19192790810673821</v>
      </c>
      <c r="AD36" s="70">
        <f t="shared" si="124"/>
        <v>0.16163449669688035</v>
      </c>
      <c r="AE36" s="70">
        <f t="shared" si="124"/>
        <v>0.70585148394101638</v>
      </c>
      <c r="AF36" s="33"/>
      <c r="AG36" s="68">
        <f>SUM(AE36/AA36)-1</f>
        <v>-1.5034252500875378</v>
      </c>
    </row>
    <row r="37" spans="1:33" ht="5.0999999999999996" customHeight="1">
      <c r="B37" s="14"/>
      <c r="C37" s="15"/>
      <c r="D37" s="15"/>
      <c r="E37" s="15"/>
      <c r="F37" s="15"/>
      <c r="G37" s="2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26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40"/>
      <c r="AG37" s="69"/>
    </row>
    <row r="38" spans="1:33" ht="12.75" customHeight="1">
      <c r="B38" s="41" t="s">
        <v>64</v>
      </c>
      <c r="C38" s="75">
        <v>281.73993925000002</v>
      </c>
      <c r="D38" s="75">
        <v>295.36526700000002</v>
      </c>
      <c r="E38" s="75">
        <v>309.85712899999999</v>
      </c>
      <c r="F38" s="75">
        <v>341.02356600000002</v>
      </c>
      <c r="G38" s="25"/>
      <c r="H38" s="75">
        <v>313</v>
      </c>
      <c r="I38" s="75">
        <v>324</v>
      </c>
      <c r="J38" s="75">
        <v>321</v>
      </c>
      <c r="K38" s="30">
        <f>D38</f>
        <v>295.36526700000002</v>
      </c>
      <c r="L38" s="75">
        <v>334</v>
      </c>
      <c r="M38" s="75">
        <v>341</v>
      </c>
      <c r="N38" s="75">
        <v>341</v>
      </c>
      <c r="O38" s="30">
        <f>E38</f>
        <v>309.85712899999999</v>
      </c>
      <c r="P38" s="75">
        <v>357</v>
      </c>
      <c r="Q38" s="75">
        <v>356</v>
      </c>
      <c r="R38" s="75">
        <v>352</v>
      </c>
      <c r="S38" s="30">
        <f>F38</f>
        <v>341.02356600000002</v>
      </c>
      <c r="T38" s="75">
        <v>361</v>
      </c>
      <c r="U38" s="30"/>
      <c r="V38" s="30">
        <f t="shared" ref="V38:AE38" si="125">K38</f>
        <v>295.36526700000002</v>
      </c>
      <c r="W38" s="30">
        <f t="shared" si="125"/>
        <v>334</v>
      </c>
      <c r="X38" s="30">
        <f t="shared" si="125"/>
        <v>341</v>
      </c>
      <c r="Y38" s="30">
        <f t="shared" si="125"/>
        <v>341</v>
      </c>
      <c r="Z38" s="30">
        <f t="shared" si="125"/>
        <v>309.85712899999999</v>
      </c>
      <c r="AA38" s="30">
        <f t="shared" si="125"/>
        <v>357</v>
      </c>
      <c r="AB38" s="30">
        <f t="shared" si="125"/>
        <v>356</v>
      </c>
      <c r="AC38" s="30">
        <f t="shared" si="125"/>
        <v>352</v>
      </c>
      <c r="AD38" s="30">
        <f t="shared" si="125"/>
        <v>341.02356600000002</v>
      </c>
      <c r="AE38" s="30">
        <f t="shared" si="125"/>
        <v>361</v>
      </c>
      <c r="AF38" s="40"/>
      <c r="AG38" s="67">
        <f t="shared" ref="AG38" si="126">SUM(AE38/AA38)-1</f>
        <v>1.1204481792717047E-2</v>
      </c>
    </row>
    <row r="39" spans="1:33" ht="12.75" customHeight="1">
      <c r="B39" s="12" t="s">
        <v>65</v>
      </c>
      <c r="C39" s="70">
        <f t="shared" ref="C39:F39" si="127">C32/C38</f>
        <v>-2.6376771499924989</v>
      </c>
      <c r="D39" s="70">
        <f t="shared" si="127"/>
        <v>-3.3360219026700917</v>
      </c>
      <c r="E39" s="70">
        <f t="shared" si="127"/>
        <v>-1.6709539705313681</v>
      </c>
      <c r="F39" s="70">
        <f t="shared" si="127"/>
        <v>0.15302168296486623</v>
      </c>
      <c r="G39" s="25"/>
      <c r="H39" s="70">
        <f t="shared" ref="H39:Q39" si="128">H32/H38</f>
        <v>-0.80277635782747592</v>
      </c>
      <c r="I39" s="70">
        <f t="shared" si="128"/>
        <v>-0.99517592592592619</v>
      </c>
      <c r="J39" s="70">
        <f t="shared" si="128"/>
        <v>-0.64073831775700918</v>
      </c>
      <c r="K39" s="70">
        <f t="shared" si="128"/>
        <v>-0.69731286312686125</v>
      </c>
      <c r="L39" s="70">
        <f t="shared" si="128"/>
        <v>-0.51432035928143738</v>
      </c>
      <c r="M39" s="70">
        <f t="shared" si="128"/>
        <v>-0.48944868035190603</v>
      </c>
      <c r="N39" s="70">
        <f t="shared" si="128"/>
        <v>-0.39277419354838705</v>
      </c>
      <c r="O39" s="70">
        <f t="shared" si="128"/>
        <v>-0.14566713422301147</v>
      </c>
      <c r="P39" s="70">
        <f t="shared" si="128"/>
        <v>-0.28073389355742295</v>
      </c>
      <c r="Q39" s="70">
        <f t="shared" si="128"/>
        <v>0.225730337078652</v>
      </c>
      <c r="R39" s="70">
        <f t="shared" ref="R39:T39" si="129">R32/R38</f>
        <v>7.9630681818181649E-3</v>
      </c>
      <c r="S39" s="70">
        <f t="shared" si="129"/>
        <v>0.20304461891645384</v>
      </c>
      <c r="T39" s="70">
        <f t="shared" si="129"/>
        <v>0.22352631578947324</v>
      </c>
      <c r="U39" s="30"/>
      <c r="V39" s="70">
        <f t="shared" ref="V39:AE39" si="130">V32/V38</f>
        <v>-3.3360219026700917</v>
      </c>
      <c r="W39" s="70">
        <f t="shared" si="130"/>
        <v>-2.7121526946107779</v>
      </c>
      <c r="X39" s="70">
        <f t="shared" si="130"/>
        <v>-2.2003636363636359</v>
      </c>
      <c r="Y39" s="70">
        <f t="shared" si="130"/>
        <v>-1.9899794721407624</v>
      </c>
      <c r="Z39" s="70">
        <f t="shared" si="130"/>
        <v>-1.6709539705313681</v>
      </c>
      <c r="AA39" s="70">
        <f t="shared" si="130"/>
        <v>-1.249848739495798</v>
      </c>
      <c r="AB39" s="70">
        <f t="shared" si="130"/>
        <v>-0.55880337078651676</v>
      </c>
      <c r="AC39" s="70">
        <f t="shared" si="130"/>
        <v>-0.17669034090909083</v>
      </c>
      <c r="AD39" s="70">
        <f t="shared" si="130"/>
        <v>0.15302168296486623</v>
      </c>
      <c r="AE39" s="70">
        <f t="shared" si="130"/>
        <v>0.6457036011080346</v>
      </c>
      <c r="AF39" s="33"/>
      <c r="AG39" s="68">
        <f>SUM(AE39/AA39)-1</f>
        <v>-1.5166253969008427</v>
      </c>
    </row>
    <row r="40" spans="1:33">
      <c r="B40" s="14"/>
      <c r="C40" s="15"/>
      <c r="D40" s="15"/>
      <c r="E40" s="75"/>
      <c r="F40" s="75"/>
      <c r="G40" s="2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26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40"/>
    </row>
    <row r="41" spans="1:33" ht="12.75" customHeight="1">
      <c r="A41" s="5" t="s">
        <v>18</v>
      </c>
      <c r="B41" s="90" t="s">
        <v>74</v>
      </c>
      <c r="C41" s="91" t="s">
        <v>0</v>
      </c>
      <c r="D41" s="91"/>
      <c r="E41" s="91"/>
      <c r="F41" s="91"/>
      <c r="G41" s="92"/>
      <c r="H41" s="91"/>
      <c r="I41" s="91"/>
      <c r="J41" s="91"/>
      <c r="K41" s="91"/>
      <c r="L41" s="91"/>
      <c r="M41" s="91"/>
      <c r="N41" s="91" t="s">
        <v>1</v>
      </c>
      <c r="O41" s="91"/>
      <c r="P41" s="91"/>
      <c r="Q41" s="91"/>
      <c r="R41" s="91"/>
      <c r="S41" s="91"/>
      <c r="T41" s="91"/>
      <c r="U41" s="90"/>
      <c r="V41" s="91"/>
      <c r="W41" s="91"/>
      <c r="X41" s="91"/>
      <c r="Y41" s="91"/>
      <c r="Z41" s="91"/>
      <c r="AA41" s="91" t="s">
        <v>10</v>
      </c>
      <c r="AB41" s="91"/>
      <c r="AC41" s="91"/>
      <c r="AD41" s="91"/>
      <c r="AE41" s="91"/>
      <c r="AF41" s="92"/>
      <c r="AG41" s="136" t="s">
        <v>22</v>
      </c>
    </row>
    <row r="42" spans="1:33" ht="12.75" customHeight="1">
      <c r="B42" s="94" t="str">
        <f>B7</f>
        <v>Fiscal Period</v>
      </c>
      <c r="C42" s="93">
        <f>C7</f>
        <v>2022</v>
      </c>
      <c r="D42" s="93">
        <f>D7</f>
        <v>2023</v>
      </c>
      <c r="E42" s="93">
        <f>E7</f>
        <v>2024</v>
      </c>
      <c r="F42" s="93">
        <f>F7</f>
        <v>2025</v>
      </c>
      <c r="G42" s="92"/>
      <c r="H42" s="93" t="str">
        <f>H7</f>
        <v>1Q23</v>
      </c>
      <c r="I42" s="93" t="str">
        <f>I7</f>
        <v>2Q23</v>
      </c>
      <c r="J42" s="93" t="str">
        <f>J7</f>
        <v>3Q23</v>
      </c>
      <c r="K42" s="93" t="str">
        <f>K7</f>
        <v>4Q23</v>
      </c>
      <c r="L42" s="93" t="str">
        <f>L7</f>
        <v>1Q24</v>
      </c>
      <c r="M42" s="93" t="str">
        <f>M7</f>
        <v>2Q24</v>
      </c>
      <c r="N42" s="93" t="str">
        <f>N7</f>
        <v>3Q24</v>
      </c>
      <c r="O42" s="93" t="str">
        <f>O7</f>
        <v>4Q24</v>
      </c>
      <c r="P42" s="93" t="str">
        <f>P7</f>
        <v>1Q25</v>
      </c>
      <c r="Q42" s="93" t="str">
        <f>Q7</f>
        <v>2Q25</v>
      </c>
      <c r="R42" s="93" t="str">
        <f>R7</f>
        <v>3Q25</v>
      </c>
      <c r="S42" s="93" t="str">
        <f>S7</f>
        <v>4Q25</v>
      </c>
      <c r="T42" s="93" t="str">
        <f>T7</f>
        <v>1Q26</v>
      </c>
      <c r="U42" s="95"/>
      <c r="V42" s="93" t="str">
        <f>V7</f>
        <v>4Q23</v>
      </c>
      <c r="W42" s="93" t="str">
        <f>W7</f>
        <v>1Q24</v>
      </c>
      <c r="X42" s="93" t="str">
        <f>X7</f>
        <v>2Q24</v>
      </c>
      <c r="Y42" s="93" t="str">
        <f>Y7</f>
        <v>3Q24</v>
      </c>
      <c r="Z42" s="93" t="str">
        <f>Z7</f>
        <v>4Q24</v>
      </c>
      <c r="AA42" s="93" t="str">
        <f>AA7</f>
        <v>1Q25</v>
      </c>
      <c r="AB42" s="93" t="str">
        <f>AB7</f>
        <v>2Q25</v>
      </c>
      <c r="AC42" s="93" t="str">
        <f>AC7</f>
        <v>3Q25</v>
      </c>
      <c r="AD42" s="93" t="str">
        <f>AD7</f>
        <v>4Q25</v>
      </c>
      <c r="AE42" s="93" t="str">
        <f>AE7</f>
        <v>1Q26</v>
      </c>
      <c r="AF42" s="92"/>
      <c r="AG42" s="136"/>
    </row>
    <row r="43" spans="1:33" ht="12.75" customHeight="1">
      <c r="B43" s="94" t="str">
        <f>B8</f>
        <v>Fiscal Period End Date</v>
      </c>
      <c r="C43" s="96">
        <f>C8</f>
        <v>44713</v>
      </c>
      <c r="D43" s="96">
        <f>D8</f>
        <v>45078</v>
      </c>
      <c r="E43" s="96">
        <f>E8</f>
        <v>45444</v>
      </c>
      <c r="F43" s="96">
        <f>F8</f>
        <v>45809</v>
      </c>
      <c r="G43" s="92"/>
      <c r="H43" s="96">
        <f>H8</f>
        <v>44805</v>
      </c>
      <c r="I43" s="96">
        <f>I8</f>
        <v>44896</v>
      </c>
      <c r="J43" s="96">
        <f>J8</f>
        <v>44986</v>
      </c>
      <c r="K43" s="96">
        <f>K8</f>
        <v>45078</v>
      </c>
      <c r="L43" s="96">
        <f>L8</f>
        <v>45170</v>
      </c>
      <c r="M43" s="96">
        <f>M8</f>
        <v>45261</v>
      </c>
      <c r="N43" s="96">
        <f>N8</f>
        <v>45352</v>
      </c>
      <c r="O43" s="96">
        <f>O8</f>
        <v>45444</v>
      </c>
      <c r="P43" s="96">
        <f>P8</f>
        <v>45536</v>
      </c>
      <c r="Q43" s="96">
        <f>Q8</f>
        <v>45627</v>
      </c>
      <c r="R43" s="96">
        <f>R8</f>
        <v>45717</v>
      </c>
      <c r="S43" s="96">
        <f>S8</f>
        <v>45809</v>
      </c>
      <c r="T43" s="96">
        <f>T8</f>
        <v>45901</v>
      </c>
      <c r="U43" s="97"/>
      <c r="V43" s="96">
        <f>V8</f>
        <v>45078</v>
      </c>
      <c r="W43" s="96">
        <f>W8</f>
        <v>45170</v>
      </c>
      <c r="X43" s="96">
        <f>X8</f>
        <v>45261</v>
      </c>
      <c r="Y43" s="96">
        <f>Y8</f>
        <v>45352</v>
      </c>
      <c r="Z43" s="96">
        <f>Z8</f>
        <v>45444</v>
      </c>
      <c r="AA43" s="96">
        <f>AA8</f>
        <v>45536</v>
      </c>
      <c r="AB43" s="96">
        <f>AB8</f>
        <v>45627</v>
      </c>
      <c r="AC43" s="96">
        <f>AC8</f>
        <v>45717</v>
      </c>
      <c r="AD43" s="96">
        <f>AD8</f>
        <v>45809</v>
      </c>
      <c r="AE43" s="96">
        <f>AE8</f>
        <v>45901</v>
      </c>
      <c r="AF43" s="92"/>
      <c r="AG43" s="136"/>
    </row>
    <row r="44" spans="1:33" ht="5.0999999999999996" customHeight="1">
      <c r="B44" s="43"/>
      <c r="C44" s="44"/>
      <c r="D44" s="44"/>
      <c r="E44" s="44"/>
      <c r="F44" s="44"/>
    </row>
    <row r="45" spans="1:33" ht="5.0999999999999996" customHeight="1">
      <c r="B45" s="23"/>
      <c r="C45" s="45"/>
      <c r="D45" s="38"/>
      <c r="E45" s="38"/>
      <c r="F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6"/>
    </row>
    <row r="46" spans="1:33" ht="12.75" customHeight="1">
      <c r="B46" s="71" t="s">
        <v>19</v>
      </c>
      <c r="C46" s="75"/>
      <c r="D46" s="75"/>
      <c r="E46" s="75"/>
      <c r="F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11"/>
      <c r="AG46" s="67"/>
    </row>
    <row r="47" spans="1:33" ht="12.75" customHeight="1">
      <c r="B47" s="9" t="s">
        <v>80</v>
      </c>
      <c r="C47" s="75">
        <v>1255.171</v>
      </c>
      <c r="D47" s="75">
        <v>892.02700000000004</v>
      </c>
      <c r="E47" s="75">
        <v>1013.106</v>
      </c>
      <c r="F47" s="75">
        <v>1354.4549999999999</v>
      </c>
      <c r="H47" s="104">
        <v>1530.1320000000001</v>
      </c>
      <c r="I47" s="104">
        <v>1440.3330000000001</v>
      </c>
      <c r="J47" s="104">
        <v>972.47699999999998</v>
      </c>
      <c r="K47" s="81">
        <f t="shared" ref="K47:K48" si="131">D47</f>
        <v>892.02700000000004</v>
      </c>
      <c r="L47" s="104">
        <v>1079.261</v>
      </c>
      <c r="M47" s="104">
        <v>1036.7190000000001</v>
      </c>
      <c r="N47" s="104">
        <v>1272.76</v>
      </c>
      <c r="O47" s="81">
        <f t="shared" ref="O47:O48" si="132">E47</f>
        <v>1013.106</v>
      </c>
      <c r="P47" s="104">
        <v>1046.1600000000001</v>
      </c>
      <c r="Q47" s="104">
        <v>1200.3810000000001</v>
      </c>
      <c r="R47" s="104">
        <v>1351.1479999999999</v>
      </c>
      <c r="S47" s="30">
        <f t="shared" ref="S47:S48" si="133">F47</f>
        <v>1354.4549999999999</v>
      </c>
      <c r="T47" s="104">
        <v>1428.848</v>
      </c>
      <c r="V47" s="30">
        <f t="shared" ref="V47:V50" si="134">K47</f>
        <v>892.02700000000004</v>
      </c>
      <c r="W47" s="30">
        <f t="shared" ref="W47:W50" si="135">L47</f>
        <v>1079.261</v>
      </c>
      <c r="X47" s="30">
        <f t="shared" ref="X47:X50" si="136">M47</f>
        <v>1036.7190000000001</v>
      </c>
      <c r="Y47" s="30">
        <f t="shared" ref="Y47:Y50" si="137">N47</f>
        <v>1272.76</v>
      </c>
      <c r="Z47" s="30">
        <f t="shared" ref="Z47:Z50" si="138">O47</f>
        <v>1013.106</v>
      </c>
      <c r="AA47" s="30">
        <f t="shared" ref="AA47:AA50" si="139">P47</f>
        <v>1046.1600000000001</v>
      </c>
      <c r="AB47" s="30">
        <f t="shared" ref="AB47:AB50" si="140">Q47</f>
        <v>1200.3810000000001</v>
      </c>
      <c r="AC47" s="30">
        <f t="shared" ref="AC47:AC50" si="141">R47</f>
        <v>1351.1479999999999</v>
      </c>
      <c r="AD47" s="30">
        <f t="shared" ref="AD47:AD50" si="142">S47</f>
        <v>1354.4549999999999</v>
      </c>
      <c r="AE47" s="30">
        <f t="shared" ref="AE47:AE50" si="143">T47</f>
        <v>1428.848</v>
      </c>
      <c r="AF47" s="11"/>
      <c r="AG47" s="67">
        <f t="shared" ref="AG47:AG48" si="144">SUM(AE47/AA47)-1</f>
        <v>0.36580255410262286</v>
      </c>
    </row>
    <row r="48" spans="1:33" ht="12.75" customHeight="1">
      <c r="B48" s="9" t="s">
        <v>147</v>
      </c>
      <c r="C48" s="75">
        <v>295.63600000000002</v>
      </c>
      <c r="D48" s="75">
        <v>367.91699999999997</v>
      </c>
      <c r="E48" s="75">
        <v>282.29300000000001</v>
      </c>
      <c r="F48" s="75">
        <v>401.96800000000002</v>
      </c>
      <c r="H48" s="104">
        <v>383.40600000000001</v>
      </c>
      <c r="I48" s="104">
        <v>424.46</v>
      </c>
      <c r="J48" s="104">
        <v>409.01499999999999</v>
      </c>
      <c r="K48" s="81">
        <f t="shared" si="131"/>
        <v>367.91699999999997</v>
      </c>
      <c r="L48" s="104">
        <v>409.23099999999999</v>
      </c>
      <c r="M48" s="104">
        <v>411.25900000000001</v>
      </c>
      <c r="N48" s="104">
        <v>346.93099999999998</v>
      </c>
      <c r="O48" s="81">
        <f t="shared" si="132"/>
        <v>282.29300000000001</v>
      </c>
      <c r="P48" s="104">
        <v>338.46199999999999</v>
      </c>
      <c r="Q48" s="104">
        <v>536.77599999999995</v>
      </c>
      <c r="R48" s="104">
        <v>384.81099999999998</v>
      </c>
      <c r="S48" s="30">
        <f t="shared" si="133"/>
        <v>401.96800000000002</v>
      </c>
      <c r="T48" s="104">
        <v>668.76199999999994</v>
      </c>
      <c r="V48" s="30">
        <f t="shared" ref="V48:V55" si="145">K48</f>
        <v>367.91699999999997</v>
      </c>
      <c r="W48" s="30">
        <f t="shared" ref="W48:W55" si="146">L48</f>
        <v>409.23099999999999</v>
      </c>
      <c r="X48" s="30">
        <f t="shared" ref="X48:X55" si="147">M48</f>
        <v>411.25900000000001</v>
      </c>
      <c r="Y48" s="30">
        <f t="shared" ref="Y48:Y55" si="148">N48</f>
        <v>346.93099999999998</v>
      </c>
      <c r="Z48" s="30">
        <f t="shared" ref="Z48:Z55" si="149">O48</f>
        <v>282.29300000000001</v>
      </c>
      <c r="AA48" s="30">
        <f t="shared" ref="AA48:AA55" si="150">P48</f>
        <v>338.46199999999999</v>
      </c>
      <c r="AB48" s="30">
        <f t="shared" ref="AB48:AB55" si="151">Q48</f>
        <v>536.77599999999995</v>
      </c>
      <c r="AC48" s="30">
        <f t="shared" ref="AC48:AC55" si="152">R48</f>
        <v>384.81099999999998</v>
      </c>
      <c r="AD48" s="30">
        <f t="shared" ref="AD48:AD55" si="153">S48</f>
        <v>401.96800000000002</v>
      </c>
      <c r="AE48" s="30">
        <f t="shared" ref="AE48:AE55" si="154">T48</f>
        <v>668.76199999999994</v>
      </c>
      <c r="AF48" s="11"/>
      <c r="AG48" s="67">
        <f t="shared" si="144"/>
        <v>0.97588503288404604</v>
      </c>
    </row>
    <row r="49" spans="2:33" ht="12.75" customHeight="1">
      <c r="B49" s="9" t="s">
        <v>148</v>
      </c>
      <c r="C49" s="75">
        <v>1595.373</v>
      </c>
      <c r="D49" s="75">
        <v>1174.653</v>
      </c>
      <c r="E49" s="75">
        <v>1131.6279999999999</v>
      </c>
      <c r="F49" s="75">
        <v>871.42499999999995</v>
      </c>
      <c r="H49" s="104">
        <v>1237.2909999999999</v>
      </c>
      <c r="I49" s="104">
        <v>914.923</v>
      </c>
      <c r="J49" s="104">
        <v>1059.0309999999999</v>
      </c>
      <c r="K49" s="81">
        <f t="shared" ref="K49:K50" si="155">D49</f>
        <v>1174.653</v>
      </c>
      <c r="L49" s="104">
        <v>1021.63</v>
      </c>
      <c r="M49" s="104">
        <v>914.06899999999996</v>
      </c>
      <c r="N49" s="104">
        <v>781.40200000000004</v>
      </c>
      <c r="O49" s="81">
        <f t="shared" ref="O49:O50" si="156">E49</f>
        <v>1131.6279999999999</v>
      </c>
      <c r="P49" s="104">
        <v>1073.6849999999999</v>
      </c>
      <c r="Q49" s="104">
        <v>666.68399999999997</v>
      </c>
      <c r="R49" s="104">
        <v>780.17</v>
      </c>
      <c r="S49" s="30">
        <f t="shared" ref="S49:S50" si="157">F49</f>
        <v>871.42499999999995</v>
      </c>
      <c r="T49" s="104">
        <v>812.44200000000001</v>
      </c>
      <c r="V49" s="30">
        <f t="shared" si="145"/>
        <v>1174.653</v>
      </c>
      <c r="W49" s="30">
        <f t="shared" si="146"/>
        <v>1021.63</v>
      </c>
      <c r="X49" s="30">
        <f t="shared" si="147"/>
        <v>914.06899999999996</v>
      </c>
      <c r="Y49" s="30">
        <f t="shared" si="148"/>
        <v>781.40200000000004</v>
      </c>
      <c r="Z49" s="30">
        <f t="shared" si="149"/>
        <v>1131.6279999999999</v>
      </c>
      <c r="AA49" s="30">
        <f t="shared" si="150"/>
        <v>1073.6849999999999</v>
      </c>
      <c r="AB49" s="30">
        <f t="shared" si="151"/>
        <v>666.68399999999997</v>
      </c>
      <c r="AC49" s="30">
        <f t="shared" si="152"/>
        <v>780.17</v>
      </c>
      <c r="AD49" s="30">
        <f t="shared" si="153"/>
        <v>871.42499999999995</v>
      </c>
      <c r="AE49" s="30">
        <f t="shared" si="154"/>
        <v>812.44200000000001</v>
      </c>
      <c r="AF49" s="11"/>
      <c r="AG49" s="67">
        <f t="shared" ref="AG49:AG50" si="158">SUM(AE49/AA49)-1</f>
        <v>-0.24331437991589711</v>
      </c>
    </row>
    <row r="50" spans="2:33" ht="12.75" customHeight="1">
      <c r="B50" s="9" t="s">
        <v>149</v>
      </c>
      <c r="C50" s="75">
        <v>2.67</v>
      </c>
      <c r="D50" s="75">
        <v>7.5999999999999998E-2</v>
      </c>
      <c r="E50" s="75">
        <v>3.5999999999999997E-2</v>
      </c>
      <c r="F50" s="75">
        <v>0</v>
      </c>
      <c r="H50" s="104">
        <v>7.1120000000000001</v>
      </c>
      <c r="I50" s="104">
        <v>0.34399999999999997</v>
      </c>
      <c r="J50" s="104">
        <v>0.122</v>
      </c>
      <c r="K50" s="81">
        <f t="shared" si="155"/>
        <v>7.5999999999999998E-2</v>
      </c>
      <c r="L50" s="104">
        <v>0.14499999999999999</v>
      </c>
      <c r="M50" s="104">
        <v>2.9000000000000001E-2</v>
      </c>
      <c r="N50" s="104">
        <v>0.127</v>
      </c>
      <c r="O50" s="81">
        <f t="shared" si="156"/>
        <v>3.5999999999999997E-2</v>
      </c>
      <c r="P50" s="104">
        <v>0</v>
      </c>
      <c r="Q50" s="104">
        <v>0</v>
      </c>
      <c r="R50" s="104">
        <v>1E-3</v>
      </c>
      <c r="S50" s="30">
        <f t="shared" si="157"/>
        <v>0</v>
      </c>
      <c r="T50" s="104">
        <v>1.2E-2</v>
      </c>
      <c r="V50" s="30">
        <f t="shared" si="145"/>
        <v>7.5999999999999998E-2</v>
      </c>
      <c r="W50" s="30">
        <f t="shared" si="146"/>
        <v>0.14499999999999999</v>
      </c>
      <c r="X50" s="30">
        <f t="shared" si="147"/>
        <v>2.9000000000000001E-2</v>
      </c>
      <c r="Y50" s="30">
        <f t="shared" si="148"/>
        <v>0.127</v>
      </c>
      <c r="Z50" s="30">
        <f t="shared" si="149"/>
        <v>3.5999999999999997E-2</v>
      </c>
      <c r="AA50" s="30">
        <f t="shared" si="150"/>
        <v>0</v>
      </c>
      <c r="AB50" s="30">
        <f t="shared" si="151"/>
        <v>0</v>
      </c>
      <c r="AC50" s="30">
        <f t="shared" si="152"/>
        <v>1E-3</v>
      </c>
      <c r="AD50" s="30">
        <f t="shared" si="153"/>
        <v>0</v>
      </c>
      <c r="AE50" s="30">
        <f t="shared" si="154"/>
        <v>1.2E-2</v>
      </c>
      <c r="AF50" s="11"/>
      <c r="AG50" s="67" t="e">
        <f t="shared" si="158"/>
        <v>#DIV/0!</v>
      </c>
    </row>
    <row r="51" spans="2:33" ht="12.75" customHeight="1">
      <c r="B51" s="9" t="s">
        <v>150</v>
      </c>
      <c r="C51" s="75">
        <v>2348.1690000000003</v>
      </c>
      <c r="D51" s="75">
        <v>4198.4310000000005</v>
      </c>
      <c r="E51" s="75">
        <v>5360.9589999999998</v>
      </c>
      <c r="F51" s="75">
        <v>6628.6049999999996</v>
      </c>
      <c r="H51" s="104">
        <v>2528.6120000000001</v>
      </c>
      <c r="I51" s="104">
        <v>3473.404</v>
      </c>
      <c r="J51" s="104">
        <v>3599.2060000000001</v>
      </c>
      <c r="K51" s="81">
        <f t="shared" ref="K51:K55" si="159">D51</f>
        <v>4198.4310000000005</v>
      </c>
      <c r="L51" s="104">
        <v>4317.3539999999994</v>
      </c>
      <c r="M51" s="104">
        <v>4976.6080000000002</v>
      </c>
      <c r="N51" s="104">
        <v>5172.3190000000004</v>
      </c>
      <c r="O51" s="81">
        <f t="shared" ref="O51:O55" si="160">E51</f>
        <v>5360.9589999999998</v>
      </c>
      <c r="P51" s="104">
        <v>5960.2280000000001</v>
      </c>
      <c r="Q51" s="104">
        <v>6432.3360000000002</v>
      </c>
      <c r="R51" s="104">
        <v>6255.4589999999998</v>
      </c>
      <c r="S51" s="30">
        <f t="shared" ref="S51:S55" si="161">F51</f>
        <v>6628.6049999999996</v>
      </c>
      <c r="T51" s="104">
        <v>6809.3759999999993</v>
      </c>
      <c r="V51" s="30">
        <f t="shared" si="145"/>
        <v>4198.4310000000005</v>
      </c>
      <c r="W51" s="30">
        <f t="shared" si="146"/>
        <v>4317.3539999999994</v>
      </c>
      <c r="X51" s="30">
        <f t="shared" si="147"/>
        <v>4976.6080000000002</v>
      </c>
      <c r="Y51" s="30">
        <f t="shared" si="148"/>
        <v>5172.3190000000004</v>
      </c>
      <c r="Z51" s="30">
        <f t="shared" si="149"/>
        <v>5360.9589999999998</v>
      </c>
      <c r="AA51" s="30">
        <f t="shared" si="150"/>
        <v>5960.2280000000001</v>
      </c>
      <c r="AB51" s="30">
        <f t="shared" si="151"/>
        <v>6432.3360000000002</v>
      </c>
      <c r="AC51" s="30">
        <f t="shared" si="152"/>
        <v>6255.4589999999998</v>
      </c>
      <c r="AD51" s="30">
        <f t="shared" si="153"/>
        <v>6628.6049999999996</v>
      </c>
      <c r="AE51" s="30">
        <f t="shared" si="154"/>
        <v>6809.3759999999993</v>
      </c>
      <c r="AF51" s="11"/>
      <c r="AG51" s="67"/>
    </row>
    <row r="52" spans="2:33" ht="12.75" customHeight="1">
      <c r="B52" s="9" t="s">
        <v>151</v>
      </c>
      <c r="C52" s="75">
        <v>142.05199999999999</v>
      </c>
      <c r="D52" s="75">
        <v>199.08500000000001</v>
      </c>
      <c r="E52" s="75">
        <v>353.02800000000002</v>
      </c>
      <c r="F52" s="75">
        <v>426.17700000000002</v>
      </c>
      <c r="H52" s="104">
        <v>147.75700000000001</v>
      </c>
      <c r="I52" s="104">
        <v>201.62200000000001</v>
      </c>
      <c r="J52" s="104">
        <v>135.816</v>
      </c>
      <c r="K52" s="81">
        <f t="shared" si="159"/>
        <v>199.08500000000001</v>
      </c>
      <c r="L52" s="104">
        <v>236.23400000000001</v>
      </c>
      <c r="M52" s="104">
        <v>307.286</v>
      </c>
      <c r="N52" s="104">
        <v>293.38799999999998</v>
      </c>
      <c r="O52" s="81">
        <f t="shared" si="160"/>
        <v>353.02800000000002</v>
      </c>
      <c r="P52" s="104">
        <v>308.39400000000001</v>
      </c>
      <c r="Q52" s="104">
        <v>203.626</v>
      </c>
      <c r="R52" s="104">
        <v>220.279</v>
      </c>
      <c r="S52" s="30">
        <f t="shared" si="161"/>
        <v>426.17700000000002</v>
      </c>
      <c r="T52" s="104">
        <v>283.726</v>
      </c>
      <c r="V52" s="30">
        <f t="shared" si="145"/>
        <v>199.08500000000001</v>
      </c>
      <c r="W52" s="30">
        <f t="shared" si="146"/>
        <v>236.23400000000001</v>
      </c>
      <c r="X52" s="30">
        <f t="shared" si="147"/>
        <v>307.286</v>
      </c>
      <c r="Y52" s="30">
        <f t="shared" si="148"/>
        <v>293.38799999999998</v>
      </c>
      <c r="Z52" s="30">
        <f t="shared" si="149"/>
        <v>353.02800000000002</v>
      </c>
      <c r="AA52" s="30">
        <f t="shared" si="150"/>
        <v>308.39400000000001</v>
      </c>
      <c r="AB52" s="30">
        <f t="shared" si="151"/>
        <v>203.626</v>
      </c>
      <c r="AC52" s="30">
        <f t="shared" si="152"/>
        <v>220.279</v>
      </c>
      <c r="AD52" s="30">
        <f t="shared" si="153"/>
        <v>426.17700000000002</v>
      </c>
      <c r="AE52" s="30">
        <f t="shared" si="154"/>
        <v>283.726</v>
      </c>
      <c r="AF52" s="11"/>
      <c r="AG52" s="67"/>
    </row>
    <row r="53" spans="2:33" ht="12.75" customHeight="1">
      <c r="B53" s="9" t="s">
        <v>81</v>
      </c>
      <c r="C53" s="75">
        <v>539.53399999999999</v>
      </c>
      <c r="D53" s="75">
        <v>542.57100000000003</v>
      </c>
      <c r="E53" s="75">
        <v>533.43899999999996</v>
      </c>
      <c r="F53" s="75">
        <v>534.15599999999995</v>
      </c>
      <c r="H53" s="104">
        <v>525</v>
      </c>
      <c r="I53" s="104">
        <v>527.63</v>
      </c>
      <c r="J53" s="104">
        <v>537.12599999999998</v>
      </c>
      <c r="K53" s="81">
        <f t="shared" si="159"/>
        <v>542.57100000000003</v>
      </c>
      <c r="L53" s="104">
        <v>536.41800000000001</v>
      </c>
      <c r="M53" s="104">
        <v>541.15599999999995</v>
      </c>
      <c r="N53" s="104">
        <v>535.81799999999998</v>
      </c>
      <c r="O53" s="81">
        <f t="shared" si="160"/>
        <v>533.43899999999996</v>
      </c>
      <c r="P53" s="104">
        <v>536.745</v>
      </c>
      <c r="Q53" s="104">
        <v>521.69899999999996</v>
      </c>
      <c r="R53" s="104">
        <v>522.346</v>
      </c>
      <c r="S53" s="30">
        <f t="shared" si="161"/>
        <v>534.15599999999995</v>
      </c>
      <c r="T53" s="104">
        <v>529.91</v>
      </c>
      <c r="V53" s="30">
        <f t="shared" si="145"/>
        <v>542.57100000000003</v>
      </c>
      <c r="W53" s="30">
        <f t="shared" si="146"/>
        <v>536.41800000000001</v>
      </c>
      <c r="X53" s="30">
        <f t="shared" si="147"/>
        <v>541.15599999999995</v>
      </c>
      <c r="Y53" s="30">
        <f t="shared" si="148"/>
        <v>535.81799999999998</v>
      </c>
      <c r="Z53" s="30">
        <f t="shared" si="149"/>
        <v>533.43899999999996</v>
      </c>
      <c r="AA53" s="30">
        <f t="shared" si="150"/>
        <v>536.745</v>
      </c>
      <c r="AB53" s="30">
        <f t="shared" si="151"/>
        <v>521.69899999999996</v>
      </c>
      <c r="AC53" s="30">
        <f t="shared" si="152"/>
        <v>522.346</v>
      </c>
      <c r="AD53" s="30">
        <f t="shared" si="153"/>
        <v>534.15599999999995</v>
      </c>
      <c r="AE53" s="30">
        <f t="shared" si="154"/>
        <v>529.91</v>
      </c>
      <c r="AF53" s="11"/>
      <c r="AG53" s="67"/>
    </row>
    <row r="54" spans="2:33" ht="12.75" customHeight="1">
      <c r="B54" s="9" t="s">
        <v>152</v>
      </c>
      <c r="C54" s="75">
        <v>171.482</v>
      </c>
      <c r="D54" s="75">
        <v>290.13499999999999</v>
      </c>
      <c r="E54" s="75">
        <v>427.68599999999998</v>
      </c>
      <c r="F54" s="75">
        <v>572.63699999999994</v>
      </c>
      <c r="H54" s="104">
        <v>208.46</v>
      </c>
      <c r="I54" s="104">
        <v>248.93899999999999</v>
      </c>
      <c r="J54" s="104">
        <v>277.15600000000001</v>
      </c>
      <c r="K54" s="81">
        <f t="shared" si="159"/>
        <v>290.13499999999999</v>
      </c>
      <c r="L54" s="104">
        <v>338.74900000000002</v>
      </c>
      <c r="M54" s="104">
        <v>369.85399999999998</v>
      </c>
      <c r="N54" s="104">
        <v>401.53500000000003</v>
      </c>
      <c r="O54" s="81">
        <f t="shared" si="160"/>
        <v>427.68599999999998</v>
      </c>
      <c r="P54" s="104">
        <v>473.01900000000001</v>
      </c>
      <c r="Q54" s="104">
        <v>506.334</v>
      </c>
      <c r="R54" s="104">
        <v>543.327</v>
      </c>
      <c r="S54" s="30">
        <f t="shared" si="161"/>
        <v>572.63699999999994</v>
      </c>
      <c r="T54" s="104">
        <v>613.93799999999999</v>
      </c>
      <c r="V54" s="30">
        <f t="shared" si="145"/>
        <v>290.13499999999999</v>
      </c>
      <c r="W54" s="30">
        <f t="shared" si="146"/>
        <v>338.74900000000002</v>
      </c>
      <c r="X54" s="30">
        <f t="shared" si="147"/>
        <v>369.85399999999998</v>
      </c>
      <c r="Y54" s="30">
        <f t="shared" si="148"/>
        <v>401.53500000000003</v>
      </c>
      <c r="Z54" s="30">
        <f t="shared" si="149"/>
        <v>427.68599999999998</v>
      </c>
      <c r="AA54" s="30">
        <f t="shared" si="150"/>
        <v>473.01900000000001</v>
      </c>
      <c r="AB54" s="30">
        <f t="shared" si="151"/>
        <v>506.334</v>
      </c>
      <c r="AC54" s="30">
        <f t="shared" si="152"/>
        <v>543.327</v>
      </c>
      <c r="AD54" s="30">
        <f t="shared" si="153"/>
        <v>572.63699999999994</v>
      </c>
      <c r="AE54" s="30">
        <f t="shared" si="154"/>
        <v>613.93799999999999</v>
      </c>
      <c r="AF54" s="11"/>
      <c r="AG54" s="67"/>
    </row>
    <row r="55" spans="2:33" ht="12.75" customHeight="1">
      <c r="B55" s="9" t="s">
        <v>83</v>
      </c>
      <c r="C55" s="75">
        <v>623.70500000000004</v>
      </c>
      <c r="D55" s="75">
        <v>490.71999999999997</v>
      </c>
      <c r="E55" s="75">
        <v>417.44399999999996</v>
      </c>
      <c r="F55" s="75">
        <v>365.505</v>
      </c>
      <c r="H55" s="104">
        <v>597.29</v>
      </c>
      <c r="I55" s="104">
        <v>573.096</v>
      </c>
      <c r="J55" s="104">
        <v>517.9</v>
      </c>
      <c r="K55" s="81">
        <f t="shared" si="159"/>
        <v>490.71999999999997</v>
      </c>
      <c r="L55" s="104">
        <v>468.12700000000001</v>
      </c>
      <c r="M55" s="104">
        <v>508.00900000000001</v>
      </c>
      <c r="N55" s="104">
        <v>397.14599999999996</v>
      </c>
      <c r="O55" s="81">
        <f t="shared" si="160"/>
        <v>417.44399999999996</v>
      </c>
      <c r="P55" s="104">
        <v>402.46300000000002</v>
      </c>
      <c r="Q55" s="104">
        <v>413.24099999999999</v>
      </c>
      <c r="R55" s="104">
        <v>378.64600000000002</v>
      </c>
      <c r="S55" s="30">
        <f t="shared" si="161"/>
        <v>365.505</v>
      </c>
      <c r="T55" s="104">
        <v>331.55200000000002</v>
      </c>
      <c r="V55" s="30">
        <f t="shared" si="145"/>
        <v>490.71999999999997</v>
      </c>
      <c r="W55" s="30">
        <f t="shared" si="146"/>
        <v>468.12700000000001</v>
      </c>
      <c r="X55" s="30">
        <f t="shared" si="147"/>
        <v>508.00900000000001</v>
      </c>
      <c r="Y55" s="30">
        <f t="shared" si="148"/>
        <v>397.14599999999996</v>
      </c>
      <c r="Z55" s="30">
        <f t="shared" si="149"/>
        <v>417.44399999999996</v>
      </c>
      <c r="AA55" s="30">
        <f t="shared" si="150"/>
        <v>402.46300000000002</v>
      </c>
      <c r="AB55" s="30">
        <f t="shared" si="151"/>
        <v>413.24099999999999</v>
      </c>
      <c r="AC55" s="30">
        <f t="shared" si="152"/>
        <v>378.64600000000002</v>
      </c>
      <c r="AD55" s="30">
        <f t="shared" si="153"/>
        <v>365.505</v>
      </c>
      <c r="AE55" s="30">
        <f t="shared" si="154"/>
        <v>331.55200000000002</v>
      </c>
      <c r="AF55" s="11"/>
      <c r="AG55" s="67"/>
    </row>
    <row r="56" spans="2:33" ht="12.75" customHeight="1">
      <c r="B56" s="12" t="s">
        <v>19</v>
      </c>
      <c r="C56" s="13">
        <f>SUM(C47:C55)</f>
        <v>6973.7919999999995</v>
      </c>
      <c r="D56" s="13">
        <f>SUM(D47:D55)</f>
        <v>8155.6150000000007</v>
      </c>
      <c r="E56" s="13">
        <f>SUM(E47:E55)</f>
        <v>9519.6189999999988</v>
      </c>
      <c r="F56" s="13">
        <f>SUM(F47:F55)</f>
        <v>11154.928</v>
      </c>
      <c r="H56" s="13">
        <f>SUM(H47:H55)</f>
        <v>7165.0599999999995</v>
      </c>
      <c r="I56" s="13">
        <f>SUM(I47:I55)</f>
        <v>7804.7510000000002</v>
      </c>
      <c r="J56" s="13">
        <f>SUM(J47:J55)</f>
        <v>7507.8490000000002</v>
      </c>
      <c r="K56" s="13">
        <f>SUM(K47:K55)</f>
        <v>8155.6150000000007</v>
      </c>
      <c r="L56" s="13">
        <f>SUM(L47:L55)</f>
        <v>8407.1489999999994</v>
      </c>
      <c r="M56" s="13">
        <f>SUM(M47:M55)</f>
        <v>9064.9889999999996</v>
      </c>
      <c r="N56" s="13">
        <f>SUM(N47:N55)</f>
        <v>9201.4260000000013</v>
      </c>
      <c r="O56" s="13">
        <f>SUM(O47:O55)</f>
        <v>9519.6189999999988</v>
      </c>
      <c r="P56" s="13">
        <f>SUM(P47:P55)</f>
        <v>10139.156000000001</v>
      </c>
      <c r="Q56" s="13">
        <f>SUM(Q47:Q55)</f>
        <v>10481.077000000001</v>
      </c>
      <c r="R56" s="13">
        <f>SUM(R47:R55)</f>
        <v>10436.187</v>
      </c>
      <c r="S56" s="13">
        <f>SUM(S47:S55)</f>
        <v>11154.928</v>
      </c>
      <c r="T56" s="13">
        <f>SUM(T47:T55)</f>
        <v>11478.565999999999</v>
      </c>
      <c r="V56" s="13">
        <f>SUM(V47:V55)</f>
        <v>8155.6150000000007</v>
      </c>
      <c r="W56" s="13">
        <f>SUM(W47:W55)</f>
        <v>8407.1489999999994</v>
      </c>
      <c r="X56" s="13">
        <f>SUM(X47:X55)</f>
        <v>9064.9889999999996</v>
      </c>
      <c r="Y56" s="13">
        <f>SUM(Y47:Y55)</f>
        <v>9201.4260000000013</v>
      </c>
      <c r="Z56" s="13">
        <f>SUM(Z47:Z55)</f>
        <v>9519.6189999999988</v>
      </c>
      <c r="AA56" s="13">
        <f>SUM(AA47:AA55)</f>
        <v>10139.156000000001</v>
      </c>
      <c r="AB56" s="13">
        <f>SUM(AB47:AB55)</f>
        <v>10481.077000000001</v>
      </c>
      <c r="AC56" s="13">
        <f>SUM(AC47:AC55)</f>
        <v>10436.187</v>
      </c>
      <c r="AD56" s="13">
        <f>SUM(AD47:AD55)</f>
        <v>11154.928</v>
      </c>
      <c r="AE56" s="13">
        <f>SUM(AE47:AE55)</f>
        <v>11478.565999999999</v>
      </c>
      <c r="AF56" s="39"/>
      <c r="AG56" s="68">
        <f>SUM(AE56/AA56)-1</f>
        <v>0.13210271150774267</v>
      </c>
    </row>
    <row r="57" spans="2:33" ht="12.75" customHeight="1">
      <c r="B57" s="23"/>
      <c r="C57" s="46"/>
      <c r="D57" s="38"/>
      <c r="E57" s="38"/>
      <c r="F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6"/>
    </row>
    <row r="58" spans="2:33">
      <c r="B58" s="71" t="s">
        <v>17</v>
      </c>
      <c r="C58" s="46"/>
      <c r="D58" s="38"/>
      <c r="E58" s="38"/>
      <c r="F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6"/>
    </row>
    <row r="59" spans="2:33" ht="12.75" customHeight="1">
      <c r="B59" s="103" t="s">
        <v>13</v>
      </c>
      <c r="C59" s="75">
        <v>33.072000000000003</v>
      </c>
      <c r="D59" s="75">
        <v>28.602</v>
      </c>
      <c r="E59" s="75">
        <v>41.018999999999998</v>
      </c>
      <c r="F59" s="75">
        <v>82.82</v>
      </c>
      <c r="H59" s="104">
        <v>34.533999999999999</v>
      </c>
      <c r="I59" s="104">
        <v>28.974</v>
      </c>
      <c r="J59" s="104">
        <v>30.021999999999998</v>
      </c>
      <c r="K59" s="81">
        <f t="shared" ref="K59:K65" si="162">D59</f>
        <v>28.602</v>
      </c>
      <c r="L59" s="104">
        <v>27.344999999999999</v>
      </c>
      <c r="M59" s="104">
        <v>59.8</v>
      </c>
      <c r="N59" s="104">
        <v>35.223999999999997</v>
      </c>
      <c r="O59" s="81">
        <f t="shared" ref="O59:O65" si="163">E59</f>
        <v>41.018999999999998</v>
      </c>
      <c r="P59" s="104">
        <v>57.561</v>
      </c>
      <c r="Q59" s="104">
        <v>50.625999999999998</v>
      </c>
      <c r="R59" s="104">
        <v>41.057000000000002</v>
      </c>
      <c r="S59" s="30">
        <f t="shared" ref="S59:S64" si="164">F59</f>
        <v>82.82</v>
      </c>
      <c r="T59" s="104">
        <v>58.018999999999998</v>
      </c>
      <c r="V59" s="30">
        <f t="shared" ref="V59:V62" si="165">K59</f>
        <v>28.602</v>
      </c>
      <c r="W59" s="30">
        <f t="shared" ref="W59:W62" si="166">L59</f>
        <v>27.344999999999999</v>
      </c>
      <c r="X59" s="30">
        <f t="shared" ref="X59:X62" si="167">M59</f>
        <v>59.8</v>
      </c>
      <c r="Y59" s="30">
        <f t="shared" ref="Y59:Y62" si="168">N59</f>
        <v>35.223999999999997</v>
      </c>
      <c r="Z59" s="30">
        <f t="shared" ref="Z59:Z62" si="169">O59</f>
        <v>41.018999999999998</v>
      </c>
      <c r="AA59" s="30">
        <f t="shared" ref="AA59:AA62" si="170">P59</f>
        <v>57.561</v>
      </c>
      <c r="AB59" s="30">
        <f t="shared" ref="AB59:AB62" si="171">Q59</f>
        <v>50.625999999999998</v>
      </c>
      <c r="AC59" s="30">
        <f t="shared" ref="AC59:AC62" si="172">R59</f>
        <v>41.057000000000002</v>
      </c>
      <c r="AD59" s="30">
        <f t="shared" ref="AD59:AD62" si="173">S59</f>
        <v>82.82</v>
      </c>
      <c r="AE59" s="30">
        <f t="shared" ref="AE59:AE62" si="174">T59</f>
        <v>58.018999999999998</v>
      </c>
      <c r="AF59" s="39"/>
      <c r="AG59" s="67">
        <f t="shared" ref="AG59" si="175">SUM(AE59/AA59)-1</f>
        <v>7.9567762895016436E-3</v>
      </c>
    </row>
    <row r="60" spans="2:33" ht="12.75" customHeight="1">
      <c r="B60" s="103" t="s">
        <v>153</v>
      </c>
      <c r="C60" s="75">
        <v>71.382999999999996</v>
      </c>
      <c r="D60" s="75">
        <v>53.851999999999997</v>
      </c>
      <c r="E60" s="75">
        <v>159.643</v>
      </c>
      <c r="F60" s="75">
        <v>211.7</v>
      </c>
      <c r="H60" s="104">
        <v>90.811000000000007</v>
      </c>
      <c r="I60" s="104">
        <v>127.378</v>
      </c>
      <c r="J60" s="104">
        <v>44.186999999999998</v>
      </c>
      <c r="K60" s="81">
        <f t="shared" si="162"/>
        <v>53.851999999999997</v>
      </c>
      <c r="L60" s="104">
        <v>109.498</v>
      </c>
      <c r="M60" s="104">
        <v>134.56700000000001</v>
      </c>
      <c r="N60" s="104">
        <v>129.72999999999999</v>
      </c>
      <c r="O60" s="81">
        <f t="shared" si="163"/>
        <v>159.643</v>
      </c>
      <c r="P60" s="104">
        <v>152.035</v>
      </c>
      <c r="Q60" s="104">
        <v>157.245</v>
      </c>
      <c r="R60" s="104">
        <v>176.99600000000001</v>
      </c>
      <c r="S60" s="30">
        <f t="shared" si="164"/>
        <v>211.7</v>
      </c>
      <c r="T60" s="104">
        <v>193.79</v>
      </c>
      <c r="V60" s="30">
        <f t="shared" si="165"/>
        <v>53.851999999999997</v>
      </c>
      <c r="W60" s="30">
        <f t="shared" si="166"/>
        <v>109.498</v>
      </c>
      <c r="X60" s="30">
        <f t="shared" si="167"/>
        <v>134.56700000000001</v>
      </c>
      <c r="Y60" s="30">
        <f t="shared" si="168"/>
        <v>129.72999999999999</v>
      </c>
      <c r="Z60" s="30">
        <f t="shared" si="169"/>
        <v>159.643</v>
      </c>
      <c r="AA60" s="30">
        <f t="shared" si="170"/>
        <v>152.035</v>
      </c>
      <c r="AB60" s="30">
        <f t="shared" si="171"/>
        <v>157.245</v>
      </c>
      <c r="AC60" s="30">
        <f t="shared" si="172"/>
        <v>176.99600000000001</v>
      </c>
      <c r="AD60" s="30">
        <f t="shared" si="173"/>
        <v>211.7</v>
      </c>
      <c r="AE60" s="30">
        <f t="shared" si="174"/>
        <v>193.79</v>
      </c>
      <c r="AF60" s="39"/>
      <c r="AG60" s="67"/>
    </row>
    <row r="61" spans="2:33" ht="12.75" customHeight="1">
      <c r="B61" s="103" t="s">
        <v>134</v>
      </c>
      <c r="C61" s="75">
        <v>6.6589999999999998</v>
      </c>
      <c r="D61" s="75">
        <v>13.497999999999999</v>
      </c>
      <c r="E61" s="75">
        <v>24.327000000000002</v>
      </c>
      <c r="F61" s="75">
        <v>24.465</v>
      </c>
      <c r="H61" s="104">
        <v>5.2919999999999998</v>
      </c>
      <c r="I61" s="104">
        <v>11.971</v>
      </c>
      <c r="J61" s="104">
        <v>13.826000000000001</v>
      </c>
      <c r="K61" s="81">
        <f t="shared" si="162"/>
        <v>13.497999999999999</v>
      </c>
      <c r="L61" s="104">
        <v>19.588999999999999</v>
      </c>
      <c r="M61" s="104">
        <v>22.181000000000001</v>
      </c>
      <c r="N61" s="104">
        <v>22.815999999999999</v>
      </c>
      <c r="O61" s="81">
        <f t="shared" si="163"/>
        <v>24.327000000000002</v>
      </c>
      <c r="P61" s="104">
        <v>24.484000000000002</v>
      </c>
      <c r="Q61" s="104">
        <v>25.356999999999999</v>
      </c>
      <c r="R61" s="104">
        <v>23.943999999999999</v>
      </c>
      <c r="S61" s="30">
        <f t="shared" si="164"/>
        <v>24.465</v>
      </c>
      <c r="T61" s="104">
        <v>25.649000000000001</v>
      </c>
      <c r="V61" s="30">
        <f t="shared" si="165"/>
        <v>13.497999999999999</v>
      </c>
      <c r="W61" s="30">
        <f t="shared" si="166"/>
        <v>19.588999999999999</v>
      </c>
      <c r="X61" s="30">
        <f t="shared" si="167"/>
        <v>22.181000000000001</v>
      </c>
      <c r="Y61" s="30">
        <f t="shared" si="168"/>
        <v>22.815999999999999</v>
      </c>
      <c r="Z61" s="30">
        <f t="shared" si="169"/>
        <v>24.327000000000002</v>
      </c>
      <c r="AA61" s="30">
        <f t="shared" si="170"/>
        <v>24.484000000000002</v>
      </c>
      <c r="AB61" s="30">
        <f t="shared" si="171"/>
        <v>25.356999999999999</v>
      </c>
      <c r="AC61" s="30">
        <f t="shared" si="172"/>
        <v>23.943999999999999</v>
      </c>
      <c r="AD61" s="30">
        <f t="shared" si="173"/>
        <v>24.465</v>
      </c>
      <c r="AE61" s="30">
        <f t="shared" si="174"/>
        <v>25.649000000000001</v>
      </c>
      <c r="AF61" s="39"/>
      <c r="AG61" s="67"/>
    </row>
    <row r="62" spans="2:33" ht="12.75" customHeight="1">
      <c r="B62" s="103" t="s">
        <v>135</v>
      </c>
      <c r="C62" s="75">
        <v>237.59800000000001</v>
      </c>
      <c r="D62" s="75">
        <v>180.88300000000001</v>
      </c>
      <c r="E62" s="75">
        <v>147.429</v>
      </c>
      <c r="F62" s="75">
        <v>157.27199999999999</v>
      </c>
      <c r="H62" s="104">
        <v>249.81200000000001</v>
      </c>
      <c r="I62" s="104">
        <v>220.619</v>
      </c>
      <c r="J62" s="104">
        <v>192.36</v>
      </c>
      <c r="K62" s="81">
        <f t="shared" si="162"/>
        <v>180.88300000000001</v>
      </c>
      <c r="L62" s="104">
        <v>160.328</v>
      </c>
      <c r="M62" s="104">
        <v>150.27199999999999</v>
      </c>
      <c r="N62" s="104">
        <v>150.16200000000001</v>
      </c>
      <c r="O62" s="81">
        <f t="shared" si="163"/>
        <v>147.429</v>
      </c>
      <c r="P62" s="104">
        <v>137.464</v>
      </c>
      <c r="Q62" s="104">
        <v>155.56800000000001</v>
      </c>
      <c r="R62" s="104">
        <v>173.62899999999999</v>
      </c>
      <c r="S62" s="30">
        <f t="shared" si="164"/>
        <v>157.27199999999999</v>
      </c>
      <c r="T62" s="104">
        <v>165.83</v>
      </c>
      <c r="V62" s="30">
        <f t="shared" ref="V59:V65" si="176">K62</f>
        <v>180.88300000000001</v>
      </c>
      <c r="W62" s="30">
        <f t="shared" ref="W59:W65" si="177">L62</f>
        <v>160.328</v>
      </c>
      <c r="X62" s="30">
        <f t="shared" ref="X59:X65" si="178">M62</f>
        <v>150.27199999999999</v>
      </c>
      <c r="Y62" s="30">
        <f t="shared" ref="Y59:Y65" si="179">N62</f>
        <v>150.16200000000001</v>
      </c>
      <c r="Z62" s="30">
        <f t="shared" ref="Z59:Z65" si="180">O62</f>
        <v>147.429</v>
      </c>
      <c r="AA62" s="30">
        <f t="shared" ref="AA59:AA65" si="181">P62</f>
        <v>137.464</v>
      </c>
      <c r="AB62" s="30">
        <f t="shared" ref="AB59:AB65" si="182">Q62</f>
        <v>155.56800000000001</v>
      </c>
      <c r="AC62" s="30">
        <f t="shared" ref="AC59:AC65" si="183">R62</f>
        <v>173.62899999999999</v>
      </c>
      <c r="AD62" s="30">
        <f t="shared" ref="AD59:AD65" si="184">S62</f>
        <v>157.27199999999999</v>
      </c>
      <c r="AE62" s="30">
        <f t="shared" ref="AE59:AE65" si="185">T62</f>
        <v>165.83</v>
      </c>
      <c r="AF62" s="39"/>
      <c r="AG62" s="67">
        <f t="shared" ref="AG62:AG65" si="186">SUM(AE62/AA62)-1</f>
        <v>0.2063522085782461</v>
      </c>
    </row>
    <row r="63" spans="2:33" ht="12.75" customHeight="1">
      <c r="B63" s="103" t="s">
        <v>154</v>
      </c>
      <c r="C63" s="75">
        <v>1706.6679999999999</v>
      </c>
      <c r="D63" s="75">
        <v>1414.2080000000001</v>
      </c>
      <c r="E63" s="75">
        <v>1341.43</v>
      </c>
      <c r="F63" s="75">
        <v>1153</v>
      </c>
      <c r="H63" s="104">
        <v>1707.7239999999999</v>
      </c>
      <c r="I63" s="104">
        <v>1708.779</v>
      </c>
      <c r="J63" s="104">
        <v>1413.345</v>
      </c>
      <c r="K63" s="81">
        <f t="shared" si="162"/>
        <v>1414.2080000000001</v>
      </c>
      <c r="L63" s="104">
        <v>1415.08</v>
      </c>
      <c r="M63" s="104">
        <v>1415.952</v>
      </c>
      <c r="N63" s="104">
        <v>1385.8910000000001</v>
      </c>
      <c r="O63" s="81">
        <f t="shared" si="163"/>
        <v>1341.43</v>
      </c>
      <c r="P63" s="104">
        <v>1202.519</v>
      </c>
      <c r="Q63" s="104">
        <v>1151.048</v>
      </c>
      <c r="R63" s="104">
        <v>1152.019</v>
      </c>
      <c r="S63" s="30">
        <f t="shared" si="164"/>
        <v>1153</v>
      </c>
      <c r="T63" s="104">
        <v>1127.6679999999999</v>
      </c>
      <c r="V63" s="30">
        <f t="shared" si="176"/>
        <v>1414.2080000000001</v>
      </c>
      <c r="W63" s="30">
        <f t="shared" si="177"/>
        <v>1415.08</v>
      </c>
      <c r="X63" s="30">
        <f t="shared" si="178"/>
        <v>1415.952</v>
      </c>
      <c r="Y63" s="30">
        <f t="shared" si="179"/>
        <v>1385.8910000000001</v>
      </c>
      <c r="Z63" s="30">
        <f t="shared" si="180"/>
        <v>1341.43</v>
      </c>
      <c r="AA63" s="30">
        <f t="shared" si="181"/>
        <v>1202.519</v>
      </c>
      <c r="AB63" s="30">
        <f t="shared" si="182"/>
        <v>1151.048</v>
      </c>
      <c r="AC63" s="30">
        <f t="shared" si="183"/>
        <v>1152.019</v>
      </c>
      <c r="AD63" s="30">
        <f t="shared" si="184"/>
        <v>1153</v>
      </c>
      <c r="AE63" s="30">
        <f t="shared" si="185"/>
        <v>1127.6679999999999</v>
      </c>
      <c r="AF63" s="39"/>
      <c r="AG63" s="67">
        <f t="shared" si="186"/>
        <v>-6.2245170346580947E-2</v>
      </c>
    </row>
    <row r="64" spans="2:33" ht="12.75" customHeight="1">
      <c r="B64" s="103" t="s">
        <v>155</v>
      </c>
      <c r="C64" s="75">
        <v>1627.58</v>
      </c>
      <c r="D64" s="75">
        <v>2165.5770000000002</v>
      </c>
      <c r="E64" s="75">
        <v>3236.873</v>
      </c>
      <c r="F64" s="75">
        <v>4833.8549999999996</v>
      </c>
      <c r="H64" s="104">
        <v>1720.8119999999999</v>
      </c>
      <c r="I64" s="104">
        <v>1314.212</v>
      </c>
      <c r="J64" s="104">
        <v>1788.8530000000001</v>
      </c>
      <c r="K64" s="81">
        <f t="shared" si="162"/>
        <v>2165.5770000000002</v>
      </c>
      <c r="L64" s="104">
        <v>2398.7579999999998</v>
      </c>
      <c r="M64" s="104">
        <v>2740.6559999999999</v>
      </c>
      <c r="N64" s="104">
        <v>3240.8710000000001</v>
      </c>
      <c r="O64" s="81">
        <f t="shared" si="163"/>
        <v>3236.873</v>
      </c>
      <c r="P64" s="104">
        <v>3985.4839999999999</v>
      </c>
      <c r="Q64" s="104">
        <v>3988.8870000000002</v>
      </c>
      <c r="R64" s="104">
        <v>4084.9340000000002</v>
      </c>
      <c r="S64" s="30">
        <f t="shared" si="164"/>
        <v>4833.8549999999996</v>
      </c>
      <c r="T64" s="104">
        <v>4830.8190000000004</v>
      </c>
      <c r="V64" s="30">
        <f t="shared" si="176"/>
        <v>2165.5770000000002</v>
      </c>
      <c r="W64" s="30">
        <f t="shared" si="177"/>
        <v>2398.7579999999998</v>
      </c>
      <c r="X64" s="30">
        <f t="shared" si="178"/>
        <v>2740.6559999999999</v>
      </c>
      <c r="Y64" s="30">
        <f t="shared" si="179"/>
        <v>3240.8710000000001</v>
      </c>
      <c r="Z64" s="30">
        <f t="shared" si="180"/>
        <v>3236.873</v>
      </c>
      <c r="AA64" s="30">
        <f t="shared" si="181"/>
        <v>3985.4839999999999</v>
      </c>
      <c r="AB64" s="30">
        <f t="shared" si="182"/>
        <v>3988.8870000000002</v>
      </c>
      <c r="AC64" s="30">
        <f t="shared" si="183"/>
        <v>4084.9340000000002</v>
      </c>
      <c r="AD64" s="30">
        <f t="shared" si="184"/>
        <v>4833.8549999999996</v>
      </c>
      <c r="AE64" s="30">
        <f t="shared" si="185"/>
        <v>4830.8190000000004</v>
      </c>
      <c r="AF64" s="39"/>
      <c r="AG64" s="67">
        <f t="shared" si="186"/>
        <v>0.21210347350535108</v>
      </c>
    </row>
    <row r="65" spans="1:33" ht="12.75" customHeight="1">
      <c r="B65" s="103" t="s">
        <v>156</v>
      </c>
      <c r="C65" s="75">
        <v>672.577</v>
      </c>
      <c r="D65" s="75">
        <v>1764.8119999999999</v>
      </c>
      <c r="E65" s="75">
        <v>1836.9090000000001</v>
      </c>
      <c r="F65" s="75">
        <v>1622.808</v>
      </c>
      <c r="H65" s="104">
        <v>792.63699999999994</v>
      </c>
      <c r="I65" s="104">
        <v>1882.67</v>
      </c>
      <c r="J65" s="104">
        <v>1514.12</v>
      </c>
      <c r="K65" s="81">
        <f t="shared" ref="K65" si="187">D65</f>
        <v>1764.8119999999999</v>
      </c>
      <c r="L65" s="104">
        <v>1709.751</v>
      </c>
      <c r="M65" s="104">
        <v>1906.672</v>
      </c>
      <c r="N65" s="104">
        <v>1613.2719999999999</v>
      </c>
      <c r="O65" s="81">
        <f t="shared" ref="O65" si="188">E65</f>
        <v>1836.9090000000001</v>
      </c>
      <c r="P65" s="104">
        <v>1744.04</v>
      </c>
      <c r="Q65" s="104">
        <v>2166.806</v>
      </c>
      <c r="R65" s="104">
        <v>1908.693</v>
      </c>
      <c r="S65" s="30">
        <f t="shared" ref="S65" si="189">F65</f>
        <v>1622.808</v>
      </c>
      <c r="T65" s="104">
        <v>1777.9059999999999</v>
      </c>
      <c r="V65" s="30">
        <f t="shared" si="176"/>
        <v>1764.8119999999999</v>
      </c>
      <c r="W65" s="30">
        <f t="shared" si="177"/>
        <v>1709.751</v>
      </c>
      <c r="X65" s="30">
        <f t="shared" si="178"/>
        <v>1906.672</v>
      </c>
      <c r="Y65" s="30">
        <f t="shared" si="179"/>
        <v>1613.2719999999999</v>
      </c>
      <c r="Z65" s="30">
        <f t="shared" si="180"/>
        <v>1836.9090000000001</v>
      </c>
      <c r="AA65" s="30">
        <f t="shared" si="181"/>
        <v>1744.04</v>
      </c>
      <c r="AB65" s="30">
        <f t="shared" si="182"/>
        <v>2166.806</v>
      </c>
      <c r="AC65" s="30">
        <f t="shared" si="183"/>
        <v>1908.693</v>
      </c>
      <c r="AD65" s="30">
        <f t="shared" si="184"/>
        <v>1622.808</v>
      </c>
      <c r="AE65" s="30">
        <f t="shared" si="185"/>
        <v>1777.9059999999999</v>
      </c>
      <c r="AF65" s="39"/>
      <c r="AG65" s="67">
        <f t="shared" si="186"/>
        <v>1.9418132611637384E-2</v>
      </c>
    </row>
    <row r="66" spans="1:33" ht="12.75" customHeight="1">
      <c r="B66" s="12" t="s">
        <v>17</v>
      </c>
      <c r="C66" s="13">
        <f>SUM(C59:C65)</f>
        <v>4355.5370000000003</v>
      </c>
      <c r="D66" s="13">
        <f>SUM(D59:D65)</f>
        <v>5621.4320000000007</v>
      </c>
      <c r="E66" s="13">
        <f>SUM(E59:E65)</f>
        <v>6787.6299999999992</v>
      </c>
      <c r="F66" s="13">
        <f>SUM(F59:F65)</f>
        <v>8085.9199999999992</v>
      </c>
      <c r="H66" s="13">
        <f>SUM(H59:H65)</f>
        <v>4601.6219999999994</v>
      </c>
      <c r="I66" s="13">
        <f>SUM(I59:I65)</f>
        <v>5294.6030000000001</v>
      </c>
      <c r="J66" s="13">
        <f>SUM(J59:J65)</f>
        <v>4996.7129999999997</v>
      </c>
      <c r="K66" s="13">
        <f>SUM(K59:K65)</f>
        <v>5621.4320000000007</v>
      </c>
      <c r="L66" s="13">
        <f>SUM(L59:L65)</f>
        <v>5840.3490000000002</v>
      </c>
      <c r="M66" s="13">
        <f>SUM(M59:M65)</f>
        <v>6430.1</v>
      </c>
      <c r="N66" s="13">
        <f>SUM(N59:N65)</f>
        <v>6577.9660000000003</v>
      </c>
      <c r="O66" s="13">
        <f>SUM(O59:O65)</f>
        <v>6787.6299999999992</v>
      </c>
      <c r="P66" s="13">
        <f>SUM(P59:P65)</f>
        <v>7303.5870000000004</v>
      </c>
      <c r="Q66" s="13">
        <f>SUM(Q59:Q65)</f>
        <v>7695.5370000000003</v>
      </c>
      <c r="R66" s="13">
        <f>SUM(R59:R65)</f>
        <v>7561.2719999999999</v>
      </c>
      <c r="S66" s="13">
        <f>SUM(S59:S65)</f>
        <v>8085.9199999999992</v>
      </c>
      <c r="T66" s="13">
        <f>SUM(T59:T65)</f>
        <v>8179.6810000000005</v>
      </c>
      <c r="V66" s="13">
        <f>SUM(V59:V65)</f>
        <v>5621.4320000000007</v>
      </c>
      <c r="W66" s="13">
        <f>SUM(W59:W65)</f>
        <v>5840.3490000000002</v>
      </c>
      <c r="X66" s="13">
        <f>SUM(X59:X65)</f>
        <v>6430.1</v>
      </c>
      <c r="Y66" s="13">
        <f>SUM(Y59:Y65)</f>
        <v>6577.9660000000003</v>
      </c>
      <c r="Z66" s="13">
        <f>SUM(Z59:Z65)</f>
        <v>6787.6299999999992</v>
      </c>
      <c r="AA66" s="13">
        <f>SUM(AA59:AA65)</f>
        <v>7303.5870000000004</v>
      </c>
      <c r="AB66" s="13">
        <f>SUM(AB59:AB65)</f>
        <v>7695.5370000000003</v>
      </c>
      <c r="AC66" s="13">
        <f>SUM(AC59:AC65)</f>
        <v>7561.2719999999999</v>
      </c>
      <c r="AD66" s="13">
        <f>SUM(AD59:AD65)</f>
        <v>8085.9199999999992</v>
      </c>
      <c r="AE66" s="13">
        <f>SUM(AE59:AE65)</f>
        <v>8179.6810000000005</v>
      </c>
      <c r="AF66" s="39"/>
      <c r="AG66" s="68">
        <f>SUM(AE66/AA66)-1</f>
        <v>0.11995393496373774</v>
      </c>
    </row>
    <row r="67" spans="1:33" ht="5.0999999999999996" customHeight="1">
      <c r="B67" s="23"/>
      <c r="C67" s="45"/>
      <c r="D67" s="38"/>
      <c r="E67" s="38"/>
      <c r="F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6"/>
    </row>
    <row r="68" spans="1:33" ht="12.75" customHeight="1">
      <c r="B68" s="103" t="s">
        <v>157</v>
      </c>
      <c r="C68" s="75">
        <v>2E-3</v>
      </c>
      <c r="D68" s="75">
        <v>2E-3</v>
      </c>
      <c r="E68" s="75">
        <v>2E-3</v>
      </c>
      <c r="F68" s="75">
        <v>2E-3</v>
      </c>
      <c r="H68" s="104">
        <v>2E-3</v>
      </c>
      <c r="I68" s="104">
        <v>2E-3</v>
      </c>
      <c r="J68" s="104">
        <v>2E-3</v>
      </c>
      <c r="K68" s="81">
        <f t="shared" ref="K68:K72" si="190">D68</f>
        <v>2E-3</v>
      </c>
      <c r="L68" s="104">
        <v>2E-3</v>
      </c>
      <c r="M68" s="104">
        <v>2E-3</v>
      </c>
      <c r="N68" s="104">
        <v>2E-3</v>
      </c>
      <c r="O68" s="81">
        <f t="shared" ref="O68:O72" si="191">E68</f>
        <v>2E-3</v>
      </c>
      <c r="P68" s="104">
        <v>2E-3</v>
      </c>
      <c r="Q68" s="104">
        <v>2E-3</v>
      </c>
      <c r="R68" s="104">
        <v>2E-3</v>
      </c>
      <c r="S68" s="30">
        <f t="shared" ref="S68:S72" si="192">F68</f>
        <v>2E-3</v>
      </c>
      <c r="T68" s="104">
        <v>2E-3</v>
      </c>
      <c r="V68" s="30">
        <f t="shared" ref="V68:V72" si="193">K68</f>
        <v>2E-3</v>
      </c>
      <c r="W68" s="30">
        <f t="shared" ref="W68:W72" si="194">L68</f>
        <v>2E-3</v>
      </c>
      <c r="X68" s="30">
        <f t="shared" ref="X68:X72" si="195">M68</f>
        <v>2E-3</v>
      </c>
      <c r="Y68" s="30">
        <f t="shared" ref="Y68:Y72" si="196">N68</f>
        <v>2E-3</v>
      </c>
      <c r="Z68" s="30">
        <f t="shared" ref="Z68:Z72" si="197">O68</f>
        <v>2E-3</v>
      </c>
      <c r="AA68" s="30">
        <f t="shared" ref="AA68:AA72" si="198">P68</f>
        <v>2E-3</v>
      </c>
      <c r="AB68" s="30">
        <f t="shared" ref="AB68:AB72" si="199">Q68</f>
        <v>2E-3</v>
      </c>
      <c r="AC68" s="30">
        <f t="shared" ref="AC68:AC72" si="200">R68</f>
        <v>2E-3</v>
      </c>
      <c r="AD68" s="30">
        <f t="shared" ref="AD68:AD72" si="201">S68</f>
        <v>2E-3</v>
      </c>
      <c r="AE68" s="30">
        <f t="shared" ref="AE68:AE72" si="202">T68</f>
        <v>2E-3</v>
      </c>
      <c r="AF68" s="11"/>
      <c r="AG68" s="67">
        <f t="shared" ref="AG68:AG72" si="203">SUM(AE68/AA68)-1</f>
        <v>0</v>
      </c>
    </row>
    <row r="69" spans="1:33" ht="12.75" customHeight="1">
      <c r="B69" s="103" t="s">
        <v>158</v>
      </c>
      <c r="C69" s="75">
        <v>1E-3</v>
      </c>
      <c r="D69" s="75">
        <v>1E-3</v>
      </c>
      <c r="E69" s="75">
        <v>1E-3</v>
      </c>
      <c r="F69" s="75">
        <v>1E-3</v>
      </c>
      <c r="H69" s="104">
        <v>1E-3</v>
      </c>
      <c r="I69" s="104">
        <v>1E-3</v>
      </c>
      <c r="J69" s="104">
        <v>1E-3</v>
      </c>
      <c r="K69" s="81">
        <f t="shared" si="190"/>
        <v>1E-3</v>
      </c>
      <c r="L69" s="104">
        <v>1E-3</v>
      </c>
      <c r="M69" s="104">
        <v>1E-3</v>
      </c>
      <c r="N69" s="104">
        <v>1E-3</v>
      </c>
      <c r="O69" s="81">
        <f t="shared" si="191"/>
        <v>1E-3</v>
      </c>
      <c r="P69" s="104">
        <v>1E-3</v>
      </c>
      <c r="Q69" s="104">
        <v>1E-3</v>
      </c>
      <c r="R69" s="104">
        <v>1E-3</v>
      </c>
      <c r="S69" s="30">
        <f t="shared" si="192"/>
        <v>1E-3</v>
      </c>
      <c r="T69" s="104">
        <v>1E-3</v>
      </c>
      <c r="V69" s="30">
        <f t="shared" si="193"/>
        <v>1E-3</v>
      </c>
      <c r="W69" s="30">
        <f t="shared" si="194"/>
        <v>1E-3</v>
      </c>
      <c r="X69" s="30">
        <f t="shared" si="195"/>
        <v>1E-3</v>
      </c>
      <c r="Y69" s="30">
        <f t="shared" si="196"/>
        <v>1E-3</v>
      </c>
      <c r="Z69" s="30">
        <f t="shared" si="197"/>
        <v>1E-3</v>
      </c>
      <c r="AA69" s="30">
        <f t="shared" si="198"/>
        <v>1E-3</v>
      </c>
      <c r="AB69" s="30">
        <f t="shared" si="199"/>
        <v>1E-3</v>
      </c>
      <c r="AC69" s="30">
        <f t="shared" si="200"/>
        <v>1E-3</v>
      </c>
      <c r="AD69" s="30">
        <f t="shared" si="201"/>
        <v>1E-3</v>
      </c>
      <c r="AE69" s="30">
        <f t="shared" si="202"/>
        <v>1E-3</v>
      </c>
      <c r="AF69" s="11"/>
      <c r="AG69" s="67">
        <f t="shared" si="203"/>
        <v>0</v>
      </c>
    </row>
    <row r="70" spans="1:33" ht="12.75" customHeight="1">
      <c r="B70" s="103" t="s">
        <v>159</v>
      </c>
      <c r="C70" s="75">
        <v>4231.3029999999999</v>
      </c>
      <c r="D70" s="75">
        <v>5147.7649999999994</v>
      </c>
      <c r="E70" s="75">
        <v>5862.5550000000003</v>
      </c>
      <c r="F70" s="75">
        <v>6140.893</v>
      </c>
      <c r="H70" s="104">
        <v>4454.8289999999997</v>
      </c>
      <c r="I70" s="104">
        <v>4716.3850000000002</v>
      </c>
      <c r="J70" s="104">
        <v>4918.7560000000003</v>
      </c>
      <c r="K70" s="81">
        <f t="shared" si="190"/>
        <v>5147.7649999999994</v>
      </c>
      <c r="L70" s="104">
        <v>5355.0320000000002</v>
      </c>
      <c r="M70" s="104">
        <v>5571.9549999999999</v>
      </c>
      <c r="N70" s="104">
        <v>5704.6260000000002</v>
      </c>
      <c r="O70" s="81">
        <f t="shared" si="191"/>
        <v>5862.5550000000003</v>
      </c>
      <c r="P70" s="104">
        <v>6053.9170000000004</v>
      </c>
      <c r="Q70" s="104">
        <v>5961.9560000000001</v>
      </c>
      <c r="R70" s="104">
        <v>6045.4790000000003</v>
      </c>
      <c r="S70" s="30">
        <f t="shared" si="192"/>
        <v>6140.893</v>
      </c>
      <c r="T70" s="104">
        <v>6299.3950000000004</v>
      </c>
      <c r="V70" s="30">
        <f t="shared" si="193"/>
        <v>5147.7649999999994</v>
      </c>
      <c r="W70" s="30">
        <f t="shared" si="194"/>
        <v>5355.0320000000002</v>
      </c>
      <c r="X70" s="30">
        <f t="shared" si="195"/>
        <v>5571.9549999999999</v>
      </c>
      <c r="Y70" s="30">
        <f t="shared" si="196"/>
        <v>5704.6260000000002</v>
      </c>
      <c r="Z70" s="30">
        <f t="shared" si="197"/>
        <v>5862.5550000000003</v>
      </c>
      <c r="AA70" s="30">
        <f t="shared" si="198"/>
        <v>6053.9170000000004</v>
      </c>
      <c r="AB70" s="30">
        <f t="shared" si="199"/>
        <v>5961.9560000000001</v>
      </c>
      <c r="AC70" s="30">
        <f t="shared" si="200"/>
        <v>6045.4790000000003</v>
      </c>
      <c r="AD70" s="30">
        <f t="shared" si="201"/>
        <v>6140.893</v>
      </c>
      <c r="AE70" s="30">
        <f t="shared" si="202"/>
        <v>6299.3950000000004</v>
      </c>
      <c r="AF70" s="11"/>
      <c r="AG70" s="67">
        <f t="shared" si="203"/>
        <v>4.0548623312807175E-2</v>
      </c>
    </row>
    <row r="71" spans="1:33" ht="12.75" customHeight="1">
      <c r="B71" s="103" t="s">
        <v>160</v>
      </c>
      <c r="C71" s="75">
        <v>-1605.902</v>
      </c>
      <c r="D71" s="75">
        <v>-2591.2469999999998</v>
      </c>
      <c r="E71" s="75">
        <v>-3109.0039999999999</v>
      </c>
      <c r="F71" s="75">
        <v>-3056.8180000000002</v>
      </c>
      <c r="H71" s="104">
        <v>-1857.171</v>
      </c>
      <c r="I71" s="104">
        <v>-2179.6080000000002</v>
      </c>
      <c r="J71" s="104">
        <v>-2385.2849999999999</v>
      </c>
      <c r="K71" s="81">
        <f t="shared" si="190"/>
        <v>-2591.2469999999998</v>
      </c>
      <c r="L71" s="104">
        <v>-2763.03</v>
      </c>
      <c r="M71" s="104">
        <v>-2929.9319999999998</v>
      </c>
      <c r="N71" s="104">
        <v>-3063.8679999999999</v>
      </c>
      <c r="O71" s="81">
        <f t="shared" si="191"/>
        <v>-3109.0039999999999</v>
      </c>
      <c r="P71" s="104">
        <v>-3209.2260000000001</v>
      </c>
      <c r="Q71" s="104">
        <v>-3128.866</v>
      </c>
      <c r="R71" s="104">
        <v>-3126.0619999999999</v>
      </c>
      <c r="S71" s="30">
        <f t="shared" si="192"/>
        <v>-3056.8180000000002</v>
      </c>
      <c r="T71" s="104">
        <v>-2976.1239999999998</v>
      </c>
      <c r="V71" s="30">
        <f t="shared" si="193"/>
        <v>-2591.2469999999998</v>
      </c>
      <c r="W71" s="30">
        <f t="shared" si="194"/>
        <v>-2763.03</v>
      </c>
      <c r="X71" s="30">
        <f t="shared" si="195"/>
        <v>-2929.9319999999998</v>
      </c>
      <c r="Y71" s="30">
        <f t="shared" si="196"/>
        <v>-3063.8679999999999</v>
      </c>
      <c r="Z71" s="30">
        <f t="shared" si="197"/>
        <v>-3109.0039999999999</v>
      </c>
      <c r="AA71" s="30">
        <f t="shared" si="198"/>
        <v>-3209.2260000000001</v>
      </c>
      <c r="AB71" s="30">
        <f t="shared" si="199"/>
        <v>-3128.866</v>
      </c>
      <c r="AC71" s="30">
        <f t="shared" si="200"/>
        <v>-3126.0619999999999</v>
      </c>
      <c r="AD71" s="30">
        <f t="shared" si="201"/>
        <v>-3056.8180000000002</v>
      </c>
      <c r="AE71" s="30">
        <f t="shared" si="202"/>
        <v>-2976.1239999999998</v>
      </c>
      <c r="AF71" s="11"/>
      <c r="AG71" s="67">
        <f t="shared" si="203"/>
        <v>-7.263495933287345E-2</v>
      </c>
    </row>
    <row r="72" spans="1:33" ht="12.75" customHeight="1">
      <c r="B72" s="103" t="s">
        <v>161</v>
      </c>
      <c r="C72" s="75">
        <v>-7.149</v>
      </c>
      <c r="D72" s="75">
        <v>-22.338000000000001</v>
      </c>
      <c r="E72" s="75">
        <v>-21.565000000000001</v>
      </c>
      <c r="F72" s="75">
        <v>-15.069000000000001</v>
      </c>
      <c r="H72" s="104">
        <v>-34.222999999999999</v>
      </c>
      <c r="I72" s="104">
        <v>-26.632000000000001</v>
      </c>
      <c r="J72" s="104">
        <v>-22.338000000000001</v>
      </c>
      <c r="K72" s="81">
        <f t="shared" si="190"/>
        <v>-22.338000000000001</v>
      </c>
      <c r="L72" s="104">
        <v>-25.204999999999998</v>
      </c>
      <c r="M72" s="104">
        <v>-7.1420000000000003</v>
      </c>
      <c r="N72" s="104">
        <v>-17.300999999999998</v>
      </c>
      <c r="O72" s="81">
        <f t="shared" si="191"/>
        <v>-21.565000000000001</v>
      </c>
      <c r="P72" s="104">
        <v>-9.1219999999999999</v>
      </c>
      <c r="Q72" s="104">
        <v>-47.552999999999997</v>
      </c>
      <c r="R72" s="104">
        <v>-44.503999999999998</v>
      </c>
      <c r="S72" s="30">
        <f t="shared" si="192"/>
        <v>-15.069000000000001</v>
      </c>
      <c r="T72" s="104">
        <v>-24.388999999999999</v>
      </c>
      <c r="V72" s="30">
        <f t="shared" si="193"/>
        <v>-22.338000000000001</v>
      </c>
      <c r="W72" s="30">
        <f t="shared" si="194"/>
        <v>-25.204999999999998</v>
      </c>
      <c r="X72" s="30">
        <f t="shared" si="195"/>
        <v>-7.1420000000000003</v>
      </c>
      <c r="Y72" s="30">
        <f t="shared" si="196"/>
        <v>-17.300999999999998</v>
      </c>
      <c r="Z72" s="30">
        <f t="shared" si="197"/>
        <v>-21.565000000000001</v>
      </c>
      <c r="AA72" s="30">
        <f t="shared" si="198"/>
        <v>-9.1219999999999999</v>
      </c>
      <c r="AB72" s="30">
        <f t="shared" si="199"/>
        <v>-47.552999999999997</v>
      </c>
      <c r="AC72" s="30">
        <f t="shared" si="200"/>
        <v>-44.503999999999998</v>
      </c>
      <c r="AD72" s="30">
        <f t="shared" si="201"/>
        <v>-15.069000000000001</v>
      </c>
      <c r="AE72" s="30">
        <f t="shared" si="202"/>
        <v>-24.388999999999999</v>
      </c>
      <c r="AF72" s="11"/>
      <c r="AG72" s="67">
        <f t="shared" si="203"/>
        <v>1.6736461302345975</v>
      </c>
    </row>
    <row r="73" spans="1:33" ht="12.75" customHeight="1">
      <c r="B73" s="12" t="s">
        <v>16</v>
      </c>
      <c r="C73" s="13">
        <f t="shared" ref="C73:F73" si="204">SUM(C68:C72)</f>
        <v>2618.2549999999997</v>
      </c>
      <c r="D73" s="13">
        <f t="shared" si="204"/>
        <v>2534.1829999999991</v>
      </c>
      <c r="E73" s="13">
        <f t="shared" si="204"/>
        <v>2731.989</v>
      </c>
      <c r="F73" s="13">
        <f t="shared" si="204"/>
        <v>3069.0089999999996</v>
      </c>
      <c r="G73" s="47"/>
      <c r="H73" s="13">
        <f t="shared" ref="H73:Q73" si="205">SUM(H68:H72)</f>
        <v>2563.4379999999992</v>
      </c>
      <c r="I73" s="13">
        <f t="shared" si="205"/>
        <v>2510.1479999999997</v>
      </c>
      <c r="J73" s="13">
        <f t="shared" si="205"/>
        <v>2511.136</v>
      </c>
      <c r="K73" s="13">
        <f t="shared" si="205"/>
        <v>2534.1829999999991</v>
      </c>
      <c r="L73" s="13">
        <f t="shared" si="205"/>
        <v>2566.7999999999997</v>
      </c>
      <c r="M73" s="13">
        <f t="shared" si="205"/>
        <v>2634.884</v>
      </c>
      <c r="N73" s="13">
        <f t="shared" si="205"/>
        <v>2623.46</v>
      </c>
      <c r="O73" s="13">
        <f t="shared" si="205"/>
        <v>2731.989</v>
      </c>
      <c r="P73" s="13">
        <f t="shared" si="205"/>
        <v>2835.5720000000001</v>
      </c>
      <c r="Q73" s="13">
        <f t="shared" si="205"/>
        <v>2785.54</v>
      </c>
      <c r="R73" s="13">
        <f t="shared" ref="R73:T73" si="206">SUM(R68:R72)</f>
        <v>2874.9160000000002</v>
      </c>
      <c r="S73" s="13">
        <f t="shared" ref="S73" si="207">SUM(S68:S72)</f>
        <v>3069.0089999999996</v>
      </c>
      <c r="T73" s="13">
        <f t="shared" si="206"/>
        <v>3298.8850000000002</v>
      </c>
      <c r="V73" s="13">
        <f t="shared" ref="V73:AE73" si="208">SUM(V68:V72)</f>
        <v>2534.1829999999991</v>
      </c>
      <c r="W73" s="13">
        <f t="shared" si="208"/>
        <v>2566.7999999999997</v>
      </c>
      <c r="X73" s="13">
        <f t="shared" si="208"/>
        <v>2634.884</v>
      </c>
      <c r="Y73" s="13">
        <f t="shared" si="208"/>
        <v>2623.46</v>
      </c>
      <c r="Z73" s="13">
        <f t="shared" si="208"/>
        <v>2731.989</v>
      </c>
      <c r="AA73" s="13">
        <f t="shared" si="208"/>
        <v>2835.5720000000001</v>
      </c>
      <c r="AB73" s="13">
        <f t="shared" si="208"/>
        <v>2785.54</v>
      </c>
      <c r="AC73" s="13">
        <f t="shared" si="208"/>
        <v>2874.9160000000002</v>
      </c>
      <c r="AD73" s="13">
        <f t="shared" si="208"/>
        <v>3069.0089999999996</v>
      </c>
      <c r="AE73" s="13">
        <f t="shared" si="208"/>
        <v>3298.8850000000002</v>
      </c>
      <c r="AF73" s="39"/>
      <c r="AG73" s="68">
        <f>SUM(AE73/AA73)-1</f>
        <v>0.16339313549435541</v>
      </c>
    </row>
    <row r="74" spans="1:33" ht="12.75" customHeight="1">
      <c r="B74" s="23" t="s">
        <v>48</v>
      </c>
      <c r="C74" s="30">
        <f t="shared" ref="C74:F74" si="209">SUM(C73+C66)</f>
        <v>6973.7919999999995</v>
      </c>
      <c r="D74" s="30">
        <f t="shared" si="209"/>
        <v>8155.6149999999998</v>
      </c>
      <c r="E74" s="30">
        <f t="shared" si="209"/>
        <v>9519.6189999999988</v>
      </c>
      <c r="F74" s="30">
        <f t="shared" si="209"/>
        <v>11154.928999999998</v>
      </c>
      <c r="G74" s="30"/>
      <c r="H74" s="30">
        <f t="shared" ref="H74:Q74" si="210">SUM(H73+H66)</f>
        <v>7165.0599999999986</v>
      </c>
      <c r="I74" s="30">
        <f t="shared" si="210"/>
        <v>7804.7510000000002</v>
      </c>
      <c r="J74" s="30">
        <f t="shared" si="210"/>
        <v>7507.8490000000002</v>
      </c>
      <c r="K74" s="30">
        <f t="shared" si="210"/>
        <v>8155.6149999999998</v>
      </c>
      <c r="L74" s="30">
        <f t="shared" si="210"/>
        <v>8407.1489999999994</v>
      </c>
      <c r="M74" s="30">
        <f t="shared" si="210"/>
        <v>9064.9840000000004</v>
      </c>
      <c r="N74" s="30">
        <f t="shared" si="210"/>
        <v>9201.4259999999995</v>
      </c>
      <c r="O74" s="30">
        <f t="shared" si="210"/>
        <v>9519.6189999999988</v>
      </c>
      <c r="P74" s="30">
        <f t="shared" si="210"/>
        <v>10139.159</v>
      </c>
      <c r="Q74" s="30">
        <f t="shared" si="210"/>
        <v>10481.077000000001</v>
      </c>
      <c r="R74" s="30">
        <f t="shared" ref="R74:T74" si="211">SUM(R73+R66)</f>
        <v>10436.188</v>
      </c>
      <c r="S74" s="30">
        <f t="shared" ref="S74" si="212">SUM(S73+S66)</f>
        <v>11154.928999999998</v>
      </c>
      <c r="T74" s="30">
        <f t="shared" si="211"/>
        <v>11478.566000000001</v>
      </c>
      <c r="U74" s="30"/>
      <c r="V74" s="30">
        <f t="shared" ref="V74:AE74" si="213">SUM(V73+V66)</f>
        <v>8155.6149999999998</v>
      </c>
      <c r="W74" s="30">
        <f t="shared" si="213"/>
        <v>8407.1489999999994</v>
      </c>
      <c r="X74" s="30">
        <f t="shared" si="213"/>
        <v>9064.9840000000004</v>
      </c>
      <c r="Y74" s="30">
        <f t="shared" si="213"/>
        <v>9201.4259999999995</v>
      </c>
      <c r="Z74" s="30">
        <f t="shared" si="213"/>
        <v>9519.6189999999988</v>
      </c>
      <c r="AA74" s="30">
        <f t="shared" si="213"/>
        <v>10139.159</v>
      </c>
      <c r="AB74" s="30">
        <f t="shared" si="213"/>
        <v>10481.077000000001</v>
      </c>
      <c r="AC74" s="30">
        <f t="shared" si="213"/>
        <v>10436.188</v>
      </c>
      <c r="AD74" s="30">
        <f t="shared" si="213"/>
        <v>11154.928999999998</v>
      </c>
      <c r="AE74" s="30">
        <f t="shared" si="213"/>
        <v>11478.566000000001</v>
      </c>
      <c r="AF74" s="11"/>
      <c r="AG74" s="68">
        <f>SUM(AE74/AA74)-1</f>
        <v>0.13210237653833046</v>
      </c>
    </row>
    <row r="75" spans="1:33" ht="5.0999999999999996" customHeight="1">
      <c r="B75" s="23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11"/>
    </row>
    <row r="76" spans="1:33" ht="12.75" customHeight="1">
      <c r="B76" s="61" t="s">
        <v>59</v>
      </c>
      <c r="C76" s="62">
        <f>ROUND(C74-C56,1)</f>
        <v>0</v>
      </c>
      <c r="D76" s="62">
        <f t="shared" ref="D76:AE76" si="214">ROUND(D74-D56,1)</f>
        <v>0</v>
      </c>
      <c r="E76" s="62">
        <f t="shared" si="214"/>
        <v>0</v>
      </c>
      <c r="F76" s="62">
        <f t="shared" si="214"/>
        <v>0</v>
      </c>
      <c r="G76" s="63"/>
      <c r="H76" s="62">
        <f t="shared" si="214"/>
        <v>0</v>
      </c>
      <c r="I76" s="62">
        <f t="shared" si="214"/>
        <v>0</v>
      </c>
      <c r="J76" s="62">
        <f t="shared" si="214"/>
        <v>0</v>
      </c>
      <c r="K76" s="62">
        <f t="shared" si="214"/>
        <v>0</v>
      </c>
      <c r="L76" s="62">
        <f t="shared" si="214"/>
        <v>0</v>
      </c>
      <c r="M76" s="62">
        <f t="shared" si="214"/>
        <v>0</v>
      </c>
      <c r="N76" s="62">
        <f t="shared" si="214"/>
        <v>0</v>
      </c>
      <c r="O76" s="62">
        <f t="shared" si="214"/>
        <v>0</v>
      </c>
      <c r="P76" s="62">
        <f t="shared" si="214"/>
        <v>0</v>
      </c>
      <c r="Q76" s="62">
        <f t="shared" si="214"/>
        <v>0</v>
      </c>
      <c r="R76" s="62">
        <f t="shared" si="214"/>
        <v>0</v>
      </c>
      <c r="S76" s="62">
        <f t="shared" si="214"/>
        <v>0</v>
      </c>
      <c r="T76" s="62">
        <f t="shared" si="214"/>
        <v>0</v>
      </c>
      <c r="U76" s="26"/>
      <c r="V76" s="62">
        <f t="shared" si="214"/>
        <v>0</v>
      </c>
      <c r="W76" s="62">
        <f t="shared" si="214"/>
        <v>0</v>
      </c>
      <c r="X76" s="62">
        <f t="shared" si="214"/>
        <v>0</v>
      </c>
      <c r="Y76" s="62">
        <f t="shared" si="214"/>
        <v>0</v>
      </c>
      <c r="Z76" s="62">
        <f t="shared" si="214"/>
        <v>0</v>
      </c>
      <c r="AA76" s="62">
        <f t="shared" si="214"/>
        <v>0</v>
      </c>
      <c r="AB76" s="62">
        <f t="shared" si="214"/>
        <v>0</v>
      </c>
      <c r="AC76" s="62">
        <f t="shared" si="214"/>
        <v>0</v>
      </c>
      <c r="AD76" s="62">
        <f t="shared" si="214"/>
        <v>0</v>
      </c>
      <c r="AE76" s="62">
        <f t="shared" si="214"/>
        <v>0</v>
      </c>
    </row>
    <row r="77" spans="1:33" ht="5.0999999999999996" customHeight="1" thickBot="1">
      <c r="B77" s="99"/>
      <c r="C77" s="100"/>
      <c r="D77" s="100"/>
      <c r="E77" s="100"/>
      <c r="F77" s="100"/>
      <c r="G77" s="101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2"/>
      <c r="V77" s="100"/>
      <c r="W77" s="100"/>
      <c r="X77" s="100"/>
      <c r="Y77" s="100"/>
      <c r="Z77" s="100"/>
      <c r="AA77" s="100"/>
      <c r="AB77" s="100"/>
      <c r="AC77" s="100"/>
      <c r="AD77" s="100"/>
      <c r="AE77" s="100"/>
      <c r="AF77" s="65"/>
      <c r="AG77" s="65"/>
    </row>
    <row r="78" spans="1:33">
      <c r="B78" s="60"/>
      <c r="C78" s="22"/>
      <c r="D78" s="22"/>
      <c r="E78" s="22"/>
      <c r="F78" s="22"/>
      <c r="G78" s="48"/>
    </row>
    <row r="79" spans="1:33" ht="12.75" customHeight="1">
      <c r="A79" s="5" t="s">
        <v>18</v>
      </c>
      <c r="B79" s="82" t="s">
        <v>15</v>
      </c>
      <c r="C79" s="86" t="s">
        <v>0</v>
      </c>
      <c r="D79" s="86"/>
      <c r="E79" s="86"/>
      <c r="F79" s="86"/>
      <c r="G79" s="87"/>
      <c r="H79" s="86"/>
      <c r="I79" s="86"/>
      <c r="J79" s="86"/>
      <c r="K79" s="86"/>
      <c r="L79" s="86"/>
      <c r="M79" s="86"/>
      <c r="N79" s="86" t="s">
        <v>1</v>
      </c>
      <c r="O79" s="86"/>
      <c r="P79" s="86"/>
      <c r="Q79" s="86"/>
      <c r="R79" s="86"/>
      <c r="S79" s="86"/>
      <c r="T79" s="86"/>
      <c r="U79" s="82"/>
      <c r="V79" s="86"/>
      <c r="W79" s="86"/>
      <c r="X79" s="86"/>
      <c r="Y79" s="86"/>
      <c r="Z79" s="86"/>
      <c r="AA79" s="86" t="s">
        <v>10</v>
      </c>
      <c r="AB79" s="86"/>
      <c r="AC79" s="86"/>
      <c r="AD79" s="86"/>
      <c r="AE79" s="86"/>
      <c r="AF79" s="87"/>
      <c r="AG79" s="137" t="s">
        <v>22</v>
      </c>
    </row>
    <row r="80" spans="1:33" ht="12.75" customHeight="1">
      <c r="B80" s="83" t="str">
        <f>B7</f>
        <v>Fiscal Period</v>
      </c>
      <c r="C80" s="88">
        <f>C7</f>
        <v>2022</v>
      </c>
      <c r="D80" s="88">
        <f>D7</f>
        <v>2023</v>
      </c>
      <c r="E80" s="88">
        <f>E7</f>
        <v>2024</v>
      </c>
      <c r="F80" s="88">
        <f>F7</f>
        <v>2025</v>
      </c>
      <c r="G80" s="87"/>
      <c r="H80" s="88" t="str">
        <f>H7</f>
        <v>1Q23</v>
      </c>
      <c r="I80" s="88" t="str">
        <f>I7</f>
        <v>2Q23</v>
      </c>
      <c r="J80" s="88" t="str">
        <f>J7</f>
        <v>3Q23</v>
      </c>
      <c r="K80" s="88" t="str">
        <f>K7</f>
        <v>4Q23</v>
      </c>
      <c r="L80" s="88" t="str">
        <f>L7</f>
        <v>1Q24</v>
      </c>
      <c r="M80" s="88" t="str">
        <f>M7</f>
        <v>2Q24</v>
      </c>
      <c r="N80" s="88" t="str">
        <f>N7</f>
        <v>3Q24</v>
      </c>
      <c r="O80" s="88" t="str">
        <f>O7</f>
        <v>4Q24</v>
      </c>
      <c r="P80" s="88" t="str">
        <f>P7</f>
        <v>1Q25</v>
      </c>
      <c r="Q80" s="88" t="str">
        <f>Q7</f>
        <v>2Q25</v>
      </c>
      <c r="R80" s="88" t="str">
        <f>R7</f>
        <v>3Q25</v>
      </c>
      <c r="S80" s="88" t="str">
        <f>S7</f>
        <v>4Q25</v>
      </c>
      <c r="T80" s="88" t="str">
        <f>T7</f>
        <v>1Q26</v>
      </c>
      <c r="U80" s="88"/>
      <c r="V80" s="88" t="str">
        <f>V7</f>
        <v>4Q23</v>
      </c>
      <c r="W80" s="88" t="str">
        <f>W7</f>
        <v>1Q24</v>
      </c>
      <c r="X80" s="88" t="str">
        <f>X7</f>
        <v>2Q24</v>
      </c>
      <c r="Y80" s="88" t="str">
        <f>Y7</f>
        <v>3Q24</v>
      </c>
      <c r="Z80" s="88" t="str">
        <f>Z7</f>
        <v>4Q24</v>
      </c>
      <c r="AA80" s="88" t="str">
        <f>AA7</f>
        <v>1Q25</v>
      </c>
      <c r="AB80" s="88" t="str">
        <f>AB7</f>
        <v>2Q25</v>
      </c>
      <c r="AC80" s="88" t="str">
        <f>AC7</f>
        <v>3Q25</v>
      </c>
      <c r="AD80" s="88" t="str">
        <f>AD7</f>
        <v>4Q25</v>
      </c>
      <c r="AE80" s="88" t="str">
        <f>AE7</f>
        <v>1Q26</v>
      </c>
      <c r="AF80" s="87"/>
      <c r="AG80" s="137"/>
    </row>
    <row r="81" spans="2:33" ht="12.75" customHeight="1">
      <c r="B81" s="83" t="str">
        <f>B8</f>
        <v>Fiscal Period End Date</v>
      </c>
      <c r="C81" s="89">
        <f>C8</f>
        <v>44713</v>
      </c>
      <c r="D81" s="89">
        <f>D8</f>
        <v>45078</v>
      </c>
      <c r="E81" s="89">
        <f>E8</f>
        <v>45444</v>
      </c>
      <c r="F81" s="89">
        <f>F8</f>
        <v>45809</v>
      </c>
      <c r="G81" s="87"/>
      <c r="H81" s="89">
        <f>H8</f>
        <v>44805</v>
      </c>
      <c r="I81" s="89">
        <f>I8</f>
        <v>44896</v>
      </c>
      <c r="J81" s="89">
        <f>J8</f>
        <v>44986</v>
      </c>
      <c r="K81" s="89">
        <f>K8</f>
        <v>45078</v>
      </c>
      <c r="L81" s="89">
        <f>L8</f>
        <v>45170</v>
      </c>
      <c r="M81" s="89">
        <f>M8</f>
        <v>45261</v>
      </c>
      <c r="N81" s="89">
        <f>N8</f>
        <v>45352</v>
      </c>
      <c r="O81" s="89">
        <f>O8</f>
        <v>45444</v>
      </c>
      <c r="P81" s="89">
        <f>P8</f>
        <v>45536</v>
      </c>
      <c r="Q81" s="89">
        <f>Q8</f>
        <v>45627</v>
      </c>
      <c r="R81" s="89">
        <f>R8</f>
        <v>45717</v>
      </c>
      <c r="S81" s="89">
        <f>S8</f>
        <v>45809</v>
      </c>
      <c r="T81" s="89">
        <f>T8</f>
        <v>45901</v>
      </c>
      <c r="U81" s="89"/>
      <c r="V81" s="89">
        <f>V8</f>
        <v>45078</v>
      </c>
      <c r="W81" s="89">
        <f>W8</f>
        <v>45170</v>
      </c>
      <c r="X81" s="89">
        <f>X8</f>
        <v>45261</v>
      </c>
      <c r="Y81" s="89">
        <f>Y8</f>
        <v>45352</v>
      </c>
      <c r="Z81" s="89">
        <f>Z8</f>
        <v>45444</v>
      </c>
      <c r="AA81" s="89">
        <f>AA8</f>
        <v>45536</v>
      </c>
      <c r="AB81" s="89">
        <f>AB8</f>
        <v>45627</v>
      </c>
      <c r="AC81" s="89">
        <f>AC8</f>
        <v>45717</v>
      </c>
      <c r="AD81" s="89">
        <f>AD8</f>
        <v>45809</v>
      </c>
      <c r="AE81" s="89">
        <f>AE8</f>
        <v>45901</v>
      </c>
      <c r="AF81" s="87"/>
      <c r="AG81" s="137"/>
    </row>
    <row r="82" spans="2:33" ht="5.0999999999999996" customHeight="1">
      <c r="B82" s="49"/>
      <c r="C82" s="44"/>
      <c r="D82" s="44"/>
      <c r="E82" s="44"/>
      <c r="F82" s="44"/>
    </row>
    <row r="83" spans="2:33" ht="12.75" customHeight="1">
      <c r="B83" s="50" t="s">
        <v>49</v>
      </c>
      <c r="C83" s="51"/>
      <c r="D83" s="51"/>
      <c r="E83" s="51"/>
      <c r="F83" s="51"/>
    </row>
    <row r="84" spans="2:33" ht="12.75" customHeight="1">
      <c r="B84" s="52" t="s">
        <v>50</v>
      </c>
      <c r="C84" s="30">
        <v>-707.41699999999992</v>
      </c>
      <c r="D84" s="30">
        <f>D32</f>
        <v>-985.34499999999969</v>
      </c>
      <c r="E84" s="30">
        <f>E32</f>
        <v>-517.75700000000029</v>
      </c>
      <c r="F84" s="30">
        <f>F32</f>
        <v>52.18400000000014</v>
      </c>
      <c r="G84" s="30"/>
      <c r="H84" s="30">
        <f>H32</f>
        <v>-251.26899999999998</v>
      </c>
      <c r="I84" s="30">
        <f>I32</f>
        <v>-322.43700000000007</v>
      </c>
      <c r="J84" s="30">
        <f>J32</f>
        <v>-205.67699999999996</v>
      </c>
      <c r="K84" s="30">
        <f>K32</f>
        <v>-205.96199999999985</v>
      </c>
      <c r="L84" s="30">
        <f>L32</f>
        <v>-171.78300000000007</v>
      </c>
      <c r="M84" s="30">
        <f>M32</f>
        <v>-166.90199999999996</v>
      </c>
      <c r="N84" s="30">
        <f>N32</f>
        <v>-133.93599999999998</v>
      </c>
      <c r="O84" s="30">
        <f>O32</f>
        <v>-45.135999999999981</v>
      </c>
      <c r="P84" s="30">
        <f>P32</f>
        <v>-100.22199999999999</v>
      </c>
      <c r="Q84" s="30">
        <f>Q32</f>
        <v>80.360000000000113</v>
      </c>
      <c r="R84" s="30">
        <f>R32</f>
        <v>2.8029999999999942</v>
      </c>
      <c r="S84" s="30">
        <f>S32</f>
        <v>69.243000000000151</v>
      </c>
      <c r="T84" s="30">
        <f>T32</f>
        <v>80.692999999999842</v>
      </c>
      <c r="V84" s="30">
        <f>V32</f>
        <v>-985.34499999999969</v>
      </c>
      <c r="W84" s="30">
        <f>W32</f>
        <v>-905.85899999999981</v>
      </c>
      <c r="X84" s="30">
        <f>X32</f>
        <v>-750.32399999999984</v>
      </c>
      <c r="Y84" s="30">
        <f>Y32</f>
        <v>-678.58299999999997</v>
      </c>
      <c r="Z84" s="30">
        <f>Z32</f>
        <v>-517.75700000000029</v>
      </c>
      <c r="AA84" s="30">
        <f>AA32</f>
        <v>-446.19599999999991</v>
      </c>
      <c r="AB84" s="30">
        <f>AB32</f>
        <v>-198.93399999999997</v>
      </c>
      <c r="AC84" s="30">
        <f>AC32</f>
        <v>-62.194999999999972</v>
      </c>
      <c r="AD84" s="30">
        <f>AD32</f>
        <v>52.18400000000014</v>
      </c>
      <c r="AE84" s="30">
        <f>AE32</f>
        <v>233.09900000000047</v>
      </c>
      <c r="AF84" s="11"/>
      <c r="AG84" s="67">
        <f>SUM(AE84/AA84)-1</f>
        <v>-1.5224139167540733</v>
      </c>
    </row>
    <row r="85" spans="2:33" ht="5.0999999999999996" customHeight="1"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11"/>
      <c r="AG85" s="67"/>
    </row>
    <row r="86" spans="2:33" ht="12.75" customHeight="1">
      <c r="B86" s="33" t="s">
        <v>58</v>
      </c>
      <c r="C86" s="30"/>
      <c r="D86" s="30"/>
      <c r="E86" s="30"/>
      <c r="F86" s="30"/>
      <c r="G86" s="30"/>
      <c r="H86" s="75"/>
      <c r="I86" s="75"/>
      <c r="J86" s="75"/>
      <c r="K86" s="30"/>
      <c r="L86" s="75"/>
      <c r="M86" s="75"/>
      <c r="N86" s="75"/>
      <c r="O86" s="30"/>
      <c r="P86" s="75"/>
      <c r="Q86" s="75"/>
      <c r="R86" s="75"/>
      <c r="S86" s="75"/>
      <c r="T86" s="75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54"/>
      <c r="AG86" s="67"/>
    </row>
    <row r="87" spans="2:33" ht="12.75" customHeight="1">
      <c r="B87" s="55" t="s">
        <v>121</v>
      </c>
      <c r="C87" s="75">
        <v>255.27200000000002</v>
      </c>
      <c r="D87" s="75">
        <v>331.86</v>
      </c>
      <c r="E87" s="75">
        <v>460.62799999999999</v>
      </c>
      <c r="F87" s="75">
        <v>616.68299999999999</v>
      </c>
      <c r="G87" s="30"/>
      <c r="H87" s="75">
        <v>64.25</v>
      </c>
      <c r="I87" s="75">
        <v>106.68899999999999</v>
      </c>
      <c r="J87" s="75">
        <v>66.438000000000002</v>
      </c>
      <c r="K87" s="30">
        <f>SUM(D87-SUM(H87:J87))</f>
        <v>94.483000000000004</v>
      </c>
      <c r="L87" s="75">
        <v>99.695999999999998</v>
      </c>
      <c r="M87" s="75">
        <v>120.88</v>
      </c>
      <c r="N87" s="75">
        <v>122.443</v>
      </c>
      <c r="O87" s="30">
        <f t="shared" ref="O87:O102" si="215">SUM(E87-SUM(L87:N87))</f>
        <v>117.60899999999998</v>
      </c>
      <c r="P87" s="75">
        <v>159.82400000000001</v>
      </c>
      <c r="Q87" s="75">
        <v>152.97999999999999</v>
      </c>
      <c r="R87" s="75">
        <v>147.25200000000001</v>
      </c>
      <c r="S87" s="30">
        <f t="shared" ref="S87:S96" si="216">SUM(F87-SUM(P87:R87))</f>
        <v>156.62700000000001</v>
      </c>
      <c r="T87" s="75">
        <v>162.75200000000001</v>
      </c>
      <c r="V87" s="30">
        <f t="shared" ref="V87:V102" si="217">SUM(H87:K87)</f>
        <v>331.86</v>
      </c>
      <c r="W87" s="30">
        <f t="shared" ref="W87:W102" si="218">SUM(I87:L87)</f>
        <v>367.30600000000004</v>
      </c>
      <c r="X87" s="30">
        <f t="shared" ref="X87:X102" si="219">SUM(J87:M87)</f>
        <v>381.49699999999996</v>
      </c>
      <c r="Y87" s="30">
        <f t="shared" ref="Y87:Y102" si="220">SUM(K87:N87)</f>
        <v>437.50199999999995</v>
      </c>
      <c r="Z87" s="30">
        <f t="shared" ref="Z87:Z102" si="221">SUM(L87:O87)</f>
        <v>460.62799999999999</v>
      </c>
      <c r="AA87" s="30">
        <f t="shared" ref="AA87:AA102" si="222">SUM(M87:P87)</f>
        <v>520.75599999999997</v>
      </c>
      <c r="AB87" s="30">
        <f t="shared" ref="AB87:AB102" si="223">SUM(N87:Q87)</f>
        <v>552.85599999999999</v>
      </c>
      <c r="AC87" s="30">
        <f t="shared" ref="AC87:AC102" si="224">SUM(O87:R87)</f>
        <v>577.66499999999996</v>
      </c>
      <c r="AD87" s="30">
        <f t="shared" ref="AD87:AD102" si="225">SUM(P87:S87)</f>
        <v>616.68299999999999</v>
      </c>
      <c r="AE87" s="30">
        <f t="shared" ref="AE87:AE102" si="226">SUM(Q87:T87)</f>
        <v>619.61099999999999</v>
      </c>
      <c r="AF87" s="11"/>
      <c r="AG87" s="67">
        <f t="shared" ref="AG87:AG105" si="227">SUM(AE87/AA87)-1</f>
        <v>0.18982978592661448</v>
      </c>
    </row>
    <row r="88" spans="2:33" ht="12.75" customHeight="1">
      <c r="B88" s="55" t="s">
        <v>122</v>
      </c>
      <c r="C88" s="75">
        <v>-171.965</v>
      </c>
      <c r="D88" s="75">
        <v>-141.07500000000002</v>
      </c>
      <c r="E88" s="75">
        <v>-187.709</v>
      </c>
      <c r="F88" s="75">
        <v>-233.8</v>
      </c>
      <c r="G88" s="30"/>
      <c r="H88" s="75">
        <v>-34.594999999999999</v>
      </c>
      <c r="I88" s="75">
        <v>-34.258000000000003</v>
      </c>
      <c r="J88" s="75">
        <v>-34.615000000000002</v>
      </c>
      <c r="K88" s="30">
        <f>SUM(D88-SUM(H88:J88))</f>
        <v>-37.606999999999999</v>
      </c>
      <c r="L88" s="75">
        <v>-41.137999999999998</v>
      </c>
      <c r="M88" s="75">
        <v>-46.841000000000001</v>
      </c>
      <c r="N88" s="75">
        <v>-49.704000000000001</v>
      </c>
      <c r="O88" s="30">
        <f t="shared" si="215"/>
        <v>-50.02600000000001</v>
      </c>
      <c r="P88" s="75">
        <v>-52.064</v>
      </c>
      <c r="Q88" s="75">
        <v>-59.232999999999997</v>
      </c>
      <c r="R88" s="75">
        <v>-60.530999999999999</v>
      </c>
      <c r="S88" s="30">
        <f t="shared" si="216"/>
        <v>-61.972000000000008</v>
      </c>
      <c r="T88" s="75">
        <v>-65.072000000000003</v>
      </c>
      <c r="V88" s="30">
        <f t="shared" si="217"/>
        <v>-141.07500000000002</v>
      </c>
      <c r="W88" s="30">
        <f t="shared" si="218"/>
        <v>-147.61799999999999</v>
      </c>
      <c r="X88" s="30">
        <f t="shared" si="219"/>
        <v>-160.20100000000002</v>
      </c>
      <c r="Y88" s="30">
        <f t="shared" si="220"/>
        <v>-175.29000000000002</v>
      </c>
      <c r="Z88" s="30">
        <f t="shared" si="221"/>
        <v>-187.709</v>
      </c>
      <c r="AA88" s="30">
        <f t="shared" si="222"/>
        <v>-198.63500000000002</v>
      </c>
      <c r="AB88" s="30">
        <f t="shared" si="223"/>
        <v>-211.02700000000002</v>
      </c>
      <c r="AC88" s="30">
        <f t="shared" si="224"/>
        <v>-221.85400000000001</v>
      </c>
      <c r="AD88" s="30">
        <f t="shared" si="225"/>
        <v>-233.8</v>
      </c>
      <c r="AE88" s="30">
        <f t="shared" si="226"/>
        <v>-246.80799999999999</v>
      </c>
      <c r="AF88" s="11"/>
      <c r="AG88" s="67">
        <f t="shared" ref="AG88" si="228">SUM(AE88/AA88)-1</f>
        <v>0.24252020036750799</v>
      </c>
    </row>
    <row r="89" spans="2:33" ht="12.75" customHeight="1">
      <c r="B89" s="55" t="s">
        <v>123</v>
      </c>
      <c r="C89" s="75">
        <v>-196.435</v>
      </c>
      <c r="D89" s="75">
        <v>-188.34099999999998</v>
      </c>
      <c r="E89" s="75">
        <v>-197.15299999999999</v>
      </c>
      <c r="F89" s="75">
        <v>-381.62099999999998</v>
      </c>
      <c r="G89" s="30"/>
      <c r="H89" s="75">
        <v>-63.594999999999999</v>
      </c>
      <c r="I89" s="75">
        <v>-59.606999999999999</v>
      </c>
      <c r="J89" s="75">
        <v>-32.813000000000002</v>
      </c>
      <c r="K89" s="30">
        <f t="shared" ref="K89:K97" si="229">SUM(D89-SUM(H89:J89))</f>
        <v>-32.325999999999993</v>
      </c>
      <c r="L89" s="75">
        <v>-34.284999999999997</v>
      </c>
      <c r="M89" s="75">
        <v>-52.701999999999998</v>
      </c>
      <c r="N89" s="75">
        <v>-40.183</v>
      </c>
      <c r="O89" s="30">
        <f t="shared" si="215"/>
        <v>-69.983000000000004</v>
      </c>
      <c r="P89" s="75">
        <v>-63.613</v>
      </c>
      <c r="Q89" s="75">
        <v>-125.28700000000001</v>
      </c>
      <c r="R89" s="75">
        <v>-75.837999999999994</v>
      </c>
      <c r="S89" s="30">
        <f t="shared" si="216"/>
        <v>-116.88299999999998</v>
      </c>
      <c r="T89" s="75">
        <v>-119.04900000000001</v>
      </c>
      <c r="V89" s="30">
        <f t="shared" ref="V89:V96" si="230">SUM(H89:K89)</f>
        <v>-188.34099999999998</v>
      </c>
      <c r="W89" s="30">
        <f t="shared" ref="W89:W96" si="231">SUM(I89:L89)</f>
        <v>-159.03100000000001</v>
      </c>
      <c r="X89" s="30">
        <f t="shared" ref="X89:X96" si="232">SUM(J89:M89)</f>
        <v>-152.12599999999998</v>
      </c>
      <c r="Y89" s="30">
        <f t="shared" ref="Y89:Y96" si="233">SUM(K89:N89)</f>
        <v>-159.49599999999998</v>
      </c>
      <c r="Z89" s="30">
        <f t="shared" ref="Z89:Z96" si="234">SUM(L89:O89)</f>
        <v>-197.15299999999999</v>
      </c>
      <c r="AA89" s="30">
        <f t="shared" ref="AA89:AA96" si="235">SUM(M89:P89)</f>
        <v>-226.48099999999999</v>
      </c>
      <c r="AB89" s="30">
        <f t="shared" ref="AB89:AB96" si="236">SUM(N89:Q89)</f>
        <v>-299.06600000000003</v>
      </c>
      <c r="AC89" s="30">
        <f t="shared" ref="AC89:AC96" si="237">SUM(O89:R89)</f>
        <v>-334.721</v>
      </c>
      <c r="AD89" s="30">
        <f t="shared" ref="AD89:AD96" si="238">SUM(P89:S89)</f>
        <v>-381.62099999999998</v>
      </c>
      <c r="AE89" s="30">
        <f t="shared" ref="AE89:AE96" si="239">SUM(Q89:T89)</f>
        <v>-437.05700000000002</v>
      </c>
      <c r="AF89" s="11"/>
      <c r="AG89" s="67"/>
    </row>
    <row r="90" spans="2:33" ht="12.75" customHeight="1">
      <c r="B90" s="55" t="s">
        <v>124</v>
      </c>
      <c r="C90" s="75">
        <v>-101.78900000000003</v>
      </c>
      <c r="D90" s="75">
        <v>-15.882999999999999</v>
      </c>
      <c r="E90" s="75">
        <v>-2.7759999999999998</v>
      </c>
      <c r="F90" s="75">
        <v>7.145999999999999</v>
      </c>
      <c r="G90" s="30"/>
      <c r="H90" s="75">
        <v>3.9060000000000001</v>
      </c>
      <c r="I90" s="75">
        <v>-14.941000000000001</v>
      </c>
      <c r="J90" s="75">
        <v>1.018</v>
      </c>
      <c r="K90" s="30">
        <f t="shared" si="229"/>
        <v>-5.8659999999999997</v>
      </c>
      <c r="L90" s="75">
        <v>-4.1100000000000003</v>
      </c>
      <c r="M90" s="75">
        <v>-0.80200000000000005</v>
      </c>
      <c r="N90" s="75">
        <v>1.2669999999999999</v>
      </c>
      <c r="O90" s="30">
        <f t="shared" si="215"/>
        <v>0.8690000000000011</v>
      </c>
      <c r="P90" s="75">
        <v>1.6679999999999999</v>
      </c>
      <c r="Q90" s="75">
        <v>2.9540000000000002</v>
      </c>
      <c r="R90" s="75">
        <v>0.83399999999999996</v>
      </c>
      <c r="S90" s="30">
        <f t="shared" si="216"/>
        <v>1.6899999999999995</v>
      </c>
      <c r="T90" s="75">
        <v>-1.4950000000000001</v>
      </c>
      <c r="V90" s="30">
        <f t="shared" si="230"/>
        <v>-15.882999999999999</v>
      </c>
      <c r="W90" s="30">
        <f t="shared" si="231"/>
        <v>-23.899000000000001</v>
      </c>
      <c r="X90" s="30">
        <f t="shared" si="232"/>
        <v>-9.76</v>
      </c>
      <c r="Y90" s="30">
        <f t="shared" si="233"/>
        <v>-9.5109999999999992</v>
      </c>
      <c r="Z90" s="30">
        <f t="shared" si="234"/>
        <v>-2.7759999999999998</v>
      </c>
      <c r="AA90" s="30">
        <f t="shared" si="235"/>
        <v>3.0020000000000007</v>
      </c>
      <c r="AB90" s="30">
        <f t="shared" si="236"/>
        <v>6.7580000000000009</v>
      </c>
      <c r="AC90" s="30">
        <f t="shared" si="237"/>
        <v>6.3250000000000011</v>
      </c>
      <c r="AD90" s="30">
        <f t="shared" si="238"/>
        <v>7.145999999999999</v>
      </c>
      <c r="AE90" s="30">
        <f t="shared" si="239"/>
        <v>3.9829999999999997</v>
      </c>
      <c r="AF90" s="11"/>
      <c r="AG90" s="67"/>
    </row>
    <row r="91" spans="2:33" ht="12.75" customHeight="1">
      <c r="B91" s="55" t="s">
        <v>125</v>
      </c>
      <c r="C91" s="75">
        <v>0</v>
      </c>
      <c r="D91" s="75">
        <v>0</v>
      </c>
      <c r="E91" s="75">
        <v>0</v>
      </c>
      <c r="F91" s="75">
        <v>0</v>
      </c>
      <c r="G91" s="30"/>
      <c r="H91" s="75">
        <v>0</v>
      </c>
      <c r="I91" s="75">
        <v>0</v>
      </c>
      <c r="J91" s="75">
        <v>0</v>
      </c>
      <c r="K91" s="30">
        <f t="shared" si="229"/>
        <v>0</v>
      </c>
      <c r="L91" s="75">
        <v>0</v>
      </c>
      <c r="M91" s="75">
        <v>0</v>
      </c>
      <c r="N91" s="75">
        <v>0</v>
      </c>
      <c r="O91" s="30">
        <f t="shared" si="215"/>
        <v>0</v>
      </c>
      <c r="P91" s="75">
        <v>0</v>
      </c>
      <c r="Q91" s="75">
        <v>0</v>
      </c>
      <c r="R91" s="75">
        <v>0</v>
      </c>
      <c r="S91" s="30">
        <f t="shared" si="216"/>
        <v>0</v>
      </c>
      <c r="T91" s="75">
        <v>-0.11</v>
      </c>
      <c r="V91" s="30">
        <f t="shared" si="230"/>
        <v>0</v>
      </c>
      <c r="W91" s="30">
        <f t="shared" si="231"/>
        <v>0</v>
      </c>
      <c r="X91" s="30">
        <f t="shared" si="232"/>
        <v>0</v>
      </c>
      <c r="Y91" s="30">
        <f t="shared" si="233"/>
        <v>0</v>
      </c>
      <c r="Z91" s="30">
        <f t="shared" si="234"/>
        <v>0</v>
      </c>
      <c r="AA91" s="30">
        <f t="shared" si="235"/>
        <v>0</v>
      </c>
      <c r="AB91" s="30">
        <f t="shared" si="236"/>
        <v>0</v>
      </c>
      <c r="AC91" s="30">
        <f t="shared" si="237"/>
        <v>0</v>
      </c>
      <c r="AD91" s="30">
        <f t="shared" si="238"/>
        <v>0</v>
      </c>
      <c r="AE91" s="30">
        <f t="shared" si="239"/>
        <v>-0.11</v>
      </c>
      <c r="AF91" s="11"/>
      <c r="AG91" s="67"/>
    </row>
    <row r="92" spans="2:33" ht="12.75" customHeight="1">
      <c r="B92" s="55" t="s">
        <v>126</v>
      </c>
      <c r="C92" s="75"/>
      <c r="D92" s="75"/>
      <c r="E92" s="75">
        <v>0</v>
      </c>
      <c r="F92" s="75"/>
      <c r="G92" s="30"/>
      <c r="H92" s="75"/>
      <c r="I92" s="75"/>
      <c r="J92" s="75"/>
      <c r="K92" s="30">
        <f t="shared" si="229"/>
        <v>0</v>
      </c>
      <c r="L92" s="75"/>
      <c r="M92" s="75"/>
      <c r="N92" s="75"/>
      <c r="O92" s="30">
        <f t="shared" si="215"/>
        <v>0</v>
      </c>
      <c r="P92" s="75"/>
      <c r="Q92" s="75"/>
      <c r="R92" s="75"/>
      <c r="S92" s="30">
        <f t="shared" si="216"/>
        <v>0</v>
      </c>
      <c r="T92" s="75"/>
      <c r="V92" s="30">
        <f t="shared" si="230"/>
        <v>0</v>
      </c>
      <c r="W92" s="30">
        <f t="shared" si="231"/>
        <v>0</v>
      </c>
      <c r="X92" s="30">
        <f t="shared" si="232"/>
        <v>0</v>
      </c>
      <c r="Y92" s="30">
        <f t="shared" si="233"/>
        <v>0</v>
      </c>
      <c r="Z92" s="30">
        <f t="shared" si="234"/>
        <v>0</v>
      </c>
      <c r="AA92" s="30">
        <f t="shared" si="235"/>
        <v>0</v>
      </c>
      <c r="AB92" s="30">
        <f t="shared" si="236"/>
        <v>0</v>
      </c>
      <c r="AC92" s="30">
        <f t="shared" si="237"/>
        <v>0</v>
      </c>
      <c r="AD92" s="30">
        <f t="shared" si="238"/>
        <v>0</v>
      </c>
      <c r="AE92" s="30">
        <f t="shared" si="239"/>
        <v>0</v>
      </c>
      <c r="AF92" s="11"/>
      <c r="AG92" s="67"/>
    </row>
    <row r="93" spans="2:33" ht="12.75" customHeight="1">
      <c r="B93" s="55" t="s">
        <v>127</v>
      </c>
      <c r="C93" s="75">
        <v>96.736999999999995</v>
      </c>
      <c r="D93" s="75">
        <v>85.524000000000001</v>
      </c>
      <c r="E93" s="75">
        <v>73.069999999999993</v>
      </c>
      <c r="F93" s="75">
        <v>47.39200000000001</v>
      </c>
      <c r="G93" s="30"/>
      <c r="H93" s="75">
        <v>21.556999999999999</v>
      </c>
      <c r="I93" s="75">
        <v>21.556999999999999</v>
      </c>
      <c r="J93" s="75">
        <v>21.088000000000001</v>
      </c>
      <c r="K93" s="30">
        <f t="shared" si="229"/>
        <v>21.322000000000003</v>
      </c>
      <c r="L93" s="75">
        <v>21.556999999999999</v>
      </c>
      <c r="M93" s="75">
        <v>21.556999999999999</v>
      </c>
      <c r="N93" s="75">
        <v>15.855</v>
      </c>
      <c r="O93" s="30">
        <f t="shared" si="215"/>
        <v>14.100999999999999</v>
      </c>
      <c r="P93" s="75">
        <v>14.256</v>
      </c>
      <c r="Q93" s="75">
        <v>14.255000000000001</v>
      </c>
      <c r="R93" s="75">
        <v>10.913</v>
      </c>
      <c r="S93" s="30">
        <f t="shared" si="216"/>
        <v>7.9680000000000035</v>
      </c>
      <c r="T93" s="75">
        <v>8.0559999999999992</v>
      </c>
      <c r="V93" s="30">
        <f t="shared" si="230"/>
        <v>85.524000000000001</v>
      </c>
      <c r="W93" s="30">
        <f t="shared" si="231"/>
        <v>85.524000000000001</v>
      </c>
      <c r="X93" s="30">
        <f t="shared" si="232"/>
        <v>85.524000000000001</v>
      </c>
      <c r="Y93" s="30">
        <f t="shared" si="233"/>
        <v>80.291000000000011</v>
      </c>
      <c r="Z93" s="30">
        <f t="shared" si="234"/>
        <v>73.069999999999993</v>
      </c>
      <c r="AA93" s="30">
        <f t="shared" si="235"/>
        <v>65.769000000000005</v>
      </c>
      <c r="AB93" s="30">
        <f t="shared" si="236"/>
        <v>58.467000000000006</v>
      </c>
      <c r="AC93" s="30">
        <f t="shared" si="237"/>
        <v>53.525000000000006</v>
      </c>
      <c r="AD93" s="30">
        <f t="shared" si="238"/>
        <v>47.39200000000001</v>
      </c>
      <c r="AE93" s="30">
        <f t="shared" si="239"/>
        <v>41.192</v>
      </c>
      <c r="AF93" s="11"/>
      <c r="AG93" s="67"/>
    </row>
    <row r="94" spans="2:33" ht="12.75" customHeight="1">
      <c r="B94" s="55" t="s">
        <v>128</v>
      </c>
      <c r="C94" s="75">
        <v>17.332000000000001</v>
      </c>
      <c r="D94" s="75">
        <v>20.535</v>
      </c>
      <c r="E94" s="75">
        <v>24.545999999999999</v>
      </c>
      <c r="F94" s="75">
        <v>30.389000000000003</v>
      </c>
      <c r="G94" s="30"/>
      <c r="H94" s="75">
        <v>1.0760000000000001</v>
      </c>
      <c r="I94" s="75">
        <v>0.67600000000000005</v>
      </c>
      <c r="J94" s="75">
        <v>11.446</v>
      </c>
      <c r="K94" s="30">
        <f t="shared" si="229"/>
        <v>7.3369999999999997</v>
      </c>
      <c r="L94" s="75">
        <v>-6.5859999999999994</v>
      </c>
      <c r="M94" s="75">
        <v>7.2240000000000002</v>
      </c>
      <c r="N94" s="75">
        <v>6.13</v>
      </c>
      <c r="O94" s="30">
        <f t="shared" si="215"/>
        <v>17.777999999999999</v>
      </c>
      <c r="P94" s="75">
        <v>6.0830000000000002</v>
      </c>
      <c r="Q94" s="75">
        <v>6.907</v>
      </c>
      <c r="R94" s="75">
        <v>10.308</v>
      </c>
      <c r="S94" s="30">
        <f t="shared" si="216"/>
        <v>7.0910000000000011</v>
      </c>
      <c r="T94" s="75">
        <v>6.8280000000000003</v>
      </c>
      <c r="V94" s="30">
        <f t="shared" si="230"/>
        <v>20.535</v>
      </c>
      <c r="W94" s="30">
        <f t="shared" si="231"/>
        <v>12.873000000000001</v>
      </c>
      <c r="X94" s="30">
        <f t="shared" si="232"/>
        <v>19.421000000000003</v>
      </c>
      <c r="Y94" s="30">
        <f t="shared" si="233"/>
        <v>14.105</v>
      </c>
      <c r="Z94" s="30">
        <f t="shared" si="234"/>
        <v>24.545999999999999</v>
      </c>
      <c r="AA94" s="30">
        <f t="shared" si="235"/>
        <v>37.214999999999996</v>
      </c>
      <c r="AB94" s="30">
        <f t="shared" si="236"/>
        <v>36.897999999999996</v>
      </c>
      <c r="AC94" s="30">
        <f t="shared" si="237"/>
        <v>41.075999999999993</v>
      </c>
      <c r="AD94" s="30">
        <f t="shared" si="238"/>
        <v>30.389000000000003</v>
      </c>
      <c r="AE94" s="30">
        <f t="shared" si="239"/>
        <v>31.134</v>
      </c>
      <c r="AF94" s="11"/>
      <c r="AG94" s="67"/>
    </row>
    <row r="95" spans="2:33" ht="12.75" customHeight="1">
      <c r="B95" s="55" t="s">
        <v>162</v>
      </c>
      <c r="C95" s="75"/>
      <c r="D95" s="75"/>
      <c r="E95" s="75">
        <v>-22.798999999999999</v>
      </c>
      <c r="F95" s="75"/>
      <c r="G95" s="30"/>
      <c r="H95" s="75"/>
      <c r="I95" s="75"/>
      <c r="J95" s="75"/>
      <c r="K95" s="30"/>
      <c r="L95" s="75"/>
      <c r="M95" s="75"/>
      <c r="N95" s="75"/>
      <c r="O95" s="30"/>
      <c r="P95" s="75"/>
      <c r="Q95" s="75"/>
      <c r="R95" s="75"/>
      <c r="S95" s="30"/>
      <c r="T95" s="75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11"/>
      <c r="AG95" s="67"/>
    </row>
    <row r="96" spans="2:33" ht="12.75" customHeight="1">
      <c r="B96" s="55" t="s">
        <v>82</v>
      </c>
      <c r="C96" s="75">
        <v>390.983</v>
      </c>
      <c r="D96" s="75">
        <v>451.709</v>
      </c>
      <c r="E96" s="75">
        <v>344.51100000000002</v>
      </c>
      <c r="F96" s="75">
        <v>321.43299999999999</v>
      </c>
      <c r="G96" s="30"/>
      <c r="H96" s="75">
        <v>119.80800000000001</v>
      </c>
      <c r="I96" s="75">
        <v>121.77500000000001</v>
      </c>
      <c r="J96" s="75">
        <v>106.789</v>
      </c>
      <c r="K96" s="30">
        <f t="shared" si="229"/>
        <v>103.33699999999999</v>
      </c>
      <c r="L96" s="75">
        <v>112.35899999999999</v>
      </c>
      <c r="M96" s="75">
        <v>90.164000000000001</v>
      </c>
      <c r="N96" s="75">
        <v>77.075000000000003</v>
      </c>
      <c r="O96" s="30">
        <f t="shared" si="215"/>
        <v>64.913000000000011</v>
      </c>
      <c r="P96" s="75">
        <v>94.233000000000004</v>
      </c>
      <c r="Q96" s="75">
        <v>86.097999999999999</v>
      </c>
      <c r="R96" s="75">
        <v>75.606999999999999</v>
      </c>
      <c r="S96" s="30">
        <f t="shared" si="216"/>
        <v>65.494999999999976</v>
      </c>
      <c r="T96" s="75">
        <v>85.852999999999994</v>
      </c>
      <c r="V96" s="30">
        <f t="shared" si="230"/>
        <v>451.709</v>
      </c>
      <c r="W96" s="30">
        <f t="shared" si="231"/>
        <v>444.26</v>
      </c>
      <c r="X96" s="30">
        <f t="shared" si="232"/>
        <v>412.64899999999994</v>
      </c>
      <c r="Y96" s="30">
        <f t="shared" si="233"/>
        <v>382.93499999999995</v>
      </c>
      <c r="Z96" s="30">
        <f t="shared" si="234"/>
        <v>344.51100000000002</v>
      </c>
      <c r="AA96" s="30">
        <f t="shared" si="235"/>
        <v>326.38499999999999</v>
      </c>
      <c r="AB96" s="30">
        <f t="shared" si="236"/>
        <v>322.31900000000002</v>
      </c>
      <c r="AC96" s="30">
        <f t="shared" si="237"/>
        <v>320.851</v>
      </c>
      <c r="AD96" s="30">
        <f t="shared" si="238"/>
        <v>321.43299999999999</v>
      </c>
      <c r="AE96" s="30">
        <f t="shared" si="239"/>
        <v>313.05299999999994</v>
      </c>
      <c r="AF96" s="11"/>
      <c r="AG96" s="67"/>
    </row>
    <row r="97" spans="2:33" ht="12.75" customHeight="1">
      <c r="B97" s="55" t="s">
        <v>129</v>
      </c>
      <c r="C97" s="75">
        <v>254.679</v>
      </c>
      <c r="D97" s="75">
        <v>421.93399999999997</v>
      </c>
      <c r="E97" s="75">
        <v>406.714</v>
      </c>
      <c r="F97" s="75">
        <v>271.56199999999995</v>
      </c>
      <c r="G97" s="30"/>
      <c r="H97" s="75">
        <v>108.74299999999999</v>
      </c>
      <c r="I97" s="75">
        <v>128.053</v>
      </c>
      <c r="J97" s="75">
        <v>93.921999999999997</v>
      </c>
      <c r="K97" s="30">
        <f t="shared" si="229"/>
        <v>91.216000000000008</v>
      </c>
      <c r="L97" s="75">
        <v>95.91</v>
      </c>
      <c r="M97" s="75">
        <v>114.705</v>
      </c>
      <c r="N97" s="75">
        <v>95.972999999999999</v>
      </c>
      <c r="O97" s="30">
        <f t="shared" si="215"/>
        <v>100.12599999999998</v>
      </c>
      <c r="P97" s="75">
        <v>107.26300000000001</v>
      </c>
      <c r="Q97" s="75">
        <v>86.775999999999996</v>
      </c>
      <c r="R97" s="75">
        <v>36.063000000000002</v>
      </c>
      <c r="S97" s="30">
        <f t="shared" ref="S97:S102" si="240">SUM(F97-SUM(P97:R97))</f>
        <v>41.45999999999998</v>
      </c>
      <c r="T97" s="75">
        <v>40.976999999999997</v>
      </c>
      <c r="V97" s="30">
        <f t="shared" si="217"/>
        <v>421.93399999999997</v>
      </c>
      <c r="W97" s="30">
        <f t="shared" si="218"/>
        <v>409.101</v>
      </c>
      <c r="X97" s="30">
        <f t="shared" si="219"/>
        <v>395.75299999999999</v>
      </c>
      <c r="Y97" s="30">
        <f t="shared" si="220"/>
        <v>397.80400000000003</v>
      </c>
      <c r="Z97" s="30">
        <f t="shared" si="221"/>
        <v>406.714</v>
      </c>
      <c r="AA97" s="30">
        <f t="shared" si="222"/>
        <v>418.06700000000001</v>
      </c>
      <c r="AB97" s="30">
        <f t="shared" si="223"/>
        <v>390.13799999999998</v>
      </c>
      <c r="AC97" s="30">
        <f t="shared" si="224"/>
        <v>330.22799999999995</v>
      </c>
      <c r="AD97" s="30">
        <f t="shared" si="225"/>
        <v>271.56199999999995</v>
      </c>
      <c r="AE97" s="30">
        <f t="shared" si="226"/>
        <v>205.27599999999998</v>
      </c>
      <c r="AF97" s="11"/>
      <c r="AG97" s="67">
        <f t="shared" ref="AG97:AG102" si="241">SUM(AE97/AA97)-1</f>
        <v>-0.50898779382252135</v>
      </c>
    </row>
    <row r="98" spans="2:33" ht="12.75" customHeight="1">
      <c r="B98" s="55" t="s">
        <v>51</v>
      </c>
      <c r="C98" s="75">
        <v>52.721999999999994</v>
      </c>
      <c r="D98" s="75">
        <v>134.63400000000001</v>
      </c>
      <c r="E98" s="75">
        <v>169.04400000000001</v>
      </c>
      <c r="F98" s="75">
        <v>225.07600000000002</v>
      </c>
      <c r="G98" s="30"/>
      <c r="H98" s="75">
        <v>20.882000000000001</v>
      </c>
      <c r="I98" s="75">
        <v>23.004000000000001</v>
      </c>
      <c r="J98" s="75">
        <v>47.469000000000001</v>
      </c>
      <c r="K98" s="30">
        <f t="shared" ref="K98:K102" si="242">SUM(D98-SUM(H98:J98))</f>
        <v>43.279000000000011</v>
      </c>
      <c r="L98" s="75">
        <v>40.131</v>
      </c>
      <c r="M98" s="75">
        <v>26.512</v>
      </c>
      <c r="N98" s="75">
        <v>37.012</v>
      </c>
      <c r="O98" s="30">
        <f t="shared" si="215"/>
        <v>65.38900000000001</v>
      </c>
      <c r="P98" s="75">
        <v>46.72</v>
      </c>
      <c r="Q98" s="75">
        <v>54.893999999999998</v>
      </c>
      <c r="R98" s="75">
        <v>59.466999999999999</v>
      </c>
      <c r="S98" s="30">
        <f t="shared" si="240"/>
        <v>63.995000000000005</v>
      </c>
      <c r="T98" s="75">
        <v>65.328999999999994</v>
      </c>
      <c r="V98" s="30">
        <f t="shared" si="217"/>
        <v>134.63400000000001</v>
      </c>
      <c r="W98" s="30">
        <f t="shared" si="218"/>
        <v>153.88300000000001</v>
      </c>
      <c r="X98" s="30">
        <f t="shared" si="219"/>
        <v>157.39100000000002</v>
      </c>
      <c r="Y98" s="30">
        <f t="shared" si="220"/>
        <v>146.93400000000003</v>
      </c>
      <c r="Z98" s="30">
        <f t="shared" si="221"/>
        <v>169.04400000000001</v>
      </c>
      <c r="AA98" s="30">
        <f t="shared" si="222"/>
        <v>175.63300000000001</v>
      </c>
      <c r="AB98" s="30">
        <f t="shared" si="223"/>
        <v>204.01500000000001</v>
      </c>
      <c r="AC98" s="30">
        <f t="shared" si="224"/>
        <v>226.47000000000003</v>
      </c>
      <c r="AD98" s="30">
        <f t="shared" si="225"/>
        <v>225.07600000000002</v>
      </c>
      <c r="AE98" s="30">
        <f t="shared" si="226"/>
        <v>243.685</v>
      </c>
      <c r="AF98" s="11"/>
      <c r="AG98" s="67">
        <f t="shared" si="241"/>
        <v>0.38746704776437224</v>
      </c>
    </row>
    <row r="99" spans="2:33" ht="12.75" customHeight="1">
      <c r="B99" s="55" t="s">
        <v>163</v>
      </c>
      <c r="C99" s="75"/>
      <c r="D99" s="75"/>
      <c r="E99" s="75">
        <v>0.752</v>
      </c>
      <c r="F99" s="75"/>
      <c r="G99" s="30"/>
      <c r="H99" s="75"/>
      <c r="I99" s="75"/>
      <c r="J99" s="75"/>
      <c r="K99" s="30"/>
      <c r="L99" s="75"/>
      <c r="M99" s="75"/>
      <c r="N99" s="75"/>
      <c r="O99" s="30"/>
      <c r="P99" s="75"/>
      <c r="Q99" s="75"/>
      <c r="R99" s="75"/>
      <c r="S99" s="30"/>
      <c r="T99" s="75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11"/>
      <c r="AG99" s="67"/>
    </row>
    <row r="100" spans="2:33" ht="12.75" customHeight="1">
      <c r="B100" s="55" t="s">
        <v>130</v>
      </c>
      <c r="C100" s="75">
        <v>0</v>
      </c>
      <c r="D100" s="75">
        <v>0</v>
      </c>
      <c r="E100" s="75">
        <v>0</v>
      </c>
      <c r="F100" s="75">
        <v>0</v>
      </c>
      <c r="G100" s="30"/>
      <c r="H100" s="75">
        <v>0</v>
      </c>
      <c r="I100" s="75">
        <v>0</v>
      </c>
      <c r="J100" s="75">
        <v>0</v>
      </c>
      <c r="K100" s="30">
        <f t="shared" si="242"/>
        <v>0</v>
      </c>
      <c r="L100" s="75">
        <v>0.752</v>
      </c>
      <c r="M100" s="75">
        <v>0</v>
      </c>
      <c r="N100" s="75">
        <v>0</v>
      </c>
      <c r="O100" s="30">
        <f t="shared" si="215"/>
        <v>-0.752</v>
      </c>
      <c r="P100" s="75">
        <v>0</v>
      </c>
      <c r="Q100" s="75">
        <v>0</v>
      </c>
      <c r="R100" s="75">
        <v>0</v>
      </c>
      <c r="S100" s="30">
        <f t="shared" si="240"/>
        <v>0</v>
      </c>
      <c r="T100" s="75">
        <v>0</v>
      </c>
      <c r="V100" s="30">
        <f t="shared" si="217"/>
        <v>0</v>
      </c>
      <c r="W100" s="30">
        <f t="shared" si="218"/>
        <v>0.752</v>
      </c>
      <c r="X100" s="30">
        <f t="shared" si="219"/>
        <v>0.752</v>
      </c>
      <c r="Y100" s="30">
        <f t="shared" si="220"/>
        <v>0.752</v>
      </c>
      <c r="Z100" s="30">
        <f t="shared" si="221"/>
        <v>0</v>
      </c>
      <c r="AA100" s="30">
        <f t="shared" si="222"/>
        <v>-0.752</v>
      </c>
      <c r="AB100" s="30">
        <f t="shared" si="223"/>
        <v>-0.752</v>
      </c>
      <c r="AC100" s="30">
        <f t="shared" si="224"/>
        <v>-0.752</v>
      </c>
      <c r="AD100" s="30">
        <f t="shared" si="225"/>
        <v>0</v>
      </c>
      <c r="AE100" s="30">
        <f t="shared" si="226"/>
        <v>0</v>
      </c>
      <c r="AF100" s="11"/>
      <c r="AG100" s="67">
        <f t="shared" si="241"/>
        <v>-1</v>
      </c>
    </row>
    <row r="101" spans="2:33" ht="12.75" customHeight="1">
      <c r="B101" s="55" t="s">
        <v>131</v>
      </c>
      <c r="C101" s="75">
        <v>-23.634</v>
      </c>
      <c r="D101" s="75">
        <v>-133.482</v>
      </c>
      <c r="E101" s="75">
        <v>-25.331</v>
      </c>
      <c r="F101" s="75">
        <v>-112.74599999999998</v>
      </c>
      <c r="G101" s="30"/>
      <c r="H101" s="75">
        <v>-5.5670000000000002</v>
      </c>
      <c r="I101" s="75">
        <v>-8.2200000000000006</v>
      </c>
      <c r="J101" s="75">
        <v>-99.470999999999989</v>
      </c>
      <c r="K101" s="30">
        <f t="shared" si="242"/>
        <v>-20.224000000000004</v>
      </c>
      <c r="L101" s="75">
        <v>-4.7300000000000004</v>
      </c>
      <c r="M101" s="75">
        <v>8.636000000000001</v>
      </c>
      <c r="N101" s="75">
        <v>-8.0030000000000001</v>
      </c>
      <c r="O101" s="30">
        <f t="shared" si="215"/>
        <v>-21.234000000000002</v>
      </c>
      <c r="P101" s="75">
        <v>-37.629999999999995</v>
      </c>
      <c r="Q101" s="75">
        <v>-73.556999999999988</v>
      </c>
      <c r="R101" s="75">
        <v>4.5670000000000002</v>
      </c>
      <c r="S101" s="30">
        <f t="shared" si="240"/>
        <v>-6.1260000000000048</v>
      </c>
      <c r="T101" s="75">
        <v>-14.888999999999999</v>
      </c>
      <c r="V101" s="30">
        <f t="shared" si="217"/>
        <v>-133.482</v>
      </c>
      <c r="W101" s="30">
        <f t="shared" si="218"/>
        <v>-132.64499999999998</v>
      </c>
      <c r="X101" s="30">
        <f t="shared" si="219"/>
        <v>-115.789</v>
      </c>
      <c r="Y101" s="30">
        <f t="shared" si="220"/>
        <v>-24.321000000000005</v>
      </c>
      <c r="Z101" s="30">
        <f t="shared" si="221"/>
        <v>-25.331000000000003</v>
      </c>
      <c r="AA101" s="30">
        <f t="shared" si="222"/>
        <v>-58.230999999999995</v>
      </c>
      <c r="AB101" s="30">
        <f t="shared" si="223"/>
        <v>-140.42399999999998</v>
      </c>
      <c r="AC101" s="30">
        <f t="shared" si="224"/>
        <v>-127.85399999999998</v>
      </c>
      <c r="AD101" s="30">
        <f t="shared" si="225"/>
        <v>-112.74599999999998</v>
      </c>
      <c r="AE101" s="30">
        <f t="shared" si="226"/>
        <v>-90.004999999999981</v>
      </c>
      <c r="AF101" s="11"/>
      <c r="AG101" s="67">
        <f t="shared" si="241"/>
        <v>0.54565437653483517</v>
      </c>
    </row>
    <row r="102" spans="2:33" ht="12.75" customHeight="1">
      <c r="B102" s="55" t="s">
        <v>132</v>
      </c>
      <c r="C102" s="75">
        <v>29.373000000000275</v>
      </c>
      <c r="D102" s="75">
        <v>165.08600000000001</v>
      </c>
      <c r="E102" s="75">
        <f>(-4212299+4211687)/1000</f>
        <v>-0.61199999999999999</v>
      </c>
      <c r="F102" s="75">
        <v>3.7000000000148248E-2</v>
      </c>
      <c r="G102" s="30"/>
      <c r="H102" s="75">
        <v>52.625</v>
      </c>
      <c r="I102" s="75">
        <v>52.298000000000002</v>
      </c>
      <c r="J102" s="75">
        <v>13.538000000000011</v>
      </c>
      <c r="K102" s="30">
        <f t="shared" si="242"/>
        <v>46.625</v>
      </c>
      <c r="L102" s="75"/>
      <c r="M102" s="75">
        <v>11.40300000000002</v>
      </c>
      <c r="N102" s="75">
        <v>9.3910000000000764</v>
      </c>
      <c r="O102" s="30">
        <f t="shared" si="215"/>
        <v>-21.406000000000095</v>
      </c>
      <c r="P102" s="75">
        <v>3.8999999999987267E-2</v>
      </c>
      <c r="Q102" s="75">
        <v>-1.6999999999825377E-2</v>
      </c>
      <c r="R102" s="75">
        <v>3.8999999999987267E-2</v>
      </c>
      <c r="S102" s="30">
        <f t="shared" si="240"/>
        <v>-2.4000000000000909E-2</v>
      </c>
      <c r="T102" s="75">
        <v>-0.44100000000003092</v>
      </c>
      <c r="V102" s="30">
        <f t="shared" si="217"/>
        <v>165.08600000000001</v>
      </c>
      <c r="W102" s="30">
        <f t="shared" si="218"/>
        <v>112.46100000000001</v>
      </c>
      <c r="X102" s="30">
        <f t="shared" si="219"/>
        <v>71.566000000000031</v>
      </c>
      <c r="Y102" s="30">
        <f t="shared" si="220"/>
        <v>67.419000000000096</v>
      </c>
      <c r="Z102" s="30">
        <f t="shared" si="221"/>
        <v>-0.61199999999999832</v>
      </c>
      <c r="AA102" s="30">
        <f t="shared" si="222"/>
        <v>-0.57300000000001106</v>
      </c>
      <c r="AB102" s="30">
        <f t="shared" si="223"/>
        <v>-11.992999999999856</v>
      </c>
      <c r="AC102" s="30">
        <f t="shared" si="224"/>
        <v>-21.344999999999946</v>
      </c>
      <c r="AD102" s="30">
        <f t="shared" si="225"/>
        <v>3.7000000000148248E-2</v>
      </c>
      <c r="AE102" s="30">
        <f t="shared" si="226"/>
        <v>-0.44299999999986994</v>
      </c>
      <c r="AF102" s="11"/>
      <c r="AG102" s="67">
        <f t="shared" si="241"/>
        <v>-0.22687609075067816</v>
      </c>
    </row>
    <row r="103" spans="2:33" ht="5.0999999999999996" customHeight="1">
      <c r="B103" s="8"/>
      <c r="C103" s="75"/>
      <c r="D103" s="75"/>
      <c r="E103" s="75"/>
      <c r="F103" s="75"/>
      <c r="G103" s="30"/>
      <c r="H103" s="75"/>
      <c r="I103" s="75"/>
      <c r="J103" s="75"/>
      <c r="K103" s="30"/>
      <c r="L103" s="75"/>
      <c r="M103" s="75"/>
      <c r="N103" s="75"/>
      <c r="O103" s="30"/>
      <c r="P103" s="75"/>
      <c r="Q103" s="75"/>
      <c r="R103" s="75"/>
      <c r="S103" s="75"/>
      <c r="T103" s="75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11"/>
      <c r="AG103" s="67"/>
    </row>
    <row r="104" spans="2:33" ht="12.75" customHeight="1">
      <c r="B104" s="33" t="s">
        <v>14</v>
      </c>
      <c r="C104" s="75"/>
      <c r="D104" s="75"/>
      <c r="E104" s="75"/>
      <c r="F104" s="75"/>
      <c r="G104" s="30"/>
      <c r="H104" s="75"/>
      <c r="I104" s="75"/>
      <c r="J104" s="75"/>
      <c r="K104" s="30"/>
      <c r="L104" s="75"/>
      <c r="M104" s="75"/>
      <c r="N104" s="75"/>
      <c r="O104" s="30"/>
      <c r="P104" s="75"/>
      <c r="Q104" s="75"/>
      <c r="R104" s="75"/>
      <c r="S104" s="75"/>
      <c r="T104" s="75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54"/>
      <c r="AG104" s="67"/>
    </row>
    <row r="105" spans="2:33" ht="12.75" customHeight="1">
      <c r="B105" s="55" t="s">
        <v>133</v>
      </c>
      <c r="C105" s="75">
        <v>-62.7</v>
      </c>
      <c r="D105" s="75">
        <v>-67.690000000000012</v>
      </c>
      <c r="E105" s="75">
        <v>-167.75700000000001</v>
      </c>
      <c r="F105" s="75">
        <v>-84.951999999999984</v>
      </c>
      <c r="G105" s="30"/>
      <c r="H105" s="75">
        <v>-6.649</v>
      </c>
      <c r="I105" s="75">
        <v>-56.767000000000003</v>
      </c>
      <c r="J105" s="75">
        <v>61.631999999999998</v>
      </c>
      <c r="K105" s="30">
        <f>SUM(D105-SUM(H105:J105))</f>
        <v>-65.906000000000006</v>
      </c>
      <c r="L105" s="75">
        <v>-1222.2239999999999</v>
      </c>
      <c r="M105" s="75">
        <v>-74.278999999999996</v>
      </c>
      <c r="N105" s="75">
        <v>10.721</v>
      </c>
      <c r="O105" s="30">
        <f t="shared" ref="O105:O110" si="243">SUM(E105-SUM(L105:N105))</f>
        <v>1118.0249999999999</v>
      </c>
      <c r="P105" s="75">
        <v>41.116999999999997</v>
      </c>
      <c r="Q105" s="75">
        <v>102.664</v>
      </c>
      <c r="R105" s="75">
        <v>-19.884</v>
      </c>
      <c r="S105" s="30">
        <f t="shared" ref="S105:S109" si="244">SUM(F105-SUM(P105:R105))</f>
        <v>-208.84899999999999</v>
      </c>
      <c r="T105" s="75">
        <v>138.86199999999999</v>
      </c>
      <c r="V105" s="30">
        <f t="shared" ref="V105:V110" si="245">SUM(H105:K105)</f>
        <v>-67.690000000000012</v>
      </c>
      <c r="W105" s="30">
        <f t="shared" ref="W105:W110" si="246">SUM(I105:L105)</f>
        <v>-1283.2649999999999</v>
      </c>
      <c r="X105" s="30">
        <f t="shared" ref="X105:X110" si="247">SUM(J105:M105)</f>
        <v>-1300.777</v>
      </c>
      <c r="Y105" s="30">
        <f t="shared" ref="Y105:Y110" si="248">SUM(K105:N105)</f>
        <v>-1351.6879999999999</v>
      </c>
      <c r="Z105" s="30">
        <f t="shared" ref="Z105:Z110" si="249">SUM(L105:O105)</f>
        <v>-167.75700000000006</v>
      </c>
      <c r="AA105" s="30">
        <f t="shared" ref="AA105:AA110" si="250">SUM(M105:P105)</f>
        <v>1095.5839999999998</v>
      </c>
      <c r="AB105" s="30">
        <f t="shared" ref="AB105:AB110" si="251">SUM(N105:Q105)</f>
        <v>1272.5269999999998</v>
      </c>
      <c r="AC105" s="30">
        <f t="shared" ref="AC105:AC110" si="252">SUM(O105:R105)</f>
        <v>1241.9219999999998</v>
      </c>
      <c r="AD105" s="30">
        <f t="shared" ref="AD105:AD110" si="253">SUM(P105:S105)</f>
        <v>-84.951999999999984</v>
      </c>
      <c r="AE105" s="30">
        <f t="shared" ref="AE105:AE110" si="254">SUM(Q105:T105)</f>
        <v>12.793000000000006</v>
      </c>
      <c r="AF105" s="54"/>
      <c r="AG105" s="67">
        <f t="shared" si="227"/>
        <v>-0.98832312264509159</v>
      </c>
    </row>
    <row r="106" spans="2:33" ht="12.75" customHeight="1">
      <c r="B106" s="55" t="s">
        <v>83</v>
      </c>
      <c r="C106" s="75">
        <v>-15.020000000000003</v>
      </c>
      <c r="D106" s="75">
        <v>-14.465999999999999</v>
      </c>
      <c r="E106" s="75">
        <v>31.228000000000002</v>
      </c>
      <c r="F106" s="75">
        <v>-12.174999999999997</v>
      </c>
      <c r="G106" s="30"/>
      <c r="H106" s="75">
        <v>-3</v>
      </c>
      <c r="I106" s="75">
        <v>-10.727</v>
      </c>
      <c r="J106" s="75">
        <v>10.435</v>
      </c>
      <c r="K106" s="30">
        <f t="shared" ref="K106:K109" si="255">SUM(D106-SUM(H106:J106))</f>
        <v>-11.173999999999999</v>
      </c>
      <c r="L106" s="75">
        <v>1228.1099999999999</v>
      </c>
      <c r="M106" s="75">
        <v>-29.103000000000002</v>
      </c>
      <c r="N106" s="75">
        <v>99.85</v>
      </c>
      <c r="O106" s="30">
        <f t="shared" si="243"/>
        <v>-1267.6289999999997</v>
      </c>
      <c r="P106" s="75">
        <v>-6.8330000000000002</v>
      </c>
      <c r="Q106" s="75">
        <v>-20.588000000000001</v>
      </c>
      <c r="R106" s="75">
        <v>9.4290000000000003</v>
      </c>
      <c r="S106" s="30">
        <f t="shared" si="244"/>
        <v>5.8170000000000002</v>
      </c>
      <c r="T106" s="75">
        <v>30.954999999999998</v>
      </c>
      <c r="V106" s="30">
        <f t="shared" ref="V106:V109" si="256">SUM(H106:K106)</f>
        <v>-14.465999999999999</v>
      </c>
      <c r="W106" s="30">
        <f t="shared" ref="W106:W109" si="257">SUM(I106:L106)</f>
        <v>1216.644</v>
      </c>
      <c r="X106" s="30">
        <f t="shared" ref="X106:X109" si="258">SUM(J106:M106)</f>
        <v>1198.2679999999998</v>
      </c>
      <c r="Y106" s="30">
        <f t="shared" ref="Y106:Y109" si="259">SUM(K106:N106)</f>
        <v>1287.6829999999998</v>
      </c>
      <c r="Z106" s="30">
        <f t="shared" ref="Z106:Z109" si="260">SUM(L106:O106)</f>
        <v>31.228000000000065</v>
      </c>
      <c r="AA106" s="30">
        <f t="shared" ref="AA106:AA109" si="261">SUM(M106:P106)</f>
        <v>-1203.7149999999997</v>
      </c>
      <c r="AB106" s="30">
        <f t="shared" ref="AB106:AB109" si="262">SUM(N106:Q106)</f>
        <v>-1195.1999999999998</v>
      </c>
      <c r="AC106" s="30">
        <f t="shared" ref="AC106:AC109" si="263">SUM(O106:R106)</f>
        <v>-1285.6209999999996</v>
      </c>
      <c r="AD106" s="30">
        <f t="shared" ref="AD106:AD109" si="264">SUM(P106:S106)</f>
        <v>-12.174999999999997</v>
      </c>
      <c r="AE106" s="30">
        <f t="shared" ref="AE106:AE109" si="265">SUM(Q106:T106)</f>
        <v>25.613</v>
      </c>
      <c r="AF106" s="54"/>
      <c r="AG106" s="67">
        <f t="shared" ref="AG106" si="266">SUM(AE106/AA106)-1</f>
        <v>-1.0212782926191</v>
      </c>
    </row>
    <row r="107" spans="2:33" ht="12.75" customHeight="1">
      <c r="B107" s="55" t="s">
        <v>134</v>
      </c>
      <c r="C107" s="75">
        <v>3.907</v>
      </c>
      <c r="D107" s="75">
        <v>7.9149999999999983</v>
      </c>
      <c r="E107" s="75">
        <v>-55.168999999999997</v>
      </c>
      <c r="F107" s="75">
        <v>2.3860000000000001</v>
      </c>
      <c r="G107" s="30"/>
      <c r="H107" s="75">
        <v>-1.0780000000000001</v>
      </c>
      <c r="I107" s="75">
        <v>6.9809999999999999</v>
      </c>
      <c r="J107" s="75">
        <v>2.125</v>
      </c>
      <c r="K107" s="30">
        <f t="shared" si="255"/>
        <v>-0.11300000000000043</v>
      </c>
      <c r="L107" s="75">
        <v>-42.207999999999998</v>
      </c>
      <c r="M107" s="75">
        <v>2.6989999999999998</v>
      </c>
      <c r="N107" s="75">
        <v>0.65</v>
      </c>
      <c r="O107" s="30">
        <f t="shared" si="243"/>
        <v>-16.309999999999995</v>
      </c>
      <c r="P107" s="75">
        <v>0.84599999999999997</v>
      </c>
      <c r="Q107" s="75">
        <v>1.048</v>
      </c>
      <c r="R107" s="75">
        <v>-2.2770000000000001</v>
      </c>
      <c r="S107" s="30">
        <f t="shared" si="244"/>
        <v>2.7690000000000001</v>
      </c>
      <c r="T107" s="75">
        <v>1.621</v>
      </c>
      <c r="V107" s="30">
        <f t="shared" si="256"/>
        <v>7.9149999999999983</v>
      </c>
      <c r="W107" s="30">
        <f t="shared" si="257"/>
        <v>-33.215000000000003</v>
      </c>
      <c r="X107" s="30">
        <f t="shared" si="258"/>
        <v>-37.497</v>
      </c>
      <c r="Y107" s="30">
        <f t="shared" si="259"/>
        <v>-38.972000000000001</v>
      </c>
      <c r="Z107" s="30">
        <f t="shared" si="260"/>
        <v>-55.168999999999997</v>
      </c>
      <c r="AA107" s="30">
        <f t="shared" si="261"/>
        <v>-12.114999999999995</v>
      </c>
      <c r="AB107" s="30">
        <f t="shared" si="262"/>
        <v>-13.765999999999995</v>
      </c>
      <c r="AC107" s="30">
        <f t="shared" si="263"/>
        <v>-16.692999999999994</v>
      </c>
      <c r="AD107" s="30">
        <f t="shared" si="264"/>
        <v>2.3860000000000001</v>
      </c>
      <c r="AE107" s="30">
        <f t="shared" si="265"/>
        <v>3.161</v>
      </c>
      <c r="AF107" s="54"/>
      <c r="AG107" s="67"/>
    </row>
    <row r="108" spans="2:33" ht="12.75" customHeight="1">
      <c r="B108" s="55" t="s">
        <v>13</v>
      </c>
      <c r="C108" s="75">
        <v>-24.685999999999982</v>
      </c>
      <c r="D108" s="75">
        <v>-5.0380000000000003</v>
      </c>
      <c r="E108" s="75">
        <v>12.417</v>
      </c>
      <c r="F108" s="75">
        <v>41.801000000000002</v>
      </c>
      <c r="G108" s="30"/>
      <c r="H108" s="75">
        <v>1.462</v>
      </c>
      <c r="I108" s="75">
        <v>-5.56</v>
      </c>
      <c r="J108" s="75">
        <v>0.48</v>
      </c>
      <c r="K108" s="30">
        <f t="shared" si="255"/>
        <v>-1.4200000000000004</v>
      </c>
      <c r="L108" s="75">
        <v>-1.2569999999999999</v>
      </c>
      <c r="M108" s="75">
        <v>32.46</v>
      </c>
      <c r="N108" s="75">
        <v>-24.581</v>
      </c>
      <c r="O108" s="30">
        <f t="shared" si="243"/>
        <v>5.7949999999999999</v>
      </c>
      <c r="P108" s="75">
        <v>16.542999999999999</v>
      </c>
      <c r="Q108" s="75">
        <v>-6.9359999999999999</v>
      </c>
      <c r="R108" s="75">
        <v>-9.5679999999999996</v>
      </c>
      <c r="S108" s="30">
        <f t="shared" si="244"/>
        <v>41.762</v>
      </c>
      <c r="T108" s="75">
        <v>-24.800999999999998</v>
      </c>
      <c r="V108" s="30">
        <f t="shared" si="256"/>
        <v>-5.0380000000000003</v>
      </c>
      <c r="W108" s="30">
        <f t="shared" si="257"/>
        <v>-7.7569999999999997</v>
      </c>
      <c r="X108" s="30">
        <f t="shared" si="258"/>
        <v>30.263000000000002</v>
      </c>
      <c r="Y108" s="30">
        <f t="shared" si="259"/>
        <v>5.2020000000000017</v>
      </c>
      <c r="Z108" s="30">
        <f t="shared" si="260"/>
        <v>12.417</v>
      </c>
      <c r="AA108" s="30">
        <f t="shared" si="261"/>
        <v>30.216999999999999</v>
      </c>
      <c r="AB108" s="30">
        <f t="shared" si="262"/>
        <v>-9.179000000000002</v>
      </c>
      <c r="AC108" s="30">
        <f t="shared" si="263"/>
        <v>5.8340000000000014</v>
      </c>
      <c r="AD108" s="30">
        <f t="shared" si="264"/>
        <v>41.801000000000002</v>
      </c>
      <c r="AE108" s="30">
        <f t="shared" si="265"/>
        <v>0.45700000000000429</v>
      </c>
      <c r="AF108" s="54"/>
      <c r="AG108" s="67"/>
    </row>
    <row r="109" spans="2:33" ht="12.75" customHeight="1">
      <c r="B109" s="55" t="s">
        <v>135</v>
      </c>
      <c r="C109" s="75">
        <v>67.537000000000006</v>
      </c>
      <c r="D109" s="75">
        <v>-37.664999999999999</v>
      </c>
      <c r="E109" s="75">
        <v>11.138</v>
      </c>
      <c r="F109" s="75">
        <v>-48.942999999999998</v>
      </c>
      <c r="G109" s="30"/>
      <c r="H109" s="75">
        <v>3.2309999999999999</v>
      </c>
      <c r="I109" s="75">
        <v>-13.631</v>
      </c>
      <c r="J109" s="75">
        <v>-34.387999999999998</v>
      </c>
      <c r="K109" s="30">
        <f t="shared" si="255"/>
        <v>7.1229999999999976</v>
      </c>
      <c r="L109" s="75">
        <v>-26.938000000000002</v>
      </c>
      <c r="M109" s="75">
        <v>-16.359000000000002</v>
      </c>
      <c r="N109" s="75">
        <v>-6.9710000000000001</v>
      </c>
      <c r="O109" s="30">
        <f t="shared" si="243"/>
        <v>61.405999999999999</v>
      </c>
      <c r="P109" s="75">
        <v>-23.754999999999999</v>
      </c>
      <c r="Q109" s="75">
        <v>3.4889999999999999</v>
      </c>
      <c r="R109" s="75">
        <v>1.4530000000000001</v>
      </c>
      <c r="S109" s="30">
        <f t="shared" si="244"/>
        <v>-30.13</v>
      </c>
      <c r="T109" s="75">
        <v>-3.5859999999999999</v>
      </c>
      <c r="V109" s="30">
        <f t="shared" si="256"/>
        <v>-37.664999999999999</v>
      </c>
      <c r="W109" s="30">
        <f t="shared" si="257"/>
        <v>-67.834000000000003</v>
      </c>
      <c r="X109" s="30">
        <f t="shared" si="258"/>
        <v>-70.562000000000012</v>
      </c>
      <c r="Y109" s="30">
        <f t="shared" si="259"/>
        <v>-43.14500000000001</v>
      </c>
      <c r="Z109" s="30">
        <f t="shared" si="260"/>
        <v>11.137999999999998</v>
      </c>
      <c r="AA109" s="30">
        <f t="shared" si="261"/>
        <v>14.320999999999994</v>
      </c>
      <c r="AB109" s="30">
        <f t="shared" si="262"/>
        <v>34.169000000000004</v>
      </c>
      <c r="AC109" s="30">
        <f t="shared" si="263"/>
        <v>42.592999999999996</v>
      </c>
      <c r="AD109" s="30">
        <f t="shared" si="264"/>
        <v>-48.942999999999998</v>
      </c>
      <c r="AE109" s="30">
        <f t="shared" si="265"/>
        <v>-28.773999999999997</v>
      </c>
      <c r="AF109" s="54"/>
      <c r="AG109" s="67"/>
    </row>
    <row r="110" spans="2:33" ht="12.75" customHeight="1">
      <c r="B110" s="55" t="s">
        <v>136</v>
      </c>
      <c r="C110" s="75">
        <v>21.304000000000002</v>
      </c>
      <c r="D110" s="75">
        <v>-17.530999999999999</v>
      </c>
      <c r="E110" s="75">
        <v>105.791</v>
      </c>
      <c r="F110" s="75">
        <v>52.056000000000004</v>
      </c>
      <c r="G110" s="30"/>
      <c r="H110" s="75">
        <v>19.428000000000001</v>
      </c>
      <c r="I110" s="75">
        <v>36.567</v>
      </c>
      <c r="J110" s="75">
        <v>-83.191000000000003</v>
      </c>
      <c r="K110" s="30">
        <f t="shared" ref="K110" si="267">SUM(D110-SUM(H110:J110))</f>
        <v>9.6649999999999991</v>
      </c>
      <c r="L110" s="75">
        <v>55.646000000000001</v>
      </c>
      <c r="M110" s="75">
        <v>25.068999999999999</v>
      </c>
      <c r="N110" s="75">
        <v>-4.8369999999999997</v>
      </c>
      <c r="O110" s="30">
        <f t="shared" si="243"/>
        <v>29.912999999999997</v>
      </c>
      <c r="P110" s="75">
        <v>-7.6079999999999997</v>
      </c>
      <c r="Q110" s="75">
        <v>5.21</v>
      </c>
      <c r="R110" s="75">
        <v>19.751000000000001</v>
      </c>
      <c r="S110" s="30">
        <f t="shared" ref="S110" si="268">SUM(F110-SUM(P110:R110))</f>
        <v>34.703000000000003</v>
      </c>
      <c r="T110" s="75">
        <v>-17.91</v>
      </c>
      <c r="V110" s="30">
        <f t="shared" si="245"/>
        <v>-17.530999999999999</v>
      </c>
      <c r="W110" s="30">
        <f t="shared" si="246"/>
        <v>18.686999999999998</v>
      </c>
      <c r="X110" s="30">
        <f t="shared" si="247"/>
        <v>7.1889999999999894</v>
      </c>
      <c r="Y110" s="30">
        <f t="shared" si="248"/>
        <v>85.543000000000006</v>
      </c>
      <c r="Z110" s="30">
        <f t="shared" si="249"/>
        <v>105.791</v>
      </c>
      <c r="AA110" s="30">
        <f t="shared" si="250"/>
        <v>42.536999999999999</v>
      </c>
      <c r="AB110" s="30">
        <f t="shared" si="251"/>
        <v>22.677999999999997</v>
      </c>
      <c r="AC110" s="30">
        <f t="shared" si="252"/>
        <v>47.265999999999998</v>
      </c>
      <c r="AD110" s="30">
        <f t="shared" si="253"/>
        <v>52.056000000000004</v>
      </c>
      <c r="AE110" s="30">
        <f t="shared" si="254"/>
        <v>41.754000000000005</v>
      </c>
      <c r="AF110" s="54"/>
      <c r="AG110" s="67">
        <f t="shared" ref="AG110" si="269">SUM(AE110/AA110)-1</f>
        <v>-1.84075040552929E-2</v>
      </c>
    </row>
    <row r="111" spans="2:33" ht="12.75" customHeight="1">
      <c r="B111" s="12" t="s">
        <v>52</v>
      </c>
      <c r="C111" s="13">
        <f>SUM(C84:C110)</f>
        <v>-113.79999999999956</v>
      </c>
      <c r="D111" s="13">
        <f>SUM(D84:D110)</f>
        <v>12.681000000000196</v>
      </c>
      <c r="E111" s="13">
        <f>SUM(E84:E110)</f>
        <v>462.77599999999967</v>
      </c>
      <c r="F111" s="13">
        <f>SUM(F84:F110)</f>
        <v>793.90800000000047</v>
      </c>
      <c r="H111" s="13">
        <f>SUM(H84:H110)</f>
        <v>51.215000000000089</v>
      </c>
      <c r="I111" s="13">
        <f>SUM(I84:I110)</f>
        <v>-28.548000000000037</v>
      </c>
      <c r="J111" s="13">
        <f>SUM(J84:J110)</f>
        <v>-53.774999999999956</v>
      </c>
      <c r="K111" s="13">
        <f>SUM(K84:K110)</f>
        <v>43.789000000000136</v>
      </c>
      <c r="L111" s="13">
        <f>SUM(L84:L110)</f>
        <v>98.901999999999873</v>
      </c>
      <c r="M111" s="13">
        <f>SUM(M84:M110)</f>
        <v>74.321000000000055</v>
      </c>
      <c r="N111" s="13">
        <f>SUM(N84:N110)</f>
        <v>208.15200000000013</v>
      </c>
      <c r="O111" s="13">
        <f>SUM(O84:O110)</f>
        <v>103.44800000000001</v>
      </c>
      <c r="P111" s="13">
        <f>SUM(P84:P110)</f>
        <v>196.86700000000002</v>
      </c>
      <c r="Q111" s="13">
        <f>SUM(Q84:Q110)</f>
        <v>312.01700000000022</v>
      </c>
      <c r="R111" s="13">
        <f>SUM(R84:R110)</f>
        <v>210.38799999999998</v>
      </c>
      <c r="S111" s="13">
        <f>SUM(S84:S110)</f>
        <v>74.636000000000152</v>
      </c>
      <c r="T111" s="13">
        <f>SUM(T84:T110)</f>
        <v>374.57299999999969</v>
      </c>
      <c r="V111" s="13">
        <f>SUM(V84:V110)</f>
        <v>12.681000000000196</v>
      </c>
      <c r="W111" s="13">
        <f>SUM(W84:W110)</f>
        <v>60.368000000000521</v>
      </c>
      <c r="X111" s="13">
        <f>SUM(X84:X110)</f>
        <v>163.23699999999991</v>
      </c>
      <c r="Y111" s="13">
        <f>SUM(Y84:Y110)</f>
        <v>425.1640000000001</v>
      </c>
      <c r="Z111" s="13">
        <f>SUM(Z84:Z110)</f>
        <v>484.82299999999969</v>
      </c>
      <c r="AA111" s="13">
        <f>SUM(AA84:AA110)</f>
        <v>582.78800000000047</v>
      </c>
      <c r="AB111" s="13">
        <f>SUM(AB84:AB110)</f>
        <v>820.48400000000038</v>
      </c>
      <c r="AC111" s="13">
        <f>SUM(AC84:AC110)</f>
        <v>822.72000000000014</v>
      </c>
      <c r="AD111" s="13">
        <f>SUM(AD84:AD110)</f>
        <v>793.90800000000047</v>
      </c>
      <c r="AE111" s="13">
        <f>SUM(AE84:AE110)</f>
        <v>971.61400000000049</v>
      </c>
      <c r="AF111" s="39"/>
      <c r="AG111" s="68">
        <f>SUM(AE111/AA111)-1</f>
        <v>0.6671825775410607</v>
      </c>
    </row>
    <row r="112" spans="2:33" ht="12.75" customHeight="1">
      <c r="B112" s="48"/>
      <c r="C112" s="56"/>
      <c r="D112" s="56"/>
      <c r="E112" s="56"/>
      <c r="F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6"/>
    </row>
    <row r="113" spans="2:33" ht="12.75" customHeight="1">
      <c r="B113" s="111" t="s">
        <v>53</v>
      </c>
      <c r="C113" s="53"/>
      <c r="D113" s="53"/>
      <c r="E113" s="53"/>
      <c r="F113" s="53"/>
      <c r="H113" s="75"/>
      <c r="I113" s="75"/>
      <c r="J113" s="75"/>
      <c r="K113" s="30"/>
      <c r="L113" s="75"/>
      <c r="M113" s="75"/>
      <c r="N113" s="75"/>
      <c r="O113" s="30"/>
      <c r="P113" s="75"/>
      <c r="Q113" s="75"/>
      <c r="R113" s="75"/>
      <c r="S113" s="75"/>
      <c r="T113" s="75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4"/>
      <c r="AG113" s="36"/>
    </row>
    <row r="114" spans="2:33" ht="12.75" customHeight="1">
      <c r="B114" s="55" t="s">
        <v>137</v>
      </c>
      <c r="C114" s="75">
        <v>-9581.7720000000008</v>
      </c>
      <c r="D114" s="75">
        <v>-13586.251</v>
      </c>
      <c r="E114" s="75">
        <v>-21488.547000000002</v>
      </c>
      <c r="F114" s="75">
        <v>-32545.595000000001</v>
      </c>
      <c r="G114" s="30"/>
      <c r="H114" s="75">
        <v>-2744.8249999999998</v>
      </c>
      <c r="I114" s="75">
        <v>-3790.6320000000001</v>
      </c>
      <c r="J114" s="75">
        <v>-3086.8319999999999</v>
      </c>
      <c r="K114" s="30">
        <f t="shared" ref="K114" si="270">SUM(D114-SUM(H114:J114))</f>
        <v>-3963.9619999999995</v>
      </c>
      <c r="L114" s="75">
        <v>-4229.6670000000004</v>
      </c>
      <c r="M114" s="75">
        <v>-6103.8220000000001</v>
      </c>
      <c r="N114" s="75">
        <v>-5223.7190000000001</v>
      </c>
      <c r="O114" s="30">
        <f t="shared" ref="O114:O120" si="271">SUM(E114-SUM(L114:N114))</f>
        <v>-5931.3389999999999</v>
      </c>
      <c r="P114" s="75">
        <v>-6388.35</v>
      </c>
      <c r="Q114" s="75">
        <v>-8663.5560000000005</v>
      </c>
      <c r="R114" s="75">
        <v>-7676.0630000000001</v>
      </c>
      <c r="S114" s="30">
        <f t="shared" ref="S114" si="272">SUM(F114-SUM(P114:R114))</f>
        <v>-9817.6260000000002</v>
      </c>
      <c r="T114" s="75">
        <v>-9797.3619999999992</v>
      </c>
      <c r="U114" s="30"/>
      <c r="V114" s="30">
        <f t="shared" ref="V114:V115" si="273">SUM(H114:K114)</f>
        <v>-13586.251</v>
      </c>
      <c r="W114" s="30">
        <f t="shared" ref="W114:W115" si="274">SUM(I114:L114)</f>
        <v>-15071.093000000001</v>
      </c>
      <c r="X114" s="30">
        <f t="shared" ref="X114:X115" si="275">SUM(J114:M114)</f>
        <v>-17384.282999999999</v>
      </c>
      <c r="Y114" s="30">
        <f t="shared" ref="Y114:Y115" si="276">SUM(K114:N114)</f>
        <v>-19521.170000000002</v>
      </c>
      <c r="Z114" s="30">
        <f t="shared" ref="Z114:Z115" si="277">SUM(L114:O114)</f>
        <v>-21488.547000000002</v>
      </c>
      <c r="AA114" s="30">
        <f t="shared" ref="AA114:AA115" si="278">SUM(M114:P114)</f>
        <v>-23647.230000000003</v>
      </c>
      <c r="AB114" s="30">
        <f t="shared" ref="AB114:AB115" si="279">SUM(N114:Q114)</f>
        <v>-26206.964000000004</v>
      </c>
      <c r="AC114" s="30">
        <f t="shared" ref="AC114:AC115" si="280">SUM(O114:R114)</f>
        <v>-28659.308000000005</v>
      </c>
      <c r="AD114" s="30">
        <f t="shared" ref="AD114:AD115" si="281">SUM(P114:S114)</f>
        <v>-32545.595000000001</v>
      </c>
      <c r="AE114" s="30">
        <f t="shared" ref="AE114:AE115" si="282">SUM(Q114:T114)</f>
        <v>-35954.607000000004</v>
      </c>
      <c r="AF114" s="54"/>
      <c r="AG114" s="67">
        <f t="shared" ref="AG114" si="283">SUM(AE114/AA114)-1</f>
        <v>0.52045744892742185</v>
      </c>
    </row>
    <row r="115" spans="2:33" ht="12.75" customHeight="1">
      <c r="B115" s="55" t="s">
        <v>138</v>
      </c>
      <c r="C115" s="75">
        <v>1118.3310000000001</v>
      </c>
      <c r="D115" s="75">
        <v>1582.501</v>
      </c>
      <c r="E115" s="75">
        <v>6058.799</v>
      </c>
      <c r="F115" s="75">
        <v>12572.254000000001</v>
      </c>
      <c r="G115" s="30"/>
      <c r="H115" s="75">
        <v>326.71300000000002</v>
      </c>
      <c r="I115" s="75">
        <v>376.274</v>
      </c>
      <c r="J115" s="75">
        <v>390.90699999999998</v>
      </c>
      <c r="K115" s="30">
        <f t="shared" ref="K115:K120" si="284">SUM(D115-SUM(H115:J115))</f>
        <v>488.60699999999997</v>
      </c>
      <c r="L115" s="75">
        <v>899.23800000000006</v>
      </c>
      <c r="M115" s="75">
        <v>2077.703</v>
      </c>
      <c r="N115" s="75">
        <v>1203.078</v>
      </c>
      <c r="O115" s="30">
        <f t="shared" si="271"/>
        <v>1878.7799999999997</v>
      </c>
      <c r="P115" s="75">
        <v>1630.671</v>
      </c>
      <c r="Q115" s="75">
        <v>3633.6640000000002</v>
      </c>
      <c r="R115" s="75">
        <v>2858.471</v>
      </c>
      <c r="S115" s="30">
        <f t="shared" ref="S115:S120" si="285">SUM(F115-SUM(P115:R115))</f>
        <v>4449.4480000000003</v>
      </c>
      <c r="T115" s="75">
        <v>4282.8389999999999</v>
      </c>
      <c r="U115" s="30"/>
      <c r="V115" s="30">
        <f t="shared" si="273"/>
        <v>1582.501</v>
      </c>
      <c r="W115" s="30">
        <f t="shared" si="274"/>
        <v>2155.0259999999998</v>
      </c>
      <c r="X115" s="30">
        <f t="shared" si="275"/>
        <v>3856.4549999999999</v>
      </c>
      <c r="Y115" s="30">
        <f t="shared" si="276"/>
        <v>4668.6260000000002</v>
      </c>
      <c r="Z115" s="30">
        <f t="shared" si="277"/>
        <v>6058.799</v>
      </c>
      <c r="AA115" s="30">
        <f t="shared" si="278"/>
        <v>6790.232</v>
      </c>
      <c r="AB115" s="30">
        <f t="shared" si="279"/>
        <v>8346.1929999999993</v>
      </c>
      <c r="AC115" s="30">
        <f t="shared" si="280"/>
        <v>10001.585999999999</v>
      </c>
      <c r="AD115" s="30">
        <f t="shared" si="281"/>
        <v>12572.254000000001</v>
      </c>
      <c r="AE115" s="30">
        <f t="shared" si="282"/>
        <v>15224.422</v>
      </c>
      <c r="AF115" s="54"/>
      <c r="AG115" s="67">
        <f t="shared" ref="AG115" si="286">SUM(AE115/AA115)-1</f>
        <v>1.2421063080024366</v>
      </c>
    </row>
    <row r="116" spans="2:33" ht="12.75" customHeight="1">
      <c r="B116" s="55" t="s">
        <v>139</v>
      </c>
      <c r="C116" s="75">
        <v>-86.29</v>
      </c>
      <c r="D116" s="75">
        <v>-120.77500000000001</v>
      </c>
      <c r="E116" s="75">
        <v>-159.29599999999999</v>
      </c>
      <c r="F116" s="75">
        <v>-192.18900000000002</v>
      </c>
      <c r="G116" s="30"/>
      <c r="H116" s="75">
        <v>-31.151</v>
      </c>
      <c r="I116" s="75">
        <v>-34.25</v>
      </c>
      <c r="J116" s="75">
        <v>-30.515999999999998</v>
      </c>
      <c r="K116" s="30">
        <f t="shared" si="284"/>
        <v>-24.858000000000004</v>
      </c>
      <c r="L116" s="75">
        <v>-35.817</v>
      </c>
      <c r="M116" s="75">
        <v>-38.747</v>
      </c>
      <c r="N116" s="75">
        <v>-46.475999999999999</v>
      </c>
      <c r="O116" s="30">
        <f t="shared" si="271"/>
        <v>-38.256</v>
      </c>
      <c r="P116" s="75">
        <v>-44.152000000000001</v>
      </c>
      <c r="Q116" s="75">
        <v>-43.905000000000001</v>
      </c>
      <c r="R116" s="75">
        <v>-53.012</v>
      </c>
      <c r="S116" s="30">
        <f t="shared" si="285"/>
        <v>-51.120000000000005</v>
      </c>
      <c r="T116" s="75">
        <v>-54.365000000000002</v>
      </c>
      <c r="U116" s="30"/>
      <c r="V116" s="30">
        <f t="shared" ref="V116:V120" si="287">SUM(H116:K116)</f>
        <v>-120.77500000000001</v>
      </c>
      <c r="W116" s="30">
        <f t="shared" ref="W116:W120" si="288">SUM(I116:L116)</f>
        <v>-125.441</v>
      </c>
      <c r="X116" s="30">
        <f t="shared" ref="X116:X120" si="289">SUM(J116:M116)</f>
        <v>-129.93799999999999</v>
      </c>
      <c r="Y116" s="30">
        <f t="shared" ref="Y116:Y120" si="290">SUM(K116:N116)</f>
        <v>-145.898</v>
      </c>
      <c r="Z116" s="30">
        <f t="shared" ref="Z116:Z120" si="291">SUM(L116:O116)</f>
        <v>-159.29599999999999</v>
      </c>
      <c r="AA116" s="30">
        <f t="shared" ref="AA116:AA120" si="292">SUM(M116:P116)</f>
        <v>-167.631</v>
      </c>
      <c r="AB116" s="30">
        <f t="shared" ref="AB116:AB120" si="293">SUM(N116:Q116)</f>
        <v>-172.78900000000002</v>
      </c>
      <c r="AC116" s="30">
        <f t="shared" ref="AC116:AC120" si="294">SUM(O116:R116)</f>
        <v>-179.32499999999999</v>
      </c>
      <c r="AD116" s="30">
        <f t="shared" ref="AD116:AD120" si="295">SUM(P116:S116)</f>
        <v>-192.18900000000002</v>
      </c>
      <c r="AE116" s="30">
        <f t="shared" ref="AE116:AE120" si="296">SUM(Q116:T116)</f>
        <v>-202.40200000000002</v>
      </c>
      <c r="AF116" s="54"/>
      <c r="AG116" s="67"/>
    </row>
    <row r="117" spans="2:33" ht="12.75" customHeight="1">
      <c r="B117" s="55" t="s">
        <v>140</v>
      </c>
      <c r="C117" s="75">
        <v>8121.5829999999996</v>
      </c>
      <c r="D117" s="75">
        <v>10028.451999999999</v>
      </c>
      <c r="E117" s="75">
        <v>14147.034000000001</v>
      </c>
      <c r="F117" s="75">
        <v>18655.656999999999</v>
      </c>
      <c r="G117" s="30"/>
      <c r="H117" s="75">
        <v>2206.7249999999999</v>
      </c>
      <c r="I117" s="75">
        <v>2422.1</v>
      </c>
      <c r="J117" s="75">
        <v>2570.7429999999999</v>
      </c>
      <c r="K117" s="30">
        <f t="shared" si="284"/>
        <v>2828.884</v>
      </c>
      <c r="L117" s="75">
        <v>3184.8510000000001</v>
      </c>
      <c r="M117" s="75">
        <v>3351.462</v>
      </c>
      <c r="N117" s="75">
        <v>3777.9769999999999</v>
      </c>
      <c r="O117" s="30">
        <f t="shared" si="271"/>
        <v>3832.7440000000006</v>
      </c>
      <c r="P117" s="75">
        <v>4132.6819999999998</v>
      </c>
      <c r="Q117" s="75">
        <v>4528.8109999999997</v>
      </c>
      <c r="R117" s="75">
        <v>4988.174</v>
      </c>
      <c r="S117" s="30">
        <f t="shared" si="285"/>
        <v>5005.9900000000016</v>
      </c>
      <c r="T117" s="75">
        <v>5359.2529999999997</v>
      </c>
      <c r="U117" s="30"/>
      <c r="V117" s="30">
        <f t="shared" si="287"/>
        <v>10028.451999999999</v>
      </c>
      <c r="W117" s="30">
        <f t="shared" si="288"/>
        <v>11006.578</v>
      </c>
      <c r="X117" s="30">
        <f t="shared" si="289"/>
        <v>11935.94</v>
      </c>
      <c r="Y117" s="30">
        <f t="shared" si="290"/>
        <v>13143.173999999999</v>
      </c>
      <c r="Z117" s="30">
        <f t="shared" si="291"/>
        <v>14147.034000000001</v>
      </c>
      <c r="AA117" s="30">
        <f t="shared" si="292"/>
        <v>15094.865000000002</v>
      </c>
      <c r="AB117" s="30">
        <f t="shared" si="293"/>
        <v>16272.214</v>
      </c>
      <c r="AC117" s="30">
        <f t="shared" si="294"/>
        <v>17482.411</v>
      </c>
      <c r="AD117" s="30">
        <f t="shared" si="295"/>
        <v>18655.656999999999</v>
      </c>
      <c r="AE117" s="30">
        <f t="shared" si="296"/>
        <v>19882.228000000003</v>
      </c>
      <c r="AF117" s="54"/>
      <c r="AG117" s="67"/>
    </row>
    <row r="118" spans="2:33" ht="12.75" customHeight="1">
      <c r="B118" s="55" t="s">
        <v>141</v>
      </c>
      <c r="C118" s="75">
        <v>-283.738</v>
      </c>
      <c r="D118" s="75">
        <v>0</v>
      </c>
      <c r="E118" s="75">
        <v>-193.322</v>
      </c>
      <c r="F118" s="75">
        <v>0</v>
      </c>
      <c r="G118" s="30"/>
      <c r="H118" s="75">
        <v>0</v>
      </c>
      <c r="I118" s="75">
        <v>0</v>
      </c>
      <c r="J118" s="75">
        <v>0</v>
      </c>
      <c r="K118" s="30">
        <f t="shared" si="284"/>
        <v>0</v>
      </c>
      <c r="L118" s="75">
        <v>-96.813000000000002</v>
      </c>
      <c r="M118" s="75">
        <v>-96.509</v>
      </c>
      <c r="N118" s="75">
        <v>0</v>
      </c>
      <c r="O118" s="30">
        <f t="shared" si="271"/>
        <v>0</v>
      </c>
      <c r="P118" s="75">
        <v>0</v>
      </c>
      <c r="Q118" s="75">
        <v>0</v>
      </c>
      <c r="R118" s="75">
        <v>0</v>
      </c>
      <c r="S118" s="30">
        <f t="shared" si="285"/>
        <v>0</v>
      </c>
      <c r="T118" s="75">
        <v>0</v>
      </c>
      <c r="U118" s="30"/>
      <c r="V118" s="30">
        <f t="shared" si="287"/>
        <v>0</v>
      </c>
      <c r="W118" s="30">
        <f t="shared" si="288"/>
        <v>-96.813000000000002</v>
      </c>
      <c r="X118" s="30">
        <f t="shared" si="289"/>
        <v>-193.322</v>
      </c>
      <c r="Y118" s="30">
        <f t="shared" si="290"/>
        <v>-193.322</v>
      </c>
      <c r="Z118" s="30">
        <f t="shared" si="291"/>
        <v>-193.322</v>
      </c>
      <c r="AA118" s="30">
        <f t="shared" si="292"/>
        <v>-96.509</v>
      </c>
      <c r="AB118" s="30">
        <f t="shared" si="293"/>
        <v>0</v>
      </c>
      <c r="AC118" s="30">
        <f t="shared" si="294"/>
        <v>0</v>
      </c>
      <c r="AD118" s="30">
        <f t="shared" si="295"/>
        <v>0</v>
      </c>
      <c r="AE118" s="30">
        <f t="shared" si="296"/>
        <v>0</v>
      </c>
      <c r="AF118" s="54"/>
      <c r="AG118" s="67"/>
    </row>
    <row r="119" spans="2:33" ht="12.75" customHeight="1">
      <c r="B119" s="55" t="s">
        <v>142</v>
      </c>
      <c r="C119" s="75">
        <v>-5.9989999999999997</v>
      </c>
      <c r="D119" s="75">
        <v>0</v>
      </c>
      <c r="E119" s="75">
        <v>0</v>
      </c>
      <c r="F119" s="75">
        <v>0</v>
      </c>
      <c r="G119" s="30"/>
      <c r="H119" s="75">
        <v>0</v>
      </c>
      <c r="I119" s="75">
        <v>0</v>
      </c>
      <c r="J119" s="75">
        <v>0</v>
      </c>
      <c r="K119" s="30">
        <f t="shared" si="284"/>
        <v>0</v>
      </c>
      <c r="L119" s="75">
        <v>262.29300000000001</v>
      </c>
      <c r="M119" s="75">
        <v>219.73599999999999</v>
      </c>
      <c r="N119" s="75">
        <v>0</v>
      </c>
      <c r="O119" s="30">
        <f t="shared" si="271"/>
        <v>-482.029</v>
      </c>
      <c r="P119" s="75">
        <v>0</v>
      </c>
      <c r="Q119" s="75">
        <v>0</v>
      </c>
      <c r="R119" s="75">
        <v>0</v>
      </c>
      <c r="S119" s="30">
        <f t="shared" si="285"/>
        <v>0</v>
      </c>
      <c r="T119" s="75">
        <v>0</v>
      </c>
      <c r="U119" s="30"/>
      <c r="V119" s="30">
        <f t="shared" si="287"/>
        <v>0</v>
      </c>
      <c r="W119" s="30">
        <f t="shared" si="288"/>
        <v>262.29300000000001</v>
      </c>
      <c r="X119" s="30">
        <f t="shared" si="289"/>
        <v>482.029</v>
      </c>
      <c r="Y119" s="30">
        <f t="shared" si="290"/>
        <v>482.029</v>
      </c>
      <c r="Z119" s="30">
        <f t="shared" si="291"/>
        <v>0</v>
      </c>
      <c r="AA119" s="30">
        <f t="shared" si="292"/>
        <v>-262.29300000000001</v>
      </c>
      <c r="AB119" s="30">
        <f t="shared" si="293"/>
        <v>-482.029</v>
      </c>
      <c r="AC119" s="30">
        <f t="shared" si="294"/>
        <v>-482.029</v>
      </c>
      <c r="AD119" s="30">
        <f t="shared" si="295"/>
        <v>0</v>
      </c>
      <c r="AE119" s="30">
        <f t="shared" si="296"/>
        <v>0</v>
      </c>
      <c r="AF119" s="54"/>
      <c r="AG119" s="67"/>
    </row>
    <row r="120" spans="2:33" ht="12.75" customHeight="1">
      <c r="B120" s="55" t="s">
        <v>143</v>
      </c>
      <c r="C120" s="75">
        <v>-1313.087</v>
      </c>
      <c r="D120" s="75">
        <v>443.00299999999999</v>
      </c>
      <c r="E120" s="75">
        <v>-171.84599999999998</v>
      </c>
      <c r="F120" s="75">
        <v>426.80799999999999</v>
      </c>
      <c r="G120" s="30"/>
      <c r="H120" s="75">
        <v>359.81099999999998</v>
      </c>
      <c r="I120" s="75">
        <v>334.29699999999997</v>
      </c>
      <c r="J120" s="75">
        <v>-145.25999999999996</v>
      </c>
      <c r="K120" s="30">
        <f t="shared" si="284"/>
        <v>-105.84499999999997</v>
      </c>
      <c r="L120" s="75">
        <v>5.6000000000000001E-2</v>
      </c>
      <c r="M120" s="75">
        <v>-34.725000000000001</v>
      </c>
      <c r="N120" s="75">
        <v>142.38499999999999</v>
      </c>
      <c r="O120" s="30">
        <f t="shared" si="271"/>
        <v>-279.56199999999995</v>
      </c>
      <c r="P120" s="75">
        <v>94.15</v>
      </c>
      <c r="Q120" s="75">
        <v>455.91799999999995</v>
      </c>
      <c r="R120" s="75">
        <v>-82.051999999999964</v>
      </c>
      <c r="S120" s="30">
        <f t="shared" si="285"/>
        <v>-41.208000000000027</v>
      </c>
      <c r="T120" s="75">
        <v>70.024000000000029</v>
      </c>
      <c r="U120" s="30"/>
      <c r="V120" s="30">
        <f t="shared" si="287"/>
        <v>443.00299999999999</v>
      </c>
      <c r="W120" s="30">
        <f t="shared" si="288"/>
        <v>83.248000000000033</v>
      </c>
      <c r="X120" s="30">
        <f t="shared" si="289"/>
        <v>-285.77399999999994</v>
      </c>
      <c r="Y120" s="30">
        <f t="shared" si="290"/>
        <v>1.8710000000000093</v>
      </c>
      <c r="Z120" s="30">
        <f t="shared" si="291"/>
        <v>-171.84599999999998</v>
      </c>
      <c r="AA120" s="30">
        <f t="shared" si="292"/>
        <v>-77.751999999999953</v>
      </c>
      <c r="AB120" s="30">
        <f t="shared" si="293"/>
        <v>412.89099999999996</v>
      </c>
      <c r="AC120" s="30">
        <f t="shared" si="294"/>
        <v>188.45400000000001</v>
      </c>
      <c r="AD120" s="30">
        <f t="shared" si="295"/>
        <v>426.80799999999999</v>
      </c>
      <c r="AE120" s="30">
        <f t="shared" si="296"/>
        <v>402.68200000000002</v>
      </c>
      <c r="AF120" s="54"/>
      <c r="AG120" s="67"/>
    </row>
    <row r="121" spans="2:33" ht="12.75" customHeight="1">
      <c r="B121" s="12" t="s">
        <v>54</v>
      </c>
      <c r="C121" s="13">
        <f>SUM(C114:C120)</f>
        <v>-2030.972000000002</v>
      </c>
      <c r="D121" s="13">
        <f>SUM(D114:D120)</f>
        <v>-1653.0700000000004</v>
      </c>
      <c r="E121" s="13">
        <f>SUM(E114:E120)</f>
        <v>-1807.1780000000022</v>
      </c>
      <c r="F121" s="13">
        <f>SUM(F114:F120)</f>
        <v>-1083.0649999999996</v>
      </c>
      <c r="H121" s="13">
        <f>SUM(H114:H120)</f>
        <v>117.27300000000042</v>
      </c>
      <c r="I121" s="13">
        <f>SUM(I114:I120)</f>
        <v>-692.21100000000024</v>
      </c>
      <c r="J121" s="13">
        <f>SUM(J114:J120)</f>
        <v>-300.95799999999986</v>
      </c>
      <c r="K121" s="13">
        <f>SUM(K114:K120)</f>
        <v>-777.17399999999975</v>
      </c>
      <c r="L121" s="13">
        <f>SUM(L114:L120)</f>
        <v>-15.858999999999964</v>
      </c>
      <c r="M121" s="13">
        <f>SUM(M114:M120)</f>
        <v>-624.90200000000004</v>
      </c>
      <c r="N121" s="13">
        <f>SUM(N114:N120)</f>
        <v>-146.75500000000034</v>
      </c>
      <c r="O121" s="13">
        <f>SUM(O114:O120)</f>
        <v>-1019.6619999999994</v>
      </c>
      <c r="P121" s="13">
        <f>SUM(P114:P120)</f>
        <v>-574.99900000000036</v>
      </c>
      <c r="Q121" s="13">
        <f>SUM(Q114:Q120)</f>
        <v>-89.067999999999927</v>
      </c>
      <c r="R121" s="13">
        <f>SUM(R114:R120)</f>
        <v>35.517999999999745</v>
      </c>
      <c r="S121" s="13">
        <f>SUM(S114:S120)</f>
        <v>-454.5159999999982</v>
      </c>
      <c r="T121" s="13">
        <f>SUM(T114:T120)</f>
        <v>-139.61099999999928</v>
      </c>
      <c r="V121" s="13">
        <f>SUM(V114:V120)</f>
        <v>-1653.0700000000004</v>
      </c>
      <c r="W121" s="13">
        <f>SUM(W114:W120)</f>
        <v>-1786.202000000002</v>
      </c>
      <c r="X121" s="13">
        <f>SUM(X114:X120)</f>
        <v>-1718.8929999999991</v>
      </c>
      <c r="Y121" s="13">
        <f>SUM(Y114:Y120)</f>
        <v>-1564.6900000000019</v>
      </c>
      <c r="Z121" s="13">
        <f>SUM(Z114:Z120)</f>
        <v>-1807.1780000000022</v>
      </c>
      <c r="AA121" s="13">
        <f>SUM(AA114:AA120)</f>
        <v>-2366.3180000000029</v>
      </c>
      <c r="AB121" s="13">
        <f>SUM(AB114:AB120)</f>
        <v>-1830.4840000000049</v>
      </c>
      <c r="AC121" s="13">
        <f>SUM(AC114:AC120)</f>
        <v>-1648.2110000000059</v>
      </c>
      <c r="AD121" s="13">
        <f>SUM(AD114:AD120)</f>
        <v>-1083.0649999999996</v>
      </c>
      <c r="AE121" s="13">
        <f>SUM(AE114:AE120)</f>
        <v>-647.67700000000036</v>
      </c>
      <c r="AF121" s="39"/>
      <c r="AG121" s="68">
        <f>SUM(AE121/AA121)-1</f>
        <v>-0.72629333842704169</v>
      </c>
    </row>
    <row r="122" spans="2:33" ht="5.0999999999999996" customHeight="1">
      <c r="B122" s="47"/>
      <c r="C122" s="56"/>
      <c r="D122" s="56"/>
      <c r="E122" s="56"/>
      <c r="F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6"/>
    </row>
    <row r="123" spans="2:33" ht="12.75" customHeight="1">
      <c r="B123" s="111" t="s">
        <v>55</v>
      </c>
      <c r="C123" s="57"/>
      <c r="D123" s="57"/>
      <c r="E123" s="57"/>
      <c r="F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58"/>
      <c r="AG123" s="36"/>
    </row>
    <row r="124" spans="2:33" ht="12.75" customHeight="1">
      <c r="B124" s="76" t="s">
        <v>144</v>
      </c>
      <c r="C124" s="75">
        <v>-42.454000000000008</v>
      </c>
      <c r="D124" s="75">
        <v>817.5139999999999</v>
      </c>
      <c r="E124" s="75">
        <v>69.695000000000192</v>
      </c>
      <c r="F124" s="75">
        <v>-237.37699999999995</v>
      </c>
      <c r="H124" s="75">
        <v>126.73099999999999</v>
      </c>
      <c r="I124" s="75">
        <v>1089.1899999999998</v>
      </c>
      <c r="J124" s="75">
        <v>-611.45299999999975</v>
      </c>
      <c r="K124" s="30">
        <f t="shared" ref="K124:K125" si="297">SUM(D124-SUM(H124:J124))</f>
        <v>213.04599999999982</v>
      </c>
      <c r="L124" s="75">
        <v>-42.422999999999774</v>
      </c>
      <c r="M124" s="75">
        <v>185.02199999999993</v>
      </c>
      <c r="N124" s="75">
        <v>-291.05299999999988</v>
      </c>
      <c r="O124" s="30">
        <f t="shared" ref="O124:O126" si="298">SUM(E124-SUM(L124:N124))</f>
        <v>218.14899999999992</v>
      </c>
      <c r="P124" s="75">
        <v>-104.70699999999988</v>
      </c>
      <c r="Q124" s="75">
        <v>445.1880000000001</v>
      </c>
      <c r="R124" s="75">
        <v>-273.03800000000047</v>
      </c>
      <c r="S124" s="30">
        <f t="shared" ref="S124:S125" si="299">SUM(F124-SUM(P124:R124))</f>
        <v>-304.81999999999971</v>
      </c>
      <c r="T124" s="75">
        <v>152.38000000000011</v>
      </c>
      <c r="U124" s="30"/>
      <c r="V124" s="30">
        <f t="shared" ref="V124:V126" si="300">SUM(H124:K124)</f>
        <v>817.5139999999999</v>
      </c>
      <c r="W124" s="30">
        <f t="shared" ref="W124:W126" si="301">SUM(I124:L124)</f>
        <v>648.36000000000013</v>
      </c>
      <c r="X124" s="30">
        <f t="shared" ref="X124:X126" si="302">SUM(J124:M124)</f>
        <v>-255.80799999999977</v>
      </c>
      <c r="Y124" s="30">
        <f t="shared" ref="Y124:Y126" si="303">SUM(K124:N124)</f>
        <v>64.592000000000098</v>
      </c>
      <c r="Z124" s="30">
        <f t="shared" ref="Z124:Z126" si="304">SUM(L124:O124)</f>
        <v>69.695000000000192</v>
      </c>
      <c r="AA124" s="30">
        <f t="shared" ref="AA124:AA126" si="305">SUM(M124:P124)</f>
        <v>7.4110000000000866</v>
      </c>
      <c r="AB124" s="30">
        <f t="shared" ref="AB124:AB126" si="306">SUM(N124:Q124)</f>
        <v>267.57700000000023</v>
      </c>
      <c r="AC124" s="30">
        <f t="shared" ref="AC124:AC126" si="307">SUM(O124:R124)</f>
        <v>285.59199999999964</v>
      </c>
      <c r="AD124" s="30">
        <f t="shared" ref="AD124:AD126" si="308">SUM(P124:S124)</f>
        <v>-237.37699999999995</v>
      </c>
      <c r="AE124" s="30">
        <f t="shared" ref="AE124:AE126" si="309">SUM(Q124:T124)</f>
        <v>19.710000000000036</v>
      </c>
      <c r="AF124" s="58"/>
      <c r="AG124" s="67">
        <f t="shared" ref="AG124" si="310">SUM(AE124/AA124)-1</f>
        <v>1.6595601133450013</v>
      </c>
    </row>
    <row r="125" spans="2:33" ht="12.75" customHeight="1">
      <c r="B125" s="55" t="s">
        <v>145</v>
      </c>
      <c r="C125" s="75">
        <v>2151.402</v>
      </c>
      <c r="D125" s="75">
        <v>590.61699999999996</v>
      </c>
      <c r="E125" s="75">
        <v>764.875</v>
      </c>
      <c r="F125" s="75">
        <v>731.92099999999994</v>
      </c>
      <c r="G125" s="30"/>
      <c r="H125" s="75">
        <v>99.218000000000018</v>
      </c>
      <c r="I125" s="75">
        <v>-408.601</v>
      </c>
      <c r="J125" s="75">
        <v>500</v>
      </c>
      <c r="K125" s="30">
        <f t="shared" si="297"/>
        <v>399.99999999999994</v>
      </c>
      <c r="L125" s="75">
        <v>-10.49</v>
      </c>
      <c r="M125" s="75">
        <v>338.92599999999999</v>
      </c>
      <c r="N125" s="75">
        <v>474.44</v>
      </c>
      <c r="O125" s="30">
        <f t="shared" si="298"/>
        <v>-38.000999999999976</v>
      </c>
      <c r="P125" s="75">
        <v>-120.056</v>
      </c>
      <c r="Q125" s="75">
        <v>8.4510000000000218</v>
      </c>
      <c r="R125" s="75">
        <v>100</v>
      </c>
      <c r="S125" s="30">
        <f t="shared" si="299"/>
        <v>743.52599999999995</v>
      </c>
      <c r="T125" s="75">
        <v>-24.814</v>
      </c>
      <c r="U125" s="30"/>
      <c r="V125" s="30">
        <f t="shared" si="300"/>
        <v>590.61699999999996</v>
      </c>
      <c r="W125" s="30">
        <f t="shared" si="301"/>
        <v>480.90899999999993</v>
      </c>
      <c r="X125" s="30">
        <f t="shared" si="302"/>
        <v>1228.4359999999999</v>
      </c>
      <c r="Y125" s="30">
        <f t="shared" si="303"/>
        <v>1202.876</v>
      </c>
      <c r="Z125" s="30">
        <f t="shared" si="304"/>
        <v>764.875</v>
      </c>
      <c r="AA125" s="30">
        <f t="shared" si="305"/>
        <v>655.30899999999997</v>
      </c>
      <c r="AB125" s="30">
        <f t="shared" si="306"/>
        <v>324.83400000000006</v>
      </c>
      <c r="AC125" s="30">
        <f t="shared" si="307"/>
        <v>-49.605999999999938</v>
      </c>
      <c r="AD125" s="30">
        <f t="shared" si="308"/>
        <v>731.92099999999994</v>
      </c>
      <c r="AE125" s="30">
        <f t="shared" si="309"/>
        <v>827.16300000000001</v>
      </c>
      <c r="AF125" s="54"/>
      <c r="AG125" s="67">
        <f t="shared" ref="AG125" si="311">SUM(AE125/AA125)-1</f>
        <v>0.26224880171033815</v>
      </c>
    </row>
    <row r="126" spans="2:33" ht="12.75" customHeight="1">
      <c r="B126" s="55" t="s">
        <v>146</v>
      </c>
      <c r="C126" s="75">
        <v>-111.35</v>
      </c>
      <c r="D126" s="75">
        <v>-58.186</v>
      </c>
      <c r="E126" s="75">
        <v>78.579000000000036</v>
      </c>
      <c r="F126" s="75">
        <v>256.88100000000003</v>
      </c>
      <c r="G126" s="30"/>
      <c r="H126" s="75">
        <v>-26.407</v>
      </c>
      <c r="I126" s="75">
        <v>-10.776</v>
      </c>
      <c r="J126" s="75">
        <v>-17.506</v>
      </c>
      <c r="K126" s="30">
        <f t="shared" ref="K126" si="312">SUM(D126-SUM(H126:J126))</f>
        <v>-3.4969999999999999</v>
      </c>
      <c r="L126" s="75">
        <v>201.71900000000005</v>
      </c>
      <c r="M126" s="75">
        <v>-17.602999999999998</v>
      </c>
      <c r="N126" s="75">
        <v>-71.358000000000004</v>
      </c>
      <c r="O126" s="30">
        <f t="shared" si="298"/>
        <v>-34.179000000000002</v>
      </c>
      <c r="P126" s="75">
        <v>690.38800000000003</v>
      </c>
      <c r="Q126" s="75">
        <v>-309.54300000000001</v>
      </c>
      <c r="R126" s="75">
        <v>-72.516000000000005</v>
      </c>
      <c r="S126" s="30">
        <f t="shared" ref="S126" si="313">SUM(F126-SUM(P126:R126))</f>
        <v>-51.447999999999979</v>
      </c>
      <c r="T126" s="75">
        <v>-17.479000000000042</v>
      </c>
      <c r="U126" s="30"/>
      <c r="V126" s="30">
        <f t="shared" si="300"/>
        <v>-58.186</v>
      </c>
      <c r="W126" s="30">
        <f t="shared" si="301"/>
        <v>169.94000000000005</v>
      </c>
      <c r="X126" s="30">
        <f t="shared" si="302"/>
        <v>163.11300000000006</v>
      </c>
      <c r="Y126" s="30">
        <f t="shared" si="303"/>
        <v>109.26100000000002</v>
      </c>
      <c r="Z126" s="30">
        <f t="shared" si="304"/>
        <v>78.579000000000036</v>
      </c>
      <c r="AA126" s="30">
        <f t="shared" si="305"/>
        <v>567.24800000000005</v>
      </c>
      <c r="AB126" s="30">
        <f t="shared" si="306"/>
        <v>275.30799999999999</v>
      </c>
      <c r="AC126" s="30">
        <f t="shared" si="307"/>
        <v>274.15000000000003</v>
      </c>
      <c r="AD126" s="30">
        <f t="shared" si="308"/>
        <v>256.88100000000003</v>
      </c>
      <c r="AE126" s="30">
        <f t="shared" si="309"/>
        <v>-450.98600000000005</v>
      </c>
      <c r="AF126" s="54"/>
      <c r="AG126" s="67">
        <f t="shared" ref="AG126" si="314">SUM(AE126/AA126)-1</f>
        <v>-1.7950420274729924</v>
      </c>
    </row>
    <row r="127" spans="2:33" ht="12.75" customHeight="1">
      <c r="B127" s="12" t="s">
        <v>56</v>
      </c>
      <c r="C127" s="13">
        <f>SUM(C124:C126)</f>
        <v>1997.598</v>
      </c>
      <c r="D127" s="13">
        <f>SUM(D124:D126)</f>
        <v>1349.9449999999999</v>
      </c>
      <c r="E127" s="13">
        <f>SUM(E124:E126)</f>
        <v>913.14900000000023</v>
      </c>
      <c r="F127" s="13">
        <f>SUM(F124:F126)</f>
        <v>751.42499999999995</v>
      </c>
      <c r="H127" s="13">
        <f>SUM(H124:H126)</f>
        <v>199.542</v>
      </c>
      <c r="I127" s="13">
        <f>SUM(I124:I126)</f>
        <v>669.81299999999987</v>
      </c>
      <c r="J127" s="13">
        <f>SUM(J124:J126)</f>
        <v>-128.95899999999975</v>
      </c>
      <c r="K127" s="13">
        <f>SUM(K124:K126)</f>
        <v>609.54899999999986</v>
      </c>
      <c r="L127" s="13">
        <f>SUM(L124:L126)</f>
        <v>148.80600000000027</v>
      </c>
      <c r="M127" s="13">
        <f>SUM(M124:M126)</f>
        <v>506.34499999999986</v>
      </c>
      <c r="N127" s="13">
        <f>SUM(N124:N126)</f>
        <v>112.02900000000011</v>
      </c>
      <c r="O127" s="13">
        <f>SUM(O124:O126)</f>
        <v>145.96899999999994</v>
      </c>
      <c r="P127" s="13">
        <f>SUM(P124:P126)</f>
        <v>465.62500000000017</v>
      </c>
      <c r="Q127" s="13">
        <f>SUM(Q124:Q126)</f>
        <v>144.09600000000012</v>
      </c>
      <c r="R127" s="13">
        <f>SUM(R124:R126)</f>
        <v>-245.55400000000049</v>
      </c>
      <c r="S127" s="13">
        <f>SUM(S124:S126)</f>
        <v>387.25800000000027</v>
      </c>
      <c r="T127" s="13">
        <f>SUM(T124:T126)</f>
        <v>110.08700000000007</v>
      </c>
      <c r="V127" s="13">
        <f>SUM(V124:V126)</f>
        <v>1349.9449999999999</v>
      </c>
      <c r="W127" s="13">
        <f>SUM(W124:W126)</f>
        <v>1299.2090000000001</v>
      </c>
      <c r="X127" s="13">
        <f>SUM(X124:X126)</f>
        <v>1135.7410000000002</v>
      </c>
      <c r="Y127" s="13">
        <f>SUM(Y124:Y126)</f>
        <v>1376.729</v>
      </c>
      <c r="Z127" s="13">
        <f>SUM(Z124:Z126)</f>
        <v>913.14900000000023</v>
      </c>
      <c r="AA127" s="13">
        <f>SUM(AA124:AA126)</f>
        <v>1229.9680000000001</v>
      </c>
      <c r="AB127" s="13">
        <f>SUM(AB124:AB126)</f>
        <v>867.71900000000028</v>
      </c>
      <c r="AC127" s="13">
        <f>SUM(AC124:AC126)</f>
        <v>510.13599999999974</v>
      </c>
      <c r="AD127" s="13">
        <f>SUM(AD124:AD126)</f>
        <v>751.42499999999995</v>
      </c>
      <c r="AE127" s="13">
        <f>SUM(AE124:AE126)</f>
        <v>395.887</v>
      </c>
      <c r="AF127" s="39"/>
      <c r="AG127" s="68">
        <f>SUM(AE127/AA127)-1</f>
        <v>-0.67813227661207454</v>
      </c>
    </row>
    <row r="128" spans="2:33" ht="5.0999999999999996" customHeight="1">
      <c r="B128" s="8"/>
      <c r="C128" s="59"/>
      <c r="D128" s="59"/>
      <c r="E128" s="59"/>
      <c r="F128" s="59"/>
      <c r="G128" s="30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42"/>
    </row>
    <row r="129" spans="2:33" ht="5.0999999999999996" customHeight="1">
      <c r="B129" s="64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11"/>
      <c r="AG129" s="42"/>
    </row>
    <row r="130" spans="2:33">
      <c r="B130" s="149" t="s">
        <v>90</v>
      </c>
      <c r="C130" s="155">
        <v>1691.9419999999993</v>
      </c>
      <c r="D130" s="155">
        <f t="shared" ref="D130:E130" si="315">C137</f>
        <v>1254.4799999999977</v>
      </c>
      <c r="E130" s="155">
        <f t="shared" si="315"/>
        <v>891.83599999999751</v>
      </c>
      <c r="F130" s="155">
        <f t="shared" ref="F130" si="316">E137</f>
        <v>543.52399999999511</v>
      </c>
      <c r="G130" s="155"/>
      <c r="H130" s="155">
        <f>D130</f>
        <v>1254.4799999999977</v>
      </c>
      <c r="I130" s="155">
        <f t="shared" ref="I130:Q130" si="317">H137</f>
        <v>1529.4409999999982</v>
      </c>
      <c r="J130" s="155">
        <f t="shared" si="317"/>
        <v>1439.6419999999978</v>
      </c>
      <c r="K130" s="155">
        <f t="shared" si="317"/>
        <v>972.28599999999824</v>
      </c>
      <c r="L130" s="155">
        <f t="shared" si="317"/>
        <v>891.83599999999842</v>
      </c>
      <c r="M130" s="155">
        <f t="shared" si="317"/>
        <v>1079.0699999999986</v>
      </c>
      <c r="N130" s="155">
        <f t="shared" si="317"/>
        <v>1036.5279999999984</v>
      </c>
      <c r="O130" s="155">
        <f t="shared" si="317"/>
        <v>1272.5689999999984</v>
      </c>
      <c r="P130" s="155">
        <f t="shared" si="317"/>
        <v>565.570999999999</v>
      </c>
      <c r="Q130" s="155">
        <f t="shared" si="317"/>
        <v>598.62499999999886</v>
      </c>
      <c r="R130" s="155">
        <f t="shared" ref="R130:T130" si="318">Q137</f>
        <v>752.84599999999932</v>
      </c>
      <c r="S130" s="155">
        <f t="shared" ref="S130" si="319">R137</f>
        <v>903.61499999999864</v>
      </c>
      <c r="T130" s="155">
        <f t="shared" si="318"/>
        <v>906.87400000000071</v>
      </c>
      <c r="U130" s="155"/>
      <c r="V130" s="155">
        <f>K130</f>
        <v>972.28599999999824</v>
      </c>
      <c r="W130" s="155">
        <f t="shared" ref="W130:AE130" si="320">V137</f>
        <v>891.83599999999842</v>
      </c>
      <c r="X130" s="155">
        <f t="shared" si="320"/>
        <v>1079.0699999999986</v>
      </c>
      <c r="Y130" s="155">
        <f t="shared" si="320"/>
        <v>1036.5279999999984</v>
      </c>
      <c r="Z130" s="155">
        <f t="shared" si="320"/>
        <v>1272.5689999999984</v>
      </c>
      <c r="AA130" s="155">
        <f t="shared" si="320"/>
        <v>565.570999999999</v>
      </c>
      <c r="AB130" s="155">
        <f t="shared" si="320"/>
        <v>598.62499999999886</v>
      </c>
      <c r="AC130" s="155">
        <f t="shared" si="320"/>
        <v>752.84599999999932</v>
      </c>
      <c r="AD130" s="155">
        <f t="shared" si="320"/>
        <v>903.61499999999864</v>
      </c>
      <c r="AE130" s="156">
        <f t="shared" si="320"/>
        <v>906.87400000000071</v>
      </c>
      <c r="AF130" s="11"/>
      <c r="AG130" s="42"/>
    </row>
    <row r="131" spans="2:33">
      <c r="B131" s="150" t="s">
        <v>87</v>
      </c>
      <c r="C131" s="139"/>
      <c r="D131" s="139">
        <f t="shared" ref="D131:E131" si="321">-C135</f>
        <v>295.63600000000002</v>
      </c>
      <c r="E131" s="139">
        <f t="shared" si="321"/>
        <v>367.91699999999997</v>
      </c>
      <c r="F131" s="139">
        <f t="shared" ref="F131" si="322">-E135</f>
        <v>282.29300000000001</v>
      </c>
      <c r="G131" s="139"/>
      <c r="H131" s="139">
        <f>D131</f>
        <v>295.63600000000002</v>
      </c>
      <c r="I131" s="139">
        <f>-H135</f>
        <v>383.40600000000001</v>
      </c>
      <c r="J131" s="139">
        <f t="shared" ref="J131:Q131" si="323">-I135</f>
        <v>424.46</v>
      </c>
      <c r="K131" s="139">
        <f t="shared" si="323"/>
        <v>409.01499999999999</v>
      </c>
      <c r="L131" s="139">
        <f t="shared" si="323"/>
        <v>367.91699999999997</v>
      </c>
      <c r="M131" s="139">
        <f t="shared" si="323"/>
        <v>409.23099999999999</v>
      </c>
      <c r="N131" s="139">
        <f t="shared" si="323"/>
        <v>411.25900000000001</v>
      </c>
      <c r="O131" s="139">
        <f t="shared" si="323"/>
        <v>346.93099999999998</v>
      </c>
      <c r="P131" s="139">
        <f t="shared" si="323"/>
        <v>282.29300000000001</v>
      </c>
      <c r="Q131" s="139">
        <f t="shared" si="323"/>
        <v>338.46199999999999</v>
      </c>
      <c r="R131" s="139">
        <f t="shared" ref="R131:S131" si="324">-Q135</f>
        <v>536.77599999999995</v>
      </c>
      <c r="S131" s="139">
        <f t="shared" si="324"/>
        <v>384.81099999999998</v>
      </c>
      <c r="T131" s="139">
        <f t="shared" ref="T131" si="325">-S135</f>
        <v>401.96800000000002</v>
      </c>
      <c r="U131" s="139"/>
      <c r="V131" s="139">
        <f>K131</f>
        <v>409.01499999999999</v>
      </c>
      <c r="W131" s="139">
        <f t="shared" ref="W131:AE131" si="326">-V135</f>
        <v>367.91699999999997</v>
      </c>
      <c r="X131" s="139">
        <f t="shared" si="326"/>
        <v>409.23099999999999</v>
      </c>
      <c r="Y131" s="139">
        <f t="shared" si="326"/>
        <v>411.25900000000001</v>
      </c>
      <c r="Z131" s="139">
        <f t="shared" si="326"/>
        <v>346.93099999999998</v>
      </c>
      <c r="AA131" s="139">
        <f t="shared" si="326"/>
        <v>282.29300000000001</v>
      </c>
      <c r="AB131" s="139">
        <f t="shared" si="326"/>
        <v>338.46199999999999</v>
      </c>
      <c r="AC131" s="139">
        <f t="shared" si="326"/>
        <v>536.77599999999995</v>
      </c>
      <c r="AD131" s="139">
        <f t="shared" si="326"/>
        <v>384.81099999999998</v>
      </c>
      <c r="AE131" s="145">
        <f t="shared" si="326"/>
        <v>401.96800000000002</v>
      </c>
      <c r="AF131" s="11"/>
      <c r="AG131" s="42"/>
    </row>
    <row r="132" spans="2:33">
      <c r="B132" s="151" t="s">
        <v>70</v>
      </c>
      <c r="C132" s="112">
        <f t="shared" ref="C132:E132" si="327">SUM(C130:C131)</f>
        <v>1691.9419999999993</v>
      </c>
      <c r="D132" s="112">
        <f t="shared" si="327"/>
        <v>1550.1159999999977</v>
      </c>
      <c r="E132" s="112">
        <f t="shared" si="327"/>
        <v>1259.7529999999974</v>
      </c>
      <c r="F132" s="112">
        <f t="shared" ref="F132" si="328">SUM(F130:F131)</f>
        <v>825.81699999999512</v>
      </c>
      <c r="G132" s="139"/>
      <c r="H132" s="112">
        <f t="shared" ref="H132:Q132" si="329">SUM(H130:H131)</f>
        <v>1550.1159999999977</v>
      </c>
      <c r="I132" s="112">
        <f t="shared" si="329"/>
        <v>1912.8469999999982</v>
      </c>
      <c r="J132" s="112">
        <f t="shared" si="329"/>
        <v>1864.1019999999978</v>
      </c>
      <c r="K132" s="112">
        <f t="shared" si="329"/>
        <v>1381.3009999999981</v>
      </c>
      <c r="L132" s="112">
        <f t="shared" si="329"/>
        <v>1259.7529999999983</v>
      </c>
      <c r="M132" s="112">
        <f t="shared" si="329"/>
        <v>1488.3009999999986</v>
      </c>
      <c r="N132" s="112">
        <f t="shared" si="329"/>
        <v>1447.7869999999984</v>
      </c>
      <c r="O132" s="112">
        <f t="shared" si="329"/>
        <v>1619.4999999999984</v>
      </c>
      <c r="P132" s="112">
        <f t="shared" si="329"/>
        <v>847.86399999999901</v>
      </c>
      <c r="Q132" s="112">
        <f t="shared" si="329"/>
        <v>937.08699999999885</v>
      </c>
      <c r="R132" s="112">
        <f t="shared" ref="R132:S132" si="330">SUM(R130:R131)</f>
        <v>1289.6219999999994</v>
      </c>
      <c r="S132" s="112">
        <f t="shared" si="330"/>
        <v>1288.4259999999986</v>
      </c>
      <c r="T132" s="112">
        <f t="shared" ref="T132" si="331">SUM(T130:T131)</f>
        <v>1308.8420000000008</v>
      </c>
      <c r="U132" s="139"/>
      <c r="V132" s="112">
        <f t="shared" ref="V132:AA132" si="332">SUM(V130:V131)</f>
        <v>1381.3009999999981</v>
      </c>
      <c r="W132" s="112">
        <f t="shared" si="332"/>
        <v>1259.7529999999983</v>
      </c>
      <c r="X132" s="112">
        <f t="shared" si="332"/>
        <v>1488.3009999999986</v>
      </c>
      <c r="Y132" s="112">
        <f t="shared" si="332"/>
        <v>1447.7869999999984</v>
      </c>
      <c r="Z132" s="112">
        <f t="shared" si="332"/>
        <v>1619.4999999999984</v>
      </c>
      <c r="AA132" s="112">
        <f t="shared" ref="AA132" si="333">SUM(AA130:AA131)</f>
        <v>847.86399999999901</v>
      </c>
      <c r="AB132" s="112">
        <f t="shared" ref="AB132" si="334">SUM(AB130:AB131)</f>
        <v>937.08699999999885</v>
      </c>
      <c r="AC132" s="112">
        <f t="shared" ref="AC132" si="335">SUM(AC130:AC131)</f>
        <v>1289.6219999999994</v>
      </c>
      <c r="AD132" s="112">
        <f t="shared" ref="AD132" si="336">SUM(AD130:AD131)</f>
        <v>1288.4259999999986</v>
      </c>
      <c r="AE132" s="146">
        <f t="shared" ref="V132:AE132" si="337">SUM(AE130:AE131)</f>
        <v>1308.8420000000008</v>
      </c>
      <c r="AF132" s="11"/>
      <c r="AG132" s="42"/>
    </row>
    <row r="133" spans="2:33" ht="5.0999999999999996" customHeight="1">
      <c r="B133" s="152"/>
      <c r="C133" s="139"/>
      <c r="D133" s="139"/>
      <c r="E133" s="139"/>
      <c r="F133" s="139"/>
      <c r="G133" s="139"/>
      <c r="H133" s="139"/>
      <c r="I133" s="139"/>
      <c r="J133" s="139"/>
      <c r="K133" s="139"/>
      <c r="L133" s="139"/>
      <c r="M133" s="139"/>
      <c r="N133" s="139"/>
      <c r="O133" s="139"/>
      <c r="P133" s="139"/>
      <c r="Q133" s="139"/>
      <c r="R133" s="139"/>
      <c r="S133" s="139"/>
      <c r="T133" s="139"/>
      <c r="U133" s="139"/>
      <c r="V133" s="139"/>
      <c r="W133" s="139"/>
      <c r="X133" s="139"/>
      <c r="Y133" s="139"/>
      <c r="Z133" s="139"/>
      <c r="AA133" s="139"/>
      <c r="AB133" s="139"/>
      <c r="AC133" s="139"/>
      <c r="AD133" s="139"/>
      <c r="AE133" s="145"/>
      <c r="AF133" s="11"/>
      <c r="AG133" s="42"/>
    </row>
    <row r="134" spans="2:33">
      <c r="B134" s="150" t="s">
        <v>88</v>
      </c>
      <c r="C134" s="140">
        <v>5.3479999999999999</v>
      </c>
      <c r="D134" s="140">
        <v>8.0999999999999517E-2</v>
      </c>
      <c r="E134" s="140">
        <v>-2.6830000000000003</v>
      </c>
      <c r="F134" s="140">
        <v>-1.2899999999999991</v>
      </c>
      <c r="G134" s="139"/>
      <c r="H134" s="140">
        <v>-5.2990000000000004</v>
      </c>
      <c r="I134" s="140">
        <v>2.2010000000000001</v>
      </c>
      <c r="J134" s="140">
        <v>0.89100000000000001</v>
      </c>
      <c r="K134" s="139">
        <f>SUM(D134-SUM(H134:J134))</f>
        <v>2.2879999999999998</v>
      </c>
      <c r="L134" s="140">
        <v>-3.3010000000000002</v>
      </c>
      <c r="M134" s="140">
        <v>3.722</v>
      </c>
      <c r="N134" s="140">
        <v>-1.7130000000000001</v>
      </c>
      <c r="O134" s="139">
        <f>SUM(E134-SUM(L134:N134))</f>
        <v>-1.391</v>
      </c>
      <c r="P134" s="140">
        <v>1.73</v>
      </c>
      <c r="Q134" s="140">
        <v>-14.51</v>
      </c>
      <c r="R134" s="140">
        <v>-1.548</v>
      </c>
      <c r="S134" s="139">
        <f t="shared" ref="S134" si="338">SUM(F134-SUM(P134:R134))</f>
        <v>13.038</v>
      </c>
      <c r="T134" s="140">
        <v>-3.8610000000000002</v>
      </c>
      <c r="U134" s="139"/>
      <c r="V134" s="139">
        <f t="shared" ref="V134:AD136" si="339">K134</f>
        <v>2.2879999999999998</v>
      </c>
      <c r="W134" s="139">
        <f t="shared" si="339"/>
        <v>-3.3010000000000002</v>
      </c>
      <c r="X134" s="139">
        <f t="shared" si="339"/>
        <v>3.722</v>
      </c>
      <c r="Y134" s="139">
        <f t="shared" si="339"/>
        <v>-1.7130000000000001</v>
      </c>
      <c r="Z134" s="139">
        <f t="shared" si="339"/>
        <v>-1.391</v>
      </c>
      <c r="AA134" s="139">
        <f t="shared" si="339"/>
        <v>1.73</v>
      </c>
      <c r="AB134" s="139">
        <f t="shared" si="339"/>
        <v>-14.51</v>
      </c>
      <c r="AC134" s="139">
        <f t="shared" si="339"/>
        <v>-1.548</v>
      </c>
      <c r="AD134" s="139">
        <f t="shared" si="339"/>
        <v>13.038</v>
      </c>
      <c r="AE134" s="145">
        <f>T134</f>
        <v>-3.8610000000000002</v>
      </c>
      <c r="AF134" s="11"/>
      <c r="AG134" s="42"/>
    </row>
    <row r="135" spans="2:33">
      <c r="B135" s="150" t="s">
        <v>89</v>
      </c>
      <c r="C135" s="139">
        <f>-C48</f>
        <v>-295.63600000000002</v>
      </c>
      <c r="D135" s="139">
        <f t="shared" ref="D135:T135" si="340">-D48</f>
        <v>-367.91699999999997</v>
      </c>
      <c r="E135" s="139">
        <f t="shared" si="340"/>
        <v>-282.29300000000001</v>
      </c>
      <c r="F135" s="139">
        <f t="shared" si="340"/>
        <v>-401.96800000000002</v>
      </c>
      <c r="G135" s="139"/>
      <c r="H135" s="139">
        <f t="shared" si="340"/>
        <v>-383.40600000000001</v>
      </c>
      <c r="I135" s="139">
        <f t="shared" si="340"/>
        <v>-424.46</v>
      </c>
      <c r="J135" s="139">
        <f t="shared" si="340"/>
        <v>-409.01499999999999</v>
      </c>
      <c r="K135" s="139">
        <f t="shared" si="340"/>
        <v>-367.91699999999997</v>
      </c>
      <c r="L135" s="139">
        <f t="shared" si="340"/>
        <v>-409.23099999999999</v>
      </c>
      <c r="M135" s="139">
        <f t="shared" si="340"/>
        <v>-411.25900000000001</v>
      </c>
      <c r="N135" s="139">
        <f t="shared" si="340"/>
        <v>-346.93099999999998</v>
      </c>
      <c r="O135" s="139">
        <f t="shared" si="340"/>
        <v>-282.29300000000001</v>
      </c>
      <c r="P135" s="139">
        <f t="shared" si="340"/>
        <v>-338.46199999999999</v>
      </c>
      <c r="Q135" s="139">
        <f t="shared" si="340"/>
        <v>-536.77599999999995</v>
      </c>
      <c r="R135" s="139">
        <f t="shared" si="340"/>
        <v>-384.81099999999998</v>
      </c>
      <c r="S135" s="139">
        <f t="shared" si="340"/>
        <v>-401.96800000000002</v>
      </c>
      <c r="T135" s="139">
        <f t="shared" si="340"/>
        <v>-668.76199999999994</v>
      </c>
      <c r="U135" s="139"/>
      <c r="V135" s="139">
        <f t="shared" si="339"/>
        <v>-367.91699999999997</v>
      </c>
      <c r="W135" s="139">
        <f t="shared" si="339"/>
        <v>-409.23099999999999</v>
      </c>
      <c r="X135" s="139">
        <f t="shared" si="339"/>
        <v>-411.25900000000001</v>
      </c>
      <c r="Y135" s="139">
        <f t="shared" si="339"/>
        <v>-346.93099999999998</v>
      </c>
      <c r="Z135" s="139">
        <f t="shared" si="339"/>
        <v>-282.29300000000001</v>
      </c>
      <c r="AA135" s="139">
        <f t="shared" si="339"/>
        <v>-338.46199999999999</v>
      </c>
      <c r="AB135" s="139">
        <f t="shared" si="339"/>
        <v>-536.77599999999995</v>
      </c>
      <c r="AC135" s="139">
        <f t="shared" si="339"/>
        <v>-384.81099999999998</v>
      </c>
      <c r="AD135" s="139">
        <f t="shared" si="339"/>
        <v>-401.96800000000002</v>
      </c>
      <c r="AE135" s="145">
        <f>T135</f>
        <v>-668.76199999999994</v>
      </c>
      <c r="AF135" s="11"/>
      <c r="AG135" s="42"/>
    </row>
    <row r="136" spans="2:33">
      <c r="B136" s="150" t="s">
        <v>60</v>
      </c>
      <c r="C136" s="139">
        <f>+C127+C121+C111</f>
        <v>-147.17400000000163</v>
      </c>
      <c r="D136" s="139">
        <f>+D127+D121+D111</f>
        <v>-290.44400000000024</v>
      </c>
      <c r="E136" s="139">
        <f>+E127+E121+E111</f>
        <v>-431.25300000000226</v>
      </c>
      <c r="F136" s="139">
        <f>+F127+F121+F111</f>
        <v>462.26800000000082</v>
      </c>
      <c r="G136" s="139"/>
      <c r="H136" s="139">
        <f>+H127+H121+H111</f>
        <v>368.03000000000048</v>
      </c>
      <c r="I136" s="139">
        <f>+I127+I121+I111</f>
        <v>-50.946000000000403</v>
      </c>
      <c r="J136" s="139">
        <f>+J127+J121+J111</f>
        <v>-483.69199999999955</v>
      </c>
      <c r="K136" s="139">
        <f>+K127+K121+K111</f>
        <v>-123.83599999999976</v>
      </c>
      <c r="L136" s="139">
        <f>+L127+L121+L111</f>
        <v>231.84900000000019</v>
      </c>
      <c r="M136" s="139">
        <f>+M127+M121+M111</f>
        <v>-44.236000000000132</v>
      </c>
      <c r="N136" s="139">
        <f>+N127+N121+N111</f>
        <v>173.4259999999999</v>
      </c>
      <c r="O136" s="139">
        <f>+O127+O121+O111</f>
        <v>-770.24499999999944</v>
      </c>
      <c r="P136" s="139">
        <f>+P127+P121+P111</f>
        <v>87.492999999999824</v>
      </c>
      <c r="Q136" s="139">
        <f>+Q127+Q121+Q111</f>
        <v>367.04500000000041</v>
      </c>
      <c r="R136" s="139">
        <f>+R127+R121+R111</f>
        <v>0.35199999999923648</v>
      </c>
      <c r="S136" s="139">
        <f>+S127+S121+S111</f>
        <v>7.378000000002217</v>
      </c>
      <c r="T136" s="139">
        <f>+T127+T121+T111</f>
        <v>345.04900000000049</v>
      </c>
      <c r="U136" s="139"/>
      <c r="V136" s="139">
        <f t="shared" si="339"/>
        <v>-123.83599999999976</v>
      </c>
      <c r="W136" s="139">
        <f t="shared" si="339"/>
        <v>231.84900000000019</v>
      </c>
      <c r="X136" s="139">
        <f t="shared" si="339"/>
        <v>-44.236000000000132</v>
      </c>
      <c r="Y136" s="139">
        <f t="shared" si="339"/>
        <v>173.4259999999999</v>
      </c>
      <c r="Z136" s="139">
        <f t="shared" si="339"/>
        <v>-770.24499999999944</v>
      </c>
      <c r="AA136" s="139">
        <f t="shared" si="339"/>
        <v>87.492999999999824</v>
      </c>
      <c r="AB136" s="139">
        <f t="shared" si="339"/>
        <v>367.04500000000041</v>
      </c>
      <c r="AC136" s="139">
        <f t="shared" si="339"/>
        <v>0.35199999999923648</v>
      </c>
      <c r="AD136" s="139">
        <f t="shared" si="339"/>
        <v>7.378000000002217</v>
      </c>
      <c r="AE136" s="145">
        <f>T136</f>
        <v>345.04900000000049</v>
      </c>
      <c r="AF136" s="11"/>
      <c r="AG136" s="42"/>
    </row>
    <row r="137" spans="2:33">
      <c r="B137" s="151" t="s">
        <v>71</v>
      </c>
      <c r="C137" s="112">
        <f t="shared" ref="C137:E137" si="341">SUM(C132:C136)</f>
        <v>1254.4799999999977</v>
      </c>
      <c r="D137" s="112">
        <f t="shared" si="341"/>
        <v>891.83599999999751</v>
      </c>
      <c r="E137" s="112">
        <f t="shared" si="341"/>
        <v>543.52399999999511</v>
      </c>
      <c r="F137" s="112">
        <f t="shared" ref="F137:Q137" si="342">SUM(F132:F136)</f>
        <v>884.82699999999591</v>
      </c>
      <c r="G137" s="139"/>
      <c r="H137" s="112">
        <f t="shared" si="342"/>
        <v>1529.4409999999982</v>
      </c>
      <c r="I137" s="112">
        <f t="shared" si="342"/>
        <v>1439.6419999999978</v>
      </c>
      <c r="J137" s="112">
        <f t="shared" si="342"/>
        <v>972.28599999999824</v>
      </c>
      <c r="K137" s="112">
        <f t="shared" si="342"/>
        <v>891.83599999999842</v>
      </c>
      <c r="L137" s="112">
        <f t="shared" si="342"/>
        <v>1079.0699999999986</v>
      </c>
      <c r="M137" s="112">
        <f t="shared" si="342"/>
        <v>1036.5279999999984</v>
      </c>
      <c r="N137" s="112">
        <f t="shared" si="342"/>
        <v>1272.5689999999984</v>
      </c>
      <c r="O137" s="112">
        <f t="shared" si="342"/>
        <v>565.570999999999</v>
      </c>
      <c r="P137" s="112">
        <f t="shared" si="342"/>
        <v>598.62499999999886</v>
      </c>
      <c r="Q137" s="112">
        <f t="shared" si="342"/>
        <v>752.84599999999932</v>
      </c>
      <c r="R137" s="112">
        <f t="shared" ref="R137:S137" si="343">SUM(R132:R136)</f>
        <v>903.61499999999864</v>
      </c>
      <c r="S137" s="112">
        <f t="shared" si="343"/>
        <v>906.87400000000071</v>
      </c>
      <c r="T137" s="112">
        <f t="shared" ref="T137:AE137" si="344">SUM(T132:T136)</f>
        <v>981.26800000000117</v>
      </c>
      <c r="U137" s="139"/>
      <c r="V137" s="112">
        <f t="shared" si="344"/>
        <v>891.83599999999842</v>
      </c>
      <c r="W137" s="112">
        <f t="shared" si="344"/>
        <v>1079.0699999999986</v>
      </c>
      <c r="X137" s="112">
        <f t="shared" si="344"/>
        <v>1036.5279999999984</v>
      </c>
      <c r="Y137" s="112">
        <f t="shared" si="344"/>
        <v>1272.5689999999984</v>
      </c>
      <c r="Z137" s="112">
        <f t="shared" si="344"/>
        <v>565.570999999999</v>
      </c>
      <c r="AA137" s="112">
        <f t="shared" si="344"/>
        <v>598.62499999999886</v>
      </c>
      <c r="AB137" s="112">
        <f t="shared" si="344"/>
        <v>752.84599999999932</v>
      </c>
      <c r="AC137" s="112">
        <f t="shared" si="344"/>
        <v>903.61499999999864</v>
      </c>
      <c r="AD137" s="112">
        <f t="shared" si="344"/>
        <v>906.87400000000071</v>
      </c>
      <c r="AE137" s="146">
        <f t="shared" si="344"/>
        <v>981.26800000000117</v>
      </c>
      <c r="AF137" s="11"/>
      <c r="AG137" s="42"/>
    </row>
    <row r="138" spans="2:33" ht="5.0999999999999996" customHeight="1">
      <c r="B138" s="153"/>
      <c r="C138" s="59"/>
      <c r="D138" s="59"/>
      <c r="E138" s="59"/>
      <c r="F138" s="59"/>
      <c r="G138" s="13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141"/>
      <c r="V138" s="142"/>
      <c r="W138" s="142"/>
      <c r="X138" s="142"/>
      <c r="Y138" s="142"/>
      <c r="Z138" s="142"/>
      <c r="AA138" s="142"/>
      <c r="AB138" s="142"/>
      <c r="AC138" s="142"/>
      <c r="AD138" s="142"/>
      <c r="AE138" s="147"/>
      <c r="AF138" s="11"/>
      <c r="AG138" s="42"/>
    </row>
    <row r="139" spans="2:33">
      <c r="B139" s="154" t="s">
        <v>59</v>
      </c>
      <c r="C139" s="157">
        <f>ROUND(C137-C47,-1)</f>
        <v>0</v>
      </c>
      <c r="D139" s="157">
        <f t="shared" ref="D139:AE139" si="345">ROUND(D137-D47,-1)</f>
        <v>0</v>
      </c>
      <c r="E139" s="157">
        <f t="shared" si="345"/>
        <v>-470</v>
      </c>
      <c r="F139" s="157">
        <f t="shared" si="345"/>
        <v>-470</v>
      </c>
      <c r="G139" s="144"/>
      <c r="H139" s="157">
        <f t="shared" si="345"/>
        <v>0</v>
      </c>
      <c r="I139" s="157">
        <f t="shared" si="345"/>
        <v>0</v>
      </c>
      <c r="J139" s="157">
        <f t="shared" si="345"/>
        <v>0</v>
      </c>
      <c r="K139" s="157">
        <f t="shared" si="345"/>
        <v>0</v>
      </c>
      <c r="L139" s="157">
        <f t="shared" si="345"/>
        <v>0</v>
      </c>
      <c r="M139" s="157">
        <f t="shared" si="345"/>
        <v>0</v>
      </c>
      <c r="N139" s="157">
        <f t="shared" si="345"/>
        <v>0</v>
      </c>
      <c r="O139" s="157">
        <f t="shared" si="345"/>
        <v>-450</v>
      </c>
      <c r="P139" s="157">
        <f t="shared" si="345"/>
        <v>-450</v>
      </c>
      <c r="Q139" s="157">
        <f t="shared" si="345"/>
        <v>-450</v>
      </c>
      <c r="R139" s="157">
        <f t="shared" si="345"/>
        <v>-450</v>
      </c>
      <c r="S139" s="157">
        <f t="shared" si="345"/>
        <v>-450</v>
      </c>
      <c r="T139" s="157">
        <f t="shared" si="345"/>
        <v>-450</v>
      </c>
      <c r="U139" s="143"/>
      <c r="V139" s="143">
        <f t="shared" si="345"/>
        <v>0</v>
      </c>
      <c r="W139" s="143">
        <f t="shared" si="345"/>
        <v>0</v>
      </c>
      <c r="X139" s="143">
        <f t="shared" si="345"/>
        <v>0</v>
      </c>
      <c r="Y139" s="143">
        <f t="shared" si="345"/>
        <v>0</v>
      </c>
      <c r="Z139" s="143">
        <f t="shared" si="345"/>
        <v>-450</v>
      </c>
      <c r="AA139" s="143">
        <f t="shared" si="345"/>
        <v>-450</v>
      </c>
      <c r="AB139" s="143">
        <f t="shared" si="345"/>
        <v>-450</v>
      </c>
      <c r="AC139" s="143">
        <f t="shared" si="345"/>
        <v>-450</v>
      </c>
      <c r="AD139" s="143">
        <f t="shared" si="345"/>
        <v>-450</v>
      </c>
      <c r="AE139" s="148">
        <f t="shared" si="345"/>
        <v>-450</v>
      </c>
      <c r="AF139" s="11"/>
      <c r="AG139" s="42"/>
    </row>
    <row r="140" spans="2:33" ht="5.0999999999999996" customHeight="1">
      <c r="B140" s="8"/>
      <c r="C140" s="59"/>
      <c r="D140" s="59"/>
      <c r="E140" s="59"/>
      <c r="F140" s="59"/>
      <c r="G140" s="30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42"/>
    </row>
    <row r="141" spans="2:33">
      <c r="B141" s="111" t="s">
        <v>84</v>
      </c>
      <c r="C141" s="59"/>
      <c r="D141" s="59"/>
      <c r="E141" s="59"/>
      <c r="F141" s="59"/>
      <c r="G141" s="30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42"/>
    </row>
    <row r="142" spans="2:33">
      <c r="B142" s="76" t="s">
        <v>86</v>
      </c>
      <c r="C142" s="59"/>
      <c r="D142" s="59"/>
      <c r="E142" s="59"/>
      <c r="F142" s="59"/>
      <c r="G142" s="30"/>
      <c r="H142" s="75"/>
      <c r="I142" s="30"/>
      <c r="J142" s="30"/>
      <c r="K142" s="30">
        <f>SUM(D142-SUM(H142:J142))</f>
        <v>0</v>
      </c>
      <c r="L142" s="75"/>
      <c r="M142" s="30"/>
      <c r="N142" s="30"/>
      <c r="O142" s="30">
        <f>SUM(E142-SUM(L142:N142))</f>
        <v>0</v>
      </c>
      <c r="P142" s="75"/>
      <c r="Q142" s="30"/>
      <c r="R142" s="30"/>
      <c r="S142" s="30">
        <f t="shared" ref="S142:S143" si="346">SUM(F142-SUM(P142:R142))</f>
        <v>0</v>
      </c>
      <c r="T142" s="30"/>
      <c r="V142" s="30">
        <f>SUM(J142:M142)</f>
        <v>0</v>
      </c>
      <c r="W142" s="30">
        <f>SUM(K142:N142)</f>
        <v>0</v>
      </c>
      <c r="X142" s="30">
        <f>SUM(L142:O142)</f>
        <v>0</v>
      </c>
      <c r="Y142" s="30">
        <f>SUM(M142:P142)</f>
        <v>0</v>
      </c>
      <c r="Z142" s="30">
        <f>SUM(N142:Q142)</f>
        <v>0</v>
      </c>
      <c r="AA142" s="30">
        <f>SUM(O142:R142)</f>
        <v>0</v>
      </c>
      <c r="AB142" s="30">
        <f>SUM(P142:S142)</f>
        <v>0</v>
      </c>
      <c r="AC142" s="30">
        <f>SUM(Q142:T142)</f>
        <v>0</v>
      </c>
      <c r="AD142" s="30">
        <f>SUM(R142:T142)</f>
        <v>0</v>
      </c>
      <c r="AE142" s="30">
        <f>SUM(S142:T142)</f>
        <v>0</v>
      </c>
      <c r="AF142" s="11"/>
      <c r="AG142" s="42"/>
    </row>
    <row r="143" spans="2:33">
      <c r="B143" s="76" t="s">
        <v>85</v>
      </c>
      <c r="C143" s="59"/>
      <c r="D143" s="59"/>
      <c r="E143" s="59"/>
      <c r="F143" s="59"/>
      <c r="G143" s="30"/>
      <c r="H143" s="75"/>
      <c r="I143" s="30"/>
      <c r="J143" s="30"/>
      <c r="K143" s="30">
        <f>SUM(D143-SUM(H143:J143))</f>
        <v>0</v>
      </c>
      <c r="L143" s="75"/>
      <c r="M143" s="30"/>
      <c r="N143" s="30"/>
      <c r="O143" s="30">
        <f>SUM(E143-SUM(L143:N143))</f>
        <v>0</v>
      </c>
      <c r="P143" s="75"/>
      <c r="Q143" s="30"/>
      <c r="R143" s="30"/>
      <c r="S143" s="30">
        <f t="shared" si="346"/>
        <v>0</v>
      </c>
      <c r="T143" s="30"/>
      <c r="V143" s="30">
        <f>SUM(J143:M143)</f>
        <v>0</v>
      </c>
      <c r="W143" s="30">
        <f>SUM(K143:N143)</f>
        <v>0</v>
      </c>
      <c r="X143" s="30">
        <f>SUM(L143:O143)</f>
        <v>0</v>
      </c>
      <c r="Y143" s="30">
        <f>SUM(M143:P143)</f>
        <v>0</v>
      </c>
      <c r="Z143" s="30">
        <f>SUM(N143:Q143)</f>
        <v>0</v>
      </c>
      <c r="AA143" s="30">
        <f>SUM(O143:R143)</f>
        <v>0</v>
      </c>
      <c r="AB143" s="30">
        <f>SUM(P143:S143)</f>
        <v>0</v>
      </c>
      <c r="AC143" s="30">
        <f>SUM(Q143:T143)</f>
        <v>0</v>
      </c>
      <c r="AD143" s="30">
        <f>SUM(R143:T143)</f>
        <v>0</v>
      </c>
      <c r="AE143" s="30">
        <f>SUM(S143:T143)</f>
        <v>0</v>
      </c>
      <c r="AF143" s="11"/>
      <c r="AG143" s="42"/>
    </row>
    <row r="144" spans="2:33" ht="5.0999999999999996" customHeight="1" thickBot="1">
      <c r="B144" s="65"/>
      <c r="C144" s="66"/>
      <c r="D144" s="66"/>
      <c r="E144" s="66"/>
      <c r="F144" s="66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G144" s="42"/>
    </row>
    <row r="145" spans="3:20" ht="12.75" customHeight="1">
      <c r="C145" s="51"/>
      <c r="D145" s="51"/>
      <c r="E145" s="51"/>
      <c r="F145" s="51"/>
    </row>
    <row r="146" spans="3:20" ht="12.75" customHeight="1">
      <c r="C146" s="51"/>
      <c r="D146" s="51"/>
      <c r="E146" s="51"/>
      <c r="F146" s="51"/>
    </row>
    <row r="147" spans="3:20" ht="12.75" customHeight="1">
      <c r="C147" s="51"/>
      <c r="D147" s="51"/>
      <c r="E147" s="51"/>
      <c r="F147" s="51"/>
    </row>
    <row r="148" spans="3:20" ht="12.75" customHeight="1">
      <c r="C148" s="51"/>
      <c r="D148" s="51"/>
      <c r="E148" s="51"/>
      <c r="F148" s="51"/>
    </row>
    <row r="149" spans="3:20" ht="12.75" customHeight="1">
      <c r="C149" s="51"/>
      <c r="D149" s="51"/>
      <c r="E149" s="51"/>
      <c r="F149" s="51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</row>
    <row r="150" spans="3:20" ht="12.75" customHeight="1">
      <c r="C150" s="51"/>
      <c r="D150" s="51"/>
      <c r="E150" s="51"/>
      <c r="F150" s="51"/>
    </row>
    <row r="151" spans="3:20" ht="12.75" customHeight="1">
      <c r="C151" s="51"/>
      <c r="D151" s="51"/>
      <c r="E151" s="51"/>
      <c r="F151" s="51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</row>
    <row r="152" spans="3:20"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</row>
    <row r="153" spans="3:20"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</row>
    <row r="155" spans="3:20"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</row>
    <row r="156" spans="3:20"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</row>
  </sheetData>
  <mergeCells count="3">
    <mergeCell ref="AG6:AG8"/>
    <mergeCell ref="AG41:AG43"/>
    <mergeCell ref="AG79:AG81"/>
  </mergeCells>
  <pageMargins left="0.7" right="0.7" top="0.75" bottom="0.75" header="0.3" footer="0.3"/>
  <ignoredErrors>
    <ignoredError sqref="AE18:AE19" formulaRange="1"/>
    <ignoredError sqref="AG121:AG123 AG111:AG113" evalError="1"/>
    <ignoredError sqref="L85:P8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177D2-8829-42BE-A7B1-460B1A987ED3}">
  <sheetPr>
    <tabColor rgb="FFC00000"/>
  </sheetPr>
  <dimension ref="A2:AF61"/>
  <sheetViews>
    <sheetView showGridLines="0" zoomScaleNormal="100" workbookViewId="0">
      <selection activeCell="B2" sqref="B2"/>
    </sheetView>
  </sheetViews>
  <sheetFormatPr defaultRowHeight="12" outlineLevelRow="1" outlineLevelCol="1"/>
  <cols>
    <col min="1" max="1" width="1.5" style="8" customWidth="1"/>
    <col min="2" max="2" width="46.5" style="8" bestFit="1" customWidth="1"/>
    <col min="3" max="6" width="8.625" style="8" bestFit="1" customWidth="1"/>
    <col min="7" max="7" width="1.5" style="8" customWidth="1"/>
    <col min="8" max="9" width="8" style="8" customWidth="1" outlineLevel="1"/>
    <col min="10" max="11" width="8.75" style="8" customWidth="1" outlineLevel="1"/>
    <col min="12" max="12" width="8.5" style="8" customWidth="1" outlineLevel="1"/>
    <col min="13" max="13" width="8.25" style="8" customWidth="1" outlineLevel="1"/>
    <col min="14" max="14" width="8.5" style="8" bestFit="1" customWidth="1"/>
    <col min="15" max="20" width="9.125" style="8" bestFit="1" customWidth="1"/>
    <col min="21" max="21" width="1.5" style="8" customWidth="1"/>
    <col min="22" max="26" width="8.75" style="8" customWidth="1" outlineLevel="1"/>
    <col min="27" max="27" width="8.75" style="8" customWidth="1"/>
    <col min="28" max="30" width="8.75" style="8" customWidth="1" outlineLevel="1"/>
    <col min="31" max="31" width="8.75" style="8" customWidth="1"/>
    <col min="32" max="16384" width="9" style="8"/>
  </cols>
  <sheetData>
    <row r="2" spans="1:31" s="5" customFormat="1" ht="12.75" customHeight="1">
      <c r="B2" s="1" t="str">
        <f>'Historical Financials'!B2</f>
        <v>Affirm Holdings Inc (NASDAQ: AFRM)</v>
      </c>
      <c r="C2" s="2" t="s">
        <v>0</v>
      </c>
      <c r="D2" s="2"/>
      <c r="E2" s="2"/>
      <c r="F2" s="2"/>
      <c r="G2" s="3"/>
      <c r="H2" s="2"/>
      <c r="I2" s="2"/>
      <c r="J2" s="2"/>
      <c r="K2" s="2"/>
      <c r="L2" s="2"/>
      <c r="M2" s="2"/>
      <c r="N2" s="2" t="s">
        <v>1</v>
      </c>
      <c r="O2" s="2"/>
      <c r="P2" s="2"/>
      <c r="Q2" s="2"/>
      <c r="R2" s="2"/>
      <c r="S2" s="2"/>
      <c r="T2" s="2"/>
      <c r="U2" s="3"/>
      <c r="V2" s="2"/>
      <c r="W2" s="2"/>
      <c r="X2" s="2"/>
      <c r="Y2" s="2"/>
      <c r="Z2" s="2"/>
      <c r="AA2" s="2" t="s">
        <v>10</v>
      </c>
      <c r="AB2" s="2"/>
      <c r="AC2" s="2"/>
      <c r="AD2" s="2"/>
      <c r="AE2" s="2"/>
    </row>
    <row r="3" spans="1:31" s="5" customFormat="1" ht="12.75" customHeight="1">
      <c r="B3" s="6" t="s">
        <v>66</v>
      </c>
      <c r="C3" s="7">
        <f>'Historical Financials'!C7</f>
        <v>2022</v>
      </c>
      <c r="D3" s="7">
        <f>'Historical Financials'!D7</f>
        <v>2023</v>
      </c>
      <c r="E3" s="7">
        <f>'Historical Financials'!E7</f>
        <v>2024</v>
      </c>
      <c r="F3" s="7">
        <f>'Historical Financials'!F7</f>
        <v>2025</v>
      </c>
      <c r="G3" s="3"/>
      <c r="H3" s="7" t="str">
        <f>'Historical Financials'!H7</f>
        <v>1Q23</v>
      </c>
      <c r="I3" s="7" t="str">
        <f>'Historical Financials'!I7</f>
        <v>2Q23</v>
      </c>
      <c r="J3" s="7" t="str">
        <f>'Historical Financials'!J7</f>
        <v>3Q23</v>
      </c>
      <c r="K3" s="7" t="str">
        <f>'Historical Financials'!K7</f>
        <v>4Q23</v>
      </c>
      <c r="L3" s="7" t="str">
        <f>'Historical Financials'!L7</f>
        <v>1Q24</v>
      </c>
      <c r="M3" s="7" t="str">
        <f>'Historical Financials'!M7</f>
        <v>2Q24</v>
      </c>
      <c r="N3" s="7" t="str">
        <f>'Historical Financials'!N7</f>
        <v>3Q24</v>
      </c>
      <c r="O3" s="7" t="str">
        <f>'Historical Financials'!O7</f>
        <v>4Q24</v>
      </c>
      <c r="P3" s="7" t="str">
        <f>'Historical Financials'!P7</f>
        <v>1Q25</v>
      </c>
      <c r="Q3" s="7" t="str">
        <f>'Historical Financials'!Q7</f>
        <v>2Q25</v>
      </c>
      <c r="R3" s="7" t="str">
        <f>'Historical Financials'!R7</f>
        <v>3Q25</v>
      </c>
      <c r="S3" s="7" t="str">
        <f>'Historical Financials'!S7</f>
        <v>4Q25</v>
      </c>
      <c r="T3" s="7" t="str">
        <f>'Historical Financials'!T7</f>
        <v>1Q26</v>
      </c>
      <c r="U3" s="4"/>
      <c r="V3" s="4" t="str">
        <f>K3</f>
        <v>4Q23</v>
      </c>
      <c r="W3" s="4" t="str">
        <f>L3</f>
        <v>1Q24</v>
      </c>
      <c r="X3" s="4" t="str">
        <f>M3</f>
        <v>2Q24</v>
      </c>
      <c r="Y3" s="4" t="str">
        <f>N3</f>
        <v>3Q24</v>
      </c>
      <c r="Z3" s="4" t="str">
        <f>O3</f>
        <v>4Q24</v>
      </c>
      <c r="AA3" s="4" t="str">
        <f>P3</f>
        <v>1Q25</v>
      </c>
      <c r="AB3" s="4" t="str">
        <f>Q3</f>
        <v>2Q25</v>
      </c>
      <c r="AC3" s="4" t="str">
        <f>R3</f>
        <v>3Q25</v>
      </c>
      <c r="AD3" s="4" t="str">
        <f>S3</f>
        <v>4Q25</v>
      </c>
      <c r="AE3" s="4" t="str">
        <f>T3</f>
        <v>1Q26</v>
      </c>
    </row>
    <row r="4" spans="1:31" s="5" customFormat="1" ht="12.75" customHeight="1">
      <c r="B4" s="6" t="s">
        <v>92</v>
      </c>
      <c r="C4" s="3">
        <f>'Historical Financials'!C8</f>
        <v>44713</v>
      </c>
      <c r="D4" s="3">
        <f>'Historical Financials'!D8</f>
        <v>45078</v>
      </c>
      <c r="E4" s="3">
        <f>'Historical Financials'!E8</f>
        <v>45444</v>
      </c>
      <c r="F4" s="3">
        <f>'Historical Financials'!F8</f>
        <v>45809</v>
      </c>
      <c r="G4" s="3"/>
      <c r="H4" s="3">
        <f>'Historical Financials'!H8</f>
        <v>44805</v>
      </c>
      <c r="I4" s="3">
        <f>'Historical Financials'!I8</f>
        <v>44896</v>
      </c>
      <c r="J4" s="3">
        <f>'Historical Financials'!J8</f>
        <v>44986</v>
      </c>
      <c r="K4" s="3">
        <f>'Historical Financials'!K8</f>
        <v>45078</v>
      </c>
      <c r="L4" s="3">
        <f>'Historical Financials'!L8</f>
        <v>45170</v>
      </c>
      <c r="M4" s="3">
        <f>'Historical Financials'!M8</f>
        <v>45261</v>
      </c>
      <c r="N4" s="3">
        <f>'Historical Financials'!N8</f>
        <v>45352</v>
      </c>
      <c r="O4" s="3">
        <f>'Historical Financials'!O8</f>
        <v>45444</v>
      </c>
      <c r="P4" s="3">
        <f>'Historical Financials'!P8</f>
        <v>45536</v>
      </c>
      <c r="Q4" s="3">
        <f>'Historical Financials'!Q8</f>
        <v>45627</v>
      </c>
      <c r="R4" s="3">
        <f>'Historical Financials'!R8</f>
        <v>45717</v>
      </c>
      <c r="S4" s="3">
        <f>'Historical Financials'!S8</f>
        <v>45809</v>
      </c>
      <c r="T4" s="3">
        <f>'Historical Financials'!T8</f>
        <v>45901</v>
      </c>
      <c r="U4" s="3"/>
      <c r="V4" s="3">
        <f>K4</f>
        <v>45078</v>
      </c>
      <c r="W4" s="3">
        <f>L4</f>
        <v>45170</v>
      </c>
      <c r="X4" s="3">
        <f>M4</f>
        <v>45261</v>
      </c>
      <c r="Y4" s="3">
        <f>N4</f>
        <v>45352</v>
      </c>
      <c r="Z4" s="3">
        <f>O4</f>
        <v>45444</v>
      </c>
      <c r="AA4" s="3">
        <f>P4</f>
        <v>45536</v>
      </c>
      <c r="AB4" s="3">
        <f>Q4</f>
        <v>45627</v>
      </c>
      <c r="AC4" s="3">
        <f>R4</f>
        <v>45717</v>
      </c>
      <c r="AD4" s="3">
        <f>S4</f>
        <v>45809</v>
      </c>
      <c r="AE4" s="3">
        <f>T4</f>
        <v>45901</v>
      </c>
    </row>
    <row r="5" spans="1:31" ht="5.0999999999999996" customHeight="1"/>
    <row r="6" spans="1:31">
      <c r="A6" s="33" t="s">
        <v>18</v>
      </c>
      <c r="B6" s="1" t="s">
        <v>94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5.0999999999999996" customHeight="1"/>
    <row r="8" spans="1:31" ht="12.75" customHeight="1">
      <c r="A8" s="73" t="s">
        <v>18</v>
      </c>
      <c r="B8" s="71" t="s">
        <v>91</v>
      </c>
      <c r="C8" s="10"/>
      <c r="D8" s="10"/>
      <c r="E8" s="10"/>
      <c r="F8" s="10"/>
      <c r="G8" s="10"/>
      <c r="H8" s="80"/>
      <c r="I8" s="80"/>
      <c r="J8" s="80"/>
      <c r="K8" s="30"/>
      <c r="L8" s="80"/>
      <c r="M8" s="80"/>
      <c r="N8" s="80"/>
      <c r="O8" s="30"/>
      <c r="P8" s="80"/>
      <c r="Q8" s="80"/>
      <c r="R8" s="80"/>
      <c r="S8" s="80"/>
      <c r="T8" s="80"/>
      <c r="U8" s="5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 spans="1:31" ht="12.75" customHeight="1">
      <c r="A9" s="73"/>
      <c r="B9" s="9" t="s">
        <v>164</v>
      </c>
      <c r="C9" s="74">
        <v>559.20699999999999</v>
      </c>
      <c r="D9" s="74">
        <v>626.9380000000001</v>
      </c>
      <c r="E9" s="74">
        <v>826.00800000000004</v>
      </c>
      <c r="F9" s="74">
        <v>1113.9660000000001</v>
      </c>
      <c r="G9" s="10"/>
      <c r="H9" s="74">
        <v>139.857</v>
      </c>
      <c r="I9" s="74">
        <v>163.136</v>
      </c>
      <c r="J9" s="74">
        <v>148.482</v>
      </c>
      <c r="K9" s="30">
        <f>SUM(D9-SUM(H9:J9))</f>
        <v>175.46300000000008</v>
      </c>
      <c r="L9" s="74">
        <v>179.42599999999999</v>
      </c>
      <c r="M9" s="74">
        <v>227.626</v>
      </c>
      <c r="N9" s="74">
        <v>194.96800000000002</v>
      </c>
      <c r="O9" s="30">
        <f>SUM(E9-SUM(L9:N9))</f>
        <v>223.98800000000006</v>
      </c>
      <c r="P9" s="74">
        <v>231.81899999999999</v>
      </c>
      <c r="Q9" s="74">
        <v>303.03700000000003</v>
      </c>
      <c r="R9" s="74">
        <v>272.54500000000002</v>
      </c>
      <c r="S9" s="30">
        <f>SUM(F9-SUM(P9:R9))</f>
        <v>306.56500000000005</v>
      </c>
      <c r="T9" s="74">
        <v>320.47699999999998</v>
      </c>
      <c r="U9" s="5"/>
      <c r="V9" s="30">
        <f t="shared" ref="V9:AD9" si="0">SUM(H9:K9)</f>
        <v>626.9380000000001</v>
      </c>
      <c r="W9" s="30">
        <f t="shared" si="0"/>
        <v>666.50700000000006</v>
      </c>
      <c r="X9" s="30">
        <f t="shared" si="0"/>
        <v>730.99700000000007</v>
      </c>
      <c r="Y9" s="30">
        <f t="shared" si="0"/>
        <v>777.48300000000017</v>
      </c>
      <c r="Z9" s="30">
        <f t="shared" si="0"/>
        <v>826.00800000000004</v>
      </c>
      <c r="AA9" s="30">
        <f t="shared" si="0"/>
        <v>878.40100000000007</v>
      </c>
      <c r="AB9" s="30">
        <f t="shared" si="0"/>
        <v>953.81200000000013</v>
      </c>
      <c r="AC9" s="30">
        <f t="shared" si="0"/>
        <v>1031.3890000000001</v>
      </c>
      <c r="AD9" s="30">
        <f t="shared" si="0"/>
        <v>1113.9660000000001</v>
      </c>
      <c r="AE9" s="30">
        <f>SUM(Q9:T9)</f>
        <v>1202.6240000000003</v>
      </c>
    </row>
    <row r="10" spans="1:31" ht="12.75" customHeight="1">
      <c r="A10" s="73"/>
      <c r="B10" s="9" t="s">
        <v>165</v>
      </c>
      <c r="C10" s="74">
        <v>527.88</v>
      </c>
      <c r="D10" s="74">
        <v>685.2170000000001</v>
      </c>
      <c r="E10" s="74">
        <v>1204.355</v>
      </c>
      <c r="F10" s="74">
        <v>1608.221</v>
      </c>
      <c r="G10" s="10"/>
      <c r="H10" s="74">
        <v>136.80199999999999</v>
      </c>
      <c r="I10" s="74">
        <v>155.321</v>
      </c>
      <c r="J10" s="74">
        <v>178.27</v>
      </c>
      <c r="K10" s="30">
        <f t="shared" ref="K10:K11" si="1">SUM(D10-SUM(H10:J10))</f>
        <v>214.82400000000007</v>
      </c>
      <c r="L10" s="74">
        <v>262.67899999999997</v>
      </c>
      <c r="M10" s="74">
        <v>288.346</v>
      </c>
      <c r="N10" s="74">
        <v>315.71199999999999</v>
      </c>
      <c r="O10" s="30">
        <f t="shared" ref="O10:O11" si="2">SUM(E10-SUM(L10:N10))</f>
        <v>337.61800000000005</v>
      </c>
      <c r="P10" s="74">
        <v>377.06400000000002</v>
      </c>
      <c r="Q10" s="74">
        <v>409.36700000000002</v>
      </c>
      <c r="R10" s="74">
        <v>402.70100000000002</v>
      </c>
      <c r="S10" s="30">
        <f t="shared" ref="S10:S11" si="3">SUM(F10-SUM(P10:R10))</f>
        <v>419.08899999999994</v>
      </c>
      <c r="T10" s="74">
        <v>454.12200000000001</v>
      </c>
      <c r="U10" s="5"/>
      <c r="V10" s="30">
        <f t="shared" ref="V10:V11" si="4">SUM(H10:K10)</f>
        <v>685.2170000000001</v>
      </c>
      <c r="W10" s="30">
        <f t="shared" ref="W10:W11" si="5">SUM(I10:L10)</f>
        <v>811.09400000000005</v>
      </c>
      <c r="X10" s="30">
        <f t="shared" ref="X10:X11" si="6">SUM(J10:M10)</f>
        <v>944.11900000000003</v>
      </c>
      <c r="Y10" s="30">
        <f t="shared" ref="Y10:Y11" si="7">SUM(K10:N10)</f>
        <v>1081.5610000000001</v>
      </c>
      <c r="Z10" s="30">
        <f t="shared" ref="Z10:Z11" si="8">SUM(L10:O10)</f>
        <v>1204.355</v>
      </c>
      <c r="AA10" s="30">
        <f t="shared" ref="AA10:AA11" si="9">SUM(M10:P10)</f>
        <v>1318.74</v>
      </c>
      <c r="AB10" s="30">
        <f t="shared" ref="AB10:AB11" si="10">SUM(N10:Q10)</f>
        <v>1439.761</v>
      </c>
      <c r="AC10" s="30">
        <f t="shared" ref="AC10:AC11" si="11">SUM(O10:R10)</f>
        <v>1526.75</v>
      </c>
      <c r="AD10" s="30">
        <f t="shared" ref="AD10:AD11" si="12">SUM(P10:S10)</f>
        <v>1608.221</v>
      </c>
      <c r="AE10" s="30">
        <f t="shared" ref="AE10:AE11" si="13">SUM(Q10:T10)</f>
        <v>1685.279</v>
      </c>
    </row>
    <row r="11" spans="1:31" ht="12.75" customHeight="1">
      <c r="A11" s="73"/>
      <c r="B11" s="9" t="s">
        <v>166</v>
      </c>
      <c r="C11" s="74">
        <v>196.435</v>
      </c>
      <c r="D11" s="74">
        <v>188.34099999999998</v>
      </c>
      <c r="E11" s="74">
        <v>197.15299999999999</v>
      </c>
      <c r="F11" s="74">
        <v>381.62200000000001</v>
      </c>
      <c r="G11" s="10"/>
      <c r="H11" s="74">
        <v>63.594999999999999</v>
      </c>
      <c r="I11" s="74">
        <v>59.606999999999999</v>
      </c>
      <c r="J11" s="74">
        <v>32.813000000000002</v>
      </c>
      <c r="K11" s="30">
        <f t="shared" si="1"/>
        <v>32.325999999999993</v>
      </c>
      <c r="L11" s="74">
        <v>34.284999999999997</v>
      </c>
      <c r="M11" s="74">
        <v>52.701999999999998</v>
      </c>
      <c r="N11" s="74">
        <v>40.183</v>
      </c>
      <c r="O11" s="30">
        <f t="shared" si="2"/>
        <v>69.983000000000004</v>
      </c>
      <c r="P11" s="74">
        <v>63.613</v>
      </c>
      <c r="Q11" s="74">
        <v>125.28700000000001</v>
      </c>
      <c r="R11" s="74">
        <v>75.837999999999994</v>
      </c>
      <c r="S11" s="30">
        <f t="shared" si="3"/>
        <v>116.88400000000001</v>
      </c>
      <c r="T11" s="74">
        <v>119.04900000000001</v>
      </c>
      <c r="U11" s="5"/>
      <c r="V11" s="30">
        <f t="shared" si="4"/>
        <v>188.34099999999998</v>
      </c>
      <c r="W11" s="30">
        <f t="shared" si="5"/>
        <v>159.03100000000001</v>
      </c>
      <c r="X11" s="30">
        <f t="shared" si="6"/>
        <v>152.12599999999998</v>
      </c>
      <c r="Y11" s="30">
        <f t="shared" si="7"/>
        <v>159.49599999999998</v>
      </c>
      <c r="Z11" s="30">
        <f t="shared" si="8"/>
        <v>197.15299999999999</v>
      </c>
      <c r="AA11" s="30">
        <f t="shared" si="9"/>
        <v>226.48099999999999</v>
      </c>
      <c r="AB11" s="30">
        <f t="shared" si="10"/>
        <v>299.06600000000003</v>
      </c>
      <c r="AC11" s="30">
        <f t="shared" si="11"/>
        <v>334.721</v>
      </c>
      <c r="AD11" s="30">
        <f t="shared" si="12"/>
        <v>381.62200000000001</v>
      </c>
      <c r="AE11" s="30">
        <f t="shared" si="13"/>
        <v>437.05799999999999</v>
      </c>
    </row>
    <row r="12" spans="1:31">
      <c r="B12" s="9" t="s">
        <v>167</v>
      </c>
      <c r="C12" s="74">
        <v>65.77000000000001</v>
      </c>
      <c r="D12" s="74">
        <v>87.489000000000004</v>
      </c>
      <c r="E12" s="74">
        <v>95.483000000000004</v>
      </c>
      <c r="F12" s="74">
        <v>120.601</v>
      </c>
      <c r="G12" s="74"/>
      <c r="H12" s="74">
        <v>21.37</v>
      </c>
      <c r="I12" s="74">
        <v>21.494</v>
      </c>
      <c r="J12" s="74">
        <v>21.413</v>
      </c>
      <c r="K12" s="30">
        <f>SUM(D12-SUM(H12:J12))</f>
        <v>23.212000000000003</v>
      </c>
      <c r="L12" s="74">
        <v>20.157</v>
      </c>
      <c r="M12" s="74">
        <v>22.436</v>
      </c>
      <c r="N12" s="74">
        <v>25.294</v>
      </c>
      <c r="O12" s="30">
        <f>SUM(E12-SUM(L12:N12))</f>
        <v>27.596000000000004</v>
      </c>
      <c r="P12" s="74">
        <v>25.983000000000001</v>
      </c>
      <c r="Q12" s="74">
        <v>28.69</v>
      </c>
      <c r="R12" s="74">
        <v>32.049999999999997</v>
      </c>
      <c r="S12" s="30">
        <f>SUM(F12-SUM(P12:R12))</f>
        <v>33.878</v>
      </c>
      <c r="T12" s="74">
        <v>39.689</v>
      </c>
      <c r="U12" s="5"/>
      <c r="V12" s="30">
        <f t="shared" ref="V12" si="14">SUM(H12:K12)</f>
        <v>87.489000000000004</v>
      </c>
      <c r="W12" s="30">
        <f t="shared" ref="W12" si="15">SUM(I12:L12)</f>
        <v>86.275999999999996</v>
      </c>
      <c r="X12" s="30">
        <f t="shared" ref="X12" si="16">SUM(J12:M12)</f>
        <v>87.217999999999989</v>
      </c>
      <c r="Y12" s="30">
        <f t="shared" ref="Y12" si="17">SUM(K12:N12)</f>
        <v>91.099000000000004</v>
      </c>
      <c r="Z12" s="30">
        <f t="shared" ref="Z12" si="18">SUM(L12:O12)</f>
        <v>95.483000000000004</v>
      </c>
      <c r="AA12" s="30">
        <f t="shared" ref="AA12" si="19">SUM(M12:P12)</f>
        <v>101.30900000000001</v>
      </c>
      <c r="AB12" s="30">
        <f t="shared" ref="AB12" si="20">SUM(N12:Q12)</f>
        <v>107.563</v>
      </c>
      <c r="AC12" s="30">
        <f t="shared" ref="AC12" si="21">SUM(O12:R12)</f>
        <v>114.319</v>
      </c>
      <c r="AD12" s="30">
        <f t="shared" ref="AD12" si="22">SUM(P12:S12)</f>
        <v>120.601</v>
      </c>
      <c r="AE12" s="30">
        <f>SUM(Q12:T12)</f>
        <v>134.30699999999999</v>
      </c>
    </row>
    <row r="13" spans="1:31">
      <c r="B13" s="12" t="s">
        <v>67</v>
      </c>
      <c r="C13" s="13">
        <f>SUM(C9:C12)</f>
        <v>1349.2919999999999</v>
      </c>
      <c r="D13" s="13">
        <f>SUM(D9:D12)</f>
        <v>1587.9850000000001</v>
      </c>
      <c r="E13" s="13">
        <f>SUM(E9:E12)</f>
        <v>2322.9990000000003</v>
      </c>
      <c r="F13" s="13">
        <f>SUM(F9:F12)</f>
        <v>3224.41</v>
      </c>
      <c r="G13" s="11"/>
      <c r="H13" s="13">
        <f>SUM(H9:H12)</f>
        <v>361.62400000000002</v>
      </c>
      <c r="I13" s="13">
        <f>SUM(I9:I12)</f>
        <v>399.55799999999999</v>
      </c>
      <c r="J13" s="13">
        <f>SUM(J9:J12)</f>
        <v>380.97800000000001</v>
      </c>
      <c r="K13" s="13">
        <f>SUM(K9:K12)</f>
        <v>445.82500000000016</v>
      </c>
      <c r="L13" s="13">
        <f>SUM(L9:L12)</f>
        <v>496.54699999999997</v>
      </c>
      <c r="M13" s="13">
        <f>SUM(M9:M12)</f>
        <v>591.11</v>
      </c>
      <c r="N13" s="13">
        <f>SUM(N9:N12)</f>
        <v>576.15700000000004</v>
      </c>
      <c r="O13" s="13">
        <f>SUM(O9:O12)</f>
        <v>659.18500000000017</v>
      </c>
      <c r="P13" s="13">
        <f>SUM(P9:P12)</f>
        <v>698.47900000000004</v>
      </c>
      <c r="Q13" s="13">
        <f>SUM(Q9:Q12)</f>
        <v>866.38100000000009</v>
      </c>
      <c r="R13" s="13">
        <f>SUM(R9:R12)</f>
        <v>783.13400000000001</v>
      </c>
      <c r="S13" s="13">
        <f>SUM(S9:S12)</f>
        <v>876.41600000000005</v>
      </c>
      <c r="T13" s="13">
        <f>SUM(T9:T12)</f>
        <v>933.33699999999988</v>
      </c>
      <c r="U13" s="5"/>
      <c r="V13" s="13">
        <f>SUM(V9:V12)</f>
        <v>1587.9850000000001</v>
      </c>
      <c r="W13" s="13">
        <f>SUM(W9:W12)</f>
        <v>1722.9080000000001</v>
      </c>
      <c r="X13" s="13">
        <f>SUM(X9:X12)</f>
        <v>1914.46</v>
      </c>
      <c r="Y13" s="13">
        <f>SUM(Y9:Y12)</f>
        <v>2109.6390000000006</v>
      </c>
      <c r="Z13" s="13">
        <f>SUM(Z9:Z12)</f>
        <v>2322.9990000000003</v>
      </c>
      <c r="AA13" s="13">
        <f>SUM(AA9:AA12)</f>
        <v>2524.9310000000005</v>
      </c>
      <c r="AB13" s="13">
        <f>SUM(AB9:AB12)</f>
        <v>2800.2020000000002</v>
      </c>
      <c r="AC13" s="13">
        <f>SUM(AC9:AC12)</f>
        <v>3007.1790000000001</v>
      </c>
      <c r="AD13" s="13">
        <f>SUM(AD9:AD12)</f>
        <v>3224.41</v>
      </c>
      <c r="AE13" s="13">
        <f>SUM(AE9:AE12)</f>
        <v>3459.268</v>
      </c>
    </row>
    <row r="14" spans="1:31" outlineLevel="1">
      <c r="B14" s="113" t="s">
        <v>59</v>
      </c>
      <c r="C14" s="72">
        <f>+C13-'Historical Financials'!C11</f>
        <v>0</v>
      </c>
      <c r="D14" s="72">
        <f>+D13-'Historical Financials'!D11</f>
        <v>0</v>
      </c>
      <c r="E14" s="72">
        <f>+E13-'Historical Financials'!E11</f>
        <v>0</v>
      </c>
      <c r="F14" s="72">
        <f>+F13-'Historical Financials'!F11</f>
        <v>0</v>
      </c>
      <c r="G14" s="11"/>
      <c r="H14" s="72">
        <f>+H13-'Historical Financials'!H11</f>
        <v>0</v>
      </c>
      <c r="I14" s="72">
        <f>+I13-'Historical Financials'!I11</f>
        <v>0</v>
      </c>
      <c r="J14" s="72">
        <f>+J13-'Historical Financials'!J11</f>
        <v>0</v>
      </c>
      <c r="K14" s="72">
        <f>+K13-'Historical Financials'!K11</f>
        <v>0</v>
      </c>
      <c r="L14" s="72">
        <f>+L13-'Historical Financials'!L11</f>
        <v>0</v>
      </c>
      <c r="M14" s="72">
        <f>+M13-'Historical Financials'!M11</f>
        <v>0</v>
      </c>
      <c r="N14" s="72">
        <f>+N13-'Historical Financials'!N11</f>
        <v>0</v>
      </c>
      <c r="O14" s="72">
        <f>+O13-'Historical Financials'!O11</f>
        <v>0</v>
      </c>
      <c r="P14" s="72">
        <f>+P13-'Historical Financials'!P11</f>
        <v>0</v>
      </c>
      <c r="Q14" s="72">
        <f>+Q13-'Historical Financials'!Q11</f>
        <v>0</v>
      </c>
      <c r="R14" s="72">
        <f>+R13-'Historical Financials'!R11</f>
        <v>0</v>
      </c>
      <c r="S14" s="72">
        <f>+S13-'Historical Financials'!S11</f>
        <v>0</v>
      </c>
      <c r="T14" s="72">
        <f>+T13-'Historical Financials'!T11</f>
        <v>0</v>
      </c>
      <c r="U14" s="72"/>
      <c r="V14" s="72">
        <f>+V13-'Historical Financials'!V11</f>
        <v>0</v>
      </c>
      <c r="W14" s="72">
        <f>+W13-'Historical Financials'!W11</f>
        <v>0</v>
      </c>
      <c r="X14" s="72">
        <f>+X13-'Historical Financials'!X11</f>
        <v>0</v>
      </c>
      <c r="Y14" s="72">
        <f>+Y13-'Historical Financials'!Y11</f>
        <v>0</v>
      </c>
      <c r="Z14" s="72">
        <f>+Z13-'Historical Financials'!Z11</f>
        <v>0</v>
      </c>
      <c r="AA14" s="72">
        <f>+AA13-'Historical Financials'!AA11</f>
        <v>0</v>
      </c>
      <c r="AB14" s="72">
        <f>+AB13-'Historical Financials'!AB11</f>
        <v>0</v>
      </c>
      <c r="AC14" s="72">
        <f>+AC13-'Historical Financials'!AC11</f>
        <v>0</v>
      </c>
      <c r="AD14" s="72">
        <f>+AD13-'Historical Financials'!AD11</f>
        <v>0</v>
      </c>
      <c r="AE14" s="72">
        <f>+AE13-'Historical Financials'!AE11</f>
        <v>0</v>
      </c>
    </row>
    <row r="15" spans="1:31">
      <c r="B15" s="16"/>
      <c r="C15" s="17"/>
      <c r="D15" s="17"/>
      <c r="E15" s="17"/>
      <c r="F15" s="17"/>
      <c r="G15" s="18"/>
      <c r="H15" s="19"/>
      <c r="I15" s="19"/>
      <c r="J15" s="19"/>
      <c r="K15" s="20"/>
      <c r="L15" s="19"/>
      <c r="M15" s="19"/>
      <c r="N15" s="19"/>
      <c r="O15" s="19"/>
      <c r="P15" s="19"/>
      <c r="Q15" s="19"/>
      <c r="R15" s="19"/>
      <c r="S15" s="19"/>
      <c r="T15" s="19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</row>
    <row r="16" spans="1:31">
      <c r="B16" s="114" t="str">
        <f>B9&amp;"(%)"</f>
        <v>Network revenue (%)</v>
      </c>
      <c r="C16" s="126">
        <f>SUM(C9/C$13)</f>
        <v>0.41444476065966451</v>
      </c>
      <c r="D16" s="126">
        <f>SUM(D9/D$13)</f>
        <v>0.39480095844734053</v>
      </c>
      <c r="E16" s="126">
        <f>SUM(E9/E$13)</f>
        <v>0.35557828479478465</v>
      </c>
      <c r="F16" s="126">
        <f>SUM(F9/F$13)</f>
        <v>0.3454790178668346</v>
      </c>
      <c r="G16" s="115"/>
      <c r="H16" s="126">
        <f>SUM(H9/H$13)</f>
        <v>0.38674700794195072</v>
      </c>
      <c r="I16" s="126">
        <f>SUM(I9/I$13)</f>
        <v>0.40829116173371577</v>
      </c>
      <c r="J16" s="126">
        <f>SUM(J9/J$13)</f>
        <v>0.38973904004955667</v>
      </c>
      <c r="K16" s="126">
        <f>SUM(K9/K$13)</f>
        <v>0.39356922559300178</v>
      </c>
      <c r="L16" s="126">
        <f>SUM(L9/L$13)</f>
        <v>0.36134746559741576</v>
      </c>
      <c r="M16" s="126">
        <f>SUM(M9/M$13)</f>
        <v>0.38508230278628341</v>
      </c>
      <c r="N16" s="126">
        <f>SUM(N9/N$13)</f>
        <v>0.3383938752805225</v>
      </c>
      <c r="O16" s="126">
        <f>SUM(O9/O$13)</f>
        <v>0.33979535335300409</v>
      </c>
      <c r="P16" s="126">
        <f>SUM(P9/P$13)</f>
        <v>0.33189115206040548</v>
      </c>
      <c r="Q16" s="126">
        <f>SUM(Q9/Q$13)</f>
        <v>0.34977336760616867</v>
      </c>
      <c r="R16" s="126">
        <f>SUM(R9/R$13)</f>
        <v>0.3480183467963337</v>
      </c>
      <c r="S16" s="126">
        <f>SUM(S9/S$13)</f>
        <v>0.34979393347451443</v>
      </c>
      <c r="T16" s="126">
        <f>SUM(T9/T$13)</f>
        <v>0.34336686534445759</v>
      </c>
      <c r="U16" s="115"/>
      <c r="V16" s="116">
        <f>I16</f>
        <v>0.40829116173371577</v>
      </c>
      <c r="W16" s="116">
        <f>J16</f>
        <v>0.38973904004955667</v>
      </c>
      <c r="X16" s="116">
        <f>K16</f>
        <v>0.39356922559300178</v>
      </c>
      <c r="Y16" s="116">
        <f>L16</f>
        <v>0.36134746559741576</v>
      </c>
      <c r="Z16" s="116">
        <f>M16</f>
        <v>0.38508230278628341</v>
      </c>
      <c r="AA16" s="116">
        <f>N16</f>
        <v>0.3383938752805225</v>
      </c>
      <c r="AB16" s="116">
        <f>O16</f>
        <v>0.33979535335300409</v>
      </c>
      <c r="AC16" s="116">
        <f>P16</f>
        <v>0.33189115206040548</v>
      </c>
      <c r="AD16" s="116">
        <f>Q16</f>
        <v>0.34977336760616867</v>
      </c>
      <c r="AE16" s="117">
        <f>R16</f>
        <v>0.3480183467963337</v>
      </c>
    </row>
    <row r="17" spans="1:31">
      <c r="B17" s="118" t="str">
        <f>B10&amp;"(%)"</f>
        <v>Interest Income (%)</v>
      </c>
      <c r="C17" s="128">
        <f>SUM(C10/C$13)</f>
        <v>0.39122739925827771</v>
      </c>
      <c r="D17" s="128">
        <f>SUM(D10/D$13)</f>
        <v>0.43150092727576145</v>
      </c>
      <c r="E17" s="128">
        <f>SUM(E10/E$13)</f>
        <v>0.51844835060195893</v>
      </c>
      <c r="F17" s="128">
        <f>SUM(F10/F$13)</f>
        <v>0.49876442511963431</v>
      </c>
      <c r="G17" s="119"/>
      <c r="H17" s="128">
        <f>SUM(H10/H$13)</f>
        <v>0.37829900670309491</v>
      </c>
      <c r="I17" s="128">
        <f>SUM(I10/I$13)</f>
        <v>0.38873204891405005</v>
      </c>
      <c r="J17" s="128">
        <f>SUM(J10/J$13)</f>
        <v>0.46792728189029287</v>
      </c>
      <c r="K17" s="128">
        <f>SUM(K10/K$13)</f>
        <v>0.48185723097627992</v>
      </c>
      <c r="L17" s="128">
        <f>SUM(L10/L$13)</f>
        <v>0.52901135239967212</v>
      </c>
      <c r="M17" s="128">
        <f>SUM(M10/M$13)</f>
        <v>0.48780430038402328</v>
      </c>
      <c r="N17" s="128">
        <f>SUM(N10/N$13)</f>
        <v>0.54796175348038811</v>
      </c>
      <c r="O17" s="128">
        <f>SUM(O10/O$13)</f>
        <v>0.51217488262020516</v>
      </c>
      <c r="P17" s="128">
        <f>SUM(P10/P$13)</f>
        <v>0.53983584331096568</v>
      </c>
      <c r="Q17" s="128">
        <f>SUM(Q10/Q$13)</f>
        <v>0.47250228248311077</v>
      </c>
      <c r="R17" s="128">
        <f>SUM(R10/R$13)</f>
        <v>0.51421723485380533</v>
      </c>
      <c r="S17" s="128">
        <f>SUM(S10/S$13)</f>
        <v>0.47818501716080025</v>
      </c>
      <c r="T17" s="128">
        <f>SUM(T10/T$13)</f>
        <v>0.48655737423888701</v>
      </c>
      <c r="U17" s="119"/>
      <c r="V17" s="120">
        <f t="shared" ref="V17:V19" si="23">I17</f>
        <v>0.38873204891405005</v>
      </c>
      <c r="W17" s="120">
        <f t="shared" ref="W17:W19" si="24">J17</f>
        <v>0.46792728189029287</v>
      </c>
      <c r="X17" s="120">
        <f t="shared" ref="X17:X19" si="25">K17</f>
        <v>0.48185723097627992</v>
      </c>
      <c r="Y17" s="120">
        <f t="shared" ref="Y17:Y19" si="26">L17</f>
        <v>0.52901135239967212</v>
      </c>
      <c r="Z17" s="120">
        <f t="shared" ref="Z17:Z19" si="27">M17</f>
        <v>0.48780430038402328</v>
      </c>
      <c r="AA17" s="120">
        <f t="shared" ref="AA17:AA19" si="28">N17</f>
        <v>0.54796175348038811</v>
      </c>
      <c r="AB17" s="120">
        <f t="shared" ref="AB17:AB19" si="29">O17</f>
        <v>0.51217488262020516</v>
      </c>
      <c r="AC17" s="120">
        <f t="shared" ref="AC17:AC19" si="30">P17</f>
        <v>0.53983584331096568</v>
      </c>
      <c r="AD17" s="120">
        <f t="shared" ref="AD17:AD19" si="31">Q17</f>
        <v>0.47250228248311077</v>
      </c>
      <c r="AE17" s="121">
        <f t="shared" ref="AE17:AE19" si="32">R17</f>
        <v>0.51421723485380533</v>
      </c>
    </row>
    <row r="18" spans="1:31">
      <c r="B18" s="118" t="str">
        <f>B11&amp;"(%)"</f>
        <v>Gain (loss) on sales of loans (%)</v>
      </c>
      <c r="C18" s="128">
        <f>SUM(C11/C$13)</f>
        <v>0.14558375800049211</v>
      </c>
      <c r="D18" s="128">
        <f>SUM(D11/D$13)</f>
        <v>0.11860376514891512</v>
      </c>
      <c r="E18" s="128">
        <f>SUM(E11/E$13)</f>
        <v>8.4870032229889023E-2</v>
      </c>
      <c r="F18" s="128">
        <f>SUM(F11/F$13)</f>
        <v>0.11835405547061324</v>
      </c>
      <c r="G18" s="119"/>
      <c r="H18" s="128">
        <f>SUM(H11/H$13)</f>
        <v>0.17585945623078114</v>
      </c>
      <c r="I18" s="128">
        <f>SUM(I11/I$13)</f>
        <v>0.14918234649287462</v>
      </c>
      <c r="J18" s="128">
        <f>SUM(J11/J$13)</f>
        <v>8.6128332869614521E-2</v>
      </c>
      <c r="K18" s="128">
        <f>SUM(K11/K$13)</f>
        <v>7.2508271182638889E-2</v>
      </c>
      <c r="L18" s="128">
        <f>SUM(L11/L$13)</f>
        <v>6.9046837459495275E-2</v>
      </c>
      <c r="M18" s="128">
        <f>SUM(M11/M$13)</f>
        <v>8.9157686386628535E-2</v>
      </c>
      <c r="N18" s="128">
        <f>SUM(N11/N$13)</f>
        <v>6.9743142928056057E-2</v>
      </c>
      <c r="O18" s="128">
        <f>SUM(O11/O$13)</f>
        <v>0.10616594734406878</v>
      </c>
      <c r="P18" s="128">
        <f>SUM(P11/P$13)</f>
        <v>9.107360421716329E-2</v>
      </c>
      <c r="Q18" s="128">
        <f>SUM(Q11/Q$13)</f>
        <v>0.1446095886220958</v>
      </c>
      <c r="R18" s="128">
        <f>SUM(R11/R$13)</f>
        <v>9.6839110548130963E-2</v>
      </c>
      <c r="S18" s="128">
        <f>SUM(S11/S$13)</f>
        <v>0.13336589017087777</v>
      </c>
      <c r="T18" s="128">
        <f>SUM(T11/T$13)</f>
        <v>0.12755199890286148</v>
      </c>
      <c r="U18" s="119"/>
      <c r="V18" s="120">
        <f t="shared" si="23"/>
        <v>0.14918234649287462</v>
      </c>
      <c r="W18" s="120">
        <f t="shared" si="24"/>
        <v>8.6128332869614521E-2</v>
      </c>
      <c r="X18" s="120">
        <f t="shared" si="25"/>
        <v>7.2508271182638889E-2</v>
      </c>
      <c r="Y18" s="120">
        <f t="shared" si="26"/>
        <v>6.9046837459495275E-2</v>
      </c>
      <c r="Z18" s="120">
        <f t="shared" si="27"/>
        <v>8.9157686386628535E-2</v>
      </c>
      <c r="AA18" s="120">
        <f t="shared" si="28"/>
        <v>6.9743142928056057E-2</v>
      </c>
      <c r="AB18" s="120">
        <f t="shared" si="29"/>
        <v>0.10616594734406878</v>
      </c>
      <c r="AC18" s="120">
        <f t="shared" si="30"/>
        <v>9.107360421716329E-2</v>
      </c>
      <c r="AD18" s="120">
        <f t="shared" si="31"/>
        <v>0.1446095886220958</v>
      </c>
      <c r="AE18" s="121">
        <f t="shared" si="32"/>
        <v>9.6839110548130963E-2</v>
      </c>
    </row>
    <row r="19" spans="1:31" ht="12.75" customHeight="1">
      <c r="B19" s="122" t="str">
        <f>B12&amp;"(%)"</f>
        <v>Servicing income (%)</v>
      </c>
      <c r="C19" s="127">
        <f>SUM(C12/C$13)</f>
        <v>4.8744082081565748E-2</v>
      </c>
      <c r="D19" s="127">
        <f>SUM(D12/D$13)</f>
        <v>5.5094349127982944E-2</v>
      </c>
      <c r="E19" s="127">
        <f>SUM(E12/E$13)</f>
        <v>4.1103332373367357E-2</v>
      </c>
      <c r="F19" s="127">
        <f>SUM(F12/F$13)</f>
        <v>3.7402501542917931E-2</v>
      </c>
      <c r="G19" s="123"/>
      <c r="H19" s="127">
        <f>SUM(H12/H$13)</f>
        <v>5.9094529124173172E-2</v>
      </c>
      <c r="I19" s="127">
        <f>SUM(I12/I$13)</f>
        <v>5.3794442859359595E-2</v>
      </c>
      <c r="J19" s="127">
        <f>SUM(J12/J$13)</f>
        <v>5.6205345190535938E-2</v>
      </c>
      <c r="K19" s="127">
        <f>SUM(K12/K$13)</f>
        <v>5.2065272248079393E-2</v>
      </c>
      <c r="L19" s="127">
        <f>SUM(L12/L$13)</f>
        <v>4.0594344543416837E-2</v>
      </c>
      <c r="M19" s="127">
        <f>SUM(M12/M$13)</f>
        <v>3.7955710443064741E-2</v>
      </c>
      <c r="N19" s="127">
        <f>SUM(N12/N$13)</f>
        <v>4.3901228311033276E-2</v>
      </c>
      <c r="O19" s="127">
        <f>SUM(O12/O$13)</f>
        <v>4.1863816682721842E-2</v>
      </c>
      <c r="P19" s="127">
        <f>SUM(P12/P$13)</f>
        <v>3.719940041146548E-2</v>
      </c>
      <c r="Q19" s="127">
        <f>SUM(Q12/Q$13)</f>
        <v>3.3114761288624749E-2</v>
      </c>
      <c r="R19" s="127">
        <f>SUM(R12/R$13)</f>
        <v>4.0925307801729968E-2</v>
      </c>
      <c r="S19" s="127">
        <f>SUM(S12/S$13)</f>
        <v>3.8655159193807506E-2</v>
      </c>
      <c r="T19" s="127">
        <f>SUM(T12/T$13)</f>
        <v>4.2523761513794056E-2</v>
      </c>
      <c r="U19" s="123"/>
      <c r="V19" s="124">
        <f t="shared" si="23"/>
        <v>5.3794442859359595E-2</v>
      </c>
      <c r="W19" s="124">
        <f t="shared" si="24"/>
        <v>5.6205345190535938E-2</v>
      </c>
      <c r="X19" s="124">
        <f t="shared" si="25"/>
        <v>5.2065272248079393E-2</v>
      </c>
      <c r="Y19" s="124">
        <f t="shared" si="26"/>
        <v>4.0594344543416837E-2</v>
      </c>
      <c r="Z19" s="124">
        <f t="shared" si="27"/>
        <v>3.7955710443064741E-2</v>
      </c>
      <c r="AA19" s="124">
        <f t="shared" si="28"/>
        <v>4.3901228311033276E-2</v>
      </c>
      <c r="AB19" s="124">
        <f t="shared" si="29"/>
        <v>4.1863816682721842E-2</v>
      </c>
      <c r="AC19" s="124">
        <f t="shared" si="30"/>
        <v>3.719940041146548E-2</v>
      </c>
      <c r="AD19" s="124">
        <f t="shared" si="31"/>
        <v>3.3114761288624749E-2</v>
      </c>
      <c r="AE19" s="125">
        <f t="shared" si="32"/>
        <v>4.0925307801729968E-2</v>
      </c>
    </row>
    <row r="20" spans="1:31">
      <c r="B20" s="16"/>
      <c r="C20" s="17"/>
      <c r="D20" s="17"/>
      <c r="E20" s="17"/>
      <c r="F20" s="17"/>
      <c r="G20" s="18"/>
      <c r="H20" s="19"/>
      <c r="I20" s="19"/>
      <c r="J20" s="19"/>
      <c r="K20" s="20"/>
      <c r="L20" s="19"/>
      <c r="M20" s="19"/>
      <c r="N20" s="19"/>
      <c r="O20" s="19"/>
      <c r="P20" s="19"/>
      <c r="Q20" s="19"/>
      <c r="R20" s="19"/>
      <c r="S20" s="19"/>
      <c r="T20" s="19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</row>
    <row r="21" spans="1:31">
      <c r="A21" s="33" t="s">
        <v>18</v>
      </c>
      <c r="B21" s="1" t="s">
        <v>168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5.0999999999999996" customHeight="1"/>
    <row r="23" spans="1:31" ht="12.75" customHeight="1">
      <c r="A23" s="73" t="s">
        <v>18</v>
      </c>
      <c r="B23" s="71" t="s">
        <v>172</v>
      </c>
      <c r="C23" s="10"/>
      <c r="D23" s="10"/>
      <c r="E23" s="10"/>
      <c r="F23" s="10"/>
      <c r="G23" s="10"/>
      <c r="H23" s="80"/>
      <c r="I23" s="80"/>
      <c r="J23" s="80"/>
      <c r="K23" s="30"/>
      <c r="L23" s="80"/>
      <c r="M23" s="80"/>
      <c r="N23" s="80"/>
      <c r="O23" s="30"/>
      <c r="P23" s="80"/>
      <c r="Q23" s="80"/>
      <c r="R23" s="80"/>
      <c r="S23" s="80"/>
      <c r="T23" s="80"/>
      <c r="U23" s="5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 spans="1:31" ht="12.75" customHeight="1">
      <c r="A24" s="73"/>
      <c r="B24" s="9" t="s">
        <v>170</v>
      </c>
      <c r="C24" s="74">
        <v>15483</v>
      </c>
      <c r="D24" s="74">
        <v>20186</v>
      </c>
      <c r="E24" s="74">
        <v>26600</v>
      </c>
      <c r="F24" s="74">
        <v>36700</v>
      </c>
      <c r="G24" s="10"/>
      <c r="H24" s="74">
        <v>4389</v>
      </c>
      <c r="I24" s="74">
        <v>5658</v>
      </c>
      <c r="J24" s="74">
        <v>4639</v>
      </c>
      <c r="K24" s="30">
        <f t="shared" ref="K24" si="33">SUM(D24-SUM(H24:J24))</f>
        <v>5500</v>
      </c>
      <c r="L24" s="74">
        <v>5600</v>
      </c>
      <c r="M24" s="74">
        <v>7500</v>
      </c>
      <c r="N24" s="74">
        <v>6300</v>
      </c>
      <c r="O24" s="30">
        <f t="shared" ref="O24" si="34">SUM(E24-SUM(L24:N24))</f>
        <v>7200</v>
      </c>
      <c r="P24" s="74">
        <v>7600</v>
      </c>
      <c r="Q24" s="74">
        <v>10100</v>
      </c>
      <c r="R24" s="74">
        <v>8600</v>
      </c>
      <c r="S24" s="30">
        <f t="shared" ref="S24" si="35">SUM(F24-SUM(P24:R24))</f>
        <v>10400</v>
      </c>
      <c r="T24" s="74">
        <v>10758</v>
      </c>
      <c r="U24" s="5"/>
      <c r="V24" s="30">
        <f t="shared" ref="V24" si="36">SUM(H24:K24)</f>
        <v>20186</v>
      </c>
      <c r="W24" s="30">
        <f t="shared" ref="W24" si="37">SUM(I24:L24)</f>
        <v>21397</v>
      </c>
      <c r="X24" s="30">
        <f t="shared" ref="X24" si="38">SUM(J24:M24)</f>
        <v>23239</v>
      </c>
      <c r="Y24" s="30">
        <f t="shared" ref="Y24" si="39">SUM(K24:N24)</f>
        <v>24900</v>
      </c>
      <c r="Z24" s="30">
        <f t="shared" ref="Z24" si="40">SUM(L24:O24)</f>
        <v>26600</v>
      </c>
      <c r="AA24" s="30">
        <f t="shared" ref="AA24" si="41">SUM(M24:P24)</f>
        <v>28600</v>
      </c>
      <c r="AB24" s="30">
        <f t="shared" ref="AB24" si="42">SUM(N24:Q24)</f>
        <v>31200</v>
      </c>
      <c r="AC24" s="30">
        <f t="shared" ref="AC24" si="43">SUM(O24:R24)</f>
        <v>33500</v>
      </c>
      <c r="AD24" s="30">
        <f t="shared" ref="AD24" si="44">SUM(P24:S24)</f>
        <v>36700</v>
      </c>
      <c r="AE24" s="30">
        <f t="shared" ref="AE24" si="45">SUM(Q24:T24)</f>
        <v>39858</v>
      </c>
    </row>
    <row r="25" spans="1:31">
      <c r="B25" s="12" t="s">
        <v>171</v>
      </c>
      <c r="C25" s="13">
        <f>SUM(C24:C24)</f>
        <v>15483</v>
      </c>
      <c r="D25" s="13">
        <f>SUM(D24:D24)</f>
        <v>20186</v>
      </c>
      <c r="E25" s="13">
        <f>SUM(E24:E24)</f>
        <v>26600</v>
      </c>
      <c r="F25" s="13">
        <f>SUM(F24:F24)</f>
        <v>36700</v>
      </c>
      <c r="G25" s="11"/>
      <c r="H25" s="13">
        <f>SUM(H24:H24)</f>
        <v>4389</v>
      </c>
      <c r="I25" s="13">
        <f>SUM(I24:I24)</f>
        <v>5658</v>
      </c>
      <c r="J25" s="13">
        <f>SUM(J24:J24)</f>
        <v>4639</v>
      </c>
      <c r="K25" s="13">
        <f>SUM(K24:K24)</f>
        <v>5500</v>
      </c>
      <c r="L25" s="13">
        <f>SUM(L24:L24)</f>
        <v>5600</v>
      </c>
      <c r="M25" s="13">
        <f>SUM(M24:M24)</f>
        <v>7500</v>
      </c>
      <c r="N25" s="13">
        <f>SUM(N24:N24)</f>
        <v>6300</v>
      </c>
      <c r="O25" s="13">
        <f>SUM(O24:O24)</f>
        <v>7200</v>
      </c>
      <c r="P25" s="13">
        <f>SUM(P24:P24)</f>
        <v>7600</v>
      </c>
      <c r="Q25" s="13">
        <f>SUM(Q24:Q24)</f>
        <v>10100</v>
      </c>
      <c r="R25" s="13">
        <f>SUM(R24:R24)</f>
        <v>8600</v>
      </c>
      <c r="S25" s="13">
        <f>SUM(S24:S24)</f>
        <v>10400</v>
      </c>
      <c r="T25" s="13">
        <f>SUM(T24:T24)</f>
        <v>10758</v>
      </c>
      <c r="U25" s="5"/>
      <c r="V25" s="13">
        <f>SUM(V24:V24)</f>
        <v>20186</v>
      </c>
      <c r="W25" s="13">
        <f>SUM(W24:W24)</f>
        <v>21397</v>
      </c>
      <c r="X25" s="13">
        <f>SUM(X24:X24)</f>
        <v>23239</v>
      </c>
      <c r="Y25" s="13">
        <f>SUM(Y24:Y24)</f>
        <v>24900</v>
      </c>
      <c r="Z25" s="13">
        <f>SUM(Z24:Z24)</f>
        <v>26600</v>
      </c>
      <c r="AA25" s="13">
        <f>SUM(AA24:AA24)</f>
        <v>28600</v>
      </c>
      <c r="AB25" s="13">
        <f>SUM(AB24:AB24)</f>
        <v>31200</v>
      </c>
      <c r="AC25" s="13">
        <f>SUM(AC24:AC24)</f>
        <v>33500</v>
      </c>
      <c r="AD25" s="13">
        <f>SUM(AD24:AD24)</f>
        <v>36700</v>
      </c>
      <c r="AE25" s="13">
        <f>SUM(AE24:AE24)</f>
        <v>39858</v>
      </c>
    </row>
    <row r="26" spans="1:31">
      <c r="B26" s="14" t="s">
        <v>26</v>
      </c>
      <c r="C26" s="98"/>
      <c r="D26" s="15">
        <f>SUM(D25/C25)-1</f>
        <v>0.30375250274494614</v>
      </c>
      <c r="E26" s="15">
        <f t="shared" ref="E26" si="46">SUM(E25/D25)-1</f>
        <v>0.31774497176260774</v>
      </c>
      <c r="F26" s="15">
        <f t="shared" ref="F26" si="47">SUM(F25/E25)-1</f>
        <v>0.37969924812030076</v>
      </c>
      <c r="H26" s="98"/>
      <c r="I26" s="98"/>
      <c r="J26" s="98"/>
      <c r="K26" s="98"/>
      <c r="L26" s="15">
        <f t="shared" ref="L26" si="48">SUM(L25/H25)-1</f>
        <v>0.27591706539074967</v>
      </c>
      <c r="M26" s="15">
        <f t="shared" ref="M26" si="49">SUM(M25/I25)-1</f>
        <v>0.32555673382820793</v>
      </c>
      <c r="N26" s="15">
        <f t="shared" ref="N26" si="50">SUM(N25/J25)-1</f>
        <v>0.35805130416037945</v>
      </c>
      <c r="O26" s="15">
        <f t="shared" ref="O26" si="51">SUM(O25/K25)-1</f>
        <v>0.30909090909090908</v>
      </c>
      <c r="P26" s="15">
        <f t="shared" ref="P26" si="52">SUM(P25/L25)-1</f>
        <v>0.35714285714285721</v>
      </c>
      <c r="Q26" s="15">
        <f t="shared" ref="Q26" si="53">SUM(Q25/M25)-1</f>
        <v>0.34666666666666668</v>
      </c>
      <c r="R26" s="15">
        <f t="shared" ref="R26" si="54">SUM(R25/N25)-1</f>
        <v>0.36507936507936511</v>
      </c>
      <c r="S26" s="15">
        <f t="shared" ref="S26" si="55">SUM(S25/O25)-1</f>
        <v>0.44444444444444442</v>
      </c>
      <c r="T26" s="15">
        <f t="shared" ref="T26" si="56">SUM(T25/P25)-1</f>
        <v>0.41552631578947374</v>
      </c>
      <c r="V26" s="15">
        <f t="shared" ref="V26" si="57">K26</f>
        <v>0</v>
      </c>
      <c r="W26" s="15">
        <f t="shared" ref="W26" si="58">L26</f>
        <v>0.27591706539074967</v>
      </c>
      <c r="X26" s="15">
        <f t="shared" ref="X26" si="59">M26</f>
        <v>0.32555673382820793</v>
      </c>
      <c r="Y26" s="15">
        <f t="shared" ref="Y26" si="60">N26</f>
        <v>0.35805130416037945</v>
      </c>
      <c r="Z26" s="15">
        <f t="shared" ref="Z26" si="61">O26</f>
        <v>0.30909090909090908</v>
      </c>
      <c r="AA26" s="15">
        <f t="shared" ref="AA26" si="62">P26</f>
        <v>0.35714285714285721</v>
      </c>
      <c r="AB26" s="15">
        <f t="shared" ref="AB26" si="63">Q26</f>
        <v>0.34666666666666668</v>
      </c>
      <c r="AC26" s="15">
        <f t="shared" ref="AC26" si="64">R26</f>
        <v>0.36507936507936511</v>
      </c>
      <c r="AD26" s="15">
        <f t="shared" ref="AD26" si="65">S26</f>
        <v>0.44444444444444442</v>
      </c>
      <c r="AE26" s="15">
        <f>T26</f>
        <v>0.41552631578947374</v>
      </c>
    </row>
    <row r="27" spans="1:31">
      <c r="B27" s="14" t="s">
        <v>27</v>
      </c>
      <c r="C27" s="15" t="s">
        <v>28</v>
      </c>
      <c r="D27" s="15" t="s">
        <v>28</v>
      </c>
      <c r="E27" s="15" t="s">
        <v>28</v>
      </c>
      <c r="F27" s="15" t="s">
        <v>28</v>
      </c>
      <c r="H27" s="98"/>
      <c r="I27" s="15">
        <f>SUM(I25/H25)-1</f>
        <v>0.28913192071086802</v>
      </c>
      <c r="J27" s="15">
        <f>SUM(J25/I25)-1</f>
        <v>-0.18009897490279247</v>
      </c>
      <c r="K27" s="15">
        <f>SUM(K25/J25)-1</f>
        <v>0.18560034490191857</v>
      </c>
      <c r="L27" s="15">
        <f>SUM(L25/K25)-1</f>
        <v>1.8181818181818077E-2</v>
      </c>
      <c r="M27" s="15">
        <f t="shared" ref="M27" si="66">SUM(M25/L25)-1</f>
        <v>0.33928571428571419</v>
      </c>
      <c r="N27" s="15">
        <f t="shared" ref="N27" si="67">SUM(N25/M25)-1</f>
        <v>-0.16000000000000003</v>
      </c>
      <c r="O27" s="15">
        <f t="shared" ref="O27" si="68">SUM(O25/N25)-1</f>
        <v>0.14285714285714279</v>
      </c>
      <c r="P27" s="15">
        <f t="shared" ref="P27" si="69">SUM(P25/O25)-1</f>
        <v>5.555555555555558E-2</v>
      </c>
      <c r="Q27" s="15">
        <f t="shared" ref="Q27" si="70">SUM(Q25/P25)-1</f>
        <v>0.32894736842105265</v>
      </c>
      <c r="R27" s="15">
        <f t="shared" ref="R27" si="71">SUM(R25/Q25)-1</f>
        <v>-0.14851485148514854</v>
      </c>
      <c r="S27" s="15">
        <f t="shared" ref="S27" si="72">SUM(S25/R25)-1</f>
        <v>0.20930232558139528</v>
      </c>
      <c r="T27" s="15">
        <f t="shared" ref="T27" si="73">SUM(T25/S25)-1</f>
        <v>3.442307692307689E-2</v>
      </c>
      <c r="V27" s="15" t="s">
        <v>28</v>
      </c>
      <c r="W27" s="15" t="s">
        <v>28</v>
      </c>
      <c r="X27" s="15" t="s">
        <v>28</v>
      </c>
      <c r="Y27" s="15" t="s">
        <v>28</v>
      </c>
      <c r="Z27" s="15" t="s">
        <v>28</v>
      </c>
      <c r="AA27" s="15" t="s">
        <v>28</v>
      </c>
      <c r="AB27" s="15" t="s">
        <v>28</v>
      </c>
      <c r="AC27" s="15" t="s">
        <v>28</v>
      </c>
      <c r="AD27" s="15" t="s">
        <v>28</v>
      </c>
      <c r="AE27" s="15" t="s">
        <v>28</v>
      </c>
    </row>
    <row r="29" spans="1:31" ht="12.75" customHeight="1">
      <c r="A29" s="73" t="s">
        <v>18</v>
      </c>
      <c r="B29" s="71" t="s">
        <v>169</v>
      </c>
      <c r="C29" s="10"/>
      <c r="D29" s="10"/>
      <c r="E29" s="10"/>
      <c r="F29" s="10"/>
      <c r="G29" s="10"/>
      <c r="H29" s="80"/>
      <c r="I29" s="80"/>
      <c r="J29" s="80"/>
      <c r="K29" s="30"/>
      <c r="L29" s="80"/>
      <c r="M29" s="80"/>
      <c r="N29" s="80"/>
      <c r="O29" s="30"/>
      <c r="P29" s="80"/>
      <c r="Q29" s="80"/>
      <c r="R29" s="80"/>
      <c r="S29" s="80"/>
      <c r="T29" s="80"/>
      <c r="U29" s="5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 spans="1:31" ht="12.75" customHeight="1">
      <c r="A30" s="73"/>
      <c r="B30" s="9" t="s">
        <v>173</v>
      </c>
      <c r="C30" s="74">
        <v>152000</v>
      </c>
      <c r="D30" s="74">
        <v>158000</v>
      </c>
      <c r="E30" s="74">
        <v>180000</v>
      </c>
      <c r="F30" s="74">
        <v>222000</v>
      </c>
      <c r="G30" s="10"/>
      <c r="H30" s="74">
        <v>157000</v>
      </c>
      <c r="I30" s="74">
        <v>153000</v>
      </c>
      <c r="J30" s="74">
        <v>153000</v>
      </c>
      <c r="K30" s="30">
        <f>D30</f>
        <v>158000</v>
      </c>
      <c r="L30" s="74">
        <v>163000</v>
      </c>
      <c r="M30" s="74">
        <v>170000</v>
      </c>
      <c r="N30" s="74">
        <v>176000</v>
      </c>
      <c r="O30" s="30">
        <f>E30</f>
        <v>180000</v>
      </c>
      <c r="P30" s="74">
        <v>194000</v>
      </c>
      <c r="Q30" s="74">
        <v>201000</v>
      </c>
      <c r="R30" s="74">
        <v>210000</v>
      </c>
      <c r="S30" s="30">
        <f>F30</f>
        <v>222000</v>
      </c>
      <c r="T30" s="74">
        <v>251000</v>
      </c>
      <c r="U30" s="5"/>
      <c r="V30" s="30">
        <f t="shared" ref="V30:AD31" si="74">K30</f>
        <v>158000</v>
      </c>
      <c r="W30" s="30">
        <f t="shared" si="74"/>
        <v>163000</v>
      </c>
      <c r="X30" s="30">
        <f t="shared" si="74"/>
        <v>170000</v>
      </c>
      <c r="Y30" s="30">
        <f t="shared" si="74"/>
        <v>176000</v>
      </c>
      <c r="Z30" s="30">
        <f t="shared" si="74"/>
        <v>180000</v>
      </c>
      <c r="AA30" s="30">
        <f t="shared" si="74"/>
        <v>194000</v>
      </c>
      <c r="AB30" s="30">
        <f t="shared" si="74"/>
        <v>201000</v>
      </c>
      <c r="AC30" s="30">
        <f t="shared" si="74"/>
        <v>210000</v>
      </c>
      <c r="AD30" s="30">
        <f t="shared" si="74"/>
        <v>222000</v>
      </c>
      <c r="AE30" s="30">
        <f>T30</f>
        <v>251000</v>
      </c>
    </row>
    <row r="31" spans="1:31" ht="12.75" customHeight="1">
      <c r="A31" s="73"/>
      <c r="B31" s="9" t="s">
        <v>174</v>
      </c>
      <c r="C31" s="74">
        <v>83000</v>
      </c>
      <c r="D31" s="74">
        <v>96000</v>
      </c>
      <c r="E31" s="74">
        <v>123000</v>
      </c>
      <c r="F31" s="74">
        <v>155000</v>
      </c>
      <c r="G31" s="10"/>
      <c r="H31" s="74">
        <v>88000</v>
      </c>
      <c r="I31" s="74">
        <v>90000</v>
      </c>
      <c r="J31" s="74">
        <v>92000</v>
      </c>
      <c r="K31" s="30">
        <f>D31</f>
        <v>96000</v>
      </c>
      <c r="L31" s="74">
        <v>103000</v>
      </c>
      <c r="M31" s="74">
        <v>109000</v>
      </c>
      <c r="N31" s="74">
        <v>117000</v>
      </c>
      <c r="O31" s="30">
        <f>E31</f>
        <v>123000</v>
      </c>
      <c r="P31" s="74">
        <v>129000</v>
      </c>
      <c r="Q31" s="74">
        <v>136000</v>
      </c>
      <c r="R31" s="74">
        <v>148000</v>
      </c>
      <c r="S31" s="30">
        <f>F31</f>
        <v>155000</v>
      </c>
      <c r="T31" s="74">
        <v>168000</v>
      </c>
      <c r="U31" s="5"/>
      <c r="V31" s="30">
        <f t="shared" si="74"/>
        <v>96000</v>
      </c>
      <c r="W31" s="30">
        <f t="shared" si="74"/>
        <v>103000</v>
      </c>
      <c r="X31" s="30">
        <f t="shared" si="74"/>
        <v>109000</v>
      </c>
      <c r="Y31" s="30">
        <f t="shared" si="74"/>
        <v>117000</v>
      </c>
      <c r="Z31" s="30">
        <f t="shared" si="74"/>
        <v>123000</v>
      </c>
      <c r="AA31" s="30">
        <f t="shared" si="74"/>
        <v>129000</v>
      </c>
      <c r="AB31" s="30">
        <f t="shared" si="74"/>
        <v>136000</v>
      </c>
      <c r="AC31" s="30">
        <f t="shared" si="74"/>
        <v>148000</v>
      </c>
      <c r="AD31" s="30">
        <f t="shared" si="74"/>
        <v>155000</v>
      </c>
      <c r="AE31" s="30">
        <f>T31</f>
        <v>168000</v>
      </c>
    </row>
    <row r="32" spans="1:31">
      <c r="B32" s="12" t="s">
        <v>175</v>
      </c>
      <c r="C32" s="158">
        <f>SUM(C30:C31)</f>
        <v>235000</v>
      </c>
      <c r="D32" s="158">
        <f t="shared" ref="D32:F32" si="75">SUM(D30:D31)</f>
        <v>254000</v>
      </c>
      <c r="E32" s="158">
        <f t="shared" si="75"/>
        <v>303000</v>
      </c>
      <c r="F32" s="158">
        <f t="shared" si="75"/>
        <v>377000</v>
      </c>
      <c r="G32" s="11"/>
      <c r="H32" s="158">
        <f t="shared" ref="H32" si="76">SUM(H30:H31)</f>
        <v>245000</v>
      </c>
      <c r="I32" s="158">
        <f t="shared" ref="I32" si="77">SUM(I30:I31)</f>
        <v>243000</v>
      </c>
      <c r="J32" s="158">
        <f t="shared" ref="J32" si="78">SUM(J30:J31)</f>
        <v>245000</v>
      </c>
      <c r="K32" s="158">
        <f t="shared" ref="K32" si="79">SUM(K30:K31)</f>
        <v>254000</v>
      </c>
      <c r="L32" s="158">
        <f t="shared" ref="L32" si="80">SUM(L30:L31)</f>
        <v>266000</v>
      </c>
      <c r="M32" s="158">
        <f t="shared" ref="M32" si="81">SUM(M30:M31)</f>
        <v>279000</v>
      </c>
      <c r="N32" s="158">
        <f t="shared" ref="N32" si="82">SUM(N30:N31)</f>
        <v>293000</v>
      </c>
      <c r="O32" s="158">
        <f t="shared" ref="O32" si="83">SUM(O30:O31)</f>
        <v>303000</v>
      </c>
      <c r="P32" s="158">
        <f t="shared" ref="P32" si="84">SUM(P30:P31)</f>
        <v>323000</v>
      </c>
      <c r="Q32" s="158">
        <f t="shared" ref="Q32" si="85">SUM(Q30:Q31)</f>
        <v>337000</v>
      </c>
      <c r="R32" s="158">
        <f t="shared" ref="R32" si="86">SUM(R30:R31)</f>
        <v>358000</v>
      </c>
      <c r="S32" s="158">
        <f t="shared" ref="S32" si="87">SUM(S30:S31)</f>
        <v>377000</v>
      </c>
      <c r="T32" s="158">
        <f t="shared" ref="T32" si="88">SUM(T30:T31)</f>
        <v>419000</v>
      </c>
      <c r="U32" s="5"/>
      <c r="V32" s="158">
        <f t="shared" ref="V32" si="89">SUM(V30:V31)</f>
        <v>254000</v>
      </c>
      <c r="W32" s="158">
        <f t="shared" ref="W32" si="90">SUM(W30:W31)</f>
        <v>266000</v>
      </c>
      <c r="X32" s="158">
        <f t="shared" ref="X32" si="91">SUM(X30:X31)</f>
        <v>279000</v>
      </c>
      <c r="Y32" s="158">
        <f t="shared" ref="Y32" si="92">SUM(Y30:Y31)</f>
        <v>293000</v>
      </c>
      <c r="Z32" s="158">
        <f t="shared" ref="Z32" si="93">SUM(Z30:Z31)</f>
        <v>303000</v>
      </c>
      <c r="AA32" s="158">
        <f t="shared" ref="AA32" si="94">SUM(AA30:AA31)</f>
        <v>323000</v>
      </c>
      <c r="AB32" s="158">
        <f t="shared" ref="AB32" si="95">SUM(AB30:AB31)</f>
        <v>337000</v>
      </c>
      <c r="AC32" s="158">
        <f t="shared" ref="AC32" si="96">SUM(AC30:AC31)</f>
        <v>358000</v>
      </c>
      <c r="AD32" s="158">
        <f t="shared" ref="AD32" si="97">SUM(AD30:AD31)</f>
        <v>377000</v>
      </c>
      <c r="AE32" s="158">
        <f t="shared" ref="AE32" si="98">SUM(AE30:AE31)</f>
        <v>419000</v>
      </c>
    </row>
    <row r="33" spans="1:31">
      <c r="B33" s="14" t="s">
        <v>26</v>
      </c>
      <c r="C33" s="98"/>
      <c r="D33" s="15">
        <f>SUM(D32/C32)-1</f>
        <v>8.085106382978724E-2</v>
      </c>
      <c r="E33" s="15">
        <f t="shared" ref="E33" si="99">SUM(E32/D32)-1</f>
        <v>0.19291338582677175</v>
      </c>
      <c r="F33" s="15">
        <f t="shared" ref="F33" si="100">SUM(F32/E32)-1</f>
        <v>0.24422442244224429</v>
      </c>
      <c r="H33" s="98"/>
      <c r="I33" s="98"/>
      <c r="J33" s="98"/>
      <c r="K33" s="98"/>
      <c r="L33" s="15">
        <f t="shared" ref="L33" si="101">SUM(L32/H32)-1</f>
        <v>8.5714285714285632E-2</v>
      </c>
      <c r="M33" s="15">
        <f t="shared" ref="M33" si="102">SUM(M32/I32)-1</f>
        <v>0.14814814814814814</v>
      </c>
      <c r="N33" s="15">
        <f t="shared" ref="N33" si="103">SUM(N32/J32)-1</f>
        <v>0.19591836734693868</v>
      </c>
      <c r="O33" s="15">
        <f t="shared" ref="O33" si="104">SUM(O32/K32)-1</f>
        <v>0.19291338582677175</v>
      </c>
      <c r="P33" s="15">
        <f t="shared" ref="P33" si="105">SUM(P32/L32)-1</f>
        <v>0.21428571428571419</v>
      </c>
      <c r="Q33" s="15">
        <f t="shared" ref="Q33" si="106">SUM(Q32/M32)-1</f>
        <v>0.20788530465949817</v>
      </c>
      <c r="R33" s="15">
        <f t="shared" ref="R33" si="107">SUM(R32/N32)-1</f>
        <v>0.22184300341296925</v>
      </c>
      <c r="S33" s="15">
        <f t="shared" ref="S33" si="108">SUM(S32/O32)-1</f>
        <v>0.24422442244224429</v>
      </c>
      <c r="T33" s="15">
        <f t="shared" ref="T33" si="109">SUM(T32/P32)-1</f>
        <v>0.29721362229102177</v>
      </c>
      <c r="V33" s="15">
        <f t="shared" ref="V33" si="110">K33</f>
        <v>0</v>
      </c>
      <c r="W33" s="15">
        <f t="shared" ref="W33" si="111">L33</f>
        <v>8.5714285714285632E-2</v>
      </c>
      <c r="X33" s="15">
        <f t="shared" ref="X33" si="112">M33</f>
        <v>0.14814814814814814</v>
      </c>
      <c r="Y33" s="15">
        <f t="shared" ref="Y33" si="113">N33</f>
        <v>0.19591836734693868</v>
      </c>
      <c r="Z33" s="15">
        <f t="shared" ref="Z33" si="114">O33</f>
        <v>0.19291338582677175</v>
      </c>
      <c r="AA33" s="15">
        <f t="shared" ref="AA33" si="115">P33</f>
        <v>0.21428571428571419</v>
      </c>
      <c r="AB33" s="15">
        <f t="shared" ref="AB33" si="116">Q33</f>
        <v>0.20788530465949817</v>
      </c>
      <c r="AC33" s="15">
        <f t="shared" ref="AC33" si="117">R33</f>
        <v>0.22184300341296925</v>
      </c>
      <c r="AD33" s="15">
        <f t="shared" ref="AD33" si="118">S33</f>
        <v>0.24422442244224429</v>
      </c>
      <c r="AE33" s="15">
        <f>T33</f>
        <v>0.29721362229102177</v>
      </c>
    </row>
    <row r="34" spans="1:31">
      <c r="B34" s="14" t="s">
        <v>27</v>
      </c>
      <c r="C34" s="15" t="s">
        <v>28</v>
      </c>
      <c r="D34" s="15" t="s">
        <v>28</v>
      </c>
      <c r="E34" s="15" t="s">
        <v>28</v>
      </c>
      <c r="F34" s="15" t="s">
        <v>28</v>
      </c>
      <c r="H34" s="98"/>
      <c r="I34" s="15">
        <f>SUM(I32/H32)-1</f>
        <v>-8.1632653061224358E-3</v>
      </c>
      <c r="J34" s="15">
        <f>SUM(J32/I32)-1</f>
        <v>8.2304526748970819E-3</v>
      </c>
      <c r="K34" s="15">
        <f>SUM(K32/J32)-1</f>
        <v>3.6734693877551017E-2</v>
      </c>
      <c r="L34" s="15">
        <f>SUM(L32/K32)-1</f>
        <v>4.7244094488188892E-2</v>
      </c>
      <c r="M34" s="15">
        <f t="shared" ref="M34" si="119">SUM(M32/L32)-1</f>
        <v>4.8872180451127845E-2</v>
      </c>
      <c r="N34" s="15">
        <f t="shared" ref="N34" si="120">SUM(N32/M32)-1</f>
        <v>5.017921146953408E-2</v>
      </c>
      <c r="O34" s="15">
        <f t="shared" ref="O34" si="121">SUM(O32/N32)-1</f>
        <v>3.4129692832764569E-2</v>
      </c>
      <c r="P34" s="15">
        <f t="shared" ref="P34" si="122">SUM(P32/O32)-1</f>
        <v>6.6006600660065917E-2</v>
      </c>
      <c r="Q34" s="15">
        <f t="shared" ref="Q34" si="123">SUM(Q32/P32)-1</f>
        <v>4.334365325077405E-2</v>
      </c>
      <c r="R34" s="15">
        <f t="shared" ref="R34" si="124">SUM(R32/Q32)-1</f>
        <v>6.2314540059347223E-2</v>
      </c>
      <c r="S34" s="15">
        <f t="shared" ref="S34" si="125">SUM(S32/R32)-1</f>
        <v>5.307262569832405E-2</v>
      </c>
      <c r="T34" s="15">
        <f t="shared" ref="T34" si="126">SUM(T32/S32)-1</f>
        <v>0.1114058355437666</v>
      </c>
      <c r="V34" s="15" t="s">
        <v>28</v>
      </c>
      <c r="W34" s="15" t="s">
        <v>28</v>
      </c>
      <c r="X34" s="15" t="s">
        <v>28</v>
      </c>
      <c r="Y34" s="15" t="s">
        <v>28</v>
      </c>
      <c r="Z34" s="15" t="s">
        <v>28</v>
      </c>
      <c r="AA34" s="15" t="s">
        <v>28</v>
      </c>
      <c r="AB34" s="15" t="s">
        <v>28</v>
      </c>
      <c r="AC34" s="15" t="s">
        <v>28</v>
      </c>
      <c r="AD34" s="15" t="s">
        <v>28</v>
      </c>
      <c r="AE34" s="15" t="s">
        <v>28</v>
      </c>
    </row>
    <row r="36" spans="1:31" ht="12.75" customHeight="1">
      <c r="A36" s="73" t="s">
        <v>18</v>
      </c>
      <c r="B36" s="71" t="s">
        <v>178</v>
      </c>
      <c r="C36" s="10"/>
      <c r="D36" s="10"/>
      <c r="E36" s="10"/>
      <c r="F36" s="10"/>
      <c r="G36" s="10"/>
      <c r="H36" s="80"/>
      <c r="I36" s="80"/>
      <c r="J36" s="80"/>
      <c r="K36" s="30"/>
      <c r="L36" s="80"/>
      <c r="M36" s="80"/>
      <c r="N36" s="80"/>
      <c r="O36" s="30"/>
      <c r="P36" s="80"/>
      <c r="Q36" s="80"/>
      <c r="R36" s="80"/>
      <c r="S36" s="80"/>
      <c r="T36" s="80"/>
      <c r="U36" s="5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 spans="1:31" ht="12.75" customHeight="1">
      <c r="A37" s="73"/>
      <c r="B37" s="9" t="s">
        <v>177</v>
      </c>
      <c r="C37" s="105">
        <f>C42*C25</f>
        <v>7100.6100000000006</v>
      </c>
      <c r="D37" s="105">
        <f t="shared" ref="D37:T37" si="127">D42*D25</f>
        <v>7500</v>
      </c>
      <c r="E37" s="105">
        <f t="shared" si="127"/>
        <v>10200</v>
      </c>
      <c r="F37" s="105">
        <f t="shared" si="127"/>
        <v>15799.999999999998</v>
      </c>
      <c r="G37" s="10"/>
      <c r="H37" s="105">
        <f t="shared" si="127"/>
        <v>2018.94</v>
      </c>
      <c r="I37" s="105">
        <f t="shared" si="127"/>
        <v>2093.46</v>
      </c>
      <c r="J37" s="105">
        <f t="shared" si="127"/>
        <v>1716.43</v>
      </c>
      <c r="K37" s="105">
        <f t="shared" si="127"/>
        <v>1671.17</v>
      </c>
      <c r="L37" s="105">
        <f t="shared" si="127"/>
        <v>2576</v>
      </c>
      <c r="M37" s="105">
        <f t="shared" si="127"/>
        <v>3100</v>
      </c>
      <c r="N37" s="105">
        <f t="shared" si="127"/>
        <v>2100</v>
      </c>
      <c r="O37" s="105">
        <f t="shared" si="127"/>
        <v>2424</v>
      </c>
      <c r="P37" s="105">
        <f t="shared" si="127"/>
        <v>2800</v>
      </c>
      <c r="Q37" s="105">
        <f t="shared" si="127"/>
        <v>4600</v>
      </c>
      <c r="R37" s="105">
        <f t="shared" si="127"/>
        <v>3600</v>
      </c>
      <c r="S37" s="105">
        <f t="shared" si="127"/>
        <v>4800</v>
      </c>
      <c r="T37" s="105">
        <f t="shared" si="127"/>
        <v>4930</v>
      </c>
      <c r="U37" s="5"/>
      <c r="V37" s="30">
        <f t="shared" ref="V37:AD37" si="128">SUM(H37:K37)</f>
        <v>7500</v>
      </c>
      <c r="W37" s="30">
        <f t="shared" si="128"/>
        <v>8057.06</v>
      </c>
      <c r="X37" s="30">
        <f t="shared" si="128"/>
        <v>9063.6</v>
      </c>
      <c r="Y37" s="30">
        <f t="shared" si="128"/>
        <v>9447.17</v>
      </c>
      <c r="Z37" s="30">
        <f t="shared" si="128"/>
        <v>10200</v>
      </c>
      <c r="AA37" s="30">
        <f t="shared" si="128"/>
        <v>10424</v>
      </c>
      <c r="AB37" s="30">
        <f t="shared" si="128"/>
        <v>11924</v>
      </c>
      <c r="AC37" s="30">
        <f t="shared" si="128"/>
        <v>13424</v>
      </c>
      <c r="AD37" s="30">
        <f t="shared" si="128"/>
        <v>15800</v>
      </c>
      <c r="AE37" s="30">
        <f>SUM(Q37:T37)</f>
        <v>17930</v>
      </c>
    </row>
    <row r="38" spans="1:31">
      <c r="B38" s="12" t="s">
        <v>175</v>
      </c>
      <c r="C38" s="158">
        <f>C37</f>
        <v>7100.6100000000006</v>
      </c>
      <c r="D38" s="158">
        <f t="shared" ref="D38:F38" si="129">D37</f>
        <v>7500</v>
      </c>
      <c r="E38" s="158">
        <f t="shared" si="129"/>
        <v>10200</v>
      </c>
      <c r="F38" s="158">
        <f t="shared" si="129"/>
        <v>15799.999999999998</v>
      </c>
      <c r="G38" s="11"/>
      <c r="H38" s="158">
        <f t="shared" ref="H38" si="130">H37</f>
        <v>2018.94</v>
      </c>
      <c r="I38" s="158">
        <f t="shared" ref="I38" si="131">I37</f>
        <v>2093.46</v>
      </c>
      <c r="J38" s="158">
        <f t="shared" ref="J38" si="132">J37</f>
        <v>1716.43</v>
      </c>
      <c r="K38" s="158">
        <f t="shared" ref="K38" si="133">K37</f>
        <v>1671.17</v>
      </c>
      <c r="L38" s="158">
        <f t="shared" ref="L38" si="134">L37</f>
        <v>2576</v>
      </c>
      <c r="M38" s="158">
        <f t="shared" ref="M38" si="135">M37</f>
        <v>3100</v>
      </c>
      <c r="N38" s="158">
        <f t="shared" ref="N38" si="136">N37</f>
        <v>2100</v>
      </c>
      <c r="O38" s="158">
        <f t="shared" ref="O38" si="137">O37</f>
        <v>2424</v>
      </c>
      <c r="P38" s="158">
        <f t="shared" ref="P38" si="138">P37</f>
        <v>2800</v>
      </c>
      <c r="Q38" s="158">
        <f t="shared" ref="Q38" si="139">Q37</f>
        <v>4600</v>
      </c>
      <c r="R38" s="158">
        <f t="shared" ref="R38" si="140">R37</f>
        <v>3600</v>
      </c>
      <c r="S38" s="158">
        <f t="shared" ref="S38" si="141">S37</f>
        <v>4800</v>
      </c>
      <c r="T38" s="158">
        <f t="shared" ref="T38" si="142">T37</f>
        <v>4930</v>
      </c>
      <c r="U38" s="5"/>
      <c r="V38" s="158">
        <f t="shared" ref="V38" si="143">V37</f>
        <v>7500</v>
      </c>
      <c r="W38" s="158">
        <f t="shared" ref="W38" si="144">W37</f>
        <v>8057.06</v>
      </c>
      <c r="X38" s="158">
        <f t="shared" ref="X38" si="145">X37</f>
        <v>9063.6</v>
      </c>
      <c r="Y38" s="158">
        <f t="shared" ref="Y38" si="146">Y37</f>
        <v>9447.17</v>
      </c>
      <c r="Z38" s="158">
        <f t="shared" ref="Z38" si="147">Z37</f>
        <v>10200</v>
      </c>
      <c r="AA38" s="158">
        <f t="shared" ref="AA38" si="148">AA37</f>
        <v>10424</v>
      </c>
      <c r="AB38" s="158">
        <f t="shared" ref="AB38" si="149">AB37</f>
        <v>11924</v>
      </c>
      <c r="AC38" s="158">
        <f t="shared" ref="AC38" si="150">AC37</f>
        <v>13424</v>
      </c>
      <c r="AD38" s="158">
        <f t="shared" ref="AD38" si="151">AD37</f>
        <v>15800</v>
      </c>
      <c r="AE38" s="158">
        <f t="shared" ref="AE38" si="152">AE37</f>
        <v>17930</v>
      </c>
    </row>
    <row r="39" spans="1:31">
      <c r="B39" s="14" t="s">
        <v>26</v>
      </c>
      <c r="C39" s="98"/>
      <c r="D39" s="15">
        <f>SUM(D38/C38)-1</f>
        <v>5.6247280163253421E-2</v>
      </c>
      <c r="E39" s="15">
        <f t="shared" ref="E39:F39" si="153">SUM(E38/D38)-1</f>
        <v>0.3600000000000001</v>
      </c>
      <c r="F39" s="15">
        <f t="shared" si="153"/>
        <v>0.54901960784313708</v>
      </c>
      <c r="H39" s="98"/>
      <c r="I39" s="98"/>
      <c r="J39" s="98"/>
      <c r="K39" s="98"/>
      <c r="L39" s="15">
        <f t="shared" ref="L39:T39" si="154">SUM(L38/H38)-1</f>
        <v>0.27591706539074967</v>
      </c>
      <c r="M39" s="15">
        <f t="shared" si="154"/>
        <v>0.48080211706934928</v>
      </c>
      <c r="N39" s="15">
        <f t="shared" si="154"/>
        <v>0.22346964338772923</v>
      </c>
      <c r="O39" s="15">
        <f t="shared" si="154"/>
        <v>0.45048080087603282</v>
      </c>
      <c r="P39" s="15">
        <f t="shared" si="154"/>
        <v>8.6956521739130377E-2</v>
      </c>
      <c r="Q39" s="15">
        <f t="shared" si="154"/>
        <v>0.4838709677419355</v>
      </c>
      <c r="R39" s="15">
        <f t="shared" si="154"/>
        <v>0.71428571428571419</v>
      </c>
      <c r="S39" s="15">
        <f t="shared" si="154"/>
        <v>0.98019801980198018</v>
      </c>
      <c r="T39" s="15">
        <f t="shared" si="154"/>
        <v>0.76071428571428568</v>
      </c>
      <c r="V39" s="15">
        <f t="shared" ref="V39:AD39" si="155">K39</f>
        <v>0</v>
      </c>
      <c r="W39" s="15">
        <f t="shared" si="155"/>
        <v>0.27591706539074967</v>
      </c>
      <c r="X39" s="15">
        <f t="shared" si="155"/>
        <v>0.48080211706934928</v>
      </c>
      <c r="Y39" s="15">
        <f t="shared" si="155"/>
        <v>0.22346964338772923</v>
      </c>
      <c r="Z39" s="15">
        <f t="shared" si="155"/>
        <v>0.45048080087603282</v>
      </c>
      <c r="AA39" s="15">
        <f t="shared" si="155"/>
        <v>8.6956521739130377E-2</v>
      </c>
      <c r="AB39" s="15">
        <f t="shared" si="155"/>
        <v>0.4838709677419355</v>
      </c>
      <c r="AC39" s="15">
        <f t="shared" si="155"/>
        <v>0.71428571428571419</v>
      </c>
      <c r="AD39" s="15">
        <f t="shared" si="155"/>
        <v>0.98019801980198018</v>
      </c>
      <c r="AE39" s="15">
        <f>T39</f>
        <v>0.76071428571428568</v>
      </c>
    </row>
    <row r="40" spans="1:31">
      <c r="B40" s="14" t="s">
        <v>27</v>
      </c>
      <c r="C40" s="15" t="s">
        <v>28</v>
      </c>
      <c r="D40" s="15" t="s">
        <v>28</v>
      </c>
      <c r="E40" s="15" t="s">
        <v>28</v>
      </c>
      <c r="F40" s="15" t="s">
        <v>28</v>
      </c>
      <c r="H40" s="98"/>
      <c r="I40" s="15">
        <f>SUM(I38/H38)-1</f>
        <v>3.6910457963089449E-2</v>
      </c>
      <c r="J40" s="15">
        <f>SUM(J38/I38)-1</f>
        <v>-0.18009897490279247</v>
      </c>
      <c r="K40" s="15">
        <f>SUM(K38/J38)-1</f>
        <v>-2.6368683837965978E-2</v>
      </c>
      <c r="L40" s="15">
        <f>SUM(L38/K38)-1</f>
        <v>0.54143504251512398</v>
      </c>
      <c r="M40" s="15">
        <f t="shared" ref="M40:T40" si="156">SUM(M38/L38)-1</f>
        <v>0.20341614906832306</v>
      </c>
      <c r="N40" s="15">
        <f t="shared" si="156"/>
        <v>-0.32258064516129037</v>
      </c>
      <c r="O40" s="15">
        <f t="shared" si="156"/>
        <v>0.15428571428571436</v>
      </c>
      <c r="P40" s="15">
        <f t="shared" si="156"/>
        <v>0.15511551155115511</v>
      </c>
      <c r="Q40" s="15">
        <f t="shared" si="156"/>
        <v>0.64285714285714279</v>
      </c>
      <c r="R40" s="15">
        <f t="shared" si="156"/>
        <v>-0.21739130434782605</v>
      </c>
      <c r="S40" s="15">
        <f t="shared" si="156"/>
        <v>0.33333333333333326</v>
      </c>
      <c r="T40" s="15">
        <f t="shared" si="156"/>
        <v>2.7083333333333348E-2</v>
      </c>
      <c r="V40" s="15" t="s">
        <v>28</v>
      </c>
      <c r="W40" s="15" t="s">
        <v>28</v>
      </c>
      <c r="X40" s="15" t="s">
        <v>28</v>
      </c>
      <c r="Y40" s="15" t="s">
        <v>28</v>
      </c>
      <c r="Z40" s="15" t="s">
        <v>28</v>
      </c>
      <c r="AA40" s="15" t="s">
        <v>28</v>
      </c>
      <c r="AB40" s="15" t="s">
        <v>28</v>
      </c>
      <c r="AC40" s="15" t="s">
        <v>28</v>
      </c>
      <c r="AD40" s="15" t="s">
        <v>28</v>
      </c>
      <c r="AE40" s="15" t="s">
        <v>28</v>
      </c>
    </row>
    <row r="41" spans="1:31" ht="5.0999999999999996" customHeight="1"/>
    <row r="42" spans="1:31">
      <c r="B42" s="163" t="s">
        <v>176</v>
      </c>
      <c r="C42" s="160">
        <v>0.45860685913582644</v>
      </c>
      <c r="D42" s="160">
        <v>0.37154463489547213</v>
      </c>
      <c r="E42" s="160">
        <v>0.38345864661654133</v>
      </c>
      <c r="F42" s="160">
        <v>0.4305177111716621</v>
      </c>
      <c r="G42" s="159"/>
      <c r="H42" s="160">
        <v>0.46</v>
      </c>
      <c r="I42" s="160">
        <v>0.37</v>
      </c>
      <c r="J42" s="160">
        <v>0.37</v>
      </c>
      <c r="K42" s="160">
        <v>0.3038490909090909</v>
      </c>
      <c r="L42" s="160">
        <v>0.46</v>
      </c>
      <c r="M42" s="160">
        <v>0.41333333333333333</v>
      </c>
      <c r="N42" s="160">
        <v>0.33333333333333331</v>
      </c>
      <c r="O42" s="160">
        <v>0.33666666666666667</v>
      </c>
      <c r="P42" s="160">
        <v>0.36842105263157893</v>
      </c>
      <c r="Q42" s="160">
        <v>0.45544554455445546</v>
      </c>
      <c r="R42" s="160">
        <v>0.41860465116279072</v>
      </c>
      <c r="S42" s="160">
        <v>0.46153846153846156</v>
      </c>
      <c r="T42" s="160">
        <v>0.45826361777282021</v>
      </c>
      <c r="U42" s="159"/>
      <c r="V42" s="161">
        <f t="shared" ref="V42:AD42" si="157">K42</f>
        <v>0.3038490909090909</v>
      </c>
      <c r="W42" s="161">
        <f t="shared" si="157"/>
        <v>0.46</v>
      </c>
      <c r="X42" s="161">
        <f t="shared" si="157"/>
        <v>0.41333333333333333</v>
      </c>
      <c r="Y42" s="161">
        <f t="shared" si="157"/>
        <v>0.33333333333333331</v>
      </c>
      <c r="Z42" s="161">
        <f t="shared" si="157"/>
        <v>0.33666666666666667</v>
      </c>
      <c r="AA42" s="161">
        <f t="shared" si="157"/>
        <v>0.36842105263157893</v>
      </c>
      <c r="AB42" s="161">
        <f t="shared" si="157"/>
        <v>0.45544554455445546</v>
      </c>
      <c r="AC42" s="161">
        <f t="shared" si="157"/>
        <v>0.41860465116279072</v>
      </c>
      <c r="AD42" s="161">
        <f t="shared" si="157"/>
        <v>0.46153846153846156</v>
      </c>
      <c r="AE42" s="162">
        <f>T42</f>
        <v>0.45826361777282021</v>
      </c>
    </row>
    <row r="44" spans="1:31" ht="12.75" customHeight="1">
      <c r="A44" s="73" t="s">
        <v>18</v>
      </c>
      <c r="B44" s="71" t="s">
        <v>179</v>
      </c>
      <c r="C44" s="10"/>
      <c r="D44" s="10"/>
      <c r="E44" s="10"/>
      <c r="F44" s="10"/>
      <c r="G44" s="10"/>
      <c r="H44" s="80"/>
      <c r="I44" s="80"/>
      <c r="J44" s="80"/>
      <c r="K44" s="30"/>
      <c r="L44" s="80"/>
      <c r="M44" s="80"/>
      <c r="N44" s="80"/>
      <c r="O44" s="30"/>
      <c r="P44" s="80"/>
      <c r="Q44" s="80"/>
      <c r="R44" s="80"/>
      <c r="S44" s="80"/>
      <c r="T44" s="80"/>
      <c r="U44" s="5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 spans="1:31" ht="12.75" customHeight="1">
      <c r="A45" s="73"/>
      <c r="B45" s="9" t="s">
        <v>179</v>
      </c>
      <c r="C45" s="74"/>
      <c r="D45" s="74"/>
      <c r="E45" s="74"/>
      <c r="F45" s="74"/>
      <c r="G45" s="10"/>
      <c r="H45" s="74"/>
      <c r="I45" s="74"/>
      <c r="J45" s="74"/>
      <c r="K45" s="30"/>
      <c r="L45" s="74"/>
      <c r="M45" s="74"/>
      <c r="N45" s="74"/>
      <c r="O45" s="30"/>
      <c r="P45" s="74"/>
      <c r="Q45" s="74"/>
      <c r="R45" s="74"/>
      <c r="S45" s="30"/>
      <c r="T45" s="74"/>
      <c r="U45" s="5"/>
      <c r="V45" s="30">
        <f t="shared" ref="V45" si="158">K45</f>
        <v>0</v>
      </c>
      <c r="W45" s="30">
        <f t="shared" ref="W45" si="159">L45</f>
        <v>0</v>
      </c>
      <c r="X45" s="30">
        <f t="shared" ref="X45" si="160">M45</f>
        <v>0</v>
      </c>
      <c r="Y45" s="30">
        <f t="shared" ref="Y45" si="161">N45</f>
        <v>0</v>
      </c>
      <c r="Z45" s="30">
        <f t="shared" ref="Z45" si="162">O45</f>
        <v>0</v>
      </c>
      <c r="AA45" s="30">
        <f t="shared" ref="AA45" si="163">P45</f>
        <v>0</v>
      </c>
      <c r="AB45" s="30">
        <f t="shared" ref="AB45" si="164">Q45</f>
        <v>0</v>
      </c>
      <c r="AC45" s="30">
        <f t="shared" ref="AC45" si="165">R45</f>
        <v>0</v>
      </c>
      <c r="AD45" s="30">
        <f t="shared" ref="AD45" si="166">S45</f>
        <v>0</v>
      </c>
      <c r="AE45" s="30">
        <f>T45</f>
        <v>0</v>
      </c>
    </row>
    <row r="46" spans="1:31">
      <c r="B46" s="12" t="s">
        <v>179</v>
      </c>
      <c r="C46" s="158">
        <f>SUM(C45:C45)</f>
        <v>0</v>
      </c>
      <c r="D46" s="158">
        <f>SUM(D45:D45)</f>
        <v>0</v>
      </c>
      <c r="E46" s="158">
        <f>SUM(E45:E45)</f>
        <v>0</v>
      </c>
      <c r="F46" s="158">
        <f>SUM(F45:F45)</f>
        <v>0</v>
      </c>
      <c r="G46" s="11"/>
      <c r="H46" s="158">
        <f>SUM(H45:H45)</f>
        <v>0</v>
      </c>
      <c r="I46" s="158">
        <f>SUM(I45:I45)</f>
        <v>0</v>
      </c>
      <c r="J46" s="158">
        <f>SUM(J45:J45)</f>
        <v>0</v>
      </c>
      <c r="K46" s="158">
        <f>SUM(K45:K45)</f>
        <v>0</v>
      </c>
      <c r="L46" s="158">
        <f>SUM(L45:L45)</f>
        <v>0</v>
      </c>
      <c r="M46" s="158">
        <f>SUM(M45:M45)</f>
        <v>0</v>
      </c>
      <c r="N46" s="158">
        <f>SUM(N45:N45)</f>
        <v>0</v>
      </c>
      <c r="O46" s="158">
        <f>SUM(O45:O45)</f>
        <v>0</v>
      </c>
      <c r="P46" s="158">
        <f>SUM(P45:P45)</f>
        <v>0</v>
      </c>
      <c r="Q46" s="158">
        <f>SUM(Q45:Q45)</f>
        <v>0</v>
      </c>
      <c r="R46" s="158">
        <f>SUM(R45:R45)</f>
        <v>0</v>
      </c>
      <c r="S46" s="158">
        <f>SUM(S45:S45)</f>
        <v>0</v>
      </c>
      <c r="T46" s="158">
        <f>SUM(T45:T45)</f>
        <v>0</v>
      </c>
      <c r="U46" s="5"/>
      <c r="V46" s="158">
        <f>SUM(V45:V45)</f>
        <v>0</v>
      </c>
      <c r="W46" s="158">
        <f>SUM(W45:W45)</f>
        <v>0</v>
      </c>
      <c r="X46" s="158">
        <f>SUM(X45:X45)</f>
        <v>0</v>
      </c>
      <c r="Y46" s="158">
        <f>SUM(Y45:Y45)</f>
        <v>0</v>
      </c>
      <c r="Z46" s="158">
        <f>SUM(Z45:Z45)</f>
        <v>0</v>
      </c>
      <c r="AA46" s="158">
        <f>SUM(AA45:AA45)</f>
        <v>0</v>
      </c>
      <c r="AB46" s="158">
        <f>SUM(AB45:AB45)</f>
        <v>0</v>
      </c>
      <c r="AC46" s="158">
        <f>SUM(AC45:AC45)</f>
        <v>0</v>
      </c>
      <c r="AD46" s="158">
        <f>SUM(AD45:AD45)</f>
        <v>0</v>
      </c>
      <c r="AE46" s="158">
        <f>SUM(AE45:AE45)</f>
        <v>0</v>
      </c>
    </row>
    <row r="47" spans="1:31">
      <c r="B47" s="14" t="s">
        <v>26</v>
      </c>
      <c r="C47" s="98"/>
      <c r="D47" s="15" t="e">
        <f>SUM(D46/C46)-1</f>
        <v>#DIV/0!</v>
      </c>
      <c r="E47" s="15" t="e">
        <f t="shared" ref="E47" si="167">SUM(E46/D46)-1</f>
        <v>#DIV/0!</v>
      </c>
      <c r="F47" s="15" t="e">
        <f t="shared" ref="F47" si="168">SUM(F46/E46)-1</f>
        <v>#DIV/0!</v>
      </c>
      <c r="H47" s="98"/>
      <c r="I47" s="98"/>
      <c r="J47" s="98"/>
      <c r="K47" s="98"/>
      <c r="L47" s="15" t="e">
        <f t="shared" ref="L47" si="169">SUM(L46/H46)-1</f>
        <v>#DIV/0!</v>
      </c>
      <c r="M47" s="15" t="e">
        <f t="shared" ref="M47" si="170">SUM(M46/I46)-1</f>
        <v>#DIV/0!</v>
      </c>
      <c r="N47" s="15" t="e">
        <f t="shared" ref="N47" si="171">SUM(N46/J46)-1</f>
        <v>#DIV/0!</v>
      </c>
      <c r="O47" s="15" t="e">
        <f t="shared" ref="O47" si="172">SUM(O46/K46)-1</f>
        <v>#DIV/0!</v>
      </c>
      <c r="P47" s="15" t="e">
        <f t="shared" ref="P47" si="173">SUM(P46/L46)-1</f>
        <v>#DIV/0!</v>
      </c>
      <c r="Q47" s="15" t="e">
        <f t="shared" ref="Q47" si="174">SUM(Q46/M46)-1</f>
        <v>#DIV/0!</v>
      </c>
      <c r="R47" s="15" t="e">
        <f t="shared" ref="R47" si="175">SUM(R46/N46)-1</f>
        <v>#DIV/0!</v>
      </c>
      <c r="S47" s="15" t="e">
        <f t="shared" ref="S47" si="176">SUM(S46/O46)-1</f>
        <v>#DIV/0!</v>
      </c>
      <c r="T47" s="15" t="e">
        <f t="shared" ref="T47" si="177">SUM(T46/P46)-1</f>
        <v>#DIV/0!</v>
      </c>
      <c r="V47" s="15">
        <f t="shared" ref="V47" si="178">K47</f>
        <v>0</v>
      </c>
      <c r="W47" s="15" t="e">
        <f t="shared" ref="W47" si="179">L47</f>
        <v>#DIV/0!</v>
      </c>
      <c r="X47" s="15" t="e">
        <f t="shared" ref="X47" si="180">M47</f>
        <v>#DIV/0!</v>
      </c>
      <c r="Y47" s="15" t="e">
        <f t="shared" ref="Y47" si="181">N47</f>
        <v>#DIV/0!</v>
      </c>
      <c r="Z47" s="15" t="e">
        <f t="shared" ref="Z47" si="182">O47</f>
        <v>#DIV/0!</v>
      </c>
      <c r="AA47" s="15" t="e">
        <f t="shared" ref="AA47" si="183">P47</f>
        <v>#DIV/0!</v>
      </c>
      <c r="AB47" s="15" t="e">
        <f t="shared" ref="AB47" si="184">Q47</f>
        <v>#DIV/0!</v>
      </c>
      <c r="AC47" s="15" t="e">
        <f t="shared" ref="AC47" si="185">R47</f>
        <v>#DIV/0!</v>
      </c>
      <c r="AD47" s="15" t="e">
        <f t="shared" ref="AD47" si="186">S47</f>
        <v>#DIV/0!</v>
      </c>
      <c r="AE47" s="15" t="e">
        <f>T47</f>
        <v>#DIV/0!</v>
      </c>
    </row>
    <row r="48" spans="1:31">
      <c r="B48" s="14" t="s">
        <v>27</v>
      </c>
      <c r="C48" s="15" t="s">
        <v>28</v>
      </c>
      <c r="D48" s="15" t="s">
        <v>28</v>
      </c>
      <c r="E48" s="15" t="s">
        <v>28</v>
      </c>
      <c r="F48" s="15" t="s">
        <v>28</v>
      </c>
      <c r="H48" s="98"/>
      <c r="I48" s="15" t="e">
        <f>SUM(I46/H46)-1</f>
        <v>#DIV/0!</v>
      </c>
      <c r="J48" s="15" t="e">
        <f>SUM(J46/I46)-1</f>
        <v>#DIV/0!</v>
      </c>
      <c r="K48" s="15" t="e">
        <f>SUM(K46/J46)-1</f>
        <v>#DIV/0!</v>
      </c>
      <c r="L48" s="15" t="e">
        <f>SUM(L46/K46)-1</f>
        <v>#DIV/0!</v>
      </c>
      <c r="M48" s="15" t="e">
        <f t="shared" ref="M48" si="187">SUM(M46/L46)-1</f>
        <v>#DIV/0!</v>
      </c>
      <c r="N48" s="15" t="e">
        <f t="shared" ref="N48" si="188">SUM(N46/M46)-1</f>
        <v>#DIV/0!</v>
      </c>
      <c r="O48" s="15" t="e">
        <f t="shared" ref="O48" si="189">SUM(O46/N46)-1</f>
        <v>#DIV/0!</v>
      </c>
      <c r="P48" s="15" t="e">
        <f t="shared" ref="P48" si="190">SUM(P46/O46)-1</f>
        <v>#DIV/0!</v>
      </c>
      <c r="Q48" s="15" t="e">
        <f t="shared" ref="Q48" si="191">SUM(Q46/P46)-1</f>
        <v>#DIV/0!</v>
      </c>
      <c r="R48" s="15" t="e">
        <f t="shared" ref="R48" si="192">SUM(R46/Q46)-1</f>
        <v>#DIV/0!</v>
      </c>
      <c r="S48" s="15" t="e">
        <f t="shared" ref="S48" si="193">SUM(S46/R46)-1</f>
        <v>#DIV/0!</v>
      </c>
      <c r="T48" s="15" t="e">
        <f t="shared" ref="T48" si="194">SUM(T46/S46)-1</f>
        <v>#DIV/0!</v>
      </c>
      <c r="V48" s="15" t="s">
        <v>28</v>
      </c>
      <c r="W48" s="15" t="s">
        <v>28</v>
      </c>
      <c r="X48" s="15" t="s">
        <v>28</v>
      </c>
      <c r="Y48" s="15" t="s">
        <v>28</v>
      </c>
      <c r="Z48" s="15" t="s">
        <v>28</v>
      </c>
      <c r="AA48" s="15" t="s">
        <v>28</v>
      </c>
      <c r="AB48" s="15" t="s">
        <v>28</v>
      </c>
      <c r="AC48" s="15" t="s">
        <v>28</v>
      </c>
      <c r="AD48" s="15" t="s">
        <v>28</v>
      </c>
      <c r="AE48" s="15" t="s">
        <v>28</v>
      </c>
    </row>
    <row r="50" spans="1:31" ht="12.75" customHeight="1">
      <c r="A50" s="73" t="s">
        <v>18</v>
      </c>
      <c r="B50" s="71" t="s">
        <v>180</v>
      </c>
      <c r="C50" s="10"/>
      <c r="D50" s="10"/>
      <c r="E50" s="10"/>
      <c r="F50" s="10"/>
      <c r="G50" s="10"/>
      <c r="H50" s="80"/>
      <c r="I50" s="80"/>
      <c r="J50" s="80"/>
      <c r="K50" s="30"/>
      <c r="L50" s="80"/>
      <c r="M50" s="80"/>
      <c r="N50" s="80"/>
      <c r="O50" s="30"/>
      <c r="P50" s="80"/>
      <c r="Q50" s="80"/>
      <c r="R50" s="80"/>
      <c r="S50" s="80"/>
      <c r="T50" s="80"/>
      <c r="U50" s="5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 spans="1:31" ht="12.75" customHeight="1">
      <c r="A51" s="73"/>
      <c r="B51" s="9" t="s">
        <v>181</v>
      </c>
      <c r="C51" s="74">
        <v>3899</v>
      </c>
      <c r="D51" s="74">
        <v>2684.65</v>
      </c>
      <c r="E51" s="74">
        <v>3052</v>
      </c>
      <c r="F51" s="74">
        <v>4723</v>
      </c>
      <c r="G51" s="10"/>
      <c r="H51" s="74">
        <v>818</v>
      </c>
      <c r="I51" s="74">
        <v>565.80000000000007</v>
      </c>
      <c r="J51" s="74">
        <v>695.85</v>
      </c>
      <c r="K51" s="30">
        <f t="shared" ref="K51:K53" si="195">SUM(D51-SUM(H51:J51))</f>
        <v>605</v>
      </c>
      <c r="L51" s="74">
        <v>616</v>
      </c>
      <c r="M51" s="74">
        <v>825</v>
      </c>
      <c r="N51" s="74">
        <v>819</v>
      </c>
      <c r="O51" s="30">
        <f t="shared" ref="O51:O53" si="196">SUM(E51-SUM(L51:N51))</f>
        <v>792</v>
      </c>
      <c r="P51" s="74">
        <v>836</v>
      </c>
      <c r="Q51" s="74">
        <v>1313</v>
      </c>
      <c r="R51" s="74">
        <v>1118</v>
      </c>
      <c r="S51" s="30">
        <f t="shared" ref="S51:S54" si="197">SUM(F51-SUM(P51:R51))</f>
        <v>1456</v>
      </c>
      <c r="T51" s="74">
        <v>1398.54</v>
      </c>
      <c r="U51" s="5"/>
      <c r="V51" s="30">
        <f t="shared" ref="V51:V54" si="198">SUM(H51:K51)</f>
        <v>2684.65</v>
      </c>
      <c r="W51" s="30">
        <f t="shared" ref="W51:W54" si="199">SUM(I51:L51)</f>
        <v>2482.65</v>
      </c>
      <c r="X51" s="30">
        <f t="shared" ref="X51:X54" si="200">SUM(J51:M51)</f>
        <v>2741.85</v>
      </c>
      <c r="Y51" s="30">
        <f t="shared" ref="Y51:Y54" si="201">SUM(K51:N51)</f>
        <v>2865</v>
      </c>
      <c r="Z51" s="30">
        <f t="shared" ref="Z51:Z54" si="202">SUM(L51:O51)</f>
        <v>3052</v>
      </c>
      <c r="AA51" s="30">
        <f t="shared" ref="AA51:AA54" si="203">SUM(M51:P51)</f>
        <v>3272</v>
      </c>
      <c r="AB51" s="30">
        <f t="shared" ref="AB51:AB54" si="204">SUM(N51:Q51)</f>
        <v>3760</v>
      </c>
      <c r="AC51" s="30">
        <f t="shared" ref="AC51:AC54" si="205">SUM(O51:R51)</f>
        <v>4059</v>
      </c>
      <c r="AD51" s="30">
        <f t="shared" ref="AD51:AD54" si="206">SUM(P51:S51)</f>
        <v>4723</v>
      </c>
      <c r="AE51" s="30">
        <f>SUM(Q51:T51)</f>
        <v>5285.54</v>
      </c>
    </row>
    <row r="52" spans="1:31" ht="12.75" customHeight="1">
      <c r="A52" s="73"/>
      <c r="B52" s="9" t="s">
        <v>182</v>
      </c>
      <c r="C52" s="74">
        <v>8900</v>
      </c>
      <c r="D52" s="74">
        <v>13747.77</v>
      </c>
      <c r="E52" s="74">
        <v>19555</v>
      </c>
      <c r="F52" s="74">
        <v>26548</v>
      </c>
      <c r="G52" s="10"/>
      <c r="H52" s="74">
        <v>2796</v>
      </c>
      <c r="I52" s="74">
        <v>3790.86</v>
      </c>
      <c r="J52" s="74">
        <v>3200.91</v>
      </c>
      <c r="K52" s="30">
        <f t="shared" si="195"/>
        <v>3960</v>
      </c>
      <c r="L52" s="74">
        <v>4144</v>
      </c>
      <c r="M52" s="74">
        <v>5475</v>
      </c>
      <c r="N52" s="74">
        <v>4536</v>
      </c>
      <c r="O52" s="30">
        <f t="shared" si="196"/>
        <v>5400</v>
      </c>
      <c r="P52" s="74">
        <v>5700</v>
      </c>
      <c r="Q52" s="74">
        <v>7272</v>
      </c>
      <c r="R52" s="74">
        <v>6192</v>
      </c>
      <c r="S52" s="30">
        <f t="shared" si="197"/>
        <v>7384</v>
      </c>
      <c r="T52" s="74">
        <v>7745.7599999999993</v>
      </c>
      <c r="U52" s="5"/>
      <c r="V52" s="30">
        <f t="shared" si="198"/>
        <v>13747.77</v>
      </c>
      <c r="W52" s="30">
        <f t="shared" si="199"/>
        <v>15095.77</v>
      </c>
      <c r="X52" s="30">
        <f t="shared" si="200"/>
        <v>16779.91</v>
      </c>
      <c r="Y52" s="30">
        <f t="shared" si="201"/>
        <v>18115</v>
      </c>
      <c r="Z52" s="30">
        <f t="shared" si="202"/>
        <v>19555</v>
      </c>
      <c r="AA52" s="30">
        <f t="shared" si="203"/>
        <v>21111</v>
      </c>
      <c r="AB52" s="30">
        <f t="shared" si="204"/>
        <v>22908</v>
      </c>
      <c r="AC52" s="30">
        <f t="shared" si="205"/>
        <v>24564</v>
      </c>
      <c r="AD52" s="30">
        <f t="shared" si="206"/>
        <v>26548</v>
      </c>
      <c r="AE52" s="30">
        <f t="shared" ref="AE52:AE53" si="207">SUM(Q52:T52)</f>
        <v>28593.759999999998</v>
      </c>
    </row>
    <row r="53" spans="1:31" ht="12.75" customHeight="1">
      <c r="A53" s="73"/>
      <c r="B53" s="9" t="s">
        <v>183</v>
      </c>
      <c r="C53" s="74">
        <v>2686</v>
      </c>
      <c r="D53" s="74">
        <v>3753.58</v>
      </c>
      <c r="E53" s="74">
        <v>3930.0000000000005</v>
      </c>
      <c r="F53" s="74">
        <v>5429</v>
      </c>
      <c r="G53" s="10"/>
      <c r="H53" s="74">
        <v>775</v>
      </c>
      <c r="I53" s="74">
        <v>1301.3400000000001</v>
      </c>
      <c r="J53" s="74">
        <v>742.24</v>
      </c>
      <c r="K53" s="30">
        <f t="shared" si="195"/>
        <v>935</v>
      </c>
      <c r="L53" s="74">
        <v>840</v>
      </c>
      <c r="M53" s="74">
        <v>1200.0000000000002</v>
      </c>
      <c r="N53" s="74">
        <v>882.00000000000011</v>
      </c>
      <c r="O53" s="30">
        <f t="shared" si="196"/>
        <v>1008</v>
      </c>
      <c r="P53" s="74">
        <v>1064</v>
      </c>
      <c r="Q53" s="74">
        <v>1515</v>
      </c>
      <c r="R53" s="74">
        <v>1290</v>
      </c>
      <c r="S53" s="30">
        <f t="shared" si="197"/>
        <v>1560</v>
      </c>
      <c r="T53" s="74">
        <v>1613.7</v>
      </c>
      <c r="U53" s="5"/>
      <c r="V53" s="30">
        <f t="shared" si="198"/>
        <v>3753.58</v>
      </c>
      <c r="W53" s="30">
        <f t="shared" si="199"/>
        <v>3818.58</v>
      </c>
      <c r="X53" s="30">
        <f t="shared" si="200"/>
        <v>3717.24</v>
      </c>
      <c r="Y53" s="30">
        <f t="shared" si="201"/>
        <v>3857</v>
      </c>
      <c r="Z53" s="30">
        <f t="shared" si="202"/>
        <v>3930.0000000000005</v>
      </c>
      <c r="AA53" s="30">
        <f t="shared" si="203"/>
        <v>4154</v>
      </c>
      <c r="AB53" s="30">
        <f t="shared" si="204"/>
        <v>4469</v>
      </c>
      <c r="AC53" s="30">
        <f t="shared" si="205"/>
        <v>4877</v>
      </c>
      <c r="AD53" s="30">
        <f t="shared" si="206"/>
        <v>5429</v>
      </c>
      <c r="AE53" s="30">
        <f t="shared" si="207"/>
        <v>5978.7</v>
      </c>
    </row>
    <row r="54" spans="1:31">
      <c r="B54" s="9" t="s">
        <v>184</v>
      </c>
      <c r="C54" s="74">
        <v>0</v>
      </c>
      <c r="D54" s="74">
        <v>0</v>
      </c>
      <c r="E54" s="74">
        <v>0</v>
      </c>
      <c r="F54" s="74">
        <v>3435</v>
      </c>
      <c r="G54" s="74"/>
      <c r="H54" s="74">
        <v>8</v>
      </c>
      <c r="I54" s="74">
        <v>11</v>
      </c>
      <c r="J54" s="74">
        <v>18</v>
      </c>
      <c r="K54" s="74">
        <v>129</v>
      </c>
      <c r="L54" s="74">
        <v>224</v>
      </c>
      <c r="M54" s="74">
        <v>397</v>
      </c>
      <c r="N54" s="74">
        <v>374</v>
      </c>
      <c r="O54" s="74">
        <v>507</v>
      </c>
      <c r="P54" s="74">
        <v>607</v>
      </c>
      <c r="Q54" s="74">
        <v>845</v>
      </c>
      <c r="R54" s="74">
        <v>807</v>
      </c>
      <c r="S54" s="30">
        <f t="shared" si="197"/>
        <v>1176</v>
      </c>
      <c r="T54" s="74">
        <v>1427</v>
      </c>
      <c r="U54" s="5"/>
      <c r="V54" s="30">
        <f t="shared" si="198"/>
        <v>166</v>
      </c>
      <c r="W54" s="30">
        <f t="shared" si="199"/>
        <v>382</v>
      </c>
      <c r="X54" s="30">
        <f t="shared" si="200"/>
        <v>768</v>
      </c>
      <c r="Y54" s="30">
        <f t="shared" si="201"/>
        <v>1124</v>
      </c>
      <c r="Z54" s="30">
        <f t="shared" si="202"/>
        <v>1502</v>
      </c>
      <c r="AA54" s="30">
        <f t="shared" si="203"/>
        <v>1885</v>
      </c>
      <c r="AB54" s="30">
        <f t="shared" si="204"/>
        <v>2333</v>
      </c>
      <c r="AC54" s="30">
        <f t="shared" si="205"/>
        <v>2766</v>
      </c>
      <c r="AD54" s="30">
        <f t="shared" si="206"/>
        <v>3435</v>
      </c>
      <c r="AE54" s="30">
        <f>SUM(Q54:T54)</f>
        <v>4255</v>
      </c>
    </row>
    <row r="55" spans="1:31">
      <c r="B55" s="12" t="s">
        <v>67</v>
      </c>
      <c r="C55" s="13">
        <f>SUM(C51:C54)</f>
        <v>15485</v>
      </c>
      <c r="D55" s="13">
        <f>SUM(D51:D54)</f>
        <v>20186</v>
      </c>
      <c r="E55" s="13">
        <f>SUM(E51:E54)</f>
        <v>26537</v>
      </c>
      <c r="F55" s="13">
        <f>SUM(F51:F54)</f>
        <v>40135</v>
      </c>
      <c r="G55" s="11"/>
      <c r="H55" s="13">
        <f>SUM(H51:H54)</f>
        <v>4397</v>
      </c>
      <c r="I55" s="13">
        <f>SUM(I51:I54)</f>
        <v>5669</v>
      </c>
      <c r="J55" s="13">
        <f>SUM(J51:J54)</f>
        <v>4657</v>
      </c>
      <c r="K55" s="13">
        <f>SUM(K51:K54)</f>
        <v>5629</v>
      </c>
      <c r="L55" s="13">
        <f>SUM(L51:L54)</f>
        <v>5824</v>
      </c>
      <c r="M55" s="13">
        <f>SUM(M51:M54)</f>
        <v>7897</v>
      </c>
      <c r="N55" s="13">
        <f>SUM(N51:N54)</f>
        <v>6611</v>
      </c>
      <c r="O55" s="13">
        <f>SUM(O51:O54)</f>
        <v>7707</v>
      </c>
      <c r="P55" s="13">
        <f>SUM(P51:P54)</f>
        <v>8207</v>
      </c>
      <c r="Q55" s="13">
        <f>SUM(Q51:Q54)</f>
        <v>10945</v>
      </c>
      <c r="R55" s="13">
        <f>SUM(R51:R54)</f>
        <v>9407</v>
      </c>
      <c r="S55" s="13">
        <f>SUM(S51:S54)</f>
        <v>11576</v>
      </c>
      <c r="T55" s="13">
        <f>SUM(T51:T54)</f>
        <v>12185</v>
      </c>
      <c r="U55" s="5"/>
      <c r="V55" s="13">
        <f>SUM(V51:V54)</f>
        <v>20352</v>
      </c>
      <c r="W55" s="13">
        <f>SUM(W51:W54)</f>
        <v>21779</v>
      </c>
      <c r="X55" s="13">
        <f>SUM(X51:X54)</f>
        <v>24007</v>
      </c>
      <c r="Y55" s="13">
        <f>SUM(Y51:Y54)</f>
        <v>25961</v>
      </c>
      <c r="Z55" s="13">
        <f>SUM(Z51:Z54)</f>
        <v>28039</v>
      </c>
      <c r="AA55" s="13">
        <f>SUM(AA51:AA54)</f>
        <v>30422</v>
      </c>
      <c r="AB55" s="13">
        <f>SUM(AB51:AB54)</f>
        <v>33470</v>
      </c>
      <c r="AC55" s="13">
        <f>SUM(AC51:AC54)</f>
        <v>36266</v>
      </c>
      <c r="AD55" s="13">
        <f>SUM(AD51:AD54)</f>
        <v>40135</v>
      </c>
      <c r="AE55" s="13">
        <f>SUM(AE51:AE54)</f>
        <v>44112.999999999993</v>
      </c>
    </row>
    <row r="56" spans="1:31" s="164" customFormat="1">
      <c r="B56" s="165"/>
      <c r="C56" s="166"/>
      <c r="D56" s="166"/>
      <c r="E56" s="166"/>
      <c r="F56" s="166"/>
      <c r="G56" s="167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8"/>
      <c r="V56" s="166"/>
      <c r="W56" s="166"/>
      <c r="X56" s="166"/>
      <c r="Y56" s="166"/>
      <c r="Z56" s="166"/>
      <c r="AA56" s="166"/>
      <c r="AB56" s="166"/>
      <c r="AC56" s="166"/>
      <c r="AD56" s="166"/>
      <c r="AE56" s="166"/>
    </row>
    <row r="57" spans="1:31">
      <c r="B57" s="16"/>
      <c r="C57" s="17"/>
      <c r="D57" s="17"/>
      <c r="E57" s="17"/>
      <c r="F57" s="17"/>
      <c r="G57" s="18"/>
      <c r="H57" s="19"/>
      <c r="I57" s="19"/>
      <c r="J57" s="19"/>
      <c r="K57" s="20"/>
      <c r="L57" s="19"/>
      <c r="M57" s="19"/>
      <c r="N57" s="19"/>
      <c r="O57" s="19"/>
      <c r="P57" s="19"/>
      <c r="Q57" s="19"/>
      <c r="R57" s="19"/>
      <c r="S57" s="19"/>
      <c r="T57" s="19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</row>
    <row r="58" spans="1:31">
      <c r="B58" s="114" t="str">
        <f>B51&amp;"(%)"</f>
        <v>Core 0% APR (%)</v>
      </c>
      <c r="C58" s="126">
        <f>SUM(C51/C$55)</f>
        <v>0.25179205682918954</v>
      </c>
      <c r="D58" s="126">
        <f t="shared" ref="D58:F58" si="208">SUM(D51/D$55)</f>
        <v>0.13299564054295057</v>
      </c>
      <c r="E58" s="126">
        <f t="shared" si="208"/>
        <v>0.11500923239250857</v>
      </c>
      <c r="F58" s="126">
        <f t="shared" si="208"/>
        <v>0.11767783729911549</v>
      </c>
      <c r="G58" s="115"/>
      <c r="H58" s="126">
        <f t="shared" ref="H58:T58" si="209">SUM(H51/H$55)</f>
        <v>0.18603593359108483</v>
      </c>
      <c r="I58" s="126">
        <f t="shared" si="209"/>
        <v>9.9805962250837904E-2</v>
      </c>
      <c r="J58" s="126">
        <f t="shared" si="209"/>
        <v>0.14942022761434401</v>
      </c>
      <c r="K58" s="126">
        <f t="shared" si="209"/>
        <v>0.10747912595487653</v>
      </c>
      <c r="L58" s="126">
        <f t="shared" si="209"/>
        <v>0.10576923076923077</v>
      </c>
      <c r="M58" s="126">
        <f t="shared" si="209"/>
        <v>0.10447005191845005</v>
      </c>
      <c r="N58" s="126">
        <f t="shared" si="209"/>
        <v>0.12388443503252156</v>
      </c>
      <c r="O58" s="126">
        <f t="shared" si="209"/>
        <v>0.10276372129233165</v>
      </c>
      <c r="P58" s="126">
        <f t="shared" si="209"/>
        <v>0.10186426221518216</v>
      </c>
      <c r="Q58" s="126">
        <f t="shared" si="209"/>
        <v>0.11996345363179534</v>
      </c>
      <c r="R58" s="126">
        <f t="shared" si="209"/>
        <v>0.11884766663123206</v>
      </c>
      <c r="S58" s="126">
        <f t="shared" si="209"/>
        <v>0.12577747062888736</v>
      </c>
      <c r="T58" s="126">
        <f t="shared" si="209"/>
        <v>0.11477554370127205</v>
      </c>
      <c r="U58" s="115"/>
      <c r="V58" s="116">
        <f>I58</f>
        <v>9.9805962250837904E-2</v>
      </c>
      <c r="W58" s="116">
        <f>J58</f>
        <v>0.14942022761434401</v>
      </c>
      <c r="X58" s="116">
        <f>K58</f>
        <v>0.10747912595487653</v>
      </c>
      <c r="Y58" s="116">
        <f>L58</f>
        <v>0.10576923076923077</v>
      </c>
      <c r="Z58" s="116">
        <f>M58</f>
        <v>0.10447005191845005</v>
      </c>
      <c r="AA58" s="116">
        <f>N58</f>
        <v>0.12388443503252156</v>
      </c>
      <c r="AB58" s="116">
        <f>O58</f>
        <v>0.10276372129233165</v>
      </c>
      <c r="AC58" s="116">
        <f>P58</f>
        <v>0.10186426221518216</v>
      </c>
      <c r="AD58" s="116">
        <f>Q58</f>
        <v>0.11996345363179534</v>
      </c>
      <c r="AE58" s="117">
        <f>R58</f>
        <v>0.11884766663123206</v>
      </c>
    </row>
    <row r="59" spans="1:31">
      <c r="B59" s="118" t="str">
        <f>B52&amp;"(%)"</f>
        <v>Interest-Bearing (%)</v>
      </c>
      <c r="C59" s="128">
        <f t="shared" ref="C59:F61" si="210">SUM(C52/C$55)</f>
        <v>0.57474975783015825</v>
      </c>
      <c r="D59" s="128">
        <f t="shared" si="210"/>
        <v>0.68105469137025665</v>
      </c>
      <c r="E59" s="128">
        <f t="shared" si="210"/>
        <v>0.73689565512303579</v>
      </c>
      <c r="F59" s="128">
        <f t="shared" si="210"/>
        <v>0.66146754702877786</v>
      </c>
      <c r="G59" s="119"/>
      <c r="H59" s="128">
        <f t="shared" ref="H59:T59" si="211">SUM(H52/H$55)</f>
        <v>0.63588810552649533</v>
      </c>
      <c r="I59" s="128">
        <f t="shared" si="211"/>
        <v>0.66869994708061387</v>
      </c>
      <c r="J59" s="128">
        <f t="shared" si="211"/>
        <v>0.68733304702598241</v>
      </c>
      <c r="K59" s="128">
        <f t="shared" si="211"/>
        <v>0.70349973352282824</v>
      </c>
      <c r="L59" s="128">
        <f t="shared" si="211"/>
        <v>0.71153846153846156</v>
      </c>
      <c r="M59" s="128">
        <f t="shared" si="211"/>
        <v>0.69330125364062301</v>
      </c>
      <c r="N59" s="128">
        <f t="shared" si="211"/>
        <v>0.68612917864165779</v>
      </c>
      <c r="O59" s="128">
        <f t="shared" si="211"/>
        <v>0.70066173608407945</v>
      </c>
      <c r="P59" s="128">
        <f t="shared" si="211"/>
        <v>0.69452906055806019</v>
      </c>
      <c r="Q59" s="128">
        <f t="shared" si="211"/>
        <v>0.66441297396071264</v>
      </c>
      <c r="R59" s="128">
        <f t="shared" si="211"/>
        <v>0.65823323057297756</v>
      </c>
      <c r="S59" s="128">
        <f t="shared" si="211"/>
        <v>0.63787145818935731</v>
      </c>
      <c r="T59" s="128">
        <f t="shared" si="211"/>
        <v>0.63567993434550674</v>
      </c>
      <c r="U59" s="119"/>
      <c r="V59" s="120">
        <f t="shared" ref="V59:V61" si="212">I59</f>
        <v>0.66869994708061387</v>
      </c>
      <c r="W59" s="120">
        <f t="shared" ref="W59:W61" si="213">J59</f>
        <v>0.68733304702598241</v>
      </c>
      <c r="X59" s="120">
        <f t="shared" ref="X59:X61" si="214">K59</f>
        <v>0.70349973352282824</v>
      </c>
      <c r="Y59" s="120">
        <f t="shared" ref="Y59:Y61" si="215">L59</f>
        <v>0.71153846153846156</v>
      </c>
      <c r="Z59" s="120">
        <f t="shared" ref="Z59:Z61" si="216">M59</f>
        <v>0.69330125364062301</v>
      </c>
      <c r="AA59" s="120">
        <f t="shared" ref="AA59:AA61" si="217">N59</f>
        <v>0.68612917864165779</v>
      </c>
      <c r="AB59" s="120">
        <f t="shared" ref="AB59:AB61" si="218">O59</f>
        <v>0.70066173608407945</v>
      </c>
      <c r="AC59" s="120">
        <f t="shared" ref="AC59:AC61" si="219">P59</f>
        <v>0.69452906055806019</v>
      </c>
      <c r="AD59" s="120">
        <f t="shared" ref="AD59:AD61" si="220">Q59</f>
        <v>0.66441297396071264</v>
      </c>
      <c r="AE59" s="121">
        <f t="shared" ref="AE59:AE61" si="221">R59</f>
        <v>0.65823323057297756</v>
      </c>
    </row>
    <row r="60" spans="1:31">
      <c r="B60" s="118" t="str">
        <f>B53&amp;"(%)"</f>
        <v>Pay in 4 (bi-weekly 0% APR)(%)</v>
      </c>
      <c r="C60" s="128">
        <f t="shared" si="210"/>
        <v>0.17345818534065224</v>
      </c>
      <c r="D60" s="128">
        <f t="shared" si="210"/>
        <v>0.18594966808679284</v>
      </c>
      <c r="E60" s="128">
        <f t="shared" si="210"/>
        <v>0.14809511248445567</v>
      </c>
      <c r="F60" s="128">
        <f t="shared" si="210"/>
        <v>0.13526846891740377</v>
      </c>
      <c r="G60" s="119"/>
      <c r="H60" s="128">
        <f t="shared" ref="H60:T60" si="222">SUM(H53/H$55)</f>
        <v>0.17625653854901069</v>
      </c>
      <c r="I60" s="128">
        <f t="shared" si="222"/>
        <v>0.22955371317692716</v>
      </c>
      <c r="J60" s="128">
        <f t="shared" si="222"/>
        <v>0.15938157612196693</v>
      </c>
      <c r="K60" s="128">
        <f t="shared" si="222"/>
        <v>0.16610410374844556</v>
      </c>
      <c r="L60" s="128">
        <f t="shared" si="222"/>
        <v>0.14423076923076922</v>
      </c>
      <c r="M60" s="128">
        <f t="shared" si="222"/>
        <v>0.1519564391541092</v>
      </c>
      <c r="N60" s="128">
        <f t="shared" si="222"/>
        <v>0.13341400695810016</v>
      </c>
      <c r="O60" s="128">
        <f t="shared" si="222"/>
        <v>0.13079019073569481</v>
      </c>
      <c r="P60" s="128">
        <f t="shared" si="222"/>
        <v>0.12964542463750456</v>
      </c>
      <c r="Q60" s="128">
        <f t="shared" si="222"/>
        <v>0.13841936957514847</v>
      </c>
      <c r="R60" s="128">
        <f t="shared" si="222"/>
        <v>0.137131923036037</v>
      </c>
      <c r="S60" s="128">
        <f t="shared" si="222"/>
        <v>0.13476157567380787</v>
      </c>
      <c r="T60" s="128">
        <f t="shared" si="222"/>
        <v>0.13243331965531391</v>
      </c>
      <c r="U60" s="119"/>
      <c r="V60" s="120">
        <f t="shared" si="212"/>
        <v>0.22955371317692716</v>
      </c>
      <c r="W60" s="120">
        <f t="shared" si="213"/>
        <v>0.15938157612196693</v>
      </c>
      <c r="X60" s="120">
        <f t="shared" si="214"/>
        <v>0.16610410374844556</v>
      </c>
      <c r="Y60" s="120">
        <f t="shared" si="215"/>
        <v>0.14423076923076922</v>
      </c>
      <c r="Z60" s="120">
        <f t="shared" si="216"/>
        <v>0.1519564391541092</v>
      </c>
      <c r="AA60" s="120">
        <f t="shared" si="217"/>
        <v>0.13341400695810016</v>
      </c>
      <c r="AB60" s="120">
        <f t="shared" si="218"/>
        <v>0.13079019073569481</v>
      </c>
      <c r="AC60" s="120">
        <f t="shared" si="219"/>
        <v>0.12964542463750456</v>
      </c>
      <c r="AD60" s="120">
        <f t="shared" si="220"/>
        <v>0.13841936957514847</v>
      </c>
      <c r="AE60" s="121">
        <f t="shared" si="221"/>
        <v>0.137131923036037</v>
      </c>
    </row>
    <row r="61" spans="1:31" ht="12.75" customHeight="1">
      <c r="B61" s="122" t="str">
        <f>B54&amp;"(%)"</f>
        <v>Affirm Card / Direct to Consumer(%)</v>
      </c>
      <c r="C61" s="127">
        <f t="shared" si="210"/>
        <v>0</v>
      </c>
      <c r="D61" s="127">
        <f t="shared" si="210"/>
        <v>0</v>
      </c>
      <c r="E61" s="127">
        <f t="shared" si="210"/>
        <v>0</v>
      </c>
      <c r="F61" s="127">
        <f t="shared" si="210"/>
        <v>8.5586146754702871E-2</v>
      </c>
      <c r="G61" s="123"/>
      <c r="H61" s="127">
        <f t="shared" ref="H61:T61" si="223">SUM(H54/H$55)</f>
        <v>1.8194223334091425E-3</v>
      </c>
      <c r="I61" s="127">
        <f t="shared" si="223"/>
        <v>1.9403774916210972E-3</v>
      </c>
      <c r="J61" s="127">
        <f t="shared" si="223"/>
        <v>3.8651492377066781E-3</v>
      </c>
      <c r="K61" s="127">
        <f t="shared" si="223"/>
        <v>2.2917036773849708E-2</v>
      </c>
      <c r="L61" s="127">
        <f t="shared" si="223"/>
        <v>3.8461538461538464E-2</v>
      </c>
      <c r="M61" s="127">
        <f t="shared" si="223"/>
        <v>5.027225528681778E-2</v>
      </c>
      <c r="N61" s="127">
        <f t="shared" si="223"/>
        <v>5.6572379367720464E-2</v>
      </c>
      <c r="O61" s="127">
        <f t="shared" si="223"/>
        <v>6.5784351887894124E-2</v>
      </c>
      <c r="P61" s="127">
        <f t="shared" si="223"/>
        <v>7.3961252589253082E-2</v>
      </c>
      <c r="Q61" s="127">
        <f t="shared" si="223"/>
        <v>7.7204202832343541E-2</v>
      </c>
      <c r="R61" s="127">
        <f t="shared" si="223"/>
        <v>8.5787179759753376E-2</v>
      </c>
      <c r="S61" s="127">
        <f t="shared" si="223"/>
        <v>0.10158949550794748</v>
      </c>
      <c r="T61" s="127">
        <f t="shared" si="223"/>
        <v>0.11711120229790727</v>
      </c>
      <c r="U61" s="123"/>
      <c r="V61" s="124">
        <f t="shared" si="212"/>
        <v>1.9403774916210972E-3</v>
      </c>
      <c r="W61" s="124">
        <f t="shared" si="213"/>
        <v>3.8651492377066781E-3</v>
      </c>
      <c r="X61" s="124">
        <f t="shared" si="214"/>
        <v>2.2917036773849708E-2</v>
      </c>
      <c r="Y61" s="124">
        <f t="shared" si="215"/>
        <v>3.8461538461538464E-2</v>
      </c>
      <c r="Z61" s="124">
        <f t="shared" si="216"/>
        <v>5.027225528681778E-2</v>
      </c>
      <c r="AA61" s="124">
        <f t="shared" si="217"/>
        <v>5.6572379367720464E-2</v>
      </c>
      <c r="AB61" s="124">
        <f t="shared" si="218"/>
        <v>6.5784351887894124E-2</v>
      </c>
      <c r="AC61" s="124">
        <f t="shared" si="219"/>
        <v>7.3961252589253082E-2</v>
      </c>
      <c r="AD61" s="124">
        <f t="shared" si="220"/>
        <v>7.7204202832343541E-2</v>
      </c>
      <c r="AE61" s="125">
        <f t="shared" si="221"/>
        <v>8.5787179759753376E-2</v>
      </c>
    </row>
  </sheetData>
  <pageMargins left="0.7" right="0.7" top="0.75" bottom="0.75" header="0.3" footer="0.3"/>
  <ignoredErrors>
    <ignoredError sqref="D58:F61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627CF-47F2-43ED-8CCB-3D99E5377DA5}">
  <sheetPr>
    <tabColor theme="6" tint="-0.249977111117893"/>
  </sheetPr>
  <dimension ref="A2:AG86"/>
  <sheetViews>
    <sheetView showGridLines="0" zoomScaleNormal="100" workbookViewId="0">
      <selection activeCell="B2" sqref="B2"/>
    </sheetView>
  </sheetViews>
  <sheetFormatPr defaultRowHeight="12" outlineLevelCol="1"/>
  <cols>
    <col min="1" max="1" width="1.5" style="8" customWidth="1"/>
    <col min="2" max="2" width="41.625" style="8" customWidth="1"/>
    <col min="3" max="3" width="8.625" style="8" customWidth="1"/>
    <col min="4" max="4" width="9" style="8" bestFit="1"/>
    <col min="5" max="5" width="9.25" style="8" bestFit="1" customWidth="1"/>
    <col min="6" max="6" width="9" style="8"/>
    <col min="7" max="7" width="1.5" style="8" customWidth="1"/>
    <col min="8" max="10" width="8" style="8" customWidth="1"/>
    <col min="11" max="11" width="8.75" style="8" customWidth="1"/>
    <col min="12" max="13" width="8" style="8" customWidth="1"/>
    <col min="14" max="20" width="8.875" style="8" customWidth="1"/>
    <col min="21" max="21" width="1.625" style="8" customWidth="1"/>
    <col min="22" max="23" width="8.25" style="8" hidden="1" customWidth="1" outlineLevel="1"/>
    <col min="24" max="24" width="9.25" style="8" hidden="1" customWidth="1" outlineLevel="1"/>
    <col min="25" max="25" width="9.75" style="8" hidden="1" customWidth="1" outlineLevel="1"/>
    <col min="26" max="26" width="9" style="8" hidden="1" customWidth="1" outlineLevel="1"/>
    <col min="27" max="27" width="9" style="8" collapsed="1"/>
    <col min="28" max="29" width="9" style="8" hidden="1" customWidth="1" outlineLevel="1"/>
    <col min="30" max="30" width="8.5" style="8" hidden="1" customWidth="1" outlineLevel="1"/>
    <col min="31" max="31" width="8.5" style="8" bestFit="1" customWidth="1" collapsed="1"/>
    <col min="32" max="32" width="1.5" style="8" customWidth="1"/>
    <col min="33" max="33" width="7.5" style="110" bestFit="1" customWidth="1"/>
    <col min="34" max="16384" width="9" style="8"/>
  </cols>
  <sheetData>
    <row r="2" spans="2:33" s="5" customFormat="1" ht="12.75" customHeight="1">
      <c r="B2" s="1" t="str">
        <f>'Historical Financials'!B2</f>
        <v>Affirm Holdings Inc (NASDAQ: AFRM)</v>
      </c>
      <c r="C2" s="2"/>
      <c r="D2" s="2" t="s">
        <v>0</v>
      </c>
      <c r="E2" s="2"/>
      <c r="F2" s="2"/>
      <c r="G2" s="3"/>
      <c r="H2" s="2" t="s">
        <v>1</v>
      </c>
      <c r="I2" s="2"/>
      <c r="J2" s="2"/>
      <c r="K2" s="2"/>
      <c r="L2" s="2"/>
      <c r="M2" s="2"/>
      <c r="N2" s="2"/>
      <c r="O2" s="2"/>
      <c r="P2" s="2"/>
      <c r="Q2" s="2"/>
      <c r="R2" s="2" t="s">
        <v>1</v>
      </c>
      <c r="S2" s="2"/>
      <c r="T2" s="2"/>
      <c r="U2" s="3"/>
      <c r="V2" s="2"/>
      <c r="W2" s="2"/>
      <c r="X2" s="2"/>
      <c r="Y2" s="2"/>
      <c r="Z2" s="2" t="s">
        <v>10</v>
      </c>
      <c r="AA2" s="2" t="s">
        <v>10</v>
      </c>
      <c r="AB2" s="2"/>
      <c r="AC2" s="2"/>
      <c r="AD2" s="2"/>
      <c r="AE2" s="2"/>
      <c r="AF2" s="3"/>
      <c r="AG2" s="138" t="s">
        <v>22</v>
      </c>
    </row>
    <row r="3" spans="2:33" s="5" customFormat="1" ht="12.75" customHeight="1">
      <c r="B3" s="6" t="s">
        <v>23</v>
      </c>
      <c r="C3" s="7">
        <f>'Historical Financials'!C7</f>
        <v>2022</v>
      </c>
      <c r="D3" s="7">
        <f>'Historical Financials'!D7</f>
        <v>2023</v>
      </c>
      <c r="E3" s="7">
        <f>'Historical Financials'!E7</f>
        <v>2024</v>
      </c>
      <c r="F3" s="7">
        <f>'Historical Financials'!F7</f>
        <v>2025</v>
      </c>
      <c r="G3" s="3"/>
      <c r="H3" s="7" t="str">
        <f>'Historical Financials'!H7</f>
        <v>1Q23</v>
      </c>
      <c r="I3" s="7" t="str">
        <f>'Historical Financials'!I7</f>
        <v>2Q23</v>
      </c>
      <c r="J3" s="7" t="str">
        <f>'Historical Financials'!J7</f>
        <v>3Q23</v>
      </c>
      <c r="K3" s="7" t="str">
        <f>'Historical Financials'!K7</f>
        <v>4Q23</v>
      </c>
      <c r="L3" s="7" t="str">
        <f>'Historical Financials'!L7</f>
        <v>1Q24</v>
      </c>
      <c r="M3" s="7" t="str">
        <f>'Historical Financials'!M7</f>
        <v>2Q24</v>
      </c>
      <c r="N3" s="7" t="str">
        <f>'Historical Financials'!N7</f>
        <v>3Q24</v>
      </c>
      <c r="O3" s="7" t="str">
        <f>'Historical Financials'!O7</f>
        <v>4Q24</v>
      </c>
      <c r="P3" s="7" t="str">
        <f>'Historical Financials'!P7</f>
        <v>1Q25</v>
      </c>
      <c r="Q3" s="7" t="str">
        <f>'Historical Financials'!Q7</f>
        <v>2Q25</v>
      </c>
      <c r="R3" s="7" t="str">
        <f>'Historical Financials'!R7</f>
        <v>3Q25</v>
      </c>
      <c r="S3" s="7" t="str">
        <f>'Historical Financials'!S7</f>
        <v>4Q25</v>
      </c>
      <c r="T3" s="7" t="str">
        <f>'Historical Financials'!T7</f>
        <v>1Q26</v>
      </c>
      <c r="U3" s="3"/>
      <c r="V3" s="4" t="str">
        <f>K3</f>
        <v>4Q23</v>
      </c>
      <c r="W3" s="4" t="str">
        <f>L3</f>
        <v>1Q24</v>
      </c>
      <c r="X3" s="4" t="str">
        <f>M3</f>
        <v>2Q24</v>
      </c>
      <c r="Y3" s="4" t="str">
        <f>N3</f>
        <v>3Q24</v>
      </c>
      <c r="Z3" s="4" t="str">
        <f>O3</f>
        <v>4Q24</v>
      </c>
      <c r="AA3" s="4" t="str">
        <f>P3</f>
        <v>1Q25</v>
      </c>
      <c r="AB3" s="4" t="str">
        <f>Q3</f>
        <v>2Q25</v>
      </c>
      <c r="AC3" s="4" t="str">
        <f>R3</f>
        <v>3Q25</v>
      </c>
      <c r="AD3" s="4" t="str">
        <f>S3</f>
        <v>4Q25</v>
      </c>
      <c r="AE3" s="4" t="str">
        <f>T3</f>
        <v>1Q26</v>
      </c>
      <c r="AF3" s="3"/>
      <c r="AG3" s="138"/>
    </row>
    <row r="4" spans="2:33" s="5" customFormat="1" ht="12.75" customHeight="1">
      <c r="B4" s="6" t="s">
        <v>92</v>
      </c>
      <c r="C4" s="3">
        <f>'Historical Financials'!C8</f>
        <v>44713</v>
      </c>
      <c r="D4" s="3">
        <f>'Historical Financials'!D8</f>
        <v>45078</v>
      </c>
      <c r="E4" s="3">
        <f>'Historical Financials'!E8</f>
        <v>45444</v>
      </c>
      <c r="F4" s="3">
        <f>'Historical Financials'!F8</f>
        <v>45809</v>
      </c>
      <c r="G4" s="3"/>
      <c r="H4" s="3">
        <f>'Historical Financials'!H8</f>
        <v>44805</v>
      </c>
      <c r="I4" s="3">
        <f>'Historical Financials'!I8</f>
        <v>44896</v>
      </c>
      <c r="J4" s="3">
        <f>'Historical Financials'!J8</f>
        <v>44986</v>
      </c>
      <c r="K4" s="3">
        <f>'Historical Financials'!K8</f>
        <v>45078</v>
      </c>
      <c r="L4" s="3">
        <f>'Historical Financials'!L8</f>
        <v>45170</v>
      </c>
      <c r="M4" s="3">
        <f>'Historical Financials'!M8</f>
        <v>45261</v>
      </c>
      <c r="N4" s="3">
        <f>'Historical Financials'!N8</f>
        <v>45352</v>
      </c>
      <c r="O4" s="3">
        <f>'Historical Financials'!O8</f>
        <v>45444</v>
      </c>
      <c r="P4" s="3">
        <f>'Historical Financials'!P8</f>
        <v>45536</v>
      </c>
      <c r="Q4" s="3">
        <f>'Historical Financials'!Q8</f>
        <v>45627</v>
      </c>
      <c r="R4" s="3">
        <f>'Historical Financials'!R8</f>
        <v>45717</v>
      </c>
      <c r="S4" s="3">
        <f>'Historical Financials'!S8</f>
        <v>45809</v>
      </c>
      <c r="T4" s="3">
        <f>'Historical Financials'!T8</f>
        <v>45901</v>
      </c>
      <c r="U4" s="3"/>
      <c r="V4" s="3">
        <f>K4</f>
        <v>45078</v>
      </c>
      <c r="W4" s="3">
        <f>L4</f>
        <v>45170</v>
      </c>
      <c r="X4" s="3">
        <f>M4</f>
        <v>45261</v>
      </c>
      <c r="Y4" s="3">
        <f>N4</f>
        <v>45352</v>
      </c>
      <c r="Z4" s="3">
        <f>O4</f>
        <v>45444</v>
      </c>
      <c r="AA4" s="3">
        <f>P4</f>
        <v>45536</v>
      </c>
      <c r="AB4" s="3">
        <f>Q4</f>
        <v>45627</v>
      </c>
      <c r="AC4" s="3">
        <f>R4</f>
        <v>45717</v>
      </c>
      <c r="AD4" s="3">
        <f>S4</f>
        <v>45809</v>
      </c>
      <c r="AE4" s="3">
        <f>T4</f>
        <v>45901</v>
      </c>
      <c r="AF4" s="3"/>
      <c r="AG4" s="138"/>
    </row>
    <row r="5" spans="2:33" ht="5.0999999999999996" customHeight="1">
      <c r="AG5" s="106"/>
    </row>
    <row r="6" spans="2:33" ht="12.75" customHeight="1">
      <c r="B6" s="9" t="str">
        <f>'Revenue Drivers'!B9</f>
        <v xml:space="preserve">Network revenue </v>
      </c>
      <c r="C6" s="79">
        <f>'Revenue Drivers'!C9</f>
        <v>559.20699999999999</v>
      </c>
      <c r="D6" s="79">
        <f>'Revenue Drivers'!D9</f>
        <v>626.9380000000001</v>
      </c>
      <c r="E6" s="79">
        <f>'Revenue Drivers'!E9</f>
        <v>826.00800000000004</v>
      </c>
      <c r="F6" s="79">
        <f>'Revenue Drivers'!F9</f>
        <v>1113.9660000000001</v>
      </c>
      <c r="G6" s="10"/>
      <c r="H6" s="79">
        <f>'Revenue Drivers'!H9</f>
        <v>139.857</v>
      </c>
      <c r="I6" s="79">
        <f>'Revenue Drivers'!I9</f>
        <v>163.136</v>
      </c>
      <c r="J6" s="79">
        <f>'Revenue Drivers'!J9</f>
        <v>148.482</v>
      </c>
      <c r="K6" s="79">
        <f>'Revenue Drivers'!K9</f>
        <v>175.46300000000008</v>
      </c>
      <c r="L6" s="79">
        <f>'Revenue Drivers'!L9</f>
        <v>179.42599999999999</v>
      </c>
      <c r="M6" s="79">
        <f>'Revenue Drivers'!M9</f>
        <v>227.626</v>
      </c>
      <c r="N6" s="79">
        <f>'Revenue Drivers'!N9</f>
        <v>194.96800000000002</v>
      </c>
      <c r="O6" s="79">
        <f>'Revenue Drivers'!O9</f>
        <v>223.98800000000006</v>
      </c>
      <c r="P6" s="79">
        <f>'Revenue Drivers'!P9</f>
        <v>231.81899999999999</v>
      </c>
      <c r="Q6" s="79">
        <f>'Revenue Drivers'!Q9</f>
        <v>303.03700000000003</v>
      </c>
      <c r="R6" s="79">
        <f>'Revenue Drivers'!R9</f>
        <v>272.54500000000002</v>
      </c>
      <c r="S6" s="79">
        <f>'Revenue Drivers'!S9</f>
        <v>306.56500000000005</v>
      </c>
      <c r="T6" s="79">
        <f>'Revenue Drivers'!T9</f>
        <v>320.47699999999998</v>
      </c>
      <c r="U6" s="5"/>
      <c r="V6" s="130">
        <f t="shared" ref="V6:AD6" si="0">SUM(H6:K6)</f>
        <v>626.9380000000001</v>
      </c>
      <c r="W6" s="130">
        <f t="shared" si="0"/>
        <v>666.50700000000006</v>
      </c>
      <c r="X6" s="130">
        <f t="shared" si="0"/>
        <v>730.99700000000007</v>
      </c>
      <c r="Y6" s="130">
        <f t="shared" si="0"/>
        <v>777.48300000000017</v>
      </c>
      <c r="Z6" s="130">
        <f t="shared" si="0"/>
        <v>826.00800000000004</v>
      </c>
      <c r="AA6" s="130">
        <f t="shared" si="0"/>
        <v>878.40100000000007</v>
      </c>
      <c r="AB6" s="130">
        <f t="shared" si="0"/>
        <v>953.81200000000013</v>
      </c>
      <c r="AC6" s="130">
        <f t="shared" si="0"/>
        <v>1031.3890000000001</v>
      </c>
      <c r="AD6" s="130">
        <f t="shared" si="0"/>
        <v>1113.9660000000001</v>
      </c>
      <c r="AE6" s="130">
        <f>SUM(Q6:T6)</f>
        <v>1202.6240000000003</v>
      </c>
      <c r="AG6" s="107">
        <f t="shared" ref="AG6:AG9" si="1">SUM(AE6/AA6)-1</f>
        <v>0.36910590948780819</v>
      </c>
    </row>
    <row r="7" spans="2:33" ht="12.75" customHeight="1">
      <c r="B7" s="9" t="str">
        <f>'Revenue Drivers'!B10</f>
        <v xml:space="preserve">Interest Income </v>
      </c>
      <c r="C7" s="79">
        <f>'Revenue Drivers'!C10</f>
        <v>527.88</v>
      </c>
      <c r="D7" s="79">
        <f>'Revenue Drivers'!D10</f>
        <v>685.2170000000001</v>
      </c>
      <c r="E7" s="79">
        <f>'Revenue Drivers'!E10</f>
        <v>1204.355</v>
      </c>
      <c r="F7" s="79">
        <f>'Revenue Drivers'!F10</f>
        <v>1608.221</v>
      </c>
      <c r="G7" s="10"/>
      <c r="H7" s="79">
        <f>'Revenue Drivers'!H10</f>
        <v>136.80199999999999</v>
      </c>
      <c r="I7" s="79">
        <f>'Revenue Drivers'!I10</f>
        <v>155.321</v>
      </c>
      <c r="J7" s="79">
        <f>'Revenue Drivers'!J10</f>
        <v>178.27</v>
      </c>
      <c r="K7" s="79">
        <f>'Revenue Drivers'!K10</f>
        <v>214.82400000000007</v>
      </c>
      <c r="L7" s="79">
        <f>'Revenue Drivers'!L10</f>
        <v>262.67899999999997</v>
      </c>
      <c r="M7" s="79">
        <f>'Revenue Drivers'!M10</f>
        <v>288.346</v>
      </c>
      <c r="N7" s="79">
        <f>'Revenue Drivers'!N10</f>
        <v>315.71199999999999</v>
      </c>
      <c r="O7" s="79">
        <f>'Revenue Drivers'!O10</f>
        <v>337.61800000000005</v>
      </c>
      <c r="P7" s="79">
        <f>'Revenue Drivers'!P10</f>
        <v>377.06400000000002</v>
      </c>
      <c r="Q7" s="79">
        <f>'Revenue Drivers'!Q10</f>
        <v>409.36700000000002</v>
      </c>
      <c r="R7" s="79">
        <f>'Revenue Drivers'!R10</f>
        <v>402.70100000000002</v>
      </c>
      <c r="S7" s="79">
        <f>'Revenue Drivers'!S10</f>
        <v>419.08899999999994</v>
      </c>
      <c r="T7" s="79">
        <f>'Revenue Drivers'!T10</f>
        <v>454.12200000000001</v>
      </c>
      <c r="U7" s="5"/>
      <c r="V7" s="130">
        <f t="shared" ref="V7:V9" si="2">SUM(H7:K7)</f>
        <v>685.2170000000001</v>
      </c>
      <c r="W7" s="130">
        <f t="shared" ref="W7:W9" si="3">SUM(I7:L7)</f>
        <v>811.09400000000005</v>
      </c>
      <c r="X7" s="130">
        <f t="shared" ref="X7:X9" si="4">SUM(J7:M7)</f>
        <v>944.11900000000003</v>
      </c>
      <c r="Y7" s="130">
        <f t="shared" ref="Y7:Y9" si="5">SUM(K7:N7)</f>
        <v>1081.5610000000001</v>
      </c>
      <c r="Z7" s="130">
        <f t="shared" ref="Z7:Z9" si="6">SUM(L7:O7)</f>
        <v>1204.355</v>
      </c>
      <c r="AA7" s="130">
        <f t="shared" ref="AA7:AA9" si="7">SUM(M7:P7)</f>
        <v>1318.74</v>
      </c>
      <c r="AB7" s="130">
        <f t="shared" ref="AB7:AB9" si="8">SUM(N7:Q7)</f>
        <v>1439.761</v>
      </c>
      <c r="AC7" s="130">
        <f t="shared" ref="AC7:AC9" si="9">SUM(O7:R7)</f>
        <v>1526.75</v>
      </c>
      <c r="AD7" s="130">
        <f t="shared" ref="AD7:AD9" si="10">SUM(P7:S7)</f>
        <v>1608.221</v>
      </c>
      <c r="AE7" s="130">
        <f t="shared" ref="AE7:AE9" si="11">SUM(Q7:T7)</f>
        <v>1685.279</v>
      </c>
      <c r="AG7" s="107">
        <f t="shared" si="1"/>
        <v>0.2779463730530658</v>
      </c>
    </row>
    <row r="8" spans="2:33" ht="12.75" customHeight="1">
      <c r="B8" s="9" t="str">
        <f>'Revenue Drivers'!B11</f>
        <v xml:space="preserve">Gain (loss) on sales of loans </v>
      </c>
      <c r="C8" s="79">
        <f>'Revenue Drivers'!C11</f>
        <v>196.435</v>
      </c>
      <c r="D8" s="79">
        <f>'Revenue Drivers'!D11</f>
        <v>188.34099999999998</v>
      </c>
      <c r="E8" s="79">
        <f>'Revenue Drivers'!E11</f>
        <v>197.15299999999999</v>
      </c>
      <c r="F8" s="79">
        <f>'Revenue Drivers'!F11</f>
        <v>381.62200000000001</v>
      </c>
      <c r="G8" s="10"/>
      <c r="H8" s="79">
        <f>'Revenue Drivers'!H11</f>
        <v>63.594999999999999</v>
      </c>
      <c r="I8" s="79">
        <f>'Revenue Drivers'!I11</f>
        <v>59.606999999999999</v>
      </c>
      <c r="J8" s="79">
        <f>'Revenue Drivers'!J11</f>
        <v>32.813000000000002</v>
      </c>
      <c r="K8" s="79">
        <f>'Revenue Drivers'!K11</f>
        <v>32.325999999999993</v>
      </c>
      <c r="L8" s="79">
        <f>'Revenue Drivers'!L11</f>
        <v>34.284999999999997</v>
      </c>
      <c r="M8" s="79">
        <f>'Revenue Drivers'!M11</f>
        <v>52.701999999999998</v>
      </c>
      <c r="N8" s="79">
        <f>'Revenue Drivers'!N11</f>
        <v>40.183</v>
      </c>
      <c r="O8" s="79">
        <f>'Revenue Drivers'!O11</f>
        <v>69.983000000000004</v>
      </c>
      <c r="P8" s="79">
        <f>'Revenue Drivers'!P11</f>
        <v>63.613</v>
      </c>
      <c r="Q8" s="79">
        <f>'Revenue Drivers'!Q11</f>
        <v>125.28700000000001</v>
      </c>
      <c r="R8" s="79">
        <f>'Revenue Drivers'!R11</f>
        <v>75.837999999999994</v>
      </c>
      <c r="S8" s="79">
        <f>'Revenue Drivers'!S11</f>
        <v>116.88400000000001</v>
      </c>
      <c r="T8" s="79">
        <f>'Revenue Drivers'!T11</f>
        <v>119.04900000000001</v>
      </c>
      <c r="U8" s="5"/>
      <c r="V8" s="130">
        <f t="shared" si="2"/>
        <v>188.34099999999998</v>
      </c>
      <c r="W8" s="130">
        <f t="shared" si="3"/>
        <v>159.03100000000001</v>
      </c>
      <c r="X8" s="130">
        <f t="shared" si="4"/>
        <v>152.12599999999998</v>
      </c>
      <c r="Y8" s="130">
        <f t="shared" si="5"/>
        <v>159.49599999999998</v>
      </c>
      <c r="Z8" s="130">
        <f t="shared" si="6"/>
        <v>197.15299999999999</v>
      </c>
      <c r="AA8" s="130">
        <f t="shared" si="7"/>
        <v>226.48099999999999</v>
      </c>
      <c r="AB8" s="130">
        <f t="shared" si="8"/>
        <v>299.06600000000003</v>
      </c>
      <c r="AC8" s="130">
        <f t="shared" si="9"/>
        <v>334.721</v>
      </c>
      <c r="AD8" s="130">
        <f t="shared" si="10"/>
        <v>381.62200000000001</v>
      </c>
      <c r="AE8" s="130">
        <f t="shared" si="11"/>
        <v>437.05799999999999</v>
      </c>
      <c r="AG8" s="107">
        <f t="shared" si="1"/>
        <v>0.9297777738529942</v>
      </c>
    </row>
    <row r="9" spans="2:33" ht="12.75" customHeight="1">
      <c r="B9" s="9" t="str">
        <f>'Revenue Drivers'!B12</f>
        <v xml:space="preserve">Servicing income </v>
      </c>
      <c r="C9" s="79">
        <f>'Revenue Drivers'!C12</f>
        <v>65.77000000000001</v>
      </c>
      <c r="D9" s="79">
        <f>'Revenue Drivers'!D12</f>
        <v>87.489000000000004</v>
      </c>
      <c r="E9" s="79">
        <f>'Revenue Drivers'!E12</f>
        <v>95.483000000000004</v>
      </c>
      <c r="F9" s="79">
        <f>'Revenue Drivers'!F12</f>
        <v>120.601</v>
      </c>
      <c r="G9" s="10"/>
      <c r="H9" s="79">
        <f>'Revenue Drivers'!H12</f>
        <v>21.37</v>
      </c>
      <c r="I9" s="79">
        <f>'Revenue Drivers'!I12</f>
        <v>21.494</v>
      </c>
      <c r="J9" s="79">
        <f>'Revenue Drivers'!J12</f>
        <v>21.413</v>
      </c>
      <c r="K9" s="79">
        <f>'Revenue Drivers'!K12</f>
        <v>23.212000000000003</v>
      </c>
      <c r="L9" s="79">
        <f>'Revenue Drivers'!L12</f>
        <v>20.157</v>
      </c>
      <c r="M9" s="79">
        <f>'Revenue Drivers'!M12</f>
        <v>22.436</v>
      </c>
      <c r="N9" s="79">
        <f>'Revenue Drivers'!N12</f>
        <v>25.294</v>
      </c>
      <c r="O9" s="79">
        <f>'Revenue Drivers'!O12</f>
        <v>27.596000000000004</v>
      </c>
      <c r="P9" s="79">
        <f>'Revenue Drivers'!P12</f>
        <v>25.983000000000001</v>
      </c>
      <c r="Q9" s="79">
        <f>'Revenue Drivers'!Q12</f>
        <v>28.69</v>
      </c>
      <c r="R9" s="79">
        <f>'Revenue Drivers'!R12</f>
        <v>32.049999999999997</v>
      </c>
      <c r="S9" s="79">
        <f>'Revenue Drivers'!S12</f>
        <v>33.878</v>
      </c>
      <c r="T9" s="79">
        <f>'Revenue Drivers'!T12</f>
        <v>39.689</v>
      </c>
      <c r="U9" s="5"/>
      <c r="V9" s="130">
        <f t="shared" si="2"/>
        <v>87.489000000000004</v>
      </c>
      <c r="W9" s="130">
        <f t="shared" si="3"/>
        <v>86.275999999999996</v>
      </c>
      <c r="X9" s="130">
        <f t="shared" si="4"/>
        <v>87.217999999999989</v>
      </c>
      <c r="Y9" s="130">
        <f t="shared" si="5"/>
        <v>91.099000000000004</v>
      </c>
      <c r="Z9" s="130">
        <f t="shared" si="6"/>
        <v>95.483000000000004</v>
      </c>
      <c r="AA9" s="130">
        <f t="shared" si="7"/>
        <v>101.30900000000001</v>
      </c>
      <c r="AB9" s="130">
        <f t="shared" si="8"/>
        <v>107.563</v>
      </c>
      <c r="AC9" s="130">
        <f t="shared" si="9"/>
        <v>114.319</v>
      </c>
      <c r="AD9" s="130">
        <f t="shared" si="10"/>
        <v>120.601</v>
      </c>
      <c r="AE9" s="130">
        <f t="shared" si="11"/>
        <v>134.30699999999999</v>
      </c>
      <c r="AG9" s="107">
        <f t="shared" si="1"/>
        <v>0.3257163726815977</v>
      </c>
    </row>
    <row r="10" spans="2:33" ht="12.75" customHeight="1">
      <c r="B10" s="12" t="s">
        <v>12</v>
      </c>
      <c r="C10" s="13">
        <f>SUM(C6:C9)</f>
        <v>1349.2919999999999</v>
      </c>
      <c r="D10" s="13">
        <f>SUM(D6:D9)</f>
        <v>1587.9850000000001</v>
      </c>
      <c r="E10" s="13">
        <f>SUM(E6:E9)</f>
        <v>2322.9990000000003</v>
      </c>
      <c r="F10" s="13">
        <f>SUM(F6:F9)</f>
        <v>3224.41</v>
      </c>
      <c r="G10" s="10"/>
      <c r="H10" s="13">
        <f>SUM(H6:H9)</f>
        <v>361.62400000000002</v>
      </c>
      <c r="I10" s="13">
        <f>SUM(I6:I9)</f>
        <v>399.55799999999999</v>
      </c>
      <c r="J10" s="13">
        <f>SUM(J6:J9)</f>
        <v>380.97800000000001</v>
      </c>
      <c r="K10" s="13">
        <f>SUM(K6:K9)</f>
        <v>445.82500000000016</v>
      </c>
      <c r="L10" s="13">
        <f>SUM(L6:L9)</f>
        <v>496.54699999999997</v>
      </c>
      <c r="M10" s="13">
        <f>SUM(M6:M9)</f>
        <v>591.11</v>
      </c>
      <c r="N10" s="13">
        <f>SUM(N6:N9)</f>
        <v>576.15700000000004</v>
      </c>
      <c r="O10" s="13">
        <f>SUM(O6:O9)</f>
        <v>659.18500000000017</v>
      </c>
      <c r="P10" s="13">
        <f>SUM(P6:P9)</f>
        <v>698.47900000000004</v>
      </c>
      <c r="Q10" s="13">
        <f>SUM(Q6:Q9)</f>
        <v>866.38100000000009</v>
      </c>
      <c r="R10" s="13">
        <f>SUM(R6:R9)</f>
        <v>783.13400000000001</v>
      </c>
      <c r="S10" s="13">
        <f>SUM(S6:S9)</f>
        <v>876.41600000000005</v>
      </c>
      <c r="T10" s="13">
        <f>SUM(T6:T9)</f>
        <v>933.33699999999988</v>
      </c>
      <c r="U10" s="5"/>
      <c r="V10" s="13">
        <f>SUM(V6:V9)</f>
        <v>1587.9850000000001</v>
      </c>
      <c r="W10" s="13">
        <f>SUM(W6:W9)</f>
        <v>1722.9080000000001</v>
      </c>
      <c r="X10" s="13">
        <f>SUM(X6:X9)</f>
        <v>1914.46</v>
      </c>
      <c r="Y10" s="13">
        <f>SUM(Y6:Y9)</f>
        <v>2109.6390000000006</v>
      </c>
      <c r="Z10" s="13">
        <f>SUM(Z6:Z9)</f>
        <v>2322.9990000000003</v>
      </c>
      <c r="AA10" s="13">
        <f>SUM(AA6:AA9)</f>
        <v>2524.9310000000005</v>
      </c>
      <c r="AB10" s="13">
        <f>SUM(AB6:AB9)</f>
        <v>2800.2020000000002</v>
      </c>
      <c r="AC10" s="13">
        <f>SUM(AC6:AC9)</f>
        <v>3007.1790000000001</v>
      </c>
      <c r="AD10" s="13">
        <f>SUM(AD6:AD9)</f>
        <v>3224.41</v>
      </c>
      <c r="AE10" s="13">
        <f>SUM(AE6:AE9)</f>
        <v>3459.268</v>
      </c>
      <c r="AG10" s="108">
        <f>SUM(AE10/AA10)-1</f>
        <v>0.37004456755451898</v>
      </c>
    </row>
    <row r="11" spans="2:33" ht="12.75" customHeight="1">
      <c r="B11" s="14" t="s">
        <v>26</v>
      </c>
      <c r="C11" s="98"/>
      <c r="D11" s="15">
        <f>SUM(D10/C10)-1</f>
        <v>0.17690240511320021</v>
      </c>
      <c r="E11" s="15">
        <f>SUM(E10/D10)-1</f>
        <v>0.46285953582684969</v>
      </c>
      <c r="F11" s="15">
        <f>SUM(F10/E10)-1</f>
        <v>0.38803761861283603</v>
      </c>
      <c r="G11" s="11"/>
      <c r="H11" s="98"/>
      <c r="I11" s="98"/>
      <c r="J11" s="98"/>
      <c r="K11" s="98"/>
      <c r="L11" s="15">
        <f t="shared" ref="L11:S11" si="12">SUM(L10/H10)-1</f>
        <v>0.37310300201314051</v>
      </c>
      <c r="M11" s="15">
        <f t="shared" si="12"/>
        <v>0.47940974777128731</v>
      </c>
      <c r="N11" s="15">
        <f t="shared" si="12"/>
        <v>0.51231042212411215</v>
      </c>
      <c r="O11" s="15">
        <f t="shared" si="12"/>
        <v>0.47857343127908925</v>
      </c>
      <c r="P11" s="15">
        <f t="shared" si="12"/>
        <v>0.40667248014790158</v>
      </c>
      <c r="Q11" s="15">
        <f t="shared" si="12"/>
        <v>0.46568489790394363</v>
      </c>
      <c r="R11" s="15">
        <f t="shared" si="12"/>
        <v>0.35923715237339815</v>
      </c>
      <c r="S11" s="15">
        <f t="shared" si="12"/>
        <v>0.32954481670547686</v>
      </c>
      <c r="T11" s="15">
        <f t="shared" ref="T11" si="13">SUM(T10/P10)-1</f>
        <v>0.33624203447777212</v>
      </c>
      <c r="U11" s="5"/>
      <c r="V11" s="98"/>
      <c r="W11" s="98"/>
      <c r="X11" s="98"/>
      <c r="Y11" s="98"/>
      <c r="Z11" s="15">
        <f t="shared" ref="Z11:AE11" si="14">SUM(Z10/V10)-1</f>
        <v>0.46285953582684969</v>
      </c>
      <c r="AA11" s="15">
        <f t="shared" si="14"/>
        <v>0.46550541294137604</v>
      </c>
      <c r="AB11" s="15">
        <f t="shared" si="14"/>
        <v>0.46265892209813742</v>
      </c>
      <c r="AC11" s="15">
        <f t="shared" si="14"/>
        <v>0.42544719736409853</v>
      </c>
      <c r="AD11" s="15">
        <f t="shared" si="14"/>
        <v>0.38803761861283603</v>
      </c>
      <c r="AE11" s="15">
        <f t="shared" si="14"/>
        <v>0.37004456755451898</v>
      </c>
      <c r="AG11" s="109">
        <f>SUM(AE11-AA11)*10000</f>
        <v>-954.60845386857068</v>
      </c>
    </row>
    <row r="12" spans="2:33" ht="12.75" customHeight="1">
      <c r="B12" s="14" t="s">
        <v>27</v>
      </c>
      <c r="C12" s="15" t="s">
        <v>28</v>
      </c>
      <c r="D12" s="15" t="s">
        <v>28</v>
      </c>
      <c r="E12" s="15" t="s">
        <v>28</v>
      </c>
      <c r="F12" s="15" t="s">
        <v>28</v>
      </c>
      <c r="G12" s="11"/>
      <c r="H12" s="98"/>
      <c r="I12" s="15">
        <f>SUM(I10/H10)-1</f>
        <v>0.10489901112758004</v>
      </c>
      <c r="J12" s="15">
        <f>SUM(J10/I10)-1</f>
        <v>-4.6501384029352444E-2</v>
      </c>
      <c r="K12" s="15">
        <f>SUM(K10/J10)-1</f>
        <v>0.17021192824782583</v>
      </c>
      <c r="L12" s="15">
        <f>SUM(L10/K10)-1</f>
        <v>0.11377109852520562</v>
      </c>
      <c r="M12" s="15">
        <f t="shared" ref="M12:S12" si="15">SUM(M10/L10)-1</f>
        <v>0.19044118683629163</v>
      </c>
      <c r="N12" s="15">
        <f t="shared" si="15"/>
        <v>-2.5296476121195677E-2</v>
      </c>
      <c r="O12" s="15">
        <f t="shared" si="15"/>
        <v>0.14410655428989005</v>
      </c>
      <c r="P12" s="15">
        <f t="shared" si="15"/>
        <v>5.9609972921106813E-2</v>
      </c>
      <c r="Q12" s="15">
        <f t="shared" si="15"/>
        <v>0.24038231643327856</v>
      </c>
      <c r="R12" s="15">
        <f t="shared" si="15"/>
        <v>-9.6085902160827685E-2</v>
      </c>
      <c r="S12" s="15">
        <f t="shared" si="15"/>
        <v>0.11911371489425826</v>
      </c>
      <c r="T12" s="15">
        <f t="shared" ref="T12" si="16">SUM(T10/S10)-1</f>
        <v>6.4947467869139519E-2</v>
      </c>
      <c r="U12" s="5"/>
      <c r="V12" s="15" t="s">
        <v>28</v>
      </c>
      <c r="W12" s="15" t="s">
        <v>28</v>
      </c>
      <c r="X12" s="15" t="s">
        <v>28</v>
      </c>
      <c r="Y12" s="15" t="s">
        <v>28</v>
      </c>
      <c r="Z12" s="15" t="s">
        <v>28</v>
      </c>
      <c r="AA12" s="15" t="s">
        <v>28</v>
      </c>
      <c r="AB12" s="15" t="s">
        <v>28</v>
      </c>
      <c r="AC12" s="15" t="s">
        <v>28</v>
      </c>
      <c r="AD12" s="15" t="s">
        <v>28</v>
      </c>
      <c r="AE12" s="15" t="s">
        <v>28</v>
      </c>
      <c r="AG12" s="106"/>
    </row>
    <row r="13" spans="2:33" ht="5.0999999999999996" customHeight="1">
      <c r="B13" s="16"/>
      <c r="C13" s="17"/>
      <c r="D13" s="17"/>
      <c r="E13" s="17"/>
      <c r="F13" s="17"/>
      <c r="G13" s="18"/>
      <c r="H13" s="19"/>
      <c r="I13" s="19"/>
      <c r="J13" s="19"/>
      <c r="K13" s="19"/>
      <c r="L13" s="19"/>
      <c r="M13" s="19"/>
      <c r="N13" s="19"/>
      <c r="O13" s="20"/>
      <c r="P13" s="19"/>
      <c r="Q13" s="19"/>
      <c r="R13" s="19"/>
      <c r="S13" s="19"/>
      <c r="T13" s="19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G13" s="106"/>
    </row>
    <row r="14" spans="2:33" ht="12.75" customHeight="1">
      <c r="B14" s="21" t="s">
        <v>185</v>
      </c>
      <c r="C14" s="79">
        <f>'Historical Financials'!C13</f>
        <v>-204.08099999999999</v>
      </c>
      <c r="D14" s="79">
        <f>'Historical Financials'!D13</f>
        <v>-140.26499999999999</v>
      </c>
      <c r="E14" s="79">
        <f>'Historical Financials'!E13</f>
        <v>-180.39500000000001</v>
      </c>
      <c r="F14" s="79">
        <f>'Historical Financials'!F13</f>
        <v>-242.26400000000001</v>
      </c>
      <c r="G14" s="10"/>
      <c r="H14" s="79">
        <f>'Historical Financials'!H13</f>
        <v>-35.61</v>
      </c>
      <c r="I14" s="79">
        <f>'Historical Financials'!I13</f>
        <v>-38.421999999999997</v>
      </c>
      <c r="J14" s="79">
        <f>'Historical Financials'!J13</f>
        <v>-31.224</v>
      </c>
      <c r="K14" s="79">
        <f>'Historical Financials'!K13</f>
        <v>-35.008999999999986</v>
      </c>
      <c r="L14" s="79">
        <f>'Historical Financials'!L13</f>
        <v>-34.866</v>
      </c>
      <c r="M14" s="79">
        <f>'Historical Financials'!M13</f>
        <v>-53.63</v>
      </c>
      <c r="N14" s="79">
        <f>'Historical Financials'!N13</f>
        <v>-44.143000000000001</v>
      </c>
      <c r="O14" s="79">
        <f>'Historical Financials'!O13</f>
        <v>-47.756</v>
      </c>
      <c r="P14" s="79">
        <f>'Historical Financials'!P13</f>
        <v>-54.237000000000002</v>
      </c>
      <c r="Q14" s="79">
        <f>'Historical Financials'!Q13</f>
        <v>-70.278000000000006</v>
      </c>
      <c r="R14" s="79">
        <f>'Historical Financials'!R13</f>
        <v>-57.29</v>
      </c>
      <c r="S14" s="79">
        <f>'Historical Financials'!S13</f>
        <v>-60.459000000000003</v>
      </c>
      <c r="T14" s="79">
        <f>'Historical Financials'!T13</f>
        <v>-71.552000000000007</v>
      </c>
      <c r="U14" s="5"/>
      <c r="V14" s="130">
        <f t="shared" ref="V14:V17" si="17">SUM(H14:K14)</f>
        <v>-140.26499999999999</v>
      </c>
      <c r="W14" s="130">
        <f t="shared" ref="W14:W17" si="18">SUM(I14:L14)</f>
        <v>-139.52099999999999</v>
      </c>
      <c r="X14" s="130">
        <f t="shared" ref="X14:X17" si="19">SUM(J14:M14)</f>
        <v>-154.72899999999998</v>
      </c>
      <c r="Y14" s="130">
        <f t="shared" ref="Y14:Y17" si="20">SUM(K14:N14)</f>
        <v>-167.648</v>
      </c>
      <c r="Z14" s="130">
        <f t="shared" ref="Z14:Z17" si="21">SUM(L14:O14)</f>
        <v>-180.39500000000001</v>
      </c>
      <c r="AA14" s="130">
        <f t="shared" ref="AA14:AA17" si="22">SUM(M14:P14)</f>
        <v>-199.76599999999999</v>
      </c>
      <c r="AB14" s="130">
        <f t="shared" ref="AB14:AB17" si="23">SUM(N14:Q14)</f>
        <v>-216.41399999999999</v>
      </c>
      <c r="AC14" s="130">
        <f t="shared" ref="AC14:AC17" si="24">SUM(O14:R14)</f>
        <v>-229.56100000000001</v>
      </c>
      <c r="AD14" s="130">
        <f t="shared" ref="AD14:AD17" si="25">SUM(P14:S14)</f>
        <v>-242.26400000000001</v>
      </c>
      <c r="AE14" s="130">
        <f t="shared" ref="AE14:AE17" si="26">SUM(Q14:T14)</f>
        <v>-259.57900000000001</v>
      </c>
      <c r="AG14" s="107">
        <f t="shared" ref="AG14:AG17" si="27">SUM(AE14/AA14)-1</f>
        <v>0.299415315919626</v>
      </c>
    </row>
    <row r="15" spans="2:33" ht="12.75" customHeight="1">
      <c r="B15" s="21" t="s">
        <v>186</v>
      </c>
      <c r="C15" s="79">
        <f>'Historical Financials'!C14</f>
        <v>-255.27200000000002</v>
      </c>
      <c r="D15" s="79">
        <f>'Historical Financials'!D14</f>
        <v>-331.86</v>
      </c>
      <c r="E15" s="79">
        <f>'Historical Financials'!E14</f>
        <v>-460.62799999999999</v>
      </c>
      <c r="F15" s="79">
        <f>'Historical Financials'!F14</f>
        <v>-616.68299999999999</v>
      </c>
      <c r="G15" s="10"/>
      <c r="H15" s="79">
        <f>'Historical Financials'!H14</f>
        <v>-64.25</v>
      </c>
      <c r="I15" s="79">
        <f>'Historical Financials'!I14</f>
        <v>-106.68899999999999</v>
      </c>
      <c r="J15" s="79">
        <f>'Historical Financials'!J14</f>
        <v>-66.438000000000002</v>
      </c>
      <c r="K15" s="79">
        <f>'Historical Financials'!K14</f>
        <v>-94.483000000000004</v>
      </c>
      <c r="L15" s="79">
        <f>'Historical Financials'!L14</f>
        <v>-99.695999999999998</v>
      </c>
      <c r="M15" s="79">
        <f>'Historical Financials'!M14</f>
        <v>-120.88</v>
      </c>
      <c r="N15" s="79">
        <f>'Historical Financials'!N14</f>
        <v>-122.443</v>
      </c>
      <c r="O15" s="79">
        <f>'Historical Financials'!O14</f>
        <v>-117.60899999999998</v>
      </c>
      <c r="P15" s="79">
        <f>'Historical Financials'!P14</f>
        <v>-159.82400000000001</v>
      </c>
      <c r="Q15" s="79">
        <f>'Historical Financials'!Q14</f>
        <v>-152.97999999999999</v>
      </c>
      <c r="R15" s="79">
        <f>'Historical Financials'!R14</f>
        <v>-147.25200000000001</v>
      </c>
      <c r="S15" s="79">
        <f>'Historical Financials'!S14</f>
        <v>-156.62700000000001</v>
      </c>
      <c r="T15" s="79">
        <f>'Historical Financials'!T14</f>
        <v>-162.75200000000001</v>
      </c>
      <c r="U15" s="5"/>
      <c r="V15" s="130">
        <f t="shared" si="17"/>
        <v>-331.86</v>
      </c>
      <c r="W15" s="130">
        <f t="shared" si="18"/>
        <v>-367.30600000000004</v>
      </c>
      <c r="X15" s="130">
        <f t="shared" si="19"/>
        <v>-381.49699999999996</v>
      </c>
      <c r="Y15" s="130">
        <f t="shared" si="20"/>
        <v>-437.50199999999995</v>
      </c>
      <c r="Z15" s="130">
        <f t="shared" si="21"/>
        <v>-460.62799999999999</v>
      </c>
      <c r="AA15" s="130">
        <f t="shared" si="22"/>
        <v>-520.75599999999997</v>
      </c>
      <c r="AB15" s="130">
        <f t="shared" si="23"/>
        <v>-552.85599999999999</v>
      </c>
      <c r="AC15" s="130">
        <f t="shared" si="24"/>
        <v>-577.66499999999996</v>
      </c>
      <c r="AD15" s="130">
        <f t="shared" si="25"/>
        <v>-616.68299999999999</v>
      </c>
      <c r="AE15" s="130">
        <f t="shared" si="26"/>
        <v>-619.61099999999999</v>
      </c>
      <c r="AG15" s="107">
        <f t="shared" si="27"/>
        <v>0.18982978592661448</v>
      </c>
    </row>
    <row r="16" spans="2:33" ht="12.75" customHeight="1">
      <c r="B16" s="21" t="s">
        <v>187</v>
      </c>
      <c r="C16" s="79">
        <f>'Historical Financials'!C15</f>
        <v>-69.694000000000003</v>
      </c>
      <c r="D16" s="79">
        <f>'Historical Financials'!D15</f>
        <v>-183.01300000000001</v>
      </c>
      <c r="E16" s="79">
        <f>'Historical Financials'!E15</f>
        <v>-344.25300000000004</v>
      </c>
      <c r="F16" s="79">
        <f>'Historical Financials'!F15</f>
        <v>-425.45000000000005</v>
      </c>
      <c r="G16" s="10"/>
      <c r="H16" s="79">
        <f>'Historical Financials'!H15</f>
        <v>-25.065999999999999</v>
      </c>
      <c r="I16" s="79">
        <f>'Historical Financials'!I15</f>
        <v>-43.750999999999998</v>
      </c>
      <c r="J16" s="79">
        <f>'Historical Financials'!J15</f>
        <v>-51.188000000000002</v>
      </c>
      <c r="K16" s="79">
        <f>'Historical Financials'!K15</f>
        <v>-63.00800000000001</v>
      </c>
      <c r="L16" s="79">
        <f>'Historical Financials'!L15</f>
        <v>-73.930999999999997</v>
      </c>
      <c r="M16" s="79">
        <f>'Historical Financials'!M15</f>
        <v>-84.617000000000004</v>
      </c>
      <c r="N16" s="79">
        <f>'Historical Financials'!N15</f>
        <v>-90.448999999999998</v>
      </c>
      <c r="O16" s="79">
        <f>'Historical Financials'!O15</f>
        <v>-95.256000000000029</v>
      </c>
      <c r="P16" s="79">
        <f>'Historical Financials'!P15</f>
        <v>-104.145</v>
      </c>
      <c r="Q16" s="79">
        <f>'Historical Financials'!Q15</f>
        <v>-107.762</v>
      </c>
      <c r="R16" s="79">
        <f>'Historical Financials'!R15</f>
        <v>-107.631</v>
      </c>
      <c r="S16" s="79">
        <f>'Historical Financials'!S15</f>
        <v>-105.91200000000003</v>
      </c>
      <c r="T16" s="79">
        <f>'Historical Financials'!T15</f>
        <v>-110.027</v>
      </c>
      <c r="U16" s="5"/>
      <c r="V16" s="130">
        <f t="shared" si="17"/>
        <v>-183.01300000000001</v>
      </c>
      <c r="W16" s="130">
        <f t="shared" si="18"/>
        <v>-231.87799999999999</v>
      </c>
      <c r="X16" s="130">
        <f t="shared" si="19"/>
        <v>-272.74400000000003</v>
      </c>
      <c r="Y16" s="130">
        <f t="shared" si="20"/>
        <v>-312.00500000000005</v>
      </c>
      <c r="Z16" s="130">
        <f t="shared" si="21"/>
        <v>-344.25300000000004</v>
      </c>
      <c r="AA16" s="130">
        <f t="shared" si="22"/>
        <v>-374.46699999999998</v>
      </c>
      <c r="AB16" s="130">
        <f t="shared" si="23"/>
        <v>-397.61200000000002</v>
      </c>
      <c r="AC16" s="130">
        <f t="shared" si="24"/>
        <v>-414.79399999999998</v>
      </c>
      <c r="AD16" s="130">
        <f t="shared" si="25"/>
        <v>-425.45000000000005</v>
      </c>
      <c r="AE16" s="130">
        <f t="shared" si="26"/>
        <v>-431.33200000000005</v>
      </c>
      <c r="AG16" s="107">
        <f t="shared" si="27"/>
        <v>0.15185583776407552</v>
      </c>
    </row>
    <row r="17" spans="2:33" ht="12.75" customHeight="1">
      <c r="B17" s="21" t="s">
        <v>188</v>
      </c>
      <c r="C17" s="79">
        <f>'Historical Financials'!C16</f>
        <v>-157.81399999999999</v>
      </c>
      <c r="D17" s="79">
        <f>'Historical Financials'!D16</f>
        <v>-257.34300000000002</v>
      </c>
      <c r="E17" s="79">
        <f>'Historical Financials'!E16</f>
        <v>-343.24900000000002</v>
      </c>
      <c r="F17" s="79">
        <f>'Historical Financials'!F16</f>
        <v>-457.84900000000005</v>
      </c>
      <c r="G17" s="10"/>
      <c r="H17" s="79">
        <f>'Historical Financials'!H16</f>
        <v>-54.359000000000002</v>
      </c>
      <c r="I17" s="79">
        <f>'Historical Financials'!I16</f>
        <v>-66.507999999999996</v>
      </c>
      <c r="J17" s="79">
        <f>'Historical Financials'!J16</f>
        <v>-65.228999999999999</v>
      </c>
      <c r="K17" s="79">
        <f>'Historical Financials'!K16</f>
        <v>-71.247000000000014</v>
      </c>
      <c r="L17" s="79">
        <f>'Historical Financials'!L16</f>
        <v>-75.671000000000006</v>
      </c>
      <c r="M17" s="79">
        <f>'Historical Financials'!M16</f>
        <v>-90.203000000000003</v>
      </c>
      <c r="N17" s="79">
        <f>'Historical Financials'!N16</f>
        <v>-88.209000000000003</v>
      </c>
      <c r="O17" s="79">
        <f>'Historical Financials'!O16</f>
        <v>-89.165999999999997</v>
      </c>
      <c r="P17" s="79">
        <f>'Historical Financials'!P16</f>
        <v>-95.146000000000001</v>
      </c>
      <c r="Q17" s="79">
        <f>'Historical Financials'!Q16</f>
        <v>-115.96</v>
      </c>
      <c r="R17" s="79">
        <f>'Historical Financials'!R16</f>
        <v>-118.398</v>
      </c>
      <c r="S17" s="79">
        <f>'Historical Financials'!S16</f>
        <v>-128.34500000000003</v>
      </c>
      <c r="T17" s="79">
        <f>'Historical Financials'!T16</f>
        <v>-133.80699999999999</v>
      </c>
      <c r="U17" s="5"/>
      <c r="V17" s="130">
        <f t="shared" si="17"/>
        <v>-257.34300000000002</v>
      </c>
      <c r="W17" s="130">
        <f t="shared" si="18"/>
        <v>-278.65500000000003</v>
      </c>
      <c r="X17" s="130">
        <f t="shared" si="19"/>
        <v>-302.35000000000002</v>
      </c>
      <c r="Y17" s="130">
        <f t="shared" si="20"/>
        <v>-325.33000000000004</v>
      </c>
      <c r="Z17" s="130">
        <f t="shared" si="21"/>
        <v>-343.24900000000002</v>
      </c>
      <c r="AA17" s="130">
        <f t="shared" si="22"/>
        <v>-362.72399999999999</v>
      </c>
      <c r="AB17" s="130">
        <f t="shared" si="23"/>
        <v>-388.48099999999999</v>
      </c>
      <c r="AC17" s="130">
        <f t="shared" si="24"/>
        <v>-418.66999999999996</v>
      </c>
      <c r="AD17" s="130">
        <f t="shared" si="25"/>
        <v>-457.84900000000005</v>
      </c>
      <c r="AE17" s="130">
        <f t="shared" si="26"/>
        <v>-496.51</v>
      </c>
      <c r="AG17" s="107">
        <f t="shared" si="27"/>
        <v>0.36883691181173561</v>
      </c>
    </row>
    <row r="18" spans="2:33" ht="12.75" customHeight="1">
      <c r="B18" s="23" t="s">
        <v>20</v>
      </c>
      <c r="C18" s="24">
        <f>SUM(C10+SUM(C14:C17))</f>
        <v>662.43099999999993</v>
      </c>
      <c r="D18" s="24">
        <f>SUM(D10+SUM(D14:D17))</f>
        <v>675.50400000000013</v>
      </c>
      <c r="E18" s="24">
        <f>SUM(E10+SUM(E14:E17))</f>
        <v>994.47400000000016</v>
      </c>
      <c r="F18" s="24">
        <f>SUM(F10+SUM(F14:F17))</f>
        <v>1482.1639999999998</v>
      </c>
      <c r="G18" s="5"/>
      <c r="H18" s="24">
        <f>SUM(H10+SUM(H14:H17))</f>
        <v>182.33900000000003</v>
      </c>
      <c r="I18" s="24">
        <f>SUM(I10+SUM(I14:I17))</f>
        <v>144.18799999999999</v>
      </c>
      <c r="J18" s="24">
        <f>SUM(J10+SUM(J14:J17))</f>
        <v>166.899</v>
      </c>
      <c r="K18" s="24">
        <f>SUM(K10+SUM(K14:K17))</f>
        <v>182.07800000000015</v>
      </c>
      <c r="L18" s="24">
        <f>SUM(L10+SUM(L14:L17))</f>
        <v>212.38299999999998</v>
      </c>
      <c r="M18" s="24">
        <f>SUM(M10+SUM(M14:M17))</f>
        <v>241.77999999999997</v>
      </c>
      <c r="N18" s="24">
        <f>SUM(N10+SUM(N14:N17))</f>
        <v>230.91300000000001</v>
      </c>
      <c r="O18" s="24">
        <f>SUM(O10+SUM(O14:O17))</f>
        <v>309.3980000000002</v>
      </c>
      <c r="P18" s="24">
        <f>SUM(P10+SUM(P14:P17))</f>
        <v>285.12700000000001</v>
      </c>
      <c r="Q18" s="24">
        <f>SUM(Q10+SUM(Q14:Q17))</f>
        <v>419.40100000000012</v>
      </c>
      <c r="R18" s="24">
        <f>SUM(R10+SUM(R14:R17))</f>
        <v>352.56299999999999</v>
      </c>
      <c r="S18" s="24">
        <f>SUM(S10+SUM(S14:S17))</f>
        <v>425.07299999999998</v>
      </c>
      <c r="T18" s="24">
        <f>SUM(T10+SUM(T14:T17))</f>
        <v>455.19899999999984</v>
      </c>
      <c r="U18" s="5"/>
      <c r="V18" s="24">
        <f>SUM(V10+SUM(V14:V17))</f>
        <v>675.50400000000013</v>
      </c>
      <c r="W18" s="24">
        <f>SUM(W10+SUM(W14:W17))</f>
        <v>705.54800000000023</v>
      </c>
      <c r="X18" s="24">
        <f>SUM(X10+SUM(X14:X17))</f>
        <v>803.1400000000001</v>
      </c>
      <c r="Y18" s="24">
        <f>SUM(Y10+SUM(Y14:Y17))</f>
        <v>867.15400000000045</v>
      </c>
      <c r="Z18" s="24">
        <f>SUM(Z10+SUM(Z14:Z17))</f>
        <v>994.47400000000016</v>
      </c>
      <c r="AA18" s="24">
        <f>SUM(AA10+SUM(AA14:AA17))</f>
        <v>1067.2180000000005</v>
      </c>
      <c r="AB18" s="24">
        <f>SUM(AB10+SUM(AB14:AB17))</f>
        <v>1244.8390000000002</v>
      </c>
      <c r="AC18" s="24">
        <f>SUM(AC10+SUM(AC14:AC17))</f>
        <v>1366.489</v>
      </c>
      <c r="AD18" s="24">
        <f>SUM(AD10+SUM(AD14:AD17))</f>
        <v>1482.1639999999998</v>
      </c>
      <c r="AE18" s="24">
        <f>SUM(AE10+SUM(AE14:AE17))</f>
        <v>1652.2359999999999</v>
      </c>
      <c r="AG18" s="108">
        <f>SUM(AE18/AA18)-1</f>
        <v>0.54817103909416742</v>
      </c>
    </row>
    <row r="19" spans="2:33" ht="12.75" customHeight="1">
      <c r="B19" s="14" t="s">
        <v>29</v>
      </c>
      <c r="C19" s="15">
        <f>C18/C10</f>
        <v>0.49094710411089665</v>
      </c>
      <c r="D19" s="15">
        <f>D18/D10</f>
        <v>0.42538437075916968</v>
      </c>
      <c r="E19" s="15">
        <f>E18/E10</f>
        <v>0.42809919418820241</v>
      </c>
      <c r="F19" s="15">
        <f>F18/F10</f>
        <v>0.45966983106987008</v>
      </c>
      <c r="G19" s="25"/>
      <c r="H19" s="15">
        <f>H18/H10</f>
        <v>0.50422261796783407</v>
      </c>
      <c r="I19" s="15">
        <f>I18/I10</f>
        <v>0.36086875997977763</v>
      </c>
      <c r="J19" s="15">
        <f>J18/J10</f>
        <v>0.43808041409215231</v>
      </c>
      <c r="K19" s="15">
        <f>K18/K10</f>
        <v>0.40840688611002091</v>
      </c>
      <c r="L19" s="15">
        <f>L18/L10</f>
        <v>0.42771983316785722</v>
      </c>
      <c r="M19" s="15">
        <f>M18/M10</f>
        <v>0.40902708463737708</v>
      </c>
      <c r="N19" s="15">
        <f>N18/N10</f>
        <v>0.40078138424075382</v>
      </c>
      <c r="O19" s="15">
        <f>O18/O10</f>
        <v>0.46936444245545655</v>
      </c>
      <c r="P19" s="15">
        <f>P18/P10</f>
        <v>0.40821127048916289</v>
      </c>
      <c r="Q19" s="15">
        <f>Q18/Q10</f>
        <v>0.48408379223459436</v>
      </c>
      <c r="R19" s="15">
        <f>R18/R10</f>
        <v>0.45019498578787281</v>
      </c>
      <c r="S19" s="15">
        <f>S18/S10</f>
        <v>0.48501282495983639</v>
      </c>
      <c r="T19" s="15">
        <f>T18/T10</f>
        <v>0.4877112982770424</v>
      </c>
      <c r="U19" s="26"/>
      <c r="V19" s="15">
        <f>V18/V10</f>
        <v>0.42538437075916968</v>
      </c>
      <c r="W19" s="15">
        <f>W18/W10</f>
        <v>0.40950996803079454</v>
      </c>
      <c r="X19" s="15">
        <f>X18/X10</f>
        <v>0.41951255184229502</v>
      </c>
      <c r="Y19" s="15">
        <f>Y18/Y10</f>
        <v>0.41104378521633333</v>
      </c>
      <c r="Z19" s="15">
        <f>Z18/Z10</f>
        <v>0.42809919418820241</v>
      </c>
      <c r="AA19" s="15">
        <f>AA18/AA10</f>
        <v>0.42267214430810202</v>
      </c>
      <c r="AB19" s="15">
        <f>AB18/AB10</f>
        <v>0.44455328579866743</v>
      </c>
      <c r="AC19" s="15">
        <f>AC18/AC10</f>
        <v>0.45440893275724525</v>
      </c>
      <c r="AD19" s="15">
        <f>AD18/AD10</f>
        <v>0.45966983106987008</v>
      </c>
      <c r="AE19" s="15">
        <f>AE18/AE10</f>
        <v>0.47762590235853364</v>
      </c>
      <c r="AG19" s="109">
        <f>SUM(AE19-AA19)*10000</f>
        <v>549.53758050431622</v>
      </c>
    </row>
    <row r="20" spans="2:33" ht="5.0999999999999996" customHeight="1">
      <c r="B20" s="27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5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G20" s="106"/>
    </row>
    <row r="21" spans="2:33" ht="12.75" customHeight="1">
      <c r="B21" s="21" t="s">
        <v>189</v>
      </c>
      <c r="C21" s="131">
        <f>'Historical Financials'!C20</f>
        <v>-418.64300000000003</v>
      </c>
      <c r="D21" s="131">
        <f>'Historical Financials'!D20</f>
        <v>-615.81799999999998</v>
      </c>
      <c r="E21" s="131">
        <f>'Historical Financials'!E20</f>
        <v>-501.85699999999997</v>
      </c>
      <c r="F21" s="131">
        <f>'Historical Financials'!F20</f>
        <v>-589.72299999999996</v>
      </c>
      <c r="G21" s="79"/>
      <c r="H21" s="131">
        <f>'Historical Financials'!H20</f>
        <v>-144.96100000000001</v>
      </c>
      <c r="I21" s="131">
        <f>'Historical Financials'!I20</f>
        <v>-156.74700000000001</v>
      </c>
      <c r="J21" s="131">
        <f>'Historical Financials'!J20</f>
        <v>-161.792</v>
      </c>
      <c r="K21" s="131">
        <f>'Historical Financials'!K20</f>
        <v>-152.31799999999998</v>
      </c>
      <c r="L21" s="131">
        <f>'Historical Financials'!L20</f>
        <v>-132.965</v>
      </c>
      <c r="M21" s="131">
        <f>'Historical Financials'!M20</f>
        <v>-119.833</v>
      </c>
      <c r="N21" s="131">
        <f>'Historical Financials'!N20</f>
        <v>-124.828</v>
      </c>
      <c r="O21" s="131">
        <f>'Historical Financials'!O20</f>
        <v>-124.23099999999999</v>
      </c>
      <c r="P21" s="131">
        <f>'Historical Financials'!P20</f>
        <v>-134.29</v>
      </c>
      <c r="Q21" s="131">
        <f>'Historical Financials'!Q20</f>
        <v>-148.21299999999999</v>
      </c>
      <c r="R21" s="131">
        <f>'Historical Financials'!R20</f>
        <v>-152.62</v>
      </c>
      <c r="S21" s="131">
        <f>'Historical Financials'!S20</f>
        <v>-154.59999999999997</v>
      </c>
      <c r="T21" s="131">
        <f>'Historical Financials'!T20</f>
        <v>-168.10599999999999</v>
      </c>
      <c r="U21" s="5"/>
      <c r="V21" s="130">
        <f t="shared" ref="V21" si="28">SUM(H21:K21)</f>
        <v>-615.81799999999998</v>
      </c>
      <c r="W21" s="130">
        <f t="shared" ref="W21" si="29">SUM(I21:L21)</f>
        <v>-603.822</v>
      </c>
      <c r="X21" s="130">
        <f t="shared" ref="X21" si="30">SUM(J21:M21)</f>
        <v>-566.90800000000002</v>
      </c>
      <c r="Y21" s="130">
        <f t="shared" ref="Y21" si="31">SUM(K21:N21)</f>
        <v>-529.94399999999996</v>
      </c>
      <c r="Z21" s="130">
        <f t="shared" ref="Z21" si="32">SUM(L21:O21)</f>
        <v>-501.85699999999997</v>
      </c>
      <c r="AA21" s="130">
        <f t="shared" ref="AA21" si="33">SUM(M21:P21)</f>
        <v>-503.18200000000002</v>
      </c>
      <c r="AB21" s="130">
        <f t="shared" ref="AB21" si="34">SUM(N21:Q21)</f>
        <v>-531.56200000000001</v>
      </c>
      <c r="AC21" s="130">
        <f t="shared" ref="AC21" si="35">SUM(O21:R21)</f>
        <v>-559.35399999999993</v>
      </c>
      <c r="AD21" s="130">
        <f t="shared" ref="AD21" si="36">SUM(P21:S21)</f>
        <v>-589.72299999999996</v>
      </c>
      <c r="AE21" s="130">
        <f t="shared" ref="AE21" si="37">SUM(Q21:T21)</f>
        <v>-623.53899999999999</v>
      </c>
      <c r="AG21" s="107">
        <f>SUM(AE21/AA21)-1</f>
        <v>0.23919178348987047</v>
      </c>
    </row>
    <row r="22" spans="2:33" ht="12.75" customHeight="1">
      <c r="B22" s="21" t="s">
        <v>190</v>
      </c>
      <c r="C22" s="131">
        <f>'Historical Financials'!C21</f>
        <v>-532.34299999999996</v>
      </c>
      <c r="D22" s="131">
        <f>'Historical Financials'!D21</f>
        <v>-638.28</v>
      </c>
      <c r="E22" s="131">
        <f>'Historical Financials'!E21</f>
        <v>-576.40499999999997</v>
      </c>
      <c r="F22" s="131">
        <f>'Historical Financials'!F21</f>
        <v>-434.84699999999998</v>
      </c>
      <c r="G22" s="79"/>
      <c r="H22" s="131">
        <f>'Historical Financials'!H21</f>
        <v>-163.87299999999999</v>
      </c>
      <c r="I22" s="131">
        <f>'Historical Financials'!I21</f>
        <v>-188.334</v>
      </c>
      <c r="J22" s="131">
        <f>'Historical Financials'!J21</f>
        <v>-140.94200000000001</v>
      </c>
      <c r="K22" s="131">
        <f>'Historical Financials'!K21</f>
        <v>-145.13099999999997</v>
      </c>
      <c r="L22" s="131">
        <f>'Historical Financials'!L21</f>
        <v>-146.86600000000001</v>
      </c>
      <c r="M22" s="131">
        <f>'Historical Financials'!M21</f>
        <v>-161.26499999999999</v>
      </c>
      <c r="N22" s="131">
        <f>'Historical Financials'!N21</f>
        <v>-132.94999999999999</v>
      </c>
      <c r="O22" s="131">
        <f>'Historical Financials'!O21</f>
        <v>-135.32400000000001</v>
      </c>
      <c r="P22" s="131">
        <f>'Historical Financials'!P21</f>
        <v>-145.233</v>
      </c>
      <c r="Q22" s="131">
        <f>'Historical Financials'!Q21</f>
        <v>-136.03800000000001</v>
      </c>
      <c r="R22" s="131">
        <f>'Historical Financials'!R21</f>
        <v>-74.022000000000006</v>
      </c>
      <c r="S22" s="131">
        <f>'Historical Financials'!S21</f>
        <v>-79.553999999999974</v>
      </c>
      <c r="T22" s="131">
        <f>'Historical Financials'!T21</f>
        <v>-78.491</v>
      </c>
      <c r="U22" s="5"/>
      <c r="V22" s="130">
        <f t="shared" ref="V22:V24" si="38">SUM(H22:K22)</f>
        <v>-638.28</v>
      </c>
      <c r="W22" s="130">
        <f t="shared" ref="W22:W24" si="39">SUM(I22:L22)</f>
        <v>-621.27300000000002</v>
      </c>
      <c r="X22" s="130">
        <f t="shared" ref="X22:X24" si="40">SUM(J22:M22)</f>
        <v>-594.20399999999995</v>
      </c>
      <c r="Y22" s="130">
        <f t="shared" ref="Y22:Y24" si="41">SUM(K22:N22)</f>
        <v>-586.21199999999999</v>
      </c>
      <c r="Z22" s="130">
        <f t="shared" ref="Z22:Z24" si="42">SUM(L22:O22)</f>
        <v>-576.40499999999997</v>
      </c>
      <c r="AA22" s="130">
        <f t="shared" ref="AA22:AA24" si="43">SUM(M22:P22)</f>
        <v>-574.77199999999993</v>
      </c>
      <c r="AB22" s="130">
        <f t="shared" ref="AB22:AB24" si="44">SUM(N22:Q22)</f>
        <v>-549.54500000000007</v>
      </c>
      <c r="AC22" s="130">
        <f t="shared" ref="AC22:AC24" si="45">SUM(O22:R22)</f>
        <v>-490.61700000000002</v>
      </c>
      <c r="AD22" s="130">
        <f t="shared" ref="AD22:AD24" si="46">SUM(P22:S22)</f>
        <v>-434.84699999999998</v>
      </c>
      <c r="AE22" s="130">
        <f t="shared" ref="AE22:AE24" si="47">SUM(Q22:T22)</f>
        <v>-368.10499999999996</v>
      </c>
      <c r="AG22" s="107">
        <f t="shared" ref="AG22:AG24" si="48">SUM(AE22/AA22)-1</f>
        <v>-0.359563444287474</v>
      </c>
    </row>
    <row r="23" spans="2:33" ht="12.75" customHeight="1">
      <c r="B23" s="21" t="s">
        <v>191</v>
      </c>
      <c r="C23" s="131">
        <f>'Historical Financials'!C22</f>
        <v>-577.49299999999994</v>
      </c>
      <c r="D23" s="131">
        <f>'Historical Financials'!D22</f>
        <v>-586.39799999999991</v>
      </c>
      <c r="E23" s="131">
        <f>'Historical Financials'!E22</f>
        <v>-525.29099999999994</v>
      </c>
      <c r="F23" s="131">
        <f>'Historical Financials'!F22</f>
        <v>-545.053</v>
      </c>
      <c r="G23" s="79"/>
      <c r="H23" s="131">
        <f>'Historical Financials'!H22</f>
        <v>-160.97200000000001</v>
      </c>
      <c r="I23" s="131">
        <f>'Historical Financials'!I22</f>
        <v>-158.63900000000001</v>
      </c>
      <c r="J23" s="131">
        <f>'Historical Financials'!J22</f>
        <v>-139.26599999999999</v>
      </c>
      <c r="K23" s="131">
        <f>'Historical Financials'!K22</f>
        <v>-127.52099999999996</v>
      </c>
      <c r="L23" s="131">
        <f>'Historical Financials'!L22</f>
        <v>-140.334</v>
      </c>
      <c r="M23" s="131">
        <f>'Historical Financials'!M22</f>
        <v>-132.77699999999999</v>
      </c>
      <c r="N23" s="131">
        <f>'Historical Financials'!N22</f>
        <v>-128.721</v>
      </c>
      <c r="O23" s="131">
        <f>'Historical Financials'!O22</f>
        <v>-123.45899999999995</v>
      </c>
      <c r="P23" s="131">
        <f>'Historical Financials'!P22</f>
        <v>-138.482</v>
      </c>
      <c r="Q23" s="131">
        <f>'Historical Financials'!Q22</f>
        <v>-139.41200000000001</v>
      </c>
      <c r="R23" s="131">
        <f>'Historical Financials'!R22</f>
        <v>-134.303</v>
      </c>
      <c r="S23" s="131">
        <f>'Historical Financials'!S22</f>
        <v>-132.85599999999999</v>
      </c>
      <c r="T23" s="131">
        <f>'Historical Financials'!T22</f>
        <v>-144.941</v>
      </c>
      <c r="U23" s="5"/>
      <c r="V23" s="130">
        <f t="shared" si="38"/>
        <v>-586.39799999999991</v>
      </c>
      <c r="W23" s="130">
        <f t="shared" si="39"/>
        <v>-565.76</v>
      </c>
      <c r="X23" s="130">
        <f t="shared" si="40"/>
        <v>-539.89799999999991</v>
      </c>
      <c r="Y23" s="130">
        <f t="shared" si="41"/>
        <v>-529.35299999999995</v>
      </c>
      <c r="Z23" s="130">
        <f t="shared" si="42"/>
        <v>-525.29099999999994</v>
      </c>
      <c r="AA23" s="130">
        <f t="shared" si="43"/>
        <v>-523.43899999999996</v>
      </c>
      <c r="AB23" s="130">
        <f t="shared" si="44"/>
        <v>-530.07399999999996</v>
      </c>
      <c r="AC23" s="130">
        <f t="shared" si="45"/>
        <v>-535.65599999999995</v>
      </c>
      <c r="AD23" s="130">
        <f t="shared" si="46"/>
        <v>-545.053</v>
      </c>
      <c r="AE23" s="130">
        <f t="shared" si="47"/>
        <v>-551.51200000000006</v>
      </c>
      <c r="AG23" s="107">
        <f t="shared" si="48"/>
        <v>5.3631846308739073E-2</v>
      </c>
    </row>
    <row r="24" spans="2:33" ht="12.75" customHeight="1">
      <c r="B24" s="21" t="s">
        <v>192</v>
      </c>
      <c r="C24" s="131">
        <f>'Historical Financials'!C23</f>
        <v>0</v>
      </c>
      <c r="D24" s="131">
        <f>'Historical Financials'!D23</f>
        <v>-35.869999999999997</v>
      </c>
      <c r="E24" s="131">
        <f>'Historical Financials'!E23</f>
        <v>-6.7680000000000007</v>
      </c>
      <c r="F24" s="131">
        <f>'Historical Financials'!F23</f>
        <v>0.183</v>
      </c>
      <c r="G24" s="79"/>
      <c r="H24" s="131">
        <f>'Historical Financials'!H23</f>
        <v>0</v>
      </c>
      <c r="I24" s="131">
        <f>'Historical Financials'!I23</f>
        <v>0</v>
      </c>
      <c r="J24" s="131">
        <f>'Historical Financials'!J23</f>
        <v>-34.933999999999997</v>
      </c>
      <c r="K24" s="131">
        <f>'Historical Financials'!K23</f>
        <v>-0.93599999999999994</v>
      </c>
      <c r="L24" s="131">
        <f>'Historical Financials'!L23</f>
        <v>-1.665</v>
      </c>
      <c r="M24" s="131">
        <f>'Historical Financials'!M23</f>
        <v>-5.6000000000000001E-2</v>
      </c>
      <c r="N24" s="131">
        <f>'Historical Financials'!N23</f>
        <v>-5.2030000000000003</v>
      </c>
      <c r="O24" s="131">
        <f>'Historical Financials'!O23</f>
        <v>0.15599999999999969</v>
      </c>
      <c r="P24" s="131">
        <f>'Historical Financials'!P23</f>
        <v>0.255</v>
      </c>
      <c r="Q24" s="131">
        <f>'Historical Financials'!Q23</f>
        <v>-0.06</v>
      </c>
      <c r="R24" s="131">
        <f>'Historical Financials'!R23</f>
        <v>-1.2E-2</v>
      </c>
      <c r="S24" s="131">
        <f>'Historical Financials'!S23</f>
        <v>0</v>
      </c>
      <c r="T24" s="131">
        <f>'Historical Financials'!T23</f>
        <v>0</v>
      </c>
      <c r="U24" s="5"/>
      <c r="V24" s="130">
        <f t="shared" si="38"/>
        <v>-35.869999999999997</v>
      </c>
      <c r="W24" s="130">
        <f t="shared" si="39"/>
        <v>-37.534999999999997</v>
      </c>
      <c r="X24" s="130">
        <f t="shared" si="40"/>
        <v>-37.590999999999994</v>
      </c>
      <c r="Y24" s="130">
        <f t="shared" si="41"/>
        <v>-7.86</v>
      </c>
      <c r="Z24" s="130">
        <f t="shared" si="42"/>
        <v>-6.7680000000000007</v>
      </c>
      <c r="AA24" s="130">
        <f t="shared" si="43"/>
        <v>-4.8480000000000008</v>
      </c>
      <c r="AB24" s="130">
        <f t="shared" si="44"/>
        <v>-4.8520000000000003</v>
      </c>
      <c r="AC24" s="130">
        <f t="shared" si="45"/>
        <v>0.33899999999999969</v>
      </c>
      <c r="AD24" s="130">
        <f t="shared" si="46"/>
        <v>0.183</v>
      </c>
      <c r="AE24" s="130">
        <f t="shared" si="47"/>
        <v>-7.1999999999999995E-2</v>
      </c>
      <c r="AG24" s="107">
        <f t="shared" si="48"/>
        <v>-0.98514851485148514</v>
      </c>
    </row>
    <row r="25" spans="2:33" ht="12.75" customHeight="1">
      <c r="B25" s="12" t="s">
        <v>30</v>
      </c>
      <c r="C25" s="13">
        <f>SUM(C18+SUM(C21:C24))</f>
        <v>-866.04799999999989</v>
      </c>
      <c r="D25" s="13">
        <f>SUM(D18+SUM(D21:D24))</f>
        <v>-1200.8619999999996</v>
      </c>
      <c r="E25" s="13">
        <f>SUM(E18+SUM(E21:E24))</f>
        <v>-615.84699999999975</v>
      </c>
      <c r="F25" s="13">
        <f>SUM(F18+SUM(F21:F24))</f>
        <v>-87.276000000000295</v>
      </c>
      <c r="G25" s="11"/>
      <c r="H25" s="13">
        <f>SUM(H18+SUM(H21:H24))</f>
        <v>-287.46699999999998</v>
      </c>
      <c r="I25" s="13">
        <f>SUM(I18+SUM(I21:I24))</f>
        <v>-359.53200000000004</v>
      </c>
      <c r="J25" s="13">
        <f>SUM(J18+SUM(J21:J24))</f>
        <v>-310.03499999999997</v>
      </c>
      <c r="K25" s="13">
        <f>SUM(K18+SUM(K21:K24))</f>
        <v>-243.82799999999975</v>
      </c>
      <c r="L25" s="13">
        <f>SUM(L18+SUM(L21:L24))</f>
        <v>-209.44700000000006</v>
      </c>
      <c r="M25" s="13">
        <f>SUM(M18+SUM(M21:M24))</f>
        <v>-172.15099999999995</v>
      </c>
      <c r="N25" s="13">
        <f>SUM(N18+SUM(N21:N24))</f>
        <v>-160.78899999999999</v>
      </c>
      <c r="O25" s="13">
        <f>SUM(O18+SUM(O21:O24))</f>
        <v>-73.459999999999752</v>
      </c>
      <c r="P25" s="13">
        <f>SUM(P18+SUM(P21:P24))</f>
        <v>-132.62299999999999</v>
      </c>
      <c r="Q25" s="13">
        <f>SUM(Q18+SUM(Q21:Q24))</f>
        <v>-4.321999999999889</v>
      </c>
      <c r="R25" s="13">
        <f>SUM(R18+SUM(R21:R24))</f>
        <v>-8.3940000000000055</v>
      </c>
      <c r="S25" s="13">
        <f>SUM(S18+SUM(S21:S24))</f>
        <v>58.063000000000045</v>
      </c>
      <c r="T25" s="13">
        <f>SUM(T18+SUM(T21:T24))</f>
        <v>63.660999999999831</v>
      </c>
      <c r="U25" s="5"/>
      <c r="V25" s="13">
        <f>SUM(V18+SUM(V21:V24))</f>
        <v>-1200.8619999999996</v>
      </c>
      <c r="W25" s="13">
        <f>SUM(W18+SUM(W21:W24))</f>
        <v>-1122.8419999999999</v>
      </c>
      <c r="X25" s="13">
        <f>SUM(X18+SUM(X21:X24))</f>
        <v>-935.46099999999979</v>
      </c>
      <c r="Y25" s="13">
        <f>SUM(Y18+SUM(Y21:Y24))</f>
        <v>-786.21499999999946</v>
      </c>
      <c r="Z25" s="13">
        <f>SUM(Z18+SUM(Z21:Z24))</f>
        <v>-615.84699999999975</v>
      </c>
      <c r="AA25" s="13">
        <f>SUM(AA18+SUM(AA21:AA24))</f>
        <v>-539.02299999999946</v>
      </c>
      <c r="AB25" s="13">
        <f>SUM(AB18+SUM(AB21:AB24))</f>
        <v>-371.19399999999996</v>
      </c>
      <c r="AC25" s="13">
        <f>SUM(AC18+SUM(AC21:AC24))</f>
        <v>-218.79899999999998</v>
      </c>
      <c r="AD25" s="13">
        <f>SUM(AD18+SUM(AD21:AD24))</f>
        <v>-87.276000000000295</v>
      </c>
      <c r="AE25" s="13">
        <f>SUM(AE18+SUM(AE21:AE24))</f>
        <v>109.00800000000004</v>
      </c>
      <c r="AG25" s="108">
        <f>SUM(AE25/AA25)-1</f>
        <v>-1.20223255779438</v>
      </c>
    </row>
    <row r="26" spans="2:33" ht="12.75" customHeight="1">
      <c r="B26" s="14" t="s">
        <v>31</v>
      </c>
      <c r="C26" s="15">
        <f>C25/C10</f>
        <v>-0.64185365361982427</v>
      </c>
      <c r="D26" s="15">
        <f>D25/D10</f>
        <v>-0.75621747056804667</v>
      </c>
      <c r="E26" s="15">
        <f>E25/E10</f>
        <v>-0.26510859453663116</v>
      </c>
      <c r="F26" s="15">
        <f>F25/F10</f>
        <v>-2.7067277424397115E-2</v>
      </c>
      <c r="G26" s="25"/>
      <c r="H26" s="15">
        <f>H25/H10</f>
        <v>-0.79493341149923669</v>
      </c>
      <c r="I26" s="15">
        <f>I25/I10</f>
        <v>-0.89982430585797313</v>
      </c>
      <c r="J26" s="15">
        <f>J25/J10</f>
        <v>-0.81378714781430939</v>
      </c>
      <c r="K26" s="15">
        <f>K25/K10</f>
        <v>-0.54691414792799786</v>
      </c>
      <c r="L26" s="15">
        <f>L25/L10</f>
        <v>-0.42180699913603359</v>
      </c>
      <c r="M26" s="15">
        <f>M25/M10</f>
        <v>-0.2912334421681243</v>
      </c>
      <c r="N26" s="15">
        <f>N25/N10</f>
        <v>-0.27907150307988965</v>
      </c>
      <c r="O26" s="15">
        <f>O25/O10</f>
        <v>-0.11144064261170951</v>
      </c>
      <c r="P26" s="15">
        <f>P25/P10</f>
        <v>-0.18987399764345095</v>
      </c>
      <c r="Q26" s="15">
        <f>Q25/Q10</f>
        <v>-4.9885673854803934E-3</v>
      </c>
      <c r="R26" s="15">
        <f>R25/R10</f>
        <v>-1.0718472189944511E-2</v>
      </c>
      <c r="S26" s="15">
        <f>S25/S10</f>
        <v>6.6250502044691156E-2</v>
      </c>
      <c r="T26" s="15">
        <f>T25/T10</f>
        <v>6.8207946325924973E-2</v>
      </c>
      <c r="U26" s="26"/>
      <c r="V26" s="15">
        <f>V25/V10</f>
        <v>-0.75621747056804667</v>
      </c>
      <c r="W26" s="15">
        <f>W25/W10</f>
        <v>-0.65171326617555891</v>
      </c>
      <c r="X26" s="15">
        <f>X25/X10</f>
        <v>-0.48862916958306768</v>
      </c>
      <c r="Y26" s="15">
        <f>Y25/Y10</f>
        <v>-0.3726775054879054</v>
      </c>
      <c r="Z26" s="15">
        <f>Z25/Z10</f>
        <v>-0.26510859453663116</v>
      </c>
      <c r="AA26" s="15">
        <f>AA25/AA10</f>
        <v>-0.21348028916433731</v>
      </c>
      <c r="AB26" s="15">
        <f>AB25/AB10</f>
        <v>-0.13255972247716413</v>
      </c>
      <c r="AC26" s="15">
        <f>AC25/AC10</f>
        <v>-7.275888798106131E-2</v>
      </c>
      <c r="AD26" s="15">
        <f>AD25/AD10</f>
        <v>-2.7067277424397115E-2</v>
      </c>
      <c r="AE26" s="15">
        <f>AE25/AE10</f>
        <v>3.151186898499915E-2</v>
      </c>
      <c r="AG26" s="109">
        <f>SUM(AE26-AA26)*10000</f>
        <v>2449.9215814933646</v>
      </c>
    </row>
    <row r="27" spans="2:33" ht="5.0999999999999996" customHeight="1">
      <c r="AG27" s="106"/>
    </row>
    <row r="28" spans="2:33" ht="12.75" customHeight="1">
      <c r="B28" s="29" t="s">
        <v>95</v>
      </c>
      <c r="C28" s="131">
        <f>'Historical Financials'!C98</f>
        <v>52.721999999999994</v>
      </c>
      <c r="D28" s="131">
        <f>'Historical Financials'!D98</f>
        <v>134.63400000000001</v>
      </c>
      <c r="E28" s="131">
        <f>'Historical Financials'!E98</f>
        <v>169.04400000000001</v>
      </c>
      <c r="F28" s="131">
        <f>'Historical Financials'!F98</f>
        <v>225.07600000000002</v>
      </c>
      <c r="H28" s="131">
        <f>'Historical Financials'!H98</f>
        <v>20.882000000000001</v>
      </c>
      <c r="I28" s="131">
        <f>'Historical Financials'!I98</f>
        <v>23.004000000000001</v>
      </c>
      <c r="J28" s="131">
        <f>'Historical Financials'!J98</f>
        <v>47.469000000000001</v>
      </c>
      <c r="K28" s="131">
        <f>'Historical Financials'!K98</f>
        <v>43.279000000000011</v>
      </c>
      <c r="L28" s="131">
        <f>'Historical Financials'!L98</f>
        <v>40.131</v>
      </c>
      <c r="M28" s="131">
        <f>'Historical Financials'!M98</f>
        <v>26.512</v>
      </c>
      <c r="N28" s="131">
        <f>'Historical Financials'!N98</f>
        <v>37.012</v>
      </c>
      <c r="O28" s="131">
        <f>'Historical Financials'!O98</f>
        <v>65.38900000000001</v>
      </c>
      <c r="P28" s="131">
        <f>'Historical Financials'!P98</f>
        <v>46.72</v>
      </c>
      <c r="Q28" s="131">
        <f>'Historical Financials'!Q98</f>
        <v>54.893999999999998</v>
      </c>
      <c r="R28" s="131">
        <f>'Historical Financials'!R98</f>
        <v>59.466999999999999</v>
      </c>
      <c r="S28" s="131">
        <f>'Historical Financials'!S98</f>
        <v>63.995000000000005</v>
      </c>
      <c r="T28" s="131">
        <f>'Historical Financials'!T98</f>
        <v>65.328999999999994</v>
      </c>
      <c r="V28" s="130">
        <f t="shared" ref="V28" si="49">SUM(H28:K28)</f>
        <v>134.63400000000001</v>
      </c>
      <c r="W28" s="130">
        <f t="shared" ref="W28" si="50">SUM(I28:L28)</f>
        <v>153.88300000000001</v>
      </c>
      <c r="X28" s="130">
        <f t="shared" ref="X28" si="51">SUM(J28:M28)</f>
        <v>157.39100000000002</v>
      </c>
      <c r="Y28" s="130">
        <f t="shared" ref="Y28" si="52">SUM(K28:N28)</f>
        <v>146.93400000000003</v>
      </c>
      <c r="Z28" s="130">
        <f t="shared" ref="Z28" si="53">SUM(L28:O28)</f>
        <v>169.04400000000001</v>
      </c>
      <c r="AA28" s="130">
        <f t="shared" ref="AA28" si="54">SUM(M28:P28)</f>
        <v>175.63300000000001</v>
      </c>
      <c r="AB28" s="130">
        <f t="shared" ref="AB28" si="55">SUM(N28:Q28)</f>
        <v>204.01500000000001</v>
      </c>
      <c r="AC28" s="130">
        <f t="shared" ref="AC28" si="56">SUM(O28:R28)</f>
        <v>226.47000000000003</v>
      </c>
      <c r="AD28" s="130">
        <f t="shared" ref="AD28" si="57">SUM(P28:S28)</f>
        <v>225.07600000000002</v>
      </c>
      <c r="AE28" s="130">
        <f>SUM(Q28:T28)</f>
        <v>243.685</v>
      </c>
      <c r="AG28" s="107">
        <f>SUM(AE28/AA28)-1</f>
        <v>0.38746704776437224</v>
      </c>
    </row>
    <row r="29" spans="2:33" ht="12.75" customHeight="1">
      <c r="B29" s="23" t="s">
        <v>11</v>
      </c>
      <c r="C29" s="24">
        <f t="shared" ref="C29:F29" si="58">SUM(C25+SUM(C28:C28))</f>
        <v>-813.32599999999991</v>
      </c>
      <c r="D29" s="24">
        <f t="shared" si="58"/>
        <v>-1066.2279999999996</v>
      </c>
      <c r="E29" s="24">
        <f t="shared" si="58"/>
        <v>-446.80299999999977</v>
      </c>
      <c r="F29" s="24">
        <f t="shared" si="58"/>
        <v>137.79999999999973</v>
      </c>
      <c r="H29" s="24">
        <f t="shared" ref="H29:Q29" si="59">SUM(H25+SUM(H28:H28))</f>
        <v>-266.58499999999998</v>
      </c>
      <c r="I29" s="24">
        <f t="shared" si="59"/>
        <v>-336.52800000000002</v>
      </c>
      <c r="J29" s="24">
        <f t="shared" si="59"/>
        <v>-262.56599999999997</v>
      </c>
      <c r="K29" s="24">
        <f t="shared" si="59"/>
        <v>-200.54899999999975</v>
      </c>
      <c r="L29" s="24">
        <f t="shared" si="59"/>
        <v>-169.31600000000006</v>
      </c>
      <c r="M29" s="24">
        <f t="shared" si="59"/>
        <v>-145.63899999999995</v>
      </c>
      <c r="N29" s="24">
        <f t="shared" si="59"/>
        <v>-123.77699999999999</v>
      </c>
      <c r="O29" s="24">
        <f t="shared" si="59"/>
        <v>-8.0709999999997422</v>
      </c>
      <c r="P29" s="24">
        <f t="shared" si="59"/>
        <v>-85.902999999999992</v>
      </c>
      <c r="Q29" s="24">
        <f t="shared" si="59"/>
        <v>50.572000000000109</v>
      </c>
      <c r="R29" s="24">
        <f t="shared" ref="R29:S29" si="60">SUM(R25+SUM(R28:R28))</f>
        <v>51.072999999999993</v>
      </c>
      <c r="S29" s="24">
        <f t="shared" si="60"/>
        <v>122.05800000000005</v>
      </c>
      <c r="T29" s="24">
        <f t="shared" ref="T29" si="61">SUM(T25+SUM(T28:T28))</f>
        <v>128.98999999999984</v>
      </c>
      <c r="V29" s="24">
        <f t="shared" ref="V29" si="62">SUM(V25+SUM(V28:V28))</f>
        <v>-1066.2279999999996</v>
      </c>
      <c r="W29" s="24">
        <f t="shared" ref="W29:AE29" si="63">SUM(W25+SUM(W28:W28))</f>
        <v>-968.95899999999983</v>
      </c>
      <c r="X29" s="24">
        <f t="shared" si="63"/>
        <v>-778.06999999999971</v>
      </c>
      <c r="Y29" s="24">
        <f t="shared" si="63"/>
        <v>-639.28099999999949</v>
      </c>
      <c r="Z29" s="24">
        <f t="shared" si="63"/>
        <v>-446.80299999999977</v>
      </c>
      <c r="AA29" s="24">
        <f t="shared" si="63"/>
        <v>-363.38999999999942</v>
      </c>
      <c r="AB29" s="24">
        <f t="shared" si="63"/>
        <v>-167.17899999999995</v>
      </c>
      <c r="AC29" s="24">
        <f t="shared" si="63"/>
        <v>7.6710000000000491</v>
      </c>
      <c r="AD29" s="24">
        <f t="shared" si="63"/>
        <v>137.79999999999973</v>
      </c>
      <c r="AE29" s="24">
        <f t="shared" si="63"/>
        <v>352.69300000000004</v>
      </c>
      <c r="AG29" s="108">
        <f>SUM(AE29/AA29)-1</f>
        <v>-1.9705633066402504</v>
      </c>
    </row>
    <row r="30" spans="2:33" ht="12.75" customHeight="1">
      <c r="B30" s="14" t="s">
        <v>32</v>
      </c>
      <c r="C30" s="15">
        <f>C29/C10</f>
        <v>-0.60277982823584508</v>
      </c>
      <c r="D30" s="15">
        <f>D29/D10</f>
        <v>-0.67143455385283835</v>
      </c>
      <c r="E30" s="15">
        <f>E29/E10</f>
        <v>-0.19233886885013715</v>
      </c>
      <c r="F30" s="15">
        <f>F29/F10</f>
        <v>4.273650063112313E-2</v>
      </c>
      <c r="H30" s="15">
        <f>H29/H10</f>
        <v>-0.73718835033073016</v>
      </c>
      <c r="I30" s="15">
        <f>I29/I10</f>
        <v>-0.84225068700914518</v>
      </c>
      <c r="J30" s="15">
        <f>J29/J10</f>
        <v>-0.68918940201271461</v>
      </c>
      <c r="K30" s="15">
        <f>K29/K10</f>
        <v>-0.4498379408960908</v>
      </c>
      <c r="L30" s="15">
        <f>L29/L10</f>
        <v>-0.34098685522216443</v>
      </c>
      <c r="M30" s="15">
        <f>M29/M10</f>
        <v>-0.24638223004178572</v>
      </c>
      <c r="N30" s="15">
        <f>N29/N10</f>
        <v>-0.214832068342483</v>
      </c>
      <c r="O30" s="15">
        <f>O29/O10</f>
        <v>-1.2243907249102664E-2</v>
      </c>
      <c r="P30" s="15">
        <f>P29/P10</f>
        <v>-0.12298580200693218</v>
      </c>
      <c r="Q30" s="15">
        <f>Q29/Q10</f>
        <v>5.8371547852503813E-2</v>
      </c>
      <c r="R30" s="15">
        <f>R29/R10</f>
        <v>6.5216169901958027E-2</v>
      </c>
      <c r="S30" s="15">
        <f>S29/S10</f>
        <v>0.13926947933401496</v>
      </c>
      <c r="T30" s="15">
        <f>T29/T10</f>
        <v>0.1382030284881022</v>
      </c>
      <c r="V30" s="15">
        <f>V29/V10</f>
        <v>-0.67143455385283835</v>
      </c>
      <c r="W30" s="15">
        <f>W29/W10</f>
        <v>-0.56239741181769409</v>
      </c>
      <c r="X30" s="15">
        <f>X29/X10</f>
        <v>-0.40641747542387918</v>
      </c>
      <c r="Y30" s="15">
        <f>Y29/Y10</f>
        <v>-0.30302862243255807</v>
      </c>
      <c r="Z30" s="15">
        <f>Z29/Z10</f>
        <v>-0.19233886885013715</v>
      </c>
      <c r="AA30" s="15">
        <f>AA29/AA10</f>
        <v>-0.14392076456742753</v>
      </c>
      <c r="AB30" s="15">
        <f>AB29/AB10</f>
        <v>-5.9702478606900478E-2</v>
      </c>
      <c r="AC30" s="15">
        <f>AC29/AC10</f>
        <v>2.5508957065741842E-3</v>
      </c>
      <c r="AD30" s="15">
        <f>AD29/AD10</f>
        <v>4.273650063112313E-2</v>
      </c>
      <c r="AE30" s="15">
        <f>AE29/AE10</f>
        <v>0.10195596293782386</v>
      </c>
      <c r="AG30" s="109">
        <f>SUM(AE30-AA30)*10000</f>
        <v>2458.7672750525139</v>
      </c>
    </row>
    <row r="31" spans="2:33" ht="5.0999999999999996" customHeight="1">
      <c r="AG31" s="106"/>
    </row>
    <row r="32" spans="2:33" ht="12.75" customHeight="1">
      <c r="B32" s="29" t="s">
        <v>96</v>
      </c>
      <c r="C32" s="131">
        <f>'Historical Financials'!C96</f>
        <v>390.983</v>
      </c>
      <c r="D32" s="131">
        <f>'Historical Financials'!D96</f>
        <v>451.709</v>
      </c>
      <c r="E32" s="131">
        <f>'Historical Financials'!E96</f>
        <v>344.51100000000002</v>
      </c>
      <c r="F32" s="131">
        <f>'Historical Financials'!F96</f>
        <v>321.43299999999999</v>
      </c>
      <c r="H32" s="131">
        <f>'Historical Financials'!H96</f>
        <v>119.80800000000001</v>
      </c>
      <c r="I32" s="131">
        <f>'Historical Financials'!I96</f>
        <v>121.77500000000001</v>
      </c>
      <c r="J32" s="131">
        <f>'Historical Financials'!J96</f>
        <v>106.789</v>
      </c>
      <c r="K32" s="131">
        <f>'Historical Financials'!K96</f>
        <v>103.33699999999999</v>
      </c>
      <c r="L32" s="131">
        <f>'Historical Financials'!L96</f>
        <v>112.35899999999999</v>
      </c>
      <c r="M32" s="131">
        <f>'Historical Financials'!M96</f>
        <v>90.164000000000001</v>
      </c>
      <c r="N32" s="131">
        <f>'Historical Financials'!N96</f>
        <v>77.075000000000003</v>
      </c>
      <c r="O32" s="131">
        <f>'Historical Financials'!O96</f>
        <v>64.913000000000011</v>
      </c>
      <c r="P32" s="131">
        <f>'Historical Financials'!P96</f>
        <v>94.233000000000004</v>
      </c>
      <c r="Q32" s="131">
        <f>'Historical Financials'!Q96</f>
        <v>86.097999999999999</v>
      </c>
      <c r="R32" s="131">
        <f>'Historical Financials'!R96</f>
        <v>75.606999999999999</v>
      </c>
      <c r="S32" s="131">
        <f>'Historical Financials'!S96</f>
        <v>65.494999999999976</v>
      </c>
      <c r="T32" s="131">
        <f>'Historical Financials'!T96</f>
        <v>85.852999999999994</v>
      </c>
      <c r="V32" s="130">
        <f t="shared" ref="V32" si="64">SUM(H32:K32)</f>
        <v>451.709</v>
      </c>
      <c r="W32" s="130">
        <f t="shared" ref="W32" si="65">SUM(I32:L32)</f>
        <v>444.26</v>
      </c>
      <c r="X32" s="130">
        <f t="shared" ref="X32" si="66">SUM(J32:M32)</f>
        <v>412.64899999999994</v>
      </c>
      <c r="Y32" s="130">
        <f t="shared" ref="Y32" si="67">SUM(K32:N32)</f>
        <v>382.93499999999995</v>
      </c>
      <c r="Z32" s="130">
        <f t="shared" ref="Z32" si="68">SUM(L32:O32)</f>
        <v>344.51100000000002</v>
      </c>
      <c r="AA32" s="130">
        <f t="shared" ref="AA32" si="69">SUM(M32:P32)</f>
        <v>326.38499999999999</v>
      </c>
      <c r="AB32" s="130">
        <f t="shared" ref="AB32" si="70">SUM(N32:Q32)</f>
        <v>322.31900000000002</v>
      </c>
      <c r="AC32" s="130">
        <f t="shared" ref="AC32" si="71">SUM(O32:R32)</f>
        <v>320.851</v>
      </c>
      <c r="AD32" s="130">
        <f t="shared" ref="AD32" si="72">SUM(P32:S32)</f>
        <v>321.43299999999999</v>
      </c>
      <c r="AE32" s="130">
        <f t="shared" ref="AE32" si="73">SUM(Q32:T32)</f>
        <v>313.05299999999994</v>
      </c>
      <c r="AG32" s="107">
        <f>SUM(AE32/AA32)-1</f>
        <v>-4.084746541660933E-2</v>
      </c>
    </row>
    <row r="33" spans="2:33" ht="12.75" customHeight="1">
      <c r="B33" s="12" t="s">
        <v>33</v>
      </c>
      <c r="C33" s="13">
        <f>+SUM(C29+SUM(C32:C32))</f>
        <v>-422.3429999999999</v>
      </c>
      <c r="D33" s="13">
        <f>+SUM(D29+SUM(D32:D32))</f>
        <v>-614.51899999999955</v>
      </c>
      <c r="E33" s="13">
        <f>+SUM(E29+SUM(E32:E32))</f>
        <v>-102.29199999999975</v>
      </c>
      <c r="F33" s="13">
        <f>+SUM(F29+SUM(F32:F32))</f>
        <v>459.23299999999972</v>
      </c>
      <c r="G33" s="11"/>
      <c r="H33" s="13">
        <f>+SUM(H29+SUM(H32:H32))</f>
        <v>-146.77699999999999</v>
      </c>
      <c r="I33" s="13">
        <f>+SUM(I29+SUM(I32:I32))</f>
        <v>-214.75300000000001</v>
      </c>
      <c r="J33" s="13">
        <f>+SUM(J29+SUM(J32:J32))</f>
        <v>-155.77699999999999</v>
      </c>
      <c r="K33" s="13">
        <f>+SUM(K29+SUM(K32:K32))</f>
        <v>-97.211999999999762</v>
      </c>
      <c r="L33" s="13">
        <f>+SUM(L29+SUM(L32:L32))</f>
        <v>-56.957000000000065</v>
      </c>
      <c r="M33" s="13">
        <f>+SUM(M29+SUM(M32:M32))</f>
        <v>-55.474999999999952</v>
      </c>
      <c r="N33" s="13">
        <f>+SUM(N29+SUM(N32:N32))</f>
        <v>-46.701999999999984</v>
      </c>
      <c r="O33" s="13">
        <f>+SUM(O29+SUM(O32:O32))</f>
        <v>56.842000000000269</v>
      </c>
      <c r="P33" s="13">
        <f>+SUM(P29+SUM(P32:P32))</f>
        <v>8.3300000000000125</v>
      </c>
      <c r="Q33" s="13">
        <f>+SUM(Q29+SUM(Q32:Q32))</f>
        <v>136.6700000000001</v>
      </c>
      <c r="R33" s="13">
        <f>+SUM(R29+SUM(R32:R32))</f>
        <v>126.67999999999999</v>
      </c>
      <c r="S33" s="13">
        <f>+SUM(S29+SUM(S32:S32))</f>
        <v>187.55300000000003</v>
      </c>
      <c r="T33" s="13">
        <f>+SUM(T29+SUM(T32:T32))</f>
        <v>214.84299999999985</v>
      </c>
      <c r="V33" s="13">
        <f>+SUM(V29+SUM(V32:V32))</f>
        <v>-614.51899999999955</v>
      </c>
      <c r="W33" s="13">
        <f>+SUM(W29+SUM(W32:W32))</f>
        <v>-524.69899999999984</v>
      </c>
      <c r="X33" s="13">
        <f>+SUM(X29+SUM(X32:X32))</f>
        <v>-365.42099999999976</v>
      </c>
      <c r="Y33" s="13">
        <f>+SUM(Y29+SUM(Y32:Y32))</f>
        <v>-256.34599999999955</v>
      </c>
      <c r="Z33" s="13">
        <f>+SUM(Z29+SUM(Z32:Z32))</f>
        <v>-102.29199999999975</v>
      </c>
      <c r="AA33" s="13">
        <f>+SUM(AA29+SUM(AA32:AA32))</f>
        <v>-37.004999999999427</v>
      </c>
      <c r="AB33" s="13">
        <f>+SUM(AB29+SUM(AB32:AB32))</f>
        <v>155.14000000000007</v>
      </c>
      <c r="AC33" s="13">
        <f>+SUM(AC29+SUM(AC32:AC32))</f>
        <v>328.52200000000005</v>
      </c>
      <c r="AD33" s="13">
        <f>+SUM(AD29+SUM(AD32:AD32))</f>
        <v>459.23299999999972</v>
      </c>
      <c r="AE33" s="13">
        <f>+SUM(AE29+SUM(AE32:AE32))</f>
        <v>665.74599999999998</v>
      </c>
      <c r="AG33" s="108">
        <f>SUM(AE33/AA33)-1</f>
        <v>-18.990703958924747</v>
      </c>
    </row>
    <row r="34" spans="2:33" ht="12.75" customHeight="1">
      <c r="B34" s="14" t="s">
        <v>34</v>
      </c>
      <c r="C34" s="15">
        <f>C33/C10</f>
        <v>-0.3130108234540781</v>
      </c>
      <c r="D34" s="15">
        <f>D33/D10</f>
        <v>-0.38698035560789273</v>
      </c>
      <c r="E34" s="15">
        <f>E33/E10</f>
        <v>-4.4034457182288815E-2</v>
      </c>
      <c r="F34" s="15">
        <f>F33/F10</f>
        <v>0.14242388529994626</v>
      </c>
      <c r="H34" s="15">
        <f>H33/H10</f>
        <v>-0.40588290600181398</v>
      </c>
      <c r="I34" s="15">
        <f>I33/I10</f>
        <v>-0.53747641143463531</v>
      </c>
      <c r="J34" s="15">
        <f>J33/J10</f>
        <v>-0.40888712734068627</v>
      </c>
      <c r="K34" s="15">
        <f>K33/K10</f>
        <v>-0.21804968317164747</v>
      </c>
      <c r="L34" s="15">
        <f>L33/L10</f>
        <v>-0.1147061607461128</v>
      </c>
      <c r="M34" s="15">
        <f>M33/M10</f>
        <v>-9.3848860618158975E-2</v>
      </c>
      <c r="N34" s="15">
        <f>N33/N10</f>
        <v>-8.1057767240526421E-2</v>
      </c>
      <c r="O34" s="15">
        <f>O33/O10</f>
        <v>8.6230724303496376E-2</v>
      </c>
      <c r="P34" s="15">
        <f>P33/P10</f>
        <v>1.1925913305911863E-2</v>
      </c>
      <c r="Q34" s="15">
        <f>Q33/Q10</f>
        <v>0.15774815006330942</v>
      </c>
      <c r="R34" s="15">
        <f>R33/R10</f>
        <v>0.16176031177295327</v>
      </c>
      <c r="S34" s="15">
        <f>S33/S10</f>
        <v>0.21399997261574413</v>
      </c>
      <c r="T34" s="15">
        <f>T33/T10</f>
        <v>0.23018802426133311</v>
      </c>
      <c r="V34" s="15">
        <f>V33/V10</f>
        <v>-0.38698035560789273</v>
      </c>
      <c r="W34" s="15">
        <f>W33/W10</f>
        <v>-0.30454266855804246</v>
      </c>
      <c r="X34" s="15">
        <f>X33/X10</f>
        <v>-0.19087418906636847</v>
      </c>
      <c r="Y34" s="15">
        <f>Y33/Y10</f>
        <v>-0.12151178471766946</v>
      </c>
      <c r="Z34" s="15">
        <f>Z33/Z10</f>
        <v>-4.4034457182288815E-2</v>
      </c>
      <c r="AA34" s="15">
        <f>AA33/AA10</f>
        <v>-1.4655846040941087E-2</v>
      </c>
      <c r="AB34" s="15">
        <f>AB33/AB10</f>
        <v>5.54031459159018E-2</v>
      </c>
      <c r="AC34" s="15">
        <f>AC33/AC10</f>
        <v>0.10924590787578659</v>
      </c>
      <c r="AD34" s="15">
        <f>AD33/AD10</f>
        <v>0.14242388529994626</v>
      </c>
      <c r="AE34" s="15">
        <f>AE33/AE10</f>
        <v>0.19245285418764893</v>
      </c>
      <c r="AG34" s="109">
        <f>SUM(AE34-AA34)*10000</f>
        <v>2071.0870022859003</v>
      </c>
    </row>
    <row r="35" spans="2:33" ht="5.0999999999999996" customHeight="1">
      <c r="AG35" s="106"/>
    </row>
    <row r="36" spans="2:33" ht="12.75" customHeight="1">
      <c r="B36" s="21" t="s">
        <v>35</v>
      </c>
      <c r="C36" s="131">
        <f>'Historical Financials'!C116</f>
        <v>-86.29</v>
      </c>
      <c r="D36" s="131">
        <f>'Historical Financials'!D116</f>
        <v>-120.77500000000001</v>
      </c>
      <c r="E36" s="131">
        <f>'Historical Financials'!E116</f>
        <v>-159.29599999999999</v>
      </c>
      <c r="F36" s="131">
        <f>'Historical Financials'!F116</f>
        <v>-192.18900000000002</v>
      </c>
      <c r="H36" s="131">
        <f>'Historical Financials'!H116</f>
        <v>-31.151</v>
      </c>
      <c r="I36" s="131">
        <f>'Historical Financials'!I116</f>
        <v>-34.25</v>
      </c>
      <c r="J36" s="131">
        <f>'Historical Financials'!J116</f>
        <v>-30.515999999999998</v>
      </c>
      <c r="K36" s="131">
        <f>'Historical Financials'!K116</f>
        <v>-24.858000000000004</v>
      </c>
      <c r="L36" s="131">
        <f>'Historical Financials'!L116</f>
        <v>-35.817</v>
      </c>
      <c r="M36" s="131">
        <f>'Historical Financials'!M116</f>
        <v>-38.747</v>
      </c>
      <c r="N36" s="131">
        <f>'Historical Financials'!N116</f>
        <v>-46.475999999999999</v>
      </c>
      <c r="O36" s="131">
        <f>'Historical Financials'!O116</f>
        <v>-38.256</v>
      </c>
      <c r="P36" s="131">
        <f>'Historical Financials'!P116</f>
        <v>-44.152000000000001</v>
      </c>
      <c r="Q36" s="131">
        <f>'Historical Financials'!Q116</f>
        <v>-43.905000000000001</v>
      </c>
      <c r="R36" s="131">
        <f>'Historical Financials'!R116</f>
        <v>-53.012</v>
      </c>
      <c r="S36" s="131">
        <f>'Historical Financials'!S116</f>
        <v>-51.120000000000005</v>
      </c>
      <c r="T36" s="131">
        <f>'Historical Financials'!T116</f>
        <v>-54.365000000000002</v>
      </c>
      <c r="V36" s="130">
        <f t="shared" ref="V36:V40" si="74">SUM(H36:K36)</f>
        <v>-120.77500000000001</v>
      </c>
      <c r="W36" s="130">
        <f t="shared" ref="W36:W40" si="75">SUM(I36:L36)</f>
        <v>-125.441</v>
      </c>
      <c r="X36" s="130">
        <f t="shared" ref="X36:X40" si="76">SUM(J36:M36)</f>
        <v>-129.93799999999999</v>
      </c>
      <c r="Y36" s="130">
        <f t="shared" ref="Y36:Y40" si="77">SUM(K36:N36)</f>
        <v>-145.898</v>
      </c>
      <c r="Z36" s="130">
        <f t="shared" ref="Z36:Z40" si="78">SUM(L36:O36)</f>
        <v>-159.29599999999999</v>
      </c>
      <c r="AA36" s="130">
        <f t="shared" ref="AA36:AA40" si="79">SUM(M36:P36)</f>
        <v>-167.631</v>
      </c>
      <c r="AB36" s="130">
        <f t="shared" ref="AB36:AB40" si="80">SUM(N36:Q36)</f>
        <v>-172.78900000000002</v>
      </c>
      <c r="AC36" s="130">
        <f t="shared" ref="AC36:AC40" si="81">SUM(O36:R36)</f>
        <v>-179.32499999999999</v>
      </c>
      <c r="AD36" s="130">
        <f t="shared" ref="AD36:AD40" si="82">SUM(P36:S36)</f>
        <v>-192.18900000000002</v>
      </c>
      <c r="AE36" s="130">
        <f t="shared" ref="AE36:AE40" si="83">SUM(Q36:T36)</f>
        <v>-202.40200000000002</v>
      </c>
      <c r="AG36" s="107">
        <f>SUM(AE36/AA36)-1</f>
        <v>0.20742583412376003</v>
      </c>
    </row>
    <row r="37" spans="2:33" ht="12.75" customHeight="1">
      <c r="B37" s="21" t="s">
        <v>36</v>
      </c>
      <c r="C37" s="131">
        <f>-'Historical Financials'!C143</f>
        <v>0</v>
      </c>
      <c r="D37" s="131">
        <f>-'Historical Financials'!D143</f>
        <v>0</v>
      </c>
      <c r="E37" s="131">
        <f>-'Historical Financials'!E143</f>
        <v>0</v>
      </c>
      <c r="F37" s="131">
        <f>-'Historical Financials'!F143</f>
        <v>0</v>
      </c>
      <c r="H37" s="131">
        <f>-'Historical Financials'!H143</f>
        <v>0</v>
      </c>
      <c r="I37" s="131">
        <f>-'Historical Financials'!I143</f>
        <v>0</v>
      </c>
      <c r="J37" s="131">
        <f>-'Historical Financials'!J143</f>
        <v>0</v>
      </c>
      <c r="K37" s="131">
        <f>-'Historical Financials'!K143</f>
        <v>0</v>
      </c>
      <c r="L37" s="131">
        <f>-'Historical Financials'!L143</f>
        <v>0</v>
      </c>
      <c r="M37" s="131">
        <f>-'Historical Financials'!M143</f>
        <v>0</v>
      </c>
      <c r="N37" s="131">
        <f>-'Historical Financials'!N143</f>
        <v>0</v>
      </c>
      <c r="O37" s="131">
        <f>-'Historical Financials'!O143</f>
        <v>0</v>
      </c>
      <c r="P37" s="131">
        <f>-'Historical Financials'!P143</f>
        <v>0</v>
      </c>
      <c r="Q37" s="131">
        <f>-'Historical Financials'!Q143</f>
        <v>0</v>
      </c>
      <c r="R37" s="131">
        <f>-'Historical Financials'!R143</f>
        <v>0</v>
      </c>
      <c r="S37" s="131">
        <f>-'Historical Financials'!S143</f>
        <v>0</v>
      </c>
      <c r="T37" s="131">
        <f>-'Historical Financials'!T143</f>
        <v>0</v>
      </c>
      <c r="V37" s="130">
        <f t="shared" si="74"/>
        <v>0</v>
      </c>
      <c r="W37" s="130">
        <f t="shared" si="75"/>
        <v>0</v>
      </c>
      <c r="X37" s="130">
        <f t="shared" si="76"/>
        <v>0</v>
      </c>
      <c r="Y37" s="130">
        <f t="shared" si="77"/>
        <v>0</v>
      </c>
      <c r="Z37" s="130">
        <f t="shared" si="78"/>
        <v>0</v>
      </c>
      <c r="AA37" s="130">
        <f t="shared" si="79"/>
        <v>0</v>
      </c>
      <c r="AB37" s="130">
        <f t="shared" si="80"/>
        <v>0</v>
      </c>
      <c r="AC37" s="130">
        <f t="shared" si="81"/>
        <v>0</v>
      </c>
      <c r="AD37" s="130">
        <f t="shared" si="82"/>
        <v>0</v>
      </c>
      <c r="AE37" s="130">
        <f t="shared" si="83"/>
        <v>0</v>
      </c>
      <c r="AG37" s="107" t="e">
        <f>SUM(AE37/AA37)-1</f>
        <v>#DIV/0!</v>
      </c>
    </row>
    <row r="38" spans="2:33" ht="12.75" customHeight="1">
      <c r="B38" s="21" t="s">
        <v>72</v>
      </c>
      <c r="C38" s="131">
        <f>-'Historical Financials'!C142</f>
        <v>0</v>
      </c>
      <c r="D38" s="131">
        <f>-'Historical Financials'!D142</f>
        <v>0</v>
      </c>
      <c r="E38" s="131">
        <f>-'Historical Financials'!E142</f>
        <v>0</v>
      </c>
      <c r="F38" s="131">
        <f>-'Historical Financials'!F142</f>
        <v>0</v>
      </c>
      <c r="H38" s="131">
        <f>-'Historical Financials'!H142</f>
        <v>0</v>
      </c>
      <c r="I38" s="131">
        <f>-'Historical Financials'!I142</f>
        <v>0</v>
      </c>
      <c r="J38" s="131">
        <f>-'Historical Financials'!J142</f>
        <v>0</v>
      </c>
      <c r="K38" s="131">
        <f>-'Historical Financials'!K142</f>
        <v>0</v>
      </c>
      <c r="L38" s="131">
        <f>-'Historical Financials'!L142</f>
        <v>0</v>
      </c>
      <c r="M38" s="131">
        <f>-'Historical Financials'!M142</f>
        <v>0</v>
      </c>
      <c r="N38" s="131">
        <f>-'Historical Financials'!N142</f>
        <v>0</v>
      </c>
      <c r="O38" s="131">
        <f>-'Historical Financials'!O142</f>
        <v>0</v>
      </c>
      <c r="P38" s="131">
        <f>-'Historical Financials'!P142</f>
        <v>0</v>
      </c>
      <c r="Q38" s="131">
        <f>-'Historical Financials'!Q142</f>
        <v>0</v>
      </c>
      <c r="R38" s="131">
        <f>-'Historical Financials'!R142</f>
        <v>0</v>
      </c>
      <c r="S38" s="131">
        <f>-'Historical Financials'!S142</f>
        <v>0</v>
      </c>
      <c r="T38" s="131">
        <f>-'Historical Financials'!T142</f>
        <v>0</v>
      </c>
      <c r="V38" s="130">
        <f t="shared" si="74"/>
        <v>0</v>
      </c>
      <c r="W38" s="130">
        <f t="shared" si="75"/>
        <v>0</v>
      </c>
      <c r="X38" s="130">
        <f t="shared" si="76"/>
        <v>0</v>
      </c>
      <c r="Y38" s="130">
        <f t="shared" si="77"/>
        <v>0</v>
      </c>
      <c r="Z38" s="130">
        <f t="shared" si="78"/>
        <v>0</v>
      </c>
      <c r="AA38" s="130">
        <f t="shared" si="79"/>
        <v>0</v>
      </c>
      <c r="AB38" s="130">
        <f t="shared" si="80"/>
        <v>0</v>
      </c>
      <c r="AC38" s="130">
        <f t="shared" si="81"/>
        <v>0</v>
      </c>
      <c r="AD38" s="130">
        <f t="shared" si="82"/>
        <v>0</v>
      </c>
      <c r="AE38" s="130">
        <f t="shared" si="83"/>
        <v>0</v>
      </c>
      <c r="AG38" s="107" t="e">
        <f>SUM(AE38/AA38)-1</f>
        <v>#DIV/0!</v>
      </c>
    </row>
    <row r="39" spans="2:33" ht="12.75" customHeight="1">
      <c r="B39" s="21" t="s">
        <v>108</v>
      </c>
      <c r="C39" s="169">
        <f>-'Historical Financials'!C143</f>
        <v>0</v>
      </c>
      <c r="D39" s="169">
        <f>-'Historical Financials'!D143</f>
        <v>0</v>
      </c>
      <c r="E39" s="169">
        <f>-'Historical Financials'!E143</f>
        <v>0</v>
      </c>
      <c r="F39" s="169">
        <f>-'Historical Financials'!F143</f>
        <v>0</v>
      </c>
      <c r="H39" s="169">
        <f>-'Historical Financials'!H143</f>
        <v>0</v>
      </c>
      <c r="I39" s="169">
        <f>-'Historical Financials'!I143</f>
        <v>0</v>
      </c>
      <c r="J39" s="169">
        <f>-'Historical Financials'!J143</f>
        <v>0</v>
      </c>
      <c r="K39" s="169">
        <f>-'Historical Financials'!K143</f>
        <v>0</v>
      </c>
      <c r="L39" s="169">
        <f>-'Historical Financials'!L143</f>
        <v>0</v>
      </c>
      <c r="M39" s="169">
        <f>-'Historical Financials'!M143</f>
        <v>0</v>
      </c>
      <c r="N39" s="169">
        <f>-'Historical Financials'!N143</f>
        <v>0</v>
      </c>
      <c r="O39" s="169">
        <f>-'Historical Financials'!O143</f>
        <v>0</v>
      </c>
      <c r="P39" s="169">
        <f>-'Historical Financials'!P143</f>
        <v>0</v>
      </c>
      <c r="Q39" s="169">
        <f>-'Historical Financials'!Q143</f>
        <v>0</v>
      </c>
      <c r="R39" s="169">
        <f>-'Historical Financials'!R143</f>
        <v>0</v>
      </c>
      <c r="S39" s="169">
        <f>-'Historical Financials'!S143</f>
        <v>0</v>
      </c>
      <c r="T39" s="169">
        <f>-'Historical Financials'!T143</f>
        <v>0</v>
      </c>
      <c r="V39" s="130">
        <f t="shared" ref="V39" si="84">SUM(H39:K39)</f>
        <v>0</v>
      </c>
      <c r="W39" s="130">
        <f t="shared" ref="W39" si="85">SUM(I39:L39)</f>
        <v>0</v>
      </c>
      <c r="X39" s="130">
        <f t="shared" ref="X39" si="86">SUM(J39:M39)</f>
        <v>0</v>
      </c>
      <c r="Y39" s="130">
        <f t="shared" ref="Y39" si="87">SUM(K39:N39)</f>
        <v>0</v>
      </c>
      <c r="Z39" s="130">
        <f t="shared" ref="Z39" si="88">SUM(L39:O39)</f>
        <v>0</v>
      </c>
      <c r="AA39" s="130">
        <f t="shared" ref="AA39" si="89">SUM(M39:P39)</f>
        <v>0</v>
      </c>
      <c r="AB39" s="130">
        <f t="shared" ref="AB39" si="90">SUM(N39:Q39)</f>
        <v>0</v>
      </c>
      <c r="AC39" s="130">
        <f t="shared" ref="AC39" si="91">SUM(O39:R39)</f>
        <v>0</v>
      </c>
      <c r="AD39" s="130">
        <f t="shared" ref="AD39" si="92">SUM(P39:S39)</f>
        <v>0</v>
      </c>
      <c r="AE39" s="130">
        <f t="shared" ref="AE39" si="93">SUM(Q39:T39)</f>
        <v>0</v>
      </c>
      <c r="AG39" s="107" t="e">
        <f>SUM(AE39/AA39)-1</f>
        <v>#DIV/0!</v>
      </c>
    </row>
    <row r="40" spans="2:33" ht="12.75" customHeight="1">
      <c r="B40" s="21" t="s">
        <v>37</v>
      </c>
      <c r="C40" s="131"/>
      <c r="D40" s="131"/>
      <c r="E40" s="131"/>
      <c r="F40" s="131"/>
      <c r="H40" s="131"/>
      <c r="I40" s="131"/>
      <c r="J40" s="131"/>
      <c r="K40" s="131"/>
      <c r="L40" s="131"/>
      <c r="M40" s="131"/>
      <c r="N40" s="131"/>
      <c r="O40" s="131"/>
      <c r="P40" s="131"/>
      <c r="Q40" s="131"/>
      <c r="R40" s="131"/>
      <c r="S40" s="131"/>
      <c r="T40" s="131"/>
      <c r="V40" s="130">
        <f t="shared" si="74"/>
        <v>0</v>
      </c>
      <c r="W40" s="130">
        <f t="shared" si="75"/>
        <v>0</v>
      </c>
      <c r="X40" s="130">
        <f t="shared" si="76"/>
        <v>0</v>
      </c>
      <c r="Y40" s="130">
        <f t="shared" si="77"/>
        <v>0</v>
      </c>
      <c r="Z40" s="130">
        <f t="shared" si="78"/>
        <v>0</v>
      </c>
      <c r="AA40" s="130">
        <f t="shared" si="79"/>
        <v>0</v>
      </c>
      <c r="AB40" s="130">
        <f t="shared" si="80"/>
        <v>0</v>
      </c>
      <c r="AC40" s="130">
        <f t="shared" si="81"/>
        <v>0</v>
      </c>
      <c r="AD40" s="130">
        <f t="shared" si="82"/>
        <v>0</v>
      </c>
      <c r="AE40" s="130">
        <f t="shared" si="83"/>
        <v>0</v>
      </c>
      <c r="AG40" s="107" t="e">
        <f>SUM(AE40/AA40)-1</f>
        <v>#DIV/0!</v>
      </c>
    </row>
    <row r="41" spans="2:33" ht="12.75" customHeight="1">
      <c r="B41" s="12" t="s">
        <v>38</v>
      </c>
      <c r="C41" s="13">
        <f>SUM(C33+SUM(C36:C40))</f>
        <v>-508.63299999999992</v>
      </c>
      <c r="D41" s="13">
        <f>SUM(D33+SUM(D36:D40))</f>
        <v>-735.29399999999953</v>
      </c>
      <c r="E41" s="13">
        <f>SUM(E33+SUM(E36:E40))</f>
        <v>-261.58799999999974</v>
      </c>
      <c r="F41" s="13">
        <f>SUM(F33+SUM(F36:F40))</f>
        <v>267.0439999999997</v>
      </c>
      <c r="H41" s="13">
        <f>SUM(H33+SUM(H36:H40))</f>
        <v>-177.928</v>
      </c>
      <c r="I41" s="13">
        <f>SUM(I33+SUM(I36:I40))</f>
        <v>-249.00300000000001</v>
      </c>
      <c r="J41" s="13">
        <f>SUM(J33+SUM(J36:J40))</f>
        <v>-186.29299999999998</v>
      </c>
      <c r="K41" s="13">
        <f>SUM(K33+SUM(K36:K40))</f>
        <v>-122.06999999999977</v>
      </c>
      <c r="L41" s="13">
        <f t="shared" ref="L41:Q41" si="94">SUM(L33+SUM(L36:L40))</f>
        <v>-92.774000000000058</v>
      </c>
      <c r="M41" s="13">
        <f t="shared" si="94"/>
        <v>-94.221999999999952</v>
      </c>
      <c r="N41" s="13">
        <f t="shared" si="94"/>
        <v>-93.177999999999983</v>
      </c>
      <c r="O41" s="13">
        <f t="shared" si="94"/>
        <v>18.586000000000269</v>
      </c>
      <c r="P41" s="13">
        <f t="shared" si="94"/>
        <v>-35.821999999999989</v>
      </c>
      <c r="Q41" s="13">
        <f t="shared" si="94"/>
        <v>92.7650000000001</v>
      </c>
      <c r="R41" s="13">
        <f t="shared" ref="R41:S41" si="95">SUM(R33+SUM(R36:R40))</f>
        <v>73.667999999999992</v>
      </c>
      <c r="S41" s="13">
        <f t="shared" si="95"/>
        <v>136.43300000000002</v>
      </c>
      <c r="T41" s="13">
        <f t="shared" ref="T41" si="96">SUM(T33+SUM(T36:T40))</f>
        <v>160.47799999999984</v>
      </c>
      <c r="V41" s="13">
        <f t="shared" ref="V41" si="97">SUM(V33+SUM(V36:V40))</f>
        <v>-735.29399999999953</v>
      </c>
      <c r="W41" s="13">
        <f t="shared" ref="W41:AC41" si="98">SUM(W33+SUM(W36:W40))</f>
        <v>-650.13999999999987</v>
      </c>
      <c r="X41" s="13">
        <f t="shared" si="98"/>
        <v>-495.35899999999975</v>
      </c>
      <c r="Y41" s="13">
        <f t="shared" si="98"/>
        <v>-402.24399999999957</v>
      </c>
      <c r="Z41" s="13">
        <f t="shared" si="98"/>
        <v>-261.58799999999974</v>
      </c>
      <c r="AA41" s="13">
        <f t="shared" si="98"/>
        <v>-204.63599999999943</v>
      </c>
      <c r="AB41" s="13">
        <f t="shared" si="98"/>
        <v>-17.648999999999944</v>
      </c>
      <c r="AC41" s="13">
        <f t="shared" si="98"/>
        <v>149.19700000000006</v>
      </c>
      <c r="AD41" s="13">
        <f>SUM(AD33+SUM(AD36:AD40))</f>
        <v>267.0439999999997</v>
      </c>
      <c r="AE41" s="13">
        <f>SUM(AE33+SUM(AE36:AE40))</f>
        <v>463.34399999999994</v>
      </c>
      <c r="AG41" s="108">
        <f>SUM(AE41/AA41)-1</f>
        <v>-3.264235031959192</v>
      </c>
    </row>
    <row r="42" spans="2:33" ht="5.0999999999999996" customHeight="1"/>
    <row r="43" spans="2:33" ht="12.75" customHeight="1">
      <c r="B43" s="29" t="s">
        <v>107</v>
      </c>
      <c r="C43" s="131"/>
      <c r="D43" s="131"/>
      <c r="E43" s="131"/>
      <c r="F43" s="131"/>
      <c r="G43" s="30"/>
      <c r="H43" s="131"/>
      <c r="I43" s="131"/>
      <c r="J43" s="131"/>
      <c r="K43" s="131"/>
      <c r="L43" s="131"/>
      <c r="M43" s="131"/>
      <c r="N43" s="131"/>
      <c r="O43" s="131"/>
      <c r="P43" s="131"/>
      <c r="Q43" s="131"/>
      <c r="R43" s="131"/>
      <c r="S43" s="131"/>
      <c r="T43" s="131"/>
      <c r="V43" s="130">
        <f t="shared" ref="V43:V48" si="99">SUM(H43:K43)</f>
        <v>0</v>
      </c>
      <c r="W43" s="130">
        <f t="shared" ref="W43:W48" si="100">SUM(I43:L43)</f>
        <v>0</v>
      </c>
      <c r="X43" s="130">
        <f t="shared" ref="X43:X48" si="101">SUM(J43:M43)</f>
        <v>0</v>
      </c>
      <c r="Y43" s="130">
        <f t="shared" ref="Y43:Y48" si="102">SUM(K43:N43)</f>
        <v>0</v>
      </c>
      <c r="Z43" s="130">
        <f t="shared" ref="Z43:Z48" si="103">SUM(L43:O43)</f>
        <v>0</v>
      </c>
      <c r="AA43" s="130">
        <f t="shared" ref="AA43:AA48" si="104">SUM(M43:P43)</f>
        <v>0</v>
      </c>
      <c r="AB43" s="130">
        <f t="shared" ref="AB43:AB48" si="105">SUM(N43:Q43)</f>
        <v>0</v>
      </c>
      <c r="AC43" s="130">
        <f t="shared" ref="AC43:AC48" si="106">SUM(O43:R43)</f>
        <v>0</v>
      </c>
      <c r="AD43" s="130">
        <f t="shared" ref="AD43:AD48" si="107">SUM(P43:S43)</f>
        <v>0</v>
      </c>
      <c r="AE43" s="130">
        <f t="shared" ref="AE43:AE48" si="108">SUM(Q43:T43)</f>
        <v>0</v>
      </c>
    </row>
    <row r="44" spans="2:33" ht="12.75" customHeight="1">
      <c r="B44" s="29" t="s">
        <v>107</v>
      </c>
      <c r="C44" s="131"/>
      <c r="D44" s="131"/>
      <c r="E44" s="131"/>
      <c r="F44" s="131"/>
      <c r="G44" s="30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V44" s="130">
        <f t="shared" si="99"/>
        <v>0</v>
      </c>
      <c r="W44" s="130">
        <f t="shared" si="100"/>
        <v>0</v>
      </c>
      <c r="X44" s="130">
        <f t="shared" si="101"/>
        <v>0</v>
      </c>
      <c r="Y44" s="130">
        <f t="shared" si="102"/>
        <v>0</v>
      </c>
      <c r="Z44" s="130">
        <f t="shared" si="103"/>
        <v>0</v>
      </c>
      <c r="AA44" s="130">
        <f t="shared" si="104"/>
        <v>0</v>
      </c>
      <c r="AB44" s="130">
        <f t="shared" si="105"/>
        <v>0</v>
      </c>
      <c r="AC44" s="130">
        <f t="shared" si="106"/>
        <v>0</v>
      </c>
      <c r="AD44" s="130">
        <f t="shared" si="107"/>
        <v>0</v>
      </c>
      <c r="AE44" s="130">
        <f t="shared" si="108"/>
        <v>0</v>
      </c>
    </row>
    <row r="45" spans="2:33" ht="12.75" customHeight="1">
      <c r="B45" s="29" t="s">
        <v>107</v>
      </c>
      <c r="C45" s="131"/>
      <c r="D45" s="131"/>
      <c r="E45" s="131"/>
      <c r="F45" s="131"/>
      <c r="G45" s="30"/>
      <c r="H45" s="131"/>
      <c r="I45" s="131"/>
      <c r="J45" s="131"/>
      <c r="K45" s="131"/>
      <c r="L45" s="131"/>
      <c r="M45" s="131"/>
      <c r="N45" s="131"/>
      <c r="O45" s="131"/>
      <c r="P45" s="131"/>
      <c r="Q45" s="131"/>
      <c r="R45" s="131"/>
      <c r="S45" s="131"/>
      <c r="T45" s="131"/>
      <c r="V45" s="130">
        <f t="shared" si="99"/>
        <v>0</v>
      </c>
      <c r="W45" s="130">
        <f t="shared" si="100"/>
        <v>0</v>
      </c>
      <c r="X45" s="130">
        <f t="shared" si="101"/>
        <v>0</v>
      </c>
      <c r="Y45" s="130">
        <f t="shared" si="102"/>
        <v>0</v>
      </c>
      <c r="Z45" s="130">
        <f t="shared" si="103"/>
        <v>0</v>
      </c>
      <c r="AA45" s="130">
        <f t="shared" si="104"/>
        <v>0</v>
      </c>
      <c r="AB45" s="130">
        <f t="shared" si="105"/>
        <v>0</v>
      </c>
      <c r="AC45" s="130">
        <f t="shared" si="106"/>
        <v>0</v>
      </c>
      <c r="AD45" s="130">
        <f t="shared" si="107"/>
        <v>0</v>
      </c>
      <c r="AE45" s="130">
        <f t="shared" si="108"/>
        <v>0</v>
      </c>
    </row>
    <row r="46" spans="2:33" ht="12.75" customHeight="1">
      <c r="B46" s="29" t="s">
        <v>107</v>
      </c>
      <c r="C46" s="131"/>
      <c r="D46" s="131"/>
      <c r="E46" s="131"/>
      <c r="F46" s="131"/>
      <c r="G46" s="30"/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R46" s="131"/>
      <c r="S46" s="131"/>
      <c r="T46" s="131"/>
      <c r="V46" s="130">
        <f t="shared" si="99"/>
        <v>0</v>
      </c>
      <c r="W46" s="130">
        <f t="shared" si="100"/>
        <v>0</v>
      </c>
      <c r="X46" s="130">
        <f t="shared" si="101"/>
        <v>0</v>
      </c>
      <c r="Y46" s="130">
        <f t="shared" si="102"/>
        <v>0</v>
      </c>
      <c r="Z46" s="130">
        <f t="shared" si="103"/>
        <v>0</v>
      </c>
      <c r="AA46" s="130">
        <f t="shared" si="104"/>
        <v>0</v>
      </c>
      <c r="AB46" s="130">
        <f t="shared" si="105"/>
        <v>0</v>
      </c>
      <c r="AC46" s="130">
        <f t="shared" si="106"/>
        <v>0</v>
      </c>
      <c r="AD46" s="130">
        <f t="shared" si="107"/>
        <v>0</v>
      </c>
      <c r="AE46" s="130">
        <f t="shared" si="108"/>
        <v>0</v>
      </c>
    </row>
    <row r="47" spans="2:33" ht="12.75" customHeight="1">
      <c r="B47" s="29" t="s">
        <v>107</v>
      </c>
      <c r="C47" s="131"/>
      <c r="D47" s="131"/>
      <c r="E47" s="131"/>
      <c r="F47" s="131"/>
      <c r="G47" s="30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V47" s="130">
        <f t="shared" si="99"/>
        <v>0</v>
      </c>
      <c r="W47" s="130">
        <f t="shared" si="100"/>
        <v>0</v>
      </c>
      <c r="X47" s="130">
        <f t="shared" si="101"/>
        <v>0</v>
      </c>
      <c r="Y47" s="130">
        <f t="shared" si="102"/>
        <v>0</v>
      </c>
      <c r="Z47" s="130">
        <f t="shared" si="103"/>
        <v>0</v>
      </c>
      <c r="AA47" s="130">
        <f t="shared" si="104"/>
        <v>0</v>
      </c>
      <c r="AB47" s="130">
        <f t="shared" si="105"/>
        <v>0</v>
      </c>
      <c r="AC47" s="130">
        <f t="shared" si="106"/>
        <v>0</v>
      </c>
      <c r="AD47" s="130">
        <f t="shared" si="107"/>
        <v>0</v>
      </c>
      <c r="AE47" s="130">
        <f t="shared" si="108"/>
        <v>0</v>
      </c>
    </row>
    <row r="48" spans="2:33" ht="12.75" customHeight="1">
      <c r="B48" s="29" t="s">
        <v>68</v>
      </c>
      <c r="C48" s="132"/>
      <c r="D48" s="132">
        <f t="shared" ref="D48" si="109">SUM(D53:D54)-SUM(C53:C54)-SUM(D41:D47)</f>
        <v>444.43099999999947</v>
      </c>
      <c r="E48" s="132">
        <f t="shared" ref="E48" si="110">SUM(E53:E54)-SUM(D53:D54)-SUM(E41:E47)</f>
        <v>297.04299999999967</v>
      </c>
      <c r="F48" s="132">
        <f t="shared" ref="F48" si="111">SUM(F53:F54)-SUM(E53:E54)-SUM(F41:F47)</f>
        <v>193.98000000000042</v>
      </c>
      <c r="G48" s="30"/>
      <c r="H48" s="132">
        <f>SUM(H53:H54)-SUM(C53:C54)-SUM(H41:H47)</f>
        <v>540.65899999999999</v>
      </c>
      <c r="I48" s="132">
        <f t="shared" ref="I48:S48" si="112">SUM(I53:I54)-SUM(H53:H54)-SUM(I41:I47)</f>
        <v>200.25800000000012</v>
      </c>
      <c r="J48" s="132">
        <f t="shared" si="112"/>
        <v>-297.00800000000015</v>
      </c>
      <c r="K48" s="132">
        <f t="shared" si="112"/>
        <v>0.52199999999976399</v>
      </c>
      <c r="L48" s="132">
        <f t="shared" si="112"/>
        <v>321.32200000000006</v>
      </c>
      <c r="M48" s="132">
        <f t="shared" si="112"/>
        <v>53.708000000000055</v>
      </c>
      <c r="N48" s="132">
        <f t="shared" si="112"/>
        <v>264.89099999999996</v>
      </c>
      <c r="O48" s="132">
        <f t="shared" si="112"/>
        <v>-342.87800000000038</v>
      </c>
      <c r="P48" s="132">
        <f t="shared" si="112"/>
        <v>125.04500000000017</v>
      </c>
      <c r="Q48" s="132">
        <f t="shared" si="112"/>
        <v>259.77</v>
      </c>
      <c r="R48" s="132">
        <f t="shared" si="112"/>
        <v>-74.866000000000312</v>
      </c>
      <c r="S48" s="132">
        <f t="shared" si="112"/>
        <v>-115.96899999999985</v>
      </c>
      <c r="T48" s="132">
        <f>SUM(T53:T54)-SUM(S53:S54)-SUM(T41:T47)</f>
        <v>180.70899999999983</v>
      </c>
      <c r="V48" s="130">
        <f t="shared" si="99"/>
        <v>444.43099999999976</v>
      </c>
      <c r="W48" s="130">
        <f t="shared" si="100"/>
        <v>225.0939999999998</v>
      </c>
      <c r="X48" s="130">
        <f t="shared" si="101"/>
        <v>78.543999999999727</v>
      </c>
      <c r="Y48" s="130">
        <f t="shared" si="102"/>
        <v>640.44299999999987</v>
      </c>
      <c r="Z48" s="130">
        <f t="shared" si="103"/>
        <v>297.04299999999967</v>
      </c>
      <c r="AA48" s="130">
        <f t="shared" si="104"/>
        <v>100.76599999999983</v>
      </c>
      <c r="AB48" s="130">
        <f t="shared" si="105"/>
        <v>306.82799999999975</v>
      </c>
      <c r="AC48" s="130">
        <f t="shared" si="106"/>
        <v>-32.929000000000528</v>
      </c>
      <c r="AD48" s="130">
        <f t="shared" si="107"/>
        <v>193.98</v>
      </c>
      <c r="AE48" s="130">
        <f t="shared" si="108"/>
        <v>249.64399999999964</v>
      </c>
    </row>
    <row r="49" spans="1:31" ht="12.75" customHeight="1">
      <c r="B49" s="12" t="s">
        <v>39</v>
      </c>
      <c r="C49" s="13">
        <f t="shared" ref="C49:F49" si="113">SUM(C41+SUM(C43:C48))</f>
        <v>-508.63299999999992</v>
      </c>
      <c r="D49" s="13">
        <f t="shared" si="113"/>
        <v>-290.86300000000006</v>
      </c>
      <c r="E49" s="13">
        <f t="shared" si="113"/>
        <v>35.454999999999927</v>
      </c>
      <c r="F49" s="13">
        <f t="shared" si="113"/>
        <v>461.02400000000011</v>
      </c>
      <c r="H49" s="13">
        <f t="shared" ref="H49:S49" si="114">SUM(H41+SUM(H43:H48))</f>
        <v>362.73099999999999</v>
      </c>
      <c r="I49" s="13">
        <f t="shared" si="114"/>
        <v>-48.744999999999891</v>
      </c>
      <c r="J49" s="13">
        <f t="shared" si="114"/>
        <v>-483.30100000000016</v>
      </c>
      <c r="K49" s="13">
        <f t="shared" si="114"/>
        <v>-121.548</v>
      </c>
      <c r="L49" s="13">
        <f t="shared" si="114"/>
        <v>228.548</v>
      </c>
      <c r="M49" s="13">
        <f t="shared" si="114"/>
        <v>-40.513999999999896</v>
      </c>
      <c r="N49" s="13">
        <f t="shared" si="114"/>
        <v>171.71299999999997</v>
      </c>
      <c r="O49" s="13">
        <f t="shared" si="114"/>
        <v>-324.29200000000014</v>
      </c>
      <c r="P49" s="13">
        <f t="shared" si="114"/>
        <v>89.223000000000184</v>
      </c>
      <c r="Q49" s="13">
        <f t="shared" si="114"/>
        <v>352.53500000000008</v>
      </c>
      <c r="R49" s="13">
        <f t="shared" si="114"/>
        <v>-1.1980000000003201</v>
      </c>
      <c r="S49" s="13">
        <f t="shared" si="114"/>
        <v>20.464000000000169</v>
      </c>
      <c r="T49" s="13">
        <f t="shared" ref="T49" si="115">SUM(T41+SUM(T43:T48))</f>
        <v>341.18699999999967</v>
      </c>
      <c r="V49" s="13">
        <f t="shared" ref="V49:AE49" si="116">SUM(V41+SUM(V43:V48))</f>
        <v>-290.86299999999977</v>
      </c>
      <c r="W49" s="13">
        <f t="shared" si="116"/>
        <v>-425.04600000000005</v>
      </c>
      <c r="X49" s="13">
        <f t="shared" si="116"/>
        <v>-416.81500000000005</v>
      </c>
      <c r="Y49" s="13">
        <f t="shared" si="116"/>
        <v>238.1990000000003</v>
      </c>
      <c r="Z49" s="13">
        <f t="shared" si="116"/>
        <v>35.454999999999927</v>
      </c>
      <c r="AA49" s="13">
        <f t="shared" si="116"/>
        <v>-103.86999999999959</v>
      </c>
      <c r="AB49" s="13">
        <f t="shared" si="116"/>
        <v>289.1789999999998</v>
      </c>
      <c r="AC49" s="13">
        <f t="shared" si="116"/>
        <v>116.26799999999953</v>
      </c>
      <c r="AD49" s="13">
        <f t="shared" si="116"/>
        <v>461.02399999999966</v>
      </c>
      <c r="AE49" s="13">
        <f t="shared" si="116"/>
        <v>712.9879999999996</v>
      </c>
    </row>
    <row r="50" spans="1:31" ht="5.0999999999999996" customHeight="1"/>
    <row r="51" spans="1:31" ht="12.75" customHeight="1">
      <c r="A51" s="5"/>
      <c r="B51" s="31" t="s">
        <v>40</v>
      </c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</row>
    <row r="52" spans="1:31" ht="5.0999999999999996" customHeight="1"/>
    <row r="53" spans="1:31" ht="12.75" customHeight="1">
      <c r="B53" s="8" t="s">
        <v>41</v>
      </c>
      <c r="C53" s="79">
        <f>'Historical Financials'!C47</f>
        <v>1255.171</v>
      </c>
      <c r="D53" s="79">
        <f>'Historical Financials'!D47</f>
        <v>892.02700000000004</v>
      </c>
      <c r="E53" s="79">
        <f>'Historical Financials'!E47</f>
        <v>1013.106</v>
      </c>
      <c r="F53" s="79">
        <f>'Historical Financials'!F47</f>
        <v>1354.4549999999999</v>
      </c>
      <c r="G53" s="30"/>
      <c r="H53" s="79">
        <f>'Historical Financials'!H47</f>
        <v>1530.1320000000001</v>
      </c>
      <c r="I53" s="79">
        <f>'Historical Financials'!I47</f>
        <v>1440.3330000000001</v>
      </c>
      <c r="J53" s="79">
        <f>'Historical Financials'!J47</f>
        <v>972.47699999999998</v>
      </c>
      <c r="K53" s="79">
        <f>'Historical Financials'!K47</f>
        <v>892.02700000000004</v>
      </c>
      <c r="L53" s="79">
        <f>'Historical Financials'!L47</f>
        <v>1079.261</v>
      </c>
      <c r="M53" s="79">
        <f>'Historical Financials'!M47</f>
        <v>1036.7190000000001</v>
      </c>
      <c r="N53" s="79">
        <f>'Historical Financials'!N47</f>
        <v>1272.76</v>
      </c>
      <c r="O53" s="79">
        <f>'Historical Financials'!O47</f>
        <v>1013.106</v>
      </c>
      <c r="P53" s="79">
        <f>'Historical Financials'!P47</f>
        <v>1046.1600000000001</v>
      </c>
      <c r="Q53" s="79">
        <f>'Historical Financials'!Q47</f>
        <v>1200.3810000000001</v>
      </c>
      <c r="R53" s="79">
        <f>'Historical Financials'!R47</f>
        <v>1351.1479999999999</v>
      </c>
      <c r="S53" s="79">
        <f>'Historical Financials'!S47</f>
        <v>1354.4549999999999</v>
      </c>
      <c r="T53" s="79">
        <f>'Historical Financials'!T47</f>
        <v>1428.848</v>
      </c>
      <c r="V53" s="10">
        <f t="shared" ref="V53:AD55" si="117">K53</f>
        <v>892.02700000000004</v>
      </c>
      <c r="W53" s="10">
        <f t="shared" si="117"/>
        <v>1079.261</v>
      </c>
      <c r="X53" s="10">
        <f t="shared" si="117"/>
        <v>1036.7190000000001</v>
      </c>
      <c r="Y53" s="10">
        <f t="shared" si="117"/>
        <v>1272.76</v>
      </c>
      <c r="Z53" s="10">
        <f t="shared" si="117"/>
        <v>1013.106</v>
      </c>
      <c r="AA53" s="10">
        <f t="shared" si="117"/>
        <v>1046.1600000000001</v>
      </c>
      <c r="AB53" s="10">
        <f t="shared" si="117"/>
        <v>1200.3810000000001</v>
      </c>
      <c r="AC53" s="10">
        <f t="shared" si="117"/>
        <v>1351.1479999999999</v>
      </c>
      <c r="AD53" s="10">
        <f t="shared" si="117"/>
        <v>1354.4549999999999</v>
      </c>
      <c r="AE53" s="10">
        <f>T53</f>
        <v>1428.848</v>
      </c>
    </row>
    <row r="54" spans="1:31" ht="12.75" customHeight="1">
      <c r="B54" s="8" t="s">
        <v>147</v>
      </c>
      <c r="C54" s="79">
        <f>'Historical Financials'!C48</f>
        <v>295.63600000000002</v>
      </c>
      <c r="D54" s="79">
        <f>'Historical Financials'!D48</f>
        <v>367.91699999999997</v>
      </c>
      <c r="E54" s="79">
        <f>'Historical Financials'!E48</f>
        <v>282.29300000000001</v>
      </c>
      <c r="F54" s="79">
        <f>'Historical Financials'!F48</f>
        <v>401.96800000000002</v>
      </c>
      <c r="G54" s="30"/>
      <c r="H54" s="79">
        <f>'Historical Financials'!H48</f>
        <v>383.40600000000001</v>
      </c>
      <c r="I54" s="79">
        <f>'Historical Financials'!I48</f>
        <v>424.46</v>
      </c>
      <c r="J54" s="79">
        <f>'Historical Financials'!J48</f>
        <v>409.01499999999999</v>
      </c>
      <c r="K54" s="79">
        <f>'Historical Financials'!K48</f>
        <v>367.91699999999997</v>
      </c>
      <c r="L54" s="79">
        <f>'Historical Financials'!L48</f>
        <v>409.23099999999999</v>
      </c>
      <c r="M54" s="79">
        <f>'Historical Financials'!M48</f>
        <v>411.25900000000001</v>
      </c>
      <c r="N54" s="79">
        <f>'Historical Financials'!N48</f>
        <v>346.93099999999998</v>
      </c>
      <c r="O54" s="79">
        <f>'Historical Financials'!O48</f>
        <v>282.29300000000001</v>
      </c>
      <c r="P54" s="79">
        <f>'Historical Financials'!P48</f>
        <v>338.46199999999999</v>
      </c>
      <c r="Q54" s="79">
        <f>'Historical Financials'!Q48</f>
        <v>536.77599999999995</v>
      </c>
      <c r="R54" s="79">
        <f>'Historical Financials'!R48</f>
        <v>384.81099999999998</v>
      </c>
      <c r="S54" s="79">
        <f>'Historical Financials'!S48</f>
        <v>401.96800000000002</v>
      </c>
      <c r="T54" s="79">
        <f>'Historical Financials'!T48</f>
        <v>668.76199999999994</v>
      </c>
      <c r="V54" s="10">
        <f t="shared" si="117"/>
        <v>367.91699999999997</v>
      </c>
      <c r="W54" s="10">
        <f t="shared" si="117"/>
        <v>409.23099999999999</v>
      </c>
      <c r="X54" s="10">
        <f t="shared" si="117"/>
        <v>411.25900000000001</v>
      </c>
      <c r="Y54" s="10">
        <f t="shared" si="117"/>
        <v>346.93099999999998</v>
      </c>
      <c r="Z54" s="10">
        <f t="shared" si="117"/>
        <v>282.29300000000001</v>
      </c>
      <c r="AA54" s="10">
        <f t="shared" si="117"/>
        <v>338.46199999999999</v>
      </c>
      <c r="AB54" s="10">
        <f t="shared" si="117"/>
        <v>536.77599999999995</v>
      </c>
      <c r="AC54" s="10">
        <f t="shared" si="117"/>
        <v>384.81099999999998</v>
      </c>
      <c r="AD54" s="10">
        <f t="shared" si="117"/>
        <v>401.96800000000002</v>
      </c>
      <c r="AE54" s="10">
        <f t="shared" ref="AE54:AE55" si="118">T54</f>
        <v>668.76199999999994</v>
      </c>
    </row>
    <row r="55" spans="1:31" ht="12.75" customHeight="1">
      <c r="B55" s="8" t="s">
        <v>148</v>
      </c>
      <c r="C55" s="79">
        <f>'Historical Financials'!C49</f>
        <v>1595.373</v>
      </c>
      <c r="D55" s="79">
        <f>'Historical Financials'!D49</f>
        <v>1174.653</v>
      </c>
      <c r="E55" s="79">
        <f>'Historical Financials'!E49</f>
        <v>1131.6279999999999</v>
      </c>
      <c r="F55" s="79">
        <f>'Historical Financials'!F49</f>
        <v>871.42499999999995</v>
      </c>
      <c r="G55" s="30"/>
      <c r="H55" s="79">
        <f>'Historical Financials'!H49</f>
        <v>1237.2909999999999</v>
      </c>
      <c r="I55" s="79">
        <f>'Historical Financials'!I49</f>
        <v>914.923</v>
      </c>
      <c r="J55" s="79">
        <f>'Historical Financials'!J49</f>
        <v>1059.0309999999999</v>
      </c>
      <c r="K55" s="79">
        <f>'Historical Financials'!K49</f>
        <v>1174.653</v>
      </c>
      <c r="L55" s="79">
        <f>'Historical Financials'!L49</f>
        <v>1021.63</v>
      </c>
      <c r="M55" s="79">
        <f>'Historical Financials'!M49</f>
        <v>914.06899999999996</v>
      </c>
      <c r="N55" s="79">
        <f>'Historical Financials'!N49</f>
        <v>781.40200000000004</v>
      </c>
      <c r="O55" s="79">
        <f>'Historical Financials'!O49</f>
        <v>1131.6279999999999</v>
      </c>
      <c r="P55" s="79">
        <f>'Historical Financials'!P49</f>
        <v>1073.6849999999999</v>
      </c>
      <c r="Q55" s="79">
        <f>'Historical Financials'!Q49</f>
        <v>666.68399999999997</v>
      </c>
      <c r="R55" s="79">
        <f>'Historical Financials'!R49</f>
        <v>780.17</v>
      </c>
      <c r="S55" s="79">
        <f>'Historical Financials'!S49</f>
        <v>871.42499999999995</v>
      </c>
      <c r="T55" s="79">
        <f>'Historical Financials'!T49</f>
        <v>812.44200000000001</v>
      </c>
      <c r="V55" s="10">
        <f t="shared" si="117"/>
        <v>1174.653</v>
      </c>
      <c r="W55" s="10">
        <f t="shared" si="117"/>
        <v>1021.63</v>
      </c>
      <c r="X55" s="10">
        <f t="shared" si="117"/>
        <v>914.06899999999996</v>
      </c>
      <c r="Y55" s="10">
        <f t="shared" si="117"/>
        <v>781.40200000000004</v>
      </c>
      <c r="Z55" s="10">
        <f t="shared" si="117"/>
        <v>1131.6279999999999</v>
      </c>
      <c r="AA55" s="10">
        <f t="shared" si="117"/>
        <v>1073.6849999999999</v>
      </c>
      <c r="AB55" s="10">
        <f t="shared" si="117"/>
        <v>666.68399999999997</v>
      </c>
      <c r="AC55" s="10">
        <f t="shared" si="117"/>
        <v>780.17</v>
      </c>
      <c r="AD55" s="10">
        <f t="shared" si="117"/>
        <v>871.42499999999995</v>
      </c>
      <c r="AE55" s="10">
        <f t="shared" si="118"/>
        <v>812.44200000000001</v>
      </c>
    </row>
    <row r="56" spans="1:31" ht="12.75" customHeight="1">
      <c r="B56" s="12" t="s">
        <v>42</v>
      </c>
      <c r="C56" s="13">
        <f>SUM(C53:C55)</f>
        <v>3146.1800000000003</v>
      </c>
      <c r="D56" s="13">
        <f t="shared" ref="D56:F56" si="119">SUM(D53:D55)</f>
        <v>2434.5969999999998</v>
      </c>
      <c r="E56" s="13">
        <f t="shared" si="119"/>
        <v>2427.027</v>
      </c>
      <c r="F56" s="13">
        <f t="shared" si="119"/>
        <v>2627.848</v>
      </c>
      <c r="G56" s="30"/>
      <c r="H56" s="13">
        <f t="shared" ref="H56:S56" si="120">SUM(H53:H55)</f>
        <v>3150.8289999999997</v>
      </c>
      <c r="I56" s="13">
        <f t="shared" si="120"/>
        <v>2779.7160000000003</v>
      </c>
      <c r="J56" s="13">
        <f t="shared" si="120"/>
        <v>2440.5230000000001</v>
      </c>
      <c r="K56" s="13">
        <f t="shared" si="120"/>
        <v>2434.5969999999998</v>
      </c>
      <c r="L56" s="13">
        <f t="shared" si="120"/>
        <v>2510.1219999999998</v>
      </c>
      <c r="M56" s="13">
        <f t="shared" si="120"/>
        <v>2362.047</v>
      </c>
      <c r="N56" s="13">
        <f t="shared" si="120"/>
        <v>2401.0929999999998</v>
      </c>
      <c r="O56" s="13">
        <f t="shared" si="120"/>
        <v>2427.027</v>
      </c>
      <c r="P56" s="13">
        <f t="shared" si="120"/>
        <v>2458.3069999999998</v>
      </c>
      <c r="Q56" s="13">
        <f t="shared" si="120"/>
        <v>2403.8410000000003</v>
      </c>
      <c r="R56" s="13">
        <f t="shared" si="120"/>
        <v>2516.1289999999999</v>
      </c>
      <c r="S56" s="13">
        <f t="shared" si="120"/>
        <v>2627.848</v>
      </c>
      <c r="T56" s="13">
        <f t="shared" ref="T56" si="121">SUM(T53:T55)</f>
        <v>2910.0519999999997</v>
      </c>
      <c r="V56" s="13">
        <f t="shared" ref="V56" si="122">SUM(V53:V55)</f>
        <v>2434.5969999999998</v>
      </c>
      <c r="W56" s="13">
        <f t="shared" ref="W56:AE56" si="123">SUM(W53:W55)</f>
        <v>2510.1219999999998</v>
      </c>
      <c r="X56" s="13">
        <f t="shared" si="123"/>
        <v>2362.047</v>
      </c>
      <c r="Y56" s="13">
        <f t="shared" si="123"/>
        <v>2401.0929999999998</v>
      </c>
      <c r="Z56" s="13">
        <f t="shared" si="123"/>
        <v>2427.027</v>
      </c>
      <c r="AA56" s="13">
        <f t="shared" si="123"/>
        <v>2458.3069999999998</v>
      </c>
      <c r="AB56" s="13">
        <f t="shared" si="123"/>
        <v>2403.8410000000003</v>
      </c>
      <c r="AC56" s="13">
        <f t="shared" si="123"/>
        <v>2516.1289999999999</v>
      </c>
      <c r="AD56" s="13">
        <f t="shared" si="123"/>
        <v>2627.848</v>
      </c>
      <c r="AE56" s="13">
        <f t="shared" si="123"/>
        <v>2910.0519999999997</v>
      </c>
    </row>
    <row r="57" spans="1:31" ht="5.0999999999999996" customHeight="1"/>
    <row r="58" spans="1:31" ht="12.75" customHeight="1">
      <c r="B58" s="32" t="s">
        <v>43</v>
      </c>
    </row>
    <row r="59" spans="1:31" ht="12.75" customHeight="1">
      <c r="B59" s="8" t="s">
        <v>151</v>
      </c>
      <c r="C59" s="79">
        <f>'Historical Financials'!C52</f>
        <v>142.05199999999999</v>
      </c>
      <c r="D59" s="79">
        <f>'Historical Financials'!D52</f>
        <v>199.08500000000001</v>
      </c>
      <c r="E59" s="79">
        <f>'Historical Financials'!E52</f>
        <v>353.02800000000002</v>
      </c>
      <c r="F59" s="79">
        <f>'Historical Financials'!F52</f>
        <v>426.17700000000002</v>
      </c>
      <c r="H59" s="79">
        <f>'Historical Financials'!H52</f>
        <v>147.75700000000001</v>
      </c>
      <c r="I59" s="79">
        <f>'Historical Financials'!I52</f>
        <v>201.62200000000001</v>
      </c>
      <c r="J59" s="79">
        <f>'Historical Financials'!J52</f>
        <v>135.816</v>
      </c>
      <c r="K59" s="79">
        <f>'Historical Financials'!K52</f>
        <v>199.08500000000001</v>
      </c>
      <c r="L59" s="79">
        <f>'Historical Financials'!L52</f>
        <v>236.23400000000001</v>
      </c>
      <c r="M59" s="79">
        <f>'Historical Financials'!M52</f>
        <v>307.286</v>
      </c>
      <c r="N59" s="79">
        <f>'Historical Financials'!N52</f>
        <v>293.38799999999998</v>
      </c>
      <c r="O59" s="79">
        <f>'Historical Financials'!O52</f>
        <v>353.02800000000002</v>
      </c>
      <c r="P59" s="79">
        <f>'Historical Financials'!P52</f>
        <v>308.39400000000001</v>
      </c>
      <c r="Q59" s="79">
        <f>'Historical Financials'!Q52</f>
        <v>203.626</v>
      </c>
      <c r="R59" s="79">
        <f>'Historical Financials'!R52</f>
        <v>220.279</v>
      </c>
      <c r="S59" s="79">
        <f>'Historical Financials'!S52</f>
        <v>426.17700000000002</v>
      </c>
      <c r="T59" s="79">
        <f>'Historical Financials'!T52</f>
        <v>283.726</v>
      </c>
      <c r="U59" s="10"/>
      <c r="V59" s="10">
        <f t="shared" ref="V59:V65" si="124">K59</f>
        <v>199.08500000000001</v>
      </c>
      <c r="W59" s="10">
        <f t="shared" ref="W59:W65" si="125">L59</f>
        <v>236.23400000000001</v>
      </c>
      <c r="X59" s="10">
        <f t="shared" ref="X59:X65" si="126">M59</f>
        <v>307.286</v>
      </c>
      <c r="Y59" s="10">
        <f t="shared" ref="Y59:Y65" si="127">N59</f>
        <v>293.38799999999998</v>
      </c>
      <c r="Z59" s="10">
        <f t="shared" ref="Z59:Z65" si="128">O59</f>
        <v>353.02800000000002</v>
      </c>
      <c r="AA59" s="10">
        <f t="shared" ref="AA59:AA65" si="129">P59</f>
        <v>308.39400000000001</v>
      </c>
      <c r="AB59" s="10">
        <f t="shared" ref="AB59:AB65" si="130">Q59</f>
        <v>203.626</v>
      </c>
      <c r="AC59" s="10">
        <f t="shared" ref="AC59:AC65" si="131">R59</f>
        <v>220.279</v>
      </c>
      <c r="AD59" s="10">
        <f t="shared" ref="AD59:AD65" si="132">S59</f>
        <v>426.17700000000002</v>
      </c>
      <c r="AE59" s="10">
        <f t="shared" ref="AE59:AE65" si="133">T59</f>
        <v>283.726</v>
      </c>
    </row>
    <row r="60" spans="1:31" ht="12.75" customHeight="1">
      <c r="B60" s="8" t="s">
        <v>152</v>
      </c>
      <c r="C60" s="79">
        <f>'Historical Financials'!C54</f>
        <v>171.482</v>
      </c>
      <c r="D60" s="79">
        <f>'Historical Financials'!D54</f>
        <v>290.13499999999999</v>
      </c>
      <c r="E60" s="79">
        <f>'Historical Financials'!E54</f>
        <v>427.68599999999998</v>
      </c>
      <c r="F60" s="79">
        <f>'Historical Financials'!F54</f>
        <v>572.63699999999994</v>
      </c>
      <c r="H60" s="79">
        <f>'Historical Financials'!H54</f>
        <v>208.46</v>
      </c>
      <c r="I60" s="79">
        <f>'Historical Financials'!I54</f>
        <v>248.93899999999999</v>
      </c>
      <c r="J60" s="79">
        <f>'Historical Financials'!J54</f>
        <v>277.15600000000001</v>
      </c>
      <c r="K60" s="79">
        <f>'Historical Financials'!K54</f>
        <v>290.13499999999999</v>
      </c>
      <c r="L60" s="79">
        <f>'Historical Financials'!L54</f>
        <v>338.74900000000002</v>
      </c>
      <c r="M60" s="79">
        <f>'Historical Financials'!M54</f>
        <v>369.85399999999998</v>
      </c>
      <c r="N60" s="79">
        <f>'Historical Financials'!N54</f>
        <v>401.53500000000003</v>
      </c>
      <c r="O60" s="79">
        <f>'Historical Financials'!O54</f>
        <v>427.68599999999998</v>
      </c>
      <c r="P60" s="79">
        <f>'Historical Financials'!P54</f>
        <v>473.01900000000001</v>
      </c>
      <c r="Q60" s="79">
        <f>'Historical Financials'!Q54</f>
        <v>506.334</v>
      </c>
      <c r="R60" s="79">
        <f>'Historical Financials'!R54</f>
        <v>543.327</v>
      </c>
      <c r="S60" s="79">
        <f>'Historical Financials'!S54</f>
        <v>572.63699999999994</v>
      </c>
      <c r="T60" s="79">
        <f>'Historical Financials'!T54</f>
        <v>613.93799999999999</v>
      </c>
      <c r="U60" s="10"/>
      <c r="V60" s="10">
        <f t="shared" si="124"/>
        <v>290.13499999999999</v>
      </c>
      <c r="W60" s="10">
        <f t="shared" si="125"/>
        <v>338.74900000000002</v>
      </c>
      <c r="X60" s="10">
        <f t="shared" si="126"/>
        <v>369.85399999999998</v>
      </c>
      <c r="Y60" s="10">
        <f t="shared" si="127"/>
        <v>401.53500000000003</v>
      </c>
      <c r="Z60" s="10">
        <f t="shared" si="128"/>
        <v>427.68599999999998</v>
      </c>
      <c r="AA60" s="10">
        <f t="shared" si="129"/>
        <v>473.01900000000001</v>
      </c>
      <c r="AB60" s="10">
        <f t="shared" si="130"/>
        <v>506.334</v>
      </c>
      <c r="AC60" s="10">
        <f t="shared" si="131"/>
        <v>543.327</v>
      </c>
      <c r="AD60" s="10">
        <f t="shared" si="132"/>
        <v>572.63699999999994</v>
      </c>
      <c r="AE60" s="10">
        <f t="shared" si="133"/>
        <v>613.93799999999999</v>
      </c>
    </row>
    <row r="61" spans="1:31" ht="12.75" customHeight="1">
      <c r="B61" s="8" t="s">
        <v>19</v>
      </c>
      <c r="C61" s="79">
        <f>'Historical Financials'!C56</f>
        <v>6973.7919999999995</v>
      </c>
      <c r="D61" s="79">
        <f>'Historical Financials'!D56</f>
        <v>8155.6150000000007</v>
      </c>
      <c r="E61" s="79">
        <f>'Historical Financials'!E56</f>
        <v>9519.6189999999988</v>
      </c>
      <c r="F61" s="79">
        <f>'Historical Financials'!F56</f>
        <v>11154.928</v>
      </c>
      <c r="G61" s="79"/>
      <c r="H61" s="79">
        <f>'Historical Financials'!H56</f>
        <v>7165.0599999999995</v>
      </c>
      <c r="I61" s="79">
        <f>'Historical Financials'!I56</f>
        <v>7804.7510000000002</v>
      </c>
      <c r="J61" s="79">
        <f>'Historical Financials'!J56</f>
        <v>7507.8490000000002</v>
      </c>
      <c r="K61" s="79">
        <f>'Historical Financials'!K56</f>
        <v>8155.6150000000007</v>
      </c>
      <c r="L61" s="79">
        <f>'Historical Financials'!L56</f>
        <v>8407.1489999999994</v>
      </c>
      <c r="M61" s="79">
        <f>'Historical Financials'!M56</f>
        <v>9064.9889999999996</v>
      </c>
      <c r="N61" s="79">
        <f>'Historical Financials'!N56</f>
        <v>9201.4260000000013</v>
      </c>
      <c r="O61" s="79">
        <f>'Historical Financials'!O56</f>
        <v>9519.6189999999988</v>
      </c>
      <c r="P61" s="79">
        <f>'Historical Financials'!P56</f>
        <v>10139.156000000001</v>
      </c>
      <c r="Q61" s="79">
        <f>'Historical Financials'!Q56</f>
        <v>10481.077000000001</v>
      </c>
      <c r="R61" s="79">
        <f>'Historical Financials'!R56</f>
        <v>10436.187</v>
      </c>
      <c r="S61" s="79">
        <f>'Historical Financials'!S56</f>
        <v>11154.928</v>
      </c>
      <c r="T61" s="79">
        <f>'Historical Financials'!T56</f>
        <v>11478.565999999999</v>
      </c>
      <c r="V61" s="10">
        <f t="shared" ref="V61" si="134">K61</f>
        <v>8155.6150000000007</v>
      </c>
      <c r="W61" s="10">
        <f t="shared" ref="W61" si="135">L61</f>
        <v>8407.1489999999994</v>
      </c>
      <c r="X61" s="10">
        <f t="shared" ref="X61" si="136">M61</f>
        <v>9064.9889999999996</v>
      </c>
      <c r="Y61" s="10">
        <f t="shared" ref="Y61" si="137">N61</f>
        <v>9201.4260000000013</v>
      </c>
      <c r="Z61" s="10">
        <f t="shared" ref="Z61" si="138">O61</f>
        <v>9519.6189999999988</v>
      </c>
      <c r="AA61" s="10">
        <f t="shared" ref="AA61" si="139">P61</f>
        <v>10139.156000000001</v>
      </c>
      <c r="AB61" s="10">
        <f t="shared" ref="AB61" si="140">Q61</f>
        <v>10481.077000000001</v>
      </c>
      <c r="AC61" s="10">
        <f t="shared" ref="AC61" si="141">R61</f>
        <v>10436.187</v>
      </c>
      <c r="AD61" s="10">
        <f t="shared" ref="AD61" si="142">S61</f>
        <v>11154.928</v>
      </c>
      <c r="AE61" s="10">
        <f t="shared" ref="AE61" si="143">T61</f>
        <v>11478.565999999999</v>
      </c>
    </row>
    <row r="62" spans="1:31" ht="12.75" customHeight="1">
      <c r="B62" s="8" t="s">
        <v>13</v>
      </c>
      <c r="C62" s="79">
        <f>'Historical Financials'!C59</f>
        <v>33.072000000000003</v>
      </c>
      <c r="D62" s="79">
        <f>'Historical Financials'!D59</f>
        <v>28.602</v>
      </c>
      <c r="E62" s="79">
        <f>'Historical Financials'!E59</f>
        <v>41.018999999999998</v>
      </c>
      <c r="F62" s="79">
        <f>'Historical Financials'!F59</f>
        <v>82.82</v>
      </c>
      <c r="H62" s="79">
        <f>'Historical Financials'!H59</f>
        <v>34.533999999999999</v>
      </c>
      <c r="I62" s="79">
        <f>'Historical Financials'!I59</f>
        <v>28.974</v>
      </c>
      <c r="J62" s="79">
        <f>'Historical Financials'!J59</f>
        <v>30.021999999999998</v>
      </c>
      <c r="K62" s="79">
        <f>'Historical Financials'!K59</f>
        <v>28.602</v>
      </c>
      <c r="L62" s="79">
        <f>'Historical Financials'!L59</f>
        <v>27.344999999999999</v>
      </c>
      <c r="M62" s="79">
        <f>'Historical Financials'!M59</f>
        <v>59.8</v>
      </c>
      <c r="N62" s="79">
        <f>'Historical Financials'!N59</f>
        <v>35.223999999999997</v>
      </c>
      <c r="O62" s="79">
        <f>'Historical Financials'!O59</f>
        <v>41.018999999999998</v>
      </c>
      <c r="P62" s="79">
        <f>'Historical Financials'!P59</f>
        <v>57.561</v>
      </c>
      <c r="Q62" s="79">
        <f>'Historical Financials'!Q59</f>
        <v>50.625999999999998</v>
      </c>
      <c r="R62" s="79">
        <f>'Historical Financials'!R59</f>
        <v>41.057000000000002</v>
      </c>
      <c r="S62" s="79">
        <f>'Historical Financials'!S59</f>
        <v>82.82</v>
      </c>
      <c r="T62" s="79">
        <f>'Historical Financials'!T59</f>
        <v>58.018999999999998</v>
      </c>
      <c r="U62" s="10"/>
      <c r="V62" s="10">
        <f t="shared" si="124"/>
        <v>28.602</v>
      </c>
      <c r="W62" s="10">
        <f t="shared" si="125"/>
        <v>27.344999999999999</v>
      </c>
      <c r="X62" s="10">
        <f t="shared" si="126"/>
        <v>59.8</v>
      </c>
      <c r="Y62" s="10">
        <f t="shared" si="127"/>
        <v>35.223999999999997</v>
      </c>
      <c r="Z62" s="10">
        <f t="shared" si="128"/>
        <v>41.018999999999998</v>
      </c>
      <c r="AA62" s="10">
        <f t="shared" si="129"/>
        <v>57.561</v>
      </c>
      <c r="AB62" s="10">
        <f t="shared" si="130"/>
        <v>50.625999999999998</v>
      </c>
      <c r="AC62" s="10">
        <f t="shared" si="131"/>
        <v>41.057000000000002</v>
      </c>
      <c r="AD62" s="10">
        <f t="shared" si="132"/>
        <v>82.82</v>
      </c>
      <c r="AE62" s="10">
        <f t="shared" si="133"/>
        <v>58.018999999999998</v>
      </c>
    </row>
    <row r="63" spans="1:31" ht="12.75" customHeight="1">
      <c r="B63" s="8" t="s">
        <v>153</v>
      </c>
      <c r="C63" s="79">
        <f>'Historical Financials'!C60</f>
        <v>71.382999999999996</v>
      </c>
      <c r="D63" s="79">
        <f>'Historical Financials'!D60</f>
        <v>53.851999999999997</v>
      </c>
      <c r="E63" s="79">
        <f>'Historical Financials'!E60</f>
        <v>159.643</v>
      </c>
      <c r="F63" s="79">
        <f>'Historical Financials'!F60</f>
        <v>211.7</v>
      </c>
      <c r="H63" s="79">
        <f>'Historical Financials'!H60</f>
        <v>90.811000000000007</v>
      </c>
      <c r="I63" s="79">
        <f>'Historical Financials'!I60</f>
        <v>127.378</v>
      </c>
      <c r="J63" s="79">
        <f>'Historical Financials'!J60</f>
        <v>44.186999999999998</v>
      </c>
      <c r="K63" s="79">
        <f>'Historical Financials'!K60</f>
        <v>53.851999999999997</v>
      </c>
      <c r="L63" s="79">
        <f>'Historical Financials'!L60</f>
        <v>109.498</v>
      </c>
      <c r="M63" s="79">
        <f>'Historical Financials'!M60</f>
        <v>134.56700000000001</v>
      </c>
      <c r="N63" s="79">
        <f>'Historical Financials'!N60</f>
        <v>129.72999999999999</v>
      </c>
      <c r="O63" s="79">
        <f>'Historical Financials'!O60</f>
        <v>159.643</v>
      </c>
      <c r="P63" s="79">
        <f>'Historical Financials'!P60</f>
        <v>152.035</v>
      </c>
      <c r="Q63" s="79">
        <f>'Historical Financials'!Q60</f>
        <v>157.245</v>
      </c>
      <c r="R63" s="79">
        <f>'Historical Financials'!R60</f>
        <v>176.99600000000001</v>
      </c>
      <c r="S63" s="79">
        <f>'Historical Financials'!S60</f>
        <v>211.7</v>
      </c>
      <c r="T63" s="79">
        <f>'Historical Financials'!T60</f>
        <v>193.79</v>
      </c>
      <c r="U63" s="10"/>
      <c r="V63" s="10">
        <f t="shared" ref="V63" si="144">K63</f>
        <v>53.851999999999997</v>
      </c>
      <c r="W63" s="10">
        <f t="shared" ref="W63" si="145">L63</f>
        <v>109.498</v>
      </c>
      <c r="X63" s="10">
        <f t="shared" ref="X63" si="146">M63</f>
        <v>134.56700000000001</v>
      </c>
      <c r="Y63" s="10">
        <f t="shared" ref="Y63" si="147">N63</f>
        <v>129.72999999999999</v>
      </c>
      <c r="Z63" s="10">
        <f t="shared" ref="Z63" si="148">O63</f>
        <v>159.643</v>
      </c>
      <c r="AA63" s="10">
        <f t="shared" ref="AA63" si="149">P63</f>
        <v>152.035</v>
      </c>
      <c r="AB63" s="10">
        <f t="shared" ref="AB63" si="150">Q63</f>
        <v>157.245</v>
      </c>
      <c r="AC63" s="10">
        <f t="shared" ref="AC63" si="151">R63</f>
        <v>176.99600000000001</v>
      </c>
      <c r="AD63" s="10">
        <f t="shared" ref="AD63" si="152">S63</f>
        <v>211.7</v>
      </c>
      <c r="AE63" s="10">
        <f t="shared" ref="AE63" si="153">T63</f>
        <v>193.79</v>
      </c>
    </row>
    <row r="64" spans="1:31" ht="12.75" customHeight="1">
      <c r="B64" s="8" t="s">
        <v>156</v>
      </c>
      <c r="C64" s="79">
        <f>'Historical Financials'!C65</f>
        <v>672.577</v>
      </c>
      <c r="D64" s="79">
        <f>'Historical Financials'!D65</f>
        <v>1764.8119999999999</v>
      </c>
      <c r="E64" s="79">
        <f>'Historical Financials'!E65</f>
        <v>1836.9090000000001</v>
      </c>
      <c r="F64" s="79">
        <f>'Historical Financials'!F65</f>
        <v>1622.808</v>
      </c>
      <c r="H64" s="79">
        <f>'Historical Financials'!H65</f>
        <v>792.63699999999994</v>
      </c>
      <c r="I64" s="79">
        <f>'Historical Financials'!I65</f>
        <v>1882.67</v>
      </c>
      <c r="J64" s="79">
        <f>'Historical Financials'!J65</f>
        <v>1514.12</v>
      </c>
      <c r="K64" s="79">
        <f>'Historical Financials'!K65</f>
        <v>1764.8119999999999</v>
      </c>
      <c r="L64" s="79">
        <f>'Historical Financials'!L65</f>
        <v>1709.751</v>
      </c>
      <c r="M64" s="79">
        <f>'Historical Financials'!M65</f>
        <v>1906.672</v>
      </c>
      <c r="N64" s="79">
        <f>'Historical Financials'!N65</f>
        <v>1613.2719999999999</v>
      </c>
      <c r="O64" s="79">
        <f>'Historical Financials'!O65</f>
        <v>1836.9090000000001</v>
      </c>
      <c r="P64" s="79">
        <f>'Historical Financials'!P65</f>
        <v>1744.04</v>
      </c>
      <c r="Q64" s="79">
        <f>'Historical Financials'!Q65</f>
        <v>2166.806</v>
      </c>
      <c r="R64" s="79">
        <f>'Historical Financials'!R65</f>
        <v>1908.693</v>
      </c>
      <c r="S64" s="79">
        <f>'Historical Financials'!S65</f>
        <v>1622.808</v>
      </c>
      <c r="T64" s="79">
        <f>'Historical Financials'!T65</f>
        <v>1777.9059999999999</v>
      </c>
      <c r="U64" s="10"/>
      <c r="V64" s="10">
        <f t="shared" si="124"/>
        <v>1764.8119999999999</v>
      </c>
      <c r="W64" s="10">
        <f t="shared" si="125"/>
        <v>1709.751</v>
      </c>
      <c r="X64" s="10">
        <f t="shared" si="126"/>
        <v>1906.672</v>
      </c>
      <c r="Y64" s="10">
        <f t="shared" si="127"/>
        <v>1613.2719999999999</v>
      </c>
      <c r="Z64" s="10">
        <f t="shared" si="128"/>
        <v>1836.9090000000001</v>
      </c>
      <c r="AA64" s="10">
        <f t="shared" si="129"/>
        <v>1744.04</v>
      </c>
      <c r="AB64" s="10">
        <f t="shared" si="130"/>
        <v>2166.806</v>
      </c>
      <c r="AC64" s="10">
        <f t="shared" si="131"/>
        <v>1908.693</v>
      </c>
      <c r="AD64" s="10">
        <f t="shared" si="132"/>
        <v>1622.808</v>
      </c>
      <c r="AE64" s="10">
        <f t="shared" si="133"/>
        <v>1777.9059999999999</v>
      </c>
    </row>
    <row r="65" spans="1:31" ht="12.75" customHeight="1">
      <c r="B65" s="8" t="s">
        <v>17</v>
      </c>
      <c r="C65" s="79">
        <f>'Historical Financials'!C66</f>
        <v>4355.5370000000003</v>
      </c>
      <c r="D65" s="79">
        <f>'Historical Financials'!D66</f>
        <v>5621.4320000000007</v>
      </c>
      <c r="E65" s="79">
        <f>'Historical Financials'!E66</f>
        <v>6787.6299999999992</v>
      </c>
      <c r="F65" s="79">
        <f>'Historical Financials'!F66</f>
        <v>8085.9199999999992</v>
      </c>
      <c r="G65" s="79"/>
      <c r="H65" s="79">
        <f>'Historical Financials'!H66</f>
        <v>4601.6219999999994</v>
      </c>
      <c r="I65" s="79">
        <f>'Historical Financials'!I66</f>
        <v>5294.6030000000001</v>
      </c>
      <c r="J65" s="79">
        <f>'Historical Financials'!J66</f>
        <v>4996.7129999999997</v>
      </c>
      <c r="K65" s="79">
        <f>'Historical Financials'!K66</f>
        <v>5621.4320000000007</v>
      </c>
      <c r="L65" s="79">
        <f>'Historical Financials'!L66</f>
        <v>5840.3490000000002</v>
      </c>
      <c r="M65" s="79">
        <f>'Historical Financials'!M66</f>
        <v>6430.1</v>
      </c>
      <c r="N65" s="79">
        <f>'Historical Financials'!N66</f>
        <v>6577.9660000000003</v>
      </c>
      <c r="O65" s="79">
        <f>'Historical Financials'!O66</f>
        <v>6787.6299999999992</v>
      </c>
      <c r="P65" s="79">
        <f>'Historical Financials'!P66</f>
        <v>7303.5870000000004</v>
      </c>
      <c r="Q65" s="79">
        <f>'Historical Financials'!Q66</f>
        <v>7695.5370000000003</v>
      </c>
      <c r="R65" s="79">
        <f>'Historical Financials'!R66</f>
        <v>7561.2719999999999</v>
      </c>
      <c r="S65" s="79">
        <f>'Historical Financials'!S66</f>
        <v>8085.9199999999992</v>
      </c>
      <c r="T65" s="79">
        <f>'Historical Financials'!T66</f>
        <v>8179.6810000000005</v>
      </c>
      <c r="V65" s="10">
        <f t="shared" si="124"/>
        <v>5621.4320000000007</v>
      </c>
      <c r="W65" s="10">
        <f t="shared" si="125"/>
        <v>5840.3490000000002</v>
      </c>
      <c r="X65" s="10">
        <f t="shared" si="126"/>
        <v>6430.1</v>
      </c>
      <c r="Y65" s="10">
        <f t="shared" si="127"/>
        <v>6577.9660000000003</v>
      </c>
      <c r="Z65" s="10">
        <f t="shared" si="128"/>
        <v>6787.6299999999992</v>
      </c>
      <c r="AA65" s="10">
        <f t="shared" si="129"/>
        <v>7303.5870000000004</v>
      </c>
      <c r="AB65" s="10">
        <f t="shared" si="130"/>
        <v>7695.5370000000003</v>
      </c>
      <c r="AC65" s="10">
        <f t="shared" si="131"/>
        <v>7561.2719999999999</v>
      </c>
      <c r="AD65" s="10">
        <f t="shared" si="132"/>
        <v>8085.9199999999992</v>
      </c>
      <c r="AE65" s="10">
        <f t="shared" si="133"/>
        <v>8179.6810000000005</v>
      </c>
    </row>
    <row r="66" spans="1:31" ht="5.0999999999999996" customHeight="1">
      <c r="F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</row>
    <row r="67" spans="1:31">
      <c r="B67" s="32" t="s">
        <v>97</v>
      </c>
      <c r="F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</row>
    <row r="68" spans="1:31">
      <c r="B68" s="8" t="s">
        <v>193</v>
      </c>
      <c r="C68" s="79">
        <f>'Historical Financials'!C63+'Historical Financials'!C64+'Historical Financials'!C65</f>
        <v>4006.8249999999998</v>
      </c>
      <c r="D68" s="79">
        <f>'Historical Financials'!D63+'Historical Financials'!D64+'Historical Financials'!D65</f>
        <v>5344.5969999999998</v>
      </c>
      <c r="E68" s="79">
        <f>'Historical Financials'!E63+'Historical Financials'!E64+'Historical Financials'!E65</f>
        <v>6415.2119999999995</v>
      </c>
      <c r="F68" s="79">
        <f>'Historical Financials'!F63+'Historical Financials'!F64+'Historical Financials'!F65</f>
        <v>7609.6629999999996</v>
      </c>
      <c r="H68" s="79">
        <f>'Historical Financials'!H63+'Historical Financials'!H64+'Historical Financials'!H65</f>
        <v>4221.1729999999998</v>
      </c>
      <c r="I68" s="79">
        <f>'Historical Financials'!I63+'Historical Financials'!I64+'Historical Financials'!I65</f>
        <v>4905.6610000000001</v>
      </c>
      <c r="J68" s="79">
        <f>'Historical Financials'!J63+'Historical Financials'!J64+'Historical Financials'!J65</f>
        <v>4716.3180000000002</v>
      </c>
      <c r="K68" s="79">
        <f>'Historical Financials'!K63+'Historical Financials'!K64+'Historical Financials'!K65</f>
        <v>5344.5969999999998</v>
      </c>
      <c r="L68" s="79">
        <f>'Historical Financials'!L63+'Historical Financials'!L64+'Historical Financials'!L65</f>
        <v>5523.5889999999999</v>
      </c>
      <c r="M68" s="79">
        <f>'Historical Financials'!M63+'Historical Financials'!M64+'Historical Financials'!M65</f>
        <v>6063.2800000000007</v>
      </c>
      <c r="N68" s="79">
        <f>'Historical Financials'!N63+'Historical Financials'!N64+'Historical Financials'!N65</f>
        <v>6240.0340000000006</v>
      </c>
      <c r="O68" s="79">
        <f>'Historical Financials'!O63+'Historical Financials'!O64+'Historical Financials'!O65</f>
        <v>6415.2119999999995</v>
      </c>
      <c r="P68" s="79">
        <f>'Historical Financials'!P63+'Historical Financials'!P64+'Historical Financials'!P65</f>
        <v>6932.0429999999997</v>
      </c>
      <c r="Q68" s="79">
        <f>'Historical Financials'!Q63+'Historical Financials'!Q64+'Historical Financials'!Q65</f>
        <v>7306.741</v>
      </c>
      <c r="R68" s="79">
        <f>'Historical Financials'!R63+'Historical Financials'!R64+'Historical Financials'!R65</f>
        <v>7145.6460000000006</v>
      </c>
      <c r="S68" s="79">
        <f>'Historical Financials'!S63+'Historical Financials'!S64+'Historical Financials'!S65</f>
        <v>7609.6629999999996</v>
      </c>
      <c r="T68" s="79">
        <f>'Historical Financials'!T63+'Historical Financials'!T64+'Historical Financials'!T65</f>
        <v>7736.393</v>
      </c>
      <c r="V68" s="10">
        <f t="shared" ref="V68" si="154">K68</f>
        <v>5344.5969999999998</v>
      </c>
      <c r="W68" s="10">
        <f t="shared" ref="W68" si="155">L68</f>
        <v>5523.5889999999999</v>
      </c>
      <c r="X68" s="10">
        <f t="shared" ref="X68" si="156">M68</f>
        <v>6063.2800000000007</v>
      </c>
      <c r="Y68" s="10">
        <f t="shared" ref="Y68" si="157">N68</f>
        <v>6240.0340000000006</v>
      </c>
      <c r="Z68" s="10">
        <f t="shared" ref="Z68" si="158">O68</f>
        <v>6415.2119999999995</v>
      </c>
      <c r="AA68" s="10">
        <f t="shared" ref="AA68" si="159">P68</f>
        <v>6932.0429999999997</v>
      </c>
      <c r="AB68" s="10">
        <f t="shared" ref="AB68" si="160">Q68</f>
        <v>7306.741</v>
      </c>
      <c r="AC68" s="10">
        <f t="shared" ref="AC68" si="161">R68</f>
        <v>7145.6460000000006</v>
      </c>
      <c r="AD68" s="10">
        <f t="shared" ref="AD68" si="162">S68</f>
        <v>7609.6629999999996</v>
      </c>
      <c r="AE68" s="10">
        <f t="shared" ref="AE68" si="163">T68</f>
        <v>7736.393</v>
      </c>
    </row>
    <row r="69" spans="1:31">
      <c r="F69" s="10"/>
    </row>
    <row r="70" spans="1:31">
      <c r="B70" s="129" t="s">
        <v>154</v>
      </c>
      <c r="C70" s="79">
        <f>'Historical Financials'!C63</f>
        <v>1706.6679999999999</v>
      </c>
      <c r="D70" s="79">
        <f>'Historical Financials'!D63</f>
        <v>1414.2080000000001</v>
      </c>
      <c r="E70" s="79">
        <f>'Historical Financials'!E63</f>
        <v>1341.43</v>
      </c>
      <c r="F70" s="79">
        <f>'Historical Financials'!F63</f>
        <v>1153</v>
      </c>
      <c r="H70" s="79">
        <f>'Historical Financials'!H63</f>
        <v>1707.7239999999999</v>
      </c>
      <c r="I70" s="79">
        <f>'Historical Financials'!I63</f>
        <v>1708.779</v>
      </c>
      <c r="J70" s="79">
        <f>'Historical Financials'!J63</f>
        <v>1413.345</v>
      </c>
      <c r="K70" s="79">
        <f>'Historical Financials'!K63</f>
        <v>1414.2080000000001</v>
      </c>
      <c r="L70" s="79">
        <f>'Historical Financials'!L63</f>
        <v>1415.08</v>
      </c>
      <c r="M70" s="79">
        <f>'Historical Financials'!M63</f>
        <v>1415.952</v>
      </c>
      <c r="N70" s="79">
        <f>'Historical Financials'!N63</f>
        <v>1385.8910000000001</v>
      </c>
      <c r="O70" s="79">
        <f>'Historical Financials'!O63</f>
        <v>1341.43</v>
      </c>
      <c r="P70" s="79">
        <f>'Historical Financials'!P63</f>
        <v>1202.519</v>
      </c>
      <c r="Q70" s="79">
        <f>'Historical Financials'!Q63</f>
        <v>1151.048</v>
      </c>
      <c r="R70" s="79">
        <f>'Historical Financials'!R63</f>
        <v>1152.019</v>
      </c>
      <c r="S70" s="79">
        <f>'Historical Financials'!S63</f>
        <v>1153</v>
      </c>
      <c r="T70" s="79">
        <f>'Historical Financials'!T63</f>
        <v>1127.6679999999999</v>
      </c>
      <c r="V70" s="10">
        <f t="shared" ref="V70:V72" si="164">K70</f>
        <v>1414.2080000000001</v>
      </c>
      <c r="W70" s="10">
        <f t="shared" ref="W70:W72" si="165">L70</f>
        <v>1415.08</v>
      </c>
      <c r="X70" s="10">
        <f t="shared" ref="X70:X72" si="166">M70</f>
        <v>1415.952</v>
      </c>
      <c r="Y70" s="10">
        <f t="shared" ref="Y70:Y72" si="167">N70</f>
        <v>1385.8910000000001</v>
      </c>
      <c r="Z70" s="10">
        <f t="shared" ref="Z70:Z72" si="168">O70</f>
        <v>1341.43</v>
      </c>
      <c r="AA70" s="10">
        <f t="shared" ref="AA70:AA72" si="169">P70</f>
        <v>1202.519</v>
      </c>
      <c r="AB70" s="10">
        <f t="shared" ref="AB70:AB72" si="170">Q70</f>
        <v>1151.048</v>
      </c>
      <c r="AC70" s="10">
        <f t="shared" ref="AC70:AC72" si="171">R70</f>
        <v>1152.019</v>
      </c>
      <c r="AD70" s="10">
        <f t="shared" ref="AD70:AD72" si="172">S70</f>
        <v>1153</v>
      </c>
      <c r="AE70" s="10">
        <f t="shared" ref="AE70:AE72" si="173">T70</f>
        <v>1127.6679999999999</v>
      </c>
    </row>
    <row r="71" spans="1:31">
      <c r="B71" s="129" t="s">
        <v>155</v>
      </c>
      <c r="C71" s="79">
        <f>'Historical Financials'!C64</f>
        <v>1627.58</v>
      </c>
      <c r="D71" s="79">
        <f>'Historical Financials'!D64</f>
        <v>2165.5770000000002</v>
      </c>
      <c r="E71" s="79">
        <f>'Historical Financials'!E64</f>
        <v>3236.873</v>
      </c>
      <c r="F71" s="79">
        <f>'Historical Financials'!F64</f>
        <v>4833.8549999999996</v>
      </c>
      <c r="H71" s="79">
        <f>'Historical Financials'!H64</f>
        <v>1720.8119999999999</v>
      </c>
      <c r="I71" s="79">
        <f>'Historical Financials'!I64</f>
        <v>1314.212</v>
      </c>
      <c r="J71" s="79">
        <f>'Historical Financials'!J64</f>
        <v>1788.8530000000001</v>
      </c>
      <c r="K71" s="79">
        <f>'Historical Financials'!K64</f>
        <v>2165.5770000000002</v>
      </c>
      <c r="L71" s="79">
        <f>'Historical Financials'!L64</f>
        <v>2398.7579999999998</v>
      </c>
      <c r="M71" s="79">
        <f>'Historical Financials'!M64</f>
        <v>2740.6559999999999</v>
      </c>
      <c r="N71" s="79">
        <f>'Historical Financials'!N64</f>
        <v>3240.8710000000001</v>
      </c>
      <c r="O71" s="79">
        <f>'Historical Financials'!O64</f>
        <v>3236.873</v>
      </c>
      <c r="P71" s="79">
        <f>'Historical Financials'!P64</f>
        <v>3985.4839999999999</v>
      </c>
      <c r="Q71" s="79">
        <f>'Historical Financials'!Q64</f>
        <v>3988.8870000000002</v>
      </c>
      <c r="R71" s="79">
        <f>'Historical Financials'!R64</f>
        <v>4084.9340000000002</v>
      </c>
      <c r="S71" s="79">
        <f>'Historical Financials'!S64</f>
        <v>4833.8549999999996</v>
      </c>
      <c r="T71" s="79">
        <f>'Historical Financials'!T64</f>
        <v>4830.8190000000004</v>
      </c>
      <c r="V71" s="10">
        <f t="shared" si="164"/>
        <v>2165.5770000000002</v>
      </c>
      <c r="W71" s="10">
        <f t="shared" si="165"/>
        <v>2398.7579999999998</v>
      </c>
      <c r="X71" s="10">
        <f t="shared" si="166"/>
        <v>2740.6559999999999</v>
      </c>
      <c r="Y71" s="10">
        <f t="shared" si="167"/>
        <v>3240.8710000000001</v>
      </c>
      <c r="Z71" s="10">
        <f t="shared" si="168"/>
        <v>3236.873</v>
      </c>
      <c r="AA71" s="10">
        <f t="shared" si="169"/>
        <v>3985.4839999999999</v>
      </c>
      <c r="AB71" s="10">
        <f t="shared" si="170"/>
        <v>3988.8870000000002</v>
      </c>
      <c r="AC71" s="10">
        <f t="shared" si="171"/>
        <v>4084.9340000000002</v>
      </c>
      <c r="AD71" s="10">
        <f t="shared" si="172"/>
        <v>4833.8549999999996</v>
      </c>
      <c r="AE71" s="10">
        <f t="shared" si="173"/>
        <v>4830.8190000000004</v>
      </c>
    </row>
    <row r="72" spans="1:31">
      <c r="B72" s="129" t="s">
        <v>156</v>
      </c>
      <c r="C72" s="79">
        <f>'Historical Financials'!C65</f>
        <v>672.577</v>
      </c>
      <c r="D72" s="79">
        <f>'Historical Financials'!D65</f>
        <v>1764.8119999999999</v>
      </c>
      <c r="E72" s="79">
        <f>'Historical Financials'!E65</f>
        <v>1836.9090000000001</v>
      </c>
      <c r="F72" s="79">
        <f>'Historical Financials'!F65</f>
        <v>1622.808</v>
      </c>
      <c r="H72" s="79">
        <f>'Historical Financials'!H65</f>
        <v>792.63699999999994</v>
      </c>
      <c r="I72" s="79">
        <f>'Historical Financials'!I65</f>
        <v>1882.67</v>
      </c>
      <c r="J72" s="79">
        <f>'Historical Financials'!J65</f>
        <v>1514.12</v>
      </c>
      <c r="K72" s="79">
        <f>'Historical Financials'!K65</f>
        <v>1764.8119999999999</v>
      </c>
      <c r="L72" s="79">
        <f>'Historical Financials'!L65</f>
        <v>1709.751</v>
      </c>
      <c r="M72" s="79">
        <f>'Historical Financials'!M65</f>
        <v>1906.672</v>
      </c>
      <c r="N72" s="79">
        <f>'Historical Financials'!N65</f>
        <v>1613.2719999999999</v>
      </c>
      <c r="O72" s="79">
        <f>'Historical Financials'!O65</f>
        <v>1836.9090000000001</v>
      </c>
      <c r="P72" s="79">
        <f>'Historical Financials'!P65</f>
        <v>1744.04</v>
      </c>
      <c r="Q72" s="79">
        <f>'Historical Financials'!Q65</f>
        <v>2166.806</v>
      </c>
      <c r="R72" s="79">
        <f>'Historical Financials'!R65</f>
        <v>1908.693</v>
      </c>
      <c r="S72" s="79">
        <f>'Historical Financials'!S65</f>
        <v>1622.808</v>
      </c>
      <c r="T72" s="79">
        <f>'Historical Financials'!T65</f>
        <v>1777.9059999999999</v>
      </c>
      <c r="V72" s="10">
        <f t="shared" si="164"/>
        <v>1764.8119999999999</v>
      </c>
      <c r="W72" s="10">
        <f t="shared" si="165"/>
        <v>1709.751</v>
      </c>
      <c r="X72" s="10">
        <f t="shared" si="166"/>
        <v>1906.672</v>
      </c>
      <c r="Y72" s="10">
        <f t="shared" si="167"/>
        <v>1613.2719999999999</v>
      </c>
      <c r="Z72" s="10">
        <f t="shared" si="168"/>
        <v>1836.9090000000001</v>
      </c>
      <c r="AA72" s="10">
        <f t="shared" si="169"/>
        <v>1744.04</v>
      </c>
      <c r="AB72" s="10">
        <f t="shared" si="170"/>
        <v>2166.806</v>
      </c>
      <c r="AC72" s="10">
        <f t="shared" si="171"/>
        <v>1908.693</v>
      </c>
      <c r="AD72" s="10">
        <f t="shared" si="172"/>
        <v>1622.808</v>
      </c>
      <c r="AE72" s="10">
        <f t="shared" si="173"/>
        <v>1777.9059999999999</v>
      </c>
    </row>
    <row r="73" spans="1:31" ht="12.75" customHeight="1">
      <c r="B73" s="12" t="s">
        <v>21</v>
      </c>
      <c r="C73" s="13">
        <f>SUM(C70:C72)</f>
        <v>4006.8249999999998</v>
      </c>
      <c r="D73" s="13">
        <f>SUM(D70:D72)</f>
        <v>5344.5969999999998</v>
      </c>
      <c r="E73" s="13">
        <f>SUM(E70:E72)</f>
        <v>6415.2119999999995</v>
      </c>
      <c r="F73" s="13">
        <f>SUM(F70:F72)</f>
        <v>7609.6629999999996</v>
      </c>
      <c r="H73" s="13">
        <f>SUM(H70:H72)</f>
        <v>4221.1729999999998</v>
      </c>
      <c r="I73" s="13">
        <f>SUM(I70:I72)</f>
        <v>4905.6610000000001</v>
      </c>
      <c r="J73" s="13">
        <f>SUM(J70:J72)</f>
        <v>4716.3180000000002</v>
      </c>
      <c r="K73" s="13">
        <f>SUM(K70:K72)</f>
        <v>5344.5969999999998</v>
      </c>
      <c r="L73" s="13">
        <f>SUM(L70:L72)</f>
        <v>5523.5889999999999</v>
      </c>
      <c r="M73" s="13">
        <f>SUM(M70:M72)</f>
        <v>6063.2800000000007</v>
      </c>
      <c r="N73" s="13">
        <f>SUM(N70:N72)</f>
        <v>6240.0340000000006</v>
      </c>
      <c r="O73" s="13">
        <f>SUM(O70:O72)</f>
        <v>6415.2119999999995</v>
      </c>
      <c r="P73" s="13">
        <f>SUM(P70:P72)</f>
        <v>6932.0429999999997</v>
      </c>
      <c r="Q73" s="13">
        <f>SUM(Q70:Q72)</f>
        <v>7306.741</v>
      </c>
      <c r="R73" s="13">
        <f>SUM(R70:R72)</f>
        <v>7145.6460000000006</v>
      </c>
      <c r="S73" s="13">
        <f>SUM(S70:S72)</f>
        <v>7609.6629999999996</v>
      </c>
      <c r="T73" s="13">
        <f>SUM(T70:T72)</f>
        <v>7736.393</v>
      </c>
      <c r="V73" s="13">
        <f>SUM(V70:V72)</f>
        <v>5344.5969999999998</v>
      </c>
      <c r="W73" s="13">
        <f>SUM(W70:W72)</f>
        <v>5523.5889999999999</v>
      </c>
      <c r="X73" s="13">
        <f>SUM(X70:X72)</f>
        <v>6063.2800000000007</v>
      </c>
      <c r="Y73" s="13">
        <f>SUM(Y70:Y72)</f>
        <v>6240.0340000000006</v>
      </c>
      <c r="Z73" s="13">
        <f>SUM(Z70:Z72)</f>
        <v>6415.2119999999995</v>
      </c>
      <c r="AA73" s="13">
        <f>SUM(AA70:AA72)</f>
        <v>6932.0429999999997</v>
      </c>
      <c r="AB73" s="13">
        <f>SUM(AB70:AB72)</f>
        <v>7306.741</v>
      </c>
      <c r="AC73" s="13">
        <f>SUM(AC70:AC72)</f>
        <v>7145.6460000000006</v>
      </c>
      <c r="AD73" s="13">
        <f>SUM(AD70:AD72)</f>
        <v>7609.6629999999996</v>
      </c>
      <c r="AE73" s="13">
        <f>SUM(AE70:AE72)</f>
        <v>7736.393</v>
      </c>
    </row>
    <row r="74" spans="1:31" ht="5.0999999999999996" customHeight="1"/>
    <row r="75" spans="1:31" ht="12.75" customHeight="1">
      <c r="B75" s="8" t="s">
        <v>44</v>
      </c>
      <c r="C75" s="79">
        <f>'Historical Financials'!C73</f>
        <v>2618.2549999999997</v>
      </c>
      <c r="D75" s="79">
        <f>'Historical Financials'!D73</f>
        <v>2534.1829999999991</v>
      </c>
      <c r="E75" s="79">
        <f>'Historical Financials'!E73</f>
        <v>2731.989</v>
      </c>
      <c r="F75" s="79">
        <f>'Historical Financials'!F73</f>
        <v>3069.0089999999996</v>
      </c>
      <c r="H75" s="79">
        <f>'Historical Financials'!H73</f>
        <v>2563.4379999999992</v>
      </c>
      <c r="I75" s="79">
        <f>'Historical Financials'!I73</f>
        <v>2510.1479999999997</v>
      </c>
      <c r="J75" s="79">
        <f>'Historical Financials'!J73</f>
        <v>2511.136</v>
      </c>
      <c r="K75" s="79">
        <f>'Historical Financials'!K73</f>
        <v>2534.1829999999991</v>
      </c>
      <c r="L75" s="79">
        <f>'Historical Financials'!L73</f>
        <v>2566.7999999999997</v>
      </c>
      <c r="M75" s="79">
        <f>'Historical Financials'!M73</f>
        <v>2634.884</v>
      </c>
      <c r="N75" s="79">
        <f>'Historical Financials'!N73</f>
        <v>2623.46</v>
      </c>
      <c r="O75" s="79">
        <f>'Historical Financials'!O73</f>
        <v>2731.989</v>
      </c>
      <c r="P75" s="79">
        <f>'Historical Financials'!P73</f>
        <v>2835.5720000000001</v>
      </c>
      <c r="Q75" s="79">
        <f>'Historical Financials'!Q73</f>
        <v>2785.54</v>
      </c>
      <c r="R75" s="79">
        <f>'Historical Financials'!R73</f>
        <v>2874.9160000000002</v>
      </c>
      <c r="S75" s="79">
        <f>'Historical Financials'!S73</f>
        <v>3069.0089999999996</v>
      </c>
      <c r="T75" s="79">
        <f>'Historical Financials'!T73</f>
        <v>3298.8850000000002</v>
      </c>
      <c r="V75" s="10">
        <f t="shared" ref="V75" si="174">K75</f>
        <v>2534.1829999999991</v>
      </c>
      <c r="W75" s="10">
        <f t="shared" ref="W75" si="175">L75</f>
        <v>2566.7999999999997</v>
      </c>
      <c r="X75" s="10">
        <f t="shared" ref="X75" si="176">M75</f>
        <v>2634.884</v>
      </c>
      <c r="Y75" s="10">
        <f t="shared" ref="Y75" si="177">N75</f>
        <v>2623.46</v>
      </c>
      <c r="Z75" s="10">
        <f t="shared" ref="Z75" si="178">O75</f>
        <v>2731.989</v>
      </c>
      <c r="AA75" s="10">
        <f t="shared" ref="AA75" si="179">P75</f>
        <v>2835.5720000000001</v>
      </c>
      <c r="AB75" s="10">
        <f t="shared" ref="AB75" si="180">Q75</f>
        <v>2785.54</v>
      </c>
      <c r="AC75" s="10">
        <f t="shared" ref="AC75" si="181">R75</f>
        <v>2874.9160000000002</v>
      </c>
      <c r="AD75" s="10">
        <f t="shared" ref="AD75" si="182">S75</f>
        <v>3069.0089999999996</v>
      </c>
      <c r="AE75" s="10">
        <f t="shared" ref="AE75" si="183">T75</f>
        <v>3298.8850000000002</v>
      </c>
    </row>
    <row r="76" spans="1:31" ht="12.75" customHeight="1">
      <c r="B76" s="12" t="s">
        <v>45</v>
      </c>
      <c r="C76" s="13">
        <f t="shared" ref="C76:F76" si="184">SUM(C73:C75)</f>
        <v>6625.08</v>
      </c>
      <c r="D76" s="13">
        <f t="shared" si="184"/>
        <v>7878.7799999999988</v>
      </c>
      <c r="E76" s="13">
        <f t="shared" si="184"/>
        <v>9147.2009999999991</v>
      </c>
      <c r="F76" s="13">
        <f t="shared" si="184"/>
        <v>10678.671999999999</v>
      </c>
      <c r="H76" s="13">
        <f>SUM(H73:H75)</f>
        <v>6784.610999999999</v>
      </c>
      <c r="I76" s="13">
        <f>SUM(I73:I75)</f>
        <v>7415.8089999999993</v>
      </c>
      <c r="J76" s="13">
        <f>SUM(J73:J75)</f>
        <v>7227.4539999999997</v>
      </c>
      <c r="K76" s="13">
        <f>SUM(K73:K75)</f>
        <v>7878.7799999999988</v>
      </c>
      <c r="L76" s="13">
        <f t="shared" ref="L76:Q76" si="185">SUM(L73:L75)</f>
        <v>8090.3889999999992</v>
      </c>
      <c r="M76" s="13">
        <f t="shared" si="185"/>
        <v>8698.1640000000007</v>
      </c>
      <c r="N76" s="13">
        <f t="shared" si="185"/>
        <v>8863.4940000000006</v>
      </c>
      <c r="O76" s="13">
        <f t="shared" si="185"/>
        <v>9147.2009999999991</v>
      </c>
      <c r="P76" s="13">
        <f t="shared" si="185"/>
        <v>9767.6149999999998</v>
      </c>
      <c r="Q76" s="13">
        <f t="shared" si="185"/>
        <v>10092.280999999999</v>
      </c>
      <c r="R76" s="13">
        <f t="shared" ref="R76:S76" si="186">SUM(R73:R75)</f>
        <v>10020.562000000002</v>
      </c>
      <c r="S76" s="13">
        <f t="shared" si="186"/>
        <v>10678.671999999999</v>
      </c>
      <c r="T76" s="13">
        <f t="shared" ref="T76" si="187">SUM(T73:T75)</f>
        <v>11035.278</v>
      </c>
      <c r="V76" s="13">
        <f t="shared" ref="V76" si="188">SUM(V73:V75)</f>
        <v>7878.7799999999988</v>
      </c>
      <c r="W76" s="13">
        <f t="shared" ref="W76:AC76" si="189">SUM(W73:W75)</f>
        <v>8090.3889999999992</v>
      </c>
      <c r="X76" s="13">
        <f t="shared" si="189"/>
        <v>8698.1640000000007</v>
      </c>
      <c r="Y76" s="13">
        <f t="shared" si="189"/>
        <v>8863.4940000000006</v>
      </c>
      <c r="Z76" s="13">
        <f t="shared" si="189"/>
        <v>9147.2009999999991</v>
      </c>
      <c r="AA76" s="13">
        <f t="shared" si="189"/>
        <v>9767.6149999999998</v>
      </c>
      <c r="AB76" s="13">
        <f t="shared" si="189"/>
        <v>10092.280999999999</v>
      </c>
      <c r="AC76" s="13">
        <f t="shared" si="189"/>
        <v>10020.562000000002</v>
      </c>
      <c r="AD76" s="13">
        <f>SUM(AD73:AD75)</f>
        <v>10678.671999999999</v>
      </c>
      <c r="AE76" s="13">
        <f>SUM(AE73:AE75)</f>
        <v>11035.278</v>
      </c>
    </row>
    <row r="77" spans="1:31" ht="5.0999999999999996" customHeight="1"/>
    <row r="78" spans="1:31" ht="12.75" customHeight="1">
      <c r="A78" s="5"/>
      <c r="B78" s="31" t="s">
        <v>69</v>
      </c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</row>
    <row r="79" spans="1:31" ht="5.0999999999999996" customHeight="1"/>
    <row r="80" spans="1:31" ht="12.75" customHeight="1">
      <c r="B80" s="29" t="s">
        <v>98</v>
      </c>
      <c r="C80" s="133">
        <f>C73/C33</f>
        <v>-9.4871348643164453</v>
      </c>
      <c r="D80" s="133">
        <f>D73/D33</f>
        <v>-8.6972038293364466</v>
      </c>
      <c r="E80" s="133">
        <f>E73/E33</f>
        <v>-62.714699096703704</v>
      </c>
      <c r="F80" s="133">
        <f>F73/F33</f>
        <v>16.570374951277465</v>
      </c>
      <c r="H80" s="134"/>
      <c r="I80" s="134"/>
      <c r="J80" s="134"/>
      <c r="K80" s="133">
        <f>SUM(K73/SUM(H33:K33))</f>
        <v>-8.6972038293364431</v>
      </c>
      <c r="L80" s="133">
        <f>SUM(L73/SUM(I33:L33))</f>
        <v>-10.527157475047602</v>
      </c>
      <c r="M80" s="133">
        <f>SUM(M73/SUM(J33:M33))</f>
        <v>-16.592587727579982</v>
      </c>
      <c r="N80" s="133">
        <f>SUM(N73/SUM(K33:N33))</f>
        <v>-24.342232763530564</v>
      </c>
      <c r="O80" s="133">
        <f>SUM(O73/SUM(L33:O33))</f>
        <v>-62.714699096703704</v>
      </c>
      <c r="P80" s="133">
        <f>SUM(P73/SUM(M33:P33))</f>
        <v>-187.32719902716022</v>
      </c>
      <c r="Q80" s="133">
        <f>SUM(Q73/SUM(N33:Q33))</f>
        <v>47.097724635812696</v>
      </c>
      <c r="R80" s="133">
        <f>SUM(R73/SUM(O33:R33))</f>
        <v>21.75089035133109</v>
      </c>
      <c r="S80" s="133">
        <f>SUM(S73/SUM(P33:S33))</f>
        <v>16.570374951277447</v>
      </c>
      <c r="T80" s="133">
        <f>SUM(T73/SUM(Q33:T33))</f>
        <v>11.620637600526328</v>
      </c>
      <c r="U80" s="133"/>
      <c r="V80" s="133">
        <f>V73/V33</f>
        <v>-8.6972038293364466</v>
      </c>
      <c r="W80" s="133">
        <f>W73/W33</f>
        <v>-10.527157475047602</v>
      </c>
      <c r="X80" s="133">
        <f>X73/X33</f>
        <v>-16.592587727579982</v>
      </c>
      <c r="Y80" s="133">
        <f>Y73/Y33</f>
        <v>-24.342232763530586</v>
      </c>
      <c r="Z80" s="133">
        <f>Z73/Z33</f>
        <v>-62.714699096703704</v>
      </c>
      <c r="AA80" s="133">
        <f>AA73/AA33</f>
        <v>-187.32719902716138</v>
      </c>
      <c r="AB80" s="133">
        <f>AB73/AB33</f>
        <v>47.097724635812796</v>
      </c>
      <c r="AC80" s="133">
        <f>AC73/AC33</f>
        <v>21.750890351331112</v>
      </c>
      <c r="AD80" s="133">
        <f>AD73/AD33</f>
        <v>16.570374951277465</v>
      </c>
      <c r="AE80" s="133">
        <f>AE73/AE33</f>
        <v>11.620637600526328</v>
      </c>
    </row>
    <row r="81" spans="2:31" ht="12.75" customHeight="1">
      <c r="B81" s="29" t="s">
        <v>99</v>
      </c>
      <c r="C81" s="133">
        <f>SUM(C73-C53)/C33</f>
        <v>-6.5152115697430766</v>
      </c>
      <c r="D81" s="133">
        <f>SUM(D73-D53)/D33</f>
        <v>-7.2456181175846526</v>
      </c>
      <c r="E81" s="133">
        <f>SUM(E73-E53)/E33</f>
        <v>-52.810640128260403</v>
      </c>
      <c r="F81" s="133">
        <f>SUM(F73-F53)/F33</f>
        <v>13.620989780786667</v>
      </c>
      <c r="H81" s="134"/>
      <c r="I81" s="134"/>
      <c r="J81" s="134"/>
      <c r="K81" s="133">
        <f>SUM(K73-K53)/SUM(H33:K33)</f>
        <v>-7.2456181175846499</v>
      </c>
      <c r="L81" s="133">
        <f>SUM(L73-L53)/SUM(I33:L33)</f>
        <v>-8.4702429392851926</v>
      </c>
      <c r="M81" s="133">
        <f>SUM(M73-M53)/SUM(J33:M33)</f>
        <v>-13.755534027874708</v>
      </c>
      <c r="N81" s="133">
        <f>SUM(N73-N53)/SUM(K33:N33)</f>
        <v>-19.377224532467853</v>
      </c>
      <c r="O81" s="133">
        <f>SUM(O73-O53)/SUM(L33:O33)</f>
        <v>-52.810640128260403</v>
      </c>
      <c r="P81" s="133">
        <f>SUM(P73-P53)/SUM(M33:P33)</f>
        <v>-159.05642480745993</v>
      </c>
      <c r="Q81" s="133">
        <f>SUM(Q73-Q53)/SUM(N33:Q33)</f>
        <v>39.36031971122847</v>
      </c>
      <c r="R81" s="133">
        <f>SUM(R73-R53)/SUM(O33:R33)</f>
        <v>17.638082076694996</v>
      </c>
      <c r="S81" s="133">
        <f>SUM(S73-S53)/SUM(P33:S33)</f>
        <v>13.620989780786653</v>
      </c>
      <c r="T81" s="133">
        <f>SUM(T73-T53)/SUM(Q33:T33)</f>
        <v>9.4744016486768228</v>
      </c>
      <c r="U81" s="133"/>
      <c r="V81" s="133">
        <f>SUM(V73-V53)/V33</f>
        <v>-7.2456181175846526</v>
      </c>
      <c r="W81" s="133">
        <f>SUM(W73-W53)/W33</f>
        <v>-8.4702429392851926</v>
      </c>
      <c r="X81" s="133">
        <f>SUM(X73-X53)/X33</f>
        <v>-13.755534027874708</v>
      </c>
      <c r="Y81" s="133">
        <f>SUM(Y73-Y53)/Y33</f>
        <v>-19.377224532467871</v>
      </c>
      <c r="Z81" s="133">
        <f>SUM(Z73-Z53)/Z33</f>
        <v>-52.810640128260403</v>
      </c>
      <c r="AA81" s="133">
        <f>SUM(AA73-AA53)/AA33</f>
        <v>-159.0564248074609</v>
      </c>
      <c r="AB81" s="133">
        <f>SUM(AB73-AB53)/AB33</f>
        <v>39.360319711228549</v>
      </c>
      <c r="AC81" s="133">
        <f>SUM(AC73-AC53)/AC33</f>
        <v>17.638082076695014</v>
      </c>
      <c r="AD81" s="133">
        <f>SUM(AD73-AD53)/AD33</f>
        <v>13.620989780786667</v>
      </c>
      <c r="AE81" s="133">
        <f>SUM(AE73-AE53)/AE33</f>
        <v>9.4744016486768228</v>
      </c>
    </row>
    <row r="82" spans="2:31" ht="12.75" customHeight="1">
      <c r="B82" s="29" t="s">
        <v>100</v>
      </c>
      <c r="C82" s="133" t="e">
        <f>C33/-C38</f>
        <v>#DIV/0!</v>
      </c>
      <c r="D82" s="133" t="e">
        <f>D33/-D38</f>
        <v>#DIV/0!</v>
      </c>
      <c r="E82" s="133" t="e">
        <f>E33/-E38</f>
        <v>#DIV/0!</v>
      </c>
      <c r="F82" s="133" t="e">
        <f>F33/-F38</f>
        <v>#DIV/0!</v>
      </c>
      <c r="H82" s="134"/>
      <c r="I82" s="134"/>
      <c r="J82" s="134"/>
      <c r="K82" s="133" t="e" cm="1">
        <f t="array" ref="K82">SUM(H33:K33)/SUM(-H38:K38)</f>
        <v>#DIV/0!</v>
      </c>
      <c r="L82" s="133" t="e" cm="1">
        <f t="array" ref="L82">SUM(I33:L33)/SUM(-I38:L38)</f>
        <v>#DIV/0!</v>
      </c>
      <c r="M82" s="133" t="e" cm="1">
        <f t="array" ref="M82">SUM(J33:M33)/SUM(-J38:M38)</f>
        <v>#DIV/0!</v>
      </c>
      <c r="N82" s="133" t="e" cm="1">
        <f t="array" ref="N82">SUM(K33:N33)/SUM(-K38:N38)</f>
        <v>#DIV/0!</v>
      </c>
      <c r="O82" s="133" t="e" cm="1">
        <f t="array" ref="O82">SUM(L33:O33)/SUM(-L38:O38)</f>
        <v>#DIV/0!</v>
      </c>
      <c r="P82" s="133" t="e" cm="1">
        <f t="array" ref="P82">SUM(M33:P33)/SUM(-M38:P38)</f>
        <v>#DIV/0!</v>
      </c>
      <c r="Q82" s="133" t="e" cm="1">
        <f t="array" ref="Q82">SUM(N33:Q33)/SUM(-N38:Q38)</f>
        <v>#DIV/0!</v>
      </c>
      <c r="R82" s="133" t="e" cm="1">
        <f t="array" ref="R82">SUM(O33:R33)/SUM(-O38:R38)</f>
        <v>#DIV/0!</v>
      </c>
      <c r="S82" s="133" t="e" cm="1">
        <f t="array" ref="S82">SUM(P33:S33)/SUM(-P38:S38)</f>
        <v>#DIV/0!</v>
      </c>
      <c r="T82" s="133" t="e" cm="1">
        <f t="array" ref="T82">SUM(Q33:T33)/SUM(-Q38:T38)</f>
        <v>#DIV/0!</v>
      </c>
      <c r="U82" s="133"/>
      <c r="V82" s="133" t="e">
        <f>V33/-V38</f>
        <v>#DIV/0!</v>
      </c>
      <c r="W82" s="133" t="e">
        <f>W33/-W38</f>
        <v>#DIV/0!</v>
      </c>
      <c r="X82" s="133" t="e">
        <f>X33/-X38</f>
        <v>#DIV/0!</v>
      </c>
      <c r="Y82" s="133" t="e">
        <f>Y33/-Y38</f>
        <v>#DIV/0!</v>
      </c>
      <c r="Z82" s="133" t="e">
        <f>Z33/-Z38</f>
        <v>#DIV/0!</v>
      </c>
      <c r="AA82" s="133" t="e">
        <f>AA33/-AA38</f>
        <v>#DIV/0!</v>
      </c>
      <c r="AB82" s="133" t="e">
        <f>AB33/-AB38</f>
        <v>#DIV/0!</v>
      </c>
      <c r="AC82" s="133" t="e">
        <f>AC33/-AC38</f>
        <v>#DIV/0!</v>
      </c>
      <c r="AD82" s="133" t="e">
        <f>AD33/-AD38</f>
        <v>#DIV/0!</v>
      </c>
      <c r="AE82" s="133" t="e">
        <f>AE33/-AE38</f>
        <v>#DIV/0!</v>
      </c>
    </row>
    <row r="83" spans="2:31" ht="12.75" customHeight="1">
      <c r="B83" s="29" t="s">
        <v>101</v>
      </c>
      <c r="C83" s="133" t="e" cm="1">
        <f t="array" ref="C83">SUM(C33+C36)/SUM(-C37:C38)</f>
        <v>#DIV/0!</v>
      </c>
      <c r="D83" s="133" t="e" cm="1">
        <f t="array" ref="D83">SUM(D33+D36)/SUM(-D37:D38)</f>
        <v>#DIV/0!</v>
      </c>
      <c r="E83" s="133" t="e" cm="1">
        <f t="array" ref="E83">SUM(E33+E36)/SUM(-E37:E38)</f>
        <v>#DIV/0!</v>
      </c>
      <c r="F83" s="133" t="e" cm="1">
        <f t="array" ref="F83">SUM(F33+F36)/SUM(-F37:F38)</f>
        <v>#DIV/0!</v>
      </c>
      <c r="H83" s="134"/>
      <c r="I83" s="134"/>
      <c r="J83" s="134"/>
      <c r="K83" s="133" t="e" cm="1">
        <f t="array" ref="K83">SUM(H33:K33+H36:K36)/SUM(-H37:K38)</f>
        <v>#DIV/0!</v>
      </c>
      <c r="L83" s="133" t="e" cm="1">
        <f t="array" ref="L83">SUM(I33:L33+I36:L36)/SUM(-I37:L38)</f>
        <v>#DIV/0!</v>
      </c>
      <c r="M83" s="133" t="e" cm="1">
        <f t="array" ref="M83">SUM(J33:M33+J36:M36)/SUM(-J37:M38)</f>
        <v>#DIV/0!</v>
      </c>
      <c r="N83" s="133" t="e" cm="1">
        <f t="array" ref="N83">SUM(K33:N33+K36:N36)/SUM(-K37:N38)</f>
        <v>#DIV/0!</v>
      </c>
      <c r="O83" s="133" t="e" cm="1">
        <f t="array" ref="O83">SUM(L33:O33+L36:O36)/SUM(-L37:O38)</f>
        <v>#DIV/0!</v>
      </c>
      <c r="P83" s="133" t="e" cm="1">
        <f t="array" ref="P83">SUM(M33:P33+M36:P36)/SUM(-M37:P38)</f>
        <v>#DIV/0!</v>
      </c>
      <c r="Q83" s="133" t="e" cm="1">
        <f t="array" ref="Q83">SUM(N33:Q33+N36:Q36)/SUM(-N37:Q38)</f>
        <v>#DIV/0!</v>
      </c>
      <c r="R83" s="133" t="e" cm="1">
        <f t="array" ref="R83">SUM(O33:R33+O36:R36)/SUM(-O37:R38)</f>
        <v>#DIV/0!</v>
      </c>
      <c r="S83" s="133" t="e" cm="1">
        <f t="array" ref="S83">SUM(P33:S33+P36:S36)/SUM(-P37:S38)</f>
        <v>#DIV/0!</v>
      </c>
      <c r="T83" s="133" t="e" cm="1">
        <f t="array" ref="T83">SUM(Q33:T33+Q36:T36)/SUM(-Q37:T38)</f>
        <v>#DIV/0!</v>
      </c>
      <c r="U83" s="133"/>
      <c r="V83" s="133" t="e" cm="1">
        <f t="array" ref="V83">SUM(V33+V36)/SUM(-V37:V38)</f>
        <v>#DIV/0!</v>
      </c>
      <c r="W83" s="133" t="e" cm="1">
        <f t="array" ref="W83">SUM(W33+W36)/SUM(-W37:W38)</f>
        <v>#DIV/0!</v>
      </c>
      <c r="X83" s="133" t="e" cm="1">
        <f t="array" ref="X83">SUM(X33+X36)/SUM(-X37:X38)</f>
        <v>#DIV/0!</v>
      </c>
      <c r="Y83" s="133" t="e" cm="1">
        <f t="array" ref="Y83">SUM(Y33+Y36)/SUM(-Y37:Y38)</f>
        <v>#DIV/0!</v>
      </c>
      <c r="Z83" s="133" t="e" cm="1">
        <f t="array" ref="Z83">SUM(Z33+Z36)/SUM(-Z37:Z38)</f>
        <v>#DIV/0!</v>
      </c>
      <c r="AA83" s="133" t="e" cm="1">
        <f t="array" ref="AA83">SUM(AA33+AA36)/SUM(-AA37:AA38)</f>
        <v>#DIV/0!</v>
      </c>
      <c r="AB83" s="133" t="e" cm="1">
        <f t="array" ref="AB83">SUM(AB33+AB36)/SUM(-AB37:AB38)</f>
        <v>#DIV/0!</v>
      </c>
      <c r="AC83" s="133" t="e" cm="1">
        <f t="array" ref="AC83">SUM(AC33+AC36)/SUM(-AC37:AC38)</f>
        <v>#DIV/0!</v>
      </c>
      <c r="AD83" s="133" t="e" cm="1">
        <f t="array" ref="AD83">SUM(AD33+AD36)/SUM(-AD37:AD38)</f>
        <v>#DIV/0!</v>
      </c>
      <c r="AE83" s="133" t="e" cm="1">
        <f t="array" ref="AE83">SUM(AE33+AE36)/SUM(-AE37:AE38)</f>
        <v>#DIV/0!</v>
      </c>
    </row>
    <row r="84" spans="2:31" ht="12.75" customHeight="1">
      <c r="B84" s="29" t="s">
        <v>102</v>
      </c>
      <c r="C84" s="133" cm="1">
        <f t="array" ref="C84">SUM(C33)/SUM(-C36:C38)</f>
        <v>-4.8944605400394003</v>
      </c>
      <c r="D84" s="133" cm="1">
        <f t="array" ref="D84">SUM(D33)/SUM(-D36:D38)</f>
        <v>-5.0881308217760255</v>
      </c>
      <c r="E84" s="133" cm="1">
        <f t="array" ref="E84">SUM(E33)/SUM(-E36:E38)</f>
        <v>-0.64215046203294335</v>
      </c>
      <c r="F84" s="133" cm="1">
        <f t="array" ref="F84">SUM(F33)/SUM(-F36:F38)</f>
        <v>2.3894863910005237</v>
      </c>
      <c r="H84" s="134"/>
      <c r="I84" s="134"/>
      <c r="J84" s="134"/>
      <c r="K84" s="133" cm="1">
        <f t="array" ref="K84">SUM(H33:K33)/SUM(-H36:K38)</f>
        <v>-5.0881308217760282</v>
      </c>
      <c r="L84" s="133" cm="1">
        <f t="array" ref="L84">SUM(I33:L33)/SUM(-I36:L38)</f>
        <v>-4.1828349582672315</v>
      </c>
      <c r="M84" s="133" cm="1">
        <f t="array" ref="M84">SUM(J33:M33)/SUM(-J36:M38)</f>
        <v>-2.8122720066493234</v>
      </c>
      <c r="N84" s="133" cm="1">
        <f t="array" ref="N84">SUM(K33:N33)/SUM(-K36:N38)</f>
        <v>-1.7570220290888139</v>
      </c>
      <c r="O84" s="133" cm="1">
        <f t="array" ref="O84">SUM(L33:O33)/SUM(-L36:O38)</f>
        <v>-0.64215046203294335</v>
      </c>
      <c r="P84" s="133" cm="1">
        <f t="array" ref="P84">SUM(M33:P33)/SUM(-M36:P38)</f>
        <v>-0.22075272473468305</v>
      </c>
      <c r="Q84" s="133" cm="1">
        <f t="array" ref="Q84">SUM(N33:Q33)/SUM(-N36:Q38)</f>
        <v>0.89785808124359978</v>
      </c>
      <c r="R84" s="133" cm="1">
        <f t="array" ref="R84">SUM(O33:R33)/SUM(-O36:R38)</f>
        <v>1.8319921929457712</v>
      </c>
      <c r="S84" s="133" cm="1">
        <f t="array" ref="S84">SUM(P33:S33)/SUM(-P36:S38)</f>
        <v>2.389486391000526</v>
      </c>
      <c r="T84" s="133" cm="1">
        <f t="array" ref="T84">SUM(Q33:T33)/SUM(-Q36:T38)</f>
        <v>3.2892263910435666</v>
      </c>
      <c r="U84" s="133"/>
      <c r="V84" s="133" cm="1">
        <f t="array" ref="V84">SUM(V33)/SUM(-V36:V38)</f>
        <v>-5.0881308217760255</v>
      </c>
      <c r="W84" s="133" cm="1">
        <f t="array" ref="W84">SUM(W33)/SUM(-W36:W38)</f>
        <v>-4.1828349582672315</v>
      </c>
      <c r="X84" s="133" cm="1">
        <f t="array" ref="X84">SUM(X33)/SUM(-X36:X38)</f>
        <v>-2.8122720066493234</v>
      </c>
      <c r="Y84" s="133" cm="1">
        <f t="array" ref="Y84">SUM(Y33)/SUM(-Y36:Y38)</f>
        <v>-1.7570220290888123</v>
      </c>
      <c r="Z84" s="133" cm="1">
        <f t="array" ref="Z84">SUM(Z33)/SUM(-Z36:Z38)</f>
        <v>-0.64215046203294335</v>
      </c>
      <c r="AA84" s="133" cm="1">
        <f t="array" ref="AA84">SUM(AA33)/SUM(-AA36:AA38)</f>
        <v>-0.22075272473468169</v>
      </c>
      <c r="AB84" s="133" cm="1">
        <f t="array" ref="AB84">SUM(AB33)/SUM(-AB36:AB38)</f>
        <v>0.89785808124359801</v>
      </c>
      <c r="AC84" s="133" cm="1">
        <f t="array" ref="AC84">SUM(AC33)/SUM(-AC36:AC38)</f>
        <v>1.8319921929457692</v>
      </c>
      <c r="AD84" s="133" cm="1">
        <f t="array" ref="AD84">SUM(AD33)/SUM(-AD36:AD38)</f>
        <v>2.3894863910005237</v>
      </c>
      <c r="AE84" s="133" cm="1">
        <f t="array" ref="AE84">SUM(AE33)/SUM(-AE36:AE38)</f>
        <v>3.2892263910435666</v>
      </c>
    </row>
    <row r="85" spans="2:31" ht="12.75" customHeight="1">
      <c r="B85" s="8" t="s">
        <v>46</v>
      </c>
      <c r="C85" s="133">
        <f t="shared" ref="C85:F85" si="190">C76/C73</f>
        <v>1.6534488029799155</v>
      </c>
      <c r="D85" s="133">
        <f t="shared" si="190"/>
        <v>1.4741579206065489</v>
      </c>
      <c r="E85" s="133">
        <f t="shared" si="190"/>
        <v>1.425861062736508</v>
      </c>
      <c r="F85" s="133">
        <f t="shared" si="190"/>
        <v>1.4033041936285482</v>
      </c>
      <c r="H85" s="134"/>
      <c r="I85" s="134"/>
      <c r="J85" s="134"/>
      <c r="K85" s="133">
        <f t="shared" ref="K85:T85" si="191">K76/K73</f>
        <v>1.4741579206065489</v>
      </c>
      <c r="L85" s="133">
        <f t="shared" si="191"/>
        <v>1.4646978622051712</v>
      </c>
      <c r="M85" s="133">
        <f t="shared" si="191"/>
        <v>1.4345641303057091</v>
      </c>
      <c r="N85" s="133">
        <f t="shared" si="191"/>
        <v>1.4204239912795347</v>
      </c>
      <c r="O85" s="133">
        <f t="shared" si="191"/>
        <v>1.425861062736508</v>
      </c>
      <c r="P85" s="133">
        <f t="shared" si="191"/>
        <v>1.409052857866</v>
      </c>
      <c r="Q85" s="133">
        <f t="shared" si="191"/>
        <v>1.381228785856786</v>
      </c>
      <c r="R85" s="133">
        <f t="shared" si="191"/>
        <v>1.4023311538243008</v>
      </c>
      <c r="S85" s="133">
        <f t="shared" si="191"/>
        <v>1.4033041936285482</v>
      </c>
      <c r="T85" s="133">
        <f t="shared" ref="T85" si="192">T76/T73</f>
        <v>1.4264112487563649</v>
      </c>
      <c r="U85" s="133"/>
      <c r="V85" s="133">
        <f t="shared" ref="V85" si="193">V76/V73</f>
        <v>1.4741579206065489</v>
      </c>
      <c r="W85" s="133">
        <f t="shared" ref="W85:AC85" si="194">W76/W73</f>
        <v>1.4646978622051712</v>
      </c>
      <c r="X85" s="133">
        <f t="shared" si="194"/>
        <v>1.4345641303057091</v>
      </c>
      <c r="Y85" s="133">
        <f t="shared" si="194"/>
        <v>1.4204239912795347</v>
      </c>
      <c r="Z85" s="133">
        <f t="shared" si="194"/>
        <v>1.425861062736508</v>
      </c>
      <c r="AA85" s="133">
        <f t="shared" si="194"/>
        <v>1.409052857866</v>
      </c>
      <c r="AB85" s="133">
        <f t="shared" si="194"/>
        <v>1.381228785856786</v>
      </c>
      <c r="AC85" s="133">
        <f t="shared" si="194"/>
        <v>1.4023311538243008</v>
      </c>
      <c r="AD85" s="133">
        <f>AD76/AD73</f>
        <v>1.4033041936285482</v>
      </c>
      <c r="AE85" s="133">
        <f>AE76/AE73</f>
        <v>1.4264112487563649</v>
      </c>
    </row>
    <row r="86" spans="2:31" ht="5.0999999999999996" customHeight="1" thickBot="1"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</row>
  </sheetData>
  <mergeCells count="1">
    <mergeCell ref="AG2:AG4"/>
  </mergeCells>
  <pageMargins left="0.7" right="0.7" top="0.75" bottom="0.75" header="0.3" footer="0.3"/>
  <ignoredErrors>
    <ignoredError sqref="C38:T3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Historical Financials</vt:lpstr>
      <vt:lpstr>Revenue Drivers</vt:lpstr>
      <vt:lpstr>FCF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Garcia</dc:creator>
  <cp:lastModifiedBy>Felix Garcia</cp:lastModifiedBy>
  <dcterms:created xsi:type="dcterms:W3CDTF">2024-08-10T06:01:52Z</dcterms:created>
  <dcterms:modified xsi:type="dcterms:W3CDTF">2025-12-24T23:04:24Z</dcterms:modified>
</cp:coreProperties>
</file>