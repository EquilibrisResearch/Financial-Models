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76741556-E010-4BCA-83EA-32C86870FB62}" xr6:coauthVersionLast="47" xr6:coauthVersionMax="47" xr10:uidLastSave="{00000000-0000-0000-0000-000000000000}"/>
  <bookViews>
    <workbookView xWindow="-120" yWindow="-120" windowWidth="29040" windowHeight="15720" activeTab="3" xr2:uid="{BC9106CE-9107-4097-8948-317996376CB5}"/>
  </bookViews>
  <sheets>
    <sheet name="Historical Financials" sheetId="8" r:id="rId1"/>
    <sheet name="Revenue Drivers" sheetId="10" r:id="rId2"/>
    <sheet name="Other Segment Analysis" sheetId="21" r:id="rId3"/>
    <sheet name="FCF" sheetId="9" r:id="rId4"/>
  </sheets>
  <externalReferences>
    <externalReference r:id="rId5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" i="9" l="1"/>
  <c r="AK13" i="9"/>
  <c r="AK35" i="9"/>
  <c r="AK34" i="9"/>
  <c r="AK25" i="9"/>
  <c r="AK24" i="9"/>
  <c r="AK23" i="9"/>
  <c r="AK22" i="9"/>
  <c r="AK21" i="9"/>
  <c r="AK20" i="9"/>
  <c r="AK19" i="9"/>
  <c r="E73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E65" i="9"/>
  <c r="D65" i="9"/>
  <c r="C65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E68" i="9"/>
  <c r="D68" i="9"/>
  <c r="C68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E63" i="9"/>
  <c r="D63" i="9"/>
  <c r="C63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E62" i="9"/>
  <c r="D62" i="9"/>
  <c r="C62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E61" i="9"/>
  <c r="D61" i="9"/>
  <c r="C61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E60" i="9"/>
  <c r="D60" i="9"/>
  <c r="C60" i="9"/>
  <c r="U59" i="9"/>
  <c r="AI59" i="9" s="1"/>
  <c r="T59" i="9"/>
  <c r="S59" i="9"/>
  <c r="AG59" i="9" s="1"/>
  <c r="R59" i="9"/>
  <c r="Q59" i="9"/>
  <c r="AE59" i="9" s="1"/>
  <c r="P59" i="9"/>
  <c r="AD59" i="9" s="1"/>
  <c r="O59" i="9"/>
  <c r="AC59" i="9" s="1"/>
  <c r="N59" i="9"/>
  <c r="AB59" i="9" s="1"/>
  <c r="M59" i="9"/>
  <c r="AA59" i="9" s="1"/>
  <c r="L59" i="9"/>
  <c r="Z59" i="9" s="1"/>
  <c r="K59" i="9"/>
  <c r="Y59" i="9" s="1"/>
  <c r="J59" i="9"/>
  <c r="X59" i="9" s="1"/>
  <c r="I59" i="9"/>
  <c r="W59" i="9" s="1"/>
  <c r="H59" i="9"/>
  <c r="G59" i="9"/>
  <c r="E59" i="9"/>
  <c r="D59" i="9"/>
  <c r="C59" i="9"/>
  <c r="AH59" i="9"/>
  <c r="AF59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C58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E54" i="9"/>
  <c r="D54" i="9"/>
  <c r="C54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E45" i="9"/>
  <c r="D45" i="9"/>
  <c r="C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E42" i="9"/>
  <c r="D42" i="9"/>
  <c r="C42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E39" i="9"/>
  <c r="D39" i="9"/>
  <c r="C39" i="9"/>
  <c r="U25" i="9"/>
  <c r="U29" i="9" s="1"/>
  <c r="T25" i="9"/>
  <c r="T29" i="9" s="1"/>
  <c r="S25" i="9"/>
  <c r="S29" i="9" s="1"/>
  <c r="R25" i="9"/>
  <c r="R29" i="9" s="1"/>
  <c r="Q25" i="9"/>
  <c r="Q29" i="9" s="1"/>
  <c r="P25" i="9"/>
  <c r="P29" i="9" s="1"/>
  <c r="O25" i="9"/>
  <c r="O29" i="9" s="1"/>
  <c r="N25" i="9"/>
  <c r="N29" i="9" s="1"/>
  <c r="M25" i="9"/>
  <c r="M29" i="9" s="1"/>
  <c r="L25" i="9"/>
  <c r="L29" i="9" s="1"/>
  <c r="K25" i="9"/>
  <c r="J25" i="9"/>
  <c r="J29" i="9" s="1"/>
  <c r="I25" i="9"/>
  <c r="I29" i="9" s="1"/>
  <c r="H25" i="9"/>
  <c r="H29" i="9" s="1"/>
  <c r="G25" i="9"/>
  <c r="G29" i="9" s="1"/>
  <c r="E25" i="9"/>
  <c r="E29" i="9" s="1"/>
  <c r="D25" i="9"/>
  <c r="D29" i="9" s="1"/>
  <c r="C25" i="9"/>
  <c r="C29" i="9" s="1"/>
  <c r="U24" i="9"/>
  <c r="U35" i="9" s="1"/>
  <c r="T24" i="9"/>
  <c r="T35" i="9" s="1"/>
  <c r="S24" i="9"/>
  <c r="S35" i="9" s="1"/>
  <c r="R24" i="9"/>
  <c r="R35" i="9" s="1"/>
  <c r="Q24" i="9"/>
  <c r="Q35" i="9" s="1"/>
  <c r="P24" i="9"/>
  <c r="P35" i="9" s="1"/>
  <c r="O24" i="9"/>
  <c r="O35" i="9" s="1"/>
  <c r="N24" i="9"/>
  <c r="N35" i="9" s="1"/>
  <c r="M24" i="9"/>
  <c r="M35" i="9" s="1"/>
  <c r="L24" i="9"/>
  <c r="L35" i="9" s="1"/>
  <c r="K24" i="9"/>
  <c r="K35" i="9" s="1"/>
  <c r="J24" i="9"/>
  <c r="J35" i="9" s="1"/>
  <c r="I24" i="9"/>
  <c r="I35" i="9" s="1"/>
  <c r="H24" i="9"/>
  <c r="H35" i="9" s="1"/>
  <c r="G24" i="9"/>
  <c r="G35" i="9" s="1"/>
  <c r="E24" i="9"/>
  <c r="E35" i="9" s="1"/>
  <c r="D24" i="9"/>
  <c r="D35" i="9" s="1"/>
  <c r="C24" i="9"/>
  <c r="C35" i="9" s="1"/>
  <c r="U23" i="9"/>
  <c r="U34" i="9" s="1"/>
  <c r="T23" i="9"/>
  <c r="T34" i="9" s="1"/>
  <c r="S23" i="9"/>
  <c r="S34" i="9" s="1"/>
  <c r="R23" i="9"/>
  <c r="R34" i="9" s="1"/>
  <c r="Q23" i="9"/>
  <c r="Q34" i="9" s="1"/>
  <c r="P23" i="9"/>
  <c r="P34" i="9" s="1"/>
  <c r="O23" i="9"/>
  <c r="O34" i="9" s="1"/>
  <c r="N23" i="9"/>
  <c r="N34" i="9" s="1"/>
  <c r="M23" i="9"/>
  <c r="M34" i="9" s="1"/>
  <c r="L23" i="9"/>
  <c r="L34" i="9" s="1"/>
  <c r="K23" i="9"/>
  <c r="K34" i="9" s="1"/>
  <c r="J23" i="9"/>
  <c r="J34" i="9" s="1"/>
  <c r="I23" i="9"/>
  <c r="I34" i="9" s="1"/>
  <c r="H23" i="9"/>
  <c r="H34" i="9" s="1"/>
  <c r="G23" i="9"/>
  <c r="G34" i="9" s="1"/>
  <c r="E23" i="9"/>
  <c r="E34" i="9" s="1"/>
  <c r="D23" i="9"/>
  <c r="D34" i="9" s="1"/>
  <c r="C23" i="9"/>
  <c r="C34" i="9" s="1"/>
  <c r="U22" i="9"/>
  <c r="U33" i="9" s="1"/>
  <c r="T22" i="9"/>
  <c r="T33" i="9" s="1"/>
  <c r="S22" i="9"/>
  <c r="S33" i="9" s="1"/>
  <c r="R22" i="9"/>
  <c r="R33" i="9" s="1"/>
  <c r="Q22" i="9"/>
  <c r="Q33" i="9" s="1"/>
  <c r="P22" i="9"/>
  <c r="P33" i="9" s="1"/>
  <c r="O22" i="9"/>
  <c r="O33" i="9" s="1"/>
  <c r="N22" i="9"/>
  <c r="N33" i="9" s="1"/>
  <c r="M22" i="9"/>
  <c r="M33" i="9" s="1"/>
  <c r="L22" i="9"/>
  <c r="L33" i="9" s="1"/>
  <c r="K22" i="9"/>
  <c r="K33" i="9" s="1"/>
  <c r="J22" i="9"/>
  <c r="J33" i="9" s="1"/>
  <c r="I22" i="9"/>
  <c r="I33" i="9" s="1"/>
  <c r="H22" i="9"/>
  <c r="H33" i="9" s="1"/>
  <c r="G22" i="9"/>
  <c r="G33" i="9" s="1"/>
  <c r="E22" i="9"/>
  <c r="E33" i="9" s="1"/>
  <c r="D22" i="9"/>
  <c r="D33" i="9" s="1"/>
  <c r="C22" i="9"/>
  <c r="C33" i="9" s="1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E18" i="9"/>
  <c r="D18" i="9"/>
  <c r="C18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E14" i="9"/>
  <c r="D14" i="9"/>
  <c r="C14" i="9"/>
  <c r="E13" i="9"/>
  <c r="D13" i="9"/>
  <c r="C13" i="9"/>
  <c r="E12" i="9"/>
  <c r="D12" i="9"/>
  <c r="C12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7" i="9"/>
  <c r="G6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E7" i="9"/>
  <c r="D7" i="9"/>
  <c r="C7" i="9"/>
  <c r="E6" i="9"/>
  <c r="D6" i="9"/>
  <c r="C6" i="9"/>
  <c r="B7" i="9"/>
  <c r="B6" i="9"/>
  <c r="AL116" i="8"/>
  <c r="AL115" i="8"/>
  <c r="AL114" i="8"/>
  <c r="AL113" i="8"/>
  <c r="AO112" i="8"/>
  <c r="AL112" i="8"/>
  <c r="AL111" i="8"/>
  <c r="AL110" i="8"/>
  <c r="AL94" i="8"/>
  <c r="AP93" i="8"/>
  <c r="AO93" i="8"/>
  <c r="AN93" i="8"/>
  <c r="AM93" i="8"/>
  <c r="AL93" i="8"/>
  <c r="AL92" i="8"/>
  <c r="AM91" i="8"/>
  <c r="AL91" i="8"/>
  <c r="AL90" i="8"/>
  <c r="AP89" i="8"/>
  <c r="AL89" i="8"/>
  <c r="AM88" i="8"/>
  <c r="AL88" i="8"/>
  <c r="AL87" i="8"/>
  <c r="R83" i="8"/>
  <c r="N83" i="8"/>
  <c r="J83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R86" i="8"/>
  <c r="AN86" i="8" s="1"/>
  <c r="N86" i="8"/>
  <c r="J86" i="8"/>
  <c r="R92" i="8"/>
  <c r="AO92" i="8" s="1"/>
  <c r="R91" i="8"/>
  <c r="AP91" i="8" s="1"/>
  <c r="R90" i="8"/>
  <c r="AP90" i="8" s="1"/>
  <c r="R89" i="8"/>
  <c r="AO89" i="8" s="1"/>
  <c r="R88" i="8"/>
  <c r="AP88" i="8" s="1"/>
  <c r="N92" i="8"/>
  <c r="N91" i="8"/>
  <c r="N90" i="8"/>
  <c r="N89" i="8"/>
  <c r="N88" i="8"/>
  <c r="J92" i="8"/>
  <c r="J91" i="8"/>
  <c r="J90" i="8"/>
  <c r="J89" i="8"/>
  <c r="J88" i="8"/>
  <c r="N124" i="8"/>
  <c r="J124" i="8"/>
  <c r="R116" i="8"/>
  <c r="AP116" i="8" s="1"/>
  <c r="R115" i="8"/>
  <c r="AO115" i="8" s="1"/>
  <c r="R114" i="8"/>
  <c r="AP114" i="8" s="1"/>
  <c r="R113" i="8"/>
  <c r="AO113" i="8" s="1"/>
  <c r="R112" i="8"/>
  <c r="AP112" i="8" s="1"/>
  <c r="R111" i="8"/>
  <c r="AP111" i="8" s="1"/>
  <c r="R110" i="8"/>
  <c r="AN110" i="8" s="1"/>
  <c r="N116" i="8"/>
  <c r="N115" i="8"/>
  <c r="N114" i="8"/>
  <c r="N113" i="8"/>
  <c r="N112" i="8"/>
  <c r="N111" i="8"/>
  <c r="N110" i="8"/>
  <c r="J116" i="8"/>
  <c r="J115" i="8"/>
  <c r="J114" i="8"/>
  <c r="J113" i="8"/>
  <c r="J112" i="8"/>
  <c r="J111" i="8"/>
  <c r="J110" i="8"/>
  <c r="AL64" i="8"/>
  <c r="AM64" i="8"/>
  <c r="AN64" i="8"/>
  <c r="AO64" i="8"/>
  <c r="AP64" i="8"/>
  <c r="AL65" i="8"/>
  <c r="AM65" i="8"/>
  <c r="AN65" i="8"/>
  <c r="AO65" i="8"/>
  <c r="AP65" i="8"/>
  <c r="AL66" i="8"/>
  <c r="AM66" i="8"/>
  <c r="AN66" i="8"/>
  <c r="AO66" i="8"/>
  <c r="AP66" i="8"/>
  <c r="AL67" i="8"/>
  <c r="AM67" i="8"/>
  <c r="AN67" i="8"/>
  <c r="AO67" i="8"/>
  <c r="AP67" i="8"/>
  <c r="AL68" i="8"/>
  <c r="AM68" i="8"/>
  <c r="AN68" i="8"/>
  <c r="AO68" i="8"/>
  <c r="AP68" i="8"/>
  <c r="AO71" i="8"/>
  <c r="AN71" i="8"/>
  <c r="AL71" i="8"/>
  <c r="AK71" i="8"/>
  <c r="AJ71" i="8"/>
  <c r="AH71" i="8"/>
  <c r="AG71" i="8"/>
  <c r="AF71" i="8"/>
  <c r="AD71" i="8"/>
  <c r="AC71" i="8"/>
  <c r="AB71" i="8"/>
  <c r="AA71" i="8"/>
  <c r="Z71" i="8"/>
  <c r="Y71" i="8"/>
  <c r="X71" i="8"/>
  <c r="W71" i="8"/>
  <c r="AP71" i="8"/>
  <c r="AO69" i="8"/>
  <c r="AN69" i="8"/>
  <c r="AL69" i="8"/>
  <c r="AK69" i="8"/>
  <c r="AJ69" i="8"/>
  <c r="AH69" i="8"/>
  <c r="AG69" i="8"/>
  <c r="AF69" i="8"/>
  <c r="AD69" i="8"/>
  <c r="AC69" i="8"/>
  <c r="AB69" i="8"/>
  <c r="AA69" i="8"/>
  <c r="Z69" i="8"/>
  <c r="W69" i="8"/>
  <c r="AP69" i="8"/>
  <c r="R69" i="8"/>
  <c r="AM69" i="8" s="1"/>
  <c r="U61" i="8"/>
  <c r="AP61" i="8" s="1"/>
  <c r="R57" i="8"/>
  <c r="R58" i="8"/>
  <c r="AM58" i="8" s="1"/>
  <c r="R59" i="8"/>
  <c r="AM59" i="8" s="1"/>
  <c r="R60" i="8"/>
  <c r="AM60" i="8" s="1"/>
  <c r="R61" i="8"/>
  <c r="AM61" i="8" s="1"/>
  <c r="AO61" i="8"/>
  <c r="AN61" i="8"/>
  <c r="AL61" i="8"/>
  <c r="AP60" i="8"/>
  <c r="AO60" i="8"/>
  <c r="AN60" i="8"/>
  <c r="AL60" i="8"/>
  <c r="AP59" i="8"/>
  <c r="AO59" i="8"/>
  <c r="AN59" i="8"/>
  <c r="AL59" i="8"/>
  <c r="AP58" i="8"/>
  <c r="AO58" i="8"/>
  <c r="AN58" i="8"/>
  <c r="AL58" i="8"/>
  <c r="N60" i="8"/>
  <c r="N59" i="8"/>
  <c r="N58" i="8"/>
  <c r="J59" i="8"/>
  <c r="J58" i="8"/>
  <c r="G62" i="8"/>
  <c r="H62" i="8"/>
  <c r="I62" i="8"/>
  <c r="N61" i="8"/>
  <c r="J61" i="8"/>
  <c r="J60" i="8"/>
  <c r="AO53" i="8"/>
  <c r="AN53" i="8"/>
  <c r="AL53" i="8"/>
  <c r="AO52" i="8"/>
  <c r="AN52" i="8"/>
  <c r="AL52" i="8"/>
  <c r="U53" i="8"/>
  <c r="AP53" i="8" s="1"/>
  <c r="U52" i="8"/>
  <c r="AP52" i="8" s="1"/>
  <c r="T62" i="8"/>
  <c r="S62" i="8"/>
  <c r="Q62" i="8"/>
  <c r="P62" i="8"/>
  <c r="O62" i="8"/>
  <c r="M62" i="8"/>
  <c r="L62" i="8"/>
  <c r="K62" i="8"/>
  <c r="E62" i="8"/>
  <c r="D62" i="8"/>
  <c r="C62" i="8"/>
  <c r="R53" i="8"/>
  <c r="AM53" i="8" s="1"/>
  <c r="R52" i="8"/>
  <c r="AM52" i="8" s="1"/>
  <c r="N53" i="8"/>
  <c r="N52" i="8"/>
  <c r="J53" i="8"/>
  <c r="J52" i="8"/>
  <c r="AP41" i="8"/>
  <c r="AO41" i="8"/>
  <c r="AN41" i="8"/>
  <c r="AL41" i="8"/>
  <c r="AK41" i="8"/>
  <c r="AJ41" i="8"/>
  <c r="AH41" i="8"/>
  <c r="AG41" i="8"/>
  <c r="AF41" i="8"/>
  <c r="AD41" i="8"/>
  <c r="AC41" i="8"/>
  <c r="AB41" i="8"/>
  <c r="AA41" i="8"/>
  <c r="Z41" i="8"/>
  <c r="Y41" i="8"/>
  <c r="X41" i="8"/>
  <c r="W41" i="8"/>
  <c r="AO38" i="8"/>
  <c r="AN38" i="8"/>
  <c r="AL38" i="8"/>
  <c r="AK38" i="8"/>
  <c r="AJ38" i="8"/>
  <c r="AH38" i="8"/>
  <c r="AG38" i="8"/>
  <c r="AF38" i="8"/>
  <c r="AD38" i="8"/>
  <c r="AC38" i="8"/>
  <c r="AB38" i="8"/>
  <c r="AA38" i="8"/>
  <c r="Z38" i="8"/>
  <c r="Y38" i="8"/>
  <c r="X38" i="8"/>
  <c r="W38" i="8"/>
  <c r="AP38" i="8"/>
  <c r="R41" i="8"/>
  <c r="AM41" i="8" s="1"/>
  <c r="R38" i="8"/>
  <c r="AM38" i="8" s="1"/>
  <c r="N41" i="8"/>
  <c r="AI41" i="8" s="1"/>
  <c r="N38" i="8"/>
  <c r="AI38" i="8" s="1"/>
  <c r="J41" i="8"/>
  <c r="AE41" i="8" s="1"/>
  <c r="J38" i="8"/>
  <c r="AE38" i="8" s="1"/>
  <c r="R34" i="8"/>
  <c r="N34" i="8"/>
  <c r="J34" i="8"/>
  <c r="N23" i="8"/>
  <c r="N24" i="8"/>
  <c r="AL25" i="8"/>
  <c r="AL24" i="8"/>
  <c r="AL23" i="8"/>
  <c r="R26" i="8"/>
  <c r="AP26" i="8" s="1"/>
  <c r="R25" i="8"/>
  <c r="AM25" i="8" s="1"/>
  <c r="R24" i="8"/>
  <c r="AM24" i="8" s="1"/>
  <c r="R23" i="8"/>
  <c r="AP23" i="8" s="1"/>
  <c r="N26" i="8"/>
  <c r="N25" i="8"/>
  <c r="J26" i="8"/>
  <c r="J25" i="8"/>
  <c r="J24" i="8"/>
  <c r="J23" i="8"/>
  <c r="N10" i="10"/>
  <c r="N11" i="10" s="1"/>
  <c r="N9" i="10"/>
  <c r="J28" i="10"/>
  <c r="J27" i="10"/>
  <c r="J29" i="10" s="1"/>
  <c r="J18" i="10"/>
  <c r="J17" i="10"/>
  <c r="J16" i="10"/>
  <c r="J15" i="10"/>
  <c r="J10" i="10"/>
  <c r="J11" i="10" s="1"/>
  <c r="J9" i="10"/>
  <c r="G70" i="10"/>
  <c r="G66" i="10"/>
  <c r="G62" i="10"/>
  <c r="G58" i="10"/>
  <c r="G54" i="10"/>
  <c r="G50" i="10"/>
  <c r="G40" i="10"/>
  <c r="G29" i="10"/>
  <c r="G20" i="10"/>
  <c r="G19" i="10"/>
  <c r="G11" i="10"/>
  <c r="G4" i="10"/>
  <c r="G3" i="10"/>
  <c r="N70" i="10"/>
  <c r="M70" i="10"/>
  <c r="L70" i="10"/>
  <c r="K70" i="10"/>
  <c r="J70" i="10"/>
  <c r="I70" i="10"/>
  <c r="H70" i="10"/>
  <c r="N66" i="10"/>
  <c r="M66" i="10"/>
  <c r="L66" i="10"/>
  <c r="K66" i="10"/>
  <c r="J66" i="10"/>
  <c r="I66" i="10"/>
  <c r="H66" i="10"/>
  <c r="N62" i="10"/>
  <c r="M62" i="10"/>
  <c r="L62" i="10"/>
  <c r="K62" i="10"/>
  <c r="J62" i="10"/>
  <c r="I62" i="10"/>
  <c r="H62" i="10"/>
  <c r="N58" i="10"/>
  <c r="M58" i="10"/>
  <c r="L58" i="10"/>
  <c r="K58" i="10"/>
  <c r="J58" i="10"/>
  <c r="I58" i="10"/>
  <c r="H58" i="10"/>
  <c r="N54" i="10"/>
  <c r="M54" i="10"/>
  <c r="L54" i="10"/>
  <c r="K54" i="10"/>
  <c r="J54" i="10"/>
  <c r="I54" i="10"/>
  <c r="H54" i="10"/>
  <c r="N50" i="10"/>
  <c r="M50" i="10"/>
  <c r="L50" i="10"/>
  <c r="K50" i="10"/>
  <c r="J50" i="10"/>
  <c r="I50" i="10"/>
  <c r="H50" i="10"/>
  <c r="N40" i="10"/>
  <c r="M40" i="10"/>
  <c r="L40" i="10"/>
  <c r="K40" i="10"/>
  <c r="J40" i="10"/>
  <c r="I40" i="10"/>
  <c r="H40" i="10"/>
  <c r="N29" i="10"/>
  <c r="M29" i="10"/>
  <c r="L29" i="10"/>
  <c r="K29" i="10"/>
  <c r="I29" i="10"/>
  <c r="H29" i="10"/>
  <c r="N20" i="10"/>
  <c r="L20" i="10"/>
  <c r="I20" i="10"/>
  <c r="H20" i="10"/>
  <c r="N19" i="10"/>
  <c r="M19" i="10"/>
  <c r="M20" i="10" s="1"/>
  <c r="L19" i="10"/>
  <c r="K19" i="10"/>
  <c r="K20" i="10" s="1"/>
  <c r="J19" i="10"/>
  <c r="J20" i="10" s="1"/>
  <c r="I19" i="10"/>
  <c r="H19" i="10"/>
  <c r="M11" i="10"/>
  <c r="L11" i="10"/>
  <c r="K11" i="10"/>
  <c r="I11" i="10"/>
  <c r="H11" i="10"/>
  <c r="M4" i="10"/>
  <c r="L4" i="10"/>
  <c r="K4" i="10"/>
  <c r="I4" i="10"/>
  <c r="H4" i="10"/>
  <c r="N3" i="10"/>
  <c r="M3" i="10"/>
  <c r="L3" i="10"/>
  <c r="K3" i="10"/>
  <c r="J3" i="10"/>
  <c r="I3" i="10"/>
  <c r="H3" i="10"/>
  <c r="N109" i="8"/>
  <c r="N108" i="8"/>
  <c r="N104" i="8"/>
  <c r="N103" i="8"/>
  <c r="N102" i="8"/>
  <c r="N98" i="8"/>
  <c r="N97" i="8"/>
  <c r="N96" i="8"/>
  <c r="N95" i="8"/>
  <c r="N94" i="8"/>
  <c r="N87" i="8"/>
  <c r="J109" i="8"/>
  <c r="J108" i="8"/>
  <c r="J104" i="8"/>
  <c r="J103" i="8"/>
  <c r="J102" i="8"/>
  <c r="J98" i="8"/>
  <c r="J97" i="8"/>
  <c r="J96" i="8"/>
  <c r="J95" i="8"/>
  <c r="J94" i="8"/>
  <c r="J87" i="8"/>
  <c r="N71" i="8"/>
  <c r="AI71" i="8" s="1"/>
  <c r="N64" i="8"/>
  <c r="N68" i="8"/>
  <c r="N67" i="8"/>
  <c r="N66" i="8"/>
  <c r="N65" i="8"/>
  <c r="N57" i="8"/>
  <c r="N51" i="8"/>
  <c r="N50" i="8"/>
  <c r="N49" i="8"/>
  <c r="J71" i="8"/>
  <c r="AE71" i="8" s="1"/>
  <c r="J68" i="8"/>
  <c r="J67" i="8"/>
  <c r="J66" i="8"/>
  <c r="J65" i="8"/>
  <c r="J64" i="8"/>
  <c r="J57" i="8"/>
  <c r="J51" i="8"/>
  <c r="J50" i="8"/>
  <c r="J49" i="8"/>
  <c r="J30" i="8"/>
  <c r="J22" i="8"/>
  <c r="J21" i="8"/>
  <c r="J20" i="8"/>
  <c r="J19" i="8"/>
  <c r="J15" i="8"/>
  <c r="J14" i="8"/>
  <c r="J13" i="8"/>
  <c r="J10" i="8"/>
  <c r="J11" i="8" s="1"/>
  <c r="N30" i="8"/>
  <c r="N22" i="8"/>
  <c r="N21" i="8"/>
  <c r="N20" i="8"/>
  <c r="N19" i="8"/>
  <c r="N15" i="8"/>
  <c r="N14" i="8"/>
  <c r="N13" i="8"/>
  <c r="N10" i="8"/>
  <c r="N11" i="8" s="1"/>
  <c r="J8" i="8"/>
  <c r="J4" i="10" s="1"/>
  <c r="G122" i="8"/>
  <c r="I117" i="8"/>
  <c r="H117" i="8"/>
  <c r="G117" i="8"/>
  <c r="I105" i="8"/>
  <c r="H105" i="8"/>
  <c r="G105" i="8"/>
  <c r="I80" i="8"/>
  <c r="H80" i="8"/>
  <c r="G80" i="8"/>
  <c r="J79" i="8"/>
  <c r="I79" i="8"/>
  <c r="H79" i="8"/>
  <c r="G79" i="8"/>
  <c r="I72" i="8"/>
  <c r="H72" i="8"/>
  <c r="G72" i="8"/>
  <c r="I54" i="8"/>
  <c r="H54" i="8"/>
  <c r="G54" i="8"/>
  <c r="I46" i="8"/>
  <c r="H46" i="8"/>
  <c r="G46" i="8"/>
  <c r="J45" i="8"/>
  <c r="I45" i="8"/>
  <c r="H45" i="8"/>
  <c r="G45" i="8"/>
  <c r="I11" i="8"/>
  <c r="I16" i="8" s="1"/>
  <c r="I27" i="8" s="1"/>
  <c r="H11" i="8"/>
  <c r="H16" i="8" s="1"/>
  <c r="H27" i="8" s="1"/>
  <c r="G11" i="8"/>
  <c r="G16" i="8" s="1"/>
  <c r="N8" i="8"/>
  <c r="N46" i="8" s="1"/>
  <c r="M117" i="8"/>
  <c r="L117" i="8"/>
  <c r="K117" i="8"/>
  <c r="M105" i="8"/>
  <c r="L105" i="8"/>
  <c r="K105" i="8"/>
  <c r="M80" i="8"/>
  <c r="L80" i="8"/>
  <c r="K80" i="8"/>
  <c r="N79" i="8"/>
  <c r="M79" i="8"/>
  <c r="L79" i="8"/>
  <c r="K79" i="8"/>
  <c r="M72" i="8"/>
  <c r="L72" i="8"/>
  <c r="K72" i="8"/>
  <c r="K73" i="8" s="1"/>
  <c r="M54" i="8"/>
  <c r="L54" i="8"/>
  <c r="K54" i="8"/>
  <c r="M46" i="8"/>
  <c r="L46" i="8"/>
  <c r="K46" i="8"/>
  <c r="N45" i="8"/>
  <c r="M45" i="8"/>
  <c r="L45" i="8"/>
  <c r="K45" i="8"/>
  <c r="M11" i="8"/>
  <c r="M16" i="8" s="1"/>
  <c r="L11" i="8"/>
  <c r="L16" i="8" s="1"/>
  <c r="L27" i="8" s="1"/>
  <c r="K11" i="8"/>
  <c r="K16" i="8" s="1"/>
  <c r="R71" i="8"/>
  <c r="AM71" i="8" s="1"/>
  <c r="R22" i="8"/>
  <c r="AO22" i="8" s="1"/>
  <c r="R21" i="8"/>
  <c r="AO21" i="8" s="1"/>
  <c r="R20" i="8"/>
  <c r="AP20" i="8" s="1"/>
  <c r="R19" i="8"/>
  <c r="AN19" i="8" s="1"/>
  <c r="AL26" i="8"/>
  <c r="AL22" i="8"/>
  <c r="AL21" i="8"/>
  <c r="AL20" i="8"/>
  <c r="AL19" i="8"/>
  <c r="AL15" i="8"/>
  <c r="AL14" i="8"/>
  <c r="R15" i="8"/>
  <c r="AP15" i="8" s="1"/>
  <c r="R14" i="8"/>
  <c r="AP14" i="8" s="1"/>
  <c r="U70" i="10"/>
  <c r="T70" i="10"/>
  <c r="S70" i="10"/>
  <c r="Q70" i="10"/>
  <c r="P70" i="10"/>
  <c r="O70" i="10"/>
  <c r="E70" i="10"/>
  <c r="D70" i="10"/>
  <c r="C70" i="10"/>
  <c r="AC69" i="10"/>
  <c r="AC70" i="10" s="1"/>
  <c r="AB69" i="10"/>
  <c r="AB70" i="10" s="1"/>
  <c r="AA69" i="10"/>
  <c r="AA70" i="10" s="1"/>
  <c r="Z69" i="10"/>
  <c r="Z70" i="10" s="1"/>
  <c r="Y69" i="10"/>
  <c r="Y70" i="10" s="1"/>
  <c r="X69" i="10"/>
  <c r="X70" i="10" s="1"/>
  <c r="W69" i="10"/>
  <c r="W70" i="10" s="1"/>
  <c r="R69" i="10"/>
  <c r="AD69" i="10" s="1"/>
  <c r="AD70" i="10" s="1"/>
  <c r="B90" i="21"/>
  <c r="B89" i="21"/>
  <c r="B88" i="21"/>
  <c r="B87" i="21"/>
  <c r="B86" i="21"/>
  <c r="B85" i="21"/>
  <c r="B84" i="21"/>
  <c r="Y82" i="21"/>
  <c r="AA82" i="21" s="1"/>
  <c r="X82" i="21"/>
  <c r="W82" i="21"/>
  <c r="V82" i="21"/>
  <c r="U82" i="21"/>
  <c r="T82" i="21"/>
  <c r="S82" i="21"/>
  <c r="R82" i="21"/>
  <c r="Q82" i="21"/>
  <c r="P82" i="21"/>
  <c r="O82" i="21"/>
  <c r="M82" i="21"/>
  <c r="L82" i="21"/>
  <c r="K82" i="21"/>
  <c r="I82" i="21"/>
  <c r="H82" i="21"/>
  <c r="G82" i="21"/>
  <c r="E82" i="21"/>
  <c r="D82" i="21"/>
  <c r="C82" i="21"/>
  <c r="J75" i="21"/>
  <c r="J82" i="21" s="1"/>
  <c r="B72" i="21"/>
  <c r="B71" i="21"/>
  <c r="B70" i="21"/>
  <c r="B69" i="21"/>
  <c r="B68" i="21"/>
  <c r="B67" i="21"/>
  <c r="B66" i="21"/>
  <c r="AA64" i="21"/>
  <c r="Y64" i="21"/>
  <c r="X64" i="21"/>
  <c r="W64" i="21"/>
  <c r="V64" i="21"/>
  <c r="U64" i="21"/>
  <c r="T64" i="21"/>
  <c r="S64" i="21"/>
  <c r="R64" i="21"/>
  <c r="Q64" i="21"/>
  <c r="P64" i="21"/>
  <c r="O64" i="21"/>
  <c r="M64" i="21"/>
  <c r="L64" i="21"/>
  <c r="K64" i="21"/>
  <c r="I64" i="21"/>
  <c r="H64" i="21"/>
  <c r="G64" i="21"/>
  <c r="E64" i="21"/>
  <c r="D64" i="21"/>
  <c r="C64" i="21"/>
  <c r="J57" i="21"/>
  <c r="J64" i="21" s="1"/>
  <c r="B54" i="21"/>
  <c r="B53" i="21"/>
  <c r="B52" i="21"/>
  <c r="B51" i="21"/>
  <c r="B50" i="21"/>
  <c r="B49" i="21"/>
  <c r="B48" i="21"/>
  <c r="U66" i="10"/>
  <c r="T66" i="10"/>
  <c r="S66" i="10"/>
  <c r="Q66" i="10"/>
  <c r="P66" i="10"/>
  <c r="O66" i="10"/>
  <c r="E66" i="10"/>
  <c r="D66" i="10"/>
  <c r="C66" i="10"/>
  <c r="AC65" i="10"/>
  <c r="AC66" i="10" s="1"/>
  <c r="AB65" i="10"/>
  <c r="AB66" i="10" s="1"/>
  <c r="AA65" i="10"/>
  <c r="AA66" i="10" s="1"/>
  <c r="Z65" i="10"/>
  <c r="Z66" i="10" s="1"/>
  <c r="Y65" i="10"/>
  <c r="Y66" i="10" s="1"/>
  <c r="X65" i="10"/>
  <c r="X66" i="10" s="1"/>
  <c r="W65" i="10"/>
  <c r="W66" i="10" s="1"/>
  <c r="R65" i="10"/>
  <c r="AF65" i="10" s="1"/>
  <c r="AF66" i="10" s="1"/>
  <c r="M46" i="21"/>
  <c r="L46" i="21"/>
  <c r="K46" i="21"/>
  <c r="I46" i="21"/>
  <c r="H46" i="21"/>
  <c r="G46" i="21"/>
  <c r="E46" i="21"/>
  <c r="D46" i="21"/>
  <c r="C46" i="21"/>
  <c r="U46" i="21"/>
  <c r="T46" i="21"/>
  <c r="S46" i="21"/>
  <c r="R46" i="21"/>
  <c r="Q46" i="21"/>
  <c r="P46" i="21"/>
  <c r="O46" i="21"/>
  <c r="V46" i="21"/>
  <c r="J39" i="21"/>
  <c r="E34" i="21"/>
  <c r="D34" i="21"/>
  <c r="C34" i="21"/>
  <c r="T30" i="21"/>
  <c r="S30" i="21"/>
  <c r="R30" i="21"/>
  <c r="Q30" i="21"/>
  <c r="P30" i="21"/>
  <c r="O30" i="21"/>
  <c r="M30" i="21"/>
  <c r="L30" i="21"/>
  <c r="K30" i="21"/>
  <c r="I30" i="21"/>
  <c r="H30" i="21"/>
  <c r="G30" i="21"/>
  <c r="U28" i="21"/>
  <c r="U30" i="21" s="1"/>
  <c r="M20" i="21"/>
  <c r="M21" i="21" s="1"/>
  <c r="L20" i="21"/>
  <c r="L21" i="21" s="1"/>
  <c r="K20" i="21"/>
  <c r="K21" i="21" s="1"/>
  <c r="I20" i="21"/>
  <c r="I21" i="21" s="1"/>
  <c r="H20" i="21"/>
  <c r="H21" i="21" s="1"/>
  <c r="G20" i="21"/>
  <c r="G21" i="21" s="1"/>
  <c r="U18" i="21"/>
  <c r="E18" i="21"/>
  <c r="J18" i="21" s="1"/>
  <c r="D18" i="21"/>
  <c r="C18" i="21"/>
  <c r="E17" i="21"/>
  <c r="D17" i="21"/>
  <c r="C17" i="21"/>
  <c r="U16" i="21"/>
  <c r="T16" i="21"/>
  <c r="T20" i="21" s="1"/>
  <c r="S16" i="21"/>
  <c r="S20" i="21" s="1"/>
  <c r="R16" i="21"/>
  <c r="R20" i="21" s="1"/>
  <c r="Q16" i="21"/>
  <c r="Q20" i="21" s="1"/>
  <c r="P16" i="21"/>
  <c r="P20" i="21" s="1"/>
  <c r="O16" i="21"/>
  <c r="O20" i="21" s="1"/>
  <c r="E16" i="21"/>
  <c r="J16" i="21" s="1"/>
  <c r="D16" i="21"/>
  <c r="C16" i="21"/>
  <c r="M12" i="21"/>
  <c r="L12" i="21"/>
  <c r="K12" i="21"/>
  <c r="I12" i="21"/>
  <c r="H12" i="21"/>
  <c r="G12" i="21"/>
  <c r="E12" i="21"/>
  <c r="D12" i="21"/>
  <c r="C12" i="21"/>
  <c r="C13" i="21" s="1"/>
  <c r="U11" i="21"/>
  <c r="J11" i="21"/>
  <c r="X11" i="21" s="1"/>
  <c r="U9" i="21"/>
  <c r="T9" i="21"/>
  <c r="T12" i="21" s="1"/>
  <c r="S9" i="21"/>
  <c r="S12" i="21" s="1"/>
  <c r="R9" i="21"/>
  <c r="R12" i="21" s="1"/>
  <c r="Q9" i="21"/>
  <c r="Q12" i="21" s="1"/>
  <c r="P9" i="21"/>
  <c r="P12" i="21" s="1"/>
  <c r="O9" i="21"/>
  <c r="O12" i="21" s="1"/>
  <c r="J9" i="21"/>
  <c r="Y9" i="21" s="1"/>
  <c r="R4" i="21"/>
  <c r="Q4" i="21"/>
  <c r="P4" i="21"/>
  <c r="O4" i="21"/>
  <c r="M4" i="21"/>
  <c r="Y4" i="21" s="1"/>
  <c r="L4" i="21"/>
  <c r="X4" i="21" s="1"/>
  <c r="K4" i="21"/>
  <c r="W4" i="21" s="1"/>
  <c r="I4" i="21"/>
  <c r="U4" i="21" s="1"/>
  <c r="H4" i="21"/>
  <c r="T4" i="21" s="1"/>
  <c r="G4" i="21"/>
  <c r="S4" i="21" s="1"/>
  <c r="E4" i="21"/>
  <c r="D4" i="21"/>
  <c r="C4" i="21"/>
  <c r="R3" i="21"/>
  <c r="Q3" i="21"/>
  <c r="P3" i="21"/>
  <c r="O3" i="21"/>
  <c r="M3" i="21"/>
  <c r="Y3" i="21" s="1"/>
  <c r="L3" i="21"/>
  <c r="X3" i="21" s="1"/>
  <c r="K3" i="21"/>
  <c r="W3" i="21" s="1"/>
  <c r="J3" i="21"/>
  <c r="V3" i="21" s="1"/>
  <c r="I3" i="21"/>
  <c r="U3" i="21" s="1"/>
  <c r="H3" i="21"/>
  <c r="T3" i="21" s="1"/>
  <c r="G3" i="21"/>
  <c r="S3" i="21" s="1"/>
  <c r="E3" i="21"/>
  <c r="D3" i="21"/>
  <c r="C3" i="21"/>
  <c r="B2" i="21"/>
  <c r="E15" i="10"/>
  <c r="D33" i="10"/>
  <c r="C33" i="10"/>
  <c r="E33" i="10"/>
  <c r="AB29" i="10"/>
  <c r="W29" i="10"/>
  <c r="U29" i="10"/>
  <c r="T29" i="10"/>
  <c r="S29" i="10"/>
  <c r="Q29" i="10"/>
  <c r="P29" i="10"/>
  <c r="O29" i="10"/>
  <c r="AC27" i="10"/>
  <c r="AC29" i="10" s="1"/>
  <c r="AA29" i="10"/>
  <c r="Z29" i="10"/>
  <c r="Y29" i="10"/>
  <c r="X29" i="10"/>
  <c r="E17" i="10"/>
  <c r="D17" i="10"/>
  <c r="D27" i="10" s="1"/>
  <c r="C17" i="10"/>
  <c r="E16" i="10"/>
  <c r="R16" i="10" s="1"/>
  <c r="D16" i="10"/>
  <c r="C16" i="10"/>
  <c r="D15" i="10"/>
  <c r="C15" i="10"/>
  <c r="U19" i="10"/>
  <c r="U20" i="10" s="1"/>
  <c r="T19" i="10"/>
  <c r="T20" i="10" s="1"/>
  <c r="S19" i="10"/>
  <c r="S20" i="10" s="1"/>
  <c r="Q19" i="10"/>
  <c r="Q20" i="10" s="1"/>
  <c r="P19" i="10"/>
  <c r="P20" i="10" s="1"/>
  <c r="O19" i="10"/>
  <c r="O20" i="10" s="1"/>
  <c r="AC17" i="10"/>
  <c r="AC15" i="10"/>
  <c r="AB15" i="10"/>
  <c r="AB19" i="10" s="1"/>
  <c r="AA15" i="10"/>
  <c r="AA19" i="10" s="1"/>
  <c r="Z15" i="10"/>
  <c r="Z19" i="10" s="1"/>
  <c r="Y15" i="10"/>
  <c r="Y19" i="10" s="1"/>
  <c r="X15" i="10"/>
  <c r="X19" i="10" s="1"/>
  <c r="W15" i="10"/>
  <c r="W19" i="10" s="1"/>
  <c r="R38" i="10"/>
  <c r="U50" i="10"/>
  <c r="T50" i="10"/>
  <c r="S50" i="10"/>
  <c r="Q50" i="10"/>
  <c r="P50" i="10"/>
  <c r="O50" i="10"/>
  <c r="AC49" i="10"/>
  <c r="AC50" i="10" s="1"/>
  <c r="AB49" i="10"/>
  <c r="AB50" i="10" s="1"/>
  <c r="AA49" i="10"/>
  <c r="AA50" i="10" s="1"/>
  <c r="Z49" i="10"/>
  <c r="Z50" i="10" s="1"/>
  <c r="Y49" i="10"/>
  <c r="Y50" i="10" s="1"/>
  <c r="X49" i="10"/>
  <c r="X50" i="10" s="1"/>
  <c r="W49" i="10"/>
  <c r="W50" i="10" s="1"/>
  <c r="U40" i="10"/>
  <c r="T40" i="10"/>
  <c r="S40" i="10"/>
  <c r="Q40" i="10"/>
  <c r="P40" i="10"/>
  <c r="O40" i="10"/>
  <c r="E40" i="10"/>
  <c r="E49" i="10" s="1"/>
  <c r="R49" i="10" s="1"/>
  <c r="AE49" i="10" s="1"/>
  <c r="AE50" i="10" s="1"/>
  <c r="D40" i="10"/>
  <c r="D47" i="10" s="1"/>
  <c r="C40" i="10"/>
  <c r="C47" i="10" s="1"/>
  <c r="U62" i="10"/>
  <c r="T62" i="10"/>
  <c r="S62" i="10"/>
  <c r="Q62" i="10"/>
  <c r="P62" i="10"/>
  <c r="O62" i="10"/>
  <c r="E62" i="10"/>
  <c r="D62" i="10"/>
  <c r="C62" i="10"/>
  <c r="AC61" i="10"/>
  <c r="AC62" i="10" s="1"/>
  <c r="AB61" i="10"/>
  <c r="AB62" i="10" s="1"/>
  <c r="AA61" i="10"/>
  <c r="AA62" i="10" s="1"/>
  <c r="Z61" i="10"/>
  <c r="Z62" i="10" s="1"/>
  <c r="Y61" i="10"/>
  <c r="Y62" i="10" s="1"/>
  <c r="X61" i="10"/>
  <c r="X62" i="10" s="1"/>
  <c r="W61" i="10"/>
  <c r="W62" i="10" s="1"/>
  <c r="R61" i="10"/>
  <c r="AE61" i="10" s="1"/>
  <c r="AE62" i="10" s="1"/>
  <c r="U58" i="10"/>
  <c r="T58" i="10"/>
  <c r="S58" i="10"/>
  <c r="Q58" i="10"/>
  <c r="P58" i="10"/>
  <c r="O58" i="10"/>
  <c r="E58" i="10"/>
  <c r="D58" i="10"/>
  <c r="C58" i="10"/>
  <c r="AC57" i="10"/>
  <c r="AC58" i="10" s="1"/>
  <c r="AB57" i="10"/>
  <c r="AB58" i="10" s="1"/>
  <c r="AA57" i="10"/>
  <c r="AA58" i="10" s="1"/>
  <c r="Z57" i="10"/>
  <c r="Z58" i="10" s="1"/>
  <c r="Y57" i="10"/>
  <c r="Y58" i="10" s="1"/>
  <c r="X57" i="10"/>
  <c r="X58" i="10" s="1"/>
  <c r="W57" i="10"/>
  <c r="W58" i="10" s="1"/>
  <c r="R57" i="10"/>
  <c r="AF57" i="10" s="1"/>
  <c r="AF58" i="10" s="1"/>
  <c r="U54" i="10"/>
  <c r="T54" i="10"/>
  <c r="S54" i="10"/>
  <c r="Q54" i="10"/>
  <c r="P54" i="10"/>
  <c r="O54" i="10"/>
  <c r="E54" i="10"/>
  <c r="D54" i="10"/>
  <c r="C54" i="10"/>
  <c r="AC53" i="10"/>
  <c r="AC54" i="10" s="1"/>
  <c r="AB53" i="10"/>
  <c r="AB54" i="10" s="1"/>
  <c r="AA53" i="10"/>
  <c r="AA54" i="10" s="1"/>
  <c r="Z53" i="10"/>
  <c r="Z54" i="10" s="1"/>
  <c r="Y53" i="10"/>
  <c r="Y54" i="10" s="1"/>
  <c r="X53" i="10"/>
  <c r="X54" i="10" s="1"/>
  <c r="W53" i="10"/>
  <c r="W54" i="10" s="1"/>
  <c r="R53" i="10"/>
  <c r="AD53" i="10" s="1"/>
  <c r="AD54" i="10" s="1"/>
  <c r="R39" i="10"/>
  <c r="AF39" i="10" s="1"/>
  <c r="W39" i="10"/>
  <c r="X39" i="10"/>
  <c r="Y39" i="10"/>
  <c r="Z39" i="10"/>
  <c r="AA39" i="10"/>
  <c r="AB39" i="10"/>
  <c r="AC39" i="10"/>
  <c r="R10" i="10"/>
  <c r="R9" i="10"/>
  <c r="E11" i="10"/>
  <c r="D11" i="10"/>
  <c r="C11" i="10"/>
  <c r="AH35" i="9" l="1"/>
  <c r="AI35" i="9"/>
  <c r="AE33" i="9"/>
  <c r="AF34" i="9"/>
  <c r="AE34" i="9"/>
  <c r="AF33" i="9"/>
  <c r="AG33" i="9"/>
  <c r="AE35" i="9"/>
  <c r="AH34" i="9"/>
  <c r="AI33" i="9"/>
  <c r="AI34" i="9"/>
  <c r="AG35" i="9"/>
  <c r="AG34" i="9"/>
  <c r="AH33" i="9"/>
  <c r="AF35" i="9"/>
  <c r="X19" i="9"/>
  <c r="AF19" i="9"/>
  <c r="AD20" i="9"/>
  <c r="AB25" i="9"/>
  <c r="AD29" i="9"/>
  <c r="AC29" i="9"/>
  <c r="X29" i="9"/>
  <c r="W29" i="9"/>
  <c r="AF29" i="9"/>
  <c r="AE29" i="9"/>
  <c r="AH29" i="9"/>
  <c r="AG29" i="9"/>
  <c r="AI29" i="9"/>
  <c r="AH19" i="9"/>
  <c r="K29" i="9"/>
  <c r="AB29" i="9" s="1"/>
  <c r="AD19" i="9"/>
  <c r="AB20" i="9"/>
  <c r="X21" i="9"/>
  <c r="AF21" i="9"/>
  <c r="X22" i="9"/>
  <c r="AF22" i="9"/>
  <c r="AD23" i="9"/>
  <c r="Y24" i="9"/>
  <c r="AG24" i="9"/>
  <c r="Z25" i="9"/>
  <c r="AH25" i="9"/>
  <c r="AE19" i="9"/>
  <c r="AC20" i="9"/>
  <c r="AA21" i="9"/>
  <c r="AI21" i="9"/>
  <c r="Y22" i="9"/>
  <c r="AG22" i="9"/>
  <c r="AE23" i="9"/>
  <c r="AC24" i="9"/>
  <c r="AA25" i="9"/>
  <c r="AI25" i="9"/>
  <c r="AE20" i="9"/>
  <c r="AA22" i="9"/>
  <c r="AI22" i="9"/>
  <c r="Y23" i="9"/>
  <c r="AG23" i="9"/>
  <c r="AE24" i="9"/>
  <c r="AC25" i="9"/>
  <c r="Z19" i="9"/>
  <c r="AB21" i="9"/>
  <c r="X23" i="9"/>
  <c r="AF23" i="9"/>
  <c r="X20" i="9"/>
  <c r="AF20" i="9"/>
  <c r="AD21" i="9"/>
  <c r="AB22" i="9"/>
  <c r="Z23" i="9"/>
  <c r="AH23" i="9"/>
  <c r="W24" i="9"/>
  <c r="AD25" i="9"/>
  <c r="Y19" i="9"/>
  <c r="AG19" i="9"/>
  <c r="Y20" i="9"/>
  <c r="AG20" i="9"/>
  <c r="AE21" i="9"/>
  <c r="Z22" i="9"/>
  <c r="AH22" i="9"/>
  <c r="AA23" i="9"/>
  <c r="AI23" i="9"/>
  <c r="X24" i="9"/>
  <c r="AF24" i="9"/>
  <c r="AE25" i="9"/>
  <c r="W19" i="9"/>
  <c r="AB19" i="9"/>
  <c r="AD22" i="9"/>
  <c r="AB23" i="9"/>
  <c r="Z24" i="9"/>
  <c r="AH24" i="9"/>
  <c r="X25" i="9"/>
  <c r="AF25" i="9"/>
  <c r="AC19" i="9"/>
  <c r="AA20" i="9"/>
  <c r="AI20" i="9"/>
  <c r="W21" i="9"/>
  <c r="AG21" i="9"/>
  <c r="AE22" i="9"/>
  <c r="AC23" i="9"/>
  <c r="AA24" i="9"/>
  <c r="AI24" i="9"/>
  <c r="Y25" i="9"/>
  <c r="AG25" i="9"/>
  <c r="AA19" i="9"/>
  <c r="AI19" i="9"/>
  <c r="Y21" i="9"/>
  <c r="W23" i="9"/>
  <c r="W20" i="9"/>
  <c r="Z21" i="9"/>
  <c r="AH21" i="9"/>
  <c r="AC22" i="9"/>
  <c r="AB24" i="9"/>
  <c r="W25" i="9"/>
  <c r="W22" i="9"/>
  <c r="Z20" i="9"/>
  <c r="AH20" i="9"/>
  <c r="AC21" i="9"/>
  <c r="AD24" i="9"/>
  <c r="AH13" i="9"/>
  <c r="AA14" i="9"/>
  <c r="AI14" i="9"/>
  <c r="AE13" i="9"/>
  <c r="X14" i="9"/>
  <c r="AF14" i="9"/>
  <c r="W13" i="9"/>
  <c r="AF13" i="9"/>
  <c r="Y13" i="9"/>
  <c r="AG13" i="9"/>
  <c r="Z14" i="9"/>
  <c r="AH14" i="9"/>
  <c r="AA13" i="9"/>
  <c r="AI13" i="9"/>
  <c r="Z13" i="9"/>
  <c r="AB13" i="9"/>
  <c r="AC13" i="9"/>
  <c r="AD14" i="9"/>
  <c r="AD13" i="9"/>
  <c r="AE14" i="9"/>
  <c r="X13" i="9"/>
  <c r="AG14" i="9"/>
  <c r="AC14" i="9"/>
  <c r="AB14" i="9"/>
  <c r="W14" i="9"/>
  <c r="Y14" i="9"/>
  <c r="AO110" i="8"/>
  <c r="AP113" i="8"/>
  <c r="AM89" i="8"/>
  <c r="AP110" i="8"/>
  <c r="AN89" i="8"/>
  <c r="AM114" i="8"/>
  <c r="AM112" i="8"/>
  <c r="AP115" i="8"/>
  <c r="AN112" i="8"/>
  <c r="AP92" i="8"/>
  <c r="AN91" i="8"/>
  <c r="AM111" i="8"/>
  <c r="AN114" i="8"/>
  <c r="AN88" i="8"/>
  <c r="AO91" i="8"/>
  <c r="AN111" i="8"/>
  <c r="AO114" i="8"/>
  <c r="AM116" i="8"/>
  <c r="AO88" i="8"/>
  <c r="AM90" i="8"/>
  <c r="AO111" i="8"/>
  <c r="AM113" i="8"/>
  <c r="AN116" i="8"/>
  <c r="AN90" i="8"/>
  <c r="AM110" i="8"/>
  <c r="AN113" i="8"/>
  <c r="AO116" i="8"/>
  <c r="AO90" i="8"/>
  <c r="AM92" i="8"/>
  <c r="AM115" i="8"/>
  <c r="AN92" i="8"/>
  <c r="AN115" i="8"/>
  <c r="AO86" i="8"/>
  <c r="AP86" i="8"/>
  <c r="AR86" i="8" s="1"/>
  <c r="AM86" i="8"/>
  <c r="L73" i="8"/>
  <c r="L75" i="8" s="1"/>
  <c r="M73" i="8"/>
  <c r="M75" i="8" s="1"/>
  <c r="U62" i="8"/>
  <c r="G73" i="8"/>
  <c r="G75" i="8" s="1"/>
  <c r="H73" i="8"/>
  <c r="H75" i="8" s="1"/>
  <c r="I73" i="8"/>
  <c r="I75" i="8" s="1"/>
  <c r="J54" i="8"/>
  <c r="N62" i="8"/>
  <c r="J62" i="8"/>
  <c r="AR15" i="8"/>
  <c r="AR20" i="8"/>
  <c r="AR41" i="8"/>
  <c r="AR14" i="8"/>
  <c r="AR23" i="8"/>
  <c r="AR26" i="8"/>
  <c r="AR38" i="8"/>
  <c r="AO24" i="8"/>
  <c r="AN24" i="8"/>
  <c r="AP24" i="8"/>
  <c r="AR24" i="8" s="1"/>
  <c r="AN25" i="8"/>
  <c r="AM23" i="8"/>
  <c r="AO25" i="8"/>
  <c r="AN23" i="8"/>
  <c r="AP25" i="8"/>
  <c r="AR25" i="8" s="1"/>
  <c r="AO23" i="8"/>
  <c r="N4" i="10"/>
  <c r="N69" i="8"/>
  <c r="J117" i="8"/>
  <c r="J80" i="8"/>
  <c r="N117" i="8"/>
  <c r="I12" i="10"/>
  <c r="N105" i="8"/>
  <c r="AM20" i="8"/>
  <c r="H12" i="10"/>
  <c r="N54" i="8"/>
  <c r="J105" i="8"/>
  <c r="L12" i="10"/>
  <c r="J69" i="8"/>
  <c r="J16" i="8"/>
  <c r="J27" i="8" s="1"/>
  <c r="J31" i="8" s="1"/>
  <c r="J30" i="10" s="1"/>
  <c r="G12" i="10"/>
  <c r="J12" i="10"/>
  <c r="K12" i="10"/>
  <c r="M12" i="10"/>
  <c r="N12" i="10"/>
  <c r="E28" i="10"/>
  <c r="R28" i="10" s="1"/>
  <c r="D28" i="10"/>
  <c r="C28" i="10"/>
  <c r="C27" i="10"/>
  <c r="E27" i="10"/>
  <c r="R27" i="10" s="1"/>
  <c r="AF27" i="10" s="1"/>
  <c r="AF29" i="10" s="1"/>
  <c r="R17" i="10"/>
  <c r="AD17" i="10" s="1"/>
  <c r="AG69" i="10"/>
  <c r="AG70" i="10" s="1"/>
  <c r="AI70" i="10" s="1"/>
  <c r="N16" i="8"/>
  <c r="N27" i="8" s="1"/>
  <c r="N31" i="8" s="1"/>
  <c r="N30" i="10" s="1"/>
  <c r="H31" i="8"/>
  <c r="H30" i="10" s="1"/>
  <c r="H28" i="8"/>
  <c r="I31" i="8"/>
  <c r="I30" i="10" s="1"/>
  <c r="I28" i="8"/>
  <c r="G27" i="8"/>
  <c r="G17" i="8"/>
  <c r="H17" i="8"/>
  <c r="J46" i="8"/>
  <c r="I17" i="8"/>
  <c r="N80" i="8"/>
  <c r="K75" i="8"/>
  <c r="M17" i="8"/>
  <c r="M27" i="8"/>
  <c r="M31" i="8" s="1"/>
  <c r="M32" i="8" s="1"/>
  <c r="K27" i="8"/>
  <c r="K17" i="8"/>
  <c r="L31" i="8"/>
  <c r="L30" i="10" s="1"/>
  <c r="L28" i="8"/>
  <c r="L17" i="8"/>
  <c r="AO20" i="8"/>
  <c r="AO15" i="8"/>
  <c r="AM15" i="8"/>
  <c r="AN15" i="8"/>
  <c r="AM14" i="8"/>
  <c r="AP22" i="8"/>
  <c r="AR22" i="8" s="1"/>
  <c r="AN14" i="8"/>
  <c r="AO14" i="8"/>
  <c r="AN20" i="8"/>
  <c r="AO19" i="8"/>
  <c r="AP19" i="8"/>
  <c r="AR19" i="8" s="1"/>
  <c r="AM19" i="8"/>
  <c r="AP21" i="8"/>
  <c r="AR21" i="8" s="1"/>
  <c r="AN26" i="8"/>
  <c r="AO26" i="8"/>
  <c r="AM26" i="8"/>
  <c r="AN22" i="8"/>
  <c r="AM21" i="8"/>
  <c r="AN21" i="8"/>
  <c r="AM22" i="8"/>
  <c r="AE69" i="10"/>
  <c r="AE70" i="10" s="1"/>
  <c r="AF69" i="10"/>
  <c r="AF70" i="10" s="1"/>
  <c r="R70" i="10"/>
  <c r="U12" i="21"/>
  <c r="C29" i="21"/>
  <c r="AG65" i="10"/>
  <c r="R66" i="10"/>
  <c r="AE65" i="10"/>
  <c r="AE66" i="10" s="1"/>
  <c r="AD65" i="10"/>
  <c r="AD66" i="10" s="1"/>
  <c r="C19" i="21"/>
  <c r="C20" i="21" s="1"/>
  <c r="C21" i="21" s="1"/>
  <c r="J20" i="21"/>
  <c r="D19" i="21"/>
  <c r="D20" i="21" s="1"/>
  <c r="D21" i="21" s="1"/>
  <c r="U20" i="21"/>
  <c r="V11" i="21"/>
  <c r="J46" i="21"/>
  <c r="Y11" i="21"/>
  <c r="AA11" i="21" s="1"/>
  <c r="E19" i="21"/>
  <c r="E20" i="21" s="1"/>
  <c r="E21" i="21" s="1"/>
  <c r="D29" i="21"/>
  <c r="E29" i="21"/>
  <c r="V18" i="21"/>
  <c r="Y18" i="21"/>
  <c r="AA18" i="21" s="1"/>
  <c r="X18" i="21"/>
  <c r="W18" i="21"/>
  <c r="AA9" i="21"/>
  <c r="V9" i="21"/>
  <c r="W11" i="21"/>
  <c r="X46" i="21"/>
  <c r="W46" i="21"/>
  <c r="W9" i="21"/>
  <c r="W16" i="21"/>
  <c r="D28" i="21"/>
  <c r="X9" i="21"/>
  <c r="X12" i="21" s="1"/>
  <c r="J12" i="21"/>
  <c r="V16" i="21"/>
  <c r="C28" i="21"/>
  <c r="X16" i="21"/>
  <c r="E28" i="21"/>
  <c r="Y16" i="21"/>
  <c r="AE27" i="10"/>
  <c r="AE29" i="10" s="1"/>
  <c r="AD27" i="10"/>
  <c r="AD29" i="10" s="1"/>
  <c r="D29" i="10"/>
  <c r="D30" i="10" s="1"/>
  <c r="D18" i="10"/>
  <c r="D19" i="10" s="1"/>
  <c r="D20" i="10" s="1"/>
  <c r="E18" i="10"/>
  <c r="C18" i="10"/>
  <c r="C19" i="10" s="1"/>
  <c r="C20" i="10" s="1"/>
  <c r="R15" i="10"/>
  <c r="AG15" i="10" s="1"/>
  <c r="AI15" i="10" s="1"/>
  <c r="AC19" i="10"/>
  <c r="E47" i="10"/>
  <c r="R47" i="10" s="1"/>
  <c r="C48" i="10"/>
  <c r="D48" i="10"/>
  <c r="C49" i="10"/>
  <c r="E48" i="10"/>
  <c r="R48" i="10" s="1"/>
  <c r="D49" i="10"/>
  <c r="AF49" i="10"/>
  <c r="AF50" i="10" s="1"/>
  <c r="AG49" i="10"/>
  <c r="AD49" i="10"/>
  <c r="AD50" i="10" s="1"/>
  <c r="R40" i="10"/>
  <c r="AG61" i="10"/>
  <c r="R62" i="10"/>
  <c r="AF61" i="10"/>
  <c r="AF62" i="10" s="1"/>
  <c r="AD61" i="10"/>
  <c r="AD62" i="10" s="1"/>
  <c r="AG57" i="10"/>
  <c r="R58" i="10"/>
  <c r="AD57" i="10"/>
  <c r="AD58" i="10" s="1"/>
  <c r="AE57" i="10"/>
  <c r="AE58" i="10" s="1"/>
  <c r="AE53" i="10"/>
  <c r="AE54" i="10" s="1"/>
  <c r="R54" i="10"/>
  <c r="AG53" i="10"/>
  <c r="AF53" i="10"/>
  <c r="AF54" i="10" s="1"/>
  <c r="AD39" i="10"/>
  <c r="AE39" i="10"/>
  <c r="AG39" i="10"/>
  <c r="AI39" i="10" s="1"/>
  <c r="E58" i="9"/>
  <c r="D58" i="9"/>
  <c r="R8" i="8"/>
  <c r="J4" i="21" s="1"/>
  <c r="V4" i="21" s="1"/>
  <c r="Z116" i="8"/>
  <c r="Y116" i="8"/>
  <c r="X116" i="8"/>
  <c r="W116" i="8"/>
  <c r="AH116" i="8"/>
  <c r="AD116" i="8"/>
  <c r="AK29" i="9" l="1"/>
  <c r="Y29" i="9"/>
  <c r="Z29" i="9"/>
  <c r="AA29" i="9"/>
  <c r="J72" i="8"/>
  <c r="J73" i="8" s="1"/>
  <c r="J75" i="8" s="1"/>
  <c r="AE69" i="8"/>
  <c r="N72" i="8"/>
  <c r="N73" i="8" s="1"/>
  <c r="AI69" i="8"/>
  <c r="N75" i="8"/>
  <c r="J17" i="8"/>
  <c r="N17" i="8"/>
  <c r="M35" i="8"/>
  <c r="M30" i="10"/>
  <c r="C29" i="10"/>
  <c r="C30" i="10" s="1"/>
  <c r="E29" i="10"/>
  <c r="E30" i="10" s="1"/>
  <c r="AG27" i="10"/>
  <c r="AI27" i="10" s="1"/>
  <c r="AI69" i="10"/>
  <c r="AF17" i="10"/>
  <c r="R29" i="10"/>
  <c r="E19" i="10"/>
  <c r="E20" i="10" s="1"/>
  <c r="R18" i="10"/>
  <c r="AE17" i="10"/>
  <c r="AG17" i="10"/>
  <c r="AI17" i="10" s="1"/>
  <c r="J28" i="8"/>
  <c r="N28" i="8"/>
  <c r="I35" i="8"/>
  <c r="I32" i="8"/>
  <c r="G31" i="8"/>
  <c r="G30" i="10" s="1"/>
  <c r="G28" i="8"/>
  <c r="J35" i="8"/>
  <c r="J32" i="8"/>
  <c r="H35" i="8"/>
  <c r="H32" i="8"/>
  <c r="M28" i="8"/>
  <c r="N35" i="8"/>
  <c r="N32" i="8"/>
  <c r="L35" i="8"/>
  <c r="L32" i="8"/>
  <c r="K31" i="8"/>
  <c r="K30" i="10" s="1"/>
  <c r="K28" i="8"/>
  <c r="C30" i="21"/>
  <c r="C31" i="21" s="1"/>
  <c r="W12" i="21"/>
  <c r="Y12" i="21"/>
  <c r="AG66" i="10"/>
  <c r="AI66" i="10" s="1"/>
  <c r="AI65" i="10"/>
  <c r="V12" i="21"/>
  <c r="D30" i="21"/>
  <c r="D31" i="21" s="1"/>
  <c r="X20" i="21"/>
  <c r="W20" i="21"/>
  <c r="V20" i="21"/>
  <c r="Y20" i="21"/>
  <c r="AA16" i="21"/>
  <c r="Y46" i="21"/>
  <c r="AA46" i="21" s="1"/>
  <c r="J28" i="21"/>
  <c r="E30" i="21"/>
  <c r="E31" i="21" s="1"/>
  <c r="AD15" i="10"/>
  <c r="AD19" i="10" s="1"/>
  <c r="AE15" i="10"/>
  <c r="R19" i="10"/>
  <c r="AF15" i="10"/>
  <c r="C50" i="10"/>
  <c r="D50" i="10"/>
  <c r="R50" i="10"/>
  <c r="E50" i="10"/>
  <c r="AG50" i="10"/>
  <c r="AI50" i="10" s="1"/>
  <c r="AI49" i="10"/>
  <c r="AG62" i="10"/>
  <c r="AI62" i="10" s="1"/>
  <c r="AI61" i="10"/>
  <c r="AG58" i="10"/>
  <c r="AI58" i="10" s="1"/>
  <c r="AI57" i="10"/>
  <c r="AI53" i="10"/>
  <c r="AG54" i="10"/>
  <c r="AI54" i="10" s="1"/>
  <c r="H55" i="9"/>
  <c r="D55" i="9"/>
  <c r="I55" i="9"/>
  <c r="T55" i="9"/>
  <c r="C55" i="9"/>
  <c r="M55" i="9"/>
  <c r="E55" i="9"/>
  <c r="G55" i="9"/>
  <c r="Q55" i="9"/>
  <c r="L55" i="9"/>
  <c r="K55" i="9"/>
  <c r="O55" i="9"/>
  <c r="P55" i="9"/>
  <c r="S55" i="9"/>
  <c r="U55" i="9"/>
  <c r="O105" i="8"/>
  <c r="S105" i="8"/>
  <c r="R103" i="8"/>
  <c r="AO103" i="8" s="1"/>
  <c r="P105" i="8"/>
  <c r="AA116" i="8"/>
  <c r="AI116" i="8"/>
  <c r="AB116" i="8"/>
  <c r="AJ116" i="8"/>
  <c r="AC116" i="8"/>
  <c r="AK116" i="8"/>
  <c r="AE116" i="8"/>
  <c r="AF116" i="8"/>
  <c r="AG116" i="8"/>
  <c r="J39" i="8" l="1"/>
  <c r="J42" i="8"/>
  <c r="L42" i="8"/>
  <c r="L39" i="8"/>
  <c r="N39" i="8"/>
  <c r="N42" i="8"/>
  <c r="M99" i="8"/>
  <c r="M125" i="8" s="1"/>
  <c r="M42" i="8"/>
  <c r="M39" i="8"/>
  <c r="I39" i="8"/>
  <c r="I42" i="8"/>
  <c r="H39" i="8"/>
  <c r="H42" i="8"/>
  <c r="M36" i="8"/>
  <c r="AF19" i="10"/>
  <c r="AG29" i="10"/>
  <c r="AI29" i="10" s="1"/>
  <c r="AE19" i="10"/>
  <c r="AG19" i="10"/>
  <c r="AI19" i="10" s="1"/>
  <c r="H99" i="8"/>
  <c r="H125" i="8" s="1"/>
  <c r="H36" i="8"/>
  <c r="J99" i="8"/>
  <c r="J125" i="8" s="1"/>
  <c r="J36" i="8"/>
  <c r="I99" i="8"/>
  <c r="I125" i="8" s="1"/>
  <c r="I36" i="8"/>
  <c r="G35" i="8"/>
  <c r="G32" i="8"/>
  <c r="K35" i="8"/>
  <c r="K32" i="8"/>
  <c r="L99" i="8"/>
  <c r="L125" i="8" s="1"/>
  <c r="L36" i="8"/>
  <c r="N99" i="8"/>
  <c r="N125" i="8" s="1"/>
  <c r="N36" i="8"/>
  <c r="AA12" i="21"/>
  <c r="AA20" i="21"/>
  <c r="J30" i="21"/>
  <c r="V28" i="21"/>
  <c r="V30" i="21" s="1"/>
  <c r="Y28" i="21"/>
  <c r="X28" i="21"/>
  <c r="X30" i="21" s="1"/>
  <c r="W28" i="21"/>
  <c r="W30" i="21" s="1"/>
  <c r="AL104" i="8"/>
  <c r="AI46" i="9"/>
  <c r="R104" i="8"/>
  <c r="AO104" i="8" s="1"/>
  <c r="AL103" i="8"/>
  <c r="AM103" i="8"/>
  <c r="AP103" i="8"/>
  <c r="AN103" i="8"/>
  <c r="T105" i="8"/>
  <c r="Q105" i="8"/>
  <c r="U105" i="8"/>
  <c r="K39" i="8" l="1"/>
  <c r="K42" i="8"/>
  <c r="G42" i="8"/>
  <c r="G39" i="8"/>
  <c r="G99" i="8"/>
  <c r="G125" i="8" s="1"/>
  <c r="G126" i="8" s="1"/>
  <c r="G128" i="8" s="1"/>
  <c r="G36" i="8"/>
  <c r="K99" i="8"/>
  <c r="K125" i="8" s="1"/>
  <c r="K36" i="8"/>
  <c r="Y30" i="21"/>
  <c r="AA28" i="21"/>
  <c r="AR103" i="8"/>
  <c r="AR116" i="8"/>
  <c r="AP104" i="8"/>
  <c r="AR104" i="8" s="1"/>
  <c r="AN104" i="8"/>
  <c r="AF46" i="9"/>
  <c r="AH46" i="9"/>
  <c r="AG46" i="9"/>
  <c r="AE46" i="9"/>
  <c r="AM104" i="8"/>
  <c r="H120" i="8" l="1"/>
  <c r="H122" i="8" s="1"/>
  <c r="H126" i="8" s="1"/>
  <c r="H128" i="8" s="1"/>
  <c r="AA30" i="21"/>
  <c r="I120" i="8" l="1"/>
  <c r="I122" i="8" s="1"/>
  <c r="I126" i="8" s="1"/>
  <c r="I128" i="8" s="1"/>
  <c r="J120" i="8" l="1"/>
  <c r="J122" i="8" s="1"/>
  <c r="J126" i="8" s="1"/>
  <c r="J128" i="8" s="1"/>
  <c r="K120" i="8" l="1"/>
  <c r="K122" i="8" s="1"/>
  <c r="K126" i="8" s="1"/>
  <c r="K128" i="8" s="1"/>
  <c r="L120" i="8" l="1"/>
  <c r="L122" i="8" s="1"/>
  <c r="L126" i="8" s="1"/>
  <c r="L128" i="8" s="1"/>
  <c r="M120" i="8" l="1"/>
  <c r="M122" i="8" s="1"/>
  <c r="M126" i="8" s="1"/>
  <c r="M128" i="8" s="1"/>
  <c r="N120" i="8" l="1"/>
  <c r="N122" i="8" s="1"/>
  <c r="N126" i="8" s="1"/>
  <c r="N128" i="8" s="1"/>
  <c r="O120" i="8" l="1"/>
  <c r="AA50" i="8" l="1"/>
  <c r="B2" i="10"/>
  <c r="B2" i="9"/>
  <c r="AD10" i="10"/>
  <c r="AE7" i="9"/>
  <c r="AC10" i="10"/>
  <c r="E105" i="8"/>
  <c r="D105" i="8"/>
  <c r="C105" i="8"/>
  <c r="R87" i="8"/>
  <c r="R98" i="8"/>
  <c r="W98" i="8"/>
  <c r="R97" i="8"/>
  <c r="R96" i="8"/>
  <c r="R95" i="8"/>
  <c r="AJ95" i="8"/>
  <c r="R94" i="8"/>
  <c r="AF94" i="8"/>
  <c r="R102" i="8"/>
  <c r="AE66" i="8"/>
  <c r="AE65" i="8"/>
  <c r="AE64" i="8"/>
  <c r="AI65" i="9"/>
  <c r="U66" i="9"/>
  <c r="AI61" i="9"/>
  <c r="AI60" i="9"/>
  <c r="AI58" i="9"/>
  <c r="AI54" i="9"/>
  <c r="AI55" i="9" s="1"/>
  <c r="U4" i="9"/>
  <c r="AI4" i="9" s="1"/>
  <c r="U3" i="9"/>
  <c r="AI3" i="9" s="1"/>
  <c r="AD107" i="8"/>
  <c r="AC107" i="8"/>
  <c r="AB107" i="8"/>
  <c r="AA107" i="8"/>
  <c r="Z107" i="8"/>
  <c r="Y107" i="8"/>
  <c r="X107" i="8"/>
  <c r="W107" i="8"/>
  <c r="AD66" i="8"/>
  <c r="AC66" i="8"/>
  <c r="AB66" i="8"/>
  <c r="Z66" i="8"/>
  <c r="Y66" i="8"/>
  <c r="X66" i="8"/>
  <c r="AD65" i="8"/>
  <c r="AC65" i="8"/>
  <c r="AB65" i="8"/>
  <c r="Z65" i="8"/>
  <c r="Y65" i="8"/>
  <c r="X65" i="8"/>
  <c r="AD64" i="8"/>
  <c r="AC64" i="8"/>
  <c r="AB64" i="8"/>
  <c r="Z64" i="8"/>
  <c r="Y64" i="8"/>
  <c r="X64" i="8"/>
  <c r="AD57" i="8"/>
  <c r="AD62" i="8" s="1"/>
  <c r="AD73" i="8" s="1"/>
  <c r="AC57" i="8"/>
  <c r="AC62" i="8" s="1"/>
  <c r="AC73" i="8" s="1"/>
  <c r="AB57" i="8"/>
  <c r="AB62" i="8" s="1"/>
  <c r="AB73" i="8" s="1"/>
  <c r="Z57" i="8"/>
  <c r="Z62" i="8" s="1"/>
  <c r="Z73" i="8" s="1"/>
  <c r="Y57" i="8"/>
  <c r="Y62" i="8" s="1"/>
  <c r="Y73" i="8" s="1"/>
  <c r="X57" i="8"/>
  <c r="X62" i="8" s="1"/>
  <c r="X73" i="8" s="1"/>
  <c r="AD51" i="8"/>
  <c r="AC51" i="8"/>
  <c r="AB51" i="8"/>
  <c r="Z51" i="8"/>
  <c r="Y51" i="8"/>
  <c r="X51" i="8"/>
  <c r="AD50" i="8"/>
  <c r="AC50" i="8"/>
  <c r="AB50" i="8"/>
  <c r="Z50" i="8"/>
  <c r="Y50" i="8"/>
  <c r="X50" i="8"/>
  <c r="AD49" i="8"/>
  <c r="AC49" i="8"/>
  <c r="AB49" i="8"/>
  <c r="Z49" i="8"/>
  <c r="Y49" i="8"/>
  <c r="X49" i="8"/>
  <c r="AD8" i="8"/>
  <c r="AD80" i="8" s="1"/>
  <c r="AC8" i="8"/>
  <c r="AC80" i="8" s="1"/>
  <c r="AB8" i="8"/>
  <c r="AB80" i="8" s="1"/>
  <c r="AA8" i="8"/>
  <c r="AA80" i="8" s="1"/>
  <c r="Z8" i="8"/>
  <c r="Z80" i="8" s="1"/>
  <c r="Y8" i="8"/>
  <c r="Y80" i="8" s="1"/>
  <c r="X8" i="8"/>
  <c r="X80" i="8" s="1"/>
  <c r="W8" i="8"/>
  <c r="W80" i="8" s="1"/>
  <c r="AD7" i="8"/>
  <c r="AD79" i="8" s="1"/>
  <c r="AC7" i="8"/>
  <c r="AC79" i="8" s="1"/>
  <c r="AB7" i="8"/>
  <c r="AB79" i="8" s="1"/>
  <c r="AA7" i="8"/>
  <c r="AA79" i="8" s="1"/>
  <c r="Z7" i="8"/>
  <c r="Z79" i="8" s="1"/>
  <c r="Y7" i="8"/>
  <c r="Y79" i="8" s="1"/>
  <c r="X7" i="8"/>
  <c r="X79" i="8" s="1"/>
  <c r="W7" i="8"/>
  <c r="W45" i="8" s="1"/>
  <c r="R121" i="8"/>
  <c r="AO121" i="8" s="1"/>
  <c r="AL121" i="8"/>
  <c r="AG121" i="8"/>
  <c r="AD121" i="8"/>
  <c r="Z121" i="8"/>
  <c r="AP57" i="8"/>
  <c r="AP62" i="8" s="1"/>
  <c r="AN57" i="8"/>
  <c r="AN62" i="8" s="1"/>
  <c r="AL57" i="8"/>
  <c r="AL62" i="8" s="1"/>
  <c r="AK57" i="8"/>
  <c r="AK62" i="8" s="1"/>
  <c r="AK73" i="8" s="1"/>
  <c r="AJ57" i="8"/>
  <c r="AJ62" i="8" s="1"/>
  <c r="AJ73" i="8" s="1"/>
  <c r="AH57" i="8"/>
  <c r="AH62" i="8" s="1"/>
  <c r="AH73" i="8" s="1"/>
  <c r="AG57" i="8"/>
  <c r="AG62" i="8" s="1"/>
  <c r="AG73" i="8" s="1"/>
  <c r="AF57" i="8"/>
  <c r="AF62" i="8" s="1"/>
  <c r="AF73" i="8" s="1"/>
  <c r="AO57" i="8"/>
  <c r="AO62" i="8" s="1"/>
  <c r="AA57" i="8"/>
  <c r="AA62" i="8" s="1"/>
  <c r="AA73" i="8" s="1"/>
  <c r="W57" i="8"/>
  <c r="W62" i="8" s="1"/>
  <c r="W73" i="8" s="1"/>
  <c r="AP107" i="8"/>
  <c r="AP51" i="8"/>
  <c r="AP50" i="8"/>
  <c r="AP49" i="8"/>
  <c r="AP8" i="8"/>
  <c r="AP80" i="8" s="1"/>
  <c r="AP7" i="8"/>
  <c r="AP79" i="8" s="1"/>
  <c r="T4" i="10"/>
  <c r="AF4" i="10" s="1"/>
  <c r="S4" i="10"/>
  <c r="AE4" i="10" s="1"/>
  <c r="R4" i="10"/>
  <c r="AD4" i="10" s="1"/>
  <c r="Q4" i="10"/>
  <c r="AC4" i="10" s="1"/>
  <c r="P4" i="10"/>
  <c r="AB4" i="10" s="1"/>
  <c r="O4" i="10"/>
  <c r="AA4" i="10" s="1"/>
  <c r="Z4" i="10"/>
  <c r="Y4" i="10"/>
  <c r="X4" i="10"/>
  <c r="W4" i="10"/>
  <c r="T3" i="10"/>
  <c r="AF3" i="10" s="1"/>
  <c r="S3" i="10"/>
  <c r="AE3" i="10" s="1"/>
  <c r="R3" i="10"/>
  <c r="AD3" i="10" s="1"/>
  <c r="Q3" i="10"/>
  <c r="AC3" i="10" s="1"/>
  <c r="P3" i="10"/>
  <c r="AB3" i="10" s="1"/>
  <c r="O3" i="10"/>
  <c r="AA3" i="10" s="1"/>
  <c r="Z3" i="10"/>
  <c r="Y3" i="10"/>
  <c r="X3" i="10"/>
  <c r="W3" i="10"/>
  <c r="U4" i="10"/>
  <c r="AG4" i="10" s="1"/>
  <c r="U3" i="10"/>
  <c r="AG3" i="10" s="1"/>
  <c r="U80" i="8"/>
  <c r="U79" i="8"/>
  <c r="U72" i="8"/>
  <c r="U73" i="8" s="1"/>
  <c r="U46" i="8"/>
  <c r="U45" i="8"/>
  <c r="U11" i="8"/>
  <c r="U16" i="8" s="1"/>
  <c r="Q66" i="9"/>
  <c r="I66" i="9"/>
  <c r="H66" i="9"/>
  <c r="G66" i="9"/>
  <c r="E66" i="9"/>
  <c r="D66" i="9"/>
  <c r="C66" i="9"/>
  <c r="AB65" i="9"/>
  <c r="X65" i="9"/>
  <c r="AO107" i="8"/>
  <c r="AN107" i="8"/>
  <c r="AM107" i="8"/>
  <c r="AL107" i="8"/>
  <c r="AK107" i="8"/>
  <c r="AJ107" i="8"/>
  <c r="AI107" i="8"/>
  <c r="AH107" i="8"/>
  <c r="AG107" i="8"/>
  <c r="AF107" i="8"/>
  <c r="AE107" i="8"/>
  <c r="S117" i="8"/>
  <c r="AD109" i="8"/>
  <c r="R109" i="8"/>
  <c r="Z109" i="8"/>
  <c r="R108" i="8"/>
  <c r="AO108" i="8" s="1"/>
  <c r="AI108" i="8"/>
  <c r="AG108" i="8"/>
  <c r="AD108" i="8"/>
  <c r="Z108" i="8"/>
  <c r="E117" i="8"/>
  <c r="D117" i="8"/>
  <c r="C117" i="8"/>
  <c r="AH61" i="9"/>
  <c r="AG61" i="9"/>
  <c r="AE61" i="9"/>
  <c r="AD61" i="9"/>
  <c r="AC61" i="9"/>
  <c r="AA61" i="9"/>
  <c r="Z61" i="9"/>
  <c r="Y61" i="9"/>
  <c r="W61" i="9"/>
  <c r="AH60" i="9"/>
  <c r="AG60" i="9"/>
  <c r="AE60" i="9"/>
  <c r="AD60" i="9"/>
  <c r="AC60" i="9"/>
  <c r="AA60" i="9"/>
  <c r="Z60" i="9"/>
  <c r="Y60" i="9"/>
  <c r="W60" i="9"/>
  <c r="AH58" i="9"/>
  <c r="AG58" i="9"/>
  <c r="AE58" i="9"/>
  <c r="AD58" i="9"/>
  <c r="AC58" i="9"/>
  <c r="AA58" i="9"/>
  <c r="Z58" i="9"/>
  <c r="Y58" i="9"/>
  <c r="W58" i="9"/>
  <c r="AH54" i="9"/>
  <c r="AH55" i="9" s="1"/>
  <c r="AG54" i="9"/>
  <c r="AG55" i="9" s="1"/>
  <c r="AE54" i="9"/>
  <c r="AE55" i="9" s="1"/>
  <c r="AD54" i="9"/>
  <c r="AC54" i="9"/>
  <c r="AA54" i="9"/>
  <c r="Z54" i="9"/>
  <c r="Y54" i="9"/>
  <c r="W54" i="9"/>
  <c r="AG65" i="9"/>
  <c r="AE65" i="9"/>
  <c r="AD65" i="9"/>
  <c r="AC65" i="9"/>
  <c r="AA65" i="9"/>
  <c r="Z65" i="9"/>
  <c r="Y65" i="9"/>
  <c r="W65" i="9"/>
  <c r="AH65" i="9"/>
  <c r="AH4" i="9"/>
  <c r="AG4" i="9"/>
  <c r="AF4" i="9"/>
  <c r="AE4" i="9"/>
  <c r="AD4" i="9"/>
  <c r="AC4" i="9"/>
  <c r="AB4" i="9"/>
  <c r="AA4" i="9"/>
  <c r="Z4" i="9"/>
  <c r="Y4" i="9"/>
  <c r="X4" i="9"/>
  <c r="W4" i="9"/>
  <c r="AH3" i="9"/>
  <c r="AG3" i="9"/>
  <c r="AF3" i="9"/>
  <c r="AE3" i="9"/>
  <c r="AD3" i="9"/>
  <c r="AC3" i="9"/>
  <c r="AB3" i="9"/>
  <c r="AA3" i="9"/>
  <c r="Z3" i="9"/>
  <c r="Y3" i="9"/>
  <c r="X3" i="9"/>
  <c r="W3" i="9"/>
  <c r="E4" i="9"/>
  <c r="D4" i="9"/>
  <c r="C4" i="9"/>
  <c r="E3" i="9"/>
  <c r="D3" i="9"/>
  <c r="C3" i="9"/>
  <c r="AO34" i="8"/>
  <c r="R30" i="8"/>
  <c r="AO30" i="8" s="1"/>
  <c r="R13" i="8"/>
  <c r="R10" i="8"/>
  <c r="AN10" i="8" s="1"/>
  <c r="AK34" i="8"/>
  <c r="AJ30" i="8"/>
  <c r="AI10" i="8"/>
  <c r="AH10" i="8"/>
  <c r="AG30" i="8"/>
  <c r="AE34" i="8"/>
  <c r="AD34" i="8"/>
  <c r="AD30" i="8"/>
  <c r="AD13" i="8"/>
  <c r="Z34" i="8"/>
  <c r="Z30" i="8"/>
  <c r="Z13" i="8"/>
  <c r="R51" i="8"/>
  <c r="R50" i="8"/>
  <c r="R49" i="8"/>
  <c r="AI66" i="8"/>
  <c r="AI65" i="8"/>
  <c r="AI64" i="8"/>
  <c r="AK66" i="8"/>
  <c r="AJ66" i="8"/>
  <c r="AH66" i="8"/>
  <c r="AG66" i="8"/>
  <c r="AF66" i="8"/>
  <c r="AK65" i="8"/>
  <c r="AJ65" i="8"/>
  <c r="AH65" i="8"/>
  <c r="AG65" i="8"/>
  <c r="AF65" i="8"/>
  <c r="AK64" i="8"/>
  <c r="AJ64" i="8"/>
  <c r="AH64" i="8"/>
  <c r="AG64" i="8"/>
  <c r="AF64" i="8"/>
  <c r="AO51" i="8"/>
  <c r="AN51" i="8"/>
  <c r="AL51" i="8"/>
  <c r="AK51" i="8"/>
  <c r="AJ51" i="8"/>
  <c r="AH51" i="8"/>
  <c r="AG51" i="8"/>
  <c r="AF51" i="8"/>
  <c r="AO50" i="8"/>
  <c r="AN50" i="8"/>
  <c r="AL50" i="8"/>
  <c r="AK50" i="8"/>
  <c r="AJ50" i="8"/>
  <c r="AH50" i="8"/>
  <c r="AG50" i="8"/>
  <c r="AF50" i="8"/>
  <c r="AN49" i="8"/>
  <c r="AL49" i="8"/>
  <c r="AK49" i="8"/>
  <c r="AJ49" i="8"/>
  <c r="AH49" i="8"/>
  <c r="AG49" i="8"/>
  <c r="AF49" i="8"/>
  <c r="AA51" i="8"/>
  <c r="AA49" i="8"/>
  <c r="AA66" i="8"/>
  <c r="AA65" i="8"/>
  <c r="AA64" i="8"/>
  <c r="W66" i="8"/>
  <c r="W65" i="8"/>
  <c r="W64" i="8"/>
  <c r="W51" i="8"/>
  <c r="W50" i="8"/>
  <c r="W49" i="8"/>
  <c r="T80" i="8"/>
  <c r="S80" i="8"/>
  <c r="R80" i="8"/>
  <c r="Q80" i="8"/>
  <c r="P80" i="8"/>
  <c r="O80" i="8"/>
  <c r="T79" i="8"/>
  <c r="S79" i="8"/>
  <c r="R79" i="8"/>
  <c r="Q79" i="8"/>
  <c r="P79" i="8"/>
  <c r="O79" i="8"/>
  <c r="Q72" i="8"/>
  <c r="Q73" i="8" s="1"/>
  <c r="P72" i="8"/>
  <c r="P73" i="8" s="1"/>
  <c r="O72" i="8"/>
  <c r="O73" i="8" s="1"/>
  <c r="T46" i="8"/>
  <c r="S46" i="8"/>
  <c r="R46" i="8"/>
  <c r="Q46" i="8"/>
  <c r="P46" i="8"/>
  <c r="O46" i="8"/>
  <c r="T45" i="8"/>
  <c r="S45" i="8"/>
  <c r="R45" i="8"/>
  <c r="Q45" i="8"/>
  <c r="P45" i="8"/>
  <c r="O45" i="8"/>
  <c r="E46" i="8"/>
  <c r="D46" i="8"/>
  <c r="C46" i="8"/>
  <c r="E45" i="8"/>
  <c r="D45" i="8"/>
  <c r="C45" i="8"/>
  <c r="AO49" i="8"/>
  <c r="P11" i="8"/>
  <c r="P16" i="8" s="1"/>
  <c r="O11" i="8"/>
  <c r="O16" i="8" s="1"/>
  <c r="T11" i="8"/>
  <c r="AJ8" i="8"/>
  <c r="AI8" i="8"/>
  <c r="AH8" i="8"/>
  <c r="AG8" i="8"/>
  <c r="AF8" i="8"/>
  <c r="AE8" i="8"/>
  <c r="AJ7" i="8"/>
  <c r="AI7" i="8"/>
  <c r="AH7" i="8"/>
  <c r="AG7" i="8"/>
  <c r="AF7" i="8"/>
  <c r="AE7" i="8"/>
  <c r="AN8" i="8"/>
  <c r="AM8" i="8"/>
  <c r="AL8" i="8"/>
  <c r="AK8" i="8"/>
  <c r="AN7" i="8"/>
  <c r="AM7" i="8"/>
  <c r="AL7" i="8"/>
  <c r="AK7" i="8"/>
  <c r="AO8" i="8"/>
  <c r="AO7" i="8"/>
  <c r="D4" i="10"/>
  <c r="C4" i="10"/>
  <c r="D3" i="10"/>
  <c r="C3" i="10"/>
  <c r="E4" i="10"/>
  <c r="E3" i="10"/>
  <c r="AP87" i="8" l="1"/>
  <c r="AO87" i="8"/>
  <c r="AN87" i="8"/>
  <c r="AM87" i="8"/>
  <c r="AM94" i="8"/>
  <c r="AN94" i="8"/>
  <c r="AP94" i="8"/>
  <c r="AO94" i="8"/>
  <c r="R62" i="8"/>
  <c r="L13" i="21"/>
  <c r="T16" i="8"/>
  <c r="U27" i="8"/>
  <c r="U31" i="8" s="1"/>
  <c r="M13" i="21"/>
  <c r="O27" i="8"/>
  <c r="O31" i="8" s="1"/>
  <c r="G13" i="21"/>
  <c r="J21" i="21"/>
  <c r="R20" i="10"/>
  <c r="P27" i="8"/>
  <c r="H13" i="21"/>
  <c r="AE10" i="10"/>
  <c r="AR50" i="8"/>
  <c r="AR51" i="8"/>
  <c r="AP109" i="8"/>
  <c r="AR57" i="8"/>
  <c r="AL109" i="8"/>
  <c r="AE45" i="9"/>
  <c r="AF109" i="8"/>
  <c r="AR107" i="8"/>
  <c r="AO102" i="8"/>
  <c r="AP102" i="8"/>
  <c r="AM102" i="8"/>
  <c r="AN102" i="8"/>
  <c r="AE48" i="9"/>
  <c r="AR49" i="8"/>
  <c r="AL102" i="8"/>
  <c r="AE57" i="8"/>
  <c r="AE62" i="8" s="1"/>
  <c r="AE73" i="8" s="1"/>
  <c r="AI57" i="8"/>
  <c r="AI62" i="8" s="1"/>
  <c r="AI73" i="8" s="1"/>
  <c r="AM57" i="8"/>
  <c r="AM62" i="8" s="1"/>
  <c r="AE51" i="8"/>
  <c r="X58" i="9"/>
  <c r="AI51" i="8"/>
  <c r="AB58" i="9"/>
  <c r="AG13" i="8"/>
  <c r="AA12" i="9"/>
  <c r="AM50" i="8"/>
  <c r="AO13" i="8"/>
  <c r="W68" i="9"/>
  <c r="Y68" i="9"/>
  <c r="X61" i="9"/>
  <c r="AM51" i="8"/>
  <c r="AF58" i="9"/>
  <c r="AC68" i="9"/>
  <c r="X60" i="9"/>
  <c r="AD18" i="9"/>
  <c r="AF61" i="9"/>
  <c r="AI68" i="9"/>
  <c r="AE50" i="8"/>
  <c r="Z68" i="9"/>
  <c r="AA68" i="9"/>
  <c r="AB61" i="9"/>
  <c r="AF60" i="9"/>
  <c r="AI13" i="8"/>
  <c r="AE12" i="9"/>
  <c r="AD68" i="9"/>
  <c r="AE68" i="9"/>
  <c r="AE49" i="8"/>
  <c r="AI49" i="8"/>
  <c r="N55" i="9"/>
  <c r="AB60" i="9"/>
  <c r="X18" i="9"/>
  <c r="AC54" i="8"/>
  <c r="AC75" i="8" s="1"/>
  <c r="R105" i="8"/>
  <c r="AB54" i="8"/>
  <c r="AB75" i="8" s="1"/>
  <c r="W6" i="9"/>
  <c r="AF10" i="10"/>
  <c r="AG10" i="10"/>
  <c r="AI10" i="10" s="1"/>
  <c r="Z40" i="10"/>
  <c r="W40" i="10"/>
  <c r="X40" i="10"/>
  <c r="Y40" i="10"/>
  <c r="AA40" i="10"/>
  <c r="AD87" i="8"/>
  <c r="Z124" i="8"/>
  <c r="AB124" i="8"/>
  <c r="AA54" i="8"/>
  <c r="AA75" i="8" s="1"/>
  <c r="W108" i="8"/>
  <c r="W109" i="8"/>
  <c r="W121" i="8"/>
  <c r="Z96" i="8"/>
  <c r="Z97" i="8"/>
  <c r="X54" i="8"/>
  <c r="X75" i="8" s="1"/>
  <c r="AI66" i="9"/>
  <c r="Z98" i="8"/>
  <c r="X10" i="8"/>
  <c r="X11" i="8" s="1"/>
  <c r="Z54" i="8"/>
  <c r="Z75" i="8" s="1"/>
  <c r="W30" i="8"/>
  <c r="Y54" i="8"/>
  <c r="Y75" i="8" s="1"/>
  <c r="AD94" i="8"/>
  <c r="AD98" i="8"/>
  <c r="W13" i="8"/>
  <c r="W34" i="8"/>
  <c r="AD54" i="8"/>
  <c r="AD75" i="8" s="1"/>
  <c r="W95" i="8"/>
  <c r="W124" i="8"/>
  <c r="W96" i="8"/>
  <c r="W97" i="8"/>
  <c r="Y10" i="8"/>
  <c r="Y11" i="8" s="1"/>
  <c r="X13" i="8"/>
  <c r="X30" i="8"/>
  <c r="X34" i="8"/>
  <c r="X95" i="8"/>
  <c r="X96" i="8"/>
  <c r="X97" i="8"/>
  <c r="X98" i="8"/>
  <c r="X108" i="8"/>
  <c r="X109" i="8"/>
  <c r="X121" i="8"/>
  <c r="X124" i="8"/>
  <c r="W54" i="8"/>
  <c r="W75" i="8" s="1"/>
  <c r="Z10" i="8"/>
  <c r="Z11" i="8" s="1"/>
  <c r="Z16" i="8" s="1"/>
  <c r="Z27" i="8" s="1"/>
  <c r="Y13" i="8"/>
  <c r="Y30" i="8"/>
  <c r="Y34" i="8"/>
  <c r="Y95" i="8"/>
  <c r="Y96" i="8"/>
  <c r="Y97" i="8"/>
  <c r="Y98" i="8"/>
  <c r="Y108" i="8"/>
  <c r="Y109" i="8"/>
  <c r="Y121" i="8"/>
  <c r="Y124" i="8"/>
  <c r="AA10" i="8"/>
  <c r="AA11" i="8" s="1"/>
  <c r="AB10" i="8"/>
  <c r="AB11" i="8" s="1"/>
  <c r="AA13" i="8"/>
  <c r="AA30" i="8"/>
  <c r="AA34" i="8"/>
  <c r="AA87" i="8"/>
  <c r="AA94" i="8"/>
  <c r="AA98" i="8"/>
  <c r="AA108" i="8"/>
  <c r="AA109" i="8"/>
  <c r="AA121" i="8"/>
  <c r="AA124" i="8"/>
  <c r="AC10" i="8"/>
  <c r="AC11" i="8" s="1"/>
  <c r="AB13" i="8"/>
  <c r="AB30" i="8"/>
  <c r="AB34" i="8"/>
  <c r="AB87" i="8"/>
  <c r="AB94" i="8"/>
  <c r="AB98" i="8"/>
  <c r="AB108" i="8"/>
  <c r="AB109" i="8"/>
  <c r="AB121" i="8"/>
  <c r="AD10" i="8"/>
  <c r="AD11" i="8" s="1"/>
  <c r="AD16" i="8" s="1"/>
  <c r="AC13" i="8"/>
  <c r="AC30" i="8"/>
  <c r="AC34" i="8"/>
  <c r="AC87" i="8"/>
  <c r="AC94" i="8"/>
  <c r="AC98" i="8"/>
  <c r="AC108" i="8"/>
  <c r="AC109" i="8"/>
  <c r="AC121" i="8"/>
  <c r="AC124" i="8"/>
  <c r="W10" i="8"/>
  <c r="W11" i="8" s="1"/>
  <c r="W79" i="8"/>
  <c r="X45" i="8"/>
  <c r="X46" i="8"/>
  <c r="W46" i="8"/>
  <c r="Y45" i="8"/>
  <c r="Y46" i="8"/>
  <c r="Z45" i="8"/>
  <c r="Z46" i="8"/>
  <c r="AA45" i="8"/>
  <c r="AA46" i="8"/>
  <c r="AB45" i="8"/>
  <c r="AB46" i="8"/>
  <c r="AC45" i="8"/>
  <c r="AC46" i="8"/>
  <c r="AD45" i="8"/>
  <c r="AD46" i="8"/>
  <c r="AN121" i="8"/>
  <c r="AH121" i="8"/>
  <c r="AJ121" i="8"/>
  <c r="AM121" i="8"/>
  <c r="AI121" i="8"/>
  <c r="AK121" i="8"/>
  <c r="AP121" i="8"/>
  <c r="AE121" i="8"/>
  <c r="AF121" i="8"/>
  <c r="AD124" i="8"/>
  <c r="R124" i="8"/>
  <c r="AL97" i="8"/>
  <c r="AI97" i="8"/>
  <c r="AJ97" i="8"/>
  <c r="AN97" i="8"/>
  <c r="AK97" i="8"/>
  <c r="AC97" i="8"/>
  <c r="AE96" i="8"/>
  <c r="AH96" i="8"/>
  <c r="AG96" i="8"/>
  <c r="AF96" i="8"/>
  <c r="AJ96" i="8"/>
  <c r="AC96" i="8"/>
  <c r="AP96" i="8"/>
  <c r="AI96" i="8"/>
  <c r="AK96" i="8"/>
  <c r="AI98" i="8"/>
  <c r="AP98" i="8"/>
  <c r="AH98" i="8"/>
  <c r="AP95" i="8"/>
  <c r="U54" i="8"/>
  <c r="U75" i="8" s="1"/>
  <c r="AP72" i="8"/>
  <c r="AP73" i="8" s="1"/>
  <c r="AP54" i="8"/>
  <c r="AP10" i="8"/>
  <c r="AP108" i="8"/>
  <c r="AP30" i="8"/>
  <c r="AP13" i="8"/>
  <c r="AP34" i="8"/>
  <c r="AP45" i="8"/>
  <c r="AP46" i="8"/>
  <c r="AB66" i="9"/>
  <c r="AJ108" i="8"/>
  <c r="X66" i="9"/>
  <c r="L66" i="9"/>
  <c r="K66" i="9"/>
  <c r="S66" i="9"/>
  <c r="M66" i="9"/>
  <c r="O66" i="9"/>
  <c r="P66" i="9"/>
  <c r="AD66" i="9"/>
  <c r="W66" i="9"/>
  <c r="AE66" i="9"/>
  <c r="AA66" i="9"/>
  <c r="AG66" i="9"/>
  <c r="AC66" i="9"/>
  <c r="Z66" i="9"/>
  <c r="Y66" i="9"/>
  <c r="AH108" i="8"/>
  <c r="AH109" i="8"/>
  <c r="AF65" i="9"/>
  <c r="AK108" i="8"/>
  <c r="AL108" i="8"/>
  <c r="AE109" i="8"/>
  <c r="AG109" i="8"/>
  <c r="AI109" i="8"/>
  <c r="AE108" i="8"/>
  <c r="AM108" i="8"/>
  <c r="AJ109" i="8"/>
  <c r="AF108" i="8"/>
  <c r="AN108" i="8"/>
  <c r="AK109" i="8"/>
  <c r="AM109" i="8"/>
  <c r="AN109" i="8"/>
  <c r="AO109" i="8"/>
  <c r="T117" i="8"/>
  <c r="O117" i="8"/>
  <c r="P117" i="8"/>
  <c r="T54" i="8"/>
  <c r="Q54" i="8"/>
  <c r="P54" i="8"/>
  <c r="O54" i="8"/>
  <c r="W12" i="9"/>
  <c r="AD55" i="9"/>
  <c r="W55" i="9"/>
  <c r="AA62" i="9"/>
  <c r="AO95" i="8"/>
  <c r="AC55" i="9"/>
  <c r="W40" i="9"/>
  <c r="W62" i="9"/>
  <c r="Z55" i="9"/>
  <c r="Y55" i="9"/>
  <c r="AA55" i="9"/>
  <c r="W18" i="9"/>
  <c r="AI102" i="8"/>
  <c r="AH87" i="8"/>
  <c r="X102" i="8"/>
  <c r="Z95" i="8"/>
  <c r="AH95" i="8"/>
  <c r="AF87" i="8"/>
  <c r="AE87" i="8"/>
  <c r="AE94" i="8"/>
  <c r="AG95" i="8"/>
  <c r="AG87" i="8"/>
  <c r="X94" i="8"/>
  <c r="AK95" i="8"/>
  <c r="AG94" i="8"/>
  <c r="AL95" i="8"/>
  <c r="AH94" i="8"/>
  <c r="AE95" i="8"/>
  <c r="AM95" i="8"/>
  <c r="AF95" i="8"/>
  <c r="AN95" i="8"/>
  <c r="AI95" i="8"/>
  <c r="AF34" i="8"/>
  <c r="AG34" i="8"/>
  <c r="AE10" i="8"/>
  <c r="AF10" i="8"/>
  <c r="AG10" i="8"/>
  <c r="AH30" i="8"/>
  <c r="AL34" i="8"/>
  <c r="AM30" i="8"/>
  <c r="AJ10" i="8"/>
  <c r="AK10" i="8"/>
  <c r="AL10" i="8"/>
  <c r="AJ13" i="8"/>
  <c r="AK13" i="8"/>
  <c r="AN30" i="8"/>
  <c r="AI34" i="8"/>
  <c r="AL13" i="8"/>
  <c r="AE30" i="8"/>
  <c r="AL30" i="8"/>
  <c r="AH34" i="8"/>
  <c r="AE13" i="8"/>
  <c r="AH13" i="8"/>
  <c r="AK30" i="8"/>
  <c r="AF13" i="8"/>
  <c r="AF30" i="8"/>
  <c r="AJ34" i="8"/>
  <c r="AI30" i="8"/>
  <c r="AM34" i="8"/>
  <c r="AN34" i="8"/>
  <c r="AO10" i="8"/>
  <c r="AM10" i="8"/>
  <c r="AM13" i="8"/>
  <c r="AN13" i="8"/>
  <c r="R54" i="8"/>
  <c r="AI50" i="8"/>
  <c r="AM49" i="8"/>
  <c r="O17" i="8"/>
  <c r="AP75" i="8" l="1"/>
  <c r="U17" i="8"/>
  <c r="P17" i="8"/>
  <c r="U35" i="8"/>
  <c r="M31" i="21"/>
  <c r="U30" i="10"/>
  <c r="U28" i="8"/>
  <c r="Y21" i="21"/>
  <c r="AG20" i="10"/>
  <c r="AA20" i="10"/>
  <c r="S21" i="21"/>
  <c r="P21" i="21"/>
  <c r="X20" i="10"/>
  <c r="O35" i="8"/>
  <c r="O30" i="10"/>
  <c r="G31" i="21"/>
  <c r="AC20" i="10"/>
  <c r="U21" i="21"/>
  <c r="V21" i="21"/>
  <c r="AD20" i="10"/>
  <c r="R21" i="21"/>
  <c r="Z20" i="10"/>
  <c r="AF20" i="10"/>
  <c r="X21" i="21"/>
  <c r="AE20" i="10"/>
  <c r="W21" i="21"/>
  <c r="T21" i="21"/>
  <c r="AB20" i="10"/>
  <c r="Q21" i="21"/>
  <c r="Y20" i="10"/>
  <c r="O21" i="21"/>
  <c r="W20" i="10"/>
  <c r="AH7" i="9"/>
  <c r="AI7" i="9"/>
  <c r="AK7" i="9" s="1"/>
  <c r="AG7" i="9"/>
  <c r="AF7" i="9"/>
  <c r="U11" i="10"/>
  <c r="U12" i="10" s="1"/>
  <c r="U8" i="9"/>
  <c r="AR108" i="8"/>
  <c r="AR94" i="8"/>
  <c r="AR95" i="8"/>
  <c r="AF45" i="9"/>
  <c r="AI45" i="9"/>
  <c r="AG45" i="9"/>
  <c r="AH45" i="9"/>
  <c r="AP11" i="8"/>
  <c r="Y13" i="21" s="1"/>
  <c r="AR10" i="8"/>
  <c r="AR109" i="8"/>
  <c r="AR34" i="8"/>
  <c r="AR13" i="8"/>
  <c r="AI48" i="9"/>
  <c r="AH48" i="9"/>
  <c r="AG48" i="9"/>
  <c r="AF48" i="9"/>
  <c r="AR102" i="8"/>
  <c r="AR30" i="8"/>
  <c r="R55" i="9"/>
  <c r="J55" i="9"/>
  <c r="AF54" i="9"/>
  <c r="AF55" i="9" s="1"/>
  <c r="AD69" i="9"/>
  <c r="AD78" i="9" s="1"/>
  <c r="AC69" i="9"/>
  <c r="AC78" i="9" s="1"/>
  <c r="U69" i="9"/>
  <c r="U78" i="9" s="1"/>
  <c r="AI41" i="9"/>
  <c r="AE41" i="9"/>
  <c r="X68" i="9"/>
  <c r="X69" i="9" s="1"/>
  <c r="X78" i="9" s="1"/>
  <c r="AA69" i="9"/>
  <c r="AA78" i="9" s="1"/>
  <c r="Y63" i="9"/>
  <c r="AA63" i="9"/>
  <c r="AI63" i="9"/>
  <c r="AE69" i="9"/>
  <c r="AE78" i="9" s="1"/>
  <c r="Z63" i="9"/>
  <c r="W63" i="9"/>
  <c r="W69" i="9"/>
  <c r="W78" i="9" s="1"/>
  <c r="AI69" i="9"/>
  <c r="AI78" i="9" s="1"/>
  <c r="AB68" i="9"/>
  <c r="AB69" i="9" s="1"/>
  <c r="AB78" i="9" s="1"/>
  <c r="X63" i="9"/>
  <c r="X62" i="9"/>
  <c r="Z69" i="9"/>
  <c r="Z78" i="9" s="1"/>
  <c r="Y69" i="9"/>
  <c r="Y78" i="9" s="1"/>
  <c r="AC40" i="10"/>
  <c r="AF40" i="10"/>
  <c r="AG40" i="10"/>
  <c r="AE40" i="10"/>
  <c r="AD40" i="10"/>
  <c r="AB40" i="10"/>
  <c r="X105" i="8"/>
  <c r="Z17" i="8"/>
  <c r="AB16" i="8"/>
  <c r="AB17" i="8" s="1"/>
  <c r="AD27" i="8"/>
  <c r="AD31" i="8" s="1"/>
  <c r="W16" i="8"/>
  <c r="W17" i="8" s="1"/>
  <c r="X16" i="8"/>
  <c r="X17" i="8" s="1"/>
  <c r="AD17" i="8"/>
  <c r="Y16" i="8"/>
  <c r="Y27" i="8" s="1"/>
  <c r="Y28" i="8" s="1"/>
  <c r="AH12" i="9"/>
  <c r="AI12" i="9"/>
  <c r="AH18" i="9"/>
  <c r="AI18" i="9"/>
  <c r="AI62" i="9"/>
  <c r="AI39" i="9"/>
  <c r="AA97" i="8"/>
  <c r="Z87" i="8"/>
  <c r="AA96" i="8"/>
  <c r="Y102" i="8"/>
  <c r="Y105" i="8" s="1"/>
  <c r="AB102" i="8"/>
  <c r="AB105" i="8" s="1"/>
  <c r="Y94" i="8"/>
  <c r="AA16" i="8"/>
  <c r="AD95" i="8"/>
  <c r="W94" i="8"/>
  <c r="Z94" i="8"/>
  <c r="Z102" i="8"/>
  <c r="Z105" i="8" s="1"/>
  <c r="W102" i="8"/>
  <c r="W105" i="8" s="1"/>
  <c r="AD96" i="8"/>
  <c r="AB96" i="8"/>
  <c r="AD97" i="8"/>
  <c r="AB97" i="8"/>
  <c r="AC16" i="8"/>
  <c r="Z31" i="8"/>
  <c r="Z28" i="8"/>
  <c r="AM124" i="8"/>
  <c r="AO124" i="8"/>
  <c r="AP124" i="8"/>
  <c r="AG124" i="8"/>
  <c r="AN124" i="8"/>
  <c r="AL96" i="8"/>
  <c r="AR96" i="8" s="1"/>
  <c r="U117" i="8"/>
  <c r="AM97" i="8"/>
  <c r="AH97" i="8"/>
  <c r="AG97" i="8"/>
  <c r="AF97" i="8"/>
  <c r="AP97" i="8"/>
  <c r="AR97" i="8" s="1"/>
  <c r="AO97" i="8"/>
  <c r="AE97" i="8"/>
  <c r="AN96" i="8"/>
  <c r="AM96" i="8"/>
  <c r="AO96" i="8"/>
  <c r="AK98" i="8"/>
  <c r="AJ98" i="8"/>
  <c r="AL98" i="8"/>
  <c r="AR98" i="8" s="1"/>
  <c r="AG98" i="8"/>
  <c r="AO98" i="8"/>
  <c r="AF98" i="8"/>
  <c r="AE98" i="8"/>
  <c r="AN98" i="8"/>
  <c r="AM98" i="8"/>
  <c r="J66" i="9"/>
  <c r="U32" i="8"/>
  <c r="N66" i="9"/>
  <c r="AI47" i="9"/>
  <c r="AF66" i="9"/>
  <c r="R66" i="9"/>
  <c r="AH66" i="9"/>
  <c r="T66" i="9"/>
  <c r="AD33" i="9"/>
  <c r="Q117" i="8"/>
  <c r="X54" i="9"/>
  <c r="X55" i="9" s="1"/>
  <c r="AB54" i="9"/>
  <c r="AB55" i="9" s="1"/>
  <c r="W8" i="9"/>
  <c r="Z62" i="9"/>
  <c r="AH62" i="9"/>
  <c r="AE62" i="9"/>
  <c r="AD62" i="9"/>
  <c r="Y62" i="9"/>
  <c r="AC62" i="9"/>
  <c r="P75" i="8"/>
  <c r="O75" i="8"/>
  <c r="Q75" i="8"/>
  <c r="AG18" i="9"/>
  <c r="W33" i="9"/>
  <c r="AF18" i="9"/>
  <c r="AD12" i="9"/>
  <c r="AC40" i="9"/>
  <c r="AA42" i="9"/>
  <c r="AC12" i="9"/>
  <c r="AE18" i="9"/>
  <c r="AF40" i="9"/>
  <c r="AG39" i="9"/>
  <c r="AI42" i="9"/>
  <c r="AG12" i="9"/>
  <c r="AB62" i="9"/>
  <c r="W42" i="9"/>
  <c r="AD40" i="9"/>
  <c r="AA41" i="9"/>
  <c r="Z12" i="9"/>
  <c r="Y12" i="9"/>
  <c r="AH39" i="9"/>
  <c r="AF12" i="9"/>
  <c r="AB12" i="9"/>
  <c r="AF62" i="9"/>
  <c r="AA18" i="9"/>
  <c r="Z18" i="9"/>
  <c r="AC18" i="9"/>
  <c r="AB18" i="9"/>
  <c r="AE40" i="9"/>
  <c r="X12" i="9"/>
  <c r="AF39" i="9"/>
  <c r="AE47" i="9"/>
  <c r="Y18" i="9"/>
  <c r="AB40" i="9"/>
  <c r="AK102" i="8"/>
  <c r="AJ102" i="8"/>
  <c r="AI94" i="8"/>
  <c r="AK94" i="8"/>
  <c r="AJ94" i="8"/>
  <c r="AA39" i="9"/>
  <c r="P28" i="8"/>
  <c r="P31" i="8"/>
  <c r="O28" i="8"/>
  <c r="U15" i="9" l="1"/>
  <c r="U26" i="9" s="1"/>
  <c r="U30" i="9" s="1"/>
  <c r="U36" i="9" s="1"/>
  <c r="O99" i="8"/>
  <c r="O125" i="8" s="1"/>
  <c r="O42" i="8"/>
  <c r="O39" i="8"/>
  <c r="U42" i="8"/>
  <c r="U39" i="8"/>
  <c r="AP16" i="8"/>
  <c r="AP17" i="8" s="1"/>
  <c r="H31" i="21"/>
  <c r="P30" i="10"/>
  <c r="AG41" i="9"/>
  <c r="AH41" i="9"/>
  <c r="AF41" i="9"/>
  <c r="AK41" i="9"/>
  <c r="AC41" i="9"/>
  <c r="AD41" i="9"/>
  <c r="AB41" i="9"/>
  <c r="AH40" i="9"/>
  <c r="AB63" i="9"/>
  <c r="AC63" i="9"/>
  <c r="AG40" i="9"/>
  <c r="AE63" i="9"/>
  <c r="AD63" i="9"/>
  <c r="AI40" i="10"/>
  <c r="X6" i="9"/>
  <c r="X8" i="9" s="1"/>
  <c r="X15" i="9" s="1"/>
  <c r="X26" i="9" s="1"/>
  <c r="X30" i="9" s="1"/>
  <c r="AD6" i="9"/>
  <c r="AD8" i="9" s="1"/>
  <c r="AM105" i="8"/>
  <c r="AO105" i="8"/>
  <c r="AN105" i="8"/>
  <c r="AP105" i="8"/>
  <c r="AD28" i="8"/>
  <c r="X27" i="8"/>
  <c r="X31" i="8" s="1"/>
  <c r="X35" i="8" s="1"/>
  <c r="Y17" i="8"/>
  <c r="W27" i="8"/>
  <c r="W31" i="8" s="1"/>
  <c r="W32" i="8" s="1"/>
  <c r="Y31" i="8"/>
  <c r="Y35" i="8" s="1"/>
  <c r="AB27" i="8"/>
  <c r="AB31" i="8" s="1"/>
  <c r="AB35" i="8" s="1"/>
  <c r="AC95" i="8"/>
  <c r="W117" i="8"/>
  <c r="AK18" i="9"/>
  <c r="W87" i="8"/>
  <c r="AC102" i="8"/>
  <c r="AC105" i="8" s="1"/>
  <c r="AB95" i="8"/>
  <c r="AA95" i="8"/>
  <c r="AK12" i="9"/>
  <c r="AD117" i="8"/>
  <c r="Y87" i="8"/>
  <c r="AC17" i="8"/>
  <c r="AC27" i="8"/>
  <c r="AA17" i="8"/>
  <c r="AA27" i="8"/>
  <c r="AD102" i="8"/>
  <c r="AD105" i="8" s="1"/>
  <c r="AA102" i="8"/>
  <c r="AA105" i="8" s="1"/>
  <c r="X87" i="8"/>
  <c r="Z35" i="8"/>
  <c r="Z32" i="8"/>
  <c r="AD35" i="8"/>
  <c r="AD32" i="8"/>
  <c r="AF124" i="8"/>
  <c r="AG117" i="8"/>
  <c r="AK124" i="8"/>
  <c r="AH124" i="8"/>
  <c r="AE124" i="8"/>
  <c r="AH42" i="9"/>
  <c r="P32" i="8"/>
  <c r="P35" i="8"/>
  <c r="AO117" i="8"/>
  <c r="AP117" i="8"/>
  <c r="U36" i="8"/>
  <c r="AH47" i="9"/>
  <c r="AG47" i="9"/>
  <c r="AD47" i="9"/>
  <c r="AF47" i="9"/>
  <c r="AB33" i="9"/>
  <c r="AK105" i="8"/>
  <c r="AC33" i="9"/>
  <c r="AM117" i="8"/>
  <c r="AE117" i="8"/>
  <c r="AK117" i="8"/>
  <c r="AF117" i="8"/>
  <c r="AN117" i="8"/>
  <c r="W15" i="9"/>
  <c r="W26" i="9" s="1"/>
  <c r="W30" i="9" s="1"/>
  <c r="R117" i="8"/>
  <c r="AK87" i="8"/>
  <c r="AG42" i="9"/>
  <c r="AI87" i="8"/>
  <c r="AR87" i="8"/>
  <c r="AJ87" i="8"/>
  <c r="AF42" i="9"/>
  <c r="AL105" i="8"/>
  <c r="AJ105" i="8"/>
  <c r="AI105" i="8"/>
  <c r="Z39" i="9"/>
  <c r="Y39" i="9"/>
  <c r="W39" i="9"/>
  <c r="X39" i="9"/>
  <c r="Z41" i="9"/>
  <c r="Y41" i="9"/>
  <c r="W41" i="9"/>
  <c r="X41" i="9"/>
  <c r="Z42" i="9"/>
  <c r="X42" i="9"/>
  <c r="Y42" i="9"/>
  <c r="AA40" i="9"/>
  <c r="Y40" i="9"/>
  <c r="Z40" i="9"/>
  <c r="X40" i="9"/>
  <c r="AD39" i="9"/>
  <c r="AC39" i="9"/>
  <c r="AE39" i="9"/>
  <c r="AK39" i="9" s="1"/>
  <c r="AB39" i="9"/>
  <c r="AE42" i="9"/>
  <c r="AK42" i="9" s="1"/>
  <c r="AB42" i="9"/>
  <c r="AC42" i="9"/>
  <c r="AD42" i="9"/>
  <c r="AH102" i="8"/>
  <c r="AH105" i="8" s="1"/>
  <c r="AF102" i="8"/>
  <c r="AF105" i="8" s="1"/>
  <c r="AG102" i="8"/>
  <c r="AG105" i="8" s="1"/>
  <c r="AE102" i="8"/>
  <c r="AE105" i="8" s="1"/>
  <c r="O32" i="8"/>
  <c r="U16" i="9" l="1"/>
  <c r="U27" i="9"/>
  <c r="P99" i="8"/>
  <c r="P125" i="8" s="1"/>
  <c r="P39" i="8"/>
  <c r="P42" i="8"/>
  <c r="Z42" i="8"/>
  <c r="Z39" i="8"/>
  <c r="X39" i="8"/>
  <c r="X42" i="8"/>
  <c r="Y39" i="8"/>
  <c r="Y42" i="8"/>
  <c r="AD42" i="8"/>
  <c r="AD39" i="8"/>
  <c r="AB42" i="8"/>
  <c r="AB39" i="8"/>
  <c r="AE6" i="9"/>
  <c r="AE8" i="9" s="1"/>
  <c r="AE15" i="9" s="1"/>
  <c r="AB6" i="9"/>
  <c r="AB8" i="9" s="1"/>
  <c r="AB15" i="9" s="1"/>
  <c r="AB26" i="9" s="1"/>
  <c r="Z6" i="9"/>
  <c r="Z8" i="9" s="1"/>
  <c r="Z15" i="9" s="1"/>
  <c r="Z26" i="9" s="1"/>
  <c r="AC6" i="9"/>
  <c r="AC8" i="9" s="1"/>
  <c r="AC15" i="9" s="1"/>
  <c r="Y6" i="9"/>
  <c r="Y8" i="9" s="1"/>
  <c r="Y15" i="9" s="1"/>
  <c r="AA6" i="9"/>
  <c r="AA8" i="9" s="1"/>
  <c r="AA15" i="9" s="1"/>
  <c r="AF9" i="10"/>
  <c r="AR105" i="8"/>
  <c r="AP27" i="8"/>
  <c r="AI40" i="9"/>
  <c r="AK40" i="9" s="1"/>
  <c r="AG9" i="10"/>
  <c r="AD9" i="10"/>
  <c r="AE9" i="10"/>
  <c r="AC9" i="10"/>
  <c r="AB9" i="10"/>
  <c r="AA9" i="10"/>
  <c r="Z9" i="10"/>
  <c r="Y9" i="10"/>
  <c r="X9" i="10"/>
  <c r="W9" i="10"/>
  <c r="AB117" i="8"/>
  <c r="AD15" i="9"/>
  <c r="X117" i="8"/>
  <c r="AB32" i="8"/>
  <c r="X32" i="8"/>
  <c r="X28" i="8"/>
  <c r="W35" i="8"/>
  <c r="W28" i="8"/>
  <c r="Y32" i="8"/>
  <c r="AB28" i="8"/>
  <c r="Y117" i="8"/>
  <c r="AC117" i="8"/>
  <c r="Z117" i="8"/>
  <c r="AK33" i="9"/>
  <c r="X16" i="9"/>
  <c r="U31" i="9"/>
  <c r="AA31" i="8"/>
  <c r="AA28" i="8"/>
  <c r="AA117" i="8"/>
  <c r="AC28" i="8"/>
  <c r="AC31" i="8"/>
  <c r="AB36" i="8"/>
  <c r="AD36" i="8"/>
  <c r="Y36" i="8"/>
  <c r="Z36" i="8"/>
  <c r="X36" i="8"/>
  <c r="AI124" i="8"/>
  <c r="AH117" i="8"/>
  <c r="AL124" i="8"/>
  <c r="AJ124" i="8"/>
  <c r="AA33" i="9"/>
  <c r="Z33" i="9"/>
  <c r="Y33" i="9"/>
  <c r="X33" i="9"/>
  <c r="U99" i="8"/>
  <c r="U125" i="8" s="1"/>
  <c r="AI117" i="8"/>
  <c r="AL117" i="8"/>
  <c r="AR117" i="8" s="1"/>
  <c r="AJ117" i="8"/>
  <c r="W16" i="9"/>
  <c r="P36" i="8"/>
  <c r="O36" i="8"/>
  <c r="Z27" i="9" l="1"/>
  <c r="Z30" i="9"/>
  <c r="AB27" i="9"/>
  <c r="AB30" i="9"/>
  <c r="W42" i="8"/>
  <c r="W39" i="8"/>
  <c r="AB9" i="9"/>
  <c r="AB16" i="9"/>
  <c r="AD9" i="9"/>
  <c r="Z16" i="9"/>
  <c r="AF6" i="9"/>
  <c r="AF8" i="9" s="1"/>
  <c r="AF15" i="9" s="1"/>
  <c r="AH6" i="9"/>
  <c r="AG6" i="9"/>
  <c r="AG8" i="9" s="1"/>
  <c r="AI6" i="9"/>
  <c r="AP28" i="8"/>
  <c r="AP31" i="8"/>
  <c r="AD16" i="9"/>
  <c r="AD26" i="9"/>
  <c r="AC26" i="9"/>
  <c r="Y16" i="9"/>
  <c r="Y26" i="9"/>
  <c r="AA26" i="9"/>
  <c r="AE26" i="9"/>
  <c r="AE30" i="9" s="1"/>
  <c r="AE36" i="9" s="1"/>
  <c r="AE16" i="9"/>
  <c r="AA9" i="9"/>
  <c r="AE9" i="9"/>
  <c r="AC9" i="9"/>
  <c r="AA16" i="9"/>
  <c r="W36" i="8"/>
  <c r="AC16" i="9"/>
  <c r="U37" i="9"/>
  <c r="U43" i="9"/>
  <c r="U49" i="9" s="1"/>
  <c r="AC32" i="8"/>
  <c r="AC35" i="8"/>
  <c r="AA35" i="8"/>
  <c r="AA32" i="8"/>
  <c r="X36" i="9"/>
  <c r="X75" i="9" s="1"/>
  <c r="X27" i="9"/>
  <c r="X31" i="9"/>
  <c r="W36" i="9"/>
  <c r="W75" i="9" s="1"/>
  <c r="W27" i="9"/>
  <c r="Y30" i="9" l="1"/>
  <c r="Y36" i="9" s="1"/>
  <c r="AC27" i="9"/>
  <c r="AC30" i="9"/>
  <c r="AA27" i="9"/>
  <c r="AA30" i="9"/>
  <c r="AD27" i="9"/>
  <c r="AD30" i="9"/>
  <c r="AD36" i="9" s="1"/>
  <c r="AD75" i="9" s="1"/>
  <c r="AE27" i="9"/>
  <c r="AE75" i="9"/>
  <c r="AG9" i="9"/>
  <c r="AG15" i="9"/>
  <c r="AG26" i="9" s="1"/>
  <c r="AG30" i="9" s="1"/>
  <c r="AG36" i="9" s="1"/>
  <c r="AA39" i="8"/>
  <c r="AA42" i="8"/>
  <c r="AC39" i="8"/>
  <c r="AC42" i="8"/>
  <c r="AG30" i="10"/>
  <c r="Y31" i="21"/>
  <c r="AK6" i="9"/>
  <c r="AI8" i="9"/>
  <c r="AI15" i="9" s="1"/>
  <c r="AF9" i="9"/>
  <c r="AP35" i="8"/>
  <c r="AP32" i="8"/>
  <c r="AC36" i="9"/>
  <c r="AC37" i="9" s="1"/>
  <c r="Y27" i="9"/>
  <c r="U50" i="9"/>
  <c r="AC36" i="8"/>
  <c r="AA36" i="8"/>
  <c r="X37" i="9"/>
  <c r="X76" i="9" a="1"/>
  <c r="X76" i="9" s="1"/>
  <c r="X77" i="9" a="1"/>
  <c r="X77" i="9" s="1"/>
  <c r="X73" i="9"/>
  <c r="X74" i="9"/>
  <c r="X43" i="9"/>
  <c r="AB31" i="9"/>
  <c r="AB36" i="9"/>
  <c r="Z31" i="9"/>
  <c r="Z36" i="9"/>
  <c r="Z75" i="9" s="1"/>
  <c r="W31" i="9"/>
  <c r="AI83" i="8"/>
  <c r="AJ83" i="8"/>
  <c r="AK83" i="8"/>
  <c r="Y75" i="9" l="1"/>
  <c r="Y37" i="9"/>
  <c r="Y76" i="9" a="1"/>
  <c r="Y76" i="9" s="1"/>
  <c r="Y77" i="9" a="1"/>
  <c r="Y77" i="9" s="1"/>
  <c r="Y74" i="9"/>
  <c r="Y73" i="9"/>
  <c r="Y43" i="9"/>
  <c r="Y31" i="9"/>
  <c r="AP42" i="8"/>
  <c r="AP39" i="8"/>
  <c r="AG16" i="9"/>
  <c r="AE77" i="9" a="1"/>
  <c r="AE77" i="9" s="1"/>
  <c r="AF26" i="9"/>
  <c r="AF30" i="9" s="1"/>
  <c r="AF36" i="9" s="1"/>
  <c r="AF16" i="9"/>
  <c r="AK8" i="9"/>
  <c r="AI9" i="9"/>
  <c r="AK9" i="9" s="1"/>
  <c r="AC43" i="9"/>
  <c r="AC76" i="9" a="1"/>
  <c r="AC76" i="9" s="1"/>
  <c r="AC31" i="9"/>
  <c r="AC77" i="9" a="1"/>
  <c r="AC77" i="9" s="1"/>
  <c r="AC75" i="9"/>
  <c r="AE74" i="9"/>
  <c r="AE37" i="9"/>
  <c r="AE73" i="9"/>
  <c r="AE76" i="9" a="1"/>
  <c r="AE76" i="9" s="1"/>
  <c r="AE43" i="9"/>
  <c r="AE31" i="9"/>
  <c r="AP36" i="8"/>
  <c r="AC74" i="9"/>
  <c r="AC73" i="9"/>
  <c r="AD77" i="9" a="1"/>
  <c r="AD77" i="9" s="1"/>
  <c r="AD31" i="9"/>
  <c r="AA36" i="9"/>
  <c r="AA31" i="9"/>
  <c r="AG27" i="9"/>
  <c r="AJ125" i="8"/>
  <c r="AK125" i="8"/>
  <c r="AI125" i="8"/>
  <c r="AB77" i="9" a="1"/>
  <c r="AB77" i="9" s="1"/>
  <c r="AB75" i="9"/>
  <c r="Z74" i="9"/>
  <c r="Z73" i="9"/>
  <c r="AB76" i="9" a="1"/>
  <c r="AB76" i="9" s="1"/>
  <c r="Z37" i="9"/>
  <c r="Z77" i="9" a="1"/>
  <c r="Z77" i="9" s="1"/>
  <c r="Z76" i="9" a="1"/>
  <c r="Z76" i="9" s="1"/>
  <c r="AB74" i="9"/>
  <c r="Z43" i="9"/>
  <c r="AD74" i="9"/>
  <c r="AD73" i="9"/>
  <c r="AD76" i="9" a="1"/>
  <c r="AD76" i="9" s="1"/>
  <c r="AB37" i="9"/>
  <c r="AD43" i="9"/>
  <c r="AB43" i="9"/>
  <c r="AD37" i="9"/>
  <c r="AB73" i="9"/>
  <c r="W37" i="9"/>
  <c r="W73" i="9"/>
  <c r="W74" i="9"/>
  <c r="W77" i="9" a="1"/>
  <c r="W77" i="9" s="1"/>
  <c r="W43" i="9"/>
  <c r="W76" i="9" a="1"/>
  <c r="W76" i="9" s="1"/>
  <c r="B80" i="8"/>
  <c r="B79" i="8"/>
  <c r="E80" i="8"/>
  <c r="D80" i="8"/>
  <c r="C80" i="8"/>
  <c r="E79" i="8"/>
  <c r="D79" i="8"/>
  <c r="C79" i="8"/>
  <c r="B46" i="8"/>
  <c r="B45" i="8"/>
  <c r="AO46" i="8"/>
  <c r="AN46" i="8"/>
  <c r="AM46" i="8"/>
  <c r="AK46" i="8"/>
  <c r="AJ46" i="8"/>
  <c r="AI46" i="8"/>
  <c r="AG46" i="8"/>
  <c r="AF46" i="8"/>
  <c r="AE46" i="8"/>
  <c r="AL46" i="8"/>
  <c r="AH46" i="8"/>
  <c r="AO45" i="8"/>
  <c r="AN45" i="8"/>
  <c r="AM45" i="8"/>
  <c r="AL45" i="8"/>
  <c r="AK45" i="8"/>
  <c r="AJ45" i="8"/>
  <c r="AI45" i="8"/>
  <c r="AH45" i="8"/>
  <c r="AG45" i="8"/>
  <c r="AF45" i="8"/>
  <c r="AE45" i="8"/>
  <c r="AI26" i="9" l="1"/>
  <c r="AI30" i="9" s="1"/>
  <c r="AI36" i="9" s="1"/>
  <c r="AK15" i="9"/>
  <c r="AI16" i="9"/>
  <c r="AK16" i="9" s="1"/>
  <c r="AF27" i="9"/>
  <c r="AA75" i="9"/>
  <c r="AA43" i="9"/>
  <c r="AA73" i="9"/>
  <c r="AA76" i="9" a="1"/>
  <c r="AA76" i="9" s="1"/>
  <c r="AA77" i="9" a="1"/>
  <c r="AA77" i="9" s="1"/>
  <c r="AA37" i="9"/>
  <c r="AA74" i="9"/>
  <c r="AG31" i="9"/>
  <c r="AE79" i="8"/>
  <c r="AH79" i="8"/>
  <c r="AI79" i="8"/>
  <c r="AI80" i="8"/>
  <c r="AL79" i="8"/>
  <c r="AM79" i="8"/>
  <c r="AH80" i="8"/>
  <c r="AM80" i="8"/>
  <c r="AN80" i="8"/>
  <c r="AK79" i="8"/>
  <c r="AF79" i="8"/>
  <c r="AN79" i="8"/>
  <c r="AK80" i="8"/>
  <c r="AJ80" i="8"/>
  <c r="AG79" i="8"/>
  <c r="AO79" i="8"/>
  <c r="AL80" i="8"/>
  <c r="AE80" i="8"/>
  <c r="AF80" i="8"/>
  <c r="AJ79" i="8"/>
  <c r="AG80" i="8"/>
  <c r="AO80" i="8"/>
  <c r="AF31" i="9" l="1"/>
  <c r="AK26" i="9"/>
  <c r="AI27" i="9"/>
  <c r="AK27" i="9" s="1"/>
  <c r="AG75" i="9"/>
  <c r="AG37" i="9"/>
  <c r="AG77" i="9" a="1"/>
  <c r="AG77" i="9" s="1"/>
  <c r="AG43" i="9"/>
  <c r="AG76" i="9" a="1"/>
  <c r="AG76" i="9" s="1"/>
  <c r="AG73" i="9"/>
  <c r="AG74" i="9"/>
  <c r="AI31" i="9" l="1"/>
  <c r="AK31" i="9" s="1"/>
  <c r="AK30" i="9"/>
  <c r="AF75" i="9"/>
  <c r="AF43" i="9"/>
  <c r="AF73" i="9"/>
  <c r="AF74" i="9"/>
  <c r="AF37" i="9"/>
  <c r="AF76" i="9" a="1"/>
  <c r="AF76" i="9" s="1"/>
  <c r="AF77" i="9" a="1"/>
  <c r="AF77" i="9" s="1"/>
  <c r="AI75" i="9" l="1"/>
  <c r="AI77" i="9" a="1"/>
  <c r="AI77" i="9" s="1"/>
  <c r="AK36" i="9"/>
  <c r="AI76" i="9" a="1"/>
  <c r="AI76" i="9" s="1"/>
  <c r="AI43" i="9"/>
  <c r="AK43" i="9" s="1"/>
  <c r="AI37" i="9"/>
  <c r="AK37" i="9" s="1"/>
  <c r="AI74" i="9"/>
  <c r="AI73" i="9"/>
  <c r="T11" i="10" l="1"/>
  <c r="T12" i="10" s="1"/>
  <c r="S11" i="10"/>
  <c r="R11" i="10"/>
  <c r="Q11" i="10"/>
  <c r="P11" i="10"/>
  <c r="P12" i="10" s="1"/>
  <c r="O11" i="10"/>
  <c r="O12" i="10" s="1"/>
  <c r="R72" i="8"/>
  <c r="R73" i="8" s="1"/>
  <c r="T72" i="8"/>
  <c r="T73" i="8" s="1"/>
  <c r="AH68" i="9" l="1"/>
  <c r="AF68" i="9"/>
  <c r="AF69" i="9" s="1"/>
  <c r="AF78" i="9" s="1"/>
  <c r="S54" i="8"/>
  <c r="D8" i="9"/>
  <c r="D15" i="9" s="1"/>
  <c r="O8" i="9"/>
  <c r="O15" i="9" s="1"/>
  <c r="M8" i="9"/>
  <c r="M15" i="9" s="1"/>
  <c r="H8" i="9"/>
  <c r="H15" i="9" s="1"/>
  <c r="P8" i="9"/>
  <c r="P15" i="9" s="1"/>
  <c r="I8" i="9"/>
  <c r="I15" i="9" s="1"/>
  <c r="Q8" i="9"/>
  <c r="J8" i="9"/>
  <c r="J15" i="9" s="1"/>
  <c r="G8" i="9"/>
  <c r="G15" i="9" s="1"/>
  <c r="K8" i="9"/>
  <c r="K15" i="9" s="1"/>
  <c r="S8" i="9"/>
  <c r="S15" i="9" s="1"/>
  <c r="E8" i="9"/>
  <c r="E15" i="9" s="1"/>
  <c r="C8" i="9"/>
  <c r="C15" i="9" s="1"/>
  <c r="T8" i="9"/>
  <c r="R8" i="9"/>
  <c r="R15" i="9" s="1"/>
  <c r="N8" i="9"/>
  <c r="N15" i="9" s="1"/>
  <c r="L8" i="9"/>
  <c r="L15" i="9" s="1"/>
  <c r="S72" i="8"/>
  <c r="S73" i="8" s="1"/>
  <c r="U9" i="9" l="1"/>
  <c r="Q15" i="9"/>
  <c r="U10" i="9"/>
  <c r="T15" i="9"/>
  <c r="AG68" i="9"/>
  <c r="AG69" i="9" s="1"/>
  <c r="AG78" i="9" s="1"/>
  <c r="AG62" i="9"/>
  <c r="AH69" i="9"/>
  <c r="AH78" i="9" s="1"/>
  <c r="AH8" i="9"/>
  <c r="AH15" i="9" s="1"/>
  <c r="AJ11" i="8" l="1"/>
  <c r="S13" i="21" s="1"/>
  <c r="D54" i="8"/>
  <c r="C54" i="8"/>
  <c r="E54" i="8"/>
  <c r="AE54" i="8" l="1"/>
  <c r="AE75" i="8" s="1"/>
  <c r="AK11" i="8"/>
  <c r="T13" i="21" s="1"/>
  <c r="AJ16" i="8"/>
  <c r="AK54" i="8"/>
  <c r="AK75" i="8" s="1"/>
  <c r="AI54" i="8"/>
  <c r="AI75" i="8" s="1"/>
  <c r="AH11" i="8"/>
  <c r="Q13" i="21" s="1"/>
  <c r="AF54" i="8"/>
  <c r="AF75" i="8" s="1"/>
  <c r="AJ54" i="8"/>
  <c r="AJ75" i="8" s="1"/>
  <c r="AI11" i="8"/>
  <c r="R13" i="21" s="1"/>
  <c r="AG54" i="8"/>
  <c r="AG75" i="8" s="1"/>
  <c r="AM72" i="8"/>
  <c r="AM73" i="8" s="1"/>
  <c r="AM54" i="8"/>
  <c r="AN72" i="8"/>
  <c r="AN73" i="8" s="1"/>
  <c r="AM11" i="8"/>
  <c r="AL11" i="8"/>
  <c r="AN11" i="8"/>
  <c r="AN54" i="8"/>
  <c r="AN75" i="8" l="1"/>
  <c r="AM75" i="8"/>
  <c r="W13" i="21"/>
  <c r="AN16" i="8"/>
  <c r="U13" i="21"/>
  <c r="AL16" i="8"/>
  <c r="AR16" i="8" s="1"/>
  <c r="V13" i="21"/>
  <c r="AM16" i="8"/>
  <c r="AR11" i="8"/>
  <c r="AJ27" i="8"/>
  <c r="AJ31" i="8" s="1"/>
  <c r="AI16" i="8"/>
  <c r="AH26" i="9"/>
  <c r="AH30" i="9" s="1"/>
  <c r="AH36" i="9" s="1"/>
  <c r="AC11" i="10"/>
  <c r="AC12" i="10" s="1"/>
  <c r="AD11" i="10"/>
  <c r="AD12" i="10" s="1"/>
  <c r="AK16" i="8"/>
  <c r="AH16" i="8"/>
  <c r="AJ17" i="8"/>
  <c r="AJ35" i="8" l="1"/>
  <c r="AA30" i="10"/>
  <c r="S31" i="21"/>
  <c r="AL27" i="8"/>
  <c r="AH27" i="8"/>
  <c r="AH31" i="8" s="1"/>
  <c r="AM27" i="8"/>
  <c r="AM31" i="8" s="1"/>
  <c r="AI27" i="8"/>
  <c r="AI28" i="8" s="1"/>
  <c r="AK27" i="8"/>
  <c r="AK31" i="8" s="1"/>
  <c r="AJ28" i="8"/>
  <c r="AN27" i="8"/>
  <c r="AN28" i="8" s="1"/>
  <c r="AM17" i="8"/>
  <c r="AL17" i="8"/>
  <c r="AR17" i="8" s="1"/>
  <c r="AI17" i="8"/>
  <c r="AN17" i="8"/>
  <c r="AK17" i="8"/>
  <c r="AH16" i="9"/>
  <c r="AA11" i="10"/>
  <c r="AA12" i="10" s="1"/>
  <c r="AB11" i="10"/>
  <c r="AB12" i="10" s="1"/>
  <c r="AE11" i="10"/>
  <c r="AE12" i="10" s="1"/>
  <c r="AG11" i="10"/>
  <c r="AG12" i="10" s="1"/>
  <c r="Z11" i="10"/>
  <c r="Z12" i="10" s="1"/>
  <c r="AJ32" i="8"/>
  <c r="AH17" i="8"/>
  <c r="AJ42" i="8" l="1"/>
  <c r="AJ39" i="8"/>
  <c r="AK35" i="8"/>
  <c r="AB30" i="10"/>
  <c r="T31" i="21"/>
  <c r="AM35" i="8"/>
  <c r="AD30" i="10"/>
  <c r="V31" i="21"/>
  <c r="AH35" i="8"/>
  <c r="Y30" i="10"/>
  <c r="Q31" i="21"/>
  <c r="AL31" i="8"/>
  <c r="AL32" i="8" s="1"/>
  <c r="AR32" i="8" s="1"/>
  <c r="AR27" i="8"/>
  <c r="AH28" i="8"/>
  <c r="AM28" i="8"/>
  <c r="AL28" i="8"/>
  <c r="AR28" i="8" s="1"/>
  <c r="AK28" i="8"/>
  <c r="AI31" i="8"/>
  <c r="AN31" i="8"/>
  <c r="Y11" i="10"/>
  <c r="Y12" i="10" s="1"/>
  <c r="X11" i="10"/>
  <c r="AH32" i="8"/>
  <c r="AM32" i="8"/>
  <c r="AH75" i="9"/>
  <c r="AH27" i="9"/>
  <c r="W11" i="10"/>
  <c r="AF11" i="10"/>
  <c r="AI11" i="10"/>
  <c r="AI9" i="10"/>
  <c r="AJ36" i="8"/>
  <c r="AK32" i="8"/>
  <c r="AM42" i="8" l="1"/>
  <c r="AM39" i="8"/>
  <c r="AK42" i="8"/>
  <c r="AK39" i="8"/>
  <c r="AH36" i="8"/>
  <c r="AH42" i="8"/>
  <c r="AH39" i="8"/>
  <c r="AI35" i="8"/>
  <c r="R31" i="21"/>
  <c r="Z30" i="10"/>
  <c r="AC30" i="10"/>
  <c r="U31" i="21"/>
  <c r="AN35" i="8"/>
  <c r="AE30" i="10"/>
  <c r="W31" i="21"/>
  <c r="AL35" i="8"/>
  <c r="AR31" i="8"/>
  <c r="AI32" i="8"/>
  <c r="AN32" i="8"/>
  <c r="AH31" i="9"/>
  <c r="AK36" i="8"/>
  <c r="AM36" i="8"/>
  <c r="AI36" i="8" l="1"/>
  <c r="AI39" i="8"/>
  <c r="AI42" i="8"/>
  <c r="AR35" i="8"/>
  <c r="AL42" i="8"/>
  <c r="AR42" i="8" s="1"/>
  <c r="AL39" i="8"/>
  <c r="AR39" i="8" s="1"/>
  <c r="AN36" i="8"/>
  <c r="AN39" i="8"/>
  <c r="AN42" i="8"/>
  <c r="AL36" i="8"/>
  <c r="AR36" i="8" s="1"/>
  <c r="AH77" i="9" a="1"/>
  <c r="AH77" i="9" s="1"/>
  <c r="AH37" i="9"/>
  <c r="AH76" i="9" a="1"/>
  <c r="AH76" i="9" s="1"/>
  <c r="AH73" i="9"/>
  <c r="AH74" i="9"/>
  <c r="AH43" i="9"/>
  <c r="AR62" i="8" l="1"/>
  <c r="Q11" i="8" l="1"/>
  <c r="E11" i="8"/>
  <c r="D11" i="8"/>
  <c r="C11" i="8"/>
  <c r="C16" i="8" s="1"/>
  <c r="D69" i="8"/>
  <c r="Y69" i="8" s="1"/>
  <c r="C69" i="8"/>
  <c r="X69" i="8" s="1"/>
  <c r="AO11" i="8"/>
  <c r="S69" i="9"/>
  <c r="S78" i="9" s="1"/>
  <c r="K69" i="9"/>
  <c r="K78" i="9" s="1"/>
  <c r="I13" i="21" l="1"/>
  <c r="Q16" i="8"/>
  <c r="Q27" i="8" s="1"/>
  <c r="D13" i="21"/>
  <c r="D16" i="8"/>
  <c r="D27" i="8" s="1"/>
  <c r="X13" i="21"/>
  <c r="AO16" i="8"/>
  <c r="E13" i="21"/>
  <c r="E16" i="8"/>
  <c r="E27" i="8" s="1"/>
  <c r="C69" i="9"/>
  <c r="C78" i="9" s="1"/>
  <c r="C72" i="8"/>
  <c r="C73" i="8" s="1"/>
  <c r="C75" i="8" s="1"/>
  <c r="E69" i="9"/>
  <c r="E78" i="9" s="1"/>
  <c r="E72" i="8"/>
  <c r="AH63" i="9"/>
  <c r="T75" i="8"/>
  <c r="AF63" i="9"/>
  <c r="R75" i="8"/>
  <c r="D69" i="9"/>
  <c r="D78" i="9" s="1"/>
  <c r="D72" i="8"/>
  <c r="D73" i="8" s="1"/>
  <c r="AF12" i="10"/>
  <c r="C12" i="10"/>
  <c r="Q12" i="10"/>
  <c r="E12" i="10"/>
  <c r="D12" i="10"/>
  <c r="L69" i="9"/>
  <c r="L78" i="9" s="1"/>
  <c r="T69" i="9"/>
  <c r="T78" i="9" s="1"/>
  <c r="M69" i="9"/>
  <c r="M78" i="9" s="1"/>
  <c r="I69" i="9"/>
  <c r="H69" i="9"/>
  <c r="M26" i="9"/>
  <c r="M30" i="9" s="1"/>
  <c r="M36" i="9" s="1"/>
  <c r="K9" i="9"/>
  <c r="S9" i="9"/>
  <c r="G69" i="9"/>
  <c r="S10" i="9"/>
  <c r="AL72" i="8"/>
  <c r="AL73" i="8" s="1"/>
  <c r="C27" i="8"/>
  <c r="T27" i="8"/>
  <c r="AO72" i="8"/>
  <c r="AO73" i="8" s="1"/>
  <c r="E26" i="9"/>
  <c r="E30" i="9" s="1"/>
  <c r="E36" i="9" s="1"/>
  <c r="E9" i="9"/>
  <c r="C26" i="9"/>
  <c r="C30" i="9" s="1"/>
  <c r="C36" i="9" s="1"/>
  <c r="C9" i="9"/>
  <c r="D26" i="9"/>
  <c r="D30" i="9" s="1"/>
  <c r="D36" i="9" s="1"/>
  <c r="D9" i="9"/>
  <c r="K10" i="9"/>
  <c r="O69" i="9"/>
  <c r="O78" i="9" s="1"/>
  <c r="P69" i="9"/>
  <c r="P78" i="9" s="1"/>
  <c r="Q69" i="9"/>
  <c r="Q78" i="9" s="1"/>
  <c r="E73" i="8" l="1"/>
  <c r="E75" i="8" s="1"/>
  <c r="AG63" i="9"/>
  <c r="S75" i="8"/>
  <c r="D75" i="8"/>
  <c r="AR73" i="8"/>
  <c r="AR69" i="8"/>
  <c r="T31" i="8"/>
  <c r="E31" i="8"/>
  <c r="E35" i="8" s="1"/>
  <c r="Q28" i="8"/>
  <c r="C31" i="8"/>
  <c r="C35" i="8" s="1"/>
  <c r="D28" i="8"/>
  <c r="Q17" i="8"/>
  <c r="R69" i="9"/>
  <c r="R78" i="9" s="1"/>
  <c r="AL54" i="8"/>
  <c r="AR54" i="8" s="1"/>
  <c r="AH54" i="8"/>
  <c r="AH75" i="8" s="1"/>
  <c r="N69" i="9"/>
  <c r="N78" i="9" s="1"/>
  <c r="J69" i="9"/>
  <c r="J78" i="9" s="1"/>
  <c r="N10" i="9"/>
  <c r="R9" i="9"/>
  <c r="O9" i="9"/>
  <c r="P10" i="9"/>
  <c r="R26" i="9"/>
  <c r="R30" i="9" s="1"/>
  <c r="R36" i="9" s="1"/>
  <c r="M10" i="9"/>
  <c r="O10" i="9"/>
  <c r="L10" i="9"/>
  <c r="P26" i="9"/>
  <c r="P30" i="9" s="1"/>
  <c r="P36" i="9" s="1"/>
  <c r="N26" i="9"/>
  <c r="N30" i="9" s="1"/>
  <c r="N36" i="9" s="1"/>
  <c r="H10" i="9"/>
  <c r="P9" i="9"/>
  <c r="L9" i="9"/>
  <c r="H26" i="9"/>
  <c r="H30" i="9" s="1"/>
  <c r="H36" i="9" s="1"/>
  <c r="N9" i="9"/>
  <c r="AO54" i="8"/>
  <c r="AO75" i="8" s="1"/>
  <c r="D17" i="8"/>
  <c r="E17" i="8"/>
  <c r="C17" i="8"/>
  <c r="AO27" i="8"/>
  <c r="T17" i="8"/>
  <c r="M16" i="9"/>
  <c r="D16" i="9"/>
  <c r="Q9" i="9"/>
  <c r="Q26" i="9"/>
  <c r="Q30" i="9" s="1"/>
  <c r="Q36" i="9" s="1"/>
  <c r="Q10" i="9"/>
  <c r="I26" i="9"/>
  <c r="I30" i="9" s="1"/>
  <c r="I36" i="9" s="1"/>
  <c r="I10" i="9"/>
  <c r="S26" i="9"/>
  <c r="S30" i="9" s="1"/>
  <c r="S36" i="9" s="1"/>
  <c r="AH9" i="9"/>
  <c r="L26" i="9"/>
  <c r="L30" i="9" s="1"/>
  <c r="L36" i="9" s="1"/>
  <c r="R10" i="9"/>
  <c r="T9" i="9"/>
  <c r="T26" i="9"/>
  <c r="T30" i="9" s="1"/>
  <c r="T36" i="9" s="1"/>
  <c r="T10" i="9"/>
  <c r="J26" i="9"/>
  <c r="J30" i="9" s="1"/>
  <c r="J36" i="9" s="1"/>
  <c r="J10" i="9"/>
  <c r="M9" i="9"/>
  <c r="K26" i="9"/>
  <c r="K30" i="9" s="1"/>
  <c r="K36" i="9" s="1"/>
  <c r="E16" i="9"/>
  <c r="O26" i="9"/>
  <c r="O30" i="9" s="1"/>
  <c r="O36" i="9" s="1"/>
  <c r="C16" i="9"/>
  <c r="G26" i="9"/>
  <c r="G30" i="9" s="1"/>
  <c r="G36" i="9" s="1"/>
  <c r="AL75" i="8" l="1"/>
  <c r="C42" i="8"/>
  <c r="C39" i="8"/>
  <c r="E99" i="8"/>
  <c r="E125" i="8" s="1"/>
  <c r="E42" i="8"/>
  <c r="E39" i="8"/>
  <c r="T35" i="8"/>
  <c r="L31" i="21"/>
  <c r="T30" i="10"/>
  <c r="H16" i="9"/>
  <c r="P16" i="9"/>
  <c r="P27" i="9"/>
  <c r="T28" i="8"/>
  <c r="E28" i="8"/>
  <c r="D31" i="8"/>
  <c r="D35" i="8" s="1"/>
  <c r="Q31" i="8"/>
  <c r="C28" i="8"/>
  <c r="AO31" i="8"/>
  <c r="C32" i="8"/>
  <c r="T32" i="8"/>
  <c r="AO28" i="8"/>
  <c r="E32" i="8"/>
  <c r="R16" i="9"/>
  <c r="N16" i="9"/>
  <c r="H27" i="9"/>
  <c r="E36" i="8"/>
  <c r="AO17" i="8"/>
  <c r="G16" i="9"/>
  <c r="C75" i="9"/>
  <c r="C27" i="9"/>
  <c r="I16" i="9"/>
  <c r="O16" i="9"/>
  <c r="J16" i="9"/>
  <c r="D75" i="9"/>
  <c r="D27" i="9"/>
  <c r="M27" i="9"/>
  <c r="T16" i="9"/>
  <c r="Q16" i="9"/>
  <c r="R27" i="9"/>
  <c r="N27" i="9"/>
  <c r="E27" i="9"/>
  <c r="E75" i="9"/>
  <c r="S16" i="9"/>
  <c r="K16" i="9"/>
  <c r="L16" i="9"/>
  <c r="D99" i="8" l="1"/>
  <c r="D125" i="8" s="1"/>
  <c r="D42" i="8"/>
  <c r="D39" i="8"/>
  <c r="T99" i="8"/>
  <c r="T125" i="8" s="1"/>
  <c r="T39" i="8"/>
  <c r="T42" i="8"/>
  <c r="Q35" i="8"/>
  <c r="Q30" i="10"/>
  <c r="I31" i="21"/>
  <c r="AO35" i="8"/>
  <c r="AF30" i="10"/>
  <c r="X31" i="21"/>
  <c r="D32" i="8"/>
  <c r="D36" i="8"/>
  <c r="Q32" i="8"/>
  <c r="C36" i="8"/>
  <c r="T36" i="8"/>
  <c r="AO32" i="8"/>
  <c r="E31" i="9"/>
  <c r="L27" i="9"/>
  <c r="R31" i="9"/>
  <c r="D31" i="9"/>
  <c r="M31" i="9"/>
  <c r="Q27" i="9"/>
  <c r="C31" i="9"/>
  <c r="S27" i="9"/>
  <c r="O27" i="9"/>
  <c r="K27" i="9"/>
  <c r="N31" i="9"/>
  <c r="J27" i="9"/>
  <c r="I27" i="9"/>
  <c r="T27" i="9"/>
  <c r="G27" i="9"/>
  <c r="Q36" i="8" l="1"/>
  <c r="Q39" i="8"/>
  <c r="Q42" i="8"/>
  <c r="AO39" i="8"/>
  <c r="AO42" i="8"/>
  <c r="Q99" i="8"/>
  <c r="Q125" i="8" s="1"/>
  <c r="AL125" i="8" s="1"/>
  <c r="U77" i="9" a="1"/>
  <c r="U77" i="9" s="1"/>
  <c r="U73" i="9"/>
  <c r="U74" i="9"/>
  <c r="U75" i="9" a="1"/>
  <c r="U75" i="9" s="1"/>
  <c r="U76" i="9" a="1"/>
  <c r="U76" i="9" s="1"/>
  <c r="Z83" i="8"/>
  <c r="Z99" i="8" s="1"/>
  <c r="X83" i="8"/>
  <c r="X99" i="8" s="1"/>
  <c r="Y83" i="8"/>
  <c r="Y99" i="8" s="1"/>
  <c r="W83" i="8"/>
  <c r="W99" i="8" s="1"/>
  <c r="O75" i="9" a="1"/>
  <c r="O75" i="9" s="1"/>
  <c r="N75" i="9" a="1"/>
  <c r="N75" i="9" s="1"/>
  <c r="T75" i="9" a="1"/>
  <c r="T75" i="9" s="1"/>
  <c r="J75" i="9" a="1"/>
  <c r="J75" i="9" s="1"/>
  <c r="L75" i="9" a="1"/>
  <c r="L75" i="9" s="1"/>
  <c r="S75" i="9" a="1"/>
  <c r="S75" i="9" s="1"/>
  <c r="R75" i="9" a="1"/>
  <c r="R75" i="9" s="1"/>
  <c r="K75" i="9" a="1"/>
  <c r="K75" i="9" s="1"/>
  <c r="P75" i="9" a="1"/>
  <c r="P75" i="9" s="1"/>
  <c r="M75" i="9" a="1"/>
  <c r="M75" i="9" s="1"/>
  <c r="Q75" i="9" a="1"/>
  <c r="Q75" i="9" s="1"/>
  <c r="C99" i="8"/>
  <c r="C125" i="8" s="1"/>
  <c r="AK99" i="8"/>
  <c r="P31" i="9"/>
  <c r="H31" i="9"/>
  <c r="K31" i="9"/>
  <c r="O31" i="9"/>
  <c r="P77" i="9" a="1"/>
  <c r="P77" i="9" s="1"/>
  <c r="H43" i="9"/>
  <c r="H49" i="9" s="1"/>
  <c r="H37" i="9"/>
  <c r="L31" i="9"/>
  <c r="D77" i="9" a="1"/>
  <c r="D77" i="9" s="1"/>
  <c r="D76" i="9" a="1"/>
  <c r="D76" i="9" s="1"/>
  <c r="D37" i="9"/>
  <c r="D43" i="9"/>
  <c r="D49" i="9" s="1"/>
  <c r="D73" i="9"/>
  <c r="D74" i="9"/>
  <c r="E76" i="9" a="1"/>
  <c r="E76" i="9" s="1"/>
  <c r="E77" i="9" a="1"/>
  <c r="E77" i="9" s="1"/>
  <c r="E37" i="9"/>
  <c r="E74" i="9"/>
  <c r="E43" i="9"/>
  <c r="E49" i="9" s="1"/>
  <c r="P37" i="9"/>
  <c r="P43" i="9"/>
  <c r="P49" i="9" s="1"/>
  <c r="T31" i="9"/>
  <c r="J31" i="9"/>
  <c r="S31" i="9"/>
  <c r="N43" i="9"/>
  <c r="N49" i="9" s="1"/>
  <c r="N37" i="9"/>
  <c r="M43" i="9"/>
  <c r="M49" i="9" s="1"/>
  <c r="M37" i="9"/>
  <c r="Q31" i="9"/>
  <c r="G31" i="9"/>
  <c r="I31" i="9"/>
  <c r="C77" i="9" a="1"/>
  <c r="C77" i="9" s="1"/>
  <c r="C43" i="9"/>
  <c r="C37" i="9"/>
  <c r="C76" i="9" a="1"/>
  <c r="C76" i="9" s="1"/>
  <c r="C74" i="9"/>
  <c r="C73" i="9"/>
  <c r="R37" i="9"/>
  <c r="R43" i="9"/>
  <c r="R49" i="9" s="1"/>
  <c r="AL83" i="8" l="1"/>
  <c r="AL99" i="8" s="1"/>
  <c r="AD83" i="8"/>
  <c r="AD99" i="8" s="1"/>
  <c r="AC83" i="8"/>
  <c r="AC99" i="8" s="1"/>
  <c r="AA83" i="8"/>
  <c r="AA99" i="8" s="1"/>
  <c r="AB83" i="8"/>
  <c r="AB99" i="8" s="1"/>
  <c r="Z125" i="8"/>
  <c r="Y125" i="8"/>
  <c r="W125" i="8"/>
  <c r="X125" i="8"/>
  <c r="AF83" i="8"/>
  <c r="AG83" i="8"/>
  <c r="AH83" i="8"/>
  <c r="AH99" i="8" s="1"/>
  <c r="AE83" i="8"/>
  <c r="AI99" i="8"/>
  <c r="AJ99" i="8"/>
  <c r="AO36" i="8"/>
  <c r="P76" i="9" a="1"/>
  <c r="P76" i="9" s="1"/>
  <c r="S76" i="9" a="1"/>
  <c r="S76" i="9" s="1"/>
  <c r="Q76" i="9" a="1"/>
  <c r="Q76" i="9" s="1"/>
  <c r="S74" i="9"/>
  <c r="L77" i="9" a="1"/>
  <c r="L77" i="9" s="1"/>
  <c r="L76" i="9" a="1"/>
  <c r="L76" i="9" s="1"/>
  <c r="L73" i="9"/>
  <c r="I43" i="9"/>
  <c r="I49" i="9" s="1"/>
  <c r="I37" i="9"/>
  <c r="L74" i="9"/>
  <c r="K76" i="9" a="1"/>
  <c r="K76" i="9" s="1"/>
  <c r="O43" i="9"/>
  <c r="O49" i="9" s="1"/>
  <c r="R76" i="9" a="1"/>
  <c r="R76" i="9" s="1"/>
  <c r="R77" i="9" a="1"/>
  <c r="R77" i="9" s="1"/>
  <c r="O37" i="9"/>
  <c r="R73" i="9"/>
  <c r="R74" i="9"/>
  <c r="G43" i="9"/>
  <c r="J76" i="9" a="1"/>
  <c r="J76" i="9" s="1"/>
  <c r="J77" i="9" a="1"/>
  <c r="J77" i="9" s="1"/>
  <c r="G37" i="9"/>
  <c r="J73" i="9"/>
  <c r="J74" i="9"/>
  <c r="P74" i="9"/>
  <c r="Q73" i="9"/>
  <c r="E50" i="9"/>
  <c r="H50" i="9"/>
  <c r="P73" i="9"/>
  <c r="M76" i="9" a="1"/>
  <c r="M76" i="9" s="1"/>
  <c r="J43" i="9"/>
  <c r="J49" i="9" s="1"/>
  <c r="J37" i="9"/>
  <c r="M77" i="9" a="1"/>
  <c r="M77" i="9" s="1"/>
  <c r="M73" i="9"/>
  <c r="M74" i="9"/>
  <c r="D50" i="9"/>
  <c r="K73" i="9"/>
  <c r="S43" i="9"/>
  <c r="S49" i="9" s="1"/>
  <c r="S37" i="9"/>
  <c r="O77" i="9" a="1"/>
  <c r="O77" i="9" s="1"/>
  <c r="L43" i="9"/>
  <c r="L49" i="9" s="1"/>
  <c r="L37" i="9"/>
  <c r="O76" i="9" a="1"/>
  <c r="O76" i="9" s="1"/>
  <c r="O73" i="9"/>
  <c r="O74" i="9"/>
  <c r="Q77" i="9" a="1"/>
  <c r="Q77" i="9" s="1"/>
  <c r="S73" i="9"/>
  <c r="K77" i="9" a="1"/>
  <c r="K77" i="9" s="1"/>
  <c r="C50" i="9"/>
  <c r="T77" i="9" a="1"/>
  <c r="T77" i="9" s="1"/>
  <c r="T76" i="9" a="1"/>
  <c r="T76" i="9" s="1"/>
  <c r="T73" i="9"/>
  <c r="Q37" i="9"/>
  <c r="Q43" i="9"/>
  <c r="Q49" i="9" s="1"/>
  <c r="T74" i="9"/>
  <c r="R50" i="9"/>
  <c r="S77" i="9" a="1"/>
  <c r="S77" i="9" s="1"/>
  <c r="N76" i="9" a="1"/>
  <c r="N76" i="9" s="1"/>
  <c r="N77" i="9" a="1"/>
  <c r="N77" i="9" s="1"/>
  <c r="K43" i="9"/>
  <c r="K49" i="9" s="1"/>
  <c r="K37" i="9"/>
  <c r="N73" i="9"/>
  <c r="N74" i="9"/>
  <c r="Q74" i="9"/>
  <c r="T37" i="9"/>
  <c r="T43" i="9"/>
  <c r="T49" i="9" s="1"/>
  <c r="K74" i="9"/>
  <c r="AI49" i="9" l="1"/>
  <c r="AI50" i="9" s="1"/>
  <c r="AD125" i="8"/>
  <c r="AB125" i="8"/>
  <c r="AA125" i="8"/>
  <c r="AC125" i="8"/>
  <c r="AH125" i="8"/>
  <c r="AF125" i="8"/>
  <c r="AG125" i="8"/>
  <c r="AE125" i="8"/>
  <c r="AC49" i="9"/>
  <c r="AC50" i="9" s="1"/>
  <c r="Y49" i="9"/>
  <c r="Y50" i="9" s="1"/>
  <c r="AF49" i="9"/>
  <c r="AF50" i="9" s="1"/>
  <c r="AE49" i="9"/>
  <c r="AE50" i="9" s="1"/>
  <c r="AB49" i="9"/>
  <c r="AB50" i="9" s="1"/>
  <c r="AH49" i="9"/>
  <c r="AH50" i="9" s="1"/>
  <c r="AA49" i="9"/>
  <c r="AA50" i="9" s="1"/>
  <c r="AD49" i="9"/>
  <c r="AD50" i="9" s="1"/>
  <c r="Z49" i="9"/>
  <c r="Z50" i="9" s="1"/>
  <c r="AG49" i="9"/>
  <c r="AG50" i="9" s="1"/>
  <c r="S50" i="9"/>
  <c r="T50" i="9"/>
  <c r="Q50" i="9"/>
  <c r="I50" i="9"/>
  <c r="P50" i="9"/>
  <c r="K50" i="9"/>
  <c r="M50" i="9"/>
  <c r="N50" i="9"/>
  <c r="G50" i="9" l="1"/>
  <c r="X49" i="9"/>
  <c r="X50" i="9" s="1"/>
  <c r="W49" i="9"/>
  <c r="W50" i="9" s="1"/>
  <c r="L50" i="9"/>
  <c r="O50" i="9"/>
  <c r="J50" i="9"/>
  <c r="C122" i="8" l="1"/>
  <c r="C126" i="8" s="1"/>
  <c r="C128" i="8" s="1"/>
  <c r="D120" i="8" l="1"/>
  <c r="D122" i="8"/>
  <c r="D126" i="8" s="1"/>
  <c r="D128" i="8" s="1"/>
  <c r="E120" i="8" l="1"/>
  <c r="E122" i="8"/>
  <c r="E126" i="8" s="1"/>
  <c r="E128" i="8" s="1"/>
  <c r="W120" i="8" l="1"/>
  <c r="W122" i="8" s="1"/>
  <c r="W126" i="8" s="1"/>
  <c r="W128" i="8" s="1"/>
  <c r="X120" i="8" l="1"/>
  <c r="X122" i="8" s="1"/>
  <c r="X126" i="8" s="1"/>
  <c r="X128" i="8" s="1"/>
  <c r="Y120" i="8" l="1"/>
  <c r="Y122" i="8" s="1"/>
  <c r="Y126" i="8" s="1"/>
  <c r="Y128" i="8" s="1"/>
  <c r="Z120" i="8" l="1"/>
  <c r="Z122" i="8" s="1"/>
  <c r="Z126" i="8" s="1"/>
  <c r="Z128" i="8" s="1"/>
  <c r="AA120" i="8" l="1"/>
  <c r="AA122" i="8" s="1"/>
  <c r="AA126" i="8" s="1"/>
  <c r="AA128" i="8" s="1"/>
  <c r="AB120" i="8" l="1"/>
  <c r="AB122" i="8" s="1"/>
  <c r="AB126" i="8" s="1"/>
  <c r="AB128" i="8" s="1"/>
  <c r="AC120" i="8" l="1"/>
  <c r="AC122" i="8" s="1"/>
  <c r="AC126" i="8" s="1"/>
  <c r="AC128" i="8" s="1"/>
  <c r="AD120" i="8" l="1"/>
  <c r="AD122" i="8" s="1"/>
  <c r="AD126" i="8" s="1"/>
  <c r="AD128" i="8" s="1"/>
  <c r="AE120" i="8" l="1"/>
  <c r="AF120" i="8" l="1"/>
  <c r="AG120" i="8" l="1"/>
  <c r="AH120" i="8" l="1"/>
  <c r="AI120" i="8" l="1"/>
  <c r="AE122" i="8"/>
  <c r="AJ120" i="8" l="1"/>
  <c r="AK120" i="8" l="1"/>
  <c r="AL120" i="8" l="1"/>
  <c r="AM120" i="8" l="1"/>
  <c r="O122" i="8"/>
  <c r="O126" i="8" s="1"/>
  <c r="O128" i="8" s="1"/>
  <c r="P120" i="8" l="1"/>
  <c r="P122" i="8" s="1"/>
  <c r="P126" i="8" s="1"/>
  <c r="P128" i="8" s="1"/>
  <c r="AN120" i="8"/>
  <c r="AJ122" i="8"/>
  <c r="AJ126" i="8" s="1"/>
  <c r="AJ128" i="8" s="1"/>
  <c r="Q120" i="8" l="1"/>
  <c r="Q122" i="8" s="1"/>
  <c r="Q126" i="8" s="1"/>
  <c r="Q128" i="8" s="1"/>
  <c r="AO120" i="8"/>
  <c r="AK122" i="8"/>
  <c r="AK126" i="8" s="1"/>
  <c r="AK128" i="8" s="1"/>
  <c r="R120" i="8" l="1"/>
  <c r="AP120" i="8"/>
  <c r="AL122" i="8"/>
  <c r="AL126" i="8" s="1"/>
  <c r="AL128" i="8" s="1"/>
  <c r="AF122" i="8"/>
  <c r="R122" i="8"/>
  <c r="S11" i="8" l="1"/>
  <c r="K13" i="21" l="1"/>
  <c r="S16" i="8"/>
  <c r="S27" i="8" s="1"/>
  <c r="S12" i="10"/>
  <c r="S31" i="8" l="1"/>
  <c r="S17" i="8"/>
  <c r="S35" i="8" l="1"/>
  <c r="K31" i="21"/>
  <c r="S30" i="10"/>
  <c r="S28" i="8"/>
  <c r="S32" i="8"/>
  <c r="S39" i="8" l="1"/>
  <c r="S42" i="8"/>
  <c r="S36" i="8"/>
  <c r="S99" i="8" l="1"/>
  <c r="S125" i="8" s="1"/>
  <c r="AG99" i="8"/>
  <c r="AE11" i="8"/>
  <c r="AG11" i="8"/>
  <c r="P13" i="21" s="1"/>
  <c r="R11" i="8"/>
  <c r="AF11" i="8"/>
  <c r="O13" i="21" s="1"/>
  <c r="J13" i="21" l="1"/>
  <c r="R16" i="8"/>
  <c r="R27" i="8" s="1"/>
  <c r="X12" i="10"/>
  <c r="AF16" i="8"/>
  <c r="W12" i="10"/>
  <c r="R12" i="10"/>
  <c r="AG16" i="8"/>
  <c r="AG27" i="8" s="1"/>
  <c r="AE16" i="8"/>
  <c r="AE27" i="8" s="1"/>
  <c r="R17" i="8" l="1"/>
  <c r="R31" i="8"/>
  <c r="AF27" i="8"/>
  <c r="AF28" i="8" s="1"/>
  <c r="AF17" i="8"/>
  <c r="AG31" i="8"/>
  <c r="AG17" i="8"/>
  <c r="AE17" i="8"/>
  <c r="AE31" i="8"/>
  <c r="AE35" i="8" s="1"/>
  <c r="AE42" i="8" l="1"/>
  <c r="AE39" i="8"/>
  <c r="AG35" i="8"/>
  <c r="P31" i="21"/>
  <c r="X30" i="10"/>
  <c r="R35" i="8"/>
  <c r="R30" i="10"/>
  <c r="J31" i="21"/>
  <c r="AF31" i="8"/>
  <c r="R28" i="8"/>
  <c r="R32" i="8"/>
  <c r="AE28" i="8"/>
  <c r="AG28" i="8"/>
  <c r="AP83" i="8" l="1"/>
  <c r="R39" i="8"/>
  <c r="R42" i="8"/>
  <c r="AG39" i="8"/>
  <c r="AG42" i="8"/>
  <c r="AF35" i="8"/>
  <c r="AF36" i="8" s="1"/>
  <c r="O31" i="21"/>
  <c r="W30" i="10"/>
  <c r="AF32" i="8"/>
  <c r="R36" i="8"/>
  <c r="AG32" i="8"/>
  <c r="AE32" i="8"/>
  <c r="AF39" i="8" l="1"/>
  <c r="AF42" i="8"/>
  <c r="AP99" i="8"/>
  <c r="AR99" i="8" s="1"/>
  <c r="AR83" i="8"/>
  <c r="AO83" i="8"/>
  <c r="AM83" i="8"/>
  <c r="AM99" i="8" s="1"/>
  <c r="AN83" i="8"/>
  <c r="AN99" i="8" s="1"/>
  <c r="AF99" i="8"/>
  <c r="AF126" i="8" s="1"/>
  <c r="AF128" i="8" s="1"/>
  <c r="R99" i="8"/>
  <c r="R125" i="8" s="1"/>
  <c r="AE99" i="8"/>
  <c r="AE36" i="8"/>
  <c r="AG36" i="8"/>
  <c r="R126" i="8" l="1"/>
  <c r="R128" i="8" s="1"/>
  <c r="AP125" i="8"/>
  <c r="AO125" i="8"/>
  <c r="AN125" i="8"/>
  <c r="AM125" i="8"/>
  <c r="AE126" i="8"/>
  <c r="AE128" i="8" s="1"/>
  <c r="AM122" i="8"/>
  <c r="AO99" i="8"/>
  <c r="AG122" i="8"/>
  <c r="AG126" i="8" s="1"/>
  <c r="AG128" i="8" s="1"/>
  <c r="S120" i="8" l="1"/>
  <c r="S122" i="8"/>
  <c r="S126" i="8" s="1"/>
  <c r="S128" i="8" s="1"/>
  <c r="AM126" i="8"/>
  <c r="AM128" i="8" s="1"/>
  <c r="AN122" i="8"/>
  <c r="AN126" i="8" s="1"/>
  <c r="AN128" i="8" s="1"/>
  <c r="AH122" i="8"/>
  <c r="AH126" i="8" s="1"/>
  <c r="AH128" i="8" s="1"/>
  <c r="T120" i="8" l="1"/>
  <c r="T122" i="8" s="1"/>
  <c r="T126" i="8" s="1"/>
  <c r="T128" i="8" s="1"/>
  <c r="AO122" i="8"/>
  <c r="AO126" i="8" s="1"/>
  <c r="AO128" i="8" s="1"/>
  <c r="AI122" i="8"/>
  <c r="AI126" i="8" s="1"/>
  <c r="AI128" i="8" s="1"/>
  <c r="U120" i="8" l="1"/>
  <c r="U122" i="8"/>
  <c r="U126" i="8" s="1"/>
  <c r="U128" i="8" s="1"/>
  <c r="AP122" i="8"/>
  <c r="AP126" i="8" s="1"/>
  <c r="AP128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<sst xmlns="http://schemas.openxmlformats.org/spreadsheetml/2006/main" count="338" uniqueCount="223">
  <si>
    <t>FYE</t>
  </si>
  <si>
    <t>Quarterly</t>
  </si>
  <si>
    <t>1Q24</t>
  </si>
  <si>
    <t>2Q24</t>
  </si>
  <si>
    <t>3Q24</t>
  </si>
  <si>
    <t>4Q24</t>
  </si>
  <si>
    <t>LTM</t>
  </si>
  <si>
    <t>EBITDA</t>
  </si>
  <si>
    <t>Total Revenue</t>
  </si>
  <si>
    <t>Changes in assets and liabilities:</t>
  </si>
  <si>
    <t>Cash-Flows Statement</t>
  </si>
  <si>
    <t>Total Liabilities</t>
  </si>
  <si>
    <t>X</t>
  </si>
  <si>
    <t>Total Assets</t>
  </si>
  <si>
    <t>Gross Profit</t>
  </si>
  <si>
    <t>Total Debt</t>
  </si>
  <si>
    <t>Variance</t>
  </si>
  <si>
    <t>FCF Analysis</t>
  </si>
  <si>
    <t>2Q22</t>
  </si>
  <si>
    <t>1Q25</t>
  </si>
  <si>
    <t>2Q25</t>
  </si>
  <si>
    <t>Y/Y Growth (%)</t>
  </si>
  <si>
    <t>Q/Q Growth (%)</t>
  </si>
  <si>
    <t>N/A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</si>
  <si>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</si>
  <si>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</si>
  <si>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</si>
  <si>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</si>
  <si>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</si>
  <si>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</si>
  <si>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</si>
  <si>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</si>
  <si>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</si>
  <si>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</si>
  <si>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</si>
  <si>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</si>
  <si>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</si>
  <si>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</si>
  <si>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</si>
  <si>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</si>
  <si>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</si>
  <si>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</si>
  <si>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</si>
  <si>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</si>
  <si>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</si>
  <si>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</si>
  <si>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</si>
  <si>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</si>
  <si>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</si>
  <si>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</si>
  <si>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</si>
  <si>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</si>
  <si>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</si>
  <si>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</si>
  <si>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 xml:space="preserve">Provision for taxes </t>
  </si>
  <si>
    <t>3Q25</t>
  </si>
  <si>
    <t>Net Margin (%)</t>
  </si>
  <si>
    <t>Basic EPS</t>
  </si>
  <si>
    <t>Fully Diluted Shares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</si>
  <si>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</si>
  <si>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</si>
  <si>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</si>
  <si>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</si>
  <si>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</si>
  <si>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</si>
  <si>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</si>
  <si>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$ mm except per share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</si>
  <si>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</si>
  <si>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</si>
  <si>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</si>
  <si>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</si>
  <si>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</si>
  <si>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</si>
  <si>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</si>
  <si>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</si>
  <si>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Unrestricted Cash BOP</t>
  </si>
  <si>
    <t>BOP FX Adjustment</t>
  </si>
  <si>
    <t>EOP FX Adjustment</t>
  </si>
  <si>
    <t>Sales and Marketing (S&amp;M)</t>
  </si>
  <si>
    <t>General and Administrative (G&amp;A)</t>
  </si>
  <si>
    <t>Other assets</t>
  </si>
  <si>
    <t>Disaggregated Revenues</t>
  </si>
  <si>
    <t>Offerings Drivers</t>
  </si>
  <si>
    <t>1) xxx</t>
  </si>
  <si>
    <t>Variance Check</t>
  </si>
  <si>
    <t>Fully Diluted EPS</t>
  </si>
  <si>
    <t>Basic Shares</t>
  </si>
  <si>
    <t>Cash Position Variance Check</t>
  </si>
  <si>
    <t>(-) Sales and Marketing (S&amp;M)</t>
  </si>
  <si>
    <t>(-) General and Administrative (G&amp;A)</t>
  </si>
  <si>
    <t>(+/-) Other Investing Activities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</si>
  <si>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</si>
  <si>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</si>
  <si>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</si>
  <si>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</si>
  <si>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</si>
  <si>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Operating Expenses</t>
  </si>
  <si>
    <t>Klarna Group plc (KLAR)</t>
  </si>
  <si>
    <t xml:space="preserve">Transaction and service revenue	</t>
  </si>
  <si>
    <t xml:space="preserve">Interest income	</t>
  </si>
  <si>
    <t>Processing and servicing costs</t>
  </si>
  <si>
    <t>Consumer credit losses</t>
  </si>
  <si>
    <t>Funding costs</t>
  </si>
  <si>
    <t>Technology and product development</t>
  </si>
  <si>
    <t>Customer service and operations</t>
  </si>
  <si>
    <t>Depreciation, amortization and impairments</t>
  </si>
  <si>
    <t>Other income (expense)</t>
  </si>
  <si>
    <t>KPIs</t>
  </si>
  <si>
    <t>Total GMW</t>
  </si>
  <si>
    <t>Number of Active Klarna Consumers</t>
  </si>
  <si>
    <t>ARPAC</t>
  </si>
  <si>
    <t>Transaction Margin Dollars</t>
  </si>
  <si>
    <t>Merchant checkout</t>
  </si>
  <si>
    <t>Direct-to-consumer</t>
  </si>
  <si>
    <t>Pay in Full (%)</t>
  </si>
  <si>
    <t>Pay Later (%)</t>
  </si>
  <si>
    <t>Fair Financing (%)</t>
  </si>
  <si>
    <t xml:space="preserve">Pay in Full </t>
  </si>
  <si>
    <t xml:space="preserve">Fair Financing </t>
  </si>
  <si>
    <t xml:space="preserve">Pay Later </t>
  </si>
  <si>
    <t>GMV Per Payment Structure</t>
  </si>
  <si>
    <t>GMV Per Channel</t>
  </si>
  <si>
    <t>Transaction and Service Revenue</t>
  </si>
  <si>
    <t>Merchant Revenue (%)</t>
  </si>
  <si>
    <t>Advertising Revenue (%)</t>
  </si>
  <si>
    <t>Consumer Service Revenue (%)</t>
  </si>
  <si>
    <t xml:space="preserve">Merchant Revenue </t>
  </si>
  <si>
    <t xml:space="preserve">Advertising Revenue </t>
  </si>
  <si>
    <t xml:space="preserve">Consumer Service Revenue </t>
  </si>
  <si>
    <t>Total Transaction &amp; Service Revenue</t>
  </si>
  <si>
    <t>Intersegment Elimination</t>
  </si>
  <si>
    <t>Reminder Fees</t>
  </si>
  <si>
    <t>Other Revenues</t>
  </si>
  <si>
    <t>Other Segment Analysis</t>
  </si>
  <si>
    <t>Funding Costs</t>
  </si>
  <si>
    <t>Total Funding Costs</t>
  </si>
  <si>
    <t>Average Purchase Frequency</t>
  </si>
  <si>
    <t>Total Average Purchase Frequency</t>
  </si>
  <si>
    <t>% of Purchases by Vertical (U.S)</t>
  </si>
  <si>
    <t xml:space="preserve">Total U.S Purchases by Vertical </t>
  </si>
  <si>
    <t xml:space="preserve">Apparel &amp; Accessories </t>
  </si>
  <si>
    <t xml:space="preserve">Health &amp; Beauty </t>
  </si>
  <si>
    <t xml:space="preserve">Home &amp; Electronics </t>
  </si>
  <si>
    <t xml:space="preserve">Food &amp; Beverage </t>
  </si>
  <si>
    <t xml:space="preserve">Leisure </t>
  </si>
  <si>
    <t xml:space="preserve">Events &amp; Services </t>
  </si>
  <si>
    <t xml:space="preserve">Travel </t>
  </si>
  <si>
    <t>% of Purchases by Vertical (Germany)</t>
  </si>
  <si>
    <t xml:space="preserve">Total Germany Purchases by Vertical </t>
  </si>
  <si>
    <t>% of Purchases by Vertical (Sweden)</t>
  </si>
  <si>
    <t xml:space="preserve">Total Sweden Purchases by Vertical </t>
  </si>
  <si>
    <t>Dollar NRR</t>
  </si>
  <si>
    <t>Debt securities</t>
  </si>
  <si>
    <t>Consumer receivables</t>
  </si>
  <si>
    <t>Accounts payable and accrued expenses</t>
  </si>
  <si>
    <t>Consumer deposits</t>
  </si>
  <si>
    <t>Payables to merchants</t>
  </si>
  <si>
    <t>Notes payable and other borrowings</t>
  </si>
  <si>
    <t>Other liabilities</t>
  </si>
  <si>
    <t>Share capital</t>
  </si>
  <si>
    <t>Other equity instruments</t>
  </si>
  <si>
    <t>Reserves</t>
  </si>
  <si>
    <t>Accumulated deficit</t>
  </si>
  <si>
    <t>Total equity excluding non-controlling interests</t>
  </si>
  <si>
    <t xml:space="preserve">Total equity </t>
  </si>
  <si>
    <t>Non-controlling interests</t>
  </si>
  <si>
    <t>4Q23</t>
  </si>
  <si>
    <t>3Q23</t>
  </si>
  <si>
    <t>2Q23</t>
  </si>
  <si>
    <t>1Q23</t>
  </si>
  <si>
    <t>1Q22</t>
  </si>
  <si>
    <t>3Q22</t>
  </si>
  <si>
    <t>4Q22</t>
  </si>
  <si>
    <t>Gross Profit (Transaction Margin Dollars)</t>
  </si>
  <si>
    <t>Restructuring Charges</t>
  </si>
  <si>
    <t>Share based Payments</t>
  </si>
  <si>
    <t>IPO Related Charges</t>
  </si>
  <si>
    <t>Cash and cash equivalents</t>
  </si>
  <si>
    <t>Goodwill &amp; intangible assets</t>
  </si>
  <si>
    <t>Assets</t>
  </si>
  <si>
    <t>Liabilities</t>
  </si>
  <si>
    <t>Additional paid-in capital</t>
  </si>
  <si>
    <t>Depreciation, amortization, and impairment</t>
  </si>
  <si>
    <t>Adjustments for share-based payments and RSU costs</t>
  </si>
  <si>
    <t>Provisions for credit losses</t>
  </si>
  <si>
    <t>Net gain from divestment</t>
  </si>
  <si>
    <t>Net losses from divestment of shares in equity investments</t>
  </si>
  <si>
    <t>Financial items, net</t>
  </si>
  <si>
    <t>Change in consumer receivables, net</t>
  </si>
  <si>
    <t>Change in settlement and trade receivables</t>
  </si>
  <si>
    <t>Change in notes payable and other borrowings</t>
  </si>
  <si>
    <t>Change in consumer deposits</t>
  </si>
  <si>
    <t>Change in other assets and liabilities, net</t>
  </si>
  <si>
    <t>Investment in intangible assets</t>
  </si>
  <si>
    <t>Investment in tangible assets</t>
  </si>
  <si>
    <t>Other cash flow from investment activities</t>
  </si>
  <si>
    <t>New share issue</t>
  </si>
  <si>
    <t>Share warrants</t>
  </si>
  <si>
    <t>Other equity instruments issues and redeemed (AT1)</t>
  </si>
  <si>
    <t>Convertible promissory notes</t>
  </si>
  <si>
    <t>Subordinated debt</t>
  </si>
  <si>
    <t>Notes payable and other borrowings issued</t>
  </si>
  <si>
    <t>Notes payable and other borrowings  redeemed</t>
  </si>
  <si>
    <t>Change in non-controlling interests</t>
  </si>
  <si>
    <t>Principal payments under operating lease obligations</t>
  </si>
  <si>
    <t>Income taxes paid</t>
  </si>
  <si>
    <t>Profit (loss) before taxes</t>
  </si>
  <si>
    <t>(-) Processing and servicing costs</t>
  </si>
  <si>
    <t>(-) Consumer credit losses</t>
  </si>
  <si>
    <t>(-) Funding costs</t>
  </si>
  <si>
    <t>(-) Technology and product development</t>
  </si>
  <si>
    <t>(-) Customer service and operations</t>
  </si>
  <si>
    <t>(-) Restructuring Charges</t>
  </si>
  <si>
    <t>(-) Share based Payments</t>
  </si>
  <si>
    <t>(-) IPO Related Charges</t>
  </si>
  <si>
    <t>(-) Depreciation, amortization and impairments</t>
  </si>
  <si>
    <t>(+) Restructuring Charges</t>
  </si>
  <si>
    <t>(+) Share based Payments</t>
  </si>
  <si>
    <t>(+) IPO Related Charges</t>
  </si>
  <si>
    <t>(+) Depreciation, amortization and impairments</t>
  </si>
  <si>
    <t>(-) Issuances / (Share Repurchases)</t>
  </si>
  <si>
    <t>(-) Debt Issuances / (Repayment)</t>
  </si>
  <si>
    <t>(-) Principal payments under operating lease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</si>
</sst>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7" formatCode="#,##0.0%;\(#,##0.0%\)"/>
    <numFmt numFmtId="168" formatCode="#,##0.0&quot;bps&quot;_);\(#,##0.0&quot;bps&quot;\)"/>
    <numFmt numFmtId="169" formatCode="#,##0.00&quot;bps&quot;_);\(#,##0.00&quot;bps&quot;\)"/>
    <numFmt numFmtId="170" formatCode="_(* #,##0.00&quot;x&quot;_);_(* \(#,##0.00&quot;x&quot;\);_(* &quot;-&quot;_);_(@_)"/>
  </numFmts>
  <fonts count="33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i/>
      <sz val="8"/>
      <color rgb="FFFF0000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  <font>
      <b/>
      <sz val="9"/>
      <color rgb="FF0000CC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lightGray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7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3" borderId="0" xfId="0" applyFont="1" applyFill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167" fontId="7" fillId="3" borderId="0" xfId="1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167" fontId="9" fillId="3" borderId="0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5" fontId="8" fillId="4" borderId="0" xfId="0" applyNumberFormat="1" applyFont="1" applyFill="1" applyAlignment="1">
      <alignment horizontal="right" vertical="top" wrapText="1"/>
    </xf>
    <xf numFmtId="167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4" borderId="0" xfId="0" applyFont="1" applyFill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7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164" fontId="15" fillId="0" borderId="0" xfId="2" applyNumberFormat="1" applyFont="1" applyBorder="1" applyAlignment="1">
      <alignment wrapText="1"/>
    </xf>
    <xf numFmtId="0" fontId="20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7" fontId="7" fillId="5" borderId="0" xfId="1" applyNumberFormat="1" applyFont="1" applyFill="1" applyBorder="1" applyAlignment="1">
      <alignment horizontal="right" vertical="center" wrapText="1"/>
    </xf>
    <xf numFmtId="167" fontId="9" fillId="5" borderId="0" xfId="1" applyNumberFormat="1" applyFont="1" applyFill="1" applyBorder="1" applyAlignment="1">
      <alignment horizontal="right" vertical="center" wrapText="1"/>
    </xf>
    <xf numFmtId="169" fontId="9" fillId="5" borderId="0" xfId="1" applyNumberFormat="1" applyFont="1" applyFill="1" applyBorder="1" applyAlignment="1">
      <alignment horizontal="right" vertical="center" wrapText="1"/>
    </xf>
    <xf numFmtId="0" fontId="8" fillId="0" borderId="6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170" fontId="4" fillId="0" borderId="0" xfId="0" applyNumberFormat="1" applyFont="1"/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8" fillId="6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3" fontId="21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0" fontId="8" fillId="6" borderId="9" xfId="0" applyFont="1" applyFill="1" applyBorder="1" applyAlignment="1">
      <alignment horizontal="right" vertical="center" wrapText="1"/>
    </xf>
    <xf numFmtId="0" fontId="4" fillId="0" borderId="9" xfId="0" applyFont="1" applyBorder="1"/>
    <xf numFmtId="37" fontId="4" fillId="0" borderId="10" xfId="0" applyNumberFormat="1" applyFont="1" applyBorder="1" applyAlignment="1">
      <alignment wrapText="1"/>
    </xf>
    <xf numFmtId="41" fontId="8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167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8" borderId="4" xfId="0" applyFont="1" applyFill="1" applyBorder="1" applyAlignment="1">
      <alignment horizontal="centerContinuous" vertical="center" wrapText="1"/>
    </xf>
    <xf numFmtId="0" fontId="4" fillId="8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2" fillId="9" borderId="4" xfId="0" applyFont="1" applyFill="1" applyBorder="1" applyAlignment="1">
      <alignment horizontal="centerContinuous" vertical="center" wrapText="1"/>
    </xf>
    <xf numFmtId="0" fontId="4" fillId="9" borderId="0" xfId="0" applyFont="1" applyFill="1" applyAlignment="1">
      <alignment wrapText="1"/>
    </xf>
    <xf numFmtId="0" fontId="5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14" fontId="3" fillId="9" borderId="0" xfId="0" applyNumberFormat="1" applyFont="1" applyFill="1" applyAlignment="1">
      <alignment horizontal="center" vertical="center" wrapText="1"/>
    </xf>
    <xf numFmtId="14" fontId="3" fillId="9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7" fontId="10" fillId="10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41" fontId="11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vertical="center" wrapText="1"/>
    </xf>
    <xf numFmtId="41" fontId="6" fillId="0" borderId="0" xfId="0" applyNumberFormat="1" applyFont="1"/>
    <xf numFmtId="0" fontId="14" fillId="3" borderId="0" xfId="0" applyFont="1" applyFill="1"/>
    <xf numFmtId="167" fontId="10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168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0" xfId="0" applyFont="1" applyAlignment="1">
      <alignment horizontal="left" wrapText="1"/>
    </xf>
    <xf numFmtId="41" fontId="7" fillId="0" borderId="9" xfId="0" applyNumberFormat="1" applyFont="1" applyBorder="1" applyAlignment="1">
      <alignment horizontal="right" vertical="top" wrapText="1"/>
    </xf>
    <xf numFmtId="0" fontId="30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top" wrapText="1" indent="1"/>
    </xf>
    <xf numFmtId="7" fontId="25" fillId="0" borderId="0" xfId="0" applyNumberFormat="1" applyFont="1" applyAlignment="1">
      <alignment horizontal="right"/>
    </xf>
    <xf numFmtId="41" fontId="8" fillId="6" borderId="0" xfId="0" applyNumberFormat="1" applyFont="1" applyFill="1" applyAlignment="1">
      <alignment horizontal="right" vertical="top" wrapText="1"/>
    </xf>
    <xf numFmtId="41" fontId="6" fillId="6" borderId="0" xfId="0" applyNumberFormat="1" applyFont="1" applyFill="1" applyAlignment="1">
      <alignment horizontal="right" vertical="top"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6" borderId="10" xfId="0" applyNumberFormat="1" applyFont="1" applyFill="1" applyBorder="1" applyAlignment="1">
      <alignment horizontal="right" vertical="top" wrapText="1"/>
    </xf>
    <xf numFmtId="41" fontId="8" fillId="0" borderId="10" xfId="0" applyNumberFormat="1" applyFont="1" applyBorder="1" applyAlignment="1">
      <alignment horizontal="right" vertical="top" wrapText="1"/>
    </xf>
    <xf numFmtId="41" fontId="6" fillId="6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0" fontId="8" fillId="0" borderId="9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41" fontId="6" fillId="0" borderId="14" xfId="0" applyNumberFormat="1" applyFont="1" applyBorder="1" applyAlignment="1">
      <alignment horizontal="right" vertical="top" wrapText="1"/>
    </xf>
    <xf numFmtId="41" fontId="25" fillId="0" borderId="0" xfId="0" applyNumberFormat="1" applyFont="1" applyAlignment="1">
      <alignment vertical="center"/>
    </xf>
    <xf numFmtId="41" fontId="4" fillId="0" borderId="0" xfId="0" applyNumberFormat="1" applyFont="1" applyAlignment="1">
      <alignment vertical="center"/>
    </xf>
    <xf numFmtId="9" fontId="11" fillId="0" borderId="0" xfId="1" applyFont="1"/>
    <xf numFmtId="0" fontId="4" fillId="0" borderId="6" xfId="0" applyFont="1" applyBorder="1"/>
    <xf numFmtId="0" fontId="4" fillId="0" borderId="2" xfId="0" applyFont="1" applyBorder="1"/>
    <xf numFmtId="167" fontId="31" fillId="0" borderId="0" xfId="1" applyNumberFormat="1" applyFont="1" applyBorder="1" applyAlignment="1">
      <alignment horizontal="right" vertical="center" wrapText="1"/>
    </xf>
    <xf numFmtId="167" fontId="31" fillId="0" borderId="6" xfId="1" applyNumberFormat="1" applyFont="1" applyBorder="1" applyAlignment="1">
      <alignment horizontal="right" vertical="center" wrapText="1"/>
    </xf>
    <xf numFmtId="0" fontId="4" fillId="0" borderId="16" xfId="0" applyFont="1" applyBorder="1"/>
    <xf numFmtId="0" fontId="4" fillId="0" borderId="15" xfId="0" applyFont="1" applyBorder="1"/>
    <xf numFmtId="167" fontId="31" fillId="0" borderId="2" xfId="1" applyNumberFormat="1" applyFont="1" applyBorder="1" applyAlignment="1">
      <alignment horizontal="right" vertical="center" wrapText="1"/>
    </xf>
    <xf numFmtId="0" fontId="4" fillId="0" borderId="20" xfId="0" applyFont="1" applyBorder="1"/>
    <xf numFmtId="0" fontId="10" fillId="7" borderId="19" xfId="0" applyFont="1" applyFill="1" applyBorder="1" applyAlignment="1">
      <alignment horizontal="left" vertical="center" wrapText="1" indent="1"/>
    </xf>
    <xf numFmtId="0" fontId="10" fillId="7" borderId="17" xfId="0" applyFont="1" applyFill="1" applyBorder="1" applyAlignment="1">
      <alignment horizontal="left" vertical="center" wrapText="1" indent="1"/>
    </xf>
    <xf numFmtId="0" fontId="10" fillId="7" borderId="18" xfId="0" applyFont="1" applyFill="1" applyBorder="1" applyAlignment="1">
      <alignment horizontal="left" vertical="center" wrapText="1" indent="1"/>
    </xf>
    <xf numFmtId="167" fontId="10" fillId="0" borderId="6" xfId="1" applyNumberFormat="1" applyFont="1" applyBorder="1" applyAlignment="1">
      <alignment horizontal="right" vertical="center" wrapText="1"/>
    </xf>
    <xf numFmtId="170" fontId="11" fillId="0" borderId="0" xfId="0" applyNumberFormat="1" applyFont="1"/>
    <xf numFmtId="170" fontId="8" fillId="3" borderId="2" xfId="0" applyNumberFormat="1" applyFont="1" applyFill="1" applyBorder="1" applyAlignment="1">
      <alignment horizontal="right" vertical="top" wrapText="1"/>
    </xf>
    <xf numFmtId="9" fontId="8" fillId="3" borderId="2" xfId="1" applyFont="1" applyFill="1" applyBorder="1" applyAlignment="1">
      <alignment horizontal="right" vertical="top" wrapText="1"/>
    </xf>
    <xf numFmtId="5" fontId="8" fillId="3" borderId="0" xfId="0" applyNumberFormat="1" applyFont="1" applyFill="1" applyAlignment="1">
      <alignment horizontal="right" vertical="top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5" fontId="32" fillId="3" borderId="2" xfId="0" applyNumberFormat="1" applyFont="1" applyFill="1" applyBorder="1" applyAlignment="1">
      <alignment horizontal="right" vertical="top" wrapText="1"/>
    </xf>
    <xf numFmtId="41" fontId="11" fillId="10" borderId="0" xfId="0" applyNumberFormat="1" applyFont="1" applyFill="1" applyAlignment="1">
      <alignment horizontal="right" vertical="top" wrapText="1"/>
    </xf>
    <xf numFmtId="5" fontId="6" fillId="0" borderId="0" xfId="0" applyNumberFormat="1" applyFont="1" applyAlignment="1">
      <alignment horizontal="right" vertical="top" wrapText="1"/>
    </xf>
    <xf numFmtId="41" fontId="11" fillId="0" borderId="0" xfId="0" applyNumberFormat="1" applyFont="1" applyAlignment="1">
      <alignment vertical="center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AppData\Local\Temp\4819e2e9-aa78-4b81-b055-71c9923ae613_DCF-Modeling-Course-DL-Kit%20(7).zip.613\DCF%20Model.xlsx" TargetMode="External"/><Relationship Id="rId1" Type="http://schemas.openxmlformats.org/officeDocument/2006/relationships/externalLinkPath" Target="/Users/Felix/AppData/Local/Temp/4819e2e9-aa78-4b81-b055-71c9923ae613_DCF-Modeling-Course-DL-Kit%20(7).zip.613/DCF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 "/>
      <sheetName val="Simple DCF Empty"/>
      <sheetName val="Simple DCF Done"/>
      <sheetName val="WACC Empty"/>
      <sheetName val="WACC Done"/>
      <sheetName val="Shares Empty"/>
      <sheetName val="Shares"/>
      <sheetName val="DCF 1-Pager"/>
      <sheetName val="2019 FSM Update Complete"/>
      <sheetName val="Integrated DCF Empty"/>
      <sheetName val="Integrated DCF"/>
    </sheetNames>
    <sheetDataSet>
      <sheetData sheetId="0"/>
      <sheetData sheetId="1" refreshError="1"/>
      <sheetData sheetId="2">
        <row r="5">
          <cell r="H5">
            <v>273.52</v>
          </cell>
        </row>
      </sheetData>
      <sheetData sheetId="3" refreshError="1"/>
      <sheetData sheetId="4"/>
      <sheetData sheetId="5" refreshError="1"/>
      <sheetData sheetId="6">
        <row r="25">
          <cell r="E25">
            <v>14543</v>
          </cell>
        </row>
      </sheetData>
      <sheetData sheetId="7" refreshError="1"/>
      <sheetData sheetId="8"/>
      <sheetData sheetId="9">
        <row r="128">
          <cell r="B128" t="str">
            <v>DCF Value at 11.0x-15.0x Exit EBITDA Range at 9.0% WACC</v>
          </cell>
          <cell r="C128">
            <v>20.680633001583054</v>
          </cell>
          <cell r="D128">
            <v>0</v>
          </cell>
          <cell r="E128">
            <v>20.680633001583054</v>
          </cell>
          <cell r="G128" t="str">
            <v>LTM EBITDA Purchase Multiple at 2.0%-4.0% Perpetuity Growth at 9.0% WACC</v>
          </cell>
          <cell r="O128" t="e">
            <v>#DIV/0!</v>
          </cell>
          <cell r="P128" t="e">
            <v>#DIV/0!</v>
          </cell>
          <cell r="Q128" t="e">
            <v>#DIV/0!</v>
          </cell>
        </row>
        <row r="129">
          <cell r="B129" t="str">
            <v>DCF Value at 2.0%-4.0% Perpetuity Range at 9.0% WACC</v>
          </cell>
          <cell r="C129">
            <v>20.680633001583054</v>
          </cell>
          <cell r="D129">
            <v>0</v>
          </cell>
          <cell r="E129">
            <v>20.680633001583054</v>
          </cell>
          <cell r="G129" t="e">
            <v>#DIV/0!</v>
          </cell>
          <cell r="O129" t="e">
            <v>#DIV/0!</v>
          </cell>
          <cell r="P129" t="e">
            <v>#DIV/0!</v>
          </cell>
          <cell r="Q129" t="e">
            <v>#DIV/0!</v>
          </cell>
        </row>
        <row r="130">
          <cell r="B130" t="str">
            <v>52 Week Market High/Low</v>
          </cell>
          <cell r="C130">
            <v>169.5</v>
          </cell>
          <cell r="D130">
            <v>158.35000000000002</v>
          </cell>
          <cell r="E130">
            <v>327.85</v>
          </cell>
          <cell r="G130" t="str">
            <v>LTM EBITDA Purchase Multiple at 7.0%-11.0% WACC at 13.0x Exit EBITDA</v>
          </cell>
          <cell r="O130" t="e">
            <v>#DIV/0!</v>
          </cell>
          <cell r="P130" t="e">
            <v>#DIV/0!</v>
          </cell>
          <cell r="Q130" t="e">
            <v>#DIV/0!</v>
          </cell>
        </row>
      </sheetData>
      <sheetData sheetId="1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R144"/>
  <sheetViews>
    <sheetView showGridLines="0" topLeftCell="A44" zoomScaleNormal="100" workbookViewId="0">
      <selection activeCell="B57" sqref="B57"/>
    </sheetView>
  </sheetViews>
  <sheetFormatPr defaultRowHeight="12" outlineLevelCol="1"/>
  <cols>
    <col min="1" max="1" width="1.625" style="5" bestFit="1" customWidth="1"/>
    <col min="2" max="2" width="38.125" style="5" customWidth="1"/>
    <col min="3" max="5" width="8.625" style="5" bestFit="1" customWidth="1"/>
    <col min="6" max="6" width="1.5" style="5" customWidth="1"/>
    <col min="7" max="16" width="8.25" style="5" customWidth="1"/>
    <col min="17" max="17" width="8.25" style="5" bestFit="1" customWidth="1"/>
    <col min="18" max="18" width="8.625" style="5" bestFit="1" customWidth="1"/>
    <col min="19" max="19" width="8.25" style="5" bestFit="1" customWidth="1"/>
    <col min="20" max="21" width="8.625" style="5" bestFit="1" customWidth="1"/>
    <col min="22" max="22" width="1.5" style="5" customWidth="1"/>
    <col min="23" max="31" width="8.625" style="5" hidden="1" customWidth="1" outlineLevel="1"/>
    <col min="32" max="34" width="8" style="5" hidden="1" customWidth="1" outlineLevel="1"/>
    <col min="35" max="35" width="8.625" style="5" hidden="1" customWidth="1" outlineLevel="1"/>
    <col min="36" max="37" width="8.25" style="5" hidden="1" customWidth="1" outlineLevel="1"/>
    <col min="38" max="38" width="8.25" style="5" customWidth="1" collapsed="1"/>
    <col min="39" max="39" width="8.625" style="5" hidden="1" customWidth="1" outlineLevel="1"/>
    <col min="40" max="40" width="8.25" style="5" hidden="1" customWidth="1" outlineLevel="1"/>
    <col min="41" max="41" width="8.625" style="5" hidden="1" customWidth="1" outlineLevel="1"/>
    <col min="42" max="42" width="8.625" style="5" bestFit="1" customWidth="1" collapsed="1"/>
    <col min="43" max="43" width="1.25" style="5" customWidth="1"/>
    <col min="44" max="44" width="8" style="5" bestFit="1" customWidth="1"/>
    <col min="45" max="45" width="1.375" style="5" customWidth="1"/>
    <col min="46" max="16384" width="9" style="5"/>
  </cols>
  <sheetData>
    <row r="2" spans="1:44" ht="12.75" customHeight="1">
      <c r="B2" s="1" t="s">
        <v>97</v>
      </c>
      <c r="C2" s="103"/>
      <c r="D2" s="103"/>
      <c r="E2" s="103"/>
      <c r="F2" s="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3"/>
      <c r="AR2" s="1"/>
    </row>
    <row r="3" spans="1:44" ht="12.75" customHeight="1">
      <c r="B3" s="6" t="s">
        <v>69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3"/>
      <c r="AR3" s="1"/>
    </row>
    <row r="4" spans="1:44" ht="12.75" customHeight="1">
      <c r="B4" s="6" t="s">
        <v>66</v>
      </c>
      <c r="C4" s="3"/>
      <c r="D4" s="8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1"/>
    </row>
    <row r="6" spans="1:44" ht="12.75" customHeight="1">
      <c r="A6" s="5" t="s">
        <v>12</v>
      </c>
      <c r="B6" s="1" t="s">
        <v>67</v>
      </c>
      <c r="C6" s="2" t="s">
        <v>0</v>
      </c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2"/>
      <c r="S6" s="2"/>
      <c r="T6" s="2"/>
      <c r="U6" s="2"/>
      <c r="V6" s="3"/>
      <c r="W6" s="2" t="s">
        <v>6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 t="s">
        <v>6</v>
      </c>
      <c r="AL6" s="2" t="s">
        <v>6</v>
      </c>
      <c r="AM6" s="2"/>
      <c r="AN6" s="2"/>
      <c r="AO6" s="2"/>
      <c r="AP6" s="2"/>
      <c r="AQ6" s="41"/>
      <c r="AR6" s="169" t="s">
        <v>16</v>
      </c>
    </row>
    <row r="7" spans="1:44" ht="12.75" customHeight="1">
      <c r="B7" s="6" t="s">
        <v>70</v>
      </c>
      <c r="C7" s="7">
        <v>2022</v>
      </c>
      <c r="D7" s="7">
        <v>2023</v>
      </c>
      <c r="E7" s="7">
        <v>2024</v>
      </c>
      <c r="F7" s="3"/>
      <c r="G7" s="4" t="s">
        <v>170</v>
      </c>
      <c r="H7" s="4" t="s">
        <v>18</v>
      </c>
      <c r="I7" s="4" t="s">
        <v>171</v>
      </c>
      <c r="J7" s="4" t="s">
        <v>172</v>
      </c>
      <c r="K7" s="4" t="s">
        <v>169</v>
      </c>
      <c r="L7" s="4" t="s">
        <v>168</v>
      </c>
      <c r="M7" s="4" t="s">
        <v>167</v>
      </c>
      <c r="N7" s="4" t="s">
        <v>166</v>
      </c>
      <c r="O7" s="4" t="s">
        <v>2</v>
      </c>
      <c r="P7" s="4" t="s">
        <v>3</v>
      </c>
      <c r="Q7" s="4" t="s">
        <v>4</v>
      </c>
      <c r="R7" s="4" t="s">
        <v>5</v>
      </c>
      <c r="S7" s="4" t="s">
        <v>19</v>
      </c>
      <c r="T7" s="4" t="s">
        <v>20</v>
      </c>
      <c r="U7" s="4" t="s">
        <v>55</v>
      </c>
      <c r="V7" s="3"/>
      <c r="W7" s="4" t="e">
        <f>#REF!</f>
        <v>#REF!</v>
      </c>
      <c r="X7" s="4" t="e">
        <f>#REF!</f>
        <v>#REF!</v>
      </c>
      <c r="Y7" s="4" t="e">
        <f>#REF!</f>
        <v>#REF!</v>
      </c>
      <c r="Z7" s="4" t="e">
        <f>#REF!</f>
        <v>#REF!</v>
      </c>
      <c r="AA7" s="4" t="e">
        <f>#REF!</f>
        <v>#REF!</v>
      </c>
      <c r="AB7" s="4" t="e">
        <f>#REF!</f>
        <v>#REF!</v>
      </c>
      <c r="AC7" s="4" t="e">
        <f>#REF!</f>
        <v>#REF!</v>
      </c>
      <c r="AD7" s="4" t="e">
        <f>#REF!</f>
        <v>#REF!</v>
      </c>
      <c r="AE7" s="4" t="e">
        <f>#REF!</f>
        <v>#REF!</v>
      </c>
      <c r="AF7" s="4" t="e">
        <f>#REF!</f>
        <v>#REF!</v>
      </c>
      <c r="AG7" s="4" t="e">
        <f>#REF!</f>
        <v>#REF!</v>
      </c>
      <c r="AH7" s="4" t="e">
        <f>#REF!</f>
        <v>#REF!</v>
      </c>
      <c r="AI7" s="4" t="e">
        <f>#REF!</f>
        <v>#REF!</v>
      </c>
      <c r="AJ7" s="4" t="str">
        <f t="shared" ref="AJ7:AP8" si="0">O7</f>
        <v>1Q24</v>
      </c>
      <c r="AK7" s="4" t="str">
        <f t="shared" si="0"/>
        <v>2Q24</v>
      </c>
      <c r="AL7" s="4" t="str">
        <f t="shared" si="0"/>
        <v>3Q24</v>
      </c>
      <c r="AM7" s="4" t="str">
        <f t="shared" si="0"/>
        <v>4Q24</v>
      </c>
      <c r="AN7" s="4" t="str">
        <f t="shared" si="0"/>
        <v>1Q25</v>
      </c>
      <c r="AO7" s="4" t="str">
        <f t="shared" si="0"/>
        <v>2Q25</v>
      </c>
      <c r="AP7" s="4" t="str">
        <f t="shared" si="0"/>
        <v>3Q25</v>
      </c>
      <c r="AQ7" s="41"/>
      <c r="AR7" s="169"/>
    </row>
    <row r="8" spans="1:44" ht="12.75" customHeight="1">
      <c r="B8" s="6" t="s">
        <v>71</v>
      </c>
      <c r="C8" s="3">
        <v>44926</v>
      </c>
      <c r="D8" s="86">
        <v>45291</v>
      </c>
      <c r="E8" s="3">
        <v>45657</v>
      </c>
      <c r="F8" s="3"/>
      <c r="G8" s="3">
        <v>44651</v>
      </c>
      <c r="H8" s="3">
        <v>44742</v>
      </c>
      <c r="I8" s="3">
        <v>44834</v>
      </c>
      <c r="J8" s="3">
        <f>C8</f>
        <v>44926</v>
      </c>
      <c r="K8" s="3">
        <v>45016</v>
      </c>
      <c r="L8" s="3">
        <v>45107</v>
      </c>
      <c r="M8" s="3">
        <v>45199</v>
      </c>
      <c r="N8" s="3">
        <f>D8</f>
        <v>45291</v>
      </c>
      <c r="O8" s="3">
        <v>45382</v>
      </c>
      <c r="P8" s="3">
        <v>45473</v>
      </c>
      <c r="Q8" s="3">
        <v>45565</v>
      </c>
      <c r="R8" s="3">
        <f>E8</f>
        <v>45657</v>
      </c>
      <c r="S8" s="3">
        <v>45747</v>
      </c>
      <c r="T8" s="3">
        <v>45838</v>
      </c>
      <c r="U8" s="3">
        <v>45930</v>
      </c>
      <c r="V8" s="3"/>
      <c r="W8" s="3" t="e">
        <f>#REF!</f>
        <v>#REF!</v>
      </c>
      <c r="X8" s="3" t="e">
        <f>#REF!</f>
        <v>#REF!</v>
      </c>
      <c r="Y8" s="3" t="e">
        <f>#REF!</f>
        <v>#REF!</v>
      </c>
      <c r="Z8" s="3" t="e">
        <f>#REF!</f>
        <v>#REF!</v>
      </c>
      <c r="AA8" s="3" t="e">
        <f>#REF!</f>
        <v>#REF!</v>
      </c>
      <c r="AB8" s="3" t="e">
        <f>#REF!</f>
        <v>#REF!</v>
      </c>
      <c r="AC8" s="3" t="e">
        <f>#REF!</f>
        <v>#REF!</v>
      </c>
      <c r="AD8" s="3" t="e">
        <f>#REF!</f>
        <v>#REF!</v>
      </c>
      <c r="AE8" s="3" t="e">
        <f>#REF!</f>
        <v>#REF!</v>
      </c>
      <c r="AF8" s="3" t="e">
        <f>#REF!</f>
        <v>#REF!</v>
      </c>
      <c r="AG8" s="3" t="e">
        <f>#REF!</f>
        <v>#REF!</v>
      </c>
      <c r="AH8" s="3" t="e">
        <f>#REF!</f>
        <v>#REF!</v>
      </c>
      <c r="AI8" s="3" t="e">
        <f>#REF!</f>
        <v>#REF!</v>
      </c>
      <c r="AJ8" s="3">
        <f t="shared" si="0"/>
        <v>45382</v>
      </c>
      <c r="AK8" s="3">
        <f t="shared" si="0"/>
        <v>45473</v>
      </c>
      <c r="AL8" s="3">
        <f t="shared" si="0"/>
        <v>45565</v>
      </c>
      <c r="AM8" s="3">
        <f t="shared" si="0"/>
        <v>45657</v>
      </c>
      <c r="AN8" s="3">
        <f t="shared" si="0"/>
        <v>45747</v>
      </c>
      <c r="AO8" s="3">
        <f t="shared" si="0"/>
        <v>45838</v>
      </c>
      <c r="AP8" s="3">
        <f t="shared" si="0"/>
        <v>45930</v>
      </c>
      <c r="AQ8" s="41"/>
      <c r="AR8" s="169"/>
    </row>
    <row r="9" spans="1:44" ht="5.0999999999999996" customHeight="1">
      <c r="AR9" s="102"/>
    </row>
    <row r="10" spans="1:44" ht="12.75" customHeight="1">
      <c r="B10" s="10" t="s">
        <v>50</v>
      </c>
      <c r="C10" s="97">
        <v>1904</v>
      </c>
      <c r="D10" s="97">
        <v>2276</v>
      </c>
      <c r="E10" s="97">
        <v>2811</v>
      </c>
      <c r="F10" s="12"/>
      <c r="G10" s="97">
        <v>457.87832150999992</v>
      </c>
      <c r="H10" s="97">
        <v>483.44314142999906</v>
      </c>
      <c r="I10" s="97">
        <v>433.10786647999998</v>
      </c>
      <c r="J10" s="34">
        <f>SUM(C10-SUM(G10:I10))</f>
        <v>529.57067058000098</v>
      </c>
      <c r="K10" s="97">
        <v>484.15423070000003</v>
      </c>
      <c r="L10" s="97">
        <v>534.07557195999993</v>
      </c>
      <c r="M10" s="97">
        <v>574.77937509999902</v>
      </c>
      <c r="N10" s="34">
        <f>SUM(D10-SUM(K10:M10))</f>
        <v>682.99082224000108</v>
      </c>
      <c r="O10" s="97">
        <v>635.32869200000005</v>
      </c>
      <c r="P10" s="97">
        <v>675.93368399999997</v>
      </c>
      <c r="Q10" s="97">
        <v>718.35223199999996</v>
      </c>
      <c r="R10" s="34">
        <f>SUM(E10-SUM(O10:Q10))</f>
        <v>781.38539199999991</v>
      </c>
      <c r="S10" s="83">
        <v>701.137156</v>
      </c>
      <c r="T10" s="83">
        <v>823.1016239999999</v>
      </c>
      <c r="U10" s="83">
        <v>903</v>
      </c>
      <c r="W10" s="34" t="e">
        <f>SUM(#REF!)</f>
        <v>#REF!</v>
      </c>
      <c r="X10" s="34" t="e">
        <f>SUM(#REF!)</f>
        <v>#REF!</v>
      </c>
      <c r="Y10" s="34" t="e">
        <f>SUM(#REF!)</f>
        <v>#REF!</v>
      </c>
      <c r="Z10" s="34" t="e">
        <f>SUM(#REF!)</f>
        <v>#REF!</v>
      </c>
      <c r="AA10" s="34" t="e">
        <f>SUM(#REF!)</f>
        <v>#REF!</v>
      </c>
      <c r="AB10" s="34" t="e">
        <f>SUM(#REF!)</f>
        <v>#REF!</v>
      </c>
      <c r="AC10" s="34" t="e">
        <f>SUM(#REF!)</f>
        <v>#REF!</v>
      </c>
      <c r="AD10" s="34" t="e">
        <f>SUM(#REF!)</f>
        <v>#REF!</v>
      </c>
      <c r="AE10" s="34" t="e">
        <f>SUM(#REF!)</f>
        <v>#REF!</v>
      </c>
      <c r="AF10" s="34" t="e">
        <f>SUM(#REF!)</f>
        <v>#REF!</v>
      </c>
      <c r="AG10" s="34" t="e">
        <f>SUM(#REF!)</f>
        <v>#REF!</v>
      </c>
      <c r="AH10" s="34" t="e">
        <f>SUM(#REF!)</f>
        <v>#REF!</v>
      </c>
      <c r="AI10" s="34" t="e">
        <f>SUM(#REF!)</f>
        <v>#REF!</v>
      </c>
      <c r="AJ10" s="34">
        <f>SUM(O10:O10)</f>
        <v>635.32869200000005</v>
      </c>
      <c r="AK10" s="34">
        <f>SUM(O10:P10)</f>
        <v>1311.2623760000001</v>
      </c>
      <c r="AL10" s="34">
        <f>SUM(O10:Q10)</f>
        <v>2029.6146080000001</v>
      </c>
      <c r="AM10" s="34">
        <f t="shared" ref="AM10:AP10" si="1">SUM(O10:R10)</f>
        <v>2811</v>
      </c>
      <c r="AN10" s="34">
        <f t="shared" si="1"/>
        <v>2876.8084639999997</v>
      </c>
      <c r="AO10" s="34">
        <f t="shared" si="1"/>
        <v>3023.976404</v>
      </c>
      <c r="AP10" s="34">
        <f t="shared" si="1"/>
        <v>3208.6241719999998</v>
      </c>
      <c r="AQ10" s="43"/>
      <c r="AR10" s="13">
        <f>SUM(AP10/AL10)-1</f>
        <v>0.58090317213562326</v>
      </c>
    </row>
    <row r="11" spans="1:44" ht="12.75" customHeight="1">
      <c r="B11" s="14" t="s">
        <v>8</v>
      </c>
      <c r="C11" s="15">
        <f t="shared" ref="C11:E11" si="2">+SUM(C10:C10)</f>
        <v>1904</v>
      </c>
      <c r="D11" s="15">
        <f t="shared" si="2"/>
        <v>2276</v>
      </c>
      <c r="E11" s="15">
        <f t="shared" si="2"/>
        <v>2811</v>
      </c>
      <c r="F11" s="12"/>
      <c r="G11" s="15">
        <f t="shared" ref="G11:J11" si="3">+SUM(G10:G10)</f>
        <v>457.87832150999992</v>
      </c>
      <c r="H11" s="15">
        <f t="shared" si="3"/>
        <v>483.44314142999906</v>
      </c>
      <c r="I11" s="15">
        <f t="shared" si="3"/>
        <v>433.10786647999998</v>
      </c>
      <c r="J11" s="15">
        <f t="shared" si="3"/>
        <v>529.57067058000098</v>
      </c>
      <c r="K11" s="15">
        <f t="shared" ref="K11:N11" si="4">+SUM(K10:K10)</f>
        <v>484.15423070000003</v>
      </c>
      <c r="L11" s="15">
        <f t="shared" si="4"/>
        <v>534.07557195999993</v>
      </c>
      <c r="M11" s="15">
        <f t="shared" si="4"/>
        <v>574.77937509999902</v>
      </c>
      <c r="N11" s="15">
        <f t="shared" si="4"/>
        <v>682.99082224000108</v>
      </c>
      <c r="O11" s="15">
        <f t="shared" ref="O11:T11" si="5">+SUM(O10:O10)</f>
        <v>635.32869200000005</v>
      </c>
      <c r="P11" s="15">
        <f t="shared" si="5"/>
        <v>675.93368399999997</v>
      </c>
      <c r="Q11" s="15">
        <f t="shared" si="5"/>
        <v>718.35223199999996</v>
      </c>
      <c r="R11" s="15">
        <f t="shared" si="5"/>
        <v>781.38539199999991</v>
      </c>
      <c r="S11" s="15">
        <f t="shared" si="5"/>
        <v>701.137156</v>
      </c>
      <c r="T11" s="15">
        <f t="shared" si="5"/>
        <v>823.1016239999999</v>
      </c>
      <c r="U11" s="15">
        <f>+SUM(U10:U10)</f>
        <v>903</v>
      </c>
      <c r="W11" s="15" t="e">
        <f t="shared" ref="W11:AD11" si="6">+SUM(W10:W10)</f>
        <v>#REF!</v>
      </c>
      <c r="X11" s="15" t="e">
        <f t="shared" si="6"/>
        <v>#REF!</v>
      </c>
      <c r="Y11" s="15" t="e">
        <f t="shared" si="6"/>
        <v>#REF!</v>
      </c>
      <c r="Z11" s="15" t="e">
        <f t="shared" si="6"/>
        <v>#REF!</v>
      </c>
      <c r="AA11" s="15" t="e">
        <f t="shared" si="6"/>
        <v>#REF!</v>
      </c>
      <c r="AB11" s="15" t="e">
        <f t="shared" si="6"/>
        <v>#REF!</v>
      </c>
      <c r="AC11" s="15" t="e">
        <f t="shared" si="6"/>
        <v>#REF!</v>
      </c>
      <c r="AD11" s="15" t="e">
        <f t="shared" si="6"/>
        <v>#REF!</v>
      </c>
      <c r="AE11" s="15" t="e">
        <f t="shared" ref="AE11:AO11" si="7">+SUM(AE10:AE10)</f>
        <v>#REF!</v>
      </c>
      <c r="AF11" s="15" t="e">
        <f t="shared" si="7"/>
        <v>#REF!</v>
      </c>
      <c r="AG11" s="15" t="e">
        <f t="shared" si="7"/>
        <v>#REF!</v>
      </c>
      <c r="AH11" s="15" t="e">
        <f t="shared" si="7"/>
        <v>#REF!</v>
      </c>
      <c r="AI11" s="15" t="e">
        <f t="shared" si="7"/>
        <v>#REF!</v>
      </c>
      <c r="AJ11" s="15">
        <f t="shared" si="7"/>
        <v>635.32869200000005</v>
      </c>
      <c r="AK11" s="15">
        <f t="shared" si="7"/>
        <v>1311.2623760000001</v>
      </c>
      <c r="AL11" s="15">
        <f t="shared" si="7"/>
        <v>2029.6146080000001</v>
      </c>
      <c r="AM11" s="15">
        <f t="shared" si="7"/>
        <v>2811</v>
      </c>
      <c r="AN11" s="15">
        <f t="shared" si="7"/>
        <v>2876.8084639999997</v>
      </c>
      <c r="AO11" s="15">
        <f t="shared" si="7"/>
        <v>3023.976404</v>
      </c>
      <c r="AP11" s="15">
        <f>+SUM(AP10:AP10)</f>
        <v>3208.6241719999998</v>
      </c>
      <c r="AQ11" s="43"/>
      <c r="AR11" s="16">
        <f>SUM(AP11/AL11)-1</f>
        <v>0.58090317213562326</v>
      </c>
    </row>
    <row r="12" spans="1:44" s="22" customFormat="1" ht="5.0999999999999996" customHeight="1">
      <c r="B12" s="20"/>
      <c r="C12" s="21"/>
      <c r="D12" s="21"/>
      <c r="E12" s="2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23"/>
      <c r="U12" s="23"/>
      <c r="AR12" s="76"/>
    </row>
    <row r="13" spans="1:44" ht="12.75" customHeight="1">
      <c r="B13" s="10" t="s">
        <v>100</v>
      </c>
      <c r="C13" s="83">
        <v>-520</v>
      </c>
      <c r="D13" s="83">
        <v>-541</v>
      </c>
      <c r="E13" s="83">
        <v>-596</v>
      </c>
      <c r="F13" s="26"/>
      <c r="G13" s="83">
        <v>-122.86114693</v>
      </c>
      <c r="H13" s="83">
        <v>-140.3493009</v>
      </c>
      <c r="I13" s="83">
        <v>-119.00793139</v>
      </c>
      <c r="J13" s="34">
        <f t="shared" ref="J13:J15" si="8">SUM(C13-SUM(G13:I13))</f>
        <v>-137.78162077999997</v>
      </c>
      <c r="K13" s="83">
        <v>-127.98129546</v>
      </c>
      <c r="L13" s="83">
        <v>-131.41074553000001</v>
      </c>
      <c r="M13" s="83">
        <v>-133.22808841</v>
      </c>
      <c r="N13" s="34">
        <f t="shared" ref="N13:N15" si="9">SUM(D13-SUM(K13:M13))</f>
        <v>-148.3798706</v>
      </c>
      <c r="O13" s="83">
        <v>-135.901644</v>
      </c>
      <c r="P13" s="83">
        <v>-148.01296400000001</v>
      </c>
      <c r="Q13" s="83">
        <v>-151.29141200000001</v>
      </c>
      <c r="R13" s="34">
        <f>SUM(E13-SUM(O13:Q13))</f>
        <v>-160.79397999999992</v>
      </c>
      <c r="S13" s="83">
        <v>-163.90402399999999</v>
      </c>
      <c r="T13" s="83">
        <v>-187.170152</v>
      </c>
      <c r="U13" s="83">
        <v>-208</v>
      </c>
      <c r="W13" s="34" t="e">
        <f>SUM(#REF!)</f>
        <v>#REF!</v>
      </c>
      <c r="X13" s="34" t="e">
        <f>SUM(#REF!)</f>
        <v>#REF!</v>
      </c>
      <c r="Y13" s="34" t="e">
        <f>SUM(#REF!)</f>
        <v>#REF!</v>
      </c>
      <c r="Z13" s="34" t="e">
        <f>SUM(#REF!)</f>
        <v>#REF!</v>
      </c>
      <c r="AA13" s="34" t="e">
        <f>SUM(#REF!)</f>
        <v>#REF!</v>
      </c>
      <c r="AB13" s="34" t="e">
        <f>SUM(#REF!)</f>
        <v>#REF!</v>
      </c>
      <c r="AC13" s="34" t="e">
        <f>SUM(#REF!)</f>
        <v>#REF!</v>
      </c>
      <c r="AD13" s="34" t="e">
        <f>SUM(#REF!)</f>
        <v>#REF!</v>
      </c>
      <c r="AE13" s="34" t="e">
        <f>SUM(#REF!)</f>
        <v>#REF!</v>
      </c>
      <c r="AF13" s="34" t="e">
        <f>SUM(#REF!)</f>
        <v>#REF!</v>
      </c>
      <c r="AG13" s="34" t="e">
        <f>SUM(#REF!)</f>
        <v>#REF!</v>
      </c>
      <c r="AH13" s="34" t="e">
        <f>SUM(#REF!)</f>
        <v>#REF!</v>
      </c>
      <c r="AI13" s="34" t="e">
        <f>SUM(#REF!)</f>
        <v>#REF!</v>
      </c>
      <c r="AJ13" s="34">
        <f>SUM(O13:O13)</f>
        <v>-135.901644</v>
      </c>
      <c r="AK13" s="34">
        <f>SUM(O13:P13)</f>
        <v>-283.91460800000004</v>
      </c>
      <c r="AL13" s="34">
        <f>SUM(O13:Q13)</f>
        <v>-435.20602000000008</v>
      </c>
      <c r="AM13" s="34">
        <f t="shared" ref="AM13:AP13" si="10">SUM(O13:R13)</f>
        <v>-596</v>
      </c>
      <c r="AN13" s="34">
        <f t="shared" si="10"/>
        <v>-624.0023799999999</v>
      </c>
      <c r="AO13" s="34">
        <f t="shared" si="10"/>
        <v>-663.15956799999992</v>
      </c>
      <c r="AP13" s="34">
        <f t="shared" si="10"/>
        <v>-719.86815599999989</v>
      </c>
      <c r="AQ13" s="12"/>
      <c r="AR13" s="76">
        <f>SUM(AP13/AL13)-1</f>
        <v>0.65408593382968316</v>
      </c>
    </row>
    <row r="14" spans="1:44" ht="12.75" customHeight="1">
      <c r="B14" s="10" t="s">
        <v>101</v>
      </c>
      <c r="C14" s="83">
        <v>-550</v>
      </c>
      <c r="D14" s="83">
        <v>-353</v>
      </c>
      <c r="E14" s="83">
        <v>-495</v>
      </c>
      <c r="F14" s="26"/>
      <c r="G14" s="83">
        <v>-124.71731129</v>
      </c>
      <c r="H14" s="83">
        <v>-166.09765686</v>
      </c>
      <c r="I14" s="83">
        <v>-136.43860513999999</v>
      </c>
      <c r="J14" s="34">
        <f t="shared" si="8"/>
        <v>-122.74642670999998</v>
      </c>
      <c r="K14" s="83">
        <v>-72.849766209999999</v>
      </c>
      <c r="L14" s="83">
        <v>-88.327095760000006</v>
      </c>
      <c r="M14" s="83">
        <v>-72.010590780000001</v>
      </c>
      <c r="N14" s="34">
        <f t="shared" si="9"/>
        <v>-119.81254724999999</v>
      </c>
      <c r="O14" s="83">
        <v>-116.66508</v>
      </c>
      <c r="P14" s="83">
        <v>-106.30730800000001</v>
      </c>
      <c r="Q14" s="83">
        <v>-115.608052</v>
      </c>
      <c r="R14" s="34">
        <f t="shared" ref="R14:R15" si="11">SUM(E14-SUM(O14:Q14))</f>
        <v>-156.41955999999999</v>
      </c>
      <c r="S14" s="83">
        <v>-136.19618</v>
      </c>
      <c r="T14" s="83">
        <v>-173.5701</v>
      </c>
      <c r="U14" s="83">
        <v>-235</v>
      </c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>
        <f t="shared" ref="AL14:AL15" si="12">SUM(O14:Q14)</f>
        <v>-338.58044000000001</v>
      </c>
      <c r="AM14" s="34">
        <f t="shared" ref="AM14:AM15" si="13">SUM(O14:R14)</f>
        <v>-495</v>
      </c>
      <c r="AN14" s="34">
        <f t="shared" ref="AN14:AN15" si="14">SUM(P14:S14)</f>
        <v>-514.53110000000004</v>
      </c>
      <c r="AO14" s="34">
        <f t="shared" ref="AO14:AO15" si="15">SUM(Q14:T14)</f>
        <v>-581.79389200000003</v>
      </c>
      <c r="AP14" s="34">
        <f t="shared" ref="AP14:AP15" si="16">SUM(R14:U14)</f>
        <v>-701.18583999999998</v>
      </c>
      <c r="AQ14" s="12"/>
      <c r="AR14" s="76">
        <f t="shared" ref="AR14:AR15" si="17">SUM(AP14/AL14)-1</f>
        <v>1.0709579088502572</v>
      </c>
    </row>
    <row r="15" spans="1:44" ht="12.75" customHeight="1">
      <c r="B15" s="10" t="s">
        <v>102</v>
      </c>
      <c r="C15" s="83">
        <v>-147</v>
      </c>
      <c r="D15" s="83">
        <v>-297</v>
      </c>
      <c r="E15" s="83">
        <v>-503</v>
      </c>
      <c r="F15" s="26"/>
      <c r="G15" s="83">
        <v>-30.0286780899999</v>
      </c>
      <c r="H15" s="83">
        <v>-30.25110097</v>
      </c>
      <c r="I15" s="83">
        <v>-39.362189769999901</v>
      </c>
      <c r="J15" s="34">
        <f t="shared" si="8"/>
        <v>-47.358031170000203</v>
      </c>
      <c r="K15" s="83">
        <v>-56.835333230000003</v>
      </c>
      <c r="L15" s="83">
        <v>-62.384282069999998</v>
      </c>
      <c r="M15" s="83">
        <v>-77.893781379999993</v>
      </c>
      <c r="N15" s="34">
        <f t="shared" si="9"/>
        <v>-99.886603320000006</v>
      </c>
      <c r="O15" s="83">
        <v>-113.389084</v>
      </c>
      <c r="P15" s="83">
        <v>-119.840232</v>
      </c>
      <c r="Q15" s="83">
        <v>-122.80654</v>
      </c>
      <c r="R15" s="34">
        <f t="shared" si="11"/>
        <v>-146.96414400000003</v>
      </c>
      <c r="S15" s="83">
        <v>-130.27724000000001</v>
      </c>
      <c r="T15" s="83">
        <v>-147.34958399999999</v>
      </c>
      <c r="U15" s="83">
        <v>-180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>
        <f t="shared" si="12"/>
        <v>-356.03585599999997</v>
      </c>
      <c r="AM15" s="34">
        <f t="shared" si="13"/>
        <v>-503</v>
      </c>
      <c r="AN15" s="34">
        <f t="shared" si="14"/>
        <v>-519.88815599999998</v>
      </c>
      <c r="AO15" s="34">
        <f t="shared" si="15"/>
        <v>-547.39750800000002</v>
      </c>
      <c r="AP15" s="34">
        <f t="shared" si="16"/>
        <v>-604.59096799999998</v>
      </c>
      <c r="AQ15" s="12"/>
      <c r="AR15" s="76">
        <f t="shared" si="17"/>
        <v>0.69811820301604688</v>
      </c>
    </row>
    <row r="16" spans="1:44" ht="12.75" customHeight="1">
      <c r="B16" s="27" t="s">
        <v>173</v>
      </c>
      <c r="C16" s="28">
        <f t="shared" ref="C16:D16" si="18">+SUM(C11+SUM(C13:C15))</f>
        <v>687</v>
      </c>
      <c r="D16" s="28">
        <f t="shared" si="18"/>
        <v>1085</v>
      </c>
      <c r="E16" s="28">
        <f>+SUM(E11+SUM(E13:E15))</f>
        <v>1217</v>
      </c>
      <c r="G16" s="28">
        <f t="shared" ref="G16:J16" si="19">+SUM(G11+SUM(G13:G15))</f>
        <v>180.27118519999999</v>
      </c>
      <c r="H16" s="28">
        <f t="shared" si="19"/>
        <v>146.74508269999905</v>
      </c>
      <c r="I16" s="28">
        <f t="shared" si="19"/>
        <v>138.29914018000011</v>
      </c>
      <c r="J16" s="28">
        <f t="shared" si="19"/>
        <v>221.6845919200008</v>
      </c>
      <c r="K16" s="28">
        <f t="shared" ref="K16:N16" si="20">+SUM(K11+SUM(K13:K15))</f>
        <v>226.48783580000003</v>
      </c>
      <c r="L16" s="28">
        <f t="shared" si="20"/>
        <v>251.95344859999994</v>
      </c>
      <c r="M16" s="28">
        <f t="shared" si="20"/>
        <v>291.64691452999904</v>
      </c>
      <c r="N16" s="28">
        <f t="shared" si="20"/>
        <v>314.9118010700011</v>
      </c>
      <c r="O16" s="28">
        <f t="shared" ref="O16:U16" si="21">+SUM(O11+SUM(O13:O15))</f>
        <v>269.372884</v>
      </c>
      <c r="P16" s="28">
        <f t="shared" si="21"/>
        <v>301.77317999999997</v>
      </c>
      <c r="Q16" s="28">
        <f t="shared" si="21"/>
        <v>328.64622799999995</v>
      </c>
      <c r="R16" s="28">
        <f t="shared" si="21"/>
        <v>317.20770799999997</v>
      </c>
      <c r="S16" s="28">
        <f t="shared" si="21"/>
        <v>270.75971200000004</v>
      </c>
      <c r="T16" s="28">
        <f t="shared" si="21"/>
        <v>315.01178799999991</v>
      </c>
      <c r="U16" s="28">
        <f t="shared" si="21"/>
        <v>280</v>
      </c>
      <c r="W16" s="28" t="e">
        <f t="shared" ref="W16:AK16" si="22">+SUM(W11+SUM(W13:W13))</f>
        <v>#REF!</v>
      </c>
      <c r="X16" s="28" t="e">
        <f t="shared" si="22"/>
        <v>#REF!</v>
      </c>
      <c r="Y16" s="28" t="e">
        <f t="shared" si="22"/>
        <v>#REF!</v>
      </c>
      <c r="Z16" s="28" t="e">
        <f t="shared" si="22"/>
        <v>#REF!</v>
      </c>
      <c r="AA16" s="28" t="e">
        <f t="shared" si="22"/>
        <v>#REF!</v>
      </c>
      <c r="AB16" s="28" t="e">
        <f t="shared" si="22"/>
        <v>#REF!</v>
      </c>
      <c r="AC16" s="28" t="e">
        <f t="shared" si="22"/>
        <v>#REF!</v>
      </c>
      <c r="AD16" s="28" t="e">
        <f t="shared" si="22"/>
        <v>#REF!</v>
      </c>
      <c r="AE16" s="28" t="e">
        <f t="shared" si="22"/>
        <v>#REF!</v>
      </c>
      <c r="AF16" s="28" t="e">
        <f t="shared" si="22"/>
        <v>#REF!</v>
      </c>
      <c r="AG16" s="28" t="e">
        <f t="shared" si="22"/>
        <v>#REF!</v>
      </c>
      <c r="AH16" s="28" t="e">
        <f t="shared" si="22"/>
        <v>#REF!</v>
      </c>
      <c r="AI16" s="28" t="e">
        <f t="shared" si="22"/>
        <v>#REF!</v>
      </c>
      <c r="AJ16" s="28">
        <f t="shared" si="22"/>
        <v>499.42704800000001</v>
      </c>
      <c r="AK16" s="28">
        <f t="shared" si="22"/>
        <v>1027.3477680000001</v>
      </c>
      <c r="AL16" s="28">
        <f t="shared" ref="AL16" si="23">+SUM(AL11+SUM(AL13:AL15))</f>
        <v>899.79229200000009</v>
      </c>
      <c r="AM16" s="28">
        <f t="shared" ref="AM16" si="24">+SUM(AM11+SUM(AM13:AM15))</f>
        <v>1217</v>
      </c>
      <c r="AN16" s="28">
        <f t="shared" ref="AN16" si="25">+SUM(AN11+SUM(AN13:AN15))</f>
        <v>1218.3868279999997</v>
      </c>
      <c r="AO16" s="28">
        <f t="shared" ref="AO16" si="26">+SUM(AO11+SUM(AO13:AO15))</f>
        <v>1231.625436</v>
      </c>
      <c r="AP16" s="28">
        <f t="shared" ref="AP16" si="27">+SUM(AP11+SUM(AP13:AP15))</f>
        <v>1182.979208</v>
      </c>
      <c r="AQ16" s="45"/>
      <c r="AR16" s="77">
        <f>SUM(AP16/AL16)-1</f>
        <v>0.31472476316789777</v>
      </c>
    </row>
    <row r="17" spans="2:44" ht="12.75" customHeight="1">
      <c r="B17" s="17" t="s">
        <v>24</v>
      </c>
      <c r="C17" s="19">
        <f>C16/C11</f>
        <v>0.36081932773109243</v>
      </c>
      <c r="D17" s="19">
        <f>D16/D11</f>
        <v>0.47671353251318099</v>
      </c>
      <c r="E17" s="19">
        <f>E16/E11</f>
        <v>0.4329420135183209</v>
      </c>
      <c r="F17" s="29"/>
      <c r="G17" s="19">
        <f t="shared" ref="G17" si="28">G16/G11</f>
        <v>0.39370980614565504</v>
      </c>
      <c r="H17" s="19">
        <f t="shared" ref="H17" si="29">H16/H11</f>
        <v>0.30354155457854859</v>
      </c>
      <c r="I17" s="19">
        <f t="shared" ref="I17" si="30">I16/I11</f>
        <v>0.31931800570606</v>
      </c>
      <c r="J17" s="19">
        <f t="shared" ref="J17" si="31">J16/J11</f>
        <v>0.41861191383051005</v>
      </c>
      <c r="K17" s="19">
        <f t="shared" ref="K17" si="32">K16/K11</f>
        <v>0.46780100521385365</v>
      </c>
      <c r="L17" s="19">
        <f t="shared" ref="L17" si="33">L16/L11</f>
        <v>0.4717561742720377</v>
      </c>
      <c r="M17" s="19">
        <f t="shared" ref="M17" si="34">M16/M11</f>
        <v>0.50740671493172296</v>
      </c>
      <c r="N17" s="19">
        <f t="shared" ref="N17" si="35">N16/N11</f>
        <v>0.46107764674961033</v>
      </c>
      <c r="O17" s="19">
        <f t="shared" ref="O17:U17" si="36">O16/O11</f>
        <v>0.42398979833890454</v>
      </c>
      <c r="P17" s="19">
        <f t="shared" si="36"/>
        <v>0.44645382697039843</v>
      </c>
      <c r="Q17" s="19">
        <f t="shared" si="36"/>
        <v>0.45750011395523854</v>
      </c>
      <c r="R17" s="19">
        <f t="shared" si="36"/>
        <v>0.40595551343503999</v>
      </c>
      <c r="S17" s="19">
        <f t="shared" si="36"/>
        <v>0.38617224844378384</v>
      </c>
      <c r="T17" s="19">
        <f t="shared" si="36"/>
        <v>0.38271311684351622</v>
      </c>
      <c r="U17" s="19">
        <f t="shared" si="36"/>
        <v>0.31007751937984496</v>
      </c>
      <c r="V17" s="30"/>
      <c r="W17" s="19" t="e">
        <f t="shared" ref="W17:AP17" si="37">W16/W11</f>
        <v>#REF!</v>
      </c>
      <c r="X17" s="19" t="e">
        <f t="shared" si="37"/>
        <v>#REF!</v>
      </c>
      <c r="Y17" s="19" t="e">
        <f t="shared" si="37"/>
        <v>#REF!</v>
      </c>
      <c r="Z17" s="19" t="e">
        <f t="shared" si="37"/>
        <v>#REF!</v>
      </c>
      <c r="AA17" s="19" t="e">
        <f t="shared" si="37"/>
        <v>#REF!</v>
      </c>
      <c r="AB17" s="19" t="e">
        <f t="shared" si="37"/>
        <v>#REF!</v>
      </c>
      <c r="AC17" s="19" t="e">
        <f t="shared" si="37"/>
        <v>#REF!</v>
      </c>
      <c r="AD17" s="19" t="e">
        <f t="shared" si="37"/>
        <v>#REF!</v>
      </c>
      <c r="AE17" s="19" t="e">
        <f t="shared" si="37"/>
        <v>#REF!</v>
      </c>
      <c r="AF17" s="19" t="e">
        <f t="shared" si="37"/>
        <v>#REF!</v>
      </c>
      <c r="AG17" s="19" t="e">
        <f t="shared" si="37"/>
        <v>#REF!</v>
      </c>
      <c r="AH17" s="19" t="e">
        <f t="shared" si="37"/>
        <v>#REF!</v>
      </c>
      <c r="AI17" s="19" t="e">
        <f t="shared" si="37"/>
        <v>#REF!</v>
      </c>
      <c r="AJ17" s="19">
        <f t="shared" si="37"/>
        <v>0.78609238696243233</v>
      </c>
      <c r="AK17" s="19">
        <f t="shared" si="37"/>
        <v>0.78347994024957823</v>
      </c>
      <c r="AL17" s="19">
        <f t="shared" si="37"/>
        <v>0.44333160022269608</v>
      </c>
      <c r="AM17" s="19">
        <f t="shared" si="37"/>
        <v>0.4329420135183209</v>
      </c>
      <c r="AN17" s="19">
        <f t="shared" si="37"/>
        <v>0.42352031539351026</v>
      </c>
      <c r="AO17" s="19">
        <f t="shared" si="37"/>
        <v>0.40728672167244862</v>
      </c>
      <c r="AP17" s="19">
        <f t="shared" si="37"/>
        <v>0.36868737022031012</v>
      </c>
      <c r="AQ17" s="45"/>
      <c r="AR17" s="78">
        <f>SUM(AP17-AL17)*1000</f>
        <v>-74.644230002385953</v>
      </c>
    </row>
    <row r="18" spans="2:44" ht="5.0999999999999996" customHeight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45"/>
      <c r="AR18" s="76"/>
    </row>
    <row r="19" spans="2:44" ht="12.75" customHeight="1">
      <c r="B19" s="10" t="s">
        <v>103</v>
      </c>
      <c r="C19" s="83">
        <v>-355.14436632000002</v>
      </c>
      <c r="D19" s="83">
        <v>-276.49250117999992</v>
      </c>
      <c r="E19" s="83">
        <v>-307.83389099999999</v>
      </c>
      <c r="F19" s="34"/>
      <c r="G19" s="83">
        <v>-96.741726040000003</v>
      </c>
      <c r="H19" s="83">
        <v>-107.08367109</v>
      </c>
      <c r="I19" s="83">
        <v>-69.442446380000007</v>
      </c>
      <c r="J19" s="34">
        <f t="shared" ref="J19:J26" si="38">SUM(C19-SUM(G19:I19))</f>
        <v>-81.876522809999983</v>
      </c>
      <c r="K19" s="83">
        <v>-66.668117850000002</v>
      </c>
      <c r="L19" s="83">
        <v>-70.243350100000001</v>
      </c>
      <c r="M19" s="83">
        <v>-64.689123629999997</v>
      </c>
      <c r="N19" s="34">
        <f t="shared" ref="N19:N26" si="39">SUM(D19-SUM(K19:M19))</f>
        <v>-74.891909599999906</v>
      </c>
      <c r="O19" s="83">
        <v>-78.315833999999995</v>
      </c>
      <c r="P19" s="83">
        <v>-80.957579999999993</v>
      </c>
      <c r="Q19" s="83">
        <v>-77.696905999999998</v>
      </c>
      <c r="R19" s="34">
        <f t="shared" ref="R19:R26" si="40">SUM(E19-SUM(O19:Q19))</f>
        <v>-70.863570999999979</v>
      </c>
      <c r="S19" s="83">
        <v>-83.019927999999993</v>
      </c>
      <c r="T19" s="83">
        <v>-93.232776000000001</v>
      </c>
      <c r="U19" s="83">
        <v>-97</v>
      </c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>
        <f t="shared" ref="AL19:AL26" si="41">SUM(O19:Q19)</f>
        <v>-236.97032000000002</v>
      </c>
      <c r="AM19" s="34">
        <f t="shared" ref="AM19:AM26" si="42">SUM(O19:R19)</f>
        <v>-307.83389099999999</v>
      </c>
      <c r="AN19" s="34">
        <f t="shared" ref="AN19:AN26" si="43">SUM(P19:S19)</f>
        <v>-312.53798499999994</v>
      </c>
      <c r="AO19" s="34">
        <f t="shared" ref="AO19:AO26" si="44">SUM(Q19:T19)</f>
        <v>-324.81318099999999</v>
      </c>
      <c r="AP19" s="34">
        <f t="shared" ref="AP19:AP26" si="45">SUM(R19:U19)</f>
        <v>-344.11627499999997</v>
      </c>
      <c r="AQ19" s="12"/>
      <c r="AR19" s="76">
        <f t="shared" ref="AR19:AR26" si="46">SUM(AP19/AL19)-1</f>
        <v>0.45214926071754458</v>
      </c>
    </row>
    <row r="20" spans="2:44" ht="12.75" customHeight="1">
      <c r="B20" s="10" t="s">
        <v>78</v>
      </c>
      <c r="C20" s="83">
        <v>-523.16658987000005</v>
      </c>
      <c r="D20" s="83">
        <v>-371.67992953999976</v>
      </c>
      <c r="E20" s="83">
        <v>-309.06154600000002</v>
      </c>
      <c r="F20" s="34"/>
      <c r="G20" s="83">
        <v>-136.26446245</v>
      </c>
      <c r="H20" s="83">
        <v>-154.38537081000001</v>
      </c>
      <c r="I20" s="83">
        <v>-96.270784730000003</v>
      </c>
      <c r="J20" s="34">
        <f t="shared" si="38"/>
        <v>-136.24597188000001</v>
      </c>
      <c r="K20" s="83">
        <v>-74.053169850000003</v>
      </c>
      <c r="L20" s="83">
        <v>-81.772555409999896</v>
      </c>
      <c r="M20" s="83">
        <v>-78.908537979999906</v>
      </c>
      <c r="N20" s="34">
        <f t="shared" si="39"/>
        <v>-136.94566629999997</v>
      </c>
      <c r="O20" s="83">
        <v>-76.354386000000005</v>
      </c>
      <c r="P20" s="83">
        <v>-76.742658000000006</v>
      </c>
      <c r="Q20" s="83">
        <v>-65.442831999999996</v>
      </c>
      <c r="R20" s="34">
        <f t="shared" si="40"/>
        <v>-90.521670000000029</v>
      </c>
      <c r="S20" s="83">
        <v>-79.667124000000001</v>
      </c>
      <c r="T20" s="83">
        <v>-82.899178000000006</v>
      </c>
      <c r="U20" s="83">
        <v>-85</v>
      </c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>
        <f t="shared" si="41"/>
        <v>-218.53987599999999</v>
      </c>
      <c r="AM20" s="34">
        <f t="shared" si="42"/>
        <v>-309.06154600000002</v>
      </c>
      <c r="AN20" s="34">
        <f t="shared" si="43"/>
        <v>-312.37428400000005</v>
      </c>
      <c r="AO20" s="34">
        <f t="shared" si="44"/>
        <v>-318.53080400000005</v>
      </c>
      <c r="AP20" s="34">
        <f t="shared" si="45"/>
        <v>-338.08797200000004</v>
      </c>
      <c r="AQ20" s="12"/>
      <c r="AR20" s="76">
        <f t="shared" si="46"/>
        <v>0.54703104160267779</v>
      </c>
    </row>
    <row r="21" spans="2:44" ht="12.75" customHeight="1">
      <c r="B21" s="10" t="s">
        <v>104</v>
      </c>
      <c r="C21" s="83">
        <v>-285.51806605000002</v>
      </c>
      <c r="D21" s="83">
        <v>-238.31195534999981</v>
      </c>
      <c r="E21" s="83">
        <v>-192.41582499999998</v>
      </c>
      <c r="F21" s="34"/>
      <c r="G21" s="83">
        <v>-78.401398979999996</v>
      </c>
      <c r="H21" s="83">
        <v>-80.958778089999996</v>
      </c>
      <c r="I21" s="83">
        <v>-60.83590727</v>
      </c>
      <c r="J21" s="34">
        <f t="shared" si="38"/>
        <v>-65.321981710000017</v>
      </c>
      <c r="K21" s="83">
        <v>-62.666631690000003</v>
      </c>
      <c r="L21" s="83">
        <v>-53.704775509999799</v>
      </c>
      <c r="M21" s="83">
        <v>-52.345869890000003</v>
      </c>
      <c r="N21" s="34">
        <f t="shared" si="39"/>
        <v>-69.594678259999995</v>
      </c>
      <c r="O21" s="83">
        <v>-56.855007999999998</v>
      </c>
      <c r="P21" s="83">
        <v>-47.379998999999998</v>
      </c>
      <c r="Q21" s="83">
        <v>-42.017431999999999</v>
      </c>
      <c r="R21" s="34">
        <f t="shared" si="40"/>
        <v>-46.163386000000003</v>
      </c>
      <c r="S21" s="83">
        <v>-50.275283000000002</v>
      </c>
      <c r="T21" s="83">
        <v>-48.020048000000003</v>
      </c>
      <c r="U21" s="83">
        <v>-50</v>
      </c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>
        <f t="shared" si="41"/>
        <v>-146.25243899999998</v>
      </c>
      <c r="AM21" s="34">
        <f t="shared" si="42"/>
        <v>-192.41582499999998</v>
      </c>
      <c r="AN21" s="34">
        <f t="shared" si="43"/>
        <v>-185.83609999999999</v>
      </c>
      <c r="AO21" s="34">
        <f t="shared" si="44"/>
        <v>-186.47614899999999</v>
      </c>
      <c r="AP21" s="34">
        <f t="shared" si="45"/>
        <v>-194.45871700000001</v>
      </c>
      <c r="AQ21" s="12"/>
      <c r="AR21" s="76">
        <f t="shared" si="46"/>
        <v>0.32961007918644025</v>
      </c>
    </row>
    <row r="22" spans="2:44" ht="12.75" customHeight="1">
      <c r="B22" s="10" t="s">
        <v>79</v>
      </c>
      <c r="C22" s="83">
        <v>-248.72763424999991</v>
      </c>
      <c r="D22" s="83">
        <v>-247.95488699999981</v>
      </c>
      <c r="E22" s="83">
        <v>-226.76490000000001</v>
      </c>
      <c r="F22" s="34"/>
      <c r="G22" s="83">
        <v>-65.534632060000007</v>
      </c>
      <c r="H22" s="83">
        <v>-53.049637840000003</v>
      </c>
      <c r="I22" s="83">
        <v>-61.373631499999902</v>
      </c>
      <c r="J22" s="34">
        <f t="shared" si="38"/>
        <v>-68.769732849999997</v>
      </c>
      <c r="K22" s="83">
        <v>-60.081627910000002</v>
      </c>
      <c r="L22" s="83">
        <v>-55.965975909999997</v>
      </c>
      <c r="M22" s="83">
        <v>-50.365199869999799</v>
      </c>
      <c r="N22" s="34">
        <f t="shared" si="39"/>
        <v>-81.54208331000001</v>
      </c>
      <c r="O22" s="83">
        <v>-50.458582</v>
      </c>
      <c r="P22" s="83">
        <v>-57.564681999999998</v>
      </c>
      <c r="Q22" s="83">
        <v>-51.711730000000003</v>
      </c>
      <c r="R22" s="34">
        <f t="shared" si="40"/>
        <v>-67.029906000000011</v>
      </c>
      <c r="S22" s="83">
        <v>-54.492572000000003</v>
      </c>
      <c r="T22" s="83">
        <v>-61.598967999999999</v>
      </c>
      <c r="U22" s="83">
        <v>-63</v>
      </c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>
        <f t="shared" si="41"/>
        <v>-159.734994</v>
      </c>
      <c r="AM22" s="34">
        <f t="shared" si="42"/>
        <v>-226.76490000000001</v>
      </c>
      <c r="AN22" s="34">
        <f t="shared" si="43"/>
        <v>-230.79889</v>
      </c>
      <c r="AO22" s="34">
        <f t="shared" si="44"/>
        <v>-234.83317600000004</v>
      </c>
      <c r="AP22" s="34">
        <f t="shared" si="45"/>
        <v>-246.12144599999999</v>
      </c>
      <c r="AQ22" s="12"/>
      <c r="AR22" s="76">
        <f t="shared" si="46"/>
        <v>0.54081106360450981</v>
      </c>
    </row>
    <row r="23" spans="2:44" ht="12.75" customHeight="1">
      <c r="B23" s="10" t="s">
        <v>174</v>
      </c>
      <c r="C23" s="83">
        <v>-35.72870511</v>
      </c>
      <c r="D23" s="83">
        <v>-5.3084229999999994</v>
      </c>
      <c r="E23" s="83">
        <v>-5.7080183699999996</v>
      </c>
      <c r="F23" s="34"/>
      <c r="G23" s="83">
        <v>0</v>
      </c>
      <c r="H23" s="83">
        <v>-34.40478615</v>
      </c>
      <c r="I23" s="83">
        <v>1.1317286200000001</v>
      </c>
      <c r="J23" s="34">
        <f t="shared" si="38"/>
        <v>-2.4556475799999973</v>
      </c>
      <c r="K23" s="83">
        <v>0</v>
      </c>
      <c r="L23" s="83">
        <v>-2.2040649999999999</v>
      </c>
      <c r="M23" s="83">
        <v>2.1758E-2</v>
      </c>
      <c r="N23" s="34">
        <f t="shared" si="39"/>
        <v>-3.1261159999999997</v>
      </c>
      <c r="O23" s="83">
        <v>0</v>
      </c>
      <c r="P23" s="83">
        <v>0</v>
      </c>
      <c r="Q23" s="83">
        <v>-2.9177369999999998</v>
      </c>
      <c r="R23" s="34">
        <f t="shared" si="40"/>
        <v>-2.7902813699999998</v>
      </c>
      <c r="S23" s="83">
        <v>-4.3000000715255702E-7</v>
      </c>
      <c r="T23" s="83">
        <v>4.2173655996093702</v>
      </c>
      <c r="U23" s="83">
        <v>-5</v>
      </c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>
        <f t="shared" ref="AL23:AL25" si="47">SUM(O23:Q23)</f>
        <v>-2.9177369999999998</v>
      </c>
      <c r="AM23" s="34">
        <f t="shared" ref="AM23:AM25" si="48">SUM(O23:R23)</f>
        <v>-5.7080183699999996</v>
      </c>
      <c r="AN23" s="34">
        <f t="shared" ref="AN23:AN25" si="49">SUM(P23:S23)</f>
        <v>-5.7080188000000067</v>
      </c>
      <c r="AO23" s="34">
        <f t="shared" ref="AO23:AO25" si="50">SUM(Q23:T23)</f>
        <v>-1.4906532003906365</v>
      </c>
      <c r="AP23" s="34">
        <f t="shared" ref="AP23:AP25" si="51">SUM(R23:U23)</f>
        <v>-3.5729162003906367</v>
      </c>
      <c r="AQ23" s="12"/>
      <c r="AR23" s="76">
        <f t="shared" si="46"/>
        <v>0.22455046510039689</v>
      </c>
    </row>
    <row r="24" spans="2:44" ht="12.75" customHeight="1">
      <c r="B24" s="10" t="s">
        <v>175</v>
      </c>
      <c r="C24" s="83">
        <v>-56.314768259999994</v>
      </c>
      <c r="D24" s="83">
        <v>-42.596111139999991</v>
      </c>
      <c r="E24" s="83">
        <v>-91.840167629999996</v>
      </c>
      <c r="F24" s="34"/>
      <c r="G24" s="83">
        <v>-18.302155549999998</v>
      </c>
      <c r="H24" s="83">
        <v>-16.410188550000001</v>
      </c>
      <c r="I24" s="83">
        <v>-8.6047787600000003</v>
      </c>
      <c r="J24" s="34">
        <f t="shared" si="38"/>
        <v>-12.997645399999996</v>
      </c>
      <c r="K24" s="83">
        <v>-9.8012167699999999</v>
      </c>
      <c r="L24" s="83">
        <v>-12.63271228</v>
      </c>
      <c r="M24" s="83">
        <v>-8.7612611299999905</v>
      </c>
      <c r="N24" s="34">
        <f t="shared" si="39"/>
        <v>-11.400920960000001</v>
      </c>
      <c r="O24" s="83">
        <v>-5.4089236199999897</v>
      </c>
      <c r="P24" s="83">
        <v>-8.8826421599999996</v>
      </c>
      <c r="Q24" s="83">
        <v>-20.14296818</v>
      </c>
      <c r="R24" s="34">
        <f t="shared" si="40"/>
        <v>-57.405633670000007</v>
      </c>
      <c r="S24" s="83">
        <v>-58.543661</v>
      </c>
      <c r="T24" s="83">
        <v>-26.392680500000001</v>
      </c>
      <c r="U24" s="83">
        <v>-39</v>
      </c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>
        <f t="shared" si="47"/>
        <v>-34.434533959999989</v>
      </c>
      <c r="AM24" s="34">
        <f t="shared" si="48"/>
        <v>-91.840167629999996</v>
      </c>
      <c r="AN24" s="34">
        <f t="shared" si="49"/>
        <v>-144.97490500999999</v>
      </c>
      <c r="AO24" s="34">
        <f t="shared" si="50"/>
        <v>-162.48494335000001</v>
      </c>
      <c r="AP24" s="34">
        <f t="shared" si="51"/>
        <v>-181.34197517000001</v>
      </c>
      <c r="AQ24" s="12"/>
      <c r="AR24" s="76">
        <f t="shared" si="46"/>
        <v>4.2662822555011592</v>
      </c>
    </row>
    <row r="25" spans="2:44" ht="12.75" customHeight="1">
      <c r="B25" s="10" t="s">
        <v>176</v>
      </c>
      <c r="C25" s="83">
        <v>0</v>
      </c>
      <c r="D25" s="83">
        <v>0</v>
      </c>
      <c r="E25" s="83">
        <v>-15.12336359999998</v>
      </c>
      <c r="F25" s="34"/>
      <c r="G25" s="83">
        <v>0</v>
      </c>
      <c r="H25" s="83">
        <v>0</v>
      </c>
      <c r="I25" s="83">
        <v>0</v>
      </c>
      <c r="J25" s="34">
        <f t="shared" si="38"/>
        <v>0</v>
      </c>
      <c r="K25" s="83">
        <v>0</v>
      </c>
      <c r="L25" s="83">
        <v>0</v>
      </c>
      <c r="M25" s="83">
        <v>0</v>
      </c>
      <c r="N25" s="34">
        <f t="shared" si="39"/>
        <v>0</v>
      </c>
      <c r="O25" s="83">
        <v>-1.55031327</v>
      </c>
      <c r="P25" s="83">
        <v>-2.2861342100000002</v>
      </c>
      <c r="Q25" s="83">
        <v>-6.0381062700000001</v>
      </c>
      <c r="R25" s="34">
        <f t="shared" si="40"/>
        <v>-5.2488098499999793</v>
      </c>
      <c r="S25" s="83">
        <v>-8.3823610624999993</v>
      </c>
      <c r="T25" s="83">
        <v>-1.9570491523437501</v>
      </c>
      <c r="U25" s="83">
        <v>0</v>
      </c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>
        <f t="shared" si="47"/>
        <v>-9.8745537500000005</v>
      </c>
      <c r="AM25" s="34">
        <f t="shared" si="48"/>
        <v>-15.12336359999998</v>
      </c>
      <c r="AN25" s="34">
        <f t="shared" si="49"/>
        <v>-21.955411392499979</v>
      </c>
      <c r="AO25" s="34">
        <f t="shared" si="50"/>
        <v>-21.626326334843728</v>
      </c>
      <c r="AP25" s="34">
        <f t="shared" si="51"/>
        <v>-15.588220064843728</v>
      </c>
      <c r="AQ25" s="12"/>
      <c r="AR25" s="76">
        <f t="shared" si="46"/>
        <v>0.57862526849314366</v>
      </c>
    </row>
    <row r="26" spans="2:44" ht="12.75" customHeight="1">
      <c r="B26" s="10" t="s">
        <v>105</v>
      </c>
      <c r="C26" s="83">
        <v>-161.96950459999999</v>
      </c>
      <c r="D26" s="83">
        <v>-226.0680815799997</v>
      </c>
      <c r="E26" s="83">
        <v>-188.86740460999999</v>
      </c>
      <c r="F26" s="34"/>
      <c r="G26" s="83">
        <v>-29.042360179999999</v>
      </c>
      <c r="H26" s="83">
        <v>-41.805338290000002</v>
      </c>
      <c r="I26" s="83">
        <v>-46.637170060000003</v>
      </c>
      <c r="J26" s="34">
        <f t="shared" si="38"/>
        <v>-44.484636069999993</v>
      </c>
      <c r="K26" s="83">
        <v>-55.639148939999998</v>
      </c>
      <c r="L26" s="83">
        <v>-52.558620579999896</v>
      </c>
      <c r="M26" s="83">
        <v>-40.713392829999997</v>
      </c>
      <c r="N26" s="34">
        <f t="shared" si="39"/>
        <v>-77.156919229999801</v>
      </c>
      <c r="O26" s="83">
        <v>-36.234250449999998</v>
      </c>
      <c r="P26" s="83">
        <v>-37.992837819999899</v>
      </c>
      <c r="Q26" s="83">
        <v>-37.228716540000001</v>
      </c>
      <c r="R26" s="34">
        <f t="shared" si="40"/>
        <v>-77.41159980000009</v>
      </c>
      <c r="S26" s="83">
        <v>-25.947516</v>
      </c>
      <c r="T26" s="83">
        <v>-50.733472999999996</v>
      </c>
      <c r="U26" s="83">
        <v>-25</v>
      </c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>
        <f t="shared" si="41"/>
        <v>-111.4558048099999</v>
      </c>
      <c r="AM26" s="34">
        <f t="shared" si="42"/>
        <v>-188.86740460999999</v>
      </c>
      <c r="AN26" s="34">
        <f t="shared" si="43"/>
        <v>-178.58067016000001</v>
      </c>
      <c r="AO26" s="34">
        <f t="shared" si="44"/>
        <v>-191.32130534000009</v>
      </c>
      <c r="AP26" s="34">
        <f t="shared" si="45"/>
        <v>-179.0925888000001</v>
      </c>
      <c r="AQ26" s="12"/>
      <c r="AR26" s="76">
        <f t="shared" si="46"/>
        <v>0.60684846433347706</v>
      </c>
    </row>
    <row r="27" spans="2:44" ht="12.75" customHeight="1">
      <c r="B27" s="27" t="s">
        <v>72</v>
      </c>
      <c r="C27" s="28">
        <f>+SUM(C16+SUM(C19:C26))</f>
        <v>-979.56963445999986</v>
      </c>
      <c r="D27" s="28">
        <f>+SUM(D16+SUM(D19:D26))</f>
        <v>-323.41188878999901</v>
      </c>
      <c r="E27" s="28">
        <f>+SUM(E16+SUM(E19:E26))</f>
        <v>-120.61511620999977</v>
      </c>
      <c r="F27" s="34"/>
      <c r="G27" s="28">
        <f>+SUM(G16+SUM(G19:G26))</f>
        <v>-244.01555006000001</v>
      </c>
      <c r="H27" s="28">
        <f>+SUM(H16+SUM(H19:H26))</f>
        <v>-341.35268812000095</v>
      </c>
      <c r="I27" s="28">
        <f>+SUM(I16+SUM(I19:I26))</f>
        <v>-203.73384989999983</v>
      </c>
      <c r="J27" s="28">
        <f>+SUM(J16+SUM(J19:J26))</f>
        <v>-190.46754637999913</v>
      </c>
      <c r="K27" s="28">
        <f>+SUM(K16+SUM(K19:K26))</f>
        <v>-102.42207720999994</v>
      </c>
      <c r="L27" s="28">
        <f>+SUM(L16+SUM(L19:L26))</f>
        <v>-77.128606189999687</v>
      </c>
      <c r="M27" s="28">
        <f>+SUM(M16+SUM(M19:M26))</f>
        <v>-4.1147128000006319</v>
      </c>
      <c r="N27" s="28">
        <f>+SUM(N16+SUM(N19:N26))</f>
        <v>-139.74649258999858</v>
      </c>
      <c r="O27" s="28">
        <f>+SUM(O16+SUM(O19:O26))</f>
        <v>-35.804413339999996</v>
      </c>
      <c r="P27" s="28">
        <f>+SUM(P16+SUM(P19:P26))</f>
        <v>-10.033353189999957</v>
      </c>
      <c r="Q27" s="28">
        <f>+SUM(Q16+SUM(Q19:Q26))</f>
        <v>25.449800009999933</v>
      </c>
      <c r="R27" s="28">
        <f>+SUM(R16+SUM(R19:R26))</f>
        <v>-100.22714969000009</v>
      </c>
      <c r="S27" s="28">
        <f>+SUM(S16+SUM(S19:S26))</f>
        <v>-89.568733492499973</v>
      </c>
      <c r="T27" s="28">
        <f>+SUM(T16+SUM(T19:T26))</f>
        <v>-45.605019052734463</v>
      </c>
      <c r="U27" s="28">
        <f>+SUM(U16+SUM(U19:U26))</f>
        <v>-84</v>
      </c>
      <c r="W27" s="28" t="e">
        <f>+SUM(W16+SUM(W19:W26))</f>
        <v>#REF!</v>
      </c>
      <c r="X27" s="28" t="e">
        <f>+SUM(X16+SUM(X19:X26))</f>
        <v>#REF!</v>
      </c>
      <c r="Y27" s="28" t="e">
        <f>+SUM(Y16+SUM(Y19:Y26))</f>
        <v>#REF!</v>
      </c>
      <c r="Z27" s="28" t="e">
        <f>+SUM(Z16+SUM(Z19:Z26))</f>
        <v>#REF!</v>
      </c>
      <c r="AA27" s="28" t="e">
        <f>+SUM(AA16+SUM(AA19:AA26))</f>
        <v>#REF!</v>
      </c>
      <c r="AB27" s="28" t="e">
        <f>+SUM(AB16+SUM(AB19:AB26))</f>
        <v>#REF!</v>
      </c>
      <c r="AC27" s="28" t="e">
        <f>+SUM(AC16+SUM(AC19:AC26))</f>
        <v>#REF!</v>
      </c>
      <c r="AD27" s="28" t="e">
        <f>+SUM(AD16+SUM(AD19:AD26))</f>
        <v>#REF!</v>
      </c>
      <c r="AE27" s="28" t="e">
        <f>+SUM(AE16+SUM(AE19:AE26))</f>
        <v>#REF!</v>
      </c>
      <c r="AF27" s="28" t="e">
        <f>+SUM(AF16+SUM(AF19:AF26))</f>
        <v>#REF!</v>
      </c>
      <c r="AG27" s="28" t="e">
        <f>+SUM(AG16+SUM(AG19:AG26))</f>
        <v>#REF!</v>
      </c>
      <c r="AH27" s="28" t="e">
        <f>+SUM(AH16+SUM(AH19:AH26))</f>
        <v>#REF!</v>
      </c>
      <c r="AI27" s="28" t="e">
        <f>+SUM(AI16+SUM(AI19:AI26))</f>
        <v>#REF!</v>
      </c>
      <c r="AJ27" s="28">
        <f>+SUM(AJ16+SUM(AJ19:AJ26))</f>
        <v>499.42704800000001</v>
      </c>
      <c r="AK27" s="28">
        <f>+SUM(AK16+SUM(AK19:AK26))</f>
        <v>1027.3477680000001</v>
      </c>
      <c r="AL27" s="28">
        <f>+SUM(AL16+SUM(AL19:AL26))</f>
        <v>-20.38796651999985</v>
      </c>
      <c r="AM27" s="28">
        <f>+SUM(AM16+SUM(AM19:AM26))</f>
        <v>-120.61511620999977</v>
      </c>
      <c r="AN27" s="28">
        <f>+SUM(AN16+SUM(AN19:AN26))</f>
        <v>-174.3794363625002</v>
      </c>
      <c r="AO27" s="28">
        <f>+SUM(AO16+SUM(AO19:AO26))</f>
        <v>-209.95110222523431</v>
      </c>
      <c r="AP27" s="28">
        <f>+SUM(AP16+SUM(AP19:AP26))</f>
        <v>-319.40090223523453</v>
      </c>
      <c r="AQ27" s="12"/>
      <c r="AR27" s="77">
        <f>SUM(AP27/AL27)-1</f>
        <v>14.666148064443499</v>
      </c>
    </row>
    <row r="28" spans="2:44" ht="12.75" customHeight="1">
      <c r="B28" s="17" t="s">
        <v>26</v>
      </c>
      <c r="C28" s="19">
        <f>C27/C11</f>
        <v>-0.51447985003151253</v>
      </c>
      <c r="D28" s="19">
        <f>D27/D11</f>
        <v>-0.14209661194639675</v>
      </c>
      <c r="E28" s="19">
        <f>E27/E11</f>
        <v>-4.2908259057274911E-2</v>
      </c>
      <c r="F28" s="34"/>
      <c r="G28" s="19">
        <f>G27/G11</f>
        <v>-0.53292662831313098</v>
      </c>
      <c r="H28" s="19">
        <f>H27/H11</f>
        <v>-0.70608652572937092</v>
      </c>
      <c r="I28" s="19">
        <f>I27/I11</f>
        <v>-0.47039979106315272</v>
      </c>
      <c r="J28" s="19">
        <f>J27/J11</f>
        <v>-0.35966407688589253</v>
      </c>
      <c r="K28" s="19">
        <f>K27/K11</f>
        <v>-0.21154845029840186</v>
      </c>
      <c r="L28" s="19">
        <f>L27/L11</f>
        <v>-0.14441515440772923</v>
      </c>
      <c r="M28" s="19">
        <f>M27/M11</f>
        <v>-7.158769048184379E-3</v>
      </c>
      <c r="N28" s="19">
        <f>N27/N11</f>
        <v>-0.2046096199824074</v>
      </c>
      <c r="O28" s="19">
        <f>O27/O11</f>
        <v>-5.635573175089658E-2</v>
      </c>
      <c r="P28" s="19">
        <f>P27/P11</f>
        <v>-1.4843694621971167E-2</v>
      </c>
      <c r="Q28" s="19">
        <f>Q27/Q11</f>
        <v>3.5428023852788607E-2</v>
      </c>
      <c r="R28" s="19">
        <f>R27/R11</f>
        <v>-0.12826852244250825</v>
      </c>
      <c r="S28" s="19">
        <f>S27/S11</f>
        <v>-0.12774780615463485</v>
      </c>
      <c r="T28" s="19">
        <f>T27/T11</f>
        <v>-5.5406304304332736E-2</v>
      </c>
      <c r="U28" s="19">
        <f>U27/U11</f>
        <v>-9.3023255813953487E-2</v>
      </c>
      <c r="W28" s="19" t="e">
        <f>W27/W11</f>
        <v>#REF!</v>
      </c>
      <c r="X28" s="19" t="e">
        <f>X27/X11</f>
        <v>#REF!</v>
      </c>
      <c r="Y28" s="19" t="e">
        <f>Y27/Y11</f>
        <v>#REF!</v>
      </c>
      <c r="Z28" s="19" t="e">
        <f>Z27/Z11</f>
        <v>#REF!</v>
      </c>
      <c r="AA28" s="19" t="e">
        <f>AA27/AA11</f>
        <v>#REF!</v>
      </c>
      <c r="AB28" s="19" t="e">
        <f>AB27/AB11</f>
        <v>#REF!</v>
      </c>
      <c r="AC28" s="19" t="e">
        <f>AC27/AC11</f>
        <v>#REF!</v>
      </c>
      <c r="AD28" s="19" t="e">
        <f>AD27/AD11</f>
        <v>#REF!</v>
      </c>
      <c r="AE28" s="19" t="e">
        <f>AE27/AE11</f>
        <v>#REF!</v>
      </c>
      <c r="AF28" s="19" t="e">
        <f>AF27/AF11</f>
        <v>#REF!</v>
      </c>
      <c r="AG28" s="19" t="e">
        <f>AG27/AG11</f>
        <v>#REF!</v>
      </c>
      <c r="AH28" s="19" t="e">
        <f>AH27/AH11</f>
        <v>#REF!</v>
      </c>
      <c r="AI28" s="19" t="e">
        <f>AI27/AI11</f>
        <v>#REF!</v>
      </c>
      <c r="AJ28" s="19">
        <f>AJ27/AJ11</f>
        <v>0.78609238696243233</v>
      </c>
      <c r="AK28" s="19">
        <f>AK27/AK11</f>
        <v>0.78347994024957823</v>
      </c>
      <c r="AL28" s="19">
        <f>AL27/AL11</f>
        <v>-1.0045240332641441E-2</v>
      </c>
      <c r="AM28" s="19">
        <f>AM27/AM11</f>
        <v>-4.2908259057274911E-2</v>
      </c>
      <c r="AN28" s="19">
        <f>AN27/AN11</f>
        <v>-6.061558791440632E-2</v>
      </c>
      <c r="AO28" s="19">
        <f>AO27/AO11</f>
        <v>-6.9428816292190318E-2</v>
      </c>
      <c r="AP28" s="19">
        <f>AP27/AP11</f>
        <v>-9.9544504159284425E-2</v>
      </c>
      <c r="AQ28" s="12"/>
      <c r="AR28" s="78">
        <f>SUM(AP28-AL28)*1000</f>
        <v>-89.499263826642988</v>
      </c>
    </row>
    <row r="29" spans="2:44" ht="5.0999999999999996" customHeight="1">
      <c r="B29" s="17"/>
      <c r="C29" s="19"/>
      <c r="D29" s="19"/>
      <c r="E29" s="19"/>
      <c r="F29" s="34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34"/>
      <c r="T29" s="83"/>
      <c r="U29" s="83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12"/>
      <c r="AR29" s="76"/>
    </row>
    <row r="30" spans="2:44" ht="12.75" customHeight="1">
      <c r="B30" s="10" t="s">
        <v>106</v>
      </c>
      <c r="C30" s="83">
        <v>-58</v>
      </c>
      <c r="D30" s="83">
        <v>19</v>
      </c>
      <c r="E30" s="83">
        <v>154</v>
      </c>
      <c r="F30" s="34"/>
      <c r="G30" s="83">
        <v>-39.595378219999802</v>
      </c>
      <c r="H30" s="83">
        <v>-41.42630833999992</v>
      </c>
      <c r="I30" s="83">
        <v>14.249358489999901</v>
      </c>
      <c r="J30" s="34">
        <f>SUM(C30-SUM(G30:I30))</f>
        <v>8.7723280699998156</v>
      </c>
      <c r="K30" s="83">
        <v>3.8843309899997247</v>
      </c>
      <c r="L30" s="83">
        <v>-4.4317395199995602</v>
      </c>
      <c r="M30" s="83">
        <v>7.8084026300001597</v>
      </c>
      <c r="N30" s="34">
        <f>SUM(D30-SUM(K30:M30))</f>
        <v>11.739005899999675</v>
      </c>
      <c r="O30" s="83">
        <v>10.329920009765624</v>
      </c>
      <c r="P30" s="83">
        <v>7.2860645000000002</v>
      </c>
      <c r="Q30" s="83">
        <v>-10.72212734375</v>
      </c>
      <c r="R30" s="34">
        <f>SUM(E30-SUM(O30:Q30))</f>
        <v>147.10614283398436</v>
      </c>
      <c r="S30" s="83">
        <v>-1.8055910703125</v>
      </c>
      <c r="T30" s="83">
        <v>-0.23400612500000001</v>
      </c>
      <c r="U30" s="83">
        <v>-4</v>
      </c>
      <c r="W30" s="34" t="e">
        <f>SUM(#REF!)</f>
        <v>#REF!</v>
      </c>
      <c r="X30" s="34" t="e">
        <f>SUM(#REF!)</f>
        <v>#REF!</v>
      </c>
      <c r="Y30" s="34" t="e">
        <f>SUM(#REF!)</f>
        <v>#REF!</v>
      </c>
      <c r="Z30" s="34" t="e">
        <f>SUM(#REF!)</f>
        <v>#REF!</v>
      </c>
      <c r="AA30" s="34" t="e">
        <f>SUM(#REF!)</f>
        <v>#REF!</v>
      </c>
      <c r="AB30" s="34" t="e">
        <f>SUM(#REF!)</f>
        <v>#REF!</v>
      </c>
      <c r="AC30" s="34" t="e">
        <f>SUM(#REF!)</f>
        <v>#REF!</v>
      </c>
      <c r="AD30" s="34" t="e">
        <f>SUM(#REF!)</f>
        <v>#REF!</v>
      </c>
      <c r="AE30" s="34" t="e">
        <f>SUM(#REF!)</f>
        <v>#REF!</v>
      </c>
      <c r="AF30" s="34" t="e">
        <f>SUM(#REF!)</f>
        <v>#REF!</v>
      </c>
      <c r="AG30" s="34" t="e">
        <f>SUM(#REF!)</f>
        <v>#REF!</v>
      </c>
      <c r="AH30" s="34" t="e">
        <f>SUM(#REF!)</f>
        <v>#REF!</v>
      </c>
      <c r="AI30" s="34" t="e">
        <f>SUM(#REF!)</f>
        <v>#REF!</v>
      </c>
      <c r="AJ30" s="34">
        <f>SUM(O30:O30)</f>
        <v>10.329920009765624</v>
      </c>
      <c r="AK30" s="34">
        <f>SUM(O30:P30)</f>
        <v>17.615984509765624</v>
      </c>
      <c r="AL30" s="34">
        <f>SUM(O30:Q30)</f>
        <v>6.8938571660156249</v>
      </c>
      <c r="AM30" s="34">
        <f t="shared" ref="AM30:AP30" si="52">SUM(O30:R30)</f>
        <v>154</v>
      </c>
      <c r="AN30" s="34">
        <f t="shared" si="52"/>
        <v>141.86448891992188</v>
      </c>
      <c r="AO30" s="34">
        <f t="shared" si="52"/>
        <v>134.34441829492187</v>
      </c>
      <c r="AP30" s="34">
        <f t="shared" si="52"/>
        <v>141.06654563867187</v>
      </c>
      <c r="AQ30" s="12"/>
      <c r="AR30" s="76">
        <f>SUM(AP30/AL30)-1</f>
        <v>19.462644096266171</v>
      </c>
    </row>
    <row r="31" spans="2:44" ht="12.75" customHeight="1">
      <c r="B31" s="27" t="s">
        <v>73</v>
      </c>
      <c r="C31" s="28">
        <f>SUM(C27+SUM(C30:C30))</f>
        <v>-1037.5696344599999</v>
      </c>
      <c r="D31" s="28">
        <f>SUM(D27+SUM(D30:D30))</f>
        <v>-304.41188878999901</v>
      </c>
      <c r="E31" s="28">
        <f>SUM(E27+SUM(E30:E30))</f>
        <v>33.384883790000231</v>
      </c>
      <c r="G31" s="28">
        <f t="shared" ref="G31" si="53">SUM(G27+SUM(G30:G30))</f>
        <v>-283.61092827999983</v>
      </c>
      <c r="H31" s="28">
        <f t="shared" ref="H31" si="54">SUM(H27+SUM(H30:H30))</f>
        <v>-382.77899646000088</v>
      </c>
      <c r="I31" s="28">
        <f t="shared" ref="I31" si="55">SUM(I27+SUM(I30:I30))</f>
        <v>-189.48449140999992</v>
      </c>
      <c r="J31" s="28">
        <f t="shared" ref="J31" si="56">SUM(J27+SUM(J30:J30))</f>
        <v>-181.69521830999932</v>
      </c>
      <c r="K31" s="28">
        <f t="shared" ref="K31" si="57">SUM(K27+SUM(K30:K30))</f>
        <v>-98.537746220000216</v>
      </c>
      <c r="L31" s="28">
        <f t="shared" ref="L31" si="58">SUM(L27+SUM(L30:L30))</f>
        <v>-81.56034570999924</v>
      </c>
      <c r="M31" s="28">
        <f t="shared" ref="M31" si="59">SUM(M27+SUM(M30:M30))</f>
        <v>3.6936898299995278</v>
      </c>
      <c r="N31" s="28">
        <f t="shared" ref="N31" si="60">SUM(N27+SUM(N30:N30))</f>
        <v>-128.0074866899989</v>
      </c>
      <c r="O31" s="28">
        <f t="shared" ref="O31:U31" si="61">SUM(O27+SUM(O30:O30))</f>
        <v>-25.474493330234374</v>
      </c>
      <c r="P31" s="28">
        <f t="shared" si="61"/>
        <v>-2.7472886899999569</v>
      </c>
      <c r="Q31" s="28">
        <f t="shared" si="61"/>
        <v>14.727672666249934</v>
      </c>
      <c r="R31" s="28">
        <f t="shared" si="61"/>
        <v>46.878993143984275</v>
      </c>
      <c r="S31" s="28">
        <f t="shared" si="61"/>
        <v>-91.374324562812475</v>
      </c>
      <c r="T31" s="28">
        <f t="shared" si="61"/>
        <v>-45.839025177734463</v>
      </c>
      <c r="U31" s="28">
        <f t="shared" si="61"/>
        <v>-88</v>
      </c>
      <c r="W31" s="28" t="e">
        <f t="shared" ref="W31:AP31" si="62">SUM(W27+SUM(W30:W30))</f>
        <v>#REF!</v>
      </c>
      <c r="X31" s="28" t="e">
        <f t="shared" si="62"/>
        <v>#REF!</v>
      </c>
      <c r="Y31" s="28" t="e">
        <f t="shared" si="62"/>
        <v>#REF!</v>
      </c>
      <c r="Z31" s="28" t="e">
        <f t="shared" si="62"/>
        <v>#REF!</v>
      </c>
      <c r="AA31" s="28" t="e">
        <f t="shared" si="62"/>
        <v>#REF!</v>
      </c>
      <c r="AB31" s="28" t="e">
        <f t="shared" si="62"/>
        <v>#REF!</v>
      </c>
      <c r="AC31" s="28" t="e">
        <f t="shared" si="62"/>
        <v>#REF!</v>
      </c>
      <c r="AD31" s="28" t="e">
        <f t="shared" si="62"/>
        <v>#REF!</v>
      </c>
      <c r="AE31" s="28" t="e">
        <f t="shared" si="62"/>
        <v>#REF!</v>
      </c>
      <c r="AF31" s="28" t="e">
        <f t="shared" si="62"/>
        <v>#REF!</v>
      </c>
      <c r="AG31" s="28" t="e">
        <f t="shared" si="62"/>
        <v>#REF!</v>
      </c>
      <c r="AH31" s="28" t="e">
        <f t="shared" si="62"/>
        <v>#REF!</v>
      </c>
      <c r="AI31" s="28" t="e">
        <f t="shared" si="62"/>
        <v>#REF!</v>
      </c>
      <c r="AJ31" s="28">
        <f t="shared" si="62"/>
        <v>509.75696800976561</v>
      </c>
      <c r="AK31" s="28">
        <f t="shared" si="62"/>
        <v>1044.9637525097658</v>
      </c>
      <c r="AL31" s="28">
        <f t="shared" si="62"/>
        <v>-13.494109353984225</v>
      </c>
      <c r="AM31" s="28">
        <f t="shared" si="62"/>
        <v>33.384883790000231</v>
      </c>
      <c r="AN31" s="28">
        <f t="shared" si="62"/>
        <v>-32.514947442578318</v>
      </c>
      <c r="AO31" s="28">
        <f t="shared" si="62"/>
        <v>-75.606683930312442</v>
      </c>
      <c r="AP31" s="28">
        <f t="shared" si="62"/>
        <v>-178.33435659656266</v>
      </c>
      <c r="AQ31" s="45"/>
      <c r="AR31" s="77">
        <f>SUM(AP31/AL31)-1</f>
        <v>12.215718942125532</v>
      </c>
    </row>
    <row r="32" spans="2:44" ht="12.75" customHeight="1">
      <c r="B32" s="17" t="s">
        <v>74</v>
      </c>
      <c r="C32" s="19">
        <f>C31/C11</f>
        <v>-0.54494203490546211</v>
      </c>
      <c r="D32" s="19">
        <f>D31/D11</f>
        <v>-0.13374863303602769</v>
      </c>
      <c r="E32" s="19">
        <f>E31/E11</f>
        <v>1.1876515044468242E-2</v>
      </c>
      <c r="F32" s="29"/>
      <c r="G32" s="19">
        <f>G31/G11</f>
        <v>-0.61940239351079618</v>
      </c>
      <c r="H32" s="19">
        <f>H31/H11</f>
        <v>-0.79177666132104185</v>
      </c>
      <c r="I32" s="19">
        <f>I31/I11</f>
        <v>-0.43749953781721468</v>
      </c>
      <c r="J32" s="19">
        <f>J31/J11</f>
        <v>-0.34309909593558402</v>
      </c>
      <c r="K32" s="19">
        <f>K31/K11</f>
        <v>-0.20352552961797388</v>
      </c>
      <c r="L32" s="19">
        <f>L31/L11</f>
        <v>-0.15271311775350732</v>
      </c>
      <c r="M32" s="19">
        <f>M31/M11</f>
        <v>6.4262741323258283E-3</v>
      </c>
      <c r="N32" s="19">
        <f>N31/N11</f>
        <v>-0.18742197189440041</v>
      </c>
      <c r="O32" s="19">
        <f>O31/O11</f>
        <v>-4.0096557342690221E-2</v>
      </c>
      <c r="P32" s="19">
        <f>P31/P11</f>
        <v>-4.0644352471713146E-3</v>
      </c>
      <c r="Q32" s="19">
        <f>Q31/Q11</f>
        <v>2.0502021167590572E-2</v>
      </c>
      <c r="R32" s="19">
        <f>R31/R11</f>
        <v>5.9994714034766958E-2</v>
      </c>
      <c r="S32" s="19">
        <f>S31/S11</f>
        <v>-0.13032303848237717</v>
      </c>
      <c r="T32" s="19">
        <f>T31/T11</f>
        <v>-5.5690602279427001E-2</v>
      </c>
      <c r="U32" s="19">
        <f>U31/U11</f>
        <v>-9.7452934662236992E-2</v>
      </c>
      <c r="V32" s="30"/>
      <c r="W32" s="19" t="e">
        <f>W31/W11</f>
        <v>#REF!</v>
      </c>
      <c r="X32" s="19" t="e">
        <f>X31/X11</f>
        <v>#REF!</v>
      </c>
      <c r="Y32" s="19" t="e">
        <f>Y31/Y11</f>
        <v>#REF!</v>
      </c>
      <c r="Z32" s="19" t="e">
        <f>Z31/Z11</f>
        <v>#REF!</v>
      </c>
      <c r="AA32" s="19" t="e">
        <f>AA31/AA11</f>
        <v>#REF!</v>
      </c>
      <c r="AB32" s="19" t="e">
        <f>AB31/AB11</f>
        <v>#REF!</v>
      </c>
      <c r="AC32" s="19" t="e">
        <f>AC31/AC11</f>
        <v>#REF!</v>
      </c>
      <c r="AD32" s="19" t="e">
        <f>AD31/AD11</f>
        <v>#REF!</v>
      </c>
      <c r="AE32" s="19" t="e">
        <f>AE31/AE11</f>
        <v>#REF!</v>
      </c>
      <c r="AF32" s="19" t="e">
        <f>AF31/AF11</f>
        <v>#REF!</v>
      </c>
      <c r="AG32" s="19" t="e">
        <f>AG31/AG11</f>
        <v>#REF!</v>
      </c>
      <c r="AH32" s="19" t="e">
        <f>AH31/AH11</f>
        <v>#REF!</v>
      </c>
      <c r="AI32" s="19" t="e">
        <f>AI31/AI11</f>
        <v>#REF!</v>
      </c>
      <c r="AJ32" s="19">
        <f>AJ31/AJ11</f>
        <v>0.80235156137063868</v>
      </c>
      <c r="AK32" s="19">
        <f>AK31/AK11</f>
        <v>0.79691431069457119</v>
      </c>
      <c r="AL32" s="19">
        <f>AL31/AL11</f>
        <v>-6.6486067358775261E-3</v>
      </c>
      <c r="AM32" s="19">
        <f>AM31/AM11</f>
        <v>1.1876515044468242E-2</v>
      </c>
      <c r="AN32" s="19">
        <f>AN31/AN11</f>
        <v>-1.1302437353569438E-2</v>
      </c>
      <c r="AO32" s="19">
        <f>AO31/AO11</f>
        <v>-2.5002405385935823E-2</v>
      </c>
      <c r="AP32" s="19">
        <f>AP31/AP11</f>
        <v>-5.5579696167844819E-2</v>
      </c>
      <c r="AQ32" s="46"/>
      <c r="AR32" s="78">
        <f>SUM(AP32-AL32)*1000</f>
        <v>-48.931089431967294</v>
      </c>
    </row>
    <row r="33" spans="1:44" ht="5.0999999999999996" customHeight="1">
      <c r="B33" s="31"/>
      <c r="C33" s="47"/>
      <c r="D33" s="47"/>
      <c r="E33" s="47"/>
      <c r="F33" s="32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6"/>
      <c r="AR33" s="76"/>
    </row>
    <row r="34" spans="1:44" ht="12.75" customHeight="1">
      <c r="B34" s="48" t="s">
        <v>54</v>
      </c>
      <c r="C34" s="83">
        <v>-8.2544084799999897</v>
      </c>
      <c r="D34" s="83">
        <v>60</v>
      </c>
      <c r="E34" s="83">
        <v>-12</v>
      </c>
      <c r="F34" s="34"/>
      <c r="G34" s="83">
        <v>-3.0776811999999998</v>
      </c>
      <c r="H34" s="83">
        <v>-1.03673499999999</v>
      </c>
      <c r="I34" s="83">
        <v>-3.3575317999999998</v>
      </c>
      <c r="J34" s="34">
        <f>SUM(C34-SUM(G34:I34))</f>
        <v>-0.78246047999999924</v>
      </c>
      <c r="K34" s="83">
        <v>54.984440919999898</v>
      </c>
      <c r="L34" s="83">
        <v>-10.274186240000001</v>
      </c>
      <c r="M34" s="83">
        <v>0.35908702999999997</v>
      </c>
      <c r="N34" s="34">
        <f>SUM(D34-SUM(K34:M34))</f>
        <v>14.930658290000103</v>
      </c>
      <c r="O34" s="83">
        <v>-4.9203693749999999</v>
      </c>
      <c r="P34" s="83">
        <v>0.93651643750000002</v>
      </c>
      <c r="Q34" s="83">
        <v>-2.3003911562499999</v>
      </c>
      <c r="R34" s="34">
        <f>SUM(E34-SUM(O34:Q34))</f>
        <v>-5.7157559062500001</v>
      </c>
      <c r="S34" s="83">
        <v>-7.4439852499999999</v>
      </c>
      <c r="T34" s="83">
        <v>-7.0970093125</v>
      </c>
      <c r="U34" s="83">
        <v>-8</v>
      </c>
      <c r="V34" s="34"/>
      <c r="W34" s="34" t="e">
        <f>SUM(#REF!)</f>
        <v>#REF!</v>
      </c>
      <c r="X34" s="34" t="e">
        <f>SUM(#REF!)</f>
        <v>#REF!</v>
      </c>
      <c r="Y34" s="34" t="e">
        <f>SUM(#REF!)</f>
        <v>#REF!</v>
      </c>
      <c r="Z34" s="34" t="e">
        <f>SUM(#REF!)</f>
        <v>#REF!</v>
      </c>
      <c r="AA34" s="34" t="e">
        <f>SUM(#REF!)</f>
        <v>#REF!</v>
      </c>
      <c r="AB34" s="34" t="e">
        <f>SUM(#REF!)</f>
        <v>#REF!</v>
      </c>
      <c r="AC34" s="34" t="e">
        <f>SUM(#REF!)</f>
        <v>#REF!</v>
      </c>
      <c r="AD34" s="34" t="e">
        <f>SUM(#REF!)</f>
        <v>#REF!</v>
      </c>
      <c r="AE34" s="34" t="e">
        <f>SUM(#REF!)</f>
        <v>#REF!</v>
      </c>
      <c r="AF34" s="34" t="e">
        <f>SUM(#REF!)</f>
        <v>#REF!</v>
      </c>
      <c r="AG34" s="34" t="e">
        <f>SUM(#REF!)</f>
        <v>#REF!</v>
      </c>
      <c r="AH34" s="34" t="e">
        <f>SUM(#REF!)</f>
        <v>#REF!</v>
      </c>
      <c r="AI34" s="34" t="e">
        <f>SUM(#REF!)</f>
        <v>#REF!</v>
      </c>
      <c r="AJ34" s="34">
        <f>SUM(O34:O34)</f>
        <v>-4.9203693749999999</v>
      </c>
      <c r="AK34" s="34">
        <f>SUM(O34:P34)</f>
        <v>-3.9838529375</v>
      </c>
      <c r="AL34" s="34">
        <f>SUM(O34:Q34)</f>
        <v>-6.2842440937499999</v>
      </c>
      <c r="AM34" s="34">
        <f t="shared" ref="AM34:AP34" si="63">SUM(O34:R34)</f>
        <v>-12</v>
      </c>
      <c r="AN34" s="34">
        <f t="shared" si="63"/>
        <v>-14.523615875000001</v>
      </c>
      <c r="AO34" s="34">
        <f t="shared" si="63"/>
        <v>-22.557141625</v>
      </c>
      <c r="AP34" s="34">
        <f t="shared" si="63"/>
        <v>-28.256750468749999</v>
      </c>
      <c r="AQ34" s="46"/>
      <c r="AR34" s="76">
        <f>SUM(AP34/AL34)-1</f>
        <v>3.4964438120493719</v>
      </c>
    </row>
    <row r="35" spans="1:44" ht="12.75" customHeight="1">
      <c r="B35" s="14" t="s">
        <v>42</v>
      </c>
      <c r="C35" s="15">
        <f t="shared" ref="C35:E35" si="64">SUM(C31+SUM(C34:C34))</f>
        <v>-1045.8240429399998</v>
      </c>
      <c r="D35" s="15">
        <f t="shared" si="64"/>
        <v>-244.41188878999901</v>
      </c>
      <c r="E35" s="15">
        <f t="shared" si="64"/>
        <v>21.384883790000231</v>
      </c>
      <c r="F35" s="12"/>
      <c r="G35" s="15">
        <f t="shared" ref="G35:J35" si="65">SUM(G31+SUM(G34:G34))</f>
        <v>-286.6886094799998</v>
      </c>
      <c r="H35" s="15">
        <f t="shared" si="65"/>
        <v>-383.81573146000085</v>
      </c>
      <c r="I35" s="15">
        <f t="shared" si="65"/>
        <v>-192.84202320999992</v>
      </c>
      <c r="J35" s="15">
        <f t="shared" si="65"/>
        <v>-182.47767878999932</v>
      </c>
      <c r="K35" s="15">
        <f t="shared" ref="K35:N35" si="66">SUM(K31+SUM(K34:K34))</f>
        <v>-43.553305300000318</v>
      </c>
      <c r="L35" s="15">
        <f t="shared" si="66"/>
        <v>-91.834531949999246</v>
      </c>
      <c r="M35" s="15">
        <f t="shared" si="66"/>
        <v>4.0527768599995273</v>
      </c>
      <c r="N35" s="15">
        <f t="shared" si="66"/>
        <v>-113.07682839999879</v>
      </c>
      <c r="O35" s="15">
        <f t="shared" ref="O35:U35" si="67">SUM(O31+SUM(O34:O34))</f>
        <v>-30.394862705234374</v>
      </c>
      <c r="P35" s="15">
        <f t="shared" si="67"/>
        <v>-1.810772252499957</v>
      </c>
      <c r="Q35" s="15">
        <f t="shared" si="67"/>
        <v>12.427281509999933</v>
      </c>
      <c r="R35" s="15">
        <f t="shared" si="67"/>
        <v>41.163237237734272</v>
      </c>
      <c r="S35" s="15">
        <f t="shared" si="67"/>
        <v>-98.818309812812473</v>
      </c>
      <c r="T35" s="15">
        <f t="shared" si="67"/>
        <v>-52.936034490234462</v>
      </c>
      <c r="U35" s="15">
        <f t="shared" si="67"/>
        <v>-96</v>
      </c>
      <c r="V35" s="34"/>
      <c r="W35" s="15" t="e">
        <f t="shared" ref="W35:AP35" si="68">SUM(W31+SUM(W34:W34))</f>
        <v>#REF!</v>
      </c>
      <c r="X35" s="15" t="e">
        <f t="shared" si="68"/>
        <v>#REF!</v>
      </c>
      <c r="Y35" s="15" t="e">
        <f t="shared" si="68"/>
        <v>#REF!</v>
      </c>
      <c r="Z35" s="15" t="e">
        <f t="shared" si="68"/>
        <v>#REF!</v>
      </c>
      <c r="AA35" s="15" t="e">
        <f t="shared" si="68"/>
        <v>#REF!</v>
      </c>
      <c r="AB35" s="15" t="e">
        <f t="shared" si="68"/>
        <v>#REF!</v>
      </c>
      <c r="AC35" s="15" t="e">
        <f t="shared" si="68"/>
        <v>#REF!</v>
      </c>
      <c r="AD35" s="15" t="e">
        <f t="shared" si="68"/>
        <v>#REF!</v>
      </c>
      <c r="AE35" s="15" t="e">
        <f t="shared" si="68"/>
        <v>#REF!</v>
      </c>
      <c r="AF35" s="15" t="e">
        <f t="shared" si="68"/>
        <v>#REF!</v>
      </c>
      <c r="AG35" s="15" t="e">
        <f t="shared" si="68"/>
        <v>#REF!</v>
      </c>
      <c r="AH35" s="15" t="e">
        <f t="shared" si="68"/>
        <v>#REF!</v>
      </c>
      <c r="AI35" s="15" t="e">
        <f t="shared" si="68"/>
        <v>#REF!</v>
      </c>
      <c r="AJ35" s="15">
        <f t="shared" si="68"/>
        <v>504.83659863476561</v>
      </c>
      <c r="AK35" s="15">
        <f t="shared" si="68"/>
        <v>1040.9798995722658</v>
      </c>
      <c r="AL35" s="15">
        <f t="shared" si="68"/>
        <v>-19.778353447734226</v>
      </c>
      <c r="AM35" s="15">
        <f t="shared" si="68"/>
        <v>21.384883790000231</v>
      </c>
      <c r="AN35" s="15">
        <f t="shared" si="68"/>
        <v>-47.038563317578323</v>
      </c>
      <c r="AO35" s="15">
        <f t="shared" si="68"/>
        <v>-98.163825555312442</v>
      </c>
      <c r="AP35" s="15">
        <f t="shared" si="68"/>
        <v>-206.59110706531266</v>
      </c>
      <c r="AQ35" s="38"/>
      <c r="AR35" s="77">
        <f>SUM(AP35/AL35)-1</f>
        <v>9.4453137421800584</v>
      </c>
    </row>
    <row r="36" spans="1:44" ht="12.75" customHeight="1">
      <c r="B36" s="17" t="s">
        <v>56</v>
      </c>
      <c r="C36" s="19">
        <f>C35/C11</f>
        <v>-0.54927733347689067</v>
      </c>
      <c r="D36" s="19">
        <f>D35/D11</f>
        <v>-0.10738659437170431</v>
      </c>
      <c r="E36" s="19">
        <f>E35/E11</f>
        <v>7.6075716079687765E-3</v>
      </c>
      <c r="F36" s="29"/>
      <c r="G36" s="19">
        <f>G35/G11</f>
        <v>-0.62612400721342865</v>
      </c>
      <c r="H36" s="19">
        <f>H35/H11</f>
        <v>-0.7939211430835369</v>
      </c>
      <c r="I36" s="19">
        <f>I35/I11</f>
        <v>-0.4452517216491263</v>
      </c>
      <c r="J36" s="19">
        <f>J35/J11</f>
        <v>-0.3445766333512098</v>
      </c>
      <c r="K36" s="19">
        <f>K35/K11</f>
        <v>-8.9957502255076996E-2</v>
      </c>
      <c r="L36" s="19">
        <f>L35/L11</f>
        <v>-0.1719504444155279</v>
      </c>
      <c r="M36" s="19">
        <f>M35/M11</f>
        <v>7.0510130244225153E-3</v>
      </c>
      <c r="N36" s="19">
        <f>N35/N11</f>
        <v>-0.1655612706904924</v>
      </c>
      <c r="O36" s="19">
        <f>O35/O11</f>
        <v>-4.784116172929645E-2</v>
      </c>
      <c r="P36" s="19">
        <f>P35/P11</f>
        <v>-2.6789199818897575E-3</v>
      </c>
      <c r="Q36" s="19">
        <f>Q35/Q11</f>
        <v>1.7299704735935076E-2</v>
      </c>
      <c r="R36" s="19">
        <f>R35/R11</f>
        <v>5.2679814159789506E-2</v>
      </c>
      <c r="S36" s="19">
        <f>S35/S11</f>
        <v>-0.14094005568977785</v>
      </c>
      <c r="T36" s="19">
        <f>T35/T11</f>
        <v>-6.4312878199635853E-2</v>
      </c>
      <c r="U36" s="19">
        <f>U35/U11</f>
        <v>-0.10631229235880399</v>
      </c>
      <c r="V36" s="30"/>
      <c r="W36" s="19" t="e">
        <f>W35/W11</f>
        <v>#REF!</v>
      </c>
      <c r="X36" s="19" t="e">
        <f>X35/X11</f>
        <v>#REF!</v>
      </c>
      <c r="Y36" s="19" t="e">
        <f>Y35/Y11</f>
        <v>#REF!</v>
      </c>
      <c r="Z36" s="19" t="e">
        <f>Z35/Z11</f>
        <v>#REF!</v>
      </c>
      <c r="AA36" s="19" t="e">
        <f>AA35/AA11</f>
        <v>#REF!</v>
      </c>
      <c r="AB36" s="19" t="e">
        <f>AB35/AB11</f>
        <v>#REF!</v>
      </c>
      <c r="AC36" s="19" t="e">
        <f>AC35/AC11</f>
        <v>#REF!</v>
      </c>
      <c r="AD36" s="19" t="e">
        <f>AD35/AD11</f>
        <v>#REF!</v>
      </c>
      <c r="AE36" s="19" t="e">
        <f>AE35/AE11</f>
        <v>#REF!</v>
      </c>
      <c r="AF36" s="19" t="e">
        <f>AF35/AF11</f>
        <v>#REF!</v>
      </c>
      <c r="AG36" s="19" t="e">
        <f>AG35/AG11</f>
        <v>#REF!</v>
      </c>
      <c r="AH36" s="19" t="e">
        <f>AH35/AH11</f>
        <v>#REF!</v>
      </c>
      <c r="AI36" s="19" t="e">
        <f>AI35/AI11</f>
        <v>#REF!</v>
      </c>
      <c r="AJ36" s="19">
        <f>AJ35/AJ11</f>
        <v>0.79460695698403239</v>
      </c>
      <c r="AK36" s="19">
        <f>AK35/AK11</f>
        <v>0.79387612931270879</v>
      </c>
      <c r="AL36" s="19">
        <f>AL35/AL11</f>
        <v>-9.7448813039555261E-3</v>
      </c>
      <c r="AM36" s="19">
        <f>AM35/AM11</f>
        <v>7.6075716079687765E-3</v>
      </c>
      <c r="AN36" s="19">
        <f>AN35/AN11</f>
        <v>-1.6350954158475504E-2</v>
      </c>
      <c r="AO36" s="19">
        <f>AO35/AO11</f>
        <v>-3.2461835821689974E-2</v>
      </c>
      <c r="AP36" s="19">
        <f>AP35/AP11</f>
        <v>-6.4386196697053574E-2</v>
      </c>
      <c r="AQ36" s="46"/>
      <c r="AR36" s="78">
        <f>SUM(AP36-AL36)*1000</f>
        <v>-54.641315393098047</v>
      </c>
    </row>
    <row r="37" spans="1:44" ht="5.0999999999999996" customHeight="1">
      <c r="B37" s="17"/>
      <c r="C37" s="19"/>
      <c r="D37" s="19"/>
      <c r="E37" s="19"/>
      <c r="F37" s="2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30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46"/>
      <c r="AR37" s="78"/>
    </row>
    <row r="38" spans="1:44" ht="12.75" customHeight="1">
      <c r="B38" s="48" t="s">
        <v>86</v>
      </c>
      <c r="C38" s="83">
        <v>382.33535999999998</v>
      </c>
      <c r="D38" s="83">
        <v>382.33535999999998</v>
      </c>
      <c r="E38" s="83">
        <v>382.33535999999998</v>
      </c>
      <c r="F38" s="29"/>
      <c r="G38" s="83">
        <v>382.33535999999998</v>
      </c>
      <c r="H38" s="83">
        <v>382.33535999999998</v>
      </c>
      <c r="I38" s="83">
        <v>382.33535999999998</v>
      </c>
      <c r="J38" s="34">
        <f>C38</f>
        <v>382.33535999999998</v>
      </c>
      <c r="K38" s="83">
        <v>382.33535999999998</v>
      </c>
      <c r="L38" s="83">
        <v>382.33535999999998</v>
      </c>
      <c r="M38" s="83">
        <v>382.33535999999998</v>
      </c>
      <c r="N38" s="34">
        <f>D38</f>
        <v>382.33535999999998</v>
      </c>
      <c r="O38" s="83">
        <v>382.33535999999998</v>
      </c>
      <c r="P38" s="83">
        <v>382.33535999999998</v>
      </c>
      <c r="Q38" s="83">
        <v>382.33535999999998</v>
      </c>
      <c r="R38" s="34">
        <f>E38</f>
        <v>382.33535999999998</v>
      </c>
      <c r="S38" s="83">
        <v>382.33535999999998</v>
      </c>
      <c r="T38" s="83">
        <v>382.33535999999998</v>
      </c>
      <c r="U38" s="83">
        <v>382.33535999999998</v>
      </c>
      <c r="V38" s="34"/>
      <c r="W38" s="34" t="str">
        <f t="shared" ref="W38:AO38" si="69">B38</f>
        <v>Basic Shares</v>
      </c>
      <c r="X38" s="34">
        <f t="shared" si="69"/>
        <v>382.33535999999998</v>
      </c>
      <c r="Y38" s="34">
        <f t="shared" si="69"/>
        <v>382.33535999999998</v>
      </c>
      <c r="Z38" s="34">
        <f t="shared" si="69"/>
        <v>382.33535999999998</v>
      </c>
      <c r="AA38" s="34">
        <f t="shared" si="69"/>
        <v>0</v>
      </c>
      <c r="AB38" s="34">
        <f t="shared" si="69"/>
        <v>382.33535999999998</v>
      </c>
      <c r="AC38" s="34">
        <f t="shared" si="69"/>
        <v>382.33535999999998</v>
      </c>
      <c r="AD38" s="34">
        <f t="shared" si="69"/>
        <v>382.33535999999998</v>
      </c>
      <c r="AE38" s="34">
        <f t="shared" si="69"/>
        <v>382.33535999999998</v>
      </c>
      <c r="AF38" s="34">
        <f t="shared" si="69"/>
        <v>382.33535999999998</v>
      </c>
      <c r="AG38" s="34">
        <f t="shared" si="69"/>
        <v>382.33535999999998</v>
      </c>
      <c r="AH38" s="34">
        <f t="shared" si="69"/>
        <v>382.33535999999998</v>
      </c>
      <c r="AI38" s="34">
        <f t="shared" si="69"/>
        <v>382.33535999999998</v>
      </c>
      <c r="AJ38" s="34">
        <f t="shared" si="69"/>
        <v>382.33535999999998</v>
      </c>
      <c r="AK38" s="34">
        <f t="shared" si="69"/>
        <v>382.33535999999998</v>
      </c>
      <c r="AL38" s="34">
        <f t="shared" si="69"/>
        <v>382.33535999999998</v>
      </c>
      <c r="AM38" s="34">
        <f t="shared" si="69"/>
        <v>382.33535999999998</v>
      </c>
      <c r="AN38" s="34">
        <f t="shared" si="69"/>
        <v>382.33535999999998</v>
      </c>
      <c r="AO38" s="34">
        <f t="shared" si="69"/>
        <v>382.33535999999998</v>
      </c>
      <c r="AP38" s="34">
        <f>U38</f>
        <v>382.33535999999998</v>
      </c>
      <c r="AQ38" s="46"/>
      <c r="AR38" s="76">
        <f>SUM(AP38/AL38)-1</f>
        <v>0</v>
      </c>
    </row>
    <row r="39" spans="1:44" ht="12.75" customHeight="1">
      <c r="B39" s="14" t="s">
        <v>57</v>
      </c>
      <c r="C39" s="173">
        <f>C35/C38</f>
        <v>-2.7353578882685605</v>
      </c>
      <c r="D39" s="173">
        <f t="shared" ref="D39:G39" si="70">D35/D38</f>
        <v>-0.63926048793917212</v>
      </c>
      <c r="E39" s="173">
        <f t="shared" si="70"/>
        <v>5.5932267917882958E-2</v>
      </c>
      <c r="F39" s="29"/>
      <c r="G39" s="173">
        <f t="shared" si="70"/>
        <v>-0.74983545722791589</v>
      </c>
      <c r="H39" s="173">
        <f t="shared" ref="H39" si="71">H35/H38</f>
        <v>-1.0038719187783229</v>
      </c>
      <c r="I39" s="173">
        <f t="shared" ref="I39" si="72">I35/I38</f>
        <v>-0.50437925283709029</v>
      </c>
      <c r="J39" s="173">
        <f t="shared" ref="J39" si="73">J35/J38</f>
        <v>-0.47727125942523163</v>
      </c>
      <c r="K39" s="173">
        <f t="shared" ref="K39" si="74">K35/K38</f>
        <v>-0.11391388256634259</v>
      </c>
      <c r="L39" s="173">
        <f t="shared" ref="L39" si="75">L35/L38</f>
        <v>-0.24019366649738924</v>
      </c>
      <c r="M39" s="173">
        <f t="shared" ref="M39" si="76">M35/M38</f>
        <v>1.0600057656188346E-2</v>
      </c>
      <c r="N39" s="173">
        <f t="shared" ref="N39" si="77">N35/N38</f>
        <v>-0.29575299653162812</v>
      </c>
      <c r="O39" s="173">
        <f t="shared" ref="O39" si="78">O35/O38</f>
        <v>-7.9497911742283989E-2</v>
      </c>
      <c r="P39" s="173">
        <f t="shared" ref="P39" si="79">P35/P38</f>
        <v>-4.7360836635668676E-3</v>
      </c>
      <c r="Q39" s="173">
        <f t="shared" ref="Q39" si="80">Q35/Q38</f>
        <v>3.2503615438550945E-2</v>
      </c>
      <c r="R39" s="173">
        <f t="shared" ref="R39" si="81">R35/R38</f>
        <v>0.10766264788518194</v>
      </c>
      <c r="S39" s="173">
        <f t="shared" ref="S39" si="82">S35/S38</f>
        <v>-0.25845977158066802</v>
      </c>
      <c r="T39" s="173">
        <f t="shared" ref="T39" si="83">T35/T38</f>
        <v>-0.13845445655414781</v>
      </c>
      <c r="U39" s="173">
        <f t="shared" ref="U39" si="84">U35/U38</f>
        <v>-0.2510884685109952</v>
      </c>
      <c r="V39" s="34"/>
      <c r="W39" s="173" t="e">
        <f t="shared" ref="W39" si="85">W35/W38</f>
        <v>#REF!</v>
      </c>
      <c r="X39" s="173" t="e">
        <f t="shared" ref="X39" si="86">X35/X38</f>
        <v>#REF!</v>
      </c>
      <c r="Y39" s="173" t="e">
        <f t="shared" ref="Y39" si="87">Y35/Y38</f>
        <v>#REF!</v>
      </c>
      <c r="Z39" s="173" t="e">
        <f t="shared" ref="Z39" si="88">Z35/Z38</f>
        <v>#REF!</v>
      </c>
      <c r="AA39" s="173" t="e">
        <f t="shared" ref="AA39" si="89">AA35/AA38</f>
        <v>#REF!</v>
      </c>
      <c r="AB39" s="173" t="e">
        <f t="shared" ref="AB39" si="90">AB35/AB38</f>
        <v>#REF!</v>
      </c>
      <c r="AC39" s="173" t="e">
        <f t="shared" ref="AC39" si="91">AC35/AC38</f>
        <v>#REF!</v>
      </c>
      <c r="AD39" s="173" t="e">
        <f t="shared" ref="AD39" si="92">AD35/AD38</f>
        <v>#REF!</v>
      </c>
      <c r="AE39" s="173" t="e">
        <f t="shared" ref="AE39" si="93">AE35/AE38</f>
        <v>#REF!</v>
      </c>
      <c r="AF39" s="173" t="e">
        <f t="shared" ref="AF39" si="94">AF35/AF38</f>
        <v>#REF!</v>
      </c>
      <c r="AG39" s="173" t="e">
        <f t="shared" ref="AG39" si="95">AG35/AG38</f>
        <v>#REF!</v>
      </c>
      <c r="AH39" s="173" t="e">
        <f t="shared" ref="AH39" si="96">AH35/AH38</f>
        <v>#REF!</v>
      </c>
      <c r="AI39" s="173" t="e">
        <f t="shared" ref="AI39" si="97">AI35/AI38</f>
        <v>#REF!</v>
      </c>
      <c r="AJ39" s="173">
        <f t="shared" ref="AJ39" si="98">AJ35/AJ38</f>
        <v>1.3204025874948255</v>
      </c>
      <c r="AK39" s="173">
        <f t="shared" ref="AK39" si="99">AK35/AK38</f>
        <v>2.7226880076492685</v>
      </c>
      <c r="AL39" s="173">
        <f t="shared" ref="AL39" si="100">AL35/AL38</f>
        <v>-5.1730379967299456E-2</v>
      </c>
      <c r="AM39" s="173">
        <f t="shared" ref="AM39" si="101">AM35/AM38</f>
        <v>5.5932267917882958E-2</v>
      </c>
      <c r="AN39" s="173">
        <f t="shared" ref="AN39" si="102">AN35/AN38</f>
        <v>-0.12302959192050227</v>
      </c>
      <c r="AO39" s="173">
        <f t="shared" ref="AO39" si="103">AO35/AO38</f>
        <v>-0.2567479648110822</v>
      </c>
      <c r="AP39" s="173">
        <f t="shared" ref="AP39" si="104">AP35/AP38</f>
        <v>-0.54034004876062902</v>
      </c>
      <c r="AQ39" s="46"/>
      <c r="AR39" s="77">
        <f>SUM(AP39/AL39)-1</f>
        <v>9.4453137421800584</v>
      </c>
    </row>
    <row r="40" spans="1:44" ht="12.75" customHeight="1">
      <c r="B40" s="48"/>
      <c r="C40" s="137"/>
      <c r="D40" s="137"/>
      <c r="E40" s="137"/>
      <c r="F40" s="29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83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46"/>
      <c r="AR40" s="77"/>
    </row>
    <row r="41" spans="1:44" ht="12.75" customHeight="1">
      <c r="B41" s="48" t="s">
        <v>58</v>
      </c>
      <c r="C41" s="83">
        <v>385.566327</v>
      </c>
      <c r="D41" s="83">
        <v>385.566327</v>
      </c>
      <c r="E41" s="83">
        <v>385.566327</v>
      </c>
      <c r="F41" s="29"/>
      <c r="G41" s="83">
        <v>385.566327</v>
      </c>
      <c r="H41" s="83">
        <v>385.566327</v>
      </c>
      <c r="I41" s="83">
        <v>385.566327</v>
      </c>
      <c r="J41" s="34">
        <f>C41</f>
        <v>385.566327</v>
      </c>
      <c r="K41" s="83">
        <v>385.566327</v>
      </c>
      <c r="L41" s="83">
        <v>385.566327</v>
      </c>
      <c r="M41" s="83">
        <v>385.566327</v>
      </c>
      <c r="N41" s="34">
        <f>D41</f>
        <v>385.566327</v>
      </c>
      <c r="O41" s="83">
        <v>385.566327</v>
      </c>
      <c r="P41" s="83">
        <v>385.566327</v>
      </c>
      <c r="Q41" s="83">
        <v>385.566327</v>
      </c>
      <c r="R41" s="34">
        <f>E41</f>
        <v>385.566327</v>
      </c>
      <c r="S41" s="83">
        <v>385.566327</v>
      </c>
      <c r="T41" s="83">
        <v>385.566327</v>
      </c>
      <c r="U41" s="83">
        <v>385.566327</v>
      </c>
      <c r="V41" s="34"/>
      <c r="W41" s="34" t="str">
        <f t="shared" ref="W41" si="105">B41</f>
        <v>Fully Diluted Shares</v>
      </c>
      <c r="X41" s="34">
        <f t="shared" ref="X41" si="106">C41</f>
        <v>385.566327</v>
      </c>
      <c r="Y41" s="34">
        <f t="shared" ref="Y41" si="107">D41</f>
        <v>385.566327</v>
      </c>
      <c r="Z41" s="34">
        <f t="shared" ref="Z41" si="108">E41</f>
        <v>385.566327</v>
      </c>
      <c r="AA41" s="34">
        <f t="shared" ref="AA41" si="109">F41</f>
        <v>0</v>
      </c>
      <c r="AB41" s="34">
        <f t="shared" ref="AB41" si="110">G41</f>
        <v>385.566327</v>
      </c>
      <c r="AC41" s="34">
        <f t="shared" ref="AC41" si="111">H41</f>
        <v>385.566327</v>
      </c>
      <c r="AD41" s="34">
        <f t="shared" ref="AD41" si="112">I41</f>
        <v>385.566327</v>
      </c>
      <c r="AE41" s="34">
        <f t="shared" ref="AE41" si="113">J41</f>
        <v>385.566327</v>
      </c>
      <c r="AF41" s="34">
        <f t="shared" ref="AF41" si="114">K41</f>
        <v>385.566327</v>
      </c>
      <c r="AG41" s="34">
        <f t="shared" ref="AG41" si="115">L41</f>
        <v>385.566327</v>
      </c>
      <c r="AH41" s="34">
        <f t="shared" ref="AH41" si="116">M41</f>
        <v>385.566327</v>
      </c>
      <c r="AI41" s="34">
        <f t="shared" ref="AI41" si="117">N41</f>
        <v>385.566327</v>
      </c>
      <c r="AJ41" s="34">
        <f t="shared" ref="AJ41" si="118">O41</f>
        <v>385.566327</v>
      </c>
      <c r="AK41" s="34">
        <f t="shared" ref="AK41" si="119">P41</f>
        <v>385.566327</v>
      </c>
      <c r="AL41" s="34">
        <f t="shared" ref="AL41" si="120">Q41</f>
        <v>385.566327</v>
      </c>
      <c r="AM41" s="34">
        <f t="shared" ref="AM41" si="121">R41</f>
        <v>385.566327</v>
      </c>
      <c r="AN41" s="34">
        <f t="shared" ref="AN41" si="122">S41</f>
        <v>385.566327</v>
      </c>
      <c r="AO41" s="34">
        <f t="shared" ref="AO41" si="123">T41</f>
        <v>385.566327</v>
      </c>
      <c r="AP41" s="34">
        <f>U41</f>
        <v>385.566327</v>
      </c>
      <c r="AQ41" s="46"/>
      <c r="AR41" s="76">
        <f>SUM(AP41/AL41)-1</f>
        <v>0</v>
      </c>
    </row>
    <row r="42" spans="1:44" ht="12.75" customHeight="1">
      <c r="B42" s="14" t="s">
        <v>85</v>
      </c>
      <c r="C42" s="173">
        <f>C35/C41</f>
        <v>-2.7124361483465327</v>
      </c>
      <c r="D42" s="173">
        <f t="shared" ref="D42:G42" si="124">D35/D41</f>
        <v>-0.63390361573249887</v>
      </c>
      <c r="E42" s="173">
        <f t="shared" si="124"/>
        <v>5.5463566946810247E-2</v>
      </c>
      <c r="F42" s="29"/>
      <c r="G42" s="173">
        <f t="shared" si="124"/>
        <v>-0.74355198938313871</v>
      </c>
      <c r="H42" s="173">
        <f t="shared" ref="H42" si="125">H35/H41</f>
        <v>-0.995459677317726</v>
      </c>
      <c r="I42" s="173">
        <f t="shared" ref="I42" si="126">I35/I41</f>
        <v>-0.50015265780717388</v>
      </c>
      <c r="J42" s="173">
        <f t="shared" ref="J42" si="127">J35/J41</f>
        <v>-0.47327182383849437</v>
      </c>
      <c r="K42" s="173">
        <f t="shared" ref="K42" si="128">K35/K41</f>
        <v>-0.11295930751753723</v>
      </c>
      <c r="L42" s="173">
        <f t="shared" ref="L42" si="129">L35/L41</f>
        <v>-0.23818089267426937</v>
      </c>
      <c r="M42" s="173">
        <f t="shared" ref="M42" si="130">M35/M41</f>
        <v>1.0511231339970015E-2</v>
      </c>
      <c r="N42" s="173">
        <f t="shared" ref="N42" si="131">N35/N41</f>
        <v>-0.29327464688066185</v>
      </c>
      <c r="O42" s="173">
        <f t="shared" ref="O42" si="132">O35/O41</f>
        <v>-7.8831735493422317E-2</v>
      </c>
      <c r="P42" s="173">
        <f t="shared" ref="P42" si="133">P35/P41</f>
        <v>-4.696396250650688E-3</v>
      </c>
      <c r="Q42" s="173">
        <f t="shared" ref="Q42" si="134">Q35/Q41</f>
        <v>3.2231241785800273E-2</v>
      </c>
      <c r="R42" s="173">
        <f t="shared" ref="R42" si="135">R35/R41</f>
        <v>0.10676045690508204</v>
      </c>
      <c r="S42" s="173">
        <f t="shared" ref="S42" si="136">S35/S41</f>
        <v>-0.25629393153103974</v>
      </c>
      <c r="T42" s="173">
        <f t="shared" ref="T42" si="137">T35/T41</f>
        <v>-0.13729423651208644</v>
      </c>
      <c r="U42" s="173">
        <f t="shared" ref="U42" si="138">U35/U41</f>
        <v>-0.2489843984741956</v>
      </c>
      <c r="V42" s="34"/>
      <c r="W42" s="173" t="e">
        <f t="shared" ref="W42" si="139">W35/W41</f>
        <v>#REF!</v>
      </c>
      <c r="X42" s="173" t="e">
        <f t="shared" ref="X42" si="140">X35/X41</f>
        <v>#REF!</v>
      </c>
      <c r="Y42" s="173" t="e">
        <f t="shared" ref="Y42" si="141">Y35/Y41</f>
        <v>#REF!</v>
      </c>
      <c r="Z42" s="173" t="e">
        <f t="shared" ref="Z42" si="142">Z35/Z41</f>
        <v>#REF!</v>
      </c>
      <c r="AA42" s="173" t="e">
        <f t="shared" ref="AA42" si="143">AA35/AA41</f>
        <v>#REF!</v>
      </c>
      <c r="AB42" s="173" t="e">
        <f t="shared" ref="AB42" si="144">AB35/AB41</f>
        <v>#REF!</v>
      </c>
      <c r="AC42" s="173" t="e">
        <f t="shared" ref="AC42" si="145">AC35/AC41</f>
        <v>#REF!</v>
      </c>
      <c r="AD42" s="173" t="e">
        <f t="shared" ref="AD42" si="146">AD35/AD41</f>
        <v>#REF!</v>
      </c>
      <c r="AE42" s="173" t="e">
        <f t="shared" ref="AE42" si="147">AE35/AE41</f>
        <v>#REF!</v>
      </c>
      <c r="AF42" s="173" t="e">
        <f t="shared" ref="AF42" si="148">AF35/AF41</f>
        <v>#REF!</v>
      </c>
      <c r="AG42" s="173" t="e">
        <f t="shared" ref="AG42" si="149">AG35/AG41</f>
        <v>#REF!</v>
      </c>
      <c r="AH42" s="173" t="e">
        <f t="shared" ref="AH42" si="150">AH35/AH41</f>
        <v>#REF!</v>
      </c>
      <c r="AI42" s="173" t="e">
        <f t="shared" ref="AI42" si="151">AI35/AI41</f>
        <v>#REF!</v>
      </c>
      <c r="AJ42" s="173">
        <f t="shared" ref="AJ42" si="152">AJ35/AJ41</f>
        <v>1.3093378837378753</v>
      </c>
      <c r="AK42" s="173">
        <f t="shared" ref="AK42" si="153">AK35/AK41</f>
        <v>2.6998724387367621</v>
      </c>
      <c r="AL42" s="173">
        <f t="shared" ref="AL42" si="154">AL35/AL41</f>
        <v>-5.1296889958272279E-2</v>
      </c>
      <c r="AM42" s="173">
        <f t="shared" ref="AM42" si="155">AM35/AM41</f>
        <v>5.5463566946810247E-2</v>
      </c>
      <c r="AN42" s="173">
        <f t="shared" ref="AN42" si="156">AN35/AN41</f>
        <v>-0.12199862909080834</v>
      </c>
      <c r="AO42" s="173">
        <f t="shared" ref="AO42" si="157">AO35/AO41</f>
        <v>-0.25459646935224312</v>
      </c>
      <c r="AP42" s="173">
        <f t="shared" ref="AP42" si="158">AP35/AP41</f>
        <v>-0.53581210961223968</v>
      </c>
      <c r="AQ42" s="46"/>
      <c r="AR42" s="77">
        <f>SUM(AP42/AL42)-1</f>
        <v>9.4453137421800584</v>
      </c>
    </row>
    <row r="43" spans="1:44">
      <c r="B43" s="17"/>
      <c r="C43" s="19"/>
      <c r="D43" s="19"/>
      <c r="E43" s="19"/>
      <c r="F43" s="2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30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46"/>
    </row>
    <row r="44" spans="1:44" ht="12.75" customHeight="1">
      <c r="A44" s="5" t="s">
        <v>12</v>
      </c>
      <c r="B44" s="108" t="s">
        <v>68</v>
      </c>
      <c r="C44" s="109"/>
      <c r="D44" s="109"/>
      <c r="E44" s="109"/>
      <c r="F44" s="110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8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 t="s">
        <v>6</v>
      </c>
      <c r="AL44" s="109"/>
      <c r="AM44" s="109"/>
      <c r="AN44" s="109"/>
      <c r="AO44" s="109"/>
      <c r="AP44" s="109"/>
      <c r="AQ44" s="110"/>
      <c r="AR44" s="170" t="s">
        <v>16</v>
      </c>
    </row>
    <row r="45" spans="1:44" ht="12.75" customHeight="1">
      <c r="B45" s="112" t="str">
        <f>B7</f>
        <v>Fiscal Period</v>
      </c>
      <c r="C45" s="111">
        <f>C7</f>
        <v>2022</v>
      </c>
      <c r="D45" s="111">
        <f>D7</f>
        <v>2023</v>
      </c>
      <c r="E45" s="111">
        <f>E7</f>
        <v>2024</v>
      </c>
      <c r="F45" s="110"/>
      <c r="G45" s="111" t="str">
        <f>G7</f>
        <v>1Q22</v>
      </c>
      <c r="H45" s="111" t="str">
        <f>H7</f>
        <v>2Q22</v>
      </c>
      <c r="I45" s="111" t="str">
        <f>I7</f>
        <v>3Q22</v>
      </c>
      <c r="J45" s="111" t="str">
        <f>J7</f>
        <v>4Q22</v>
      </c>
      <c r="K45" s="111" t="str">
        <f>K7</f>
        <v>1Q23</v>
      </c>
      <c r="L45" s="111" t="str">
        <f>L7</f>
        <v>2Q23</v>
      </c>
      <c r="M45" s="111" t="str">
        <f>M7</f>
        <v>3Q23</v>
      </c>
      <c r="N45" s="111" t="str">
        <f>N7</f>
        <v>4Q23</v>
      </c>
      <c r="O45" s="111" t="str">
        <f>O7</f>
        <v>1Q24</v>
      </c>
      <c r="P45" s="111" t="str">
        <f>P7</f>
        <v>2Q24</v>
      </c>
      <c r="Q45" s="111" t="str">
        <f>Q7</f>
        <v>3Q24</v>
      </c>
      <c r="R45" s="111" t="str">
        <f>R7</f>
        <v>4Q24</v>
      </c>
      <c r="S45" s="111" t="str">
        <f>S7</f>
        <v>1Q25</v>
      </c>
      <c r="T45" s="111" t="str">
        <f>T7</f>
        <v>2Q25</v>
      </c>
      <c r="U45" s="111" t="str">
        <f>U7</f>
        <v>3Q25</v>
      </c>
      <c r="V45" s="113"/>
      <c r="W45" s="111" t="e">
        <f>W7</f>
        <v>#REF!</v>
      </c>
      <c r="X45" s="111" t="e">
        <f>X7</f>
        <v>#REF!</v>
      </c>
      <c r="Y45" s="111" t="e">
        <f>Y7</f>
        <v>#REF!</v>
      </c>
      <c r="Z45" s="111" t="e">
        <f>Z7</f>
        <v>#REF!</v>
      </c>
      <c r="AA45" s="111" t="e">
        <f>AA7</f>
        <v>#REF!</v>
      </c>
      <c r="AB45" s="111" t="e">
        <f>AB7</f>
        <v>#REF!</v>
      </c>
      <c r="AC45" s="111" t="e">
        <f>AC7</f>
        <v>#REF!</v>
      </c>
      <c r="AD45" s="111" t="e">
        <f>AD7</f>
        <v>#REF!</v>
      </c>
      <c r="AE45" s="111" t="e">
        <f>AE7</f>
        <v>#REF!</v>
      </c>
      <c r="AF45" s="111" t="e">
        <f>AF7</f>
        <v>#REF!</v>
      </c>
      <c r="AG45" s="111" t="e">
        <f>AG7</f>
        <v>#REF!</v>
      </c>
      <c r="AH45" s="111" t="e">
        <f>AH7</f>
        <v>#REF!</v>
      </c>
      <c r="AI45" s="111" t="e">
        <f>AI7</f>
        <v>#REF!</v>
      </c>
      <c r="AJ45" s="111" t="str">
        <f>AJ7</f>
        <v>1Q24</v>
      </c>
      <c r="AK45" s="111" t="str">
        <f>AK7</f>
        <v>2Q24</v>
      </c>
      <c r="AL45" s="111" t="str">
        <f>AL7</f>
        <v>3Q24</v>
      </c>
      <c r="AM45" s="111" t="str">
        <f>AM7</f>
        <v>4Q24</v>
      </c>
      <c r="AN45" s="111" t="str">
        <f>AN7</f>
        <v>1Q25</v>
      </c>
      <c r="AO45" s="111" t="str">
        <f>AO7</f>
        <v>2Q25</v>
      </c>
      <c r="AP45" s="111" t="str">
        <f>AP7</f>
        <v>3Q25</v>
      </c>
      <c r="AQ45" s="110"/>
      <c r="AR45" s="170"/>
    </row>
    <row r="46" spans="1:44" ht="12.75" customHeight="1">
      <c r="B46" s="112" t="str">
        <f>B8</f>
        <v>Fiscal Period End Date</v>
      </c>
      <c r="C46" s="114">
        <f>C8</f>
        <v>44926</v>
      </c>
      <c r="D46" s="114">
        <f>D8</f>
        <v>45291</v>
      </c>
      <c r="E46" s="114">
        <f>E8</f>
        <v>45657</v>
      </c>
      <c r="F46" s="110"/>
      <c r="G46" s="114">
        <f>G8</f>
        <v>44651</v>
      </c>
      <c r="H46" s="114">
        <f>H8</f>
        <v>44742</v>
      </c>
      <c r="I46" s="114">
        <f>I8</f>
        <v>44834</v>
      </c>
      <c r="J46" s="114">
        <f>J8</f>
        <v>44926</v>
      </c>
      <c r="K46" s="114">
        <f>K8</f>
        <v>45016</v>
      </c>
      <c r="L46" s="114">
        <f>L8</f>
        <v>45107</v>
      </c>
      <c r="M46" s="114">
        <f>M8</f>
        <v>45199</v>
      </c>
      <c r="N46" s="114">
        <f>N8</f>
        <v>45291</v>
      </c>
      <c r="O46" s="114">
        <f>O8</f>
        <v>45382</v>
      </c>
      <c r="P46" s="114">
        <f>P8</f>
        <v>45473</v>
      </c>
      <c r="Q46" s="114">
        <f>Q8</f>
        <v>45565</v>
      </c>
      <c r="R46" s="114">
        <f>R8</f>
        <v>45657</v>
      </c>
      <c r="S46" s="114">
        <f>S8</f>
        <v>45747</v>
      </c>
      <c r="T46" s="114">
        <f>T8</f>
        <v>45838</v>
      </c>
      <c r="U46" s="114">
        <f>U8</f>
        <v>45930</v>
      </c>
      <c r="V46" s="115"/>
      <c r="W46" s="114" t="e">
        <f>W8</f>
        <v>#REF!</v>
      </c>
      <c r="X46" s="114" t="e">
        <f>X8</f>
        <v>#REF!</v>
      </c>
      <c r="Y46" s="114" t="e">
        <f>Y8</f>
        <v>#REF!</v>
      </c>
      <c r="Z46" s="114" t="e">
        <f>Z8</f>
        <v>#REF!</v>
      </c>
      <c r="AA46" s="114" t="e">
        <f>AA8</f>
        <v>#REF!</v>
      </c>
      <c r="AB46" s="114" t="e">
        <f>AB8</f>
        <v>#REF!</v>
      </c>
      <c r="AC46" s="114" t="e">
        <f>AC8</f>
        <v>#REF!</v>
      </c>
      <c r="AD46" s="114" t="e">
        <f>AD8</f>
        <v>#REF!</v>
      </c>
      <c r="AE46" s="114" t="e">
        <f>AE8</f>
        <v>#REF!</v>
      </c>
      <c r="AF46" s="114" t="e">
        <f>AF8</f>
        <v>#REF!</v>
      </c>
      <c r="AG46" s="114" t="e">
        <f>AG8</f>
        <v>#REF!</v>
      </c>
      <c r="AH46" s="114" t="e">
        <f>AH8</f>
        <v>#REF!</v>
      </c>
      <c r="AI46" s="114" t="e">
        <f>AI8</f>
        <v>#REF!</v>
      </c>
      <c r="AJ46" s="114">
        <f>AJ8</f>
        <v>45382</v>
      </c>
      <c r="AK46" s="114">
        <f>AK8</f>
        <v>45473</v>
      </c>
      <c r="AL46" s="114">
        <f>AL8</f>
        <v>45565</v>
      </c>
      <c r="AM46" s="114">
        <f>AM8</f>
        <v>45657</v>
      </c>
      <c r="AN46" s="114">
        <f>AN8</f>
        <v>45747</v>
      </c>
      <c r="AO46" s="114">
        <f>AO8</f>
        <v>45838</v>
      </c>
      <c r="AP46" s="114">
        <f>AP8</f>
        <v>45930</v>
      </c>
      <c r="AQ46" s="110"/>
      <c r="AR46" s="170"/>
    </row>
    <row r="47" spans="1:44" ht="5.0999999999999996" customHeight="1">
      <c r="B47" s="50"/>
      <c r="C47" s="51"/>
      <c r="D47" s="51"/>
      <c r="E47" s="51"/>
    </row>
    <row r="48" spans="1:44">
      <c r="B48" s="79" t="s">
        <v>179</v>
      </c>
      <c r="C48" s="51"/>
      <c r="D48" s="51"/>
      <c r="E48" s="51"/>
    </row>
    <row r="49" spans="2:44" s="124" customFormat="1" ht="12.75" customHeight="1">
      <c r="B49" s="116" t="s">
        <v>177</v>
      </c>
      <c r="C49" s="125">
        <v>1694.2579000399999</v>
      </c>
      <c r="D49" s="125">
        <v>2390.1</v>
      </c>
      <c r="E49" s="125">
        <v>3242.9703283700001</v>
      </c>
      <c r="G49" s="125">
        <v>1253.24188101</v>
      </c>
      <c r="H49" s="125">
        <v>907.76546202999998</v>
      </c>
      <c r="I49" s="125">
        <v>1545.26182146</v>
      </c>
      <c r="J49" s="98">
        <f>C49</f>
        <v>1694.2579000399999</v>
      </c>
      <c r="K49" s="125">
        <v>2162.3429338699998</v>
      </c>
      <c r="L49" s="125">
        <v>1263.8089681700001</v>
      </c>
      <c r="M49" s="125">
        <v>2344.1757527600003</v>
      </c>
      <c r="N49" s="98">
        <f>D49</f>
        <v>2390.1</v>
      </c>
      <c r="O49" s="125">
        <v>3629</v>
      </c>
      <c r="P49" s="125">
        <v>3419.4386778499997</v>
      </c>
      <c r="Q49" s="125">
        <v>3843.3251095600003</v>
      </c>
      <c r="R49" s="98">
        <f>E49</f>
        <v>3242.9703283700001</v>
      </c>
      <c r="S49" s="125">
        <v>4104.92780785999</v>
      </c>
      <c r="T49" s="125">
        <v>5503.6166212399994</v>
      </c>
      <c r="U49" s="125">
        <v>6795</v>
      </c>
      <c r="W49" s="98" t="e">
        <f>#REF!</f>
        <v>#REF!</v>
      </c>
      <c r="X49" s="98" t="e">
        <f>#REF!</f>
        <v>#REF!</v>
      </c>
      <c r="Y49" s="98" t="e">
        <f>#REF!</f>
        <v>#REF!</v>
      </c>
      <c r="Z49" s="98" t="e">
        <f>#REF!</f>
        <v>#REF!</v>
      </c>
      <c r="AA49" s="98" t="e">
        <f>#REF!</f>
        <v>#REF!</v>
      </c>
      <c r="AB49" s="98" t="e">
        <f>#REF!</f>
        <v>#REF!</v>
      </c>
      <c r="AC49" s="98" t="e">
        <f>#REF!</f>
        <v>#REF!</v>
      </c>
      <c r="AD49" s="98" t="e">
        <f>#REF!</f>
        <v>#REF!</v>
      </c>
      <c r="AE49" s="98" t="e">
        <f>#REF!</f>
        <v>#REF!</v>
      </c>
      <c r="AF49" s="98" t="e">
        <f>#REF!</f>
        <v>#REF!</v>
      </c>
      <c r="AG49" s="98" t="e">
        <f>#REF!</f>
        <v>#REF!</v>
      </c>
      <c r="AH49" s="98" t="e">
        <f>#REF!</f>
        <v>#REF!</v>
      </c>
      <c r="AI49" s="98" t="e">
        <f>#REF!</f>
        <v>#REF!</v>
      </c>
      <c r="AJ49" s="98">
        <f t="shared" ref="AJ49:AP51" si="159">O49</f>
        <v>3629</v>
      </c>
      <c r="AK49" s="98">
        <f t="shared" si="159"/>
        <v>3419.4386778499997</v>
      </c>
      <c r="AL49" s="98">
        <f t="shared" si="159"/>
        <v>3843.3251095600003</v>
      </c>
      <c r="AM49" s="98">
        <f t="shared" si="159"/>
        <v>3242.9703283700001</v>
      </c>
      <c r="AN49" s="98">
        <f t="shared" si="159"/>
        <v>4104.92780785999</v>
      </c>
      <c r="AO49" s="98">
        <f t="shared" si="159"/>
        <v>5503.6166212399994</v>
      </c>
      <c r="AP49" s="98">
        <f t="shared" si="159"/>
        <v>6795</v>
      </c>
      <c r="AQ49" s="126"/>
      <c r="AR49" s="76">
        <f>SUM(AP49/AL49)-1</f>
        <v>0.76800031386830026</v>
      </c>
    </row>
    <row r="50" spans="2:44" s="124" customFormat="1" ht="12.75" customHeight="1">
      <c r="B50" s="116" t="s">
        <v>152</v>
      </c>
      <c r="C50" s="125">
        <v>1121.1853349699998</v>
      </c>
      <c r="D50" s="125">
        <v>798.6</v>
      </c>
      <c r="E50" s="125">
        <v>453.71242976000008</v>
      </c>
      <c r="G50" s="125">
        <v>1580.4882187999999</v>
      </c>
      <c r="H50" s="125">
        <v>1272.5709767799999</v>
      </c>
      <c r="I50" s="125">
        <v>1192.9041551099999</v>
      </c>
      <c r="J50" s="98">
        <f t="shared" ref="J50:J53" si="160">C50</f>
        <v>1121.1853349699998</v>
      </c>
      <c r="K50" s="125">
        <v>1089.7285869300001</v>
      </c>
      <c r="L50" s="125">
        <v>970.11562655000012</v>
      </c>
      <c r="M50" s="125">
        <v>872.75237418999995</v>
      </c>
      <c r="N50" s="98">
        <f t="shared" ref="N50:N53" si="161">D50</f>
        <v>798.6</v>
      </c>
      <c r="O50" s="125">
        <v>1014.1018809799999</v>
      </c>
      <c r="P50" s="125">
        <v>972.36892246000002</v>
      </c>
      <c r="Q50" s="125">
        <v>785.17702061</v>
      </c>
      <c r="R50" s="98">
        <f>E50</f>
        <v>453.71242976000008</v>
      </c>
      <c r="S50" s="125">
        <v>1187.7034632100001</v>
      </c>
      <c r="T50" s="125">
        <v>1380.95453875</v>
      </c>
      <c r="U50" s="125">
        <v>1657</v>
      </c>
      <c r="W50" s="98" t="e">
        <f>#REF!</f>
        <v>#REF!</v>
      </c>
      <c r="X50" s="98" t="e">
        <f>#REF!</f>
        <v>#REF!</v>
      </c>
      <c r="Y50" s="98" t="e">
        <f>#REF!</f>
        <v>#REF!</v>
      </c>
      <c r="Z50" s="98" t="e">
        <f>#REF!</f>
        <v>#REF!</v>
      </c>
      <c r="AA50" s="98" t="e">
        <f>#REF!</f>
        <v>#REF!</v>
      </c>
      <c r="AB50" s="98" t="e">
        <f>#REF!</f>
        <v>#REF!</v>
      </c>
      <c r="AC50" s="98" t="e">
        <f>#REF!</f>
        <v>#REF!</v>
      </c>
      <c r="AD50" s="98" t="e">
        <f>#REF!</f>
        <v>#REF!</v>
      </c>
      <c r="AE50" s="98" t="e">
        <f>#REF!</f>
        <v>#REF!</v>
      </c>
      <c r="AF50" s="98" t="e">
        <f>#REF!</f>
        <v>#REF!</v>
      </c>
      <c r="AG50" s="98" t="e">
        <f>#REF!</f>
        <v>#REF!</v>
      </c>
      <c r="AH50" s="98" t="e">
        <f>#REF!</f>
        <v>#REF!</v>
      </c>
      <c r="AI50" s="98" t="e">
        <f>#REF!</f>
        <v>#REF!</v>
      </c>
      <c r="AJ50" s="98">
        <f t="shared" si="159"/>
        <v>1014.1018809799999</v>
      </c>
      <c r="AK50" s="98">
        <f t="shared" si="159"/>
        <v>972.36892246000002</v>
      </c>
      <c r="AL50" s="98">
        <f t="shared" si="159"/>
        <v>785.17702061</v>
      </c>
      <c r="AM50" s="98">
        <f t="shared" si="159"/>
        <v>453.71242976000008</v>
      </c>
      <c r="AN50" s="98">
        <f t="shared" si="159"/>
        <v>1187.7034632100001</v>
      </c>
      <c r="AO50" s="98">
        <f t="shared" si="159"/>
        <v>1380.95453875</v>
      </c>
      <c r="AP50" s="98">
        <f t="shared" si="159"/>
        <v>1657</v>
      </c>
      <c r="AQ50" s="126"/>
      <c r="AR50" s="76">
        <f>SUM(AP50/AL50)-1</f>
        <v>1.1103521327110224</v>
      </c>
    </row>
    <row r="51" spans="2:44" s="124" customFormat="1" ht="12.75" customHeight="1">
      <c r="B51" s="116" t="s">
        <v>153</v>
      </c>
      <c r="C51" s="125">
        <v>6756.7638879300011</v>
      </c>
      <c r="D51" s="125">
        <v>8082.9</v>
      </c>
      <c r="E51" s="125">
        <v>8141.0162727999996</v>
      </c>
      <c r="G51" s="125">
        <v>6406.441856110001</v>
      </c>
      <c r="H51" s="125">
        <v>6397.3180799400016</v>
      </c>
      <c r="I51" s="125">
        <v>5649.0708954800002</v>
      </c>
      <c r="J51" s="98">
        <f t="shared" si="160"/>
        <v>6756.7638879300011</v>
      </c>
      <c r="K51" s="125">
        <v>6209.9470051300004</v>
      </c>
      <c r="L51" s="125">
        <v>6801.8852933600001</v>
      </c>
      <c r="M51" s="125">
        <v>6681.2242002499979</v>
      </c>
      <c r="N51" s="98">
        <f t="shared" si="161"/>
        <v>8082.9</v>
      </c>
      <c r="O51" s="125">
        <v>7501.623348860001</v>
      </c>
      <c r="P51" s="125">
        <v>7954.5852491000014</v>
      </c>
      <c r="Q51" s="125">
        <v>8548.4099603200029</v>
      </c>
      <c r="R51" s="98">
        <f>E51</f>
        <v>8141.0162727999996</v>
      </c>
      <c r="S51" s="125">
        <v>8123.7560203699995</v>
      </c>
      <c r="T51" s="125">
        <v>9950.1662369799997</v>
      </c>
      <c r="U51" s="125">
        <v>10095</v>
      </c>
      <c r="W51" s="98" t="e">
        <f>#REF!</f>
        <v>#REF!</v>
      </c>
      <c r="X51" s="98" t="e">
        <f>#REF!</f>
        <v>#REF!</v>
      </c>
      <c r="Y51" s="98" t="e">
        <f>#REF!</f>
        <v>#REF!</v>
      </c>
      <c r="Z51" s="98" t="e">
        <f>#REF!</f>
        <v>#REF!</v>
      </c>
      <c r="AA51" s="98" t="e">
        <f>#REF!</f>
        <v>#REF!</v>
      </c>
      <c r="AB51" s="98" t="e">
        <f>#REF!</f>
        <v>#REF!</v>
      </c>
      <c r="AC51" s="98" t="e">
        <f>#REF!</f>
        <v>#REF!</v>
      </c>
      <c r="AD51" s="98" t="e">
        <f>#REF!</f>
        <v>#REF!</v>
      </c>
      <c r="AE51" s="98" t="e">
        <f>#REF!</f>
        <v>#REF!</v>
      </c>
      <c r="AF51" s="98" t="e">
        <f>#REF!</f>
        <v>#REF!</v>
      </c>
      <c r="AG51" s="98" t="e">
        <f>#REF!</f>
        <v>#REF!</v>
      </c>
      <c r="AH51" s="98" t="e">
        <f>#REF!</f>
        <v>#REF!</v>
      </c>
      <c r="AI51" s="98" t="e">
        <f>#REF!</f>
        <v>#REF!</v>
      </c>
      <c r="AJ51" s="98">
        <f t="shared" si="159"/>
        <v>7501.623348860001</v>
      </c>
      <c r="AK51" s="98">
        <f t="shared" si="159"/>
        <v>7954.5852491000014</v>
      </c>
      <c r="AL51" s="98">
        <f t="shared" si="159"/>
        <v>8548.4099603200029</v>
      </c>
      <c r="AM51" s="98">
        <f t="shared" si="159"/>
        <v>8141.0162727999996</v>
      </c>
      <c r="AN51" s="98">
        <f t="shared" si="159"/>
        <v>8123.7560203699995</v>
      </c>
      <c r="AO51" s="98">
        <f t="shared" si="159"/>
        <v>9950.1662369799997</v>
      </c>
      <c r="AP51" s="98">
        <f t="shared" si="159"/>
        <v>10095</v>
      </c>
      <c r="AQ51" s="126"/>
      <c r="AR51" s="76">
        <f>SUM(AP51/AL51)-1</f>
        <v>0.18092136980549101</v>
      </c>
    </row>
    <row r="52" spans="2:44" s="124" customFormat="1" ht="12.75" customHeight="1">
      <c r="B52" s="116" t="s">
        <v>178</v>
      </c>
      <c r="C52" s="125">
        <v>1226.54822156</v>
      </c>
      <c r="D52" s="125">
        <v>1200.1199999999999</v>
      </c>
      <c r="E52" s="125">
        <v>988.86465955999995</v>
      </c>
      <c r="G52" s="125">
        <v>748.49247776999994</v>
      </c>
      <c r="H52" s="125">
        <v>1220.8034081599999</v>
      </c>
      <c r="I52" s="125">
        <v>1138.2558567900001</v>
      </c>
      <c r="J52" s="98">
        <f t="shared" si="160"/>
        <v>1226.54822156</v>
      </c>
      <c r="K52" s="125">
        <v>1234.0831074800001</v>
      </c>
      <c r="L52" s="125">
        <v>1195.6167655900001</v>
      </c>
      <c r="M52" s="125">
        <v>1175.5251117999999</v>
      </c>
      <c r="N52" s="98">
        <f t="shared" si="161"/>
        <v>1200.1199999999999</v>
      </c>
      <c r="O52" s="125">
        <v>1134.1202186099999</v>
      </c>
      <c r="P52" s="125">
        <v>1097.4511271499998</v>
      </c>
      <c r="Q52" s="125">
        <v>1127.9642340799999</v>
      </c>
      <c r="R52" s="98">
        <f t="shared" ref="R52:R53" si="162">E52</f>
        <v>988.86465955999995</v>
      </c>
      <c r="S52" s="125">
        <v>1040.05806862999</v>
      </c>
      <c r="T52" s="125">
        <v>1082.1445234100001</v>
      </c>
      <c r="U52" s="125">
        <f>681+392</f>
        <v>1073</v>
      </c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>
        <f t="shared" ref="AL52:AL53" si="163">Q52</f>
        <v>1127.9642340799999</v>
      </c>
      <c r="AM52" s="98">
        <f t="shared" ref="AM52:AM53" si="164">R52</f>
        <v>988.86465955999995</v>
      </c>
      <c r="AN52" s="98">
        <f t="shared" ref="AN52:AN53" si="165">S52</f>
        <v>1040.05806862999</v>
      </c>
      <c r="AO52" s="98">
        <f t="shared" ref="AO52:AO53" si="166">T52</f>
        <v>1082.1445234100001</v>
      </c>
      <c r="AP52" s="98">
        <f t="shared" ref="AP52:AP53" si="167">U52</f>
        <v>1073</v>
      </c>
      <c r="AQ52" s="126"/>
      <c r="AR52" s="76"/>
    </row>
    <row r="53" spans="2:44" s="124" customFormat="1" ht="12.75" customHeight="1">
      <c r="B53" s="116" t="s">
        <v>80</v>
      </c>
      <c r="C53" s="125">
        <v>1210.4586007900004</v>
      </c>
      <c r="D53" s="125">
        <v>1275.2</v>
      </c>
      <c r="E53" s="125">
        <v>977.97848082000007</v>
      </c>
      <c r="G53" s="125">
        <v>1179.7508799699997</v>
      </c>
      <c r="H53" s="125">
        <v>1185.97246548</v>
      </c>
      <c r="I53" s="125">
        <v>1200.6969929499999</v>
      </c>
      <c r="J53" s="98">
        <f t="shared" si="160"/>
        <v>1210.4586007900004</v>
      </c>
      <c r="K53" s="125">
        <v>890.5014097799999</v>
      </c>
      <c r="L53" s="125">
        <v>993.43785856999989</v>
      </c>
      <c r="M53" s="125">
        <v>959.65157192000004</v>
      </c>
      <c r="N53" s="98">
        <f t="shared" si="161"/>
        <v>1275.2</v>
      </c>
      <c r="O53" s="125">
        <v>1103.0533736199998</v>
      </c>
      <c r="P53" s="125">
        <v>1185.32398373</v>
      </c>
      <c r="Q53" s="125">
        <v>1136.8274806700001</v>
      </c>
      <c r="R53" s="98">
        <f t="shared" si="162"/>
        <v>977.97848082000007</v>
      </c>
      <c r="S53" s="125">
        <v>1068.7323276699999</v>
      </c>
      <c r="T53" s="125">
        <v>1272.03992538999</v>
      </c>
      <c r="U53" s="125">
        <f>553+54+36+519</f>
        <v>1162</v>
      </c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>
        <f t="shared" si="163"/>
        <v>1136.8274806700001</v>
      </c>
      <c r="AM53" s="98">
        <f t="shared" si="164"/>
        <v>977.97848082000007</v>
      </c>
      <c r="AN53" s="98">
        <f t="shared" si="165"/>
        <v>1068.7323276699999</v>
      </c>
      <c r="AO53" s="98">
        <f t="shared" si="166"/>
        <v>1272.03992538999</v>
      </c>
      <c r="AP53" s="98">
        <f t="shared" si="167"/>
        <v>1162</v>
      </c>
      <c r="AQ53" s="126"/>
      <c r="AR53" s="76"/>
    </row>
    <row r="54" spans="2:44" ht="12.75" customHeight="1">
      <c r="B54" s="14" t="s">
        <v>13</v>
      </c>
      <c r="C54" s="15">
        <f>SUM(C49:C53)</f>
        <v>12009.213945290001</v>
      </c>
      <c r="D54" s="15">
        <f>SUM(D49:D53)</f>
        <v>13746.919999999998</v>
      </c>
      <c r="E54" s="15">
        <f>SUM(E49:E53)</f>
        <v>13804.54217131</v>
      </c>
      <c r="G54" s="15">
        <f>SUM(G49:G53)</f>
        <v>11168.41531366</v>
      </c>
      <c r="H54" s="15">
        <f>SUM(H49:H53)</f>
        <v>10984.430392390001</v>
      </c>
      <c r="I54" s="15">
        <f>SUM(I49:I53)</f>
        <v>10726.189721789999</v>
      </c>
      <c r="J54" s="15">
        <f>SUM(J49:J53)</f>
        <v>12009.213945290001</v>
      </c>
      <c r="K54" s="15">
        <f>SUM(K49:K53)</f>
        <v>11586.603043190002</v>
      </c>
      <c r="L54" s="15">
        <f>SUM(L49:L53)</f>
        <v>11224.864512240001</v>
      </c>
      <c r="M54" s="15">
        <f>SUM(M49:M53)</f>
        <v>12033.329010919997</v>
      </c>
      <c r="N54" s="15">
        <f>SUM(N49:N53)</f>
        <v>13746.919999999998</v>
      </c>
      <c r="O54" s="15">
        <f>SUM(O49:O53)</f>
        <v>14381.898822070001</v>
      </c>
      <c r="P54" s="15">
        <f>SUM(P49:P53)</f>
        <v>14629.16796029</v>
      </c>
      <c r="Q54" s="15">
        <f>SUM(Q49:Q53)</f>
        <v>15441.703805240002</v>
      </c>
      <c r="R54" s="15">
        <f>SUM(R49:R53)</f>
        <v>13804.54217131</v>
      </c>
      <c r="S54" s="15">
        <f>SUM(S49:S53)</f>
        <v>15525.177687739983</v>
      </c>
      <c r="T54" s="15">
        <f>SUM(T49:T53)</f>
        <v>19188.921845769986</v>
      </c>
      <c r="U54" s="15">
        <f>SUM(U49:U53)</f>
        <v>20782</v>
      </c>
      <c r="W54" s="15" t="e">
        <f>SUM(W49:W53)</f>
        <v>#REF!</v>
      </c>
      <c r="X54" s="15" t="e">
        <f>SUM(X49:X53)</f>
        <v>#REF!</v>
      </c>
      <c r="Y54" s="15" t="e">
        <f>SUM(Y49:Y53)</f>
        <v>#REF!</v>
      </c>
      <c r="Z54" s="15" t="e">
        <f>SUM(Z49:Z53)</f>
        <v>#REF!</v>
      </c>
      <c r="AA54" s="15" t="e">
        <f>SUM(AA49:AA53)</f>
        <v>#REF!</v>
      </c>
      <c r="AB54" s="15" t="e">
        <f>SUM(AB49:AB53)</f>
        <v>#REF!</v>
      </c>
      <c r="AC54" s="15" t="e">
        <f>SUM(AC49:AC53)</f>
        <v>#REF!</v>
      </c>
      <c r="AD54" s="15" t="e">
        <f>SUM(AD49:AD53)</f>
        <v>#REF!</v>
      </c>
      <c r="AE54" s="15" t="e">
        <f>SUM(AE49:AE53)</f>
        <v>#REF!</v>
      </c>
      <c r="AF54" s="15" t="e">
        <f>SUM(AF49:AF53)</f>
        <v>#REF!</v>
      </c>
      <c r="AG54" s="15" t="e">
        <f>SUM(AG49:AG53)</f>
        <v>#REF!</v>
      </c>
      <c r="AH54" s="15" t="e">
        <f>SUM(AH49:AH53)</f>
        <v>#REF!</v>
      </c>
      <c r="AI54" s="15" t="e">
        <f>SUM(AI49:AI53)</f>
        <v>#REF!</v>
      </c>
      <c r="AJ54" s="15">
        <f>SUM(AJ49:AJ53)</f>
        <v>12144.725229840002</v>
      </c>
      <c r="AK54" s="15">
        <f>SUM(AK49:AK53)</f>
        <v>12346.39284941</v>
      </c>
      <c r="AL54" s="15">
        <f>SUM(AL49:AL53)</f>
        <v>15441.703805240002</v>
      </c>
      <c r="AM54" s="15">
        <f>SUM(AM49:AM53)</f>
        <v>13804.54217131</v>
      </c>
      <c r="AN54" s="15">
        <f>SUM(AN49:AN53)</f>
        <v>15525.177687739983</v>
      </c>
      <c r="AO54" s="15">
        <f>SUM(AO49:AO53)</f>
        <v>19188.921845769986</v>
      </c>
      <c r="AP54" s="15">
        <f>SUM(AP49:AP53)</f>
        <v>20782</v>
      </c>
      <c r="AQ54" s="45"/>
      <c r="AR54" s="77">
        <f>SUM(AP54/AL54)-1</f>
        <v>0.34583594285416974</v>
      </c>
    </row>
    <row r="55" spans="2:44" ht="5.0999999999999996" customHeight="1">
      <c r="B55" s="27"/>
      <c r="C55" s="53"/>
      <c r="D55" s="44"/>
      <c r="E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2"/>
    </row>
    <row r="56" spans="2:44" ht="12.75" customHeight="1">
      <c r="B56" s="79" t="s">
        <v>180</v>
      </c>
      <c r="C56" s="54"/>
      <c r="D56" s="44"/>
      <c r="E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2"/>
    </row>
    <row r="57" spans="2:44" ht="12.75" customHeight="1">
      <c r="B57" s="122" t="s">
        <v>157</v>
      </c>
      <c r="C57" s="123">
        <v>465.83045566999999</v>
      </c>
      <c r="D57" s="123">
        <v>323.98097559000001</v>
      </c>
      <c r="E57" s="123">
        <v>512.97118367000007</v>
      </c>
      <c r="F57" s="55"/>
      <c r="G57" s="123">
        <v>874.71387105999986</v>
      </c>
      <c r="H57" s="123">
        <v>1137.0307799499999</v>
      </c>
      <c r="I57" s="123">
        <v>582.50670229999992</v>
      </c>
      <c r="J57" s="98">
        <f t="shared" ref="J57:J61" si="168">C57</f>
        <v>465.83045566999999</v>
      </c>
      <c r="K57" s="123">
        <v>297.28842070999991</v>
      </c>
      <c r="L57" s="123">
        <v>328.50657172000001</v>
      </c>
      <c r="M57" s="123">
        <v>285.38505662</v>
      </c>
      <c r="N57" s="98">
        <f t="shared" ref="N57:N61" si="169">D57</f>
        <v>323.98097559000001</v>
      </c>
      <c r="O57" s="123">
        <v>343.43313976000002</v>
      </c>
      <c r="P57" s="123">
        <v>534.70785091000005</v>
      </c>
      <c r="Q57" s="123">
        <v>537.81767040999989</v>
      </c>
      <c r="R57" s="99">
        <f>E57</f>
        <v>512.97118367000007</v>
      </c>
      <c r="S57" s="123">
        <v>534.25308809000001</v>
      </c>
      <c r="T57" s="123">
        <v>727.09814125000003</v>
      </c>
      <c r="U57" s="123">
        <v>2623</v>
      </c>
      <c r="V57" s="123"/>
      <c r="W57" s="99" t="e">
        <f>#REF!</f>
        <v>#REF!</v>
      </c>
      <c r="X57" s="99" t="e">
        <f>#REF!</f>
        <v>#REF!</v>
      </c>
      <c r="Y57" s="99" t="e">
        <f>#REF!</f>
        <v>#REF!</v>
      </c>
      <c r="Z57" s="99" t="e">
        <f>#REF!</f>
        <v>#REF!</v>
      </c>
      <c r="AA57" s="99" t="e">
        <f>#REF!</f>
        <v>#REF!</v>
      </c>
      <c r="AB57" s="99" t="e">
        <f>#REF!</f>
        <v>#REF!</v>
      </c>
      <c r="AC57" s="99" t="e">
        <f>#REF!</f>
        <v>#REF!</v>
      </c>
      <c r="AD57" s="99" t="e">
        <f>#REF!</f>
        <v>#REF!</v>
      </c>
      <c r="AE57" s="99" t="e">
        <f>#REF!</f>
        <v>#REF!</v>
      </c>
      <c r="AF57" s="99" t="e">
        <f>#REF!</f>
        <v>#REF!</v>
      </c>
      <c r="AG57" s="99" t="e">
        <f>#REF!</f>
        <v>#REF!</v>
      </c>
      <c r="AH57" s="99" t="e">
        <f>#REF!</f>
        <v>#REF!</v>
      </c>
      <c r="AI57" s="99" t="e">
        <f>#REF!</f>
        <v>#REF!</v>
      </c>
      <c r="AJ57" s="99">
        <f t="shared" ref="AJ57:AP57" si="170">O57</f>
        <v>343.43313976000002</v>
      </c>
      <c r="AK57" s="99">
        <f t="shared" si="170"/>
        <v>534.70785091000005</v>
      </c>
      <c r="AL57" s="99">
        <f t="shared" si="170"/>
        <v>537.81767040999989</v>
      </c>
      <c r="AM57" s="99">
        <f t="shared" si="170"/>
        <v>512.97118367000007</v>
      </c>
      <c r="AN57" s="99">
        <f t="shared" si="170"/>
        <v>534.25308809000001</v>
      </c>
      <c r="AO57" s="99">
        <f t="shared" si="170"/>
        <v>727.09814125000003</v>
      </c>
      <c r="AP57" s="99">
        <f t="shared" si="170"/>
        <v>2623</v>
      </c>
      <c r="AQ57" s="45"/>
      <c r="AR57" s="76">
        <f t="shared" ref="AR57:AR73" si="171">SUM(AP57/AL57)-1</f>
        <v>3.8771175517538916</v>
      </c>
    </row>
    <row r="58" spans="2:44" ht="12.75" customHeight="1">
      <c r="B58" s="122" t="s">
        <v>155</v>
      </c>
      <c r="C58" s="123">
        <v>7660.499153759999</v>
      </c>
      <c r="D58" s="123">
        <v>9478.2357133499991</v>
      </c>
      <c r="E58" s="123">
        <v>9510.2220348499977</v>
      </c>
      <c r="F58" s="55"/>
      <c r="G58" s="123">
        <v>6404.2907354899999</v>
      </c>
      <c r="H58" s="123">
        <v>6342.9924333499994</v>
      </c>
      <c r="I58" s="123">
        <v>6375.3098464899995</v>
      </c>
      <c r="J58" s="98">
        <f t="shared" si="168"/>
        <v>7660.499153759999</v>
      </c>
      <c r="K58" s="123">
        <v>7497.5426872899998</v>
      </c>
      <c r="L58" s="123">
        <v>7155.6964928300013</v>
      </c>
      <c r="M58" s="123">
        <v>7946.2446197300005</v>
      </c>
      <c r="N58" s="98">
        <f t="shared" si="169"/>
        <v>9478.2357133499991</v>
      </c>
      <c r="O58" s="123">
        <v>9890.3677212599978</v>
      </c>
      <c r="P58" s="123">
        <v>9726.1396359100017</v>
      </c>
      <c r="Q58" s="123">
        <v>10446.72391578</v>
      </c>
      <c r="R58" s="99">
        <f t="shared" ref="R58:R60" si="172">E58</f>
        <v>9510.2220348499977</v>
      </c>
      <c r="S58" s="123">
        <v>10842.8540070199</v>
      </c>
      <c r="T58" s="123">
        <v>13970.41566791</v>
      </c>
      <c r="U58" s="123">
        <v>13972</v>
      </c>
      <c r="V58" s="123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>
        <f t="shared" ref="AL58:AL61" si="173">Q58</f>
        <v>10446.72391578</v>
      </c>
      <c r="AM58" s="99">
        <f t="shared" ref="AM58:AM61" si="174">R58</f>
        <v>9510.2220348499977</v>
      </c>
      <c r="AN58" s="99">
        <f t="shared" ref="AN58:AN61" si="175">S58</f>
        <v>10842.8540070199</v>
      </c>
      <c r="AO58" s="99">
        <f t="shared" ref="AO58:AO61" si="176">T58</f>
        <v>13970.41566791</v>
      </c>
      <c r="AP58" s="99">
        <f t="shared" ref="AP58:AP61" si="177">U58</f>
        <v>13972</v>
      </c>
      <c r="AQ58" s="45"/>
      <c r="AR58" s="76"/>
    </row>
    <row r="59" spans="2:44" ht="12.75" customHeight="1">
      <c r="B59" s="122" t="s">
        <v>156</v>
      </c>
      <c r="C59" s="123">
        <v>660.45831428999998</v>
      </c>
      <c r="D59" s="123">
        <v>857.09601840999994</v>
      </c>
      <c r="E59" s="123">
        <v>696.16548784999998</v>
      </c>
      <c r="F59" s="55"/>
      <c r="G59" s="123">
        <v>650.79022137000004</v>
      </c>
      <c r="H59" s="123">
        <v>608.74286130999997</v>
      </c>
      <c r="I59" s="123">
        <v>595.20431367999993</v>
      </c>
      <c r="J59" s="98">
        <f t="shared" si="168"/>
        <v>660.45831428999998</v>
      </c>
      <c r="K59" s="123">
        <v>725.76548154</v>
      </c>
      <c r="L59" s="123">
        <v>815.37585983000008</v>
      </c>
      <c r="M59" s="123">
        <v>857.61869179999997</v>
      </c>
      <c r="N59" s="98">
        <f t="shared" si="169"/>
        <v>857.09601840999994</v>
      </c>
      <c r="O59" s="123">
        <v>1066.9874409500001</v>
      </c>
      <c r="P59" s="123">
        <v>1085.72735683</v>
      </c>
      <c r="Q59" s="123">
        <v>926.46989014999997</v>
      </c>
      <c r="R59" s="99">
        <f t="shared" si="172"/>
        <v>696.16548784999998</v>
      </c>
      <c r="S59" s="123">
        <v>986.77511900000002</v>
      </c>
      <c r="T59" s="123">
        <v>1168.37172932</v>
      </c>
      <c r="U59" s="123">
        <v>753</v>
      </c>
      <c r="V59" s="123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>
        <f t="shared" si="173"/>
        <v>926.46989014999997</v>
      </c>
      <c r="AM59" s="99">
        <f t="shared" si="174"/>
        <v>696.16548784999998</v>
      </c>
      <c r="AN59" s="99">
        <f t="shared" si="175"/>
        <v>986.77511900000002</v>
      </c>
      <c r="AO59" s="99">
        <f t="shared" si="176"/>
        <v>1168.37172932</v>
      </c>
      <c r="AP59" s="99">
        <f t="shared" si="177"/>
        <v>753</v>
      </c>
      <c r="AQ59" s="45"/>
      <c r="AR59" s="76"/>
    </row>
    <row r="60" spans="2:44" ht="12.75" customHeight="1">
      <c r="B60" s="122" t="s">
        <v>154</v>
      </c>
      <c r="C60" s="123">
        <v>437.24043009999997</v>
      </c>
      <c r="D60" s="123">
        <v>595.7758117599999</v>
      </c>
      <c r="E60" s="123">
        <v>572.04812475999995</v>
      </c>
      <c r="F60" s="55"/>
      <c r="G60" s="123">
        <v>411.53387814999996</v>
      </c>
      <c r="H60" s="123">
        <v>448.34315923000003</v>
      </c>
      <c r="I60" s="123">
        <v>364.36254958000006</v>
      </c>
      <c r="J60" s="98">
        <f t="shared" si="168"/>
        <v>437.24043009999997</v>
      </c>
      <c r="K60" s="123">
        <v>419.77582888000006</v>
      </c>
      <c r="L60" s="123">
        <v>448.87509790999997</v>
      </c>
      <c r="M60" s="123">
        <v>464.29794526000006</v>
      </c>
      <c r="N60" s="98">
        <f t="shared" si="169"/>
        <v>595.7758117599999</v>
      </c>
      <c r="O60" s="123">
        <v>575.11981442999991</v>
      </c>
      <c r="P60" s="123">
        <v>684.9762046699999</v>
      </c>
      <c r="Q60" s="123">
        <v>835.42853836999996</v>
      </c>
      <c r="R60" s="99">
        <f t="shared" si="172"/>
        <v>572.04812475999995</v>
      </c>
      <c r="S60" s="123">
        <v>523.46139389999996</v>
      </c>
      <c r="T60" s="123">
        <v>546.65419665999991</v>
      </c>
      <c r="U60" s="123">
        <v>562</v>
      </c>
      <c r="V60" s="123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>
        <f t="shared" si="173"/>
        <v>835.42853836999996</v>
      </c>
      <c r="AM60" s="99">
        <f t="shared" si="174"/>
        <v>572.04812475999995</v>
      </c>
      <c r="AN60" s="99">
        <f t="shared" si="175"/>
        <v>523.46139389999996</v>
      </c>
      <c r="AO60" s="99">
        <f t="shared" si="176"/>
        <v>546.65419665999991</v>
      </c>
      <c r="AP60" s="99">
        <f t="shared" si="177"/>
        <v>562</v>
      </c>
      <c r="AQ60" s="45"/>
      <c r="AR60" s="76"/>
    </row>
    <row r="61" spans="2:44" ht="12.75" customHeight="1">
      <c r="B61" s="122" t="s">
        <v>158</v>
      </c>
      <c r="C61" s="123">
        <v>458.27039080000458</v>
      </c>
      <c r="D61" s="123">
        <v>295.08886518999924</v>
      </c>
      <c r="E61" s="123">
        <v>255.16566903000003</v>
      </c>
      <c r="F61" s="55"/>
      <c r="G61" s="123">
        <v>448.83618695999866</v>
      </c>
      <c r="H61" s="123">
        <v>553.16534947000196</v>
      </c>
      <c r="I61" s="123">
        <v>554.30831807000004</v>
      </c>
      <c r="J61" s="98">
        <f t="shared" si="168"/>
        <v>458.27039080000458</v>
      </c>
      <c r="K61" s="123">
        <v>333.68363447000411</v>
      </c>
      <c r="L61" s="123">
        <v>308.0914000399975</v>
      </c>
      <c r="M61" s="123">
        <v>281.8706076299942</v>
      </c>
      <c r="N61" s="98">
        <f t="shared" si="169"/>
        <v>295.08886518999924</v>
      </c>
      <c r="O61" s="123">
        <v>279.07436172000018</v>
      </c>
      <c r="P61" s="123">
        <v>360.81684402999986</v>
      </c>
      <c r="Q61" s="123">
        <v>344.99726473000015</v>
      </c>
      <c r="R61" s="99">
        <f t="shared" ref="R61" si="178">E61</f>
        <v>255.16566903000003</v>
      </c>
      <c r="S61" s="123">
        <v>294.86314613999895</v>
      </c>
      <c r="T61" s="123">
        <v>266.88417576000001</v>
      </c>
      <c r="U61" s="123">
        <f>3+249</f>
        <v>252</v>
      </c>
      <c r="V61" s="123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>
        <f t="shared" si="173"/>
        <v>344.99726473000015</v>
      </c>
      <c r="AM61" s="99">
        <f t="shared" si="174"/>
        <v>255.16566903000003</v>
      </c>
      <c r="AN61" s="99">
        <f t="shared" si="175"/>
        <v>294.86314613999895</v>
      </c>
      <c r="AO61" s="99">
        <f t="shared" si="176"/>
        <v>266.88417576000001</v>
      </c>
      <c r="AP61" s="99">
        <f t="shared" si="177"/>
        <v>252</v>
      </c>
      <c r="AQ61" s="45"/>
      <c r="AR61" s="76"/>
    </row>
    <row r="62" spans="2:44" ht="12.75" customHeight="1">
      <c r="B62" s="14" t="s">
        <v>11</v>
      </c>
      <c r="C62" s="15">
        <f>SUM(C57:C61)</f>
        <v>9682.2987446200023</v>
      </c>
      <c r="D62" s="15">
        <f>SUM(D57:D61)</f>
        <v>11550.177384299999</v>
      </c>
      <c r="E62" s="15">
        <f>SUM(E57:E61)</f>
        <v>11546.572500159999</v>
      </c>
      <c r="G62" s="15">
        <f>SUM(G57:G61)</f>
        <v>8790.1648930299998</v>
      </c>
      <c r="H62" s="15">
        <f>SUM(H57:H61)</f>
        <v>9090.2745833100016</v>
      </c>
      <c r="I62" s="15">
        <f>SUM(I57:I61)</f>
        <v>8471.6917301199992</v>
      </c>
      <c r="J62" s="15">
        <f>SUM(J57:J61)</f>
        <v>9682.2987446200023</v>
      </c>
      <c r="K62" s="15">
        <f>SUM(K57:K61)</f>
        <v>9274.0560528900023</v>
      </c>
      <c r="L62" s="15">
        <f>SUM(L57:L61)</f>
        <v>9056.5454223300003</v>
      </c>
      <c r="M62" s="15">
        <f>SUM(M57:M61)</f>
        <v>9835.4169210399959</v>
      </c>
      <c r="N62" s="15">
        <f>SUM(N57:N61)</f>
        <v>11550.177384299999</v>
      </c>
      <c r="O62" s="15">
        <f>SUM(O57:O61)</f>
        <v>12154.982478119999</v>
      </c>
      <c r="P62" s="15">
        <f>SUM(P57:P61)</f>
        <v>12392.367892350001</v>
      </c>
      <c r="Q62" s="15">
        <f>SUM(Q57:Q61)</f>
        <v>13091.437279440001</v>
      </c>
      <c r="R62" s="15">
        <f>SUM(R57:R61)</f>
        <v>11546.572500159999</v>
      </c>
      <c r="S62" s="15">
        <f>SUM(S57:S61)</f>
        <v>13182.206754149896</v>
      </c>
      <c r="T62" s="15">
        <f>SUM(T57:T61)</f>
        <v>16679.423910900001</v>
      </c>
      <c r="U62" s="15">
        <f>SUM(U57:U61)</f>
        <v>18162</v>
      </c>
      <c r="V62" s="123"/>
      <c r="W62" s="15" t="e">
        <f t="shared" ref="W62:AP62" si="179">SUM(W57:W61)</f>
        <v>#REF!</v>
      </c>
      <c r="X62" s="15" t="e">
        <f t="shared" si="179"/>
        <v>#REF!</v>
      </c>
      <c r="Y62" s="15" t="e">
        <f t="shared" si="179"/>
        <v>#REF!</v>
      </c>
      <c r="Z62" s="15" t="e">
        <f t="shared" si="179"/>
        <v>#REF!</v>
      </c>
      <c r="AA62" s="15" t="e">
        <f t="shared" si="179"/>
        <v>#REF!</v>
      </c>
      <c r="AB62" s="15" t="e">
        <f t="shared" si="179"/>
        <v>#REF!</v>
      </c>
      <c r="AC62" s="15" t="e">
        <f t="shared" si="179"/>
        <v>#REF!</v>
      </c>
      <c r="AD62" s="15" t="e">
        <f t="shared" si="179"/>
        <v>#REF!</v>
      </c>
      <c r="AE62" s="15" t="e">
        <f t="shared" si="179"/>
        <v>#REF!</v>
      </c>
      <c r="AF62" s="15" t="e">
        <f t="shared" si="179"/>
        <v>#REF!</v>
      </c>
      <c r="AG62" s="15" t="e">
        <f t="shared" si="179"/>
        <v>#REF!</v>
      </c>
      <c r="AH62" s="15" t="e">
        <f t="shared" si="179"/>
        <v>#REF!</v>
      </c>
      <c r="AI62" s="15" t="e">
        <f t="shared" si="179"/>
        <v>#REF!</v>
      </c>
      <c r="AJ62" s="15">
        <f t="shared" si="179"/>
        <v>343.43313976000002</v>
      </c>
      <c r="AK62" s="15">
        <f t="shared" si="179"/>
        <v>534.70785091000005</v>
      </c>
      <c r="AL62" s="15">
        <f t="shared" si="179"/>
        <v>13091.437279440001</v>
      </c>
      <c r="AM62" s="15">
        <f t="shared" si="179"/>
        <v>11546.572500159999</v>
      </c>
      <c r="AN62" s="15">
        <f t="shared" si="179"/>
        <v>13182.206754149896</v>
      </c>
      <c r="AO62" s="15">
        <f t="shared" si="179"/>
        <v>16679.423910900001</v>
      </c>
      <c r="AP62" s="15">
        <f t="shared" si="179"/>
        <v>18162</v>
      </c>
      <c r="AQ62" s="45"/>
      <c r="AR62" s="77">
        <f t="shared" si="171"/>
        <v>0.3873190248196261</v>
      </c>
    </row>
    <row r="63" spans="2:44" ht="5.0999999999999996" customHeight="1">
      <c r="B63" s="27"/>
      <c r="C63" s="53"/>
      <c r="D63" s="44"/>
      <c r="E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2"/>
    </row>
    <row r="64" spans="2:44" ht="12.75" customHeight="1">
      <c r="B64" s="10" t="s">
        <v>159</v>
      </c>
      <c r="C64" s="83">
        <v>0</v>
      </c>
      <c r="D64" s="83">
        <v>0</v>
      </c>
      <c r="E64" s="175"/>
      <c r="F64" s="34"/>
      <c r="G64" s="175"/>
      <c r="H64" s="175"/>
      <c r="I64" s="175"/>
      <c r="J64" s="98">
        <f t="shared" ref="J64:J68" si="180">C64</f>
        <v>0</v>
      </c>
      <c r="K64" s="175"/>
      <c r="L64" s="175"/>
      <c r="M64" s="175"/>
      <c r="N64" s="98">
        <f t="shared" ref="N64:N68" si="181">D64</f>
        <v>0</v>
      </c>
      <c r="O64" s="175"/>
      <c r="P64" s="175"/>
      <c r="Q64" s="175"/>
      <c r="R64" s="175"/>
      <c r="S64" s="175"/>
      <c r="T64" s="175"/>
      <c r="U64" s="175"/>
      <c r="W64" s="34" t="e">
        <f>#REF!</f>
        <v>#REF!</v>
      </c>
      <c r="X64" s="34" t="e">
        <f>#REF!</f>
        <v>#REF!</v>
      </c>
      <c r="Y64" s="34" t="e">
        <f>#REF!</f>
        <v>#REF!</v>
      </c>
      <c r="Z64" s="34" t="e">
        <f>#REF!</f>
        <v>#REF!</v>
      </c>
      <c r="AA64" s="34" t="e">
        <f>#REF!</f>
        <v>#REF!</v>
      </c>
      <c r="AB64" s="34" t="e">
        <f>#REF!</f>
        <v>#REF!</v>
      </c>
      <c r="AC64" s="34" t="e">
        <f>#REF!</f>
        <v>#REF!</v>
      </c>
      <c r="AD64" s="34" t="e">
        <f>#REF!</f>
        <v>#REF!</v>
      </c>
      <c r="AE64" s="34" t="e">
        <f>#REF!</f>
        <v>#REF!</v>
      </c>
      <c r="AF64" s="34" t="e">
        <f>#REF!</f>
        <v>#REF!</v>
      </c>
      <c r="AG64" s="34" t="e">
        <f>#REF!</f>
        <v>#REF!</v>
      </c>
      <c r="AH64" s="34" t="e">
        <f>#REF!</f>
        <v>#REF!</v>
      </c>
      <c r="AI64" s="34" t="e">
        <f>#REF!</f>
        <v>#REF!</v>
      </c>
      <c r="AJ64" s="34">
        <f t="shared" ref="AJ64:AP66" si="182">O64</f>
        <v>0</v>
      </c>
      <c r="AK64" s="34">
        <f t="shared" si="182"/>
        <v>0</v>
      </c>
      <c r="AL64" s="34">
        <f t="shared" si="182"/>
        <v>0</v>
      </c>
      <c r="AM64" s="34">
        <f t="shared" si="182"/>
        <v>0</v>
      </c>
      <c r="AN64" s="34">
        <f t="shared" si="182"/>
        <v>0</v>
      </c>
      <c r="AO64" s="34">
        <f t="shared" si="182"/>
        <v>0</v>
      </c>
      <c r="AP64" s="34">
        <f t="shared" si="182"/>
        <v>0</v>
      </c>
      <c r="AQ64" s="12"/>
      <c r="AR64" s="76"/>
    </row>
    <row r="65" spans="1:44" ht="12.75" customHeight="1">
      <c r="B65" s="10" t="s">
        <v>181</v>
      </c>
      <c r="C65" s="83">
        <v>4577</v>
      </c>
      <c r="D65" s="83">
        <v>4625</v>
      </c>
      <c r="E65" s="175"/>
      <c r="F65" s="34"/>
      <c r="G65" s="175"/>
      <c r="H65" s="175"/>
      <c r="I65" s="175"/>
      <c r="J65" s="98">
        <f t="shared" si="180"/>
        <v>4577</v>
      </c>
      <c r="K65" s="175"/>
      <c r="L65" s="175"/>
      <c r="M65" s="175"/>
      <c r="N65" s="98">
        <f t="shared" si="181"/>
        <v>4625</v>
      </c>
      <c r="O65" s="175"/>
      <c r="P65" s="175"/>
      <c r="Q65" s="175"/>
      <c r="R65" s="175"/>
      <c r="S65" s="175"/>
      <c r="T65" s="175"/>
      <c r="U65" s="175"/>
      <c r="W65" s="34" t="e">
        <f>#REF!</f>
        <v>#REF!</v>
      </c>
      <c r="X65" s="34" t="e">
        <f>#REF!</f>
        <v>#REF!</v>
      </c>
      <c r="Y65" s="34" t="e">
        <f>#REF!</f>
        <v>#REF!</v>
      </c>
      <c r="Z65" s="34" t="e">
        <f>#REF!</f>
        <v>#REF!</v>
      </c>
      <c r="AA65" s="34" t="e">
        <f>#REF!</f>
        <v>#REF!</v>
      </c>
      <c r="AB65" s="34" t="e">
        <f>#REF!</f>
        <v>#REF!</v>
      </c>
      <c r="AC65" s="34" t="e">
        <f>#REF!</f>
        <v>#REF!</v>
      </c>
      <c r="AD65" s="34" t="e">
        <f>#REF!</f>
        <v>#REF!</v>
      </c>
      <c r="AE65" s="34" t="e">
        <f>#REF!</f>
        <v>#REF!</v>
      </c>
      <c r="AF65" s="34" t="e">
        <f>#REF!</f>
        <v>#REF!</v>
      </c>
      <c r="AG65" s="34" t="e">
        <f>#REF!</f>
        <v>#REF!</v>
      </c>
      <c r="AH65" s="34" t="e">
        <f>#REF!</f>
        <v>#REF!</v>
      </c>
      <c r="AI65" s="34" t="e">
        <f>#REF!</f>
        <v>#REF!</v>
      </c>
      <c r="AJ65" s="34">
        <f t="shared" si="182"/>
        <v>0</v>
      </c>
      <c r="AK65" s="34">
        <f t="shared" si="182"/>
        <v>0</v>
      </c>
      <c r="AL65" s="34">
        <f t="shared" si="182"/>
        <v>0</v>
      </c>
      <c r="AM65" s="34">
        <f t="shared" si="182"/>
        <v>0</v>
      </c>
      <c r="AN65" s="34">
        <f t="shared" si="182"/>
        <v>0</v>
      </c>
      <c r="AO65" s="34">
        <f t="shared" si="182"/>
        <v>0</v>
      </c>
      <c r="AP65" s="34">
        <f t="shared" si="182"/>
        <v>0</v>
      </c>
      <c r="AQ65" s="12"/>
      <c r="AR65" s="76"/>
    </row>
    <row r="66" spans="1:44" ht="12.75" customHeight="1">
      <c r="B66" s="10" t="s">
        <v>160</v>
      </c>
      <c r="C66" s="83">
        <v>61</v>
      </c>
      <c r="D66" s="83">
        <v>37</v>
      </c>
      <c r="E66" s="175"/>
      <c r="F66" s="34"/>
      <c r="G66" s="175"/>
      <c r="H66" s="175"/>
      <c r="I66" s="175"/>
      <c r="J66" s="98">
        <f t="shared" si="180"/>
        <v>61</v>
      </c>
      <c r="K66" s="175"/>
      <c r="L66" s="175"/>
      <c r="M66" s="175"/>
      <c r="N66" s="98">
        <f t="shared" si="181"/>
        <v>37</v>
      </c>
      <c r="O66" s="175"/>
      <c r="P66" s="175"/>
      <c r="Q66" s="175"/>
      <c r="R66" s="175"/>
      <c r="S66" s="175"/>
      <c r="T66" s="175"/>
      <c r="U66" s="175"/>
      <c r="W66" s="34" t="e">
        <f>#REF!</f>
        <v>#REF!</v>
      </c>
      <c r="X66" s="34" t="e">
        <f>#REF!</f>
        <v>#REF!</v>
      </c>
      <c r="Y66" s="34" t="e">
        <f>#REF!</f>
        <v>#REF!</v>
      </c>
      <c r="Z66" s="34" t="e">
        <f>#REF!</f>
        <v>#REF!</v>
      </c>
      <c r="AA66" s="34" t="e">
        <f>#REF!</f>
        <v>#REF!</v>
      </c>
      <c r="AB66" s="34" t="e">
        <f>#REF!</f>
        <v>#REF!</v>
      </c>
      <c r="AC66" s="34" t="e">
        <f>#REF!</f>
        <v>#REF!</v>
      </c>
      <c r="AD66" s="34" t="e">
        <f>#REF!</f>
        <v>#REF!</v>
      </c>
      <c r="AE66" s="34" t="e">
        <f>#REF!</f>
        <v>#REF!</v>
      </c>
      <c r="AF66" s="34" t="e">
        <f>#REF!</f>
        <v>#REF!</v>
      </c>
      <c r="AG66" s="34" t="e">
        <f>#REF!</f>
        <v>#REF!</v>
      </c>
      <c r="AH66" s="34" t="e">
        <f>#REF!</f>
        <v>#REF!</v>
      </c>
      <c r="AI66" s="34" t="e">
        <f>#REF!</f>
        <v>#REF!</v>
      </c>
      <c r="AJ66" s="34">
        <f t="shared" si="182"/>
        <v>0</v>
      </c>
      <c r="AK66" s="34">
        <f t="shared" si="182"/>
        <v>0</v>
      </c>
      <c r="AL66" s="34">
        <f t="shared" si="182"/>
        <v>0</v>
      </c>
      <c r="AM66" s="34">
        <f t="shared" si="182"/>
        <v>0</v>
      </c>
      <c r="AN66" s="34">
        <f t="shared" si="182"/>
        <v>0</v>
      </c>
      <c r="AO66" s="34">
        <f t="shared" si="182"/>
        <v>0</v>
      </c>
      <c r="AP66" s="34">
        <f t="shared" si="182"/>
        <v>0</v>
      </c>
      <c r="AQ66" s="12"/>
      <c r="AR66" s="76"/>
    </row>
    <row r="67" spans="1:44" ht="12.75" customHeight="1">
      <c r="B67" s="10" t="s">
        <v>161</v>
      </c>
      <c r="C67" s="83">
        <v>-369</v>
      </c>
      <c r="D67" s="83">
        <v>-311</v>
      </c>
      <c r="E67" s="175"/>
      <c r="F67" s="34"/>
      <c r="G67" s="175"/>
      <c r="H67" s="175"/>
      <c r="I67" s="175"/>
      <c r="J67" s="98">
        <f t="shared" si="180"/>
        <v>-369</v>
      </c>
      <c r="K67" s="175"/>
      <c r="L67" s="175"/>
      <c r="M67" s="175"/>
      <c r="N67" s="98">
        <f t="shared" si="181"/>
        <v>-311</v>
      </c>
      <c r="O67" s="175"/>
      <c r="P67" s="175"/>
      <c r="Q67" s="175"/>
      <c r="R67" s="175"/>
      <c r="S67" s="175"/>
      <c r="T67" s="175"/>
      <c r="U67" s="175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>
        <f t="shared" ref="AL67:AL69" si="183">Q67</f>
        <v>0</v>
      </c>
      <c r="AM67" s="34">
        <f t="shared" ref="AM67:AM69" si="184">R67</f>
        <v>0</v>
      </c>
      <c r="AN67" s="34">
        <f t="shared" ref="AN67:AN69" si="185">S67</f>
        <v>0</v>
      </c>
      <c r="AO67" s="34">
        <f t="shared" ref="AO67:AO69" si="186">T67</f>
        <v>0</v>
      </c>
      <c r="AP67" s="34">
        <f t="shared" ref="AP67:AP68" si="187">U67</f>
        <v>0</v>
      </c>
      <c r="AQ67" s="12"/>
      <c r="AR67" s="76"/>
    </row>
    <row r="68" spans="1:44" ht="12.75" customHeight="1">
      <c r="B68" s="10" t="s">
        <v>162</v>
      </c>
      <c r="C68" s="83">
        <v>-1948</v>
      </c>
      <c r="D68" s="83">
        <v>-2159</v>
      </c>
      <c r="E68" s="175"/>
      <c r="F68" s="34"/>
      <c r="G68" s="175"/>
      <c r="H68" s="175"/>
      <c r="I68" s="175"/>
      <c r="J68" s="98">
        <f t="shared" si="180"/>
        <v>-1948</v>
      </c>
      <c r="K68" s="175"/>
      <c r="L68" s="175"/>
      <c r="M68" s="175"/>
      <c r="N68" s="98">
        <f t="shared" si="181"/>
        <v>-2159</v>
      </c>
      <c r="O68" s="175"/>
      <c r="P68" s="175"/>
      <c r="Q68" s="175"/>
      <c r="R68" s="175"/>
      <c r="S68" s="175"/>
      <c r="T68" s="175"/>
      <c r="U68" s="175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>
        <f t="shared" si="183"/>
        <v>0</v>
      </c>
      <c r="AM68" s="34">
        <f t="shared" si="184"/>
        <v>0</v>
      </c>
      <c r="AN68" s="34">
        <f t="shared" si="185"/>
        <v>0</v>
      </c>
      <c r="AO68" s="34">
        <f t="shared" si="186"/>
        <v>0</v>
      </c>
      <c r="AP68" s="34">
        <f t="shared" si="187"/>
        <v>0</v>
      </c>
      <c r="AQ68" s="12"/>
      <c r="AR68" s="76"/>
    </row>
    <row r="69" spans="1:44" ht="12.75" customHeight="1">
      <c r="B69" s="14" t="s">
        <v>163</v>
      </c>
      <c r="C69" s="15">
        <f>SUM(C64:C68)</f>
        <v>2321</v>
      </c>
      <c r="D69" s="15">
        <f>SUM(D64:D68)</f>
        <v>2192</v>
      </c>
      <c r="E69" s="174">
        <v>2257.9696472000005</v>
      </c>
      <c r="F69" s="56"/>
      <c r="G69" s="174">
        <v>2378.2504206299996</v>
      </c>
      <c r="H69" s="174">
        <v>1894.1558090799997</v>
      </c>
      <c r="I69" s="174">
        <v>2254.4979916699995</v>
      </c>
      <c r="J69" s="15">
        <f t="shared" ref="J69" si="188">SUM(J64:J68)</f>
        <v>2321</v>
      </c>
      <c r="K69" s="174">
        <v>2312.5469902999998</v>
      </c>
      <c r="L69" s="174">
        <v>2168.3190899100005</v>
      </c>
      <c r="M69" s="174">
        <v>2197.9120898800002</v>
      </c>
      <c r="N69" s="15">
        <f t="shared" ref="N69" si="189">SUM(N64:N68)</f>
        <v>2192</v>
      </c>
      <c r="O69" s="174">
        <v>2227.1711778000004</v>
      </c>
      <c r="P69" s="174">
        <v>2236.8000679100005</v>
      </c>
      <c r="Q69" s="174">
        <v>2350.2665257799999</v>
      </c>
      <c r="R69" s="15">
        <f>E69</f>
        <v>2257.9696472000005</v>
      </c>
      <c r="S69" s="174">
        <v>2342.9709504499997</v>
      </c>
      <c r="T69" s="174">
        <v>2509.4979734099998</v>
      </c>
      <c r="U69" s="174">
        <v>2449</v>
      </c>
      <c r="W69" s="15" t="str">
        <f t="shared" ref="W69:AK69" si="190">B69</f>
        <v>Total equity excluding non-controlling interests</v>
      </c>
      <c r="X69" s="15">
        <f t="shared" si="190"/>
        <v>2321</v>
      </c>
      <c r="Y69" s="15">
        <f t="shared" si="190"/>
        <v>2192</v>
      </c>
      <c r="Z69" s="15">
        <f t="shared" si="190"/>
        <v>2257.9696472000005</v>
      </c>
      <c r="AA69" s="15">
        <f t="shared" si="190"/>
        <v>0</v>
      </c>
      <c r="AB69" s="15">
        <f t="shared" si="190"/>
        <v>2378.2504206299996</v>
      </c>
      <c r="AC69" s="15">
        <f t="shared" si="190"/>
        <v>1894.1558090799997</v>
      </c>
      <c r="AD69" s="15">
        <f t="shared" si="190"/>
        <v>2254.4979916699995</v>
      </c>
      <c r="AE69" s="15">
        <f t="shared" si="190"/>
        <v>2321</v>
      </c>
      <c r="AF69" s="15">
        <f t="shared" si="190"/>
        <v>2312.5469902999998</v>
      </c>
      <c r="AG69" s="15">
        <f t="shared" si="190"/>
        <v>2168.3190899100005</v>
      </c>
      <c r="AH69" s="15">
        <f t="shared" si="190"/>
        <v>2197.9120898800002</v>
      </c>
      <c r="AI69" s="15">
        <f t="shared" si="190"/>
        <v>2192</v>
      </c>
      <c r="AJ69" s="15">
        <f t="shared" si="190"/>
        <v>2227.1711778000004</v>
      </c>
      <c r="AK69" s="15">
        <f t="shared" si="190"/>
        <v>2236.8000679100005</v>
      </c>
      <c r="AL69" s="15">
        <f t="shared" si="183"/>
        <v>2350.2665257799999</v>
      </c>
      <c r="AM69" s="15">
        <f t="shared" si="184"/>
        <v>2257.9696472000005</v>
      </c>
      <c r="AN69" s="15">
        <f t="shared" si="185"/>
        <v>2342.9709504499997</v>
      </c>
      <c r="AO69" s="15">
        <f t="shared" si="186"/>
        <v>2509.4979734099998</v>
      </c>
      <c r="AP69" s="15">
        <f>U69</f>
        <v>2449</v>
      </c>
      <c r="AQ69" s="45"/>
      <c r="AR69" s="76">
        <f t="shared" si="171"/>
        <v>4.2009479834306251E-2</v>
      </c>
    </row>
    <row r="70" spans="1:44" ht="5.0999999999999996" customHeight="1">
      <c r="B70" s="27"/>
      <c r="C70" s="52"/>
      <c r="D70" s="52"/>
      <c r="E70" s="52"/>
      <c r="F70" s="56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45"/>
      <c r="AR70" s="102"/>
    </row>
    <row r="71" spans="1:44" ht="12.75" customHeight="1">
      <c r="B71" s="10" t="s">
        <v>165</v>
      </c>
      <c r="C71" s="83">
        <v>6</v>
      </c>
      <c r="D71" s="83">
        <v>5</v>
      </c>
      <c r="E71" s="83">
        <v>0</v>
      </c>
      <c r="F71" s="56"/>
      <c r="G71" s="175"/>
      <c r="H71" s="175"/>
      <c r="I71" s="175"/>
      <c r="J71" s="98">
        <f>C71</f>
        <v>6</v>
      </c>
      <c r="K71" s="175"/>
      <c r="L71" s="175"/>
      <c r="M71" s="175"/>
      <c r="N71" s="98">
        <f t="shared" ref="N71" si="191">D71</f>
        <v>5</v>
      </c>
      <c r="O71" s="175"/>
      <c r="P71" s="175"/>
      <c r="Q71" s="175"/>
      <c r="R71" s="34">
        <f>E71</f>
        <v>0</v>
      </c>
      <c r="S71" s="175"/>
      <c r="T71" s="175"/>
      <c r="U71" s="83">
        <v>171</v>
      </c>
      <c r="V71" s="73"/>
      <c r="W71" s="73" t="str">
        <f t="shared" ref="W71:AO71" si="192">B71</f>
        <v>Non-controlling interests</v>
      </c>
      <c r="X71" s="73">
        <f t="shared" si="192"/>
        <v>6</v>
      </c>
      <c r="Y71" s="73">
        <f t="shared" si="192"/>
        <v>5</v>
      </c>
      <c r="Z71" s="73">
        <f t="shared" si="192"/>
        <v>0</v>
      </c>
      <c r="AA71" s="73">
        <f t="shared" si="192"/>
        <v>0</v>
      </c>
      <c r="AB71" s="73">
        <f t="shared" si="192"/>
        <v>0</v>
      </c>
      <c r="AC71" s="73">
        <f t="shared" si="192"/>
        <v>0</v>
      </c>
      <c r="AD71" s="73">
        <f t="shared" si="192"/>
        <v>0</v>
      </c>
      <c r="AE71" s="73">
        <f t="shared" si="192"/>
        <v>6</v>
      </c>
      <c r="AF71" s="73">
        <f t="shared" si="192"/>
        <v>0</v>
      </c>
      <c r="AG71" s="73">
        <f t="shared" si="192"/>
        <v>0</v>
      </c>
      <c r="AH71" s="73">
        <f t="shared" si="192"/>
        <v>0</v>
      </c>
      <c r="AI71" s="73">
        <f t="shared" si="192"/>
        <v>5</v>
      </c>
      <c r="AJ71" s="73">
        <f t="shared" si="192"/>
        <v>0</v>
      </c>
      <c r="AK71" s="73">
        <f t="shared" si="192"/>
        <v>0</v>
      </c>
      <c r="AL71" s="73">
        <f t="shared" si="192"/>
        <v>0</v>
      </c>
      <c r="AM71" s="73">
        <f t="shared" si="192"/>
        <v>0</v>
      </c>
      <c r="AN71" s="73">
        <f t="shared" si="192"/>
        <v>0</v>
      </c>
      <c r="AO71" s="73">
        <f t="shared" si="192"/>
        <v>0</v>
      </c>
      <c r="AP71" s="73">
        <f>U71</f>
        <v>171</v>
      </c>
      <c r="AQ71" s="45"/>
      <c r="AR71" s="102"/>
    </row>
    <row r="72" spans="1:44" ht="12.75" customHeight="1">
      <c r="B72" s="14" t="s">
        <v>164</v>
      </c>
      <c r="C72" s="15">
        <f>+C71+C69</f>
        <v>2327</v>
      </c>
      <c r="D72" s="15">
        <f>+D71+D69</f>
        <v>2197</v>
      </c>
      <c r="E72" s="15">
        <f>+E71+E69</f>
        <v>2257.9696472000005</v>
      </c>
      <c r="F72" s="56"/>
      <c r="G72" s="15">
        <f t="shared" ref="G72:J72" si="193">+G71+G69</f>
        <v>2378.2504206299996</v>
      </c>
      <c r="H72" s="15">
        <f t="shared" si="193"/>
        <v>1894.1558090799997</v>
      </c>
      <c r="I72" s="15">
        <f t="shared" si="193"/>
        <v>2254.4979916699995</v>
      </c>
      <c r="J72" s="15">
        <f t="shared" si="193"/>
        <v>2327</v>
      </c>
      <c r="K72" s="15">
        <f t="shared" ref="K72:N72" si="194">+K71+K69</f>
        <v>2312.5469902999998</v>
      </c>
      <c r="L72" s="15">
        <f t="shared" si="194"/>
        <v>2168.3190899100005</v>
      </c>
      <c r="M72" s="15">
        <f t="shared" si="194"/>
        <v>2197.9120898800002</v>
      </c>
      <c r="N72" s="15">
        <f t="shared" si="194"/>
        <v>2197</v>
      </c>
      <c r="O72" s="15">
        <f t="shared" ref="O72:U72" si="195">+O71+O69</f>
        <v>2227.1711778000004</v>
      </c>
      <c r="P72" s="15">
        <f t="shared" si="195"/>
        <v>2236.8000679100005</v>
      </c>
      <c r="Q72" s="15">
        <f t="shared" si="195"/>
        <v>2350.2665257799999</v>
      </c>
      <c r="R72" s="15">
        <f t="shared" si="195"/>
        <v>2257.9696472000005</v>
      </c>
      <c r="S72" s="15">
        <f t="shared" si="195"/>
        <v>2342.9709504499997</v>
      </c>
      <c r="T72" s="15">
        <f t="shared" si="195"/>
        <v>2509.4979734099998</v>
      </c>
      <c r="U72" s="15">
        <f t="shared" si="195"/>
        <v>2620</v>
      </c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5">
        <f t="shared" ref="AL72" si="196">+AL71+AL69</f>
        <v>2350.2665257799999</v>
      </c>
      <c r="AM72" s="15">
        <f t="shared" ref="AM72" si="197">+AM71+AM69</f>
        <v>2257.9696472000005</v>
      </c>
      <c r="AN72" s="15">
        <f t="shared" ref="AN72" si="198">+AN71+AN69</f>
        <v>2342.9709504499997</v>
      </c>
      <c r="AO72" s="15">
        <f t="shared" ref="AO72" si="199">+AO71+AO69</f>
        <v>2509.4979734099998</v>
      </c>
      <c r="AP72" s="15">
        <f t="shared" ref="AP72" si="200">+AP71+AP69</f>
        <v>2620</v>
      </c>
      <c r="AQ72" s="45"/>
      <c r="AR72" s="76"/>
    </row>
    <row r="73" spans="1:44" ht="12.75" customHeight="1">
      <c r="B73" s="27" t="s">
        <v>43</v>
      </c>
      <c r="C73" s="176">
        <f t="shared" ref="C73:E73" si="201">SUM(C72+C62)</f>
        <v>12009.298744620002</v>
      </c>
      <c r="D73" s="176">
        <f t="shared" si="201"/>
        <v>13747.177384299999</v>
      </c>
      <c r="E73" s="176">
        <f t="shared" si="201"/>
        <v>13804.54214736</v>
      </c>
      <c r="F73" s="73"/>
      <c r="G73" s="176">
        <f t="shared" ref="G73:U73" si="202">SUM(G72+G62)</f>
        <v>11168.41531366</v>
      </c>
      <c r="H73" s="176">
        <f t="shared" si="202"/>
        <v>10984.430392390001</v>
      </c>
      <c r="I73" s="176">
        <f t="shared" si="202"/>
        <v>10726.189721789999</v>
      </c>
      <c r="J73" s="176">
        <f t="shared" si="202"/>
        <v>12009.298744620002</v>
      </c>
      <c r="K73" s="176">
        <f t="shared" si="202"/>
        <v>11586.603043190002</v>
      </c>
      <c r="L73" s="176">
        <f t="shared" si="202"/>
        <v>11224.864512240001</v>
      </c>
      <c r="M73" s="176">
        <f t="shared" si="202"/>
        <v>12033.329010919995</v>
      </c>
      <c r="N73" s="176">
        <f t="shared" si="202"/>
        <v>13747.177384299999</v>
      </c>
      <c r="O73" s="176">
        <f t="shared" si="202"/>
        <v>14382.153655919999</v>
      </c>
      <c r="P73" s="176">
        <f t="shared" si="202"/>
        <v>14629.167960260002</v>
      </c>
      <c r="Q73" s="176">
        <f t="shared" si="202"/>
        <v>15441.703805220001</v>
      </c>
      <c r="R73" s="176">
        <f t="shared" si="202"/>
        <v>13804.54214736</v>
      </c>
      <c r="S73" s="176">
        <f t="shared" si="202"/>
        <v>15525.177704599897</v>
      </c>
      <c r="T73" s="176">
        <f t="shared" si="202"/>
        <v>19188.921884310002</v>
      </c>
      <c r="U73" s="176">
        <f t="shared" si="202"/>
        <v>20782</v>
      </c>
      <c r="V73" s="176"/>
      <c r="W73" s="176" t="e">
        <f t="shared" ref="W73:AO73" si="203">SUM(W72+W62)</f>
        <v>#REF!</v>
      </c>
      <c r="X73" s="176" t="e">
        <f t="shared" si="203"/>
        <v>#REF!</v>
      </c>
      <c r="Y73" s="176" t="e">
        <f t="shared" si="203"/>
        <v>#REF!</v>
      </c>
      <c r="Z73" s="176" t="e">
        <f t="shared" si="203"/>
        <v>#REF!</v>
      </c>
      <c r="AA73" s="176" t="e">
        <f t="shared" si="203"/>
        <v>#REF!</v>
      </c>
      <c r="AB73" s="176" t="e">
        <f t="shared" si="203"/>
        <v>#REF!</v>
      </c>
      <c r="AC73" s="176" t="e">
        <f t="shared" si="203"/>
        <v>#REF!</v>
      </c>
      <c r="AD73" s="176" t="e">
        <f t="shared" si="203"/>
        <v>#REF!</v>
      </c>
      <c r="AE73" s="176" t="e">
        <f t="shared" si="203"/>
        <v>#REF!</v>
      </c>
      <c r="AF73" s="176" t="e">
        <f t="shared" si="203"/>
        <v>#REF!</v>
      </c>
      <c r="AG73" s="176" t="e">
        <f t="shared" si="203"/>
        <v>#REF!</v>
      </c>
      <c r="AH73" s="176" t="e">
        <f t="shared" si="203"/>
        <v>#REF!</v>
      </c>
      <c r="AI73" s="176" t="e">
        <f t="shared" si="203"/>
        <v>#REF!</v>
      </c>
      <c r="AJ73" s="176">
        <f t="shared" si="203"/>
        <v>343.43313976000002</v>
      </c>
      <c r="AK73" s="176">
        <f t="shared" si="203"/>
        <v>534.70785091000005</v>
      </c>
      <c r="AL73" s="176">
        <f t="shared" si="203"/>
        <v>15441.703805220001</v>
      </c>
      <c r="AM73" s="176">
        <f t="shared" si="203"/>
        <v>13804.54214736</v>
      </c>
      <c r="AN73" s="176">
        <f t="shared" si="203"/>
        <v>15525.177704599897</v>
      </c>
      <c r="AO73" s="176">
        <f t="shared" si="203"/>
        <v>19188.921884310002</v>
      </c>
      <c r="AP73" s="176">
        <f>SUM(AP72+AP62)</f>
        <v>20782</v>
      </c>
      <c r="AQ73" s="12"/>
      <c r="AR73" s="77">
        <f t="shared" si="171"/>
        <v>0.34583594285591301</v>
      </c>
    </row>
    <row r="74" spans="1:44" ht="5.0999999999999996" customHeight="1">
      <c r="B74" s="2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12"/>
    </row>
    <row r="75" spans="1:44" ht="12.75" customHeight="1">
      <c r="B75" s="147" t="s">
        <v>52</v>
      </c>
      <c r="C75" s="71">
        <f>ROUND(C73-C54,0.1)</f>
        <v>0</v>
      </c>
      <c r="D75" s="71">
        <f>ROUND(D73-D54,0.01)</f>
        <v>0</v>
      </c>
      <c r="E75" s="71">
        <f t="shared" ref="E75:AP75" si="204">ROUND(E73-E54,0.1)</f>
        <v>0</v>
      </c>
      <c r="F75" s="72"/>
      <c r="G75" s="71">
        <f t="shared" si="204"/>
        <v>0</v>
      </c>
      <c r="H75" s="71">
        <f t="shared" si="204"/>
        <v>0</v>
      </c>
      <c r="I75" s="71">
        <f t="shared" si="204"/>
        <v>0</v>
      </c>
      <c r="J75" s="71">
        <f t="shared" si="204"/>
        <v>0</v>
      </c>
      <c r="K75" s="71">
        <f t="shared" si="204"/>
        <v>0</v>
      </c>
      <c r="L75" s="71">
        <f t="shared" si="204"/>
        <v>0</v>
      </c>
      <c r="M75" s="71">
        <f t="shared" si="204"/>
        <v>0</v>
      </c>
      <c r="N75" s="71">
        <f t="shared" si="204"/>
        <v>0</v>
      </c>
      <c r="O75" s="71">
        <f t="shared" si="204"/>
        <v>0</v>
      </c>
      <c r="P75" s="71">
        <f t="shared" si="204"/>
        <v>0</v>
      </c>
      <c r="Q75" s="71">
        <f t="shared" si="204"/>
        <v>0</v>
      </c>
      <c r="R75" s="71">
        <f t="shared" si="204"/>
        <v>0</v>
      </c>
      <c r="S75" s="71">
        <f t="shared" si="204"/>
        <v>0</v>
      </c>
      <c r="T75" s="71">
        <f t="shared" si="204"/>
        <v>0</v>
      </c>
      <c r="U75" s="71">
        <f t="shared" si="204"/>
        <v>0</v>
      </c>
      <c r="V75" s="71"/>
      <c r="W75" s="71" t="e">
        <f t="shared" si="204"/>
        <v>#REF!</v>
      </c>
      <c r="X75" s="71" t="e">
        <f t="shared" si="204"/>
        <v>#REF!</v>
      </c>
      <c r="Y75" s="71" t="e">
        <f t="shared" si="204"/>
        <v>#REF!</v>
      </c>
      <c r="Z75" s="71" t="e">
        <f t="shared" si="204"/>
        <v>#REF!</v>
      </c>
      <c r="AA75" s="71" t="e">
        <f t="shared" si="204"/>
        <v>#REF!</v>
      </c>
      <c r="AB75" s="71" t="e">
        <f t="shared" si="204"/>
        <v>#REF!</v>
      </c>
      <c r="AC75" s="71" t="e">
        <f t="shared" si="204"/>
        <v>#REF!</v>
      </c>
      <c r="AD75" s="71" t="e">
        <f t="shared" si="204"/>
        <v>#REF!</v>
      </c>
      <c r="AE75" s="71" t="e">
        <f t="shared" si="204"/>
        <v>#REF!</v>
      </c>
      <c r="AF75" s="71" t="e">
        <f t="shared" si="204"/>
        <v>#REF!</v>
      </c>
      <c r="AG75" s="71" t="e">
        <f t="shared" si="204"/>
        <v>#REF!</v>
      </c>
      <c r="AH75" s="71" t="e">
        <f t="shared" si="204"/>
        <v>#REF!</v>
      </c>
      <c r="AI75" s="71" t="e">
        <f t="shared" si="204"/>
        <v>#REF!</v>
      </c>
      <c r="AJ75" s="71">
        <f t="shared" si="204"/>
        <v>-11801</v>
      </c>
      <c r="AK75" s="71">
        <f t="shared" si="204"/>
        <v>-11812</v>
      </c>
      <c r="AL75" s="71">
        <f t="shared" si="204"/>
        <v>0</v>
      </c>
      <c r="AM75" s="71">
        <f t="shared" si="204"/>
        <v>0</v>
      </c>
      <c r="AN75" s="71">
        <f t="shared" si="204"/>
        <v>0</v>
      </c>
      <c r="AO75" s="71">
        <f t="shared" si="204"/>
        <v>0</v>
      </c>
      <c r="AP75" s="71">
        <f t="shared" si="204"/>
        <v>0</v>
      </c>
    </row>
    <row r="76" spans="1:44" ht="5.0999999999999996" customHeight="1" thickBot="1">
      <c r="B76" s="118"/>
      <c r="C76" s="119"/>
      <c r="D76" s="119"/>
      <c r="E76" s="119"/>
      <c r="F76" s="120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21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74"/>
      <c r="AR76" s="74"/>
    </row>
    <row r="77" spans="1:44">
      <c r="B77" s="70"/>
      <c r="C77" s="26"/>
      <c r="D77" s="26"/>
      <c r="E77" s="26"/>
      <c r="F77" s="57"/>
    </row>
    <row r="78" spans="1:44" ht="12.75" customHeight="1">
      <c r="A78" s="5" t="s">
        <v>12</v>
      </c>
      <c r="B78" s="100" t="s">
        <v>10</v>
      </c>
      <c r="C78" s="104"/>
      <c r="D78" s="104"/>
      <c r="E78" s="104"/>
      <c r="F78" s="105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0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 t="s">
        <v>6</v>
      </c>
      <c r="AL78" s="104"/>
      <c r="AM78" s="104"/>
      <c r="AN78" s="104"/>
      <c r="AO78" s="104"/>
      <c r="AP78" s="104"/>
      <c r="AQ78" s="105"/>
      <c r="AR78" s="171" t="s">
        <v>16</v>
      </c>
    </row>
    <row r="79" spans="1:44" ht="12.75" customHeight="1">
      <c r="B79" s="101" t="str">
        <f>B7</f>
        <v>Fiscal Period</v>
      </c>
      <c r="C79" s="106">
        <f>C7</f>
        <v>2022</v>
      </c>
      <c r="D79" s="106">
        <f>D7</f>
        <v>2023</v>
      </c>
      <c r="E79" s="106">
        <f>E7</f>
        <v>2024</v>
      </c>
      <c r="F79" s="105"/>
      <c r="G79" s="106" t="str">
        <f>G7</f>
        <v>1Q22</v>
      </c>
      <c r="H79" s="106" t="str">
        <f>H7</f>
        <v>2Q22</v>
      </c>
      <c r="I79" s="106" t="str">
        <f>I7</f>
        <v>3Q22</v>
      </c>
      <c r="J79" s="106" t="str">
        <f>J7</f>
        <v>4Q22</v>
      </c>
      <c r="K79" s="106" t="str">
        <f>K7</f>
        <v>1Q23</v>
      </c>
      <c r="L79" s="106" t="str">
        <f>L7</f>
        <v>2Q23</v>
      </c>
      <c r="M79" s="106" t="str">
        <f>M7</f>
        <v>3Q23</v>
      </c>
      <c r="N79" s="106" t="str">
        <f>N7</f>
        <v>4Q23</v>
      </c>
      <c r="O79" s="106" t="str">
        <f>O7</f>
        <v>1Q24</v>
      </c>
      <c r="P79" s="106" t="str">
        <f>P7</f>
        <v>2Q24</v>
      </c>
      <c r="Q79" s="106" t="str">
        <f>Q7</f>
        <v>3Q24</v>
      </c>
      <c r="R79" s="106" t="str">
        <f>R7</f>
        <v>4Q24</v>
      </c>
      <c r="S79" s="106" t="str">
        <f>S7</f>
        <v>1Q25</v>
      </c>
      <c r="T79" s="106" t="str">
        <f>T7</f>
        <v>2Q25</v>
      </c>
      <c r="U79" s="106" t="str">
        <f>U7</f>
        <v>3Q25</v>
      </c>
      <c r="V79" s="106"/>
      <c r="W79" s="106" t="e">
        <f>W7</f>
        <v>#REF!</v>
      </c>
      <c r="X79" s="106" t="e">
        <f>X7</f>
        <v>#REF!</v>
      </c>
      <c r="Y79" s="106" t="e">
        <f>Y7</f>
        <v>#REF!</v>
      </c>
      <c r="Z79" s="106" t="e">
        <f>Z7</f>
        <v>#REF!</v>
      </c>
      <c r="AA79" s="106" t="e">
        <f>AA7</f>
        <v>#REF!</v>
      </c>
      <c r="AB79" s="106" t="e">
        <f>AB7</f>
        <v>#REF!</v>
      </c>
      <c r="AC79" s="106" t="e">
        <f>AC7</f>
        <v>#REF!</v>
      </c>
      <c r="AD79" s="106" t="e">
        <f>AD7</f>
        <v>#REF!</v>
      </c>
      <c r="AE79" s="106" t="e">
        <f>AE7</f>
        <v>#REF!</v>
      </c>
      <c r="AF79" s="106" t="e">
        <f>AF7</f>
        <v>#REF!</v>
      </c>
      <c r="AG79" s="106" t="e">
        <f>AG7</f>
        <v>#REF!</v>
      </c>
      <c r="AH79" s="106" t="e">
        <f>AH7</f>
        <v>#REF!</v>
      </c>
      <c r="AI79" s="106" t="e">
        <f>AI7</f>
        <v>#REF!</v>
      </c>
      <c r="AJ79" s="106" t="str">
        <f>AJ7</f>
        <v>1Q24</v>
      </c>
      <c r="AK79" s="106" t="str">
        <f>AK7</f>
        <v>2Q24</v>
      </c>
      <c r="AL79" s="106" t="str">
        <f>AL7</f>
        <v>3Q24</v>
      </c>
      <c r="AM79" s="106" t="str">
        <f>AM7</f>
        <v>4Q24</v>
      </c>
      <c r="AN79" s="106" t="str">
        <f>AN7</f>
        <v>1Q25</v>
      </c>
      <c r="AO79" s="106" t="str">
        <f>AO7</f>
        <v>2Q25</v>
      </c>
      <c r="AP79" s="106" t="str">
        <f>AP7</f>
        <v>3Q25</v>
      </c>
      <c r="AQ79" s="105"/>
      <c r="AR79" s="171"/>
    </row>
    <row r="80" spans="1:44" ht="12.75" customHeight="1">
      <c r="B80" s="101" t="str">
        <f>B8</f>
        <v>Fiscal Period End Date</v>
      </c>
      <c r="C80" s="107">
        <f>C8</f>
        <v>44926</v>
      </c>
      <c r="D80" s="107">
        <f>D8</f>
        <v>45291</v>
      </c>
      <c r="E80" s="107">
        <f>E8</f>
        <v>45657</v>
      </c>
      <c r="F80" s="105"/>
      <c r="G80" s="107">
        <f>G8</f>
        <v>44651</v>
      </c>
      <c r="H80" s="107">
        <f>H8</f>
        <v>44742</v>
      </c>
      <c r="I80" s="107">
        <f>I8</f>
        <v>44834</v>
      </c>
      <c r="J80" s="107">
        <f>J8</f>
        <v>44926</v>
      </c>
      <c r="K80" s="107">
        <f>K8</f>
        <v>45016</v>
      </c>
      <c r="L80" s="107">
        <f>L8</f>
        <v>45107</v>
      </c>
      <c r="M80" s="107">
        <f>M8</f>
        <v>45199</v>
      </c>
      <c r="N80" s="107">
        <f>N8</f>
        <v>45291</v>
      </c>
      <c r="O80" s="107">
        <f>O8</f>
        <v>45382</v>
      </c>
      <c r="P80" s="107">
        <f>P8</f>
        <v>45473</v>
      </c>
      <c r="Q80" s="107">
        <f>Q8</f>
        <v>45565</v>
      </c>
      <c r="R80" s="107">
        <f>R8</f>
        <v>45657</v>
      </c>
      <c r="S80" s="107">
        <f>S8</f>
        <v>45747</v>
      </c>
      <c r="T80" s="107">
        <f>T8</f>
        <v>45838</v>
      </c>
      <c r="U80" s="107">
        <f>U8</f>
        <v>45930</v>
      </c>
      <c r="V80" s="107"/>
      <c r="W80" s="107" t="e">
        <f>W8</f>
        <v>#REF!</v>
      </c>
      <c r="X80" s="107" t="e">
        <f>X8</f>
        <v>#REF!</v>
      </c>
      <c r="Y80" s="107" t="e">
        <f>Y8</f>
        <v>#REF!</v>
      </c>
      <c r="Z80" s="107" t="e">
        <f>Z8</f>
        <v>#REF!</v>
      </c>
      <c r="AA80" s="107" t="e">
        <f>AA8</f>
        <v>#REF!</v>
      </c>
      <c r="AB80" s="107" t="e">
        <f>AB8</f>
        <v>#REF!</v>
      </c>
      <c r="AC80" s="107" t="e">
        <f>AC8</f>
        <v>#REF!</v>
      </c>
      <c r="AD80" s="107" t="e">
        <f>AD8</f>
        <v>#REF!</v>
      </c>
      <c r="AE80" s="107" t="e">
        <f>AE8</f>
        <v>#REF!</v>
      </c>
      <c r="AF80" s="107" t="e">
        <f>AF8</f>
        <v>#REF!</v>
      </c>
      <c r="AG80" s="107" t="e">
        <f>AG8</f>
        <v>#REF!</v>
      </c>
      <c r="AH80" s="107" t="e">
        <f>AH8</f>
        <v>#REF!</v>
      </c>
      <c r="AI80" s="107" t="e">
        <f>AI8</f>
        <v>#REF!</v>
      </c>
      <c r="AJ80" s="107">
        <f>AJ8</f>
        <v>45382</v>
      </c>
      <c r="AK80" s="107">
        <f>AK8</f>
        <v>45473</v>
      </c>
      <c r="AL80" s="107">
        <f>AL8</f>
        <v>45565</v>
      </c>
      <c r="AM80" s="107">
        <f>AM8</f>
        <v>45657</v>
      </c>
      <c r="AN80" s="107">
        <f>AN8</f>
        <v>45747</v>
      </c>
      <c r="AO80" s="107">
        <f>AO8</f>
        <v>45838</v>
      </c>
      <c r="AP80" s="107">
        <f>AP8</f>
        <v>45930</v>
      </c>
      <c r="AQ80" s="105"/>
      <c r="AR80" s="171"/>
    </row>
    <row r="81" spans="2:44" ht="5.0999999999999996" customHeight="1">
      <c r="B81" s="58"/>
      <c r="C81" s="51"/>
      <c r="D81" s="51"/>
      <c r="E81" s="51"/>
    </row>
    <row r="82" spans="2:44" ht="12.75" customHeight="1">
      <c r="B82" s="59" t="s">
        <v>44</v>
      </c>
      <c r="C82" s="60"/>
      <c r="D82" s="60"/>
      <c r="E82" s="60"/>
    </row>
    <row r="83" spans="2:44" ht="12.75" customHeight="1">
      <c r="B83" s="61" t="s">
        <v>206</v>
      </c>
      <c r="C83" s="83">
        <v>-1038.5721352265625</v>
      </c>
      <c r="D83" s="83">
        <v>-303.99808547923283</v>
      </c>
      <c r="E83" s="83">
        <v>33.132482244140633</v>
      </c>
      <c r="F83" s="34"/>
      <c r="G83" s="83">
        <v>-283.6109275</v>
      </c>
      <c r="H83" s="83">
        <v>-382.77908174999999</v>
      </c>
      <c r="I83" s="83">
        <v>-189.48448740625</v>
      </c>
      <c r="J83" s="34">
        <f t="shared" ref="J83" si="205">SUM(C83-SUM(G83:I83))</f>
        <v>-182.69763857031251</v>
      </c>
      <c r="K83" s="83">
        <v>-98.522225759994512</v>
      </c>
      <c r="L83" s="83">
        <v>-81.560220609863279</v>
      </c>
      <c r="M83" s="83">
        <v>3.6937226249999999</v>
      </c>
      <c r="N83" s="34">
        <f t="shared" ref="N83" si="206">SUM(D83-SUM(K83:M83))</f>
        <v>-127.60936173437503</v>
      </c>
      <c r="O83" s="83">
        <v>-25.474491974609375</v>
      </c>
      <c r="P83" s="83">
        <v>-2.747289671875</v>
      </c>
      <c r="Q83" s="83">
        <v>14.727663890624999</v>
      </c>
      <c r="R83" s="34">
        <f>SUM(E83-SUM(O83:Q83))</f>
        <v>46.62660000000001</v>
      </c>
      <c r="S83" s="34">
        <v>-92</v>
      </c>
      <c r="T83" s="34">
        <v>-46</v>
      </c>
      <c r="U83" s="34">
        <v>-87</v>
      </c>
      <c r="W83" s="34" t="e">
        <f>SUM(#REF!)</f>
        <v>#REF!</v>
      </c>
      <c r="X83" s="34" t="e">
        <f>SUM(#REF!)</f>
        <v>#REF!</v>
      </c>
      <c r="Y83" s="34" t="e">
        <f>SUM(#REF!)</f>
        <v>#REF!</v>
      </c>
      <c r="Z83" s="34" t="e">
        <f>SUM(#REF!)</f>
        <v>#REF!</v>
      </c>
      <c r="AA83" s="34" t="e">
        <f>SUM(#REF!)</f>
        <v>#REF!</v>
      </c>
      <c r="AB83" s="34" t="e">
        <f>SUM(#REF!)</f>
        <v>#REF!</v>
      </c>
      <c r="AC83" s="34" t="e">
        <f>SUM(#REF!)</f>
        <v>#REF!</v>
      </c>
      <c r="AD83" s="34" t="e">
        <f>SUM(#REF!)</f>
        <v>#REF!</v>
      </c>
      <c r="AE83" s="34" t="e">
        <f>SUM(#REF!)</f>
        <v>#REF!</v>
      </c>
      <c r="AF83" s="34" t="e">
        <f>SUM(#REF!)</f>
        <v>#REF!</v>
      </c>
      <c r="AG83" s="34" t="e">
        <f>SUM(#REF!)</f>
        <v>#REF!</v>
      </c>
      <c r="AH83" s="34" t="e">
        <f>SUM(#REF!)</f>
        <v>#REF!</v>
      </c>
      <c r="AI83" s="34" t="e">
        <f>SUM(#REF!)</f>
        <v>#REF!</v>
      </c>
      <c r="AJ83" s="34">
        <f>SUM(O83:O83)</f>
        <v>-25.474491974609375</v>
      </c>
      <c r="AK83" s="34">
        <f>SUM(O83:P83)</f>
        <v>-28.221781646484374</v>
      </c>
      <c r="AL83" s="34">
        <f>SUM(O83:Q83)</f>
        <v>-13.494117755859374</v>
      </c>
      <c r="AM83" s="34">
        <f t="shared" ref="AM83:AP83" si="207">SUM(O83:R83)</f>
        <v>33.132482244140633</v>
      </c>
      <c r="AN83" s="34">
        <f t="shared" si="207"/>
        <v>-33.393025781249989</v>
      </c>
      <c r="AO83" s="34">
        <f t="shared" si="207"/>
        <v>-76.645736109374994</v>
      </c>
      <c r="AP83" s="34">
        <f t="shared" si="207"/>
        <v>-178.3734</v>
      </c>
      <c r="AQ83" s="12"/>
      <c r="AR83" s="76">
        <f>SUM(AP83/AL83)-1</f>
        <v>12.218604078250856</v>
      </c>
    </row>
    <row r="84" spans="2:44" ht="5.0999999999999996" customHeight="1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12"/>
      <c r="AR84" s="76"/>
    </row>
    <row r="85" spans="2:44" ht="12.75" customHeight="1">
      <c r="B85" s="38" t="s">
        <v>51</v>
      </c>
      <c r="C85" s="34"/>
      <c r="D85" s="34"/>
      <c r="E85" s="34"/>
      <c r="F85" s="34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34"/>
      <c r="S85" s="83"/>
      <c r="T85" s="83"/>
      <c r="U85" s="83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63"/>
      <c r="AR85" s="76"/>
    </row>
    <row r="86" spans="2:44" ht="12.75" customHeight="1">
      <c r="B86" s="64" t="s">
        <v>205</v>
      </c>
      <c r="C86" s="83">
        <v>-21</v>
      </c>
      <c r="D86" s="83">
        <v>-11</v>
      </c>
      <c r="E86" s="83">
        <v>-14.932038819999999</v>
      </c>
      <c r="F86" s="34"/>
      <c r="G86" s="83">
        <v>-5.25</v>
      </c>
      <c r="H86" s="83">
        <v>-5.25</v>
      </c>
      <c r="I86" s="83">
        <v>-5.25</v>
      </c>
      <c r="J86" s="34">
        <f t="shared" ref="J86" si="208">SUM(C86-SUM(G86:I86))</f>
        <v>-5.25</v>
      </c>
      <c r="K86" s="83">
        <v>-2.75</v>
      </c>
      <c r="L86" s="83">
        <v>-2.75</v>
      </c>
      <c r="M86" s="83">
        <v>-2.75</v>
      </c>
      <c r="N86" s="34">
        <f t="shared" ref="N86" si="209">SUM(D86-SUM(K86:M86))</f>
        <v>-2.75</v>
      </c>
      <c r="O86" s="83">
        <v>-5.4552931100000004</v>
      </c>
      <c r="P86" s="83">
        <v>-8.1022378600000007</v>
      </c>
      <c r="Q86" s="83">
        <v>-7.822701799999999</v>
      </c>
      <c r="R86" s="34">
        <f>SUM(E86-SUM(O86:Q86))</f>
        <v>6.4481939500000003</v>
      </c>
      <c r="S86" s="83">
        <v>0</v>
      </c>
      <c r="T86" s="83">
        <v>-36</v>
      </c>
      <c r="U86" s="83">
        <v>-12</v>
      </c>
      <c r="W86" s="34" t="e">
        <f>SUM(#REF!)</f>
        <v>#REF!</v>
      </c>
      <c r="X86" s="34" t="e">
        <f>SUM(#REF!)</f>
        <v>#REF!</v>
      </c>
      <c r="Y86" s="34" t="e">
        <f>SUM(#REF!)</f>
        <v>#REF!</v>
      </c>
      <c r="Z86" s="34" t="e">
        <f>SUM(#REF!)</f>
        <v>#REF!</v>
      </c>
      <c r="AA86" s="34" t="e">
        <f>SUM(#REF!)</f>
        <v>#REF!</v>
      </c>
      <c r="AB86" s="34" t="e">
        <f>SUM(#REF!)</f>
        <v>#REF!</v>
      </c>
      <c r="AC86" s="34" t="e">
        <f>SUM(#REF!)</f>
        <v>#REF!</v>
      </c>
      <c r="AD86" s="34" t="e">
        <f>SUM(#REF!)</f>
        <v>#REF!</v>
      </c>
      <c r="AE86" s="34" t="e">
        <f>SUM(#REF!)</f>
        <v>#REF!</v>
      </c>
      <c r="AF86" s="34" t="e">
        <f>SUM(#REF!)</f>
        <v>#REF!</v>
      </c>
      <c r="AG86" s="34" t="e">
        <f>SUM(#REF!)</f>
        <v>#REF!</v>
      </c>
      <c r="AH86" s="34" t="e">
        <f>SUM(#REF!)</f>
        <v>#REF!</v>
      </c>
      <c r="AI86" s="34" t="e">
        <f>SUM(#REF!)</f>
        <v>#REF!</v>
      </c>
      <c r="AJ86" s="34">
        <f>SUM(O86:O86)</f>
        <v>-5.4552931100000004</v>
      </c>
      <c r="AK86" s="34">
        <f>SUM(O86:P86)</f>
        <v>-13.557530970000002</v>
      </c>
      <c r="AL86" s="34">
        <f>SUM(O86:Q86)</f>
        <v>-21.380232769999999</v>
      </c>
      <c r="AM86" s="34">
        <f t="shared" ref="AM86" si="210">SUM(O86:R86)</f>
        <v>-14.932038819999999</v>
      </c>
      <c r="AN86" s="34">
        <f t="shared" ref="AN86" si="211">SUM(P86:S86)</f>
        <v>-9.4767457099999994</v>
      </c>
      <c r="AO86" s="34">
        <f t="shared" ref="AO86" si="212">SUM(Q86:T86)</f>
        <v>-37.374507850000001</v>
      </c>
      <c r="AP86" s="34">
        <f t="shared" ref="AP86" si="213">SUM(R86:U86)</f>
        <v>-41.551806049999996</v>
      </c>
      <c r="AQ86" s="12"/>
      <c r="AR86" s="76">
        <f t="shared" ref="AR86" si="214">SUM(AP86/AL86)-1</f>
        <v>0.94346836617719365</v>
      </c>
    </row>
    <row r="87" spans="2:44" ht="12.75" customHeight="1">
      <c r="B87" s="64" t="s">
        <v>182</v>
      </c>
      <c r="C87" s="83">
        <v>161.969505</v>
      </c>
      <c r="D87" s="83">
        <v>226.06808100000001</v>
      </c>
      <c r="E87" s="83">
        <v>188.86740600000002</v>
      </c>
      <c r="F87" s="34"/>
      <c r="G87" s="83">
        <v>29.042361</v>
      </c>
      <c r="H87" s="83">
        <v>41.805337999999999</v>
      </c>
      <c r="I87" s="83">
        <v>46.637169999999998</v>
      </c>
      <c r="J87" s="34">
        <f t="shared" ref="J87:J92" si="215">SUM(C87-SUM(G87:I87))</f>
        <v>44.484635999999995</v>
      </c>
      <c r="K87" s="83">
        <v>55.639147999999999</v>
      </c>
      <c r="L87" s="83">
        <v>52.558619999999998</v>
      </c>
      <c r="M87" s="83">
        <v>40.713393000000003</v>
      </c>
      <c r="N87" s="34">
        <f t="shared" ref="N87:N98" si="216">SUM(D87-SUM(K87:M87))</f>
        <v>77.156920000000014</v>
      </c>
      <c r="O87" s="83">
        <v>36.234251</v>
      </c>
      <c r="P87" s="83">
        <v>37.992837999999999</v>
      </c>
      <c r="Q87" s="83">
        <v>37.228717000000003</v>
      </c>
      <c r="R87" s="34">
        <f>SUM(E87-SUM(O87:Q87))</f>
        <v>77.411600000000007</v>
      </c>
      <c r="S87" s="83">
        <v>25.947517999999999</v>
      </c>
      <c r="T87" s="83">
        <v>51.052481999999998</v>
      </c>
      <c r="U87" s="83">
        <v>25.000000000000004</v>
      </c>
      <c r="W87" s="34" t="e">
        <f>SUM(#REF!)</f>
        <v>#REF!</v>
      </c>
      <c r="X87" s="34" t="e">
        <f>SUM(#REF!)</f>
        <v>#REF!</v>
      </c>
      <c r="Y87" s="34" t="e">
        <f>SUM(#REF!)</f>
        <v>#REF!</v>
      </c>
      <c r="Z87" s="34" t="e">
        <f>SUM(#REF!)</f>
        <v>#REF!</v>
      </c>
      <c r="AA87" s="34" t="e">
        <f>SUM(#REF!)</f>
        <v>#REF!</v>
      </c>
      <c r="AB87" s="34" t="e">
        <f>SUM(#REF!)</f>
        <v>#REF!</v>
      </c>
      <c r="AC87" s="34" t="e">
        <f>SUM(#REF!)</f>
        <v>#REF!</v>
      </c>
      <c r="AD87" s="34" t="e">
        <f>SUM(#REF!)</f>
        <v>#REF!</v>
      </c>
      <c r="AE87" s="34" t="e">
        <f>SUM(#REF!)</f>
        <v>#REF!</v>
      </c>
      <c r="AF87" s="34" t="e">
        <f>SUM(#REF!)</f>
        <v>#REF!</v>
      </c>
      <c r="AG87" s="34" t="e">
        <f>SUM(#REF!)</f>
        <v>#REF!</v>
      </c>
      <c r="AH87" s="34" t="e">
        <f>SUM(#REF!)</f>
        <v>#REF!</v>
      </c>
      <c r="AI87" s="34" t="e">
        <f>SUM(#REF!)</f>
        <v>#REF!</v>
      </c>
      <c r="AJ87" s="34">
        <f>SUM(O87:O87)</f>
        <v>36.234251</v>
      </c>
      <c r="AK87" s="34">
        <f>SUM(O87:P87)</f>
        <v>74.227089000000007</v>
      </c>
      <c r="AL87" s="34">
        <f t="shared" ref="AL87:AL94" si="217">SUM(O87:Q87)</f>
        <v>111.45580600000001</v>
      </c>
      <c r="AM87" s="34">
        <f t="shared" ref="AM87:AM94" si="218">SUM(O87:R87)</f>
        <v>188.86740600000002</v>
      </c>
      <c r="AN87" s="34">
        <f t="shared" ref="AN87:AN94" si="219">SUM(P87:S87)</f>
        <v>178.58067299999999</v>
      </c>
      <c r="AO87" s="34">
        <f t="shared" ref="AO87:AO94" si="220">SUM(Q87:T87)</f>
        <v>191.64031700000001</v>
      </c>
      <c r="AP87" s="34">
        <f t="shared" ref="AP87:AP94" si="221">SUM(R87:U87)</f>
        <v>179.41160000000002</v>
      </c>
      <c r="AQ87" s="12"/>
      <c r="AR87" s="76">
        <f t="shared" ref="AR87:AR99" si="222">SUM(AP87/AL87)-1</f>
        <v>0.60971066863937096</v>
      </c>
    </row>
    <row r="88" spans="2:44" ht="12.75" customHeight="1">
      <c r="B88" s="64" t="s">
        <v>183</v>
      </c>
      <c r="C88" s="83">
        <v>56.31</v>
      </c>
      <c r="D88" s="83">
        <v>42.596110999999993</v>
      </c>
      <c r="E88" s="83">
        <v>91.940168249999999</v>
      </c>
      <c r="F88" s="34"/>
      <c r="G88" s="83">
        <v>18.302155500000001</v>
      </c>
      <c r="H88" s="83">
        <v>16.4101885</v>
      </c>
      <c r="I88" s="83">
        <v>8.6047788749999992</v>
      </c>
      <c r="J88" s="34">
        <f t="shared" si="215"/>
        <v>12.992877125</v>
      </c>
      <c r="K88" s="83">
        <v>9.80121675</v>
      </c>
      <c r="L88" s="83">
        <v>12.632712250000001</v>
      </c>
      <c r="M88" s="83">
        <v>8.7612609999999993</v>
      </c>
      <c r="N88" s="34">
        <f t="shared" si="216"/>
        <v>11.400920999999997</v>
      </c>
      <c r="O88" s="83">
        <v>5.4089237499999996</v>
      </c>
      <c r="P88" s="83">
        <v>8.8826420000000006</v>
      </c>
      <c r="Q88" s="83">
        <v>20.142968499999998</v>
      </c>
      <c r="R88" s="34">
        <f t="shared" ref="R88:R92" si="223">SUM(E88-SUM(O88:Q88))</f>
        <v>57.505634000000001</v>
      </c>
      <c r="S88" s="83">
        <v>58.543700999999999</v>
      </c>
      <c r="T88" s="83">
        <v>26.456299000000001</v>
      </c>
      <c r="U88" s="83">
        <v>39</v>
      </c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>
        <f t="shared" si="217"/>
        <v>34.434534249999999</v>
      </c>
      <c r="AM88" s="34">
        <f t="shared" si="218"/>
        <v>91.940168249999999</v>
      </c>
      <c r="AN88" s="34">
        <f t="shared" si="219"/>
        <v>145.07494550000001</v>
      </c>
      <c r="AO88" s="34">
        <f t="shared" si="220"/>
        <v>162.64860249999998</v>
      </c>
      <c r="AP88" s="34">
        <f t="shared" si="221"/>
        <v>181.50563399999999</v>
      </c>
      <c r="AQ88" s="12"/>
      <c r="AR88" s="76"/>
    </row>
    <row r="89" spans="2:44" ht="12.75" customHeight="1">
      <c r="B89" s="64" t="s">
        <v>184</v>
      </c>
      <c r="C89" s="83">
        <v>709.54797144999998</v>
      </c>
      <c r="D89" s="83">
        <v>505.87676307999999</v>
      </c>
      <c r="E89" s="83">
        <v>671.46971027999996</v>
      </c>
      <c r="F89" s="34"/>
      <c r="G89" s="83">
        <v>162.36696946999999</v>
      </c>
      <c r="H89" s="83">
        <v>206.50799314</v>
      </c>
      <c r="I89" s="83">
        <v>173.14917436000002</v>
      </c>
      <c r="J89" s="34">
        <f t="shared" si="215"/>
        <v>167.52383448</v>
      </c>
      <c r="K89" s="83">
        <v>108.79503343</v>
      </c>
      <c r="L89" s="83">
        <v>122.90964220000001</v>
      </c>
      <c r="M89" s="83">
        <v>102.56343928</v>
      </c>
      <c r="N89" s="34">
        <f t="shared" si="216"/>
        <v>171.60864816999998</v>
      </c>
      <c r="O89" s="83">
        <v>159.97942800000001</v>
      </c>
      <c r="P89" s="83">
        <v>146.595044</v>
      </c>
      <c r="Q89" s="83">
        <v>161.25725449999999</v>
      </c>
      <c r="R89" s="34">
        <f t="shared" si="223"/>
        <v>203.63798377999996</v>
      </c>
      <c r="S89" s="83">
        <v>178.28910099999999</v>
      </c>
      <c r="T89" s="83">
        <v>219.71089900000001</v>
      </c>
      <c r="U89" s="83">
        <v>278</v>
      </c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>
        <f t="shared" si="217"/>
        <v>467.8317265</v>
      </c>
      <c r="AM89" s="34">
        <f t="shared" si="218"/>
        <v>671.46971027999996</v>
      </c>
      <c r="AN89" s="34">
        <f t="shared" si="219"/>
        <v>689.77938327999993</v>
      </c>
      <c r="AO89" s="34">
        <f t="shared" si="220"/>
        <v>762.89523827999994</v>
      </c>
      <c r="AP89" s="34">
        <f t="shared" si="221"/>
        <v>879.63798378000001</v>
      </c>
      <c r="AQ89" s="12"/>
      <c r="AR89" s="76"/>
    </row>
    <row r="90" spans="2:44" ht="12.75" customHeight="1">
      <c r="B90" s="64" t="s">
        <v>185</v>
      </c>
      <c r="C90" s="83">
        <v>0</v>
      </c>
      <c r="D90" s="83">
        <v>0</v>
      </c>
      <c r="E90" s="83">
        <v>-190</v>
      </c>
      <c r="F90" s="34"/>
      <c r="G90" s="83">
        <v>0</v>
      </c>
      <c r="H90" s="83">
        <v>0</v>
      </c>
      <c r="I90" s="83">
        <v>0</v>
      </c>
      <c r="J90" s="34">
        <f t="shared" si="215"/>
        <v>0</v>
      </c>
      <c r="K90" s="83">
        <v>0</v>
      </c>
      <c r="L90" s="83">
        <v>0</v>
      </c>
      <c r="M90" s="83">
        <v>0</v>
      </c>
      <c r="N90" s="34">
        <f t="shared" si="216"/>
        <v>0</v>
      </c>
      <c r="O90" s="83">
        <v>0</v>
      </c>
      <c r="P90" s="83">
        <v>0</v>
      </c>
      <c r="Q90" s="83">
        <v>0</v>
      </c>
      <c r="R90" s="34">
        <f t="shared" si="223"/>
        <v>-190</v>
      </c>
      <c r="S90" s="83">
        <v>0</v>
      </c>
      <c r="T90" s="83">
        <v>0</v>
      </c>
      <c r="U90" s="83">
        <v>0</v>
      </c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>
        <f t="shared" si="217"/>
        <v>0</v>
      </c>
      <c r="AM90" s="34">
        <f t="shared" si="218"/>
        <v>-190</v>
      </c>
      <c r="AN90" s="34">
        <f t="shared" si="219"/>
        <v>-190</v>
      </c>
      <c r="AO90" s="34">
        <f t="shared" si="220"/>
        <v>-190</v>
      </c>
      <c r="AP90" s="34">
        <f t="shared" si="221"/>
        <v>-190</v>
      </c>
      <c r="AQ90" s="12"/>
      <c r="AR90" s="76"/>
    </row>
    <row r="91" spans="2:44" ht="12.75" customHeight="1">
      <c r="B91" s="64" t="s">
        <v>186</v>
      </c>
      <c r="C91" s="83">
        <v>-0.12882615999999969</v>
      </c>
      <c r="D91" s="83">
        <v>0</v>
      </c>
      <c r="E91" s="83">
        <v>7.7490810000000012</v>
      </c>
      <c r="F91" s="34"/>
      <c r="G91" s="83">
        <v>0</v>
      </c>
      <c r="H91" s="83">
        <v>0</v>
      </c>
      <c r="I91" s="83">
        <v>-8.1383819999999829E-2</v>
      </c>
      <c r="J91" s="34">
        <f t="shared" si="215"/>
        <v>-4.7442339999999861E-2</v>
      </c>
      <c r="K91" s="83">
        <v>0</v>
      </c>
      <c r="L91" s="83">
        <v>0</v>
      </c>
      <c r="M91" s="83">
        <v>0</v>
      </c>
      <c r="N91" s="34">
        <f t="shared" si="216"/>
        <v>0</v>
      </c>
      <c r="O91" s="83">
        <v>0</v>
      </c>
      <c r="P91" s="83">
        <v>0</v>
      </c>
      <c r="Q91" s="83">
        <v>-2.74503729</v>
      </c>
      <c r="R91" s="34">
        <f t="shared" si="223"/>
        <v>10.494118290000001</v>
      </c>
      <c r="S91" s="83">
        <v>3.0518230000000002</v>
      </c>
      <c r="T91" s="83">
        <v>-3.0518230000000002</v>
      </c>
      <c r="U91" s="83">
        <v>0</v>
      </c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>
        <f t="shared" si="217"/>
        <v>-2.74503729</v>
      </c>
      <c r="AM91" s="34">
        <f t="shared" si="218"/>
        <v>7.7490810000000012</v>
      </c>
      <c r="AN91" s="34">
        <f t="shared" si="219"/>
        <v>10.800904000000001</v>
      </c>
      <c r="AO91" s="34">
        <f t="shared" si="220"/>
        <v>7.7490810000000003</v>
      </c>
      <c r="AP91" s="34">
        <f t="shared" si="221"/>
        <v>10.494118290000001</v>
      </c>
      <c r="AQ91" s="12"/>
      <c r="AR91" s="76"/>
    </row>
    <row r="92" spans="2:44" ht="12.75" customHeight="1">
      <c r="B92" s="64" t="s">
        <v>187</v>
      </c>
      <c r="C92" s="83">
        <v>380</v>
      </c>
      <c r="D92" s="83">
        <v>-19</v>
      </c>
      <c r="E92" s="83">
        <v>-35.565137999999997</v>
      </c>
      <c r="F92" s="34"/>
      <c r="G92" s="83">
        <v>95</v>
      </c>
      <c r="H92" s="83">
        <v>95</v>
      </c>
      <c r="I92" s="83">
        <v>95</v>
      </c>
      <c r="J92" s="34">
        <f t="shared" si="215"/>
        <v>95</v>
      </c>
      <c r="K92" s="83">
        <v>-4.75</v>
      </c>
      <c r="L92" s="83">
        <v>-4.75</v>
      </c>
      <c r="M92" s="83">
        <v>-4.75</v>
      </c>
      <c r="N92" s="34">
        <f t="shared" si="216"/>
        <v>-4.75</v>
      </c>
      <c r="O92" s="83">
        <v>-31.334341999999999</v>
      </c>
      <c r="P92" s="83">
        <v>11.930985</v>
      </c>
      <c r="Q92" s="83">
        <v>-14.13145866</v>
      </c>
      <c r="R92" s="34">
        <f t="shared" si="223"/>
        <v>-2.0303223399999979</v>
      </c>
      <c r="S92" s="83">
        <v>-15.984591999999999</v>
      </c>
      <c r="T92" s="83">
        <v>-34.015408000000001</v>
      </c>
      <c r="U92" s="83">
        <v>-36</v>
      </c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>
        <f t="shared" si="217"/>
        <v>-33.53481566</v>
      </c>
      <c r="AM92" s="34">
        <f t="shared" si="218"/>
        <v>-35.565137999999997</v>
      </c>
      <c r="AN92" s="34">
        <f t="shared" si="219"/>
        <v>-20.215387999999997</v>
      </c>
      <c r="AO92" s="34">
        <f t="shared" si="220"/>
        <v>-66.161780999999991</v>
      </c>
      <c r="AP92" s="34">
        <f t="shared" si="221"/>
        <v>-88.030322339999998</v>
      </c>
      <c r="AQ92" s="12"/>
      <c r="AR92" s="76"/>
    </row>
    <row r="93" spans="2:44" ht="12.75" customHeight="1">
      <c r="B93" s="38" t="s">
        <v>9</v>
      </c>
      <c r="C93" s="83"/>
      <c r="D93" s="83"/>
      <c r="E93" s="83"/>
      <c r="F93" s="34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34"/>
      <c r="S93" s="83"/>
      <c r="T93" s="83"/>
      <c r="U93" s="83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>
        <f t="shared" si="217"/>
        <v>0</v>
      </c>
      <c r="AM93" s="34">
        <f t="shared" si="218"/>
        <v>0</v>
      </c>
      <c r="AN93" s="34">
        <f t="shared" si="219"/>
        <v>0</v>
      </c>
      <c r="AO93" s="34">
        <f t="shared" si="220"/>
        <v>0</v>
      </c>
      <c r="AP93" s="34">
        <f t="shared" si="221"/>
        <v>0</v>
      </c>
      <c r="AQ93" s="63"/>
      <c r="AR93" s="76"/>
    </row>
    <row r="94" spans="2:44" ht="12.75" customHeight="1">
      <c r="B94" s="64" t="s">
        <v>188</v>
      </c>
      <c r="C94" s="83">
        <v>-1677.1250719099999</v>
      </c>
      <c r="D94" s="83">
        <v>-1552.4918796000002</v>
      </c>
      <c r="E94" s="83">
        <v>-1372.5630881799998</v>
      </c>
      <c r="F94" s="34"/>
      <c r="G94" s="83">
        <v>-170.64883344999998</v>
      </c>
      <c r="H94" s="83">
        <v>-797.63788764999993</v>
      </c>
      <c r="I94" s="83">
        <v>176.89243036000002</v>
      </c>
      <c r="J94" s="34">
        <f t="shared" ref="J94:J98" si="224">SUM(C94-SUM(G94:I94))</f>
        <v>-885.73078117</v>
      </c>
      <c r="K94" s="83">
        <v>456.30332780999998</v>
      </c>
      <c r="L94" s="83">
        <v>-1003.87999086</v>
      </c>
      <c r="M94" s="83">
        <v>20.448280579999999</v>
      </c>
      <c r="N94" s="34">
        <f t="shared" si="216"/>
        <v>-1025.3634971300003</v>
      </c>
      <c r="O94" s="83">
        <v>18.062415999999999</v>
      </c>
      <c r="P94" s="83">
        <v>-568.44753600000001</v>
      </c>
      <c r="Q94" s="83">
        <v>-376.79219689999996</v>
      </c>
      <c r="R94" s="34">
        <f t="shared" ref="R94:R98" si="225">SUM(E94-SUM(O94:Q94))</f>
        <v>-445.38577127999974</v>
      </c>
      <c r="S94" s="83">
        <v>300</v>
      </c>
      <c r="T94" s="83">
        <v>-1785</v>
      </c>
      <c r="U94" s="83">
        <v>-477</v>
      </c>
      <c r="W94" s="34" t="e">
        <f>SUM(#REF!)</f>
        <v>#REF!</v>
      </c>
      <c r="X94" s="34" t="e">
        <f>SUM(#REF!)</f>
        <v>#REF!</v>
      </c>
      <c r="Y94" s="34" t="e">
        <f>SUM(#REF!)</f>
        <v>#REF!</v>
      </c>
      <c r="Z94" s="34" t="e">
        <f>SUM(#REF!)</f>
        <v>#REF!</v>
      </c>
      <c r="AA94" s="34" t="e">
        <f>SUM(#REF!)</f>
        <v>#REF!</v>
      </c>
      <c r="AB94" s="34" t="e">
        <f>SUM(#REF!)</f>
        <v>#REF!</v>
      </c>
      <c r="AC94" s="34" t="e">
        <f>SUM(#REF!)</f>
        <v>#REF!</v>
      </c>
      <c r="AD94" s="34" t="e">
        <f>SUM(#REF!)</f>
        <v>#REF!</v>
      </c>
      <c r="AE94" s="34" t="e">
        <f>SUM(#REF!)</f>
        <v>#REF!</v>
      </c>
      <c r="AF94" s="34" t="e">
        <f>SUM(#REF!)</f>
        <v>#REF!</v>
      </c>
      <c r="AG94" s="34" t="e">
        <f>SUM(#REF!)</f>
        <v>#REF!</v>
      </c>
      <c r="AH94" s="34" t="e">
        <f>SUM(#REF!)</f>
        <v>#REF!</v>
      </c>
      <c r="AI94" s="34" t="e">
        <f>SUM(#REF!)</f>
        <v>#REF!</v>
      </c>
      <c r="AJ94" s="34">
        <f t="shared" ref="AJ94:AJ98" si="226">SUM(O94:O94)</f>
        <v>18.062415999999999</v>
      </c>
      <c r="AK94" s="34">
        <f t="shared" ref="AK94:AK98" si="227">SUM(O94:P94)</f>
        <v>-550.38512000000003</v>
      </c>
      <c r="AL94" s="34">
        <f t="shared" si="217"/>
        <v>-927.17731690000005</v>
      </c>
      <c r="AM94" s="34">
        <f t="shared" si="218"/>
        <v>-1372.5630881799998</v>
      </c>
      <c r="AN94" s="34">
        <f t="shared" si="219"/>
        <v>-1090.6255041799998</v>
      </c>
      <c r="AO94" s="34">
        <f t="shared" si="220"/>
        <v>-2307.1779681799999</v>
      </c>
      <c r="AP94" s="34">
        <f t="shared" si="221"/>
        <v>-2407.38577128</v>
      </c>
      <c r="AQ94" s="63"/>
      <c r="AR94" s="76">
        <f t="shared" si="222"/>
        <v>1.5964675013071385</v>
      </c>
    </row>
    <row r="95" spans="2:44" ht="12.75" customHeight="1">
      <c r="B95" s="64" t="s">
        <v>189</v>
      </c>
      <c r="C95" s="83">
        <v>-83.5</v>
      </c>
      <c r="D95" s="83">
        <v>-171.78314569</v>
      </c>
      <c r="E95" s="83">
        <v>196.59957700000001</v>
      </c>
      <c r="F95" s="34"/>
      <c r="G95" s="83">
        <v>43.425266499999999</v>
      </c>
      <c r="H95" s="83">
        <v>-36.729095819999998</v>
      </c>
      <c r="I95" s="83">
        <v>-17.425468070000001</v>
      </c>
      <c r="J95" s="34">
        <f t="shared" si="224"/>
        <v>-72.770702610000001</v>
      </c>
      <c r="K95" s="83">
        <v>233.38157430000001</v>
      </c>
      <c r="L95" s="83">
        <v>-99.815303150000005</v>
      </c>
      <c r="M95" s="83">
        <v>-17.482312889999999</v>
      </c>
      <c r="N95" s="34">
        <f t="shared" si="216"/>
        <v>-287.86710395</v>
      </c>
      <c r="O95" s="83">
        <v>90.908330000000007</v>
      </c>
      <c r="P95" s="83">
        <v>-46.397626000000002</v>
      </c>
      <c r="Q95" s="83">
        <v>121.875531</v>
      </c>
      <c r="R95" s="34">
        <f t="shared" si="225"/>
        <v>30.213342000000011</v>
      </c>
      <c r="S95" s="83">
        <v>8.3346920000000004</v>
      </c>
      <c r="T95" s="83">
        <v>-186.33469199999999</v>
      </c>
      <c r="U95" s="83">
        <v>146</v>
      </c>
      <c r="W95" s="34" t="e">
        <f>SUM(#REF!)</f>
        <v>#REF!</v>
      </c>
      <c r="X95" s="34" t="e">
        <f>SUM(#REF!)</f>
        <v>#REF!</v>
      </c>
      <c r="Y95" s="34" t="e">
        <f>SUM(#REF!)</f>
        <v>#REF!</v>
      </c>
      <c r="Z95" s="34" t="e">
        <f>SUM(#REF!)</f>
        <v>#REF!</v>
      </c>
      <c r="AA95" s="34" t="e">
        <f>SUM(#REF!)</f>
        <v>#REF!</v>
      </c>
      <c r="AB95" s="34" t="e">
        <f>SUM(#REF!)</f>
        <v>#REF!</v>
      </c>
      <c r="AC95" s="34" t="e">
        <f>SUM(#REF!)</f>
        <v>#REF!</v>
      </c>
      <c r="AD95" s="34" t="e">
        <f>SUM(#REF!)</f>
        <v>#REF!</v>
      </c>
      <c r="AE95" s="34" t="e">
        <f>SUM(#REF!)</f>
        <v>#REF!</v>
      </c>
      <c r="AF95" s="34" t="e">
        <f>SUM(#REF!)</f>
        <v>#REF!</v>
      </c>
      <c r="AG95" s="34" t="e">
        <f>SUM(#REF!)</f>
        <v>#REF!</v>
      </c>
      <c r="AH95" s="34" t="e">
        <f>SUM(#REF!)</f>
        <v>#REF!</v>
      </c>
      <c r="AI95" s="34" t="e">
        <f>SUM(#REF!)</f>
        <v>#REF!</v>
      </c>
      <c r="AJ95" s="34">
        <f t="shared" si="226"/>
        <v>90.908330000000007</v>
      </c>
      <c r="AK95" s="34">
        <f t="shared" si="227"/>
        <v>44.510704000000004</v>
      </c>
      <c r="AL95" s="34">
        <f t="shared" ref="AL95:AL98" si="228">SUM(O95:Q95)</f>
        <v>166.386235</v>
      </c>
      <c r="AM95" s="34">
        <f t="shared" ref="AM95:AP98" si="229">SUM(O95:R95)</f>
        <v>196.59957700000001</v>
      </c>
      <c r="AN95" s="34">
        <f t="shared" si="229"/>
        <v>114.02593900000001</v>
      </c>
      <c r="AO95" s="34">
        <f t="shared" si="229"/>
        <v>-25.911126999999993</v>
      </c>
      <c r="AP95" s="34">
        <f t="shared" si="229"/>
        <v>-1.7866579999999885</v>
      </c>
      <c r="AQ95" s="63"/>
      <c r="AR95" s="76">
        <f t="shared" si="222"/>
        <v>-1.0107380156777992</v>
      </c>
    </row>
    <row r="96" spans="2:44" ht="12.75" customHeight="1">
      <c r="B96" s="64" t="s">
        <v>190</v>
      </c>
      <c r="C96" s="83">
        <v>180.8</v>
      </c>
      <c r="D96" s="83">
        <v>-115.49867271000002</v>
      </c>
      <c r="E96" s="83">
        <v>-16.197744</v>
      </c>
      <c r="F96" s="34"/>
      <c r="G96" s="83">
        <v>25.02866101</v>
      </c>
      <c r="H96" s="83">
        <v>353.26319861000002</v>
      </c>
      <c r="I96" s="83">
        <v>-315.74205876999997</v>
      </c>
      <c r="J96" s="34">
        <f t="shared" si="224"/>
        <v>118.25019914999996</v>
      </c>
      <c r="K96" s="83">
        <v>-167.40888274</v>
      </c>
      <c r="L96" s="83">
        <v>-0.98162514000000001</v>
      </c>
      <c r="M96" s="83">
        <v>4.6695830700000007</v>
      </c>
      <c r="N96" s="34">
        <f t="shared" si="216"/>
        <v>48.222252099999992</v>
      </c>
      <c r="O96" s="83">
        <v>13.591672000000001</v>
      </c>
      <c r="P96" s="83">
        <v>-0.29104999999999998</v>
      </c>
      <c r="Q96" s="83">
        <v>-29.752866300000001</v>
      </c>
      <c r="R96" s="34">
        <f t="shared" si="225"/>
        <v>0.25450030000000012</v>
      </c>
      <c r="S96" s="83">
        <v>-26.784465999999998</v>
      </c>
      <c r="T96" s="83">
        <v>35.784465999999995</v>
      </c>
      <c r="U96" s="83">
        <v>1258</v>
      </c>
      <c r="W96" s="34" t="e">
        <f>SUM(#REF!)</f>
        <v>#REF!</v>
      </c>
      <c r="X96" s="34" t="e">
        <f>SUM(#REF!)</f>
        <v>#REF!</v>
      </c>
      <c r="Y96" s="34" t="e">
        <f>SUM(#REF!)</f>
        <v>#REF!</v>
      </c>
      <c r="Z96" s="34" t="e">
        <f>SUM(#REF!)</f>
        <v>#REF!</v>
      </c>
      <c r="AA96" s="34" t="e">
        <f>SUM(#REF!)</f>
        <v>#REF!</v>
      </c>
      <c r="AB96" s="34" t="e">
        <f>SUM(#REF!)</f>
        <v>#REF!</v>
      </c>
      <c r="AC96" s="34" t="e">
        <f>SUM(#REF!)</f>
        <v>#REF!</v>
      </c>
      <c r="AD96" s="34" t="e">
        <f>SUM(#REF!)</f>
        <v>#REF!</v>
      </c>
      <c r="AE96" s="34" t="e">
        <f>SUM(#REF!)</f>
        <v>#REF!</v>
      </c>
      <c r="AF96" s="34" t="e">
        <f>SUM(#REF!)</f>
        <v>#REF!</v>
      </c>
      <c r="AG96" s="34" t="e">
        <f>SUM(#REF!)</f>
        <v>#REF!</v>
      </c>
      <c r="AH96" s="34" t="e">
        <f>SUM(#REF!)</f>
        <v>#REF!</v>
      </c>
      <c r="AI96" s="34" t="e">
        <f>SUM(#REF!)</f>
        <v>#REF!</v>
      </c>
      <c r="AJ96" s="34">
        <f t="shared" si="226"/>
        <v>13.591672000000001</v>
      </c>
      <c r="AK96" s="34">
        <f t="shared" si="227"/>
        <v>13.300622000000001</v>
      </c>
      <c r="AL96" s="34">
        <f t="shared" si="228"/>
        <v>-16.4522443</v>
      </c>
      <c r="AM96" s="34">
        <f t="shared" si="229"/>
        <v>-16.197744</v>
      </c>
      <c r="AN96" s="34">
        <f t="shared" si="229"/>
        <v>-56.573881999999998</v>
      </c>
      <c r="AO96" s="34">
        <f t="shared" si="229"/>
        <v>-20.498366000000004</v>
      </c>
      <c r="AP96" s="34">
        <f t="shared" si="229"/>
        <v>1267.2545003</v>
      </c>
      <c r="AQ96" s="63"/>
      <c r="AR96" s="76">
        <f t="shared" si="222"/>
        <v>-78.026238924740497</v>
      </c>
    </row>
    <row r="97" spans="2:44" ht="12.75" customHeight="1">
      <c r="B97" s="64" t="s">
        <v>191</v>
      </c>
      <c r="C97" s="83">
        <v>2084.41</v>
      </c>
      <c r="D97" s="83">
        <v>1515.7342168600001</v>
      </c>
      <c r="E97" s="83">
        <v>820.25116900000012</v>
      </c>
      <c r="F97" s="34"/>
      <c r="G97" s="83">
        <v>159.93526124000002</v>
      </c>
      <c r="H97" s="83">
        <v>580.43529751999995</v>
      </c>
      <c r="I97" s="83">
        <v>550.96549254000001</v>
      </c>
      <c r="J97" s="34">
        <f t="shared" si="224"/>
        <v>793.07394869999985</v>
      </c>
      <c r="K97" s="83">
        <v>-207.25385366</v>
      </c>
      <c r="L97" s="83">
        <v>-63.177090340000007</v>
      </c>
      <c r="M97" s="83">
        <v>856.53245072000004</v>
      </c>
      <c r="N97" s="34">
        <f t="shared" si="216"/>
        <v>929.63271013999997</v>
      </c>
      <c r="O97" s="83">
        <v>882.82240300000001</v>
      </c>
      <c r="P97" s="83">
        <v>-186.959037</v>
      </c>
      <c r="Q97" s="83">
        <v>247.64174</v>
      </c>
      <c r="R97" s="34">
        <f t="shared" si="225"/>
        <v>-123.25393699999995</v>
      </c>
      <c r="S97" s="83">
        <v>694</v>
      </c>
      <c r="T97" s="83">
        <v>2461</v>
      </c>
      <c r="U97" s="83">
        <v>34</v>
      </c>
      <c r="W97" s="34" t="e">
        <f>SUM(#REF!)</f>
        <v>#REF!</v>
      </c>
      <c r="X97" s="34" t="e">
        <f>SUM(#REF!)</f>
        <v>#REF!</v>
      </c>
      <c r="Y97" s="34" t="e">
        <f>SUM(#REF!)</f>
        <v>#REF!</v>
      </c>
      <c r="Z97" s="34" t="e">
        <f>SUM(#REF!)</f>
        <v>#REF!</v>
      </c>
      <c r="AA97" s="34" t="e">
        <f>SUM(#REF!)</f>
        <v>#REF!</v>
      </c>
      <c r="AB97" s="34" t="e">
        <f>SUM(#REF!)</f>
        <v>#REF!</v>
      </c>
      <c r="AC97" s="34" t="e">
        <f>SUM(#REF!)</f>
        <v>#REF!</v>
      </c>
      <c r="AD97" s="34" t="e">
        <f>SUM(#REF!)</f>
        <v>#REF!</v>
      </c>
      <c r="AE97" s="34" t="e">
        <f>SUM(#REF!)</f>
        <v>#REF!</v>
      </c>
      <c r="AF97" s="34" t="e">
        <f>SUM(#REF!)</f>
        <v>#REF!</v>
      </c>
      <c r="AG97" s="34" t="e">
        <f>SUM(#REF!)</f>
        <v>#REF!</v>
      </c>
      <c r="AH97" s="34" t="e">
        <f>SUM(#REF!)</f>
        <v>#REF!</v>
      </c>
      <c r="AI97" s="34" t="e">
        <f>SUM(#REF!)</f>
        <v>#REF!</v>
      </c>
      <c r="AJ97" s="34">
        <f t="shared" si="226"/>
        <v>882.82240300000001</v>
      </c>
      <c r="AK97" s="34">
        <f t="shared" si="227"/>
        <v>695.86336600000004</v>
      </c>
      <c r="AL97" s="34">
        <f t="shared" si="228"/>
        <v>943.50510600000007</v>
      </c>
      <c r="AM97" s="34">
        <f t="shared" si="229"/>
        <v>820.25116900000012</v>
      </c>
      <c r="AN97" s="34">
        <f t="shared" si="229"/>
        <v>631.428766</v>
      </c>
      <c r="AO97" s="34">
        <f t="shared" si="229"/>
        <v>3279.3878030000001</v>
      </c>
      <c r="AP97" s="34">
        <f t="shared" si="229"/>
        <v>3065.746063</v>
      </c>
      <c r="AQ97" s="63"/>
      <c r="AR97" s="76">
        <f t="shared" si="222"/>
        <v>2.2493158155733393</v>
      </c>
    </row>
    <row r="98" spans="2:44" ht="12.75" customHeight="1">
      <c r="B98" s="64" t="s">
        <v>192</v>
      </c>
      <c r="C98" s="83">
        <v>-417.12</v>
      </c>
      <c r="D98" s="83">
        <v>690.29184555000006</v>
      </c>
      <c r="E98" s="83">
        <v>207.11760900000004</v>
      </c>
      <c r="F98" s="34"/>
      <c r="G98" s="83">
        <v>-531.85093844000005</v>
      </c>
      <c r="H98" s="83">
        <v>172.01455175999999</v>
      </c>
      <c r="I98" s="83">
        <v>-210.81996652999999</v>
      </c>
      <c r="J98" s="34">
        <f t="shared" si="224"/>
        <v>153.53635321000002</v>
      </c>
      <c r="K98" s="83">
        <v>101.97019540000001</v>
      </c>
      <c r="L98" s="83">
        <v>241.5706017</v>
      </c>
      <c r="M98" s="83">
        <v>158.41230332000001</v>
      </c>
      <c r="N98" s="34">
        <f t="shared" si="216"/>
        <v>188.33874513000001</v>
      </c>
      <c r="O98" s="83">
        <v>30.342347</v>
      </c>
      <c r="P98" s="83">
        <v>258.00028500000002</v>
      </c>
      <c r="Q98" s="83">
        <v>55.492149040000001</v>
      </c>
      <c r="R98" s="34">
        <f t="shared" si="225"/>
        <v>-136.71717204000001</v>
      </c>
      <c r="S98" s="83">
        <v>-575.01348800000005</v>
      </c>
      <c r="T98" s="83">
        <v>918.01348800000005</v>
      </c>
      <c r="U98" s="83">
        <v>-1462</v>
      </c>
      <c r="W98" s="34" t="e">
        <f>SUM(#REF!)</f>
        <v>#REF!</v>
      </c>
      <c r="X98" s="34" t="e">
        <f>SUM(#REF!)</f>
        <v>#REF!</v>
      </c>
      <c r="Y98" s="34" t="e">
        <f>SUM(#REF!)</f>
        <v>#REF!</v>
      </c>
      <c r="Z98" s="34" t="e">
        <f>SUM(#REF!)</f>
        <v>#REF!</v>
      </c>
      <c r="AA98" s="34" t="e">
        <f>SUM(#REF!)</f>
        <v>#REF!</v>
      </c>
      <c r="AB98" s="34" t="e">
        <f>SUM(#REF!)</f>
        <v>#REF!</v>
      </c>
      <c r="AC98" s="34" t="e">
        <f>SUM(#REF!)</f>
        <v>#REF!</v>
      </c>
      <c r="AD98" s="34" t="e">
        <f>SUM(#REF!)</f>
        <v>#REF!</v>
      </c>
      <c r="AE98" s="34" t="e">
        <f>SUM(#REF!)</f>
        <v>#REF!</v>
      </c>
      <c r="AF98" s="34" t="e">
        <f>SUM(#REF!)</f>
        <v>#REF!</v>
      </c>
      <c r="AG98" s="34" t="e">
        <f>SUM(#REF!)</f>
        <v>#REF!</v>
      </c>
      <c r="AH98" s="34" t="e">
        <f>SUM(#REF!)</f>
        <v>#REF!</v>
      </c>
      <c r="AI98" s="34" t="e">
        <f>SUM(#REF!)</f>
        <v>#REF!</v>
      </c>
      <c r="AJ98" s="34">
        <f t="shared" si="226"/>
        <v>30.342347</v>
      </c>
      <c r="AK98" s="34">
        <f t="shared" si="227"/>
        <v>288.34263200000004</v>
      </c>
      <c r="AL98" s="34">
        <f t="shared" si="228"/>
        <v>343.83478104000005</v>
      </c>
      <c r="AM98" s="34">
        <f t="shared" si="229"/>
        <v>207.11760900000004</v>
      </c>
      <c r="AN98" s="34">
        <f t="shared" si="229"/>
        <v>-398.23822600000005</v>
      </c>
      <c r="AO98" s="34">
        <f t="shared" si="229"/>
        <v>261.77497700000004</v>
      </c>
      <c r="AP98" s="34">
        <f t="shared" si="229"/>
        <v>-1255.7171720400002</v>
      </c>
      <c r="AQ98" s="63"/>
      <c r="AR98" s="76">
        <f t="shared" si="222"/>
        <v>-4.6520946724523373</v>
      </c>
    </row>
    <row r="99" spans="2:44" ht="12.75" customHeight="1">
      <c r="B99" s="14" t="s">
        <v>45</v>
      </c>
      <c r="C99" s="15">
        <f>SUM(C83:C98)</f>
        <v>335.59144315343735</v>
      </c>
      <c r="D99" s="15">
        <f>SUM(D83:D98)</f>
        <v>806.79523401076699</v>
      </c>
      <c r="E99" s="15">
        <f>SUM(E83:E98)</f>
        <v>587.86919377414097</v>
      </c>
      <c r="G99" s="15">
        <f>SUM(G83:G98)</f>
        <v>-458.26002467000001</v>
      </c>
      <c r="H99" s="15">
        <f>SUM(H83:H98)</f>
        <v>243.04050231000005</v>
      </c>
      <c r="I99" s="15">
        <f>SUM(I83:I98)</f>
        <v>312.44568153875014</v>
      </c>
      <c r="J99" s="15">
        <f>SUM(J83:J98)</f>
        <v>238.36528397468726</v>
      </c>
      <c r="K99" s="15">
        <f>SUM(K83:K98)</f>
        <v>485.20553353000554</v>
      </c>
      <c r="L99" s="15">
        <f>SUM(L83:L98)</f>
        <v>-827.24265394986332</v>
      </c>
      <c r="M99" s="15">
        <f>SUM(M83:M98)</f>
        <v>1170.8121207050001</v>
      </c>
      <c r="N99" s="15">
        <f>SUM(N83:N98)</f>
        <v>-21.979766274375152</v>
      </c>
      <c r="O99" s="15">
        <f>SUM(O83:O98)</f>
        <v>1175.0856436653905</v>
      </c>
      <c r="P99" s="15">
        <f>SUM(P83:P98)</f>
        <v>-349.542982531875</v>
      </c>
      <c r="Q99" s="15">
        <f>SUM(Q83:Q98)</f>
        <v>227.12176298062502</v>
      </c>
      <c r="R99" s="15">
        <f>SUM(R83:R98)</f>
        <v>-464.79523033999976</v>
      </c>
      <c r="S99" s="15">
        <f>SUM(S83:S98)</f>
        <v>558.38428900000008</v>
      </c>
      <c r="T99" s="15">
        <f>SUM(T83:T98)</f>
        <v>1621.6157110000001</v>
      </c>
      <c r="U99" s="15">
        <f>SUM(U83:U98)</f>
        <v>-294</v>
      </c>
      <c r="W99" s="15" t="e">
        <f>SUM(W83:W98)</f>
        <v>#REF!</v>
      </c>
      <c r="X99" s="15" t="e">
        <f>SUM(X83:X98)</f>
        <v>#REF!</v>
      </c>
      <c r="Y99" s="15" t="e">
        <f>SUM(Y83:Y98)</f>
        <v>#REF!</v>
      </c>
      <c r="Z99" s="15" t="e">
        <f>SUM(Z83:Z98)</f>
        <v>#REF!</v>
      </c>
      <c r="AA99" s="15" t="e">
        <f>SUM(AA83:AA98)</f>
        <v>#REF!</v>
      </c>
      <c r="AB99" s="15" t="e">
        <f>SUM(AB83:AB98)</f>
        <v>#REF!</v>
      </c>
      <c r="AC99" s="15" t="e">
        <f>SUM(AC83:AC98)</f>
        <v>#REF!</v>
      </c>
      <c r="AD99" s="15" t="e">
        <f>SUM(AD83:AD98)</f>
        <v>#REF!</v>
      </c>
      <c r="AE99" s="15" t="e">
        <f>SUM(AE83:AE98)</f>
        <v>#REF!</v>
      </c>
      <c r="AF99" s="15" t="e">
        <f>SUM(AF83:AF98)</f>
        <v>#REF!</v>
      </c>
      <c r="AG99" s="15" t="e">
        <f>SUM(AG83:AG98)</f>
        <v>#REF!</v>
      </c>
      <c r="AH99" s="15" t="e">
        <f>SUM(AH83:AH98)</f>
        <v>#REF!</v>
      </c>
      <c r="AI99" s="15" t="e">
        <f>SUM(AI83:AI98)</f>
        <v>#REF!</v>
      </c>
      <c r="AJ99" s="15">
        <f>SUM(AJ83:AJ98)</f>
        <v>1041.0316339153906</v>
      </c>
      <c r="AK99" s="15">
        <f>SUM(AK83:AK98)</f>
        <v>524.0799803835157</v>
      </c>
      <c r="AL99" s="15">
        <f>SUM(AL83:AL98)</f>
        <v>1052.6644241141407</v>
      </c>
      <c r="AM99" s="15">
        <f>SUM(AM83:AM98)</f>
        <v>587.86919377414097</v>
      </c>
      <c r="AN99" s="15">
        <f>SUM(AN83:AN98)</f>
        <v>-28.832160891249941</v>
      </c>
      <c r="AO99" s="15">
        <f>SUM(AO83:AO98)</f>
        <v>1942.3265326406249</v>
      </c>
      <c r="AP99" s="15">
        <f>SUM(AP83:AP98)</f>
        <v>1421.2047696599998</v>
      </c>
      <c r="AQ99" s="45"/>
      <c r="AR99" s="77">
        <f t="shared" si="222"/>
        <v>0.35010240405531001</v>
      </c>
    </row>
    <row r="100" spans="2:44" ht="12.75" customHeight="1">
      <c r="B100" s="57"/>
      <c r="C100" s="65"/>
      <c r="D100" s="65"/>
      <c r="E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2"/>
    </row>
    <row r="101" spans="2:44" ht="12.75" customHeight="1">
      <c r="B101" s="57" t="s">
        <v>46</v>
      </c>
      <c r="C101" s="62"/>
      <c r="D101" s="62"/>
      <c r="E101" s="62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34"/>
      <c r="S101" s="62"/>
      <c r="T101" s="62"/>
      <c r="U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3"/>
      <c r="AR101" s="42"/>
    </row>
    <row r="102" spans="2:44" ht="12.75" customHeight="1">
      <c r="B102" s="64" t="s">
        <v>193</v>
      </c>
      <c r="C102" s="83">
        <v>-93.804987280000006</v>
      </c>
      <c r="D102" s="83">
        <v>-83.883577129999992</v>
      </c>
      <c r="E102" s="83">
        <v>-44.220936719999997</v>
      </c>
      <c r="F102" s="34"/>
      <c r="G102" s="83">
        <v>-16.11520187</v>
      </c>
      <c r="H102" s="83">
        <v>-23.099543340000004</v>
      </c>
      <c r="I102" s="83">
        <v>-24.864189149999998</v>
      </c>
      <c r="J102" s="34">
        <f t="shared" ref="J102:J104" si="230">SUM(C102-SUM(G102:I102))</f>
        <v>-29.726052920000001</v>
      </c>
      <c r="K102" s="83">
        <v>-23.98309871</v>
      </c>
      <c r="L102" s="83">
        <v>-22.294403349999996</v>
      </c>
      <c r="M102" s="83">
        <v>-21.919426269999995</v>
      </c>
      <c r="N102" s="34">
        <f t="shared" ref="N102:N104" si="231">SUM(D102-SUM(K102:M102))</f>
        <v>-15.6866488</v>
      </c>
      <c r="O102" s="83">
        <v>-10.595325279999999</v>
      </c>
      <c r="P102" s="83">
        <v>-12.89072651</v>
      </c>
      <c r="Q102" s="83">
        <v>-12.662765939999998</v>
      </c>
      <c r="R102" s="34">
        <f>SUM(E102-SUM(O102:Q102))</f>
        <v>-8.0721189899999999</v>
      </c>
      <c r="S102" s="83">
        <v>-6.3442980000000002</v>
      </c>
      <c r="T102" s="83">
        <v>-6.6673809999999998</v>
      </c>
      <c r="U102" s="83">
        <v>-7.9883210000000009</v>
      </c>
      <c r="V102" s="34"/>
      <c r="W102" s="34" t="e">
        <f>SUM(#REF!)</f>
        <v>#REF!</v>
      </c>
      <c r="X102" s="34" t="e">
        <f>SUM(#REF!)</f>
        <v>#REF!</v>
      </c>
      <c r="Y102" s="34" t="e">
        <f>SUM(#REF!)</f>
        <v>#REF!</v>
      </c>
      <c r="Z102" s="34" t="e">
        <f>SUM(#REF!)</f>
        <v>#REF!</v>
      </c>
      <c r="AA102" s="34" t="e">
        <f>SUM(#REF!)</f>
        <v>#REF!</v>
      </c>
      <c r="AB102" s="34" t="e">
        <f>SUM(#REF!)</f>
        <v>#REF!</v>
      </c>
      <c r="AC102" s="34" t="e">
        <f>SUM(#REF!)</f>
        <v>#REF!</v>
      </c>
      <c r="AD102" s="34" t="e">
        <f>SUM(#REF!)</f>
        <v>#REF!</v>
      </c>
      <c r="AE102" s="34" t="e">
        <f>SUM(#REF!)</f>
        <v>#REF!</v>
      </c>
      <c r="AF102" s="34" t="e">
        <f>SUM(#REF!)</f>
        <v>#REF!</v>
      </c>
      <c r="AG102" s="34" t="e">
        <f>SUM(#REF!)</f>
        <v>#REF!</v>
      </c>
      <c r="AH102" s="34" t="e">
        <f>SUM(#REF!)</f>
        <v>#REF!</v>
      </c>
      <c r="AI102" s="34" t="e">
        <f>SUM(#REF!)</f>
        <v>#REF!</v>
      </c>
      <c r="AJ102" s="34">
        <f>SUM(O102:O102)</f>
        <v>-10.595325279999999</v>
      </c>
      <c r="AK102" s="34">
        <f>SUM(O102:P102)</f>
        <v>-23.486051789999998</v>
      </c>
      <c r="AL102" s="34">
        <f>SUM(O102:Q102)</f>
        <v>-36.148817729999998</v>
      </c>
      <c r="AM102" s="34">
        <f t="shared" ref="AM102:AP104" si="232">SUM(O102:R102)</f>
        <v>-44.220936719999997</v>
      </c>
      <c r="AN102" s="34">
        <f t="shared" si="232"/>
        <v>-39.969909440000002</v>
      </c>
      <c r="AO102" s="34">
        <f t="shared" si="232"/>
        <v>-33.746563930000001</v>
      </c>
      <c r="AP102" s="34">
        <f t="shared" si="232"/>
        <v>-29.07211899</v>
      </c>
      <c r="AQ102" s="63"/>
      <c r="AR102" s="76">
        <f t="shared" ref="AR102:AR117" si="233">SUM(AP102/AL102)-1</f>
        <v>-0.19576570367685986</v>
      </c>
    </row>
    <row r="103" spans="2:44" ht="12.75" customHeight="1">
      <c r="B103" s="64" t="s">
        <v>194</v>
      </c>
      <c r="C103" s="83">
        <v>-11.74840039</v>
      </c>
      <c r="D103" s="83">
        <v>-0.62023605000000004</v>
      </c>
      <c r="E103" s="83">
        <v>-0.97468661999999995</v>
      </c>
      <c r="F103" s="34"/>
      <c r="G103" s="83">
        <v>-4.0814049300000006</v>
      </c>
      <c r="H103" s="83">
        <v>-6.1376978000000006</v>
      </c>
      <c r="I103" s="83">
        <v>-3.9623525599999998</v>
      </c>
      <c r="J103" s="34">
        <f t="shared" si="230"/>
        <v>2.4330549000000001</v>
      </c>
      <c r="K103" s="83">
        <v>-1.17365411</v>
      </c>
      <c r="L103" s="83">
        <v>0.74769385999999993</v>
      </c>
      <c r="M103" s="83">
        <v>-8.5355939999999991E-2</v>
      </c>
      <c r="N103" s="34">
        <f t="shared" si="231"/>
        <v>-0.10891985999999998</v>
      </c>
      <c r="O103" s="83">
        <v>-1.0171040000000001E-2</v>
      </c>
      <c r="P103" s="83">
        <v>-4.8420629999999999E-2</v>
      </c>
      <c r="Q103" s="83">
        <v>-5.0196350000000008E-2</v>
      </c>
      <c r="R103" s="34">
        <f>SUM(E103-SUM(O103:Q103))</f>
        <v>-0.86589859999999996</v>
      </c>
      <c r="S103" s="83">
        <v>-0.58536100000000002</v>
      </c>
      <c r="T103" s="83">
        <v>-0.26502799999999999</v>
      </c>
      <c r="U103" s="83">
        <v>-0.14961099999999994</v>
      </c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>
        <f>SUM(O103:Q103)</f>
        <v>-0.10878802000000001</v>
      </c>
      <c r="AM103" s="34">
        <f t="shared" si="232"/>
        <v>-0.97468661999999995</v>
      </c>
      <c r="AN103" s="34">
        <f t="shared" si="232"/>
        <v>-1.5498765799999998</v>
      </c>
      <c r="AO103" s="34">
        <f t="shared" si="232"/>
        <v>-1.76648395</v>
      </c>
      <c r="AP103" s="34">
        <f t="shared" si="232"/>
        <v>-1.8658986</v>
      </c>
      <c r="AQ103" s="63"/>
      <c r="AR103" s="76">
        <f t="shared" si="233"/>
        <v>16.151691886661784</v>
      </c>
    </row>
    <row r="104" spans="2:44" ht="12.75" customHeight="1">
      <c r="B104" s="64" t="s">
        <v>195</v>
      </c>
      <c r="C104" s="83">
        <v>-354</v>
      </c>
      <c r="D104" s="83">
        <v>1</v>
      </c>
      <c r="E104" s="83">
        <v>198.71762445474334</v>
      </c>
      <c r="F104" s="34"/>
      <c r="G104" s="83">
        <v>0</v>
      </c>
      <c r="H104" s="83">
        <v>-354</v>
      </c>
      <c r="I104" s="83">
        <v>0</v>
      </c>
      <c r="J104" s="34">
        <f t="shared" si="230"/>
        <v>0</v>
      </c>
      <c r="K104" s="83">
        <v>0</v>
      </c>
      <c r="L104" s="83">
        <v>1</v>
      </c>
      <c r="M104" s="83">
        <v>0</v>
      </c>
      <c r="N104" s="34">
        <f t="shared" si="231"/>
        <v>0</v>
      </c>
      <c r="O104" s="83">
        <v>0</v>
      </c>
      <c r="P104" s="83">
        <v>0</v>
      </c>
      <c r="Q104" s="83">
        <v>21.717624454743344</v>
      </c>
      <c r="R104" s="34">
        <f>SUM(E104-SUM(O104:Q104))</f>
        <v>177</v>
      </c>
      <c r="S104" s="83"/>
      <c r="T104" s="83"/>
      <c r="U104" s="83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>
        <f>SUM(O104:Q104)</f>
        <v>21.717624454743344</v>
      </c>
      <c r="AM104" s="34">
        <f t="shared" si="232"/>
        <v>198.71762445474334</v>
      </c>
      <c r="AN104" s="34">
        <f t="shared" si="232"/>
        <v>198.71762445474334</v>
      </c>
      <c r="AO104" s="34">
        <f t="shared" si="232"/>
        <v>198.71762445474334</v>
      </c>
      <c r="AP104" s="34">
        <f t="shared" si="232"/>
        <v>177</v>
      </c>
      <c r="AQ104" s="63"/>
      <c r="AR104" s="76">
        <f t="shared" si="233"/>
        <v>7.1500626538986616</v>
      </c>
    </row>
    <row r="105" spans="2:44" ht="12.75" customHeight="1">
      <c r="B105" s="14" t="s">
        <v>47</v>
      </c>
      <c r="C105" s="15">
        <f>SUM(C102:C104)</f>
        <v>-459.55338767000001</v>
      </c>
      <c r="D105" s="15">
        <f>SUM(D102:D104)</f>
        <v>-83.503813179999995</v>
      </c>
      <c r="E105" s="15">
        <f>SUM(E102:E104)</f>
        <v>153.52200111474335</v>
      </c>
      <c r="G105" s="15">
        <f>SUM(G102:G104)</f>
        <v>-20.196606800000001</v>
      </c>
      <c r="H105" s="15">
        <f>SUM(H102:H104)</f>
        <v>-383.23724113999998</v>
      </c>
      <c r="I105" s="15">
        <f>SUM(I102:I104)</f>
        <v>-28.826541709999997</v>
      </c>
      <c r="J105" s="15">
        <f>SUM(J102:J104)</f>
        <v>-27.292998019999999</v>
      </c>
      <c r="K105" s="15">
        <f>SUM(K102:K104)</f>
        <v>-25.156752820000001</v>
      </c>
      <c r="L105" s="15">
        <f>SUM(L102:L104)</f>
        <v>-20.546709489999998</v>
      </c>
      <c r="M105" s="15">
        <f>SUM(M102:M104)</f>
        <v>-22.004782209999995</v>
      </c>
      <c r="N105" s="15">
        <f>SUM(N102:N104)</f>
        <v>-15.795568660000001</v>
      </c>
      <c r="O105" s="15">
        <f>SUM(O102:O104)</f>
        <v>-10.605496319999999</v>
      </c>
      <c r="P105" s="15">
        <f>SUM(P102:P104)</f>
        <v>-12.939147140000001</v>
      </c>
      <c r="Q105" s="15">
        <f>SUM(Q102:Q104)</f>
        <v>9.0046621647433458</v>
      </c>
      <c r="R105" s="15">
        <f>SUM(R102:R104)</f>
        <v>168.06198241000001</v>
      </c>
      <c r="S105" s="15">
        <f>SUM(S102:S104)</f>
        <v>-6.929659</v>
      </c>
      <c r="T105" s="15">
        <f>SUM(T102:T104)</f>
        <v>-6.9324089999999998</v>
      </c>
      <c r="U105" s="15">
        <f>SUM(U102:U104)</f>
        <v>-8.1379320000000011</v>
      </c>
      <c r="W105" s="15" t="e">
        <f>SUM(W102:W104)</f>
        <v>#REF!</v>
      </c>
      <c r="X105" s="15" t="e">
        <f>SUM(X102:X104)</f>
        <v>#REF!</v>
      </c>
      <c r="Y105" s="15" t="e">
        <f>SUM(Y102:Y104)</f>
        <v>#REF!</v>
      </c>
      <c r="Z105" s="15" t="e">
        <f>SUM(Z102:Z104)</f>
        <v>#REF!</v>
      </c>
      <c r="AA105" s="15" t="e">
        <f>SUM(AA102:AA104)</f>
        <v>#REF!</v>
      </c>
      <c r="AB105" s="15" t="e">
        <f>SUM(AB102:AB104)</f>
        <v>#REF!</v>
      </c>
      <c r="AC105" s="15" t="e">
        <f>SUM(AC102:AC104)</f>
        <v>#REF!</v>
      </c>
      <c r="AD105" s="15" t="e">
        <f>SUM(AD102:AD104)</f>
        <v>#REF!</v>
      </c>
      <c r="AE105" s="15" t="e">
        <f>SUM(AE102:AE104)</f>
        <v>#REF!</v>
      </c>
      <c r="AF105" s="15" t="e">
        <f>SUM(AF102:AF104)</f>
        <v>#REF!</v>
      </c>
      <c r="AG105" s="15" t="e">
        <f>SUM(AG102:AG104)</f>
        <v>#REF!</v>
      </c>
      <c r="AH105" s="15" t="e">
        <f>SUM(AH102:AH104)</f>
        <v>#REF!</v>
      </c>
      <c r="AI105" s="15" t="e">
        <f>SUM(AI102:AI104)</f>
        <v>#REF!</v>
      </c>
      <c r="AJ105" s="15">
        <f>SUM(AJ102:AJ104)</f>
        <v>-10.595325279999999</v>
      </c>
      <c r="AK105" s="15">
        <f>SUM(AK102:AK104)</f>
        <v>-23.486051789999998</v>
      </c>
      <c r="AL105" s="15">
        <f>SUM(AL102:AL104)</f>
        <v>-14.539981295256652</v>
      </c>
      <c r="AM105" s="15">
        <f>SUM(AM102:AM104)</f>
        <v>153.52200111474335</v>
      </c>
      <c r="AN105" s="15">
        <f>SUM(AN102:AN104)</f>
        <v>157.19783843474335</v>
      </c>
      <c r="AO105" s="15">
        <f>SUM(AO102:AO104)</f>
        <v>163.20457657474333</v>
      </c>
      <c r="AP105" s="15">
        <f>SUM(AP102:AP104)</f>
        <v>146.06198240999998</v>
      </c>
      <c r="AQ105" s="45"/>
      <c r="AR105" s="77">
        <f t="shared" si="233"/>
        <v>-11.045541286744948</v>
      </c>
    </row>
    <row r="106" spans="2:44" ht="5.0999999999999996" customHeight="1">
      <c r="B106" s="56"/>
      <c r="C106" s="65"/>
      <c r="D106" s="65"/>
      <c r="E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2"/>
    </row>
    <row r="107" spans="2:44" ht="12.75" customHeight="1">
      <c r="B107" s="57" t="s">
        <v>48</v>
      </c>
      <c r="C107" s="66"/>
      <c r="D107" s="66"/>
      <c r="E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34"/>
      <c r="W107" s="34" t="e">
        <f>SUM(#REF!)</f>
        <v>#REF!</v>
      </c>
      <c r="X107" s="34" t="e">
        <f>SUM(#REF!)</f>
        <v>#REF!</v>
      </c>
      <c r="Y107" s="34" t="e">
        <f>SUM(#REF!)</f>
        <v>#REF!</v>
      </c>
      <c r="Z107" s="34" t="e">
        <f>SUM(#REF!)</f>
        <v>#REF!</v>
      </c>
      <c r="AA107" s="34" t="e">
        <f>SUM(#REF!)</f>
        <v>#REF!</v>
      </c>
      <c r="AB107" s="34" t="e">
        <f>SUM(#REF!)</f>
        <v>#REF!</v>
      </c>
      <c r="AC107" s="34" t="e">
        <f>SUM(#REF!)</f>
        <v>#REF!</v>
      </c>
      <c r="AD107" s="34" t="e">
        <f>SUM(#REF!)</f>
        <v>#REF!</v>
      </c>
      <c r="AE107" s="34" t="e">
        <f>SUM(#REF!)</f>
        <v>#REF!</v>
      </c>
      <c r="AF107" s="34" t="e">
        <f>SUM(#REF!)</f>
        <v>#REF!</v>
      </c>
      <c r="AG107" s="34" t="e">
        <f>SUM(#REF!)</f>
        <v>#REF!</v>
      </c>
      <c r="AH107" s="34" t="e">
        <f>SUM(#REF!)</f>
        <v>#REF!</v>
      </c>
      <c r="AI107" s="34" t="e">
        <f>SUM(#REF!)</f>
        <v>#REF!</v>
      </c>
      <c r="AJ107" s="34">
        <f>SUM(O107:O107)</f>
        <v>0</v>
      </c>
      <c r="AK107" s="34">
        <f>SUM(O107:P107)</f>
        <v>0</v>
      </c>
      <c r="AL107" s="34">
        <f t="shared" ref="AL107:AL109" si="234">SUM(O107:Q107)</f>
        <v>0</v>
      </c>
      <c r="AM107" s="34">
        <f t="shared" ref="AM107:AP109" si="235">SUM(O107:R107)</f>
        <v>0</v>
      </c>
      <c r="AN107" s="34">
        <f t="shared" si="235"/>
        <v>0</v>
      </c>
      <c r="AO107" s="34">
        <f t="shared" si="235"/>
        <v>0</v>
      </c>
      <c r="AP107" s="34">
        <f t="shared" si="235"/>
        <v>0</v>
      </c>
      <c r="AQ107" s="67"/>
      <c r="AR107" s="76" t="e">
        <f t="shared" si="233"/>
        <v>#DIV/0!</v>
      </c>
    </row>
    <row r="108" spans="2:44" ht="12.75" customHeight="1">
      <c r="B108" s="85" t="s">
        <v>196</v>
      </c>
      <c r="C108" s="83">
        <v>799</v>
      </c>
      <c r="D108" s="83">
        <v>38.999999999999993</v>
      </c>
      <c r="E108" s="83">
        <v>0</v>
      </c>
      <c r="G108" s="83">
        <v>0</v>
      </c>
      <c r="H108" s="83">
        <v>0</v>
      </c>
      <c r="I108" s="83">
        <v>740.88510245638315</v>
      </c>
      <c r="J108" s="34">
        <f t="shared" ref="J108:J116" si="236">SUM(C108-SUM(G108:I108))</f>
        <v>58.114897543616848</v>
      </c>
      <c r="K108" s="83">
        <v>4.5672079522607971</v>
      </c>
      <c r="L108" s="83">
        <v>0.36564526816541315</v>
      </c>
      <c r="M108" s="83">
        <v>32.245800245256284</v>
      </c>
      <c r="N108" s="34">
        <f t="shared" ref="N108:N116" si="237">SUM(D108-SUM(K108:M108))</f>
        <v>1.8213465343174988</v>
      </c>
      <c r="O108" s="83">
        <v>0</v>
      </c>
      <c r="P108" s="83">
        <v>0</v>
      </c>
      <c r="Q108" s="83">
        <v>0</v>
      </c>
      <c r="R108" s="34">
        <f>SUM(E108-SUM(O108:Q108))</f>
        <v>0</v>
      </c>
      <c r="S108" s="83">
        <v>0</v>
      </c>
      <c r="T108" s="83">
        <v>0</v>
      </c>
      <c r="U108" s="83">
        <v>192</v>
      </c>
      <c r="V108" s="34"/>
      <c r="W108" s="34" t="e">
        <f>SUM(#REF!)</f>
        <v>#REF!</v>
      </c>
      <c r="X108" s="34" t="e">
        <f>SUM(#REF!)</f>
        <v>#REF!</v>
      </c>
      <c r="Y108" s="34" t="e">
        <f>SUM(#REF!)</f>
        <v>#REF!</v>
      </c>
      <c r="Z108" s="34" t="e">
        <f>SUM(#REF!)</f>
        <v>#REF!</v>
      </c>
      <c r="AA108" s="34" t="e">
        <f>SUM(#REF!)</f>
        <v>#REF!</v>
      </c>
      <c r="AB108" s="34" t="e">
        <f>SUM(#REF!)</f>
        <v>#REF!</v>
      </c>
      <c r="AC108" s="34" t="e">
        <f>SUM(#REF!)</f>
        <v>#REF!</v>
      </c>
      <c r="AD108" s="34" t="e">
        <f>SUM(#REF!)</f>
        <v>#REF!</v>
      </c>
      <c r="AE108" s="34" t="e">
        <f>SUM(#REF!)</f>
        <v>#REF!</v>
      </c>
      <c r="AF108" s="34" t="e">
        <f>SUM(#REF!)</f>
        <v>#REF!</v>
      </c>
      <c r="AG108" s="34" t="e">
        <f>SUM(#REF!)</f>
        <v>#REF!</v>
      </c>
      <c r="AH108" s="34" t="e">
        <f>SUM(#REF!)</f>
        <v>#REF!</v>
      </c>
      <c r="AI108" s="34" t="e">
        <f>SUM(#REF!)</f>
        <v>#REF!</v>
      </c>
      <c r="AJ108" s="34">
        <f>SUM(O108:O108)</f>
        <v>0</v>
      </c>
      <c r="AK108" s="34">
        <f>SUM(O108:P108)</f>
        <v>0</v>
      </c>
      <c r="AL108" s="34">
        <f t="shared" si="234"/>
        <v>0</v>
      </c>
      <c r="AM108" s="34">
        <f t="shared" si="235"/>
        <v>0</v>
      </c>
      <c r="AN108" s="34">
        <f t="shared" si="235"/>
        <v>0</v>
      </c>
      <c r="AO108" s="34">
        <f t="shared" si="235"/>
        <v>0</v>
      </c>
      <c r="AP108" s="34">
        <f t="shared" si="235"/>
        <v>192</v>
      </c>
      <c r="AQ108" s="67"/>
      <c r="AR108" s="76" t="e">
        <f t="shared" si="233"/>
        <v>#DIV/0!</v>
      </c>
    </row>
    <row r="109" spans="2:44" ht="12.75" customHeight="1">
      <c r="B109" s="85" t="s">
        <v>197</v>
      </c>
      <c r="C109" s="83">
        <v>0</v>
      </c>
      <c r="D109" s="83">
        <v>1</v>
      </c>
      <c r="E109" s="83">
        <v>0.49807230479999998</v>
      </c>
      <c r="G109" s="83">
        <v>0</v>
      </c>
      <c r="H109" s="83">
        <v>0</v>
      </c>
      <c r="I109" s="83">
        <v>0</v>
      </c>
      <c r="J109" s="34">
        <f t="shared" si="236"/>
        <v>0</v>
      </c>
      <c r="K109" s="83">
        <v>0</v>
      </c>
      <c r="L109" s="83">
        <v>0</v>
      </c>
      <c r="M109" s="83">
        <v>1</v>
      </c>
      <c r="N109" s="34">
        <f t="shared" si="237"/>
        <v>0</v>
      </c>
      <c r="O109" s="83">
        <v>0</v>
      </c>
      <c r="P109" s="83">
        <v>0.54874500000000004</v>
      </c>
      <c r="Q109" s="83">
        <v>-1.456286503E-2</v>
      </c>
      <c r="R109" s="34">
        <f>SUM(E109-SUM(O109:Q109))</f>
        <v>-3.6109830170000023E-2</v>
      </c>
      <c r="S109" s="83">
        <v>-0.104197</v>
      </c>
      <c r="T109" s="83">
        <v>-3.7450999999999998E-2</v>
      </c>
      <c r="U109" s="83">
        <v>0.141648</v>
      </c>
      <c r="V109" s="34"/>
      <c r="W109" s="34" t="e">
        <f>SUM(#REF!)</f>
        <v>#REF!</v>
      </c>
      <c r="X109" s="34" t="e">
        <f>SUM(#REF!)</f>
        <v>#REF!</v>
      </c>
      <c r="Y109" s="34" t="e">
        <f>SUM(#REF!)</f>
        <v>#REF!</v>
      </c>
      <c r="Z109" s="34" t="e">
        <f>SUM(#REF!)</f>
        <v>#REF!</v>
      </c>
      <c r="AA109" s="34" t="e">
        <f>SUM(#REF!)</f>
        <v>#REF!</v>
      </c>
      <c r="AB109" s="34" t="e">
        <f>SUM(#REF!)</f>
        <v>#REF!</v>
      </c>
      <c r="AC109" s="34" t="e">
        <f>SUM(#REF!)</f>
        <v>#REF!</v>
      </c>
      <c r="AD109" s="34" t="e">
        <f>SUM(#REF!)</f>
        <v>#REF!</v>
      </c>
      <c r="AE109" s="34" t="e">
        <f>SUM(#REF!)</f>
        <v>#REF!</v>
      </c>
      <c r="AF109" s="34" t="e">
        <f>SUM(#REF!)</f>
        <v>#REF!</v>
      </c>
      <c r="AG109" s="34" t="e">
        <f>SUM(#REF!)</f>
        <v>#REF!</v>
      </c>
      <c r="AH109" s="34" t="e">
        <f>SUM(#REF!)</f>
        <v>#REF!</v>
      </c>
      <c r="AI109" s="34" t="e">
        <f>SUM(#REF!)</f>
        <v>#REF!</v>
      </c>
      <c r="AJ109" s="34">
        <f>SUM(O109:O109)</f>
        <v>0</v>
      </c>
      <c r="AK109" s="34">
        <f>SUM(O109:P109)</f>
        <v>0.54874500000000004</v>
      </c>
      <c r="AL109" s="34">
        <f t="shared" si="234"/>
        <v>0.53418213497</v>
      </c>
      <c r="AM109" s="34">
        <f t="shared" si="235"/>
        <v>0.49807230479999998</v>
      </c>
      <c r="AN109" s="34">
        <f t="shared" si="235"/>
        <v>0.39387530479999999</v>
      </c>
      <c r="AO109" s="34">
        <f t="shared" si="235"/>
        <v>-0.1923206952</v>
      </c>
      <c r="AP109" s="34">
        <f t="shared" si="235"/>
        <v>-3.6109830170000023E-2</v>
      </c>
      <c r="AQ109" s="67"/>
      <c r="AR109" s="76">
        <f t="shared" si="233"/>
        <v>-1.0675983485895273</v>
      </c>
    </row>
    <row r="110" spans="2:44" ht="12.75" customHeight="1">
      <c r="B110" s="85" t="s">
        <v>198</v>
      </c>
      <c r="C110" s="83">
        <v>2.5700588148074957</v>
      </c>
      <c r="D110" s="83">
        <v>-24</v>
      </c>
      <c r="E110" s="83">
        <v>141.77661430000001</v>
      </c>
      <c r="G110" s="83">
        <v>27.282162803341077</v>
      </c>
      <c r="H110" s="83">
        <v>-24.712103988533581</v>
      </c>
      <c r="I110" s="83">
        <v>0</v>
      </c>
      <c r="J110" s="34">
        <f t="shared" si="236"/>
        <v>0</v>
      </c>
      <c r="K110" s="83">
        <v>0</v>
      </c>
      <c r="L110" s="83">
        <v>-24</v>
      </c>
      <c r="M110" s="83">
        <v>0</v>
      </c>
      <c r="N110" s="34">
        <f t="shared" si="237"/>
        <v>0</v>
      </c>
      <c r="O110" s="83">
        <v>144.37945199999999</v>
      </c>
      <c r="P110" s="83">
        <v>-2.1722359999999998</v>
      </c>
      <c r="Q110" s="83">
        <v>0.47391370250000003</v>
      </c>
      <c r="R110" s="34">
        <f t="shared" ref="R110:R116" si="238">SUM(E110-SUM(O110:Q110))</f>
        <v>-0.90451540249998175</v>
      </c>
      <c r="S110" s="83">
        <v>0</v>
      </c>
      <c r="T110" s="83">
        <v>0</v>
      </c>
      <c r="U110" s="83">
        <v>0</v>
      </c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>
        <f t="shared" ref="AL110:AL116" si="239">SUM(O110:Q110)</f>
        <v>142.68112970249999</v>
      </c>
      <c r="AM110" s="34">
        <f t="shared" ref="AM110:AM116" si="240">SUM(O110:R110)</f>
        <v>141.77661430000001</v>
      </c>
      <c r="AN110" s="34">
        <f t="shared" ref="AN110:AN116" si="241">SUM(P110:S110)</f>
        <v>-2.6028376999999816</v>
      </c>
      <c r="AO110" s="34">
        <f t="shared" ref="AO110:AO116" si="242">SUM(Q110:T110)</f>
        <v>-0.43060169999998171</v>
      </c>
      <c r="AP110" s="34">
        <f t="shared" ref="AP110:AP116" si="243">SUM(R110:U110)</f>
        <v>-0.90451540249998175</v>
      </c>
      <c r="AQ110" s="67"/>
      <c r="AR110" s="76"/>
    </row>
    <row r="111" spans="2:44" ht="12.75" customHeight="1">
      <c r="B111" s="85" t="s">
        <v>199</v>
      </c>
      <c r="C111" s="83">
        <v>9</v>
      </c>
      <c r="D111" s="83">
        <v>-32.268165978748847</v>
      </c>
      <c r="E111" s="83">
        <v>0</v>
      </c>
      <c r="G111" s="83">
        <v>0</v>
      </c>
      <c r="H111" s="83">
        <v>9</v>
      </c>
      <c r="I111" s="83">
        <v>0</v>
      </c>
      <c r="J111" s="34">
        <f t="shared" si="236"/>
        <v>0</v>
      </c>
      <c r="K111" s="83">
        <v>0</v>
      </c>
      <c r="L111" s="83">
        <v>0</v>
      </c>
      <c r="M111" s="83">
        <v>-32.268165978748847</v>
      </c>
      <c r="N111" s="34">
        <f t="shared" si="237"/>
        <v>0</v>
      </c>
      <c r="O111" s="83">
        <v>0</v>
      </c>
      <c r="P111" s="83">
        <v>0</v>
      </c>
      <c r="Q111" s="83">
        <v>0</v>
      </c>
      <c r="R111" s="34">
        <f t="shared" si="238"/>
        <v>0</v>
      </c>
      <c r="S111" s="83">
        <v>0</v>
      </c>
      <c r="T111" s="83">
        <v>0</v>
      </c>
      <c r="U111" s="83">
        <v>0</v>
      </c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>
        <f t="shared" si="239"/>
        <v>0</v>
      </c>
      <c r="AM111" s="34">
        <f t="shared" si="240"/>
        <v>0</v>
      </c>
      <c r="AN111" s="34">
        <f t="shared" si="241"/>
        <v>0</v>
      </c>
      <c r="AO111" s="34">
        <f t="shared" si="242"/>
        <v>0</v>
      </c>
      <c r="AP111" s="34">
        <f t="shared" si="243"/>
        <v>0</v>
      </c>
      <c r="AQ111" s="67"/>
      <c r="AR111" s="76"/>
    </row>
    <row r="112" spans="2:44" ht="12.75" customHeight="1">
      <c r="B112" s="85" t="s">
        <v>200</v>
      </c>
      <c r="C112" s="83">
        <v>0</v>
      </c>
      <c r="D112" s="83">
        <v>42</v>
      </c>
      <c r="E112" s="83">
        <v>100</v>
      </c>
      <c r="G112" s="83">
        <v>0</v>
      </c>
      <c r="H112" s="83">
        <v>0</v>
      </c>
      <c r="I112" s="83">
        <v>0</v>
      </c>
      <c r="J112" s="34">
        <f t="shared" si="236"/>
        <v>0</v>
      </c>
      <c r="K112" s="83">
        <v>0</v>
      </c>
      <c r="L112" s="83">
        <v>50</v>
      </c>
      <c r="M112" s="83">
        <v>-8</v>
      </c>
      <c r="N112" s="34">
        <f t="shared" si="237"/>
        <v>0</v>
      </c>
      <c r="O112" s="83">
        <v>27.627291</v>
      </c>
      <c r="P112" s="83">
        <v>72.372078000000002</v>
      </c>
      <c r="Q112" s="83">
        <v>0</v>
      </c>
      <c r="R112" s="34">
        <f t="shared" si="238"/>
        <v>6.3099999999849388E-4</v>
      </c>
      <c r="S112" s="83">
        <v>0</v>
      </c>
      <c r="T112" s="83">
        <v>0</v>
      </c>
      <c r="U112" s="83">
        <v>0</v>
      </c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>
        <f t="shared" si="239"/>
        <v>99.999369000000002</v>
      </c>
      <c r="AM112" s="34">
        <f t="shared" si="240"/>
        <v>100</v>
      </c>
      <c r="AN112" s="34">
        <f t="shared" si="241"/>
        <v>72.372709</v>
      </c>
      <c r="AO112" s="34">
        <f t="shared" si="242"/>
        <v>6.3099999999849388E-4</v>
      </c>
      <c r="AP112" s="34">
        <f t="shared" si="243"/>
        <v>6.3099999999849388E-4</v>
      </c>
      <c r="AQ112" s="67"/>
      <c r="AR112" s="76"/>
    </row>
    <row r="113" spans="2:44" ht="12.75" customHeight="1">
      <c r="B113" s="85" t="s">
        <v>201</v>
      </c>
      <c r="C113" s="83">
        <v>-756</v>
      </c>
      <c r="D113" s="83">
        <v>-45.999999999999986</v>
      </c>
      <c r="E113" s="83">
        <v>94.790226999999987</v>
      </c>
      <c r="G113" s="83">
        <v>-285.12033005486086</v>
      </c>
      <c r="H113" s="83">
        <v>-61.722909899668856</v>
      </c>
      <c r="I113" s="83">
        <v>-298.02303168091731</v>
      </c>
      <c r="J113" s="34">
        <f t="shared" si="236"/>
        <v>-111.13372836455301</v>
      </c>
      <c r="K113" s="83">
        <v>-2.1920347317591813</v>
      </c>
      <c r="L113" s="83">
        <v>-40.341926100754904</v>
      </c>
      <c r="M113" s="83">
        <v>-3.3932461206242444</v>
      </c>
      <c r="N113" s="34">
        <f t="shared" si="237"/>
        <v>-7.2793046861661992E-2</v>
      </c>
      <c r="O113" s="83">
        <v>0</v>
      </c>
      <c r="P113" s="83">
        <v>101.04674</v>
      </c>
      <c r="Q113" s="83">
        <v>30.233914679999994</v>
      </c>
      <c r="R113" s="34">
        <f t="shared" si="238"/>
        <v>-36.49042768000001</v>
      </c>
      <c r="S113" s="83">
        <v>30</v>
      </c>
      <c r="T113" s="83">
        <v>167</v>
      </c>
      <c r="U113" s="83">
        <v>644</v>
      </c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>
        <f t="shared" si="239"/>
        <v>131.28065468</v>
      </c>
      <c r="AM113" s="34">
        <f t="shared" si="240"/>
        <v>94.790226999999987</v>
      </c>
      <c r="AN113" s="34">
        <f t="shared" si="241"/>
        <v>124.79022699999999</v>
      </c>
      <c r="AO113" s="34">
        <f t="shared" si="242"/>
        <v>190.74348699999999</v>
      </c>
      <c r="AP113" s="34">
        <f t="shared" si="243"/>
        <v>804.50957231999996</v>
      </c>
      <c r="AQ113" s="67"/>
      <c r="AR113" s="76"/>
    </row>
    <row r="114" spans="2:44" ht="12.75" customHeight="1">
      <c r="B114" s="85" t="s">
        <v>202</v>
      </c>
      <c r="C114" s="83">
        <v>0</v>
      </c>
      <c r="D114" s="83">
        <v>0</v>
      </c>
      <c r="E114" s="83">
        <v>0</v>
      </c>
      <c r="G114" s="83">
        <v>0</v>
      </c>
      <c r="H114" s="83">
        <v>0</v>
      </c>
      <c r="I114" s="83">
        <v>0</v>
      </c>
      <c r="J114" s="34">
        <f t="shared" si="236"/>
        <v>0</v>
      </c>
      <c r="K114" s="83">
        <v>0</v>
      </c>
      <c r="L114" s="83">
        <v>0</v>
      </c>
      <c r="M114" s="83">
        <v>0</v>
      </c>
      <c r="N114" s="34">
        <f t="shared" si="237"/>
        <v>0</v>
      </c>
      <c r="O114" s="83">
        <v>0</v>
      </c>
      <c r="P114" s="83">
        <v>0</v>
      </c>
      <c r="Q114" s="83">
        <v>0</v>
      </c>
      <c r="R114" s="34">
        <f t="shared" si="238"/>
        <v>0</v>
      </c>
      <c r="S114" s="83">
        <v>-15</v>
      </c>
      <c r="T114" s="83">
        <v>-15</v>
      </c>
      <c r="U114" s="83">
        <v>-26</v>
      </c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>
        <f t="shared" si="239"/>
        <v>0</v>
      </c>
      <c r="AM114" s="34">
        <f t="shared" si="240"/>
        <v>0</v>
      </c>
      <c r="AN114" s="34">
        <f t="shared" si="241"/>
        <v>-15</v>
      </c>
      <c r="AO114" s="34">
        <f t="shared" si="242"/>
        <v>-30</v>
      </c>
      <c r="AP114" s="34">
        <f t="shared" si="243"/>
        <v>-56</v>
      </c>
      <c r="AQ114" s="67"/>
      <c r="AR114" s="76"/>
    </row>
    <row r="115" spans="2:44" ht="12.75" customHeight="1">
      <c r="B115" s="85" t="s">
        <v>203</v>
      </c>
      <c r="C115" s="83">
        <v>-2.6134100726535854</v>
      </c>
      <c r="D115" s="83">
        <v>0</v>
      </c>
      <c r="E115" s="83">
        <v>0</v>
      </c>
      <c r="G115" s="83">
        <v>0</v>
      </c>
      <c r="H115" s="83">
        <v>-2.6134100726535854</v>
      </c>
      <c r="I115" s="83">
        <v>0</v>
      </c>
      <c r="J115" s="34">
        <f t="shared" si="236"/>
        <v>0</v>
      </c>
      <c r="K115" s="83">
        <v>0</v>
      </c>
      <c r="L115" s="83">
        <v>0</v>
      </c>
      <c r="M115" s="83">
        <v>0</v>
      </c>
      <c r="N115" s="34">
        <f t="shared" si="237"/>
        <v>0</v>
      </c>
      <c r="O115" s="83">
        <v>0</v>
      </c>
      <c r="P115" s="83">
        <v>0</v>
      </c>
      <c r="Q115" s="83">
        <v>0</v>
      </c>
      <c r="R115" s="34">
        <f t="shared" si="238"/>
        <v>0</v>
      </c>
      <c r="S115" s="83">
        <v>0</v>
      </c>
      <c r="T115" s="83">
        <v>0</v>
      </c>
      <c r="U115" s="83">
        <v>0</v>
      </c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>
        <f t="shared" si="239"/>
        <v>0</v>
      </c>
      <c r="AM115" s="34">
        <f t="shared" si="240"/>
        <v>0</v>
      </c>
      <c r="AN115" s="34">
        <f t="shared" si="241"/>
        <v>0</v>
      </c>
      <c r="AO115" s="34">
        <f t="shared" si="242"/>
        <v>0</v>
      </c>
      <c r="AP115" s="34">
        <f t="shared" si="243"/>
        <v>0</v>
      </c>
      <c r="AQ115" s="67"/>
      <c r="AR115" s="76"/>
    </row>
    <row r="116" spans="2:44" ht="12.75" customHeight="1">
      <c r="B116" s="85" t="s">
        <v>204</v>
      </c>
      <c r="C116" s="83">
        <v>-35</v>
      </c>
      <c r="D116" s="83">
        <v>-42</v>
      </c>
      <c r="E116" s="83">
        <v>-25.082498860000001</v>
      </c>
      <c r="G116" s="83">
        <v>-8.75</v>
      </c>
      <c r="H116" s="83">
        <v>-8.75</v>
      </c>
      <c r="I116" s="83">
        <v>-8.75</v>
      </c>
      <c r="J116" s="34">
        <f t="shared" si="236"/>
        <v>-8.75</v>
      </c>
      <c r="K116" s="83">
        <v>-10.5</v>
      </c>
      <c r="L116" s="83">
        <v>-10.5</v>
      </c>
      <c r="M116" s="83">
        <v>-10.5</v>
      </c>
      <c r="N116" s="34">
        <f t="shared" si="237"/>
        <v>-10.5</v>
      </c>
      <c r="O116" s="83">
        <v>-9.0255849999999995</v>
      </c>
      <c r="P116" s="83">
        <v>-10.936726</v>
      </c>
      <c r="Q116" s="83">
        <v>-3.4157649109999997</v>
      </c>
      <c r="R116" s="34">
        <f t="shared" si="238"/>
        <v>-1.7044229490000014</v>
      </c>
      <c r="S116" s="83">
        <v>-6.3138649999999998</v>
      </c>
      <c r="T116" s="83">
        <v>-6.3190109999999997</v>
      </c>
      <c r="U116" s="83">
        <v>-1.3671240000000004</v>
      </c>
      <c r="V116" s="34"/>
      <c r="W116" s="34" t="e">
        <f>SUM(#REF!)</f>
        <v>#REF!</v>
      </c>
      <c r="X116" s="34" t="e">
        <f>SUM(#REF!)</f>
        <v>#REF!</v>
      </c>
      <c r="Y116" s="34" t="e">
        <f>SUM(#REF!)</f>
        <v>#REF!</v>
      </c>
      <c r="Z116" s="34" t="e">
        <f>SUM(#REF!)</f>
        <v>#REF!</v>
      </c>
      <c r="AA116" s="34" t="e">
        <f>SUM(#REF!)</f>
        <v>#REF!</v>
      </c>
      <c r="AB116" s="34" t="e">
        <f>SUM(#REF!)</f>
        <v>#REF!</v>
      </c>
      <c r="AC116" s="34" t="e">
        <f>SUM(#REF!)</f>
        <v>#REF!</v>
      </c>
      <c r="AD116" s="34" t="e">
        <f>SUM(#REF!)</f>
        <v>#REF!</v>
      </c>
      <c r="AE116" s="34" t="e">
        <f>SUM(#REF!)</f>
        <v>#REF!</v>
      </c>
      <c r="AF116" s="34" t="e">
        <f>SUM(#REF!)</f>
        <v>#REF!</v>
      </c>
      <c r="AG116" s="34" t="e">
        <f>SUM(#REF!)</f>
        <v>#REF!</v>
      </c>
      <c r="AH116" s="34" t="e">
        <f>SUM(#REF!)</f>
        <v>#REF!</v>
      </c>
      <c r="AI116" s="34" t="e">
        <f>SUM(#REF!)</f>
        <v>#REF!</v>
      </c>
      <c r="AJ116" s="34">
        <f>SUM(O116:O116)</f>
        <v>-9.0255849999999995</v>
      </c>
      <c r="AK116" s="34">
        <f>SUM(O116:P116)</f>
        <v>-19.962311</v>
      </c>
      <c r="AL116" s="34">
        <f t="shared" si="239"/>
        <v>-23.378075911</v>
      </c>
      <c r="AM116" s="34">
        <f t="shared" si="240"/>
        <v>-25.082498860000001</v>
      </c>
      <c r="AN116" s="34">
        <f t="shared" si="241"/>
        <v>-22.370778860000001</v>
      </c>
      <c r="AO116" s="34">
        <f t="shared" si="242"/>
        <v>-17.753063860000001</v>
      </c>
      <c r="AP116" s="34">
        <f t="shared" si="243"/>
        <v>-15.704422949000001</v>
      </c>
      <c r="AQ116" s="67"/>
      <c r="AR116" s="76">
        <f t="shared" si="233"/>
        <v>-0.3282414254797309</v>
      </c>
    </row>
    <row r="117" spans="2:44" ht="12.75" customHeight="1">
      <c r="B117" s="14" t="s">
        <v>49</v>
      </c>
      <c r="C117" s="36">
        <f>SUM(C108:C116)</f>
        <v>16.956648742153867</v>
      </c>
      <c r="D117" s="36">
        <f>SUM(D108:D116)</f>
        <v>-62.26816597874884</v>
      </c>
      <c r="E117" s="36">
        <f>SUM(E108:E116)</f>
        <v>311.9824147448</v>
      </c>
      <c r="F117" s="34"/>
      <c r="G117" s="36">
        <f>SUM(G108:G116)</f>
        <v>-266.58816725151979</v>
      </c>
      <c r="H117" s="36">
        <f>SUM(H108:H116)</f>
        <v>-88.798423960856013</v>
      </c>
      <c r="I117" s="36">
        <f>SUM(I108:I116)</f>
        <v>434.11207077546584</v>
      </c>
      <c r="J117" s="36">
        <f>SUM(J108:J116)</f>
        <v>-61.768830820936159</v>
      </c>
      <c r="K117" s="36">
        <f>SUM(K108:K116)</f>
        <v>-8.1248267794983846</v>
      </c>
      <c r="L117" s="36">
        <f>SUM(L108:L116)</f>
        <v>-24.476280832589492</v>
      </c>
      <c r="M117" s="36">
        <f>SUM(M108:M116)</f>
        <v>-20.915611854116808</v>
      </c>
      <c r="N117" s="36">
        <f>SUM(N108:N116)</f>
        <v>-8.7514465125441632</v>
      </c>
      <c r="O117" s="36">
        <f>SUM(O108:O116)</f>
        <v>162.98115799999997</v>
      </c>
      <c r="P117" s="36">
        <f>SUM(P108:P116)</f>
        <v>160.85860099999999</v>
      </c>
      <c r="Q117" s="36">
        <f>SUM(Q108:Q116)</f>
        <v>27.277500606469996</v>
      </c>
      <c r="R117" s="36">
        <f>SUM(R108:R116)</f>
        <v>-39.13484486166999</v>
      </c>
      <c r="S117" s="36">
        <f>SUM(S108:S116)</f>
        <v>8.581938000000001</v>
      </c>
      <c r="T117" s="36">
        <f>SUM(T108:T116)</f>
        <v>145.64353800000001</v>
      </c>
      <c r="U117" s="36">
        <f>SUM(U108:U116)</f>
        <v>808.77452400000004</v>
      </c>
      <c r="V117" s="34"/>
      <c r="W117" s="36" t="e">
        <f>SUM(W108:W116)</f>
        <v>#REF!</v>
      </c>
      <c r="X117" s="36" t="e">
        <f>SUM(X108:X116)</f>
        <v>#REF!</v>
      </c>
      <c r="Y117" s="36" t="e">
        <f>SUM(Y108:Y116)</f>
        <v>#REF!</v>
      </c>
      <c r="Z117" s="36" t="e">
        <f>SUM(Z108:Z116)</f>
        <v>#REF!</v>
      </c>
      <c r="AA117" s="36" t="e">
        <f>SUM(AA108:AA116)</f>
        <v>#REF!</v>
      </c>
      <c r="AB117" s="36" t="e">
        <f>SUM(AB108:AB116)</f>
        <v>#REF!</v>
      </c>
      <c r="AC117" s="36" t="e">
        <f>SUM(AC108:AC116)</f>
        <v>#REF!</v>
      </c>
      <c r="AD117" s="36" t="e">
        <f>SUM(AD108:AD116)</f>
        <v>#REF!</v>
      </c>
      <c r="AE117" s="36" t="e">
        <f>SUM(AE108:AE116)</f>
        <v>#REF!</v>
      </c>
      <c r="AF117" s="36" t="e">
        <f>SUM(AF108:AF116)</f>
        <v>#REF!</v>
      </c>
      <c r="AG117" s="36" t="e">
        <f>SUM(AG108:AG116)</f>
        <v>#REF!</v>
      </c>
      <c r="AH117" s="36" t="e">
        <f>SUM(AH108:AH116)</f>
        <v>#REF!</v>
      </c>
      <c r="AI117" s="36" t="e">
        <f>SUM(AI108:AI116)</f>
        <v>#REF!</v>
      </c>
      <c r="AJ117" s="36">
        <f>SUM(AJ108:AJ116)</f>
        <v>-9.0255849999999995</v>
      </c>
      <c r="AK117" s="36">
        <f>SUM(AK108:AK116)</f>
        <v>-19.413565999999999</v>
      </c>
      <c r="AL117" s="36">
        <f>SUM(AL108:AL116)</f>
        <v>351.11725960646999</v>
      </c>
      <c r="AM117" s="36">
        <f>SUM(AM108:AM116)</f>
        <v>311.9824147448</v>
      </c>
      <c r="AN117" s="36">
        <f>SUM(AN108:AN116)</f>
        <v>157.58319474480001</v>
      </c>
      <c r="AO117" s="36">
        <f>SUM(AO108:AO116)</f>
        <v>142.3681317448</v>
      </c>
      <c r="AP117" s="36">
        <f>SUM(AP108:AP116)</f>
        <v>923.86515513833001</v>
      </c>
      <c r="AQ117" s="45"/>
      <c r="AR117" s="77">
        <f t="shared" si="233"/>
        <v>1.6312154411713973</v>
      </c>
    </row>
    <row r="118" spans="2:44" ht="5.0999999999999996" customHeight="1">
      <c r="B118" s="8"/>
      <c r="C118" s="68"/>
      <c r="D118" s="68"/>
      <c r="E118" s="68"/>
      <c r="F118" s="34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49"/>
    </row>
    <row r="119" spans="2:44" ht="5.0999999999999996" customHeight="1">
      <c r="B119" s="73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12"/>
      <c r="AR119" s="49"/>
    </row>
    <row r="120" spans="2:44">
      <c r="B120" s="94" t="s">
        <v>75</v>
      </c>
      <c r="C120" s="95">
        <v>2071.4703762600002</v>
      </c>
      <c r="D120" s="95">
        <f>C126</f>
        <v>1694.2696631749998</v>
      </c>
      <c r="E120" s="95">
        <f>D126</f>
        <v>2390.125613414999</v>
      </c>
      <c r="F120" s="95"/>
      <c r="G120" s="95">
        <v>2071.4703762600002</v>
      </c>
      <c r="H120" s="95">
        <f>G126</f>
        <v>1253.2418810100003</v>
      </c>
      <c r="I120" s="95">
        <f t="shared" ref="I120:U120" si="244">H126</f>
        <v>907.76546203000032</v>
      </c>
      <c r="J120" s="95">
        <f t="shared" si="244"/>
        <v>1545.2618214600002</v>
      </c>
      <c r="K120" s="95">
        <f t="shared" si="244"/>
        <v>1694.2696631749998</v>
      </c>
      <c r="L120" s="95">
        <f t="shared" si="244"/>
        <v>2162.6125970449993</v>
      </c>
      <c r="M120" s="95">
        <f t="shared" si="244"/>
        <v>1264.0786313449994</v>
      </c>
      <c r="N120" s="95">
        <f t="shared" si="244"/>
        <v>2344.4454159349998</v>
      </c>
      <c r="O120" s="95">
        <f t="shared" si="244"/>
        <v>2390.125613414999</v>
      </c>
      <c r="P120" s="95">
        <f t="shared" si="244"/>
        <v>3628.2869187603892</v>
      </c>
      <c r="Q120" s="95">
        <f t="shared" si="244"/>
        <v>3418.336916088514</v>
      </c>
      <c r="R120" s="95">
        <f t="shared" si="244"/>
        <v>3843.0304496403523</v>
      </c>
      <c r="S120" s="95">
        <f t="shared" si="244"/>
        <v>3242.6425060486827</v>
      </c>
      <c r="T120" s="95">
        <f t="shared" si="244"/>
        <v>4055.2399430486826</v>
      </c>
      <c r="U120" s="95">
        <f t="shared" si="244"/>
        <v>6150.2221980486829</v>
      </c>
      <c r="V120" s="95"/>
      <c r="W120" s="95" t="e">
        <f>#REF!</f>
        <v>#REF!</v>
      </c>
      <c r="X120" s="95" t="e">
        <f>#REF!</f>
        <v>#REF!</v>
      </c>
      <c r="Y120" s="95" t="e">
        <f>#REF!</f>
        <v>#REF!</v>
      </c>
      <c r="Z120" s="95" t="e">
        <f>#REF!</f>
        <v>#REF!</v>
      </c>
      <c r="AA120" s="95" t="e">
        <f>#REF!</f>
        <v>#REF!</v>
      </c>
      <c r="AB120" s="95" t="e">
        <f>#REF!</f>
        <v>#REF!</v>
      </c>
      <c r="AC120" s="95" t="e">
        <f>#REF!</f>
        <v>#REF!</v>
      </c>
      <c r="AD120" s="95" t="e">
        <f>#REF!</f>
        <v>#REF!</v>
      </c>
      <c r="AE120" s="95" t="e">
        <f>#REF!</f>
        <v>#REF!</v>
      </c>
      <c r="AF120" s="95" t="e">
        <f>#REF!</f>
        <v>#REF!</v>
      </c>
      <c r="AG120" s="95" t="e">
        <f>#REF!</f>
        <v>#REF!</v>
      </c>
      <c r="AH120" s="95" t="e">
        <f>#REF!</f>
        <v>#REF!</v>
      </c>
      <c r="AI120" s="95" t="e">
        <f>#REF!</f>
        <v>#REF!</v>
      </c>
      <c r="AJ120" s="95" t="e">
        <f>#REF!</f>
        <v>#REF!</v>
      </c>
      <c r="AK120" s="95" t="e">
        <f>#REF!</f>
        <v>#REF!</v>
      </c>
      <c r="AL120" s="95" t="e">
        <f>#REF!</f>
        <v>#REF!</v>
      </c>
      <c r="AM120" s="95" t="e">
        <f>#REF!</f>
        <v>#REF!</v>
      </c>
      <c r="AN120" s="95">
        <f t="shared" ref="AN120:AP120" si="245">O126</f>
        <v>3628.2869187603892</v>
      </c>
      <c r="AO120" s="95">
        <f t="shared" si="245"/>
        <v>3418.336916088514</v>
      </c>
      <c r="AP120" s="148">
        <f t="shared" si="245"/>
        <v>3843.0304496403523</v>
      </c>
      <c r="AQ120" s="12"/>
      <c r="AR120" s="49"/>
    </row>
    <row r="121" spans="2:44">
      <c r="B121" s="134" t="s">
        <v>76</v>
      </c>
      <c r="C121" s="83">
        <v>0</v>
      </c>
      <c r="D121" s="83">
        <v>0</v>
      </c>
      <c r="E121" s="83">
        <v>0</v>
      </c>
      <c r="F121" s="34"/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f>SUM(E121-SUM(O121:Q121))</f>
        <v>0</v>
      </c>
      <c r="S121" s="34">
        <v>0</v>
      </c>
      <c r="T121" s="34">
        <v>0</v>
      </c>
      <c r="U121" s="83">
        <v>0</v>
      </c>
      <c r="V121" s="34"/>
      <c r="W121" s="34" t="e">
        <f>SUM(#REF!)</f>
        <v>#REF!</v>
      </c>
      <c r="X121" s="34" t="e">
        <f>SUM(#REF!)</f>
        <v>#REF!</v>
      </c>
      <c r="Y121" s="34" t="e">
        <f>SUM(#REF!)</f>
        <v>#REF!</v>
      </c>
      <c r="Z121" s="34" t="e">
        <f>SUM(#REF!)</f>
        <v>#REF!</v>
      </c>
      <c r="AA121" s="34" t="e">
        <f>SUM(#REF!)</f>
        <v>#REF!</v>
      </c>
      <c r="AB121" s="34" t="e">
        <f>SUM(#REF!)</f>
        <v>#REF!</v>
      </c>
      <c r="AC121" s="34" t="e">
        <f>SUM(#REF!)</f>
        <v>#REF!</v>
      </c>
      <c r="AD121" s="34" t="e">
        <f>SUM(#REF!)</f>
        <v>#REF!</v>
      </c>
      <c r="AE121" s="34" t="e">
        <f>SUM(#REF!)</f>
        <v>#REF!</v>
      </c>
      <c r="AF121" s="34" t="e">
        <f>SUM(#REF!)</f>
        <v>#REF!</v>
      </c>
      <c r="AG121" s="34" t="e">
        <f>SUM(#REF!)</f>
        <v>#REF!</v>
      </c>
      <c r="AH121" s="34" t="e">
        <f>SUM(#REF!)</f>
        <v>#REF!</v>
      </c>
      <c r="AI121" s="34" t="e">
        <f>SUM(#REF!)</f>
        <v>#REF!</v>
      </c>
      <c r="AJ121" s="34">
        <f>SUM(O121:O121)</f>
        <v>0</v>
      </c>
      <c r="AK121" s="34">
        <f>SUM(O121:P121)</f>
        <v>0</v>
      </c>
      <c r="AL121" s="34">
        <f>SUM(O121:Q121)</f>
        <v>0</v>
      </c>
      <c r="AM121" s="34">
        <f t="shared" ref="AM121:AP121" si="246">SUM(O121:R121)</f>
        <v>0</v>
      </c>
      <c r="AN121" s="34">
        <f t="shared" si="246"/>
        <v>0</v>
      </c>
      <c r="AO121" s="34">
        <f t="shared" si="246"/>
        <v>0</v>
      </c>
      <c r="AP121" s="140">
        <f t="shared" si="246"/>
        <v>0</v>
      </c>
      <c r="AQ121" s="12"/>
      <c r="AR121" s="49"/>
    </row>
    <row r="122" spans="2:44">
      <c r="B122" s="91" t="s">
        <v>63</v>
      </c>
      <c r="C122" s="87">
        <f t="shared" ref="C122:J122" si="247">SUM(C120:C121)</f>
        <v>2071.4703762600002</v>
      </c>
      <c r="D122" s="87">
        <f t="shared" si="247"/>
        <v>1694.2696631749998</v>
      </c>
      <c r="E122" s="87">
        <f t="shared" si="247"/>
        <v>2390.125613414999</v>
      </c>
      <c r="F122" s="34"/>
      <c r="G122" s="87">
        <f t="shared" ref="G122:J122" si="248">SUM(G120:G121)</f>
        <v>2071.4703762600002</v>
      </c>
      <c r="H122" s="87">
        <f t="shared" si="248"/>
        <v>1253.2418810100003</v>
      </c>
      <c r="I122" s="87">
        <f t="shared" si="248"/>
        <v>907.76546203000032</v>
      </c>
      <c r="J122" s="87">
        <f t="shared" si="248"/>
        <v>1545.2618214600002</v>
      </c>
      <c r="K122" s="87">
        <f t="shared" ref="K122:N122" si="249">SUM(K120:K121)</f>
        <v>1694.2696631749998</v>
      </c>
      <c r="L122" s="87">
        <f t="shared" si="249"/>
        <v>2162.6125970449993</v>
      </c>
      <c r="M122" s="87">
        <f t="shared" si="249"/>
        <v>1264.0786313449994</v>
      </c>
      <c r="N122" s="87">
        <f t="shared" si="249"/>
        <v>2344.4454159349998</v>
      </c>
      <c r="O122" s="87">
        <f t="shared" ref="O122:U122" si="250">SUM(O120:O121)</f>
        <v>2390.125613414999</v>
      </c>
      <c r="P122" s="87">
        <f t="shared" si="250"/>
        <v>3628.2869187603892</v>
      </c>
      <c r="Q122" s="87">
        <f t="shared" si="250"/>
        <v>3418.336916088514</v>
      </c>
      <c r="R122" s="87">
        <f t="shared" si="250"/>
        <v>3843.0304496403523</v>
      </c>
      <c r="S122" s="87">
        <f t="shared" si="250"/>
        <v>3242.6425060486827</v>
      </c>
      <c r="T122" s="87">
        <f t="shared" si="250"/>
        <v>4055.2399430486826</v>
      </c>
      <c r="U122" s="87">
        <f t="shared" si="250"/>
        <v>6150.2221980486829</v>
      </c>
      <c r="V122" s="34"/>
      <c r="W122" s="138" t="e">
        <f t="shared" ref="W122:AD122" si="251">SUM(W120:W121)</f>
        <v>#REF!</v>
      </c>
      <c r="X122" s="138" t="e">
        <f t="shared" si="251"/>
        <v>#REF!</v>
      </c>
      <c r="Y122" s="138" t="e">
        <f t="shared" si="251"/>
        <v>#REF!</v>
      </c>
      <c r="Z122" s="138" t="e">
        <f t="shared" si="251"/>
        <v>#REF!</v>
      </c>
      <c r="AA122" s="138" t="e">
        <f t="shared" si="251"/>
        <v>#REF!</v>
      </c>
      <c r="AB122" s="138" t="e">
        <f t="shared" si="251"/>
        <v>#REF!</v>
      </c>
      <c r="AC122" s="138" t="e">
        <f t="shared" si="251"/>
        <v>#REF!</v>
      </c>
      <c r="AD122" s="138" t="e">
        <f t="shared" si="251"/>
        <v>#REF!</v>
      </c>
      <c r="AE122" s="138" t="e">
        <f t="shared" ref="AE122:AP122" si="252">SUM(AE120:AE121)</f>
        <v>#REF!</v>
      </c>
      <c r="AF122" s="138" t="e">
        <f t="shared" si="252"/>
        <v>#REF!</v>
      </c>
      <c r="AG122" s="138" t="e">
        <f t="shared" si="252"/>
        <v>#REF!</v>
      </c>
      <c r="AH122" s="138" t="e">
        <f t="shared" si="252"/>
        <v>#REF!</v>
      </c>
      <c r="AI122" s="138" t="e">
        <f t="shared" si="252"/>
        <v>#REF!</v>
      </c>
      <c r="AJ122" s="138" t="e">
        <f t="shared" si="252"/>
        <v>#REF!</v>
      </c>
      <c r="AK122" s="138" t="e">
        <f t="shared" si="252"/>
        <v>#REF!</v>
      </c>
      <c r="AL122" s="138" t="e">
        <f t="shared" si="252"/>
        <v>#REF!</v>
      </c>
      <c r="AM122" s="138" t="e">
        <f t="shared" si="252"/>
        <v>#REF!</v>
      </c>
      <c r="AN122" s="138">
        <f t="shared" si="252"/>
        <v>3628.2869187603892</v>
      </c>
      <c r="AO122" s="138">
        <f t="shared" si="252"/>
        <v>3418.336916088514</v>
      </c>
      <c r="AP122" s="141">
        <f t="shared" si="252"/>
        <v>3843.0304496403523</v>
      </c>
      <c r="AQ122" s="12"/>
      <c r="AR122" s="49"/>
    </row>
    <row r="123" spans="2:44" ht="5.0999999999999996" customHeight="1">
      <c r="B123" s="145"/>
      <c r="C123" s="73"/>
      <c r="D123" s="73"/>
      <c r="E123" s="73"/>
      <c r="F123" s="34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34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142"/>
      <c r="AQ123" s="12"/>
      <c r="AR123" s="49"/>
    </row>
    <row r="124" spans="2:44">
      <c r="B124" s="134" t="s">
        <v>77</v>
      </c>
      <c r="C124" s="83">
        <v>-270.19541731059172</v>
      </c>
      <c r="D124" s="83">
        <v>34.832695387981104</v>
      </c>
      <c r="E124" s="83">
        <v>-200.856717</v>
      </c>
      <c r="F124" s="34"/>
      <c r="G124" s="83">
        <v>-73.183696528480056</v>
      </c>
      <c r="H124" s="83">
        <v>-116.48125618914395</v>
      </c>
      <c r="I124" s="83">
        <v>-80.234851174216033</v>
      </c>
      <c r="J124" s="34">
        <f t="shared" ref="J124" si="253">SUM(C124-SUM(G124:I124))</f>
        <v>-0.29561341875165681</v>
      </c>
      <c r="K124" s="83">
        <v>16.418979939492701</v>
      </c>
      <c r="L124" s="83">
        <v>-26.268321427547097</v>
      </c>
      <c r="M124" s="83">
        <v>-47.524942050883055</v>
      </c>
      <c r="N124" s="34">
        <f t="shared" ref="N124" si="254">SUM(D124-SUM(K124:M124))</f>
        <v>92.206978926918552</v>
      </c>
      <c r="O124" s="83">
        <v>-89.3</v>
      </c>
      <c r="P124" s="83">
        <v>-8.3264739999999993</v>
      </c>
      <c r="Q124" s="83">
        <v>161.2896078</v>
      </c>
      <c r="R124" s="34">
        <f>SUM(E124-SUM(O124:Q124))</f>
        <v>-264.51985079999997</v>
      </c>
      <c r="S124" s="83">
        <v>252.560869</v>
      </c>
      <c r="T124" s="83">
        <v>334.655415</v>
      </c>
      <c r="U124" s="83">
        <v>17.783715999999998</v>
      </c>
      <c r="V124" s="34"/>
      <c r="W124" s="34" t="e">
        <f>SUM(#REF!)</f>
        <v>#REF!</v>
      </c>
      <c r="X124" s="34" t="e">
        <f>SUM(#REF!)</f>
        <v>#REF!</v>
      </c>
      <c r="Y124" s="34" t="e">
        <f>SUM(#REF!)</f>
        <v>#REF!</v>
      </c>
      <c r="Z124" s="34" t="e">
        <f>SUM(#REF!)</f>
        <v>#REF!</v>
      </c>
      <c r="AA124" s="34" t="e">
        <f>SUM(#REF!)</f>
        <v>#REF!</v>
      </c>
      <c r="AB124" s="34" t="e">
        <f>SUM(#REF!)</f>
        <v>#REF!</v>
      </c>
      <c r="AC124" s="34" t="e">
        <f>SUM(#REF!)</f>
        <v>#REF!</v>
      </c>
      <c r="AD124" s="34" t="e">
        <f>SUM(#REF!)</f>
        <v>#REF!</v>
      </c>
      <c r="AE124" s="34" t="e">
        <f>SUM(#REF!)</f>
        <v>#REF!</v>
      </c>
      <c r="AF124" s="34" t="e">
        <f>SUM(#REF!)</f>
        <v>#REF!</v>
      </c>
      <c r="AG124" s="34" t="e">
        <f>SUM(#REF!)</f>
        <v>#REF!</v>
      </c>
      <c r="AH124" s="34" t="e">
        <f>SUM(#REF!)</f>
        <v>#REF!</v>
      </c>
      <c r="AI124" s="34" t="e">
        <f>SUM(#REF!)</f>
        <v>#REF!</v>
      </c>
      <c r="AJ124" s="34">
        <f>SUM(O124:O124)</f>
        <v>-89.3</v>
      </c>
      <c r="AK124" s="34">
        <f>SUM(O124:P124)</f>
        <v>-97.626474000000002</v>
      </c>
      <c r="AL124" s="34">
        <f>SUM(O124:Q124)</f>
        <v>63.663133799999997</v>
      </c>
      <c r="AM124" s="34">
        <f t="shared" ref="AM124:AP125" si="255">SUM(O124:R124)</f>
        <v>-200.85671699999997</v>
      </c>
      <c r="AN124" s="34">
        <f t="shared" si="255"/>
        <v>141.00415200000003</v>
      </c>
      <c r="AO124" s="34">
        <f t="shared" si="255"/>
        <v>483.986041</v>
      </c>
      <c r="AP124" s="140">
        <f t="shared" si="255"/>
        <v>340.48014920000003</v>
      </c>
      <c r="AQ124" s="12"/>
      <c r="AR124" s="49"/>
    </row>
    <row r="125" spans="2:44">
      <c r="B125" s="134" t="s">
        <v>53</v>
      </c>
      <c r="C125" s="34">
        <f>+C117+C105+C99</f>
        <v>-107.00529577440881</v>
      </c>
      <c r="D125" s="34">
        <f>+D117+D105+D99</f>
        <v>661.02325485201823</v>
      </c>
      <c r="E125" s="34">
        <f>+E117+E105+E99</f>
        <v>1053.3736096336843</v>
      </c>
      <c r="F125" s="34"/>
      <c r="G125" s="34">
        <f>+G117+G105+G99</f>
        <v>-745.04479872151978</v>
      </c>
      <c r="H125" s="34">
        <f>+H117+H105+H99</f>
        <v>-228.99516279085597</v>
      </c>
      <c r="I125" s="34">
        <f>+I117+I105+I99</f>
        <v>717.7312106042159</v>
      </c>
      <c r="J125" s="34">
        <f>+J117+J105+J99</f>
        <v>149.3034551337511</v>
      </c>
      <c r="K125" s="34">
        <f>+K117+K105+K99</f>
        <v>451.92395393050714</v>
      </c>
      <c r="L125" s="34">
        <f>+L117+L105+L99</f>
        <v>-872.26564427245285</v>
      </c>
      <c r="M125" s="34">
        <f>+M117+M105+M99</f>
        <v>1127.8917266408832</v>
      </c>
      <c r="N125" s="34">
        <f>+N117+N105+N99</f>
        <v>-46.526781446919315</v>
      </c>
      <c r="O125" s="34">
        <f>+O117+O105+O99</f>
        <v>1327.4613053453904</v>
      </c>
      <c r="P125" s="34">
        <f>+P117+P105+P99</f>
        <v>-201.62352867187499</v>
      </c>
      <c r="Q125" s="34">
        <f>+Q117+Q105+Q99</f>
        <v>263.40392575183836</v>
      </c>
      <c r="R125" s="34">
        <f>+R117+R105+R99</f>
        <v>-335.86809279166971</v>
      </c>
      <c r="S125" s="34">
        <f>+S117+S105+S99</f>
        <v>560.0365680000001</v>
      </c>
      <c r="T125" s="34">
        <f>+T117+T105+T99</f>
        <v>1760.3268400000002</v>
      </c>
      <c r="U125" s="34">
        <f>+U117+U105+U99</f>
        <v>506.63659200000006</v>
      </c>
      <c r="V125" s="34"/>
      <c r="W125" s="34" t="e">
        <f>SUM(#REF!)</f>
        <v>#REF!</v>
      </c>
      <c r="X125" s="34" t="e">
        <f>SUM(#REF!)</f>
        <v>#REF!</v>
      </c>
      <c r="Y125" s="34" t="e">
        <f>SUM(#REF!)</f>
        <v>#REF!</v>
      </c>
      <c r="Z125" s="34" t="e">
        <f>SUM(#REF!)</f>
        <v>#REF!</v>
      </c>
      <c r="AA125" s="34" t="e">
        <f>SUM(#REF!)</f>
        <v>#REF!</v>
      </c>
      <c r="AB125" s="34" t="e">
        <f>SUM(#REF!)</f>
        <v>#REF!</v>
      </c>
      <c r="AC125" s="34" t="e">
        <f>SUM(#REF!)</f>
        <v>#REF!</v>
      </c>
      <c r="AD125" s="34" t="e">
        <f>SUM(#REF!)</f>
        <v>#REF!</v>
      </c>
      <c r="AE125" s="34" t="e">
        <f>SUM(#REF!)</f>
        <v>#REF!</v>
      </c>
      <c r="AF125" s="34" t="e">
        <f>SUM(#REF!)</f>
        <v>#REF!</v>
      </c>
      <c r="AG125" s="34" t="e">
        <f>SUM(#REF!)</f>
        <v>#REF!</v>
      </c>
      <c r="AH125" s="34" t="e">
        <f>SUM(#REF!)</f>
        <v>#REF!</v>
      </c>
      <c r="AI125" s="34" t="e">
        <f>SUM(#REF!)</f>
        <v>#REF!</v>
      </c>
      <c r="AJ125" s="34">
        <f>SUM(O125:O125)</f>
        <v>1327.4613053453904</v>
      </c>
      <c r="AK125" s="34">
        <f>SUM(O125:P125)</f>
        <v>1125.8377766735155</v>
      </c>
      <c r="AL125" s="34">
        <f>SUM(O125:Q125)</f>
        <v>1389.2417024253539</v>
      </c>
      <c r="AM125" s="34">
        <f t="shared" si="255"/>
        <v>1053.3736096336843</v>
      </c>
      <c r="AN125" s="34">
        <f t="shared" si="255"/>
        <v>285.94887228829373</v>
      </c>
      <c r="AO125" s="34">
        <f t="shared" si="255"/>
        <v>2247.8992409601688</v>
      </c>
      <c r="AP125" s="140">
        <f t="shared" si="255"/>
        <v>2491.1319072083306</v>
      </c>
      <c r="AQ125" s="12"/>
      <c r="AR125" s="49"/>
    </row>
    <row r="126" spans="2:44">
      <c r="B126" s="91" t="s">
        <v>64</v>
      </c>
      <c r="C126" s="87">
        <f t="shared" ref="C126:J126" si="256">SUM(C122:C125)</f>
        <v>1694.2696631749998</v>
      </c>
      <c r="D126" s="87">
        <f t="shared" si="256"/>
        <v>2390.125613414999</v>
      </c>
      <c r="E126" s="87">
        <f t="shared" si="256"/>
        <v>3242.6425060486831</v>
      </c>
      <c r="F126" s="34"/>
      <c r="G126" s="87">
        <f t="shared" ref="G126:J126" si="257">SUM(G122:G125)</f>
        <v>1253.2418810100003</v>
      </c>
      <c r="H126" s="87">
        <f t="shared" si="257"/>
        <v>907.76546203000032</v>
      </c>
      <c r="I126" s="87">
        <f t="shared" si="257"/>
        <v>1545.2618214600002</v>
      </c>
      <c r="J126" s="87">
        <f t="shared" si="257"/>
        <v>1694.2696631749998</v>
      </c>
      <c r="K126" s="87">
        <f t="shared" ref="K126:N126" si="258">SUM(K122:K125)</f>
        <v>2162.6125970449993</v>
      </c>
      <c r="L126" s="87">
        <f t="shared" si="258"/>
        <v>1264.0786313449994</v>
      </c>
      <c r="M126" s="87">
        <f t="shared" si="258"/>
        <v>2344.4454159349998</v>
      </c>
      <c r="N126" s="87">
        <f t="shared" si="258"/>
        <v>2390.125613414999</v>
      </c>
      <c r="O126" s="87">
        <f t="shared" ref="O126:U126" si="259">SUM(O122:O125)</f>
        <v>3628.2869187603892</v>
      </c>
      <c r="P126" s="87">
        <f t="shared" si="259"/>
        <v>3418.336916088514</v>
      </c>
      <c r="Q126" s="87">
        <f t="shared" si="259"/>
        <v>3843.0304496403523</v>
      </c>
      <c r="R126" s="87">
        <f t="shared" si="259"/>
        <v>3242.6425060486827</v>
      </c>
      <c r="S126" s="87">
        <f t="shared" si="259"/>
        <v>4055.2399430486826</v>
      </c>
      <c r="T126" s="87">
        <f t="shared" si="259"/>
        <v>6150.2221980486829</v>
      </c>
      <c r="U126" s="87">
        <f t="shared" si="259"/>
        <v>6674.6425060486827</v>
      </c>
      <c r="V126" s="34"/>
      <c r="W126" s="139" t="e">
        <f t="shared" ref="W126:AD126" si="260">SUM(W122:W125)</f>
        <v>#REF!</v>
      </c>
      <c r="X126" s="139" t="e">
        <f t="shared" si="260"/>
        <v>#REF!</v>
      </c>
      <c r="Y126" s="139" t="e">
        <f t="shared" si="260"/>
        <v>#REF!</v>
      </c>
      <c r="Z126" s="139" t="e">
        <f t="shared" si="260"/>
        <v>#REF!</v>
      </c>
      <c r="AA126" s="139" t="e">
        <f t="shared" si="260"/>
        <v>#REF!</v>
      </c>
      <c r="AB126" s="139" t="e">
        <f t="shared" si="260"/>
        <v>#REF!</v>
      </c>
      <c r="AC126" s="139" t="e">
        <f t="shared" si="260"/>
        <v>#REF!</v>
      </c>
      <c r="AD126" s="139" t="e">
        <f t="shared" si="260"/>
        <v>#REF!</v>
      </c>
      <c r="AE126" s="139" t="e">
        <f t="shared" ref="AE126:AP126" si="261">SUM(AE122:AE125)</f>
        <v>#REF!</v>
      </c>
      <c r="AF126" s="139" t="e">
        <f t="shared" si="261"/>
        <v>#REF!</v>
      </c>
      <c r="AG126" s="139" t="e">
        <f t="shared" si="261"/>
        <v>#REF!</v>
      </c>
      <c r="AH126" s="139" t="e">
        <f t="shared" si="261"/>
        <v>#REF!</v>
      </c>
      <c r="AI126" s="139" t="e">
        <f t="shared" si="261"/>
        <v>#REF!</v>
      </c>
      <c r="AJ126" s="139" t="e">
        <f t="shared" si="261"/>
        <v>#REF!</v>
      </c>
      <c r="AK126" s="139" t="e">
        <f t="shared" si="261"/>
        <v>#REF!</v>
      </c>
      <c r="AL126" s="139" t="e">
        <f t="shared" si="261"/>
        <v>#REF!</v>
      </c>
      <c r="AM126" s="139" t="e">
        <f t="shared" si="261"/>
        <v>#REF!</v>
      </c>
      <c r="AN126" s="139">
        <f t="shared" si="261"/>
        <v>4055.239943048683</v>
      </c>
      <c r="AO126" s="139">
        <f t="shared" si="261"/>
        <v>6150.2221980486829</v>
      </c>
      <c r="AP126" s="143">
        <f t="shared" si="261"/>
        <v>6674.6425060486827</v>
      </c>
      <c r="AQ126" s="12"/>
      <c r="AR126" s="49"/>
    </row>
    <row r="127" spans="2:44" ht="5.0999999999999996" customHeight="1">
      <c r="B127" s="92"/>
      <c r="C127" s="68"/>
      <c r="D127" s="68"/>
      <c r="E127" s="68"/>
      <c r="F127" s="34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93"/>
      <c r="AP127" s="93"/>
      <c r="AQ127" s="12"/>
      <c r="AR127" s="49"/>
    </row>
    <row r="128" spans="2:44">
      <c r="B128" s="146" t="s">
        <v>87</v>
      </c>
      <c r="C128" s="89">
        <f>ROUND(C126-C49,0.001)</f>
        <v>0</v>
      </c>
      <c r="D128" s="89">
        <f>ROUND(D126-D49,0.01)</f>
        <v>0</v>
      </c>
      <c r="E128" s="89">
        <f t="shared" ref="E128:U128" si="262">ROUND(E126-E49,0.001)</f>
        <v>0</v>
      </c>
      <c r="F128" s="90"/>
      <c r="G128" s="89">
        <f t="shared" si="262"/>
        <v>0</v>
      </c>
      <c r="H128" s="89">
        <f t="shared" si="262"/>
        <v>0</v>
      </c>
      <c r="I128" s="89">
        <f t="shared" si="262"/>
        <v>0</v>
      </c>
      <c r="J128" s="89">
        <f t="shared" si="262"/>
        <v>0</v>
      </c>
      <c r="K128" s="89">
        <f t="shared" si="262"/>
        <v>0</v>
      </c>
      <c r="L128" s="89">
        <f t="shared" si="262"/>
        <v>0</v>
      </c>
      <c r="M128" s="89">
        <f t="shared" si="262"/>
        <v>0</v>
      </c>
      <c r="N128" s="89">
        <f t="shared" si="262"/>
        <v>0</v>
      </c>
      <c r="O128" s="89">
        <f>ROUND(O126-O49,1)</f>
        <v>-0.7</v>
      </c>
      <c r="P128" s="89">
        <f t="shared" si="262"/>
        <v>-1</v>
      </c>
      <c r="Q128" s="89">
        <f t="shared" si="262"/>
        <v>0</v>
      </c>
      <c r="R128" s="89">
        <f t="shared" si="262"/>
        <v>0</v>
      </c>
      <c r="S128" s="89">
        <f>ROUND(S126-S49,0.001)</f>
        <v>-50</v>
      </c>
      <c r="T128" s="89">
        <f t="shared" si="262"/>
        <v>647</v>
      </c>
      <c r="U128" s="89">
        <f t="shared" si="262"/>
        <v>-120</v>
      </c>
      <c r="V128" s="89"/>
      <c r="W128" s="89" t="e">
        <f>W126-W49</f>
        <v>#REF!</v>
      </c>
      <c r="X128" s="89" t="e">
        <f>X126-X49</f>
        <v>#REF!</v>
      </c>
      <c r="Y128" s="89" t="e">
        <f>Y126-Y49</f>
        <v>#REF!</v>
      </c>
      <c r="Z128" s="89" t="e">
        <f>Z126-Z49</f>
        <v>#REF!</v>
      </c>
      <c r="AA128" s="89" t="e">
        <f>AA126-AA49</f>
        <v>#REF!</v>
      </c>
      <c r="AB128" s="89" t="e">
        <f>AB126-AB49</f>
        <v>#REF!</v>
      </c>
      <c r="AC128" s="89" t="e">
        <f>AC126-AC49</f>
        <v>#REF!</v>
      </c>
      <c r="AD128" s="89" t="e">
        <f>AD126-AD49</f>
        <v>#REF!</v>
      </c>
      <c r="AE128" s="89" t="e">
        <f>AE126-AE49</f>
        <v>#REF!</v>
      </c>
      <c r="AF128" s="89" t="e">
        <f>AF126-AF49</f>
        <v>#REF!</v>
      </c>
      <c r="AG128" s="89" t="e">
        <f>AG126-AG49</f>
        <v>#REF!</v>
      </c>
      <c r="AH128" s="89" t="e">
        <f>AH126-AH49</f>
        <v>#REF!</v>
      </c>
      <c r="AI128" s="89" t="e">
        <f>AI126-AI49</f>
        <v>#REF!</v>
      </c>
      <c r="AJ128" s="89" t="e">
        <f>AJ126-AJ49</f>
        <v>#REF!</v>
      </c>
      <c r="AK128" s="89" t="e">
        <f>AK126-AK49</f>
        <v>#REF!</v>
      </c>
      <c r="AL128" s="89" t="e">
        <f>AL126-AL49</f>
        <v>#REF!</v>
      </c>
      <c r="AM128" s="89" t="e">
        <f>AM126-AM49</f>
        <v>#REF!</v>
      </c>
      <c r="AN128" s="89">
        <f>AN126-AN49</f>
        <v>-49.687864811307008</v>
      </c>
      <c r="AO128" s="89">
        <f>AO126-AO49</f>
        <v>646.60557680868351</v>
      </c>
      <c r="AP128" s="144">
        <f>AP126-AP49</f>
        <v>-120.35749395131734</v>
      </c>
      <c r="AQ128" s="12"/>
      <c r="AR128" s="49"/>
    </row>
    <row r="129" spans="2:44" ht="5.0999999999999996" customHeight="1">
      <c r="B129" s="8"/>
      <c r="C129" s="68"/>
      <c r="D129" s="68"/>
      <c r="E129" s="68"/>
      <c r="F129" s="34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49"/>
    </row>
    <row r="130" spans="2:44" ht="5.0999999999999996" customHeight="1" thickBot="1">
      <c r="B130" s="74"/>
      <c r="C130" s="75"/>
      <c r="D130" s="75"/>
      <c r="E130" s="75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R130" s="49"/>
    </row>
    <row r="131" spans="2:44" ht="12.75" customHeight="1">
      <c r="B131" s="168" t="s">
        <v>83</v>
      </c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33"/>
      <c r="AR131" s="49"/>
    </row>
    <row r="132" spans="2:44" ht="12.75" customHeight="1">
      <c r="B132" s="57"/>
      <c r="C132" s="69"/>
      <c r="D132" s="69"/>
      <c r="E132" s="69"/>
    </row>
    <row r="133" spans="2:44" ht="12.75" customHeight="1">
      <c r="C133" s="60"/>
      <c r="D133" s="60"/>
      <c r="E133" s="60"/>
    </row>
    <row r="134" spans="2:44" ht="12.75" customHeight="1">
      <c r="C134" s="60"/>
      <c r="D134" s="60"/>
      <c r="E134" s="60"/>
    </row>
    <row r="135" spans="2:44" ht="12.75" customHeight="1">
      <c r="C135" s="60"/>
      <c r="D135" s="60"/>
      <c r="E135" s="60"/>
    </row>
    <row r="136" spans="2:44" ht="12.75" customHeight="1">
      <c r="C136" s="60"/>
      <c r="D136" s="60"/>
      <c r="E136" s="60"/>
    </row>
    <row r="137" spans="2:44" ht="12.75" customHeight="1">
      <c r="C137" s="60"/>
      <c r="D137" s="60"/>
      <c r="E137" s="60"/>
      <c r="G137" s="88"/>
      <c r="H137" s="88"/>
      <c r="I137" s="88"/>
      <c r="J137" s="88"/>
      <c r="K137" s="88"/>
      <c r="L137" s="88"/>
      <c r="M137" s="88"/>
      <c r="N137" s="88"/>
      <c r="O137" s="88"/>
      <c r="P137" s="88"/>
    </row>
    <row r="138" spans="2:44" ht="12.75" customHeight="1">
      <c r="C138" s="60"/>
      <c r="D138" s="60"/>
      <c r="E138" s="60"/>
    </row>
    <row r="139" spans="2:44" ht="12.75" customHeight="1">
      <c r="C139" s="60"/>
      <c r="D139" s="60"/>
      <c r="E139" s="60"/>
      <c r="G139" s="88"/>
      <c r="H139" s="88"/>
      <c r="I139" s="88"/>
      <c r="J139" s="88"/>
      <c r="K139" s="88"/>
      <c r="L139" s="88"/>
      <c r="M139" s="88"/>
      <c r="N139" s="88"/>
      <c r="O139" s="88"/>
      <c r="P139" s="88"/>
    </row>
    <row r="140" spans="2:44">
      <c r="G140" s="88"/>
      <c r="H140" s="88"/>
      <c r="I140" s="88"/>
      <c r="J140" s="88"/>
      <c r="K140" s="88"/>
      <c r="L140" s="88"/>
      <c r="M140" s="88"/>
      <c r="N140" s="88"/>
      <c r="O140" s="88"/>
      <c r="P140" s="88"/>
    </row>
    <row r="141" spans="2:44">
      <c r="G141" s="88"/>
      <c r="H141" s="88"/>
      <c r="I141" s="88"/>
      <c r="J141" s="88"/>
      <c r="K141" s="88"/>
      <c r="L141" s="88"/>
      <c r="M141" s="88"/>
      <c r="N141" s="88"/>
      <c r="O141" s="88"/>
      <c r="P141" s="88"/>
    </row>
    <row r="143" spans="2:44">
      <c r="G143" s="88"/>
      <c r="H143" s="88"/>
      <c r="I143" s="88"/>
      <c r="J143" s="88"/>
      <c r="K143" s="88"/>
      <c r="L143" s="88"/>
      <c r="M143" s="88"/>
      <c r="N143" s="88"/>
      <c r="O143" s="88"/>
      <c r="P143" s="88"/>
    </row>
    <row r="144" spans="2:44">
      <c r="G144" s="88"/>
      <c r="H144" s="88"/>
      <c r="I144" s="88"/>
      <c r="J144" s="88"/>
      <c r="K144" s="88"/>
      <c r="L144" s="88"/>
      <c r="M144" s="88"/>
      <c r="N144" s="88"/>
      <c r="O144" s="88"/>
      <c r="P144" s="88"/>
    </row>
  </sheetData>
  <mergeCells count="4">
    <mergeCell ref="B131:AO131"/>
    <mergeCell ref="AR6:AR8"/>
    <mergeCell ref="AR44:AR46"/>
    <mergeCell ref="AR78:AR80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O17:AO18 AO36 F54 AA28:AM30 R102 AE102:AK102 AA31:AM34" formulaRange="1"/>
    <ignoredError sqref="AR106:AR107 AR100:AR101 C17:E18 C28:E29 C31:E33 C35:E37 O17:U18 O27:U29 O35:U37 O31:U33 R30" evalError="1"/>
    <ignoredError sqref="D1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I70"/>
  <sheetViews>
    <sheetView showGridLines="0" zoomScale="130" zoomScaleNormal="130" workbookViewId="0">
      <selection activeCell="B15" sqref="B15"/>
    </sheetView>
  </sheetViews>
  <sheetFormatPr defaultRowHeight="12" outlineLevelCol="1"/>
  <cols>
    <col min="1" max="1" width="1.5" style="8" customWidth="1"/>
    <col min="2" max="2" width="25.125" style="8" bestFit="1" customWidth="1"/>
    <col min="3" max="5" width="8.625" style="8" bestFit="1" customWidth="1"/>
    <col min="6" max="6" width="1.5" style="8" customWidth="1"/>
    <col min="7" max="15" width="8.5" style="8" customWidth="1"/>
    <col min="16" max="16" width="8.25" style="8" bestFit="1" customWidth="1"/>
    <col min="17" max="17" width="8.5" style="8" bestFit="1" customWidth="1"/>
    <col min="18" max="21" width="9.125" style="8" bestFit="1" customWidth="1"/>
    <col min="22" max="22" width="1.5" style="8" customWidth="1"/>
    <col min="23" max="28" width="8.75" style="8" hidden="1" customWidth="1" outlineLevel="1"/>
    <col min="29" max="29" width="8.75" style="8" bestFit="1" customWidth="1" collapsed="1"/>
    <col min="30" max="32" width="8.75" style="8" hidden="1" customWidth="1" outlineLevel="1"/>
    <col min="33" max="33" width="8.75" style="8" bestFit="1" customWidth="1" collapsed="1"/>
    <col min="34" max="34" width="1.5" style="8" customWidth="1"/>
    <col min="35" max="35" width="9.875" style="8" bestFit="1" customWidth="1"/>
    <col min="36" max="16384" width="9" style="8"/>
  </cols>
  <sheetData>
    <row r="2" spans="1:35" s="5" customFormat="1" ht="12.75" customHeight="1">
      <c r="B2" s="1" t="str">
        <f>'Historical Financials'!B2</f>
        <v>Klarna Group plc (KLAR)</v>
      </c>
      <c r="C2" s="2" t="s">
        <v>0</v>
      </c>
      <c r="D2" s="2"/>
      <c r="E2" s="2"/>
      <c r="F2" s="3"/>
      <c r="G2" s="2" t="s">
        <v>1</v>
      </c>
      <c r="H2" s="2" t="s">
        <v>1</v>
      </c>
      <c r="I2" s="2"/>
      <c r="J2" s="2"/>
      <c r="K2" s="2"/>
      <c r="L2" s="2"/>
      <c r="M2" s="2"/>
      <c r="N2" s="2"/>
      <c r="O2" s="2" t="s">
        <v>1</v>
      </c>
      <c r="P2" s="2" t="s">
        <v>1</v>
      </c>
      <c r="Q2" s="2"/>
      <c r="R2" s="2"/>
      <c r="S2" s="2"/>
      <c r="T2" s="2"/>
      <c r="U2" s="2"/>
      <c r="V2" s="3"/>
      <c r="W2" s="2" t="s">
        <v>6</v>
      </c>
      <c r="X2" s="2"/>
      <c r="Y2" s="2"/>
      <c r="Z2" s="2"/>
      <c r="AA2" s="2" t="s">
        <v>6</v>
      </c>
      <c r="AB2" s="2"/>
      <c r="AC2" s="2" t="s">
        <v>6</v>
      </c>
      <c r="AD2" s="2"/>
      <c r="AE2" s="2"/>
      <c r="AF2" s="2"/>
      <c r="AG2" s="2"/>
      <c r="AH2" s="3"/>
      <c r="AI2" s="169" t="s">
        <v>16</v>
      </c>
    </row>
    <row r="3" spans="1:35" s="5" customFormat="1" ht="12.75" customHeight="1">
      <c r="B3" s="6" t="s">
        <v>59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1Q22</v>
      </c>
      <c r="H3" s="7" t="str">
        <f>'Historical Financials'!H7</f>
        <v>2Q22</v>
      </c>
      <c r="I3" s="7" t="str">
        <f>'Historical Financials'!I7</f>
        <v>3Q22</v>
      </c>
      <c r="J3" s="7" t="str">
        <f>'Historical Financials'!J7</f>
        <v>4Q22</v>
      </c>
      <c r="K3" s="7" t="str">
        <f>'Historical Financials'!K7</f>
        <v>1Q23</v>
      </c>
      <c r="L3" s="7" t="str">
        <f>'Historical Financials'!L7</f>
        <v>2Q23</v>
      </c>
      <c r="M3" s="7" t="str">
        <f>'Historical Financials'!M7</f>
        <v>3Q23</v>
      </c>
      <c r="N3" s="7" t="str">
        <f>'Historical Financials'!N7</f>
        <v>4Q23</v>
      </c>
      <c r="O3" s="7" t="str">
        <f>'Historical Financials'!O7</f>
        <v>1Q24</v>
      </c>
      <c r="P3" s="7" t="str">
        <f>'Historical Financials'!P7</f>
        <v>2Q24</v>
      </c>
      <c r="Q3" s="7" t="str">
        <f>'Historical Financials'!Q7</f>
        <v>3Q24</v>
      </c>
      <c r="R3" s="7" t="str">
        <f>'Historical Financials'!R7</f>
        <v>4Q24</v>
      </c>
      <c r="S3" s="7" t="str">
        <f>'Historical Financials'!S7</f>
        <v>1Q25</v>
      </c>
      <c r="T3" s="7" t="str">
        <f>'Historical Financials'!T7</f>
        <v>2Q25</v>
      </c>
      <c r="U3" s="7" t="str">
        <f>'Historical Financials'!U7</f>
        <v>3Q25</v>
      </c>
      <c r="V3" s="4"/>
      <c r="W3" s="4" t="e">
        <f>#REF!</f>
        <v>#REF!</v>
      </c>
      <c r="X3" s="4" t="e">
        <f>#REF!</f>
        <v>#REF!</v>
      </c>
      <c r="Y3" s="4" t="e">
        <f>#REF!</f>
        <v>#REF!</v>
      </c>
      <c r="Z3" s="4" t="e">
        <f>#REF!</f>
        <v>#REF!</v>
      </c>
      <c r="AA3" s="4" t="str">
        <f t="shared" ref="AA3:AF4" si="0">O3</f>
        <v>1Q24</v>
      </c>
      <c r="AB3" s="4" t="str">
        <f t="shared" si="0"/>
        <v>2Q24</v>
      </c>
      <c r="AC3" s="4" t="str">
        <f t="shared" si="0"/>
        <v>3Q24</v>
      </c>
      <c r="AD3" s="4" t="str">
        <f t="shared" si="0"/>
        <v>4Q24</v>
      </c>
      <c r="AE3" s="4" t="str">
        <f t="shared" si="0"/>
        <v>1Q25</v>
      </c>
      <c r="AF3" s="4" t="str">
        <f t="shared" si="0"/>
        <v>2Q25</v>
      </c>
      <c r="AG3" s="4" t="str">
        <f>U3</f>
        <v>3Q25</v>
      </c>
      <c r="AH3" s="3"/>
      <c r="AI3" s="169"/>
    </row>
    <row r="4" spans="1:35" s="5" customFormat="1" ht="12.75" customHeight="1">
      <c r="B4" s="6" t="s">
        <v>66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44651</v>
      </c>
      <c r="H4" s="3">
        <f>'Historical Financials'!H8</f>
        <v>44742</v>
      </c>
      <c r="I4" s="3">
        <f>'Historical Financials'!I8</f>
        <v>44834</v>
      </c>
      <c r="J4" s="3">
        <f>'Historical Financials'!J8</f>
        <v>44926</v>
      </c>
      <c r="K4" s="3">
        <f>'Historical Financials'!K8</f>
        <v>45016</v>
      </c>
      <c r="L4" s="3">
        <f>'Historical Financials'!L8</f>
        <v>45107</v>
      </c>
      <c r="M4" s="3">
        <f>'Historical Financials'!M8</f>
        <v>45199</v>
      </c>
      <c r="N4" s="3">
        <f>'Historical Financials'!N8</f>
        <v>45291</v>
      </c>
      <c r="O4" s="3">
        <f>'Historical Financials'!O8</f>
        <v>45382</v>
      </c>
      <c r="P4" s="3">
        <f>'Historical Financials'!P8</f>
        <v>45473</v>
      </c>
      <c r="Q4" s="3">
        <f>'Historical Financials'!Q8</f>
        <v>45565</v>
      </c>
      <c r="R4" s="3">
        <f>'Historical Financials'!R8</f>
        <v>45657</v>
      </c>
      <c r="S4" s="3">
        <f>'Historical Financials'!S8</f>
        <v>45747</v>
      </c>
      <c r="T4" s="3">
        <f>'Historical Financials'!T8</f>
        <v>45838</v>
      </c>
      <c r="U4" s="3">
        <f>'Historical Financials'!U8</f>
        <v>45930</v>
      </c>
      <c r="V4" s="3"/>
      <c r="W4" s="3" t="e">
        <f>#REF!</f>
        <v>#REF!</v>
      </c>
      <c r="X4" s="3" t="e">
        <f>#REF!</f>
        <v>#REF!</v>
      </c>
      <c r="Y4" s="3" t="e">
        <f>#REF!</f>
        <v>#REF!</v>
      </c>
      <c r="Z4" s="3" t="e">
        <f>#REF!</f>
        <v>#REF!</v>
      </c>
      <c r="AA4" s="3">
        <f t="shared" si="0"/>
        <v>45382</v>
      </c>
      <c r="AB4" s="3">
        <f t="shared" si="0"/>
        <v>45473</v>
      </c>
      <c r="AC4" s="3">
        <f t="shared" si="0"/>
        <v>45565</v>
      </c>
      <c r="AD4" s="3">
        <f t="shared" si="0"/>
        <v>45657</v>
      </c>
      <c r="AE4" s="3">
        <f t="shared" si="0"/>
        <v>45747</v>
      </c>
      <c r="AF4" s="3">
        <f t="shared" si="0"/>
        <v>45838</v>
      </c>
      <c r="AG4" s="3">
        <f>U4</f>
        <v>45930</v>
      </c>
      <c r="AH4" s="3"/>
      <c r="AI4" s="169"/>
    </row>
    <row r="5" spans="1:35" ht="5.0999999999999996" customHeight="1"/>
    <row r="6" spans="1:35">
      <c r="A6" s="38" t="s">
        <v>12</v>
      </c>
      <c r="B6" s="1" t="s">
        <v>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5.0999999999999996" customHeight="1"/>
    <row r="8" spans="1:35" ht="12.75" customHeight="1">
      <c r="A8" s="81"/>
      <c r="B8" s="79" t="s">
        <v>81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7"/>
      <c r="S8" s="11"/>
      <c r="T8" s="11"/>
      <c r="U8" s="11"/>
      <c r="V8" s="5"/>
      <c r="W8" s="12"/>
      <c r="X8" s="12"/>
      <c r="Y8" s="12"/>
      <c r="Z8" s="12"/>
      <c r="AA8" s="12"/>
      <c r="AB8" s="12"/>
      <c r="AC8" s="12"/>
      <c r="AD8" s="12"/>
      <c r="AE8" s="12"/>
      <c r="AF8" s="12"/>
      <c r="AI8" s="13"/>
    </row>
    <row r="9" spans="1:35" ht="12.75" customHeight="1">
      <c r="B9" s="10" t="s">
        <v>98</v>
      </c>
      <c r="C9" s="82">
        <v>1468</v>
      </c>
      <c r="D9" s="82">
        <v>1768</v>
      </c>
      <c r="E9" s="82">
        <v>2136</v>
      </c>
      <c r="F9" s="82"/>
      <c r="G9" s="82">
        <v>344.58813809000003</v>
      </c>
      <c r="H9" s="82">
        <v>369.20095233999905</v>
      </c>
      <c r="I9" s="82">
        <v>331.21869264999998</v>
      </c>
      <c r="J9" s="127">
        <f>SUM(C9-SUM(G9:I9))</f>
        <v>422.99221692000083</v>
      </c>
      <c r="K9" s="82">
        <v>368.13110692000004</v>
      </c>
      <c r="L9" s="82">
        <v>417.98172914999998</v>
      </c>
      <c r="M9" s="82">
        <v>440.43432866999899</v>
      </c>
      <c r="N9" s="127">
        <f>SUM(D9-SUM(K9:M9))</f>
        <v>541.45283526000094</v>
      </c>
      <c r="O9" s="82">
        <v>478.72441600000002</v>
      </c>
      <c r="P9" s="82">
        <v>512.160032</v>
      </c>
      <c r="Q9" s="82">
        <v>544.55103999999994</v>
      </c>
      <c r="R9" s="127">
        <f t="shared" ref="R9:R10" si="1">SUM(E9-SUM(O9:Q9))</f>
        <v>600.56451199999992</v>
      </c>
      <c r="S9" s="82">
        <v>519.314032</v>
      </c>
      <c r="T9" s="82">
        <v>603.94886399999996</v>
      </c>
      <c r="U9" s="82">
        <v>634</v>
      </c>
      <c r="V9" s="12"/>
      <c r="W9" s="12" t="e">
        <f>SUM(#REF!)</f>
        <v>#REF!</v>
      </c>
      <c r="X9" s="12" t="e">
        <f>SUM(#REF!)</f>
        <v>#REF!</v>
      </c>
      <c r="Y9" s="12" t="e">
        <f>SUM(#REF!)</f>
        <v>#REF!</v>
      </c>
      <c r="Z9" s="12" t="e">
        <f>SUM(#REF!)</f>
        <v>#REF!</v>
      </c>
      <c r="AA9" s="12">
        <f>SUM(O9:O9)</f>
        <v>478.72441600000002</v>
      </c>
      <c r="AB9" s="12">
        <f>SUM(O9:P9)</f>
        <v>990.88444800000002</v>
      </c>
      <c r="AC9" s="127">
        <f>SUM(O9:Q9)</f>
        <v>1535.4354880000001</v>
      </c>
      <c r="AD9" s="127">
        <f t="shared" ref="AD9:AG10" si="2">SUM(O9:R9)</f>
        <v>2136</v>
      </c>
      <c r="AE9" s="127">
        <f t="shared" si="2"/>
        <v>2176.5896160000002</v>
      </c>
      <c r="AF9" s="127">
        <f t="shared" si="2"/>
        <v>2268.3784479999995</v>
      </c>
      <c r="AG9" s="127">
        <f t="shared" si="2"/>
        <v>2357.8274080000001</v>
      </c>
      <c r="AI9" s="13">
        <f>SUM(AG9/AC9)-1</f>
        <v>0.53560825344164509</v>
      </c>
    </row>
    <row r="10" spans="1:35" ht="12.75" customHeight="1">
      <c r="B10" s="10" t="s">
        <v>99</v>
      </c>
      <c r="C10" s="82">
        <v>436</v>
      </c>
      <c r="D10" s="82">
        <v>508</v>
      </c>
      <c r="E10" s="82">
        <v>675</v>
      </c>
      <c r="F10" s="82"/>
      <c r="G10" s="82">
        <v>113.29018341999989</v>
      </c>
      <c r="H10" s="82">
        <v>114.24218909</v>
      </c>
      <c r="I10" s="82">
        <v>101.88917383</v>
      </c>
      <c r="J10" s="127">
        <f>SUM(C10-SUM(G10:I10))</f>
        <v>106.57845366000009</v>
      </c>
      <c r="K10" s="82">
        <v>116.02312378000001</v>
      </c>
      <c r="L10" s="82">
        <v>116.0938428099999</v>
      </c>
      <c r="M10" s="82">
        <v>134.34504643</v>
      </c>
      <c r="N10" s="127">
        <f>SUM(D10-SUM(K10:M10))</f>
        <v>141.53798698000014</v>
      </c>
      <c r="O10" s="82">
        <v>156.604276</v>
      </c>
      <c r="P10" s="82">
        <v>163.773652</v>
      </c>
      <c r="Q10" s="82">
        <v>173.80119199999999</v>
      </c>
      <c r="R10" s="127">
        <f t="shared" si="1"/>
        <v>180.82087999999999</v>
      </c>
      <c r="S10" s="82">
        <v>181.82312400000001</v>
      </c>
      <c r="T10" s="82">
        <v>219.15276</v>
      </c>
      <c r="U10" s="82">
        <v>269</v>
      </c>
      <c r="V10" s="12"/>
      <c r="W10" s="12"/>
      <c r="X10" s="12"/>
      <c r="Y10" s="12"/>
      <c r="Z10" s="12"/>
      <c r="AA10" s="12"/>
      <c r="AB10" s="12"/>
      <c r="AC10" s="127">
        <f>SUM(O10:Q10)</f>
        <v>494.17912000000001</v>
      </c>
      <c r="AD10" s="127">
        <f t="shared" si="2"/>
        <v>675</v>
      </c>
      <c r="AE10" s="127">
        <f t="shared" si="2"/>
        <v>700.21884799999998</v>
      </c>
      <c r="AF10" s="127">
        <f t="shared" si="2"/>
        <v>755.59795600000007</v>
      </c>
      <c r="AG10" s="127">
        <f t="shared" si="2"/>
        <v>850.79676399999994</v>
      </c>
      <c r="AI10" s="13">
        <f>SUM(AG10/AC10)-1</f>
        <v>0.72163640584409938</v>
      </c>
    </row>
    <row r="11" spans="1:35" ht="12.75" customHeight="1">
      <c r="B11" s="14" t="s">
        <v>60</v>
      </c>
      <c r="C11" s="36">
        <f>SUM(C9:C10)</f>
        <v>1904</v>
      </c>
      <c r="D11" s="36">
        <f t="shared" ref="D11:E11" si="3">SUM(D9:D10)</f>
        <v>2276</v>
      </c>
      <c r="E11" s="36">
        <f t="shared" si="3"/>
        <v>2811</v>
      </c>
      <c r="F11" s="12"/>
      <c r="G11" s="36">
        <f t="shared" ref="G11:H11" si="4">SUM(G9:G10)</f>
        <v>457.87832150999992</v>
      </c>
      <c r="H11" s="36">
        <f t="shared" si="4"/>
        <v>483.44314142999906</v>
      </c>
      <c r="I11" s="36">
        <f t="shared" ref="I11" si="5">SUM(I9:I10)</f>
        <v>433.10786647999998</v>
      </c>
      <c r="J11" s="36">
        <f t="shared" ref="J11" si="6">SUM(J9:J10)</f>
        <v>529.57067058000098</v>
      </c>
      <c r="K11" s="36">
        <f t="shared" ref="K11" si="7">SUM(K9:K10)</f>
        <v>484.15423070000003</v>
      </c>
      <c r="L11" s="36">
        <f t="shared" ref="L11" si="8">SUM(L9:L10)</f>
        <v>534.07557195999993</v>
      </c>
      <c r="M11" s="36">
        <f t="shared" ref="M11" si="9">SUM(M9:M10)</f>
        <v>574.77937509999902</v>
      </c>
      <c r="N11" s="36">
        <f t="shared" ref="N11" si="10">SUM(N9:N10)</f>
        <v>682.99082224000108</v>
      </c>
      <c r="O11" s="36">
        <f t="shared" ref="O11:U11" si="11">SUM(O9:O10)</f>
        <v>635.32869200000005</v>
      </c>
      <c r="P11" s="36">
        <f t="shared" si="11"/>
        <v>675.93368399999997</v>
      </c>
      <c r="Q11" s="36">
        <f t="shared" si="11"/>
        <v>718.35223199999996</v>
      </c>
      <c r="R11" s="36">
        <f t="shared" si="11"/>
        <v>781.38539199999991</v>
      </c>
      <c r="S11" s="36">
        <f t="shared" si="11"/>
        <v>701.137156</v>
      </c>
      <c r="T11" s="36">
        <f t="shared" si="11"/>
        <v>823.1016239999999</v>
      </c>
      <c r="U11" s="36">
        <f t="shared" si="11"/>
        <v>903</v>
      </c>
      <c r="V11" s="5"/>
      <c r="W11" s="36" t="e">
        <f t="shared" ref="W11:AG11" si="12">SUM(W9:W10)</f>
        <v>#REF!</v>
      </c>
      <c r="X11" s="36" t="e">
        <f t="shared" si="12"/>
        <v>#REF!</v>
      </c>
      <c r="Y11" s="36" t="e">
        <f t="shared" si="12"/>
        <v>#REF!</v>
      </c>
      <c r="Z11" s="36" t="e">
        <f t="shared" si="12"/>
        <v>#REF!</v>
      </c>
      <c r="AA11" s="36">
        <f t="shared" si="12"/>
        <v>478.72441600000002</v>
      </c>
      <c r="AB11" s="36">
        <f t="shared" si="12"/>
        <v>990.88444800000002</v>
      </c>
      <c r="AC11" s="36">
        <f t="shared" si="12"/>
        <v>2029.6146080000001</v>
      </c>
      <c r="AD11" s="36">
        <f t="shared" si="12"/>
        <v>2811</v>
      </c>
      <c r="AE11" s="36">
        <f t="shared" si="12"/>
        <v>2876.8084640000002</v>
      </c>
      <c r="AF11" s="36">
        <f t="shared" si="12"/>
        <v>3023.9764039999995</v>
      </c>
      <c r="AG11" s="36">
        <f t="shared" si="12"/>
        <v>3208.6241719999998</v>
      </c>
      <c r="AI11" s="16">
        <f>SUM(AG11/AC11)-1</f>
        <v>0.58090317213562326</v>
      </c>
    </row>
    <row r="12" spans="1:35">
      <c r="B12" s="135" t="s">
        <v>84</v>
      </c>
      <c r="C12" s="80">
        <f>+C11-'Historical Financials'!C11</f>
        <v>0</v>
      </c>
      <c r="D12" s="80">
        <f>+D11-'Historical Financials'!D11</f>
        <v>0</v>
      </c>
      <c r="E12" s="80">
        <f>+E11-'Historical Financials'!E11</f>
        <v>0</v>
      </c>
      <c r="F12" s="12"/>
      <c r="G12" s="80">
        <f>G11-'Historical Financials'!G11</f>
        <v>0</v>
      </c>
      <c r="H12" s="80">
        <f>H11-'Historical Financials'!H11</f>
        <v>0</v>
      </c>
      <c r="I12" s="80">
        <f>I11-'Historical Financials'!I11</f>
        <v>0</v>
      </c>
      <c r="J12" s="80">
        <f>J11-'Historical Financials'!J11</f>
        <v>0</v>
      </c>
      <c r="K12" s="80">
        <f>K11-'Historical Financials'!K11</f>
        <v>0</v>
      </c>
      <c r="L12" s="80">
        <f>L11-'Historical Financials'!L11</f>
        <v>0</v>
      </c>
      <c r="M12" s="80">
        <f>M11-'Historical Financials'!M11</f>
        <v>0</v>
      </c>
      <c r="N12" s="80">
        <f>N11-'Historical Financials'!N11</f>
        <v>0</v>
      </c>
      <c r="O12" s="80">
        <f>O11-'Historical Financials'!O11</f>
        <v>0</v>
      </c>
      <c r="P12" s="80">
        <f>P11-'Historical Financials'!P11</f>
        <v>0</v>
      </c>
      <c r="Q12" s="80">
        <f>Q11-'Historical Financials'!Q11</f>
        <v>0</v>
      </c>
      <c r="R12" s="80">
        <f>R11-'Historical Financials'!R11</f>
        <v>0</v>
      </c>
      <c r="S12" s="80">
        <f>S11-'Historical Financials'!S11</f>
        <v>0</v>
      </c>
      <c r="T12" s="80">
        <f>T11-'Historical Financials'!T11</f>
        <v>0</v>
      </c>
      <c r="U12" s="80">
        <f>U11-'Historical Financials'!U11</f>
        <v>0</v>
      </c>
      <c r="V12" s="80"/>
      <c r="W12" s="80" t="e">
        <f>+W11-'Historical Financials'!AF11</f>
        <v>#REF!</v>
      </c>
      <c r="X12" s="80" t="e">
        <f>+X11-'Historical Financials'!AG11</f>
        <v>#REF!</v>
      </c>
      <c r="Y12" s="80" t="e">
        <f>+Y11-'Historical Financials'!AH11</f>
        <v>#REF!</v>
      </c>
      <c r="Z12" s="80" t="e">
        <f>+Z11-'Historical Financials'!AI11</f>
        <v>#REF!</v>
      </c>
      <c r="AA12" s="80">
        <f>+AA11-'Historical Financials'!AJ11</f>
        <v>-156.60427600000003</v>
      </c>
      <c r="AB12" s="80">
        <f>+AB11-'Historical Financials'!AK11</f>
        <v>-320.37792800000011</v>
      </c>
      <c r="AC12" s="80">
        <f>+AC11-'Historical Financials'!AL11</f>
        <v>0</v>
      </c>
      <c r="AD12" s="80">
        <f>+AD11-'Historical Financials'!AM11</f>
        <v>0</v>
      </c>
      <c r="AE12" s="80">
        <f>+AE11-'Historical Financials'!AN11</f>
        <v>0</v>
      </c>
      <c r="AF12" s="80">
        <f>+AF11-'Historical Financials'!AO11</f>
        <v>0</v>
      </c>
      <c r="AG12" s="80">
        <f>AG11-'Historical Financials'!AP11</f>
        <v>0</v>
      </c>
      <c r="AI12" s="9"/>
    </row>
    <row r="13" spans="1:35" ht="5.0999999999999996" customHeight="1">
      <c r="B13" s="20"/>
      <c r="C13" s="21"/>
      <c r="D13" s="21"/>
      <c r="E13" s="21"/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I13" s="9"/>
    </row>
    <row r="14" spans="1:35" ht="12.75" customHeight="1">
      <c r="A14" s="81"/>
      <c r="B14" s="79" t="s">
        <v>122</v>
      </c>
      <c r="C14" s="24"/>
      <c r="D14" s="24"/>
      <c r="E14" s="24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7"/>
      <c r="S14" s="11"/>
      <c r="T14" s="11"/>
      <c r="U14" s="11"/>
      <c r="V14" s="5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I14" s="13"/>
    </row>
    <row r="15" spans="1:35" ht="12.75" customHeight="1">
      <c r="B15" s="10" t="s">
        <v>126</v>
      </c>
      <c r="C15" s="127">
        <f>C$9*C22</f>
        <v>1115.68</v>
      </c>
      <c r="D15" s="127">
        <f t="shared" ref="D15:E15" si="13">D$9*D22</f>
        <v>1343.68</v>
      </c>
      <c r="E15" s="127">
        <f t="shared" si="13"/>
        <v>1602</v>
      </c>
      <c r="F15" s="82"/>
      <c r="G15" s="82"/>
      <c r="H15" s="82"/>
      <c r="I15" s="82"/>
      <c r="J15" s="127">
        <f t="shared" ref="J15:J18" si="14">SUM(C15-SUM(G15:I15))</f>
        <v>1115.68</v>
      </c>
      <c r="K15" s="82"/>
      <c r="L15" s="82"/>
      <c r="M15" s="82"/>
      <c r="N15" s="82"/>
      <c r="O15" s="82"/>
      <c r="P15" s="82"/>
      <c r="Q15" s="82"/>
      <c r="R15" s="127">
        <f t="shared" ref="R15:R18" si="15">SUM(E15-SUM(O15:Q15))</f>
        <v>1602</v>
      </c>
      <c r="S15" s="82"/>
      <c r="T15" s="82"/>
      <c r="U15" s="82"/>
      <c r="V15" s="12"/>
      <c r="W15" s="12" t="e">
        <f>SUM(#REF!)</f>
        <v>#REF!</v>
      </c>
      <c r="X15" s="12" t="e">
        <f>SUM(#REF!)</f>
        <v>#REF!</v>
      </c>
      <c r="Y15" s="12" t="e">
        <f>SUM(#REF!)</f>
        <v>#REF!</v>
      </c>
      <c r="Z15" s="12" t="e">
        <f>SUM(#REF!)</f>
        <v>#REF!</v>
      </c>
      <c r="AA15" s="12">
        <f>SUM(O15:O15)</f>
        <v>0</v>
      </c>
      <c r="AB15" s="12">
        <f>SUM(O15:P15)</f>
        <v>0</v>
      </c>
      <c r="AC15" s="127">
        <f>SUM(O15:Q15)</f>
        <v>0</v>
      </c>
      <c r="AD15" s="127">
        <f t="shared" ref="AD15:AD17" si="16">SUM(O15:R15)</f>
        <v>1602</v>
      </c>
      <c r="AE15" s="127">
        <f t="shared" ref="AE15:AE17" si="17">SUM(P15:S15)</f>
        <v>1602</v>
      </c>
      <c r="AF15" s="127">
        <f t="shared" ref="AF15:AF17" si="18">SUM(Q15:T15)</f>
        <v>1602</v>
      </c>
      <c r="AG15" s="127">
        <f t="shared" ref="AG15:AG17" si="19">SUM(R15:U15)</f>
        <v>1602</v>
      </c>
      <c r="AI15" s="13" t="e">
        <f>SUM(AG15/AC15)-1</f>
        <v>#DIV/0!</v>
      </c>
    </row>
    <row r="16" spans="1:35" ht="12.75" customHeight="1">
      <c r="B16" s="10" t="s">
        <v>127</v>
      </c>
      <c r="C16" s="127">
        <f>C$9*C23</f>
        <v>161.47999999999999</v>
      </c>
      <c r="D16" s="127">
        <f>D$9*D23</f>
        <v>159.12</v>
      </c>
      <c r="E16" s="127">
        <f>E$9*E23</f>
        <v>170.88</v>
      </c>
      <c r="F16" s="82"/>
      <c r="G16" s="82"/>
      <c r="H16" s="82"/>
      <c r="I16" s="82"/>
      <c r="J16" s="127">
        <f t="shared" si="14"/>
        <v>161.47999999999999</v>
      </c>
      <c r="K16" s="82"/>
      <c r="L16" s="82"/>
      <c r="M16" s="82"/>
      <c r="N16" s="82"/>
      <c r="O16" s="82"/>
      <c r="P16" s="82"/>
      <c r="Q16" s="82"/>
      <c r="R16" s="127">
        <f t="shared" si="15"/>
        <v>170.88</v>
      </c>
      <c r="S16" s="82"/>
      <c r="T16" s="82"/>
      <c r="U16" s="82"/>
      <c r="V16" s="12"/>
      <c r="W16" s="12"/>
      <c r="X16" s="12"/>
      <c r="Y16" s="12"/>
      <c r="Z16" s="12"/>
      <c r="AA16" s="12"/>
      <c r="AB16" s="12"/>
      <c r="AC16" s="127"/>
      <c r="AD16" s="127"/>
      <c r="AE16" s="127"/>
      <c r="AF16" s="127"/>
      <c r="AG16" s="127"/>
      <c r="AI16" s="13"/>
    </row>
    <row r="17" spans="1:35" ht="12.75" customHeight="1">
      <c r="B17" s="10" t="s">
        <v>128</v>
      </c>
      <c r="C17" s="127">
        <f>C$9*C24</f>
        <v>176.16</v>
      </c>
      <c r="D17" s="127">
        <f>D$9*D24</f>
        <v>229.84</v>
      </c>
      <c r="E17" s="127">
        <f>E$9*E24</f>
        <v>341.76</v>
      </c>
      <c r="F17" s="82"/>
      <c r="G17" s="82"/>
      <c r="H17" s="82"/>
      <c r="I17" s="82"/>
      <c r="J17" s="127">
        <f t="shared" si="14"/>
        <v>176.16</v>
      </c>
      <c r="K17" s="82"/>
      <c r="L17" s="82"/>
      <c r="M17" s="82"/>
      <c r="N17" s="82"/>
      <c r="O17" s="82"/>
      <c r="P17" s="82"/>
      <c r="Q17" s="82"/>
      <c r="R17" s="127">
        <f t="shared" si="15"/>
        <v>341.76</v>
      </c>
      <c r="S17" s="82"/>
      <c r="T17" s="82"/>
      <c r="U17" s="82"/>
      <c r="V17" s="12"/>
      <c r="W17" s="12"/>
      <c r="X17" s="12"/>
      <c r="Y17" s="12"/>
      <c r="Z17" s="12"/>
      <c r="AA17" s="12"/>
      <c r="AB17" s="12"/>
      <c r="AC17" s="127">
        <f>SUM(O17:Q17)</f>
        <v>0</v>
      </c>
      <c r="AD17" s="127">
        <f t="shared" si="16"/>
        <v>341.76</v>
      </c>
      <c r="AE17" s="127">
        <f t="shared" si="17"/>
        <v>341.76</v>
      </c>
      <c r="AF17" s="127">
        <f t="shared" si="18"/>
        <v>341.76</v>
      </c>
      <c r="AG17" s="127">
        <f t="shared" si="19"/>
        <v>341.76</v>
      </c>
      <c r="AI17" s="13" t="e">
        <f>SUM(AG17/AC17)-1</f>
        <v>#DIV/0!</v>
      </c>
    </row>
    <row r="18" spans="1:35" ht="12.75" customHeight="1">
      <c r="B18" s="136" t="s">
        <v>130</v>
      </c>
      <c r="C18" s="127">
        <f>+SUM(C9-SUM(C15:C17))</f>
        <v>14.679999999999836</v>
      </c>
      <c r="D18" s="127">
        <f t="shared" ref="D18:E18" si="20">+SUM(D9-SUM(D15:D17))</f>
        <v>35.3599999999999</v>
      </c>
      <c r="E18" s="127">
        <f t="shared" si="20"/>
        <v>21.359999999999673</v>
      </c>
      <c r="F18" s="82"/>
      <c r="G18" s="82"/>
      <c r="H18" s="82"/>
      <c r="I18" s="82"/>
      <c r="J18" s="127">
        <f t="shared" si="14"/>
        <v>14.679999999999836</v>
      </c>
      <c r="K18" s="82"/>
      <c r="L18" s="82"/>
      <c r="M18" s="82"/>
      <c r="N18" s="82"/>
      <c r="O18" s="82"/>
      <c r="P18" s="82"/>
      <c r="Q18" s="82"/>
      <c r="R18" s="127">
        <f t="shared" si="15"/>
        <v>21.359999999999673</v>
      </c>
      <c r="S18" s="82"/>
      <c r="T18" s="82"/>
      <c r="U18" s="82"/>
      <c r="V18" s="12"/>
      <c r="W18" s="12"/>
      <c r="X18" s="12"/>
      <c r="Y18" s="12"/>
      <c r="Z18" s="12"/>
      <c r="AA18" s="12"/>
      <c r="AB18" s="12"/>
      <c r="AC18" s="127"/>
      <c r="AD18" s="127"/>
      <c r="AE18" s="127"/>
      <c r="AF18" s="127"/>
      <c r="AG18" s="127"/>
      <c r="AI18" s="13"/>
    </row>
    <row r="19" spans="1:35" ht="12.75" customHeight="1">
      <c r="B19" s="14" t="s">
        <v>129</v>
      </c>
      <c r="C19" s="36">
        <f>SUM(C15:C18)</f>
        <v>1468</v>
      </c>
      <c r="D19" s="36">
        <f t="shared" ref="D19:E19" si="21">SUM(D15:D18)</f>
        <v>1768</v>
      </c>
      <c r="E19" s="36">
        <f t="shared" si="21"/>
        <v>2136</v>
      </c>
      <c r="F19" s="12"/>
      <c r="G19" s="36">
        <f t="shared" ref="G19" si="22">SUM(G15:G17)</f>
        <v>0</v>
      </c>
      <c r="H19" s="36">
        <f t="shared" ref="H19:N19" si="23">SUM(H15:H17)</f>
        <v>0</v>
      </c>
      <c r="I19" s="36">
        <f t="shared" si="23"/>
        <v>0</v>
      </c>
      <c r="J19" s="36">
        <f t="shared" si="23"/>
        <v>1453.3200000000002</v>
      </c>
      <c r="K19" s="36">
        <f t="shared" si="23"/>
        <v>0</v>
      </c>
      <c r="L19" s="36">
        <f t="shared" si="23"/>
        <v>0</v>
      </c>
      <c r="M19" s="36">
        <f t="shared" si="23"/>
        <v>0</v>
      </c>
      <c r="N19" s="36">
        <f t="shared" si="23"/>
        <v>0</v>
      </c>
      <c r="O19" s="36">
        <f t="shared" ref="O19:U19" si="24">SUM(O15:O17)</f>
        <v>0</v>
      </c>
      <c r="P19" s="36">
        <f t="shared" si="24"/>
        <v>0</v>
      </c>
      <c r="Q19" s="36">
        <f t="shared" si="24"/>
        <v>0</v>
      </c>
      <c r="R19" s="36">
        <f t="shared" si="24"/>
        <v>2114.6400000000003</v>
      </c>
      <c r="S19" s="36">
        <f t="shared" si="24"/>
        <v>0</v>
      </c>
      <c r="T19" s="36">
        <f t="shared" si="24"/>
        <v>0</v>
      </c>
      <c r="U19" s="36">
        <f t="shared" si="24"/>
        <v>0</v>
      </c>
      <c r="V19" s="5"/>
      <c r="W19" s="36" t="e">
        <f t="shared" ref="W19:AG19" si="25">SUM(W15:W17)</f>
        <v>#REF!</v>
      </c>
      <c r="X19" s="36" t="e">
        <f t="shared" si="25"/>
        <v>#REF!</v>
      </c>
      <c r="Y19" s="36" t="e">
        <f t="shared" si="25"/>
        <v>#REF!</v>
      </c>
      <c r="Z19" s="36" t="e">
        <f t="shared" si="25"/>
        <v>#REF!</v>
      </c>
      <c r="AA19" s="36">
        <f t="shared" si="25"/>
        <v>0</v>
      </c>
      <c r="AB19" s="36">
        <f t="shared" si="25"/>
        <v>0</v>
      </c>
      <c r="AC19" s="36">
        <f t="shared" si="25"/>
        <v>0</v>
      </c>
      <c r="AD19" s="36">
        <f t="shared" si="25"/>
        <v>1943.76</v>
      </c>
      <c r="AE19" s="36">
        <f t="shared" si="25"/>
        <v>1943.76</v>
      </c>
      <c r="AF19" s="36">
        <f t="shared" si="25"/>
        <v>1943.76</v>
      </c>
      <c r="AG19" s="36">
        <f t="shared" si="25"/>
        <v>1943.76</v>
      </c>
      <c r="AI19" s="16" t="e">
        <f>SUM(AG19/AC19)-1</f>
        <v>#DIV/0!</v>
      </c>
    </row>
    <row r="20" spans="1:35">
      <c r="B20" s="135" t="s">
        <v>84</v>
      </c>
      <c r="C20" s="80">
        <f>+C19-C9</f>
        <v>0</v>
      </c>
      <c r="D20" s="80">
        <f t="shared" ref="D20:E20" si="26">+D19-D9</f>
        <v>0</v>
      </c>
      <c r="E20" s="80">
        <f t="shared" si="26"/>
        <v>0</v>
      </c>
      <c r="F20" s="12"/>
      <c r="G20" s="80" t="e">
        <f>G19-'Historical Financials'!#REF!</f>
        <v>#REF!</v>
      </c>
      <c r="H20" s="80" t="e">
        <f>H19-'Historical Financials'!#REF!</f>
        <v>#REF!</v>
      </c>
      <c r="I20" s="80" t="e">
        <f>I19-'Historical Financials'!#REF!</f>
        <v>#REF!</v>
      </c>
      <c r="J20" s="80" t="e">
        <f>J19-'Historical Financials'!#REF!</f>
        <v>#REF!</v>
      </c>
      <c r="K20" s="80" t="e">
        <f>K19-'Historical Financials'!#REF!</f>
        <v>#REF!</v>
      </c>
      <c r="L20" s="80" t="e">
        <f>L19-'Historical Financials'!#REF!</f>
        <v>#REF!</v>
      </c>
      <c r="M20" s="80" t="e">
        <f>M19-'Historical Financials'!#REF!</f>
        <v>#REF!</v>
      </c>
      <c r="N20" s="80" t="e">
        <f>N19-'Historical Financials'!#REF!</f>
        <v>#REF!</v>
      </c>
      <c r="O20" s="80" t="e">
        <f>O19-'Historical Financials'!#REF!</f>
        <v>#REF!</v>
      </c>
      <c r="P20" s="80" t="e">
        <f>P19-'Historical Financials'!#REF!</f>
        <v>#REF!</v>
      </c>
      <c r="Q20" s="80" t="e">
        <f>Q19-'Historical Financials'!#REF!</f>
        <v>#REF!</v>
      </c>
      <c r="R20" s="80" t="e">
        <f>R19-'Historical Financials'!#REF!</f>
        <v>#REF!</v>
      </c>
      <c r="S20" s="80" t="e">
        <f>S19-'Historical Financials'!#REF!</f>
        <v>#REF!</v>
      </c>
      <c r="T20" s="80" t="e">
        <f>T19-'Historical Financials'!#REF!</f>
        <v>#REF!</v>
      </c>
      <c r="U20" s="80" t="e">
        <f>U19-'Historical Financials'!#REF!</f>
        <v>#REF!</v>
      </c>
      <c r="V20" s="80"/>
      <c r="W20" s="80" t="e">
        <f>+W19-'Historical Financials'!#REF!</f>
        <v>#REF!</v>
      </c>
      <c r="X20" s="80" t="e">
        <f>+X19-'Historical Financials'!#REF!</f>
        <v>#REF!</v>
      </c>
      <c r="Y20" s="80" t="e">
        <f>+Y19-'Historical Financials'!#REF!</f>
        <v>#REF!</v>
      </c>
      <c r="Z20" s="80" t="e">
        <f>+Z19-'Historical Financials'!#REF!</f>
        <v>#REF!</v>
      </c>
      <c r="AA20" s="80" t="e">
        <f>+AA19-'Historical Financials'!#REF!</f>
        <v>#REF!</v>
      </c>
      <c r="AB20" s="80" t="e">
        <f>+AB19-'Historical Financials'!#REF!</f>
        <v>#REF!</v>
      </c>
      <c r="AC20" s="80" t="e">
        <f>+AC19-'Historical Financials'!#REF!</f>
        <v>#REF!</v>
      </c>
      <c r="AD20" s="80" t="e">
        <f>+AD19-'Historical Financials'!#REF!</f>
        <v>#REF!</v>
      </c>
      <c r="AE20" s="80" t="e">
        <f>+AE19-'Historical Financials'!#REF!</f>
        <v>#REF!</v>
      </c>
      <c r="AF20" s="80" t="e">
        <f>+AF19-'Historical Financials'!#REF!</f>
        <v>#REF!</v>
      </c>
      <c r="AG20" s="80" t="e">
        <f>AG19-'Historical Financials'!#REF!</f>
        <v>#REF!</v>
      </c>
      <c r="AI20" s="9"/>
    </row>
    <row r="21" spans="1:35" ht="5.0999999999999996" customHeight="1">
      <c r="B21" s="20"/>
      <c r="C21" s="21"/>
      <c r="D21" s="21"/>
      <c r="E21" s="21"/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I21" s="9"/>
    </row>
    <row r="22" spans="1:35">
      <c r="B22" s="160" t="s">
        <v>123</v>
      </c>
      <c r="C22" s="158">
        <v>0.76</v>
      </c>
      <c r="D22" s="158">
        <v>0.76</v>
      </c>
      <c r="E22" s="158">
        <v>0.75</v>
      </c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9"/>
    </row>
    <row r="23" spans="1:35">
      <c r="B23" s="161" t="s">
        <v>124</v>
      </c>
      <c r="C23" s="154">
        <v>0.11</v>
      </c>
      <c r="D23" s="154">
        <v>0.09</v>
      </c>
      <c r="E23" s="154">
        <v>0.08</v>
      </c>
      <c r="AG23" s="156"/>
    </row>
    <row r="24" spans="1:35">
      <c r="B24" s="162" t="s">
        <v>125</v>
      </c>
      <c r="C24" s="155">
        <v>0.12</v>
      </c>
      <c r="D24" s="155">
        <v>0.13</v>
      </c>
      <c r="E24" s="155">
        <v>0.16</v>
      </c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7"/>
    </row>
    <row r="25" spans="1:35">
      <c r="B25" s="20"/>
      <c r="C25" s="21"/>
      <c r="D25" s="21"/>
      <c r="E25" s="21"/>
      <c r="F25" s="2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I25" s="9"/>
    </row>
    <row r="26" spans="1:35" ht="12.75" customHeight="1">
      <c r="A26" s="81"/>
      <c r="B26" s="79" t="s">
        <v>128</v>
      </c>
      <c r="C26" s="24"/>
      <c r="D26" s="24"/>
      <c r="E26" s="24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7"/>
      <c r="S26" s="11"/>
      <c r="T26" s="11"/>
      <c r="U26" s="11"/>
      <c r="V26" s="5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I26" s="13"/>
    </row>
    <row r="27" spans="1:35" ht="12.75" customHeight="1">
      <c r="B27" s="10" t="s">
        <v>131</v>
      </c>
      <c r="C27" s="127">
        <f>C$17*C32</f>
        <v>165.59039999999999</v>
      </c>
      <c r="D27" s="127">
        <f t="shared" ref="D27:E28" si="27">D$17*D32</f>
        <v>190.7672</v>
      </c>
      <c r="E27" s="127">
        <f t="shared" si="27"/>
        <v>252.9024</v>
      </c>
      <c r="F27" s="82"/>
      <c r="G27" s="82"/>
      <c r="H27" s="82"/>
      <c r="I27" s="82"/>
      <c r="J27" s="127">
        <f t="shared" ref="J27:J28" si="28">SUM(C27-SUM(G27:I27))</f>
        <v>165.59039999999999</v>
      </c>
      <c r="K27" s="82"/>
      <c r="L27" s="82"/>
      <c r="M27" s="82"/>
      <c r="N27" s="82"/>
      <c r="O27" s="82"/>
      <c r="P27" s="82"/>
      <c r="Q27" s="82"/>
      <c r="R27" s="127">
        <f t="shared" ref="R27:R28" si="29">SUM(E27-SUM(O27:Q27))</f>
        <v>252.9024</v>
      </c>
      <c r="S27" s="82"/>
      <c r="T27" s="82"/>
      <c r="U27" s="82"/>
      <c r="V27" s="12"/>
      <c r="W27" s="12"/>
      <c r="X27" s="12"/>
      <c r="Y27" s="12"/>
      <c r="Z27" s="12"/>
      <c r="AA27" s="12"/>
      <c r="AB27" s="12"/>
      <c r="AC27" s="127">
        <f>SUM(O27:Q27)</f>
        <v>0</v>
      </c>
      <c r="AD27" s="127">
        <f t="shared" ref="AD27" si="30">SUM(O27:R27)</f>
        <v>252.9024</v>
      </c>
      <c r="AE27" s="127">
        <f t="shared" ref="AE27" si="31">SUM(P27:S27)</f>
        <v>252.9024</v>
      </c>
      <c r="AF27" s="127">
        <f t="shared" ref="AF27" si="32">SUM(Q27:T27)</f>
        <v>252.9024</v>
      </c>
      <c r="AG27" s="127">
        <f t="shared" ref="AG27" si="33">SUM(R27:U27)</f>
        <v>252.9024</v>
      </c>
      <c r="AI27" s="13" t="e">
        <f>SUM(AG27/AC27)-1</f>
        <v>#DIV/0!</v>
      </c>
    </row>
    <row r="28" spans="1:35" ht="12.75" customHeight="1">
      <c r="B28" s="10" t="s">
        <v>132</v>
      </c>
      <c r="C28" s="127">
        <f>C$17*C33</f>
        <v>10.569600000000008</v>
      </c>
      <c r="D28" s="127">
        <f t="shared" si="27"/>
        <v>39.072800000000008</v>
      </c>
      <c r="E28" s="127">
        <f t="shared" si="27"/>
        <v>88.857600000000005</v>
      </c>
      <c r="F28" s="82"/>
      <c r="G28" s="82"/>
      <c r="H28" s="82"/>
      <c r="I28" s="82"/>
      <c r="J28" s="127">
        <f t="shared" si="28"/>
        <v>10.569600000000008</v>
      </c>
      <c r="K28" s="82"/>
      <c r="L28" s="82"/>
      <c r="M28" s="82"/>
      <c r="N28" s="82"/>
      <c r="O28" s="82"/>
      <c r="P28" s="82"/>
      <c r="Q28" s="82"/>
      <c r="R28" s="127">
        <f t="shared" si="29"/>
        <v>88.857600000000005</v>
      </c>
      <c r="S28" s="82"/>
      <c r="T28" s="82"/>
      <c r="U28" s="82"/>
      <c r="V28" s="12"/>
      <c r="W28" s="12"/>
      <c r="X28" s="12"/>
      <c r="Y28" s="12"/>
      <c r="Z28" s="12"/>
      <c r="AA28" s="12"/>
      <c r="AB28" s="12"/>
      <c r="AC28" s="127"/>
      <c r="AD28" s="127"/>
      <c r="AE28" s="127"/>
      <c r="AF28" s="127"/>
      <c r="AG28" s="127"/>
      <c r="AI28" s="13"/>
    </row>
    <row r="29" spans="1:35" ht="12.75" customHeight="1">
      <c r="B29" s="14" t="s">
        <v>129</v>
      </c>
      <c r="C29" s="36">
        <f>SUM(C27:C28)</f>
        <v>176.16</v>
      </c>
      <c r="D29" s="36">
        <f>SUM(D27:D28)</f>
        <v>229.84</v>
      </c>
      <c r="E29" s="36">
        <f>SUM(E27:E28)</f>
        <v>341.76</v>
      </c>
      <c r="F29" s="12"/>
      <c r="G29" s="36">
        <f t="shared" ref="G29" si="34">SUM(G27:G27)</f>
        <v>0</v>
      </c>
      <c r="H29" s="36">
        <f t="shared" ref="H29:N29" si="35">SUM(H27:H27)</f>
        <v>0</v>
      </c>
      <c r="I29" s="36">
        <f t="shared" si="35"/>
        <v>0</v>
      </c>
      <c r="J29" s="36">
        <f t="shared" si="35"/>
        <v>165.59039999999999</v>
      </c>
      <c r="K29" s="36">
        <f t="shared" si="35"/>
        <v>0</v>
      </c>
      <c r="L29" s="36">
        <f t="shared" si="35"/>
        <v>0</v>
      </c>
      <c r="M29" s="36">
        <f t="shared" si="35"/>
        <v>0</v>
      </c>
      <c r="N29" s="36">
        <f t="shared" si="35"/>
        <v>0</v>
      </c>
      <c r="O29" s="36">
        <f t="shared" ref="O29:U29" si="36">SUM(O27:O27)</f>
        <v>0</v>
      </c>
      <c r="P29" s="36">
        <f t="shared" si="36"/>
        <v>0</v>
      </c>
      <c r="Q29" s="36">
        <f t="shared" si="36"/>
        <v>0</v>
      </c>
      <c r="R29" s="36">
        <f t="shared" si="36"/>
        <v>252.9024</v>
      </c>
      <c r="S29" s="36">
        <f t="shared" si="36"/>
        <v>0</v>
      </c>
      <c r="T29" s="36">
        <f t="shared" si="36"/>
        <v>0</v>
      </c>
      <c r="U29" s="36">
        <f t="shared" si="36"/>
        <v>0</v>
      </c>
      <c r="V29" s="5"/>
      <c r="W29" s="36">
        <f t="shared" ref="W29:AG29" si="37">SUM(W27:W27)</f>
        <v>0</v>
      </c>
      <c r="X29" s="36">
        <f t="shared" si="37"/>
        <v>0</v>
      </c>
      <c r="Y29" s="36">
        <f t="shared" si="37"/>
        <v>0</v>
      </c>
      <c r="Z29" s="36">
        <f t="shared" si="37"/>
        <v>0</v>
      </c>
      <c r="AA29" s="36">
        <f t="shared" si="37"/>
        <v>0</v>
      </c>
      <c r="AB29" s="36">
        <f t="shared" si="37"/>
        <v>0</v>
      </c>
      <c r="AC29" s="36">
        <f t="shared" si="37"/>
        <v>0</v>
      </c>
      <c r="AD29" s="36">
        <f t="shared" si="37"/>
        <v>252.9024</v>
      </c>
      <c r="AE29" s="36">
        <f t="shared" si="37"/>
        <v>252.9024</v>
      </c>
      <c r="AF29" s="36">
        <f t="shared" si="37"/>
        <v>252.9024</v>
      </c>
      <c r="AG29" s="36">
        <f t="shared" si="37"/>
        <v>252.9024</v>
      </c>
      <c r="AI29" s="16" t="e">
        <f>SUM(AG29/AC29)-1</f>
        <v>#DIV/0!</v>
      </c>
    </row>
    <row r="30" spans="1:35">
      <c r="B30" s="135" t="s">
        <v>84</v>
      </c>
      <c r="C30" s="80">
        <f t="shared" ref="C30:D30" si="38">C29-C17</f>
        <v>0</v>
      </c>
      <c r="D30" s="80">
        <f t="shared" si="38"/>
        <v>0</v>
      </c>
      <c r="E30" s="80">
        <f>E29-E17</f>
        <v>0</v>
      </c>
      <c r="F30" s="12"/>
      <c r="G30" s="80">
        <f>G29-'Historical Financials'!G31</f>
        <v>283.61092827999983</v>
      </c>
      <c r="H30" s="80">
        <f>H29-'Historical Financials'!H31</f>
        <v>382.77899646000088</v>
      </c>
      <c r="I30" s="80">
        <f>I29-'Historical Financials'!I31</f>
        <v>189.48449140999992</v>
      </c>
      <c r="J30" s="80">
        <f>J29-'Historical Financials'!J31</f>
        <v>347.28561830999934</v>
      </c>
      <c r="K30" s="80">
        <f>K29-'Historical Financials'!K31</f>
        <v>98.537746220000216</v>
      </c>
      <c r="L30" s="80">
        <f>L29-'Historical Financials'!L31</f>
        <v>81.56034570999924</v>
      </c>
      <c r="M30" s="80">
        <f>M29-'Historical Financials'!M31</f>
        <v>-3.6936898299995278</v>
      </c>
      <c r="N30" s="80">
        <f>N29-'Historical Financials'!N31</f>
        <v>128.0074866899989</v>
      </c>
      <c r="O30" s="80">
        <f>O29-'Historical Financials'!O31</f>
        <v>25.474493330234374</v>
      </c>
      <c r="P30" s="80">
        <f>P29-'Historical Financials'!P31</f>
        <v>2.7472886899999569</v>
      </c>
      <c r="Q30" s="80">
        <f>Q29-'Historical Financials'!Q31</f>
        <v>-14.727672666249934</v>
      </c>
      <c r="R30" s="80">
        <f>R29-'Historical Financials'!R31</f>
        <v>206.02340685601573</v>
      </c>
      <c r="S30" s="80">
        <f>S29-'Historical Financials'!S31</f>
        <v>91.374324562812475</v>
      </c>
      <c r="T30" s="80">
        <f>T29-'Historical Financials'!T31</f>
        <v>45.839025177734463</v>
      </c>
      <c r="U30" s="80">
        <f>U29-'Historical Financials'!U31</f>
        <v>88</v>
      </c>
      <c r="V30" s="80"/>
      <c r="W30" s="80" t="e">
        <f>+W29-'Historical Financials'!AF31</f>
        <v>#REF!</v>
      </c>
      <c r="X30" s="80" t="e">
        <f>+X29-'Historical Financials'!AG31</f>
        <v>#REF!</v>
      </c>
      <c r="Y30" s="80" t="e">
        <f>+Y29-'Historical Financials'!AH31</f>
        <v>#REF!</v>
      </c>
      <c r="Z30" s="80" t="e">
        <f>+Z29-'Historical Financials'!AI31</f>
        <v>#REF!</v>
      </c>
      <c r="AA30" s="80">
        <f>+AA29-'Historical Financials'!AJ31</f>
        <v>-509.75696800976561</v>
      </c>
      <c r="AB30" s="80">
        <f>+AB29-'Historical Financials'!AK31</f>
        <v>-1044.9637525097658</v>
      </c>
      <c r="AC30" s="80">
        <f>+AC29-'Historical Financials'!AL31</f>
        <v>13.494109353984225</v>
      </c>
      <c r="AD30" s="80">
        <f>+AD29-'Historical Financials'!AM31</f>
        <v>219.51751620999977</v>
      </c>
      <c r="AE30" s="80">
        <f>+AE29-'Historical Financials'!AN31</f>
        <v>285.41734744257832</v>
      </c>
      <c r="AF30" s="80">
        <f>+AF29-'Historical Financials'!AO31</f>
        <v>328.50908393031244</v>
      </c>
      <c r="AG30" s="80">
        <f>AG29-'Historical Financials'!AP31</f>
        <v>431.23675659656266</v>
      </c>
      <c r="AI30" s="9"/>
    </row>
    <row r="31" spans="1:35" ht="5.0999999999999996" customHeight="1">
      <c r="B31" s="20"/>
      <c r="C31" s="21"/>
      <c r="D31" s="21"/>
      <c r="E31" s="21"/>
      <c r="F31" s="2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I31" s="9"/>
    </row>
    <row r="32" spans="1:35">
      <c r="B32" s="160" t="s">
        <v>123</v>
      </c>
      <c r="C32" s="158">
        <v>0.94</v>
      </c>
      <c r="D32" s="158">
        <v>0.83</v>
      </c>
      <c r="E32" s="158">
        <v>0.74</v>
      </c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9"/>
    </row>
    <row r="33" spans="1:35">
      <c r="B33" s="162" t="s">
        <v>125</v>
      </c>
      <c r="C33" s="163">
        <f t="shared" ref="C33:D33" si="39">1-C32</f>
        <v>6.0000000000000053E-2</v>
      </c>
      <c r="D33" s="163">
        <f t="shared" si="39"/>
        <v>0.17000000000000004</v>
      </c>
      <c r="E33" s="163">
        <f>1-E32</f>
        <v>0.26</v>
      </c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7"/>
    </row>
    <row r="34" spans="1:35" ht="5.0999999999999996" customHeight="1">
      <c r="B34" s="20"/>
      <c r="C34" s="21"/>
      <c r="D34" s="21"/>
      <c r="E34" s="21"/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I34" s="9"/>
    </row>
    <row r="35" spans="1:35">
      <c r="A35" s="38" t="s">
        <v>12</v>
      </c>
      <c r="B35" s="1" t="s">
        <v>107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5.0999999999999996" customHeight="1"/>
    <row r="37" spans="1:35" ht="12.75" customHeight="1">
      <c r="A37" s="81"/>
      <c r="B37" s="79" t="s">
        <v>121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5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I37" s="13"/>
    </row>
    <row r="38" spans="1:35" ht="12.75" customHeight="1">
      <c r="A38" s="81"/>
      <c r="B38" s="10" t="s">
        <v>112</v>
      </c>
      <c r="C38" s="82">
        <v>75239</v>
      </c>
      <c r="D38" s="82">
        <v>84642</v>
      </c>
      <c r="E38" s="82">
        <v>95623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7">
        <f>SUM(E38-SUM(O38:Q38))</f>
        <v>95623</v>
      </c>
      <c r="S38" s="11"/>
      <c r="T38" s="11"/>
      <c r="U38" s="11"/>
      <c r="V38" s="5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I38" s="13"/>
    </row>
    <row r="39" spans="1:35" ht="12.75" customHeight="1">
      <c r="B39" s="10" t="s">
        <v>113</v>
      </c>
      <c r="C39" s="82">
        <v>7598</v>
      </c>
      <c r="D39" s="82">
        <v>7823</v>
      </c>
      <c r="E39" s="82">
        <v>9392</v>
      </c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127">
        <f>SUM(E39-SUM(O39:Q39))</f>
        <v>9392</v>
      </c>
      <c r="S39" s="82"/>
      <c r="T39" s="82"/>
      <c r="U39" s="82"/>
      <c r="V39" s="12"/>
      <c r="W39" s="12" t="e">
        <f>SUM(#REF!)</f>
        <v>#REF!</v>
      </c>
      <c r="X39" s="12" t="e">
        <f>SUM(#REF!)</f>
        <v>#REF!</v>
      </c>
      <c r="Y39" s="12" t="e">
        <f>SUM(#REF!)</f>
        <v>#REF!</v>
      </c>
      <c r="Z39" s="12" t="e">
        <f>SUM(#REF!)</f>
        <v>#REF!</v>
      </c>
      <c r="AA39" s="12">
        <f>SUM(O39:O39)</f>
        <v>0</v>
      </c>
      <c r="AB39" s="12">
        <f>SUM(O39:P39)</f>
        <v>0</v>
      </c>
      <c r="AC39" s="12">
        <f>SUM(O39:Q39)</f>
        <v>0</v>
      </c>
      <c r="AD39" s="12">
        <f t="shared" ref="AD39:AG39" si="40">SUM(O39:R39)</f>
        <v>9392</v>
      </c>
      <c r="AE39" s="12">
        <f t="shared" si="40"/>
        <v>9392</v>
      </c>
      <c r="AF39" s="12">
        <f t="shared" si="40"/>
        <v>9392</v>
      </c>
      <c r="AG39" s="12">
        <f t="shared" si="40"/>
        <v>9392</v>
      </c>
      <c r="AI39" s="13" t="e">
        <f t="shared" ref="AI39:AI40" si="41">SUM(AG39/AC39)-1</f>
        <v>#DIV/0!</v>
      </c>
    </row>
    <row r="40" spans="1:35" ht="12.75" customHeight="1">
      <c r="B40" s="14" t="s">
        <v>108</v>
      </c>
      <c r="C40" s="36">
        <f>SUM(C38:C39)</f>
        <v>82837</v>
      </c>
      <c r="D40" s="36">
        <f t="shared" ref="D40:E40" si="42">SUM(D38:D39)</f>
        <v>92465</v>
      </c>
      <c r="E40" s="36">
        <f t="shared" si="42"/>
        <v>105015</v>
      </c>
      <c r="F40" s="12"/>
      <c r="G40" s="36">
        <f t="shared" ref="G40" si="43">SUM(G38:G39)</f>
        <v>0</v>
      </c>
      <c r="H40" s="36">
        <f t="shared" ref="H40:N40" si="44">SUM(H38:H39)</f>
        <v>0</v>
      </c>
      <c r="I40" s="36">
        <f t="shared" si="44"/>
        <v>0</v>
      </c>
      <c r="J40" s="36">
        <f t="shared" si="44"/>
        <v>0</v>
      </c>
      <c r="K40" s="36">
        <f t="shared" si="44"/>
        <v>0</v>
      </c>
      <c r="L40" s="36">
        <f t="shared" si="44"/>
        <v>0</v>
      </c>
      <c r="M40" s="36">
        <f t="shared" si="44"/>
        <v>0</v>
      </c>
      <c r="N40" s="36">
        <f t="shared" si="44"/>
        <v>0</v>
      </c>
      <c r="O40" s="36">
        <f t="shared" ref="O40" si="45">SUM(O38:O39)</f>
        <v>0</v>
      </c>
      <c r="P40" s="36">
        <f t="shared" ref="P40" si="46">SUM(P38:P39)</f>
        <v>0</v>
      </c>
      <c r="Q40" s="36">
        <f t="shared" ref="Q40" si="47">SUM(Q38:Q39)</f>
        <v>0</v>
      </c>
      <c r="R40" s="36">
        <f t="shared" ref="R40" si="48">SUM(R38:R39)</f>
        <v>105015</v>
      </c>
      <c r="S40" s="36">
        <f t="shared" ref="S40" si="49">SUM(S38:S39)</f>
        <v>0</v>
      </c>
      <c r="T40" s="36">
        <f t="shared" ref="T40" si="50">SUM(T38:T39)</f>
        <v>0</v>
      </c>
      <c r="U40" s="36">
        <f t="shared" ref="U40" si="51">SUM(U38:U39)</f>
        <v>0</v>
      </c>
      <c r="V40" s="5"/>
      <c r="W40" s="36" t="e">
        <f t="shared" ref="W40:AG40" si="52">SUM(W39:W39)</f>
        <v>#REF!</v>
      </c>
      <c r="X40" s="36" t="e">
        <f t="shared" si="52"/>
        <v>#REF!</v>
      </c>
      <c r="Y40" s="36" t="e">
        <f t="shared" si="52"/>
        <v>#REF!</v>
      </c>
      <c r="Z40" s="36" t="e">
        <f t="shared" si="52"/>
        <v>#REF!</v>
      </c>
      <c r="AA40" s="36">
        <f t="shared" si="52"/>
        <v>0</v>
      </c>
      <c r="AB40" s="36">
        <f t="shared" si="52"/>
        <v>0</v>
      </c>
      <c r="AC40" s="36">
        <f t="shared" si="52"/>
        <v>0</v>
      </c>
      <c r="AD40" s="36">
        <f t="shared" si="52"/>
        <v>9392</v>
      </c>
      <c r="AE40" s="36">
        <f t="shared" si="52"/>
        <v>9392</v>
      </c>
      <c r="AF40" s="36">
        <f t="shared" si="52"/>
        <v>9392</v>
      </c>
      <c r="AG40" s="36">
        <f t="shared" si="52"/>
        <v>9392</v>
      </c>
      <c r="AI40" s="16" t="e">
        <f t="shared" si="41"/>
        <v>#DIV/0!</v>
      </c>
    </row>
    <row r="41" spans="1:35" ht="5.0999999999999996" customHeight="1"/>
    <row r="42" spans="1:35">
      <c r="B42" s="160" t="s">
        <v>114</v>
      </c>
      <c r="C42" s="158">
        <v>0.26</v>
      </c>
      <c r="D42" s="158">
        <v>0.21</v>
      </c>
      <c r="E42" s="158">
        <v>0.16</v>
      </c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9"/>
    </row>
    <row r="43" spans="1:35">
      <c r="B43" s="161" t="s">
        <v>115</v>
      </c>
      <c r="C43" s="154">
        <v>0.7</v>
      </c>
      <c r="D43" s="154">
        <v>0.75</v>
      </c>
      <c r="E43" s="154">
        <v>0.79</v>
      </c>
      <c r="AG43" s="156"/>
    </row>
    <row r="44" spans="1:35">
      <c r="B44" s="162" t="s">
        <v>116</v>
      </c>
      <c r="C44" s="155">
        <v>0.04</v>
      </c>
      <c r="D44" s="155">
        <v>0.04</v>
      </c>
      <c r="E44" s="155">
        <v>0.05</v>
      </c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7"/>
    </row>
    <row r="46" spans="1:35" ht="12.75" customHeight="1">
      <c r="A46" s="81"/>
      <c r="B46" s="79" t="s">
        <v>120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5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I46" s="13"/>
    </row>
    <row r="47" spans="1:35" ht="12.75" customHeight="1">
      <c r="A47" s="81"/>
      <c r="B47" s="10" t="s">
        <v>117</v>
      </c>
      <c r="C47" s="127">
        <f>C42*C40</f>
        <v>21537.62</v>
      </c>
      <c r="D47" s="127">
        <f t="shared" ref="D47:E47" si="53">D42*D40</f>
        <v>19417.649999999998</v>
      </c>
      <c r="E47" s="127">
        <f t="shared" si="53"/>
        <v>16802.400000000001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27">
        <f t="shared" ref="R47:R48" si="54">SUM(E47-SUM(O47:Q47))</f>
        <v>16802.400000000001</v>
      </c>
      <c r="S47" s="11"/>
      <c r="T47" s="11"/>
      <c r="U47" s="11"/>
      <c r="V47" s="5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I47" s="13"/>
    </row>
    <row r="48" spans="1:35" ht="12.75" customHeight="1">
      <c r="A48" s="81"/>
      <c r="B48" s="10" t="s">
        <v>119</v>
      </c>
      <c r="C48" s="127">
        <f>C43*C40</f>
        <v>57985.899999999994</v>
      </c>
      <c r="D48" s="127">
        <f t="shared" ref="D48:E48" si="55">D43*D40</f>
        <v>69348.75</v>
      </c>
      <c r="E48" s="127">
        <f t="shared" si="55"/>
        <v>82961.850000000006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27">
        <f t="shared" si="54"/>
        <v>82961.850000000006</v>
      </c>
      <c r="S48" s="11"/>
      <c r="T48" s="11"/>
      <c r="U48" s="11"/>
      <c r="V48" s="5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I48" s="13"/>
    </row>
    <row r="49" spans="1:35" ht="12.75" customHeight="1">
      <c r="B49" s="10" t="s">
        <v>118</v>
      </c>
      <c r="C49" s="127">
        <f>C44*C40</f>
        <v>3313.48</v>
      </c>
      <c r="D49" s="127">
        <f t="shared" ref="D49:E49" si="56">D44*D40</f>
        <v>3698.6</v>
      </c>
      <c r="E49" s="127">
        <f t="shared" si="56"/>
        <v>5250.75</v>
      </c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127">
        <f>SUM(E49-SUM(O49:Q49))</f>
        <v>5250.75</v>
      </c>
      <c r="S49" s="82"/>
      <c r="T49" s="82"/>
      <c r="U49" s="82"/>
      <c r="V49" s="12"/>
      <c r="W49" s="12" t="e">
        <f>SUM(#REF!)</f>
        <v>#REF!</v>
      </c>
      <c r="X49" s="12" t="e">
        <f>SUM(#REF!)</f>
        <v>#REF!</v>
      </c>
      <c r="Y49" s="12" t="e">
        <f>SUM(#REF!)</f>
        <v>#REF!</v>
      </c>
      <c r="Z49" s="12" t="e">
        <f>SUM(#REF!)</f>
        <v>#REF!</v>
      </c>
      <c r="AA49" s="12">
        <f>SUM(O49:O49)</f>
        <v>0</v>
      </c>
      <c r="AB49" s="12">
        <f>SUM(O49:P49)</f>
        <v>0</v>
      </c>
      <c r="AC49" s="12">
        <f>SUM(O49:Q49)</f>
        <v>0</v>
      </c>
      <c r="AD49" s="12">
        <f t="shared" ref="AD49" si="57">SUM(O49:R49)</f>
        <v>5250.75</v>
      </c>
      <c r="AE49" s="12">
        <f t="shared" ref="AE49" si="58">SUM(P49:S49)</f>
        <v>5250.75</v>
      </c>
      <c r="AF49" s="12">
        <f t="shared" ref="AF49" si="59">SUM(Q49:T49)</f>
        <v>5250.75</v>
      </c>
      <c r="AG49" s="12">
        <f t="shared" ref="AG49" si="60">SUM(R49:U49)</f>
        <v>5250.75</v>
      </c>
      <c r="AI49" s="13" t="e">
        <f t="shared" ref="AI49:AI50" si="61">SUM(AG49/AC49)-1</f>
        <v>#DIV/0!</v>
      </c>
    </row>
    <row r="50" spans="1:35" ht="12.75" customHeight="1">
      <c r="B50" s="14" t="s">
        <v>108</v>
      </c>
      <c r="C50" s="36">
        <f>SUM(C47:C49)</f>
        <v>82836.999999999985</v>
      </c>
      <c r="D50" s="36">
        <f t="shared" ref="D50" si="62">SUM(D47:D49)</f>
        <v>92465</v>
      </c>
      <c r="E50" s="36">
        <f t="shared" ref="E50" si="63">SUM(E47:E49)</f>
        <v>105015</v>
      </c>
      <c r="F50" s="12"/>
      <c r="G50" s="36">
        <f t="shared" ref="G50" si="64">SUM(G47:G49)</f>
        <v>0</v>
      </c>
      <c r="H50" s="36">
        <f t="shared" ref="H50:N50" si="65">SUM(H47:H49)</f>
        <v>0</v>
      </c>
      <c r="I50" s="36">
        <f t="shared" si="65"/>
        <v>0</v>
      </c>
      <c r="J50" s="36">
        <f t="shared" si="65"/>
        <v>0</v>
      </c>
      <c r="K50" s="36">
        <f t="shared" si="65"/>
        <v>0</v>
      </c>
      <c r="L50" s="36">
        <f t="shared" si="65"/>
        <v>0</v>
      </c>
      <c r="M50" s="36">
        <f t="shared" si="65"/>
        <v>0</v>
      </c>
      <c r="N50" s="36">
        <f t="shared" si="65"/>
        <v>0</v>
      </c>
      <c r="O50" s="36">
        <f t="shared" ref="O50" si="66">SUM(O47:O49)</f>
        <v>0</v>
      </c>
      <c r="P50" s="36">
        <f t="shared" ref="P50" si="67">SUM(P47:P49)</f>
        <v>0</v>
      </c>
      <c r="Q50" s="36">
        <f t="shared" ref="Q50" si="68">SUM(Q47:Q49)</f>
        <v>0</v>
      </c>
      <c r="R50" s="36">
        <f t="shared" ref="R50" si="69">SUM(R47:R49)</f>
        <v>105015</v>
      </c>
      <c r="S50" s="36">
        <f t="shared" ref="S50" si="70">SUM(S47:S49)</f>
        <v>0</v>
      </c>
      <c r="T50" s="36">
        <f t="shared" ref="T50" si="71">SUM(T47:T49)</f>
        <v>0</v>
      </c>
      <c r="U50" s="36">
        <f t="shared" ref="U50" si="72">SUM(U47:U49)</f>
        <v>0</v>
      </c>
      <c r="V50" s="5"/>
      <c r="W50" s="36" t="e">
        <f t="shared" ref="W50:AG50" si="73">SUM(W49:W49)</f>
        <v>#REF!</v>
      </c>
      <c r="X50" s="36" t="e">
        <f t="shared" si="73"/>
        <v>#REF!</v>
      </c>
      <c r="Y50" s="36" t="e">
        <f t="shared" si="73"/>
        <v>#REF!</v>
      </c>
      <c r="Z50" s="36" t="e">
        <f t="shared" si="73"/>
        <v>#REF!</v>
      </c>
      <c r="AA50" s="36">
        <f t="shared" si="73"/>
        <v>0</v>
      </c>
      <c r="AB50" s="36">
        <f t="shared" si="73"/>
        <v>0</v>
      </c>
      <c r="AC50" s="36">
        <f t="shared" si="73"/>
        <v>0</v>
      </c>
      <c r="AD50" s="36">
        <f t="shared" si="73"/>
        <v>5250.75</v>
      </c>
      <c r="AE50" s="36">
        <f t="shared" si="73"/>
        <v>5250.75</v>
      </c>
      <c r="AF50" s="36">
        <f t="shared" si="73"/>
        <v>5250.75</v>
      </c>
      <c r="AG50" s="36">
        <f t="shared" si="73"/>
        <v>5250.75</v>
      </c>
      <c r="AI50" s="16" t="e">
        <f t="shared" si="61"/>
        <v>#DIV/0!</v>
      </c>
    </row>
    <row r="52" spans="1:35" ht="12.75" customHeight="1">
      <c r="A52" s="81"/>
      <c r="B52" s="79" t="s">
        <v>109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5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I52" s="13"/>
    </row>
    <row r="53" spans="1:35" ht="12.75" customHeight="1">
      <c r="B53" s="10" t="s">
        <v>109</v>
      </c>
      <c r="C53" s="82">
        <v>79</v>
      </c>
      <c r="D53" s="82">
        <v>84</v>
      </c>
      <c r="E53" s="82">
        <v>93</v>
      </c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127">
        <f>SUM(E53-SUM(O53:Q53))</f>
        <v>93</v>
      </c>
      <c r="S53" s="82"/>
      <c r="T53" s="82"/>
      <c r="U53" s="82"/>
      <c r="V53" s="12"/>
      <c r="W53" s="12" t="e">
        <f>SUM(#REF!)</f>
        <v>#REF!</v>
      </c>
      <c r="X53" s="12" t="e">
        <f>SUM(#REF!)</f>
        <v>#REF!</v>
      </c>
      <c r="Y53" s="12" t="e">
        <f>SUM(#REF!)</f>
        <v>#REF!</v>
      </c>
      <c r="Z53" s="12" t="e">
        <f>SUM(#REF!)</f>
        <v>#REF!</v>
      </c>
      <c r="AA53" s="12">
        <f>SUM(O53:O53)</f>
        <v>0</v>
      </c>
      <c r="AB53" s="12">
        <f>SUM(O53:P53)</f>
        <v>0</v>
      </c>
      <c r="AC53" s="12">
        <f>SUM(O53:Q53)</f>
        <v>0</v>
      </c>
      <c r="AD53" s="12">
        <f t="shared" ref="AD53" si="74">SUM(O53:R53)</f>
        <v>93</v>
      </c>
      <c r="AE53" s="12">
        <f t="shared" ref="AE53" si="75">SUM(P53:S53)</f>
        <v>93</v>
      </c>
      <c r="AF53" s="12">
        <f t="shared" ref="AF53" si="76">SUM(Q53:T53)</f>
        <v>93</v>
      </c>
      <c r="AG53" s="12">
        <f t="shared" ref="AG53" si="77">SUM(R53:U53)</f>
        <v>93</v>
      </c>
      <c r="AI53" s="13" t="e">
        <f t="shared" ref="AI53:AI54" si="78">SUM(AG53/AC53)-1</f>
        <v>#DIV/0!</v>
      </c>
    </row>
    <row r="54" spans="1:35" ht="12.75" customHeight="1">
      <c r="B54" s="14" t="s">
        <v>108</v>
      </c>
      <c r="C54" s="36">
        <f>SUM(C53:C53)</f>
        <v>79</v>
      </c>
      <c r="D54" s="36">
        <f>SUM(D53:D53)</f>
        <v>84</v>
      </c>
      <c r="E54" s="36">
        <f>SUM(E53:E53)</f>
        <v>93</v>
      </c>
      <c r="F54" s="12"/>
      <c r="G54" s="36">
        <f t="shared" ref="G54:H54" si="79">SUM(G53:G53)</f>
        <v>0</v>
      </c>
      <c r="H54" s="36">
        <f t="shared" si="79"/>
        <v>0</v>
      </c>
      <c r="I54" s="36">
        <f t="shared" ref="I54" si="80">SUM(I53:I53)</f>
        <v>0</v>
      </c>
      <c r="J54" s="36">
        <f t="shared" ref="J54" si="81">SUM(J53:J53)</f>
        <v>0</v>
      </c>
      <c r="K54" s="36">
        <f t="shared" ref="K54" si="82">SUM(K53:K53)</f>
        <v>0</v>
      </c>
      <c r="L54" s="36">
        <f t="shared" ref="L54" si="83">SUM(L53:L53)</f>
        <v>0</v>
      </c>
      <c r="M54" s="36">
        <f t="shared" ref="M54" si="84">SUM(M53:M53)</f>
        <v>0</v>
      </c>
      <c r="N54" s="36">
        <f t="shared" ref="N54" si="85">SUM(N53:N53)</f>
        <v>0</v>
      </c>
      <c r="O54" s="36">
        <f t="shared" ref="O54:U54" si="86">SUM(O53:O53)</f>
        <v>0</v>
      </c>
      <c r="P54" s="36">
        <f t="shared" si="86"/>
        <v>0</v>
      </c>
      <c r="Q54" s="36">
        <f t="shared" si="86"/>
        <v>0</v>
      </c>
      <c r="R54" s="36">
        <f t="shared" si="86"/>
        <v>93</v>
      </c>
      <c r="S54" s="36">
        <f t="shared" si="86"/>
        <v>0</v>
      </c>
      <c r="T54" s="36">
        <f t="shared" si="86"/>
        <v>0</v>
      </c>
      <c r="U54" s="36">
        <f t="shared" si="86"/>
        <v>0</v>
      </c>
      <c r="V54" s="5"/>
      <c r="W54" s="36" t="e">
        <f t="shared" ref="W54:AG54" si="87">SUM(W53:W53)</f>
        <v>#REF!</v>
      </c>
      <c r="X54" s="36" t="e">
        <f t="shared" si="87"/>
        <v>#REF!</v>
      </c>
      <c r="Y54" s="36" t="e">
        <f t="shared" si="87"/>
        <v>#REF!</v>
      </c>
      <c r="Z54" s="36" t="e">
        <f t="shared" si="87"/>
        <v>#REF!</v>
      </c>
      <c r="AA54" s="36">
        <f t="shared" si="87"/>
        <v>0</v>
      </c>
      <c r="AB54" s="36">
        <f t="shared" si="87"/>
        <v>0</v>
      </c>
      <c r="AC54" s="36">
        <f t="shared" si="87"/>
        <v>0</v>
      </c>
      <c r="AD54" s="36">
        <f t="shared" si="87"/>
        <v>93</v>
      </c>
      <c r="AE54" s="36">
        <f t="shared" si="87"/>
        <v>93</v>
      </c>
      <c r="AF54" s="36">
        <f t="shared" si="87"/>
        <v>93</v>
      </c>
      <c r="AG54" s="36">
        <f t="shared" si="87"/>
        <v>93</v>
      </c>
      <c r="AI54" s="16" t="e">
        <f t="shared" si="78"/>
        <v>#DIV/0!</v>
      </c>
    </row>
    <row r="56" spans="1:35" ht="12.75" customHeight="1">
      <c r="A56" s="81"/>
      <c r="B56" s="79" t="s">
        <v>110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5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I56" s="13"/>
    </row>
    <row r="57" spans="1:35" ht="12.75" customHeight="1">
      <c r="B57" s="10" t="s">
        <v>110</v>
      </c>
      <c r="C57" s="82">
        <v>24</v>
      </c>
      <c r="D57" s="82">
        <v>27</v>
      </c>
      <c r="E57" s="82">
        <v>30</v>
      </c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127">
        <f>SUM(E57-SUM(O57:Q57))</f>
        <v>30</v>
      </c>
      <c r="S57" s="82"/>
      <c r="T57" s="82"/>
      <c r="U57" s="82"/>
      <c r="V57" s="12"/>
      <c r="W57" s="12" t="e">
        <f>SUM(#REF!)</f>
        <v>#REF!</v>
      </c>
      <c r="X57" s="12" t="e">
        <f>SUM(#REF!)</f>
        <v>#REF!</v>
      </c>
      <c r="Y57" s="12" t="e">
        <f>SUM(#REF!)</f>
        <v>#REF!</v>
      </c>
      <c r="Z57" s="12" t="e">
        <f>SUM(#REF!)</f>
        <v>#REF!</v>
      </c>
      <c r="AA57" s="12">
        <f>SUM(O57:O57)</f>
        <v>0</v>
      </c>
      <c r="AB57" s="12">
        <f>SUM(O57:P57)</f>
        <v>0</v>
      </c>
      <c r="AC57" s="12">
        <f>SUM(O57:Q57)</f>
        <v>0</v>
      </c>
      <c r="AD57" s="12">
        <f t="shared" ref="AD57" si="88">SUM(O57:R57)</f>
        <v>30</v>
      </c>
      <c r="AE57" s="12">
        <f t="shared" ref="AE57" si="89">SUM(P57:S57)</f>
        <v>30</v>
      </c>
      <c r="AF57" s="12">
        <f t="shared" ref="AF57" si="90">SUM(Q57:T57)</f>
        <v>30</v>
      </c>
      <c r="AG57" s="12">
        <f t="shared" ref="AG57" si="91">SUM(R57:U57)</f>
        <v>30</v>
      </c>
      <c r="AI57" s="13" t="e">
        <f t="shared" ref="AI57:AI58" si="92">SUM(AG57/AC57)-1</f>
        <v>#DIV/0!</v>
      </c>
    </row>
    <row r="58" spans="1:35" ht="12.75" customHeight="1">
      <c r="B58" s="14" t="s">
        <v>108</v>
      </c>
      <c r="C58" s="36">
        <f>SUM(C57:C57)</f>
        <v>24</v>
      </c>
      <c r="D58" s="36">
        <f>SUM(D57:D57)</f>
        <v>27</v>
      </c>
      <c r="E58" s="36">
        <f>SUM(E57:E57)</f>
        <v>30</v>
      </c>
      <c r="F58" s="12"/>
      <c r="G58" s="36">
        <f t="shared" ref="G58:H58" si="93">SUM(G57:G57)</f>
        <v>0</v>
      </c>
      <c r="H58" s="36">
        <f t="shared" si="93"/>
        <v>0</v>
      </c>
      <c r="I58" s="36">
        <f t="shared" ref="I58" si="94">SUM(I57:I57)</f>
        <v>0</v>
      </c>
      <c r="J58" s="36">
        <f t="shared" ref="J58" si="95">SUM(J57:J57)</f>
        <v>0</v>
      </c>
      <c r="K58" s="36">
        <f t="shared" ref="K58" si="96">SUM(K57:K57)</f>
        <v>0</v>
      </c>
      <c r="L58" s="36">
        <f t="shared" ref="L58" si="97">SUM(L57:L57)</f>
        <v>0</v>
      </c>
      <c r="M58" s="36">
        <f t="shared" ref="M58" si="98">SUM(M57:M57)</f>
        <v>0</v>
      </c>
      <c r="N58" s="36">
        <f t="shared" ref="N58" si="99">SUM(N57:N57)</f>
        <v>0</v>
      </c>
      <c r="O58" s="36">
        <f t="shared" ref="O58:U58" si="100">SUM(O57:O57)</f>
        <v>0</v>
      </c>
      <c r="P58" s="36">
        <f t="shared" si="100"/>
        <v>0</v>
      </c>
      <c r="Q58" s="36">
        <f t="shared" si="100"/>
        <v>0</v>
      </c>
      <c r="R58" s="36">
        <f t="shared" si="100"/>
        <v>30</v>
      </c>
      <c r="S58" s="36">
        <f t="shared" si="100"/>
        <v>0</v>
      </c>
      <c r="T58" s="36">
        <f t="shared" si="100"/>
        <v>0</v>
      </c>
      <c r="U58" s="36">
        <f t="shared" si="100"/>
        <v>0</v>
      </c>
      <c r="V58" s="5"/>
      <c r="W58" s="36" t="e">
        <f t="shared" ref="W58:AG58" si="101">SUM(W57:W57)</f>
        <v>#REF!</v>
      </c>
      <c r="X58" s="36" t="e">
        <f t="shared" si="101"/>
        <v>#REF!</v>
      </c>
      <c r="Y58" s="36" t="e">
        <f t="shared" si="101"/>
        <v>#REF!</v>
      </c>
      <c r="Z58" s="36" t="e">
        <f t="shared" si="101"/>
        <v>#REF!</v>
      </c>
      <c r="AA58" s="36">
        <f t="shared" si="101"/>
        <v>0</v>
      </c>
      <c r="AB58" s="36">
        <f t="shared" si="101"/>
        <v>0</v>
      </c>
      <c r="AC58" s="36">
        <f t="shared" si="101"/>
        <v>0</v>
      </c>
      <c r="AD58" s="36">
        <f t="shared" si="101"/>
        <v>30</v>
      </c>
      <c r="AE58" s="36">
        <f t="shared" si="101"/>
        <v>30</v>
      </c>
      <c r="AF58" s="36">
        <f t="shared" si="101"/>
        <v>30</v>
      </c>
      <c r="AG58" s="36">
        <f t="shared" si="101"/>
        <v>30</v>
      </c>
      <c r="AI58" s="16" t="e">
        <f t="shared" si="92"/>
        <v>#DIV/0!</v>
      </c>
    </row>
    <row r="60" spans="1:35" ht="12.75" customHeight="1">
      <c r="A60" s="81"/>
      <c r="B60" s="79" t="s">
        <v>111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5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I60" s="13"/>
    </row>
    <row r="61" spans="1:35" ht="12.75" customHeight="1">
      <c r="B61" s="10" t="s">
        <v>111</v>
      </c>
      <c r="C61" s="82">
        <v>687</v>
      </c>
      <c r="D61" s="82">
        <v>1085</v>
      </c>
      <c r="E61" s="82">
        <v>1217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127">
        <f>SUM(E61-SUM(O61:Q61))</f>
        <v>1217</v>
      </c>
      <c r="S61" s="82"/>
      <c r="T61" s="82"/>
      <c r="U61" s="82"/>
      <c r="V61" s="12"/>
      <c r="W61" s="12" t="e">
        <f>SUM(#REF!)</f>
        <v>#REF!</v>
      </c>
      <c r="X61" s="12" t="e">
        <f>SUM(#REF!)</f>
        <v>#REF!</v>
      </c>
      <c r="Y61" s="12" t="e">
        <f>SUM(#REF!)</f>
        <v>#REF!</v>
      </c>
      <c r="Z61" s="12" t="e">
        <f>SUM(#REF!)</f>
        <v>#REF!</v>
      </c>
      <c r="AA61" s="12">
        <f>SUM(O61:O61)</f>
        <v>0</v>
      </c>
      <c r="AB61" s="12">
        <f>SUM(O61:P61)</f>
        <v>0</v>
      </c>
      <c r="AC61" s="12">
        <f>SUM(O61:Q61)</f>
        <v>0</v>
      </c>
      <c r="AD61" s="12">
        <f t="shared" ref="AD61" si="102">SUM(O61:R61)</f>
        <v>1217</v>
      </c>
      <c r="AE61" s="12">
        <f t="shared" ref="AE61" si="103">SUM(P61:S61)</f>
        <v>1217</v>
      </c>
      <c r="AF61" s="12">
        <f t="shared" ref="AF61" si="104">SUM(Q61:T61)</f>
        <v>1217</v>
      </c>
      <c r="AG61" s="12">
        <f t="shared" ref="AG61" si="105">SUM(R61:U61)</f>
        <v>1217</v>
      </c>
      <c r="AI61" s="13" t="e">
        <f t="shared" ref="AI61:AI62" si="106">SUM(AG61/AC61)-1</f>
        <v>#DIV/0!</v>
      </c>
    </row>
    <row r="62" spans="1:35" ht="12.75" customHeight="1">
      <c r="B62" s="14" t="s">
        <v>108</v>
      </c>
      <c r="C62" s="36">
        <f>SUM(C61:C61)</f>
        <v>687</v>
      </c>
      <c r="D62" s="36">
        <f>SUM(D61:D61)</f>
        <v>1085</v>
      </c>
      <c r="E62" s="36">
        <f>SUM(E61:E61)</f>
        <v>1217</v>
      </c>
      <c r="F62" s="12"/>
      <c r="G62" s="36">
        <f t="shared" ref="G62:H62" si="107">SUM(G61:G61)</f>
        <v>0</v>
      </c>
      <c r="H62" s="36">
        <f t="shared" si="107"/>
        <v>0</v>
      </c>
      <c r="I62" s="36">
        <f t="shared" ref="I62" si="108">SUM(I61:I61)</f>
        <v>0</v>
      </c>
      <c r="J62" s="36">
        <f t="shared" ref="J62" si="109">SUM(J61:J61)</f>
        <v>0</v>
      </c>
      <c r="K62" s="36">
        <f t="shared" ref="K62" si="110">SUM(K61:K61)</f>
        <v>0</v>
      </c>
      <c r="L62" s="36">
        <f t="shared" ref="L62" si="111">SUM(L61:L61)</f>
        <v>0</v>
      </c>
      <c r="M62" s="36">
        <f t="shared" ref="M62" si="112">SUM(M61:M61)</f>
        <v>0</v>
      </c>
      <c r="N62" s="36">
        <f t="shared" ref="N62" si="113">SUM(N61:N61)</f>
        <v>0</v>
      </c>
      <c r="O62" s="36">
        <f t="shared" ref="O62:U62" si="114">SUM(O61:O61)</f>
        <v>0</v>
      </c>
      <c r="P62" s="36">
        <f t="shared" si="114"/>
        <v>0</v>
      </c>
      <c r="Q62" s="36">
        <f t="shared" si="114"/>
        <v>0</v>
      </c>
      <c r="R62" s="36">
        <f t="shared" si="114"/>
        <v>1217</v>
      </c>
      <c r="S62" s="36">
        <f t="shared" si="114"/>
        <v>0</v>
      </c>
      <c r="T62" s="36">
        <f t="shared" si="114"/>
        <v>0</v>
      </c>
      <c r="U62" s="36">
        <f t="shared" si="114"/>
        <v>0</v>
      </c>
      <c r="V62" s="5"/>
      <c r="W62" s="36" t="e">
        <f t="shared" ref="W62:AG62" si="115">SUM(W61:W61)</f>
        <v>#REF!</v>
      </c>
      <c r="X62" s="36" t="e">
        <f t="shared" si="115"/>
        <v>#REF!</v>
      </c>
      <c r="Y62" s="36" t="e">
        <f t="shared" si="115"/>
        <v>#REF!</v>
      </c>
      <c r="Z62" s="36" t="e">
        <f t="shared" si="115"/>
        <v>#REF!</v>
      </c>
      <c r="AA62" s="36">
        <f t="shared" si="115"/>
        <v>0</v>
      </c>
      <c r="AB62" s="36">
        <f t="shared" si="115"/>
        <v>0</v>
      </c>
      <c r="AC62" s="36">
        <f t="shared" si="115"/>
        <v>0</v>
      </c>
      <c r="AD62" s="36">
        <f t="shared" si="115"/>
        <v>1217</v>
      </c>
      <c r="AE62" s="36">
        <f t="shared" si="115"/>
        <v>1217</v>
      </c>
      <c r="AF62" s="36">
        <f t="shared" si="115"/>
        <v>1217</v>
      </c>
      <c r="AG62" s="36">
        <f t="shared" si="115"/>
        <v>1217</v>
      </c>
      <c r="AI62" s="16" t="e">
        <f t="shared" si="106"/>
        <v>#DIV/0!</v>
      </c>
    </row>
    <row r="64" spans="1:35" ht="12.75" customHeight="1">
      <c r="A64" s="81"/>
      <c r="B64" s="79" t="s">
        <v>136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5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I64" s="13"/>
    </row>
    <row r="65" spans="1:35" ht="12.75" customHeight="1">
      <c r="B65" s="10" t="s">
        <v>136</v>
      </c>
      <c r="C65" s="164">
        <v>10.4</v>
      </c>
      <c r="D65" s="164">
        <v>10.9</v>
      </c>
      <c r="E65" s="164">
        <v>11.3</v>
      </c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127">
        <f>SUM(E65-SUM(O65:Q65))</f>
        <v>11.3</v>
      </c>
      <c r="S65" s="82"/>
      <c r="T65" s="82"/>
      <c r="U65" s="82"/>
      <c r="V65" s="12"/>
      <c r="W65" s="12" t="e">
        <f>SUM(#REF!)</f>
        <v>#REF!</v>
      </c>
      <c r="X65" s="12" t="e">
        <f>SUM(#REF!)</f>
        <v>#REF!</v>
      </c>
      <c r="Y65" s="12" t="e">
        <f>SUM(#REF!)</f>
        <v>#REF!</v>
      </c>
      <c r="Z65" s="12" t="e">
        <f>SUM(#REF!)</f>
        <v>#REF!</v>
      </c>
      <c r="AA65" s="12">
        <f>SUM(O65:O65)</f>
        <v>0</v>
      </c>
      <c r="AB65" s="12">
        <f>SUM(O65:P65)</f>
        <v>0</v>
      </c>
      <c r="AC65" s="12">
        <f>SUM(O65:Q65)</f>
        <v>0</v>
      </c>
      <c r="AD65" s="12">
        <f t="shared" ref="AD65" si="116">SUM(O65:R65)</f>
        <v>11.3</v>
      </c>
      <c r="AE65" s="12">
        <f t="shared" ref="AE65" si="117">SUM(P65:S65)</f>
        <v>11.3</v>
      </c>
      <c r="AF65" s="12">
        <f t="shared" ref="AF65" si="118">SUM(Q65:T65)</f>
        <v>11.3</v>
      </c>
      <c r="AG65" s="12">
        <f t="shared" ref="AG65" si="119">SUM(R65:U65)</f>
        <v>11.3</v>
      </c>
      <c r="AI65" s="13" t="e">
        <f t="shared" ref="AI65:AI66" si="120">SUM(AG65/AC65)-1</f>
        <v>#DIV/0!</v>
      </c>
    </row>
    <row r="66" spans="1:35" ht="12.75" customHeight="1">
      <c r="B66" s="14" t="s">
        <v>137</v>
      </c>
      <c r="C66" s="165">
        <f>SUM(C65:C65)</f>
        <v>10.4</v>
      </c>
      <c r="D66" s="165">
        <f>SUM(D65:D65)</f>
        <v>10.9</v>
      </c>
      <c r="E66" s="165">
        <f>SUM(E65:E65)</f>
        <v>11.3</v>
      </c>
      <c r="F66" s="12"/>
      <c r="G66" s="36">
        <f t="shared" ref="G66:H66" si="121">SUM(G65:G65)</f>
        <v>0</v>
      </c>
      <c r="H66" s="36">
        <f t="shared" si="121"/>
        <v>0</v>
      </c>
      <c r="I66" s="36">
        <f t="shared" ref="I66" si="122">SUM(I65:I65)</f>
        <v>0</v>
      </c>
      <c r="J66" s="36">
        <f t="shared" ref="J66" si="123">SUM(J65:J65)</f>
        <v>0</v>
      </c>
      <c r="K66" s="36">
        <f t="shared" ref="K66" si="124">SUM(K65:K65)</f>
        <v>0</v>
      </c>
      <c r="L66" s="36">
        <f t="shared" ref="L66" si="125">SUM(L65:L65)</f>
        <v>0</v>
      </c>
      <c r="M66" s="36">
        <f t="shared" ref="M66" si="126">SUM(M65:M65)</f>
        <v>0</v>
      </c>
      <c r="N66" s="36">
        <f t="shared" ref="N66" si="127">SUM(N65:N65)</f>
        <v>0</v>
      </c>
      <c r="O66" s="36">
        <f t="shared" ref="O66:U66" si="128">SUM(O65:O65)</f>
        <v>0</v>
      </c>
      <c r="P66" s="36">
        <f t="shared" si="128"/>
        <v>0</v>
      </c>
      <c r="Q66" s="36">
        <f t="shared" si="128"/>
        <v>0</v>
      </c>
      <c r="R66" s="36">
        <f t="shared" si="128"/>
        <v>11.3</v>
      </c>
      <c r="S66" s="36">
        <f t="shared" si="128"/>
        <v>0</v>
      </c>
      <c r="T66" s="36">
        <f t="shared" si="128"/>
        <v>0</v>
      </c>
      <c r="U66" s="36">
        <f t="shared" si="128"/>
        <v>0</v>
      </c>
      <c r="V66" s="5"/>
      <c r="W66" s="36" t="e">
        <f t="shared" ref="W66:AG66" si="129">SUM(W65:W65)</f>
        <v>#REF!</v>
      </c>
      <c r="X66" s="36" t="e">
        <f t="shared" si="129"/>
        <v>#REF!</v>
      </c>
      <c r="Y66" s="36" t="e">
        <f t="shared" si="129"/>
        <v>#REF!</v>
      </c>
      <c r="Z66" s="36" t="e">
        <f t="shared" si="129"/>
        <v>#REF!</v>
      </c>
      <c r="AA66" s="36">
        <f t="shared" si="129"/>
        <v>0</v>
      </c>
      <c r="AB66" s="36">
        <f t="shared" si="129"/>
        <v>0</v>
      </c>
      <c r="AC66" s="36">
        <f t="shared" si="129"/>
        <v>0</v>
      </c>
      <c r="AD66" s="36">
        <f t="shared" si="129"/>
        <v>11.3</v>
      </c>
      <c r="AE66" s="36">
        <f t="shared" si="129"/>
        <v>11.3</v>
      </c>
      <c r="AF66" s="36">
        <f t="shared" si="129"/>
        <v>11.3</v>
      </c>
      <c r="AG66" s="36">
        <f t="shared" si="129"/>
        <v>11.3</v>
      </c>
      <c r="AI66" s="16" t="e">
        <f t="shared" si="120"/>
        <v>#DIV/0!</v>
      </c>
    </row>
    <row r="68" spans="1:35" ht="12.75" customHeight="1">
      <c r="A68" s="81"/>
      <c r="B68" s="79" t="s">
        <v>151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5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I68" s="13"/>
    </row>
    <row r="69" spans="1:35" ht="12.75" customHeight="1">
      <c r="B69" s="10" t="s">
        <v>151</v>
      </c>
      <c r="C69" s="164"/>
      <c r="D69" s="151">
        <v>1.1499999999999999</v>
      </c>
      <c r="E69" s="151"/>
      <c r="F69" s="82">
        <v>114</v>
      </c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127">
        <f>SUM(E69-SUM(O69:Q69))</f>
        <v>0</v>
      </c>
      <c r="S69" s="82"/>
      <c r="T69" s="82"/>
      <c r="U69" s="82"/>
      <c r="V69" s="12"/>
      <c r="W69" s="12" t="e">
        <f>SUM(#REF!)</f>
        <v>#REF!</v>
      </c>
      <c r="X69" s="12" t="e">
        <f>SUM(#REF!)</f>
        <v>#REF!</v>
      </c>
      <c r="Y69" s="12" t="e">
        <f>SUM(#REF!)</f>
        <v>#REF!</v>
      </c>
      <c r="Z69" s="12" t="e">
        <f>SUM(#REF!)</f>
        <v>#REF!</v>
      </c>
      <c r="AA69" s="12">
        <f>SUM(O69:O69)</f>
        <v>0</v>
      </c>
      <c r="AB69" s="12">
        <f>SUM(O69:P69)</f>
        <v>0</v>
      </c>
      <c r="AC69" s="12">
        <f>SUM(O69:Q69)</f>
        <v>0</v>
      </c>
      <c r="AD69" s="12">
        <f t="shared" ref="AD69" si="130">SUM(O69:R69)</f>
        <v>0</v>
      </c>
      <c r="AE69" s="12">
        <f t="shared" ref="AE69" si="131">SUM(P69:S69)</f>
        <v>0</v>
      </c>
      <c r="AF69" s="12">
        <f t="shared" ref="AF69" si="132">SUM(Q69:T69)</f>
        <v>0</v>
      </c>
      <c r="AG69" s="12">
        <f t="shared" ref="AG69" si="133">SUM(R69:U69)</f>
        <v>0</v>
      </c>
      <c r="AI69" s="13" t="e">
        <f t="shared" ref="AI69:AI70" si="134">SUM(AG69/AC69)-1</f>
        <v>#DIV/0!</v>
      </c>
    </row>
    <row r="70" spans="1:35" ht="12.75" customHeight="1">
      <c r="B70" s="14" t="s">
        <v>137</v>
      </c>
      <c r="C70" s="165">
        <f>SUM(C69:C69)</f>
        <v>0</v>
      </c>
      <c r="D70" s="166">
        <f>SUM(D69:D69)</f>
        <v>1.1499999999999999</v>
      </c>
      <c r="E70" s="166">
        <f>SUM(E69:E69)</f>
        <v>0</v>
      </c>
      <c r="F70" s="12"/>
      <c r="G70" s="36">
        <f t="shared" ref="G70:H70" si="135">SUM(G69:G69)</f>
        <v>0</v>
      </c>
      <c r="H70" s="36">
        <f t="shared" si="135"/>
        <v>0</v>
      </c>
      <c r="I70" s="36">
        <f t="shared" ref="I70" si="136">SUM(I69:I69)</f>
        <v>0</v>
      </c>
      <c r="J70" s="36">
        <f t="shared" ref="J70" si="137">SUM(J69:J69)</f>
        <v>0</v>
      </c>
      <c r="K70" s="36">
        <f t="shared" ref="K70" si="138">SUM(K69:K69)</f>
        <v>0</v>
      </c>
      <c r="L70" s="36">
        <f t="shared" ref="L70" si="139">SUM(L69:L69)</f>
        <v>0</v>
      </c>
      <c r="M70" s="36">
        <f t="shared" ref="M70" si="140">SUM(M69:M69)</f>
        <v>0</v>
      </c>
      <c r="N70" s="36">
        <f t="shared" ref="N70" si="141">SUM(N69:N69)</f>
        <v>0</v>
      </c>
      <c r="O70" s="36">
        <f t="shared" ref="O70:U70" si="142">SUM(O69:O69)</f>
        <v>0</v>
      </c>
      <c r="P70" s="36">
        <f t="shared" si="142"/>
        <v>0</v>
      </c>
      <c r="Q70" s="36">
        <f t="shared" si="142"/>
        <v>0</v>
      </c>
      <c r="R70" s="36">
        <f t="shared" si="142"/>
        <v>0</v>
      </c>
      <c r="S70" s="36">
        <f t="shared" si="142"/>
        <v>0</v>
      </c>
      <c r="T70" s="36">
        <f t="shared" si="142"/>
        <v>0</v>
      </c>
      <c r="U70" s="36">
        <f t="shared" si="142"/>
        <v>0</v>
      </c>
      <c r="V70" s="5"/>
      <c r="W70" s="36" t="e">
        <f t="shared" ref="W70:AG70" si="143">SUM(W69:W69)</f>
        <v>#REF!</v>
      </c>
      <c r="X70" s="36" t="e">
        <f t="shared" si="143"/>
        <v>#REF!</v>
      </c>
      <c r="Y70" s="36" t="e">
        <f t="shared" si="143"/>
        <v>#REF!</v>
      </c>
      <c r="Z70" s="36" t="e">
        <f t="shared" si="143"/>
        <v>#REF!</v>
      </c>
      <c r="AA70" s="36">
        <f t="shared" si="143"/>
        <v>0</v>
      </c>
      <c r="AB70" s="36">
        <f t="shared" si="143"/>
        <v>0</v>
      </c>
      <c r="AC70" s="36">
        <f t="shared" si="143"/>
        <v>0</v>
      </c>
      <c r="AD70" s="36">
        <f t="shared" si="143"/>
        <v>0</v>
      </c>
      <c r="AE70" s="36">
        <f t="shared" si="143"/>
        <v>0</v>
      </c>
      <c r="AF70" s="36">
        <f t="shared" si="143"/>
        <v>0</v>
      </c>
      <c r="AG70" s="36">
        <f t="shared" si="143"/>
        <v>0</v>
      </c>
      <c r="AI70" s="16" t="e">
        <f t="shared" si="134"/>
        <v>#DIV/0!</v>
      </c>
    </row>
  </sheetData>
  <mergeCells count="1">
    <mergeCell ref="AI2:AI4"/>
  </mergeCells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C39:AG39 C48:E4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FF2A-68F6-4EDE-BC4E-69E9CE992E67}">
  <dimension ref="A2:AA90"/>
  <sheetViews>
    <sheetView showGridLines="0" zoomScale="145" zoomScaleNormal="145" workbookViewId="0">
      <selection activeCell="B2" sqref="B2"/>
    </sheetView>
  </sheetViews>
  <sheetFormatPr defaultRowHeight="12" outlineLevelCol="1"/>
  <cols>
    <col min="1" max="1" width="1.5" style="8" customWidth="1"/>
    <col min="2" max="2" width="25.125" style="8" bestFit="1" customWidth="1"/>
    <col min="3" max="5" width="8.625" style="8" bestFit="1" customWidth="1"/>
    <col min="6" max="6" width="1.5" style="8" customWidth="1"/>
    <col min="7" max="7" width="8.5" style="8" customWidth="1"/>
    <col min="8" max="8" width="8.25" style="8" bestFit="1" customWidth="1"/>
    <col min="9" max="9" width="8.5" style="8" bestFit="1" customWidth="1"/>
    <col min="10" max="13" width="9.125" style="8" bestFit="1" customWidth="1"/>
    <col min="14" max="14" width="1.5" style="8" customWidth="1"/>
    <col min="15" max="20" width="8.75" style="8" hidden="1" customWidth="1" outlineLevel="1"/>
    <col min="21" max="21" width="8.75" style="8" bestFit="1" customWidth="1" collapsed="1"/>
    <col min="22" max="24" width="8.75" style="8" hidden="1" customWidth="1" outlineLevel="1"/>
    <col min="25" max="25" width="8.75" style="8" bestFit="1" customWidth="1" collapsed="1"/>
    <col min="26" max="26" width="1.5" style="8" customWidth="1"/>
    <col min="27" max="27" width="9.875" style="8" bestFit="1" customWidth="1"/>
    <col min="28" max="16384" width="9" style="8"/>
  </cols>
  <sheetData>
    <row r="2" spans="1:27" s="5" customFormat="1" ht="12.75" customHeight="1">
      <c r="B2" s="1" t="str">
        <f>'Historical Financials'!B2</f>
        <v>Klarna Group plc (KLAR)</v>
      </c>
      <c r="C2" s="2" t="s">
        <v>0</v>
      </c>
      <c r="D2" s="2"/>
      <c r="E2" s="2"/>
      <c r="F2" s="3"/>
      <c r="G2" s="2" t="s">
        <v>1</v>
      </c>
      <c r="H2" s="2" t="s">
        <v>1</v>
      </c>
      <c r="I2" s="2"/>
      <c r="J2" s="2"/>
      <c r="K2" s="2"/>
      <c r="L2" s="2"/>
      <c r="M2" s="2"/>
      <c r="N2" s="3"/>
      <c r="O2" s="2" t="s">
        <v>6</v>
      </c>
      <c r="P2" s="2"/>
      <c r="Q2" s="2"/>
      <c r="R2" s="2"/>
      <c r="S2" s="2" t="s">
        <v>6</v>
      </c>
      <c r="T2" s="2"/>
      <c r="U2" s="2" t="s">
        <v>6</v>
      </c>
      <c r="V2" s="2"/>
      <c r="W2" s="2"/>
      <c r="X2" s="2"/>
      <c r="Y2" s="2"/>
      <c r="Z2" s="3"/>
      <c r="AA2" s="169" t="s">
        <v>16</v>
      </c>
    </row>
    <row r="3" spans="1:27" s="5" customFormat="1" ht="12.75" customHeight="1">
      <c r="B3" s="6" t="s">
        <v>133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Financials'!O7</f>
        <v>1Q24</v>
      </c>
      <c r="H3" s="7" t="str">
        <f>'Historical Financials'!P7</f>
        <v>2Q24</v>
      </c>
      <c r="I3" s="7" t="str">
        <f>'Historical Financials'!Q7</f>
        <v>3Q24</v>
      </c>
      <c r="J3" s="7" t="str">
        <f>'Historical Financials'!R7</f>
        <v>4Q24</v>
      </c>
      <c r="K3" s="7" t="str">
        <f>'Historical Financials'!S7</f>
        <v>1Q25</v>
      </c>
      <c r="L3" s="7" t="str">
        <f>'Historical Financials'!T7</f>
        <v>2Q25</v>
      </c>
      <c r="M3" s="7" t="str">
        <f>'Historical Financials'!U7</f>
        <v>3Q25</v>
      </c>
      <c r="N3" s="4"/>
      <c r="O3" s="4" t="e">
        <f>#REF!</f>
        <v>#REF!</v>
      </c>
      <c r="P3" s="4" t="e">
        <f>#REF!</f>
        <v>#REF!</v>
      </c>
      <c r="Q3" s="4" t="e">
        <f>#REF!</f>
        <v>#REF!</v>
      </c>
      <c r="R3" s="4" t="e">
        <f>#REF!</f>
        <v>#REF!</v>
      </c>
      <c r="S3" s="4" t="str">
        <f t="shared" ref="S3:X4" si="0">G3</f>
        <v>1Q24</v>
      </c>
      <c r="T3" s="4" t="str">
        <f t="shared" si="0"/>
        <v>2Q24</v>
      </c>
      <c r="U3" s="4" t="str">
        <f t="shared" si="0"/>
        <v>3Q24</v>
      </c>
      <c r="V3" s="4" t="str">
        <f t="shared" si="0"/>
        <v>4Q24</v>
      </c>
      <c r="W3" s="4" t="str">
        <f t="shared" si="0"/>
        <v>1Q25</v>
      </c>
      <c r="X3" s="4" t="str">
        <f t="shared" si="0"/>
        <v>2Q25</v>
      </c>
      <c r="Y3" s="4" t="str">
        <f>M3</f>
        <v>3Q25</v>
      </c>
      <c r="Z3" s="3"/>
      <c r="AA3" s="169"/>
    </row>
    <row r="4" spans="1:27" s="5" customFormat="1" ht="12.75" customHeight="1">
      <c r="B4" s="6" t="s">
        <v>66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Financials'!O8</f>
        <v>45382</v>
      </c>
      <c r="H4" s="3">
        <f>'Historical Financials'!P8</f>
        <v>45473</v>
      </c>
      <c r="I4" s="3">
        <f>'Historical Financials'!Q8</f>
        <v>45565</v>
      </c>
      <c r="J4" s="3">
        <f>'Historical Financials'!R8</f>
        <v>45657</v>
      </c>
      <c r="K4" s="3">
        <f>'Historical Financials'!S8</f>
        <v>45747</v>
      </c>
      <c r="L4" s="3">
        <f>'Historical Financials'!T8</f>
        <v>45838</v>
      </c>
      <c r="M4" s="3">
        <f>'Historical Financials'!U8</f>
        <v>45930</v>
      </c>
      <c r="N4" s="3"/>
      <c r="O4" s="3" t="e">
        <f>#REF!</f>
        <v>#REF!</v>
      </c>
      <c r="P4" s="3" t="e">
        <f>#REF!</f>
        <v>#REF!</v>
      </c>
      <c r="Q4" s="3" t="e">
        <f>#REF!</f>
        <v>#REF!</v>
      </c>
      <c r="R4" s="3" t="e">
        <f>#REF!</f>
        <v>#REF!</v>
      </c>
      <c r="S4" s="3">
        <f t="shared" si="0"/>
        <v>45382</v>
      </c>
      <c r="T4" s="3">
        <f t="shared" si="0"/>
        <v>45473</v>
      </c>
      <c r="U4" s="3">
        <f t="shared" si="0"/>
        <v>45565</v>
      </c>
      <c r="V4" s="3">
        <f t="shared" si="0"/>
        <v>45657</v>
      </c>
      <c r="W4" s="3">
        <f t="shared" si="0"/>
        <v>45747</v>
      </c>
      <c r="X4" s="3">
        <f t="shared" si="0"/>
        <v>45838</v>
      </c>
      <c r="Y4" s="3">
        <f>M4</f>
        <v>45930</v>
      </c>
      <c r="Z4" s="3"/>
      <c r="AA4" s="169"/>
    </row>
    <row r="5" spans="1:27" ht="5.0999999999999996" customHeight="1"/>
    <row r="6" spans="1:27">
      <c r="A6" s="38" t="s">
        <v>12</v>
      </c>
      <c r="B6" s="1" t="s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5.0999999999999996" customHeight="1"/>
    <row r="8" spans="1:27" ht="12.75" customHeight="1">
      <c r="A8" s="81"/>
      <c r="B8" s="79" t="s">
        <v>134</v>
      </c>
      <c r="C8" s="11"/>
      <c r="D8" s="11"/>
      <c r="E8" s="11"/>
      <c r="F8" s="11"/>
      <c r="G8" s="11"/>
      <c r="H8" s="11"/>
      <c r="I8" s="11"/>
      <c r="J8" s="127"/>
      <c r="K8" s="11"/>
      <c r="L8" s="11"/>
      <c r="M8" s="11"/>
      <c r="N8" s="5"/>
      <c r="O8" s="12"/>
      <c r="P8" s="12"/>
      <c r="Q8" s="12"/>
      <c r="R8" s="12"/>
      <c r="S8" s="12"/>
      <c r="T8" s="12"/>
      <c r="U8" s="12"/>
      <c r="V8" s="12"/>
      <c r="W8" s="12"/>
      <c r="X8" s="12"/>
      <c r="AA8" s="13"/>
    </row>
    <row r="9" spans="1:27" ht="12.75" customHeight="1">
      <c r="B9" s="10" t="s">
        <v>100</v>
      </c>
      <c r="C9" s="82">
        <v>-520</v>
      </c>
      <c r="D9" s="82">
        <v>-541</v>
      </c>
      <c r="E9" s="82">
        <v>-596</v>
      </c>
      <c r="F9" s="82"/>
      <c r="G9" s="82"/>
      <c r="H9" s="82"/>
      <c r="I9" s="82"/>
      <c r="J9" s="127">
        <f t="shared" ref="J9:J11" si="1">SUM(E9-SUM(G9:I9))</f>
        <v>-596</v>
      </c>
      <c r="K9" s="82"/>
      <c r="L9" s="82"/>
      <c r="M9" s="82"/>
      <c r="N9" s="12"/>
      <c r="O9" s="12" t="e">
        <f>SUM(#REF!)</f>
        <v>#REF!</v>
      </c>
      <c r="P9" s="12" t="e">
        <f>SUM(#REF!)</f>
        <v>#REF!</v>
      </c>
      <c r="Q9" s="12" t="e">
        <f>SUM(#REF!)</f>
        <v>#REF!</v>
      </c>
      <c r="R9" s="12" t="e">
        <f>SUM(#REF!)</f>
        <v>#REF!</v>
      </c>
      <c r="S9" s="12">
        <f>SUM(G9:G9)</f>
        <v>0</v>
      </c>
      <c r="T9" s="12">
        <f>SUM(G9:H9)</f>
        <v>0</v>
      </c>
      <c r="U9" s="127">
        <f>SUM(G9:I9)</f>
        <v>0</v>
      </c>
      <c r="V9" s="127">
        <f t="shared" ref="V9:Y11" si="2">SUM(G9:J9)</f>
        <v>-596</v>
      </c>
      <c r="W9" s="127">
        <f t="shared" si="2"/>
        <v>-596</v>
      </c>
      <c r="X9" s="127">
        <f t="shared" si="2"/>
        <v>-596</v>
      </c>
      <c r="Y9" s="127">
        <f t="shared" si="2"/>
        <v>-596</v>
      </c>
      <c r="AA9" s="13" t="e">
        <f>SUM(Y9/U9)-1</f>
        <v>#DIV/0!</v>
      </c>
    </row>
    <row r="10" spans="1:27" ht="12.75" customHeight="1">
      <c r="B10" s="10" t="s">
        <v>101</v>
      </c>
      <c r="C10" s="82">
        <v>-550</v>
      </c>
      <c r="D10" s="82">
        <v>-353</v>
      </c>
      <c r="E10" s="82">
        <v>-495</v>
      </c>
      <c r="F10" s="82"/>
      <c r="G10" s="82"/>
      <c r="H10" s="82"/>
      <c r="I10" s="82"/>
      <c r="J10" s="127"/>
      <c r="K10" s="82"/>
      <c r="L10" s="82"/>
      <c r="M10" s="82"/>
      <c r="N10" s="12"/>
      <c r="O10" s="12"/>
      <c r="P10" s="12"/>
      <c r="Q10" s="12"/>
      <c r="R10" s="12"/>
      <c r="S10" s="12"/>
      <c r="T10" s="12"/>
      <c r="U10" s="127"/>
      <c r="V10" s="127"/>
      <c r="W10" s="127"/>
      <c r="X10" s="127"/>
      <c r="Y10" s="127"/>
      <c r="AA10" s="13"/>
    </row>
    <row r="11" spans="1:27" ht="12.75" customHeight="1">
      <c r="B11" s="10" t="s">
        <v>102</v>
      </c>
      <c r="C11" s="82">
        <v>-147</v>
      </c>
      <c r="D11" s="82">
        <v>-297</v>
      </c>
      <c r="E11" s="82">
        <v>-503</v>
      </c>
      <c r="F11" s="82"/>
      <c r="G11" s="82"/>
      <c r="H11" s="82"/>
      <c r="I11" s="82"/>
      <c r="J11" s="127">
        <f t="shared" si="1"/>
        <v>-503</v>
      </c>
      <c r="K11" s="82"/>
      <c r="L11" s="82"/>
      <c r="M11" s="82"/>
      <c r="N11" s="12"/>
      <c r="O11" s="12"/>
      <c r="P11" s="12"/>
      <c r="Q11" s="12"/>
      <c r="R11" s="12"/>
      <c r="S11" s="12"/>
      <c r="T11" s="12"/>
      <c r="U11" s="127">
        <f>SUM(G11:I11)</f>
        <v>0</v>
      </c>
      <c r="V11" s="127">
        <f t="shared" si="2"/>
        <v>-503</v>
      </c>
      <c r="W11" s="127">
        <f t="shared" si="2"/>
        <v>-503</v>
      </c>
      <c r="X11" s="127">
        <f t="shared" si="2"/>
        <v>-503</v>
      </c>
      <c r="Y11" s="127">
        <f t="shared" si="2"/>
        <v>-503</v>
      </c>
      <c r="AA11" s="13" t="e">
        <f>SUM(Y11/U11)-1</f>
        <v>#DIV/0!</v>
      </c>
    </row>
    <row r="12" spans="1:27" ht="12.75" customHeight="1">
      <c r="B12" s="14" t="s">
        <v>135</v>
      </c>
      <c r="C12" s="36">
        <f>SUM(C9:C11)</f>
        <v>-1217</v>
      </c>
      <c r="D12" s="36">
        <f t="shared" ref="D12:E12" si="3">SUM(D9:D11)</f>
        <v>-1191</v>
      </c>
      <c r="E12" s="36">
        <f t="shared" si="3"/>
        <v>-1594</v>
      </c>
      <c r="F12" s="12"/>
      <c r="G12" s="36">
        <f t="shared" ref="G12:M12" si="4">SUM(G9:G11)</f>
        <v>0</v>
      </c>
      <c r="H12" s="36">
        <f t="shared" si="4"/>
        <v>0</v>
      </c>
      <c r="I12" s="36">
        <f t="shared" si="4"/>
        <v>0</v>
      </c>
      <c r="J12" s="36">
        <f t="shared" si="4"/>
        <v>-1099</v>
      </c>
      <c r="K12" s="36">
        <f t="shared" si="4"/>
        <v>0</v>
      </c>
      <c r="L12" s="36">
        <f t="shared" si="4"/>
        <v>0</v>
      </c>
      <c r="M12" s="36">
        <f t="shared" si="4"/>
        <v>0</v>
      </c>
      <c r="N12" s="5"/>
      <c r="O12" s="36" t="e">
        <f t="shared" ref="O12:Y12" si="5">SUM(O9:O11)</f>
        <v>#REF!</v>
      </c>
      <c r="P12" s="36" t="e">
        <f t="shared" si="5"/>
        <v>#REF!</v>
      </c>
      <c r="Q12" s="36" t="e">
        <f t="shared" si="5"/>
        <v>#REF!</v>
      </c>
      <c r="R12" s="36" t="e">
        <f t="shared" si="5"/>
        <v>#REF!</v>
      </c>
      <c r="S12" s="36">
        <f t="shared" si="5"/>
        <v>0</v>
      </c>
      <c r="T12" s="36">
        <f t="shared" si="5"/>
        <v>0</v>
      </c>
      <c r="U12" s="36">
        <f t="shared" si="5"/>
        <v>0</v>
      </c>
      <c r="V12" s="36">
        <f t="shared" si="5"/>
        <v>-1099</v>
      </c>
      <c r="W12" s="36">
        <f t="shared" si="5"/>
        <v>-1099</v>
      </c>
      <c r="X12" s="36">
        <f t="shared" si="5"/>
        <v>-1099</v>
      </c>
      <c r="Y12" s="36">
        <f t="shared" si="5"/>
        <v>-1099</v>
      </c>
      <c r="AA12" s="16" t="e">
        <f>SUM(Y12/U12)-1</f>
        <v>#DIV/0!</v>
      </c>
    </row>
    <row r="13" spans="1:27">
      <c r="B13" s="135" t="s">
        <v>84</v>
      </c>
      <c r="C13" s="80" t="e">
        <f>C12-'Historical Financials'!#REF!</f>
        <v>#REF!</v>
      </c>
      <c r="D13" s="80">
        <f>+D12-'Historical Financials'!D11</f>
        <v>-3467</v>
      </c>
      <c r="E13" s="80">
        <f>+E12-'Historical Financials'!E11</f>
        <v>-4405</v>
      </c>
      <c r="F13" s="12"/>
      <c r="G13" s="80">
        <f>G12-'Historical Financials'!O11</f>
        <v>-635.32869200000005</v>
      </c>
      <c r="H13" s="80">
        <f>H12-'Historical Financials'!P11</f>
        <v>-675.93368399999997</v>
      </c>
      <c r="I13" s="80">
        <f>I12-'Historical Financials'!Q11</f>
        <v>-718.35223199999996</v>
      </c>
      <c r="J13" s="80">
        <f>J12-'Historical Financials'!R11</f>
        <v>-1880.3853919999999</v>
      </c>
      <c r="K13" s="80">
        <f>K12-'Historical Financials'!S11</f>
        <v>-701.137156</v>
      </c>
      <c r="L13" s="80">
        <f>L12-'Historical Financials'!T11</f>
        <v>-823.1016239999999</v>
      </c>
      <c r="M13" s="80">
        <f>M12-'Historical Financials'!U11</f>
        <v>-903</v>
      </c>
      <c r="N13" s="80"/>
      <c r="O13" s="80" t="e">
        <f>+O12-'Historical Financials'!AF11</f>
        <v>#REF!</v>
      </c>
      <c r="P13" s="80" t="e">
        <f>+P12-'Historical Financials'!AG11</f>
        <v>#REF!</v>
      </c>
      <c r="Q13" s="80" t="e">
        <f>+Q12-'Historical Financials'!AH11</f>
        <v>#REF!</v>
      </c>
      <c r="R13" s="80" t="e">
        <f>+R12-'Historical Financials'!AI11</f>
        <v>#REF!</v>
      </c>
      <c r="S13" s="80">
        <f>+S12-'Historical Financials'!AJ11</f>
        <v>-635.32869200000005</v>
      </c>
      <c r="T13" s="80">
        <f>+T12-'Historical Financials'!AK11</f>
        <v>-1311.2623760000001</v>
      </c>
      <c r="U13" s="80">
        <f>+U12-'Historical Financials'!AL11</f>
        <v>-2029.6146080000001</v>
      </c>
      <c r="V13" s="80">
        <f>+V12-'Historical Financials'!AM11</f>
        <v>-3910</v>
      </c>
      <c r="W13" s="80">
        <f>+W12-'Historical Financials'!AN11</f>
        <v>-3975.8084639999997</v>
      </c>
      <c r="X13" s="80">
        <f>+X12-'Historical Financials'!AO11</f>
        <v>-4122.976404</v>
      </c>
      <c r="Y13" s="80">
        <f>Y12-'Historical Financials'!AP11</f>
        <v>-4307.6241719999998</v>
      </c>
      <c r="AA13" s="9"/>
    </row>
    <row r="14" spans="1:27" ht="5.0999999999999996" customHeight="1">
      <c r="B14" s="20"/>
      <c r="C14" s="21"/>
      <c r="D14" s="21"/>
      <c r="E14" s="21"/>
      <c r="F14" s="22"/>
      <c r="G14" s="23"/>
      <c r="H14" s="23"/>
      <c r="I14" s="23"/>
      <c r="J14" s="23"/>
      <c r="K14" s="23"/>
      <c r="L14" s="23"/>
      <c r="M14" s="23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AA14" s="9"/>
    </row>
    <row r="15" spans="1:27" ht="12.75" customHeight="1">
      <c r="A15" s="81"/>
      <c r="B15" s="79" t="s">
        <v>122</v>
      </c>
      <c r="C15" s="24"/>
      <c r="D15" s="24"/>
      <c r="E15" s="24"/>
      <c r="F15" s="11"/>
      <c r="G15" s="11"/>
      <c r="H15" s="11"/>
      <c r="I15" s="11"/>
      <c r="J15" s="127"/>
      <c r="K15" s="11"/>
      <c r="L15" s="11"/>
      <c r="M15" s="11"/>
      <c r="N15" s="5"/>
      <c r="O15" s="12"/>
      <c r="P15" s="12"/>
      <c r="Q15" s="12"/>
      <c r="R15" s="12"/>
      <c r="S15" s="12"/>
      <c r="T15" s="12"/>
      <c r="U15" s="12"/>
      <c r="V15" s="12"/>
      <c r="W15" s="12"/>
      <c r="X15" s="12"/>
      <c r="AA15" s="13"/>
    </row>
    <row r="16" spans="1:27" ht="12.75" customHeight="1">
      <c r="B16" s="10" t="s">
        <v>126</v>
      </c>
      <c r="C16" s="127">
        <f>C$9*C23</f>
        <v>-395.2</v>
      </c>
      <c r="D16" s="127">
        <f t="shared" ref="D16:E16" si="6">D$9*D23</f>
        <v>-411.16</v>
      </c>
      <c r="E16" s="127">
        <f t="shared" si="6"/>
        <v>-447</v>
      </c>
      <c r="F16" s="82"/>
      <c r="G16" s="82"/>
      <c r="H16" s="82"/>
      <c r="I16" s="82"/>
      <c r="J16" s="127">
        <f t="shared" ref="J16:J18" si="7">SUM(E16-SUM(G16:I16))</f>
        <v>-447</v>
      </c>
      <c r="K16" s="82"/>
      <c r="L16" s="82"/>
      <c r="M16" s="82"/>
      <c r="N16" s="12"/>
      <c r="O16" s="12" t="e">
        <f>SUM(#REF!)</f>
        <v>#REF!</v>
      </c>
      <c r="P16" s="12" t="e">
        <f>SUM(#REF!)</f>
        <v>#REF!</v>
      </c>
      <c r="Q16" s="12" t="e">
        <f>SUM(#REF!)</f>
        <v>#REF!</v>
      </c>
      <c r="R16" s="12" t="e">
        <f>SUM(#REF!)</f>
        <v>#REF!</v>
      </c>
      <c r="S16" s="12">
        <f>SUM(G16:G16)</f>
        <v>0</v>
      </c>
      <c r="T16" s="12">
        <f>SUM(G16:H16)</f>
        <v>0</v>
      </c>
      <c r="U16" s="127">
        <f>SUM(G16:I16)</f>
        <v>0</v>
      </c>
      <c r="V16" s="127">
        <f t="shared" ref="V16:Y18" si="8">SUM(G16:J16)</f>
        <v>-447</v>
      </c>
      <c r="W16" s="127">
        <f t="shared" si="8"/>
        <v>-447</v>
      </c>
      <c r="X16" s="127">
        <f t="shared" si="8"/>
        <v>-447</v>
      </c>
      <c r="Y16" s="127">
        <f t="shared" si="8"/>
        <v>-447</v>
      </c>
      <c r="AA16" s="13" t="e">
        <f>SUM(Y16/U16)-1</f>
        <v>#DIV/0!</v>
      </c>
    </row>
    <row r="17" spans="1:27" ht="12.75" customHeight="1">
      <c r="B17" s="10" t="s">
        <v>127</v>
      </c>
      <c r="C17" s="127">
        <f>C$9*C24</f>
        <v>-57.2</v>
      </c>
      <c r="D17" s="127">
        <f>D$9*D24</f>
        <v>-48.69</v>
      </c>
      <c r="E17" s="127">
        <f>E$9*E24</f>
        <v>-47.68</v>
      </c>
      <c r="F17" s="82"/>
      <c r="G17" s="82"/>
      <c r="H17" s="82"/>
      <c r="I17" s="82"/>
      <c r="J17" s="127"/>
      <c r="K17" s="82"/>
      <c r="L17" s="82"/>
      <c r="M17" s="82"/>
      <c r="N17" s="12"/>
      <c r="O17" s="12"/>
      <c r="P17" s="12"/>
      <c r="Q17" s="12"/>
      <c r="R17" s="12"/>
      <c r="S17" s="12"/>
      <c r="T17" s="12"/>
      <c r="U17" s="127"/>
      <c r="V17" s="127"/>
      <c r="W17" s="127"/>
      <c r="X17" s="127"/>
      <c r="Y17" s="127"/>
      <c r="AA17" s="13"/>
    </row>
    <row r="18" spans="1:27" ht="12.75" customHeight="1">
      <c r="B18" s="10" t="s">
        <v>128</v>
      </c>
      <c r="C18" s="127">
        <f>C$9*C25</f>
        <v>-62.4</v>
      </c>
      <c r="D18" s="127">
        <f>D$9*D25</f>
        <v>-70.33</v>
      </c>
      <c r="E18" s="127">
        <f>E$9*E25</f>
        <v>-95.36</v>
      </c>
      <c r="F18" s="82"/>
      <c r="G18" s="82"/>
      <c r="H18" s="82"/>
      <c r="I18" s="82"/>
      <c r="J18" s="127">
        <f t="shared" si="7"/>
        <v>-95.36</v>
      </c>
      <c r="K18" s="82"/>
      <c r="L18" s="82"/>
      <c r="M18" s="82"/>
      <c r="N18" s="12"/>
      <c r="O18" s="12"/>
      <c r="P18" s="12"/>
      <c r="Q18" s="12"/>
      <c r="R18" s="12"/>
      <c r="S18" s="12"/>
      <c r="T18" s="12"/>
      <c r="U18" s="127">
        <f>SUM(G18:I18)</f>
        <v>0</v>
      </c>
      <c r="V18" s="127">
        <f t="shared" si="8"/>
        <v>-95.36</v>
      </c>
      <c r="W18" s="127">
        <f t="shared" si="8"/>
        <v>-95.36</v>
      </c>
      <c r="X18" s="127">
        <f t="shared" si="8"/>
        <v>-95.36</v>
      </c>
      <c r="Y18" s="127">
        <f t="shared" si="8"/>
        <v>-95.36</v>
      </c>
      <c r="AA18" s="13" t="e">
        <f>SUM(Y18/U18)-1</f>
        <v>#DIV/0!</v>
      </c>
    </row>
    <row r="19" spans="1:27" ht="12.75" customHeight="1">
      <c r="B19" s="136" t="s">
        <v>130</v>
      </c>
      <c r="C19" s="127">
        <f>+SUM(C9-SUM(C16:C18))</f>
        <v>-5.2000000000000455</v>
      </c>
      <c r="D19" s="127">
        <f t="shared" ref="D19:E19" si="9">+SUM(D9-SUM(D16:D18))</f>
        <v>-10.819999999999936</v>
      </c>
      <c r="E19" s="127">
        <f t="shared" si="9"/>
        <v>-5.9600000000000364</v>
      </c>
      <c r="F19" s="82"/>
      <c r="G19" s="82"/>
      <c r="H19" s="82"/>
      <c r="I19" s="82"/>
      <c r="J19" s="127"/>
      <c r="K19" s="82"/>
      <c r="L19" s="82"/>
      <c r="M19" s="82"/>
      <c r="N19" s="12"/>
      <c r="O19" s="12"/>
      <c r="P19" s="12"/>
      <c r="Q19" s="12"/>
      <c r="R19" s="12"/>
      <c r="S19" s="12"/>
      <c r="T19" s="12"/>
      <c r="U19" s="127"/>
      <c r="V19" s="127"/>
      <c r="W19" s="127"/>
      <c r="X19" s="127"/>
      <c r="Y19" s="127"/>
      <c r="AA19" s="13"/>
    </row>
    <row r="20" spans="1:27" ht="12.75" customHeight="1">
      <c r="B20" s="14" t="s">
        <v>129</v>
      </c>
      <c r="C20" s="36">
        <f>SUM(C16:C19)</f>
        <v>-520</v>
      </c>
      <c r="D20" s="36">
        <f t="shared" ref="D20:E20" si="10">SUM(D16:D19)</f>
        <v>-541</v>
      </c>
      <c r="E20" s="36">
        <f t="shared" si="10"/>
        <v>-596</v>
      </c>
      <c r="F20" s="12"/>
      <c r="G20" s="36">
        <f t="shared" ref="G20:M20" si="11">SUM(G16:G18)</f>
        <v>0</v>
      </c>
      <c r="H20" s="36">
        <f t="shared" si="11"/>
        <v>0</v>
      </c>
      <c r="I20" s="36">
        <f t="shared" si="11"/>
        <v>0</v>
      </c>
      <c r="J20" s="36">
        <f t="shared" si="11"/>
        <v>-542.36</v>
      </c>
      <c r="K20" s="36">
        <f t="shared" si="11"/>
        <v>0</v>
      </c>
      <c r="L20" s="36">
        <f t="shared" si="11"/>
        <v>0</v>
      </c>
      <c r="M20" s="36">
        <f t="shared" si="11"/>
        <v>0</v>
      </c>
      <c r="N20" s="5"/>
      <c r="O20" s="36" t="e">
        <f t="shared" ref="O20:Y20" si="12">SUM(O16:O18)</f>
        <v>#REF!</v>
      </c>
      <c r="P20" s="36" t="e">
        <f t="shared" si="12"/>
        <v>#REF!</v>
      </c>
      <c r="Q20" s="36" t="e">
        <f t="shared" si="12"/>
        <v>#REF!</v>
      </c>
      <c r="R20" s="36" t="e">
        <f t="shared" si="12"/>
        <v>#REF!</v>
      </c>
      <c r="S20" s="36">
        <f t="shared" si="12"/>
        <v>0</v>
      </c>
      <c r="T20" s="36">
        <f t="shared" si="12"/>
        <v>0</v>
      </c>
      <c r="U20" s="36">
        <f t="shared" si="12"/>
        <v>0</v>
      </c>
      <c r="V20" s="36">
        <f t="shared" si="12"/>
        <v>-542.36</v>
      </c>
      <c r="W20" s="36">
        <f t="shared" si="12"/>
        <v>-542.36</v>
      </c>
      <c r="X20" s="36">
        <f t="shared" si="12"/>
        <v>-542.36</v>
      </c>
      <c r="Y20" s="36">
        <f t="shared" si="12"/>
        <v>-542.36</v>
      </c>
      <c r="AA20" s="16" t="e">
        <f>SUM(Y20/U20)-1</f>
        <v>#DIV/0!</v>
      </c>
    </row>
    <row r="21" spans="1:27">
      <c r="B21" s="135" t="s">
        <v>84</v>
      </c>
      <c r="C21" s="80">
        <f>+C20-C9</f>
        <v>0</v>
      </c>
      <c r="D21" s="80">
        <f t="shared" ref="D21:E21" si="13">+D20-D9</f>
        <v>0</v>
      </c>
      <c r="E21" s="80">
        <f t="shared" si="13"/>
        <v>0</v>
      </c>
      <c r="F21" s="12"/>
      <c r="G21" s="80" t="e">
        <f>G20-'Historical Financials'!#REF!</f>
        <v>#REF!</v>
      </c>
      <c r="H21" s="80" t="e">
        <f>H20-'Historical Financials'!#REF!</f>
        <v>#REF!</v>
      </c>
      <c r="I21" s="80" t="e">
        <f>I20-'Historical Financials'!#REF!</f>
        <v>#REF!</v>
      </c>
      <c r="J21" s="80" t="e">
        <f>J20-'Historical Financials'!#REF!</f>
        <v>#REF!</v>
      </c>
      <c r="K21" s="80" t="e">
        <f>K20-'Historical Financials'!#REF!</f>
        <v>#REF!</v>
      </c>
      <c r="L21" s="80" t="e">
        <f>L20-'Historical Financials'!#REF!</f>
        <v>#REF!</v>
      </c>
      <c r="M21" s="80" t="e">
        <f>M20-'Historical Financials'!#REF!</f>
        <v>#REF!</v>
      </c>
      <c r="N21" s="80"/>
      <c r="O21" s="80" t="e">
        <f>+O20-'Historical Financials'!#REF!</f>
        <v>#REF!</v>
      </c>
      <c r="P21" s="80" t="e">
        <f>+P20-'Historical Financials'!#REF!</f>
        <v>#REF!</v>
      </c>
      <c r="Q21" s="80" t="e">
        <f>+Q20-'Historical Financials'!#REF!</f>
        <v>#REF!</v>
      </c>
      <c r="R21" s="80" t="e">
        <f>+R20-'Historical Financials'!#REF!</f>
        <v>#REF!</v>
      </c>
      <c r="S21" s="80" t="e">
        <f>+S20-'Historical Financials'!#REF!</f>
        <v>#REF!</v>
      </c>
      <c r="T21" s="80" t="e">
        <f>+T20-'Historical Financials'!#REF!</f>
        <v>#REF!</v>
      </c>
      <c r="U21" s="80" t="e">
        <f>+U20-'Historical Financials'!#REF!</f>
        <v>#REF!</v>
      </c>
      <c r="V21" s="80" t="e">
        <f>+V20-'Historical Financials'!#REF!</f>
        <v>#REF!</v>
      </c>
      <c r="W21" s="80" t="e">
        <f>+W20-'Historical Financials'!#REF!</f>
        <v>#REF!</v>
      </c>
      <c r="X21" s="80" t="e">
        <f>+X20-'Historical Financials'!#REF!</f>
        <v>#REF!</v>
      </c>
      <c r="Y21" s="80" t="e">
        <f>Y20-'Historical Financials'!#REF!</f>
        <v>#REF!</v>
      </c>
      <c r="AA21" s="9"/>
    </row>
    <row r="22" spans="1:27" ht="5.0999999999999996" customHeight="1">
      <c r="B22" s="20"/>
      <c r="C22" s="21"/>
      <c r="D22" s="21"/>
      <c r="E22" s="21"/>
      <c r="F22" s="22"/>
      <c r="G22" s="23"/>
      <c r="H22" s="23"/>
      <c r="I22" s="23"/>
      <c r="J22" s="23"/>
      <c r="K22" s="23"/>
      <c r="L22" s="23"/>
      <c r="M22" s="23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AA22" s="9"/>
    </row>
    <row r="23" spans="1:27">
      <c r="B23" s="160" t="s">
        <v>123</v>
      </c>
      <c r="C23" s="158">
        <v>0.76</v>
      </c>
      <c r="D23" s="158">
        <v>0.76</v>
      </c>
      <c r="E23" s="158">
        <v>0.75</v>
      </c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9"/>
    </row>
    <row r="24" spans="1:27">
      <c r="B24" s="161" t="s">
        <v>124</v>
      </c>
      <c r="C24" s="154">
        <v>0.11</v>
      </c>
      <c r="D24" s="154">
        <v>0.09</v>
      </c>
      <c r="E24" s="154">
        <v>0.08</v>
      </c>
      <c r="Y24" s="156"/>
    </row>
    <row r="25" spans="1:27">
      <c r="B25" s="162" t="s">
        <v>125</v>
      </c>
      <c r="C25" s="155">
        <v>0.12</v>
      </c>
      <c r="D25" s="155">
        <v>0.13</v>
      </c>
      <c r="E25" s="155">
        <v>0.16</v>
      </c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7"/>
    </row>
    <row r="26" spans="1:27">
      <c r="B26" s="20"/>
      <c r="C26" s="21"/>
      <c r="D26" s="21"/>
      <c r="E26" s="21"/>
      <c r="F26" s="22"/>
      <c r="G26" s="23"/>
      <c r="H26" s="23"/>
      <c r="I26" s="23"/>
      <c r="J26" s="23"/>
      <c r="K26" s="23"/>
      <c r="L26" s="23"/>
      <c r="M26" s="23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AA26" s="9"/>
    </row>
    <row r="27" spans="1:27" ht="12.75" customHeight="1">
      <c r="A27" s="81"/>
      <c r="B27" s="79" t="s">
        <v>128</v>
      </c>
      <c r="C27" s="24"/>
      <c r="D27" s="24"/>
      <c r="E27" s="24"/>
      <c r="F27" s="11"/>
      <c r="G27" s="11"/>
      <c r="H27" s="11"/>
      <c r="I27" s="11"/>
      <c r="J27" s="127"/>
      <c r="K27" s="11"/>
      <c r="L27" s="11"/>
      <c r="M27" s="11"/>
      <c r="N27" s="5"/>
      <c r="O27" s="12"/>
      <c r="P27" s="12"/>
      <c r="Q27" s="12"/>
      <c r="R27" s="12"/>
      <c r="S27" s="12"/>
      <c r="T27" s="12"/>
      <c r="U27" s="12"/>
      <c r="V27" s="12"/>
      <c r="W27" s="12"/>
      <c r="X27" s="12"/>
      <c r="AA27" s="13"/>
    </row>
    <row r="28" spans="1:27" ht="12.75" customHeight="1">
      <c r="B28" s="10" t="s">
        <v>131</v>
      </c>
      <c r="C28" s="127">
        <f>C$18*C33</f>
        <v>-58.655999999999999</v>
      </c>
      <c r="D28" s="127">
        <f t="shared" ref="D28:E29" si="14">D$18*D33</f>
        <v>-58.373899999999999</v>
      </c>
      <c r="E28" s="127">
        <f t="shared" si="14"/>
        <v>-70.566400000000002</v>
      </c>
      <c r="F28" s="82"/>
      <c r="G28" s="82"/>
      <c r="H28" s="82"/>
      <c r="I28" s="82"/>
      <c r="J28" s="127">
        <f t="shared" ref="J28" si="15">SUM(E28-SUM(G28:I28))</f>
        <v>-70.566400000000002</v>
      </c>
      <c r="K28" s="82"/>
      <c r="L28" s="82"/>
      <c r="M28" s="82"/>
      <c r="N28" s="12"/>
      <c r="O28" s="12"/>
      <c r="P28" s="12"/>
      <c r="Q28" s="12"/>
      <c r="R28" s="12"/>
      <c r="S28" s="12"/>
      <c r="T28" s="12"/>
      <c r="U28" s="127">
        <f>SUM(G28:I28)</f>
        <v>0</v>
      </c>
      <c r="V28" s="127">
        <f t="shared" ref="V28:Y28" si="16">SUM(G28:J28)</f>
        <v>-70.566400000000002</v>
      </c>
      <c r="W28" s="127">
        <f t="shared" si="16"/>
        <v>-70.566400000000002</v>
      </c>
      <c r="X28" s="127">
        <f t="shared" si="16"/>
        <v>-70.566400000000002</v>
      </c>
      <c r="Y28" s="127">
        <f t="shared" si="16"/>
        <v>-70.566400000000002</v>
      </c>
      <c r="AA28" s="13" t="e">
        <f>SUM(Y28/U28)-1</f>
        <v>#DIV/0!</v>
      </c>
    </row>
    <row r="29" spans="1:27" ht="12.75" customHeight="1">
      <c r="B29" s="10" t="s">
        <v>132</v>
      </c>
      <c r="C29" s="127">
        <f>C$18*C34</f>
        <v>-3.7440000000000033</v>
      </c>
      <c r="D29" s="127">
        <f t="shared" si="14"/>
        <v>-11.956100000000003</v>
      </c>
      <c r="E29" s="127">
        <f t="shared" si="14"/>
        <v>-24.793600000000001</v>
      </c>
      <c r="F29" s="82"/>
      <c r="G29" s="82"/>
      <c r="H29" s="82"/>
      <c r="I29" s="82"/>
      <c r="J29" s="127"/>
      <c r="K29" s="82"/>
      <c r="L29" s="82"/>
      <c r="M29" s="82"/>
      <c r="N29" s="12"/>
      <c r="O29" s="12"/>
      <c r="P29" s="12"/>
      <c r="Q29" s="12"/>
      <c r="R29" s="12"/>
      <c r="S29" s="12"/>
      <c r="T29" s="12"/>
      <c r="U29" s="127"/>
      <c r="V29" s="127"/>
      <c r="W29" s="127"/>
      <c r="X29" s="127"/>
      <c r="Y29" s="127"/>
      <c r="AA29" s="13"/>
    </row>
    <row r="30" spans="1:27" ht="12.75" customHeight="1">
      <c r="B30" s="14" t="s">
        <v>129</v>
      </c>
      <c r="C30" s="36">
        <f>SUM(C28:C29)</f>
        <v>-62.400000000000006</v>
      </c>
      <c r="D30" s="36">
        <f>SUM(D28:D29)</f>
        <v>-70.33</v>
      </c>
      <c r="E30" s="36">
        <f>SUM(E28:E29)</f>
        <v>-95.36</v>
      </c>
      <c r="F30" s="12"/>
      <c r="G30" s="36">
        <f t="shared" ref="G30:M30" si="17">SUM(G28:G28)</f>
        <v>0</v>
      </c>
      <c r="H30" s="36">
        <f t="shared" si="17"/>
        <v>0</v>
      </c>
      <c r="I30" s="36">
        <f t="shared" si="17"/>
        <v>0</v>
      </c>
      <c r="J30" s="36">
        <f t="shared" si="17"/>
        <v>-70.566400000000002</v>
      </c>
      <c r="K30" s="36">
        <f t="shared" si="17"/>
        <v>0</v>
      </c>
      <c r="L30" s="36">
        <f t="shared" si="17"/>
        <v>0</v>
      </c>
      <c r="M30" s="36">
        <f t="shared" si="17"/>
        <v>0</v>
      </c>
      <c r="N30" s="5"/>
      <c r="O30" s="36">
        <f t="shared" ref="O30:Y30" si="18">SUM(O28:O28)</f>
        <v>0</v>
      </c>
      <c r="P30" s="36">
        <f t="shared" si="18"/>
        <v>0</v>
      </c>
      <c r="Q30" s="36">
        <f t="shared" si="18"/>
        <v>0</v>
      </c>
      <c r="R30" s="36">
        <f t="shared" si="18"/>
        <v>0</v>
      </c>
      <c r="S30" s="36">
        <f t="shared" si="18"/>
        <v>0</v>
      </c>
      <c r="T30" s="36">
        <f t="shared" si="18"/>
        <v>0</v>
      </c>
      <c r="U30" s="36">
        <f t="shared" si="18"/>
        <v>0</v>
      </c>
      <c r="V30" s="36">
        <f t="shared" si="18"/>
        <v>-70.566400000000002</v>
      </c>
      <c r="W30" s="36">
        <f t="shared" si="18"/>
        <v>-70.566400000000002</v>
      </c>
      <c r="X30" s="36">
        <f t="shared" si="18"/>
        <v>-70.566400000000002</v>
      </c>
      <c r="Y30" s="36">
        <f t="shared" si="18"/>
        <v>-70.566400000000002</v>
      </c>
      <c r="AA30" s="16" t="e">
        <f>SUM(Y30/U30)-1</f>
        <v>#DIV/0!</v>
      </c>
    </row>
    <row r="31" spans="1:27">
      <c r="B31" s="135" t="s">
        <v>84</v>
      </c>
      <c r="C31" s="80">
        <f t="shared" ref="C31:D31" si="19">C30-C18</f>
        <v>0</v>
      </c>
      <c r="D31" s="80">
        <f t="shared" si="19"/>
        <v>0</v>
      </c>
      <c r="E31" s="80">
        <f>E30-E18</f>
        <v>0</v>
      </c>
      <c r="F31" s="12"/>
      <c r="G31" s="80">
        <f>G30-'Historical Financials'!O31</f>
        <v>25.474493330234374</v>
      </c>
      <c r="H31" s="80">
        <f>H30-'Historical Financials'!P31</f>
        <v>2.7472886899999569</v>
      </c>
      <c r="I31" s="80">
        <f>I30-'Historical Financials'!Q31</f>
        <v>-14.727672666249934</v>
      </c>
      <c r="J31" s="80">
        <f>J30-'Historical Financials'!R31</f>
        <v>-117.44539314398428</v>
      </c>
      <c r="K31" s="80">
        <f>K30-'Historical Financials'!S31</f>
        <v>91.374324562812475</v>
      </c>
      <c r="L31" s="80">
        <f>L30-'Historical Financials'!T31</f>
        <v>45.839025177734463</v>
      </c>
      <c r="M31" s="80">
        <f>M30-'Historical Financials'!U31</f>
        <v>88</v>
      </c>
      <c r="N31" s="80"/>
      <c r="O31" s="80" t="e">
        <f>+O30-'Historical Financials'!AF31</f>
        <v>#REF!</v>
      </c>
      <c r="P31" s="80" t="e">
        <f>+P30-'Historical Financials'!AG31</f>
        <v>#REF!</v>
      </c>
      <c r="Q31" s="80" t="e">
        <f>+Q30-'Historical Financials'!AH31</f>
        <v>#REF!</v>
      </c>
      <c r="R31" s="80" t="e">
        <f>+R30-'Historical Financials'!AI31</f>
        <v>#REF!</v>
      </c>
      <c r="S31" s="80">
        <f>+S30-'Historical Financials'!AJ31</f>
        <v>-509.75696800976561</v>
      </c>
      <c r="T31" s="80">
        <f>+T30-'Historical Financials'!AK31</f>
        <v>-1044.9637525097658</v>
      </c>
      <c r="U31" s="80">
        <f>+U30-'Historical Financials'!AL31</f>
        <v>13.494109353984225</v>
      </c>
      <c r="V31" s="80">
        <f>+V30-'Historical Financials'!AM31</f>
        <v>-103.95128379000023</v>
      </c>
      <c r="W31" s="80">
        <f>+W30-'Historical Financials'!AN31</f>
        <v>-38.051452557421683</v>
      </c>
      <c r="X31" s="80">
        <f>+X30-'Historical Financials'!AO31</f>
        <v>5.0402839303124409</v>
      </c>
      <c r="Y31" s="80">
        <f>Y30-'Historical Financials'!AP31</f>
        <v>107.76795659656266</v>
      </c>
      <c r="AA31" s="9"/>
    </row>
    <row r="32" spans="1:27" ht="5.0999999999999996" customHeight="1">
      <c r="B32" s="20"/>
      <c r="C32" s="21"/>
      <c r="D32" s="21"/>
      <c r="E32" s="21"/>
      <c r="F32" s="22"/>
      <c r="G32" s="23"/>
      <c r="H32" s="23"/>
      <c r="I32" s="23"/>
      <c r="J32" s="23"/>
      <c r="K32" s="23"/>
      <c r="L32" s="23"/>
      <c r="M32" s="23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AA32" s="9"/>
    </row>
    <row r="33" spans="1:27">
      <c r="B33" s="160" t="s">
        <v>123</v>
      </c>
      <c r="C33" s="158">
        <v>0.94</v>
      </c>
      <c r="D33" s="158">
        <v>0.83</v>
      </c>
      <c r="E33" s="158">
        <v>0.74</v>
      </c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9"/>
    </row>
    <row r="34" spans="1:27">
      <c r="B34" s="162" t="s">
        <v>125</v>
      </c>
      <c r="C34" s="163">
        <f t="shared" ref="C34:D34" si="20">1-C33</f>
        <v>6.0000000000000053E-2</v>
      </c>
      <c r="D34" s="163">
        <f t="shared" si="20"/>
        <v>0.17000000000000004</v>
      </c>
      <c r="E34" s="163">
        <f>1-E33</f>
        <v>0.26</v>
      </c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7"/>
    </row>
    <row r="35" spans="1:27" ht="5.0999999999999996" customHeight="1">
      <c r="B35" s="20"/>
      <c r="C35" s="21"/>
      <c r="D35" s="21"/>
      <c r="E35" s="21"/>
      <c r="F35" s="22"/>
      <c r="G35" s="23"/>
      <c r="H35" s="23"/>
      <c r="I35" s="23"/>
      <c r="J35" s="23"/>
      <c r="K35" s="23"/>
      <c r="L35" s="23"/>
      <c r="M35" s="23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AA35" s="9"/>
    </row>
    <row r="36" spans="1:27">
      <c r="A36" s="38" t="s">
        <v>12</v>
      </c>
      <c r="B36" s="1" t="s">
        <v>107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.0999999999999996" customHeight="1"/>
    <row r="38" spans="1:27" ht="12.75" customHeight="1">
      <c r="A38" s="81"/>
      <c r="B38" s="79" t="s">
        <v>138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5"/>
      <c r="O38" s="12"/>
      <c r="P38" s="12"/>
      <c r="Q38" s="12"/>
      <c r="R38" s="12"/>
      <c r="S38" s="12"/>
      <c r="T38" s="12"/>
      <c r="U38" s="12"/>
      <c r="V38" s="12"/>
      <c r="W38" s="12"/>
      <c r="X38" s="12"/>
      <c r="AA38" s="13"/>
    </row>
    <row r="39" spans="1:27" ht="12.75" customHeight="1">
      <c r="A39" s="81"/>
      <c r="B39" s="10" t="s">
        <v>140</v>
      </c>
      <c r="C39" s="82"/>
      <c r="D39" s="82"/>
      <c r="E39" s="82"/>
      <c r="F39" s="11"/>
      <c r="G39" s="11"/>
      <c r="H39" s="11"/>
      <c r="I39" s="11"/>
      <c r="J39" s="127">
        <f>SUM(E39-SUM(G39:I39))</f>
        <v>0</v>
      </c>
      <c r="K39" s="11"/>
      <c r="L39" s="11"/>
      <c r="M39" s="11"/>
      <c r="N39" s="5"/>
      <c r="O39" s="12"/>
      <c r="P39" s="12"/>
      <c r="Q39" s="12"/>
      <c r="R39" s="12"/>
      <c r="S39" s="12"/>
      <c r="T39" s="12"/>
      <c r="U39" s="12"/>
      <c r="V39" s="12"/>
      <c r="W39" s="12"/>
      <c r="X39" s="12"/>
      <c r="AA39" s="13"/>
    </row>
    <row r="40" spans="1:27" ht="12.75" customHeight="1">
      <c r="A40" s="81"/>
      <c r="B40" s="10" t="s">
        <v>141</v>
      </c>
      <c r="C40" s="82"/>
      <c r="D40" s="82"/>
      <c r="E40" s="82"/>
      <c r="F40" s="11"/>
      <c r="G40" s="11"/>
      <c r="H40" s="11"/>
      <c r="I40" s="11"/>
      <c r="J40" s="127"/>
      <c r="K40" s="11"/>
      <c r="L40" s="11"/>
      <c r="M40" s="11"/>
      <c r="N40" s="5"/>
      <c r="O40" s="12"/>
      <c r="P40" s="12"/>
      <c r="Q40" s="12"/>
      <c r="R40" s="12"/>
      <c r="S40" s="12"/>
      <c r="T40" s="12"/>
      <c r="U40" s="12"/>
      <c r="V40" s="12"/>
      <c r="W40" s="12"/>
      <c r="X40" s="12"/>
      <c r="AA40" s="13"/>
    </row>
    <row r="41" spans="1:27" ht="12.75" customHeight="1">
      <c r="A41" s="81"/>
      <c r="B41" s="10" t="s">
        <v>142</v>
      </c>
      <c r="C41" s="82"/>
      <c r="D41" s="82"/>
      <c r="E41" s="82"/>
      <c r="F41" s="11"/>
      <c r="G41" s="11"/>
      <c r="H41" s="11"/>
      <c r="I41" s="11"/>
      <c r="J41" s="127"/>
      <c r="K41" s="11"/>
      <c r="L41" s="11"/>
      <c r="M41" s="11"/>
      <c r="N41" s="5"/>
      <c r="O41" s="12"/>
      <c r="P41" s="12"/>
      <c r="Q41" s="12"/>
      <c r="R41" s="12"/>
      <c r="S41" s="12"/>
      <c r="T41" s="12"/>
      <c r="U41" s="12"/>
      <c r="V41" s="12"/>
      <c r="W41" s="12"/>
      <c r="X41" s="12"/>
      <c r="AA41" s="13"/>
    </row>
    <row r="42" spans="1:27" ht="12.75" customHeight="1">
      <c r="A42" s="81"/>
      <c r="B42" s="10" t="s">
        <v>143</v>
      </c>
      <c r="C42" s="82"/>
      <c r="D42" s="82"/>
      <c r="E42" s="82"/>
      <c r="F42" s="11"/>
      <c r="G42" s="11"/>
      <c r="H42" s="11"/>
      <c r="I42" s="11"/>
      <c r="J42" s="127"/>
      <c r="K42" s="11"/>
      <c r="L42" s="11"/>
      <c r="M42" s="11"/>
      <c r="N42" s="5"/>
      <c r="O42" s="12"/>
      <c r="P42" s="12"/>
      <c r="Q42" s="12"/>
      <c r="R42" s="12"/>
      <c r="S42" s="12"/>
      <c r="T42" s="12"/>
      <c r="U42" s="12"/>
      <c r="V42" s="12"/>
      <c r="W42" s="12"/>
      <c r="X42" s="12"/>
      <c r="AA42" s="13"/>
    </row>
    <row r="43" spans="1:27" ht="12.75" customHeight="1">
      <c r="A43" s="81"/>
      <c r="B43" s="10" t="s">
        <v>144</v>
      </c>
      <c r="C43" s="82"/>
      <c r="D43" s="82"/>
      <c r="E43" s="82"/>
      <c r="F43" s="11"/>
      <c r="G43" s="11"/>
      <c r="H43" s="11"/>
      <c r="I43" s="11"/>
      <c r="J43" s="127"/>
      <c r="K43" s="11"/>
      <c r="L43" s="11"/>
      <c r="M43" s="11"/>
      <c r="N43" s="5"/>
      <c r="O43" s="12"/>
      <c r="P43" s="12"/>
      <c r="Q43" s="12"/>
      <c r="R43" s="12"/>
      <c r="S43" s="12"/>
      <c r="T43" s="12"/>
      <c r="U43" s="12"/>
      <c r="V43" s="12"/>
      <c r="W43" s="12"/>
      <c r="X43" s="12"/>
      <c r="AA43" s="13"/>
    </row>
    <row r="44" spans="1:27" ht="12.75" customHeight="1">
      <c r="A44" s="81"/>
      <c r="B44" s="10" t="s">
        <v>145</v>
      </c>
      <c r="C44" s="82"/>
      <c r="D44" s="82"/>
      <c r="E44" s="82"/>
      <c r="F44" s="11"/>
      <c r="G44" s="11"/>
      <c r="H44" s="11"/>
      <c r="I44" s="11"/>
      <c r="J44" s="127"/>
      <c r="K44" s="11"/>
      <c r="L44" s="11"/>
      <c r="M44" s="11"/>
      <c r="N44" s="5"/>
      <c r="O44" s="12"/>
      <c r="P44" s="12"/>
      <c r="Q44" s="12"/>
      <c r="R44" s="12"/>
      <c r="S44" s="12"/>
      <c r="T44" s="12"/>
      <c r="U44" s="12"/>
      <c r="V44" s="12"/>
      <c r="W44" s="12"/>
      <c r="X44" s="12"/>
      <c r="AA44" s="13"/>
    </row>
    <row r="45" spans="1:27" ht="12.75" customHeight="1">
      <c r="A45" s="81"/>
      <c r="B45" s="10" t="s">
        <v>146</v>
      </c>
      <c r="C45" s="82"/>
      <c r="D45" s="82"/>
      <c r="E45" s="82"/>
      <c r="F45" s="11"/>
      <c r="G45" s="11"/>
      <c r="H45" s="11"/>
      <c r="I45" s="11"/>
      <c r="J45" s="127"/>
      <c r="K45" s="11"/>
      <c r="L45" s="11"/>
      <c r="M45" s="11"/>
      <c r="N45" s="5"/>
      <c r="O45" s="12"/>
      <c r="P45" s="12"/>
      <c r="Q45" s="12"/>
      <c r="R45" s="12"/>
      <c r="S45" s="12"/>
      <c r="T45" s="12"/>
      <c r="U45" s="12"/>
      <c r="V45" s="12"/>
      <c r="W45" s="12"/>
      <c r="X45" s="12"/>
      <c r="AA45" s="13"/>
    </row>
    <row r="46" spans="1:27" ht="12.75" customHeight="1">
      <c r="B46" s="14" t="s">
        <v>139</v>
      </c>
      <c r="C46" s="36">
        <f>SUM(C39:C45)</f>
        <v>0</v>
      </c>
      <c r="D46" s="36">
        <f>SUM(D39:D45)</f>
        <v>0</v>
      </c>
      <c r="E46" s="36">
        <f>SUM(E39:E45)</f>
        <v>0</v>
      </c>
      <c r="F46" s="12"/>
      <c r="G46" s="36">
        <f t="shared" ref="G46:M46" si="21">SUM(G39:G45)</f>
        <v>0</v>
      </c>
      <c r="H46" s="36">
        <f t="shared" si="21"/>
        <v>0</v>
      </c>
      <c r="I46" s="36">
        <f t="shared" si="21"/>
        <v>0</v>
      </c>
      <c r="J46" s="36">
        <f t="shared" si="21"/>
        <v>0</v>
      </c>
      <c r="K46" s="36">
        <f t="shared" si="21"/>
        <v>0</v>
      </c>
      <c r="L46" s="36">
        <f t="shared" si="21"/>
        <v>0</v>
      </c>
      <c r="M46" s="36">
        <f t="shared" si="21"/>
        <v>0</v>
      </c>
      <c r="N46" s="5"/>
      <c r="O46" s="36" t="e">
        <f>SUM(#REF!)</f>
        <v>#REF!</v>
      </c>
      <c r="P46" s="36" t="e">
        <f>SUM(#REF!)</f>
        <v>#REF!</v>
      </c>
      <c r="Q46" s="36" t="e">
        <f>SUM(#REF!)</f>
        <v>#REF!</v>
      </c>
      <c r="R46" s="36" t="e">
        <f>SUM(#REF!)</f>
        <v>#REF!</v>
      </c>
      <c r="S46" s="36" t="e">
        <f>SUM(#REF!)</f>
        <v>#REF!</v>
      </c>
      <c r="T46" s="36" t="e">
        <f>SUM(#REF!)</f>
        <v>#REF!</v>
      </c>
      <c r="U46" s="36" t="e">
        <f>SUM(#REF!)</f>
        <v>#REF!</v>
      </c>
      <c r="V46" s="36" t="e">
        <f>SUM(#REF!)</f>
        <v>#REF!</v>
      </c>
      <c r="W46" s="36" t="e">
        <f>SUM(#REF!)</f>
        <v>#REF!</v>
      </c>
      <c r="X46" s="36" t="e">
        <f>SUM(#REF!)</f>
        <v>#REF!</v>
      </c>
      <c r="Y46" s="36" t="e">
        <f>SUM(#REF!)</f>
        <v>#REF!</v>
      </c>
      <c r="AA46" s="16" t="e">
        <f t="shared" ref="AA46" si="22">SUM(Y46/U46)-1</f>
        <v>#REF!</v>
      </c>
    </row>
    <row r="47" spans="1:27" ht="5.0999999999999996" customHeight="1"/>
    <row r="48" spans="1:27">
      <c r="B48" s="160" t="str">
        <f>B39&amp;"(%)"</f>
        <v>Apparel &amp; Accessories (%)</v>
      </c>
      <c r="C48" s="158"/>
      <c r="D48" s="158"/>
      <c r="E48" s="158">
        <v>0.69</v>
      </c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9"/>
    </row>
    <row r="49" spans="1:27">
      <c r="B49" s="161" t="str">
        <f t="shared" ref="B49:B54" si="23">B40&amp;"(%)"</f>
        <v>Health &amp; Beauty (%)</v>
      </c>
      <c r="C49" s="154"/>
      <c r="D49" s="154"/>
      <c r="E49" s="154">
        <v>0.03</v>
      </c>
      <c r="Y49" s="156"/>
    </row>
    <row r="50" spans="1:27">
      <c r="B50" s="161" t="str">
        <f t="shared" si="23"/>
        <v>Home &amp; Electronics (%)</v>
      </c>
      <c r="C50" s="154"/>
      <c r="D50" s="154"/>
      <c r="E50" s="154">
        <v>0.04</v>
      </c>
      <c r="Y50" s="156"/>
    </row>
    <row r="51" spans="1:27">
      <c r="B51" s="161" t="str">
        <f t="shared" si="23"/>
        <v>Food &amp; Beverage (%)</v>
      </c>
      <c r="C51" s="154"/>
      <c r="D51" s="154"/>
      <c r="E51" s="154">
        <v>0.05</v>
      </c>
      <c r="Y51" s="156"/>
    </row>
    <row r="52" spans="1:27">
      <c r="B52" s="161" t="str">
        <f t="shared" si="23"/>
        <v>Leisure (%)</v>
      </c>
      <c r="C52" s="154"/>
      <c r="D52" s="154"/>
      <c r="E52" s="154">
        <v>0.12</v>
      </c>
      <c r="Y52" s="156"/>
    </row>
    <row r="53" spans="1:27">
      <c r="B53" s="161" t="str">
        <f t="shared" si="23"/>
        <v>Events &amp; Services (%)</v>
      </c>
      <c r="C53" s="154"/>
      <c r="D53" s="154"/>
      <c r="E53" s="154">
        <v>0.04</v>
      </c>
      <c r="Y53" s="156"/>
    </row>
    <row r="54" spans="1:27">
      <c r="B54" s="162" t="str">
        <f t="shared" si="23"/>
        <v>Travel (%)</v>
      </c>
      <c r="C54" s="155"/>
      <c r="D54" s="155"/>
      <c r="E54" s="155">
        <v>0.03</v>
      </c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7"/>
    </row>
    <row r="56" spans="1:27" ht="12.75" customHeight="1">
      <c r="A56" s="81"/>
      <c r="B56" s="79" t="s">
        <v>147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5"/>
      <c r="O56" s="12"/>
      <c r="P56" s="12"/>
      <c r="Q56" s="12"/>
      <c r="R56" s="12"/>
      <c r="S56" s="12"/>
      <c r="T56" s="12"/>
      <c r="U56" s="12"/>
      <c r="V56" s="12"/>
      <c r="W56" s="12"/>
      <c r="X56" s="12"/>
      <c r="AA56" s="13"/>
    </row>
    <row r="57" spans="1:27" ht="12.75" customHeight="1">
      <c r="A57" s="81"/>
      <c r="B57" s="10" t="s">
        <v>140</v>
      </c>
      <c r="C57" s="82"/>
      <c r="D57" s="82"/>
      <c r="E57" s="82"/>
      <c r="F57" s="11"/>
      <c r="G57" s="11"/>
      <c r="H57" s="11"/>
      <c r="I57" s="11"/>
      <c r="J57" s="127">
        <f>SUM(E57-SUM(G57:I57))</f>
        <v>0</v>
      </c>
      <c r="K57" s="11"/>
      <c r="L57" s="11"/>
      <c r="M57" s="11"/>
      <c r="N57" s="5"/>
      <c r="O57" s="12"/>
      <c r="P57" s="12"/>
      <c r="Q57" s="12"/>
      <c r="R57" s="12"/>
      <c r="S57" s="12"/>
      <c r="T57" s="12"/>
      <c r="U57" s="12"/>
      <c r="V57" s="12"/>
      <c r="W57" s="12"/>
      <c r="X57" s="12"/>
      <c r="AA57" s="13"/>
    </row>
    <row r="58" spans="1:27" ht="12.75" customHeight="1">
      <c r="A58" s="81"/>
      <c r="B58" s="10" t="s">
        <v>141</v>
      </c>
      <c r="C58" s="82"/>
      <c r="D58" s="82"/>
      <c r="E58" s="82"/>
      <c r="F58" s="11"/>
      <c r="G58" s="11"/>
      <c r="H58" s="11"/>
      <c r="I58" s="11"/>
      <c r="J58" s="127"/>
      <c r="K58" s="11"/>
      <c r="L58" s="11"/>
      <c r="M58" s="11"/>
      <c r="N58" s="5"/>
      <c r="O58" s="12"/>
      <c r="P58" s="12"/>
      <c r="Q58" s="12"/>
      <c r="R58" s="12"/>
      <c r="S58" s="12"/>
      <c r="T58" s="12"/>
      <c r="U58" s="12"/>
      <c r="V58" s="12"/>
      <c r="W58" s="12"/>
      <c r="X58" s="12"/>
      <c r="AA58" s="13"/>
    </row>
    <row r="59" spans="1:27" ht="12.75" customHeight="1">
      <c r="A59" s="81"/>
      <c r="B59" s="10" t="s">
        <v>142</v>
      </c>
      <c r="C59" s="82"/>
      <c r="D59" s="82"/>
      <c r="E59" s="82"/>
      <c r="F59" s="11"/>
      <c r="G59" s="11"/>
      <c r="H59" s="11"/>
      <c r="I59" s="11"/>
      <c r="J59" s="127"/>
      <c r="K59" s="11"/>
      <c r="L59" s="11"/>
      <c r="M59" s="11"/>
      <c r="N59" s="5"/>
      <c r="O59" s="12"/>
      <c r="P59" s="12"/>
      <c r="Q59" s="12"/>
      <c r="R59" s="12"/>
      <c r="S59" s="12"/>
      <c r="T59" s="12"/>
      <c r="U59" s="12"/>
      <c r="V59" s="12"/>
      <c r="W59" s="12"/>
      <c r="X59" s="12"/>
      <c r="AA59" s="13"/>
    </row>
    <row r="60" spans="1:27" ht="12.75" customHeight="1">
      <c r="A60" s="81"/>
      <c r="B60" s="10" t="s">
        <v>143</v>
      </c>
      <c r="C60" s="82"/>
      <c r="D60" s="82"/>
      <c r="E60" s="82"/>
      <c r="F60" s="11"/>
      <c r="G60" s="11"/>
      <c r="H60" s="11"/>
      <c r="I60" s="11"/>
      <c r="J60" s="127"/>
      <c r="K60" s="11"/>
      <c r="L60" s="11"/>
      <c r="M60" s="11"/>
      <c r="N60" s="5"/>
      <c r="O60" s="12"/>
      <c r="P60" s="12"/>
      <c r="Q60" s="12"/>
      <c r="R60" s="12"/>
      <c r="S60" s="12"/>
      <c r="T60" s="12"/>
      <c r="U60" s="12"/>
      <c r="V60" s="12"/>
      <c r="W60" s="12"/>
      <c r="X60" s="12"/>
      <c r="AA60" s="13"/>
    </row>
    <row r="61" spans="1:27" ht="12.75" customHeight="1">
      <c r="A61" s="81"/>
      <c r="B61" s="10" t="s">
        <v>144</v>
      </c>
      <c r="C61" s="82"/>
      <c r="D61" s="82"/>
      <c r="E61" s="82"/>
      <c r="F61" s="11"/>
      <c r="G61" s="11"/>
      <c r="H61" s="11"/>
      <c r="I61" s="11"/>
      <c r="J61" s="127"/>
      <c r="K61" s="11"/>
      <c r="L61" s="11"/>
      <c r="M61" s="11"/>
      <c r="N61" s="5"/>
      <c r="O61" s="12"/>
      <c r="P61" s="12"/>
      <c r="Q61" s="12"/>
      <c r="R61" s="12"/>
      <c r="S61" s="12"/>
      <c r="T61" s="12"/>
      <c r="U61" s="12"/>
      <c r="V61" s="12"/>
      <c r="W61" s="12"/>
      <c r="X61" s="12"/>
      <c r="AA61" s="13"/>
    </row>
    <row r="62" spans="1:27" ht="12.75" customHeight="1">
      <c r="A62" s="81"/>
      <c r="B62" s="10" t="s">
        <v>145</v>
      </c>
      <c r="C62" s="82"/>
      <c r="D62" s="82"/>
      <c r="E62" s="82"/>
      <c r="F62" s="11"/>
      <c r="G62" s="11"/>
      <c r="H62" s="11"/>
      <c r="I62" s="11"/>
      <c r="J62" s="127"/>
      <c r="K62" s="11"/>
      <c r="L62" s="11"/>
      <c r="M62" s="11"/>
      <c r="N62" s="5"/>
      <c r="O62" s="12"/>
      <c r="P62" s="12"/>
      <c r="Q62" s="12"/>
      <c r="R62" s="12"/>
      <c r="S62" s="12"/>
      <c r="T62" s="12"/>
      <c r="U62" s="12"/>
      <c r="V62" s="12"/>
      <c r="W62" s="12"/>
      <c r="X62" s="12"/>
      <c r="AA62" s="13"/>
    </row>
    <row r="63" spans="1:27" ht="12.75" customHeight="1">
      <c r="A63" s="81"/>
      <c r="B63" s="10" t="s">
        <v>146</v>
      </c>
      <c r="C63" s="82"/>
      <c r="D63" s="82"/>
      <c r="E63" s="82"/>
      <c r="F63" s="11"/>
      <c r="G63" s="11"/>
      <c r="H63" s="11"/>
      <c r="I63" s="11"/>
      <c r="J63" s="127"/>
      <c r="K63" s="11"/>
      <c r="L63" s="11"/>
      <c r="M63" s="11"/>
      <c r="N63" s="5"/>
      <c r="O63" s="12"/>
      <c r="P63" s="12"/>
      <c r="Q63" s="12"/>
      <c r="R63" s="12"/>
      <c r="S63" s="12"/>
      <c r="T63" s="12"/>
      <c r="U63" s="12"/>
      <c r="V63" s="12"/>
      <c r="W63" s="12"/>
      <c r="X63" s="12"/>
      <c r="AA63" s="13"/>
    </row>
    <row r="64" spans="1:27" ht="12.75" customHeight="1">
      <c r="B64" s="14" t="s">
        <v>148</v>
      </c>
      <c r="C64" s="36">
        <f>SUM(C57:C63)</f>
        <v>0</v>
      </c>
      <c r="D64" s="36">
        <f>SUM(D57:D63)</f>
        <v>0</v>
      </c>
      <c r="E64" s="36">
        <f>SUM(E57:E63)</f>
        <v>0</v>
      </c>
      <c r="F64" s="12"/>
      <c r="G64" s="36">
        <f t="shared" ref="G64:M64" si="24">SUM(G57:G63)</f>
        <v>0</v>
      </c>
      <c r="H64" s="36">
        <f t="shared" si="24"/>
        <v>0</v>
      </c>
      <c r="I64" s="36">
        <f t="shared" si="24"/>
        <v>0</v>
      </c>
      <c r="J64" s="36">
        <f t="shared" si="24"/>
        <v>0</v>
      </c>
      <c r="K64" s="36">
        <f t="shared" si="24"/>
        <v>0</v>
      </c>
      <c r="L64" s="36">
        <f t="shared" si="24"/>
        <v>0</v>
      </c>
      <c r="M64" s="36">
        <f t="shared" si="24"/>
        <v>0</v>
      </c>
      <c r="N64" s="5"/>
      <c r="O64" s="36" t="e">
        <f>SUM(#REF!)</f>
        <v>#REF!</v>
      </c>
      <c r="P64" s="36" t="e">
        <f>SUM(#REF!)</f>
        <v>#REF!</v>
      </c>
      <c r="Q64" s="36" t="e">
        <f>SUM(#REF!)</f>
        <v>#REF!</v>
      </c>
      <c r="R64" s="36" t="e">
        <f>SUM(#REF!)</f>
        <v>#REF!</v>
      </c>
      <c r="S64" s="36" t="e">
        <f>SUM(#REF!)</f>
        <v>#REF!</v>
      </c>
      <c r="T64" s="36" t="e">
        <f>SUM(#REF!)</f>
        <v>#REF!</v>
      </c>
      <c r="U64" s="36" t="e">
        <f>SUM(#REF!)</f>
        <v>#REF!</v>
      </c>
      <c r="V64" s="36" t="e">
        <f>SUM(#REF!)</f>
        <v>#REF!</v>
      </c>
      <c r="W64" s="36" t="e">
        <f>SUM(#REF!)</f>
        <v>#REF!</v>
      </c>
      <c r="X64" s="36" t="e">
        <f>SUM(#REF!)</f>
        <v>#REF!</v>
      </c>
      <c r="Y64" s="36" t="e">
        <f>SUM(#REF!)</f>
        <v>#REF!</v>
      </c>
      <c r="AA64" s="16" t="e">
        <f t="shared" ref="AA64" si="25">SUM(Y64/U64)-1</f>
        <v>#REF!</v>
      </c>
    </row>
    <row r="65" spans="1:27" ht="5.0999999999999996" customHeight="1"/>
    <row r="66" spans="1:27">
      <c r="B66" s="160" t="str">
        <f>B57&amp;"(%)"</f>
        <v>Apparel &amp; Accessories (%)</v>
      </c>
      <c r="C66" s="158"/>
      <c r="D66" s="158"/>
      <c r="E66" s="158">
        <v>0.26</v>
      </c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9"/>
    </row>
    <row r="67" spans="1:27">
      <c r="B67" s="161" t="str">
        <f t="shared" ref="B67:B72" si="26">B58&amp;"(%)"</f>
        <v>Health &amp; Beauty (%)</v>
      </c>
      <c r="C67" s="154"/>
      <c r="D67" s="154"/>
      <c r="E67" s="154">
        <v>0.08</v>
      </c>
      <c r="Y67" s="156"/>
    </row>
    <row r="68" spans="1:27">
      <c r="B68" s="161" t="str">
        <f t="shared" si="26"/>
        <v>Home &amp; Electronics (%)</v>
      </c>
      <c r="C68" s="154"/>
      <c r="D68" s="154"/>
      <c r="E68" s="154">
        <v>0.14000000000000001</v>
      </c>
      <c r="Y68" s="156"/>
    </row>
    <row r="69" spans="1:27">
      <c r="B69" s="161" t="str">
        <f t="shared" si="26"/>
        <v>Food &amp; Beverage (%)</v>
      </c>
      <c r="C69" s="154"/>
      <c r="D69" s="154"/>
      <c r="E69" s="154">
        <v>0.05</v>
      </c>
      <c r="Y69" s="156"/>
    </row>
    <row r="70" spans="1:27">
      <c r="B70" s="161" t="str">
        <f t="shared" si="26"/>
        <v>Leisure (%)</v>
      </c>
      <c r="C70" s="154"/>
      <c r="D70" s="154"/>
      <c r="E70" s="154">
        <v>0.15</v>
      </c>
      <c r="Y70" s="156"/>
    </row>
    <row r="71" spans="1:27">
      <c r="B71" s="161" t="str">
        <f t="shared" si="26"/>
        <v>Events &amp; Services (%)</v>
      </c>
      <c r="C71" s="154"/>
      <c r="D71" s="154"/>
      <c r="E71" s="154">
        <v>0.28999999999999998</v>
      </c>
      <c r="Y71" s="156"/>
    </row>
    <row r="72" spans="1:27">
      <c r="B72" s="162" t="str">
        <f t="shared" si="26"/>
        <v>Travel (%)</v>
      </c>
      <c r="C72" s="155"/>
      <c r="D72" s="155"/>
      <c r="E72" s="155">
        <v>0.03</v>
      </c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7"/>
    </row>
    <row r="74" spans="1:27" ht="12.75" customHeight="1">
      <c r="A74" s="81"/>
      <c r="B74" s="79" t="s">
        <v>149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"/>
      <c r="O74" s="12"/>
      <c r="P74" s="12"/>
      <c r="Q74" s="12"/>
      <c r="R74" s="12"/>
      <c r="S74" s="12"/>
      <c r="T74" s="12"/>
      <c r="U74" s="12"/>
      <c r="V74" s="12"/>
      <c r="W74" s="12"/>
      <c r="X74" s="12"/>
      <c r="AA74" s="13"/>
    </row>
    <row r="75" spans="1:27" ht="12.75" customHeight="1">
      <c r="A75" s="81"/>
      <c r="B75" s="10" t="s">
        <v>140</v>
      </c>
      <c r="C75" s="82"/>
      <c r="D75" s="82"/>
      <c r="E75" s="82"/>
      <c r="F75" s="11"/>
      <c r="G75" s="11"/>
      <c r="H75" s="11"/>
      <c r="I75" s="11"/>
      <c r="J75" s="127">
        <f>SUM(E75-SUM(G75:I75))</f>
        <v>0</v>
      </c>
      <c r="K75" s="11"/>
      <c r="L75" s="11"/>
      <c r="M75" s="11"/>
      <c r="N75" s="5"/>
      <c r="O75" s="12"/>
      <c r="P75" s="12"/>
      <c r="Q75" s="12"/>
      <c r="R75" s="12"/>
      <c r="S75" s="12"/>
      <c r="T75" s="12"/>
      <c r="U75" s="12"/>
      <c r="V75" s="12"/>
      <c r="W75" s="12"/>
      <c r="X75" s="12"/>
      <c r="AA75" s="13"/>
    </row>
    <row r="76" spans="1:27" ht="12.75" customHeight="1">
      <c r="A76" s="81"/>
      <c r="B76" s="10" t="s">
        <v>141</v>
      </c>
      <c r="C76" s="82"/>
      <c r="D76" s="82"/>
      <c r="E76" s="82"/>
      <c r="F76" s="11"/>
      <c r="G76" s="11"/>
      <c r="H76" s="11"/>
      <c r="I76" s="11"/>
      <c r="J76" s="127"/>
      <c r="K76" s="11"/>
      <c r="L76" s="11"/>
      <c r="M76" s="11"/>
      <c r="N76" s="5"/>
      <c r="O76" s="12"/>
      <c r="P76" s="12"/>
      <c r="Q76" s="12"/>
      <c r="R76" s="12"/>
      <c r="S76" s="12"/>
      <c r="T76" s="12"/>
      <c r="U76" s="12"/>
      <c r="V76" s="12"/>
      <c r="W76" s="12"/>
      <c r="X76" s="12"/>
      <c r="AA76" s="13"/>
    </row>
    <row r="77" spans="1:27" ht="12.75" customHeight="1">
      <c r="A77" s="81"/>
      <c r="B77" s="10" t="s">
        <v>142</v>
      </c>
      <c r="C77" s="82"/>
      <c r="D77" s="82"/>
      <c r="E77" s="82"/>
      <c r="F77" s="11"/>
      <c r="G77" s="11"/>
      <c r="H77" s="11"/>
      <c r="I77" s="11"/>
      <c r="J77" s="127"/>
      <c r="K77" s="11"/>
      <c r="L77" s="11"/>
      <c r="M77" s="11"/>
      <c r="N77" s="5"/>
      <c r="O77" s="12"/>
      <c r="P77" s="12"/>
      <c r="Q77" s="12"/>
      <c r="R77" s="12"/>
      <c r="S77" s="12"/>
      <c r="T77" s="12"/>
      <c r="U77" s="12"/>
      <c r="V77" s="12"/>
      <c r="W77" s="12"/>
      <c r="X77" s="12"/>
      <c r="AA77" s="13"/>
    </row>
    <row r="78" spans="1:27" ht="12.75" customHeight="1">
      <c r="A78" s="81"/>
      <c r="B78" s="10" t="s">
        <v>143</v>
      </c>
      <c r="C78" s="82"/>
      <c r="D78" s="82"/>
      <c r="E78" s="82"/>
      <c r="F78" s="11"/>
      <c r="G78" s="11"/>
      <c r="H78" s="11"/>
      <c r="I78" s="11"/>
      <c r="J78" s="127"/>
      <c r="K78" s="11"/>
      <c r="L78" s="11"/>
      <c r="M78" s="11"/>
      <c r="N78" s="5"/>
      <c r="O78" s="12"/>
      <c r="P78" s="12"/>
      <c r="Q78" s="12"/>
      <c r="R78" s="12"/>
      <c r="S78" s="12"/>
      <c r="T78" s="12"/>
      <c r="U78" s="12"/>
      <c r="V78" s="12"/>
      <c r="W78" s="12"/>
      <c r="X78" s="12"/>
      <c r="AA78" s="13"/>
    </row>
    <row r="79" spans="1:27" ht="12.75" customHeight="1">
      <c r="A79" s="81"/>
      <c r="B79" s="10" t="s">
        <v>144</v>
      </c>
      <c r="C79" s="82"/>
      <c r="D79" s="82"/>
      <c r="E79" s="82"/>
      <c r="F79" s="11"/>
      <c r="G79" s="11"/>
      <c r="H79" s="11"/>
      <c r="I79" s="11"/>
      <c r="J79" s="127"/>
      <c r="K79" s="11"/>
      <c r="L79" s="11"/>
      <c r="M79" s="11"/>
      <c r="N79" s="5"/>
      <c r="O79" s="12"/>
      <c r="P79" s="12"/>
      <c r="Q79" s="12"/>
      <c r="R79" s="12"/>
      <c r="S79" s="12"/>
      <c r="T79" s="12"/>
      <c r="U79" s="12"/>
      <c r="V79" s="12"/>
      <c r="W79" s="12"/>
      <c r="X79" s="12"/>
      <c r="AA79" s="13"/>
    </row>
    <row r="80" spans="1:27" ht="12.75" customHeight="1">
      <c r="A80" s="81"/>
      <c r="B80" s="10" t="s">
        <v>145</v>
      </c>
      <c r="C80" s="82"/>
      <c r="D80" s="82"/>
      <c r="E80" s="82"/>
      <c r="F80" s="11"/>
      <c r="G80" s="11"/>
      <c r="H80" s="11"/>
      <c r="I80" s="11"/>
      <c r="J80" s="127"/>
      <c r="K80" s="11"/>
      <c r="L80" s="11"/>
      <c r="M80" s="11"/>
      <c r="N80" s="5"/>
      <c r="O80" s="12"/>
      <c r="P80" s="12"/>
      <c r="Q80" s="12"/>
      <c r="R80" s="12"/>
      <c r="S80" s="12"/>
      <c r="T80" s="12"/>
      <c r="U80" s="12"/>
      <c r="V80" s="12"/>
      <c r="W80" s="12"/>
      <c r="X80" s="12"/>
      <c r="AA80" s="13"/>
    </row>
    <row r="81" spans="1:27" ht="12.75" customHeight="1">
      <c r="A81" s="81"/>
      <c r="B81" s="10" t="s">
        <v>146</v>
      </c>
      <c r="C81" s="82"/>
      <c r="D81" s="82"/>
      <c r="E81" s="82"/>
      <c r="F81" s="11"/>
      <c r="G81" s="11"/>
      <c r="H81" s="11"/>
      <c r="I81" s="11"/>
      <c r="J81" s="127"/>
      <c r="K81" s="11"/>
      <c r="L81" s="11"/>
      <c r="M81" s="11"/>
      <c r="N81" s="5"/>
      <c r="O81" s="12"/>
      <c r="P81" s="12"/>
      <c r="Q81" s="12"/>
      <c r="R81" s="12"/>
      <c r="S81" s="12"/>
      <c r="T81" s="12"/>
      <c r="U81" s="12"/>
      <c r="V81" s="12"/>
      <c r="W81" s="12"/>
      <c r="X81" s="12"/>
      <c r="AA81" s="13"/>
    </row>
    <row r="82" spans="1:27" ht="12.75" customHeight="1">
      <c r="B82" s="14" t="s">
        <v>150</v>
      </c>
      <c r="C82" s="36">
        <f>SUM(C75:C81)</f>
        <v>0</v>
      </c>
      <c r="D82" s="36">
        <f>SUM(D75:D81)</f>
        <v>0</v>
      </c>
      <c r="E82" s="36">
        <f>SUM(E75:E81)</f>
        <v>0</v>
      </c>
      <c r="F82" s="12"/>
      <c r="G82" s="36">
        <f t="shared" ref="G82:M82" si="27">SUM(G75:G81)</f>
        <v>0</v>
      </c>
      <c r="H82" s="36">
        <f t="shared" si="27"/>
        <v>0</v>
      </c>
      <c r="I82" s="36">
        <f t="shared" si="27"/>
        <v>0</v>
      </c>
      <c r="J82" s="36">
        <f t="shared" si="27"/>
        <v>0</v>
      </c>
      <c r="K82" s="36">
        <f t="shared" si="27"/>
        <v>0</v>
      </c>
      <c r="L82" s="36">
        <f t="shared" si="27"/>
        <v>0</v>
      </c>
      <c r="M82" s="36">
        <f t="shared" si="27"/>
        <v>0</v>
      </c>
      <c r="N82" s="5"/>
      <c r="O82" s="36" t="e">
        <f>SUM(#REF!)</f>
        <v>#REF!</v>
      </c>
      <c r="P82" s="36" t="e">
        <f>SUM(#REF!)</f>
        <v>#REF!</v>
      </c>
      <c r="Q82" s="36" t="e">
        <f>SUM(#REF!)</f>
        <v>#REF!</v>
      </c>
      <c r="R82" s="36" t="e">
        <f>SUM(#REF!)</f>
        <v>#REF!</v>
      </c>
      <c r="S82" s="36" t="e">
        <f>SUM(#REF!)</f>
        <v>#REF!</v>
      </c>
      <c r="T82" s="36" t="e">
        <f>SUM(#REF!)</f>
        <v>#REF!</v>
      </c>
      <c r="U82" s="36" t="e">
        <f>SUM(#REF!)</f>
        <v>#REF!</v>
      </c>
      <c r="V82" s="36" t="e">
        <f>SUM(#REF!)</f>
        <v>#REF!</v>
      </c>
      <c r="W82" s="36" t="e">
        <f>SUM(#REF!)</f>
        <v>#REF!</v>
      </c>
      <c r="X82" s="36" t="e">
        <f>SUM(#REF!)</f>
        <v>#REF!</v>
      </c>
      <c r="Y82" s="36" t="e">
        <f>SUM(#REF!)</f>
        <v>#REF!</v>
      </c>
      <c r="AA82" s="16" t="e">
        <f t="shared" ref="AA82" si="28">SUM(Y82/U82)-1</f>
        <v>#REF!</v>
      </c>
    </row>
    <row r="83" spans="1:27" ht="5.0999999999999996" customHeight="1"/>
    <row r="84" spans="1:27">
      <c r="B84" s="160" t="str">
        <f>B75&amp;"(%)"</f>
        <v>Apparel &amp; Accessories (%)</v>
      </c>
      <c r="C84" s="158"/>
      <c r="D84" s="158"/>
      <c r="E84" s="158">
        <v>0.18</v>
      </c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9"/>
    </row>
    <row r="85" spans="1:27">
      <c r="B85" s="161" t="str">
        <f t="shared" ref="B85:B90" si="29">B76&amp;"(%)"</f>
        <v>Health &amp; Beauty (%)</v>
      </c>
      <c r="C85" s="154"/>
      <c r="D85" s="154"/>
      <c r="E85" s="154">
        <v>0.19</v>
      </c>
      <c r="Y85" s="156"/>
    </row>
    <row r="86" spans="1:27">
      <c r="B86" s="161" t="str">
        <f t="shared" si="29"/>
        <v>Home &amp; Electronics (%)</v>
      </c>
      <c r="C86" s="154"/>
      <c r="D86" s="154"/>
      <c r="E86" s="154">
        <v>0.19</v>
      </c>
      <c r="Y86" s="156"/>
    </row>
    <row r="87" spans="1:27">
      <c r="B87" s="161" t="str">
        <f t="shared" si="29"/>
        <v>Food &amp; Beverage (%)</v>
      </c>
      <c r="C87" s="154"/>
      <c r="D87" s="154"/>
      <c r="E87" s="154">
        <v>0.13</v>
      </c>
      <c r="Y87" s="156"/>
    </row>
    <row r="88" spans="1:27">
      <c r="B88" s="161" t="str">
        <f t="shared" si="29"/>
        <v>Leisure (%)</v>
      </c>
      <c r="C88" s="154"/>
      <c r="D88" s="154"/>
      <c r="E88" s="154">
        <v>0.14000000000000001</v>
      </c>
      <c r="Y88" s="156"/>
    </row>
    <row r="89" spans="1:27">
      <c r="B89" s="161" t="str">
        <f t="shared" si="29"/>
        <v>Events &amp; Services (%)</v>
      </c>
      <c r="C89" s="154"/>
      <c r="D89" s="154"/>
      <c r="E89" s="154">
        <v>0.12</v>
      </c>
      <c r="Y89" s="156"/>
    </row>
    <row r="90" spans="1:27">
      <c r="B90" s="162" t="str">
        <f t="shared" si="29"/>
        <v>Travel (%)</v>
      </c>
      <c r="C90" s="155"/>
      <c r="D90" s="155"/>
      <c r="E90" s="155">
        <v>0.05</v>
      </c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7"/>
    </row>
  </sheetData>
  <mergeCells count="1">
    <mergeCell ref="AA2:AA4"/>
  </mergeCells>
  <dataValidations disablePrompts="1" count="1">
    <dataValidation type="list" allowBlank="1" showInputMessage="1" showErrorMessage="1" sqref="B4" xr:uid="{B3728C35-3A1D-46C1-B682-E4F673119312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9"/>
  <sheetViews>
    <sheetView showGridLines="0" tabSelected="1" zoomScaleNormal="100" workbookViewId="0">
      <selection activeCell="Q12" sqref="Q12"/>
    </sheetView>
  </sheetViews>
  <sheetFormatPr defaultRowHeight="12" outlineLevelCol="1"/>
  <cols>
    <col min="1" max="1" width="1.5" style="8" customWidth="1"/>
    <col min="2" max="2" width="48.125" style="8" bestFit="1" customWidth="1"/>
    <col min="3" max="3" width="9" style="8" bestFit="1" customWidth="1"/>
    <col min="4" max="4" width="9.25" style="8" bestFit="1" customWidth="1"/>
    <col min="5" max="5" width="9" style="8"/>
    <col min="6" max="6" width="1.5" style="8" customWidth="1"/>
    <col min="7" max="9" width="7.875" style="8" hidden="1" customWidth="1" outlineLevel="1"/>
    <col min="10" max="10" width="9" style="8" hidden="1" customWidth="1" outlineLevel="1"/>
    <col min="11" max="11" width="8.5" style="8" hidden="1" customWidth="1" outlineLevel="1"/>
    <col min="12" max="12" width="7.875" style="8" hidden="1" customWidth="1" outlineLevel="1"/>
    <col min="13" max="13" width="9" style="8" hidden="1" customWidth="1" outlineLevel="1"/>
    <col min="14" max="14" width="9.25" style="8" hidden="1" customWidth="1" outlineLevel="1"/>
    <col min="15" max="15" width="9.75" style="8" hidden="1" customWidth="1" outlineLevel="1"/>
    <col min="16" max="16" width="9" style="8" hidden="1" customWidth="1" outlineLevel="1"/>
    <col min="17" max="17" width="9" style="8" bestFit="1" customWidth="1" collapsed="1"/>
    <col min="18" max="19" width="9" style="8" bestFit="1" customWidth="1"/>
    <col min="20" max="21" width="8.5" style="8" bestFit="1" customWidth="1"/>
    <col min="22" max="22" width="1.625" style="8" customWidth="1"/>
    <col min="23" max="23" width="9" style="8" hidden="1" customWidth="1" outlineLevel="1"/>
    <col min="24" max="24" width="8.625" style="8" hidden="1" customWidth="1" outlineLevel="1"/>
    <col min="25" max="25" width="8.5" style="8" hidden="1" customWidth="1" outlineLevel="1"/>
    <col min="26" max="27" width="8.25" style="8" hidden="1" customWidth="1" outlineLevel="1"/>
    <col min="28" max="28" width="9.25" style="8" hidden="1" customWidth="1" outlineLevel="1"/>
    <col min="29" max="29" width="9.75" style="8" hidden="1" customWidth="1" outlineLevel="1"/>
    <col min="30" max="30" width="9" style="8" hidden="1" customWidth="1" outlineLevel="1"/>
    <col min="31" max="31" width="9" style="8" customWidth="1" collapsed="1"/>
    <col min="32" max="33" width="9" style="8" hidden="1" customWidth="1" outlineLevel="1"/>
    <col min="34" max="34" width="8.5" style="8" hidden="1" customWidth="1" outlineLevel="1"/>
    <col min="35" max="35" width="8.5" style="8" bestFit="1" customWidth="1" collapsed="1"/>
    <col min="36" max="36" width="1.5" style="8" customWidth="1"/>
    <col min="37" max="37" width="8.375" style="132" bestFit="1" customWidth="1"/>
    <col min="38" max="16384" width="9" style="8"/>
  </cols>
  <sheetData>
    <row r="2" spans="2:37" s="5" customFormat="1" ht="12.75" customHeight="1">
      <c r="B2" s="1" t="str">
        <f>'Historical Financials'!B2</f>
        <v>Klarna Group plc (KLAR)</v>
      </c>
      <c r="C2" s="2" t="s">
        <v>0</v>
      </c>
      <c r="D2" s="2"/>
      <c r="E2" s="2"/>
      <c r="F2" s="3"/>
      <c r="G2" s="2" t="s">
        <v>1</v>
      </c>
      <c r="H2" s="2"/>
      <c r="I2" s="2"/>
      <c r="J2" s="2"/>
      <c r="K2" s="2"/>
      <c r="L2" s="2"/>
      <c r="M2" s="2"/>
      <c r="N2" s="2"/>
      <c r="O2" s="2"/>
      <c r="P2" s="2"/>
      <c r="Q2" s="2" t="s">
        <v>1</v>
      </c>
      <c r="R2" s="2"/>
      <c r="S2" s="2"/>
      <c r="T2" s="2"/>
      <c r="U2" s="2"/>
      <c r="V2" s="3"/>
      <c r="W2" s="2" t="s">
        <v>6</v>
      </c>
      <c r="X2" s="2"/>
      <c r="Y2" s="2"/>
      <c r="Z2" s="2"/>
      <c r="AA2" s="2"/>
      <c r="AB2" s="2"/>
      <c r="AC2" s="2"/>
      <c r="AD2" s="2" t="s">
        <v>6</v>
      </c>
      <c r="AE2" s="2" t="s">
        <v>6</v>
      </c>
      <c r="AF2" s="2"/>
      <c r="AG2" s="2"/>
      <c r="AH2" s="2"/>
      <c r="AI2" s="2"/>
      <c r="AJ2" s="3"/>
      <c r="AK2" s="172" t="s">
        <v>16</v>
      </c>
    </row>
    <row r="3" spans="2:37" s="5" customFormat="1" ht="12.75" customHeight="1">
      <c r="B3" s="6" t="s">
        <v>17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1Q22</v>
      </c>
      <c r="H3" s="7" t="str">
        <f>'Historical Financials'!H7</f>
        <v>2Q22</v>
      </c>
      <c r="I3" s="7" t="str">
        <f>'Historical Financials'!I7</f>
        <v>3Q22</v>
      </c>
      <c r="J3" s="7" t="str">
        <f>'Historical Financials'!J7</f>
        <v>4Q22</v>
      </c>
      <c r="K3" s="7" t="str">
        <f>'Historical Financials'!K7</f>
        <v>1Q23</v>
      </c>
      <c r="L3" s="7" t="str">
        <f>'Historical Financials'!L7</f>
        <v>2Q23</v>
      </c>
      <c r="M3" s="7" t="str">
        <f>'Historical Financials'!M7</f>
        <v>3Q23</v>
      </c>
      <c r="N3" s="7" t="str">
        <f>'Historical Financials'!N7</f>
        <v>4Q23</v>
      </c>
      <c r="O3" s="7" t="str">
        <f>'Historical Financials'!O7</f>
        <v>1Q24</v>
      </c>
      <c r="P3" s="7" t="str">
        <f>'Historical Financials'!P7</f>
        <v>2Q24</v>
      </c>
      <c r="Q3" s="7" t="str">
        <f>'Historical Financials'!Q7</f>
        <v>3Q24</v>
      </c>
      <c r="R3" s="7" t="str">
        <f>'Historical Financials'!R7</f>
        <v>4Q24</v>
      </c>
      <c r="S3" s="7" t="str">
        <f>'Historical Financials'!S7</f>
        <v>1Q25</v>
      </c>
      <c r="T3" s="7" t="str">
        <f>'Historical Financials'!T7</f>
        <v>2Q25</v>
      </c>
      <c r="U3" s="7" t="str">
        <f>'Historical Financials'!U7</f>
        <v>3Q25</v>
      </c>
      <c r="V3" s="3"/>
      <c r="W3" s="4" t="str">
        <f t="shared" ref="W3:AI4" si="0">I3</f>
        <v>3Q22</v>
      </c>
      <c r="X3" s="4" t="str">
        <f t="shared" si="0"/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str">
        <f t="shared" si="0"/>
        <v>3Q25</v>
      </c>
      <c r="AJ3" s="3"/>
      <c r="AK3" s="172"/>
    </row>
    <row r="4" spans="2:37" s="5" customFormat="1" ht="12.75" customHeight="1">
      <c r="B4" s="6" t="s">
        <v>66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44651</v>
      </c>
      <c r="H4" s="3">
        <f>'Historical Financials'!H8</f>
        <v>44742</v>
      </c>
      <c r="I4" s="3">
        <f>'Historical Financials'!I8</f>
        <v>44834</v>
      </c>
      <c r="J4" s="3">
        <f>'Historical Financials'!J8</f>
        <v>44926</v>
      </c>
      <c r="K4" s="3">
        <f>'Historical Financials'!K8</f>
        <v>45016</v>
      </c>
      <c r="L4" s="3">
        <f>'Historical Financials'!L8</f>
        <v>45107</v>
      </c>
      <c r="M4" s="3">
        <f>'Historical Financials'!M8</f>
        <v>45199</v>
      </c>
      <c r="N4" s="3">
        <f>'Historical Financials'!N8</f>
        <v>45291</v>
      </c>
      <c r="O4" s="3">
        <f>'Historical Financials'!O8</f>
        <v>45382</v>
      </c>
      <c r="P4" s="3">
        <f>'Historical Financials'!P8</f>
        <v>45473</v>
      </c>
      <c r="Q4" s="3">
        <f>'Historical Financials'!Q8</f>
        <v>45565</v>
      </c>
      <c r="R4" s="3">
        <f>'Historical Financials'!R8</f>
        <v>45657</v>
      </c>
      <c r="S4" s="3">
        <f>'Historical Financials'!S8</f>
        <v>45747</v>
      </c>
      <c r="T4" s="3">
        <f>'Historical Financials'!T8</f>
        <v>45838</v>
      </c>
      <c r="U4" s="3">
        <f>'Historical Financials'!U8</f>
        <v>45930</v>
      </c>
      <c r="V4" s="3"/>
      <c r="W4" s="3">
        <f t="shared" si="0"/>
        <v>44834</v>
      </c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>
        <f t="shared" si="0"/>
        <v>45930</v>
      </c>
      <c r="AJ4" s="3"/>
      <c r="AK4" s="172"/>
    </row>
    <row r="5" spans="2:37" ht="5.0999999999999996" customHeight="1">
      <c r="AK5" s="128"/>
    </row>
    <row r="6" spans="2:37" ht="12.75" customHeight="1">
      <c r="B6" s="10" t="str">
        <f>'Revenue Drivers'!B9</f>
        <v xml:space="preserve">Transaction and service revenue	</v>
      </c>
      <c r="C6" s="96">
        <f>'Revenue Drivers'!C9</f>
        <v>1468</v>
      </c>
      <c r="D6" s="96">
        <f>'Revenue Drivers'!D9</f>
        <v>1768</v>
      </c>
      <c r="E6" s="96">
        <f>'Revenue Drivers'!E9</f>
        <v>2136</v>
      </c>
      <c r="F6" s="11"/>
      <c r="G6" s="96">
        <f>'Revenue Drivers'!G9</f>
        <v>344.58813809000003</v>
      </c>
      <c r="H6" s="96">
        <f>'Revenue Drivers'!H9</f>
        <v>369.20095233999905</v>
      </c>
      <c r="I6" s="96">
        <f>'Revenue Drivers'!I9</f>
        <v>331.21869264999998</v>
      </c>
      <c r="J6" s="96">
        <f>'Revenue Drivers'!J9</f>
        <v>422.99221692000083</v>
      </c>
      <c r="K6" s="96">
        <f>'Revenue Drivers'!K9</f>
        <v>368.13110692000004</v>
      </c>
      <c r="L6" s="96">
        <f>'Revenue Drivers'!L9</f>
        <v>417.98172914999998</v>
      </c>
      <c r="M6" s="96">
        <f>'Revenue Drivers'!M9</f>
        <v>440.43432866999899</v>
      </c>
      <c r="N6" s="96">
        <f>'Revenue Drivers'!N9</f>
        <v>541.45283526000094</v>
      </c>
      <c r="O6" s="96">
        <f>'Revenue Drivers'!O9</f>
        <v>478.72441600000002</v>
      </c>
      <c r="P6" s="96">
        <f>'Revenue Drivers'!P9</f>
        <v>512.160032</v>
      </c>
      <c r="Q6" s="96">
        <f>'Revenue Drivers'!Q9</f>
        <v>544.55103999999994</v>
      </c>
      <c r="R6" s="96">
        <f>'Revenue Drivers'!R9</f>
        <v>600.56451199999992</v>
      </c>
      <c r="S6" s="96">
        <f>'Revenue Drivers'!S9</f>
        <v>519.314032</v>
      </c>
      <c r="T6" s="96">
        <f>'Revenue Drivers'!T9</f>
        <v>603.94886399999996</v>
      </c>
      <c r="U6" s="96">
        <f>'Revenue Drivers'!U9</f>
        <v>634</v>
      </c>
      <c r="V6" s="5"/>
      <c r="W6" s="11">
        <f t="shared" ref="W6:AI6" si="1">SUM(F6:I6)</f>
        <v>1045.0077830799992</v>
      </c>
      <c r="X6" s="11">
        <f t="shared" si="1"/>
        <v>1468</v>
      </c>
      <c r="Y6" s="11">
        <f t="shared" si="1"/>
        <v>1491.5429688300001</v>
      </c>
      <c r="Z6" s="11">
        <f t="shared" si="1"/>
        <v>1540.3237456400007</v>
      </c>
      <c r="AA6" s="11">
        <f t="shared" si="1"/>
        <v>1649.5393816599999</v>
      </c>
      <c r="AB6" s="11">
        <f t="shared" si="1"/>
        <v>1768</v>
      </c>
      <c r="AC6" s="11">
        <f t="shared" si="1"/>
        <v>1878.5933090799999</v>
      </c>
      <c r="AD6" s="11">
        <f t="shared" si="1"/>
        <v>1972.7716119300001</v>
      </c>
      <c r="AE6" s="150">
        <f t="shared" si="1"/>
        <v>2076.888323260001</v>
      </c>
      <c r="AF6" s="150">
        <f t="shared" si="1"/>
        <v>2136</v>
      </c>
      <c r="AG6" s="150">
        <f t="shared" si="1"/>
        <v>2176.5896160000002</v>
      </c>
      <c r="AH6" s="150">
        <f t="shared" si="1"/>
        <v>2268.3784479999995</v>
      </c>
      <c r="AI6" s="150">
        <f t="shared" si="1"/>
        <v>2357.8274080000001</v>
      </c>
      <c r="AK6" s="129">
        <f>SUM(AI6/AE6)-1</f>
        <v>0.13526923021986148</v>
      </c>
    </row>
    <row r="7" spans="2:37" ht="12.75" customHeight="1">
      <c r="B7" s="10" t="str">
        <f>'Revenue Drivers'!B10</f>
        <v xml:space="preserve">Interest income	</v>
      </c>
      <c r="C7" s="96">
        <f>'Revenue Drivers'!C10</f>
        <v>436</v>
      </c>
      <c r="D7" s="96">
        <f>'Revenue Drivers'!D10</f>
        <v>508</v>
      </c>
      <c r="E7" s="96">
        <f>'Revenue Drivers'!E10</f>
        <v>675</v>
      </c>
      <c r="F7" s="11"/>
      <c r="G7" s="96">
        <f>'Revenue Drivers'!G10</f>
        <v>113.29018341999989</v>
      </c>
      <c r="H7" s="96">
        <f>'Revenue Drivers'!H10</f>
        <v>114.24218909</v>
      </c>
      <c r="I7" s="96">
        <f>'Revenue Drivers'!I10</f>
        <v>101.88917383</v>
      </c>
      <c r="J7" s="96">
        <f>'Revenue Drivers'!J10</f>
        <v>106.57845366000009</v>
      </c>
      <c r="K7" s="96">
        <f>'Revenue Drivers'!K10</f>
        <v>116.02312378000001</v>
      </c>
      <c r="L7" s="96">
        <f>'Revenue Drivers'!L10</f>
        <v>116.0938428099999</v>
      </c>
      <c r="M7" s="96">
        <f>'Revenue Drivers'!M10</f>
        <v>134.34504643</v>
      </c>
      <c r="N7" s="96">
        <f>'Revenue Drivers'!N10</f>
        <v>141.53798698000014</v>
      </c>
      <c r="O7" s="96">
        <f>'Revenue Drivers'!O10</f>
        <v>156.604276</v>
      </c>
      <c r="P7" s="96">
        <f>'Revenue Drivers'!P10</f>
        <v>163.773652</v>
      </c>
      <c r="Q7" s="96">
        <f>'Revenue Drivers'!Q10</f>
        <v>173.80119199999999</v>
      </c>
      <c r="R7" s="96">
        <f>'Revenue Drivers'!R10</f>
        <v>180.82087999999999</v>
      </c>
      <c r="S7" s="96">
        <f>'Revenue Drivers'!S10</f>
        <v>181.82312400000001</v>
      </c>
      <c r="T7" s="96">
        <f>'Revenue Drivers'!T10</f>
        <v>219.15276</v>
      </c>
      <c r="U7" s="96">
        <f>'Revenue Drivers'!U10</f>
        <v>269</v>
      </c>
      <c r="V7" s="5"/>
      <c r="W7" s="11"/>
      <c r="X7" s="11"/>
      <c r="Y7" s="11"/>
      <c r="Z7" s="11"/>
      <c r="AA7" s="11"/>
      <c r="AB7" s="11"/>
      <c r="AC7" s="11"/>
      <c r="AD7" s="11"/>
      <c r="AE7" s="150">
        <f t="shared" ref="AE7:AI7" si="2">SUM(N7:Q7)</f>
        <v>635.71710698000015</v>
      </c>
      <c r="AF7" s="150">
        <f t="shared" si="2"/>
        <v>675</v>
      </c>
      <c r="AG7" s="150">
        <f t="shared" si="2"/>
        <v>700.21884799999998</v>
      </c>
      <c r="AH7" s="150">
        <f t="shared" si="2"/>
        <v>755.59795600000007</v>
      </c>
      <c r="AI7" s="150">
        <f t="shared" si="2"/>
        <v>850.79676399999994</v>
      </c>
      <c r="AK7" s="129">
        <f>SUM(AI7/AE7)-1</f>
        <v>0.33832604889578066</v>
      </c>
    </row>
    <row r="8" spans="2:37" ht="12.75" customHeight="1">
      <c r="B8" s="14" t="s">
        <v>8</v>
      </c>
      <c r="C8" s="15">
        <f>SUM(C6:C7)</f>
        <v>1904</v>
      </c>
      <c r="D8" s="15">
        <f>SUM(D6:D7)</f>
        <v>2276</v>
      </c>
      <c r="E8" s="15">
        <f>SUM(E6:E7)</f>
        <v>2811</v>
      </c>
      <c r="F8" s="11"/>
      <c r="G8" s="15">
        <f>SUM(G6:G7)</f>
        <v>457.87832150999992</v>
      </c>
      <c r="H8" s="15">
        <f>SUM(H6:H7)</f>
        <v>483.44314142999906</v>
      </c>
      <c r="I8" s="15">
        <f>SUM(I6:I7)</f>
        <v>433.10786647999998</v>
      </c>
      <c r="J8" s="15">
        <f>SUM(J6:J7)</f>
        <v>529.57067058000098</v>
      </c>
      <c r="K8" s="15">
        <f>SUM(K6:K7)</f>
        <v>484.15423070000003</v>
      </c>
      <c r="L8" s="15">
        <f>SUM(L6:L7)</f>
        <v>534.07557195999993</v>
      </c>
      <c r="M8" s="15">
        <f>SUM(M6:M7)</f>
        <v>574.77937509999902</v>
      </c>
      <c r="N8" s="15">
        <f>SUM(N6:N7)</f>
        <v>682.99082224000108</v>
      </c>
      <c r="O8" s="15">
        <f>SUM(O6:O7)</f>
        <v>635.32869200000005</v>
      </c>
      <c r="P8" s="15">
        <f>SUM(P6:P7)</f>
        <v>675.93368399999997</v>
      </c>
      <c r="Q8" s="15">
        <f>SUM(Q6:Q7)</f>
        <v>718.35223199999996</v>
      </c>
      <c r="R8" s="15">
        <f>SUM(R6:R7)</f>
        <v>781.38539199999991</v>
      </c>
      <c r="S8" s="15">
        <f>SUM(S6:S7)</f>
        <v>701.137156</v>
      </c>
      <c r="T8" s="15">
        <f>SUM(T6:T7)</f>
        <v>823.1016239999999</v>
      </c>
      <c r="U8" s="15">
        <f>SUM(U6:U7)</f>
        <v>903</v>
      </c>
      <c r="V8" s="5"/>
      <c r="W8" s="15">
        <f>SUM(W6:W7)</f>
        <v>1045.0077830799992</v>
      </c>
      <c r="X8" s="15">
        <f>SUM(X6:X7)</f>
        <v>1468</v>
      </c>
      <c r="Y8" s="15">
        <f>SUM(Y6:Y7)</f>
        <v>1491.5429688300001</v>
      </c>
      <c r="Z8" s="15">
        <f>SUM(Z6:Z7)</f>
        <v>1540.3237456400007</v>
      </c>
      <c r="AA8" s="15">
        <f>SUM(AA6:AA7)</f>
        <v>1649.5393816599999</v>
      </c>
      <c r="AB8" s="15">
        <f>SUM(AB6:AB7)</f>
        <v>1768</v>
      </c>
      <c r="AC8" s="15">
        <f>SUM(AC6:AC7)</f>
        <v>1878.5933090799999</v>
      </c>
      <c r="AD8" s="15">
        <f>SUM(AD6:AD7)</f>
        <v>1972.7716119300001</v>
      </c>
      <c r="AE8" s="15">
        <f>SUM(AE6:AE7)</f>
        <v>2712.6054302400012</v>
      </c>
      <c r="AF8" s="15">
        <f>SUM(AF6:AF7)</f>
        <v>2811</v>
      </c>
      <c r="AG8" s="15">
        <f>SUM(AG6:AG7)</f>
        <v>2876.8084640000002</v>
      </c>
      <c r="AH8" s="15">
        <f>SUM(AH6:AH7)</f>
        <v>3023.9764039999995</v>
      </c>
      <c r="AI8" s="15">
        <f>SUM(AI6:AI7)</f>
        <v>3208.6241719999998</v>
      </c>
      <c r="AK8" s="130">
        <f>SUM(AI8/AE8)-1</f>
        <v>0.18285694492475923</v>
      </c>
    </row>
    <row r="9" spans="2:37" ht="12.75" customHeight="1">
      <c r="B9" s="17" t="s">
        <v>21</v>
      </c>
      <c r="C9" s="19" t="e">
        <f>SUM(C8/#REF!)-1</f>
        <v>#REF!</v>
      </c>
      <c r="D9" s="19">
        <f>SUM(D8/C8)-1</f>
        <v>0.19537815126050417</v>
      </c>
      <c r="E9" s="19">
        <f>SUM(E8/D8)-1</f>
        <v>0.23506151142355014</v>
      </c>
      <c r="F9" s="12"/>
      <c r="G9" s="18"/>
      <c r="H9" s="18"/>
      <c r="I9" s="18"/>
      <c r="J9" s="18"/>
      <c r="K9" s="19">
        <f>SUM(K8/G8)-1</f>
        <v>5.7386226767292436E-2</v>
      </c>
      <c r="L9" s="19">
        <f t="shared" ref="L9:U9" si="3">SUM(L8/H8)-1</f>
        <v>0.10473295862721899</v>
      </c>
      <c r="M9" s="19">
        <f t="shared" si="3"/>
        <v>0.32710444576176068</v>
      </c>
      <c r="N9" s="19">
        <f t="shared" si="3"/>
        <v>0.28970666274242474</v>
      </c>
      <c r="O9" s="19">
        <f t="shared" si="3"/>
        <v>0.31224442897344695</v>
      </c>
      <c r="P9" s="19">
        <f t="shared" si="3"/>
        <v>0.26561430533022889</v>
      </c>
      <c r="Q9" s="19">
        <f t="shared" si="3"/>
        <v>0.24978776748038745</v>
      </c>
      <c r="R9" s="19">
        <f t="shared" si="3"/>
        <v>0.14406426346593459</v>
      </c>
      <c r="S9" s="19">
        <f t="shared" si="3"/>
        <v>0.10358175984912066</v>
      </c>
      <c r="T9" s="19">
        <f t="shared" si="3"/>
        <v>0.21772541224621067</v>
      </c>
      <c r="U9" s="19">
        <f t="shared" si="3"/>
        <v>0.25704349450674502</v>
      </c>
      <c r="V9" s="5"/>
      <c r="W9" s="117"/>
      <c r="X9" s="117"/>
      <c r="Y9" s="117"/>
      <c r="Z9" s="117"/>
      <c r="AA9" s="19">
        <f t="shared" ref="AA9:AI9" si="4">SUM(AA8/W8)-1</f>
        <v>0.57849482881193204</v>
      </c>
      <c r="AB9" s="19">
        <f t="shared" si="4"/>
        <v>0.20435967302452318</v>
      </c>
      <c r="AC9" s="19">
        <f t="shared" si="4"/>
        <v>0.25949660743170599</v>
      </c>
      <c r="AD9" s="19">
        <f t="shared" si="4"/>
        <v>0.28075128200423771</v>
      </c>
      <c r="AE9" s="19">
        <f t="shared" si="4"/>
        <v>0.64446236349337349</v>
      </c>
      <c r="AF9" s="19">
        <f t="shared" si="4"/>
        <v>0.58993212669683248</v>
      </c>
      <c r="AG9" s="19">
        <f t="shared" si="4"/>
        <v>0.53136309497921852</v>
      </c>
      <c r="AH9" s="19">
        <f t="shared" si="4"/>
        <v>0.53285681206735624</v>
      </c>
      <c r="AI9" s="19">
        <f t="shared" si="4"/>
        <v>0.18285694492475923</v>
      </c>
      <c r="AK9" s="131">
        <f>SUM(AI9-AE9)*10000</f>
        <v>-4616.0541856861428</v>
      </c>
    </row>
    <row r="10" spans="2:37" ht="12.75" customHeight="1">
      <c r="B10" s="17" t="s">
        <v>22</v>
      </c>
      <c r="C10" s="19" t="s">
        <v>23</v>
      </c>
      <c r="D10" s="19" t="s">
        <v>23</v>
      </c>
      <c r="E10" s="19" t="s">
        <v>23</v>
      </c>
      <c r="F10" s="12"/>
      <c r="G10" s="18"/>
      <c r="H10" s="19">
        <f>SUM(H8/G8)-1</f>
        <v>5.5833217514406508E-2</v>
      </c>
      <c r="I10" s="19">
        <f t="shared" ref="I10:U10" si="5">SUM(I8/H8)-1</f>
        <v>-0.10411829362416858</v>
      </c>
      <c r="J10" s="19">
        <f t="shared" si="5"/>
        <v>0.22272235525063011</v>
      </c>
      <c r="K10" s="19">
        <f t="shared" si="5"/>
        <v>-8.5760867062859791E-2</v>
      </c>
      <c r="L10" s="19">
        <f t="shared" si="5"/>
        <v>0.10311041006049382</v>
      </c>
      <c r="M10" s="19">
        <f t="shared" si="5"/>
        <v>7.6213564665802869E-2</v>
      </c>
      <c r="N10" s="19">
        <f t="shared" si="5"/>
        <v>0.18826605794819207</v>
      </c>
      <c r="O10" s="19">
        <f t="shared" si="5"/>
        <v>-6.9784437342340633E-2</v>
      </c>
      <c r="P10" s="19">
        <f t="shared" si="5"/>
        <v>6.3911786940042514E-2</v>
      </c>
      <c r="Q10" s="19">
        <f t="shared" si="5"/>
        <v>6.2755487711424696E-2</v>
      </c>
      <c r="R10" s="19">
        <f t="shared" si="5"/>
        <v>8.7746870117610953E-2</v>
      </c>
      <c r="S10" s="19">
        <f t="shared" si="5"/>
        <v>-0.10269994399895299</v>
      </c>
      <c r="T10" s="19">
        <f t="shared" si="5"/>
        <v>0.17395236717421936</v>
      </c>
      <c r="U10" s="19">
        <f t="shared" si="5"/>
        <v>9.706988015856477E-2</v>
      </c>
      <c r="V10" s="5"/>
      <c r="W10" s="19" t="s">
        <v>23</v>
      </c>
      <c r="X10" s="19" t="s">
        <v>23</v>
      </c>
      <c r="Y10" s="19" t="s">
        <v>23</v>
      </c>
      <c r="Z10" s="19" t="s">
        <v>23</v>
      </c>
      <c r="AA10" s="19" t="s">
        <v>23</v>
      </c>
      <c r="AB10" s="19" t="s">
        <v>23</v>
      </c>
      <c r="AC10" s="19" t="s">
        <v>23</v>
      </c>
      <c r="AD10" s="19" t="s">
        <v>23</v>
      </c>
      <c r="AE10" s="19" t="s">
        <v>23</v>
      </c>
      <c r="AF10" s="19" t="s">
        <v>23</v>
      </c>
      <c r="AG10" s="19" t="s">
        <v>23</v>
      </c>
      <c r="AH10" s="19" t="s">
        <v>23</v>
      </c>
      <c r="AI10" s="19" t="s">
        <v>23</v>
      </c>
      <c r="AK10" s="128"/>
    </row>
    <row r="11" spans="2:37" ht="5.0999999999999996" customHeight="1">
      <c r="B11" s="20"/>
      <c r="C11" s="21"/>
      <c r="D11" s="21"/>
      <c r="E11" s="21"/>
      <c r="F11" s="22"/>
      <c r="G11" s="23"/>
      <c r="H11" s="23"/>
      <c r="I11" s="23"/>
      <c r="J11" s="24"/>
      <c r="K11" s="23"/>
      <c r="L11" s="23"/>
      <c r="M11" s="23"/>
      <c r="N11" s="24"/>
      <c r="O11" s="23"/>
      <c r="P11" s="23"/>
      <c r="Q11" s="23"/>
      <c r="R11" s="23"/>
      <c r="S11" s="23"/>
      <c r="T11" s="23"/>
      <c r="U11" s="23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K11" s="128"/>
    </row>
    <row r="12" spans="2:37" ht="12.75" customHeight="1">
      <c r="B12" s="25" t="s">
        <v>207</v>
      </c>
      <c r="C12" s="149">
        <f>'Historical Financials'!C13</f>
        <v>-520</v>
      </c>
      <c r="D12" s="149">
        <f>'Historical Financials'!D13</f>
        <v>-541</v>
      </c>
      <c r="E12" s="149">
        <f>'Historical Financials'!E13</f>
        <v>-596</v>
      </c>
      <c r="F12" s="11"/>
      <c r="G12" s="149">
        <f>'Historical Financials'!G13</f>
        <v>-122.86114693</v>
      </c>
      <c r="H12" s="149">
        <f>'Historical Financials'!H13</f>
        <v>-140.3493009</v>
      </c>
      <c r="I12" s="149">
        <f>'Historical Financials'!I13</f>
        <v>-119.00793139</v>
      </c>
      <c r="J12" s="149">
        <f>'Historical Financials'!J13</f>
        <v>-137.78162077999997</v>
      </c>
      <c r="K12" s="149">
        <f>'Historical Financials'!K13</f>
        <v>-127.98129546</v>
      </c>
      <c r="L12" s="149">
        <f>'Historical Financials'!L13</f>
        <v>-131.41074553000001</v>
      </c>
      <c r="M12" s="149">
        <f>'Historical Financials'!M13</f>
        <v>-133.22808841</v>
      </c>
      <c r="N12" s="149">
        <f>'Historical Financials'!N13</f>
        <v>-148.3798706</v>
      </c>
      <c r="O12" s="149">
        <f>'Historical Financials'!O13</f>
        <v>-135.901644</v>
      </c>
      <c r="P12" s="149">
        <f>'Historical Financials'!P13</f>
        <v>-148.01296400000001</v>
      </c>
      <c r="Q12" s="149">
        <f>'Historical Financials'!Q13</f>
        <v>-151.29141200000001</v>
      </c>
      <c r="R12" s="149">
        <f>'Historical Financials'!R13</f>
        <v>-160.79397999999992</v>
      </c>
      <c r="S12" s="149">
        <f>'Historical Financials'!S13</f>
        <v>-163.90402399999999</v>
      </c>
      <c r="T12" s="149">
        <f>'Historical Financials'!T13</f>
        <v>-187.170152</v>
      </c>
      <c r="U12" s="149">
        <f>'Historical Financials'!U13</f>
        <v>-208</v>
      </c>
      <c r="V12" s="5"/>
      <c r="W12" s="11">
        <f t="shared" ref="W12:AI12" si="6">SUM(F12:I12)</f>
        <v>-382.21837922000003</v>
      </c>
      <c r="X12" s="11">
        <f t="shared" si="6"/>
        <v>-520</v>
      </c>
      <c r="Y12" s="11">
        <f t="shared" si="6"/>
        <v>-525.12014852999994</v>
      </c>
      <c r="Z12" s="11">
        <f t="shared" si="6"/>
        <v>-516.18159316000003</v>
      </c>
      <c r="AA12" s="11">
        <f t="shared" si="6"/>
        <v>-530.40175017999991</v>
      </c>
      <c r="AB12" s="11">
        <f t="shared" si="6"/>
        <v>-541</v>
      </c>
      <c r="AC12" s="11">
        <f t="shared" si="6"/>
        <v>-548.92034854000008</v>
      </c>
      <c r="AD12" s="11">
        <f t="shared" si="6"/>
        <v>-565.52256700999999</v>
      </c>
      <c r="AE12" s="150">
        <f t="shared" si="6"/>
        <v>-583.58589060000008</v>
      </c>
      <c r="AF12" s="150">
        <f t="shared" si="6"/>
        <v>-596</v>
      </c>
      <c r="AG12" s="150">
        <f t="shared" si="6"/>
        <v>-624.0023799999999</v>
      </c>
      <c r="AH12" s="150">
        <f t="shared" si="6"/>
        <v>-663.15956799999992</v>
      </c>
      <c r="AI12" s="150">
        <f t="shared" si="6"/>
        <v>-719.86815599999989</v>
      </c>
      <c r="AK12" s="129">
        <f>SUM(AI12/AE12)-1</f>
        <v>0.23352563452122599</v>
      </c>
    </row>
    <row r="13" spans="2:37" ht="12.75" customHeight="1">
      <c r="B13" s="25" t="s">
        <v>208</v>
      </c>
      <c r="C13" s="149">
        <f>'Historical Financials'!C14</f>
        <v>-550</v>
      </c>
      <c r="D13" s="149">
        <f>'Historical Financials'!D14</f>
        <v>-353</v>
      </c>
      <c r="E13" s="149">
        <f>'Historical Financials'!E14</f>
        <v>-495</v>
      </c>
      <c r="F13" s="11"/>
      <c r="G13" s="149">
        <f>'Historical Financials'!G14</f>
        <v>-124.71731129</v>
      </c>
      <c r="H13" s="149">
        <f>'Historical Financials'!H14</f>
        <v>-166.09765686</v>
      </c>
      <c r="I13" s="149">
        <f>'Historical Financials'!I14</f>
        <v>-136.43860513999999</v>
      </c>
      <c r="J13" s="149">
        <f>'Historical Financials'!J14</f>
        <v>-122.74642670999998</v>
      </c>
      <c r="K13" s="149">
        <f>'Historical Financials'!K14</f>
        <v>-72.849766209999999</v>
      </c>
      <c r="L13" s="149">
        <f>'Historical Financials'!L14</f>
        <v>-88.327095760000006</v>
      </c>
      <c r="M13" s="149">
        <f>'Historical Financials'!M14</f>
        <v>-72.010590780000001</v>
      </c>
      <c r="N13" s="149">
        <f>'Historical Financials'!N14</f>
        <v>-119.81254724999999</v>
      </c>
      <c r="O13" s="149">
        <f>'Historical Financials'!O14</f>
        <v>-116.66508</v>
      </c>
      <c r="P13" s="149">
        <f>'Historical Financials'!P14</f>
        <v>-106.30730800000001</v>
      </c>
      <c r="Q13" s="149">
        <f>'Historical Financials'!Q14</f>
        <v>-115.608052</v>
      </c>
      <c r="R13" s="149">
        <f>'Historical Financials'!R14</f>
        <v>-156.41955999999999</v>
      </c>
      <c r="S13" s="149">
        <f>'Historical Financials'!S14</f>
        <v>-136.19618</v>
      </c>
      <c r="T13" s="149">
        <f>'Historical Financials'!T14</f>
        <v>-173.5701</v>
      </c>
      <c r="U13" s="149">
        <f>'Historical Financials'!U14</f>
        <v>-235</v>
      </c>
      <c r="V13" s="5"/>
      <c r="W13" s="11">
        <f t="shared" ref="W13:W14" si="7">SUM(F13:I13)</f>
        <v>-427.25357329000002</v>
      </c>
      <c r="X13" s="11">
        <f t="shared" ref="X13:X14" si="8">SUM(G13:J13)</f>
        <v>-550</v>
      </c>
      <c r="Y13" s="11">
        <f t="shared" ref="Y13:Y14" si="9">SUM(H13:K13)</f>
        <v>-498.13245491999993</v>
      </c>
      <c r="Z13" s="11">
        <f t="shared" ref="Z13:Z14" si="10">SUM(I13:L13)</f>
        <v>-420.36189381999998</v>
      </c>
      <c r="AA13" s="11">
        <f t="shared" ref="AA13:AA14" si="11">SUM(J13:M13)</f>
        <v>-355.93387945999996</v>
      </c>
      <c r="AB13" s="11">
        <f t="shared" ref="AB13:AB14" si="12">SUM(K13:N13)</f>
        <v>-353</v>
      </c>
      <c r="AC13" s="11">
        <f t="shared" ref="AC13:AC14" si="13">SUM(L13:O13)</f>
        <v>-396.81531379</v>
      </c>
      <c r="AD13" s="11">
        <f t="shared" ref="AD13:AD14" si="14">SUM(M13:P13)</f>
        <v>-414.79552603000002</v>
      </c>
      <c r="AE13" s="150">
        <f t="shared" ref="AE13:AE14" si="15">SUM(N13:Q13)</f>
        <v>-458.39298724999998</v>
      </c>
      <c r="AF13" s="150">
        <f t="shared" ref="AF13:AF14" si="16">SUM(O13:R13)</f>
        <v>-495</v>
      </c>
      <c r="AG13" s="150">
        <f t="shared" ref="AG13:AG14" si="17">SUM(P13:S13)</f>
        <v>-514.53110000000004</v>
      </c>
      <c r="AH13" s="150">
        <f t="shared" ref="AH13:AH14" si="18">SUM(Q13:T13)</f>
        <v>-581.79389200000003</v>
      </c>
      <c r="AI13" s="150">
        <f t="shared" ref="AI13:AI14" si="19">SUM(R13:U13)</f>
        <v>-701.18583999999998</v>
      </c>
      <c r="AK13" s="129">
        <f t="shared" ref="AK13:AK14" si="20">SUM(AI13/AE13)-1</f>
        <v>0.52966092305767498</v>
      </c>
    </row>
    <row r="14" spans="2:37" ht="12.75" customHeight="1">
      <c r="B14" s="25" t="s">
        <v>209</v>
      </c>
      <c r="C14" s="149">
        <f>'Historical Financials'!C15</f>
        <v>-147</v>
      </c>
      <c r="D14" s="149">
        <f>'Historical Financials'!D15</f>
        <v>-297</v>
      </c>
      <c r="E14" s="149">
        <f>'Historical Financials'!E15</f>
        <v>-503</v>
      </c>
      <c r="F14" s="11"/>
      <c r="G14" s="149">
        <f>'Historical Financials'!G15</f>
        <v>-30.0286780899999</v>
      </c>
      <c r="H14" s="149">
        <f>'Historical Financials'!H15</f>
        <v>-30.25110097</v>
      </c>
      <c r="I14" s="149">
        <f>'Historical Financials'!I15</f>
        <v>-39.362189769999901</v>
      </c>
      <c r="J14" s="149">
        <f>'Historical Financials'!J15</f>
        <v>-47.358031170000203</v>
      </c>
      <c r="K14" s="149">
        <f>'Historical Financials'!K15</f>
        <v>-56.835333230000003</v>
      </c>
      <c r="L14" s="149">
        <f>'Historical Financials'!L15</f>
        <v>-62.384282069999998</v>
      </c>
      <c r="M14" s="149">
        <f>'Historical Financials'!M15</f>
        <v>-77.893781379999993</v>
      </c>
      <c r="N14" s="149">
        <f>'Historical Financials'!N15</f>
        <v>-99.886603320000006</v>
      </c>
      <c r="O14" s="149">
        <f>'Historical Financials'!O15</f>
        <v>-113.389084</v>
      </c>
      <c r="P14" s="149">
        <f>'Historical Financials'!P15</f>
        <v>-119.840232</v>
      </c>
      <c r="Q14" s="149">
        <f>'Historical Financials'!Q15</f>
        <v>-122.80654</v>
      </c>
      <c r="R14" s="149">
        <f>'Historical Financials'!R15</f>
        <v>-146.96414400000003</v>
      </c>
      <c r="S14" s="149">
        <f>'Historical Financials'!S15</f>
        <v>-130.27724000000001</v>
      </c>
      <c r="T14" s="149">
        <f>'Historical Financials'!T15</f>
        <v>-147.34958399999999</v>
      </c>
      <c r="U14" s="149">
        <f>'Historical Financials'!U15</f>
        <v>-180</v>
      </c>
      <c r="V14" s="5"/>
      <c r="W14" s="11">
        <f t="shared" si="7"/>
        <v>-99.641968829999797</v>
      </c>
      <c r="X14" s="11">
        <f t="shared" si="8"/>
        <v>-147</v>
      </c>
      <c r="Y14" s="11">
        <f t="shared" si="9"/>
        <v>-173.80665514000009</v>
      </c>
      <c r="Z14" s="11">
        <f t="shared" si="10"/>
        <v>-205.93983624000009</v>
      </c>
      <c r="AA14" s="11">
        <f t="shared" si="11"/>
        <v>-244.47142785000023</v>
      </c>
      <c r="AB14" s="11">
        <f t="shared" si="12"/>
        <v>-297</v>
      </c>
      <c r="AC14" s="11">
        <f t="shared" si="13"/>
        <v>-353.55375076999997</v>
      </c>
      <c r="AD14" s="11">
        <f t="shared" si="14"/>
        <v>-411.00970070000005</v>
      </c>
      <c r="AE14" s="150">
        <f t="shared" si="15"/>
        <v>-455.92245931999997</v>
      </c>
      <c r="AF14" s="150">
        <f t="shared" si="16"/>
        <v>-503</v>
      </c>
      <c r="AG14" s="150">
        <f t="shared" si="17"/>
        <v>-519.88815599999998</v>
      </c>
      <c r="AH14" s="150">
        <f t="shared" si="18"/>
        <v>-547.39750800000002</v>
      </c>
      <c r="AI14" s="150">
        <f t="shared" si="19"/>
        <v>-604.59096799999998</v>
      </c>
      <c r="AK14" s="129">
        <f t="shared" si="20"/>
        <v>0.32608288019356713</v>
      </c>
    </row>
    <row r="15" spans="2:37" ht="12.75" customHeight="1">
      <c r="B15" s="27" t="s">
        <v>14</v>
      </c>
      <c r="C15" s="28">
        <f>+C8+SUM(C12:C14)</f>
        <v>687</v>
      </c>
      <c r="D15" s="28">
        <f t="shared" ref="D15:E15" si="21">+D8+SUM(D12:D14)</f>
        <v>1085</v>
      </c>
      <c r="E15" s="28">
        <f t="shared" si="21"/>
        <v>1217</v>
      </c>
      <c r="F15" s="5"/>
      <c r="G15" s="28">
        <f t="shared" ref="G15" si="22">+G8+SUM(G12:G14)</f>
        <v>180.27118519999999</v>
      </c>
      <c r="H15" s="28">
        <f t="shared" ref="H15" si="23">+H8+SUM(H12:H14)</f>
        <v>146.74508269999905</v>
      </c>
      <c r="I15" s="28">
        <f t="shared" ref="I15" si="24">+I8+SUM(I12:I14)</f>
        <v>138.29914018000011</v>
      </c>
      <c r="J15" s="28">
        <f t="shared" ref="J15" si="25">+J8+SUM(J12:J14)</f>
        <v>221.6845919200008</v>
      </c>
      <c r="K15" s="28">
        <f t="shared" ref="K15" si="26">+K8+SUM(K12:K14)</f>
        <v>226.48783580000003</v>
      </c>
      <c r="L15" s="28">
        <f t="shared" ref="L15" si="27">+L8+SUM(L12:L14)</f>
        <v>251.95344859999994</v>
      </c>
      <c r="M15" s="28">
        <f t="shared" ref="M15" si="28">+M8+SUM(M12:M14)</f>
        <v>291.64691452999904</v>
      </c>
      <c r="N15" s="28">
        <f t="shared" ref="N15" si="29">+N8+SUM(N12:N14)</f>
        <v>314.9118010700011</v>
      </c>
      <c r="O15" s="28">
        <f t="shared" ref="O15" si="30">+O8+SUM(O12:O14)</f>
        <v>269.372884</v>
      </c>
      <c r="P15" s="28">
        <f t="shared" ref="P15" si="31">+P8+SUM(P12:P14)</f>
        <v>301.77317999999997</v>
      </c>
      <c r="Q15" s="28">
        <f t="shared" ref="Q15" si="32">+Q8+SUM(Q12:Q14)</f>
        <v>328.64622799999995</v>
      </c>
      <c r="R15" s="28">
        <f t="shared" ref="R15" si="33">+R8+SUM(R12:R14)</f>
        <v>317.20770799999997</v>
      </c>
      <c r="S15" s="28">
        <f t="shared" ref="S15" si="34">+S8+SUM(S12:S14)</f>
        <v>270.75971200000004</v>
      </c>
      <c r="T15" s="28">
        <f t="shared" ref="T15" si="35">+T8+SUM(T12:T14)</f>
        <v>315.01178799999991</v>
      </c>
      <c r="U15" s="28">
        <f t="shared" ref="U15" si="36">+U8+SUM(U12:U14)</f>
        <v>280</v>
      </c>
      <c r="V15" s="5"/>
      <c r="W15" s="28">
        <f t="shared" ref="W15:AD15" si="37">+W8+W12</f>
        <v>662.78940385999908</v>
      </c>
      <c r="X15" s="28">
        <f t="shared" si="37"/>
        <v>948</v>
      </c>
      <c r="Y15" s="28">
        <f t="shared" si="37"/>
        <v>966.42282030000013</v>
      </c>
      <c r="Z15" s="28">
        <f t="shared" si="37"/>
        <v>1024.1421524800007</v>
      </c>
      <c r="AA15" s="28">
        <f t="shared" si="37"/>
        <v>1119.13763148</v>
      </c>
      <c r="AB15" s="28">
        <f t="shared" si="37"/>
        <v>1227</v>
      </c>
      <c r="AC15" s="28">
        <f t="shared" si="37"/>
        <v>1329.6729605399998</v>
      </c>
      <c r="AD15" s="28">
        <f t="shared" si="37"/>
        <v>1407.24904492</v>
      </c>
      <c r="AE15" s="28">
        <f t="shared" ref="AE15" si="38">+AE8+SUM(AE12:AE14)</f>
        <v>1214.7040930700011</v>
      </c>
      <c r="AF15" s="28">
        <f t="shared" ref="AF15" si="39">+AF8+SUM(AF12:AF14)</f>
        <v>1217</v>
      </c>
      <c r="AG15" s="28">
        <f t="shared" ref="AG15" si="40">+AG8+SUM(AG12:AG14)</f>
        <v>1218.3868280000002</v>
      </c>
      <c r="AH15" s="28">
        <f t="shared" ref="AH15" si="41">+AH8+SUM(AH12:AH14)</f>
        <v>1231.6254359999996</v>
      </c>
      <c r="AI15" s="28">
        <f t="shared" ref="AI15" si="42">+AI8+SUM(AI12:AI14)</f>
        <v>1182.979208</v>
      </c>
      <c r="AK15" s="130">
        <f>SUM(AI15/AE15)-1</f>
        <v>-2.6117377269900155E-2</v>
      </c>
    </row>
    <row r="16" spans="2:37" ht="12.75" customHeight="1">
      <c r="B16" s="17" t="s">
        <v>24</v>
      </c>
      <c r="C16" s="19">
        <f>C15/C8</f>
        <v>0.36081932773109243</v>
      </c>
      <c r="D16" s="19">
        <f>D15/D8</f>
        <v>0.47671353251318099</v>
      </c>
      <c r="E16" s="19">
        <f>E15/E8</f>
        <v>0.4329420135183209</v>
      </c>
      <c r="F16" s="29"/>
      <c r="G16" s="19">
        <f t="shared" ref="G16:T16" si="43">G15/G8</f>
        <v>0.39370980614565504</v>
      </c>
      <c r="H16" s="19">
        <f t="shared" si="43"/>
        <v>0.30354155457854859</v>
      </c>
      <c r="I16" s="19">
        <f t="shared" si="43"/>
        <v>0.31931800570606</v>
      </c>
      <c r="J16" s="19">
        <f t="shared" si="43"/>
        <v>0.41861191383051005</v>
      </c>
      <c r="K16" s="19">
        <f t="shared" si="43"/>
        <v>0.46780100521385365</v>
      </c>
      <c r="L16" s="19">
        <f t="shared" si="43"/>
        <v>0.4717561742720377</v>
      </c>
      <c r="M16" s="19">
        <f t="shared" si="43"/>
        <v>0.50740671493172296</v>
      </c>
      <c r="N16" s="19">
        <f t="shared" si="43"/>
        <v>0.46107764674961033</v>
      </c>
      <c r="O16" s="19">
        <f t="shared" si="43"/>
        <v>0.42398979833890454</v>
      </c>
      <c r="P16" s="19">
        <f t="shared" si="43"/>
        <v>0.44645382697039843</v>
      </c>
      <c r="Q16" s="19">
        <f t="shared" si="43"/>
        <v>0.45750011395523854</v>
      </c>
      <c r="R16" s="19">
        <f t="shared" si="43"/>
        <v>0.40595551343503999</v>
      </c>
      <c r="S16" s="19">
        <f t="shared" si="43"/>
        <v>0.38617224844378384</v>
      </c>
      <c r="T16" s="19">
        <f t="shared" si="43"/>
        <v>0.38271311684351622</v>
      </c>
      <c r="U16" s="19">
        <f>U15/U8</f>
        <v>0.31007751937984496</v>
      </c>
      <c r="V16" s="30"/>
      <c r="W16" s="19">
        <f t="shared" ref="W16:AG16" si="44">W15/W8</f>
        <v>0.63424350956174658</v>
      </c>
      <c r="X16" s="19">
        <f t="shared" si="44"/>
        <v>0.64577656675749318</v>
      </c>
      <c r="Y16" s="19">
        <f t="shared" si="44"/>
        <v>0.64793495091736042</v>
      </c>
      <c r="Z16" s="19">
        <f t="shared" si="44"/>
        <v>0.66488759611666715</v>
      </c>
      <c r="AA16" s="19">
        <f t="shared" si="44"/>
        <v>0.67845463037915799</v>
      </c>
      <c r="AB16" s="19">
        <f t="shared" si="44"/>
        <v>0.6940045248868778</v>
      </c>
      <c r="AC16" s="19">
        <f t="shared" si="44"/>
        <v>0.70780245735633873</v>
      </c>
      <c r="AD16" s="19">
        <f t="shared" si="44"/>
        <v>0.71333601741321762</v>
      </c>
      <c r="AE16" s="19">
        <f t="shared" si="44"/>
        <v>0.44779977195670828</v>
      </c>
      <c r="AF16" s="19">
        <f t="shared" si="44"/>
        <v>0.4329420135183209</v>
      </c>
      <c r="AG16" s="19">
        <f t="shared" si="44"/>
        <v>0.42352031539351037</v>
      </c>
      <c r="AH16" s="19">
        <f>AH15/AH8</f>
        <v>0.4072867216724485</v>
      </c>
      <c r="AI16" s="19">
        <f>AI15/AI8</f>
        <v>0.36868737022031012</v>
      </c>
      <c r="AK16" s="131">
        <f>SUM(AI16-AE16)*10000</f>
        <v>-791.12401736398158</v>
      </c>
    </row>
    <row r="17" spans="2:37" ht="5.0999999999999996" customHeight="1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5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K17" s="128"/>
    </row>
    <row r="18" spans="2:37" ht="12.75" customHeight="1">
      <c r="B18" s="25" t="s">
        <v>210</v>
      </c>
      <c r="C18" s="149">
        <f>'Historical Financials'!C19</f>
        <v>-355.14436632000002</v>
      </c>
      <c r="D18" s="149">
        <f>'Historical Financials'!D19</f>
        <v>-276.49250117999992</v>
      </c>
      <c r="E18" s="149">
        <f>'Historical Financials'!E19</f>
        <v>-307.83389099999999</v>
      </c>
      <c r="F18" s="96"/>
      <c r="G18" s="149">
        <f>'Historical Financials'!G19</f>
        <v>-96.741726040000003</v>
      </c>
      <c r="H18" s="149">
        <f>'Historical Financials'!H19</f>
        <v>-107.08367109</v>
      </c>
      <c r="I18" s="149">
        <f>'Historical Financials'!I19</f>
        <v>-69.442446380000007</v>
      </c>
      <c r="J18" s="149">
        <f>'Historical Financials'!J19</f>
        <v>-81.876522809999983</v>
      </c>
      <c r="K18" s="149">
        <f>'Historical Financials'!K19</f>
        <v>-66.668117850000002</v>
      </c>
      <c r="L18" s="149">
        <f>'Historical Financials'!L19</f>
        <v>-70.243350100000001</v>
      </c>
      <c r="M18" s="149">
        <f>'Historical Financials'!M19</f>
        <v>-64.689123629999997</v>
      </c>
      <c r="N18" s="149">
        <f>'Historical Financials'!N19</f>
        <v>-74.891909599999906</v>
      </c>
      <c r="O18" s="149">
        <f>'Historical Financials'!O19</f>
        <v>-78.315833999999995</v>
      </c>
      <c r="P18" s="149">
        <f>'Historical Financials'!P19</f>
        <v>-80.957579999999993</v>
      </c>
      <c r="Q18" s="149">
        <f>'Historical Financials'!Q19</f>
        <v>-77.696905999999998</v>
      </c>
      <c r="R18" s="149">
        <f>'Historical Financials'!R19</f>
        <v>-70.863570999999979</v>
      </c>
      <c r="S18" s="149">
        <f>'Historical Financials'!S19</f>
        <v>-83.019927999999993</v>
      </c>
      <c r="T18" s="149">
        <f>'Historical Financials'!T19</f>
        <v>-93.232776000000001</v>
      </c>
      <c r="U18" s="149">
        <f>'Historical Financials'!U19</f>
        <v>-97</v>
      </c>
      <c r="V18" s="5"/>
      <c r="W18" s="11">
        <f t="shared" ref="W18:AI18" si="45">SUM(F18:I18)</f>
        <v>-273.26784351000003</v>
      </c>
      <c r="X18" s="11">
        <f t="shared" si="45"/>
        <v>-355.14436632000002</v>
      </c>
      <c r="Y18" s="11">
        <f t="shared" si="45"/>
        <v>-325.07075813</v>
      </c>
      <c r="Z18" s="11">
        <f t="shared" si="45"/>
        <v>-288.23043713999999</v>
      </c>
      <c r="AA18" s="11">
        <f t="shared" si="45"/>
        <v>-283.47711438999994</v>
      </c>
      <c r="AB18" s="11">
        <f t="shared" si="45"/>
        <v>-276.49250117999992</v>
      </c>
      <c r="AC18" s="11">
        <f t="shared" si="45"/>
        <v>-288.14021732999993</v>
      </c>
      <c r="AD18" s="11">
        <f t="shared" si="45"/>
        <v>-298.85444722999989</v>
      </c>
      <c r="AE18" s="150">
        <f t="shared" si="45"/>
        <v>-311.86222959999992</v>
      </c>
      <c r="AF18" s="150">
        <f t="shared" si="45"/>
        <v>-307.83389099999999</v>
      </c>
      <c r="AG18" s="150">
        <f t="shared" si="45"/>
        <v>-312.53798499999994</v>
      </c>
      <c r="AH18" s="150">
        <f t="shared" si="45"/>
        <v>-324.81318099999999</v>
      </c>
      <c r="AI18" s="150">
        <f t="shared" si="45"/>
        <v>-344.11627499999997</v>
      </c>
      <c r="AK18" s="129">
        <f>SUM(AI18/AE18)-1</f>
        <v>0.10342401977106896</v>
      </c>
    </row>
    <row r="19" spans="2:37" ht="12.75" customHeight="1">
      <c r="B19" s="25" t="s">
        <v>88</v>
      </c>
      <c r="C19" s="149">
        <f>'Historical Financials'!C20</f>
        <v>-523.16658987000005</v>
      </c>
      <c r="D19" s="149">
        <f>'Historical Financials'!D20</f>
        <v>-371.67992953999976</v>
      </c>
      <c r="E19" s="149">
        <f>'Historical Financials'!E20</f>
        <v>-309.06154600000002</v>
      </c>
      <c r="F19" s="96"/>
      <c r="G19" s="149">
        <f>'Historical Financials'!G20</f>
        <v>-136.26446245</v>
      </c>
      <c r="H19" s="149">
        <f>'Historical Financials'!H20</f>
        <v>-154.38537081000001</v>
      </c>
      <c r="I19" s="149">
        <f>'Historical Financials'!I20</f>
        <v>-96.270784730000003</v>
      </c>
      <c r="J19" s="149">
        <f>'Historical Financials'!J20</f>
        <v>-136.24597188000001</v>
      </c>
      <c r="K19" s="149">
        <f>'Historical Financials'!K20</f>
        <v>-74.053169850000003</v>
      </c>
      <c r="L19" s="149">
        <f>'Historical Financials'!L20</f>
        <v>-81.772555409999896</v>
      </c>
      <c r="M19" s="149">
        <f>'Historical Financials'!M20</f>
        <v>-78.908537979999906</v>
      </c>
      <c r="N19" s="149">
        <f>'Historical Financials'!N20</f>
        <v>-136.94566629999997</v>
      </c>
      <c r="O19" s="149">
        <f>'Historical Financials'!O20</f>
        <v>-76.354386000000005</v>
      </c>
      <c r="P19" s="149">
        <f>'Historical Financials'!P20</f>
        <v>-76.742658000000006</v>
      </c>
      <c r="Q19" s="149">
        <f>'Historical Financials'!Q20</f>
        <v>-65.442831999999996</v>
      </c>
      <c r="R19" s="149">
        <f>'Historical Financials'!R20</f>
        <v>-90.521670000000029</v>
      </c>
      <c r="S19" s="149">
        <f>'Historical Financials'!S20</f>
        <v>-79.667124000000001</v>
      </c>
      <c r="T19" s="149">
        <f>'Historical Financials'!T20</f>
        <v>-82.899178000000006</v>
      </c>
      <c r="U19" s="149">
        <f>'Historical Financials'!U20</f>
        <v>-85</v>
      </c>
      <c r="V19" s="5"/>
      <c r="W19" s="11">
        <f t="shared" ref="W19:W25" si="46">SUM(F19:I19)</f>
        <v>-386.92061799000004</v>
      </c>
      <c r="X19" s="11">
        <f t="shared" ref="X19:X25" si="47">SUM(G19:J19)</f>
        <v>-523.16658987000005</v>
      </c>
      <c r="Y19" s="11">
        <f t="shared" ref="Y19:Y25" si="48">SUM(H19:K19)</f>
        <v>-460.95529727000007</v>
      </c>
      <c r="Z19" s="11">
        <f t="shared" ref="Z19:Z25" si="49">SUM(I19:L19)</f>
        <v>-388.34248186999992</v>
      </c>
      <c r="AA19" s="11">
        <f t="shared" ref="AA19:AA25" si="50">SUM(J19:M19)</f>
        <v>-370.9802351199998</v>
      </c>
      <c r="AB19" s="11">
        <f t="shared" ref="AB19:AB25" si="51">SUM(K19:N19)</f>
        <v>-371.67992953999976</v>
      </c>
      <c r="AC19" s="11">
        <f t="shared" ref="AC19:AC25" si="52">SUM(L19:O19)</f>
        <v>-373.98114568999972</v>
      </c>
      <c r="AD19" s="11">
        <f t="shared" ref="AD19:AD25" si="53">SUM(M19:P19)</f>
        <v>-368.95124827999985</v>
      </c>
      <c r="AE19" s="150">
        <f t="shared" ref="AE19:AE25" si="54">SUM(N19:Q19)</f>
        <v>-355.48554229999996</v>
      </c>
      <c r="AF19" s="150">
        <f t="shared" ref="AF19:AF25" si="55">SUM(O19:R19)</f>
        <v>-309.06154600000002</v>
      </c>
      <c r="AG19" s="150">
        <f t="shared" ref="AG19:AG25" si="56">SUM(P19:S19)</f>
        <v>-312.37428400000005</v>
      </c>
      <c r="AH19" s="150">
        <f t="shared" ref="AH19:AH25" si="57">SUM(Q19:T19)</f>
        <v>-318.53080400000005</v>
      </c>
      <c r="AI19" s="150">
        <f t="shared" ref="AI19:AI25" si="58">SUM(R19:U19)</f>
        <v>-338.08797200000004</v>
      </c>
      <c r="AK19" s="129">
        <f t="shared" ref="AK19:AK25" si="59">SUM(AI19/AE19)-1</f>
        <v>-4.8940303415540454E-2</v>
      </c>
    </row>
    <row r="20" spans="2:37" ht="12.75" customHeight="1">
      <c r="B20" s="25" t="s">
        <v>211</v>
      </c>
      <c r="C20" s="149">
        <f>'Historical Financials'!C21</f>
        <v>-285.51806605000002</v>
      </c>
      <c r="D20" s="149">
        <f>'Historical Financials'!D21</f>
        <v>-238.31195534999981</v>
      </c>
      <c r="E20" s="149">
        <f>'Historical Financials'!E21</f>
        <v>-192.41582499999998</v>
      </c>
      <c r="F20" s="96"/>
      <c r="G20" s="149">
        <f>'Historical Financials'!G21</f>
        <v>-78.401398979999996</v>
      </c>
      <c r="H20" s="149">
        <f>'Historical Financials'!H21</f>
        <v>-80.958778089999996</v>
      </c>
      <c r="I20" s="149">
        <f>'Historical Financials'!I21</f>
        <v>-60.83590727</v>
      </c>
      <c r="J20" s="149">
        <f>'Historical Financials'!J21</f>
        <v>-65.321981710000017</v>
      </c>
      <c r="K20" s="149">
        <f>'Historical Financials'!K21</f>
        <v>-62.666631690000003</v>
      </c>
      <c r="L20" s="149">
        <f>'Historical Financials'!L21</f>
        <v>-53.704775509999799</v>
      </c>
      <c r="M20" s="149">
        <f>'Historical Financials'!M21</f>
        <v>-52.345869890000003</v>
      </c>
      <c r="N20" s="149">
        <f>'Historical Financials'!N21</f>
        <v>-69.594678259999995</v>
      </c>
      <c r="O20" s="149">
        <f>'Historical Financials'!O21</f>
        <v>-56.855007999999998</v>
      </c>
      <c r="P20" s="149">
        <f>'Historical Financials'!P21</f>
        <v>-47.379998999999998</v>
      </c>
      <c r="Q20" s="149">
        <f>'Historical Financials'!Q21</f>
        <v>-42.017431999999999</v>
      </c>
      <c r="R20" s="149">
        <f>'Historical Financials'!R21</f>
        <v>-46.163386000000003</v>
      </c>
      <c r="S20" s="149">
        <f>'Historical Financials'!S21</f>
        <v>-50.275283000000002</v>
      </c>
      <c r="T20" s="149">
        <f>'Historical Financials'!T21</f>
        <v>-48.020048000000003</v>
      </c>
      <c r="U20" s="149">
        <f>'Historical Financials'!U21</f>
        <v>-50</v>
      </c>
      <c r="V20" s="5"/>
      <c r="W20" s="11">
        <f t="shared" si="46"/>
        <v>-220.19608434</v>
      </c>
      <c r="X20" s="11">
        <f t="shared" si="47"/>
        <v>-285.51806605000002</v>
      </c>
      <c r="Y20" s="11">
        <f t="shared" si="48"/>
        <v>-269.78329875999998</v>
      </c>
      <c r="Z20" s="11">
        <f t="shared" si="49"/>
        <v>-242.52929617999982</v>
      </c>
      <c r="AA20" s="11">
        <f t="shared" si="50"/>
        <v>-234.0392587999998</v>
      </c>
      <c r="AB20" s="11">
        <f t="shared" si="51"/>
        <v>-238.31195534999981</v>
      </c>
      <c r="AC20" s="11">
        <f t="shared" si="52"/>
        <v>-232.5003316599998</v>
      </c>
      <c r="AD20" s="11">
        <f t="shared" si="53"/>
        <v>-226.17555514999998</v>
      </c>
      <c r="AE20" s="150">
        <f t="shared" si="54"/>
        <v>-215.84711726</v>
      </c>
      <c r="AF20" s="150">
        <f t="shared" si="55"/>
        <v>-192.41582499999998</v>
      </c>
      <c r="AG20" s="150">
        <f t="shared" si="56"/>
        <v>-185.83609999999999</v>
      </c>
      <c r="AH20" s="150">
        <f t="shared" si="57"/>
        <v>-186.47614899999999</v>
      </c>
      <c r="AI20" s="150">
        <f t="shared" si="58"/>
        <v>-194.45871700000001</v>
      </c>
      <c r="AK20" s="129">
        <f t="shared" si="59"/>
        <v>-9.9090506889820795E-2</v>
      </c>
    </row>
    <row r="21" spans="2:37" ht="12.75" customHeight="1">
      <c r="B21" s="25" t="s">
        <v>89</v>
      </c>
      <c r="C21" s="149">
        <f>'Historical Financials'!C22</f>
        <v>-248.72763424999991</v>
      </c>
      <c r="D21" s="149">
        <f>'Historical Financials'!D22</f>
        <v>-247.95488699999981</v>
      </c>
      <c r="E21" s="149">
        <f>'Historical Financials'!E22</f>
        <v>-226.76490000000001</v>
      </c>
      <c r="F21" s="96"/>
      <c r="G21" s="149">
        <f>'Historical Financials'!G22</f>
        <v>-65.534632060000007</v>
      </c>
      <c r="H21" s="149">
        <f>'Historical Financials'!H22</f>
        <v>-53.049637840000003</v>
      </c>
      <c r="I21" s="149">
        <f>'Historical Financials'!I22</f>
        <v>-61.373631499999902</v>
      </c>
      <c r="J21" s="149">
        <f>'Historical Financials'!J22</f>
        <v>-68.769732849999997</v>
      </c>
      <c r="K21" s="149">
        <f>'Historical Financials'!K22</f>
        <v>-60.081627910000002</v>
      </c>
      <c r="L21" s="149">
        <f>'Historical Financials'!L22</f>
        <v>-55.965975909999997</v>
      </c>
      <c r="M21" s="149">
        <f>'Historical Financials'!M22</f>
        <v>-50.365199869999799</v>
      </c>
      <c r="N21" s="149">
        <f>'Historical Financials'!N22</f>
        <v>-81.54208331000001</v>
      </c>
      <c r="O21" s="149">
        <f>'Historical Financials'!O22</f>
        <v>-50.458582</v>
      </c>
      <c r="P21" s="149">
        <f>'Historical Financials'!P22</f>
        <v>-57.564681999999998</v>
      </c>
      <c r="Q21" s="149">
        <f>'Historical Financials'!Q22</f>
        <v>-51.711730000000003</v>
      </c>
      <c r="R21" s="149">
        <f>'Historical Financials'!R22</f>
        <v>-67.029906000000011</v>
      </c>
      <c r="S21" s="149">
        <f>'Historical Financials'!S22</f>
        <v>-54.492572000000003</v>
      </c>
      <c r="T21" s="149">
        <f>'Historical Financials'!T22</f>
        <v>-61.598967999999999</v>
      </c>
      <c r="U21" s="149">
        <f>'Historical Financials'!U22</f>
        <v>-63</v>
      </c>
      <c r="V21" s="5"/>
      <c r="W21" s="11">
        <f t="shared" si="46"/>
        <v>-179.95790139999991</v>
      </c>
      <c r="X21" s="11">
        <f t="shared" si="47"/>
        <v>-248.72763424999991</v>
      </c>
      <c r="Y21" s="11">
        <f t="shared" si="48"/>
        <v>-243.27463009999991</v>
      </c>
      <c r="Z21" s="11">
        <f t="shared" si="49"/>
        <v>-246.19096816999991</v>
      </c>
      <c r="AA21" s="11">
        <f t="shared" si="50"/>
        <v>-235.1825365399998</v>
      </c>
      <c r="AB21" s="11">
        <f t="shared" si="51"/>
        <v>-247.95488699999981</v>
      </c>
      <c r="AC21" s="11">
        <f t="shared" si="52"/>
        <v>-238.33184108999981</v>
      </c>
      <c r="AD21" s="11">
        <f t="shared" si="53"/>
        <v>-239.93054717999982</v>
      </c>
      <c r="AE21" s="150">
        <f t="shared" si="54"/>
        <v>-241.27707731000004</v>
      </c>
      <c r="AF21" s="150">
        <f t="shared" si="55"/>
        <v>-226.76490000000001</v>
      </c>
      <c r="AG21" s="150">
        <f t="shared" si="56"/>
        <v>-230.79889</v>
      </c>
      <c r="AH21" s="150">
        <f t="shared" si="57"/>
        <v>-234.83317600000004</v>
      </c>
      <c r="AI21" s="150">
        <f t="shared" si="58"/>
        <v>-246.12144599999999</v>
      </c>
      <c r="AK21" s="129">
        <f t="shared" si="59"/>
        <v>2.0078031216267389E-2</v>
      </c>
    </row>
    <row r="22" spans="2:37" ht="12.75" customHeight="1">
      <c r="B22" s="25" t="s">
        <v>212</v>
      </c>
      <c r="C22" s="149">
        <f>'Historical Financials'!C23</f>
        <v>-35.72870511</v>
      </c>
      <c r="D22" s="149">
        <f>'Historical Financials'!D23</f>
        <v>-5.3084229999999994</v>
      </c>
      <c r="E22" s="149">
        <f>'Historical Financials'!E23</f>
        <v>-5.7080183699999996</v>
      </c>
      <c r="F22" s="96"/>
      <c r="G22" s="149">
        <f>'Historical Financials'!G23</f>
        <v>0</v>
      </c>
      <c r="H22" s="149">
        <f>'Historical Financials'!H23</f>
        <v>-34.40478615</v>
      </c>
      <c r="I22" s="149">
        <f>'Historical Financials'!I23</f>
        <v>1.1317286200000001</v>
      </c>
      <c r="J22" s="149">
        <f>'Historical Financials'!J23</f>
        <v>-2.4556475799999973</v>
      </c>
      <c r="K22" s="149">
        <f>'Historical Financials'!K23</f>
        <v>0</v>
      </c>
      <c r="L22" s="149">
        <f>'Historical Financials'!L23</f>
        <v>-2.2040649999999999</v>
      </c>
      <c r="M22" s="149">
        <f>'Historical Financials'!M23</f>
        <v>2.1758E-2</v>
      </c>
      <c r="N22" s="149">
        <f>'Historical Financials'!N23</f>
        <v>-3.1261159999999997</v>
      </c>
      <c r="O22" s="149">
        <f>'Historical Financials'!O23</f>
        <v>0</v>
      </c>
      <c r="P22" s="149">
        <f>'Historical Financials'!P23</f>
        <v>0</v>
      </c>
      <c r="Q22" s="149">
        <f>'Historical Financials'!Q23</f>
        <v>-2.9177369999999998</v>
      </c>
      <c r="R22" s="149">
        <f>'Historical Financials'!R23</f>
        <v>-2.7902813699999998</v>
      </c>
      <c r="S22" s="149">
        <f>'Historical Financials'!S23</f>
        <v>-4.3000000715255702E-7</v>
      </c>
      <c r="T22" s="149">
        <f>'Historical Financials'!T23</f>
        <v>4.2173655996093702</v>
      </c>
      <c r="U22" s="149">
        <f>'Historical Financials'!U23</f>
        <v>-5</v>
      </c>
      <c r="V22" s="5"/>
      <c r="W22" s="11">
        <f t="shared" si="46"/>
        <v>-33.273057530000003</v>
      </c>
      <c r="X22" s="11">
        <f t="shared" si="47"/>
        <v>-35.72870511</v>
      </c>
      <c r="Y22" s="11">
        <f t="shared" si="48"/>
        <v>-35.72870511</v>
      </c>
      <c r="Z22" s="11">
        <f t="shared" si="49"/>
        <v>-3.5279839599999971</v>
      </c>
      <c r="AA22" s="11">
        <f t="shared" si="50"/>
        <v>-4.6379545799999971</v>
      </c>
      <c r="AB22" s="11">
        <f t="shared" si="51"/>
        <v>-5.3084229999999994</v>
      </c>
      <c r="AC22" s="11">
        <f t="shared" si="52"/>
        <v>-5.3084229999999994</v>
      </c>
      <c r="AD22" s="11">
        <f t="shared" si="53"/>
        <v>-3.1043579999999995</v>
      </c>
      <c r="AE22" s="150">
        <f t="shared" si="54"/>
        <v>-6.0438529999999995</v>
      </c>
      <c r="AF22" s="150">
        <f t="shared" si="55"/>
        <v>-5.7080183699999996</v>
      </c>
      <c r="AG22" s="150">
        <f t="shared" si="56"/>
        <v>-5.7080188000000067</v>
      </c>
      <c r="AH22" s="150">
        <f t="shared" si="57"/>
        <v>-1.4906532003906365</v>
      </c>
      <c r="AI22" s="150">
        <f t="shared" si="58"/>
        <v>-3.5729162003906367</v>
      </c>
      <c r="AK22" s="129">
        <f t="shared" si="59"/>
        <v>-0.40883469528616312</v>
      </c>
    </row>
    <row r="23" spans="2:37" ht="12.75" customHeight="1">
      <c r="B23" s="25" t="s">
        <v>213</v>
      </c>
      <c r="C23" s="149">
        <f>'Historical Financials'!C24</f>
        <v>-56.314768259999994</v>
      </c>
      <c r="D23" s="149">
        <f>'Historical Financials'!D24</f>
        <v>-42.596111139999991</v>
      </c>
      <c r="E23" s="149">
        <f>'Historical Financials'!E24</f>
        <v>-91.840167629999996</v>
      </c>
      <c r="F23" s="96"/>
      <c r="G23" s="149">
        <f>'Historical Financials'!G24</f>
        <v>-18.302155549999998</v>
      </c>
      <c r="H23" s="149">
        <f>'Historical Financials'!H24</f>
        <v>-16.410188550000001</v>
      </c>
      <c r="I23" s="149">
        <f>'Historical Financials'!I24</f>
        <v>-8.6047787600000003</v>
      </c>
      <c r="J23" s="149">
        <f>'Historical Financials'!J24</f>
        <v>-12.997645399999996</v>
      </c>
      <c r="K23" s="149">
        <f>'Historical Financials'!K24</f>
        <v>-9.8012167699999999</v>
      </c>
      <c r="L23" s="149">
        <f>'Historical Financials'!L24</f>
        <v>-12.63271228</v>
      </c>
      <c r="M23" s="149">
        <f>'Historical Financials'!M24</f>
        <v>-8.7612611299999905</v>
      </c>
      <c r="N23" s="149">
        <f>'Historical Financials'!N24</f>
        <v>-11.400920960000001</v>
      </c>
      <c r="O23" s="149">
        <f>'Historical Financials'!O24</f>
        <v>-5.4089236199999897</v>
      </c>
      <c r="P23" s="149">
        <f>'Historical Financials'!P24</f>
        <v>-8.8826421599999996</v>
      </c>
      <c r="Q23" s="149">
        <f>'Historical Financials'!Q24</f>
        <v>-20.14296818</v>
      </c>
      <c r="R23" s="149">
        <f>'Historical Financials'!R24</f>
        <v>-57.405633670000007</v>
      </c>
      <c r="S23" s="149">
        <f>'Historical Financials'!S24</f>
        <v>-58.543661</v>
      </c>
      <c r="T23" s="149">
        <f>'Historical Financials'!T24</f>
        <v>-26.392680500000001</v>
      </c>
      <c r="U23" s="149">
        <f>'Historical Financials'!U24</f>
        <v>-39</v>
      </c>
      <c r="V23" s="5"/>
      <c r="W23" s="11">
        <f t="shared" si="46"/>
        <v>-43.317122859999998</v>
      </c>
      <c r="X23" s="11">
        <f t="shared" si="47"/>
        <v>-56.314768259999994</v>
      </c>
      <c r="Y23" s="11">
        <f t="shared" si="48"/>
        <v>-47.813829479999995</v>
      </c>
      <c r="Z23" s="11">
        <f t="shared" si="49"/>
        <v>-44.036353210000001</v>
      </c>
      <c r="AA23" s="11">
        <f t="shared" si="50"/>
        <v>-44.192835579999993</v>
      </c>
      <c r="AB23" s="11">
        <f t="shared" si="51"/>
        <v>-42.596111139999991</v>
      </c>
      <c r="AC23" s="11">
        <f t="shared" si="52"/>
        <v>-38.203817989999983</v>
      </c>
      <c r="AD23" s="11">
        <f t="shared" si="53"/>
        <v>-34.45374786999998</v>
      </c>
      <c r="AE23" s="150">
        <f t="shared" si="54"/>
        <v>-45.835454919999989</v>
      </c>
      <c r="AF23" s="150">
        <f t="shared" si="55"/>
        <v>-91.840167629999996</v>
      </c>
      <c r="AG23" s="150">
        <f t="shared" si="56"/>
        <v>-144.97490500999999</v>
      </c>
      <c r="AH23" s="150">
        <f t="shared" si="57"/>
        <v>-162.48494335000001</v>
      </c>
      <c r="AI23" s="150">
        <f t="shared" si="58"/>
        <v>-181.34197517000001</v>
      </c>
      <c r="AK23" s="129">
        <f t="shared" si="59"/>
        <v>2.9563690485129817</v>
      </c>
    </row>
    <row r="24" spans="2:37" ht="12.75" customHeight="1">
      <c r="B24" s="25" t="s">
        <v>214</v>
      </c>
      <c r="C24" s="149">
        <f>'Historical Financials'!C25</f>
        <v>0</v>
      </c>
      <c r="D24" s="149">
        <f>'Historical Financials'!D25</f>
        <v>0</v>
      </c>
      <c r="E24" s="149">
        <f>'Historical Financials'!E25</f>
        <v>-15.12336359999998</v>
      </c>
      <c r="F24" s="96"/>
      <c r="G24" s="149">
        <f>'Historical Financials'!G25</f>
        <v>0</v>
      </c>
      <c r="H24" s="149">
        <f>'Historical Financials'!H25</f>
        <v>0</v>
      </c>
      <c r="I24" s="149">
        <f>'Historical Financials'!I25</f>
        <v>0</v>
      </c>
      <c r="J24" s="149">
        <f>'Historical Financials'!J25</f>
        <v>0</v>
      </c>
      <c r="K24" s="149">
        <f>'Historical Financials'!K25</f>
        <v>0</v>
      </c>
      <c r="L24" s="149">
        <f>'Historical Financials'!L25</f>
        <v>0</v>
      </c>
      <c r="M24" s="149">
        <f>'Historical Financials'!M25</f>
        <v>0</v>
      </c>
      <c r="N24" s="149">
        <f>'Historical Financials'!N25</f>
        <v>0</v>
      </c>
      <c r="O24" s="149">
        <f>'Historical Financials'!O25</f>
        <v>-1.55031327</v>
      </c>
      <c r="P24" s="149">
        <f>'Historical Financials'!P25</f>
        <v>-2.2861342100000002</v>
      </c>
      <c r="Q24" s="149">
        <f>'Historical Financials'!Q25</f>
        <v>-6.0381062700000001</v>
      </c>
      <c r="R24" s="149">
        <f>'Historical Financials'!R25</f>
        <v>-5.2488098499999793</v>
      </c>
      <c r="S24" s="149">
        <f>'Historical Financials'!S25</f>
        <v>-8.3823610624999993</v>
      </c>
      <c r="T24" s="149">
        <f>'Historical Financials'!T25</f>
        <v>-1.9570491523437501</v>
      </c>
      <c r="U24" s="149">
        <f>'Historical Financials'!U25</f>
        <v>0</v>
      </c>
      <c r="V24" s="5"/>
      <c r="W24" s="11">
        <f t="shared" si="46"/>
        <v>0</v>
      </c>
      <c r="X24" s="11">
        <f t="shared" si="47"/>
        <v>0</v>
      </c>
      <c r="Y24" s="11">
        <f t="shared" si="48"/>
        <v>0</v>
      </c>
      <c r="Z24" s="11">
        <f t="shared" si="49"/>
        <v>0</v>
      </c>
      <c r="AA24" s="11">
        <f t="shared" si="50"/>
        <v>0</v>
      </c>
      <c r="AB24" s="11">
        <f t="shared" si="51"/>
        <v>0</v>
      </c>
      <c r="AC24" s="11">
        <f t="shared" si="52"/>
        <v>-1.55031327</v>
      </c>
      <c r="AD24" s="11">
        <f t="shared" si="53"/>
        <v>-3.8364474800000004</v>
      </c>
      <c r="AE24" s="150">
        <f t="shared" si="54"/>
        <v>-9.8745537500000005</v>
      </c>
      <c r="AF24" s="150">
        <f t="shared" si="55"/>
        <v>-15.12336359999998</v>
      </c>
      <c r="AG24" s="150">
        <f t="shared" si="56"/>
        <v>-21.955411392499979</v>
      </c>
      <c r="AH24" s="150">
        <f t="shared" si="57"/>
        <v>-21.626326334843728</v>
      </c>
      <c r="AI24" s="150">
        <f t="shared" si="58"/>
        <v>-15.588220064843728</v>
      </c>
      <c r="AK24" s="129">
        <f t="shared" si="59"/>
        <v>0.57862526849314366</v>
      </c>
    </row>
    <row r="25" spans="2:37" ht="12.75" customHeight="1">
      <c r="B25" s="25" t="s">
        <v>215</v>
      </c>
      <c r="C25" s="149">
        <f>'Historical Financials'!C26</f>
        <v>-161.96950459999999</v>
      </c>
      <c r="D25" s="149">
        <f>'Historical Financials'!D26</f>
        <v>-226.0680815799997</v>
      </c>
      <c r="E25" s="149">
        <f>'Historical Financials'!E26</f>
        <v>-188.86740460999999</v>
      </c>
      <c r="F25" s="96"/>
      <c r="G25" s="149">
        <f>'Historical Financials'!G26</f>
        <v>-29.042360179999999</v>
      </c>
      <c r="H25" s="149">
        <f>'Historical Financials'!H26</f>
        <v>-41.805338290000002</v>
      </c>
      <c r="I25" s="149">
        <f>'Historical Financials'!I26</f>
        <v>-46.637170060000003</v>
      </c>
      <c r="J25" s="149">
        <f>'Historical Financials'!J26</f>
        <v>-44.484636069999993</v>
      </c>
      <c r="K25" s="149">
        <f>'Historical Financials'!K26</f>
        <v>-55.639148939999998</v>
      </c>
      <c r="L25" s="149">
        <f>'Historical Financials'!L26</f>
        <v>-52.558620579999896</v>
      </c>
      <c r="M25" s="149">
        <f>'Historical Financials'!M26</f>
        <v>-40.713392829999997</v>
      </c>
      <c r="N25" s="149">
        <f>'Historical Financials'!N26</f>
        <v>-77.156919229999801</v>
      </c>
      <c r="O25" s="149">
        <f>'Historical Financials'!O26</f>
        <v>-36.234250449999998</v>
      </c>
      <c r="P25" s="149">
        <f>'Historical Financials'!P26</f>
        <v>-37.992837819999899</v>
      </c>
      <c r="Q25" s="149">
        <f>'Historical Financials'!Q26</f>
        <v>-37.228716540000001</v>
      </c>
      <c r="R25" s="149">
        <f>'Historical Financials'!R26</f>
        <v>-77.41159980000009</v>
      </c>
      <c r="S25" s="149">
        <f>'Historical Financials'!S26</f>
        <v>-25.947516</v>
      </c>
      <c r="T25" s="149">
        <f>'Historical Financials'!T26</f>
        <v>-50.733472999999996</v>
      </c>
      <c r="U25" s="149">
        <f>'Historical Financials'!U26</f>
        <v>-25</v>
      </c>
      <c r="V25" s="5"/>
      <c r="W25" s="11">
        <f t="shared" si="46"/>
        <v>-117.48486853</v>
      </c>
      <c r="X25" s="11">
        <f t="shared" si="47"/>
        <v>-161.96950459999999</v>
      </c>
      <c r="Y25" s="11">
        <f t="shared" si="48"/>
        <v>-188.56629335999997</v>
      </c>
      <c r="Z25" s="11">
        <f t="shared" si="49"/>
        <v>-199.31957564999988</v>
      </c>
      <c r="AA25" s="11">
        <f t="shared" si="50"/>
        <v>-193.39579841999989</v>
      </c>
      <c r="AB25" s="11">
        <f t="shared" si="51"/>
        <v>-226.0680815799997</v>
      </c>
      <c r="AC25" s="11">
        <f t="shared" si="52"/>
        <v>-206.66318308999968</v>
      </c>
      <c r="AD25" s="11">
        <f t="shared" si="53"/>
        <v>-192.09740032999969</v>
      </c>
      <c r="AE25" s="150">
        <f t="shared" si="54"/>
        <v>-188.61272403999968</v>
      </c>
      <c r="AF25" s="150">
        <f t="shared" si="55"/>
        <v>-188.86740460999999</v>
      </c>
      <c r="AG25" s="150">
        <f t="shared" si="56"/>
        <v>-178.58067016000001</v>
      </c>
      <c r="AH25" s="150">
        <f t="shared" si="57"/>
        <v>-191.32130534000009</v>
      </c>
      <c r="AI25" s="150">
        <f t="shared" si="58"/>
        <v>-179.0925888000001</v>
      </c>
      <c r="AK25" s="129">
        <f t="shared" si="59"/>
        <v>-5.0474512196645893E-2</v>
      </c>
    </row>
    <row r="26" spans="2:37" ht="12.75" customHeight="1">
      <c r="B26" s="14" t="s">
        <v>25</v>
      </c>
      <c r="C26" s="15">
        <f>SUM(C15+SUM(C18:C25))</f>
        <v>-979.56963445999986</v>
      </c>
      <c r="D26" s="15">
        <f>SUM(D15+SUM(D18:D25))</f>
        <v>-323.41188878999901</v>
      </c>
      <c r="E26" s="15">
        <f>SUM(E15+SUM(E18:E25))</f>
        <v>-120.61511620999977</v>
      </c>
      <c r="F26" s="12"/>
      <c r="G26" s="15">
        <f>SUM(G15+SUM(G18:G25))</f>
        <v>-244.01555006000001</v>
      </c>
      <c r="H26" s="15">
        <f>SUM(H15+SUM(H18:H25))</f>
        <v>-341.35268812000095</v>
      </c>
      <c r="I26" s="15">
        <f>SUM(I15+SUM(I18:I25))</f>
        <v>-203.73384989999983</v>
      </c>
      <c r="J26" s="15">
        <f>SUM(J15+SUM(J18:J25))</f>
        <v>-190.46754637999913</v>
      </c>
      <c r="K26" s="15">
        <f>SUM(K15+SUM(K18:K25))</f>
        <v>-102.42207720999994</v>
      </c>
      <c r="L26" s="15">
        <f>SUM(L15+SUM(L18:L25))</f>
        <v>-77.128606189999687</v>
      </c>
      <c r="M26" s="15">
        <f>SUM(M15+SUM(M18:M25))</f>
        <v>-4.1147128000006319</v>
      </c>
      <c r="N26" s="15">
        <f>SUM(N15+SUM(N18:N25))</f>
        <v>-139.74649258999858</v>
      </c>
      <c r="O26" s="15">
        <f>SUM(O15+SUM(O18:O25))</f>
        <v>-35.804413339999996</v>
      </c>
      <c r="P26" s="15">
        <f>SUM(P15+SUM(P18:P25))</f>
        <v>-10.033353189999957</v>
      </c>
      <c r="Q26" s="15">
        <f>SUM(Q15+SUM(Q18:Q25))</f>
        <v>25.449800009999933</v>
      </c>
      <c r="R26" s="15">
        <f>SUM(R15+SUM(R18:R25))</f>
        <v>-100.22714969000009</v>
      </c>
      <c r="S26" s="15">
        <f>SUM(S15+SUM(S18:S25))</f>
        <v>-89.568733492499973</v>
      </c>
      <c r="T26" s="15">
        <f>SUM(T15+SUM(T18:T25))</f>
        <v>-45.605019052734463</v>
      </c>
      <c r="U26" s="15">
        <f>SUM(U15+SUM(U18:U25))</f>
        <v>-84</v>
      </c>
      <c r="V26" s="5"/>
      <c r="W26" s="15">
        <f>SUM(W15+SUM(W18:W25))</f>
        <v>-591.62809230000084</v>
      </c>
      <c r="X26" s="15">
        <f>SUM(X15+SUM(X18:X25))</f>
        <v>-718.56963445999986</v>
      </c>
      <c r="Y26" s="15">
        <f>SUM(Y15+SUM(Y18:Y25))</f>
        <v>-604.76999190999993</v>
      </c>
      <c r="Z26" s="15">
        <f>SUM(Z15+SUM(Z18:Z25))</f>
        <v>-388.03494369999885</v>
      </c>
      <c r="AA26" s="15">
        <f>SUM(AA15+SUM(AA18:AA25))</f>
        <v>-246.76810194999939</v>
      </c>
      <c r="AB26" s="15">
        <f>SUM(AB15+SUM(AB18:AB25))</f>
        <v>-181.41188878999901</v>
      </c>
      <c r="AC26" s="15">
        <f>SUM(AC15+SUM(AC18:AC25))</f>
        <v>-55.006312579999076</v>
      </c>
      <c r="AD26" s="15">
        <f>SUM(AD15+SUM(AD18:AD25))</f>
        <v>39.845293400000628</v>
      </c>
      <c r="AE26" s="15">
        <f>SUM(AE15+SUM(AE18:AE25))</f>
        <v>-160.13445910999826</v>
      </c>
      <c r="AF26" s="15">
        <f>SUM(AF15+SUM(AF18:AF25))</f>
        <v>-120.61511620999977</v>
      </c>
      <c r="AG26" s="15">
        <f>SUM(AG15+SUM(AG18:AG25))</f>
        <v>-174.37943636249975</v>
      </c>
      <c r="AH26" s="15">
        <f>SUM(AH15+SUM(AH18:AH25))</f>
        <v>-209.95110222523476</v>
      </c>
      <c r="AI26" s="15">
        <f>SUM(AI15+SUM(AI18:AI25))</f>
        <v>-319.40090223523453</v>
      </c>
      <c r="AK26" s="130">
        <f>SUM(AI26/AE26)-1</f>
        <v>0.99457945535529158</v>
      </c>
    </row>
    <row r="27" spans="2:37" ht="12.75" customHeight="1">
      <c r="B27" s="17" t="s">
        <v>26</v>
      </c>
      <c r="C27" s="19">
        <f>C26/C8</f>
        <v>-0.51447985003151253</v>
      </c>
      <c r="D27" s="19">
        <f>D26/D8</f>
        <v>-0.14209661194639675</v>
      </c>
      <c r="E27" s="19">
        <f>E26/E8</f>
        <v>-4.2908259057274911E-2</v>
      </c>
      <c r="F27" s="29"/>
      <c r="G27" s="19">
        <f>G26/G8</f>
        <v>-0.53292662831313098</v>
      </c>
      <c r="H27" s="19">
        <f>H26/H8</f>
        <v>-0.70608652572937092</v>
      </c>
      <c r="I27" s="19">
        <f>I26/I8</f>
        <v>-0.47039979106315272</v>
      </c>
      <c r="J27" s="19">
        <f>J26/J8</f>
        <v>-0.35966407688589253</v>
      </c>
      <c r="K27" s="19">
        <f>K26/K8</f>
        <v>-0.21154845029840186</v>
      </c>
      <c r="L27" s="19">
        <f>L26/L8</f>
        <v>-0.14441515440772923</v>
      </c>
      <c r="M27" s="19">
        <f>M26/M8</f>
        <v>-7.158769048184379E-3</v>
      </c>
      <c r="N27" s="19">
        <f>N26/N8</f>
        <v>-0.2046096199824074</v>
      </c>
      <c r="O27" s="19">
        <f>O26/O8</f>
        <v>-5.635573175089658E-2</v>
      </c>
      <c r="P27" s="19">
        <f>P26/P8</f>
        <v>-1.4843694621971167E-2</v>
      </c>
      <c r="Q27" s="19">
        <f>Q26/Q8</f>
        <v>3.5428023852788607E-2</v>
      </c>
      <c r="R27" s="19">
        <f>R26/R8</f>
        <v>-0.12826852244250825</v>
      </c>
      <c r="S27" s="19">
        <f>S26/S8</f>
        <v>-0.12774780615463485</v>
      </c>
      <c r="T27" s="19">
        <f>T26/T8</f>
        <v>-5.5406304304332736E-2</v>
      </c>
      <c r="U27" s="19">
        <f>U26/U8</f>
        <v>-9.3023255813953487E-2</v>
      </c>
      <c r="V27" s="30"/>
      <c r="W27" s="19">
        <f>W26/W8</f>
        <v>-0.56614706787758873</v>
      </c>
      <c r="X27" s="19">
        <f>X26/X8</f>
        <v>-0.48948885181198898</v>
      </c>
      <c r="Y27" s="19">
        <f>Y26/Y8</f>
        <v>-0.40546602045557906</v>
      </c>
      <c r="Z27" s="19">
        <f>Z26/Z8</f>
        <v>-0.25191778338700566</v>
      </c>
      <c r="AA27" s="19">
        <f>AA26/AA8</f>
        <v>-0.1495981876477944</v>
      </c>
      <c r="AB27" s="19">
        <f>AB26/AB8</f>
        <v>-0.10260853438348361</v>
      </c>
      <c r="AC27" s="19">
        <f>AC26/AC8</f>
        <v>-2.9280585805416936E-2</v>
      </c>
      <c r="AD27" s="19">
        <f>AD26/AD8</f>
        <v>2.0197621031772257E-2</v>
      </c>
      <c r="AE27" s="19">
        <f>AE26/AE8</f>
        <v>-5.903345076465108E-2</v>
      </c>
      <c r="AF27" s="19">
        <f>AF26/AF8</f>
        <v>-4.2908259057274911E-2</v>
      </c>
      <c r="AG27" s="19">
        <f>AG26/AG8</f>
        <v>-6.0615587914406154E-2</v>
      </c>
      <c r="AH27" s="19">
        <f>AH26/AH8</f>
        <v>-6.9428816292190484E-2</v>
      </c>
      <c r="AI27" s="19">
        <f>AI26/AI8</f>
        <v>-9.9544504159284425E-2</v>
      </c>
      <c r="AK27" s="131">
        <f>SUM(AI27-AE27)*10000</f>
        <v>-405.11053394633348</v>
      </c>
    </row>
    <row r="28" spans="2:37" ht="5.0999999999999996" customHeight="1">
      <c r="AK28" s="128"/>
    </row>
    <row r="29" spans="2:37" ht="12.75" customHeight="1">
      <c r="B29" s="25" t="s">
        <v>219</v>
      </c>
      <c r="C29" s="127">
        <f t="shared" ref="C29:E29" si="60">-C25</f>
        <v>161.96950459999999</v>
      </c>
      <c r="D29" s="127">
        <f t="shared" si="60"/>
        <v>226.0680815799997</v>
      </c>
      <c r="E29" s="127">
        <f t="shared" si="60"/>
        <v>188.86740460999999</v>
      </c>
      <c r="G29" s="127">
        <f t="shared" ref="G29:U29" si="61">-G25</f>
        <v>29.042360179999999</v>
      </c>
      <c r="H29" s="127">
        <f t="shared" si="61"/>
        <v>41.805338290000002</v>
      </c>
      <c r="I29" s="127">
        <f t="shared" si="61"/>
        <v>46.637170060000003</v>
      </c>
      <c r="J29" s="127">
        <f t="shared" si="61"/>
        <v>44.484636069999993</v>
      </c>
      <c r="K29" s="127">
        <f t="shared" si="61"/>
        <v>55.639148939999998</v>
      </c>
      <c r="L29" s="127">
        <f t="shared" si="61"/>
        <v>52.558620579999896</v>
      </c>
      <c r="M29" s="127">
        <f t="shared" si="61"/>
        <v>40.713392829999997</v>
      </c>
      <c r="N29" s="127">
        <f t="shared" si="61"/>
        <v>77.156919229999801</v>
      </c>
      <c r="O29" s="127">
        <f t="shared" si="61"/>
        <v>36.234250449999998</v>
      </c>
      <c r="P29" s="127">
        <f t="shared" si="61"/>
        <v>37.992837819999899</v>
      </c>
      <c r="Q29" s="127">
        <f t="shared" si="61"/>
        <v>37.228716540000001</v>
      </c>
      <c r="R29" s="127">
        <f t="shared" si="61"/>
        <v>77.41159980000009</v>
      </c>
      <c r="S29" s="127">
        <f t="shared" si="61"/>
        <v>25.947516</v>
      </c>
      <c r="T29" s="127">
        <f t="shared" si="61"/>
        <v>50.733472999999996</v>
      </c>
      <c r="U29" s="127">
        <f t="shared" si="61"/>
        <v>25</v>
      </c>
      <c r="W29" s="11">
        <f t="shared" ref="W29" si="62">SUM(F29:I29)</f>
        <v>117.48486853</v>
      </c>
      <c r="X29" s="11">
        <f t="shared" ref="X29" si="63">SUM(G29:J29)</f>
        <v>161.96950459999999</v>
      </c>
      <c r="Y29" s="11">
        <f t="shared" ref="Y29" si="64">SUM(H29:K29)</f>
        <v>188.56629335999997</v>
      </c>
      <c r="Z29" s="11">
        <f t="shared" ref="Z29" si="65">SUM(I29:L29)</f>
        <v>199.31957564999988</v>
      </c>
      <c r="AA29" s="11">
        <f t="shared" ref="AA29" si="66">SUM(J29:M29)</f>
        <v>193.39579841999989</v>
      </c>
      <c r="AB29" s="11">
        <f t="shared" ref="AB29" si="67">SUM(K29:N29)</f>
        <v>226.0680815799997</v>
      </c>
      <c r="AC29" s="11">
        <f t="shared" ref="AC29" si="68">SUM(L29:O29)</f>
        <v>206.66318308999968</v>
      </c>
      <c r="AD29" s="11">
        <f t="shared" ref="AD29" si="69">SUM(M29:P29)</f>
        <v>192.09740032999969</v>
      </c>
      <c r="AE29" s="11">
        <f t="shared" ref="AE29" si="70">SUM(N29:Q29)</f>
        <v>188.61272403999968</v>
      </c>
      <c r="AF29" s="11">
        <f t="shared" ref="AF29" si="71">SUM(O29:R29)</f>
        <v>188.86740460999999</v>
      </c>
      <c r="AG29" s="11">
        <f t="shared" ref="AG29" si="72">SUM(P29:S29)</f>
        <v>178.58067016000001</v>
      </c>
      <c r="AH29" s="11">
        <f t="shared" ref="AH29" si="73">SUM(Q29:T29)</f>
        <v>191.32130534000009</v>
      </c>
      <c r="AI29" s="11">
        <f t="shared" ref="AI29" si="74">SUM(R29:U29)</f>
        <v>179.0925888000001</v>
      </c>
      <c r="AK29" s="129">
        <f t="shared" ref="AK29" si="75">SUM(AI29/AE29)-1</f>
        <v>-5.0474512196645893E-2</v>
      </c>
    </row>
    <row r="30" spans="2:37" ht="12.75" customHeight="1">
      <c r="B30" s="27" t="s">
        <v>7</v>
      </c>
      <c r="C30" s="28">
        <f>SUM(C26+C29)</f>
        <v>-817.60012985999992</v>
      </c>
      <c r="D30" s="28">
        <f t="shared" ref="D30:E30" si="76">SUM(D26+D29)</f>
        <v>-97.343807209999312</v>
      </c>
      <c r="E30" s="28">
        <f t="shared" si="76"/>
        <v>68.252288400000225</v>
      </c>
      <c r="G30" s="28">
        <f t="shared" ref="G30" si="77">SUM(G26+G29)</f>
        <v>-214.97318988000001</v>
      </c>
      <c r="H30" s="28">
        <f t="shared" ref="H30" si="78">SUM(H26+H29)</f>
        <v>-299.54734983000094</v>
      </c>
      <c r="I30" s="28">
        <f t="shared" ref="I30" si="79">SUM(I26+I29)</f>
        <v>-157.09667983999981</v>
      </c>
      <c r="J30" s="28">
        <f t="shared" ref="J30" si="80">SUM(J26+J29)</f>
        <v>-145.98291030999914</v>
      </c>
      <c r="K30" s="28">
        <f t="shared" ref="K30" si="81">SUM(K26+K29)</f>
        <v>-46.782928269999942</v>
      </c>
      <c r="L30" s="28">
        <f t="shared" ref="L30" si="82">SUM(L26+L29)</f>
        <v>-24.56998560999979</v>
      </c>
      <c r="M30" s="28">
        <f t="shared" ref="M30" si="83">SUM(M26+M29)</f>
        <v>36.598680029999365</v>
      </c>
      <c r="N30" s="28">
        <f t="shared" ref="N30" si="84">SUM(N26+N29)</f>
        <v>-62.589573359998781</v>
      </c>
      <c r="O30" s="28">
        <f t="shared" ref="O30" si="85">SUM(O26+O29)</f>
        <v>0.42983711000000113</v>
      </c>
      <c r="P30" s="28">
        <f t="shared" ref="P30" si="86">SUM(P26+P29)</f>
        <v>27.959484629999942</v>
      </c>
      <c r="Q30" s="28">
        <f t="shared" ref="Q30" si="87">SUM(Q26+Q29)</f>
        <v>62.678516549999934</v>
      </c>
      <c r="R30" s="28">
        <f t="shared" ref="R30" si="88">SUM(R26+R29)</f>
        <v>-22.81554989</v>
      </c>
      <c r="S30" s="28">
        <f t="shared" ref="S30" si="89">SUM(S26+S29)</f>
        <v>-63.621217492499973</v>
      </c>
      <c r="T30" s="28">
        <f t="shared" ref="T30" si="90">SUM(T26+T29)</f>
        <v>5.1284539472655339</v>
      </c>
      <c r="U30" s="28">
        <f t="shared" ref="U30" si="91">SUM(U26+U29)</f>
        <v>-59</v>
      </c>
      <c r="W30" s="28">
        <f t="shared" ref="W30" si="92">SUM(W26+W29)</f>
        <v>-474.14322377000087</v>
      </c>
      <c r="X30" s="28">
        <f t="shared" ref="X30" si="93">SUM(X26+X29)</f>
        <v>-556.60012985999992</v>
      </c>
      <c r="Y30" s="28">
        <f t="shared" ref="Y30" si="94">SUM(Y26+Y29)</f>
        <v>-416.20369854999996</v>
      </c>
      <c r="Z30" s="28">
        <f t="shared" ref="Z30" si="95">SUM(Z26+Z29)</f>
        <v>-188.71536804999897</v>
      </c>
      <c r="AA30" s="28">
        <f t="shared" ref="AA30" si="96">SUM(AA26+AA29)</f>
        <v>-53.372303529999499</v>
      </c>
      <c r="AB30" s="28">
        <f t="shared" ref="AB30" si="97">SUM(AB26+AB29)</f>
        <v>44.656192790000688</v>
      </c>
      <c r="AC30" s="28">
        <f t="shared" ref="AC30" si="98">SUM(AC26+AC29)</f>
        <v>151.6568705100006</v>
      </c>
      <c r="AD30" s="28">
        <f t="shared" ref="AD30" si="99">SUM(AD26+AD29)</f>
        <v>231.94269373000031</v>
      </c>
      <c r="AE30" s="28">
        <f t="shared" ref="AE30" si="100">SUM(AE26+AE29)</f>
        <v>28.478264930001416</v>
      </c>
      <c r="AF30" s="28">
        <f t="shared" ref="AF30" si="101">SUM(AF26+AF29)</f>
        <v>68.252288400000225</v>
      </c>
      <c r="AG30" s="28">
        <f t="shared" ref="AG30" si="102">SUM(AG26+AG29)</f>
        <v>4.2012337975002652</v>
      </c>
      <c r="AH30" s="28">
        <f t="shared" ref="AH30" si="103">SUM(AH26+AH29)</f>
        <v>-18.629796885234668</v>
      </c>
      <c r="AI30" s="28">
        <f t="shared" ref="AI30" si="104">SUM(AI26+AI29)</f>
        <v>-140.30831343523442</v>
      </c>
      <c r="AK30" s="130">
        <f>SUM(AI30/AE30)-1</f>
        <v>-5.9268561051773121</v>
      </c>
    </row>
    <row r="31" spans="2:37" ht="12.75" customHeight="1">
      <c r="B31" s="17" t="s">
        <v>27</v>
      </c>
      <c r="C31" s="19">
        <f>C30/C8</f>
        <v>-0.42941183290966384</v>
      </c>
      <c r="D31" s="19">
        <f>D30/D8</f>
        <v>-4.2769686823374037E-2</v>
      </c>
      <c r="E31" s="19">
        <f>E30/E8</f>
        <v>2.4280429882604135E-2</v>
      </c>
      <c r="G31" s="19">
        <f>G30/G8</f>
        <v>-0.46949851037074064</v>
      </c>
      <c r="H31" s="19">
        <f>H30/H8</f>
        <v>-0.61961236836240108</v>
      </c>
      <c r="I31" s="19">
        <f>I30/I8</f>
        <v>-0.36271952554630915</v>
      </c>
      <c r="J31" s="19">
        <f>J30/J8</f>
        <v>-0.27566275554897041</v>
      </c>
      <c r="K31" s="19">
        <f>K30/K8</f>
        <v>-9.6628151327646628E-2</v>
      </c>
      <c r="L31" s="19">
        <f>L30/L8</f>
        <v>-4.6004698398450589E-2</v>
      </c>
      <c r="M31" s="19">
        <f>M30/M8</f>
        <v>6.3674309857816302E-2</v>
      </c>
      <c r="N31" s="19">
        <f>N30/N8</f>
        <v>-9.1640431059855407E-2</v>
      </c>
      <c r="O31" s="19">
        <f>O30/O8</f>
        <v>6.7655863085119589E-4</v>
      </c>
      <c r="P31" s="19">
        <f>P30/P8</f>
        <v>4.1364242220542961E-2</v>
      </c>
      <c r="Q31" s="19">
        <f>Q30/Q8</f>
        <v>8.7253179927475943E-2</v>
      </c>
      <c r="R31" s="19">
        <f>R30/R8</f>
        <v>-2.9198843648205804E-2</v>
      </c>
      <c r="S31" s="19">
        <f>S30/S8</f>
        <v>-9.0740045578899503E-2</v>
      </c>
      <c r="T31" s="19">
        <f>T30/T8</f>
        <v>6.2306449139815263E-3</v>
      </c>
      <c r="U31" s="19">
        <f>U30/U8</f>
        <v>-6.533776301218161E-2</v>
      </c>
      <c r="W31" s="19">
        <f>W30/W8</f>
        <v>-0.45372219369748318</v>
      </c>
      <c r="X31" s="19">
        <f>X30/X8</f>
        <v>-0.37915540181198903</v>
      </c>
      <c r="Y31" s="19">
        <f>Y30/Y8</f>
        <v>-0.27904237909852475</v>
      </c>
      <c r="Z31" s="19">
        <f>Z30/Z8</f>
        <v>-0.12251669078281216</v>
      </c>
      <c r="AA31" s="19">
        <f>AA30/AA8</f>
        <v>-3.2355883177695784E-2</v>
      </c>
      <c r="AB31" s="19">
        <f>AB30/AB8</f>
        <v>2.5258027596154236E-2</v>
      </c>
      <c r="AC31" s="19">
        <f>AC30/AC8</f>
        <v>8.0728952763209433E-2</v>
      </c>
      <c r="AD31" s="19">
        <f>AD30/AD8</f>
        <v>0.11757199481550039</v>
      </c>
      <c r="AE31" s="19">
        <f>AE30/AE8</f>
        <v>1.0498491454941077E-2</v>
      </c>
      <c r="AF31" s="19">
        <f>AF30/AF8</f>
        <v>2.4280429882604135E-2</v>
      </c>
      <c r="AG31" s="19">
        <f>AG30/AG8</f>
        <v>1.4603800878904341E-3</v>
      </c>
      <c r="AH31" s="19">
        <f>AH30/AH8</f>
        <v>-6.1606951894835858E-3</v>
      </c>
      <c r="AI31" s="19">
        <f>AI30/AI8</f>
        <v>-4.3728497297886228E-2</v>
      </c>
      <c r="AK31" s="131">
        <f>SUM(AI31-AE31)*10000</f>
        <v>-542.26988752827299</v>
      </c>
    </row>
    <row r="32" spans="2:37" ht="5.0999999999999996" customHeight="1">
      <c r="AK32" s="128"/>
    </row>
    <row r="33" spans="2:37" ht="12.75" customHeight="1">
      <c r="B33" s="25" t="s">
        <v>216</v>
      </c>
      <c r="C33" s="127">
        <f>-C22</f>
        <v>35.72870511</v>
      </c>
      <c r="D33" s="127">
        <f>-D22</f>
        <v>5.3084229999999994</v>
      </c>
      <c r="E33" s="127">
        <f>-E22</f>
        <v>5.7080183699999996</v>
      </c>
      <c r="G33" s="127">
        <f>-G22</f>
        <v>0</v>
      </c>
      <c r="H33" s="127">
        <f>-H22</f>
        <v>34.40478615</v>
      </c>
      <c r="I33" s="127">
        <f>-I22</f>
        <v>-1.1317286200000001</v>
      </c>
      <c r="J33" s="127">
        <f>-J22</f>
        <v>2.4556475799999973</v>
      </c>
      <c r="K33" s="127">
        <f>-K22</f>
        <v>0</v>
      </c>
      <c r="L33" s="127">
        <f>-L22</f>
        <v>2.2040649999999999</v>
      </c>
      <c r="M33" s="127">
        <f>-M22</f>
        <v>-2.1758E-2</v>
      </c>
      <c r="N33" s="127">
        <f>-N22</f>
        <v>3.1261159999999997</v>
      </c>
      <c r="O33" s="127">
        <f>-O22</f>
        <v>0</v>
      </c>
      <c r="P33" s="127">
        <f>-P22</f>
        <v>0</v>
      </c>
      <c r="Q33" s="127">
        <f>-Q22</f>
        <v>2.9177369999999998</v>
      </c>
      <c r="R33" s="127">
        <f>-R22</f>
        <v>2.7902813699999998</v>
      </c>
      <c r="S33" s="127">
        <f>-S22</f>
        <v>4.3000000715255702E-7</v>
      </c>
      <c r="T33" s="127">
        <f>-T22</f>
        <v>-4.2173655996093702</v>
      </c>
      <c r="U33" s="127">
        <f>-U22</f>
        <v>5</v>
      </c>
      <c r="W33" s="11">
        <f>SUM(F33:F33)</f>
        <v>0</v>
      </c>
      <c r="X33" s="11" t="e">
        <f>SUM(#REF!)</f>
        <v>#REF!</v>
      </c>
      <c r="Y33" s="11" t="e">
        <f>SUM(#REF!)</f>
        <v>#REF!</v>
      </c>
      <c r="Z33" s="11" t="e">
        <f>SUM(#REF!)</f>
        <v>#REF!</v>
      </c>
      <c r="AA33" s="11" t="e">
        <f>SUM(#REF!)</f>
        <v>#REF!</v>
      </c>
      <c r="AB33" s="11" t="e">
        <f>SUM(#REF!)</f>
        <v>#REF!</v>
      </c>
      <c r="AC33" s="11" t="e">
        <f>SUM(#REF!)</f>
        <v>#REF!</v>
      </c>
      <c r="AD33" s="11" t="e">
        <f>SUM(#REF!)</f>
        <v>#REF!</v>
      </c>
      <c r="AE33" s="11">
        <f t="shared" ref="AE33:AE35" si="105">SUM(N33:Q33)</f>
        <v>6.0438529999999995</v>
      </c>
      <c r="AF33" s="11">
        <f t="shared" ref="AF33:AF35" si="106">SUM(O33:R33)</f>
        <v>5.7080183699999996</v>
      </c>
      <c r="AG33" s="11">
        <f t="shared" ref="AG33:AG35" si="107">SUM(P33:S33)</f>
        <v>5.7080188000000067</v>
      </c>
      <c r="AH33" s="11">
        <f t="shared" ref="AH33:AH35" si="108">SUM(Q33:T33)</f>
        <v>1.4906532003906365</v>
      </c>
      <c r="AI33" s="11">
        <f t="shared" ref="AI33:AI35" si="109">SUM(R33:U33)</f>
        <v>3.5729162003906367</v>
      </c>
      <c r="AK33" s="129">
        <f>SUM(AI33/AE33)-1</f>
        <v>-0.40883469528616312</v>
      </c>
    </row>
    <row r="34" spans="2:37" ht="12.75" customHeight="1">
      <c r="B34" s="25" t="s">
        <v>217</v>
      </c>
      <c r="C34" s="127">
        <f>-C23</f>
        <v>56.314768259999994</v>
      </c>
      <c r="D34" s="127">
        <f>-D23</f>
        <v>42.596111139999991</v>
      </c>
      <c r="E34" s="127">
        <f>-E23</f>
        <v>91.840167629999996</v>
      </c>
      <c r="G34" s="127">
        <f>-G23</f>
        <v>18.302155549999998</v>
      </c>
      <c r="H34" s="127">
        <f>-H23</f>
        <v>16.410188550000001</v>
      </c>
      <c r="I34" s="127">
        <f>-I23</f>
        <v>8.6047787600000003</v>
      </c>
      <c r="J34" s="127">
        <f>-J23</f>
        <v>12.997645399999996</v>
      </c>
      <c r="K34" s="127">
        <f>-K23</f>
        <v>9.8012167699999999</v>
      </c>
      <c r="L34" s="127">
        <f>-L23</f>
        <v>12.63271228</v>
      </c>
      <c r="M34" s="127">
        <f>-M23</f>
        <v>8.7612611299999905</v>
      </c>
      <c r="N34" s="127">
        <f>-N23</f>
        <v>11.400920960000001</v>
      </c>
      <c r="O34" s="127">
        <f>-O23</f>
        <v>5.4089236199999897</v>
      </c>
      <c r="P34" s="127">
        <f>-P23</f>
        <v>8.8826421599999996</v>
      </c>
      <c r="Q34" s="127">
        <f>-Q23</f>
        <v>20.14296818</v>
      </c>
      <c r="R34" s="127">
        <f>-R23</f>
        <v>57.405633670000007</v>
      </c>
      <c r="S34" s="127">
        <f>-S23</f>
        <v>58.543661</v>
      </c>
      <c r="T34" s="127">
        <f>-T23</f>
        <v>26.392680500000001</v>
      </c>
      <c r="U34" s="127">
        <f>-U23</f>
        <v>39</v>
      </c>
      <c r="W34" s="11"/>
      <c r="X34" s="11"/>
      <c r="Y34" s="11"/>
      <c r="Z34" s="11"/>
      <c r="AA34" s="11"/>
      <c r="AB34" s="11"/>
      <c r="AC34" s="11"/>
      <c r="AD34" s="11"/>
      <c r="AE34" s="11">
        <f t="shared" si="105"/>
        <v>45.835454919999989</v>
      </c>
      <c r="AF34" s="11">
        <f t="shared" si="106"/>
        <v>91.840167629999996</v>
      </c>
      <c r="AG34" s="11">
        <f t="shared" si="107"/>
        <v>144.97490500999999</v>
      </c>
      <c r="AH34" s="11">
        <f t="shared" si="108"/>
        <v>162.48494335000001</v>
      </c>
      <c r="AI34" s="11">
        <f t="shared" si="109"/>
        <v>181.34197517000001</v>
      </c>
      <c r="AK34" s="129">
        <f t="shared" ref="AK34:AK35" si="110">SUM(AI34/AE34)-1</f>
        <v>2.9563690485129817</v>
      </c>
    </row>
    <row r="35" spans="2:37" ht="12.75" customHeight="1">
      <c r="B35" s="25" t="s">
        <v>218</v>
      </c>
      <c r="C35" s="127">
        <f>-C24</f>
        <v>0</v>
      </c>
      <c r="D35" s="127">
        <f>-D24</f>
        <v>0</v>
      </c>
      <c r="E35" s="127">
        <f>-E24</f>
        <v>15.12336359999998</v>
      </c>
      <c r="G35" s="127">
        <f>-G24</f>
        <v>0</v>
      </c>
      <c r="H35" s="127">
        <f>-H24</f>
        <v>0</v>
      </c>
      <c r="I35" s="127">
        <f>-I24</f>
        <v>0</v>
      </c>
      <c r="J35" s="127">
        <f>-J24</f>
        <v>0</v>
      </c>
      <c r="K35" s="127">
        <f>-K24</f>
        <v>0</v>
      </c>
      <c r="L35" s="127">
        <f>-L24</f>
        <v>0</v>
      </c>
      <c r="M35" s="127">
        <f>-M24</f>
        <v>0</v>
      </c>
      <c r="N35" s="127">
        <f>-N24</f>
        <v>0</v>
      </c>
      <c r="O35" s="127">
        <f>-O24</f>
        <v>1.55031327</v>
      </c>
      <c r="P35" s="127">
        <f>-P24</f>
        <v>2.2861342100000002</v>
      </c>
      <c r="Q35" s="127">
        <f>-Q24</f>
        <v>6.0381062700000001</v>
      </c>
      <c r="R35" s="127">
        <f>-R24</f>
        <v>5.2488098499999793</v>
      </c>
      <c r="S35" s="127">
        <f>-S24</f>
        <v>8.3823610624999993</v>
      </c>
      <c r="T35" s="127">
        <f>-T24</f>
        <v>1.9570491523437501</v>
      </c>
      <c r="U35" s="127">
        <f>-U24</f>
        <v>0</v>
      </c>
      <c r="W35" s="11"/>
      <c r="X35" s="11"/>
      <c r="Y35" s="11"/>
      <c r="Z35" s="11"/>
      <c r="AA35" s="11"/>
      <c r="AB35" s="11"/>
      <c r="AC35" s="11"/>
      <c r="AD35" s="11"/>
      <c r="AE35" s="11">
        <f t="shared" si="105"/>
        <v>9.8745537500000005</v>
      </c>
      <c r="AF35" s="11">
        <f t="shared" si="106"/>
        <v>15.12336359999998</v>
      </c>
      <c r="AG35" s="11">
        <f t="shared" si="107"/>
        <v>21.955411392499979</v>
      </c>
      <c r="AH35" s="11">
        <f t="shared" si="108"/>
        <v>21.626326334843728</v>
      </c>
      <c r="AI35" s="11">
        <f t="shared" si="109"/>
        <v>15.588220064843728</v>
      </c>
      <c r="AK35" s="129">
        <f t="shared" si="110"/>
        <v>0.57862526849314366</v>
      </c>
    </row>
    <row r="36" spans="2:37" ht="12.75" customHeight="1">
      <c r="B36" s="14" t="s">
        <v>28</v>
      </c>
      <c r="C36" s="15">
        <f>+SUM(C30+SUM(C33:C35))</f>
        <v>-725.55665648999991</v>
      </c>
      <c r="D36" s="15">
        <f t="shared" ref="D36:E36" si="111">+SUM(D30+SUM(D33:D35))</f>
        <v>-49.439273069999324</v>
      </c>
      <c r="E36" s="15">
        <f t="shared" si="111"/>
        <v>180.92383800000022</v>
      </c>
      <c r="F36" s="12"/>
      <c r="G36" s="15">
        <f t="shared" ref="G36" si="112">+SUM(G30+SUM(G33:G35))</f>
        <v>-196.67103433</v>
      </c>
      <c r="H36" s="15">
        <f t="shared" ref="H36" si="113">+SUM(H30+SUM(H33:H35))</f>
        <v>-248.73237513000095</v>
      </c>
      <c r="I36" s="15">
        <f t="shared" ref="I36" si="114">+SUM(I30+SUM(I33:I35))</f>
        <v>-149.62362969999981</v>
      </c>
      <c r="J36" s="15">
        <f t="shared" ref="J36" si="115">+SUM(J30+SUM(J33:J35))</f>
        <v>-130.52961732999916</v>
      </c>
      <c r="K36" s="15">
        <f t="shared" ref="K36" si="116">+SUM(K30+SUM(K33:K35))</f>
        <v>-36.981711499999946</v>
      </c>
      <c r="L36" s="15">
        <f t="shared" ref="L36" si="117">+SUM(L30+SUM(L33:L35))</f>
        <v>-9.7332083299997905</v>
      </c>
      <c r="M36" s="15">
        <f t="shared" ref="M36" si="118">+SUM(M30+SUM(M33:M35))</f>
        <v>45.338183159999353</v>
      </c>
      <c r="N36" s="15">
        <f t="shared" ref="N36" si="119">+SUM(N30+SUM(N33:N35))</f>
        <v>-48.062536399998777</v>
      </c>
      <c r="O36" s="15">
        <f t="shared" ref="O36" si="120">+SUM(O30+SUM(O33:O35))</f>
        <v>7.389073999999991</v>
      </c>
      <c r="P36" s="15">
        <f t="shared" ref="P36" si="121">+SUM(P30+SUM(P33:P35))</f>
        <v>39.128260999999938</v>
      </c>
      <c r="Q36" s="15">
        <f t="shared" ref="Q36" si="122">+SUM(Q30+SUM(Q33:Q35))</f>
        <v>91.777327999999926</v>
      </c>
      <c r="R36" s="15">
        <f t="shared" ref="R36" si="123">+SUM(R30+SUM(R33:R35))</f>
        <v>42.629174999999989</v>
      </c>
      <c r="S36" s="15">
        <f t="shared" ref="S36" si="124">+SUM(S30+SUM(S33:S35))</f>
        <v>3.3048050000000373</v>
      </c>
      <c r="T36" s="15">
        <f t="shared" ref="T36" si="125">+SUM(T30+SUM(T33:T35))</f>
        <v>29.260817999999915</v>
      </c>
      <c r="U36" s="15">
        <f t="shared" ref="U36" si="126">+SUM(U30+SUM(U33:U35))</f>
        <v>-15</v>
      </c>
      <c r="W36" s="15">
        <f>+SUM(W30+SUM(W33:W33))</f>
        <v>-474.14322377000087</v>
      </c>
      <c r="X36" s="15" t="e">
        <f>+SUM(X30+SUM(X33:X33))</f>
        <v>#REF!</v>
      </c>
      <c r="Y36" s="15" t="e">
        <f>+SUM(Y30+SUM(Y33:Y33))</f>
        <v>#REF!</v>
      </c>
      <c r="Z36" s="15" t="e">
        <f>+SUM(Z30+SUM(Z33:Z33))</f>
        <v>#REF!</v>
      </c>
      <c r="AA36" s="15" t="e">
        <f>+SUM(AA30+SUM(AA33:AA33))</f>
        <v>#REF!</v>
      </c>
      <c r="AB36" s="15" t="e">
        <f>+SUM(AB30+SUM(AB33:AB33))</f>
        <v>#REF!</v>
      </c>
      <c r="AC36" s="15" t="e">
        <f>+SUM(AC30+SUM(AC33:AC33))</f>
        <v>#REF!</v>
      </c>
      <c r="AD36" s="15" t="e">
        <f>+SUM(AD30+SUM(AD33:AD33))</f>
        <v>#REF!</v>
      </c>
      <c r="AE36" s="15">
        <f t="shared" ref="AE36" si="127">+SUM(AE30+SUM(AE33:AE35))</f>
        <v>90.232126600001408</v>
      </c>
      <c r="AF36" s="15">
        <f t="shared" ref="AF36" si="128">+SUM(AF30+SUM(AF33:AF35))</f>
        <v>180.92383800000022</v>
      </c>
      <c r="AG36" s="15">
        <f t="shared" ref="AG36" si="129">+SUM(AG30+SUM(AG33:AG35))</f>
        <v>176.83956900000024</v>
      </c>
      <c r="AH36" s="15">
        <f t="shared" ref="AH36" si="130">+SUM(AH30+SUM(AH33:AH35))</f>
        <v>166.97212599999969</v>
      </c>
      <c r="AI36" s="15">
        <f t="shared" ref="AI36" si="131">+SUM(AI30+SUM(AI33:AI35))</f>
        <v>60.194797999999963</v>
      </c>
      <c r="AK36" s="130">
        <f>SUM(AI36/AE36)-1</f>
        <v>-0.33288951210422846</v>
      </c>
    </row>
    <row r="37" spans="2:37" ht="12.75" customHeight="1">
      <c r="B37" s="17" t="s">
        <v>29</v>
      </c>
      <c r="C37" s="19">
        <f>C36/C8</f>
        <v>-0.38106967252626045</v>
      </c>
      <c r="D37" s="19">
        <f>D36/D8</f>
        <v>-2.1722000470122727E-2</v>
      </c>
      <c r="E37" s="19">
        <f>E36/E8</f>
        <v>6.4362802561366145E-2</v>
      </c>
      <c r="G37" s="19">
        <f>G36/G8</f>
        <v>-0.42952685263939661</v>
      </c>
      <c r="H37" s="19">
        <f>H36/H8</f>
        <v>-0.51450181792684835</v>
      </c>
      <c r="I37" s="19">
        <f>I36/I8</f>
        <v>-0.34546504757818597</v>
      </c>
      <c r="J37" s="19">
        <f>J36/J8</f>
        <v>-0.24648196091947347</v>
      </c>
      <c r="K37" s="19">
        <f>K36/K8</f>
        <v>-7.6384154376862592E-2</v>
      </c>
      <c r="L37" s="19">
        <f>L36/L8</f>
        <v>-1.8224402764350299E-2</v>
      </c>
      <c r="M37" s="19">
        <f>M36/M8</f>
        <v>7.8879279814296571E-2</v>
      </c>
      <c r="N37" s="19">
        <f>N36/N8</f>
        <v>-7.0370691427987797E-2</v>
      </c>
      <c r="O37" s="19">
        <f>O36/O8</f>
        <v>1.1630316862818452E-2</v>
      </c>
      <c r="P37" s="19">
        <f>P36/P8</f>
        <v>5.7887721719161934E-2</v>
      </c>
      <c r="Q37" s="19">
        <f>Q36/Q8</f>
        <v>0.12776090044918234</v>
      </c>
      <c r="R37" s="19">
        <f>R36/R8</f>
        <v>5.4555889368354094E-2</v>
      </c>
      <c r="S37" s="19">
        <f>S36/S8</f>
        <v>4.713492890398234E-3</v>
      </c>
      <c r="T37" s="19">
        <f>T36/T8</f>
        <v>3.5549459686158899E-2</v>
      </c>
      <c r="U37" s="19">
        <f>U36/U8</f>
        <v>-1.6611295681063124E-2</v>
      </c>
      <c r="W37" s="19">
        <f>W36/W8</f>
        <v>-0.45372219369748318</v>
      </c>
      <c r="X37" s="19" t="e">
        <f>X36/X8</f>
        <v>#REF!</v>
      </c>
      <c r="Y37" s="19" t="e">
        <f>Y36/Y8</f>
        <v>#REF!</v>
      </c>
      <c r="Z37" s="19" t="e">
        <f>Z36/Z8</f>
        <v>#REF!</v>
      </c>
      <c r="AA37" s="19" t="e">
        <f>AA36/AA8</f>
        <v>#REF!</v>
      </c>
      <c r="AB37" s="19" t="e">
        <f>AB36/AB8</f>
        <v>#REF!</v>
      </c>
      <c r="AC37" s="19" t="e">
        <f>AC36/AC8</f>
        <v>#REF!</v>
      </c>
      <c r="AD37" s="19" t="e">
        <f>AD36/AD8</f>
        <v>#REF!</v>
      </c>
      <c r="AE37" s="19">
        <f>AE36/AE8</f>
        <v>3.3264007213912421E-2</v>
      </c>
      <c r="AF37" s="19">
        <f>AF36/AF8</f>
        <v>6.4362802561366145E-2</v>
      </c>
      <c r="AG37" s="19">
        <f>AG36/AG8</f>
        <v>6.1470748300746177E-2</v>
      </c>
      <c r="AH37" s="19">
        <f>AH36/AH8</f>
        <v>5.5216080978388385E-2</v>
      </c>
      <c r="AI37" s="19">
        <f>AI36/AI8</f>
        <v>1.8760314319541928E-2</v>
      </c>
      <c r="AK37" s="131">
        <f>SUM(AI37-AE37)*10000</f>
        <v>-145.03692894370494</v>
      </c>
    </row>
    <row r="38" spans="2:37" ht="5.0999999999999996" customHeight="1">
      <c r="AK38" s="128"/>
    </row>
    <row r="39" spans="2:37" ht="12.75" customHeight="1">
      <c r="B39" s="25" t="s">
        <v>30</v>
      </c>
      <c r="C39" s="149">
        <f>SUM('Historical Financials'!C102:C103)</f>
        <v>-105.55338767000001</v>
      </c>
      <c r="D39" s="149">
        <f>SUM('Historical Financials'!D102:D103)</f>
        <v>-84.503813179999995</v>
      </c>
      <c r="E39" s="149">
        <f>SUM('Historical Financials'!E102:E103)</f>
        <v>-45.195623339999997</v>
      </c>
      <c r="G39" s="149">
        <f>SUM('Historical Financials'!G102:G103)</f>
        <v>-20.196606800000001</v>
      </c>
      <c r="H39" s="149">
        <f>SUM('Historical Financials'!H102:H103)</f>
        <v>-29.237241140000005</v>
      </c>
      <c r="I39" s="149">
        <f>SUM('Historical Financials'!I102:I103)</f>
        <v>-28.826541709999997</v>
      </c>
      <c r="J39" s="149">
        <f>SUM('Historical Financials'!J102:J103)</f>
        <v>-27.292998019999999</v>
      </c>
      <c r="K39" s="149">
        <f>SUM('Historical Financials'!K102:K103)</f>
        <v>-25.156752820000001</v>
      </c>
      <c r="L39" s="149">
        <f>SUM('Historical Financials'!L102:L103)</f>
        <v>-21.546709489999998</v>
      </c>
      <c r="M39" s="149">
        <f>SUM('Historical Financials'!M102:M103)</f>
        <v>-22.004782209999995</v>
      </c>
      <c r="N39" s="149">
        <f>SUM('Historical Financials'!N102:N103)</f>
        <v>-15.795568660000001</v>
      </c>
      <c r="O39" s="149">
        <f>SUM('Historical Financials'!O102:O103)</f>
        <v>-10.605496319999999</v>
      </c>
      <c r="P39" s="149">
        <f>SUM('Historical Financials'!P102:P103)</f>
        <v>-12.939147140000001</v>
      </c>
      <c r="Q39" s="149">
        <f>SUM('Historical Financials'!Q102:Q103)</f>
        <v>-12.712962289999998</v>
      </c>
      <c r="R39" s="149">
        <f>SUM('Historical Financials'!R102:R103)</f>
        <v>-8.9380175899999994</v>
      </c>
      <c r="S39" s="149">
        <f>SUM('Historical Financials'!S102:S103)</f>
        <v>-6.929659</v>
      </c>
      <c r="T39" s="149">
        <f>SUM('Historical Financials'!T102:T103)</f>
        <v>-6.9324089999999998</v>
      </c>
      <c r="U39" s="149">
        <f>SUM('Historical Financials'!U102:U103)</f>
        <v>-8.1379320000000011</v>
      </c>
      <c r="W39" s="11">
        <f t="shared" ref="W39:AI42" si="132">SUM(F39:I39)</f>
        <v>-78.260389650000008</v>
      </c>
      <c r="X39" s="11">
        <f t="shared" si="132"/>
        <v>-105.55338767000001</v>
      </c>
      <c r="Y39" s="11">
        <f t="shared" si="132"/>
        <v>-110.51353369</v>
      </c>
      <c r="Z39" s="11">
        <f t="shared" si="132"/>
        <v>-102.82300203999999</v>
      </c>
      <c r="AA39" s="11">
        <f t="shared" si="132"/>
        <v>-96.001242539999993</v>
      </c>
      <c r="AB39" s="11">
        <f t="shared" si="132"/>
        <v>-84.503813179999995</v>
      </c>
      <c r="AC39" s="11">
        <f t="shared" si="132"/>
        <v>-69.952556679999986</v>
      </c>
      <c r="AD39" s="11">
        <f t="shared" si="132"/>
        <v>-61.344994329999999</v>
      </c>
      <c r="AE39" s="150">
        <f t="shared" si="132"/>
        <v>-52.053174410000004</v>
      </c>
      <c r="AF39" s="150">
        <f t="shared" si="132"/>
        <v>-45.195623339999997</v>
      </c>
      <c r="AG39" s="150">
        <f t="shared" si="132"/>
        <v>-41.519786019999998</v>
      </c>
      <c r="AH39" s="150">
        <f t="shared" si="132"/>
        <v>-35.513047880000002</v>
      </c>
      <c r="AI39" s="150">
        <f t="shared" si="132"/>
        <v>-30.938017590000001</v>
      </c>
      <c r="AK39" s="129">
        <f>SUM(AI39/AE39)-1</f>
        <v>-0.40564590074152218</v>
      </c>
    </row>
    <row r="40" spans="2:37" ht="12.75" customHeight="1">
      <c r="B40" s="25" t="s">
        <v>31</v>
      </c>
      <c r="C40" s="149">
        <f>'Historical Financials'!C86</f>
        <v>-21</v>
      </c>
      <c r="D40" s="149">
        <f>'Historical Financials'!D86</f>
        <v>-11</v>
      </c>
      <c r="E40" s="149">
        <f>'Historical Financials'!E86</f>
        <v>-14.932038819999999</v>
      </c>
      <c r="G40" s="149">
        <f>'Historical Financials'!G86</f>
        <v>-5.25</v>
      </c>
      <c r="H40" s="149">
        <f>'Historical Financials'!H86</f>
        <v>-5.25</v>
      </c>
      <c r="I40" s="149">
        <f>'Historical Financials'!I86</f>
        <v>-5.25</v>
      </c>
      <c r="J40" s="149">
        <f>'Historical Financials'!J86</f>
        <v>-5.25</v>
      </c>
      <c r="K40" s="149">
        <f>'Historical Financials'!K86</f>
        <v>-2.75</v>
      </c>
      <c r="L40" s="149">
        <f>'Historical Financials'!L86</f>
        <v>-2.75</v>
      </c>
      <c r="M40" s="149">
        <f>'Historical Financials'!M86</f>
        <v>-2.75</v>
      </c>
      <c r="N40" s="149">
        <f>'Historical Financials'!N86</f>
        <v>-2.75</v>
      </c>
      <c r="O40" s="149">
        <f>'Historical Financials'!O86</f>
        <v>-5.4552931100000004</v>
      </c>
      <c r="P40" s="149">
        <f>'Historical Financials'!P86</f>
        <v>-8.1022378600000007</v>
      </c>
      <c r="Q40" s="149">
        <f>'Historical Financials'!Q86</f>
        <v>-7.822701799999999</v>
      </c>
      <c r="R40" s="149">
        <f>'Historical Financials'!R86</f>
        <v>6.4481939500000003</v>
      </c>
      <c r="S40" s="149">
        <f>'Historical Financials'!S86</f>
        <v>0</v>
      </c>
      <c r="T40" s="149">
        <f>'Historical Financials'!T86</f>
        <v>-36</v>
      </c>
      <c r="U40" s="149">
        <f>'Historical Financials'!U86</f>
        <v>-12</v>
      </c>
      <c r="W40" s="11">
        <f t="shared" si="132"/>
        <v>-15.75</v>
      </c>
      <c r="X40" s="11">
        <f t="shared" si="132"/>
        <v>-21</v>
      </c>
      <c r="Y40" s="11">
        <f t="shared" si="132"/>
        <v>-18.5</v>
      </c>
      <c r="Z40" s="11">
        <f t="shared" si="132"/>
        <v>-16</v>
      </c>
      <c r="AA40" s="11">
        <f t="shared" si="132"/>
        <v>-13.5</v>
      </c>
      <c r="AB40" s="11">
        <f t="shared" si="132"/>
        <v>-11</v>
      </c>
      <c r="AC40" s="11">
        <f t="shared" si="132"/>
        <v>-13.70529311</v>
      </c>
      <c r="AD40" s="11">
        <f t="shared" si="132"/>
        <v>-19.057530970000002</v>
      </c>
      <c r="AE40" s="150">
        <f t="shared" si="132"/>
        <v>-24.130232769999999</v>
      </c>
      <c r="AF40" s="150">
        <f t="shared" si="132"/>
        <v>-14.932038819999999</v>
      </c>
      <c r="AG40" s="150">
        <f t="shared" si="132"/>
        <v>-9.4767457099999994</v>
      </c>
      <c r="AH40" s="150">
        <f t="shared" si="132"/>
        <v>-37.374507850000001</v>
      </c>
      <c r="AI40" s="150">
        <f t="shared" si="132"/>
        <v>-41.551806049999996</v>
      </c>
      <c r="AK40" s="129">
        <f>SUM(AI40/AE40)-1</f>
        <v>0.72198115310596722</v>
      </c>
    </row>
    <row r="41" spans="2:37" ht="12.75" customHeight="1">
      <c r="B41" s="25" t="s">
        <v>65</v>
      </c>
      <c r="C41" s="177">
        <v>0</v>
      </c>
      <c r="D41" s="177">
        <v>0</v>
      </c>
      <c r="E41" s="177">
        <v>0</v>
      </c>
      <c r="G41" s="177">
        <v>0</v>
      </c>
      <c r="H41" s="177">
        <v>0</v>
      </c>
      <c r="I41" s="177">
        <v>0</v>
      </c>
      <c r="J41" s="177">
        <v>0</v>
      </c>
      <c r="K41" s="177">
        <v>0</v>
      </c>
      <c r="L41" s="177">
        <v>0</v>
      </c>
      <c r="M41" s="177">
        <v>0</v>
      </c>
      <c r="N41" s="177">
        <v>0</v>
      </c>
      <c r="O41" s="177">
        <v>0</v>
      </c>
      <c r="P41" s="177">
        <v>0</v>
      </c>
      <c r="Q41" s="177">
        <v>0</v>
      </c>
      <c r="R41" s="177">
        <v>0</v>
      </c>
      <c r="S41" s="177">
        <v>0</v>
      </c>
      <c r="T41" s="177">
        <v>0</v>
      </c>
      <c r="U41" s="177">
        <v>0</v>
      </c>
      <c r="W41" s="11">
        <f t="shared" si="132"/>
        <v>0</v>
      </c>
      <c r="X41" s="11">
        <f t="shared" si="132"/>
        <v>0</v>
      </c>
      <c r="Y41" s="11">
        <f t="shared" si="132"/>
        <v>0</v>
      </c>
      <c r="Z41" s="11">
        <f t="shared" si="132"/>
        <v>0</v>
      </c>
      <c r="AA41" s="11">
        <f t="shared" si="132"/>
        <v>0</v>
      </c>
      <c r="AB41" s="11">
        <f t="shared" si="132"/>
        <v>0</v>
      </c>
      <c r="AC41" s="11">
        <f t="shared" si="132"/>
        <v>0</v>
      </c>
      <c r="AD41" s="11">
        <f t="shared" si="132"/>
        <v>0</v>
      </c>
      <c r="AE41" s="150">
        <f t="shared" si="132"/>
        <v>0</v>
      </c>
      <c r="AF41" s="150">
        <f t="shared" si="132"/>
        <v>0</v>
      </c>
      <c r="AG41" s="150">
        <f t="shared" si="132"/>
        <v>0</v>
      </c>
      <c r="AH41" s="150">
        <f t="shared" si="132"/>
        <v>0</v>
      </c>
      <c r="AI41" s="150">
        <f t="shared" si="132"/>
        <v>0</v>
      </c>
      <c r="AK41" s="129" t="e">
        <f>SUM(AI41/AE41)-1</f>
        <v>#DIV/0!</v>
      </c>
    </row>
    <row r="42" spans="2:37" ht="12.75" customHeight="1">
      <c r="B42" s="25" t="s">
        <v>32</v>
      </c>
      <c r="C42" s="149">
        <f>SUM('Historical Financials'!C94:C98)</f>
        <v>87.464928089999944</v>
      </c>
      <c r="D42" s="149">
        <f>SUM('Historical Financials'!D94:D98)</f>
        <v>366.25236440999993</v>
      </c>
      <c r="E42" s="149">
        <f>SUM('Historical Financials'!E94:E98)</f>
        <v>-164.79247717999974</v>
      </c>
      <c r="G42" s="149">
        <f>SUM('Historical Financials'!G94:G98)</f>
        <v>-474.11058314000002</v>
      </c>
      <c r="H42" s="149">
        <f>SUM('Historical Financials'!H94:H98)</f>
        <v>271.34606442000006</v>
      </c>
      <c r="I42" s="149">
        <f>SUM('Historical Financials'!I94:I98)</f>
        <v>183.87042953000008</v>
      </c>
      <c r="J42" s="149">
        <f>SUM('Historical Financials'!J94:J98)</f>
        <v>106.35901727999988</v>
      </c>
      <c r="K42" s="149">
        <f>SUM('Historical Financials'!K94:K98)</f>
        <v>416.99236110999999</v>
      </c>
      <c r="L42" s="149">
        <f>SUM('Historical Financials'!L94:L98)</f>
        <v>-926.28340778999996</v>
      </c>
      <c r="M42" s="149">
        <f>SUM('Historical Financials'!M94:M98)</f>
        <v>1022.5803048</v>
      </c>
      <c r="N42" s="149">
        <f>SUM('Historical Financials'!N94:N98)</f>
        <v>-147.03689371000041</v>
      </c>
      <c r="O42" s="149">
        <f>SUM('Historical Financials'!O94:O98)</f>
        <v>1035.7271679999999</v>
      </c>
      <c r="P42" s="149">
        <f>SUM('Historical Financials'!P94:P98)</f>
        <v>-544.09496400000012</v>
      </c>
      <c r="Q42" s="149">
        <f>SUM('Historical Financials'!Q94:Q98)</f>
        <v>18.464356840000008</v>
      </c>
      <c r="R42" s="149">
        <f>SUM('Historical Financials'!R94:R98)</f>
        <v>-674.8890380199997</v>
      </c>
      <c r="S42" s="149">
        <f>SUM('Historical Financials'!S94:S98)</f>
        <v>400.53673800000001</v>
      </c>
      <c r="T42" s="149">
        <f>SUM('Historical Financials'!T94:T98)</f>
        <v>1443.4632620000002</v>
      </c>
      <c r="U42" s="149">
        <f>SUM('Historical Financials'!U94:U98)</f>
        <v>-501</v>
      </c>
      <c r="W42" s="11">
        <f t="shared" si="132"/>
        <v>-18.894089189999875</v>
      </c>
      <c r="X42" s="11">
        <f t="shared" si="132"/>
        <v>87.464928090000001</v>
      </c>
      <c r="Y42" s="11">
        <f t="shared" si="132"/>
        <v>978.56787234000012</v>
      </c>
      <c r="Z42" s="11">
        <f t="shared" si="132"/>
        <v>-219.06159987000001</v>
      </c>
      <c r="AA42" s="11">
        <f t="shared" si="132"/>
        <v>619.64827539999987</v>
      </c>
      <c r="AB42" s="11">
        <f t="shared" si="132"/>
        <v>366.2523644099997</v>
      </c>
      <c r="AC42" s="11">
        <f t="shared" si="132"/>
        <v>984.98717129999955</v>
      </c>
      <c r="AD42" s="11">
        <f t="shared" si="132"/>
        <v>1367.1756150899994</v>
      </c>
      <c r="AE42" s="150">
        <f t="shared" si="132"/>
        <v>363.05966712999935</v>
      </c>
      <c r="AF42" s="150">
        <f t="shared" si="132"/>
        <v>-164.79247717999993</v>
      </c>
      <c r="AG42" s="150">
        <f t="shared" si="132"/>
        <v>-799.98290717999976</v>
      </c>
      <c r="AH42" s="150">
        <f t="shared" si="132"/>
        <v>1187.5753188200006</v>
      </c>
      <c r="AI42" s="150">
        <f t="shared" si="132"/>
        <v>668.11096198000041</v>
      </c>
      <c r="AK42" s="129">
        <f>SUM(AI42/AE42)-1</f>
        <v>0.84022358435307143</v>
      </c>
    </row>
    <row r="43" spans="2:37" ht="12.75" customHeight="1">
      <c r="B43" s="14" t="s">
        <v>33</v>
      </c>
      <c r="C43" s="15">
        <f>SUM(C36+SUM(C39:C42))</f>
        <v>-764.64511606999997</v>
      </c>
      <c r="D43" s="15">
        <f>SUM(D36+SUM(D39:D42))</f>
        <v>221.30927816000059</v>
      </c>
      <c r="E43" s="15">
        <f>SUM(E36+SUM(E39:E42))</f>
        <v>-43.996301339999519</v>
      </c>
      <c r="G43" s="15">
        <f t="shared" ref="G43:T43" si="133">SUM(G36+SUM(G39:G42))</f>
        <v>-696.22822427000006</v>
      </c>
      <c r="H43" s="15">
        <f t="shared" si="133"/>
        <v>-11.873551850000894</v>
      </c>
      <c r="I43" s="15">
        <f t="shared" si="133"/>
        <v>0.17025812000025553</v>
      </c>
      <c r="J43" s="15">
        <f t="shared" si="133"/>
        <v>-56.713598069999279</v>
      </c>
      <c r="K43" s="15">
        <f t="shared" si="133"/>
        <v>352.10389679000002</v>
      </c>
      <c r="L43" s="15">
        <f t="shared" si="133"/>
        <v>-960.31332560999977</v>
      </c>
      <c r="M43" s="15">
        <f t="shared" si="133"/>
        <v>1043.1637057499993</v>
      </c>
      <c r="N43" s="15">
        <f t="shared" si="133"/>
        <v>-213.64499876999921</v>
      </c>
      <c r="O43" s="15">
        <f t="shared" si="133"/>
        <v>1027.0554525699999</v>
      </c>
      <c r="P43" s="15">
        <f t="shared" si="133"/>
        <v>-526.00808800000016</v>
      </c>
      <c r="Q43" s="15">
        <f t="shared" si="133"/>
        <v>89.706020749999936</v>
      </c>
      <c r="R43" s="15">
        <f t="shared" si="133"/>
        <v>-634.74968665999972</v>
      </c>
      <c r="S43" s="15">
        <f t="shared" si="133"/>
        <v>396.91188400000004</v>
      </c>
      <c r="T43" s="15">
        <f t="shared" si="133"/>
        <v>1429.7916710000002</v>
      </c>
      <c r="U43" s="15">
        <f>SUM(U36+SUM(U39:U42))</f>
        <v>-536.13793199999998</v>
      </c>
      <c r="W43" s="15">
        <f t="shared" ref="W43:AG43" si="134">SUM(W36+SUM(W39:W42))</f>
        <v>-587.04770261000078</v>
      </c>
      <c r="X43" s="15" t="e">
        <f t="shared" si="134"/>
        <v>#REF!</v>
      </c>
      <c r="Y43" s="15" t="e">
        <f t="shared" si="134"/>
        <v>#REF!</v>
      </c>
      <c r="Z43" s="15" t="e">
        <f t="shared" si="134"/>
        <v>#REF!</v>
      </c>
      <c r="AA43" s="15" t="e">
        <f t="shared" si="134"/>
        <v>#REF!</v>
      </c>
      <c r="AB43" s="15" t="e">
        <f t="shared" si="134"/>
        <v>#REF!</v>
      </c>
      <c r="AC43" s="15" t="e">
        <f t="shared" si="134"/>
        <v>#REF!</v>
      </c>
      <c r="AD43" s="15" t="e">
        <f t="shared" si="134"/>
        <v>#REF!</v>
      </c>
      <c r="AE43" s="15">
        <f t="shared" si="134"/>
        <v>377.10838655000077</v>
      </c>
      <c r="AF43" s="15">
        <f t="shared" si="134"/>
        <v>-43.996301339999718</v>
      </c>
      <c r="AG43" s="15">
        <f t="shared" si="134"/>
        <v>-674.13986990999956</v>
      </c>
      <c r="AH43" s="15">
        <f>SUM(AH36+SUM(AH39:AH42))</f>
        <v>1281.6598890900002</v>
      </c>
      <c r="AI43" s="15">
        <f>SUM(AI36+SUM(AI39:AI42))</f>
        <v>655.81593634000046</v>
      </c>
      <c r="AK43" s="130">
        <f>SUM(AI43/AE43)-1</f>
        <v>0.73906484111841908</v>
      </c>
    </row>
    <row r="44" spans="2:37" ht="5.0999999999999996" customHeight="1"/>
    <row r="45" spans="2:37" ht="12.75" customHeight="1">
      <c r="B45" s="33" t="s">
        <v>220</v>
      </c>
      <c r="C45" s="149">
        <f>SUM('Historical Financials'!C108:C110)</f>
        <v>801.57005881480745</v>
      </c>
      <c r="D45" s="149">
        <f>SUM('Historical Financials'!D108:D110)</f>
        <v>15.999999999999993</v>
      </c>
      <c r="E45" s="149">
        <f>SUM('Historical Financials'!E108:E110)</f>
        <v>142.2746866048</v>
      </c>
      <c r="F45" s="34"/>
      <c r="G45" s="149">
        <f>SUM('Historical Financials'!G108:G110)</f>
        <v>27.282162803341077</v>
      </c>
      <c r="H45" s="149">
        <f>SUM('Historical Financials'!H108:H110)</f>
        <v>-24.712103988533581</v>
      </c>
      <c r="I45" s="149">
        <f>SUM('Historical Financials'!I108:I110)</f>
        <v>740.88510245638315</v>
      </c>
      <c r="J45" s="149">
        <f>SUM('Historical Financials'!J108:J110)</f>
        <v>58.114897543616848</v>
      </c>
      <c r="K45" s="149">
        <f>SUM('Historical Financials'!K108:K110)</f>
        <v>4.5672079522607971</v>
      </c>
      <c r="L45" s="149">
        <f>SUM('Historical Financials'!L108:L110)</f>
        <v>-23.634354731834588</v>
      </c>
      <c r="M45" s="149">
        <f>SUM('Historical Financials'!M108:M110)</f>
        <v>33.245800245256284</v>
      </c>
      <c r="N45" s="149">
        <f>SUM('Historical Financials'!N108:N110)</f>
        <v>1.8213465343174988</v>
      </c>
      <c r="O45" s="149">
        <f>SUM('Historical Financials'!O108:O110)</f>
        <v>144.37945199999999</v>
      </c>
      <c r="P45" s="149">
        <f>SUM('Historical Financials'!P108:P110)</f>
        <v>-1.6234909999999998</v>
      </c>
      <c r="Q45" s="149">
        <f>SUM('Historical Financials'!Q108:Q110)</f>
        <v>0.45935083747000005</v>
      </c>
      <c r="R45" s="149">
        <f>SUM('Historical Financials'!R108:R110)</f>
        <v>-0.94062523266998177</v>
      </c>
      <c r="S45" s="149">
        <f>SUM('Historical Financials'!S108:S110)</f>
        <v>-0.104197</v>
      </c>
      <c r="T45" s="149">
        <f>SUM('Historical Financials'!T108:T110)</f>
        <v>-3.7450999999999998E-2</v>
      </c>
      <c r="U45" s="149">
        <f>SUM('Historical Financials'!U108:U110)</f>
        <v>192.141648</v>
      </c>
      <c r="W45" s="11"/>
      <c r="X45" s="11"/>
      <c r="Y45" s="11"/>
      <c r="Z45" s="11"/>
      <c r="AA45" s="11"/>
      <c r="AB45" s="11"/>
      <c r="AC45" s="11"/>
      <c r="AD45" s="11"/>
      <c r="AE45" s="150">
        <f t="shared" ref="AE45:AI46" si="135">SUM(N45:Q45)</f>
        <v>145.03665837178747</v>
      </c>
      <c r="AF45" s="150">
        <f t="shared" si="135"/>
        <v>142.2746866048</v>
      </c>
      <c r="AG45" s="150">
        <f t="shared" si="135"/>
        <v>-2.2089623951999817</v>
      </c>
      <c r="AH45" s="150">
        <f t="shared" si="135"/>
        <v>-0.62292239519998172</v>
      </c>
      <c r="AI45" s="150">
        <f t="shared" si="135"/>
        <v>191.05937476733001</v>
      </c>
    </row>
    <row r="46" spans="2:37" ht="12.75" customHeight="1">
      <c r="B46" s="33" t="s">
        <v>221</v>
      </c>
      <c r="C46" s="149">
        <f>SUM('Historical Financials'!C111:C114)</f>
        <v>-747</v>
      </c>
      <c r="D46" s="149">
        <f>SUM('Historical Financials'!D111:D114)</f>
        <v>-36.268165978748833</v>
      </c>
      <c r="E46" s="149">
        <f>SUM('Historical Financials'!E111:E114)</f>
        <v>194.79022699999999</v>
      </c>
      <c r="F46" s="34"/>
      <c r="G46" s="149">
        <f>SUM('Historical Financials'!G111:G114)</f>
        <v>-285.12033005486086</v>
      </c>
      <c r="H46" s="149">
        <f>SUM('Historical Financials'!H111:H114)</f>
        <v>-52.722909899668856</v>
      </c>
      <c r="I46" s="149">
        <f>SUM('Historical Financials'!I111:I114)</f>
        <v>-298.02303168091731</v>
      </c>
      <c r="J46" s="149">
        <f>SUM('Historical Financials'!J111:J114)</f>
        <v>-111.13372836455301</v>
      </c>
      <c r="K46" s="149">
        <f>SUM('Historical Financials'!K111:K114)</f>
        <v>-2.1920347317591813</v>
      </c>
      <c r="L46" s="149">
        <f>SUM('Historical Financials'!L111:L114)</f>
        <v>9.6580738992450961</v>
      </c>
      <c r="M46" s="149">
        <f>SUM('Historical Financials'!M111:M114)</f>
        <v>-43.661412099373095</v>
      </c>
      <c r="N46" s="149">
        <f>SUM('Historical Financials'!N111:N114)</f>
        <v>-7.2793046861661992E-2</v>
      </c>
      <c r="O46" s="149">
        <f>SUM('Historical Financials'!O111:O114)</f>
        <v>27.627291</v>
      </c>
      <c r="P46" s="149">
        <f>SUM('Historical Financials'!P111:P114)</f>
        <v>173.41881799999999</v>
      </c>
      <c r="Q46" s="149">
        <f>SUM('Historical Financials'!Q111:Q114)</f>
        <v>30.233914679999994</v>
      </c>
      <c r="R46" s="149">
        <f>SUM('Historical Financials'!R111:R114)</f>
        <v>-36.489796680000012</v>
      </c>
      <c r="S46" s="149">
        <f>SUM('Historical Financials'!S111:S114)</f>
        <v>15</v>
      </c>
      <c r="T46" s="149">
        <f>SUM('Historical Financials'!T111:T114)</f>
        <v>152</v>
      </c>
      <c r="U46" s="149">
        <f>SUM('Historical Financials'!U111:U114)</f>
        <v>618</v>
      </c>
      <c r="W46" s="11"/>
      <c r="X46" s="11"/>
      <c r="Y46" s="11"/>
      <c r="Z46" s="11"/>
      <c r="AA46" s="11"/>
      <c r="AB46" s="11"/>
      <c r="AC46" s="11"/>
      <c r="AD46" s="11"/>
      <c r="AE46" s="150">
        <f t="shared" si="135"/>
        <v>231.20723063313832</v>
      </c>
      <c r="AF46" s="150">
        <f t="shared" si="135"/>
        <v>194.79022699999999</v>
      </c>
      <c r="AG46" s="150">
        <f t="shared" si="135"/>
        <v>182.16293599999997</v>
      </c>
      <c r="AH46" s="150">
        <f t="shared" si="135"/>
        <v>160.74411799999999</v>
      </c>
      <c r="AI46" s="150">
        <f t="shared" si="135"/>
        <v>748.51020331999996</v>
      </c>
    </row>
    <row r="47" spans="2:37" ht="12.75" customHeight="1">
      <c r="B47" s="33" t="s">
        <v>90</v>
      </c>
      <c r="C47" s="149">
        <f>'Historical Financials'!C104</f>
        <v>-354</v>
      </c>
      <c r="D47" s="149">
        <f>'Historical Financials'!D104</f>
        <v>1</v>
      </c>
      <c r="E47" s="149">
        <f>'Historical Financials'!E104</f>
        <v>198.71762445474334</v>
      </c>
      <c r="F47" s="34"/>
      <c r="G47" s="149">
        <f>'Historical Financials'!G104</f>
        <v>0</v>
      </c>
      <c r="H47" s="149">
        <f>'Historical Financials'!H104</f>
        <v>-354</v>
      </c>
      <c r="I47" s="149">
        <f>'Historical Financials'!I104</f>
        <v>0</v>
      </c>
      <c r="J47" s="149">
        <f>'Historical Financials'!J104</f>
        <v>0</v>
      </c>
      <c r="K47" s="149">
        <f>'Historical Financials'!K104</f>
        <v>0</v>
      </c>
      <c r="L47" s="149">
        <f>'Historical Financials'!L104</f>
        <v>1</v>
      </c>
      <c r="M47" s="149">
        <f>'Historical Financials'!M104</f>
        <v>0</v>
      </c>
      <c r="N47" s="149">
        <f>'Historical Financials'!N104</f>
        <v>0</v>
      </c>
      <c r="O47" s="149">
        <f>'Historical Financials'!O104</f>
        <v>0</v>
      </c>
      <c r="P47" s="149">
        <f>'Historical Financials'!P104</f>
        <v>0</v>
      </c>
      <c r="Q47" s="149">
        <f>'Historical Financials'!Q104</f>
        <v>21.717624454743344</v>
      </c>
      <c r="R47" s="149">
        <f>'Historical Financials'!R104</f>
        <v>177</v>
      </c>
      <c r="S47" s="149">
        <f>'Historical Financials'!S104</f>
        <v>0</v>
      </c>
      <c r="T47" s="149">
        <f>'Historical Financials'!T104</f>
        <v>0</v>
      </c>
      <c r="U47" s="149">
        <f>'Historical Financials'!U104</f>
        <v>0</v>
      </c>
      <c r="W47" s="11"/>
      <c r="X47" s="11"/>
      <c r="Y47" s="11"/>
      <c r="Z47" s="11"/>
      <c r="AA47" s="11"/>
      <c r="AB47" s="11"/>
      <c r="AC47" s="11"/>
      <c r="AD47" s="11">
        <f t="shared" ref="AD47:AI49" si="136">SUM(M47:P47)</f>
        <v>0</v>
      </c>
      <c r="AE47" s="150">
        <f t="shared" si="136"/>
        <v>21.717624454743344</v>
      </c>
      <c r="AF47" s="150">
        <f t="shared" si="136"/>
        <v>198.71762445474334</v>
      </c>
      <c r="AG47" s="150">
        <f t="shared" si="136"/>
        <v>198.71762445474334</v>
      </c>
      <c r="AH47" s="150">
        <f t="shared" si="136"/>
        <v>198.71762445474334</v>
      </c>
      <c r="AI47" s="150">
        <f t="shared" si="136"/>
        <v>177</v>
      </c>
    </row>
    <row r="48" spans="2:37" ht="12.75" customHeight="1">
      <c r="B48" s="33" t="s">
        <v>222</v>
      </c>
      <c r="C48" s="149">
        <f>'Historical Financials'!C116</f>
        <v>-35</v>
      </c>
      <c r="D48" s="149">
        <f>'Historical Financials'!D116</f>
        <v>-42</v>
      </c>
      <c r="E48" s="149">
        <f>'Historical Financials'!E116</f>
        <v>-25.082498860000001</v>
      </c>
      <c r="F48" s="34"/>
      <c r="G48" s="149">
        <f>'Historical Financials'!G116</f>
        <v>-8.75</v>
      </c>
      <c r="H48" s="149">
        <f>'Historical Financials'!H116</f>
        <v>-8.75</v>
      </c>
      <c r="I48" s="149">
        <f>'Historical Financials'!I116</f>
        <v>-8.75</v>
      </c>
      <c r="J48" s="149">
        <f>'Historical Financials'!J116</f>
        <v>-8.75</v>
      </c>
      <c r="K48" s="149">
        <f>'Historical Financials'!K116</f>
        <v>-10.5</v>
      </c>
      <c r="L48" s="149">
        <f>'Historical Financials'!L116</f>
        <v>-10.5</v>
      </c>
      <c r="M48" s="149">
        <f>'Historical Financials'!M116</f>
        <v>-10.5</v>
      </c>
      <c r="N48" s="149">
        <f>'Historical Financials'!N116</f>
        <v>-10.5</v>
      </c>
      <c r="O48" s="149">
        <f>'Historical Financials'!O116</f>
        <v>-9.0255849999999995</v>
      </c>
      <c r="P48" s="149">
        <f>'Historical Financials'!P116</f>
        <v>-10.936726</v>
      </c>
      <c r="Q48" s="149">
        <f>'Historical Financials'!Q116</f>
        <v>-3.4157649109999997</v>
      </c>
      <c r="R48" s="149">
        <f>'Historical Financials'!R116</f>
        <v>-1.7044229490000014</v>
      </c>
      <c r="S48" s="149">
        <f>'Historical Financials'!S116</f>
        <v>-6.3138649999999998</v>
      </c>
      <c r="T48" s="149">
        <f>'Historical Financials'!T116</f>
        <v>-6.3190109999999997</v>
      </c>
      <c r="U48" s="149">
        <f>'Historical Financials'!U116</f>
        <v>-1.3671240000000004</v>
      </c>
      <c r="W48" s="11"/>
      <c r="X48" s="11"/>
      <c r="Y48" s="11"/>
      <c r="Z48" s="11"/>
      <c r="AA48" s="11"/>
      <c r="AB48" s="11"/>
      <c r="AC48" s="11"/>
      <c r="AD48" s="11"/>
      <c r="AE48" s="150">
        <f>SUM(N48:Q48)</f>
        <v>-33.878075910999996</v>
      </c>
      <c r="AF48" s="150">
        <f>SUM(O48:R48)</f>
        <v>-25.082498860000001</v>
      </c>
      <c r="AG48" s="150">
        <f>SUM(P48:S48)</f>
        <v>-22.370778860000001</v>
      </c>
      <c r="AH48" s="150">
        <f>SUM(Q48:T48)</f>
        <v>-17.753063860000001</v>
      </c>
      <c r="AI48" s="150">
        <f>SUM(R48:U48)</f>
        <v>-15.704422949000001</v>
      </c>
    </row>
    <row r="49" spans="1:35" ht="12.75" customHeight="1">
      <c r="B49" s="33" t="s">
        <v>61</v>
      </c>
      <c r="C49" s="98"/>
      <c r="D49" s="98">
        <f>SUM(D54-C54)-SUM(D43:D47)</f>
        <v>493.80098777874832</v>
      </c>
      <c r="E49" s="98">
        <f>SUM(E54-D54)-SUM(E43:E48)</f>
        <v>386.16659051045633</v>
      </c>
      <c r="F49" s="34"/>
      <c r="G49" s="98"/>
      <c r="H49" s="98">
        <f>SUM(H54-G54)-SUM(H43:H48)</f>
        <v>106.58214675820329</v>
      </c>
      <c r="I49" s="98">
        <f>SUM(I54-H54)-SUM(I43:I48)</f>
        <v>203.21403053453383</v>
      </c>
      <c r="J49" s="98">
        <f>SUM(J54-I54)-SUM(J43:J48)</f>
        <v>267.47850747093537</v>
      </c>
      <c r="K49" s="98">
        <f>SUM(K54-J54)-SUM(K43:K48)</f>
        <v>124.1059638194983</v>
      </c>
      <c r="L49" s="98">
        <f>SUM(L54-K54)-SUM(L43:L48)</f>
        <v>85.255640742589549</v>
      </c>
      <c r="M49" s="98">
        <f>SUM(M54-L54)-SUM(M43:M48)</f>
        <v>58.118690694117731</v>
      </c>
      <c r="N49" s="98">
        <f>SUM(N54-M54)-SUM(N43:N48)</f>
        <v>268.32069252254303</v>
      </c>
      <c r="O49" s="98">
        <f>SUM(O54-N54)-SUM(O43:O48)</f>
        <v>48.863389430000325</v>
      </c>
      <c r="P49" s="98">
        <f>SUM(P54-O54)-SUM(P43:P48)</f>
        <v>155.58816484999988</v>
      </c>
      <c r="Q49" s="98">
        <f>SUM(Q54-P54)-SUM(Q43:Q48)</f>
        <v>285.1852858987873</v>
      </c>
      <c r="R49" s="98">
        <f>SUM(R54-Q54)-SUM(R43:R48)</f>
        <v>-103.47024966833055</v>
      </c>
      <c r="S49" s="98">
        <f>SUM(S54-R54)-SUM(S43:S48)</f>
        <v>456.46365748998994</v>
      </c>
      <c r="T49" s="98">
        <f>SUM(T54-S54)-SUM(T43:T48)</f>
        <v>-176.74639561999084</v>
      </c>
      <c r="U49" s="98">
        <f>SUM(U54-T54)-SUM(U43:U48)</f>
        <v>1018.7467867600005</v>
      </c>
      <c r="W49" s="11">
        <f t="shared" ref="W49:AC49" si="137">SUM(F49:I49)</f>
        <v>309.79617729273713</v>
      </c>
      <c r="X49" s="11">
        <f t="shared" si="137"/>
        <v>577.27468476367244</v>
      </c>
      <c r="Y49" s="11">
        <f t="shared" si="137"/>
        <v>701.3806485831708</v>
      </c>
      <c r="Z49" s="11">
        <f t="shared" si="137"/>
        <v>680.05414256755705</v>
      </c>
      <c r="AA49" s="11">
        <f t="shared" si="137"/>
        <v>534.95880272714089</v>
      </c>
      <c r="AB49" s="11">
        <f t="shared" si="137"/>
        <v>535.80098777874855</v>
      </c>
      <c r="AC49" s="11">
        <f t="shared" si="137"/>
        <v>460.55841338925063</v>
      </c>
      <c r="AD49" s="11">
        <f t="shared" si="136"/>
        <v>530.89093749666097</v>
      </c>
      <c r="AE49" s="150">
        <f t="shared" si="136"/>
        <v>757.95753270133059</v>
      </c>
      <c r="AF49" s="150">
        <f t="shared" si="136"/>
        <v>386.16659051045696</v>
      </c>
      <c r="AG49" s="150">
        <f t="shared" si="136"/>
        <v>793.76685857044663</v>
      </c>
      <c r="AH49" s="150">
        <f t="shared" si="136"/>
        <v>461.43229810045591</v>
      </c>
      <c r="AI49" s="150">
        <f t="shared" si="136"/>
        <v>1194.9937989616692</v>
      </c>
    </row>
    <row r="50" spans="1:35" ht="12.75" customHeight="1">
      <c r="B50" s="14" t="s">
        <v>34</v>
      </c>
      <c r="C50" s="15">
        <f>SUM(C43+SUM(C45:C49))</f>
        <v>-1099.0750572551924</v>
      </c>
      <c r="D50" s="15">
        <f>SUM(D43+SUM(D45:D49))</f>
        <v>653.84209996000004</v>
      </c>
      <c r="E50" s="15">
        <f>SUM(E43+SUM(E45:E49))</f>
        <v>852.87032837000015</v>
      </c>
      <c r="G50" s="15">
        <f>SUM(G43+SUM(G45:G49))</f>
        <v>-962.81639152151979</v>
      </c>
      <c r="H50" s="15">
        <f>SUM(H43+SUM(H45:H49))</f>
        <v>-345.47641898000006</v>
      </c>
      <c r="I50" s="15">
        <f>SUM(I43+SUM(I45:I49))</f>
        <v>637.49635942999998</v>
      </c>
      <c r="J50" s="15">
        <f>SUM(J43+SUM(J45:J49))</f>
        <v>148.99607857999993</v>
      </c>
      <c r="K50" s="15">
        <f>SUM(K43+SUM(K45:K49))</f>
        <v>468.08503382999993</v>
      </c>
      <c r="L50" s="15">
        <f>SUM(L43+SUM(L45:L49))</f>
        <v>-898.53396569999973</v>
      </c>
      <c r="M50" s="15">
        <f>SUM(M43+SUM(M45:M49))</f>
        <v>1080.3667845900002</v>
      </c>
      <c r="N50" s="15">
        <f>SUM(N43+SUM(N45:N49))</f>
        <v>45.924247239999687</v>
      </c>
      <c r="O50" s="15">
        <f>SUM(O43+SUM(O45:O49))</f>
        <v>1238.9000000000003</v>
      </c>
      <c r="P50" s="15">
        <f>SUM(P43+SUM(P45:P49))</f>
        <v>-209.56132215000025</v>
      </c>
      <c r="Q50" s="15">
        <f>SUM(Q43+SUM(Q45:Q49))</f>
        <v>423.88643171000058</v>
      </c>
      <c r="R50" s="15">
        <f>SUM(R43+SUM(R45:R49))</f>
        <v>-600.35478119000027</v>
      </c>
      <c r="S50" s="15">
        <f>SUM(S43+SUM(S45:S49))</f>
        <v>861.95747948998996</v>
      </c>
      <c r="T50" s="15">
        <f>SUM(T43+SUM(T45:T49))</f>
        <v>1398.6888133800094</v>
      </c>
      <c r="U50" s="15">
        <f>SUM(U43+SUM(U45:U49))</f>
        <v>1291.3833787600006</v>
      </c>
      <c r="W50" s="15">
        <f>SUM(W43+SUM(W45:W49))</f>
        <v>-277.25152531726366</v>
      </c>
      <c r="X50" s="15" t="e">
        <f>SUM(X43+SUM(X45:X49))</f>
        <v>#REF!</v>
      </c>
      <c r="Y50" s="15" t="e">
        <f>SUM(Y43+SUM(Y45:Y49))</f>
        <v>#REF!</v>
      </c>
      <c r="Z50" s="15" t="e">
        <f>SUM(Z43+SUM(Z45:Z49))</f>
        <v>#REF!</v>
      </c>
      <c r="AA50" s="15" t="e">
        <f>SUM(AA43+SUM(AA45:AA49))</f>
        <v>#REF!</v>
      </c>
      <c r="AB50" s="15" t="e">
        <f>SUM(AB43+SUM(AB45:AB49))</f>
        <v>#REF!</v>
      </c>
      <c r="AC50" s="15" t="e">
        <f>SUM(AC43+SUM(AC45:AC49))</f>
        <v>#REF!</v>
      </c>
      <c r="AD50" s="15" t="e">
        <f>SUM(AD43+SUM(AD45:AD49))</f>
        <v>#REF!</v>
      </c>
      <c r="AE50" s="15">
        <f>SUM(AE43+SUM(AE45:AE49))</f>
        <v>1499.1493568000005</v>
      </c>
      <c r="AF50" s="15">
        <f>SUM(AF43+SUM(AF45:AF49))</f>
        <v>852.87032837000061</v>
      </c>
      <c r="AG50" s="15">
        <f>SUM(AG43+SUM(AG45:AG49))</f>
        <v>475.92780785999048</v>
      </c>
      <c r="AH50" s="15">
        <f>SUM(AH43+SUM(AH45:AH49))</f>
        <v>2084.1779433899992</v>
      </c>
      <c r="AI50" s="15">
        <f>SUM(AI43+SUM(AI45:AI49))</f>
        <v>2951.6748904399997</v>
      </c>
    </row>
    <row r="51" spans="1:35" ht="5.0999999999999996" customHeight="1"/>
    <row r="52" spans="1:35" ht="12.75" customHeight="1">
      <c r="A52" s="5"/>
      <c r="B52" s="35" t="s">
        <v>35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spans="1:35" ht="5.0999999999999996" customHeight="1"/>
    <row r="54" spans="1:35" ht="12.75" customHeight="1">
      <c r="B54" s="8" t="s">
        <v>36</v>
      </c>
      <c r="C54" s="96">
        <f>'Historical Financials'!C49</f>
        <v>1694.2579000399999</v>
      </c>
      <c r="D54" s="96">
        <f>'Historical Financials'!D49</f>
        <v>2390.1</v>
      </c>
      <c r="E54" s="96">
        <f>'Historical Financials'!E49</f>
        <v>3242.9703283700001</v>
      </c>
      <c r="F54" s="34"/>
      <c r="G54" s="96">
        <f>'Historical Financials'!G49</f>
        <v>1253.24188101</v>
      </c>
      <c r="H54" s="96">
        <f>'Historical Financials'!H49</f>
        <v>907.76546202999998</v>
      </c>
      <c r="I54" s="96">
        <f>'Historical Financials'!I49</f>
        <v>1545.26182146</v>
      </c>
      <c r="J54" s="96">
        <f>'Historical Financials'!J49</f>
        <v>1694.2579000399999</v>
      </c>
      <c r="K54" s="96">
        <f>'Historical Financials'!K49</f>
        <v>2162.3429338699998</v>
      </c>
      <c r="L54" s="96">
        <f>'Historical Financials'!L49</f>
        <v>1263.8089681700001</v>
      </c>
      <c r="M54" s="96">
        <f>'Historical Financials'!M49</f>
        <v>2344.1757527600003</v>
      </c>
      <c r="N54" s="96">
        <f>'Historical Financials'!N49</f>
        <v>2390.1</v>
      </c>
      <c r="O54" s="96">
        <f>'Historical Financials'!O49</f>
        <v>3629</v>
      </c>
      <c r="P54" s="96">
        <f>'Historical Financials'!P49</f>
        <v>3419.4386778499997</v>
      </c>
      <c r="Q54" s="96">
        <f>'Historical Financials'!Q49</f>
        <v>3843.3251095600003</v>
      </c>
      <c r="R54" s="96">
        <f>'Historical Financials'!R49</f>
        <v>3242.9703283700001</v>
      </c>
      <c r="S54" s="96">
        <f>'Historical Financials'!S49</f>
        <v>4104.92780785999</v>
      </c>
      <c r="T54" s="96">
        <f>'Historical Financials'!T49</f>
        <v>5503.6166212399994</v>
      </c>
      <c r="U54" s="96">
        <f>'Historical Financials'!U49</f>
        <v>6795</v>
      </c>
      <c r="W54" s="11">
        <f t="shared" ref="W54:AI54" si="138">I54</f>
        <v>1545.26182146</v>
      </c>
      <c r="X54" s="11">
        <f t="shared" si="138"/>
        <v>1694.2579000399999</v>
      </c>
      <c r="Y54" s="11">
        <f t="shared" si="138"/>
        <v>2162.3429338699998</v>
      </c>
      <c r="Z54" s="11">
        <f t="shared" si="138"/>
        <v>1263.8089681700001</v>
      </c>
      <c r="AA54" s="11">
        <f t="shared" si="138"/>
        <v>2344.1757527600003</v>
      </c>
      <c r="AB54" s="11">
        <f t="shared" si="138"/>
        <v>2390.1</v>
      </c>
      <c r="AC54" s="11">
        <f t="shared" si="138"/>
        <v>3629</v>
      </c>
      <c r="AD54" s="11">
        <f t="shared" si="138"/>
        <v>3419.4386778499997</v>
      </c>
      <c r="AE54" s="11">
        <f t="shared" si="138"/>
        <v>3843.3251095600003</v>
      </c>
      <c r="AF54" s="11">
        <f t="shared" si="138"/>
        <v>3242.9703283700001</v>
      </c>
      <c r="AG54" s="11">
        <f t="shared" si="138"/>
        <v>4104.92780785999</v>
      </c>
      <c r="AH54" s="11">
        <f t="shared" si="138"/>
        <v>5503.6166212399994</v>
      </c>
      <c r="AI54" s="11">
        <f t="shared" si="138"/>
        <v>6795</v>
      </c>
    </row>
    <row r="55" spans="1:35" ht="12.75" customHeight="1">
      <c r="B55" s="14" t="s">
        <v>37</v>
      </c>
      <c r="C55" s="15">
        <f>SUM(C54:C54)</f>
        <v>1694.2579000399999</v>
      </c>
      <c r="D55" s="15">
        <f>SUM(D54:D54)</f>
        <v>2390.1</v>
      </c>
      <c r="E55" s="15">
        <f>SUM(E54:E54)</f>
        <v>3242.9703283700001</v>
      </c>
      <c r="F55" s="34"/>
      <c r="G55" s="15">
        <f>SUM(G54:G54)</f>
        <v>1253.24188101</v>
      </c>
      <c r="H55" s="15">
        <f>SUM(H54:H54)</f>
        <v>907.76546202999998</v>
      </c>
      <c r="I55" s="15">
        <f>SUM(I54:I54)</f>
        <v>1545.26182146</v>
      </c>
      <c r="J55" s="15">
        <f>SUM(J54:J54)</f>
        <v>1694.2579000399999</v>
      </c>
      <c r="K55" s="15">
        <f>SUM(K54:K54)</f>
        <v>2162.3429338699998</v>
      </c>
      <c r="L55" s="15">
        <f>SUM(L54:L54)</f>
        <v>1263.8089681700001</v>
      </c>
      <c r="M55" s="15">
        <f>SUM(M54:M54)</f>
        <v>2344.1757527600003</v>
      </c>
      <c r="N55" s="15">
        <f>SUM(N54:N54)</f>
        <v>2390.1</v>
      </c>
      <c r="O55" s="15">
        <f>SUM(O54:O54)</f>
        <v>3629</v>
      </c>
      <c r="P55" s="15">
        <f>SUM(P54:P54)</f>
        <v>3419.4386778499997</v>
      </c>
      <c r="Q55" s="15">
        <f>SUM(Q54:Q54)</f>
        <v>3843.3251095600003</v>
      </c>
      <c r="R55" s="15">
        <f>SUM(R54:R54)</f>
        <v>3242.9703283700001</v>
      </c>
      <c r="S55" s="15">
        <f>SUM(S54:S54)</f>
        <v>4104.92780785999</v>
      </c>
      <c r="T55" s="15">
        <f>SUM(T54:T54)</f>
        <v>5503.6166212399994</v>
      </c>
      <c r="U55" s="15">
        <f>SUM(U54:U54)</f>
        <v>6795</v>
      </c>
      <c r="W55" s="15">
        <f>SUM(W54:W54)</f>
        <v>1545.26182146</v>
      </c>
      <c r="X55" s="15">
        <f>SUM(X54:X54)</f>
        <v>1694.2579000399999</v>
      </c>
      <c r="Y55" s="15">
        <f>SUM(Y54:Y54)</f>
        <v>2162.3429338699998</v>
      </c>
      <c r="Z55" s="15">
        <f>SUM(Z54:Z54)</f>
        <v>1263.8089681700001</v>
      </c>
      <c r="AA55" s="15">
        <f>SUM(AA54:AA54)</f>
        <v>2344.1757527600003</v>
      </c>
      <c r="AB55" s="15">
        <f>SUM(AB54:AB54)</f>
        <v>2390.1</v>
      </c>
      <c r="AC55" s="15">
        <f>SUM(AC54:AC54)</f>
        <v>3629</v>
      </c>
      <c r="AD55" s="15">
        <f>SUM(AD54:AD54)</f>
        <v>3419.4386778499997</v>
      </c>
      <c r="AE55" s="15">
        <f>SUM(AE54:AE54)</f>
        <v>3843.3251095600003</v>
      </c>
      <c r="AF55" s="15">
        <f>SUM(AF54:AF54)</f>
        <v>3242.9703283700001</v>
      </c>
      <c r="AG55" s="15">
        <f>SUM(AG54:AG54)</f>
        <v>4104.92780785999</v>
      </c>
      <c r="AH55" s="15">
        <f>SUM(AH54:AH54)</f>
        <v>5503.6166212399994</v>
      </c>
      <c r="AI55" s="15">
        <f>SUM(AI54:AI54)</f>
        <v>6795</v>
      </c>
    </row>
    <row r="56" spans="1:35" ht="5.0999999999999996" customHeight="1"/>
    <row r="57" spans="1:35" ht="12.75" customHeight="1">
      <c r="B57" s="37" t="s">
        <v>38</v>
      </c>
    </row>
    <row r="58" spans="1:35" ht="12.75" customHeight="1">
      <c r="B58" s="8" t="s">
        <v>153</v>
      </c>
      <c r="C58" s="96">
        <f>'Historical Financials'!C51</f>
        <v>6756.7638879300011</v>
      </c>
      <c r="D58" s="96">
        <f>'Historical Financials'!D51</f>
        <v>8082.9</v>
      </c>
      <c r="E58" s="96">
        <f>'Historical Financials'!E51</f>
        <v>8141.0162727999996</v>
      </c>
      <c r="G58" s="96">
        <f>'Historical Financials'!G51</f>
        <v>6406.441856110001</v>
      </c>
      <c r="H58" s="96">
        <f>'Historical Financials'!H51</f>
        <v>6397.3180799400016</v>
      </c>
      <c r="I58" s="96">
        <f>'Historical Financials'!I51</f>
        <v>5649.0708954800002</v>
      </c>
      <c r="J58" s="96">
        <f>'Historical Financials'!J51</f>
        <v>6756.7638879300011</v>
      </c>
      <c r="K58" s="96">
        <f>'Historical Financials'!K51</f>
        <v>6209.9470051300004</v>
      </c>
      <c r="L58" s="96">
        <f>'Historical Financials'!L51</f>
        <v>6801.8852933600001</v>
      </c>
      <c r="M58" s="96">
        <f>'Historical Financials'!M51</f>
        <v>6681.2242002499979</v>
      </c>
      <c r="N58" s="96">
        <f>'Historical Financials'!N51</f>
        <v>8082.9</v>
      </c>
      <c r="O58" s="96">
        <f>'Historical Financials'!O51</f>
        <v>7501.623348860001</v>
      </c>
      <c r="P58" s="96">
        <f>'Historical Financials'!P51</f>
        <v>7954.5852491000014</v>
      </c>
      <c r="Q58" s="96">
        <f>'Historical Financials'!Q51</f>
        <v>8548.4099603200029</v>
      </c>
      <c r="R58" s="96">
        <f>'Historical Financials'!R51</f>
        <v>8141.0162727999996</v>
      </c>
      <c r="S58" s="96">
        <f>'Historical Financials'!S51</f>
        <v>8123.7560203699995</v>
      </c>
      <c r="T58" s="96">
        <f>'Historical Financials'!T51</f>
        <v>9950.1662369799997</v>
      </c>
      <c r="U58" s="96">
        <f>'Historical Financials'!U51</f>
        <v>10095</v>
      </c>
      <c r="V58" s="11"/>
      <c r="W58" s="11">
        <f t="shared" ref="W58:AG63" si="139">I58</f>
        <v>5649.0708954800002</v>
      </c>
      <c r="X58" s="11">
        <f t="shared" si="139"/>
        <v>6756.7638879300011</v>
      </c>
      <c r="Y58" s="11">
        <f t="shared" si="139"/>
        <v>6209.9470051300004</v>
      </c>
      <c r="Z58" s="11">
        <f t="shared" si="139"/>
        <v>6801.8852933600001</v>
      </c>
      <c r="AA58" s="11">
        <f t="shared" si="139"/>
        <v>6681.2242002499979</v>
      </c>
      <c r="AB58" s="11">
        <f t="shared" si="139"/>
        <v>8082.9</v>
      </c>
      <c r="AC58" s="11">
        <f t="shared" si="139"/>
        <v>7501.623348860001</v>
      </c>
      <c r="AD58" s="11">
        <f t="shared" si="139"/>
        <v>7954.5852491000014</v>
      </c>
      <c r="AE58" s="11">
        <f t="shared" si="139"/>
        <v>8548.4099603200029</v>
      </c>
      <c r="AF58" s="11">
        <f t="shared" si="139"/>
        <v>8141.0162727999996</v>
      </c>
      <c r="AG58" s="11">
        <f t="shared" si="139"/>
        <v>8123.7560203699995</v>
      </c>
      <c r="AH58" s="11">
        <f t="shared" ref="AH58:AI63" si="140">T58</f>
        <v>9950.1662369799997</v>
      </c>
      <c r="AI58" s="11">
        <f t="shared" si="140"/>
        <v>10095</v>
      </c>
    </row>
    <row r="59" spans="1:35" ht="12.75" customHeight="1">
      <c r="B59" s="8" t="s">
        <v>153</v>
      </c>
      <c r="C59" s="96">
        <f>'Historical Financials'!C51</f>
        <v>6756.7638879300011</v>
      </c>
      <c r="D59" s="96">
        <f>'Historical Financials'!D51</f>
        <v>8082.9</v>
      </c>
      <c r="E59" s="96">
        <f>'Historical Financials'!E51</f>
        <v>8141.0162727999996</v>
      </c>
      <c r="F59" s="96"/>
      <c r="G59" s="96">
        <f>'Historical Financials'!G51</f>
        <v>6406.441856110001</v>
      </c>
      <c r="H59" s="96">
        <f>'Historical Financials'!H51</f>
        <v>6397.3180799400016</v>
      </c>
      <c r="I59" s="96">
        <f>'Historical Financials'!I51</f>
        <v>5649.0708954800002</v>
      </c>
      <c r="J59" s="96">
        <f>'Historical Financials'!J51</f>
        <v>6756.7638879300011</v>
      </c>
      <c r="K59" s="96">
        <f>'Historical Financials'!K51</f>
        <v>6209.9470051300004</v>
      </c>
      <c r="L59" s="96">
        <f>'Historical Financials'!L51</f>
        <v>6801.8852933600001</v>
      </c>
      <c r="M59" s="96">
        <f>'Historical Financials'!M51</f>
        <v>6681.2242002499979</v>
      </c>
      <c r="N59" s="96">
        <f>'Historical Financials'!N51</f>
        <v>8082.9</v>
      </c>
      <c r="O59" s="96">
        <f>'Historical Financials'!O51</f>
        <v>7501.623348860001</v>
      </c>
      <c r="P59" s="96">
        <f>'Historical Financials'!P51</f>
        <v>7954.5852491000014</v>
      </c>
      <c r="Q59" s="96">
        <f>'Historical Financials'!Q51</f>
        <v>8548.4099603200029</v>
      </c>
      <c r="R59" s="96">
        <f>'Historical Financials'!R51</f>
        <v>8141.0162727999996</v>
      </c>
      <c r="S59" s="96">
        <f>'Historical Financials'!S51</f>
        <v>8123.7560203699995</v>
      </c>
      <c r="T59" s="96">
        <f>'Historical Financials'!T51</f>
        <v>9950.1662369799997</v>
      </c>
      <c r="U59" s="96">
        <f>'Historical Financials'!U51</f>
        <v>10095</v>
      </c>
      <c r="W59" s="11">
        <f t="shared" ref="W59" si="141">I59</f>
        <v>5649.0708954800002</v>
      </c>
      <c r="X59" s="11">
        <f t="shared" ref="X59" si="142">J59</f>
        <v>6756.7638879300011</v>
      </c>
      <c r="Y59" s="11">
        <f t="shared" ref="Y59" si="143">K59</f>
        <v>6209.9470051300004</v>
      </c>
      <c r="Z59" s="11">
        <f t="shared" ref="Z59" si="144">L59</f>
        <v>6801.8852933600001</v>
      </c>
      <c r="AA59" s="11">
        <f t="shared" ref="AA59" si="145">M59</f>
        <v>6681.2242002499979</v>
      </c>
      <c r="AB59" s="11">
        <f t="shared" ref="AB59" si="146">N59</f>
        <v>8082.9</v>
      </c>
      <c r="AC59" s="11">
        <f t="shared" ref="AC59" si="147">O59</f>
        <v>7501.623348860001</v>
      </c>
      <c r="AD59" s="11">
        <f t="shared" ref="AD59" si="148">P59</f>
        <v>7954.5852491000014</v>
      </c>
      <c r="AE59" s="11">
        <f t="shared" ref="AE59" si="149">Q59</f>
        <v>8548.4099603200029</v>
      </c>
      <c r="AF59" s="11">
        <f t="shared" ref="AF59" si="150">R59</f>
        <v>8141.0162727999996</v>
      </c>
      <c r="AG59" s="11">
        <f t="shared" ref="AG59" si="151">S59</f>
        <v>8123.7560203699995</v>
      </c>
      <c r="AH59" s="11">
        <f t="shared" ref="AH59" si="152">T59</f>
        <v>9950.1662369799997</v>
      </c>
      <c r="AI59" s="11">
        <f t="shared" ref="AI59" si="153">U59</f>
        <v>10095</v>
      </c>
    </row>
    <row r="60" spans="1:35" ht="12.75" customHeight="1">
      <c r="B60" s="8" t="s">
        <v>155</v>
      </c>
      <c r="C60" s="96">
        <f>'Historical Financials'!C58</f>
        <v>7660.499153759999</v>
      </c>
      <c r="D60" s="96">
        <f>'Historical Financials'!D58</f>
        <v>9478.2357133499991</v>
      </c>
      <c r="E60" s="96">
        <f>'Historical Financials'!E58</f>
        <v>9510.2220348499977</v>
      </c>
      <c r="F60" s="96"/>
      <c r="G60" s="96">
        <f>'Historical Financials'!G58</f>
        <v>6404.2907354899999</v>
      </c>
      <c r="H60" s="96">
        <f>'Historical Financials'!H58</f>
        <v>6342.9924333499994</v>
      </c>
      <c r="I60" s="96">
        <f>'Historical Financials'!I58</f>
        <v>6375.3098464899995</v>
      </c>
      <c r="J60" s="96">
        <f>'Historical Financials'!J58</f>
        <v>7660.499153759999</v>
      </c>
      <c r="K60" s="96">
        <f>'Historical Financials'!K58</f>
        <v>7497.5426872899998</v>
      </c>
      <c r="L60" s="96">
        <f>'Historical Financials'!L58</f>
        <v>7155.6964928300013</v>
      </c>
      <c r="M60" s="96">
        <f>'Historical Financials'!M58</f>
        <v>7946.2446197300005</v>
      </c>
      <c r="N60" s="96">
        <f>'Historical Financials'!N58</f>
        <v>9478.2357133499991</v>
      </c>
      <c r="O60" s="96">
        <f>'Historical Financials'!O58</f>
        <v>9890.3677212599978</v>
      </c>
      <c r="P60" s="96">
        <f>'Historical Financials'!P58</f>
        <v>9726.1396359100017</v>
      </c>
      <c r="Q60" s="96">
        <f>'Historical Financials'!Q58</f>
        <v>10446.72391578</v>
      </c>
      <c r="R60" s="96">
        <f>'Historical Financials'!R58</f>
        <v>9510.2220348499977</v>
      </c>
      <c r="S60" s="96">
        <f>'Historical Financials'!S58</f>
        <v>10842.8540070199</v>
      </c>
      <c r="T60" s="96">
        <f>'Historical Financials'!T58</f>
        <v>13970.41566791</v>
      </c>
      <c r="U60" s="96">
        <f>'Historical Financials'!U58</f>
        <v>13972</v>
      </c>
      <c r="W60" s="11">
        <f t="shared" si="139"/>
        <v>6375.3098464899995</v>
      </c>
      <c r="X60" s="11">
        <f t="shared" si="139"/>
        <v>7660.499153759999</v>
      </c>
      <c r="Y60" s="11">
        <f t="shared" si="139"/>
        <v>7497.5426872899998</v>
      </c>
      <c r="Z60" s="11">
        <f t="shared" si="139"/>
        <v>7155.6964928300013</v>
      </c>
      <c r="AA60" s="11">
        <f t="shared" si="139"/>
        <v>7946.2446197300005</v>
      </c>
      <c r="AB60" s="11">
        <f t="shared" si="139"/>
        <v>9478.2357133499991</v>
      </c>
      <c r="AC60" s="11">
        <f t="shared" si="139"/>
        <v>9890.3677212599978</v>
      </c>
      <c r="AD60" s="11">
        <f t="shared" si="139"/>
        <v>9726.1396359100017</v>
      </c>
      <c r="AE60" s="11">
        <f t="shared" si="139"/>
        <v>10446.72391578</v>
      </c>
      <c r="AF60" s="11">
        <f t="shared" si="139"/>
        <v>9510.2220348499977</v>
      </c>
      <c r="AG60" s="11">
        <f t="shared" si="139"/>
        <v>10842.8540070199</v>
      </c>
      <c r="AH60" s="11">
        <f t="shared" si="140"/>
        <v>13970.41566791</v>
      </c>
      <c r="AI60" s="11">
        <f t="shared" si="140"/>
        <v>13972</v>
      </c>
    </row>
    <row r="61" spans="1:35" ht="12.75" customHeight="1">
      <c r="B61" s="8" t="s">
        <v>154</v>
      </c>
      <c r="C61" s="96">
        <f>'Historical Financials'!C60</f>
        <v>437.24043009999997</v>
      </c>
      <c r="D61" s="96">
        <f>'Historical Financials'!D60</f>
        <v>595.7758117599999</v>
      </c>
      <c r="E61" s="96">
        <f>'Historical Financials'!E60</f>
        <v>572.04812475999995</v>
      </c>
      <c r="F61" s="96"/>
      <c r="G61" s="96">
        <f>'Historical Financials'!G60</f>
        <v>411.53387814999996</v>
      </c>
      <c r="H61" s="96">
        <f>'Historical Financials'!H60</f>
        <v>448.34315923000003</v>
      </c>
      <c r="I61" s="96">
        <f>'Historical Financials'!I60</f>
        <v>364.36254958000006</v>
      </c>
      <c r="J61" s="96">
        <f>'Historical Financials'!J60</f>
        <v>437.24043009999997</v>
      </c>
      <c r="K61" s="96">
        <f>'Historical Financials'!K60</f>
        <v>419.77582888000006</v>
      </c>
      <c r="L61" s="96">
        <f>'Historical Financials'!L60</f>
        <v>448.87509790999997</v>
      </c>
      <c r="M61" s="96">
        <f>'Historical Financials'!M60</f>
        <v>464.29794526000006</v>
      </c>
      <c r="N61" s="96">
        <f>'Historical Financials'!N60</f>
        <v>595.7758117599999</v>
      </c>
      <c r="O61" s="96">
        <f>'Historical Financials'!O60</f>
        <v>575.11981442999991</v>
      </c>
      <c r="P61" s="96">
        <f>'Historical Financials'!P60</f>
        <v>684.9762046699999</v>
      </c>
      <c r="Q61" s="96">
        <f>'Historical Financials'!Q60</f>
        <v>835.42853836999996</v>
      </c>
      <c r="R61" s="96">
        <f>'Historical Financials'!R60</f>
        <v>572.04812475999995</v>
      </c>
      <c r="S61" s="96">
        <f>'Historical Financials'!S60</f>
        <v>523.46139389999996</v>
      </c>
      <c r="T61" s="96">
        <f>'Historical Financials'!T60</f>
        <v>546.65419665999991</v>
      </c>
      <c r="U61" s="96">
        <f>'Historical Financials'!U60</f>
        <v>562</v>
      </c>
      <c r="W61" s="11">
        <f t="shared" si="139"/>
        <v>364.36254958000006</v>
      </c>
      <c r="X61" s="11">
        <f t="shared" si="139"/>
        <v>437.24043009999997</v>
      </c>
      <c r="Y61" s="11">
        <f t="shared" si="139"/>
        <v>419.77582888000006</v>
      </c>
      <c r="Z61" s="11">
        <f t="shared" si="139"/>
        <v>448.87509790999997</v>
      </c>
      <c r="AA61" s="11">
        <f t="shared" si="139"/>
        <v>464.29794526000006</v>
      </c>
      <c r="AB61" s="11">
        <f t="shared" si="139"/>
        <v>595.7758117599999</v>
      </c>
      <c r="AC61" s="11">
        <f t="shared" si="139"/>
        <v>575.11981442999991</v>
      </c>
      <c r="AD61" s="11">
        <f t="shared" si="139"/>
        <v>684.9762046699999</v>
      </c>
      <c r="AE61" s="11">
        <f t="shared" si="139"/>
        <v>835.42853836999996</v>
      </c>
      <c r="AF61" s="11">
        <f t="shared" si="139"/>
        <v>572.04812475999995</v>
      </c>
      <c r="AG61" s="11">
        <f t="shared" si="139"/>
        <v>523.46139389999996</v>
      </c>
      <c r="AH61" s="11">
        <f t="shared" si="140"/>
        <v>546.65419665999991</v>
      </c>
      <c r="AI61" s="11">
        <f t="shared" si="140"/>
        <v>562</v>
      </c>
    </row>
    <row r="62" spans="1:35" ht="12.75" customHeight="1">
      <c r="B62" s="8" t="s">
        <v>13</v>
      </c>
      <c r="C62" s="96">
        <f>'Historical Financials'!C54</f>
        <v>12009.213945290001</v>
      </c>
      <c r="D62" s="96">
        <f>'Historical Financials'!D54</f>
        <v>13746.919999999998</v>
      </c>
      <c r="E62" s="96">
        <f>'Historical Financials'!E54</f>
        <v>13804.54217131</v>
      </c>
      <c r="F62" s="96"/>
      <c r="G62" s="96">
        <f>'Historical Financials'!G54</f>
        <v>11168.41531366</v>
      </c>
      <c r="H62" s="96">
        <f>'Historical Financials'!H54</f>
        <v>10984.430392390001</v>
      </c>
      <c r="I62" s="96">
        <f>'Historical Financials'!I54</f>
        <v>10726.189721789999</v>
      </c>
      <c r="J62" s="96">
        <f>'Historical Financials'!J54</f>
        <v>12009.213945290001</v>
      </c>
      <c r="K62" s="96">
        <f>'Historical Financials'!K54</f>
        <v>11586.603043190002</v>
      </c>
      <c r="L62" s="96">
        <f>'Historical Financials'!L54</f>
        <v>11224.864512240001</v>
      </c>
      <c r="M62" s="96">
        <f>'Historical Financials'!M54</f>
        <v>12033.329010919997</v>
      </c>
      <c r="N62" s="96">
        <f>'Historical Financials'!N54</f>
        <v>13746.919999999998</v>
      </c>
      <c r="O62" s="96">
        <f>'Historical Financials'!O54</f>
        <v>14381.898822070001</v>
      </c>
      <c r="P62" s="96">
        <f>'Historical Financials'!P54</f>
        <v>14629.16796029</v>
      </c>
      <c r="Q62" s="96">
        <f>'Historical Financials'!Q54</f>
        <v>15441.703805240002</v>
      </c>
      <c r="R62" s="96">
        <f>'Historical Financials'!R54</f>
        <v>13804.54217131</v>
      </c>
      <c r="S62" s="96">
        <f>'Historical Financials'!S54</f>
        <v>15525.177687739983</v>
      </c>
      <c r="T62" s="96">
        <f>'Historical Financials'!T54</f>
        <v>19188.921845769986</v>
      </c>
      <c r="U62" s="96">
        <f>'Historical Financials'!U54</f>
        <v>20782</v>
      </c>
      <c r="W62" s="11">
        <f t="shared" si="139"/>
        <v>10726.189721789999</v>
      </c>
      <c r="X62" s="11">
        <f t="shared" si="139"/>
        <v>12009.213945290001</v>
      </c>
      <c r="Y62" s="11">
        <f t="shared" si="139"/>
        <v>11586.603043190002</v>
      </c>
      <c r="Z62" s="11">
        <f t="shared" si="139"/>
        <v>11224.864512240001</v>
      </c>
      <c r="AA62" s="11">
        <f t="shared" si="139"/>
        <v>12033.329010919997</v>
      </c>
      <c r="AB62" s="11">
        <f t="shared" si="139"/>
        <v>13746.919999999998</v>
      </c>
      <c r="AC62" s="11">
        <f t="shared" si="139"/>
        <v>14381.898822070001</v>
      </c>
      <c r="AD62" s="11">
        <f t="shared" si="139"/>
        <v>14629.16796029</v>
      </c>
      <c r="AE62" s="11">
        <f t="shared" si="139"/>
        <v>15441.703805240002</v>
      </c>
      <c r="AF62" s="11">
        <f t="shared" si="139"/>
        <v>13804.54217131</v>
      </c>
      <c r="AG62" s="11">
        <f t="shared" si="139"/>
        <v>15525.177687739983</v>
      </c>
      <c r="AH62" s="11">
        <f t="shared" si="140"/>
        <v>19188.921845769986</v>
      </c>
      <c r="AI62" s="11">
        <f t="shared" si="140"/>
        <v>20782</v>
      </c>
    </row>
    <row r="63" spans="1:35" ht="12.75" customHeight="1">
      <c r="B63" s="8" t="s">
        <v>11</v>
      </c>
      <c r="C63" s="96">
        <f>'Historical Financials'!C62</f>
        <v>9682.2987446200023</v>
      </c>
      <c r="D63" s="96">
        <f>'Historical Financials'!D62</f>
        <v>11550.177384299999</v>
      </c>
      <c r="E63" s="96">
        <f>'Historical Financials'!E62</f>
        <v>11546.572500159999</v>
      </c>
      <c r="F63" s="96"/>
      <c r="G63" s="96">
        <f>'Historical Financials'!G62</f>
        <v>8790.1648930299998</v>
      </c>
      <c r="H63" s="96">
        <f>'Historical Financials'!H62</f>
        <v>9090.2745833100016</v>
      </c>
      <c r="I63" s="96">
        <f>'Historical Financials'!I62</f>
        <v>8471.6917301199992</v>
      </c>
      <c r="J63" s="96">
        <f>'Historical Financials'!J62</f>
        <v>9682.2987446200023</v>
      </c>
      <c r="K63" s="96">
        <f>'Historical Financials'!K62</f>
        <v>9274.0560528900023</v>
      </c>
      <c r="L63" s="96">
        <f>'Historical Financials'!L62</f>
        <v>9056.5454223300003</v>
      </c>
      <c r="M63" s="96">
        <f>'Historical Financials'!M62</f>
        <v>9835.4169210399959</v>
      </c>
      <c r="N63" s="96">
        <f>'Historical Financials'!N62</f>
        <v>11550.177384299999</v>
      </c>
      <c r="O63" s="96">
        <f>'Historical Financials'!O62</f>
        <v>12154.982478119999</v>
      </c>
      <c r="P63" s="96">
        <f>'Historical Financials'!P62</f>
        <v>12392.367892350001</v>
      </c>
      <c r="Q63" s="96">
        <f>'Historical Financials'!Q62</f>
        <v>13091.437279440001</v>
      </c>
      <c r="R63" s="96">
        <f>'Historical Financials'!R62</f>
        <v>11546.572500159999</v>
      </c>
      <c r="S63" s="96">
        <f>'Historical Financials'!S62</f>
        <v>13182.206754149896</v>
      </c>
      <c r="T63" s="96">
        <f>'Historical Financials'!T62</f>
        <v>16679.423910900001</v>
      </c>
      <c r="U63" s="96">
        <f>'Historical Financials'!U62</f>
        <v>18162</v>
      </c>
      <c r="W63" s="11">
        <f t="shared" si="139"/>
        <v>8471.6917301199992</v>
      </c>
      <c r="X63" s="11">
        <f t="shared" si="139"/>
        <v>9682.2987446200023</v>
      </c>
      <c r="Y63" s="11">
        <f t="shared" si="139"/>
        <v>9274.0560528900023</v>
      </c>
      <c r="Z63" s="11">
        <f t="shared" si="139"/>
        <v>9056.5454223300003</v>
      </c>
      <c r="AA63" s="11">
        <f t="shared" si="139"/>
        <v>9835.4169210399959</v>
      </c>
      <c r="AB63" s="11">
        <f t="shared" si="139"/>
        <v>11550.177384299999</v>
      </c>
      <c r="AC63" s="11">
        <f t="shared" si="139"/>
        <v>12154.982478119999</v>
      </c>
      <c r="AD63" s="11">
        <f t="shared" si="139"/>
        <v>12392.367892350001</v>
      </c>
      <c r="AE63" s="11">
        <f t="shared" si="139"/>
        <v>13091.437279440001</v>
      </c>
      <c r="AF63" s="11">
        <f t="shared" si="139"/>
        <v>11546.572500159999</v>
      </c>
      <c r="AG63" s="11">
        <f t="shared" si="139"/>
        <v>13182.206754149896</v>
      </c>
      <c r="AH63" s="11">
        <f t="shared" si="140"/>
        <v>16679.423910900001</v>
      </c>
      <c r="AI63" s="11">
        <f t="shared" si="140"/>
        <v>18162</v>
      </c>
    </row>
    <row r="64" spans="1:35" ht="5.0999999999999996" customHeight="1">
      <c r="E64" s="11"/>
    </row>
    <row r="65" spans="1:35" ht="12.75" customHeight="1">
      <c r="B65" s="33" t="s">
        <v>157</v>
      </c>
      <c r="C65" s="96">
        <f>'Historical Financials'!C57</f>
        <v>465.83045566999999</v>
      </c>
      <c r="D65" s="96">
        <f>'Historical Financials'!D57</f>
        <v>323.98097559000001</v>
      </c>
      <c r="E65" s="96">
        <f>'Historical Financials'!E57</f>
        <v>512.97118367000007</v>
      </c>
      <c r="G65" s="96">
        <f>'Historical Financials'!G57</f>
        <v>874.71387105999986</v>
      </c>
      <c r="H65" s="96">
        <f>'Historical Financials'!H57</f>
        <v>1137.0307799499999</v>
      </c>
      <c r="I65" s="96">
        <f>'Historical Financials'!I57</f>
        <v>582.50670229999992</v>
      </c>
      <c r="J65" s="96">
        <f>'Historical Financials'!J57</f>
        <v>465.83045566999999</v>
      </c>
      <c r="K65" s="96">
        <f>'Historical Financials'!K57</f>
        <v>297.28842070999991</v>
      </c>
      <c r="L65" s="96">
        <f>'Historical Financials'!L57</f>
        <v>328.50657172000001</v>
      </c>
      <c r="M65" s="96">
        <f>'Historical Financials'!M57</f>
        <v>285.38505662</v>
      </c>
      <c r="N65" s="96">
        <f>'Historical Financials'!N57</f>
        <v>323.98097559000001</v>
      </c>
      <c r="O65" s="96">
        <f>'Historical Financials'!O57</f>
        <v>343.43313976000002</v>
      </c>
      <c r="P65" s="96">
        <f>'Historical Financials'!P57</f>
        <v>534.70785091000005</v>
      </c>
      <c r="Q65" s="96">
        <f>'Historical Financials'!Q57</f>
        <v>537.81767040999989</v>
      </c>
      <c r="R65" s="96">
        <f>'Historical Financials'!R57</f>
        <v>512.97118367000007</v>
      </c>
      <c r="S65" s="96">
        <f>'Historical Financials'!S57</f>
        <v>534.25308809000001</v>
      </c>
      <c r="T65" s="96">
        <f>'Historical Financials'!T57</f>
        <v>727.09814125000003</v>
      </c>
      <c r="U65" s="96">
        <f>'Historical Financials'!U57</f>
        <v>2623</v>
      </c>
      <c r="W65" s="11">
        <f t="shared" ref="W65:AI65" si="154">I65</f>
        <v>582.50670229999992</v>
      </c>
      <c r="X65" s="11">
        <f t="shared" si="154"/>
        <v>465.83045566999999</v>
      </c>
      <c r="Y65" s="11">
        <f t="shared" si="154"/>
        <v>297.28842070999991</v>
      </c>
      <c r="Z65" s="11">
        <f t="shared" si="154"/>
        <v>328.50657172000001</v>
      </c>
      <c r="AA65" s="11">
        <f t="shared" si="154"/>
        <v>285.38505662</v>
      </c>
      <c r="AB65" s="11">
        <f t="shared" si="154"/>
        <v>323.98097559000001</v>
      </c>
      <c r="AC65" s="11">
        <f t="shared" si="154"/>
        <v>343.43313976000002</v>
      </c>
      <c r="AD65" s="11">
        <f t="shared" si="154"/>
        <v>534.70785091000005</v>
      </c>
      <c r="AE65" s="11">
        <f t="shared" si="154"/>
        <v>537.81767040999989</v>
      </c>
      <c r="AF65" s="11">
        <f t="shared" si="154"/>
        <v>512.97118367000007</v>
      </c>
      <c r="AG65" s="11">
        <f t="shared" si="154"/>
        <v>534.25308809000001</v>
      </c>
      <c r="AH65" s="11">
        <f t="shared" si="154"/>
        <v>727.09814125000003</v>
      </c>
      <c r="AI65" s="11">
        <f t="shared" si="154"/>
        <v>2623</v>
      </c>
    </row>
    <row r="66" spans="1:35" ht="12.75" customHeight="1">
      <c r="B66" s="14" t="s">
        <v>15</v>
      </c>
      <c r="C66" s="15">
        <f>SUM(C65:C65)</f>
        <v>465.83045566999999</v>
      </c>
      <c r="D66" s="15">
        <f>SUM(D65:D65)</f>
        <v>323.98097559000001</v>
      </c>
      <c r="E66" s="15">
        <f>SUM(E65:E65)</f>
        <v>512.97118367000007</v>
      </c>
      <c r="G66" s="15">
        <f>SUM(G65:G65)</f>
        <v>874.71387105999986</v>
      </c>
      <c r="H66" s="15">
        <f>SUM(H65:H65)</f>
        <v>1137.0307799499999</v>
      </c>
      <c r="I66" s="15">
        <f>SUM(I65:I65)</f>
        <v>582.50670229999992</v>
      </c>
      <c r="J66" s="15">
        <f>SUM(J65:J65)</f>
        <v>465.83045566999999</v>
      </c>
      <c r="K66" s="15">
        <f>SUM(K65:K65)</f>
        <v>297.28842070999991</v>
      </c>
      <c r="L66" s="15">
        <f>SUM(L65:L65)</f>
        <v>328.50657172000001</v>
      </c>
      <c r="M66" s="15">
        <f>SUM(M65:M65)</f>
        <v>285.38505662</v>
      </c>
      <c r="N66" s="15">
        <f>SUM(N65:N65)</f>
        <v>323.98097559000001</v>
      </c>
      <c r="O66" s="15">
        <f>SUM(O65:O65)</f>
        <v>343.43313976000002</v>
      </c>
      <c r="P66" s="15">
        <f>SUM(P65:P65)</f>
        <v>534.70785091000005</v>
      </c>
      <c r="Q66" s="15">
        <f>SUM(Q65:Q65)</f>
        <v>537.81767040999989</v>
      </c>
      <c r="R66" s="15">
        <f>SUM(R65:R65)</f>
        <v>512.97118367000007</v>
      </c>
      <c r="S66" s="15">
        <f>SUM(S65:S65)</f>
        <v>534.25308809000001</v>
      </c>
      <c r="T66" s="15">
        <f>SUM(T65:T65)</f>
        <v>727.09814125000003</v>
      </c>
      <c r="U66" s="15">
        <f>SUM(U65:U65)</f>
        <v>2623</v>
      </c>
      <c r="W66" s="15">
        <f>SUM(W65:W65)</f>
        <v>582.50670229999992</v>
      </c>
      <c r="X66" s="15">
        <f>SUM(X65:X65)</f>
        <v>465.83045566999999</v>
      </c>
      <c r="Y66" s="15">
        <f>SUM(Y65:Y65)</f>
        <v>297.28842070999991</v>
      </c>
      <c r="Z66" s="15">
        <f>SUM(Z65:Z65)</f>
        <v>328.50657172000001</v>
      </c>
      <c r="AA66" s="15">
        <f>SUM(AA65:AA65)</f>
        <v>285.38505662</v>
      </c>
      <c r="AB66" s="15">
        <f>SUM(AB65:AB65)</f>
        <v>323.98097559000001</v>
      </c>
      <c r="AC66" s="15">
        <f>SUM(AC65:AC65)</f>
        <v>343.43313976000002</v>
      </c>
      <c r="AD66" s="15">
        <f>SUM(AD65:AD65)</f>
        <v>534.70785091000005</v>
      </c>
      <c r="AE66" s="15">
        <f>SUM(AE65:AE65)</f>
        <v>537.81767040999989</v>
      </c>
      <c r="AF66" s="15">
        <f>SUM(AF65:AF65)</f>
        <v>512.97118367000007</v>
      </c>
      <c r="AG66" s="15">
        <f>SUM(AG65:AG65)</f>
        <v>534.25308809000001</v>
      </c>
      <c r="AH66" s="15">
        <f>SUM(AH65:AH65)</f>
        <v>727.09814125000003</v>
      </c>
      <c r="AI66" s="15">
        <f>SUM(AI65:AI65)</f>
        <v>2623</v>
      </c>
    </row>
    <row r="67" spans="1:35" ht="5.0999999999999996" customHeight="1"/>
    <row r="68" spans="1:35" ht="12.75" customHeight="1">
      <c r="B68" s="8" t="s">
        <v>39</v>
      </c>
      <c r="C68" s="149">
        <f>'Historical Financials'!C72</f>
        <v>2327</v>
      </c>
      <c r="D68" s="149">
        <f>'Historical Financials'!D72</f>
        <v>2197</v>
      </c>
      <c r="E68" s="149">
        <f>'Historical Financials'!E72</f>
        <v>2257.9696472000005</v>
      </c>
      <c r="G68" s="149">
        <f>'Historical Financials'!G72</f>
        <v>2378.2504206299996</v>
      </c>
      <c r="H68" s="149">
        <f>'Historical Financials'!H72</f>
        <v>1894.1558090799997</v>
      </c>
      <c r="I68" s="149">
        <f>'Historical Financials'!I72</f>
        <v>2254.4979916699995</v>
      </c>
      <c r="J68" s="149">
        <f>'Historical Financials'!J72</f>
        <v>2327</v>
      </c>
      <c r="K68" s="149">
        <f>'Historical Financials'!K72</f>
        <v>2312.5469902999998</v>
      </c>
      <c r="L68" s="149">
        <f>'Historical Financials'!L72</f>
        <v>2168.3190899100005</v>
      </c>
      <c r="M68" s="149">
        <f>'Historical Financials'!M72</f>
        <v>2197.9120898800002</v>
      </c>
      <c r="N68" s="149">
        <f>'Historical Financials'!N72</f>
        <v>2197</v>
      </c>
      <c r="O68" s="149">
        <f>'Historical Financials'!O72</f>
        <v>2227.1711778000004</v>
      </c>
      <c r="P68" s="149">
        <f>'Historical Financials'!P72</f>
        <v>2236.8000679100005</v>
      </c>
      <c r="Q68" s="149">
        <f>'Historical Financials'!Q72</f>
        <v>2350.2665257799999</v>
      </c>
      <c r="R68" s="149">
        <f>'Historical Financials'!R72</f>
        <v>2257.9696472000005</v>
      </c>
      <c r="S68" s="149">
        <f>'Historical Financials'!S72</f>
        <v>2342.9709504499997</v>
      </c>
      <c r="T68" s="149">
        <f>'Historical Financials'!T72</f>
        <v>2509.4979734099998</v>
      </c>
      <c r="U68" s="149">
        <f>'Historical Financials'!U72</f>
        <v>2620</v>
      </c>
      <c r="W68" s="11">
        <f t="shared" ref="W68:AI68" si="155">I68</f>
        <v>2254.4979916699995</v>
      </c>
      <c r="X68" s="11">
        <f t="shared" si="155"/>
        <v>2327</v>
      </c>
      <c r="Y68" s="11">
        <f t="shared" si="155"/>
        <v>2312.5469902999998</v>
      </c>
      <c r="Z68" s="11">
        <f t="shared" si="155"/>
        <v>2168.3190899100005</v>
      </c>
      <c r="AA68" s="11">
        <f t="shared" si="155"/>
        <v>2197.9120898800002</v>
      </c>
      <c r="AB68" s="11">
        <f t="shared" si="155"/>
        <v>2197</v>
      </c>
      <c r="AC68" s="11">
        <f t="shared" si="155"/>
        <v>2227.1711778000004</v>
      </c>
      <c r="AD68" s="11">
        <f t="shared" si="155"/>
        <v>2236.8000679100005</v>
      </c>
      <c r="AE68" s="150">
        <f t="shared" si="155"/>
        <v>2350.2665257799999</v>
      </c>
      <c r="AF68" s="150">
        <f t="shared" si="155"/>
        <v>2257.9696472000005</v>
      </c>
      <c r="AG68" s="150">
        <f t="shared" si="155"/>
        <v>2342.9709504499997</v>
      </c>
      <c r="AH68" s="150">
        <f t="shared" si="155"/>
        <v>2509.4979734099998</v>
      </c>
      <c r="AI68" s="150">
        <f t="shared" si="155"/>
        <v>2620</v>
      </c>
    </row>
    <row r="69" spans="1:35" ht="12.75" customHeight="1">
      <c r="B69" s="14" t="s">
        <v>40</v>
      </c>
      <c r="C69" s="15">
        <f>SUM(C66:C68)</f>
        <v>2792.83045567</v>
      </c>
      <c r="D69" s="15">
        <f>SUM(D66:D68)</f>
        <v>2520.9809755900001</v>
      </c>
      <c r="E69" s="15">
        <f>SUM(E66:E68)</f>
        <v>2770.9408308700004</v>
      </c>
      <c r="G69" s="15">
        <f t="shared" ref="G69:P69" si="156">SUM(G66:G68)</f>
        <v>3252.9642916899993</v>
      </c>
      <c r="H69" s="15">
        <f t="shared" si="156"/>
        <v>3031.1865890299996</v>
      </c>
      <c r="I69" s="15">
        <f t="shared" si="156"/>
        <v>2837.0046939699996</v>
      </c>
      <c r="J69" s="15">
        <f t="shared" si="156"/>
        <v>2792.83045567</v>
      </c>
      <c r="K69" s="15">
        <f t="shared" si="156"/>
        <v>2609.8354110099999</v>
      </c>
      <c r="L69" s="15">
        <f t="shared" si="156"/>
        <v>2496.8256616300005</v>
      </c>
      <c r="M69" s="15">
        <f t="shared" si="156"/>
        <v>2483.2971465000001</v>
      </c>
      <c r="N69" s="15">
        <f t="shared" si="156"/>
        <v>2520.9809755900001</v>
      </c>
      <c r="O69" s="15">
        <f t="shared" si="156"/>
        <v>2570.6043175600003</v>
      </c>
      <c r="P69" s="15">
        <f t="shared" si="156"/>
        <v>2771.5079188200007</v>
      </c>
      <c r="Q69" s="15">
        <f>SUM(Q66:Q68)</f>
        <v>2888.0841961899996</v>
      </c>
      <c r="R69" s="15">
        <f>SUM(R66:R68)</f>
        <v>2770.9408308700004</v>
      </c>
      <c r="S69" s="15">
        <f>SUM(S66:S68)</f>
        <v>2877.2240385399996</v>
      </c>
      <c r="T69" s="15">
        <f>SUM(T66:T68)</f>
        <v>3236.5961146599998</v>
      </c>
      <c r="U69" s="15">
        <f>SUM(U66:U68)</f>
        <v>5243</v>
      </c>
      <c r="W69" s="15">
        <f t="shared" ref="W69:AG69" si="157">SUM(W66:W68)</f>
        <v>2837.0046939699996</v>
      </c>
      <c r="X69" s="15">
        <f t="shared" si="157"/>
        <v>2792.83045567</v>
      </c>
      <c r="Y69" s="15">
        <f t="shared" si="157"/>
        <v>2609.8354110099999</v>
      </c>
      <c r="Z69" s="15">
        <f t="shared" si="157"/>
        <v>2496.8256616300005</v>
      </c>
      <c r="AA69" s="15">
        <f t="shared" si="157"/>
        <v>2483.2971465000001</v>
      </c>
      <c r="AB69" s="15">
        <f t="shared" si="157"/>
        <v>2520.9809755900001</v>
      </c>
      <c r="AC69" s="15">
        <f t="shared" si="157"/>
        <v>2570.6043175600003</v>
      </c>
      <c r="AD69" s="15">
        <f t="shared" si="157"/>
        <v>2771.5079188200007</v>
      </c>
      <c r="AE69" s="15">
        <f t="shared" si="157"/>
        <v>2888.0841961899996</v>
      </c>
      <c r="AF69" s="15">
        <f t="shared" si="157"/>
        <v>2770.9408308700004</v>
      </c>
      <c r="AG69" s="15">
        <f t="shared" si="157"/>
        <v>2877.2240385399996</v>
      </c>
      <c r="AH69" s="15">
        <f>SUM(AH66:AH68)</f>
        <v>3236.5961146599998</v>
      </c>
      <c r="AI69" s="15">
        <f>SUM(AI66:AI68)</f>
        <v>5243</v>
      </c>
    </row>
    <row r="70" spans="1:35" ht="5.0999999999999996" customHeight="1"/>
    <row r="71" spans="1:35" ht="12.75" customHeight="1">
      <c r="A71" s="5"/>
      <c r="B71" s="35" t="s">
        <v>62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 spans="1:35" ht="5.0999999999999996" customHeight="1"/>
    <row r="73" spans="1:35" ht="12.75" customHeight="1">
      <c r="B73" s="33" t="s">
        <v>91</v>
      </c>
      <c r="C73" s="84">
        <f>C66/C36</f>
        <v>-0.64203181309579838</v>
      </c>
      <c r="D73" s="84">
        <f>D66/D36</f>
        <v>-6.5531096124994956</v>
      </c>
      <c r="E73" s="84">
        <f>E66/E36</f>
        <v>2.8352879827256343</v>
      </c>
      <c r="G73" s="39"/>
      <c r="H73" s="39"/>
      <c r="I73" s="39"/>
      <c r="J73" s="84">
        <f>SUM(J66/SUM(G36:J36))</f>
        <v>-0.64203181309579838</v>
      </c>
      <c r="K73" s="84">
        <f>SUM(K66/SUM(H36:K36))</f>
        <v>-0.52536770197910909</v>
      </c>
      <c r="L73" s="84">
        <f>SUM(L66/SUM(I36:L36))</f>
        <v>-1.0050124332257262</v>
      </c>
      <c r="M73" s="84">
        <f>SUM(M66/SUM(J36:M36))</f>
        <v>-2.1635429072658692</v>
      </c>
      <c r="N73" s="84">
        <f>SUM(N66/SUM(K36:N36))</f>
        <v>-6.553109612499517</v>
      </c>
      <c r="O73" s="84">
        <f>SUM(O66/SUM(L36:O36))</f>
        <v>-67.758504882759865</v>
      </c>
      <c r="P73" s="84">
        <f>SUM(P66/SUM(M36:P36))</f>
        <v>12.209898239867965</v>
      </c>
      <c r="Q73" s="84">
        <f>SUM(Q66/SUM(N36:Q36))</f>
        <v>5.9603789767046615</v>
      </c>
      <c r="R73" s="84">
        <f>SUM(R66/SUM(O36:R36))</f>
        <v>2.8352879827256405</v>
      </c>
      <c r="S73" s="84">
        <f>SUM(S66/SUM(P36:S36))</f>
        <v>3.0211173387897161</v>
      </c>
      <c r="T73" s="84">
        <f>SUM(T66/SUM(Q36:T36))</f>
        <v>4.3546079137184881</v>
      </c>
      <c r="U73" s="84">
        <f>SUM(U66/SUM(R36:U36))</f>
        <v>43.57519398935441</v>
      </c>
      <c r="V73" s="84"/>
      <c r="W73" s="84">
        <f>W66/W36</f>
        <v>-1.2285458762193855</v>
      </c>
      <c r="X73" s="84" t="e">
        <f>X66/X36</f>
        <v>#REF!</v>
      </c>
      <c r="Y73" s="84" t="e">
        <f>Y66/Y36</f>
        <v>#REF!</v>
      </c>
      <c r="Z73" s="84" t="e">
        <f>Z66/Z36</f>
        <v>#REF!</v>
      </c>
      <c r="AA73" s="84" t="e">
        <f>AA66/AA36</f>
        <v>#REF!</v>
      </c>
      <c r="AB73" s="84" t="e">
        <f>AB66/AB36</f>
        <v>#REF!</v>
      </c>
      <c r="AC73" s="84" t="e">
        <f>AC66/AC36</f>
        <v>#REF!</v>
      </c>
      <c r="AD73" s="84" t="e">
        <f>AD66/AD36</f>
        <v>#REF!</v>
      </c>
      <c r="AE73" s="84">
        <f>AE66/AE36</f>
        <v>5.9603789767046393</v>
      </c>
      <c r="AF73" s="84">
        <f>AF66/AF36</f>
        <v>2.8352879827256343</v>
      </c>
      <c r="AG73" s="84">
        <f>AG66/AG36</f>
        <v>3.0211173387897099</v>
      </c>
      <c r="AH73" s="84">
        <f>AH66/AH36</f>
        <v>4.3546079137184934</v>
      </c>
      <c r="AI73" s="84">
        <f>AI66/AI36</f>
        <v>43.575193989354389</v>
      </c>
    </row>
    <row r="74" spans="1:35" ht="12.75" customHeight="1">
      <c r="B74" s="33" t="s">
        <v>92</v>
      </c>
      <c r="C74" s="84">
        <f>SUM(C66-C54)/C36</f>
        <v>1.6930827294903756</v>
      </c>
      <c r="D74" s="84">
        <f>SUM(D66-D54)/D36</f>
        <v>41.791047806966233</v>
      </c>
      <c r="E74" s="84">
        <f>SUM(E66-E54)/E36</f>
        <v>-15.089217512067133</v>
      </c>
      <c r="G74" s="39"/>
      <c r="H74" s="39"/>
      <c r="I74" s="39"/>
      <c r="J74" s="84">
        <f>SUM(J66-J54)/SUM(G36:J36)</f>
        <v>1.6930827294903756</v>
      </c>
      <c r="K74" s="84">
        <f>SUM(K66-K54)/SUM(H36:K36)</f>
        <v>3.295921856978254</v>
      </c>
      <c r="L74" s="84">
        <f>SUM(L66-L54)/SUM(I36:L36)</f>
        <v>2.8614055796097162</v>
      </c>
      <c r="M74" s="84">
        <f>SUM(M66-M54)/SUM(J36:M36)</f>
        <v>15.607972123465766</v>
      </c>
      <c r="N74" s="84">
        <f>SUM(N66-N54)/SUM(K36:N36)</f>
        <v>41.791047806966368</v>
      </c>
      <c r="O74" s="84">
        <f>SUM(O66-O54)/SUM(L36:O36)</f>
        <v>648.2341753558851</v>
      </c>
      <c r="P74" s="84">
        <f>SUM(P66-P54)/SUM(M36:P36)</f>
        <v>-65.871989323523195</v>
      </c>
      <c r="Q74" s="84">
        <f>SUM(Q66-Q54)/SUM(N36:Q36)</f>
        <v>-36.633376200954579</v>
      </c>
      <c r="R74" s="84">
        <f>SUM(R66-R54)/SUM(O36:R36)</f>
        <v>-15.089217512067165</v>
      </c>
      <c r="S74" s="84">
        <f>SUM(S66-S54)/SUM(P36:S36)</f>
        <v>-20.191604966929052</v>
      </c>
      <c r="T74" s="84">
        <f>SUM(T66-T54)/SUM(Q36:T36)</f>
        <v>-28.606681812208603</v>
      </c>
      <c r="U74" s="84">
        <f>SUM(U66-U54)/SUM(R36:U36)</f>
        <v>-69.308314648717726</v>
      </c>
      <c r="V74" s="84"/>
      <c r="W74" s="84">
        <f>SUM(W66-W54)/W36</f>
        <v>2.0305154031411758</v>
      </c>
      <c r="X74" s="84" t="e">
        <f>SUM(X66-X54)/X36</f>
        <v>#REF!</v>
      </c>
      <c r="Y74" s="84" t="e">
        <f>SUM(Y66-Y54)/Y36</f>
        <v>#REF!</v>
      </c>
      <c r="Z74" s="84" t="e">
        <f>SUM(Z66-Z54)/Z36</f>
        <v>#REF!</v>
      </c>
      <c r="AA74" s="84" t="e">
        <f>SUM(AA66-AA54)/AA36</f>
        <v>#REF!</v>
      </c>
      <c r="AB74" s="84" t="e">
        <f>SUM(AB66-AB54)/AB36</f>
        <v>#REF!</v>
      </c>
      <c r="AC74" s="84" t="e">
        <f>SUM(AC66-AC54)/AC36</f>
        <v>#REF!</v>
      </c>
      <c r="AD74" s="84" t="e">
        <f>SUM(AD66-AD54)/AD36</f>
        <v>#REF!</v>
      </c>
      <c r="AE74" s="84">
        <f>SUM(AE66-AE54)/AE36</f>
        <v>-36.633376200954444</v>
      </c>
      <c r="AF74" s="84">
        <f>SUM(AF66-AF54)/AF36</f>
        <v>-15.089217512067133</v>
      </c>
      <c r="AG74" s="84">
        <f>SUM(AG66-AG54)/AG36</f>
        <v>-20.19160496692901</v>
      </c>
      <c r="AH74" s="84">
        <f>SUM(AH66-AH54)/AH36</f>
        <v>-28.606681812208635</v>
      </c>
      <c r="AI74" s="84">
        <f>SUM(AI66-AI54)/AI36</f>
        <v>-69.308314648717698</v>
      </c>
    </row>
    <row r="75" spans="1:35" ht="12.75" customHeight="1">
      <c r="B75" s="33" t="s">
        <v>93</v>
      </c>
      <c r="C75" s="84" t="e">
        <f>C36/-C41</f>
        <v>#DIV/0!</v>
      </c>
      <c r="D75" s="84" t="e">
        <f>D36/-D41</f>
        <v>#DIV/0!</v>
      </c>
      <c r="E75" s="84" t="e">
        <f>E36/-E41</f>
        <v>#DIV/0!</v>
      </c>
      <c r="G75" s="39"/>
      <c r="H75" s="39"/>
      <c r="I75" s="39"/>
      <c r="J75" s="84" t="e" cm="1">
        <f t="array" ref="J75">SUM(G36:J36)/SUM(-G41:J41)</f>
        <v>#DIV/0!</v>
      </c>
      <c r="K75" s="84" t="e" cm="1">
        <f t="array" ref="K75">SUM(H36:K36)/SUM(-H41:K41)</f>
        <v>#DIV/0!</v>
      </c>
      <c r="L75" s="84" t="e" cm="1">
        <f t="array" ref="L75">SUM(I36:L36)/SUM(-I41:L41)</f>
        <v>#DIV/0!</v>
      </c>
      <c r="M75" s="84" t="e" cm="1">
        <f t="array" ref="M75">SUM(J36:M36)/SUM(-J41:M41)</f>
        <v>#DIV/0!</v>
      </c>
      <c r="N75" s="84" t="e" cm="1">
        <f t="array" ref="N75">SUM(K36:N36)/SUM(-K41:N41)</f>
        <v>#DIV/0!</v>
      </c>
      <c r="O75" s="84" t="e" cm="1">
        <f t="array" ref="O75">SUM(L36:O36)/SUM(-L41:O41)</f>
        <v>#DIV/0!</v>
      </c>
      <c r="P75" s="84" t="e" cm="1">
        <f t="array" ref="P75">SUM(M36:P36)/SUM(-M41:P41)</f>
        <v>#DIV/0!</v>
      </c>
      <c r="Q75" s="84" t="e" cm="1">
        <f t="array" ref="Q75">SUM(N36:Q36)/SUM(-N41:Q41)</f>
        <v>#DIV/0!</v>
      </c>
      <c r="R75" s="84" t="e" cm="1">
        <f t="array" ref="R75">SUM(O36:R36)/SUM(-O41:R41)</f>
        <v>#DIV/0!</v>
      </c>
      <c r="S75" s="84" t="e" cm="1">
        <f t="array" ref="S75">SUM(P36:S36)/SUM(-P41:S41)</f>
        <v>#DIV/0!</v>
      </c>
      <c r="T75" s="84" t="e" cm="1">
        <f t="array" ref="T75">SUM(Q36:T36)/SUM(-Q41:T41)</f>
        <v>#DIV/0!</v>
      </c>
      <c r="U75" s="84" t="e" cm="1">
        <f t="array" ref="U75">SUM(R36:U36)/SUM(-R41:U41)</f>
        <v>#DIV/0!</v>
      </c>
      <c r="V75" s="84"/>
      <c r="W75" s="84" t="e">
        <f>W36/-W41</f>
        <v>#DIV/0!</v>
      </c>
      <c r="X75" s="84" t="e">
        <f>X36/-X41</f>
        <v>#REF!</v>
      </c>
      <c r="Y75" s="84" t="e">
        <f>Y36/-Y41</f>
        <v>#REF!</v>
      </c>
      <c r="Z75" s="84" t="e">
        <f>Z36/-Z41</f>
        <v>#REF!</v>
      </c>
      <c r="AA75" s="84" t="e">
        <f>AA36/-AA41</f>
        <v>#REF!</v>
      </c>
      <c r="AB75" s="84" t="e">
        <f>AB36/-AB41</f>
        <v>#REF!</v>
      </c>
      <c r="AC75" s="84" t="e">
        <f>AC36/-AC41</f>
        <v>#REF!</v>
      </c>
      <c r="AD75" s="84" t="e">
        <f>AD36/-AD41</f>
        <v>#REF!</v>
      </c>
      <c r="AE75" s="84" t="e">
        <f>AE36/-AE41</f>
        <v>#DIV/0!</v>
      </c>
      <c r="AF75" s="84" t="e">
        <f>AF36/-AF41</f>
        <v>#DIV/0!</v>
      </c>
      <c r="AG75" s="84" t="e">
        <f>AG36/-AG41</f>
        <v>#DIV/0!</v>
      </c>
      <c r="AH75" s="84" t="e">
        <f>AH36/-AH41</f>
        <v>#DIV/0!</v>
      </c>
      <c r="AI75" s="84" t="e">
        <f>AI36/-AI41</f>
        <v>#DIV/0!</v>
      </c>
    </row>
    <row r="76" spans="1:35" ht="12.75" customHeight="1">
      <c r="B76" s="33" t="s">
        <v>94</v>
      </c>
      <c r="C76" s="84" cm="1">
        <f t="array" ref="C76">SUM(C36+C39)/SUM(-C40:C41)</f>
        <v>-39.576668769523806</v>
      </c>
      <c r="D76" s="84" cm="1">
        <f t="array" ref="D76">SUM(D36+D39)/SUM(-D40:D41)</f>
        <v>-12.176644204545392</v>
      </c>
      <c r="E76" s="84" cm="1">
        <f t="array" ref="E76">SUM(E36+E39)/SUM(-E40:E41)</f>
        <v>9.0897308998557929</v>
      </c>
      <c r="G76" s="39"/>
      <c r="H76" s="39"/>
      <c r="I76" s="39"/>
      <c r="J76" s="84" cm="1">
        <f t="array" ref="J76">SUM(G36:J36+G39:J39)/SUM(-G40:J41)</f>
        <v>-39.576668769523806</v>
      </c>
      <c r="K76" s="84" cm="1">
        <f t="array" ref="K76">SUM(H36:K36+H39:K39)/SUM(-H40:K41)</f>
        <v>-36.561127964864852</v>
      </c>
      <c r="L76" s="84" cm="1">
        <f t="array" ref="L76">SUM(I36:L36+I39:L39)/SUM(-I40:L41)</f>
        <v>-26.855698056249921</v>
      </c>
      <c r="M76" s="84" cm="1">
        <f t="array" ref="M76">SUM(J36:M36+J39:M39)/SUM(-J40:M41)</f>
        <v>-16.882044188148114</v>
      </c>
      <c r="N76" s="84" cm="1">
        <f t="array" ref="N76">SUM(K36:N36+K39:N39)/SUM(-K40:N41)</f>
        <v>-12.176644204545379</v>
      </c>
      <c r="O76" s="84" cm="1">
        <f t="array" ref="O76">SUM(L36:O36+L39:O39)/SUM(-L40:O41)</f>
        <v>-5.4738737543132494</v>
      </c>
      <c r="P76" s="84" cm="1">
        <f t="array" ref="P76">SUM(M36:P36+M39:P39)/SUM(-M40:P41)</f>
        <v>-0.92100139297317851</v>
      </c>
      <c r="Q76" s="84" cm="1">
        <f t="array" ref="Q76">SUM(N36:Q36+N39:Q39)/SUM(-N40:Q41)</f>
        <v>1.5822040572052503</v>
      </c>
      <c r="R76" s="84" cm="1">
        <f t="array" ref="R76">SUM(O36:R36+O39:R39)/SUM(-O40:R41)</f>
        <v>9.089730899855768</v>
      </c>
      <c r="S76" s="84" cm="1">
        <f t="array" ref="S76">SUM(P36:S36+P39:S39)/SUM(-P40:S41)</f>
        <v>14.279140447675884</v>
      </c>
      <c r="T76" s="84" cm="1">
        <f t="array" ref="T76">SUM(Q36:T36+Q39:T39)/SUM(-Q40:T41)</f>
        <v>3.5173460650666435</v>
      </c>
      <c r="U76" s="84" cm="1">
        <f t="array" ref="U76">SUM(R36:U36+R39:U39)/SUM(-R40:U41)</f>
        <v>0.70410370068619299</v>
      </c>
      <c r="V76" s="84"/>
      <c r="W76" s="84" cm="1">
        <f t="array" ref="W76">SUM(W36+W39)/SUM(-W40:W41)</f>
        <v>-35.073245296507991</v>
      </c>
      <c r="X76" s="84" t="e" cm="1">
        <f t="array" ref="X76">SUM(X36+X39)/SUM(-X40:X41)</f>
        <v>#REF!</v>
      </c>
      <c r="Y76" s="84" t="e" cm="1">
        <f t="array" ref="Y76">SUM(Y36+Y39)/SUM(-Y40:Y41)</f>
        <v>#REF!</v>
      </c>
      <c r="Z76" s="84" t="e" cm="1">
        <f t="array" ref="Z76">SUM(Z36+Z39)/SUM(-Z40:Z41)</f>
        <v>#REF!</v>
      </c>
      <c r="AA76" s="84" t="e" cm="1">
        <f t="array" ref="AA76">SUM(AA36+AA39)/SUM(-AA40:AA41)</f>
        <v>#REF!</v>
      </c>
      <c r="AB76" s="84" t="e" cm="1">
        <f t="array" ref="AB76">SUM(AB36+AB39)/SUM(-AB40:AB41)</f>
        <v>#REF!</v>
      </c>
      <c r="AC76" s="84" t="e" cm="1">
        <f t="array" ref="AC76">SUM(AC36+AC39)/SUM(-AC40:AC41)</f>
        <v>#REF!</v>
      </c>
      <c r="AD76" s="84" t="e" cm="1">
        <f t="array" ref="AD76">SUM(AD36+AD39)/SUM(-AD40:AD41)</f>
        <v>#REF!</v>
      </c>
      <c r="AE76" s="84" cm="1">
        <f t="array" ref="AE76">SUM(AE36+AE39)/SUM(-AE40:AE41)</f>
        <v>1.5822040572052636</v>
      </c>
      <c r="AF76" s="84" cm="1">
        <f t="array" ref="AF76">SUM(AF36+AF39)/SUM(-AF40:AF41)</f>
        <v>9.0897308998557929</v>
      </c>
      <c r="AG76" s="84" cm="1">
        <f t="array" ref="AG76">SUM(AG36+AG39)/SUM(-AG40:AG41)</f>
        <v>14.279140447675919</v>
      </c>
      <c r="AH76" s="84" cm="1">
        <f t="array" ref="AH76">SUM(AH36+AH39)/SUM(-AH40:AH41)</f>
        <v>3.5173460650666382</v>
      </c>
      <c r="AI76" s="84" cm="1">
        <f t="array" ref="AI76">SUM(AI36+AI39)/SUM(-AI40:AI41)</f>
        <v>0.70410370068619355</v>
      </c>
    </row>
    <row r="77" spans="1:35" ht="12.75" customHeight="1">
      <c r="B77" s="33" t="s">
        <v>95</v>
      </c>
      <c r="C77" s="84" cm="1">
        <f t="array" ref="C77">SUM(C36)/SUM(-C39:C41)</f>
        <v>-5.7332061183692522</v>
      </c>
      <c r="D77" s="84" cm="1">
        <f t="array" ref="D77">SUM(D36)/SUM(-D39:D41)</f>
        <v>-0.51766805349247236</v>
      </c>
      <c r="E77" s="84" cm="1">
        <f t="array" ref="E77">SUM(E36)/SUM(-E39:E41)</f>
        <v>3.0089950532013203</v>
      </c>
      <c r="G77" s="39"/>
      <c r="H77" s="39"/>
      <c r="I77" s="39"/>
      <c r="J77" s="84" cm="1">
        <f t="array" ref="J77">SUM(G36:J36)/SUM(-G39:J41)</f>
        <v>-5.7332061183692522</v>
      </c>
      <c r="K77" s="84" cm="1">
        <f t="array" ref="K77">SUM(H36:K36)/SUM(-H39:K41)</f>
        <v>-4.3861083211602701</v>
      </c>
      <c r="L77" s="84" cm="1">
        <f t="array" ref="L77">SUM(I36:L36)/SUM(-I39:L41)</f>
        <v>-2.750882920379031</v>
      </c>
      <c r="M77" s="84" cm="1">
        <f t="array" ref="M77">SUM(J36:M36)/SUM(-J39:M41)</f>
        <v>-1.2046105682482566</v>
      </c>
      <c r="N77" s="84" cm="1">
        <f t="array" ref="N77">SUM(K36:N36)/SUM(-K39:N41)</f>
        <v>-0.51766805349247069</v>
      </c>
      <c r="O77" s="84" cm="1">
        <f t="array" ref="O77">SUM(L36:O36)/SUM(-L39:O41)</f>
        <v>-6.0585917313465104E-2</v>
      </c>
      <c r="P77" s="84" cm="1">
        <f t="array" ref="P77">SUM(M36:P36)/SUM(-M39:P41)</f>
        <v>0.54467172015554233</v>
      </c>
      <c r="Q77" s="84" cm="1">
        <f t="array" ref="Q77">SUM(N36:Q36)/SUM(-N39:Q41)</f>
        <v>1.1844065517679971</v>
      </c>
      <c r="R77" s="84" cm="1">
        <f t="array" ref="R77">SUM(O36:R36)/SUM(-O39:R41)</f>
        <v>3.0089950532013137</v>
      </c>
      <c r="S77" s="84" cm="1">
        <f t="array" ref="S77">SUM(P36:S36)/SUM(-P39:S41)</f>
        <v>3.4676783498978523</v>
      </c>
      <c r="T77" s="84" cm="1">
        <f t="array" ref="T77">SUM(Q36:T36)/SUM(-Q39:T41)</f>
        <v>2.2908180186274971</v>
      </c>
      <c r="U77" s="84" cm="1">
        <f t="array" ref="U77">SUM(R36:U36)/SUM(-R39:U41)</f>
        <v>0.8303896323288108</v>
      </c>
      <c r="V77" s="84"/>
      <c r="W77" s="84" cm="1">
        <f t="array" ref="W77">SUM(W36)/SUM(-W39:W41)</f>
        <v>-5.0435193975392787</v>
      </c>
      <c r="X77" s="84" t="e" cm="1">
        <f t="array" ref="X77">SUM(X36)/SUM(-X39:X41)</f>
        <v>#REF!</v>
      </c>
      <c r="Y77" s="84" t="e" cm="1">
        <f t="array" ref="Y77">SUM(Y36)/SUM(-Y39:Y41)</f>
        <v>#REF!</v>
      </c>
      <c r="Z77" s="84" t="e" cm="1">
        <f t="array" ref="Z77">SUM(Z36)/SUM(-Z39:Z41)</f>
        <v>#REF!</v>
      </c>
      <c r="AA77" s="84" t="e" cm="1">
        <f t="array" ref="AA77">SUM(AA36)/SUM(-AA39:AA41)</f>
        <v>#REF!</v>
      </c>
      <c r="AB77" s="84" t="e" cm="1">
        <f t="array" ref="AB77">SUM(AB36)/SUM(-AB39:AB41)</f>
        <v>#REF!</v>
      </c>
      <c r="AC77" s="84" t="e" cm="1">
        <f t="array" ref="AC77">SUM(AC36)/SUM(-AC39:AC41)</f>
        <v>#REF!</v>
      </c>
      <c r="AD77" s="84" t="e" cm="1">
        <f t="array" ref="AD77">SUM(AD36)/SUM(-AD39:AD41)</f>
        <v>#REF!</v>
      </c>
      <c r="AE77" s="84" cm="1">
        <f t="array" ref="AE77">SUM(AE36)/SUM(-AE39:AE41)</f>
        <v>1.1844065517680014</v>
      </c>
      <c r="AF77" s="84" cm="1">
        <f t="array" ref="AF77">SUM(AF36)/SUM(-AF39:AF41)</f>
        <v>3.0089950532013203</v>
      </c>
      <c r="AG77" s="84" cm="1">
        <f t="array" ref="AG77">SUM(AG36)/SUM(-AG39:AG41)</f>
        <v>3.4676783498978594</v>
      </c>
      <c r="AH77" s="84" cm="1">
        <f t="array" ref="AH77">SUM(AH36)/SUM(-AH39:AH41)</f>
        <v>2.2908180186274945</v>
      </c>
      <c r="AI77" s="84" cm="1">
        <f t="array" ref="AI77">SUM(AI36)/SUM(-AI39:AI41)</f>
        <v>0.83038963232881113</v>
      </c>
    </row>
    <row r="78" spans="1:35" ht="12.75" customHeight="1">
      <c r="B78" s="8" t="s">
        <v>41</v>
      </c>
      <c r="C78" s="84">
        <f>C69/C66</f>
        <v>5.9953796959305627</v>
      </c>
      <c r="D78" s="84">
        <f>D69/D66</f>
        <v>7.7812623750485814</v>
      </c>
      <c r="E78" s="84">
        <f>E69/E66</f>
        <v>5.4017475427090984</v>
      </c>
      <c r="G78" s="39"/>
      <c r="H78" s="39"/>
      <c r="I78" s="39"/>
      <c r="J78" s="84">
        <f t="shared" ref="J78:T78" si="158">J69/J66</f>
        <v>5.9953796959305627</v>
      </c>
      <c r="K78" s="84">
        <f t="shared" si="158"/>
        <v>8.7787994055639746</v>
      </c>
      <c r="L78" s="84">
        <f t="shared" si="158"/>
        <v>7.6005348951075176</v>
      </c>
      <c r="M78" s="84">
        <f t="shared" si="158"/>
        <v>8.7015668441483793</v>
      </c>
      <c r="N78" s="84">
        <f t="shared" si="158"/>
        <v>7.7812623750485814</v>
      </c>
      <c r="O78" s="84">
        <f t="shared" si="158"/>
        <v>7.4850211582854387</v>
      </c>
      <c r="P78" s="84">
        <f t="shared" si="158"/>
        <v>5.1832190496235864</v>
      </c>
      <c r="Q78" s="84">
        <f t="shared" si="158"/>
        <v>5.3700061472288514</v>
      </c>
      <c r="R78" s="84">
        <f t="shared" si="158"/>
        <v>5.4017475427090984</v>
      </c>
      <c r="S78" s="84">
        <f t="shared" si="158"/>
        <v>5.3855075481665793</v>
      </c>
      <c r="T78" s="84">
        <f t="shared" si="158"/>
        <v>4.4513882391388933</v>
      </c>
      <c r="U78" s="84">
        <f>U69/U66</f>
        <v>1.9988562714449105</v>
      </c>
      <c r="V78" s="84"/>
      <c r="W78" s="84">
        <f t="shared" ref="W78:AG78" si="159">W69/W66</f>
        <v>4.8703382858398401</v>
      </c>
      <c r="X78" s="84">
        <f t="shared" si="159"/>
        <v>5.9953796959305627</v>
      </c>
      <c r="Y78" s="84">
        <f t="shared" si="159"/>
        <v>8.7787994055639746</v>
      </c>
      <c r="Z78" s="84">
        <f t="shared" si="159"/>
        <v>7.6005348951075176</v>
      </c>
      <c r="AA78" s="84">
        <f t="shared" si="159"/>
        <v>8.7015668441483793</v>
      </c>
      <c r="AB78" s="84">
        <f t="shared" si="159"/>
        <v>7.7812623750485814</v>
      </c>
      <c r="AC78" s="84">
        <f t="shared" si="159"/>
        <v>7.4850211582854387</v>
      </c>
      <c r="AD78" s="84">
        <f t="shared" si="159"/>
        <v>5.1832190496235864</v>
      </c>
      <c r="AE78" s="84">
        <f t="shared" si="159"/>
        <v>5.3700061472288514</v>
      </c>
      <c r="AF78" s="84">
        <f t="shared" si="159"/>
        <v>5.4017475427090984</v>
      </c>
      <c r="AG78" s="84">
        <f t="shared" si="159"/>
        <v>5.3855075481665793</v>
      </c>
      <c r="AH78" s="84">
        <f>AH69/AH66</f>
        <v>4.4513882391388933</v>
      </c>
      <c r="AI78" s="84">
        <f>AI69/AI66</f>
        <v>1.9988562714449105</v>
      </c>
    </row>
    <row r="79" spans="1:35" ht="5.0999999999999996" customHeight="1" thickBot="1"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</row>
  </sheetData>
  <mergeCells count="1">
    <mergeCell ref="AK2:AK4"/>
  </mergeCells>
  <dataValidations disablePrompts="1"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C43:T44 AJ44:AK44 F39:F41 AJ42 AJ43 F42 G45:U46" formulaRange="1"/>
    <ignoredError sqref="C74:AI78 C9:AI11 C27:AI28 F12 C16:AI17 F26 C31:AI32 C37:AI37 F33 AK36:AK43 V33:AD33 AK8:AK11 F15 V15:AD15 AK15:AK17 AK26:AK28 F30 AK30:AK32 F36 V36:AD36 C73:D73 F73:AI7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Financials</vt:lpstr>
      <vt:lpstr>Revenue Drivers</vt:lpstr>
      <vt:lpstr>Other Segment Analysis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2025-12-01T01:27:23Z</dcterms:modified>
</cp:coreProperties>
</file>