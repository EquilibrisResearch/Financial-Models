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elix\Downloads\"/>
    </mc:Choice>
  </mc:AlternateContent>
  <xr:revisionPtr revIDLastSave="0" documentId="8_{12CACA1E-2236-428C-BB2B-42A88A1B5AB4}" xr6:coauthVersionLast="47" xr6:coauthVersionMax="47" xr10:uidLastSave="{00000000-0000-0000-0000-000000000000}"/>
  <bookViews>
    <workbookView xWindow="-120" yWindow="-120" windowWidth="29040" windowHeight="15720" xr2:uid="{BC9106CE-9107-4097-8948-317996376CB5}"/>
  </bookViews>
  <sheets>
    <sheet name="Historical Financials" sheetId="8" r:id="rId1"/>
    <sheet name="EPS" sheetId="18" r:id="rId2"/>
    <sheet name="Revenue Drivers" sheetId="10" r:id="rId3"/>
    <sheet name="Other Segment Analysis" sheetId="21" r:id="rId4"/>
    <sheet name="FCF" sheetId="9" r:id="rId5"/>
    <sheet name="3-Statement Model" sheetId="14" r:id="rId6"/>
    <sheet name="Sheet1" sheetId="19" r:id="rId7"/>
    <sheet name="DCF" sheetId="12" r:id="rId8"/>
    <sheet name="WACC" sheetId="16" r:id="rId9"/>
    <sheet name="Shares" sheetId="17" r:id="rId10"/>
    <sheet name="Drivers" sheetId="20" r:id="rId11"/>
  </sheets>
  <externalReferences>
    <externalReference r:id="rId1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0" l="1"/>
  <c r="B2" i="17"/>
  <c r="B2" i="16"/>
  <c r="B2" i="12"/>
  <c r="B2" i="19"/>
  <c r="B2" i="14"/>
  <c r="B2" i="18"/>
  <c r="J76" i="8"/>
  <c r="J73" i="8"/>
  <c r="J72" i="8"/>
  <c r="J23" i="8"/>
  <c r="AH23" i="8" s="1"/>
  <c r="J22" i="8"/>
  <c r="AG22" i="8" s="1"/>
  <c r="J21" i="8"/>
  <c r="AG21" i="8" s="1"/>
  <c r="J20" i="8"/>
  <c r="AH20" i="8" s="1"/>
  <c r="J19" i="8"/>
  <c r="AF19" i="8" s="1"/>
  <c r="AD23" i="8"/>
  <c r="AH22" i="8"/>
  <c r="AD22" i="8"/>
  <c r="AD21" i="8"/>
  <c r="AG20" i="8"/>
  <c r="AF20" i="8"/>
  <c r="AE20" i="8"/>
  <c r="AD20" i="8"/>
  <c r="AD19" i="8"/>
  <c r="AH15" i="8"/>
  <c r="AG15" i="8"/>
  <c r="AF15" i="8"/>
  <c r="AE15" i="8"/>
  <c r="AE16" i="8" s="1"/>
  <c r="AD15" i="8"/>
  <c r="AH14" i="8"/>
  <c r="AG14" i="8"/>
  <c r="AF14" i="8"/>
  <c r="AE14" i="8"/>
  <c r="AD14" i="8"/>
  <c r="AD16" i="8"/>
  <c r="M16" i="8"/>
  <c r="L16" i="8"/>
  <c r="K16" i="8"/>
  <c r="J16" i="8"/>
  <c r="I16" i="8"/>
  <c r="H16" i="8"/>
  <c r="G16" i="8"/>
  <c r="J15" i="8"/>
  <c r="J14" i="8"/>
  <c r="D16" i="8"/>
  <c r="C16" i="8"/>
  <c r="E16" i="8"/>
  <c r="J28" i="10"/>
  <c r="J18" i="10"/>
  <c r="J17" i="10"/>
  <c r="J16" i="10"/>
  <c r="U70" i="10"/>
  <c r="R70" i="10"/>
  <c r="M70" i="10"/>
  <c r="L70" i="10"/>
  <c r="K70" i="10"/>
  <c r="I70" i="10"/>
  <c r="H70" i="10"/>
  <c r="G70" i="10"/>
  <c r="E70" i="10"/>
  <c r="D70" i="10"/>
  <c r="C70" i="10"/>
  <c r="Y69" i="10"/>
  <c r="Y70" i="10" s="1"/>
  <c r="AA70" i="10" s="1"/>
  <c r="U69" i="10"/>
  <c r="T69" i="10"/>
  <c r="T70" i="10" s="1"/>
  <c r="S69" i="10"/>
  <c r="S70" i="10" s="1"/>
  <c r="R69" i="10"/>
  <c r="Q69" i="10"/>
  <c r="Q70" i="10" s="1"/>
  <c r="P69" i="10"/>
  <c r="P70" i="10" s="1"/>
  <c r="O69" i="10"/>
  <c r="O70" i="10" s="1"/>
  <c r="J69" i="10"/>
  <c r="V69" i="10" s="1"/>
  <c r="V70" i="10" s="1"/>
  <c r="B90" i="21"/>
  <c r="B89" i="21"/>
  <c r="B88" i="21"/>
  <c r="B87" i="21"/>
  <c r="B86" i="21"/>
  <c r="B85" i="21"/>
  <c r="B84" i="21"/>
  <c r="Y82" i="21"/>
  <c r="AA82" i="21" s="1"/>
  <c r="X82" i="21"/>
  <c r="W82" i="21"/>
  <c r="V82" i="21"/>
  <c r="U82" i="21"/>
  <c r="T82" i="21"/>
  <c r="S82" i="21"/>
  <c r="R82" i="21"/>
  <c r="Q82" i="21"/>
  <c r="P82" i="21"/>
  <c r="O82" i="21"/>
  <c r="M82" i="21"/>
  <c r="L82" i="21"/>
  <c r="K82" i="21"/>
  <c r="I82" i="21"/>
  <c r="H82" i="21"/>
  <c r="G82" i="21"/>
  <c r="E82" i="21"/>
  <c r="D82" i="21"/>
  <c r="C82" i="21"/>
  <c r="J75" i="21"/>
  <c r="J82" i="21" s="1"/>
  <c r="B72" i="21"/>
  <c r="B71" i="21"/>
  <c r="B70" i="21"/>
  <c r="B69" i="21"/>
  <c r="B68" i="21"/>
  <c r="B67" i="21"/>
  <c r="B66" i="21"/>
  <c r="AA64" i="21"/>
  <c r="Y64" i="21"/>
  <c r="X64" i="21"/>
  <c r="W64" i="21"/>
  <c r="V64" i="21"/>
  <c r="U64" i="21"/>
  <c r="T64" i="21"/>
  <c r="S64" i="21"/>
  <c r="R64" i="21"/>
  <c r="Q64" i="21"/>
  <c r="P64" i="21"/>
  <c r="O64" i="21"/>
  <c r="M64" i="21"/>
  <c r="L64" i="21"/>
  <c r="K64" i="21"/>
  <c r="I64" i="21"/>
  <c r="H64" i="21"/>
  <c r="G64" i="21"/>
  <c r="E64" i="21"/>
  <c r="D64" i="21"/>
  <c r="C64" i="21"/>
  <c r="J57" i="21"/>
  <c r="J64" i="21" s="1"/>
  <c r="B54" i="21"/>
  <c r="B53" i="21"/>
  <c r="B52" i="21"/>
  <c r="B51" i="21"/>
  <c r="B50" i="21"/>
  <c r="B49" i="21"/>
  <c r="B48" i="21"/>
  <c r="U66" i="10"/>
  <c r="P66" i="10"/>
  <c r="M66" i="10"/>
  <c r="L66" i="10"/>
  <c r="K66" i="10"/>
  <c r="I66" i="10"/>
  <c r="H66" i="10"/>
  <c r="G66" i="10"/>
  <c r="E66" i="10"/>
  <c r="D66" i="10"/>
  <c r="C66" i="10"/>
  <c r="U65" i="10"/>
  <c r="T65" i="10"/>
  <c r="T66" i="10" s="1"/>
  <c r="S65" i="10"/>
  <c r="S66" i="10" s="1"/>
  <c r="R65" i="10"/>
  <c r="R66" i="10" s="1"/>
  <c r="Q65" i="10"/>
  <c r="Q66" i="10" s="1"/>
  <c r="P65" i="10"/>
  <c r="O65" i="10"/>
  <c r="O66" i="10" s="1"/>
  <c r="J65" i="10"/>
  <c r="X65" i="10" s="1"/>
  <c r="X66" i="10" s="1"/>
  <c r="M46" i="21"/>
  <c r="L46" i="21"/>
  <c r="K46" i="21"/>
  <c r="I46" i="21"/>
  <c r="H46" i="21"/>
  <c r="G46" i="21"/>
  <c r="E46" i="21"/>
  <c r="D46" i="21"/>
  <c r="C46" i="21"/>
  <c r="U46" i="21"/>
  <c r="T46" i="21"/>
  <c r="S46" i="21"/>
  <c r="R46" i="21"/>
  <c r="Q46" i="21"/>
  <c r="P46" i="21"/>
  <c r="O46" i="21"/>
  <c r="V46" i="21"/>
  <c r="J39" i="21"/>
  <c r="E34" i="21"/>
  <c r="D34" i="21"/>
  <c r="C34" i="21"/>
  <c r="T30" i="21"/>
  <c r="S30" i="21"/>
  <c r="R30" i="21"/>
  <c r="Q30" i="21"/>
  <c r="P30" i="21"/>
  <c r="O30" i="21"/>
  <c r="M30" i="21"/>
  <c r="L30" i="21"/>
  <c r="K30" i="21"/>
  <c r="I30" i="21"/>
  <c r="H30" i="21"/>
  <c r="G30" i="21"/>
  <c r="U28" i="21"/>
  <c r="U30" i="21" s="1"/>
  <c r="M20" i="21"/>
  <c r="M21" i="21" s="1"/>
  <c r="L20" i="21"/>
  <c r="L21" i="21" s="1"/>
  <c r="K20" i="21"/>
  <c r="K21" i="21" s="1"/>
  <c r="I20" i="21"/>
  <c r="I21" i="21" s="1"/>
  <c r="H20" i="21"/>
  <c r="H21" i="21" s="1"/>
  <c r="G20" i="21"/>
  <c r="G21" i="21" s="1"/>
  <c r="U18" i="21"/>
  <c r="E18" i="21"/>
  <c r="J18" i="21" s="1"/>
  <c r="D18" i="21"/>
  <c r="C18" i="21"/>
  <c r="E17" i="21"/>
  <c r="D17" i="21"/>
  <c r="C17" i="21"/>
  <c r="U16" i="21"/>
  <c r="T16" i="21"/>
  <c r="T20" i="21" s="1"/>
  <c r="S16" i="21"/>
  <c r="S20" i="21" s="1"/>
  <c r="R16" i="21"/>
  <c r="R20" i="21" s="1"/>
  <c r="Q16" i="21"/>
  <c r="Q20" i="21" s="1"/>
  <c r="P16" i="21"/>
  <c r="P20" i="21" s="1"/>
  <c r="O16" i="21"/>
  <c r="O20" i="21" s="1"/>
  <c r="E16" i="21"/>
  <c r="J16" i="21" s="1"/>
  <c r="D16" i="21"/>
  <c r="C16" i="21"/>
  <c r="M12" i="21"/>
  <c r="L12" i="21"/>
  <c r="K12" i="21"/>
  <c r="I12" i="21"/>
  <c r="H12" i="21"/>
  <c r="G12" i="21"/>
  <c r="E12" i="21"/>
  <c r="D12" i="21"/>
  <c r="C12" i="21"/>
  <c r="C13" i="21" s="1"/>
  <c r="U11" i="21"/>
  <c r="J11" i="21"/>
  <c r="X11" i="21" s="1"/>
  <c r="U9" i="21"/>
  <c r="T9" i="21"/>
  <c r="T12" i="21" s="1"/>
  <c r="S9" i="21"/>
  <c r="S12" i="21" s="1"/>
  <c r="R9" i="21"/>
  <c r="R12" i="21" s="1"/>
  <c r="Q9" i="21"/>
  <c r="Q12" i="21" s="1"/>
  <c r="P9" i="21"/>
  <c r="P12" i="21" s="1"/>
  <c r="O9" i="21"/>
  <c r="O12" i="21" s="1"/>
  <c r="J9" i="21"/>
  <c r="Y9" i="21" s="1"/>
  <c r="R4" i="21"/>
  <c r="Q4" i="21"/>
  <c r="P4" i="21"/>
  <c r="O4" i="21"/>
  <c r="M4" i="21"/>
  <c r="Y4" i="21" s="1"/>
  <c r="L4" i="21"/>
  <c r="X4" i="21" s="1"/>
  <c r="K4" i="21"/>
  <c r="W4" i="21" s="1"/>
  <c r="I4" i="21"/>
  <c r="U4" i="21" s="1"/>
  <c r="H4" i="21"/>
  <c r="T4" i="21" s="1"/>
  <c r="G4" i="21"/>
  <c r="S4" i="21" s="1"/>
  <c r="E4" i="21"/>
  <c r="D4" i="21"/>
  <c r="C4" i="21"/>
  <c r="R3" i="21"/>
  <c r="Q3" i="21"/>
  <c r="P3" i="21"/>
  <c r="O3" i="21"/>
  <c r="M3" i="21"/>
  <c r="Y3" i="21" s="1"/>
  <c r="L3" i="21"/>
  <c r="X3" i="21" s="1"/>
  <c r="K3" i="21"/>
  <c r="W3" i="21" s="1"/>
  <c r="J3" i="21"/>
  <c r="V3" i="21" s="1"/>
  <c r="I3" i="21"/>
  <c r="U3" i="21" s="1"/>
  <c r="H3" i="21"/>
  <c r="T3" i="21" s="1"/>
  <c r="G3" i="21"/>
  <c r="S3" i="21" s="1"/>
  <c r="E3" i="21"/>
  <c r="D3" i="21"/>
  <c r="C3" i="21"/>
  <c r="B2" i="21"/>
  <c r="E15" i="10"/>
  <c r="D30" i="10"/>
  <c r="C30" i="10"/>
  <c r="E30" i="10"/>
  <c r="E28" i="10"/>
  <c r="D28" i="10"/>
  <c r="C28" i="10"/>
  <c r="E27" i="10"/>
  <c r="D27" i="10"/>
  <c r="C27" i="10"/>
  <c r="D33" i="10"/>
  <c r="C33" i="10"/>
  <c r="E33" i="10"/>
  <c r="T29" i="10"/>
  <c r="O29" i="10"/>
  <c r="M29" i="10"/>
  <c r="L29" i="10"/>
  <c r="K29" i="10"/>
  <c r="I29" i="10"/>
  <c r="H29" i="10"/>
  <c r="G29" i="10"/>
  <c r="U27" i="10"/>
  <c r="U29" i="10" s="1"/>
  <c r="J27" i="10"/>
  <c r="S29" i="10"/>
  <c r="R29" i="10"/>
  <c r="Q29" i="10"/>
  <c r="P29" i="10"/>
  <c r="E17" i="10"/>
  <c r="D17" i="10"/>
  <c r="C17" i="10"/>
  <c r="E16" i="10"/>
  <c r="D16" i="10"/>
  <c r="C16" i="10"/>
  <c r="D15" i="10"/>
  <c r="C15" i="10"/>
  <c r="M19" i="10"/>
  <c r="M20" i="10" s="1"/>
  <c r="L19" i="10"/>
  <c r="L20" i="10" s="1"/>
  <c r="K19" i="10"/>
  <c r="K20" i="10" s="1"/>
  <c r="I19" i="10"/>
  <c r="I20" i="10" s="1"/>
  <c r="H19" i="10"/>
  <c r="H20" i="10" s="1"/>
  <c r="G19" i="10"/>
  <c r="G20" i="10" s="1"/>
  <c r="U17" i="10"/>
  <c r="U15" i="10"/>
  <c r="T15" i="10"/>
  <c r="T19" i="10" s="1"/>
  <c r="S15" i="10"/>
  <c r="S19" i="10" s="1"/>
  <c r="R15" i="10"/>
  <c r="R19" i="10" s="1"/>
  <c r="Q15" i="10"/>
  <c r="Q19" i="10" s="1"/>
  <c r="P15" i="10"/>
  <c r="P19" i="10" s="1"/>
  <c r="O15" i="10"/>
  <c r="O19" i="10" s="1"/>
  <c r="J38" i="10"/>
  <c r="M50" i="10"/>
  <c r="L50" i="10"/>
  <c r="K50" i="10"/>
  <c r="I50" i="10"/>
  <c r="H50" i="10"/>
  <c r="G50" i="10"/>
  <c r="U49" i="10"/>
  <c r="U50" i="10" s="1"/>
  <c r="T49" i="10"/>
  <c r="T50" i="10" s="1"/>
  <c r="S49" i="10"/>
  <c r="S50" i="10" s="1"/>
  <c r="R49" i="10"/>
  <c r="R50" i="10" s="1"/>
  <c r="Q49" i="10"/>
  <c r="Q50" i="10" s="1"/>
  <c r="P49" i="10"/>
  <c r="P50" i="10" s="1"/>
  <c r="O49" i="10"/>
  <c r="O50" i="10" s="1"/>
  <c r="M40" i="10"/>
  <c r="L40" i="10"/>
  <c r="K40" i="10"/>
  <c r="I40" i="10"/>
  <c r="H40" i="10"/>
  <c r="G40" i="10"/>
  <c r="E40" i="10"/>
  <c r="E49" i="10" s="1"/>
  <c r="J49" i="10" s="1"/>
  <c r="W49" i="10" s="1"/>
  <c r="W50" i="10" s="1"/>
  <c r="D40" i="10"/>
  <c r="D47" i="10" s="1"/>
  <c r="C40" i="10"/>
  <c r="C47" i="10" s="1"/>
  <c r="M62" i="10"/>
  <c r="L62" i="10"/>
  <c r="K62" i="10"/>
  <c r="I62" i="10"/>
  <c r="H62" i="10"/>
  <c r="G62" i="10"/>
  <c r="E62" i="10"/>
  <c r="D62" i="10"/>
  <c r="C62" i="10"/>
  <c r="U61" i="10"/>
  <c r="U62" i="10" s="1"/>
  <c r="T61" i="10"/>
  <c r="T62" i="10" s="1"/>
  <c r="S61" i="10"/>
  <c r="S62" i="10" s="1"/>
  <c r="R61" i="10"/>
  <c r="R62" i="10" s="1"/>
  <c r="Q61" i="10"/>
  <c r="Q62" i="10" s="1"/>
  <c r="P61" i="10"/>
  <c r="P62" i="10" s="1"/>
  <c r="O61" i="10"/>
  <c r="O62" i="10" s="1"/>
  <c r="J61" i="10"/>
  <c r="W61" i="10" s="1"/>
  <c r="W62" i="10" s="1"/>
  <c r="M58" i="10"/>
  <c r="L58" i="10"/>
  <c r="K58" i="10"/>
  <c r="I58" i="10"/>
  <c r="H58" i="10"/>
  <c r="G58" i="10"/>
  <c r="E58" i="10"/>
  <c r="D58" i="10"/>
  <c r="C58" i="10"/>
  <c r="U57" i="10"/>
  <c r="U58" i="10" s="1"/>
  <c r="T57" i="10"/>
  <c r="T58" i="10" s="1"/>
  <c r="S57" i="10"/>
  <c r="S58" i="10" s="1"/>
  <c r="R57" i="10"/>
  <c r="R58" i="10" s="1"/>
  <c r="Q57" i="10"/>
  <c r="Q58" i="10" s="1"/>
  <c r="P57" i="10"/>
  <c r="P58" i="10" s="1"/>
  <c r="O57" i="10"/>
  <c r="O58" i="10" s="1"/>
  <c r="J57" i="10"/>
  <c r="X57" i="10" s="1"/>
  <c r="X58" i="10" s="1"/>
  <c r="M54" i="10"/>
  <c r="L54" i="10"/>
  <c r="K54" i="10"/>
  <c r="I54" i="10"/>
  <c r="H54" i="10"/>
  <c r="G54" i="10"/>
  <c r="E54" i="10"/>
  <c r="D54" i="10"/>
  <c r="C54" i="10"/>
  <c r="U53" i="10"/>
  <c r="U54" i="10" s="1"/>
  <c r="T53" i="10"/>
  <c r="T54" i="10" s="1"/>
  <c r="S53" i="10"/>
  <c r="S54" i="10" s="1"/>
  <c r="R53" i="10"/>
  <c r="R54" i="10" s="1"/>
  <c r="Q53" i="10"/>
  <c r="Q54" i="10" s="1"/>
  <c r="P53" i="10"/>
  <c r="P54" i="10" s="1"/>
  <c r="O53" i="10"/>
  <c r="O54" i="10" s="1"/>
  <c r="J53" i="10"/>
  <c r="V53" i="10" s="1"/>
  <c r="V54" i="10" s="1"/>
  <c r="J39" i="10"/>
  <c r="X39" i="10" s="1"/>
  <c r="O39" i="10"/>
  <c r="P39" i="10"/>
  <c r="Q39" i="10"/>
  <c r="R39" i="10"/>
  <c r="S39" i="10"/>
  <c r="T39" i="10"/>
  <c r="U39" i="10"/>
  <c r="J10" i="10"/>
  <c r="J9" i="10"/>
  <c r="E11" i="10"/>
  <c r="D11" i="10"/>
  <c r="C11" i="10"/>
  <c r="J31" i="18"/>
  <c r="J29" i="18"/>
  <c r="M183" i="19"/>
  <c r="H187" i="19"/>
  <c r="G187" i="19"/>
  <c r="F187" i="19"/>
  <c r="E187" i="19"/>
  <c r="D187" i="19"/>
  <c r="C187" i="19"/>
  <c r="L183" i="19"/>
  <c r="L187" i="19" s="1"/>
  <c r="N183" i="19" s="1"/>
  <c r="N187" i="19" s="1"/>
  <c r="P183" i="19" s="1"/>
  <c r="P187" i="19" s="1"/>
  <c r="Q180" i="19"/>
  <c r="P180" i="19"/>
  <c r="O180" i="19"/>
  <c r="N180" i="19"/>
  <c r="M180" i="19"/>
  <c r="L180" i="19"/>
  <c r="M187" i="19"/>
  <c r="O183" i="19" s="1"/>
  <c r="O187" i="19" s="1"/>
  <c r="Q183" i="19" s="1"/>
  <c r="Q187" i="19" s="1"/>
  <c r="Q200" i="19"/>
  <c r="P200" i="19"/>
  <c r="O200" i="19"/>
  <c r="N200" i="19"/>
  <c r="M200" i="19"/>
  <c r="L200" i="19"/>
  <c r="Q194" i="19"/>
  <c r="P194" i="19"/>
  <c r="O194" i="19"/>
  <c r="N194" i="19"/>
  <c r="M194" i="19"/>
  <c r="L194" i="19"/>
  <c r="L153" i="19"/>
  <c r="M154" i="19"/>
  <c r="N154" i="19" s="1"/>
  <c r="AG19" i="8" l="1"/>
  <c r="AH19" i="8"/>
  <c r="AE19" i="8"/>
  <c r="AH21" i="8"/>
  <c r="AF23" i="8"/>
  <c r="AG23" i="8"/>
  <c r="AE23" i="8"/>
  <c r="AF22" i="8"/>
  <c r="AE21" i="8"/>
  <c r="AF21" i="8"/>
  <c r="AE22" i="8"/>
  <c r="Y17" i="10"/>
  <c r="W69" i="10"/>
  <c r="W70" i="10" s="1"/>
  <c r="X69" i="10"/>
  <c r="X70" i="10" s="1"/>
  <c r="J70" i="10"/>
  <c r="AA69" i="10"/>
  <c r="U12" i="21"/>
  <c r="C29" i="21"/>
  <c r="Y65" i="10"/>
  <c r="J66" i="10"/>
  <c r="W65" i="10"/>
  <c r="W66" i="10" s="1"/>
  <c r="V65" i="10"/>
  <c r="V66" i="10" s="1"/>
  <c r="C19" i="21"/>
  <c r="C20" i="21" s="1"/>
  <c r="C21" i="21" s="1"/>
  <c r="J20" i="21"/>
  <c r="D19" i="21"/>
  <c r="D20" i="21" s="1"/>
  <c r="D21" i="21" s="1"/>
  <c r="U20" i="21"/>
  <c r="V11" i="21"/>
  <c r="J46" i="21"/>
  <c r="Y11" i="21"/>
  <c r="AA11" i="21" s="1"/>
  <c r="E19" i="21"/>
  <c r="E20" i="21" s="1"/>
  <c r="E21" i="21" s="1"/>
  <c r="D29" i="21"/>
  <c r="E29" i="21"/>
  <c r="V18" i="21"/>
  <c r="Y18" i="21"/>
  <c r="AA18" i="21" s="1"/>
  <c r="X18" i="21"/>
  <c r="W18" i="21"/>
  <c r="AA9" i="21"/>
  <c r="V9" i="21"/>
  <c r="W11" i="21"/>
  <c r="X46" i="21"/>
  <c r="W46" i="21"/>
  <c r="W9" i="21"/>
  <c r="W16" i="21"/>
  <c r="D28" i="21"/>
  <c r="X9" i="21"/>
  <c r="X12" i="21" s="1"/>
  <c r="J12" i="21"/>
  <c r="V16" i="21"/>
  <c r="C28" i="21"/>
  <c r="X16" i="21"/>
  <c r="E28" i="21"/>
  <c r="Y16" i="21"/>
  <c r="E29" i="10"/>
  <c r="W27" i="10"/>
  <c r="W29" i="10" s="1"/>
  <c r="V27" i="10"/>
  <c r="V29" i="10" s="1"/>
  <c r="Y27" i="10"/>
  <c r="AA27" i="10" s="1"/>
  <c r="X27" i="10"/>
  <c r="X29" i="10" s="1"/>
  <c r="J29" i="10"/>
  <c r="C29" i="10"/>
  <c r="D29" i="10"/>
  <c r="D18" i="10"/>
  <c r="D19" i="10" s="1"/>
  <c r="D20" i="10" s="1"/>
  <c r="E18" i="10"/>
  <c r="E19" i="10" s="1"/>
  <c r="E20" i="10" s="1"/>
  <c r="C18" i="10"/>
  <c r="C19" i="10" s="1"/>
  <c r="C20" i="10" s="1"/>
  <c r="J15" i="10"/>
  <c r="Y15" i="10" s="1"/>
  <c r="AA15" i="10" s="1"/>
  <c r="U19" i="10"/>
  <c r="AA17" i="10"/>
  <c r="X17" i="10"/>
  <c r="V17" i="10"/>
  <c r="W17" i="10"/>
  <c r="E47" i="10"/>
  <c r="J47" i="10" s="1"/>
  <c r="C48" i="10"/>
  <c r="D48" i="10"/>
  <c r="C49" i="10"/>
  <c r="E48" i="10"/>
  <c r="J48" i="10" s="1"/>
  <c r="D49" i="10"/>
  <c r="X49" i="10"/>
  <c r="X50" i="10" s="1"/>
  <c r="Y49" i="10"/>
  <c r="V49" i="10"/>
  <c r="V50" i="10" s="1"/>
  <c r="J40" i="10"/>
  <c r="Y61" i="10"/>
  <c r="J62" i="10"/>
  <c r="X61" i="10"/>
  <c r="X62" i="10" s="1"/>
  <c r="V61" i="10"/>
  <c r="V62" i="10" s="1"/>
  <c r="Y57" i="10"/>
  <c r="J58" i="10"/>
  <c r="V57" i="10"/>
  <c r="V58" i="10" s="1"/>
  <c r="W57" i="10"/>
  <c r="W58" i="10" s="1"/>
  <c r="W53" i="10"/>
  <c r="W54" i="10" s="1"/>
  <c r="J54" i="10"/>
  <c r="Y53" i="10"/>
  <c r="X53" i="10"/>
  <c r="X54" i="10" s="1"/>
  <c r="V39" i="10"/>
  <c r="W39" i="10"/>
  <c r="Y39" i="10"/>
  <c r="AA39" i="10" s="1"/>
  <c r="O154" i="19"/>
  <c r="P154" i="19" s="1"/>
  <c r="Q154" i="19" s="1"/>
  <c r="H154" i="19"/>
  <c r="H158" i="19" s="1"/>
  <c r="L158" i="19" s="1"/>
  <c r="G154" i="19"/>
  <c r="G158" i="19" s="1"/>
  <c r="F154" i="19"/>
  <c r="F158" i="19" s="1"/>
  <c r="E154" i="19"/>
  <c r="E158" i="19" s="1"/>
  <c r="D154" i="19"/>
  <c r="D158" i="19" s="1"/>
  <c r="C154" i="19"/>
  <c r="C158" i="19" s="1"/>
  <c r="C153" i="19"/>
  <c r="Q138" i="19"/>
  <c r="P138" i="19"/>
  <c r="O138" i="19"/>
  <c r="N138" i="19"/>
  <c r="M138" i="19"/>
  <c r="L138" i="19"/>
  <c r="B126" i="19"/>
  <c r="B125" i="19"/>
  <c r="C116" i="19"/>
  <c r="D116" i="19"/>
  <c r="E116" i="19"/>
  <c r="F116" i="19"/>
  <c r="G116" i="19"/>
  <c r="H116" i="19"/>
  <c r="L116" i="19" s="1"/>
  <c r="C117" i="19"/>
  <c r="D117" i="19"/>
  <c r="E117" i="19"/>
  <c r="F117" i="19"/>
  <c r="G117" i="19"/>
  <c r="H117" i="19"/>
  <c r="C118" i="19"/>
  <c r="D118" i="19"/>
  <c r="E118" i="19"/>
  <c r="F118" i="19"/>
  <c r="G118" i="19"/>
  <c r="H118" i="19"/>
  <c r="L118" i="19" s="1"/>
  <c r="M118" i="19" s="1"/>
  <c r="N118" i="19" s="1"/>
  <c r="O118" i="19" s="1"/>
  <c r="P118" i="19" s="1"/>
  <c r="Q118" i="19" s="1"/>
  <c r="C119" i="19"/>
  <c r="D119" i="19"/>
  <c r="E119" i="19"/>
  <c r="F119" i="19"/>
  <c r="G119" i="19"/>
  <c r="H119" i="19"/>
  <c r="H112" i="19"/>
  <c r="G112" i="19"/>
  <c r="E112" i="19"/>
  <c r="D112" i="19"/>
  <c r="C112" i="19"/>
  <c r="H111" i="19"/>
  <c r="L111" i="19" s="1"/>
  <c r="M111" i="19" s="1"/>
  <c r="N111" i="19" s="1"/>
  <c r="O111" i="19" s="1"/>
  <c r="P111" i="19" s="1"/>
  <c r="Q111" i="19" s="1"/>
  <c r="G111" i="19"/>
  <c r="F111" i="19"/>
  <c r="E111" i="19"/>
  <c r="D111" i="19"/>
  <c r="C111" i="19"/>
  <c r="H110" i="19"/>
  <c r="L110" i="19" s="1"/>
  <c r="G110" i="19"/>
  <c r="E110" i="19"/>
  <c r="D110" i="19"/>
  <c r="C110" i="19"/>
  <c r="H108" i="19"/>
  <c r="L108" i="19" s="1"/>
  <c r="M108" i="19" s="1"/>
  <c r="N108" i="19" s="1"/>
  <c r="O108" i="19" s="1"/>
  <c r="P108" i="19" s="1"/>
  <c r="Q108" i="19" s="1"/>
  <c r="Q140" i="19" s="1"/>
  <c r="Q144" i="19" s="1"/>
  <c r="G108" i="19"/>
  <c r="F108" i="19"/>
  <c r="E108" i="19"/>
  <c r="D108" i="19"/>
  <c r="C108" i="19"/>
  <c r="H104" i="19"/>
  <c r="G104" i="19"/>
  <c r="F104" i="19"/>
  <c r="E104" i="19"/>
  <c r="D104" i="19"/>
  <c r="C104" i="19"/>
  <c r="H103" i="19"/>
  <c r="G103" i="19"/>
  <c r="F103" i="19"/>
  <c r="E103" i="19"/>
  <c r="D103" i="19"/>
  <c r="C103" i="19"/>
  <c r="H102" i="19"/>
  <c r="L102" i="19" s="1"/>
  <c r="M102" i="19" s="1"/>
  <c r="N102" i="19" s="1"/>
  <c r="O102" i="19" s="1"/>
  <c r="P102" i="19" s="1"/>
  <c r="Q102" i="19" s="1"/>
  <c r="F102" i="19"/>
  <c r="E102" i="19"/>
  <c r="D102" i="19"/>
  <c r="C102" i="19"/>
  <c r="H101" i="19"/>
  <c r="L101" i="19" s="1"/>
  <c r="M101" i="19" s="1"/>
  <c r="N101" i="19" s="1"/>
  <c r="O101" i="19" s="1"/>
  <c r="P101" i="19" s="1"/>
  <c r="Q101" i="19" s="1"/>
  <c r="G101" i="19"/>
  <c r="F101" i="19"/>
  <c r="E101" i="19"/>
  <c r="D101" i="19"/>
  <c r="C101" i="19"/>
  <c r="H100" i="19"/>
  <c r="G100" i="19"/>
  <c r="F100" i="19"/>
  <c r="E100" i="19"/>
  <c r="D100" i="19"/>
  <c r="C100" i="19"/>
  <c r="H96" i="19"/>
  <c r="G96" i="19"/>
  <c r="E96" i="19"/>
  <c r="D96" i="19"/>
  <c r="C96" i="19"/>
  <c r="H95" i="19"/>
  <c r="L95" i="19" s="1"/>
  <c r="M95" i="19" s="1"/>
  <c r="N95" i="19" s="1"/>
  <c r="O95" i="19" s="1"/>
  <c r="P95" i="19" s="1"/>
  <c r="Q95" i="19" s="1"/>
  <c r="G95" i="19"/>
  <c r="F95" i="19"/>
  <c r="E95" i="19"/>
  <c r="D95" i="19"/>
  <c r="C95" i="19"/>
  <c r="H94" i="19"/>
  <c r="L94" i="19" s="1"/>
  <c r="M94" i="19" s="1"/>
  <c r="N94" i="19" s="1"/>
  <c r="O94" i="19" s="1"/>
  <c r="P94" i="19" s="1"/>
  <c r="Q94" i="19" s="1"/>
  <c r="G94" i="19"/>
  <c r="F94" i="19"/>
  <c r="E94" i="19"/>
  <c r="D94" i="19"/>
  <c r="C94" i="19"/>
  <c r="H93" i="19"/>
  <c r="H156" i="19" s="1"/>
  <c r="G93" i="19"/>
  <c r="G156" i="19" s="1"/>
  <c r="F93" i="19"/>
  <c r="F156" i="19" s="1"/>
  <c r="E93" i="19"/>
  <c r="E156" i="19" s="1"/>
  <c r="D93" i="19"/>
  <c r="D156" i="19" s="1"/>
  <c r="C93" i="19"/>
  <c r="C156" i="19" s="1"/>
  <c r="D153" i="19" s="1"/>
  <c r="H92" i="19"/>
  <c r="L92" i="19" s="1"/>
  <c r="M92" i="19" s="1"/>
  <c r="N92" i="19" s="1"/>
  <c r="O92" i="19" s="1"/>
  <c r="P92" i="19" s="1"/>
  <c r="Q92" i="19" s="1"/>
  <c r="G92" i="19"/>
  <c r="F92" i="19"/>
  <c r="E92" i="19"/>
  <c r="D92" i="19"/>
  <c r="C92" i="19"/>
  <c r="H91" i="19"/>
  <c r="L91" i="19" s="1"/>
  <c r="M91" i="19" s="1"/>
  <c r="N91" i="19" s="1"/>
  <c r="O91" i="19" s="1"/>
  <c r="P91" i="19" s="1"/>
  <c r="Q91" i="19" s="1"/>
  <c r="G91" i="19"/>
  <c r="F91" i="19"/>
  <c r="E91" i="19"/>
  <c r="D91" i="19"/>
  <c r="C91" i="19"/>
  <c r="H87" i="19"/>
  <c r="G87" i="19"/>
  <c r="E87" i="19"/>
  <c r="D87" i="19"/>
  <c r="C87" i="19"/>
  <c r="H86" i="19"/>
  <c r="G86" i="19"/>
  <c r="F86" i="19"/>
  <c r="E86" i="19"/>
  <c r="D86" i="19"/>
  <c r="C86" i="19"/>
  <c r="H85" i="19"/>
  <c r="L85" i="19" s="1"/>
  <c r="M85" i="19" s="1"/>
  <c r="N85" i="19" s="1"/>
  <c r="O85" i="19" s="1"/>
  <c r="P85" i="19" s="1"/>
  <c r="Q85" i="19" s="1"/>
  <c r="G85" i="19"/>
  <c r="F85" i="19"/>
  <c r="E85" i="19"/>
  <c r="D85" i="19"/>
  <c r="C85" i="19"/>
  <c r="H84" i="19"/>
  <c r="G84" i="19"/>
  <c r="F84" i="19"/>
  <c r="E84" i="19"/>
  <c r="D84" i="19"/>
  <c r="C84" i="19"/>
  <c r="B81" i="19"/>
  <c r="L16" i="19"/>
  <c r="M16" i="19" s="1"/>
  <c r="N16" i="19" s="1"/>
  <c r="O16" i="19" s="1"/>
  <c r="P16" i="19" s="1"/>
  <c r="Q16" i="19" s="1"/>
  <c r="S16" i="19" s="1"/>
  <c r="L15" i="19"/>
  <c r="M15" i="19" s="1"/>
  <c r="N15" i="19" s="1"/>
  <c r="O15" i="19" s="1"/>
  <c r="P15" i="19" s="1"/>
  <c r="Q15" i="19" s="1"/>
  <c r="Q80" i="19" s="1"/>
  <c r="Q125" i="19" s="1"/>
  <c r="C81" i="19"/>
  <c r="C150" i="19" s="1"/>
  <c r="H81" i="19"/>
  <c r="H150" i="19" s="1"/>
  <c r="G81" i="19"/>
  <c r="G150" i="19" s="1"/>
  <c r="F81" i="19"/>
  <c r="F150" i="19" s="1"/>
  <c r="E81" i="19"/>
  <c r="E150" i="19" s="1"/>
  <c r="D81" i="19"/>
  <c r="D150" i="19" s="1"/>
  <c r="H80" i="19"/>
  <c r="H149" i="19" s="1"/>
  <c r="G80" i="19"/>
  <c r="G149" i="19" s="1"/>
  <c r="F80" i="19"/>
  <c r="F149" i="19" s="1"/>
  <c r="E80" i="19"/>
  <c r="E149" i="19" s="1"/>
  <c r="D80" i="19"/>
  <c r="D149" i="19" s="1"/>
  <c r="C80" i="19"/>
  <c r="C149" i="19" s="1"/>
  <c r="K81" i="19"/>
  <c r="K80" i="19"/>
  <c r="B80" i="19"/>
  <c r="M75" i="19"/>
  <c r="N75" i="19" s="1"/>
  <c r="O75" i="19" s="1"/>
  <c r="L75" i="19"/>
  <c r="Q74" i="19"/>
  <c r="P74" i="19"/>
  <c r="O74" i="19"/>
  <c r="N74" i="19"/>
  <c r="M74" i="19"/>
  <c r="L74" i="19"/>
  <c r="H118" i="20"/>
  <c r="G118" i="20"/>
  <c r="F118" i="20"/>
  <c r="E118" i="20"/>
  <c r="D118" i="20"/>
  <c r="C118" i="20"/>
  <c r="H126" i="20"/>
  <c r="G126" i="20"/>
  <c r="F126" i="20"/>
  <c r="E126" i="20"/>
  <c r="D126" i="20"/>
  <c r="C126" i="20"/>
  <c r="E156" i="20"/>
  <c r="D156" i="20"/>
  <c r="C156" i="20"/>
  <c r="E155" i="20"/>
  <c r="D155" i="20"/>
  <c r="C155" i="20"/>
  <c r="E136" i="20"/>
  <c r="N68" i="19" s="1"/>
  <c r="D136" i="20"/>
  <c r="M68" i="19" s="1"/>
  <c r="E135" i="20"/>
  <c r="D135" i="20"/>
  <c r="C136" i="20"/>
  <c r="C135" i="20"/>
  <c r="E100" i="20"/>
  <c r="N27" i="19" s="1"/>
  <c r="D100" i="20"/>
  <c r="M27" i="19" s="1"/>
  <c r="C100" i="20"/>
  <c r="L27" i="19" s="1"/>
  <c r="E99" i="20"/>
  <c r="D99" i="20"/>
  <c r="C99" i="20"/>
  <c r="E87" i="20"/>
  <c r="N26" i="19" s="1"/>
  <c r="D87" i="20"/>
  <c r="M26" i="19" s="1"/>
  <c r="C87" i="20"/>
  <c r="L26" i="19" s="1"/>
  <c r="E86" i="20"/>
  <c r="D86" i="20"/>
  <c r="C86" i="20"/>
  <c r="E74" i="20"/>
  <c r="N23" i="19" s="1"/>
  <c r="D74" i="20"/>
  <c r="M23" i="19" s="1"/>
  <c r="C74" i="20"/>
  <c r="L23" i="19" s="1"/>
  <c r="E73" i="20"/>
  <c r="D73" i="20"/>
  <c r="C73" i="20"/>
  <c r="E61" i="20"/>
  <c r="N20" i="19" s="1"/>
  <c r="D61" i="20"/>
  <c r="M20" i="19" s="1"/>
  <c r="C61" i="20"/>
  <c r="L20" i="19" s="1"/>
  <c r="E60" i="20"/>
  <c r="D60" i="20"/>
  <c r="C60" i="20"/>
  <c r="E48" i="20"/>
  <c r="N19" i="19" s="1"/>
  <c r="O19" i="19" s="1"/>
  <c r="P19" i="19" s="1"/>
  <c r="Q19" i="19" s="1"/>
  <c r="D48" i="20"/>
  <c r="M19" i="19" s="1"/>
  <c r="C48" i="20"/>
  <c r="L19" i="19" s="1"/>
  <c r="E47" i="20"/>
  <c r="D47" i="20"/>
  <c r="C47" i="20"/>
  <c r="E35" i="20"/>
  <c r="N18" i="19" s="1"/>
  <c r="O18" i="19" s="1"/>
  <c r="P18" i="19" s="1"/>
  <c r="Q18" i="19" s="1"/>
  <c r="D35" i="20"/>
  <c r="M18" i="19" s="1"/>
  <c r="C35" i="20"/>
  <c r="L18" i="19" s="1"/>
  <c r="E34" i="20"/>
  <c r="D34" i="20"/>
  <c r="C34" i="20"/>
  <c r="F20" i="14"/>
  <c r="E20" i="14"/>
  <c r="D20" i="14"/>
  <c r="F19" i="14"/>
  <c r="E19" i="14"/>
  <c r="D19" i="14"/>
  <c r="F18" i="14"/>
  <c r="E18" i="14"/>
  <c r="D18" i="14"/>
  <c r="C20" i="14"/>
  <c r="C19" i="14"/>
  <c r="C18" i="14"/>
  <c r="E18" i="20"/>
  <c r="F18" i="20" s="1"/>
  <c r="D19" i="20"/>
  <c r="C107" i="20"/>
  <c r="E110" i="20"/>
  <c r="D110" i="20"/>
  <c r="C110" i="20"/>
  <c r="E185" i="20"/>
  <c r="N66" i="19" s="1"/>
  <c r="D185" i="20"/>
  <c r="C185" i="20"/>
  <c r="E184" i="20"/>
  <c r="D184" i="20"/>
  <c r="F183" i="20"/>
  <c r="F184" i="20" s="1"/>
  <c r="E181" i="20"/>
  <c r="D181" i="20"/>
  <c r="F180" i="20"/>
  <c r="G180" i="20" s="1"/>
  <c r="E145" i="20"/>
  <c r="D145" i="20"/>
  <c r="C145" i="20"/>
  <c r="H141" i="20"/>
  <c r="G141" i="20"/>
  <c r="F141" i="20"/>
  <c r="E141" i="20"/>
  <c r="D141" i="20"/>
  <c r="C141" i="20"/>
  <c r="F12" i="20"/>
  <c r="F13" i="20" s="1"/>
  <c r="F15" i="20"/>
  <c r="G15" i="20" s="1"/>
  <c r="H15" i="20" s="1"/>
  <c r="E16" i="20"/>
  <c r="D16" i="20"/>
  <c r="E13" i="20"/>
  <c r="D13" i="20"/>
  <c r="H10" i="20"/>
  <c r="G10" i="20"/>
  <c r="F10" i="20"/>
  <c r="E10" i="20"/>
  <c r="D10" i="20"/>
  <c r="J9" i="20"/>
  <c r="J169" i="20"/>
  <c r="J139" i="20"/>
  <c r="F133" i="20"/>
  <c r="G133" i="20" s="1"/>
  <c r="H133" i="20" s="1"/>
  <c r="F153" i="20"/>
  <c r="G153" i="20" s="1"/>
  <c r="H153" i="20" s="1"/>
  <c r="E176" i="20"/>
  <c r="D176" i="20"/>
  <c r="F175" i="20"/>
  <c r="F176" i="20" s="1"/>
  <c r="E173" i="20"/>
  <c r="D173" i="20"/>
  <c r="F172" i="20"/>
  <c r="F173" i="20" s="1"/>
  <c r="H170" i="20"/>
  <c r="G170" i="20"/>
  <c r="F170" i="20"/>
  <c r="E170" i="20"/>
  <c r="D170" i="20"/>
  <c r="F131" i="20"/>
  <c r="F132" i="20"/>
  <c r="E166" i="20"/>
  <c r="D166" i="20"/>
  <c r="F165" i="20"/>
  <c r="F166" i="20" s="1"/>
  <c r="E163" i="20"/>
  <c r="D163" i="20"/>
  <c r="F162" i="20"/>
  <c r="F163" i="20" s="1"/>
  <c r="H160" i="20"/>
  <c r="G160" i="20"/>
  <c r="F160" i="20"/>
  <c r="E160" i="20"/>
  <c r="D160" i="20"/>
  <c r="F152" i="20"/>
  <c r="E148" i="20"/>
  <c r="D148" i="20"/>
  <c r="F147" i="20"/>
  <c r="F148" i="20" s="1"/>
  <c r="E144" i="20"/>
  <c r="D144" i="20"/>
  <c r="F143" i="20"/>
  <c r="F144" i="20" s="1"/>
  <c r="E81" i="20"/>
  <c r="D81" i="20"/>
  <c r="F80" i="20"/>
  <c r="F81" i="20" s="1"/>
  <c r="E68" i="20"/>
  <c r="D68" i="20"/>
  <c r="F67" i="20"/>
  <c r="F68" i="20" s="1"/>
  <c r="F54" i="20"/>
  <c r="G54" i="20" s="1"/>
  <c r="E55" i="20"/>
  <c r="D55" i="20"/>
  <c r="F41" i="20"/>
  <c r="G41" i="20" s="1"/>
  <c r="H41" i="20" s="1"/>
  <c r="E42" i="20"/>
  <c r="D42" i="20"/>
  <c r="E29" i="20"/>
  <c r="D29" i="20"/>
  <c r="F28" i="20"/>
  <c r="G28" i="20" s="1"/>
  <c r="H28" i="20" s="1"/>
  <c r="J28" i="20" s="1"/>
  <c r="H107" i="20"/>
  <c r="G107" i="20"/>
  <c r="P73" i="19" s="1"/>
  <c r="Q73" i="19" s="1"/>
  <c r="F107" i="20"/>
  <c r="O73" i="19" s="1"/>
  <c r="E107" i="20"/>
  <c r="N73" i="19" s="1"/>
  <c r="D107" i="20"/>
  <c r="M73" i="19" s="1"/>
  <c r="H115" i="20"/>
  <c r="G115" i="20"/>
  <c r="F115" i="20"/>
  <c r="E115" i="20"/>
  <c r="D115" i="20"/>
  <c r="F125" i="20"/>
  <c r="F117" i="20"/>
  <c r="F109" i="20"/>
  <c r="G109" i="20" s="1"/>
  <c r="E97" i="20"/>
  <c r="D97" i="20"/>
  <c r="F96" i="20"/>
  <c r="F97" i="20" s="1"/>
  <c r="E58" i="20"/>
  <c r="D58" i="20"/>
  <c r="F57" i="20"/>
  <c r="F58" i="20" s="1"/>
  <c r="F31" i="20"/>
  <c r="F32" i="20" s="1"/>
  <c r="F44" i="20"/>
  <c r="G44" i="20" s="1"/>
  <c r="H44" i="20" s="1"/>
  <c r="J44" i="20" s="1"/>
  <c r="E32" i="20"/>
  <c r="D32" i="20"/>
  <c r="E45" i="20"/>
  <c r="D45" i="20"/>
  <c r="E71" i="20"/>
  <c r="D71" i="20"/>
  <c r="F70" i="20"/>
  <c r="F71" i="20" s="1"/>
  <c r="F83" i="20"/>
  <c r="F84" i="20" s="1"/>
  <c r="E84" i="20"/>
  <c r="D84" i="20"/>
  <c r="J122" i="20"/>
  <c r="J114" i="20"/>
  <c r="J106" i="20"/>
  <c r="J77" i="20"/>
  <c r="J64" i="20"/>
  <c r="J51" i="20"/>
  <c r="J38" i="20"/>
  <c r="J25" i="20"/>
  <c r="J4" i="20"/>
  <c r="S40" i="19"/>
  <c r="S39" i="19"/>
  <c r="J93" i="20"/>
  <c r="J90" i="20"/>
  <c r="H94" i="20"/>
  <c r="G94" i="20"/>
  <c r="F94" i="20"/>
  <c r="E94" i="20"/>
  <c r="D94" i="20"/>
  <c r="H140" i="20"/>
  <c r="G140" i="20"/>
  <c r="F140" i="20"/>
  <c r="E140" i="20"/>
  <c r="D140" i="20"/>
  <c r="H91" i="20"/>
  <c r="G91" i="20"/>
  <c r="F91" i="20"/>
  <c r="E91" i="20"/>
  <c r="D91" i="20"/>
  <c r="H78" i="20"/>
  <c r="G78" i="20"/>
  <c r="F78" i="20"/>
  <c r="E78" i="20"/>
  <c r="D78" i="20"/>
  <c r="H65" i="20"/>
  <c r="G65" i="20"/>
  <c r="F65" i="20"/>
  <c r="E65" i="20"/>
  <c r="D65" i="20"/>
  <c r="H52" i="20"/>
  <c r="G52" i="20"/>
  <c r="F52" i="20"/>
  <c r="E52" i="20"/>
  <c r="D52" i="20"/>
  <c r="H39" i="20"/>
  <c r="G39" i="20"/>
  <c r="F39" i="20"/>
  <c r="E39" i="20"/>
  <c r="D39" i="20"/>
  <c r="H26" i="20"/>
  <c r="G26" i="20"/>
  <c r="F26" i="20"/>
  <c r="E26" i="20"/>
  <c r="D26" i="20"/>
  <c r="C30" i="18"/>
  <c r="H50" i="19"/>
  <c r="G50" i="19"/>
  <c r="F50" i="19"/>
  <c r="E50" i="19"/>
  <c r="D50" i="19"/>
  <c r="C50" i="19"/>
  <c r="H47" i="19"/>
  <c r="H164" i="19" s="1"/>
  <c r="H162" i="19" s="1"/>
  <c r="G47" i="19"/>
  <c r="G164" i="19" s="1"/>
  <c r="G162" i="19" s="1"/>
  <c r="F47" i="19"/>
  <c r="F164" i="19" s="1"/>
  <c r="F162" i="19" s="1"/>
  <c r="E47" i="19"/>
  <c r="E164" i="19" s="1"/>
  <c r="E162" i="19" s="1"/>
  <c r="D47" i="19"/>
  <c r="D164" i="19" s="1"/>
  <c r="D162" i="19" s="1"/>
  <c r="C47" i="19"/>
  <c r="C164" i="19" s="1"/>
  <c r="C162" i="19" s="1"/>
  <c r="H44" i="19"/>
  <c r="G44" i="19"/>
  <c r="F44" i="19"/>
  <c r="E44" i="19"/>
  <c r="D44" i="19"/>
  <c r="C44" i="19"/>
  <c r="E41" i="19"/>
  <c r="D41" i="19"/>
  <c r="C41" i="19"/>
  <c r="H40" i="19"/>
  <c r="G40" i="19"/>
  <c r="F40" i="19"/>
  <c r="E40" i="19"/>
  <c r="D40" i="19"/>
  <c r="C40" i="19"/>
  <c r="H39" i="19"/>
  <c r="G39" i="19"/>
  <c r="F39" i="19"/>
  <c r="E39" i="19"/>
  <c r="D39" i="19"/>
  <c r="C39" i="19"/>
  <c r="H36" i="19"/>
  <c r="G36" i="19"/>
  <c r="F36" i="19"/>
  <c r="E36" i="19"/>
  <c r="D36" i="19"/>
  <c r="H35" i="19"/>
  <c r="G35" i="19"/>
  <c r="F35" i="19"/>
  <c r="E35" i="19"/>
  <c r="D35" i="19"/>
  <c r="H34" i="19"/>
  <c r="G34" i="19"/>
  <c r="F34" i="19"/>
  <c r="E34" i="19"/>
  <c r="D34" i="19"/>
  <c r="C36" i="19"/>
  <c r="C35" i="19"/>
  <c r="C34" i="19"/>
  <c r="H31" i="19"/>
  <c r="G31" i="19"/>
  <c r="F31" i="19"/>
  <c r="E31" i="19"/>
  <c r="D31" i="19"/>
  <c r="C31" i="19"/>
  <c r="H28" i="19"/>
  <c r="G28" i="19"/>
  <c r="F28" i="19"/>
  <c r="E28" i="19"/>
  <c r="D28" i="19"/>
  <c r="C28" i="19"/>
  <c r="H27" i="19"/>
  <c r="G27" i="19"/>
  <c r="F27" i="19"/>
  <c r="E27" i="19"/>
  <c r="D27" i="19"/>
  <c r="C27" i="19"/>
  <c r="H26" i="19"/>
  <c r="G26" i="19"/>
  <c r="F26" i="19"/>
  <c r="E26" i="19"/>
  <c r="D26" i="19"/>
  <c r="C26" i="19"/>
  <c r="H23" i="19"/>
  <c r="G23" i="19"/>
  <c r="F23" i="19"/>
  <c r="E23" i="19"/>
  <c r="D23" i="19"/>
  <c r="C23" i="19"/>
  <c r="H20" i="19"/>
  <c r="G20" i="19"/>
  <c r="F20" i="19"/>
  <c r="E20" i="19"/>
  <c r="D20" i="19"/>
  <c r="C20" i="19"/>
  <c r="H19" i="19"/>
  <c r="G19" i="19"/>
  <c r="F19" i="19"/>
  <c r="E19" i="19"/>
  <c r="D19" i="19"/>
  <c r="C19" i="19"/>
  <c r="H18" i="19"/>
  <c r="G18" i="19"/>
  <c r="F18" i="19"/>
  <c r="E18" i="19"/>
  <c r="D18" i="19"/>
  <c r="C18" i="19"/>
  <c r="J16" i="19"/>
  <c r="F31" i="14"/>
  <c r="E31" i="14"/>
  <c r="D31" i="14"/>
  <c r="C31" i="14"/>
  <c r="C10" i="14"/>
  <c r="C11" i="14"/>
  <c r="J52" i="9"/>
  <c r="R52" i="9"/>
  <c r="AF52" i="9" s="1"/>
  <c r="R62" i="9"/>
  <c r="N62" i="9"/>
  <c r="J62" i="9"/>
  <c r="N52" i="9"/>
  <c r="AI52" i="9"/>
  <c r="AH52" i="9"/>
  <c r="AG52" i="9"/>
  <c r="AE52" i="9"/>
  <c r="S44" i="9"/>
  <c r="O44" i="9"/>
  <c r="M44" i="9"/>
  <c r="K44" i="9"/>
  <c r="G44" i="9"/>
  <c r="E44" i="9"/>
  <c r="D44" i="9"/>
  <c r="C44" i="9"/>
  <c r="S43" i="9"/>
  <c r="O43" i="9"/>
  <c r="K43" i="9"/>
  <c r="I43" i="9"/>
  <c r="G43" i="9"/>
  <c r="E43" i="9"/>
  <c r="D43" i="9"/>
  <c r="C43" i="9"/>
  <c r="S42" i="9"/>
  <c r="O42" i="9"/>
  <c r="M42" i="9"/>
  <c r="L42" i="9"/>
  <c r="K42" i="9"/>
  <c r="I42" i="9"/>
  <c r="H42" i="9"/>
  <c r="G42" i="9"/>
  <c r="E42" i="9"/>
  <c r="D42" i="9"/>
  <c r="C42" i="9"/>
  <c r="U41" i="9"/>
  <c r="S41" i="9"/>
  <c r="O41" i="9"/>
  <c r="M41" i="9"/>
  <c r="K41" i="9"/>
  <c r="G41" i="9"/>
  <c r="E41" i="9"/>
  <c r="D41" i="9"/>
  <c r="C41" i="9"/>
  <c r="S40" i="9"/>
  <c r="O40" i="9"/>
  <c r="K40" i="9"/>
  <c r="G40" i="9"/>
  <c r="E40" i="9"/>
  <c r="D40" i="9"/>
  <c r="C40" i="9"/>
  <c r="M39" i="9"/>
  <c r="K39" i="9"/>
  <c r="H39" i="9"/>
  <c r="L38" i="9"/>
  <c r="I38" i="9"/>
  <c r="G38" i="9"/>
  <c r="E38" i="9"/>
  <c r="U39" i="9"/>
  <c r="P39" i="9"/>
  <c r="I39" i="9"/>
  <c r="E39" i="9"/>
  <c r="D39" i="9"/>
  <c r="C39" i="9"/>
  <c r="S38" i="9"/>
  <c r="Q38" i="9"/>
  <c r="M38" i="9"/>
  <c r="D38" i="9"/>
  <c r="C38" i="9"/>
  <c r="G102" i="19"/>
  <c r="U58" i="9"/>
  <c r="T58" i="9"/>
  <c r="S58" i="9"/>
  <c r="Q58" i="9"/>
  <c r="P58" i="9"/>
  <c r="O58" i="9"/>
  <c r="M58" i="9"/>
  <c r="L58" i="9"/>
  <c r="K58" i="9"/>
  <c r="I58" i="9"/>
  <c r="H58" i="9"/>
  <c r="G58" i="9"/>
  <c r="E58" i="9"/>
  <c r="D58" i="9"/>
  <c r="C58" i="9"/>
  <c r="U57" i="9"/>
  <c r="T57" i="9"/>
  <c r="S57" i="9"/>
  <c r="Q57" i="9"/>
  <c r="P57" i="9"/>
  <c r="O57" i="9"/>
  <c r="M57" i="9"/>
  <c r="L57" i="9"/>
  <c r="K57" i="9"/>
  <c r="I57" i="9"/>
  <c r="H57" i="9"/>
  <c r="G57" i="9"/>
  <c r="E57" i="9"/>
  <c r="D57" i="9"/>
  <c r="C57" i="9"/>
  <c r="U56" i="9"/>
  <c r="T56" i="9"/>
  <c r="S56" i="9"/>
  <c r="Q56" i="9"/>
  <c r="P56" i="9"/>
  <c r="O56" i="9"/>
  <c r="M56" i="9"/>
  <c r="L56" i="9"/>
  <c r="K56" i="9"/>
  <c r="I56" i="9"/>
  <c r="H56" i="9"/>
  <c r="G56" i="9"/>
  <c r="E56" i="9"/>
  <c r="D56" i="9"/>
  <c r="C56" i="9"/>
  <c r="U51" i="9"/>
  <c r="AI51" i="9" s="1"/>
  <c r="T51" i="9"/>
  <c r="AH51" i="9" s="1"/>
  <c r="S51" i="9"/>
  <c r="AG51" i="9" s="1"/>
  <c r="Q51" i="9"/>
  <c r="AE51" i="9" s="1"/>
  <c r="P51" i="9"/>
  <c r="O51" i="9"/>
  <c r="M51" i="9"/>
  <c r="L51" i="9"/>
  <c r="K51" i="9"/>
  <c r="I51" i="9"/>
  <c r="H51" i="9"/>
  <c r="G51" i="9"/>
  <c r="E51" i="9"/>
  <c r="D51" i="9"/>
  <c r="C51" i="9"/>
  <c r="U50" i="9"/>
  <c r="T50" i="9"/>
  <c r="S50" i="9"/>
  <c r="Q50" i="9"/>
  <c r="P50" i="9"/>
  <c r="O50" i="9"/>
  <c r="M50" i="9"/>
  <c r="L50" i="9"/>
  <c r="K50" i="9"/>
  <c r="I50" i="9"/>
  <c r="H50" i="9"/>
  <c r="G50" i="9"/>
  <c r="E50" i="9"/>
  <c r="D50" i="9"/>
  <c r="C50" i="9"/>
  <c r="E33" i="9"/>
  <c r="D33" i="9"/>
  <c r="C33" i="9"/>
  <c r="U34" i="9"/>
  <c r="T34" i="9"/>
  <c r="S34" i="9"/>
  <c r="Q34" i="9"/>
  <c r="P34" i="9"/>
  <c r="O34" i="9"/>
  <c r="M34" i="9"/>
  <c r="L34" i="9"/>
  <c r="K34" i="9"/>
  <c r="I34" i="9"/>
  <c r="H34" i="9"/>
  <c r="G34" i="9"/>
  <c r="E34" i="9"/>
  <c r="D34" i="9"/>
  <c r="C34" i="9"/>
  <c r="S35" i="9"/>
  <c r="O35" i="9"/>
  <c r="K35" i="9"/>
  <c r="G35" i="9"/>
  <c r="E35" i="9"/>
  <c r="D35" i="9"/>
  <c r="C35" i="9"/>
  <c r="S32" i="9"/>
  <c r="O32" i="9"/>
  <c r="K32" i="9"/>
  <c r="G32" i="9"/>
  <c r="E32" i="9"/>
  <c r="D32" i="9"/>
  <c r="C32" i="9"/>
  <c r="S28" i="9"/>
  <c r="O28" i="9"/>
  <c r="K28" i="9"/>
  <c r="G28" i="9"/>
  <c r="E28" i="9"/>
  <c r="D28" i="9"/>
  <c r="C28" i="9"/>
  <c r="S24" i="9"/>
  <c r="O24" i="9"/>
  <c r="E24" i="9"/>
  <c r="D24" i="9"/>
  <c r="C24" i="9"/>
  <c r="J8" i="8"/>
  <c r="J4" i="21" s="1"/>
  <c r="V4" i="21" s="1"/>
  <c r="U20" i="9"/>
  <c r="T20" i="9"/>
  <c r="S20" i="9"/>
  <c r="Q20" i="9"/>
  <c r="P20" i="9"/>
  <c r="O20" i="9"/>
  <c r="M20" i="9"/>
  <c r="L20" i="9"/>
  <c r="K20" i="9"/>
  <c r="I20" i="9"/>
  <c r="H20" i="9"/>
  <c r="G20" i="9"/>
  <c r="U19" i="9"/>
  <c r="T19" i="9"/>
  <c r="S19" i="9"/>
  <c r="Q19" i="9"/>
  <c r="P19" i="9"/>
  <c r="O19" i="9"/>
  <c r="M19" i="9"/>
  <c r="L19" i="9"/>
  <c r="K19" i="9"/>
  <c r="I19" i="9"/>
  <c r="H19" i="9"/>
  <c r="G19" i="9"/>
  <c r="U18" i="9"/>
  <c r="T18" i="9"/>
  <c r="S18" i="9"/>
  <c r="Q18" i="9"/>
  <c r="P18" i="9"/>
  <c r="O18" i="9"/>
  <c r="M18" i="9"/>
  <c r="L18" i="9"/>
  <c r="K18" i="9"/>
  <c r="I18" i="9"/>
  <c r="H18" i="9"/>
  <c r="G18" i="9"/>
  <c r="E20" i="9"/>
  <c r="D20" i="9"/>
  <c r="C20" i="9"/>
  <c r="E19" i="9"/>
  <c r="D19" i="9"/>
  <c r="C19" i="9"/>
  <c r="E18" i="9"/>
  <c r="D18" i="9"/>
  <c r="C18" i="9"/>
  <c r="U14" i="9"/>
  <c r="T14" i="9"/>
  <c r="S14" i="9"/>
  <c r="Q14" i="9"/>
  <c r="P14" i="9"/>
  <c r="O14" i="9"/>
  <c r="M14" i="9"/>
  <c r="L14" i="9"/>
  <c r="K14" i="9"/>
  <c r="I14" i="9"/>
  <c r="H14" i="9"/>
  <c r="G14" i="9"/>
  <c r="E14" i="9"/>
  <c r="D14" i="9"/>
  <c r="C14" i="9"/>
  <c r="U9" i="9"/>
  <c r="T9" i="9"/>
  <c r="S9" i="9"/>
  <c r="Q9" i="9"/>
  <c r="P9" i="9"/>
  <c r="O9" i="9"/>
  <c r="M9" i="9"/>
  <c r="L9" i="9"/>
  <c r="K9" i="9"/>
  <c r="I9" i="9"/>
  <c r="H9" i="9"/>
  <c r="U8" i="9"/>
  <c r="T8" i="9"/>
  <c r="S8" i="9"/>
  <c r="Q8" i="9"/>
  <c r="P8" i="9"/>
  <c r="O8" i="9"/>
  <c r="M8" i="9"/>
  <c r="L8" i="9"/>
  <c r="K8" i="9"/>
  <c r="I8" i="9"/>
  <c r="H8" i="9"/>
  <c r="U7" i="9"/>
  <c r="T7" i="9"/>
  <c r="S7" i="9"/>
  <c r="Q7" i="9"/>
  <c r="P7" i="9"/>
  <c r="O7" i="9"/>
  <c r="M7" i="9"/>
  <c r="L7" i="9"/>
  <c r="K7" i="9"/>
  <c r="I7" i="9"/>
  <c r="H7" i="9"/>
  <c r="G9" i="9"/>
  <c r="G8" i="9"/>
  <c r="G7" i="9"/>
  <c r="E9" i="9"/>
  <c r="D9" i="9"/>
  <c r="C9" i="9"/>
  <c r="E8" i="9"/>
  <c r="D8" i="9"/>
  <c r="C8" i="9"/>
  <c r="E7" i="9"/>
  <c r="D7" i="9"/>
  <c r="C7" i="9"/>
  <c r="U42" i="9"/>
  <c r="T32" i="9"/>
  <c r="U43" i="9"/>
  <c r="U24" i="9"/>
  <c r="U28" i="9"/>
  <c r="U44" i="9"/>
  <c r="R117" i="8"/>
  <c r="Q117" i="8"/>
  <c r="P117" i="8"/>
  <c r="O117" i="8"/>
  <c r="P42" i="9"/>
  <c r="N42" i="9"/>
  <c r="Z117" i="8"/>
  <c r="V117" i="8"/>
  <c r="Q41" i="9"/>
  <c r="Q43" i="9"/>
  <c r="Q40" i="9"/>
  <c r="Q32" i="9"/>
  <c r="Q28" i="9"/>
  <c r="Q24" i="9"/>
  <c r="P119" i="8"/>
  <c r="O119" i="8"/>
  <c r="Q119" i="8"/>
  <c r="M32" i="9"/>
  <c r="M43" i="9"/>
  <c r="M28" i="9"/>
  <c r="I134" i="8"/>
  <c r="Q33" i="9" s="1"/>
  <c r="H134" i="8"/>
  <c r="P33" i="9" s="1"/>
  <c r="G134" i="8"/>
  <c r="O33" i="9" s="1"/>
  <c r="M33" i="9"/>
  <c r="L33" i="9"/>
  <c r="K33" i="9"/>
  <c r="I33" i="9"/>
  <c r="H33" i="9"/>
  <c r="G33" i="9"/>
  <c r="M24" i="9"/>
  <c r="I41" i="9"/>
  <c r="I32" i="9"/>
  <c r="I40" i="9"/>
  <c r="I28" i="9"/>
  <c r="I44" i="9"/>
  <c r="I24" i="9"/>
  <c r="AD31" i="18"/>
  <c r="AC31" i="18"/>
  <c r="AB31" i="18"/>
  <c r="Z31" i="18"/>
  <c r="Y31" i="18"/>
  <c r="X31" i="18"/>
  <c r="V31" i="18"/>
  <c r="U31" i="18"/>
  <c r="T31" i="18"/>
  <c r="R31" i="18"/>
  <c r="Q31" i="18"/>
  <c r="P31" i="18"/>
  <c r="AD37" i="18"/>
  <c r="AC37" i="18"/>
  <c r="AB37" i="18"/>
  <c r="Z37" i="18"/>
  <c r="Y37" i="18"/>
  <c r="X37" i="18"/>
  <c r="V37" i="18"/>
  <c r="U37" i="18"/>
  <c r="T37" i="18"/>
  <c r="R37" i="18"/>
  <c r="Q37" i="18"/>
  <c r="P37" i="18"/>
  <c r="AD43" i="18"/>
  <c r="AC43" i="18"/>
  <c r="AB43" i="18"/>
  <c r="Z43" i="18"/>
  <c r="Y43" i="18"/>
  <c r="X43" i="18"/>
  <c r="V43" i="18"/>
  <c r="U43" i="18"/>
  <c r="T43" i="18"/>
  <c r="R43" i="18"/>
  <c r="Q43" i="18"/>
  <c r="P43" i="18"/>
  <c r="AD54" i="18"/>
  <c r="AD53" i="18" s="1"/>
  <c r="AC54" i="18"/>
  <c r="AC53" i="18" s="1"/>
  <c r="AB54" i="18"/>
  <c r="AB53" i="18" s="1"/>
  <c r="Z54" i="18"/>
  <c r="Z53" i="18" s="1"/>
  <c r="Y54" i="18"/>
  <c r="Y53" i="18" s="1"/>
  <c r="X54" i="18"/>
  <c r="X53" i="18" s="1"/>
  <c r="V54" i="18"/>
  <c r="V53" i="18" s="1"/>
  <c r="U54" i="18"/>
  <c r="U53" i="18" s="1"/>
  <c r="T54" i="18"/>
  <c r="T53" i="18" s="1"/>
  <c r="R54" i="18"/>
  <c r="R53" i="18" s="1"/>
  <c r="Q54" i="18"/>
  <c r="Q53" i="18" s="1"/>
  <c r="P54" i="18"/>
  <c r="P53" i="18" s="1"/>
  <c r="AD68" i="18"/>
  <c r="AC68" i="18"/>
  <c r="AB68" i="18"/>
  <c r="Z68" i="18"/>
  <c r="Y68" i="18"/>
  <c r="X68" i="18"/>
  <c r="V68" i="18"/>
  <c r="U68" i="18"/>
  <c r="T68" i="18"/>
  <c r="R68" i="18"/>
  <c r="Q68" i="18"/>
  <c r="P68" i="18"/>
  <c r="C30" i="21" l="1"/>
  <c r="C31" i="21" s="1"/>
  <c r="W12" i="21"/>
  <c r="Y12" i="21"/>
  <c r="Y66" i="10"/>
  <c r="AA66" i="10" s="1"/>
  <c r="AA65" i="10"/>
  <c r="V12" i="21"/>
  <c r="D30" i="21"/>
  <c r="D31" i="21" s="1"/>
  <c r="X20" i="21"/>
  <c r="W20" i="21"/>
  <c r="V20" i="21"/>
  <c r="Y20" i="21"/>
  <c r="AA16" i="21"/>
  <c r="Y46" i="21"/>
  <c r="AA46" i="21" s="1"/>
  <c r="J28" i="21"/>
  <c r="E30" i="21"/>
  <c r="E31" i="21" s="1"/>
  <c r="Y29" i="10"/>
  <c r="V15" i="10"/>
  <c r="V19" i="10" s="1"/>
  <c r="Y19" i="10"/>
  <c r="AA19" i="10" s="1"/>
  <c r="W15" i="10"/>
  <c r="W19" i="10" s="1"/>
  <c r="J19" i="10"/>
  <c r="X15" i="10"/>
  <c r="X19" i="10" s="1"/>
  <c r="C50" i="10"/>
  <c r="D50" i="10"/>
  <c r="J50" i="10"/>
  <c r="E50" i="10"/>
  <c r="Y50" i="10"/>
  <c r="AA50" i="10" s="1"/>
  <c r="AA49" i="10"/>
  <c r="Y62" i="10"/>
  <c r="AA62" i="10" s="1"/>
  <c r="AA61" i="10"/>
  <c r="Y58" i="10"/>
  <c r="AA58" i="10" s="1"/>
  <c r="AA57" i="10"/>
  <c r="AA53" i="10"/>
  <c r="Y54" i="10"/>
  <c r="AA54" i="10" s="1"/>
  <c r="O38" i="9"/>
  <c r="S39" i="9"/>
  <c r="Q44" i="9"/>
  <c r="U40" i="9"/>
  <c r="H38" i="9"/>
  <c r="P38" i="9"/>
  <c r="L39" i="9"/>
  <c r="T39" i="9"/>
  <c r="H40" i="9"/>
  <c r="P40" i="9"/>
  <c r="L41" i="9"/>
  <c r="T41" i="9"/>
  <c r="H43" i="9"/>
  <c r="P43" i="9"/>
  <c r="L44" i="9"/>
  <c r="T44" i="9"/>
  <c r="J42" i="9"/>
  <c r="K38" i="9"/>
  <c r="G39" i="9"/>
  <c r="O39" i="9"/>
  <c r="L40" i="9"/>
  <c r="T40" i="9"/>
  <c r="H41" i="9"/>
  <c r="P41" i="9"/>
  <c r="T42" i="9"/>
  <c r="L43" i="9"/>
  <c r="T43" i="9"/>
  <c r="H44" i="9"/>
  <c r="P44" i="9"/>
  <c r="H53" i="9"/>
  <c r="E153" i="19"/>
  <c r="F153" i="19" s="1"/>
  <c r="M158" i="19"/>
  <c r="N158" i="19" s="1"/>
  <c r="O158" i="19" s="1"/>
  <c r="P158" i="19" s="1"/>
  <c r="Q158" i="19" s="1"/>
  <c r="L155" i="19"/>
  <c r="L156" i="19" s="1"/>
  <c r="M153" i="19" s="1"/>
  <c r="G153" i="19"/>
  <c r="H153" i="19" s="1"/>
  <c r="Q149" i="19"/>
  <c r="N140" i="19"/>
  <c r="N144" i="19" s="1"/>
  <c r="O140" i="19"/>
  <c r="O144" i="19" s="1"/>
  <c r="P140" i="19"/>
  <c r="P144" i="19" s="1"/>
  <c r="L140" i="19"/>
  <c r="L144" i="19" s="1"/>
  <c r="M140" i="19"/>
  <c r="M144" i="19" s="1"/>
  <c r="M110" i="19"/>
  <c r="M116" i="19"/>
  <c r="F120" i="19"/>
  <c r="D120" i="19"/>
  <c r="G120" i="19"/>
  <c r="H120" i="19"/>
  <c r="C120" i="19"/>
  <c r="E120" i="19"/>
  <c r="E105" i="19"/>
  <c r="E113" i="19" s="1"/>
  <c r="H105" i="19"/>
  <c r="H113" i="19" s="1"/>
  <c r="D105" i="19"/>
  <c r="D113" i="19" s="1"/>
  <c r="C105" i="19"/>
  <c r="C113" i="19" s="1"/>
  <c r="F105" i="19"/>
  <c r="G105" i="19"/>
  <c r="G113" i="19" s="1"/>
  <c r="E88" i="19"/>
  <c r="E97" i="19" s="1"/>
  <c r="C88" i="19"/>
  <c r="C97" i="19" s="1"/>
  <c r="D88" i="19"/>
  <c r="D97" i="19" s="1"/>
  <c r="G88" i="19"/>
  <c r="G97" i="19" s="1"/>
  <c r="H88" i="19"/>
  <c r="H97" i="19" s="1"/>
  <c r="L81" i="19"/>
  <c r="P80" i="19"/>
  <c r="M81" i="19"/>
  <c r="L80" i="19"/>
  <c r="N81" i="19"/>
  <c r="M80" i="19"/>
  <c r="O81" i="19"/>
  <c r="N80" i="19"/>
  <c r="P81" i="19"/>
  <c r="O80" i="19"/>
  <c r="Q81" i="19"/>
  <c r="D57" i="19"/>
  <c r="F58" i="19"/>
  <c r="H59" i="19"/>
  <c r="D61" i="19"/>
  <c r="F62" i="19"/>
  <c r="H63" i="19"/>
  <c r="D62" i="19"/>
  <c r="F60" i="19"/>
  <c r="N61" i="19"/>
  <c r="O61" i="19" s="1"/>
  <c r="P61" i="19" s="1"/>
  <c r="Q61" i="19" s="1"/>
  <c r="E59" i="19"/>
  <c r="G60" i="19"/>
  <c r="E63" i="19"/>
  <c r="P75" i="19"/>
  <c r="Q75" i="19" s="1"/>
  <c r="L58" i="19"/>
  <c r="L28" i="19"/>
  <c r="M28" i="19" s="1"/>
  <c r="N28" i="19" s="1"/>
  <c r="O28" i="19" s="1"/>
  <c r="P28" i="19" s="1"/>
  <c r="Q28" i="19" s="1"/>
  <c r="S28" i="19" s="1"/>
  <c r="L57" i="19"/>
  <c r="M57" i="19"/>
  <c r="L62" i="19"/>
  <c r="L59" i="19"/>
  <c r="M59" i="19"/>
  <c r="N59" i="19"/>
  <c r="M58" i="19"/>
  <c r="F155" i="20"/>
  <c r="M62" i="19"/>
  <c r="N62" i="19"/>
  <c r="N58" i="19"/>
  <c r="L61" i="19"/>
  <c r="L117" i="19" s="1"/>
  <c r="M61" i="19"/>
  <c r="N57" i="19"/>
  <c r="F135" i="20"/>
  <c r="F156" i="20"/>
  <c r="F136" i="20"/>
  <c r="O68" i="19" s="1"/>
  <c r="E57" i="19"/>
  <c r="G63" i="19"/>
  <c r="F57" i="19"/>
  <c r="H58" i="19"/>
  <c r="D60" i="19"/>
  <c r="F61" i="19"/>
  <c r="H62" i="19"/>
  <c r="D58" i="19"/>
  <c r="F59" i="19"/>
  <c r="H60" i="19"/>
  <c r="F63" i="19"/>
  <c r="E58" i="19"/>
  <c r="G59" i="19"/>
  <c r="E62" i="19"/>
  <c r="L21" i="19"/>
  <c r="G58" i="19"/>
  <c r="E61" i="19"/>
  <c r="G62" i="19"/>
  <c r="G57" i="19"/>
  <c r="E60" i="19"/>
  <c r="G61" i="19"/>
  <c r="H57" i="19"/>
  <c r="D59" i="19"/>
  <c r="H61" i="19"/>
  <c r="D63" i="19"/>
  <c r="M21" i="19"/>
  <c r="N21" i="19"/>
  <c r="J31" i="19"/>
  <c r="J39" i="19"/>
  <c r="J35" i="19"/>
  <c r="J44" i="19"/>
  <c r="J36" i="19"/>
  <c r="J50" i="19"/>
  <c r="F100" i="20"/>
  <c r="O27" i="19" s="1"/>
  <c r="F99" i="20"/>
  <c r="F87" i="20"/>
  <c r="F86" i="20"/>
  <c r="F74" i="20"/>
  <c r="O23" i="19" s="1"/>
  <c r="O62" i="19" s="1"/>
  <c r="F73" i="20"/>
  <c r="F61" i="20"/>
  <c r="F60" i="20"/>
  <c r="H47" i="20"/>
  <c r="F48" i="20"/>
  <c r="G48" i="20"/>
  <c r="F47" i="20"/>
  <c r="H48" i="20"/>
  <c r="G47" i="20"/>
  <c r="F34" i="20"/>
  <c r="F35" i="20"/>
  <c r="E21" i="14"/>
  <c r="D21" i="14"/>
  <c r="F21" i="14"/>
  <c r="C21" i="14"/>
  <c r="G18" i="14"/>
  <c r="G21" i="14" s="1"/>
  <c r="E19" i="20"/>
  <c r="F19" i="20"/>
  <c r="G18" i="20"/>
  <c r="G19" i="20" s="1"/>
  <c r="G110" i="20"/>
  <c r="F185" i="20"/>
  <c r="O66" i="19" s="1"/>
  <c r="F110" i="20"/>
  <c r="G183" i="20"/>
  <c r="G181" i="20"/>
  <c r="H180" i="20"/>
  <c r="F181" i="20"/>
  <c r="F145" i="20"/>
  <c r="G12" i="20"/>
  <c r="F16" i="20"/>
  <c r="G172" i="20"/>
  <c r="G175" i="20"/>
  <c r="G131" i="20"/>
  <c r="G162" i="20"/>
  <c r="G165" i="20"/>
  <c r="G152" i="20"/>
  <c r="G155" i="20" s="1"/>
  <c r="G147" i="20"/>
  <c r="G143" i="20"/>
  <c r="G132" i="20"/>
  <c r="G80" i="20"/>
  <c r="G67" i="20"/>
  <c r="F55" i="20"/>
  <c r="F29" i="20"/>
  <c r="G29" i="20"/>
  <c r="H29" i="20"/>
  <c r="H54" i="20"/>
  <c r="G55" i="20"/>
  <c r="G42" i="20"/>
  <c r="F42" i="20"/>
  <c r="F45" i="20"/>
  <c r="G83" i="20"/>
  <c r="G125" i="20"/>
  <c r="G117" i="20"/>
  <c r="H109" i="20"/>
  <c r="H110" i="20" s="1"/>
  <c r="G96" i="20"/>
  <c r="G57" i="20"/>
  <c r="G31" i="20"/>
  <c r="G34" i="20" s="1"/>
  <c r="G70" i="20"/>
  <c r="J20" i="19"/>
  <c r="J40" i="19"/>
  <c r="J23" i="19"/>
  <c r="J27" i="19"/>
  <c r="E21" i="19"/>
  <c r="E24" i="19" s="1"/>
  <c r="E29" i="19" s="1"/>
  <c r="E163" i="19" s="1"/>
  <c r="C21" i="19"/>
  <c r="C24" i="19" s="1"/>
  <c r="C29" i="19" s="1"/>
  <c r="C73" i="19" s="1"/>
  <c r="F21" i="19"/>
  <c r="F24" i="19" s="1"/>
  <c r="F29" i="19" s="1"/>
  <c r="F163" i="19" s="1"/>
  <c r="J19" i="19"/>
  <c r="G21" i="19"/>
  <c r="G24" i="19" s="1"/>
  <c r="G29" i="19" s="1"/>
  <c r="G163" i="19" s="1"/>
  <c r="H21" i="19"/>
  <c r="D21" i="19"/>
  <c r="J26" i="19"/>
  <c r="J18" i="19"/>
  <c r="J47" i="19"/>
  <c r="J34" i="19"/>
  <c r="J28" i="19"/>
  <c r="D53" i="9"/>
  <c r="I53" i="9"/>
  <c r="T53" i="9"/>
  <c r="C53" i="9"/>
  <c r="M53" i="9"/>
  <c r="E53" i="9"/>
  <c r="G53" i="9"/>
  <c r="Q53" i="9"/>
  <c r="L53" i="9"/>
  <c r="K53" i="9"/>
  <c r="O53" i="9"/>
  <c r="P53" i="9"/>
  <c r="S53" i="9"/>
  <c r="U53" i="9"/>
  <c r="G112" i="8"/>
  <c r="K112" i="8"/>
  <c r="J108" i="8"/>
  <c r="AG108" i="8" s="1"/>
  <c r="J39" i="9"/>
  <c r="J38" i="9"/>
  <c r="H32" i="9"/>
  <c r="I35" i="9"/>
  <c r="U32" i="9"/>
  <c r="T28" i="9"/>
  <c r="Q35" i="9"/>
  <c r="T35" i="9"/>
  <c r="P24" i="9"/>
  <c r="P32" i="9"/>
  <c r="M35" i="9"/>
  <c r="J119" i="8"/>
  <c r="AF119" i="8" s="1"/>
  <c r="K24" i="9"/>
  <c r="L24" i="9"/>
  <c r="T24" i="9"/>
  <c r="H28" i="9"/>
  <c r="P28" i="9"/>
  <c r="L32" i="9"/>
  <c r="H35" i="9"/>
  <c r="P35" i="9"/>
  <c r="U35" i="9"/>
  <c r="G24" i="9"/>
  <c r="H24" i="9"/>
  <c r="L28" i="9"/>
  <c r="L35" i="9"/>
  <c r="H112" i="8"/>
  <c r="S117" i="8"/>
  <c r="AA117" i="8"/>
  <c r="T117" i="8"/>
  <c r="AB117" i="8"/>
  <c r="U117" i="8"/>
  <c r="AC117" i="8"/>
  <c r="W117" i="8"/>
  <c r="X117" i="8"/>
  <c r="Y117" i="8"/>
  <c r="R119" i="8"/>
  <c r="Y119" i="8"/>
  <c r="M40" i="9"/>
  <c r="AA12" i="21" l="1"/>
  <c r="AA20" i="21"/>
  <c r="J30" i="21"/>
  <c r="V28" i="21"/>
  <c r="V30" i="21" s="1"/>
  <c r="Y28" i="21"/>
  <c r="X28" i="21"/>
  <c r="X30" i="21" s="1"/>
  <c r="W28" i="21"/>
  <c r="W30" i="21" s="1"/>
  <c r="AA29" i="10"/>
  <c r="N39" i="9"/>
  <c r="AD109" i="8"/>
  <c r="J117" i="8"/>
  <c r="R42" i="9" s="1"/>
  <c r="AI42" i="9" s="1"/>
  <c r="Q42" i="9"/>
  <c r="J109" i="8"/>
  <c r="AG109" i="8" s="1"/>
  <c r="Q39" i="9"/>
  <c r="AD118" i="8"/>
  <c r="N38" i="9"/>
  <c r="AD108" i="8"/>
  <c r="AE108" i="8"/>
  <c r="R38" i="9"/>
  <c r="AH108" i="8"/>
  <c r="U38" i="9"/>
  <c r="T38" i="9"/>
  <c r="AF108" i="8"/>
  <c r="M155" i="19"/>
  <c r="M156" i="19" s="1"/>
  <c r="N153" i="19" s="1"/>
  <c r="C163" i="19"/>
  <c r="N155" i="19"/>
  <c r="N126" i="19"/>
  <c r="N150" i="19"/>
  <c r="L125" i="19"/>
  <c r="L149" i="19"/>
  <c r="Q126" i="19"/>
  <c r="Q150" i="19"/>
  <c r="M126" i="19"/>
  <c r="M150" i="19"/>
  <c r="M125" i="19"/>
  <c r="M149" i="19"/>
  <c r="O125" i="19"/>
  <c r="O149" i="19"/>
  <c r="P125" i="19"/>
  <c r="P149" i="19"/>
  <c r="P126" i="19"/>
  <c r="P150" i="19"/>
  <c r="L126" i="19"/>
  <c r="L150" i="19"/>
  <c r="N125" i="19"/>
  <c r="N149" i="19"/>
  <c r="O126" i="19"/>
  <c r="O150" i="19"/>
  <c r="N110" i="19"/>
  <c r="M117" i="19"/>
  <c r="N117" i="19" s="1"/>
  <c r="O117" i="19" s="1"/>
  <c r="P117" i="19" s="1"/>
  <c r="Q117" i="19" s="1"/>
  <c r="L120" i="19"/>
  <c r="F73" i="19"/>
  <c r="F56" i="19"/>
  <c r="E74" i="19"/>
  <c r="G75" i="19"/>
  <c r="G56" i="19"/>
  <c r="E122" i="19"/>
  <c r="C122" i="19"/>
  <c r="H122" i="19"/>
  <c r="G122" i="19"/>
  <c r="D122" i="19"/>
  <c r="N116" i="19"/>
  <c r="G76" i="19"/>
  <c r="F77" i="19"/>
  <c r="O26" i="19"/>
  <c r="P26" i="19" s="1"/>
  <c r="Q26" i="19" s="1"/>
  <c r="F76" i="19"/>
  <c r="G77" i="19"/>
  <c r="C77" i="19"/>
  <c r="E76" i="19"/>
  <c r="E77" i="19"/>
  <c r="C76" i="19"/>
  <c r="O59" i="19"/>
  <c r="O20" i="19" s="1"/>
  <c r="M24" i="19"/>
  <c r="M29" i="19" s="1"/>
  <c r="M60" i="19"/>
  <c r="L24" i="19"/>
  <c r="L29" i="19" s="1"/>
  <c r="L60" i="19"/>
  <c r="N24" i="19"/>
  <c r="N29" i="19" s="1"/>
  <c r="N60" i="19"/>
  <c r="G156" i="20"/>
  <c r="G136" i="20"/>
  <c r="P68" i="19" s="1"/>
  <c r="H131" i="20"/>
  <c r="G135" i="20"/>
  <c r="F75" i="19"/>
  <c r="G74" i="19"/>
  <c r="E73" i="19"/>
  <c r="E75" i="19"/>
  <c r="F74" i="19"/>
  <c r="G73" i="19"/>
  <c r="C75" i="19"/>
  <c r="C74" i="19"/>
  <c r="G100" i="20"/>
  <c r="P27" i="19" s="1"/>
  <c r="G99" i="20"/>
  <c r="G86" i="20"/>
  <c r="H83" i="20"/>
  <c r="H84" i="20" s="1"/>
  <c r="G87" i="20"/>
  <c r="G73" i="20"/>
  <c r="G74" i="20"/>
  <c r="P23" i="19" s="1"/>
  <c r="P62" i="19" s="1"/>
  <c r="G58" i="20"/>
  <c r="G61" i="20"/>
  <c r="G60" i="20"/>
  <c r="S19" i="19"/>
  <c r="H31" i="20"/>
  <c r="G35" i="20"/>
  <c r="H18" i="20"/>
  <c r="H19" i="20" s="1"/>
  <c r="G184" i="20"/>
  <c r="G185" i="20"/>
  <c r="P66" i="19" s="1"/>
  <c r="H183" i="20"/>
  <c r="H185" i="20" s="1"/>
  <c r="Q66" i="19" s="1"/>
  <c r="H181" i="20"/>
  <c r="J180" i="20"/>
  <c r="H12" i="20"/>
  <c r="G145" i="20"/>
  <c r="G13" i="20"/>
  <c r="G16" i="20"/>
  <c r="G176" i="20"/>
  <c r="H175" i="20"/>
  <c r="G173" i="20"/>
  <c r="H172" i="20"/>
  <c r="G166" i="20"/>
  <c r="H165" i="20"/>
  <c r="G163" i="20"/>
  <c r="H162" i="20"/>
  <c r="H152" i="20"/>
  <c r="G148" i="20"/>
  <c r="H147" i="20"/>
  <c r="G144" i="20"/>
  <c r="H143" i="20"/>
  <c r="H132" i="20"/>
  <c r="G81" i="20"/>
  <c r="H80" i="20"/>
  <c r="G68" i="20"/>
  <c r="H67" i="20"/>
  <c r="H55" i="20"/>
  <c r="J54" i="20"/>
  <c r="H42" i="20"/>
  <c r="J41" i="20"/>
  <c r="G84" i="20"/>
  <c r="H57" i="20"/>
  <c r="J109" i="20"/>
  <c r="H125" i="20"/>
  <c r="H117" i="20"/>
  <c r="G97" i="20"/>
  <c r="H96" i="20"/>
  <c r="G32" i="20"/>
  <c r="G45" i="20"/>
  <c r="H45" i="20"/>
  <c r="G71" i="20"/>
  <c r="H70" i="20"/>
  <c r="J21" i="19"/>
  <c r="H24" i="19"/>
  <c r="D24" i="19"/>
  <c r="D29" i="19" s="1"/>
  <c r="G32" i="19"/>
  <c r="F32" i="19"/>
  <c r="L112" i="8"/>
  <c r="I112" i="8"/>
  <c r="AH119" i="8"/>
  <c r="AD117" i="8"/>
  <c r="AG119" i="8"/>
  <c r="AE119" i="8"/>
  <c r="M112" i="8"/>
  <c r="V119" i="8"/>
  <c r="X119" i="8"/>
  <c r="W119" i="8"/>
  <c r="AD119" i="8"/>
  <c r="Z119" i="8"/>
  <c r="Y30" i="21" l="1"/>
  <c r="AA28" i="21"/>
  <c r="AJ108" i="8"/>
  <c r="AH117" i="8"/>
  <c r="AJ117" i="8" s="1"/>
  <c r="R39" i="9"/>
  <c r="AH109" i="8"/>
  <c r="AJ109" i="8" s="1"/>
  <c r="AF109" i="8"/>
  <c r="AF42" i="9"/>
  <c r="AH42" i="9"/>
  <c r="AG42" i="9"/>
  <c r="AE42" i="9"/>
  <c r="AG117" i="8"/>
  <c r="AF117" i="8"/>
  <c r="J118" i="8"/>
  <c r="AG118" i="8" s="1"/>
  <c r="AJ119" i="8"/>
  <c r="AE117" i="8"/>
  <c r="AE109" i="8"/>
  <c r="D56" i="19"/>
  <c r="D163" i="19"/>
  <c r="N156" i="19"/>
  <c r="O153" i="19" s="1"/>
  <c r="O155" i="19"/>
  <c r="O110" i="19"/>
  <c r="M120" i="19"/>
  <c r="E56" i="19"/>
  <c r="N56" i="19"/>
  <c r="M56" i="19"/>
  <c r="N120" i="19"/>
  <c r="O116" i="19"/>
  <c r="O21" i="19"/>
  <c r="O60" i="19" s="1"/>
  <c r="D77" i="19"/>
  <c r="D76" i="19"/>
  <c r="L36" i="19"/>
  <c r="L35" i="19"/>
  <c r="M34" i="19"/>
  <c r="M35" i="19"/>
  <c r="M36" i="19"/>
  <c r="P59" i="19"/>
  <c r="Q59" i="19" s="1"/>
  <c r="N32" i="19"/>
  <c r="N31" i="19" s="1"/>
  <c r="N34" i="19"/>
  <c r="N35" i="19"/>
  <c r="N36" i="19"/>
  <c r="H155" i="20"/>
  <c r="H156" i="20"/>
  <c r="H136" i="20"/>
  <c r="Q68" i="19" s="1"/>
  <c r="H135" i="20"/>
  <c r="J83" i="20"/>
  <c r="H86" i="20"/>
  <c r="F37" i="19"/>
  <c r="F48" i="19" s="1"/>
  <c r="F66" i="19"/>
  <c r="D73" i="19"/>
  <c r="D75" i="19"/>
  <c r="D74" i="19"/>
  <c r="G37" i="19"/>
  <c r="G67" i="19" s="1"/>
  <c r="G66" i="19"/>
  <c r="H100" i="20"/>
  <c r="Q27" i="19" s="1"/>
  <c r="S27" i="19" s="1"/>
  <c r="H99" i="20"/>
  <c r="H87" i="20"/>
  <c r="S26" i="19" s="1"/>
  <c r="H73" i="20"/>
  <c r="H74" i="20"/>
  <c r="Q23" i="19" s="1"/>
  <c r="S23" i="19" s="1"/>
  <c r="H58" i="20"/>
  <c r="H61" i="20"/>
  <c r="H60" i="20"/>
  <c r="J31" i="20"/>
  <c r="H35" i="20"/>
  <c r="H34" i="20"/>
  <c r="H32" i="20"/>
  <c r="J18" i="20"/>
  <c r="H145" i="20"/>
  <c r="J183" i="20"/>
  <c r="H184" i="20"/>
  <c r="H16" i="20"/>
  <c r="J15" i="20"/>
  <c r="H13" i="20"/>
  <c r="J12" i="20"/>
  <c r="H163" i="20"/>
  <c r="J162" i="20"/>
  <c r="H144" i="20"/>
  <c r="J143" i="20"/>
  <c r="H148" i="20"/>
  <c r="J147" i="20"/>
  <c r="H173" i="20"/>
  <c r="J172" i="20"/>
  <c r="H166" i="20"/>
  <c r="J165" i="20"/>
  <c r="H176" i="20"/>
  <c r="J175" i="20"/>
  <c r="H68" i="20"/>
  <c r="J67" i="20"/>
  <c r="H81" i="20"/>
  <c r="J80" i="20"/>
  <c r="J57" i="20"/>
  <c r="J117" i="20"/>
  <c r="H71" i="20"/>
  <c r="J70" i="20"/>
  <c r="J125" i="20"/>
  <c r="H97" i="20"/>
  <c r="J96" i="20"/>
  <c r="H29" i="19"/>
  <c r="C32" i="19"/>
  <c r="E32" i="19"/>
  <c r="D32" i="19"/>
  <c r="J24" i="19"/>
  <c r="S119" i="8"/>
  <c r="U119" i="8"/>
  <c r="T119" i="8"/>
  <c r="AA119" i="8"/>
  <c r="AC119" i="8"/>
  <c r="AB119" i="8"/>
  <c r="AA30" i="21" l="1"/>
  <c r="AH118" i="8"/>
  <c r="AJ118" i="8" s="1"/>
  <c r="AF118" i="8"/>
  <c r="AE118" i="8"/>
  <c r="H56" i="19"/>
  <c r="H163" i="19"/>
  <c r="O156" i="19"/>
  <c r="P153" i="19" s="1"/>
  <c r="Q155" i="19"/>
  <c r="P155" i="19"/>
  <c r="P110" i="19"/>
  <c r="L56" i="19"/>
  <c r="L103" i="19" s="1"/>
  <c r="P116" i="19"/>
  <c r="O120" i="19"/>
  <c r="O24" i="19"/>
  <c r="O29" i="19" s="1"/>
  <c r="F51" i="19"/>
  <c r="F70" i="19" s="1"/>
  <c r="F69" i="19"/>
  <c r="H32" i="19"/>
  <c r="H37" i="19" s="1"/>
  <c r="H76" i="19"/>
  <c r="H77" i="19"/>
  <c r="P20" i="19"/>
  <c r="G48" i="19"/>
  <c r="F67" i="19"/>
  <c r="D37" i="19"/>
  <c r="D66" i="19"/>
  <c r="E37" i="19"/>
  <c r="E67" i="19" s="1"/>
  <c r="E66" i="19"/>
  <c r="C37" i="19"/>
  <c r="C67" i="19" s="1"/>
  <c r="C66" i="19"/>
  <c r="J29" i="19"/>
  <c r="H74" i="19"/>
  <c r="H75" i="19"/>
  <c r="H73" i="19"/>
  <c r="L73" i="19" s="1"/>
  <c r="L34" i="19" s="1"/>
  <c r="S18" i="19"/>
  <c r="P156" i="19" l="1"/>
  <c r="Q153" i="19" s="1"/>
  <c r="Q156" i="19" s="1"/>
  <c r="M103" i="19"/>
  <c r="N103" i="19" s="1"/>
  <c r="Q110" i="19"/>
  <c r="O32" i="19"/>
  <c r="O31" i="19" s="1"/>
  <c r="O56" i="19"/>
  <c r="L87" i="19"/>
  <c r="M87" i="19" s="1"/>
  <c r="N87" i="19" s="1"/>
  <c r="L50" i="19"/>
  <c r="L130" i="19" s="1"/>
  <c r="L86" i="19"/>
  <c r="L104" i="19"/>
  <c r="L112" i="19"/>
  <c r="L96" i="19"/>
  <c r="M96" i="19" s="1"/>
  <c r="N96" i="19" s="1"/>
  <c r="Q116" i="19"/>
  <c r="Q120" i="19" s="1"/>
  <c r="P120" i="19"/>
  <c r="O36" i="19"/>
  <c r="O35" i="19"/>
  <c r="O34" i="19"/>
  <c r="Q20" i="19"/>
  <c r="Q21" i="19" s="1"/>
  <c r="P21" i="19"/>
  <c r="H48" i="19"/>
  <c r="H69" i="19" s="1"/>
  <c r="J32" i="19"/>
  <c r="H66" i="19"/>
  <c r="L66" i="19" s="1"/>
  <c r="G51" i="19"/>
  <c r="G70" i="19" s="1"/>
  <c r="G69" i="19"/>
  <c r="E42" i="19"/>
  <c r="C42" i="19"/>
  <c r="D67" i="19"/>
  <c r="H67" i="19"/>
  <c r="E48" i="19"/>
  <c r="J37" i="19"/>
  <c r="D48" i="19"/>
  <c r="D42" i="19"/>
  <c r="C48" i="19"/>
  <c r="M112" i="19" l="1"/>
  <c r="L134" i="19"/>
  <c r="L131" i="19"/>
  <c r="O103" i="19"/>
  <c r="O87" i="19"/>
  <c r="M104" i="19"/>
  <c r="M86" i="19"/>
  <c r="M131" i="19" s="1"/>
  <c r="M50" i="19"/>
  <c r="M130" i="19" s="1"/>
  <c r="L77" i="19"/>
  <c r="O96" i="19"/>
  <c r="Q24" i="19"/>
  <c r="Q29" i="19" s="1"/>
  <c r="P24" i="19"/>
  <c r="P29" i="19" s="1"/>
  <c r="S20" i="19"/>
  <c r="S21" i="19"/>
  <c r="Q60" i="19"/>
  <c r="P60" i="19"/>
  <c r="H51" i="19"/>
  <c r="H70" i="19" s="1"/>
  <c r="C51" i="19"/>
  <c r="C70" i="19" s="1"/>
  <c r="C69" i="19"/>
  <c r="D51" i="19"/>
  <c r="D70" i="19" s="1"/>
  <c r="D69" i="19"/>
  <c r="M66" i="19"/>
  <c r="M32" i="19" s="1"/>
  <c r="M31" i="19" s="1"/>
  <c r="L32" i="19"/>
  <c r="E51" i="19"/>
  <c r="E70" i="19" s="1"/>
  <c r="E69" i="19"/>
  <c r="C45" i="19"/>
  <c r="C68" i="19"/>
  <c r="E45" i="19"/>
  <c r="E68" i="19"/>
  <c r="D45" i="19"/>
  <c r="D68" i="19"/>
  <c r="J48" i="19"/>
  <c r="N112" i="19" l="1"/>
  <c r="M134" i="19"/>
  <c r="P34" i="19"/>
  <c r="P56" i="19"/>
  <c r="P96" i="19" s="1"/>
  <c r="N50" i="19"/>
  <c r="N130" i="19" s="1"/>
  <c r="M77" i="19"/>
  <c r="Q34" i="19"/>
  <c r="Q56" i="19"/>
  <c r="N86" i="19"/>
  <c r="N104" i="19"/>
  <c r="P32" i="19"/>
  <c r="P31" i="19" s="1"/>
  <c r="P35" i="19"/>
  <c r="P36" i="19"/>
  <c r="Q35" i="19"/>
  <c r="Q32" i="19"/>
  <c r="Q31" i="19" s="1"/>
  <c r="S24" i="19"/>
  <c r="Q36" i="19"/>
  <c r="M37" i="19"/>
  <c r="J51" i="19"/>
  <c r="L31" i="19"/>
  <c r="L100" i="19" s="1"/>
  <c r="L132" i="19" s="1"/>
  <c r="L37" i="19"/>
  <c r="N37" i="19"/>
  <c r="Q96" i="19" l="1"/>
  <c r="O112" i="19"/>
  <c r="O134" i="19" s="1"/>
  <c r="N134" i="19"/>
  <c r="N131" i="19"/>
  <c r="S34" i="19"/>
  <c r="P103" i="19"/>
  <c r="Q103" i="19" s="1"/>
  <c r="M100" i="19"/>
  <c r="M132" i="19" s="1"/>
  <c r="L105" i="19"/>
  <c r="L113" i="19" s="1"/>
  <c r="O86" i="19"/>
  <c r="O50" i="19"/>
  <c r="O130" i="19" s="1"/>
  <c r="N77" i="19"/>
  <c r="O104" i="19"/>
  <c r="P87" i="19"/>
  <c r="Q87" i="19" s="1"/>
  <c r="S36" i="19"/>
  <c r="S35" i="19"/>
  <c r="S31" i="19"/>
  <c r="M67" i="19"/>
  <c r="L67" i="19"/>
  <c r="N67" i="19"/>
  <c r="O37" i="19"/>
  <c r="S29" i="19"/>
  <c r="P112" i="19" l="1"/>
  <c r="Q112" i="19" s="1"/>
  <c r="Q134" i="19" s="1"/>
  <c r="O131" i="19"/>
  <c r="N100" i="19"/>
  <c r="N132" i="19" s="1"/>
  <c r="M105" i="19"/>
  <c r="M113" i="19" s="1"/>
  <c r="P104" i="19"/>
  <c r="P50" i="19"/>
  <c r="P130" i="19" s="1"/>
  <c r="O77" i="19"/>
  <c r="P86" i="19"/>
  <c r="P131" i="19" s="1"/>
  <c r="O67" i="19"/>
  <c r="P37" i="19"/>
  <c r="P67" i="19" s="1"/>
  <c r="S32" i="19"/>
  <c r="P134" i="19" l="1"/>
  <c r="O100" i="19"/>
  <c r="O132" i="19" s="1"/>
  <c r="N105" i="19"/>
  <c r="N113" i="19" s="1"/>
  <c r="Q86" i="19"/>
  <c r="Q50" i="19"/>
  <c r="Q130" i="19" s="1"/>
  <c r="P77" i="19"/>
  <c r="Q104" i="19"/>
  <c r="Q37" i="19"/>
  <c r="Q131" i="19" l="1"/>
  <c r="P100" i="19"/>
  <c r="P132" i="19" s="1"/>
  <c r="O105" i="19"/>
  <c r="O113" i="19" s="1"/>
  <c r="S50" i="19"/>
  <c r="Q77" i="19"/>
  <c r="S37" i="19"/>
  <c r="Q67" i="19"/>
  <c r="Q100" i="19" l="1"/>
  <c r="P105" i="19"/>
  <c r="P113" i="19" s="1"/>
  <c r="Q105" i="19" l="1"/>
  <c r="Q113" i="19" s="1"/>
  <c r="Q132" i="19"/>
  <c r="B9" i="9" l="1"/>
  <c r="B8" i="9"/>
  <c r="B7" i="9"/>
  <c r="B6" i="9"/>
  <c r="J64" i="18"/>
  <c r="J68" i="18"/>
  <c r="AA68" i="18" s="1"/>
  <c r="J58" i="18"/>
  <c r="J54" i="18"/>
  <c r="AA54" i="18" s="1"/>
  <c r="AA53" i="18" s="1"/>
  <c r="J49" i="18"/>
  <c r="J43" i="18"/>
  <c r="J41" i="18"/>
  <c r="J37" i="18"/>
  <c r="AA37" i="18" s="1"/>
  <c r="J35" i="18"/>
  <c r="AA31" i="18"/>
  <c r="W54" i="18"/>
  <c r="W53" i="18" s="1"/>
  <c r="W37" i="18"/>
  <c r="M53" i="18"/>
  <c r="L53" i="18"/>
  <c r="K53" i="18"/>
  <c r="I53" i="18"/>
  <c r="H53" i="18"/>
  <c r="G53" i="18"/>
  <c r="S31" i="18"/>
  <c r="M67" i="18"/>
  <c r="AD67" i="18" s="1"/>
  <c r="L67" i="18"/>
  <c r="AC67" i="18" s="1"/>
  <c r="K67" i="18"/>
  <c r="AB67" i="18" s="1"/>
  <c r="I67" i="18"/>
  <c r="Z67" i="18" s="1"/>
  <c r="H67" i="18"/>
  <c r="Y67" i="18" s="1"/>
  <c r="G67" i="18"/>
  <c r="X67" i="18" s="1"/>
  <c r="V67" i="18"/>
  <c r="U67" i="18"/>
  <c r="T67" i="18"/>
  <c r="R67" i="18"/>
  <c r="Q67" i="18"/>
  <c r="M42" i="18"/>
  <c r="L42" i="18"/>
  <c r="K42" i="18"/>
  <c r="I42" i="18"/>
  <c r="I66" i="18" s="1"/>
  <c r="Z66" i="18" s="1"/>
  <c r="Z65" i="18" s="1"/>
  <c r="H42" i="18"/>
  <c r="H66" i="18" s="1"/>
  <c r="Y66" i="18" s="1"/>
  <c r="G42" i="18"/>
  <c r="T66" i="18"/>
  <c r="R66" i="18"/>
  <c r="M36" i="18"/>
  <c r="M38" i="18" s="1"/>
  <c r="L36" i="18"/>
  <c r="L52" i="18" s="1"/>
  <c r="K36" i="18"/>
  <c r="AB36" i="18" s="1"/>
  <c r="AB52" i="18" s="1"/>
  <c r="I36" i="18"/>
  <c r="I52" i="18" s="1"/>
  <c r="H36" i="18"/>
  <c r="G36" i="18"/>
  <c r="M30" i="18"/>
  <c r="L30" i="18"/>
  <c r="K30" i="18"/>
  <c r="AB30" i="18" s="1"/>
  <c r="I30" i="18"/>
  <c r="I51" i="18" s="1"/>
  <c r="H30" i="18"/>
  <c r="G30" i="18"/>
  <c r="V30" i="18"/>
  <c r="P67" i="18"/>
  <c r="E53" i="18"/>
  <c r="D53" i="18"/>
  <c r="C53" i="18"/>
  <c r="E67" i="18"/>
  <c r="D67" i="18"/>
  <c r="C67" i="18"/>
  <c r="E42" i="18"/>
  <c r="E44" i="18" s="1"/>
  <c r="D42" i="18"/>
  <c r="D44" i="18" s="1"/>
  <c r="C42" i="18"/>
  <c r="C44" i="18" s="1"/>
  <c r="E36" i="18"/>
  <c r="E38" i="18" s="1"/>
  <c r="D36" i="18"/>
  <c r="D52" i="18" s="1"/>
  <c r="C36" i="18"/>
  <c r="C38" i="18" s="1"/>
  <c r="E30" i="18"/>
  <c r="E17" i="18" s="1"/>
  <c r="D30" i="18"/>
  <c r="D17" i="18" s="1"/>
  <c r="C17" i="18"/>
  <c r="M22" i="18"/>
  <c r="L22" i="18"/>
  <c r="K22" i="18"/>
  <c r="I22" i="18"/>
  <c r="H22" i="18"/>
  <c r="G22" i="18"/>
  <c r="E22" i="18"/>
  <c r="D22" i="18"/>
  <c r="C22" i="18"/>
  <c r="M16" i="18"/>
  <c r="L16" i="18"/>
  <c r="K16" i="18"/>
  <c r="I16" i="18"/>
  <c r="H16" i="18"/>
  <c r="G16" i="18"/>
  <c r="E16" i="18"/>
  <c r="D16" i="18"/>
  <c r="C16" i="18"/>
  <c r="AD12" i="18"/>
  <c r="AC12" i="18"/>
  <c r="AB12" i="18"/>
  <c r="AA12" i="18"/>
  <c r="Z12" i="18"/>
  <c r="Y12" i="18"/>
  <c r="X12" i="18"/>
  <c r="W12" i="18"/>
  <c r="V12" i="18"/>
  <c r="U12" i="18"/>
  <c r="T12" i="18"/>
  <c r="S12" i="18"/>
  <c r="R12" i="18"/>
  <c r="Q12" i="18"/>
  <c r="P12" i="18"/>
  <c r="O12" i="18"/>
  <c r="AD11" i="18"/>
  <c r="AC11" i="18"/>
  <c r="AB11" i="18"/>
  <c r="AA11" i="18"/>
  <c r="Z11" i="18"/>
  <c r="Y11" i="18"/>
  <c r="X11" i="18"/>
  <c r="W11" i="18"/>
  <c r="V11" i="18"/>
  <c r="U11" i="18"/>
  <c r="T11" i="18"/>
  <c r="S11" i="18"/>
  <c r="R11" i="18"/>
  <c r="Q11" i="18"/>
  <c r="P11" i="18"/>
  <c r="O11" i="18"/>
  <c r="AD65" i="8"/>
  <c r="AC65" i="8"/>
  <c r="AB65" i="8"/>
  <c r="Y65" i="8"/>
  <c r="Z65" i="8"/>
  <c r="V65" i="8"/>
  <c r="U65" i="8"/>
  <c r="T65" i="8"/>
  <c r="I59" i="9"/>
  <c r="H59" i="9"/>
  <c r="G59" i="9"/>
  <c r="P65" i="8"/>
  <c r="S65" i="8"/>
  <c r="R65" i="8"/>
  <c r="Q65" i="8"/>
  <c r="Q60" i="8"/>
  <c r="Y46" i="8"/>
  <c r="X46" i="8"/>
  <c r="V46" i="8"/>
  <c r="Q46" i="8"/>
  <c r="S44" i="8"/>
  <c r="J7" i="9"/>
  <c r="P46" i="8"/>
  <c r="B2" i="10"/>
  <c r="B2" i="9"/>
  <c r="V10" i="10"/>
  <c r="N9" i="9"/>
  <c r="AE9" i="9" s="1"/>
  <c r="N7" i="9"/>
  <c r="AE7" i="9" s="1"/>
  <c r="J9" i="9"/>
  <c r="J8" i="9"/>
  <c r="J134" i="8"/>
  <c r="N33" i="9"/>
  <c r="J33" i="9"/>
  <c r="U111" i="8"/>
  <c r="O111" i="8"/>
  <c r="R111" i="8"/>
  <c r="M61" i="8"/>
  <c r="L61" i="8"/>
  <c r="T59" i="9" s="1"/>
  <c r="K61" i="8"/>
  <c r="S59" i="9" s="1"/>
  <c r="I61" i="8"/>
  <c r="Q59" i="9" s="1"/>
  <c r="H61" i="8"/>
  <c r="P59" i="9" s="1"/>
  <c r="G61" i="8"/>
  <c r="O59" i="9" s="1"/>
  <c r="M59" i="9"/>
  <c r="L59" i="9"/>
  <c r="K59" i="9"/>
  <c r="E61" i="8"/>
  <c r="E59" i="9" s="1"/>
  <c r="D61" i="8"/>
  <c r="D59" i="9" s="1"/>
  <c r="C61" i="8"/>
  <c r="C59" i="9" s="1"/>
  <c r="S46" i="8"/>
  <c r="U10" i="10"/>
  <c r="E112" i="8"/>
  <c r="J111" i="8"/>
  <c r="D112" i="8"/>
  <c r="C112" i="8"/>
  <c r="H41" i="19"/>
  <c r="J95" i="8"/>
  <c r="O95" i="8"/>
  <c r="J94" i="8"/>
  <c r="J93" i="8"/>
  <c r="V93" i="8"/>
  <c r="J92" i="8"/>
  <c r="R28" i="9" s="1"/>
  <c r="N28" i="9"/>
  <c r="J28" i="9"/>
  <c r="J91" i="8"/>
  <c r="R24" i="9" s="1"/>
  <c r="N24" i="9"/>
  <c r="J24" i="9"/>
  <c r="J103" i="8"/>
  <c r="AE103" i="8" s="1"/>
  <c r="V103" i="8"/>
  <c r="J102" i="8"/>
  <c r="O102" i="8"/>
  <c r="J101" i="8"/>
  <c r="J100" i="8"/>
  <c r="J99" i="8"/>
  <c r="AB99" i="8"/>
  <c r="J98" i="8"/>
  <c r="AE98" i="8" s="1"/>
  <c r="X98" i="8"/>
  <c r="J97" i="8"/>
  <c r="J110" i="8"/>
  <c r="N40" i="9"/>
  <c r="V110" i="8"/>
  <c r="R110" i="8"/>
  <c r="J107" i="8"/>
  <c r="J32" i="9"/>
  <c r="W71" i="8"/>
  <c r="W70" i="8"/>
  <c r="W69" i="8"/>
  <c r="G54" i="14"/>
  <c r="H54" i="14" s="1"/>
  <c r="I54" i="14" s="1"/>
  <c r="J54" i="14" s="1"/>
  <c r="K54" i="14" s="1"/>
  <c r="AI62" i="9"/>
  <c r="U70" i="9"/>
  <c r="AI58" i="9"/>
  <c r="AI57" i="9"/>
  <c r="AI56" i="9"/>
  <c r="AI50" i="9"/>
  <c r="AI53" i="9" s="1"/>
  <c r="U4" i="9"/>
  <c r="AI4" i="9" s="1"/>
  <c r="U3" i="9"/>
  <c r="AI3" i="9" s="1"/>
  <c r="V114" i="8"/>
  <c r="U114" i="8"/>
  <c r="T114" i="8"/>
  <c r="S114" i="8"/>
  <c r="R114" i="8"/>
  <c r="Q114" i="8"/>
  <c r="P114" i="8"/>
  <c r="O114" i="8"/>
  <c r="V71" i="8"/>
  <c r="U71" i="8"/>
  <c r="T71" i="8"/>
  <c r="R71" i="8"/>
  <c r="Q71" i="8"/>
  <c r="P71" i="8"/>
  <c r="V70" i="8"/>
  <c r="U70" i="8"/>
  <c r="T70" i="8"/>
  <c r="R70" i="8"/>
  <c r="Q70" i="8"/>
  <c r="P70" i="8"/>
  <c r="V69" i="8"/>
  <c r="U69" i="8"/>
  <c r="T69" i="8"/>
  <c r="R69" i="8"/>
  <c r="Q69" i="8"/>
  <c r="P69" i="8"/>
  <c r="V66" i="8"/>
  <c r="U66" i="8"/>
  <c r="T66" i="8"/>
  <c r="R66" i="8"/>
  <c r="Q66" i="8"/>
  <c r="P66" i="8"/>
  <c r="V64" i="8"/>
  <c r="U64" i="8"/>
  <c r="T64" i="8"/>
  <c r="R64" i="8"/>
  <c r="Q64" i="8"/>
  <c r="P64" i="8"/>
  <c r="V60" i="8"/>
  <c r="V58" i="8"/>
  <c r="U58" i="8"/>
  <c r="T58" i="8"/>
  <c r="R58" i="8"/>
  <c r="Q58" i="8"/>
  <c r="P58" i="8"/>
  <c r="V54" i="8"/>
  <c r="U54" i="8"/>
  <c r="T54" i="8"/>
  <c r="R54" i="8"/>
  <c r="Q54" i="8"/>
  <c r="P54" i="8"/>
  <c r="V53" i="8"/>
  <c r="U53" i="8"/>
  <c r="T53" i="8"/>
  <c r="R53" i="8"/>
  <c r="Q53" i="8"/>
  <c r="P53" i="8"/>
  <c r="V52" i="8"/>
  <c r="U52" i="8"/>
  <c r="T52" i="8"/>
  <c r="R52" i="8"/>
  <c r="Q52" i="8"/>
  <c r="P52" i="8"/>
  <c r="V51" i="8"/>
  <c r="U51" i="8"/>
  <c r="T51" i="8"/>
  <c r="R51" i="8"/>
  <c r="Q51" i="8"/>
  <c r="P51" i="8"/>
  <c r="V50" i="8"/>
  <c r="U50" i="8"/>
  <c r="T50" i="8"/>
  <c r="R50" i="8"/>
  <c r="Q50" i="8"/>
  <c r="P50" i="8"/>
  <c r="R46" i="8"/>
  <c r="V45" i="8"/>
  <c r="U45" i="8"/>
  <c r="T45" i="8"/>
  <c r="R45" i="8"/>
  <c r="Q45" i="8"/>
  <c r="P45" i="8"/>
  <c r="V44" i="8"/>
  <c r="U44" i="8"/>
  <c r="T44" i="8"/>
  <c r="R44" i="8"/>
  <c r="Q44" i="8"/>
  <c r="P44" i="8"/>
  <c r="V43" i="8"/>
  <c r="U43" i="8"/>
  <c r="T43" i="8"/>
  <c r="R43" i="8"/>
  <c r="Q43" i="8"/>
  <c r="P43" i="8"/>
  <c r="V8" i="8"/>
  <c r="V85" i="8" s="1"/>
  <c r="U8" i="8"/>
  <c r="U85" i="8" s="1"/>
  <c r="T8" i="8"/>
  <c r="T85" i="8" s="1"/>
  <c r="S8" i="8"/>
  <c r="S85" i="8" s="1"/>
  <c r="R8" i="8"/>
  <c r="R85" i="8" s="1"/>
  <c r="Q8" i="8"/>
  <c r="Q85" i="8" s="1"/>
  <c r="P8" i="8"/>
  <c r="P85" i="8" s="1"/>
  <c r="O8" i="8"/>
  <c r="O85" i="8" s="1"/>
  <c r="V7" i="8"/>
  <c r="V84" i="8" s="1"/>
  <c r="U7" i="8"/>
  <c r="U84" i="8" s="1"/>
  <c r="T7" i="8"/>
  <c r="T84" i="8" s="1"/>
  <c r="S7" i="8"/>
  <c r="S84" i="8" s="1"/>
  <c r="R7" i="8"/>
  <c r="R84" i="8" s="1"/>
  <c r="Q7" i="8"/>
  <c r="Q84" i="8" s="1"/>
  <c r="P7" i="8"/>
  <c r="P84" i="8" s="1"/>
  <c r="O7" i="8"/>
  <c r="O39" i="8" s="1"/>
  <c r="J124" i="8"/>
  <c r="AG124" i="8" s="1"/>
  <c r="AD124" i="8"/>
  <c r="Y124" i="8"/>
  <c r="V124" i="8"/>
  <c r="R124" i="8"/>
  <c r="AH65" i="8"/>
  <c r="AG65" i="8"/>
  <c r="AF65" i="8"/>
  <c r="X65" i="8"/>
  <c r="AH64" i="8"/>
  <c r="AF64" i="8"/>
  <c r="AD64" i="8"/>
  <c r="AC64" i="8"/>
  <c r="AB64" i="8"/>
  <c r="Z64" i="8"/>
  <c r="Y64" i="8"/>
  <c r="X64" i="8"/>
  <c r="AG64" i="8"/>
  <c r="J65" i="8"/>
  <c r="AE65" i="8" s="1"/>
  <c r="AA65" i="8"/>
  <c r="J64" i="8"/>
  <c r="S64" i="8"/>
  <c r="O65" i="8"/>
  <c r="O64" i="8"/>
  <c r="AH114" i="8"/>
  <c r="AH71" i="8"/>
  <c r="AH70" i="8"/>
  <c r="AH69" i="8"/>
  <c r="AH66" i="8"/>
  <c r="AH60" i="8"/>
  <c r="AH59" i="8"/>
  <c r="AH58" i="8"/>
  <c r="AH54" i="8"/>
  <c r="AH53" i="8"/>
  <c r="AH52" i="8"/>
  <c r="AH51" i="8"/>
  <c r="AH50" i="8"/>
  <c r="AH46" i="8"/>
  <c r="AH45" i="8"/>
  <c r="AH44" i="8"/>
  <c r="AH43" i="8"/>
  <c r="AH8" i="8"/>
  <c r="AH85" i="8" s="1"/>
  <c r="AH7" i="8"/>
  <c r="AH84" i="8" s="1"/>
  <c r="L4" i="10"/>
  <c r="X4" i="10" s="1"/>
  <c r="K4" i="10"/>
  <c r="W4" i="10" s="1"/>
  <c r="J4" i="10"/>
  <c r="V4" i="10" s="1"/>
  <c r="I4" i="10"/>
  <c r="U4" i="10" s="1"/>
  <c r="H4" i="10"/>
  <c r="T4" i="10" s="1"/>
  <c r="G4" i="10"/>
  <c r="S4" i="10" s="1"/>
  <c r="R4" i="10"/>
  <c r="Q4" i="10"/>
  <c r="P4" i="10"/>
  <c r="O4" i="10"/>
  <c r="L3" i="10"/>
  <c r="X3" i="10" s="1"/>
  <c r="K3" i="10"/>
  <c r="W3" i="10" s="1"/>
  <c r="J3" i="10"/>
  <c r="V3" i="10" s="1"/>
  <c r="I3" i="10"/>
  <c r="U3" i="10" s="1"/>
  <c r="H3" i="10"/>
  <c r="T3" i="10" s="1"/>
  <c r="G3" i="10"/>
  <c r="S3" i="10" s="1"/>
  <c r="R3" i="10"/>
  <c r="Q3" i="10"/>
  <c r="P3" i="10"/>
  <c r="O3" i="10"/>
  <c r="M4" i="10"/>
  <c r="Y4" i="10" s="1"/>
  <c r="M3" i="10"/>
  <c r="Y3" i="10" s="1"/>
  <c r="M85" i="8"/>
  <c r="M84" i="8"/>
  <c r="M74" i="8"/>
  <c r="M77" i="8" s="1"/>
  <c r="M40" i="8"/>
  <c r="M39" i="8"/>
  <c r="M11" i="8"/>
  <c r="AG66" i="8"/>
  <c r="Q70" i="9"/>
  <c r="I70" i="9"/>
  <c r="H70" i="9"/>
  <c r="G70" i="9"/>
  <c r="E70" i="9"/>
  <c r="D70" i="9"/>
  <c r="C70" i="9"/>
  <c r="AG59" i="8"/>
  <c r="AF59" i="8"/>
  <c r="AD59" i="8"/>
  <c r="AC59" i="8"/>
  <c r="AB59" i="8"/>
  <c r="Z59" i="8"/>
  <c r="Y59" i="8"/>
  <c r="X59" i="8"/>
  <c r="J59" i="8"/>
  <c r="AE59" i="8" s="1"/>
  <c r="AA59" i="8"/>
  <c r="O59" i="8"/>
  <c r="S59" i="8"/>
  <c r="W59" i="8"/>
  <c r="AB62" i="9"/>
  <c r="X62" i="9"/>
  <c r="AG114" i="8"/>
  <c r="AF114" i="8"/>
  <c r="AE114" i="8"/>
  <c r="AD114" i="8"/>
  <c r="AC114" i="8"/>
  <c r="AB114" i="8"/>
  <c r="AA114" i="8"/>
  <c r="Z114" i="8"/>
  <c r="Y114" i="8"/>
  <c r="X114" i="8"/>
  <c r="W114" i="8"/>
  <c r="K120" i="8"/>
  <c r="V116" i="8"/>
  <c r="J116" i="8"/>
  <c r="R116" i="8"/>
  <c r="J115" i="8"/>
  <c r="AG115" i="8" s="1"/>
  <c r="AA115" i="8"/>
  <c r="Y115" i="8"/>
  <c r="V115" i="8"/>
  <c r="R115" i="8"/>
  <c r="E120" i="8"/>
  <c r="D120" i="8"/>
  <c r="C120" i="8"/>
  <c r="AG54" i="8"/>
  <c r="AF54" i="8"/>
  <c r="AD54" i="8"/>
  <c r="AC54" i="8"/>
  <c r="AB54" i="8"/>
  <c r="Z54" i="8"/>
  <c r="Y54" i="8"/>
  <c r="X54" i="8"/>
  <c r="J54" i="8"/>
  <c r="AE54" i="8" s="1"/>
  <c r="AA54" i="8"/>
  <c r="W54" i="8"/>
  <c r="S54" i="8"/>
  <c r="O54" i="8"/>
  <c r="AG50" i="8"/>
  <c r="AF50" i="8"/>
  <c r="AD50" i="8"/>
  <c r="AC50" i="8"/>
  <c r="AB50" i="8"/>
  <c r="Z50" i="8"/>
  <c r="Y50" i="8"/>
  <c r="X50" i="8"/>
  <c r="J50" i="8"/>
  <c r="AE50" i="8" s="1"/>
  <c r="AA50" i="8"/>
  <c r="W50" i="8"/>
  <c r="S50" i="8"/>
  <c r="O50" i="8"/>
  <c r="AG60" i="8"/>
  <c r="AF60" i="8"/>
  <c r="AD60" i="8"/>
  <c r="AC60" i="8"/>
  <c r="AB60" i="8"/>
  <c r="Z60" i="8"/>
  <c r="Y60" i="8"/>
  <c r="X60" i="8"/>
  <c r="J60" i="8"/>
  <c r="AE60" i="8" s="1"/>
  <c r="AA60" i="8"/>
  <c r="W60" i="8"/>
  <c r="S60" i="8"/>
  <c r="O60" i="8"/>
  <c r="U59" i="8"/>
  <c r="Q59" i="8"/>
  <c r="AH58" i="9"/>
  <c r="AG58" i="9"/>
  <c r="AE58" i="9"/>
  <c r="AD58" i="9"/>
  <c r="AC58" i="9"/>
  <c r="AA58" i="9"/>
  <c r="Z58" i="9"/>
  <c r="Y58" i="9"/>
  <c r="W58" i="9"/>
  <c r="AH57" i="9"/>
  <c r="AG57" i="9"/>
  <c r="AE57" i="9"/>
  <c r="AD57" i="9"/>
  <c r="AC57" i="9"/>
  <c r="AA57" i="9"/>
  <c r="Z57" i="9"/>
  <c r="Y57" i="9"/>
  <c r="W57" i="9"/>
  <c r="AH56" i="9"/>
  <c r="AG56" i="9"/>
  <c r="AE56" i="9"/>
  <c r="AD56" i="9"/>
  <c r="AC56" i="9"/>
  <c r="AA56" i="9"/>
  <c r="Z56" i="9"/>
  <c r="Y56" i="9"/>
  <c r="W56" i="9"/>
  <c r="AH50" i="9"/>
  <c r="AH53" i="9" s="1"/>
  <c r="AG50" i="9"/>
  <c r="AG53" i="9" s="1"/>
  <c r="AE50" i="9"/>
  <c r="AE53" i="9" s="1"/>
  <c r="AD50" i="9"/>
  <c r="AC50" i="9"/>
  <c r="AA50" i="9"/>
  <c r="Z50" i="9"/>
  <c r="Y50" i="9"/>
  <c r="W50" i="9"/>
  <c r="AG62" i="9"/>
  <c r="AE62" i="9"/>
  <c r="AD62" i="9"/>
  <c r="AC62" i="9"/>
  <c r="AA62" i="9"/>
  <c r="Z62" i="9"/>
  <c r="Y62" i="9"/>
  <c r="W62" i="9"/>
  <c r="AH62" i="9"/>
  <c r="T4" i="9"/>
  <c r="AH4" i="9" s="1"/>
  <c r="S4" i="9"/>
  <c r="AG4" i="9" s="1"/>
  <c r="R4" i="9"/>
  <c r="AF4" i="9" s="1"/>
  <c r="Q4" i="9"/>
  <c r="AE4" i="9" s="1"/>
  <c r="P4" i="9"/>
  <c r="AD4" i="9" s="1"/>
  <c r="O4" i="9"/>
  <c r="AC4" i="9" s="1"/>
  <c r="N4" i="9"/>
  <c r="AB4" i="9" s="1"/>
  <c r="M4" i="9"/>
  <c r="AA4" i="9" s="1"/>
  <c r="L4" i="9"/>
  <c r="Z4" i="9" s="1"/>
  <c r="K4" i="9"/>
  <c r="Y4" i="9" s="1"/>
  <c r="J4" i="9"/>
  <c r="X4" i="9" s="1"/>
  <c r="I4" i="9"/>
  <c r="W4" i="9" s="1"/>
  <c r="H4" i="9"/>
  <c r="T3" i="9"/>
  <c r="AH3" i="9" s="1"/>
  <c r="S3" i="9"/>
  <c r="AG3" i="9" s="1"/>
  <c r="R3" i="9"/>
  <c r="AF3" i="9" s="1"/>
  <c r="Q3" i="9"/>
  <c r="AE3" i="9" s="1"/>
  <c r="P3" i="9"/>
  <c r="AD3" i="9" s="1"/>
  <c r="O3" i="9"/>
  <c r="AC3" i="9" s="1"/>
  <c r="N3" i="9"/>
  <c r="AB3" i="9" s="1"/>
  <c r="M3" i="9"/>
  <c r="AA3" i="9" s="1"/>
  <c r="L3" i="9"/>
  <c r="Z3" i="9" s="1"/>
  <c r="K3" i="9"/>
  <c r="Y3" i="9" s="1"/>
  <c r="J3" i="9"/>
  <c r="X3" i="9" s="1"/>
  <c r="I3" i="9"/>
  <c r="W3" i="9" s="1"/>
  <c r="H3" i="9"/>
  <c r="G4" i="9"/>
  <c r="G3" i="9"/>
  <c r="E4" i="9"/>
  <c r="D4" i="9"/>
  <c r="C4" i="9"/>
  <c r="E3" i="9"/>
  <c r="D3" i="9"/>
  <c r="C3" i="9"/>
  <c r="AA110" i="8"/>
  <c r="J31" i="8"/>
  <c r="AG31" i="8" s="1"/>
  <c r="J27" i="8"/>
  <c r="AG27" i="8" s="1"/>
  <c r="J13" i="8"/>
  <c r="J10" i="8"/>
  <c r="AF10" i="8" s="1"/>
  <c r="AC31" i="8"/>
  <c r="AB27" i="8"/>
  <c r="AA10" i="8"/>
  <c r="Z10" i="8"/>
  <c r="Y27" i="8"/>
  <c r="W31" i="8"/>
  <c r="V31" i="8"/>
  <c r="V27" i="8"/>
  <c r="V13" i="8"/>
  <c r="R31" i="8"/>
  <c r="R27" i="8"/>
  <c r="R13" i="8"/>
  <c r="J46" i="8"/>
  <c r="AE46" i="8" s="1"/>
  <c r="J45" i="8"/>
  <c r="J44" i="8"/>
  <c r="J43" i="8"/>
  <c r="J53" i="8"/>
  <c r="AE53" i="8" s="1"/>
  <c r="J52" i="8"/>
  <c r="J51" i="8"/>
  <c r="AE51" i="8" s="1"/>
  <c r="J58" i="8"/>
  <c r="J66" i="8"/>
  <c r="AE66" i="8" s="1"/>
  <c r="J71" i="8"/>
  <c r="AE71" i="8" s="1"/>
  <c r="J70" i="8"/>
  <c r="AE70" i="8" s="1"/>
  <c r="J69" i="8"/>
  <c r="AE69" i="8" s="1"/>
  <c r="AA71" i="8"/>
  <c r="AA70" i="8"/>
  <c r="AA69" i="8"/>
  <c r="AA66" i="8"/>
  <c r="AA53" i="8"/>
  <c r="AA51" i="8"/>
  <c r="AA46" i="8"/>
  <c r="N51" i="9"/>
  <c r="W66" i="8"/>
  <c r="W53" i="8"/>
  <c r="W51" i="8"/>
  <c r="AG71" i="8"/>
  <c r="AF71" i="8"/>
  <c r="AD71" i="8"/>
  <c r="AC71" i="8"/>
  <c r="AB71" i="8"/>
  <c r="Z71" i="8"/>
  <c r="Y71" i="8"/>
  <c r="X71" i="8"/>
  <c r="AG70" i="8"/>
  <c r="AF70" i="8"/>
  <c r="AD70" i="8"/>
  <c r="AC70" i="8"/>
  <c r="AB70" i="8"/>
  <c r="Z70" i="8"/>
  <c r="Y70" i="8"/>
  <c r="X70" i="8"/>
  <c r="AG69" i="8"/>
  <c r="AF69" i="8"/>
  <c r="AD69" i="8"/>
  <c r="AC69" i="8"/>
  <c r="AB69" i="8"/>
  <c r="Z69" i="8"/>
  <c r="Y69" i="8"/>
  <c r="X69" i="8"/>
  <c r="AF66" i="8"/>
  <c r="AD66" i="8"/>
  <c r="AC66" i="8"/>
  <c r="AB66" i="8"/>
  <c r="Z66" i="8"/>
  <c r="Y66" i="8"/>
  <c r="X66" i="8"/>
  <c r="AG58" i="8"/>
  <c r="AF58" i="8"/>
  <c r="AD58" i="8"/>
  <c r="AC58" i="8"/>
  <c r="AB58" i="8"/>
  <c r="Z58" i="8"/>
  <c r="Y58" i="8"/>
  <c r="X58" i="8"/>
  <c r="AG53" i="8"/>
  <c r="AF53" i="8"/>
  <c r="AD53" i="8"/>
  <c r="AC53" i="8"/>
  <c r="AB53" i="8"/>
  <c r="Z53" i="8"/>
  <c r="Y53" i="8"/>
  <c r="X53" i="8"/>
  <c r="AG52" i="8"/>
  <c r="AF52" i="8"/>
  <c r="AD52" i="8"/>
  <c r="AC52" i="8"/>
  <c r="AB52" i="8"/>
  <c r="Z52" i="8"/>
  <c r="Y52" i="8"/>
  <c r="X52" i="8"/>
  <c r="AG51" i="8"/>
  <c r="AF51" i="8"/>
  <c r="AD51" i="8"/>
  <c r="AC51" i="8"/>
  <c r="AB51" i="8"/>
  <c r="Z51" i="8"/>
  <c r="Y51" i="8"/>
  <c r="X51" i="8"/>
  <c r="AG46" i="8"/>
  <c r="AF46" i="8"/>
  <c r="AD46" i="8"/>
  <c r="AC46" i="8"/>
  <c r="AB46" i="8"/>
  <c r="AG45" i="8"/>
  <c r="AF45" i="8"/>
  <c r="AD45" i="8"/>
  <c r="AC45" i="8"/>
  <c r="AB45" i="8"/>
  <c r="Z45" i="8"/>
  <c r="Y45" i="8"/>
  <c r="X45" i="8"/>
  <c r="AG44" i="8"/>
  <c r="AF44" i="8"/>
  <c r="AD44" i="8"/>
  <c r="AC44" i="8"/>
  <c r="AB44" i="8"/>
  <c r="Z44" i="8"/>
  <c r="Y44" i="8"/>
  <c r="X44" i="8"/>
  <c r="AF43" i="8"/>
  <c r="AD43" i="8"/>
  <c r="AC43" i="8"/>
  <c r="AB43" i="8"/>
  <c r="Z43" i="8"/>
  <c r="Y43" i="8"/>
  <c r="X43" i="8"/>
  <c r="S45" i="8"/>
  <c r="S43" i="8"/>
  <c r="S53" i="8"/>
  <c r="S52" i="8"/>
  <c r="S51" i="8"/>
  <c r="S58" i="8"/>
  <c r="S71" i="8"/>
  <c r="S70" i="8"/>
  <c r="S69" i="8"/>
  <c r="S66" i="8"/>
  <c r="O71" i="8"/>
  <c r="O70" i="8"/>
  <c r="O69" i="8"/>
  <c r="O66" i="8"/>
  <c r="O58" i="8"/>
  <c r="O53" i="8"/>
  <c r="O52" i="8"/>
  <c r="O51" i="8"/>
  <c r="O46" i="8"/>
  <c r="O45" i="8"/>
  <c r="O44" i="8"/>
  <c r="O43" i="8"/>
  <c r="L85" i="8"/>
  <c r="K85" i="8"/>
  <c r="J85" i="8"/>
  <c r="I85" i="8"/>
  <c r="H85" i="8"/>
  <c r="G85" i="8"/>
  <c r="L84" i="8"/>
  <c r="K84" i="8"/>
  <c r="J84" i="8"/>
  <c r="I84" i="8"/>
  <c r="H84" i="8"/>
  <c r="G84" i="8"/>
  <c r="I74" i="8"/>
  <c r="I77" i="8" s="1"/>
  <c r="H74" i="8"/>
  <c r="H77" i="8" s="1"/>
  <c r="G74" i="8"/>
  <c r="G77" i="8" s="1"/>
  <c r="H72" i="9"/>
  <c r="G72" i="9"/>
  <c r="L40" i="8"/>
  <c r="K40" i="8"/>
  <c r="J40" i="8"/>
  <c r="I40" i="8"/>
  <c r="H40" i="8"/>
  <c r="G40" i="8"/>
  <c r="L39" i="8"/>
  <c r="K39" i="8"/>
  <c r="J39" i="8"/>
  <c r="I39" i="8"/>
  <c r="H39" i="8"/>
  <c r="G39" i="8"/>
  <c r="E40" i="8"/>
  <c r="D40" i="8"/>
  <c r="C40" i="8"/>
  <c r="E39" i="8"/>
  <c r="D39" i="8"/>
  <c r="C39" i="8"/>
  <c r="AG43" i="8"/>
  <c r="H11" i="8"/>
  <c r="G11" i="8"/>
  <c r="L11" i="8"/>
  <c r="L13" i="21" s="1"/>
  <c r="AB8" i="8"/>
  <c r="AA8" i="8"/>
  <c r="Z8" i="8"/>
  <c r="Y8" i="8"/>
  <c r="X8" i="8"/>
  <c r="W8" i="8"/>
  <c r="AB7" i="8"/>
  <c r="AA7" i="8"/>
  <c r="Z7" i="8"/>
  <c r="Y7" i="8"/>
  <c r="X7" i="8"/>
  <c r="W7" i="8"/>
  <c r="AF8" i="8"/>
  <c r="AE8" i="8"/>
  <c r="AD8" i="8"/>
  <c r="AC8" i="8"/>
  <c r="AF7" i="8"/>
  <c r="AE7" i="8"/>
  <c r="AD7" i="8"/>
  <c r="AC7" i="8"/>
  <c r="AG8" i="8"/>
  <c r="AG7" i="8"/>
  <c r="G27" i="14"/>
  <c r="D4" i="10"/>
  <c r="C4" i="10"/>
  <c r="D3" i="10"/>
  <c r="C3" i="10"/>
  <c r="E4" i="10"/>
  <c r="E3" i="10"/>
  <c r="M24" i="8" l="1"/>
  <c r="M28" i="8" s="1"/>
  <c r="M13" i="21"/>
  <c r="G24" i="8"/>
  <c r="G28" i="8" s="1"/>
  <c r="G13" i="21"/>
  <c r="J21" i="21"/>
  <c r="J20" i="10"/>
  <c r="H24" i="8"/>
  <c r="H13" i="21"/>
  <c r="R9" i="9"/>
  <c r="R8" i="9"/>
  <c r="H6" i="9"/>
  <c r="N8" i="9"/>
  <c r="AE8" i="9" s="1"/>
  <c r="W10" i="10"/>
  <c r="R7" i="9"/>
  <c r="J53" i="18"/>
  <c r="AJ65" i="8"/>
  <c r="AJ44" i="8"/>
  <c r="AJ69" i="8"/>
  <c r="AJ45" i="8"/>
  <c r="AJ58" i="8"/>
  <c r="AJ70" i="8"/>
  <c r="G41" i="19"/>
  <c r="G42" i="19" s="1"/>
  <c r="AH116" i="8"/>
  <c r="R41" i="9"/>
  <c r="AJ46" i="8"/>
  <c r="AJ59" i="8"/>
  <c r="AJ71" i="8"/>
  <c r="AJ64" i="8"/>
  <c r="L41" i="19"/>
  <c r="H42" i="19"/>
  <c r="AD116" i="8"/>
  <c r="N41" i="9"/>
  <c r="AE41" i="9" s="1"/>
  <c r="AJ50" i="8"/>
  <c r="AJ60" i="8"/>
  <c r="Z110" i="8"/>
  <c r="J40" i="9"/>
  <c r="Y111" i="8"/>
  <c r="J43" i="9"/>
  <c r="X116" i="8"/>
  <c r="J41" i="9"/>
  <c r="AJ51" i="8"/>
  <c r="AJ114" i="8"/>
  <c r="J44" i="9"/>
  <c r="F112" i="19"/>
  <c r="R32" i="9"/>
  <c r="AG107" i="8"/>
  <c r="AH107" i="8"/>
  <c r="AE107" i="8"/>
  <c r="AF107" i="8"/>
  <c r="F41" i="19"/>
  <c r="F42" i="19" s="1"/>
  <c r="AJ52" i="8"/>
  <c r="AG110" i="8"/>
  <c r="R40" i="9"/>
  <c r="N44" i="9"/>
  <c r="AE44" i="9" s="1"/>
  <c r="AC111" i="8"/>
  <c r="N43" i="9"/>
  <c r="W65" i="8"/>
  <c r="F110" i="19"/>
  <c r="AJ53" i="8"/>
  <c r="AJ66" i="8"/>
  <c r="R44" i="9"/>
  <c r="W46" i="8"/>
  <c r="F87" i="19"/>
  <c r="F88" i="19" s="1"/>
  <c r="AJ43" i="8"/>
  <c r="AJ54" i="8"/>
  <c r="N32" i="9"/>
  <c r="AD107" i="8"/>
  <c r="AE111" i="8"/>
  <c r="R43" i="9"/>
  <c r="F96" i="19"/>
  <c r="W64" i="8"/>
  <c r="AA64" i="8"/>
  <c r="AE64" i="8"/>
  <c r="R35" i="9"/>
  <c r="N35" i="9"/>
  <c r="J19" i="9"/>
  <c r="Y19" i="9" s="1"/>
  <c r="W45" i="8"/>
  <c r="J56" i="9"/>
  <c r="X56" i="9" s="1"/>
  <c r="AA45" i="8"/>
  <c r="N56" i="9"/>
  <c r="AB56" i="9" s="1"/>
  <c r="R50" i="9"/>
  <c r="Y13" i="8"/>
  <c r="J14" i="9"/>
  <c r="AA14" i="9" s="1"/>
  <c r="AE44" i="8"/>
  <c r="R51" i="9"/>
  <c r="AF51" i="9" s="1"/>
  <c r="AG13" i="8"/>
  <c r="AG16" i="8" s="1"/>
  <c r="R14" i="9"/>
  <c r="X97" i="8"/>
  <c r="J35" i="9"/>
  <c r="I72" i="9"/>
  <c r="W72" i="9" s="1"/>
  <c r="K72" i="9"/>
  <c r="Y72" i="9" s="1"/>
  <c r="W52" i="8"/>
  <c r="J58" i="9"/>
  <c r="X58" i="9" s="1"/>
  <c r="AE45" i="8"/>
  <c r="R56" i="9"/>
  <c r="AF56" i="9" s="1"/>
  <c r="R18" i="9"/>
  <c r="J20" i="9"/>
  <c r="M67" i="8"/>
  <c r="M78" i="8" s="1"/>
  <c r="U59" i="9"/>
  <c r="N20" i="9"/>
  <c r="J34" i="9"/>
  <c r="O72" i="9"/>
  <c r="AC72" i="9" s="1"/>
  <c r="W58" i="8"/>
  <c r="J57" i="9"/>
  <c r="X57" i="9" s="1"/>
  <c r="N18" i="9"/>
  <c r="AD18" i="9" s="1"/>
  <c r="R20" i="9"/>
  <c r="AF20" i="9" s="1"/>
  <c r="AE52" i="8"/>
  <c r="R58" i="9"/>
  <c r="AF58" i="9" s="1"/>
  <c r="N19" i="9"/>
  <c r="AE19" i="9" s="1"/>
  <c r="U72" i="9"/>
  <c r="AI72" i="9" s="1"/>
  <c r="K134" i="8"/>
  <c r="AF134" i="8" s="1"/>
  <c r="R33" i="9"/>
  <c r="W44" i="8"/>
  <c r="J51" i="9"/>
  <c r="L72" i="9"/>
  <c r="Z72" i="9" s="1"/>
  <c r="M72" i="9"/>
  <c r="AA72" i="9" s="1"/>
  <c r="AA52" i="8"/>
  <c r="N58" i="9"/>
  <c r="AB58" i="9" s="1"/>
  <c r="AE58" i="8"/>
  <c r="R57" i="9"/>
  <c r="AF57" i="9" s="1"/>
  <c r="AA13" i="8"/>
  <c r="N14" i="9"/>
  <c r="AE14" i="9" s="1"/>
  <c r="R19" i="9"/>
  <c r="AI19" i="9" s="1"/>
  <c r="P72" i="9"/>
  <c r="AD72" i="9" s="1"/>
  <c r="Q72" i="9"/>
  <c r="AE72" i="9" s="1"/>
  <c r="W43" i="8"/>
  <c r="J50" i="9"/>
  <c r="AA43" i="8"/>
  <c r="N50" i="9"/>
  <c r="N53" i="9" s="1"/>
  <c r="AA58" i="8"/>
  <c r="N57" i="9"/>
  <c r="AB57" i="9" s="1"/>
  <c r="J18" i="9"/>
  <c r="X18" i="9" s="1"/>
  <c r="R60" i="8"/>
  <c r="U46" i="8"/>
  <c r="U47" i="8" s="1"/>
  <c r="U55" i="8" s="1"/>
  <c r="J112" i="8"/>
  <c r="J30" i="18"/>
  <c r="J51" i="18" s="1"/>
  <c r="Y65" i="18"/>
  <c r="J36" i="18"/>
  <c r="J60" i="18" s="1"/>
  <c r="J59" i="18" s="1"/>
  <c r="J61" i="18" s="1"/>
  <c r="R65" i="18"/>
  <c r="T65" i="18"/>
  <c r="J67" i="18"/>
  <c r="AA67" i="18" s="1"/>
  <c r="AC64" i="18"/>
  <c r="AA64" i="18"/>
  <c r="AD64" i="18"/>
  <c r="AB64" i="18"/>
  <c r="Q29" i="18"/>
  <c r="O29" i="18"/>
  <c r="O32" i="18" s="1"/>
  <c r="R29" i="18"/>
  <c r="P29" i="18"/>
  <c r="O67" i="18"/>
  <c r="O68" i="18"/>
  <c r="R30" i="18"/>
  <c r="AB51" i="18"/>
  <c r="AB50" i="18" s="1"/>
  <c r="R42" i="18"/>
  <c r="L66" i="18"/>
  <c r="AC66" i="18" s="1"/>
  <c r="AC65" i="18" s="1"/>
  <c r="AC42" i="18"/>
  <c r="V58" i="18"/>
  <c r="U58" i="18"/>
  <c r="T58" i="18"/>
  <c r="S58" i="18"/>
  <c r="Y29" i="18"/>
  <c r="W29" i="18"/>
  <c r="Z29" i="18"/>
  <c r="X29" i="18"/>
  <c r="Y58" i="18"/>
  <c r="W58" i="18"/>
  <c r="Z58" i="18"/>
  <c r="X58" i="18"/>
  <c r="Q30" i="18"/>
  <c r="K44" i="18"/>
  <c r="AB42" i="18"/>
  <c r="AB17" i="18" s="1"/>
  <c r="O30" i="18"/>
  <c r="O31" i="18"/>
  <c r="O54" i="18"/>
  <c r="S30" i="18"/>
  <c r="L51" i="18"/>
  <c r="AC30" i="18"/>
  <c r="G52" i="18"/>
  <c r="X36" i="18"/>
  <c r="X52" i="18" s="1"/>
  <c r="T42" i="18"/>
  <c r="M44" i="18"/>
  <c r="AD42" i="18"/>
  <c r="V29" i="18"/>
  <c r="T29" i="18"/>
  <c r="U29" i="18"/>
  <c r="S29" i="18"/>
  <c r="U64" i="18"/>
  <c r="T64" i="18"/>
  <c r="S64" i="18"/>
  <c r="V64" i="18"/>
  <c r="W31" i="18"/>
  <c r="Z64" i="18"/>
  <c r="X64" i="18"/>
  <c r="Y64" i="18"/>
  <c r="W64" i="18"/>
  <c r="AD41" i="18"/>
  <c r="AD44" i="18" s="1"/>
  <c r="AC41" i="18"/>
  <c r="AB41" i="18"/>
  <c r="AA41" i="18"/>
  <c r="Z69" i="18"/>
  <c r="R35" i="18"/>
  <c r="P35" i="18"/>
  <c r="Q35" i="18"/>
  <c r="O35" i="18"/>
  <c r="Q58" i="18"/>
  <c r="O58" i="18"/>
  <c r="P58" i="18"/>
  <c r="R58" i="18"/>
  <c r="T30" i="18"/>
  <c r="M51" i="18"/>
  <c r="AD30" i="18"/>
  <c r="H60" i="18"/>
  <c r="H59" i="18" s="1"/>
  <c r="H61" i="18" s="1"/>
  <c r="Y36" i="18"/>
  <c r="Y52" i="18" s="1"/>
  <c r="U42" i="18"/>
  <c r="S67" i="18"/>
  <c r="S68" i="18"/>
  <c r="W67" i="18"/>
  <c r="W68" i="18"/>
  <c r="J42" i="18"/>
  <c r="J44" i="18" s="1"/>
  <c r="AA43" i="18"/>
  <c r="I32" i="18"/>
  <c r="Z30" i="18"/>
  <c r="U49" i="18"/>
  <c r="V49" i="18"/>
  <c r="T49" i="18"/>
  <c r="S49" i="18"/>
  <c r="O36" i="18"/>
  <c r="O52" i="18" s="1"/>
  <c r="O37" i="18"/>
  <c r="U30" i="18"/>
  <c r="Q36" i="18"/>
  <c r="Q52" i="18" s="1"/>
  <c r="I60" i="18"/>
  <c r="Z60" i="18" s="1"/>
  <c r="Z59" i="18" s="1"/>
  <c r="Z36" i="18"/>
  <c r="Z52" i="18" s="1"/>
  <c r="V66" i="18"/>
  <c r="V65" i="18" s="1"/>
  <c r="V42" i="18"/>
  <c r="S36" i="18"/>
  <c r="S52" i="18" s="1"/>
  <c r="S37" i="18"/>
  <c r="S54" i="18"/>
  <c r="S53" i="18" s="1"/>
  <c r="Z35" i="18"/>
  <c r="X35" i="18"/>
  <c r="Y35" i="18"/>
  <c r="W35" i="18"/>
  <c r="AC49" i="18"/>
  <c r="AD49" i="18"/>
  <c r="AB49" i="18"/>
  <c r="AA49" i="18"/>
  <c r="Q42" i="18"/>
  <c r="Q41" i="18"/>
  <c r="P41" i="18"/>
  <c r="O41" i="18"/>
  <c r="R41" i="18"/>
  <c r="V51" i="18"/>
  <c r="R36" i="18"/>
  <c r="R52" i="18" s="1"/>
  <c r="G66" i="18"/>
  <c r="X66" i="18" s="1"/>
  <c r="X65" i="18" s="1"/>
  <c r="X42" i="18"/>
  <c r="U35" i="18"/>
  <c r="S35" i="18"/>
  <c r="V35" i="18"/>
  <c r="T35" i="18"/>
  <c r="Y41" i="18"/>
  <c r="W41" i="18"/>
  <c r="Z41" i="18"/>
  <c r="X41" i="18"/>
  <c r="X44" i="18" s="1"/>
  <c r="AD29" i="18"/>
  <c r="AB29" i="18"/>
  <c r="AC29" i="18"/>
  <c r="AA29" i="18"/>
  <c r="R64" i="18"/>
  <c r="R69" i="18" s="1"/>
  <c r="P64" i="18"/>
  <c r="Q64" i="18"/>
  <c r="O64" i="18"/>
  <c r="V36" i="18"/>
  <c r="V52" i="18" s="1"/>
  <c r="O43" i="18"/>
  <c r="G32" i="18"/>
  <c r="X30" i="18"/>
  <c r="T36" i="18"/>
  <c r="T52" i="18" s="1"/>
  <c r="L38" i="18"/>
  <c r="AC36" i="18"/>
  <c r="AC52" i="18" s="1"/>
  <c r="H44" i="18"/>
  <c r="Y42" i="18"/>
  <c r="V41" i="18"/>
  <c r="V44" i="18" s="1"/>
  <c r="T41" i="18"/>
  <c r="U41" i="18"/>
  <c r="S41" i="18"/>
  <c r="W43" i="18"/>
  <c r="AD58" i="18"/>
  <c r="AB58" i="18"/>
  <c r="AC58" i="18"/>
  <c r="AA58" i="18"/>
  <c r="Q66" i="18"/>
  <c r="Q65" i="18" s="1"/>
  <c r="Q69" i="18" s="1"/>
  <c r="R49" i="18"/>
  <c r="P49" i="18"/>
  <c r="O49" i="18"/>
  <c r="Q49" i="18"/>
  <c r="H51" i="18"/>
  <c r="Y30" i="18"/>
  <c r="U36" i="18"/>
  <c r="U52" i="18" s="1"/>
  <c r="M52" i="18"/>
  <c r="AD36" i="18"/>
  <c r="AD52" i="18" s="1"/>
  <c r="I44" i="18"/>
  <c r="Z42" i="18"/>
  <c r="K38" i="18"/>
  <c r="S43" i="18"/>
  <c r="Z49" i="18"/>
  <c r="X49" i="18"/>
  <c r="W49" i="18"/>
  <c r="Y49" i="18"/>
  <c r="AC35" i="18"/>
  <c r="AA35" i="18"/>
  <c r="AD35" i="18"/>
  <c r="AB35" i="18"/>
  <c r="AB38" i="18" s="1"/>
  <c r="O51" i="18"/>
  <c r="P36" i="18"/>
  <c r="P66" i="18"/>
  <c r="P65" i="18" s="1"/>
  <c r="P42" i="18"/>
  <c r="Q60" i="18"/>
  <c r="Q59" i="18" s="1"/>
  <c r="P30" i="18"/>
  <c r="J52" i="18"/>
  <c r="U66" i="18"/>
  <c r="U65" i="18" s="1"/>
  <c r="G38" i="18"/>
  <c r="M66" i="18"/>
  <c r="M17" i="18"/>
  <c r="M18" i="18" s="1"/>
  <c r="M32" i="18"/>
  <c r="L44" i="18"/>
  <c r="L17" i="18"/>
  <c r="L18" i="18" s="1"/>
  <c r="L32" i="18"/>
  <c r="K66" i="18"/>
  <c r="AB66" i="18" s="1"/>
  <c r="AB65" i="18" s="1"/>
  <c r="K17" i="18"/>
  <c r="K18" i="18" s="1"/>
  <c r="K32" i="18"/>
  <c r="K51" i="18"/>
  <c r="P36" i="8"/>
  <c r="I38" i="18"/>
  <c r="H52" i="18"/>
  <c r="H38" i="18"/>
  <c r="H32" i="18"/>
  <c r="J22" i="18"/>
  <c r="G44" i="18"/>
  <c r="J16" i="18"/>
  <c r="J38" i="18"/>
  <c r="G17" i="18"/>
  <c r="G18" i="18" s="1"/>
  <c r="K52" i="18"/>
  <c r="H17" i="18"/>
  <c r="H18" i="18" s="1"/>
  <c r="M60" i="18"/>
  <c r="G51" i="18"/>
  <c r="G50" i="18" s="1"/>
  <c r="G55" i="18" s="1"/>
  <c r="I17" i="18"/>
  <c r="I18" i="18" s="1"/>
  <c r="K60" i="18"/>
  <c r="L60" i="18"/>
  <c r="G60" i="18"/>
  <c r="H65" i="18"/>
  <c r="H69" i="18" s="1"/>
  <c r="I65" i="18"/>
  <c r="I69" i="18" s="1"/>
  <c r="L50" i="18"/>
  <c r="L55" i="18" s="1"/>
  <c r="I50" i="18"/>
  <c r="E51" i="18"/>
  <c r="E32" i="18"/>
  <c r="C66" i="18"/>
  <c r="D66" i="18"/>
  <c r="C32" i="18"/>
  <c r="E66" i="18"/>
  <c r="E52" i="18"/>
  <c r="E60" i="18"/>
  <c r="E59" i="18" s="1"/>
  <c r="E61" i="18" s="1"/>
  <c r="D38" i="18"/>
  <c r="C60" i="18"/>
  <c r="C59" i="18" s="1"/>
  <c r="C61" i="18" s="1"/>
  <c r="D51" i="18"/>
  <c r="D60" i="18"/>
  <c r="D59" i="18" s="1"/>
  <c r="D61" i="18" s="1"/>
  <c r="C52" i="18"/>
  <c r="C51" i="18"/>
  <c r="D32" i="18"/>
  <c r="E18" i="18"/>
  <c r="T46" i="8"/>
  <c r="T47" i="8" s="1"/>
  <c r="T55" i="8" s="1"/>
  <c r="P60" i="8"/>
  <c r="Z46" i="8"/>
  <c r="U60" i="8"/>
  <c r="U61" i="8" s="1"/>
  <c r="U67" i="8" s="1"/>
  <c r="D18" i="18"/>
  <c r="Q35" i="8"/>
  <c r="O36" i="8"/>
  <c r="R35" i="8"/>
  <c r="C18" i="18"/>
  <c r="R36" i="8"/>
  <c r="P35" i="8"/>
  <c r="O35" i="8"/>
  <c r="Q36" i="8"/>
  <c r="AF61" i="8"/>
  <c r="T60" i="8"/>
  <c r="T6" i="9"/>
  <c r="G6" i="9"/>
  <c r="W6" i="9" s="1"/>
  <c r="P6" i="9"/>
  <c r="X10" i="10"/>
  <c r="Y10" i="10"/>
  <c r="AA10" i="10" s="1"/>
  <c r="S6" i="9"/>
  <c r="O6" i="9"/>
  <c r="AG61" i="8"/>
  <c r="AH61" i="8"/>
  <c r="V111" i="8"/>
  <c r="R40" i="10"/>
  <c r="O40" i="10"/>
  <c r="L6" i="9"/>
  <c r="T111" i="8"/>
  <c r="S111" i="8"/>
  <c r="Q111" i="8"/>
  <c r="P111" i="8"/>
  <c r="AD61" i="8"/>
  <c r="N59" i="9"/>
  <c r="J61" i="8"/>
  <c r="R59" i="9" s="1"/>
  <c r="I6" i="9"/>
  <c r="Q6" i="9"/>
  <c r="K6" i="9"/>
  <c r="M6" i="9"/>
  <c r="P40" i="10"/>
  <c r="Q40" i="10"/>
  <c r="S40" i="10"/>
  <c r="E6" i="9"/>
  <c r="AH111" i="8"/>
  <c r="AD111" i="8"/>
  <c r="X111" i="8"/>
  <c r="AG111" i="8"/>
  <c r="Z111" i="8"/>
  <c r="AF111" i="8"/>
  <c r="AB111" i="8"/>
  <c r="AA111" i="8"/>
  <c r="W111" i="8"/>
  <c r="V91" i="8"/>
  <c r="V97" i="8"/>
  <c r="R127" i="8"/>
  <c r="V134" i="8"/>
  <c r="T127" i="8"/>
  <c r="O110" i="8"/>
  <c r="S47" i="8"/>
  <c r="S55" i="8" s="1"/>
  <c r="O115" i="8"/>
  <c r="O116" i="8"/>
  <c r="U74" i="8"/>
  <c r="O124" i="8"/>
  <c r="R100" i="8"/>
  <c r="R101" i="8"/>
  <c r="P47" i="8"/>
  <c r="P55" i="8" s="1"/>
  <c r="P74" i="8"/>
  <c r="AI70" i="9"/>
  <c r="R102" i="8"/>
  <c r="P10" i="8"/>
  <c r="P11" i="8" s="1"/>
  <c r="R47" i="8"/>
  <c r="R55" i="8" s="1"/>
  <c r="R74" i="8"/>
  <c r="O92" i="8"/>
  <c r="O27" i="8"/>
  <c r="Q47" i="8"/>
  <c r="Q55" i="8" s="1"/>
  <c r="Q74" i="8"/>
  <c r="V98" i="8"/>
  <c r="R92" i="8"/>
  <c r="V102" i="8"/>
  <c r="O13" i="8"/>
  <c r="O31" i="8"/>
  <c r="T74" i="8"/>
  <c r="O94" i="8"/>
  <c r="V47" i="8"/>
  <c r="V55" i="8" s="1"/>
  <c r="V74" i="8"/>
  <c r="O99" i="8"/>
  <c r="O127" i="8"/>
  <c r="Y20" i="9"/>
  <c r="O100" i="8"/>
  <c r="O74" i="8"/>
  <c r="O101" i="8"/>
  <c r="W20" i="9"/>
  <c r="S61" i="8"/>
  <c r="S67" i="8" s="1"/>
  <c r="S74" i="8"/>
  <c r="Q10" i="8"/>
  <c r="Q11" i="8" s="1"/>
  <c r="P13" i="8"/>
  <c r="P27" i="8"/>
  <c r="P31" i="8"/>
  <c r="P59" i="8"/>
  <c r="P92" i="8"/>
  <c r="P94" i="8"/>
  <c r="P95" i="8"/>
  <c r="P99" i="8"/>
  <c r="P100" i="8"/>
  <c r="P101" i="8"/>
  <c r="P102" i="8"/>
  <c r="P110" i="8"/>
  <c r="P115" i="8"/>
  <c r="P116" i="8"/>
  <c r="P124" i="8"/>
  <c r="P127" i="8"/>
  <c r="O47" i="8"/>
  <c r="O55" i="8" s="1"/>
  <c r="R10" i="8"/>
  <c r="R11" i="8" s="1"/>
  <c r="R16" i="8" s="1"/>
  <c r="R24" i="8" s="1"/>
  <c r="Q13" i="8"/>
  <c r="Q27" i="8"/>
  <c r="Q31" i="8"/>
  <c r="Q61" i="8"/>
  <c r="Q67" i="8" s="1"/>
  <c r="Q92" i="8"/>
  <c r="Q94" i="8"/>
  <c r="Q95" i="8"/>
  <c r="Q99" i="8"/>
  <c r="Q100" i="8"/>
  <c r="Q101" i="8"/>
  <c r="Q102" i="8"/>
  <c r="Q110" i="8"/>
  <c r="Q115" i="8"/>
  <c r="Q116" i="8"/>
  <c r="Q124" i="8"/>
  <c r="Q127" i="8"/>
  <c r="S10" i="8"/>
  <c r="S11" i="8" s="1"/>
  <c r="R59" i="8"/>
  <c r="T10" i="8"/>
  <c r="T11" i="8" s="1"/>
  <c r="S13" i="8"/>
  <c r="S27" i="8"/>
  <c r="S31" i="8"/>
  <c r="S91" i="8"/>
  <c r="S93" i="8"/>
  <c r="S97" i="8"/>
  <c r="S98" i="8"/>
  <c r="S102" i="8"/>
  <c r="S103" i="8"/>
  <c r="S110" i="8"/>
  <c r="S115" i="8"/>
  <c r="S116" i="8"/>
  <c r="S124" i="8"/>
  <c r="S127" i="8"/>
  <c r="S134" i="8"/>
  <c r="U10" i="8"/>
  <c r="U11" i="8" s="1"/>
  <c r="T13" i="8"/>
  <c r="T27" i="8"/>
  <c r="T31" i="8"/>
  <c r="T59" i="8"/>
  <c r="T91" i="8"/>
  <c r="T93" i="8"/>
  <c r="T97" i="8"/>
  <c r="T98" i="8"/>
  <c r="T102" i="8"/>
  <c r="T103" i="8"/>
  <c r="T110" i="8"/>
  <c r="T115" i="8"/>
  <c r="T116" i="8"/>
  <c r="T124" i="8"/>
  <c r="T134" i="8"/>
  <c r="O61" i="8"/>
  <c r="O67" i="8" s="1"/>
  <c r="V10" i="8"/>
  <c r="V11" i="8" s="1"/>
  <c r="V16" i="8" s="1"/>
  <c r="U13" i="8"/>
  <c r="U27" i="8"/>
  <c r="U31" i="8"/>
  <c r="U91" i="8"/>
  <c r="U93" i="8"/>
  <c r="U97" i="8"/>
  <c r="U98" i="8"/>
  <c r="U102" i="8"/>
  <c r="U103" i="8"/>
  <c r="U110" i="8"/>
  <c r="U115" i="8"/>
  <c r="U116" i="8"/>
  <c r="U124" i="8"/>
  <c r="U127" i="8"/>
  <c r="U134" i="8"/>
  <c r="O10" i="8"/>
  <c r="O11" i="8" s="1"/>
  <c r="V59" i="8"/>
  <c r="V61" i="8" s="1"/>
  <c r="V67" i="8" s="1"/>
  <c r="O84" i="8"/>
  <c r="P39" i="8"/>
  <c r="P40" i="8"/>
  <c r="O40" i="8"/>
  <c r="Q39" i="8"/>
  <c r="Q40" i="8"/>
  <c r="R39" i="8"/>
  <c r="R40" i="8"/>
  <c r="S39" i="8"/>
  <c r="S40" i="8"/>
  <c r="T39" i="8"/>
  <c r="T40" i="8"/>
  <c r="U39" i="8"/>
  <c r="U40" i="8"/>
  <c r="V39" i="8"/>
  <c r="V40" i="8"/>
  <c r="AF124" i="8"/>
  <c r="Z124" i="8"/>
  <c r="AB124" i="8"/>
  <c r="AE124" i="8"/>
  <c r="AA124" i="8"/>
  <c r="AC124" i="8"/>
  <c r="AH124" i="8"/>
  <c r="W124" i="8"/>
  <c r="X124" i="8"/>
  <c r="V127" i="8"/>
  <c r="J127" i="8"/>
  <c r="AD101" i="8"/>
  <c r="AA101" i="8"/>
  <c r="AB101" i="8"/>
  <c r="AF101" i="8"/>
  <c r="AC101" i="8"/>
  <c r="U101" i="8"/>
  <c r="W100" i="8"/>
  <c r="Z100" i="8"/>
  <c r="Y100" i="8"/>
  <c r="X100" i="8"/>
  <c r="AB100" i="8"/>
  <c r="U100" i="8"/>
  <c r="AH100" i="8"/>
  <c r="AA100" i="8"/>
  <c r="AC100" i="8"/>
  <c r="AA102" i="8"/>
  <c r="AH102" i="8"/>
  <c r="Z102" i="8"/>
  <c r="AH97" i="8"/>
  <c r="R95" i="8"/>
  <c r="AH95" i="8"/>
  <c r="AH99" i="8"/>
  <c r="AH94" i="8"/>
  <c r="M47" i="8"/>
  <c r="AH93" i="8"/>
  <c r="AH74" i="8"/>
  <c r="AH77" i="8" s="1"/>
  <c r="AH47" i="8"/>
  <c r="AH10" i="8"/>
  <c r="AH115" i="8"/>
  <c r="AH27" i="8"/>
  <c r="AH13" i="8"/>
  <c r="AH16" i="8" s="1"/>
  <c r="AH103" i="8"/>
  <c r="AH31" i="8"/>
  <c r="AH110" i="8"/>
  <c r="AH98" i="8"/>
  <c r="AH39" i="8"/>
  <c r="AH40" i="8"/>
  <c r="AB70" i="9"/>
  <c r="AB115" i="8"/>
  <c r="X70" i="9"/>
  <c r="L70" i="9"/>
  <c r="K70" i="9"/>
  <c r="S70" i="9"/>
  <c r="M70" i="9"/>
  <c r="O70" i="9"/>
  <c r="P70" i="9"/>
  <c r="AD70" i="9"/>
  <c r="W70" i="9"/>
  <c r="AE70" i="9"/>
  <c r="AA70" i="9"/>
  <c r="AG70" i="9"/>
  <c r="AC70" i="9"/>
  <c r="Z70" i="9"/>
  <c r="Y70" i="9"/>
  <c r="AB39" i="9"/>
  <c r="Z115" i="8"/>
  <c r="Z116" i="8"/>
  <c r="AF62" i="9"/>
  <c r="AC115" i="8"/>
  <c r="AD115" i="8"/>
  <c r="W116" i="8"/>
  <c r="Y116" i="8"/>
  <c r="AA92" i="8"/>
  <c r="V92" i="8"/>
  <c r="AA116" i="8"/>
  <c r="W115" i="8"/>
  <c r="AE115" i="8"/>
  <c r="AB116" i="8"/>
  <c r="Z39" i="9"/>
  <c r="X115" i="8"/>
  <c r="AF115" i="8"/>
  <c r="AC116" i="8"/>
  <c r="AE116" i="8"/>
  <c r="AF116" i="8"/>
  <c r="AG116" i="8"/>
  <c r="W39" i="9"/>
  <c r="L120" i="8"/>
  <c r="G120" i="8"/>
  <c r="H120" i="8"/>
  <c r="L47" i="8"/>
  <c r="L55" i="8" s="1"/>
  <c r="I47" i="8"/>
  <c r="I55" i="8" s="1"/>
  <c r="H47" i="8"/>
  <c r="H55" i="8" s="1"/>
  <c r="G47" i="8"/>
  <c r="G55" i="8" s="1"/>
  <c r="E67" i="8"/>
  <c r="E60" i="9" s="1"/>
  <c r="AD134" i="8"/>
  <c r="W14" i="9"/>
  <c r="W19" i="9"/>
  <c r="AB110" i="8"/>
  <c r="AD53" i="9"/>
  <c r="Z24" i="9"/>
  <c r="W53" i="9"/>
  <c r="AA59" i="9"/>
  <c r="AC110" i="8"/>
  <c r="AG99" i="8"/>
  <c r="AC53" i="9"/>
  <c r="W33" i="9"/>
  <c r="W59" i="9"/>
  <c r="Z53" i="9"/>
  <c r="Y53" i="9"/>
  <c r="AA53" i="9"/>
  <c r="W18" i="9"/>
  <c r="AG97" i="8"/>
  <c r="AD110" i="8"/>
  <c r="AD93" i="8"/>
  <c r="AD103" i="8"/>
  <c r="Y103" i="8"/>
  <c r="AD97" i="8"/>
  <c r="AG93" i="8"/>
  <c r="AA107" i="8"/>
  <c r="Z91" i="8"/>
  <c r="P107" i="8"/>
  <c r="W110" i="8"/>
  <c r="R99" i="8"/>
  <c r="X110" i="8"/>
  <c r="Y110" i="8"/>
  <c r="AE134" i="8"/>
  <c r="AE110" i="8"/>
  <c r="AF110" i="8"/>
  <c r="AD98" i="8"/>
  <c r="AB134" i="8"/>
  <c r="AC134" i="8"/>
  <c r="Z99" i="8"/>
  <c r="AA134" i="8"/>
  <c r="X91" i="8"/>
  <c r="W91" i="8"/>
  <c r="W98" i="8"/>
  <c r="Y99" i="8"/>
  <c r="Y91" i="8"/>
  <c r="Z97" i="8"/>
  <c r="P93" i="8"/>
  <c r="P97" i="8"/>
  <c r="P98" i="8"/>
  <c r="AA103" i="8"/>
  <c r="AE93" i="8"/>
  <c r="AF98" i="8"/>
  <c r="AB93" i="8"/>
  <c r="AB103" i="8"/>
  <c r="AC103" i="8"/>
  <c r="AA97" i="8"/>
  <c r="AC99" i="8"/>
  <c r="AF93" i="8"/>
  <c r="AB97" i="8"/>
  <c r="Y98" i="8"/>
  <c r="AG98" i="8"/>
  <c r="AD99" i="8"/>
  <c r="AC97" i="8"/>
  <c r="Z98" i="8"/>
  <c r="W99" i="8"/>
  <c r="AE99" i="8"/>
  <c r="X99" i="8"/>
  <c r="AF99" i="8"/>
  <c r="AA93" i="8"/>
  <c r="W97" i="8"/>
  <c r="AE97" i="8"/>
  <c r="AF97" i="8"/>
  <c r="AC93" i="8"/>
  <c r="Y97" i="8"/>
  <c r="AA99" i="8"/>
  <c r="X31" i="8"/>
  <c r="Y31" i="8"/>
  <c r="W10" i="8"/>
  <c r="X10" i="8"/>
  <c r="Y10" i="8"/>
  <c r="Z27" i="8"/>
  <c r="AD31" i="8"/>
  <c r="AE27" i="8"/>
  <c r="AB10" i="8"/>
  <c r="AC10" i="8"/>
  <c r="AD10" i="8"/>
  <c r="AB13" i="8"/>
  <c r="AC13" i="8"/>
  <c r="AF27" i="8"/>
  <c r="AA31" i="8"/>
  <c r="AD13" i="8"/>
  <c r="W27" i="8"/>
  <c r="AD27" i="8"/>
  <c r="Z31" i="8"/>
  <c r="W13" i="8"/>
  <c r="Z13" i="8"/>
  <c r="AC27" i="8"/>
  <c r="X13" i="8"/>
  <c r="X27" i="8"/>
  <c r="AB31" i="8"/>
  <c r="AA27" i="8"/>
  <c r="AE31" i="8"/>
  <c r="AF31" i="8"/>
  <c r="AG10" i="8"/>
  <c r="AE10" i="8"/>
  <c r="AE13" i="8"/>
  <c r="AF13" i="8"/>
  <c r="AF16" i="8" s="1"/>
  <c r="J47" i="8"/>
  <c r="J55" i="8" s="1"/>
  <c r="AA44" i="8"/>
  <c r="AE43" i="8"/>
  <c r="G17" i="8"/>
  <c r="F66" i="14"/>
  <c r="E66" i="14"/>
  <c r="D66" i="14"/>
  <c r="M17" i="8" l="1"/>
  <c r="H17" i="8"/>
  <c r="M32" i="8"/>
  <c r="M88" i="8" s="1"/>
  <c r="M31" i="21"/>
  <c r="M30" i="10"/>
  <c r="M25" i="8"/>
  <c r="Y21" i="21"/>
  <c r="Y20" i="10"/>
  <c r="S20" i="10"/>
  <c r="S21" i="21"/>
  <c r="P21" i="21"/>
  <c r="P20" i="10"/>
  <c r="G32" i="8"/>
  <c r="G88" i="8" s="1"/>
  <c r="G30" i="10"/>
  <c r="G31" i="21"/>
  <c r="U20" i="10"/>
  <c r="U21" i="21"/>
  <c r="V21" i="21"/>
  <c r="V20" i="10"/>
  <c r="R21" i="21"/>
  <c r="R20" i="10"/>
  <c r="X20" i="10"/>
  <c r="X21" i="21"/>
  <c r="W20" i="10"/>
  <c r="W21" i="21"/>
  <c r="T21" i="21"/>
  <c r="T20" i="10"/>
  <c r="Q21" i="21"/>
  <c r="Q20" i="10"/>
  <c r="O21" i="21"/>
  <c r="O20" i="10"/>
  <c r="F113" i="19"/>
  <c r="AE61" i="8"/>
  <c r="AH7" i="9"/>
  <c r="AI7" i="9"/>
  <c r="AK7" i="9" s="1"/>
  <c r="AG7" i="9"/>
  <c r="AF7" i="9"/>
  <c r="AH8" i="9"/>
  <c r="AF8" i="9"/>
  <c r="AI8" i="9"/>
  <c r="AK8" i="9" s="1"/>
  <c r="AG8" i="9"/>
  <c r="D28" i="14"/>
  <c r="C6" i="9"/>
  <c r="E28" i="14"/>
  <c r="D6" i="9"/>
  <c r="M11" i="10"/>
  <c r="M12" i="10" s="1"/>
  <c r="U6" i="9"/>
  <c r="U10" i="9" s="1"/>
  <c r="U15" i="9" s="1"/>
  <c r="U21" i="9" s="1"/>
  <c r="AI9" i="9"/>
  <c r="AK9" i="9" s="1"/>
  <c r="AG9" i="9"/>
  <c r="AF9" i="9"/>
  <c r="AH9" i="9"/>
  <c r="Y60" i="18"/>
  <c r="Y59" i="18" s="1"/>
  <c r="Y61" i="18" s="1"/>
  <c r="S38" i="18"/>
  <c r="AA36" i="18"/>
  <c r="AA52" i="18" s="1"/>
  <c r="P69" i="18"/>
  <c r="R44" i="18"/>
  <c r="P22" i="18"/>
  <c r="U69" i="18"/>
  <c r="J50" i="18"/>
  <c r="J55" i="18" s="1"/>
  <c r="X69" i="18"/>
  <c r="O38" i="18"/>
  <c r="J32" i="18"/>
  <c r="I59" i="18"/>
  <c r="I61" i="18" s="1"/>
  <c r="Y69" i="18"/>
  <c r="AC69" i="18"/>
  <c r="J17" i="18"/>
  <c r="J18" i="18" s="1"/>
  <c r="AB69" i="18"/>
  <c r="O22" i="18"/>
  <c r="AA30" i="18"/>
  <c r="AA51" i="18" s="1"/>
  <c r="AA50" i="18" s="1"/>
  <c r="AA55" i="18" s="1"/>
  <c r="Q44" i="18"/>
  <c r="W36" i="18"/>
  <c r="W52" i="18" s="1"/>
  <c r="G65" i="18"/>
  <c r="G69" i="18" s="1"/>
  <c r="Y38" i="18"/>
  <c r="AJ115" i="8"/>
  <c r="AJ98" i="8"/>
  <c r="AJ99" i="8"/>
  <c r="AF41" i="9"/>
  <c r="AI41" i="9"/>
  <c r="AG41" i="9"/>
  <c r="AH41" i="9"/>
  <c r="AJ110" i="8"/>
  <c r="AH11" i="8"/>
  <c r="Y13" i="21" s="1"/>
  <c r="AJ10" i="8"/>
  <c r="F45" i="19"/>
  <c r="F68" i="19"/>
  <c r="H68" i="19"/>
  <c r="L68" i="19" s="1"/>
  <c r="H45" i="19"/>
  <c r="J42" i="19"/>
  <c r="AJ116" i="8"/>
  <c r="AJ31" i="8"/>
  <c r="AH55" i="8"/>
  <c r="AJ111" i="8"/>
  <c r="J41" i="19"/>
  <c r="G68" i="19"/>
  <c r="G45" i="19"/>
  <c r="F97" i="19"/>
  <c r="M41" i="19"/>
  <c r="L42" i="19"/>
  <c r="AJ103" i="8"/>
  <c r="AJ93" i="8"/>
  <c r="AJ13" i="8"/>
  <c r="AJ97" i="8"/>
  <c r="AH67" i="8"/>
  <c r="AH78" i="8" s="1"/>
  <c r="AJ61" i="8"/>
  <c r="AI44" i="9"/>
  <c r="AH44" i="9"/>
  <c r="AG44" i="9"/>
  <c r="AF44" i="9"/>
  <c r="AJ107" i="8"/>
  <c r="AJ27" i="8"/>
  <c r="R53" i="9"/>
  <c r="J53" i="9"/>
  <c r="AF50" i="9"/>
  <c r="AF53" i="9" s="1"/>
  <c r="R61" i="8"/>
  <c r="R67" i="8" s="1"/>
  <c r="R78" i="8" s="1"/>
  <c r="R80" i="8" s="1"/>
  <c r="P61" i="8"/>
  <c r="P67" i="8" s="1"/>
  <c r="P78" i="8" s="1"/>
  <c r="P80" i="8" s="1"/>
  <c r="AD73" i="9"/>
  <c r="AD82" i="9" s="1"/>
  <c r="AC73" i="9"/>
  <c r="AC82" i="9" s="1"/>
  <c r="U73" i="9"/>
  <c r="U82" i="9" s="1"/>
  <c r="R34" i="9"/>
  <c r="AI34" i="9" s="1"/>
  <c r="N34" i="9"/>
  <c r="AE34" i="9" s="1"/>
  <c r="J72" i="9"/>
  <c r="X72" i="9" s="1"/>
  <c r="X73" i="9" s="1"/>
  <c r="X82" i="9" s="1"/>
  <c r="AA73" i="9"/>
  <c r="AA82" i="9" s="1"/>
  <c r="K60" i="9"/>
  <c r="Y60" i="9" s="1"/>
  <c r="M60" i="9"/>
  <c r="AA60" i="9" s="1"/>
  <c r="G60" i="9"/>
  <c r="U60" i="9"/>
  <c r="AI60" i="9" s="1"/>
  <c r="AE73" i="9"/>
  <c r="AE82" i="9" s="1"/>
  <c r="L60" i="9"/>
  <c r="Z60" i="9" s="1"/>
  <c r="I60" i="9"/>
  <c r="W60" i="9" s="1"/>
  <c r="W73" i="9"/>
  <c r="W82" i="9" s="1"/>
  <c r="AI73" i="9"/>
  <c r="AI82" i="9" s="1"/>
  <c r="N72" i="9"/>
  <c r="AB72" i="9" s="1"/>
  <c r="AB73" i="9" s="1"/>
  <c r="AB82" i="9" s="1"/>
  <c r="J60" i="9"/>
  <c r="X60" i="9" s="1"/>
  <c r="J59" i="9"/>
  <c r="X59" i="9" s="1"/>
  <c r="Z73" i="9"/>
  <c r="Z82" i="9" s="1"/>
  <c r="Y73" i="9"/>
  <c r="Y82" i="9" s="1"/>
  <c r="L134" i="8"/>
  <c r="S33" i="9"/>
  <c r="U44" i="18"/>
  <c r="P44" i="18"/>
  <c r="T38" i="18"/>
  <c r="V17" i="18"/>
  <c r="X38" i="18"/>
  <c r="AC38" i="18"/>
  <c r="M50" i="18"/>
  <c r="M55" i="18" s="1"/>
  <c r="T69" i="18"/>
  <c r="O42" i="18"/>
  <c r="O44" i="18" s="1"/>
  <c r="R38" i="18"/>
  <c r="L65" i="18"/>
  <c r="L69" i="18" s="1"/>
  <c r="H50" i="18"/>
  <c r="H55" i="18" s="1"/>
  <c r="T44" i="18"/>
  <c r="AC44" i="18"/>
  <c r="R16" i="18"/>
  <c r="R32" i="18"/>
  <c r="Y22" i="18"/>
  <c r="AB16" i="18"/>
  <c r="AB18" i="18" s="1"/>
  <c r="AF35" i="8" s="1"/>
  <c r="AB32" i="18"/>
  <c r="V38" i="18"/>
  <c r="V50" i="18"/>
  <c r="V55" i="18" s="1"/>
  <c r="AB22" i="18"/>
  <c r="AB55" i="18"/>
  <c r="Z38" i="18"/>
  <c r="T22" i="18"/>
  <c r="Q38" i="18"/>
  <c r="O16" i="18"/>
  <c r="Q22" i="18"/>
  <c r="AC32" i="18"/>
  <c r="AC16" i="18"/>
  <c r="S22" i="18"/>
  <c r="AD51" i="18"/>
  <c r="AD50" i="18" s="1"/>
  <c r="AD55" i="18" s="1"/>
  <c r="AD17" i="18"/>
  <c r="S51" i="18"/>
  <c r="S50" i="18" s="1"/>
  <c r="S55" i="18" s="1"/>
  <c r="W22" i="18"/>
  <c r="W42" i="18"/>
  <c r="W44" i="18" s="1"/>
  <c r="AD32" i="18"/>
  <c r="AD16" i="18"/>
  <c r="AD22" i="18"/>
  <c r="V22" i="18"/>
  <c r="T17" i="18"/>
  <c r="T51" i="18"/>
  <c r="T50" i="18" s="1"/>
  <c r="T55" i="18" s="1"/>
  <c r="X32" i="18"/>
  <c r="X16" i="18"/>
  <c r="Q16" i="18"/>
  <c r="Q32" i="18"/>
  <c r="X22" i="18"/>
  <c r="R22" i="18"/>
  <c r="U38" i="18"/>
  <c r="AC22" i="18"/>
  <c r="U22" i="18"/>
  <c r="Q51" i="18"/>
  <c r="Q50" i="18" s="1"/>
  <c r="Q55" i="18" s="1"/>
  <c r="Q17" i="18"/>
  <c r="Z16" i="18"/>
  <c r="Z32" i="18"/>
  <c r="R51" i="18"/>
  <c r="R50" i="18" s="1"/>
  <c r="R55" i="18" s="1"/>
  <c r="R17" i="18"/>
  <c r="AA22" i="18"/>
  <c r="AA60" i="18"/>
  <c r="AA59" i="18" s="1"/>
  <c r="Z22" i="18"/>
  <c r="Z44" i="18"/>
  <c r="U51" i="18"/>
  <c r="U50" i="18" s="1"/>
  <c r="U55" i="18" s="1"/>
  <c r="U17" i="18"/>
  <c r="Z17" i="18"/>
  <c r="Z51" i="18"/>
  <c r="Z50" i="18" s="1"/>
  <c r="Z55" i="18" s="1"/>
  <c r="S16" i="18"/>
  <c r="S32" i="18"/>
  <c r="W16" i="18"/>
  <c r="X51" i="18"/>
  <c r="X50" i="18" s="1"/>
  <c r="X55" i="18" s="1"/>
  <c r="X17" i="18"/>
  <c r="U32" i="18"/>
  <c r="U16" i="18"/>
  <c r="Y16" i="18"/>
  <c r="Y32" i="18"/>
  <c r="AD38" i="18"/>
  <c r="S42" i="18"/>
  <c r="S17" i="18" s="1"/>
  <c r="Y51" i="18"/>
  <c r="Y50" i="18" s="1"/>
  <c r="Y23" i="18" s="1"/>
  <c r="Y24" i="18" s="1"/>
  <c r="AC36" i="8" s="1"/>
  <c r="Y17" i="18"/>
  <c r="Y44" i="18"/>
  <c r="AB44" i="18"/>
  <c r="W30" i="18"/>
  <c r="T16" i="18"/>
  <c r="T32" i="18"/>
  <c r="AC51" i="18"/>
  <c r="AC50" i="18" s="1"/>
  <c r="AC55" i="18" s="1"/>
  <c r="AC17" i="18"/>
  <c r="AA16" i="18"/>
  <c r="J66" i="18"/>
  <c r="AA42" i="18"/>
  <c r="V69" i="18"/>
  <c r="V32" i="18"/>
  <c r="V16" i="18"/>
  <c r="V18" i="18" s="1"/>
  <c r="Z35" i="8" s="1"/>
  <c r="P16" i="18"/>
  <c r="K50" i="18"/>
  <c r="K55" i="18" s="1"/>
  <c r="P52" i="18"/>
  <c r="P38" i="18"/>
  <c r="P51" i="18"/>
  <c r="P17" i="18"/>
  <c r="P32" i="18"/>
  <c r="O60" i="18"/>
  <c r="O59" i="18" s="1"/>
  <c r="O61" i="18" s="1"/>
  <c r="L59" i="18"/>
  <c r="L61" i="18" s="1"/>
  <c r="AC60" i="18"/>
  <c r="AC59" i="18" s="1"/>
  <c r="Z61" i="18"/>
  <c r="G59" i="18"/>
  <c r="G61" i="18" s="1"/>
  <c r="X60" i="18"/>
  <c r="X59" i="18" s="1"/>
  <c r="K59" i="18"/>
  <c r="K61" i="18" s="1"/>
  <c r="AB60" i="18"/>
  <c r="AB59" i="18" s="1"/>
  <c r="K65" i="18"/>
  <c r="K69" i="18" s="1"/>
  <c r="P60" i="18"/>
  <c r="P59" i="18" s="1"/>
  <c r="P61" i="18" s="1"/>
  <c r="Q61" i="18"/>
  <c r="V60" i="18"/>
  <c r="V59" i="18" s="1"/>
  <c r="U60" i="18"/>
  <c r="U59" i="18" s="1"/>
  <c r="T60" i="18"/>
  <c r="T59" i="18" s="1"/>
  <c r="M65" i="18"/>
  <c r="M69" i="18" s="1"/>
  <c r="AD66" i="18"/>
  <c r="AD65" i="18" s="1"/>
  <c r="AD69" i="18" s="1"/>
  <c r="W60" i="18"/>
  <c r="W59" i="18" s="1"/>
  <c r="M59" i="18"/>
  <c r="M61" i="18" s="1"/>
  <c r="AD60" i="18"/>
  <c r="AD59" i="18" s="1"/>
  <c r="R60" i="18"/>
  <c r="R59" i="18" s="1"/>
  <c r="I23" i="18"/>
  <c r="I24" i="18" s="1"/>
  <c r="C50" i="18"/>
  <c r="C55" i="18" s="1"/>
  <c r="D65" i="18"/>
  <c r="D69" i="18" s="1"/>
  <c r="C65" i="18"/>
  <c r="C69" i="18" s="1"/>
  <c r="E50" i="18"/>
  <c r="E55" i="18" s="1"/>
  <c r="E65" i="18"/>
  <c r="E69" i="18" s="1"/>
  <c r="D50" i="18"/>
  <c r="D55" i="18" s="1"/>
  <c r="I55" i="18"/>
  <c r="T61" i="8"/>
  <c r="T67" i="8" s="1"/>
  <c r="T78" i="8" s="1"/>
  <c r="T80" i="8" s="1"/>
  <c r="U40" i="10"/>
  <c r="X40" i="10"/>
  <c r="Y40" i="10"/>
  <c r="W40" i="10"/>
  <c r="V40" i="10"/>
  <c r="T40" i="10"/>
  <c r="P112" i="8"/>
  <c r="C28" i="14"/>
  <c r="D60" i="14" s="1"/>
  <c r="F28" i="14"/>
  <c r="E61" i="14"/>
  <c r="X20" i="9"/>
  <c r="Q78" i="8"/>
  <c r="Q80" i="8" s="1"/>
  <c r="AK19" i="9"/>
  <c r="AE20" i="9"/>
  <c r="R17" i="8"/>
  <c r="T16" i="8"/>
  <c r="T17" i="8" s="1"/>
  <c r="V24" i="8"/>
  <c r="V28" i="8" s="1"/>
  <c r="S78" i="8"/>
  <c r="S80" i="8" s="1"/>
  <c r="O78" i="8"/>
  <c r="O80" i="8" s="1"/>
  <c r="AC20" i="9"/>
  <c r="O16" i="8"/>
  <c r="O17" i="8" s="1"/>
  <c r="P16" i="8"/>
  <c r="P17" i="8" s="1"/>
  <c r="AD20" i="9"/>
  <c r="AB20" i="9"/>
  <c r="U78" i="8"/>
  <c r="U80" i="8" s="1"/>
  <c r="V78" i="8"/>
  <c r="V80" i="8" s="1"/>
  <c r="V17" i="8"/>
  <c r="Q16" i="8"/>
  <c r="Q24" i="8" s="1"/>
  <c r="Q25" i="8" s="1"/>
  <c r="AA20" i="9"/>
  <c r="AI39" i="9"/>
  <c r="Z20" i="9"/>
  <c r="AH14" i="9"/>
  <c r="AI14" i="9"/>
  <c r="AH18" i="9"/>
  <c r="AI18" i="9"/>
  <c r="U92" i="8"/>
  <c r="M55" i="8"/>
  <c r="M80" i="8" s="1"/>
  <c r="AI59" i="9"/>
  <c r="AI32" i="9"/>
  <c r="AI20" i="9"/>
  <c r="AG20" i="9"/>
  <c r="S101" i="8"/>
  <c r="AH20" i="9"/>
  <c r="R91" i="8"/>
  <c r="R103" i="8"/>
  <c r="S100" i="8"/>
  <c r="Q107" i="8"/>
  <c r="Q112" i="8" s="1"/>
  <c r="V94" i="8"/>
  <c r="R134" i="8"/>
  <c r="T107" i="8"/>
  <c r="T112" i="8" s="1"/>
  <c r="Q98" i="8"/>
  <c r="O93" i="8"/>
  <c r="R93" i="8"/>
  <c r="T95" i="8"/>
  <c r="T92" i="8"/>
  <c r="S16" i="8"/>
  <c r="V99" i="8"/>
  <c r="Q93" i="8"/>
  <c r="R97" i="8"/>
  <c r="O97" i="8"/>
  <c r="Q97" i="8"/>
  <c r="O98" i="8"/>
  <c r="R98" i="8"/>
  <c r="R107" i="8"/>
  <c r="R112" i="8" s="1"/>
  <c r="O107" i="8"/>
  <c r="O112" i="8" s="1"/>
  <c r="V100" i="8"/>
  <c r="T100" i="8"/>
  <c r="V101" i="8"/>
  <c r="T101" i="8"/>
  <c r="U16" i="8"/>
  <c r="S92" i="8"/>
  <c r="R94" i="8"/>
  <c r="S94" i="8"/>
  <c r="R28" i="8"/>
  <c r="R25" i="8"/>
  <c r="AE127" i="8"/>
  <c r="AG127" i="8"/>
  <c r="AH127" i="8"/>
  <c r="Y127" i="8"/>
  <c r="AF127" i="8"/>
  <c r="AD100" i="8"/>
  <c r="AJ100" i="8" s="1"/>
  <c r="M120" i="8"/>
  <c r="AE101" i="8"/>
  <c r="Z101" i="8"/>
  <c r="Y101" i="8"/>
  <c r="X101" i="8"/>
  <c r="AH101" i="8"/>
  <c r="AJ101" i="8" s="1"/>
  <c r="AG101" i="8"/>
  <c r="W101" i="8"/>
  <c r="AF100" i="8"/>
  <c r="AE100" i="8"/>
  <c r="AG100" i="8"/>
  <c r="AC102" i="8"/>
  <c r="AB102" i="8"/>
  <c r="AD102" i="8"/>
  <c r="AJ102" i="8" s="1"/>
  <c r="Y102" i="8"/>
  <c r="AG102" i="8"/>
  <c r="X102" i="8"/>
  <c r="W102" i="8"/>
  <c r="AF102" i="8"/>
  <c r="AE102" i="8"/>
  <c r="Z95" i="8"/>
  <c r="AE95" i="8"/>
  <c r="AG95" i="8"/>
  <c r="AF95" i="8"/>
  <c r="AG94" i="8"/>
  <c r="AF94" i="8"/>
  <c r="AE94" i="8"/>
  <c r="AB94" i="8"/>
  <c r="Z94" i="8"/>
  <c r="J70" i="9"/>
  <c r="M29" i="8"/>
  <c r="N70" i="9"/>
  <c r="AC92" i="8"/>
  <c r="AI43" i="9"/>
  <c r="AF70" i="9"/>
  <c r="R70" i="9"/>
  <c r="AE39" i="9"/>
  <c r="AC39" i="9"/>
  <c r="AD39" i="9"/>
  <c r="AH70" i="9"/>
  <c r="T70" i="9"/>
  <c r="AH39" i="9"/>
  <c r="Z93" i="8"/>
  <c r="AB92" i="8"/>
  <c r="AD28" i="9"/>
  <c r="AF39" i="9"/>
  <c r="AG39" i="9"/>
  <c r="AA39" i="9"/>
  <c r="X39" i="9"/>
  <c r="Y39" i="9"/>
  <c r="AD92" i="8"/>
  <c r="X38" i="9"/>
  <c r="I120" i="8"/>
  <c r="W38" i="9"/>
  <c r="AI38" i="9"/>
  <c r="X50" i="9"/>
  <c r="X53" i="9" s="1"/>
  <c r="AB50" i="9"/>
  <c r="AB53" i="9" s="1"/>
  <c r="W10" i="9"/>
  <c r="Z59" i="9"/>
  <c r="AH59" i="9"/>
  <c r="AE59" i="9"/>
  <c r="AD59" i="9"/>
  <c r="Y59" i="9"/>
  <c r="AC59" i="9"/>
  <c r="H67" i="8"/>
  <c r="H78" i="8" s="1"/>
  <c r="G67" i="8"/>
  <c r="G78" i="8" s="1"/>
  <c r="I67" i="8"/>
  <c r="I78" i="8" s="1"/>
  <c r="AG18" i="9"/>
  <c r="X93" i="8"/>
  <c r="AB19" i="9"/>
  <c r="W28" i="9"/>
  <c r="AF18" i="9"/>
  <c r="W24" i="9"/>
  <c r="AC19" i="9"/>
  <c r="AD14" i="9"/>
  <c r="Y24" i="9"/>
  <c r="AD19" i="9"/>
  <c r="AC33" i="9"/>
  <c r="AA35" i="9"/>
  <c r="AC14" i="9"/>
  <c r="AE18" i="9"/>
  <c r="AF33" i="9"/>
  <c r="AG32" i="9"/>
  <c r="AI35" i="9"/>
  <c r="AA19" i="9"/>
  <c r="Z19" i="9"/>
  <c r="X19" i="9"/>
  <c r="AG14" i="9"/>
  <c r="AB59" i="9"/>
  <c r="W35" i="9"/>
  <c r="AD33" i="9"/>
  <c r="AA34" i="9"/>
  <c r="Z134" i="8"/>
  <c r="AG19" i="9"/>
  <c r="AF19" i="9"/>
  <c r="AH19" i="9"/>
  <c r="Z14" i="9"/>
  <c r="Y14" i="9"/>
  <c r="X24" i="9"/>
  <c r="AH32" i="9"/>
  <c r="AF14" i="9"/>
  <c r="AB14" i="9"/>
  <c r="AF59" i="9"/>
  <c r="AA18" i="9"/>
  <c r="Z18" i="9"/>
  <c r="W93" i="8"/>
  <c r="AC18" i="9"/>
  <c r="AB18" i="9"/>
  <c r="AE33" i="9"/>
  <c r="X14" i="9"/>
  <c r="AF32" i="9"/>
  <c r="AE43" i="9"/>
  <c r="Y18" i="9"/>
  <c r="Y93" i="8"/>
  <c r="AH91" i="8"/>
  <c r="AB33" i="9"/>
  <c r="AC107" i="8"/>
  <c r="AB107" i="8"/>
  <c r="Y134" i="8"/>
  <c r="AA98" i="8"/>
  <c r="AC98" i="8"/>
  <c r="W103" i="8"/>
  <c r="AB98" i="8"/>
  <c r="Z103" i="8"/>
  <c r="X103" i="8"/>
  <c r="W134" i="8"/>
  <c r="X134" i="8"/>
  <c r="AA32" i="9"/>
  <c r="H25" i="8"/>
  <c r="H28" i="8"/>
  <c r="G25" i="8"/>
  <c r="F122" i="19" l="1"/>
  <c r="H31" i="21"/>
  <c r="H30" i="10"/>
  <c r="E60" i="14"/>
  <c r="E29" i="14"/>
  <c r="F60" i="14"/>
  <c r="U16" i="9"/>
  <c r="H23" i="18"/>
  <c r="H24" i="18" s="1"/>
  <c r="AA38" i="18"/>
  <c r="AA17" i="18"/>
  <c r="AA18" i="18" s="1"/>
  <c r="AE35" i="8" s="1"/>
  <c r="AA32" i="18"/>
  <c r="O17" i="18"/>
  <c r="O18" i="18" s="1"/>
  <c r="S35" i="8" s="1"/>
  <c r="W38" i="18"/>
  <c r="L23" i="18"/>
  <c r="L24" i="18" s="1"/>
  <c r="P50" i="18"/>
  <c r="P55" i="18" s="1"/>
  <c r="J45" i="19"/>
  <c r="L44" i="19"/>
  <c r="L45" i="19" s="1"/>
  <c r="L128" i="19" s="1"/>
  <c r="L135" i="19" s="1"/>
  <c r="L146" i="19" s="1"/>
  <c r="L84" i="19" s="1"/>
  <c r="L88" i="19" s="1"/>
  <c r="L97" i="19" s="1"/>
  <c r="L122" i="19" s="1"/>
  <c r="AH17" i="8"/>
  <c r="N41" i="19"/>
  <c r="M42" i="19"/>
  <c r="M44" i="19" s="1"/>
  <c r="M45" i="19" s="1"/>
  <c r="M128" i="19" s="1"/>
  <c r="M135" i="19" s="1"/>
  <c r="M146" i="19" s="1"/>
  <c r="M84" i="19" s="1"/>
  <c r="M88" i="19" s="1"/>
  <c r="M97" i="19" s="1"/>
  <c r="M122" i="19" s="1"/>
  <c r="AH80" i="8"/>
  <c r="AG34" i="9"/>
  <c r="AH34" i="9"/>
  <c r="AF34" i="9"/>
  <c r="AK34" i="9"/>
  <c r="AC34" i="9"/>
  <c r="AD34" i="9"/>
  <c r="AB34" i="9"/>
  <c r="M134" i="8"/>
  <c r="U33" i="9" s="1"/>
  <c r="T33" i="9"/>
  <c r="AH33" i="9" s="1"/>
  <c r="AG134" i="8"/>
  <c r="N60" i="9"/>
  <c r="AB60" i="9" s="1"/>
  <c r="G80" i="8"/>
  <c r="O60" i="9"/>
  <c r="AC60" i="9" s="1"/>
  <c r="AG33" i="9"/>
  <c r="H60" i="9"/>
  <c r="Q60" i="9"/>
  <c r="AE60" i="9" s="1"/>
  <c r="H80" i="8"/>
  <c r="P60" i="9"/>
  <c r="AD60" i="9" s="1"/>
  <c r="Z23" i="18"/>
  <c r="Z24" i="18" s="1"/>
  <c r="AD36" i="8" s="1"/>
  <c r="T18" i="18"/>
  <c r="X35" i="8" s="1"/>
  <c r="AD18" i="18"/>
  <c r="AH35" i="8" s="1"/>
  <c r="P18" i="18"/>
  <c r="T35" i="8" s="1"/>
  <c r="X18" i="18"/>
  <c r="AB35" i="8" s="1"/>
  <c r="AA44" i="18"/>
  <c r="Z18" i="18"/>
  <c r="AD35" i="8" s="1"/>
  <c r="S44" i="18"/>
  <c r="S18" i="18"/>
  <c r="W35" i="8" s="1"/>
  <c r="S66" i="18"/>
  <c r="S65" i="18" s="1"/>
  <c r="S69" i="18" s="1"/>
  <c r="AA66" i="18"/>
  <c r="AA65" i="18" s="1"/>
  <c r="AA69" i="18" s="1"/>
  <c r="J65" i="18"/>
  <c r="W17" i="18"/>
  <c r="W18" i="18" s="1"/>
  <c r="AA35" i="8" s="1"/>
  <c r="W51" i="18"/>
  <c r="W50" i="18" s="1"/>
  <c r="W55" i="18" s="1"/>
  <c r="W66" i="18"/>
  <c r="W65" i="18" s="1"/>
  <c r="W69" i="18" s="1"/>
  <c r="Y55" i="18"/>
  <c r="AC18" i="18"/>
  <c r="AG35" i="8" s="1"/>
  <c r="O66" i="18"/>
  <c r="O65" i="18" s="1"/>
  <c r="O69" i="18" s="1"/>
  <c r="Q23" i="18"/>
  <c r="Q24" i="18" s="1"/>
  <c r="U36" i="8" s="1"/>
  <c r="AA61" i="18"/>
  <c r="Y18" i="18"/>
  <c r="AC35" i="8" s="1"/>
  <c r="W32" i="18"/>
  <c r="U18" i="18"/>
  <c r="Y35" i="8" s="1"/>
  <c r="Q18" i="18"/>
  <c r="U35" i="8" s="1"/>
  <c r="R18" i="18"/>
  <c r="V35" i="8" s="1"/>
  <c r="M23" i="18"/>
  <c r="M24" i="18" s="1"/>
  <c r="G23" i="18"/>
  <c r="G24" i="18" s="1"/>
  <c r="S60" i="18"/>
  <c r="S59" i="18" s="1"/>
  <c r="V23" i="18"/>
  <c r="V24" i="18" s="1"/>
  <c r="Z36" i="8" s="1"/>
  <c r="V61" i="18"/>
  <c r="W61" i="18"/>
  <c r="AB23" i="18"/>
  <c r="AB24" i="18" s="1"/>
  <c r="AF36" i="8" s="1"/>
  <c r="AB61" i="18"/>
  <c r="X23" i="18"/>
  <c r="X24" i="18" s="1"/>
  <c r="AB36" i="8" s="1"/>
  <c r="X61" i="18"/>
  <c r="K23" i="18"/>
  <c r="K24" i="18" s="1"/>
  <c r="R23" i="18"/>
  <c r="R24" i="18" s="1"/>
  <c r="V36" i="8" s="1"/>
  <c r="R61" i="18"/>
  <c r="AC23" i="18"/>
  <c r="AC24" i="18" s="1"/>
  <c r="AG36" i="8" s="1"/>
  <c r="AC61" i="18"/>
  <c r="U23" i="18"/>
  <c r="U24" i="18" s="1"/>
  <c r="Y36" i="8" s="1"/>
  <c r="U61" i="18"/>
  <c r="AD23" i="18"/>
  <c r="AD24" i="18" s="1"/>
  <c r="AH36" i="8" s="1"/>
  <c r="AD61" i="18"/>
  <c r="T23" i="18"/>
  <c r="T24" i="18" s="1"/>
  <c r="X36" i="8" s="1"/>
  <c r="T61" i="18"/>
  <c r="D23" i="18"/>
  <c r="D24" i="18" s="1"/>
  <c r="E23" i="18"/>
  <c r="E24" i="18" s="1"/>
  <c r="C23" i="18"/>
  <c r="C24" i="18" s="1"/>
  <c r="AA40" i="10"/>
  <c r="J6" i="9"/>
  <c r="X6" i="9" s="1"/>
  <c r="X10" i="9" s="1"/>
  <c r="X15" i="9" s="1"/>
  <c r="X21" i="9" s="1"/>
  <c r="N6" i="9"/>
  <c r="AD6" i="9" s="1"/>
  <c r="AD10" i="9" s="1"/>
  <c r="AE112" i="8"/>
  <c r="AG112" i="8"/>
  <c r="D29" i="14"/>
  <c r="D61" i="14"/>
  <c r="F29" i="14"/>
  <c r="F61" i="14"/>
  <c r="AF112" i="8"/>
  <c r="AH112" i="8"/>
  <c r="AK20" i="9"/>
  <c r="P134" i="8"/>
  <c r="V25" i="8"/>
  <c r="P24" i="8"/>
  <c r="P28" i="8" s="1"/>
  <c r="P32" i="8" s="1"/>
  <c r="Q17" i="8"/>
  <c r="O24" i="8"/>
  <c r="O28" i="8" s="1"/>
  <c r="O29" i="8" s="1"/>
  <c r="Q28" i="8"/>
  <c r="Q32" i="8" s="1"/>
  <c r="T24" i="8"/>
  <c r="T28" i="8" s="1"/>
  <c r="T32" i="8" s="1"/>
  <c r="U99" i="8"/>
  <c r="O134" i="8"/>
  <c r="O120" i="8"/>
  <c r="AK18" i="9"/>
  <c r="T94" i="8"/>
  <c r="O91" i="8"/>
  <c r="U107" i="8"/>
  <c r="U112" i="8" s="1"/>
  <c r="T99" i="8"/>
  <c r="U95" i="8"/>
  <c r="S99" i="8"/>
  <c r="AK14" i="9"/>
  <c r="V120" i="8"/>
  <c r="Q91" i="8"/>
  <c r="U25" i="9"/>
  <c r="U22" i="9"/>
  <c r="P103" i="8"/>
  <c r="U94" i="8"/>
  <c r="U17" i="8"/>
  <c r="U24" i="8"/>
  <c r="S17" i="8"/>
  <c r="S24" i="8"/>
  <c r="V95" i="8"/>
  <c r="S95" i="8"/>
  <c r="V107" i="8"/>
  <c r="V112" i="8" s="1"/>
  <c r="S107" i="8"/>
  <c r="S112" i="8" s="1"/>
  <c r="Q103" i="8"/>
  <c r="P91" i="8"/>
  <c r="Q134" i="8"/>
  <c r="O103" i="8"/>
  <c r="R32" i="8"/>
  <c r="R29" i="8"/>
  <c r="V32" i="8"/>
  <c r="V29" i="8"/>
  <c r="X127" i="8"/>
  <c r="Y120" i="8"/>
  <c r="AC127" i="8"/>
  <c r="Z127" i="8"/>
  <c r="W127" i="8"/>
  <c r="AH35" i="9"/>
  <c r="Y95" i="8"/>
  <c r="X95" i="8"/>
  <c r="W95" i="8"/>
  <c r="AD95" i="8"/>
  <c r="AJ95" i="8" s="1"/>
  <c r="AB95" i="8"/>
  <c r="AA95" i="8"/>
  <c r="AC95" i="8"/>
  <c r="AC94" i="8"/>
  <c r="W94" i="8"/>
  <c r="Y94" i="8"/>
  <c r="X94" i="8"/>
  <c r="AD94" i="8"/>
  <c r="AJ94" i="8" s="1"/>
  <c r="AA94" i="8"/>
  <c r="H29" i="8"/>
  <c r="H32" i="8"/>
  <c r="H88" i="8" s="1"/>
  <c r="Z92" i="8"/>
  <c r="Y92" i="8"/>
  <c r="X92" i="8"/>
  <c r="W92" i="8"/>
  <c r="AG120" i="8"/>
  <c r="AH120" i="8"/>
  <c r="AH92" i="8"/>
  <c r="AJ92" i="8" s="1"/>
  <c r="M33" i="8"/>
  <c r="AH43" i="9"/>
  <c r="AG43" i="9"/>
  <c r="AD43" i="9"/>
  <c r="AF43" i="9"/>
  <c r="AB28" i="9"/>
  <c r="AC112" i="8"/>
  <c r="AC28" i="9"/>
  <c r="AE28" i="9"/>
  <c r="AG92" i="8"/>
  <c r="AF92" i="8"/>
  <c r="AE92" i="8"/>
  <c r="AE120" i="8"/>
  <c r="AD40" i="9"/>
  <c r="AC40" i="9"/>
  <c r="AE40" i="9"/>
  <c r="AB40" i="9"/>
  <c r="W40" i="9"/>
  <c r="AA40" i="9"/>
  <c r="W120" i="8"/>
  <c r="AG38" i="9"/>
  <c r="AH38" i="9"/>
  <c r="AA38" i="9"/>
  <c r="AC120" i="8"/>
  <c r="X120" i="8"/>
  <c r="AF38" i="9"/>
  <c r="Y38" i="9"/>
  <c r="Z38" i="9"/>
  <c r="AF120" i="8"/>
  <c r="W15" i="9"/>
  <c r="W21" i="9" s="1"/>
  <c r="J120" i="8"/>
  <c r="I80" i="8"/>
  <c r="AC91" i="8"/>
  <c r="AG35" i="9"/>
  <c r="AA91" i="8"/>
  <c r="AD91" i="8"/>
  <c r="AJ91" i="8" s="1"/>
  <c r="AB91" i="8"/>
  <c r="AF35" i="9"/>
  <c r="AD112" i="8"/>
  <c r="AB112" i="8"/>
  <c r="AA112" i="8"/>
  <c r="Z32" i="9"/>
  <c r="Y32" i="9"/>
  <c r="W32" i="9"/>
  <c r="X32" i="9"/>
  <c r="Z34" i="9"/>
  <c r="Y34" i="9"/>
  <c r="W34" i="9"/>
  <c r="X34" i="9"/>
  <c r="Z35" i="9"/>
  <c r="X35" i="9"/>
  <c r="Y35" i="9"/>
  <c r="AA33" i="9"/>
  <c r="Y33" i="9"/>
  <c r="Z33" i="9"/>
  <c r="X33" i="9"/>
  <c r="AD32" i="9"/>
  <c r="AC32" i="9"/>
  <c r="AE32" i="9"/>
  <c r="AK32" i="9" s="1"/>
  <c r="AB32" i="9"/>
  <c r="AG91" i="8"/>
  <c r="AF91" i="8"/>
  <c r="AE91" i="8"/>
  <c r="AE35" i="9"/>
  <c r="AK35" i="9" s="1"/>
  <c r="AB35" i="9"/>
  <c r="AC35" i="9"/>
  <c r="AD24" i="9"/>
  <c r="AB24" i="9"/>
  <c r="AC24" i="9"/>
  <c r="AA24" i="9"/>
  <c r="AE24" i="9"/>
  <c r="AD35" i="9"/>
  <c r="Z107" i="8"/>
  <c r="Z112" i="8" s="1"/>
  <c r="X107" i="8"/>
  <c r="X112" i="8" s="1"/>
  <c r="Y107" i="8"/>
  <c r="Y112" i="8" s="1"/>
  <c r="W107" i="8"/>
  <c r="W112" i="8" s="1"/>
  <c r="G104" i="8"/>
  <c r="G128" i="8" s="1"/>
  <c r="G29" i="8"/>
  <c r="H27" i="14"/>
  <c r="AE6" i="9" l="1"/>
  <c r="AE10" i="9" s="1"/>
  <c r="AE15" i="9" s="1"/>
  <c r="AB6" i="9"/>
  <c r="AB10" i="9" s="1"/>
  <c r="AB15" i="9" s="1"/>
  <c r="AB21" i="9" s="1"/>
  <c r="AB22" i="9" s="1"/>
  <c r="Z6" i="9"/>
  <c r="Z10" i="9" s="1"/>
  <c r="Z15" i="9" s="1"/>
  <c r="Z21" i="9" s="1"/>
  <c r="Z22" i="9" s="1"/>
  <c r="AC6" i="9"/>
  <c r="AC10" i="9" s="1"/>
  <c r="AC15" i="9" s="1"/>
  <c r="Y6" i="9"/>
  <c r="Y10" i="9" s="1"/>
  <c r="Y15" i="9" s="1"/>
  <c r="AA6" i="9"/>
  <c r="AA10" i="9" s="1"/>
  <c r="AA15" i="9" s="1"/>
  <c r="X9" i="10"/>
  <c r="R6" i="9"/>
  <c r="P23" i="18"/>
  <c r="P24" i="18" s="1"/>
  <c r="T36" i="8" s="1"/>
  <c r="AJ35" i="8"/>
  <c r="O41" i="19"/>
  <c r="N42" i="19"/>
  <c r="N44" i="19" s="1"/>
  <c r="N45" i="19" s="1"/>
  <c r="N128" i="19" s="1"/>
  <c r="N135" i="19" s="1"/>
  <c r="N146" i="19" s="1"/>
  <c r="N84" i="19" s="1"/>
  <c r="N88" i="19" s="1"/>
  <c r="N97" i="19" s="1"/>
  <c r="N122" i="19" s="1"/>
  <c r="AJ112" i="8"/>
  <c r="AH24" i="8"/>
  <c r="AJ36" i="8"/>
  <c r="AI33" i="9"/>
  <c r="AK33" i="9" s="1"/>
  <c r="AH134" i="8"/>
  <c r="W23" i="18"/>
  <c r="W24" i="18" s="1"/>
  <c r="AA36" i="8" s="1"/>
  <c r="J69" i="18"/>
  <c r="J23" i="18"/>
  <c r="J24" i="18" s="1"/>
  <c r="AA23" i="18"/>
  <c r="AA24" i="18" s="1"/>
  <c r="AE36" i="8" s="1"/>
  <c r="S23" i="18"/>
  <c r="S24" i="18" s="1"/>
  <c r="W36" i="8" s="1"/>
  <c r="S61" i="18"/>
  <c r="Y9" i="10"/>
  <c r="V9" i="10"/>
  <c r="W9" i="10"/>
  <c r="U9" i="10"/>
  <c r="T9" i="10"/>
  <c r="S9" i="10"/>
  <c r="R9" i="10"/>
  <c r="Q9" i="10"/>
  <c r="P9" i="10"/>
  <c r="O9" i="10"/>
  <c r="T120" i="8"/>
  <c r="AD15" i="9"/>
  <c r="P120" i="8"/>
  <c r="T29" i="8"/>
  <c r="P29" i="8"/>
  <c r="P25" i="8"/>
  <c r="O32" i="8"/>
  <c r="O25" i="8"/>
  <c r="Q29" i="8"/>
  <c r="T25" i="8"/>
  <c r="Q120" i="8"/>
  <c r="U120" i="8"/>
  <c r="R120" i="8"/>
  <c r="AH28" i="9"/>
  <c r="AI28" i="9"/>
  <c r="AK28" i="9" s="1"/>
  <c r="AH24" i="9"/>
  <c r="AI24" i="9"/>
  <c r="AK24" i="9" s="1"/>
  <c r="AH40" i="9"/>
  <c r="AI40" i="9"/>
  <c r="I27" i="14"/>
  <c r="X16" i="9"/>
  <c r="X25" i="9"/>
  <c r="U29" i="9"/>
  <c r="U26" i="9"/>
  <c r="S28" i="8"/>
  <c r="S25" i="8"/>
  <c r="S120" i="8"/>
  <c r="U25" i="8"/>
  <c r="U28" i="8"/>
  <c r="T33" i="8"/>
  <c r="V33" i="8"/>
  <c r="Q33" i="8"/>
  <c r="R33" i="8"/>
  <c r="P33" i="8"/>
  <c r="AA127" i="8"/>
  <c r="Z120" i="8"/>
  <c r="AD127" i="8"/>
  <c r="AB127" i="8"/>
  <c r="AG28" i="9"/>
  <c r="AF28" i="9"/>
  <c r="AA28" i="9"/>
  <c r="Z28" i="9"/>
  <c r="Y28" i="9"/>
  <c r="X28" i="9"/>
  <c r="M104" i="8"/>
  <c r="M128" i="8" s="1"/>
  <c r="AA120" i="8"/>
  <c r="AF40" i="9"/>
  <c r="AG40" i="9"/>
  <c r="X40" i="9"/>
  <c r="Y40" i="9"/>
  <c r="AD120" i="8"/>
  <c r="AJ120" i="8" s="1"/>
  <c r="AE38" i="9"/>
  <c r="AB120" i="8"/>
  <c r="Z40" i="9"/>
  <c r="W16" i="9"/>
  <c r="AG24" i="9"/>
  <c r="AF24" i="9"/>
  <c r="H104" i="8"/>
  <c r="H128" i="8" s="1"/>
  <c r="H33" i="8"/>
  <c r="G33" i="8"/>
  <c r="AB11" i="9" l="1"/>
  <c r="AB16" i="9"/>
  <c r="AD11" i="9"/>
  <c r="Z16" i="9"/>
  <c r="AF6" i="9"/>
  <c r="AF10" i="9" s="1"/>
  <c r="AH6" i="9"/>
  <c r="AG6" i="9"/>
  <c r="AG10" i="9" s="1"/>
  <c r="AG11" i="9" s="1"/>
  <c r="AI6" i="9"/>
  <c r="AH25" i="8"/>
  <c r="AH28" i="8"/>
  <c r="P41" i="19"/>
  <c r="O42" i="19"/>
  <c r="O44" i="19" s="1"/>
  <c r="O45" i="19" s="1"/>
  <c r="O128" i="19" s="1"/>
  <c r="O135" i="19" s="1"/>
  <c r="O146" i="19" s="1"/>
  <c r="O84" i="19" s="1"/>
  <c r="O88" i="19" s="1"/>
  <c r="O97" i="19" s="1"/>
  <c r="O122" i="19" s="1"/>
  <c r="AD16" i="9"/>
  <c r="AD21" i="9"/>
  <c r="AD22" i="9" s="1"/>
  <c r="AC21" i="9"/>
  <c r="AC22" i="9" s="1"/>
  <c r="Y16" i="9"/>
  <c r="Y21" i="9"/>
  <c r="Y25" i="9" s="1"/>
  <c r="Y29" i="9" s="1"/>
  <c r="Y79" i="9" s="1"/>
  <c r="AA21" i="9"/>
  <c r="AA22" i="9" s="1"/>
  <c r="AE21" i="9"/>
  <c r="AE22" i="9" s="1"/>
  <c r="AE16" i="9"/>
  <c r="AA11" i="9"/>
  <c r="AE11" i="9"/>
  <c r="AC11" i="9"/>
  <c r="AA16" i="9"/>
  <c r="O33" i="8"/>
  <c r="AC16" i="9"/>
  <c r="J27" i="14"/>
  <c r="U30" i="9"/>
  <c r="U36" i="9"/>
  <c r="U45" i="9" s="1"/>
  <c r="U29" i="8"/>
  <c r="U32" i="8"/>
  <c r="S32" i="8"/>
  <c r="S29" i="8"/>
  <c r="X29" i="9"/>
  <c r="X79" i="9" s="1"/>
  <c r="X22" i="9"/>
  <c r="X26" i="9"/>
  <c r="AB38" i="9"/>
  <c r="AC38" i="9"/>
  <c r="AD38" i="9"/>
  <c r="Z25" i="9"/>
  <c r="AB25" i="9"/>
  <c r="W25" i="9"/>
  <c r="W29" i="9" s="1"/>
  <c r="W79" i="9" s="1"/>
  <c r="W22" i="9"/>
  <c r="Y30" i="10" l="1"/>
  <c r="Y31" i="21"/>
  <c r="AG15" i="9"/>
  <c r="AG21" i="9" s="1"/>
  <c r="AK6" i="9"/>
  <c r="AI10" i="9"/>
  <c r="AF15" i="9"/>
  <c r="AF11" i="9"/>
  <c r="Q41" i="19"/>
  <c r="P42" i="19"/>
  <c r="P44" i="19" s="1"/>
  <c r="P45" i="19" s="1"/>
  <c r="P128" i="19" s="1"/>
  <c r="P135" i="19" s="1"/>
  <c r="P146" i="19" s="1"/>
  <c r="P84" i="19" s="1"/>
  <c r="P88" i="19" s="1"/>
  <c r="P97" i="19" s="1"/>
  <c r="P122" i="19" s="1"/>
  <c r="AH32" i="8"/>
  <c r="AH29" i="8"/>
  <c r="AE25" i="9"/>
  <c r="AE29" i="9" s="1"/>
  <c r="AE79" i="9" s="1"/>
  <c r="AC25" i="9"/>
  <c r="AC29" i="9" s="1"/>
  <c r="AC30" i="9" s="1"/>
  <c r="AA25" i="9"/>
  <c r="Y26" i="9"/>
  <c r="Y22" i="9"/>
  <c r="AD25" i="9"/>
  <c r="AD29" i="9" s="1"/>
  <c r="AD79" i="9" s="1"/>
  <c r="K27" i="14"/>
  <c r="U46" i="9"/>
  <c r="U33" i="8"/>
  <c r="S33" i="8"/>
  <c r="Y78" i="9"/>
  <c r="Y77" i="9"/>
  <c r="Y30" i="9"/>
  <c r="Y81" i="9" a="1"/>
  <c r="Y81" i="9" s="1"/>
  <c r="X30" i="9"/>
  <c r="Y80" i="9" a="1"/>
  <c r="Y80" i="9" s="1"/>
  <c r="X80" i="9" a="1"/>
  <c r="X80" i="9" s="1"/>
  <c r="Y36" i="9"/>
  <c r="X81" i="9" a="1"/>
  <c r="X81" i="9" s="1"/>
  <c r="X77" i="9"/>
  <c r="X78" i="9"/>
  <c r="X36" i="9"/>
  <c r="AB26" i="9"/>
  <c r="AB29" i="9"/>
  <c r="Z26" i="9"/>
  <c r="Z29" i="9"/>
  <c r="Z79" i="9" s="1"/>
  <c r="W26" i="9"/>
  <c r="AA88" i="8"/>
  <c r="AB88" i="8"/>
  <c r="AC88" i="8"/>
  <c r="AG16" i="9" l="1"/>
  <c r="AE81" i="9" a="1"/>
  <c r="AE81" i="9" s="1"/>
  <c r="AF21" i="9"/>
  <c r="AF16" i="9"/>
  <c r="AI15" i="9"/>
  <c r="AK10" i="9"/>
  <c r="AI11" i="9"/>
  <c r="AK11" i="9" s="1"/>
  <c r="AC36" i="9"/>
  <c r="AC80" i="9" a="1"/>
  <c r="AC80" i="9" s="1"/>
  <c r="AC26" i="9"/>
  <c r="AC81" i="9" a="1"/>
  <c r="AC81" i="9" s="1"/>
  <c r="AC79" i="9"/>
  <c r="AE78" i="9"/>
  <c r="AE30" i="9"/>
  <c r="AE77" i="9"/>
  <c r="AE80" i="9" a="1"/>
  <c r="AE80" i="9" s="1"/>
  <c r="AE36" i="9"/>
  <c r="AE26" i="9"/>
  <c r="AH33" i="8"/>
  <c r="AC78" i="9"/>
  <c r="AC77" i="9"/>
  <c r="S41" i="19"/>
  <c r="Q42" i="19"/>
  <c r="AD81" i="9" a="1"/>
  <c r="AD81" i="9" s="1"/>
  <c r="AD26" i="9"/>
  <c r="AA29" i="9"/>
  <c r="AA26" i="9"/>
  <c r="AG22" i="9"/>
  <c r="AG25" i="9"/>
  <c r="AB128" i="8"/>
  <c r="AC128" i="8"/>
  <c r="AA128" i="8"/>
  <c r="AB81" i="9" a="1"/>
  <c r="AB81" i="9" s="1"/>
  <c r="AB79" i="9"/>
  <c r="Z78" i="9"/>
  <c r="Z77" i="9"/>
  <c r="AB80" i="9" a="1"/>
  <c r="AB80" i="9" s="1"/>
  <c r="Z30" i="9"/>
  <c r="Z81" i="9" a="1"/>
  <c r="Z81" i="9" s="1"/>
  <c r="Z80" i="9" a="1"/>
  <c r="Z80" i="9" s="1"/>
  <c r="AB78" i="9"/>
  <c r="Z36" i="9"/>
  <c r="AD78" i="9"/>
  <c r="AD77" i="9"/>
  <c r="AD80" i="9" a="1"/>
  <c r="AD80" i="9" s="1"/>
  <c r="AB30" i="9"/>
  <c r="AD36" i="9"/>
  <c r="AB36" i="9"/>
  <c r="AD30" i="9"/>
  <c r="AB77" i="9"/>
  <c r="W30" i="9"/>
  <c r="W77" i="9"/>
  <c r="W78" i="9"/>
  <c r="W81" i="9" a="1"/>
  <c r="W81" i="9" s="1"/>
  <c r="W36" i="9"/>
  <c r="W80" i="9" a="1"/>
  <c r="W80" i="9" s="1"/>
  <c r="H10" i="12"/>
  <c r="C6" i="12"/>
  <c r="D14" i="12" s="1"/>
  <c r="E14" i="12" s="1"/>
  <c r="F14" i="12" s="1"/>
  <c r="B85" i="8"/>
  <c r="B84" i="8"/>
  <c r="E85" i="8"/>
  <c r="D85" i="8"/>
  <c r="C85" i="8"/>
  <c r="E84" i="8"/>
  <c r="D84" i="8"/>
  <c r="C84" i="8"/>
  <c r="B40" i="8"/>
  <c r="B39" i="8"/>
  <c r="AG40" i="8"/>
  <c r="AF40" i="8"/>
  <c r="AE40" i="8"/>
  <c r="AC40" i="8"/>
  <c r="AB40" i="8"/>
  <c r="AA40" i="8"/>
  <c r="Y40" i="8"/>
  <c r="X40" i="8"/>
  <c r="W40" i="8"/>
  <c r="AD40" i="8"/>
  <c r="Z40" i="8"/>
  <c r="AG39" i="8"/>
  <c r="AF39" i="8"/>
  <c r="AE39" i="8"/>
  <c r="AD39" i="8"/>
  <c r="AC39" i="8"/>
  <c r="AB39" i="8"/>
  <c r="AA39" i="8"/>
  <c r="Z39" i="8"/>
  <c r="Y39" i="8"/>
  <c r="X39" i="8"/>
  <c r="W39" i="8"/>
  <c r="E6" i="17"/>
  <c r="E12" i="17" s="1"/>
  <c r="Q134" i="12"/>
  <c r="O134" i="12"/>
  <c r="D134" i="12"/>
  <c r="Q133" i="12"/>
  <c r="O133" i="12"/>
  <c r="G133" i="12"/>
  <c r="E133" i="12"/>
  <c r="C133" i="12"/>
  <c r="Q132" i="12"/>
  <c r="O132" i="12"/>
  <c r="E132" i="12"/>
  <c r="C132" i="12"/>
  <c r="D132" i="12" s="1"/>
  <c r="L107" i="12"/>
  <c r="L108" i="12" s="1"/>
  <c r="D107" i="12"/>
  <c r="D108" i="12" s="1"/>
  <c r="L105" i="12"/>
  <c r="L104" i="12" s="1"/>
  <c r="D105" i="12"/>
  <c r="D104" i="12" s="1"/>
  <c r="P103" i="12"/>
  <c r="Q103" i="12" s="1"/>
  <c r="N103" i="12"/>
  <c r="M103" i="12" s="1"/>
  <c r="H103" i="12"/>
  <c r="I103" i="12" s="1"/>
  <c r="F103" i="12"/>
  <c r="E103" i="12" s="1"/>
  <c r="B132" i="12" s="1"/>
  <c r="L98" i="12"/>
  <c r="L99" i="12" s="1"/>
  <c r="D98" i="12"/>
  <c r="D99" i="12" s="1"/>
  <c r="L96" i="12"/>
  <c r="L95" i="12" s="1"/>
  <c r="D96" i="12"/>
  <c r="D95" i="12" s="1"/>
  <c r="P94" i="12"/>
  <c r="Q94" i="12" s="1"/>
  <c r="N94" i="12"/>
  <c r="M94" i="12"/>
  <c r="H94" i="12"/>
  <c r="I94" i="12" s="1"/>
  <c r="F94" i="12"/>
  <c r="E94" i="12" s="1"/>
  <c r="D40" i="12"/>
  <c r="B37" i="12"/>
  <c r="C14" i="12"/>
  <c r="E40" i="17"/>
  <c r="E41" i="17" s="1"/>
  <c r="E31" i="17"/>
  <c r="E30" i="17" s="1"/>
  <c r="C19" i="17"/>
  <c r="B48" i="16"/>
  <c r="C45" i="16"/>
  <c r="F44" i="16"/>
  <c r="F43" i="16"/>
  <c r="F42" i="16"/>
  <c r="C31" i="16"/>
  <c r="C32" i="16" s="1"/>
  <c r="C29" i="16"/>
  <c r="C28" i="16" s="1"/>
  <c r="F27" i="16"/>
  <c r="D27" i="16"/>
  <c r="D21" i="16"/>
  <c r="F45" i="16"/>
  <c r="C13" i="16"/>
  <c r="C15" i="16" s="1"/>
  <c r="C10" i="16"/>
  <c r="AI21" i="9" l="1"/>
  <c r="AK15" i="9"/>
  <c r="AI16" i="9"/>
  <c r="AK16" i="9" s="1"/>
  <c r="AF22" i="9"/>
  <c r="AF25" i="9"/>
  <c r="Q44" i="19"/>
  <c r="S44" i="19" s="1"/>
  <c r="S42" i="19"/>
  <c r="AA79" i="9"/>
  <c r="AA36" i="9"/>
  <c r="AA77" i="9"/>
  <c r="AA80" i="9" a="1"/>
  <c r="AA80" i="9" s="1"/>
  <c r="AA81" i="9" a="1"/>
  <c r="AA81" i="9" s="1"/>
  <c r="AA30" i="9"/>
  <c r="AA78" i="9"/>
  <c r="AG29" i="9"/>
  <c r="AG26" i="9"/>
  <c r="W84" i="8"/>
  <c r="Z84" i="8"/>
  <c r="AA84" i="8"/>
  <c r="AA85" i="8"/>
  <c r="AD84" i="8"/>
  <c r="AE84" i="8"/>
  <c r="Z85" i="8"/>
  <c r="AE85" i="8"/>
  <c r="AF85" i="8"/>
  <c r="AC84" i="8"/>
  <c r="X84" i="8"/>
  <c r="AF84" i="8"/>
  <c r="AC85" i="8"/>
  <c r="AB85" i="8"/>
  <c r="Y84" i="8"/>
  <c r="AG84" i="8"/>
  <c r="AD85" i="8"/>
  <c r="W85" i="8"/>
  <c r="X85" i="8"/>
  <c r="AB84" i="8"/>
  <c r="Y85" i="8"/>
  <c r="AG85" i="8"/>
  <c r="E33" i="17"/>
  <c r="E34" i="17" s="1"/>
  <c r="E43" i="17"/>
  <c r="E44" i="17" s="1"/>
  <c r="D133" i="12"/>
  <c r="C7" i="12"/>
  <c r="C10" i="12" s="1"/>
  <c r="C41" i="12" s="1"/>
  <c r="P134" i="12"/>
  <c r="P132" i="12"/>
  <c r="B133" i="12"/>
  <c r="G132" i="12"/>
  <c r="G134" i="12"/>
  <c r="P133" i="12"/>
  <c r="I42" i="16"/>
  <c r="I43" i="16"/>
  <c r="I44" i="16"/>
  <c r="G14" i="12"/>
  <c r="F40" i="12"/>
  <c r="E40" i="12"/>
  <c r="E16" i="17"/>
  <c r="E17" i="17"/>
  <c r="E13" i="17"/>
  <c r="E14" i="17"/>
  <c r="E15" i="17"/>
  <c r="E18" i="17"/>
  <c r="H45" i="16"/>
  <c r="Q45" i="19" l="1"/>
  <c r="S45" i="19" s="1"/>
  <c r="AF29" i="9"/>
  <c r="AF26" i="9"/>
  <c r="AK21" i="9"/>
  <c r="AI25" i="9"/>
  <c r="AI22" i="9"/>
  <c r="AK22" i="9" s="1"/>
  <c r="AG79" i="9"/>
  <c r="AG30" i="9"/>
  <c r="AG81" i="9" a="1"/>
  <c r="AG81" i="9" s="1"/>
  <c r="AG36" i="9"/>
  <c r="AG80" i="9" a="1"/>
  <c r="AG80" i="9" s="1"/>
  <c r="AG77" i="9"/>
  <c r="AG78" i="9"/>
  <c r="E21" i="17"/>
  <c r="E22" i="17" s="1"/>
  <c r="E19" i="17"/>
  <c r="I65" i="12" s="1"/>
  <c r="C76" i="12" s="1"/>
  <c r="D76" i="12" s="1"/>
  <c r="G40" i="12"/>
  <c r="H14" i="12"/>
  <c r="Q128" i="19" l="1"/>
  <c r="Q135" i="19" s="1"/>
  <c r="Q146" i="19" s="1"/>
  <c r="Q84" i="19" s="1"/>
  <c r="Q88" i="19" s="1"/>
  <c r="Q97" i="19" s="1"/>
  <c r="Q122" i="19" s="1"/>
  <c r="AI26" i="9"/>
  <c r="AK26" i="9" s="1"/>
  <c r="AK25" i="9"/>
  <c r="AI29" i="9"/>
  <c r="AF79" i="9"/>
  <c r="AF36" i="9"/>
  <c r="AF77" i="9"/>
  <c r="AF78" i="9"/>
  <c r="AF30" i="9"/>
  <c r="AF80" i="9" a="1"/>
  <c r="AF80" i="9" s="1"/>
  <c r="AF81" i="9" a="1"/>
  <c r="AF81" i="9" s="1"/>
  <c r="E23" i="17"/>
  <c r="H40" i="12"/>
  <c r="I14" i="12"/>
  <c r="AI79" i="9" l="1"/>
  <c r="AI81" i="9" a="1"/>
  <c r="AI81" i="9" s="1"/>
  <c r="AK29" i="9"/>
  <c r="AI80" i="9" a="1"/>
  <c r="AI80" i="9" s="1"/>
  <c r="AI36" i="9"/>
  <c r="AK36" i="9" s="1"/>
  <c r="AI30" i="9"/>
  <c r="AK30" i="9" s="1"/>
  <c r="AI78" i="9"/>
  <c r="AI77" i="9"/>
  <c r="B48" i="12"/>
  <c r="B47" i="12"/>
  <c r="E48" i="12"/>
  <c r="I40" i="12"/>
  <c r="C190" i="14" l="1"/>
  <c r="G98" i="14"/>
  <c r="H98" i="14" s="1"/>
  <c r="I98" i="14" s="1"/>
  <c r="J98" i="14" s="1"/>
  <c r="K98" i="14" s="1"/>
  <c r="F159" i="14"/>
  <c r="E186" i="14"/>
  <c r="F186" i="14"/>
  <c r="C140" i="14"/>
  <c r="G195" i="14"/>
  <c r="H195" i="14" s="1"/>
  <c r="F206" i="14"/>
  <c r="E206" i="14"/>
  <c r="D206" i="14"/>
  <c r="C206" i="14"/>
  <c r="G211" i="14"/>
  <c r="F203" i="14"/>
  <c r="E203" i="14"/>
  <c r="D203" i="14"/>
  <c r="C203" i="14"/>
  <c r="F152" i="14"/>
  <c r="G149" i="14" s="1"/>
  <c r="E152" i="14"/>
  <c r="D152" i="14"/>
  <c r="F138" i="14"/>
  <c r="G135" i="14" s="1"/>
  <c r="E138" i="14"/>
  <c r="F135" i="14" s="1"/>
  <c r="D138" i="14"/>
  <c r="E135" i="14" s="1"/>
  <c r="C138" i="14"/>
  <c r="D135" i="14" s="1"/>
  <c r="C146" i="14"/>
  <c r="C144" i="14" s="1"/>
  <c r="F32" i="14"/>
  <c r="F38" i="14" s="1"/>
  <c r="E32" i="14"/>
  <c r="E38" i="14" s="1"/>
  <c r="D32" i="14"/>
  <c r="D38" i="14" s="1"/>
  <c r="C32" i="14"/>
  <c r="C38" i="14" s="1"/>
  <c r="F16" i="14"/>
  <c r="E16" i="14" s="1"/>
  <c r="E200" i="14" s="1"/>
  <c r="K243" i="14"/>
  <c r="J243" i="14"/>
  <c r="I243" i="14"/>
  <c r="H243" i="14"/>
  <c r="G243" i="14"/>
  <c r="K241" i="14"/>
  <c r="K226" i="14" s="1"/>
  <c r="J241" i="14"/>
  <c r="J226" i="14" s="1"/>
  <c r="I241" i="14"/>
  <c r="I226" i="14" s="1"/>
  <c r="H241" i="14"/>
  <c r="H226" i="14" s="1"/>
  <c r="G241" i="14"/>
  <c r="K239" i="14"/>
  <c r="J239" i="14"/>
  <c r="I239" i="14"/>
  <c r="H239" i="14"/>
  <c r="G239" i="14"/>
  <c r="K237" i="14"/>
  <c r="K225" i="14" s="1"/>
  <c r="J237" i="14"/>
  <c r="J225" i="14" s="1"/>
  <c r="I237" i="14"/>
  <c r="H237" i="14"/>
  <c r="H225" i="14" s="1"/>
  <c r="G237" i="14"/>
  <c r="G225" i="14" s="1"/>
  <c r="K235" i="14"/>
  <c r="J235" i="14"/>
  <c r="I235" i="14"/>
  <c r="H235" i="14"/>
  <c r="G235" i="14"/>
  <c r="K233" i="14"/>
  <c r="J233" i="14"/>
  <c r="J224" i="14" s="1"/>
  <c r="I233" i="14"/>
  <c r="I224" i="14" s="1"/>
  <c r="H233" i="14"/>
  <c r="H224" i="14" s="1"/>
  <c r="G233" i="14"/>
  <c r="G224" i="14" s="1"/>
  <c r="H231" i="14"/>
  <c r="G231" i="14"/>
  <c r="I230" i="14"/>
  <c r="I231" i="14" s="1"/>
  <c r="H229" i="14"/>
  <c r="G229" i="14"/>
  <c r="G223" i="14" s="1"/>
  <c r="G226" i="14"/>
  <c r="F226" i="14"/>
  <c r="I225" i="14"/>
  <c r="F225" i="14"/>
  <c r="K224" i="14"/>
  <c r="F224" i="14"/>
  <c r="H223" i="14"/>
  <c r="F223" i="14"/>
  <c r="C221" i="14"/>
  <c r="G214" i="14"/>
  <c r="F196" i="14"/>
  <c r="E196" i="14"/>
  <c r="D196" i="14"/>
  <c r="C196" i="14"/>
  <c r="G185" i="14"/>
  <c r="H185" i="14" s="1"/>
  <c r="I185" i="14" s="1"/>
  <c r="J185" i="14" s="1"/>
  <c r="K185" i="14" s="1"/>
  <c r="F182" i="14"/>
  <c r="E182" i="14"/>
  <c r="D182" i="14"/>
  <c r="C182" i="14"/>
  <c r="B180" i="14"/>
  <c r="B179" i="14"/>
  <c r="B163" i="14"/>
  <c r="B162" i="14"/>
  <c r="B133" i="14"/>
  <c r="B132" i="14"/>
  <c r="B104" i="14"/>
  <c r="B103" i="14"/>
  <c r="B78" i="14"/>
  <c r="B77" i="14"/>
  <c r="L11" i="10"/>
  <c r="L12" i="10" s="1"/>
  <c r="K11" i="10"/>
  <c r="J11" i="10"/>
  <c r="I11" i="10"/>
  <c r="H11" i="10"/>
  <c r="H12" i="10" s="1"/>
  <c r="G11" i="10"/>
  <c r="G12" i="10" s="1"/>
  <c r="J74" i="8"/>
  <c r="J77" i="8" s="1"/>
  <c r="L74" i="8"/>
  <c r="L77" i="8" s="1"/>
  <c r="T72" i="9" l="1"/>
  <c r="AH72" i="9" s="1"/>
  <c r="R72" i="9"/>
  <c r="AF72" i="9" s="1"/>
  <c r="AF73" i="9" s="1"/>
  <c r="AF82" i="9" s="1"/>
  <c r="K47" i="8"/>
  <c r="K55" i="8" s="1"/>
  <c r="F73" i="14"/>
  <c r="E68" i="14"/>
  <c r="E33" i="14"/>
  <c r="F68" i="14"/>
  <c r="F33" i="14"/>
  <c r="C68" i="14"/>
  <c r="C33" i="14"/>
  <c r="D68" i="14"/>
  <c r="D33" i="14"/>
  <c r="E73" i="14"/>
  <c r="D74" i="14"/>
  <c r="E74" i="14"/>
  <c r="F74" i="14"/>
  <c r="D73" i="14"/>
  <c r="F140" i="14"/>
  <c r="F175" i="14"/>
  <c r="G172" i="14" s="1"/>
  <c r="E175" i="14"/>
  <c r="J230" i="14"/>
  <c r="K230" i="14" s="1"/>
  <c r="D146" i="14"/>
  <c r="D144" i="14" s="1"/>
  <c r="D145" i="14" s="1"/>
  <c r="D186" i="14"/>
  <c r="D187" i="14" s="1"/>
  <c r="D192" i="14" s="1"/>
  <c r="G158" i="14"/>
  <c r="H158" i="14" s="1"/>
  <c r="H122" i="14" s="1"/>
  <c r="E140" i="14"/>
  <c r="G115" i="14"/>
  <c r="D27" i="12"/>
  <c r="D10" i="9"/>
  <c r="O10" i="9"/>
  <c r="M10" i="9"/>
  <c r="H10" i="9"/>
  <c r="P10" i="9"/>
  <c r="I10" i="9"/>
  <c r="Q10" i="9"/>
  <c r="U11" i="9" s="1"/>
  <c r="J10" i="9"/>
  <c r="G10" i="9"/>
  <c r="K10" i="9"/>
  <c r="S10" i="9"/>
  <c r="E10" i="9"/>
  <c r="C10" i="9"/>
  <c r="F146" i="14"/>
  <c r="F144" i="14" s="1"/>
  <c r="D69" i="14"/>
  <c r="C99" i="14"/>
  <c r="E146" i="14"/>
  <c r="E144" i="14" s="1"/>
  <c r="C69" i="14"/>
  <c r="E69" i="14"/>
  <c r="D70" i="14"/>
  <c r="G89" i="14"/>
  <c r="H89" i="14" s="1"/>
  <c r="F70" i="14"/>
  <c r="C94" i="14"/>
  <c r="E180" i="14"/>
  <c r="D16" i="14"/>
  <c r="C16" i="14" s="1"/>
  <c r="C200" i="14" s="1"/>
  <c r="E78" i="14"/>
  <c r="E133" i="14"/>
  <c r="E163" i="14"/>
  <c r="D175" i="14"/>
  <c r="F69" i="14"/>
  <c r="D140" i="14"/>
  <c r="I195" i="14"/>
  <c r="J195" i="14" s="1"/>
  <c r="K195" i="14" s="1"/>
  <c r="E99" i="14"/>
  <c r="F99" i="14"/>
  <c r="D86" i="14"/>
  <c r="C86" i="14"/>
  <c r="F187" i="14"/>
  <c r="F192" i="14" s="1"/>
  <c r="C145" i="14"/>
  <c r="E70" i="14"/>
  <c r="C70" i="14"/>
  <c r="F180" i="14"/>
  <c r="F78" i="14"/>
  <c r="F15" i="14"/>
  <c r="F132" i="14" s="1"/>
  <c r="G93" i="14"/>
  <c r="G112" i="14" s="1"/>
  <c r="G83" i="14"/>
  <c r="H83" i="14" s="1"/>
  <c r="F163" i="14"/>
  <c r="G155" i="14"/>
  <c r="D99" i="14"/>
  <c r="E86" i="14"/>
  <c r="G16" i="14"/>
  <c r="F200" i="14"/>
  <c r="F133" i="14"/>
  <c r="G166" i="14"/>
  <c r="F86" i="14"/>
  <c r="G81" i="14"/>
  <c r="G90" i="14"/>
  <c r="H90" i="14" s="1"/>
  <c r="G85" i="14"/>
  <c r="I229" i="14"/>
  <c r="I223" i="14" s="1"/>
  <c r="T10" i="9"/>
  <c r="U12" i="9" s="1"/>
  <c r="R10" i="9"/>
  <c r="D190" i="14"/>
  <c r="N10" i="9"/>
  <c r="L10" i="9"/>
  <c r="E94" i="14"/>
  <c r="G92" i="14"/>
  <c r="G190" i="14" s="1"/>
  <c r="K74" i="8"/>
  <c r="K77" i="8" s="1"/>
  <c r="S72" i="9" l="1"/>
  <c r="AG72" i="9" s="1"/>
  <c r="AG73" i="9" s="1"/>
  <c r="AG82" i="9" s="1"/>
  <c r="AG59" i="9"/>
  <c r="AG103" i="8"/>
  <c r="AF103" i="8"/>
  <c r="G210" i="14"/>
  <c r="G96" i="14"/>
  <c r="C39" i="14"/>
  <c r="C44" i="14" s="1"/>
  <c r="C47" i="14" s="1"/>
  <c r="G140" i="14"/>
  <c r="H140" i="14" s="1"/>
  <c r="I140" i="14" s="1"/>
  <c r="J140" i="14" s="1"/>
  <c r="K140" i="14" s="1"/>
  <c r="I158" i="14"/>
  <c r="J158" i="14" s="1"/>
  <c r="J120" i="14" s="1"/>
  <c r="J209" i="14" s="1"/>
  <c r="J229" i="14"/>
  <c r="J223" i="14" s="1"/>
  <c r="J231" i="14"/>
  <c r="G120" i="14"/>
  <c r="E187" i="14"/>
  <c r="E192" i="14" s="1"/>
  <c r="AH73" i="9"/>
  <c r="AH82" i="9" s="1"/>
  <c r="G122" i="14"/>
  <c r="H120" i="14"/>
  <c r="H209" i="14" s="1"/>
  <c r="G116" i="14"/>
  <c r="AH10" i="9"/>
  <c r="F145" i="14"/>
  <c r="G145" i="14" s="1"/>
  <c r="H145" i="14" s="1"/>
  <c r="I145" i="14" s="1"/>
  <c r="C51" i="14"/>
  <c r="C52" i="14" s="1"/>
  <c r="C100" i="14"/>
  <c r="E145" i="14"/>
  <c r="D200" i="14"/>
  <c r="D94" i="14"/>
  <c r="D100" i="14" s="1"/>
  <c r="F199" i="14"/>
  <c r="F179" i="14"/>
  <c r="D191" i="14"/>
  <c r="D180" i="14"/>
  <c r="G118" i="14"/>
  <c r="H92" i="14"/>
  <c r="H190" i="14" s="1"/>
  <c r="F190" i="14"/>
  <c r="E190" i="14"/>
  <c r="F94" i="14"/>
  <c r="F100" i="14" s="1"/>
  <c r="G15" i="14"/>
  <c r="G103" i="14" s="1"/>
  <c r="D133" i="14"/>
  <c r="C78" i="14"/>
  <c r="D78" i="14"/>
  <c r="F162" i="14"/>
  <c r="D163" i="14"/>
  <c r="F77" i="14"/>
  <c r="E15" i="14"/>
  <c r="H93" i="14"/>
  <c r="H112" i="14" s="1"/>
  <c r="G108" i="14"/>
  <c r="H108" i="14"/>
  <c r="I89" i="14"/>
  <c r="G104" i="14"/>
  <c r="G200" i="14"/>
  <c r="G133" i="14"/>
  <c r="G222" i="14"/>
  <c r="H16" i="14"/>
  <c r="G180" i="14"/>
  <c r="G163" i="14"/>
  <c r="G78" i="14"/>
  <c r="K231" i="14"/>
  <c r="K229" i="14"/>
  <c r="K223" i="14" s="1"/>
  <c r="E100" i="14"/>
  <c r="H85" i="14"/>
  <c r="G152" i="14"/>
  <c r="I90" i="14"/>
  <c r="H81" i="14"/>
  <c r="I83" i="14"/>
  <c r="C55" i="14" l="1"/>
  <c r="C56" i="14" s="1"/>
  <c r="C71" i="14"/>
  <c r="D39" i="14"/>
  <c r="D44" i="14" s="1"/>
  <c r="D47" i="14" s="1"/>
  <c r="E51" i="14"/>
  <c r="E52" i="14" s="1"/>
  <c r="E39" i="14"/>
  <c r="E44" i="14" s="1"/>
  <c r="F51" i="14"/>
  <c r="F52" i="14" s="1"/>
  <c r="F39" i="14"/>
  <c r="G209" i="14"/>
  <c r="G203" i="14" s="1"/>
  <c r="G206" i="14" s="1"/>
  <c r="C68" i="12"/>
  <c r="C74" i="12" s="1"/>
  <c r="D74" i="12" s="1"/>
  <c r="C21" i="16"/>
  <c r="G137" i="14"/>
  <c r="G138" i="14" s="1"/>
  <c r="H135" i="14" s="1"/>
  <c r="I122" i="14"/>
  <c r="I120" i="14"/>
  <c r="I209" i="14" s="1"/>
  <c r="J89" i="14"/>
  <c r="K89" i="14" s="1"/>
  <c r="J90" i="14"/>
  <c r="K90" i="14" s="1"/>
  <c r="J83" i="14"/>
  <c r="K83" i="14" s="1"/>
  <c r="E191" i="14"/>
  <c r="H115" i="14"/>
  <c r="H116" i="14" s="1"/>
  <c r="H137" i="14"/>
  <c r="G77" i="14"/>
  <c r="G132" i="14"/>
  <c r="G199" i="14"/>
  <c r="D51" i="14"/>
  <c r="D52" i="14" s="1"/>
  <c r="I92" i="14"/>
  <c r="I190" i="14" s="1"/>
  <c r="F191" i="14"/>
  <c r="G221" i="14"/>
  <c r="G179" i="14"/>
  <c r="H15" i="14"/>
  <c r="H132" i="14" s="1"/>
  <c r="H118" i="14"/>
  <c r="G162" i="14"/>
  <c r="K158" i="14"/>
  <c r="J122" i="14"/>
  <c r="I137" i="14"/>
  <c r="D15" i="14"/>
  <c r="E162" i="14"/>
  <c r="E132" i="14"/>
  <c r="E199" i="14"/>
  <c r="E77" i="14"/>
  <c r="E179" i="14"/>
  <c r="I93" i="14"/>
  <c r="H96" i="14"/>
  <c r="I210" i="14"/>
  <c r="H210" i="14"/>
  <c r="I115" i="14"/>
  <c r="H149" i="14"/>
  <c r="I81" i="14"/>
  <c r="J145" i="14"/>
  <c r="H133" i="14"/>
  <c r="H222" i="14"/>
  <c r="H104" i="14"/>
  <c r="H200" i="14"/>
  <c r="I16" i="14"/>
  <c r="H180" i="14"/>
  <c r="H163" i="14"/>
  <c r="H78" i="14"/>
  <c r="H152" i="14"/>
  <c r="I85" i="14"/>
  <c r="E71" i="14" l="1"/>
  <c r="E47" i="14"/>
  <c r="G191" i="14"/>
  <c r="G192" i="14" s="1"/>
  <c r="D55" i="14"/>
  <c r="D56" i="14" s="1"/>
  <c r="F55" i="14"/>
  <c r="F56" i="14" s="1"/>
  <c r="E55" i="14"/>
  <c r="E56" i="14" s="1"/>
  <c r="G215" i="14"/>
  <c r="G216" i="14" s="1"/>
  <c r="H214" i="14" s="1"/>
  <c r="C202" i="14"/>
  <c r="C48" i="14"/>
  <c r="D71" i="14"/>
  <c r="D48" i="14"/>
  <c r="G45" i="16"/>
  <c r="I45" i="16" s="1"/>
  <c r="C47" i="16" s="1"/>
  <c r="C48" i="16" s="1"/>
  <c r="C37" i="16" s="1"/>
  <c r="E20" i="16"/>
  <c r="E21" i="16" s="1"/>
  <c r="E23" i="16" s="1"/>
  <c r="H138" i="14"/>
  <c r="I135" i="14" s="1"/>
  <c r="I138" i="14" s="1"/>
  <c r="I116" i="14"/>
  <c r="H103" i="14"/>
  <c r="I118" i="14"/>
  <c r="J92" i="14"/>
  <c r="K92" i="14" s="1"/>
  <c r="I15" i="14"/>
  <c r="I77" i="14" s="1"/>
  <c r="H162" i="14"/>
  <c r="H199" i="14"/>
  <c r="H221" i="14"/>
  <c r="H77" i="14"/>
  <c r="H179" i="14"/>
  <c r="K120" i="14"/>
  <c r="K209" i="14" s="1"/>
  <c r="K122" i="14"/>
  <c r="D77" i="14"/>
  <c r="D179" i="14"/>
  <c r="D199" i="14"/>
  <c r="D162" i="14"/>
  <c r="D132" i="14"/>
  <c r="C15" i="14"/>
  <c r="I108" i="14"/>
  <c r="I96" i="14"/>
  <c r="I112" i="14"/>
  <c r="J93" i="14"/>
  <c r="I149" i="14"/>
  <c r="J81" i="14"/>
  <c r="J115" i="14"/>
  <c r="K115" i="14"/>
  <c r="J137" i="14"/>
  <c r="J85" i="14"/>
  <c r="I152" i="14"/>
  <c r="I78" i="14"/>
  <c r="I222" i="14"/>
  <c r="I104" i="14"/>
  <c r="I180" i="14"/>
  <c r="I163" i="14"/>
  <c r="I133" i="14"/>
  <c r="I200" i="14"/>
  <c r="J16" i="14"/>
  <c r="K145" i="14"/>
  <c r="H191" i="14" l="1"/>
  <c r="H192" i="14" s="1"/>
  <c r="G217" i="14"/>
  <c r="C27" i="16"/>
  <c r="E48" i="14"/>
  <c r="C207" i="14"/>
  <c r="C204" i="14"/>
  <c r="D202" i="14"/>
  <c r="D204" i="14" s="1"/>
  <c r="E202" i="14"/>
  <c r="E204" i="14" s="1"/>
  <c r="J116" i="14"/>
  <c r="K116" i="14"/>
  <c r="J118" i="14"/>
  <c r="J15" i="14"/>
  <c r="K15" i="14" s="1"/>
  <c r="I179" i="14"/>
  <c r="I132" i="14"/>
  <c r="I199" i="14"/>
  <c r="I221" i="14"/>
  <c r="I103" i="14"/>
  <c r="I162" i="14"/>
  <c r="J190" i="14"/>
  <c r="C199" i="14"/>
  <c r="C77" i="14"/>
  <c r="J210" i="14"/>
  <c r="J108" i="14"/>
  <c r="J96" i="14"/>
  <c r="K96" i="14" s="1"/>
  <c r="K93" i="14"/>
  <c r="K112" i="14" s="1"/>
  <c r="J112" i="14"/>
  <c r="K137" i="14"/>
  <c r="K118" i="14"/>
  <c r="K190" i="14"/>
  <c r="J180" i="14"/>
  <c r="J163" i="14"/>
  <c r="J104" i="14"/>
  <c r="J78" i="14"/>
  <c r="J222" i="14"/>
  <c r="J133" i="14"/>
  <c r="J200" i="14"/>
  <c r="K16" i="14"/>
  <c r="J135" i="14"/>
  <c r="J138" i="14" s="1"/>
  <c r="K108" i="14"/>
  <c r="K210" i="14"/>
  <c r="J149" i="14"/>
  <c r="K85" i="14"/>
  <c r="K152" i="14" s="1"/>
  <c r="J152" i="14"/>
  <c r="K81" i="14"/>
  <c r="I191" i="14" l="1"/>
  <c r="J191" i="14" s="1"/>
  <c r="K191" i="14" s="1"/>
  <c r="K192" i="14" s="1"/>
  <c r="D207" i="14"/>
  <c r="E207" i="14"/>
  <c r="J77" i="14"/>
  <c r="J199" i="14"/>
  <c r="J221" i="14"/>
  <c r="J103" i="14"/>
  <c r="J132" i="14"/>
  <c r="J162" i="14"/>
  <c r="J179" i="14"/>
  <c r="K149" i="14"/>
  <c r="K135" i="14"/>
  <c r="K138" i="14" s="1"/>
  <c r="K78" i="14"/>
  <c r="K180" i="14"/>
  <c r="K163" i="14"/>
  <c r="K222" i="14"/>
  <c r="K133" i="14"/>
  <c r="K200" i="14"/>
  <c r="K104" i="14"/>
  <c r="K221" i="14"/>
  <c r="K179" i="14"/>
  <c r="K162" i="14"/>
  <c r="K77" i="14"/>
  <c r="K132" i="14"/>
  <c r="K103" i="14"/>
  <c r="K199" i="14"/>
  <c r="I192" i="14" l="1"/>
  <c r="J192" i="14"/>
  <c r="AB11" i="8"/>
  <c r="S13" i="21" s="1"/>
  <c r="D47" i="8"/>
  <c r="D55" i="8" s="1"/>
  <c r="C47" i="8"/>
  <c r="C55" i="8" s="1"/>
  <c r="E47" i="8"/>
  <c r="E55" i="8" s="1"/>
  <c r="W61" i="8" l="1"/>
  <c r="W67" i="8" s="1"/>
  <c r="W47" i="8"/>
  <c r="W55" i="8" s="1"/>
  <c r="W74" i="8"/>
  <c r="Y74" i="8"/>
  <c r="AC11" i="8"/>
  <c r="T13" i="21" s="1"/>
  <c r="AB16" i="8"/>
  <c r="AC47" i="8"/>
  <c r="AC55" i="8" s="1"/>
  <c r="AC74" i="8"/>
  <c r="Z74" i="8"/>
  <c r="AA47" i="8"/>
  <c r="AA55" i="8" s="1"/>
  <c r="AC61" i="8"/>
  <c r="AC67" i="8" s="1"/>
  <c r="AB61" i="8"/>
  <c r="AB67" i="8" s="1"/>
  <c r="X61" i="8"/>
  <c r="X67" i="8" s="1"/>
  <c r="Z11" i="8"/>
  <c r="Q13" i="21" s="1"/>
  <c r="X47" i="8"/>
  <c r="X55" i="8" s="1"/>
  <c r="AB47" i="8"/>
  <c r="AB55" i="8" s="1"/>
  <c r="AA74" i="8"/>
  <c r="AA11" i="8"/>
  <c r="R13" i="21" s="1"/>
  <c r="Y47" i="8"/>
  <c r="Y55" i="8" s="1"/>
  <c r="Y61" i="8"/>
  <c r="Y67" i="8" s="1"/>
  <c r="AA61" i="8"/>
  <c r="AA67" i="8" s="1"/>
  <c r="AB74" i="8"/>
  <c r="X74" i="8"/>
  <c r="AE74" i="8"/>
  <c r="AE77" i="8" s="1"/>
  <c r="AE47" i="8"/>
  <c r="AE55" i="8" s="1"/>
  <c r="AF74" i="8"/>
  <c r="AF77" i="8" s="1"/>
  <c r="AE11" i="8"/>
  <c r="V13" i="21" s="1"/>
  <c r="AE67" i="8"/>
  <c r="AF67" i="8"/>
  <c r="AD11" i="8"/>
  <c r="U13" i="21" s="1"/>
  <c r="AF11" i="8"/>
  <c r="W13" i="21" s="1"/>
  <c r="AF47" i="8"/>
  <c r="AF55" i="8" s="1"/>
  <c r="AJ11" i="8" l="1"/>
  <c r="AB24" i="8"/>
  <c r="AB28" i="8" s="1"/>
  <c r="AA16" i="8"/>
  <c r="AH15" i="9"/>
  <c r="AH21" i="9" s="1"/>
  <c r="U11" i="10"/>
  <c r="U12" i="10" s="1"/>
  <c r="V11" i="10"/>
  <c r="V12" i="10" s="1"/>
  <c r="W78" i="8"/>
  <c r="W80" i="8" s="1"/>
  <c r="AC78" i="8"/>
  <c r="AC80" i="8" s="1"/>
  <c r="AA78" i="8"/>
  <c r="AA80" i="8" s="1"/>
  <c r="Y78" i="8"/>
  <c r="Y80" i="8" s="1"/>
  <c r="AB78" i="8"/>
  <c r="AB80" i="8" s="1"/>
  <c r="AC16" i="8"/>
  <c r="X78" i="8"/>
  <c r="X80" i="8" s="1"/>
  <c r="Z16" i="8"/>
  <c r="AB17" i="8"/>
  <c r="AE78" i="8"/>
  <c r="AE80" i="8" s="1"/>
  <c r="AJ16" i="8"/>
  <c r="AF78" i="8"/>
  <c r="AF80" i="8" s="1"/>
  <c r="AB32" i="8" l="1"/>
  <c r="S30" i="10"/>
  <c r="S31" i="21"/>
  <c r="AD24" i="8"/>
  <c r="Z24" i="8"/>
  <c r="Z28" i="8" s="1"/>
  <c r="AE24" i="8"/>
  <c r="AE28" i="8" s="1"/>
  <c r="AA24" i="8"/>
  <c r="AA25" i="8" s="1"/>
  <c r="AC24" i="8"/>
  <c r="AC28" i="8" s="1"/>
  <c r="AB25" i="8"/>
  <c r="AF24" i="8"/>
  <c r="AF25" i="8" s="1"/>
  <c r="AE17" i="8"/>
  <c r="AD17" i="8"/>
  <c r="AJ17" i="8" s="1"/>
  <c r="AA17" i="8"/>
  <c r="AF17" i="8"/>
  <c r="AC17" i="8"/>
  <c r="AH16" i="9"/>
  <c r="S11" i="10"/>
  <c r="S12" i="10" s="1"/>
  <c r="T11" i="10"/>
  <c r="T12" i="10" s="1"/>
  <c r="W11" i="10"/>
  <c r="W12" i="10" s="1"/>
  <c r="Y11" i="10"/>
  <c r="Y12" i="10" s="1"/>
  <c r="R11" i="10"/>
  <c r="R12" i="10" s="1"/>
  <c r="AB29" i="8"/>
  <c r="Z17" i="8"/>
  <c r="AC32" i="8" l="1"/>
  <c r="T30" i="10"/>
  <c r="T31" i="21"/>
  <c r="AE32" i="8"/>
  <c r="V30" i="10"/>
  <c r="V31" i="21"/>
  <c r="Z32" i="8"/>
  <c r="Z33" i="8" s="1"/>
  <c r="Q30" i="10"/>
  <c r="Q31" i="21"/>
  <c r="AD28" i="8"/>
  <c r="AJ24" i="8"/>
  <c r="Z25" i="8"/>
  <c r="AE25" i="8"/>
  <c r="AD25" i="8"/>
  <c r="AJ25" i="8" s="1"/>
  <c r="AC25" i="8"/>
  <c r="AA28" i="8"/>
  <c r="AF28" i="8"/>
  <c r="Q11" i="10"/>
  <c r="Q12" i="10" s="1"/>
  <c r="P11" i="10"/>
  <c r="Z29" i="8"/>
  <c r="AE29" i="8"/>
  <c r="AH25" i="9"/>
  <c r="AH29" i="9" s="1"/>
  <c r="AH79" i="9" s="1"/>
  <c r="AH22" i="9"/>
  <c r="O11" i="10"/>
  <c r="X11" i="10"/>
  <c r="AA11" i="10"/>
  <c r="AA9" i="10"/>
  <c r="AB33" i="8"/>
  <c r="AC29" i="8"/>
  <c r="AD29" i="8"/>
  <c r="AJ29" i="8" s="1"/>
  <c r="AA32" i="8" l="1"/>
  <c r="AA33" i="8" s="1"/>
  <c r="R31" i="21"/>
  <c r="R30" i="10"/>
  <c r="U30" i="10"/>
  <c r="U31" i="21"/>
  <c r="AF32" i="8"/>
  <c r="AF33" i="8" s="1"/>
  <c r="W30" i="10"/>
  <c r="W31" i="21"/>
  <c r="AD32" i="8"/>
  <c r="AJ32" i="8" s="1"/>
  <c r="AJ28" i="8"/>
  <c r="AA29" i="8"/>
  <c r="AF29" i="8"/>
  <c r="AH26" i="9"/>
  <c r="AC33" i="8"/>
  <c r="AE33" i="8"/>
  <c r="AD33" i="8" l="1"/>
  <c r="AJ33" i="8" s="1"/>
  <c r="AH81" i="9" a="1"/>
  <c r="AH81" i="9" s="1"/>
  <c r="AH30" i="9"/>
  <c r="AH80" i="9" a="1"/>
  <c r="AH80" i="9" s="1"/>
  <c r="AH77" i="9"/>
  <c r="AH78" i="9"/>
  <c r="AH36" i="9"/>
  <c r="Z61" i="8" l="1"/>
  <c r="AD67" i="8"/>
  <c r="AJ67" i="8" s="1"/>
  <c r="Z67" i="8" l="1"/>
  <c r="Z78" i="8" s="1"/>
  <c r="I11" i="8" l="1"/>
  <c r="I13" i="21" s="1"/>
  <c r="E11" i="8"/>
  <c r="E13" i="21" s="1"/>
  <c r="D11" i="8"/>
  <c r="D13" i="21" s="1"/>
  <c r="C11" i="8"/>
  <c r="E74" i="8"/>
  <c r="D74" i="8"/>
  <c r="C74" i="8"/>
  <c r="L67" i="8"/>
  <c r="J67" i="8"/>
  <c r="AG11" i="8"/>
  <c r="X13" i="21" s="1"/>
  <c r="S73" i="9"/>
  <c r="S82" i="9" s="1"/>
  <c r="K73" i="9"/>
  <c r="K82" i="9" s="1"/>
  <c r="C72" i="9" l="1"/>
  <c r="C73" i="9" s="1"/>
  <c r="C82" i="9" s="1"/>
  <c r="C77" i="8"/>
  <c r="E72" i="9"/>
  <c r="E73" i="9" s="1"/>
  <c r="E82" i="9" s="1"/>
  <c r="E77" i="8"/>
  <c r="E78" i="8" s="1"/>
  <c r="T60" i="9"/>
  <c r="AH60" i="9" s="1"/>
  <c r="L78" i="8"/>
  <c r="R60" i="9"/>
  <c r="AF60" i="9" s="1"/>
  <c r="J78" i="8"/>
  <c r="D72" i="9"/>
  <c r="D73" i="9" s="1"/>
  <c r="D82" i="9" s="1"/>
  <c r="D77" i="8"/>
  <c r="X12" i="10"/>
  <c r="C12" i="10"/>
  <c r="I12" i="10"/>
  <c r="E12" i="10"/>
  <c r="D12" i="10"/>
  <c r="D67" i="8"/>
  <c r="D60" i="9" s="1"/>
  <c r="C67" i="8"/>
  <c r="L73" i="9"/>
  <c r="L82" i="9" s="1"/>
  <c r="T73" i="9"/>
  <c r="T82" i="9" s="1"/>
  <c r="M73" i="9"/>
  <c r="M82" i="9" s="1"/>
  <c r="I73" i="9"/>
  <c r="H73" i="9"/>
  <c r="M15" i="9"/>
  <c r="M21" i="9" s="1"/>
  <c r="K11" i="9"/>
  <c r="S11" i="9"/>
  <c r="G73" i="9"/>
  <c r="S12" i="9"/>
  <c r="AD74" i="8"/>
  <c r="AD77" i="8" s="1"/>
  <c r="D24" i="8"/>
  <c r="C24" i="8"/>
  <c r="I24" i="8"/>
  <c r="E24" i="8"/>
  <c r="L24" i="8"/>
  <c r="K67" i="8"/>
  <c r="AG67" i="8"/>
  <c r="AG74" i="8"/>
  <c r="AG77" i="8" s="1"/>
  <c r="E15" i="9"/>
  <c r="E21" i="9" s="1"/>
  <c r="E11" i="9"/>
  <c r="C15" i="9"/>
  <c r="C21" i="9" s="1"/>
  <c r="C11" i="9"/>
  <c r="D15" i="9"/>
  <c r="D21" i="9" s="1"/>
  <c r="D11" i="9"/>
  <c r="K12" i="9"/>
  <c r="O73" i="9"/>
  <c r="O82" i="9" s="1"/>
  <c r="P73" i="9"/>
  <c r="P82" i="9" s="1"/>
  <c r="Q73" i="9"/>
  <c r="Q82" i="9" s="1"/>
  <c r="S60" i="9" l="1"/>
  <c r="K78" i="8"/>
  <c r="D78" i="8"/>
  <c r="C78" i="8"/>
  <c r="AD78" i="8"/>
  <c r="AJ78" i="8" s="1"/>
  <c r="AJ74" i="8"/>
  <c r="C80" i="8"/>
  <c r="C60" i="9"/>
  <c r="L28" i="8"/>
  <c r="E28" i="8"/>
  <c r="E32" i="8" s="1"/>
  <c r="E88" i="8" s="1"/>
  <c r="I25" i="8"/>
  <c r="C28" i="8"/>
  <c r="C32" i="8" s="1"/>
  <c r="D25" i="8"/>
  <c r="I17" i="8"/>
  <c r="R73" i="9"/>
  <c r="R82" i="9" s="1"/>
  <c r="J80" i="8"/>
  <c r="AD47" i="8"/>
  <c r="AJ47" i="8" s="1"/>
  <c r="Z47" i="8"/>
  <c r="L80" i="8"/>
  <c r="D80" i="8"/>
  <c r="E80" i="8"/>
  <c r="AG60" i="9"/>
  <c r="N73" i="9"/>
  <c r="N82" i="9" s="1"/>
  <c r="J73" i="9"/>
  <c r="J82" i="9" s="1"/>
  <c r="N12" i="9"/>
  <c r="R11" i="9"/>
  <c r="O11" i="9"/>
  <c r="P12" i="9"/>
  <c r="R15" i="9"/>
  <c r="R21" i="9" s="1"/>
  <c r="M12" i="9"/>
  <c r="O12" i="9"/>
  <c r="L12" i="9"/>
  <c r="P15" i="9"/>
  <c r="P21" i="9" s="1"/>
  <c r="N15" i="9"/>
  <c r="N21" i="9" s="1"/>
  <c r="H12" i="9"/>
  <c r="P11" i="9"/>
  <c r="L11" i="9"/>
  <c r="H15" i="9"/>
  <c r="H21" i="9" s="1"/>
  <c r="N11" i="9"/>
  <c r="AG47" i="8"/>
  <c r="AG55" i="8" s="1"/>
  <c r="D17" i="8"/>
  <c r="E17" i="8"/>
  <c r="C17" i="8"/>
  <c r="AG24" i="8"/>
  <c r="L17" i="8"/>
  <c r="M16" i="9"/>
  <c r="D16" i="9"/>
  <c r="Q11" i="9"/>
  <c r="Q15" i="9"/>
  <c r="Q21" i="9" s="1"/>
  <c r="Q12" i="9"/>
  <c r="I15" i="9"/>
  <c r="I21" i="9" s="1"/>
  <c r="I12" i="9"/>
  <c r="S15" i="9"/>
  <c r="S21" i="9" s="1"/>
  <c r="AH11" i="9"/>
  <c r="L15" i="9"/>
  <c r="L21" i="9" s="1"/>
  <c r="R12" i="9"/>
  <c r="T11" i="9"/>
  <c r="T15" i="9"/>
  <c r="T21" i="9" s="1"/>
  <c r="T12" i="9"/>
  <c r="J15" i="9"/>
  <c r="J21" i="9" s="1"/>
  <c r="J12" i="9"/>
  <c r="M11" i="9"/>
  <c r="K15" i="9"/>
  <c r="K21" i="9" s="1"/>
  <c r="E16" i="9"/>
  <c r="O15" i="9"/>
  <c r="O21" i="9" s="1"/>
  <c r="C16" i="9"/>
  <c r="G15" i="9"/>
  <c r="G21" i="9" s="1"/>
  <c r="L32" i="8" l="1"/>
  <c r="L88" i="8" s="1"/>
  <c r="L31" i="21"/>
  <c r="L30" i="10"/>
  <c r="H16" i="9"/>
  <c r="P16" i="9"/>
  <c r="P22" i="9"/>
  <c r="L25" i="8"/>
  <c r="E25" i="8"/>
  <c r="D28" i="8"/>
  <c r="D32" i="8" s="1"/>
  <c r="D88" i="8" s="1"/>
  <c r="D104" i="8" s="1"/>
  <c r="D128" i="8" s="1"/>
  <c r="I28" i="8"/>
  <c r="C25" i="8"/>
  <c r="Z55" i="8"/>
  <c r="Z80" i="8" s="1"/>
  <c r="AD55" i="8"/>
  <c r="AG28" i="8"/>
  <c r="C29" i="8"/>
  <c r="L29" i="8"/>
  <c r="AG25" i="8"/>
  <c r="E29" i="8"/>
  <c r="D21" i="12"/>
  <c r="D24" i="12"/>
  <c r="D25" i="12"/>
  <c r="AG78" i="8"/>
  <c r="K80" i="8"/>
  <c r="R16" i="9"/>
  <c r="N16" i="9"/>
  <c r="H22" i="9"/>
  <c r="E33" i="8"/>
  <c r="E104" i="8"/>
  <c r="E128" i="8" s="1"/>
  <c r="AG17" i="8"/>
  <c r="G16" i="9"/>
  <c r="C25" i="9"/>
  <c r="C29" i="9" s="1"/>
  <c r="C79" i="9" s="1"/>
  <c r="C22" i="9"/>
  <c r="I16" i="9"/>
  <c r="O16" i="9"/>
  <c r="J16" i="9"/>
  <c r="D25" i="9"/>
  <c r="D29" i="9" s="1"/>
  <c r="D79" i="9" s="1"/>
  <c r="D22" i="9"/>
  <c r="M25" i="9"/>
  <c r="M29" i="9" s="1"/>
  <c r="M22" i="9"/>
  <c r="T16" i="9"/>
  <c r="Q16" i="9"/>
  <c r="R25" i="9"/>
  <c r="R29" i="9" s="1"/>
  <c r="R22" i="9"/>
  <c r="N22" i="9"/>
  <c r="N25" i="9"/>
  <c r="N29" i="9" s="1"/>
  <c r="E22" i="9"/>
  <c r="E25" i="9"/>
  <c r="E29" i="9" s="1"/>
  <c r="E79" i="9" s="1"/>
  <c r="S16" i="9"/>
  <c r="K16" i="9"/>
  <c r="L16" i="9"/>
  <c r="I32" i="8" l="1"/>
  <c r="I33" i="8" s="1"/>
  <c r="I30" i="10"/>
  <c r="I31" i="21"/>
  <c r="AG32" i="8"/>
  <c r="X30" i="10"/>
  <c r="X31" i="21"/>
  <c r="AD80" i="8"/>
  <c r="AJ55" i="8"/>
  <c r="D29" i="8"/>
  <c r="D33" i="8"/>
  <c r="I29" i="8"/>
  <c r="D19" i="12"/>
  <c r="C33" i="8"/>
  <c r="C88" i="8"/>
  <c r="L104" i="8"/>
  <c r="L128" i="8" s="1"/>
  <c r="L33" i="8"/>
  <c r="AG80" i="8"/>
  <c r="P25" i="9"/>
  <c r="P29" i="9" s="1"/>
  <c r="H25" i="9"/>
  <c r="H29" i="9" s="1"/>
  <c r="AG29" i="8"/>
  <c r="E26" i="9"/>
  <c r="L25" i="9"/>
  <c r="L29" i="9" s="1"/>
  <c r="L22" i="9"/>
  <c r="R26" i="9"/>
  <c r="D26" i="9"/>
  <c r="M26" i="9"/>
  <c r="Q22" i="9"/>
  <c r="Q25" i="9"/>
  <c r="Q29" i="9" s="1"/>
  <c r="C26" i="9"/>
  <c r="S25" i="9"/>
  <c r="S29" i="9" s="1"/>
  <c r="S22" i="9"/>
  <c r="O22" i="9"/>
  <c r="O25" i="9"/>
  <c r="O29" i="9" s="1"/>
  <c r="K25" i="9"/>
  <c r="K29" i="9" s="1"/>
  <c r="K22" i="9"/>
  <c r="N26" i="9"/>
  <c r="J25" i="9"/>
  <c r="J29" i="9" s="1"/>
  <c r="J22" i="9"/>
  <c r="I22" i="9"/>
  <c r="I25" i="9"/>
  <c r="I29" i="9" s="1"/>
  <c r="T25" i="9"/>
  <c r="T29" i="9" s="1"/>
  <c r="T22" i="9"/>
  <c r="G22" i="9"/>
  <c r="G25" i="9"/>
  <c r="G29" i="9" s="1"/>
  <c r="I88" i="8" l="1"/>
  <c r="I104" i="8" s="1"/>
  <c r="I128" i="8" s="1"/>
  <c r="U81" i="9" a="1"/>
  <c r="U81" i="9" s="1"/>
  <c r="U77" i="9"/>
  <c r="U78" i="9"/>
  <c r="U79" i="9" a="1"/>
  <c r="U79" i="9" s="1"/>
  <c r="U80" i="9" a="1"/>
  <c r="U80" i="9" s="1"/>
  <c r="R88" i="8"/>
  <c r="R104" i="8" s="1"/>
  <c r="P88" i="8"/>
  <c r="P104" i="8" s="1"/>
  <c r="Q88" i="8"/>
  <c r="Q104" i="8" s="1"/>
  <c r="O88" i="8"/>
  <c r="O104" i="8" s="1"/>
  <c r="AD128" i="8"/>
  <c r="O79" i="9" a="1"/>
  <c r="O79" i="9" s="1"/>
  <c r="N79" i="9" a="1"/>
  <c r="N79" i="9" s="1"/>
  <c r="T79" i="9" a="1"/>
  <c r="T79" i="9" s="1"/>
  <c r="J79" i="9" a="1"/>
  <c r="J79" i="9" s="1"/>
  <c r="L79" i="9" a="1"/>
  <c r="L79" i="9" s="1"/>
  <c r="S79" i="9" a="1"/>
  <c r="S79" i="9" s="1"/>
  <c r="R79" i="9" a="1"/>
  <c r="R79" i="9" s="1"/>
  <c r="K79" i="9" a="1"/>
  <c r="K79" i="9" s="1"/>
  <c r="P79" i="9" a="1"/>
  <c r="P79" i="9" s="1"/>
  <c r="M79" i="9" a="1"/>
  <c r="M79" i="9" s="1"/>
  <c r="Q79" i="9" a="1"/>
  <c r="Q79" i="9" s="1"/>
  <c r="C104" i="8"/>
  <c r="C128" i="8" s="1"/>
  <c r="AC104" i="8"/>
  <c r="P26" i="9"/>
  <c r="H26" i="9"/>
  <c r="K26" i="9"/>
  <c r="O26" i="9"/>
  <c r="P81" i="9" a="1"/>
  <c r="P81" i="9" s="1"/>
  <c r="H36" i="9"/>
  <c r="H45" i="9" s="1"/>
  <c r="H30" i="9"/>
  <c r="L26" i="9"/>
  <c r="D81" i="9" a="1"/>
  <c r="D81" i="9" s="1"/>
  <c r="D80" i="9" a="1"/>
  <c r="D80" i="9" s="1"/>
  <c r="D30" i="9"/>
  <c r="D36" i="9"/>
  <c r="D45" i="9" s="1"/>
  <c r="D77" i="9"/>
  <c r="D78" i="9"/>
  <c r="E80" i="9" a="1"/>
  <c r="E80" i="9" s="1"/>
  <c r="E81" i="9" a="1"/>
  <c r="E81" i="9" s="1"/>
  <c r="E30" i="9"/>
  <c r="E78" i="9"/>
  <c r="E36" i="9"/>
  <c r="E45" i="9" s="1"/>
  <c r="E77" i="9"/>
  <c r="P30" i="9"/>
  <c r="P36" i="9"/>
  <c r="P45" i="9" s="1"/>
  <c r="T26" i="9"/>
  <c r="J26" i="9"/>
  <c r="S26" i="9"/>
  <c r="N36" i="9"/>
  <c r="N45" i="9" s="1"/>
  <c r="N30" i="9"/>
  <c r="M36" i="9"/>
  <c r="M45" i="9" s="1"/>
  <c r="M30" i="9"/>
  <c r="Q26" i="9"/>
  <c r="G26" i="9"/>
  <c r="I26" i="9"/>
  <c r="C81" i="9" a="1"/>
  <c r="C81" i="9" s="1"/>
  <c r="C36" i="9"/>
  <c r="C45" i="9" s="1"/>
  <c r="C30" i="9"/>
  <c r="C80" i="9" a="1"/>
  <c r="C80" i="9" s="1"/>
  <c r="C78" i="9"/>
  <c r="C77" i="9"/>
  <c r="R30" i="9"/>
  <c r="R36" i="9"/>
  <c r="R45" i="9" s="1"/>
  <c r="AD88" i="8" l="1"/>
  <c r="AD104" i="8" s="1"/>
  <c r="V88" i="8"/>
  <c r="V104" i="8" s="1"/>
  <c r="U88" i="8"/>
  <c r="U104" i="8" s="1"/>
  <c r="S88" i="8"/>
  <c r="S104" i="8" s="1"/>
  <c r="T88" i="8"/>
  <c r="T104" i="8" s="1"/>
  <c r="R128" i="8"/>
  <c r="Q128" i="8"/>
  <c r="O128" i="8"/>
  <c r="P128" i="8"/>
  <c r="X88" i="8"/>
  <c r="Y88" i="8"/>
  <c r="Z88" i="8"/>
  <c r="Z104" i="8" s="1"/>
  <c r="W88" i="8"/>
  <c r="AA104" i="8"/>
  <c r="AB104" i="8"/>
  <c r="AG33" i="8"/>
  <c r="P80" i="9" a="1"/>
  <c r="P80" i="9" s="1"/>
  <c r="S80" i="9" a="1"/>
  <c r="S80" i="9" s="1"/>
  <c r="Q80" i="9" a="1"/>
  <c r="Q80" i="9" s="1"/>
  <c r="S78" i="9"/>
  <c r="L81" i="9" a="1"/>
  <c r="L81" i="9" s="1"/>
  <c r="L80" i="9" a="1"/>
  <c r="L80" i="9" s="1"/>
  <c r="L77" i="9"/>
  <c r="I36" i="9"/>
  <c r="I45" i="9" s="1"/>
  <c r="I30" i="9"/>
  <c r="L78" i="9"/>
  <c r="K80" i="9" a="1"/>
  <c r="K80" i="9" s="1"/>
  <c r="O36" i="9"/>
  <c r="O45" i="9" s="1"/>
  <c r="R80" i="9" a="1"/>
  <c r="R80" i="9" s="1"/>
  <c r="R81" i="9" a="1"/>
  <c r="R81" i="9" s="1"/>
  <c r="O30" i="9"/>
  <c r="R77" i="9"/>
  <c r="R78" i="9"/>
  <c r="G36" i="9"/>
  <c r="G45" i="9" s="1"/>
  <c r="J80" i="9" a="1"/>
  <c r="J80" i="9" s="1"/>
  <c r="J81" i="9" a="1"/>
  <c r="J81" i="9" s="1"/>
  <c r="G30" i="9"/>
  <c r="J77" i="9"/>
  <c r="J78" i="9"/>
  <c r="P78" i="9"/>
  <c r="Q77" i="9"/>
  <c r="E46" i="9"/>
  <c r="H46" i="9"/>
  <c r="P77" i="9"/>
  <c r="M80" i="9" a="1"/>
  <c r="M80" i="9" s="1"/>
  <c r="J36" i="9"/>
  <c r="J45" i="9" s="1"/>
  <c r="J30" i="9"/>
  <c r="M81" i="9" a="1"/>
  <c r="M81" i="9" s="1"/>
  <c r="M77" i="9"/>
  <c r="M78" i="9"/>
  <c r="D46" i="9"/>
  <c r="K77" i="9"/>
  <c r="S36" i="9"/>
  <c r="S45" i="9" s="1"/>
  <c r="S30" i="9"/>
  <c r="O81" i="9" a="1"/>
  <c r="O81" i="9" s="1"/>
  <c r="L36" i="9"/>
  <c r="L45" i="9" s="1"/>
  <c r="L30" i="9"/>
  <c r="O80" i="9" a="1"/>
  <c r="O80" i="9" s="1"/>
  <c r="O77" i="9"/>
  <c r="O78" i="9"/>
  <c r="Q81" i="9" a="1"/>
  <c r="Q81" i="9" s="1"/>
  <c r="S77" i="9"/>
  <c r="K81" i="9" a="1"/>
  <c r="K81" i="9" s="1"/>
  <c r="C46" i="9"/>
  <c r="T81" i="9" a="1"/>
  <c r="T81" i="9" s="1"/>
  <c r="T80" i="9" a="1"/>
  <c r="T80" i="9" s="1"/>
  <c r="T77" i="9"/>
  <c r="Q30" i="9"/>
  <c r="Q36" i="9"/>
  <c r="Q45" i="9" s="1"/>
  <c r="T78" i="9"/>
  <c r="R46" i="9"/>
  <c r="S81" i="9" a="1"/>
  <c r="S81" i="9" s="1"/>
  <c r="N80" i="9" a="1"/>
  <c r="N80" i="9" s="1"/>
  <c r="N81" i="9" a="1"/>
  <c r="N81" i="9" s="1"/>
  <c r="K36" i="9"/>
  <c r="K45" i="9" s="1"/>
  <c r="K30" i="9"/>
  <c r="N77" i="9"/>
  <c r="N78" i="9"/>
  <c r="Q78" i="9"/>
  <c r="T30" i="9"/>
  <c r="T36" i="9"/>
  <c r="T45" i="9" s="1"/>
  <c r="K78" i="9"/>
  <c r="AI45" i="9" l="1"/>
  <c r="AI46" i="9" s="1"/>
  <c r="V128" i="8"/>
  <c r="T128" i="8"/>
  <c r="S128" i="8"/>
  <c r="U128" i="8"/>
  <c r="Z128" i="8"/>
  <c r="X128" i="8"/>
  <c r="Y128" i="8"/>
  <c r="W128" i="8"/>
  <c r="AC45" i="9"/>
  <c r="AC46" i="9" s="1"/>
  <c r="Y45" i="9"/>
  <c r="Y46" i="9" s="1"/>
  <c r="AF45" i="9"/>
  <c r="AF46" i="9" s="1"/>
  <c r="AE45" i="9"/>
  <c r="AE46" i="9" s="1"/>
  <c r="AB45" i="9"/>
  <c r="AB46" i="9" s="1"/>
  <c r="AH45" i="9"/>
  <c r="AH46" i="9" s="1"/>
  <c r="AA45" i="9"/>
  <c r="AA46" i="9" s="1"/>
  <c r="AD45" i="9"/>
  <c r="AD46" i="9" s="1"/>
  <c r="Z45" i="9"/>
  <c r="Z46" i="9" s="1"/>
  <c r="AG45" i="9"/>
  <c r="AG46" i="9" s="1"/>
  <c r="S46" i="9"/>
  <c r="T46" i="9"/>
  <c r="Q46" i="9"/>
  <c r="I46" i="9"/>
  <c r="P46" i="9"/>
  <c r="K46" i="9"/>
  <c r="M46" i="9"/>
  <c r="N46" i="9"/>
  <c r="G46" i="9" l="1"/>
  <c r="X45" i="9"/>
  <c r="X46" i="9" s="1"/>
  <c r="W45" i="9"/>
  <c r="W46" i="9" s="1"/>
  <c r="L46" i="9"/>
  <c r="O46" i="9"/>
  <c r="J46" i="9"/>
  <c r="C125" i="8" l="1"/>
  <c r="C129" i="8" s="1"/>
  <c r="C131" i="8" s="1"/>
  <c r="D125" i="8" l="1"/>
  <c r="D129" i="8" s="1"/>
  <c r="D131" i="8" s="1"/>
  <c r="E125" i="8" l="1"/>
  <c r="E129" i="8" s="1"/>
  <c r="E131" i="8" s="1"/>
  <c r="G43" i="14" l="1"/>
  <c r="H43" i="14" s="1"/>
  <c r="I43" i="14" s="1"/>
  <c r="J43" i="14" s="1"/>
  <c r="K43" i="14" s="1"/>
  <c r="F44" i="14"/>
  <c r="F47" i="14" l="1"/>
  <c r="F48" i="14" s="1"/>
  <c r="F71" i="14"/>
  <c r="G71" i="14" s="1"/>
  <c r="F202" i="14" l="1"/>
  <c r="F207" i="14" s="1"/>
  <c r="F156" i="14"/>
  <c r="H71" i="14"/>
  <c r="G37" i="14"/>
  <c r="F204" i="14" l="1"/>
  <c r="I71" i="14"/>
  <c r="H37" i="14"/>
  <c r="J71" i="14" l="1"/>
  <c r="I37" i="14"/>
  <c r="K71" i="14" l="1"/>
  <c r="K37" i="14" s="1"/>
  <c r="J37" i="14"/>
  <c r="O123" i="8"/>
  <c r="O125" i="8" s="1"/>
  <c r="O129" i="8" s="1"/>
  <c r="O131" i="8" s="1"/>
  <c r="P123" i="8" l="1"/>
  <c r="P125" i="8" s="1"/>
  <c r="P129" i="8" s="1"/>
  <c r="P131" i="8" s="1"/>
  <c r="Q123" i="8" l="1"/>
  <c r="Q125" i="8" s="1"/>
  <c r="Q129" i="8" s="1"/>
  <c r="Q131" i="8" s="1"/>
  <c r="R123" i="8" l="1"/>
  <c r="R125" i="8" s="1"/>
  <c r="R129" i="8" s="1"/>
  <c r="R131" i="8" s="1"/>
  <c r="S123" i="8" l="1"/>
  <c r="S125" i="8" s="1"/>
  <c r="S129" i="8" s="1"/>
  <c r="S131" i="8" s="1"/>
  <c r="T123" i="8" l="1"/>
  <c r="T125" i="8" s="1"/>
  <c r="T129" i="8" s="1"/>
  <c r="T131" i="8" s="1"/>
  <c r="G35" i="14"/>
  <c r="U123" i="8" l="1"/>
  <c r="U125" i="8" s="1"/>
  <c r="U129" i="8" s="1"/>
  <c r="U131" i="8" s="1"/>
  <c r="E17" i="12"/>
  <c r="G36" i="14"/>
  <c r="H18" i="14"/>
  <c r="H21" i="14" s="1"/>
  <c r="G144" i="14"/>
  <c r="G150" i="14" s="1"/>
  <c r="G151" i="14" s="1"/>
  <c r="G111" i="14" s="1"/>
  <c r="G28" i="14"/>
  <c r="G29" i="14" s="1"/>
  <c r="E30" i="12"/>
  <c r="V123" i="8" l="1"/>
  <c r="V125" i="8" s="1"/>
  <c r="V129" i="8" s="1"/>
  <c r="V131" i="8" s="1"/>
  <c r="G32" i="14"/>
  <c r="H35" i="14"/>
  <c r="H28" i="14"/>
  <c r="H32" i="14" s="1"/>
  <c r="H36" i="14"/>
  <c r="I18" i="14"/>
  <c r="H144" i="14"/>
  <c r="H150" i="14" s="1"/>
  <c r="H151" i="14" s="1"/>
  <c r="H111" i="14" s="1"/>
  <c r="G146" i="14"/>
  <c r="G107" i="14" s="1"/>
  <c r="F30" i="12"/>
  <c r="F17" i="12"/>
  <c r="I35" i="14" l="1"/>
  <c r="I21" i="14"/>
  <c r="H33" i="14"/>
  <c r="H38" i="14"/>
  <c r="H39" i="14" s="1"/>
  <c r="G33" i="14"/>
  <c r="G38" i="14"/>
  <c r="G39" i="14" s="1"/>
  <c r="W123" i="8"/>
  <c r="G31" i="14"/>
  <c r="G82" i="14" s="1"/>
  <c r="G109" i="14" s="1"/>
  <c r="G30" i="12"/>
  <c r="I36" i="14"/>
  <c r="J18" i="14"/>
  <c r="K18" i="14" s="1"/>
  <c r="H29" i="14"/>
  <c r="I28" i="14"/>
  <c r="I32" i="14" s="1"/>
  <c r="I144" i="14"/>
  <c r="I146" i="14" s="1"/>
  <c r="H146" i="14"/>
  <c r="H107" i="14" s="1"/>
  <c r="H31" i="14"/>
  <c r="J21" i="14" l="1"/>
  <c r="J28" i="14" s="1"/>
  <c r="I33" i="14"/>
  <c r="I38" i="14"/>
  <c r="I39" i="14" s="1"/>
  <c r="X123" i="8"/>
  <c r="G17" i="12"/>
  <c r="J35" i="14"/>
  <c r="H30" i="12"/>
  <c r="J144" i="14"/>
  <c r="J150" i="14" s="1"/>
  <c r="J151" i="14" s="1"/>
  <c r="J111" i="14" s="1"/>
  <c r="I29" i="14"/>
  <c r="G88" i="14"/>
  <c r="G110" i="14" s="1"/>
  <c r="E23" i="12"/>
  <c r="G51" i="14"/>
  <c r="G52" i="14" s="1"/>
  <c r="I150" i="14"/>
  <c r="I151" i="14" s="1"/>
  <c r="I111" i="14" s="1"/>
  <c r="F21" i="12"/>
  <c r="H51" i="14"/>
  <c r="H52" i="14" s="1"/>
  <c r="H82" i="14"/>
  <c r="H109" i="14" s="1"/>
  <c r="I31" i="14"/>
  <c r="H17" i="12"/>
  <c r="I107" i="14"/>
  <c r="J32" i="14" l="1"/>
  <c r="J33" i="14" s="1"/>
  <c r="J29" i="14"/>
  <c r="K144" i="14"/>
  <c r="K146" i="14" s="1"/>
  <c r="K21" i="14"/>
  <c r="K35" i="14"/>
  <c r="Y123" i="8"/>
  <c r="K28" i="14"/>
  <c r="K32" i="14" s="1"/>
  <c r="J146" i="14"/>
  <c r="E19" i="12"/>
  <c r="G55" i="14"/>
  <c r="G56" i="14" s="1"/>
  <c r="H88" i="14"/>
  <c r="H110" i="14" s="1"/>
  <c r="F35" i="12" s="1"/>
  <c r="E21" i="12"/>
  <c r="E25" i="12"/>
  <c r="I51" i="14"/>
  <c r="I52" i="14" s="1"/>
  <c r="F23" i="12"/>
  <c r="F25" i="12"/>
  <c r="H55" i="14"/>
  <c r="H56" i="14" s="1"/>
  <c r="G25" i="12"/>
  <c r="F19" i="12"/>
  <c r="I82" i="14"/>
  <c r="I109" i="14" s="1"/>
  <c r="K150" i="14"/>
  <c r="K151" i="14" s="1"/>
  <c r="K111" i="14" s="1"/>
  <c r="E35" i="12"/>
  <c r="E28" i="12"/>
  <c r="I17" i="12"/>
  <c r="I30" i="12"/>
  <c r="J107" i="14"/>
  <c r="J31" i="14" l="1"/>
  <c r="J82" i="14" s="1"/>
  <c r="J109" i="14" s="1"/>
  <c r="K29" i="14"/>
  <c r="K33" i="14"/>
  <c r="Z123" i="8"/>
  <c r="G19" i="12"/>
  <c r="I88" i="14"/>
  <c r="I55" i="14"/>
  <c r="I56" i="14" s="1"/>
  <c r="E32" i="12"/>
  <c r="E41" i="12" s="1"/>
  <c r="E42" i="12" s="1"/>
  <c r="G21" i="12"/>
  <c r="G23" i="12"/>
  <c r="F28" i="12"/>
  <c r="F32" i="12" s="1"/>
  <c r="F41" i="12" s="1"/>
  <c r="F42" i="12" s="1"/>
  <c r="K31" i="14"/>
  <c r="K107" i="14"/>
  <c r="J88" i="14" l="1"/>
  <c r="J110" i="14" s="1"/>
  <c r="I110" i="14"/>
  <c r="G28" i="12" s="1"/>
  <c r="G32" i="12" s="1"/>
  <c r="G41" i="12" s="1"/>
  <c r="G42" i="12" s="1"/>
  <c r="AA123" i="8"/>
  <c r="G35" i="12"/>
  <c r="W125" i="8"/>
  <c r="K82" i="14"/>
  <c r="K109" i="14" s="1"/>
  <c r="K88" i="14" l="1"/>
  <c r="K110" i="14" s="1"/>
  <c r="AB123" i="8"/>
  <c r="I35" i="12"/>
  <c r="H35" i="12"/>
  <c r="H28" i="12"/>
  <c r="AC123" i="8" l="1"/>
  <c r="I28" i="12"/>
  <c r="AD123" i="8" l="1"/>
  <c r="K36" i="14"/>
  <c r="K38" i="14" s="1"/>
  <c r="J36" i="14"/>
  <c r="J38" i="14" s="1"/>
  <c r="AE123" i="8" l="1"/>
  <c r="G125" i="8"/>
  <c r="G129" i="8" s="1"/>
  <c r="G131" i="8" s="1"/>
  <c r="J51" i="14"/>
  <c r="J52" i="14" s="1"/>
  <c r="J55" i="14" s="1"/>
  <c r="J56" i="14" s="1"/>
  <c r="J39" i="14"/>
  <c r="K51" i="14"/>
  <c r="K52" i="14" s="1"/>
  <c r="K39" i="14"/>
  <c r="H25" i="12"/>
  <c r="H32" i="12" s="1"/>
  <c r="H41" i="12" s="1"/>
  <c r="H42" i="12" s="1"/>
  <c r="I21" i="12"/>
  <c r="AF123" i="8" l="1"/>
  <c r="AB125" i="8"/>
  <c r="AB129" i="8" s="1"/>
  <c r="AB131" i="8" s="1"/>
  <c r="H123" i="8"/>
  <c r="H125" i="8" s="1"/>
  <c r="H129" i="8" s="1"/>
  <c r="H131" i="8" s="1"/>
  <c r="K55" i="14"/>
  <c r="K56" i="14" s="1"/>
  <c r="H19" i="12"/>
  <c r="I46" i="12"/>
  <c r="I48" i="12" s="1"/>
  <c r="I49" i="12" s="1"/>
  <c r="H21" i="12"/>
  <c r="I23" i="12"/>
  <c r="H23" i="12"/>
  <c r="I25" i="12"/>
  <c r="I32" i="12" s="1"/>
  <c r="I41" i="12" s="1"/>
  <c r="I42" i="12" s="1"/>
  <c r="C50" i="12" s="1"/>
  <c r="AG123" i="8" l="1"/>
  <c r="AC125" i="8"/>
  <c r="AC129" i="8" s="1"/>
  <c r="AC131" i="8" s="1"/>
  <c r="I123" i="8"/>
  <c r="I125" i="8" s="1"/>
  <c r="I129" i="8" s="1"/>
  <c r="I131" i="8" s="1"/>
  <c r="I19" i="12"/>
  <c r="C47" i="12"/>
  <c r="C48" i="12" s="1"/>
  <c r="C55" i="12" s="1"/>
  <c r="I50" i="12"/>
  <c r="I51" i="12" s="1"/>
  <c r="D73" i="12" s="1"/>
  <c r="I55" i="12"/>
  <c r="AH123" i="8" l="1"/>
  <c r="AD125" i="8"/>
  <c r="AD129" i="8" s="1"/>
  <c r="AD131" i="8" s="1"/>
  <c r="X125" i="8"/>
  <c r="J123" i="8"/>
  <c r="J125" i="8" s="1"/>
  <c r="C49" i="12"/>
  <c r="C51" i="12" s="1"/>
  <c r="C73" i="12" s="1"/>
  <c r="I53" i="12"/>
  <c r="I54" i="12" s="1"/>
  <c r="D88" i="12"/>
  <c r="D75" i="12"/>
  <c r="D77" i="12" s="1"/>
  <c r="D103" i="12" s="1"/>
  <c r="D83" i="12"/>
  <c r="D86" i="12"/>
  <c r="D81" i="12"/>
  <c r="D87" i="12"/>
  <c r="D82" i="12"/>
  <c r="L103" i="12" s="1"/>
  <c r="C75" i="12" l="1"/>
  <c r="C77" i="12" s="1"/>
  <c r="D94" i="12" s="1"/>
  <c r="C83" i="12"/>
  <c r="C86" i="12"/>
  <c r="C81" i="12"/>
  <c r="C87" i="12"/>
  <c r="C82" i="12"/>
  <c r="L94" i="12" s="1"/>
  <c r="C88" i="12"/>
  <c r="C53" i="12"/>
  <c r="C54" i="12" s="1"/>
  <c r="K11" i="8" l="1"/>
  <c r="K13" i="21" s="1"/>
  <c r="K24" i="8" l="1"/>
  <c r="K12" i="10"/>
  <c r="K28" i="8" l="1"/>
  <c r="K17" i="8"/>
  <c r="K32" i="8" l="1"/>
  <c r="K88" i="8" s="1"/>
  <c r="K31" i="21"/>
  <c r="K30" i="10"/>
  <c r="K25" i="8"/>
  <c r="K29" i="8"/>
  <c r="K33" i="8" l="1"/>
  <c r="K104" i="8" l="1"/>
  <c r="K128" i="8" s="1"/>
  <c r="Y104" i="8"/>
  <c r="W11" i="8"/>
  <c r="Y11" i="8"/>
  <c r="P13" i="21" s="1"/>
  <c r="J11" i="8"/>
  <c r="J13" i="21" s="1"/>
  <c r="X11" i="8"/>
  <c r="O13" i="21" s="1"/>
  <c r="P12" i="10" l="1"/>
  <c r="X16" i="8"/>
  <c r="O12" i="10"/>
  <c r="J24" i="8"/>
  <c r="J12" i="10"/>
  <c r="Y16" i="8"/>
  <c r="Y24" i="8" s="1"/>
  <c r="W16" i="8"/>
  <c r="W24" i="8" s="1"/>
  <c r="J17" i="8" l="1"/>
  <c r="J28" i="8"/>
  <c r="X24" i="8"/>
  <c r="X25" i="8" s="1"/>
  <c r="X17" i="8"/>
  <c r="Y28" i="8"/>
  <c r="Y17" i="8"/>
  <c r="W17" i="8"/>
  <c r="W28" i="8"/>
  <c r="W32" i="8" s="1"/>
  <c r="Y32" i="8" l="1"/>
  <c r="P31" i="21"/>
  <c r="P30" i="10"/>
  <c r="J32" i="8"/>
  <c r="J88" i="8" s="1"/>
  <c r="J30" i="10"/>
  <c r="J31" i="21"/>
  <c r="X28" i="8"/>
  <c r="J25" i="8"/>
  <c r="J29" i="8"/>
  <c r="W25" i="8"/>
  <c r="Y25" i="8"/>
  <c r="X32" i="8" l="1"/>
  <c r="O31" i="21"/>
  <c r="O30" i="10"/>
  <c r="X29" i="8"/>
  <c r="J33" i="8"/>
  <c r="AH88" i="8"/>
  <c r="Y29" i="8"/>
  <c r="W29" i="8"/>
  <c r="X33" i="8"/>
  <c r="AH104" i="8" l="1"/>
  <c r="AJ104" i="8" s="1"/>
  <c r="AJ88" i="8"/>
  <c r="AG88" i="8"/>
  <c r="AE88" i="8"/>
  <c r="AE104" i="8" s="1"/>
  <c r="AF88" i="8"/>
  <c r="AF104" i="8" s="1"/>
  <c r="X104" i="8"/>
  <c r="X129" i="8" s="1"/>
  <c r="X131" i="8" s="1"/>
  <c r="J104" i="8"/>
  <c r="J128" i="8" s="1"/>
  <c r="W104" i="8"/>
  <c r="W33" i="8"/>
  <c r="Y33" i="8"/>
  <c r="J129" i="8" l="1"/>
  <c r="J131" i="8" s="1"/>
  <c r="AH128" i="8"/>
  <c r="AG128" i="8"/>
  <c r="AF128" i="8"/>
  <c r="AE128" i="8"/>
  <c r="W129" i="8"/>
  <c r="W131" i="8" s="1"/>
  <c r="AE125" i="8"/>
  <c r="AG104" i="8"/>
  <c r="Y125" i="8"/>
  <c r="Y129" i="8" s="1"/>
  <c r="Y131" i="8" s="1"/>
  <c r="K123" i="8" l="1"/>
  <c r="K125" i="8" s="1"/>
  <c r="K129" i="8" s="1"/>
  <c r="K131" i="8" s="1"/>
  <c r="AE129" i="8"/>
  <c r="AE131" i="8" s="1"/>
  <c r="AF125" i="8"/>
  <c r="AF129" i="8" s="1"/>
  <c r="AF131" i="8" s="1"/>
  <c r="Z125" i="8"/>
  <c r="Z129" i="8" s="1"/>
  <c r="Z131" i="8" s="1"/>
  <c r="L123" i="8" l="1"/>
  <c r="L125" i="8" s="1"/>
  <c r="L129" i="8" s="1"/>
  <c r="L131" i="8" s="1"/>
  <c r="AG125" i="8"/>
  <c r="AG129" i="8" s="1"/>
  <c r="AG131" i="8" s="1"/>
  <c r="AA125" i="8"/>
  <c r="AA129" i="8" s="1"/>
  <c r="AA131" i="8" s="1"/>
  <c r="M123" i="8" l="1"/>
  <c r="M125" i="8" s="1"/>
  <c r="M129" i="8" s="1"/>
  <c r="M131" i="8" s="1"/>
  <c r="AH125" i="8"/>
  <c r="AH129" i="8" s="1"/>
  <c r="AH131" i="8" s="1"/>
  <c r="G99" i="14" l="1"/>
  <c r="H99" i="14" l="1"/>
  <c r="I99" i="14" l="1"/>
  <c r="J99" i="14" l="1"/>
  <c r="K44" i="14"/>
  <c r="K47" i="14" s="1"/>
  <c r="H44" i="14"/>
  <c r="H47" i="14" s="1"/>
  <c r="G44" i="14"/>
  <c r="G47" i="14" s="1"/>
  <c r="I44" i="14"/>
  <c r="J44" i="14"/>
  <c r="J47" i="14" s="1"/>
  <c r="K99" i="14"/>
  <c r="I47" i="14" l="1"/>
  <c r="I106" i="14" s="1"/>
  <c r="I113" i="14" s="1"/>
  <c r="H202" i="14"/>
  <c r="H48" i="14"/>
  <c r="J202" i="14"/>
  <c r="J106" i="14"/>
  <c r="J113" i="14" s="1"/>
  <c r="J156" i="14"/>
  <c r="J48" i="14"/>
  <c r="H106" i="14"/>
  <c r="H113" i="14" s="1"/>
  <c r="H156" i="14"/>
  <c r="G48" i="14"/>
  <c r="G202" i="14"/>
  <c r="G106" i="14"/>
  <c r="G113" i="14" s="1"/>
  <c r="K156" i="14"/>
  <c r="K202" i="14"/>
  <c r="K106" i="14"/>
  <c r="K113" i="14" s="1"/>
  <c r="K48" i="14"/>
  <c r="G156" i="14"/>
  <c r="H212" i="14" l="1"/>
  <c r="H211" i="14" s="1"/>
  <c r="H215" i="14" s="1"/>
  <c r="H216" i="14" s="1"/>
  <c r="I48" i="14"/>
  <c r="I156" i="14"/>
  <c r="I202" i="14"/>
  <c r="I212" i="14" s="1"/>
  <c r="G207" i="14"/>
  <c r="G204" i="14"/>
  <c r="K212" i="14"/>
  <c r="G157" i="14"/>
  <c r="G159" i="14" s="1"/>
  <c r="H155" i="14" s="1"/>
  <c r="H203" i="14" l="1"/>
  <c r="H206" i="14" s="1"/>
  <c r="H207" i="14" s="1"/>
  <c r="I211" i="14"/>
  <c r="I215" i="14" s="1"/>
  <c r="J212" i="14"/>
  <c r="G121" i="14"/>
  <c r="H157" i="14"/>
  <c r="H159" i="14" s="1"/>
  <c r="I155" i="14" s="1"/>
  <c r="I214" i="14"/>
  <c r="H217" i="14"/>
  <c r="H204" i="14" l="1"/>
  <c r="I203" i="14"/>
  <c r="I204" i="14" s="1"/>
  <c r="G168" i="14"/>
  <c r="G169" i="14" s="1"/>
  <c r="G173" i="14" s="1"/>
  <c r="G175" i="14" s="1"/>
  <c r="J211" i="14"/>
  <c r="K211" i="14" s="1"/>
  <c r="K215" i="14" s="1"/>
  <c r="I216" i="14"/>
  <c r="I217" i="14" s="1"/>
  <c r="H121" i="14"/>
  <c r="H168" i="14" s="1"/>
  <c r="I157" i="14"/>
  <c r="I159" i="14" s="1"/>
  <c r="J155" i="14" s="1"/>
  <c r="I206" i="14" l="1"/>
  <c r="I207" i="14" s="1"/>
  <c r="J203" i="14"/>
  <c r="K203" i="14" s="1"/>
  <c r="H172" i="14"/>
  <c r="G91" i="14"/>
  <c r="G94" i="14" s="1"/>
  <c r="G176" i="14"/>
  <c r="J215" i="14"/>
  <c r="G186" i="14"/>
  <c r="G187" i="14" s="1"/>
  <c r="G182" i="14" s="1"/>
  <c r="G119" i="14"/>
  <c r="G123" i="14" s="1"/>
  <c r="G125" i="14" s="1"/>
  <c r="G80" i="14" s="1"/>
  <c r="J214" i="14"/>
  <c r="J216" i="14" s="1"/>
  <c r="J217" i="14" s="1"/>
  <c r="J157" i="14"/>
  <c r="J159" i="14" s="1"/>
  <c r="K155" i="14" s="1"/>
  <c r="I121" i="14"/>
  <c r="I168" i="14" s="1"/>
  <c r="J206" i="14" l="1"/>
  <c r="J207" i="14" s="1"/>
  <c r="J204" i="14"/>
  <c r="G196" i="14"/>
  <c r="H166" i="14"/>
  <c r="H169" i="14" s="1"/>
  <c r="H173" i="14" s="1"/>
  <c r="H175" i="14" s="1"/>
  <c r="H91" i="14" s="1"/>
  <c r="G86" i="14"/>
  <c r="G100" i="14" s="1"/>
  <c r="K214" i="14"/>
  <c r="K216" i="14" s="1"/>
  <c r="K217" i="14" s="1"/>
  <c r="J121" i="14"/>
  <c r="J168" i="14" s="1"/>
  <c r="K157" i="14"/>
  <c r="K121" i="14" s="1"/>
  <c r="K168" i="14" s="1"/>
  <c r="K204" i="14"/>
  <c r="K206" i="14" l="1"/>
  <c r="K207" i="14" s="1"/>
  <c r="I172" i="14"/>
  <c r="H176" i="14"/>
  <c r="H94" i="14"/>
  <c r="H186" i="14"/>
  <c r="H119" i="14"/>
  <c r="H123" i="14" s="1"/>
  <c r="H125" i="14" s="1"/>
  <c r="H80" i="14" s="1"/>
  <c r="K159" i="14"/>
  <c r="H187" i="14" l="1"/>
  <c r="H182" i="14" s="1"/>
  <c r="H196" i="14"/>
  <c r="I166" i="14"/>
  <c r="I169" i="14" s="1"/>
  <c r="I173" i="14" s="1"/>
  <c r="I175" i="14" s="1"/>
  <c r="H86" i="14"/>
  <c r="H100" i="14" s="1"/>
  <c r="J172" i="14" l="1"/>
  <c r="I176" i="14"/>
  <c r="I91" i="14"/>
  <c r="I94" i="14" l="1"/>
  <c r="I186" i="14"/>
  <c r="I119" i="14"/>
  <c r="I123" i="14" s="1"/>
  <c r="I125" i="14" s="1"/>
  <c r="I80" i="14" s="1"/>
  <c r="I196" i="14" l="1"/>
  <c r="I86" i="14"/>
  <c r="I100" i="14" s="1"/>
  <c r="J166" i="14"/>
  <c r="J169" i="14" s="1"/>
  <c r="J173" i="14" s="1"/>
  <c r="J175" i="14" s="1"/>
  <c r="I187" i="14"/>
  <c r="I182" i="14" s="1"/>
  <c r="J176" i="14" l="1"/>
  <c r="J91" i="14"/>
  <c r="K172" i="14"/>
  <c r="J94" i="14" l="1"/>
  <c r="J186" i="14"/>
  <c r="J119" i="14"/>
  <c r="J123" i="14" s="1"/>
  <c r="J125" i="14" s="1"/>
  <c r="J80" i="14" s="1"/>
  <c r="J86" i="14" l="1"/>
  <c r="J100" i="14" s="1"/>
  <c r="K166" i="14"/>
  <c r="K169" i="14" s="1"/>
  <c r="K173" i="14" s="1"/>
  <c r="K175" i="14" s="1"/>
  <c r="J196" i="14"/>
  <c r="J187" i="14"/>
  <c r="J182" i="14" s="1"/>
  <c r="K91" i="14" l="1"/>
  <c r="K176" i="14"/>
  <c r="K119" i="14" l="1"/>
  <c r="K123" i="14" s="1"/>
  <c r="K125" i="14" s="1"/>
  <c r="K80" i="14" s="1"/>
  <c r="K186" i="14"/>
  <c r="K187" i="14" s="1"/>
  <c r="K182" i="14" s="1"/>
  <c r="K94" i="14"/>
  <c r="K86" i="14" l="1"/>
  <c r="K100" i="14" s="1"/>
  <c r="K196" i="14"/>
  <c r="O53" i="18" l="1"/>
  <c r="O50" i="18" s="1"/>
  <c r="O55" i="18" l="1"/>
  <c r="O23" i="18"/>
  <c r="O24" i="18" s="1"/>
  <c r="S36" i="8" s="1"/>
  <c r="L47" i="19" l="1"/>
  <c r="M47" i="19"/>
  <c r="N47" i="19"/>
  <c r="O47" i="19"/>
  <c r="P47" i="19"/>
  <c r="Q47" i="19"/>
  <c r="S47" i="19"/>
  <c r="L48" i="19"/>
  <c r="M48" i="19"/>
  <c r="N48" i="19"/>
  <c r="O48" i="19"/>
  <c r="P48" i="19"/>
  <c r="Q48" i="19"/>
  <c r="S48" i="19"/>
  <c r="L51" i="19"/>
  <c r="M51" i="19"/>
  <c r="N51" i="19"/>
  <c r="O51" i="19"/>
  <c r="P51" i="19"/>
  <c r="Q51" i="19"/>
  <c r="S51" i="19"/>
  <c r="L70" i="19"/>
  <c r="M70" i="19"/>
  <c r="N70" i="19"/>
  <c r="O70" i="19"/>
  <c r="P70" i="19"/>
  <c r="Q70" i="19"/>
  <c r="L76" i="19"/>
  <c r="M76" i="19"/>
  <c r="N76" i="19"/>
  <c r="O76" i="19"/>
  <c r="P76" i="19"/>
  <c r="Q76" i="19"/>
  <c r="L162" i="19"/>
  <c r="M162" i="19"/>
  <c r="N162" i="19"/>
  <c r="O162" i="19"/>
  <c r="P162" i="19"/>
  <c r="Q162" i="19"/>
  <c r="L163" i="19"/>
  <c r="M163" i="19"/>
  <c r="N163" i="19"/>
  <c r="O163" i="19"/>
  <c r="P163" i="19"/>
  <c r="Q163" i="19"/>
  <c r="L164" i="19"/>
  <c r="M164" i="19"/>
  <c r="N164" i="19"/>
  <c r="O164" i="19"/>
  <c r="P164" i="19"/>
  <c r="Q164"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2" authorId="0" shapeId="0" xr:uid="{7A2FC6D1-536F-436C-91AF-4AA7C24B849D}">
      <text>
        <r>
          <rPr>
            <sz val="9"/>
            <color indexed="81"/>
            <rFont val="Tahoma"/>
            <family val="2"/>
          </rPr>
          <t>Front cover of Apple 2019 10K
As of October 18, 2019</t>
        </r>
      </text>
    </comment>
    <comment ref="B83" authorId="0" shapeId="0" xr:uid="{6439A3EF-3E3E-42F8-8BFB-2C48CCCD7462}">
      <text>
        <r>
          <rPr>
            <sz val="9"/>
            <color indexed="81"/>
            <rFont val="Tahoma"/>
            <family val="2"/>
          </rPr>
          <t>Includes vendor non-trade receivables</t>
        </r>
      </text>
    </comment>
    <comment ref="B85" authorId="0" shapeId="0" xr:uid="{CA581457-FE45-4C85-B2B1-4F81AFEE32C2}">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141" authorId="0" shapeId="0" xr:uid="{2219FFFC-2383-4581-B375-CA03D19C612B}">
      <text>
        <r>
          <rPr>
            <sz val="9"/>
            <color indexed="81"/>
            <rFont val="Tahoma"/>
            <family val="2"/>
          </rPr>
          <t>WSP estimate</t>
        </r>
      </text>
    </comment>
    <comment ref="B157" authorId="0" shapeId="0" xr:uid="{7085AA9A-84A7-492A-B8CA-274A5CE6CD98}">
      <text>
        <r>
          <rPr>
            <sz val="9"/>
            <color indexed="81"/>
            <rFont val="Tahoma"/>
            <family val="2"/>
          </rPr>
          <t>Statement of shareholders equity schedule, p.41 Apple 2018 10K</t>
        </r>
      </text>
    </comment>
    <comment ref="B158" authorId="0" shapeId="0" xr:uid="{BBB1E183-5B22-4E4E-B78A-A975E679C8A1}">
      <text>
        <r>
          <rPr>
            <sz val="9"/>
            <color indexed="81"/>
            <rFont val="Tahoma"/>
            <family val="2"/>
          </rPr>
          <t>Statement of shareholders equity schedule, p.41 Apple 2018 10K</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2" authorId="0" shapeId="0" xr:uid="{D5905C91-143E-40BF-A763-1413596C8F82}">
      <text>
        <r>
          <rPr>
            <sz val="9"/>
            <color indexed="81"/>
            <rFont val="Tahoma"/>
            <family val="2"/>
          </rPr>
          <t>Front cover of Apple 2019 10K
As of October 18, 2019</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9" authorId="0" shapeId="0" xr:uid="{CCFAC4AF-C471-4ECA-8F78-B7CC16862175}">
      <text>
        <r>
          <rPr>
            <b/>
            <sz val="9"/>
            <color indexed="81"/>
            <rFont val="Tahoma"/>
            <family val="2"/>
          </rPr>
          <t>Matan Feldman:</t>
        </r>
        <r>
          <rPr>
            <sz val="9"/>
            <color indexed="81"/>
            <rFont val="Tahoma"/>
            <family val="2"/>
          </rPr>
          <t xml:space="preserve">
In practice can use the NOW() function to keep current date active</t>
        </r>
      </text>
    </comment>
    <comment ref="H9" authorId="0" shapeId="0" xr:uid="{EC1B885B-7DD0-4515-9252-EACD042D0F99}">
      <text>
        <r>
          <rPr>
            <b/>
            <sz val="9"/>
            <color indexed="81"/>
            <rFont val="Tahoma"/>
            <family val="2"/>
          </rPr>
          <t>Matan Feldman:</t>
        </r>
        <r>
          <rPr>
            <sz val="9"/>
            <color indexed="81"/>
            <rFont val="Tahoma"/>
            <family val="2"/>
          </rPr>
          <t xml:space="preserve">
Midyear convention? (1=Yes,0=No)</t>
        </r>
      </text>
    </comment>
    <comment ref="B66" authorId="0" shapeId="0" xr:uid="{C17DAE9B-4274-49A4-B943-DEF68F2CA1A3}">
      <text>
        <r>
          <rPr>
            <b/>
            <sz val="9"/>
            <color indexed="81"/>
            <rFont val="Tahoma"/>
            <family val="2"/>
          </rPr>
          <t>Matan Feldman:</t>
        </r>
        <r>
          <rPr>
            <sz val="9"/>
            <color indexed="81"/>
            <rFont val="Tahoma"/>
            <family val="2"/>
          </rPr>
          <t xml:space="preserve">
Include cash &amp; equivalents, short term and long term marketable securites and investments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<sst xmlns="http://schemas.openxmlformats.org/spreadsheetml/2006/main" count="1264" uniqueCount="702">
  <si>
    <t>FYE</t>
  </si>
  <si>
    <t>Quarterly</t>
  </si>
  <si>
    <t>1Q24</t>
  </si>
  <si>
    <t>2Q24</t>
  </si>
  <si>
    <t>3Q24</t>
  </si>
  <si>
    <t>4Q24</t>
  </si>
  <si>
    <t>LTM</t>
  </si>
  <si>
    <t>EBITDA</t>
  </si>
  <si>
    <t>Adjusted EBITDA</t>
  </si>
  <si>
    <t>Total Revenue</t>
  </si>
  <si>
    <t>Accounts receivable</t>
  </si>
  <si>
    <t>Inventories</t>
  </si>
  <si>
    <t>Accounts payable</t>
  </si>
  <si>
    <t>Net income</t>
  </si>
  <si>
    <t>Changes in assets and liabilities:</t>
  </si>
  <si>
    <t>Cash-Flows Statement</t>
  </si>
  <si>
    <t>Other current assets</t>
  </si>
  <si>
    <t>Debt</t>
  </si>
  <si>
    <t>Total Liabilities</t>
  </si>
  <si>
    <t>X</t>
  </si>
  <si>
    <t>Total Current Liabilities</t>
  </si>
  <si>
    <t>Common stock</t>
  </si>
  <si>
    <t xml:space="preserve">Beta </t>
  </si>
  <si>
    <t>Total Current Assets</t>
  </si>
  <si>
    <t>Total Assets</t>
  </si>
  <si>
    <t>Gross Profit</t>
  </si>
  <si>
    <t>Revenue</t>
  </si>
  <si>
    <t>EBIT</t>
  </si>
  <si>
    <t>Beta</t>
  </si>
  <si>
    <t>Total Debt</t>
  </si>
  <si>
    <t>Perpetuity</t>
  </si>
  <si>
    <t>Net Debt</t>
  </si>
  <si>
    <t>Variance</t>
  </si>
  <si>
    <t>FCF Analysis</t>
  </si>
  <si>
    <t>2Q22</t>
  </si>
  <si>
    <t>1Q25</t>
  </si>
  <si>
    <t>2Q25</t>
  </si>
  <si>
    <t>Y/Y Growth (%)</t>
  </si>
  <si>
    <t>Q/Q Growth (%)</t>
  </si>
  <si>
    <t>N/A</t>
  </si>
  <si>
    <t>(-) Cost of Sales</t>
  </si>
  <si>
    <t>Gross Margin (%)</t>
  </si>
  <si>
    <t>Earning before Interest &amp; Taxes (EBIT)</t>
  </si>
  <si>
    <t>Operating Margin (%)</t>
  </si>
  <si>
    <t>(+) Depreciation and Amortization</t>
  </si>
  <si>
    <t>EBITDA Margin (%)</t>
  </si>
  <si>
    <t xml:space="preserve">(+) Share-based Compensation </t>
  </si>
  <si>
    <t>Adj. EBITDA</t>
  </si>
  <si>
    <t>Adj. EBITDA Margin (%)</t>
  </si>
  <si>
    <t>(-) Capital Expenditures</t>
  </si>
  <si>
    <t>(-) Cash Taxes</t>
  </si>
  <si>
    <t>(+/-) Changes in NWC</t>
  </si>
  <si>
    <t>Discretionary Cash-Flows</t>
  </si>
  <si>
    <t>Free-Cash Flows</t>
  </si>
  <si>
    <t>Capitalization</t>
  </si>
  <si>
    <t>Cash &amp; Cash Equivelants</t>
  </si>
  <si>
    <t>Total Liquidity</t>
  </si>
  <si>
    <t>Balance Sheet Metrics:</t>
  </si>
  <si>
    <t>Accounts Receivable</t>
  </si>
  <si>
    <t>Accounts Payable</t>
  </si>
  <si>
    <t>Property Plant, and Equiptment</t>
  </si>
  <si>
    <t>Current Liabilities</t>
  </si>
  <si>
    <t>Total Shareholder Equity</t>
  </si>
  <si>
    <t>Total Book Capitalization</t>
  </si>
  <si>
    <t>Debt-to-Book Capitalization</t>
  </si>
  <si>
    <t>Net loss</t>
  </si>
  <si>
    <t>Total liabilities and stockholders' equity</t>
  </si>
  <si>
    <t>Cash-Flows From Operating Activities</t>
  </si>
  <si>
    <t>Net income (loss)</t>
  </si>
  <si>
    <t>Depreciation and amortization</t>
  </si>
  <si>
    <t>Net cash used in operating activities</t>
  </si>
  <si>
    <t>Cash flows from investing activities:</t>
  </si>
  <si>
    <t>Net cash used in investing activities</t>
  </si>
  <si>
    <t>Cash flows from financing activities:</t>
  </si>
  <si>
    <t>Net cash provided by financing activities</t>
  </si>
  <si>
    <t>Consolidated Revenue</t>
  </si>
  <si>
    <t>Adjustments to reconcile net income:</t>
  </si>
  <si>
    <t>Balance Check</t>
  </si>
  <si>
    <t>Net Change in Cash</t>
  </si>
  <si>
    <t>Cash paid during the period for:</t>
  </si>
  <si>
    <t xml:space="preserve">Provision for taxes </t>
  </si>
  <si>
    <t>3Q25</t>
  </si>
  <si>
    <t>Net Margin (%)</t>
  </si>
  <si>
    <t>Basic shares</t>
  </si>
  <si>
    <t>Basic EPS</t>
  </si>
  <si>
    <t>Fully Diluted Shares</t>
  </si>
  <si>
    <t>Diluted EPS</t>
  </si>
  <si>
    <t>Segment Anaysis</t>
  </si>
  <si>
    <t>Total Net Revenue</t>
  </si>
  <si>
    <t xml:space="preserve">(+/-) Other </t>
  </si>
  <si>
    <t>Credit Metrics</t>
  </si>
  <si>
    <t>Company name</t>
  </si>
  <si>
    <t>Select an operating scenario:</t>
  </si>
  <si>
    <t>Base case</t>
  </si>
  <si>
    <t>Ticker</t>
  </si>
  <si>
    <t>Circ break 1=off, 0=on</t>
  </si>
  <si>
    <t>Latest closing share price</t>
  </si>
  <si>
    <t>Latest closing share price date</t>
  </si>
  <si>
    <t>Latest fiscal year end date</t>
  </si>
  <si>
    <t>Shares outstanding (millions)</t>
  </si>
  <si>
    <t xml:space="preserve">Fiscal year  </t>
  </si>
  <si>
    <t>Fiscal year end date</t>
  </si>
  <si>
    <t>Plug = Revenue - Gross Profit</t>
  </si>
  <si>
    <t>Revenue x Gross Profit Margin forecast</t>
  </si>
  <si>
    <t>Revenue x R&amp;D % of sales forecast</t>
  </si>
  <si>
    <t>Revenue x SG&amp;A % of sales forecast</t>
  </si>
  <si>
    <t>Operating profit (EBIT)</t>
  </si>
  <si>
    <t>Interest income</t>
  </si>
  <si>
    <t>Reference from interest expense schedule</t>
  </si>
  <si>
    <t>Straight-line</t>
  </si>
  <si>
    <t>Pretax profit</t>
  </si>
  <si>
    <t>EBIT + interest income less interest expense less other expense</t>
  </si>
  <si>
    <t>Pre-tax Profit x Tax Rate forecast</t>
  </si>
  <si>
    <t>Pre-tax Profit less taxes</t>
  </si>
  <si>
    <t>Depreciation &amp; amortization</t>
  </si>
  <si>
    <t>Reference from D&amp;A schedule</t>
  </si>
  <si>
    <t>EBIT + D&amp;A</t>
  </si>
  <si>
    <t>Stock based compensation</t>
  </si>
  <si>
    <t>EBITDA + Stock-based compensation</t>
  </si>
  <si>
    <t>Growth rates &amp; margins</t>
  </si>
  <si>
    <t>Revenue growth</t>
  </si>
  <si>
    <t>Gross profit margin</t>
  </si>
  <si>
    <t>R&amp;D % of sales</t>
  </si>
  <si>
    <t>SG&amp;A % of sales</t>
  </si>
  <si>
    <t>Tax rate</t>
  </si>
  <si>
    <t>Cash &amp; equivalents, ST and LT marketable securities</t>
  </si>
  <si>
    <t>Reference from 'net change in cash' line on the cash flow statement</t>
  </si>
  <si>
    <t>Grow in-line with revenue growth</t>
  </si>
  <si>
    <t>Grow in-line with cost of sales growth</t>
  </si>
  <si>
    <t>Property, plant &amp; equipment</t>
  </si>
  <si>
    <t>Reference from PP&amp;E schedule</t>
  </si>
  <si>
    <t>Other non current assets</t>
  </si>
  <si>
    <t>Other current liabilities</t>
  </si>
  <si>
    <t>Deferred revenue (current)</t>
  </si>
  <si>
    <t>Commercial paper / revolver</t>
  </si>
  <si>
    <t>Reference EOP balance from CP/revolver schedule</t>
  </si>
  <si>
    <t>Long term debt (includes current portion)</t>
  </si>
  <si>
    <t>Other non current liabilities</t>
  </si>
  <si>
    <t>Total liabilities</t>
  </si>
  <si>
    <t>Increase by stock-based compensation forecasted in the I/S section</t>
  </si>
  <si>
    <t xml:space="preserve">Retained earnings </t>
  </si>
  <si>
    <t>Reference from Retained Earnings schedule</t>
  </si>
  <si>
    <t>Other comprehensive income</t>
  </si>
  <si>
    <t>Total equity</t>
  </si>
  <si>
    <t>Balance check</t>
  </si>
  <si>
    <t>Reference from the I/S</t>
  </si>
  <si>
    <t>Decreases / (Increases) in working capital assets</t>
  </si>
  <si>
    <t>Increases / (Decreases) in working capital liabilities</t>
  </si>
  <si>
    <t>Reference from schedule NOT the B/S: Only include 'Additions' (as outflow)</t>
  </si>
  <si>
    <t>Capital expenditures</t>
  </si>
  <si>
    <t>Long term debt</t>
  </si>
  <si>
    <t>Commercial paper/ Revolver</t>
  </si>
  <si>
    <t>Reference from B/S</t>
  </si>
  <si>
    <t>Share repurchases</t>
  </si>
  <si>
    <t>Common dividends</t>
  </si>
  <si>
    <t>Net change in cash during period</t>
  </si>
  <si>
    <t>PROPERTY, PLANT &amp; EQUIPMENT</t>
  </si>
  <si>
    <t>Forecast</t>
  </si>
  <si>
    <t>Beginning of period</t>
  </si>
  <si>
    <t xml:space="preserve">BOP = Previous year EOP </t>
  </si>
  <si>
    <t>Plus: Capital expenditures</t>
  </si>
  <si>
    <t>First two years - consensus estimates, then grow with revenue</t>
  </si>
  <si>
    <t>Less: Depreciation</t>
  </si>
  <si>
    <t>Capex x 'D&amp;A related to PP&amp;E as a % of capex' ratio (below)</t>
  </si>
  <si>
    <t>End of period</t>
  </si>
  <si>
    <t>BOP + Capex - Depreciation</t>
  </si>
  <si>
    <t>D&amp;A related to PP&amp;E as a % of capex</t>
  </si>
  <si>
    <t>Revenue x 'as % of revenue' assumption</t>
  </si>
  <si>
    <t>as % of revenue</t>
  </si>
  <si>
    <t xml:space="preserve">Depreciation &amp; Amortization - Total </t>
  </si>
  <si>
    <t>D&amp;A from PP&amp;E + D&amp;A not from PP&amp;E</t>
  </si>
  <si>
    <t>OTHER NON-CURRENT ASSETS</t>
  </si>
  <si>
    <t>Less: Amortization of intangible assets</t>
  </si>
  <si>
    <t xml:space="preserve">Assume all D&amp;A not from PP&amp;E is in non-current assets </t>
  </si>
  <si>
    <t xml:space="preserve">Plus: Additions </t>
  </si>
  <si>
    <t>Referenced from balance sheet</t>
  </si>
  <si>
    <t>RETAINED EARNINGS</t>
  </si>
  <si>
    <t>Plus: Net income</t>
  </si>
  <si>
    <t>Reference from income statement</t>
  </si>
  <si>
    <t>Less: Dividends</t>
  </si>
  <si>
    <t>Less: Repurchases</t>
  </si>
  <si>
    <t>BOP + net income - dividends - repurchases</t>
  </si>
  <si>
    <t>REVOLVER (MODEL PLUG)</t>
  </si>
  <si>
    <t>Revolver needs analysis</t>
  </si>
  <si>
    <t>Cash at beginning of period (BOP)</t>
  </si>
  <si>
    <t>Reference prior period EOP from B/S</t>
  </si>
  <si>
    <t>Less: Minimum cash balance</t>
  </si>
  <si>
    <t>Plus: Free cash flows generated during period</t>
  </si>
  <si>
    <t>Equals: Cash available (needed) to pay down (draw from) revolver</t>
  </si>
  <si>
    <t>Commercial paper / Revolver</t>
  </si>
  <si>
    <t>Draw / (paydown)</t>
  </si>
  <si>
    <t xml:space="preserve">Cash (paydown) / additional borrowing from revolver. Paydown not to exceed BOP balance. </t>
  </si>
  <si>
    <t>Discretionary borrowing / (paydown)</t>
  </si>
  <si>
    <t>Debt balance:</t>
  </si>
  <si>
    <t>INTEREST EXPENSE AND INTEREST INCOME</t>
  </si>
  <si>
    <t>Total interest expense (from I/S)</t>
  </si>
  <si>
    <t>Interest expense from revolver/CP + interest expense from long term debt</t>
  </si>
  <si>
    <t>Commercial Paper / Revolver</t>
  </si>
  <si>
    <t>Weighted average interest rate</t>
  </si>
  <si>
    <t>End of period balance (from B/S)</t>
  </si>
  <si>
    <t>Reference from revolver / CP schedule above</t>
  </si>
  <si>
    <t>Interest expense</t>
  </si>
  <si>
    <t>Interest rate x average of BOP &amp; EOP revolver balances (circularity)</t>
  </si>
  <si>
    <t xml:space="preserve">Interest expense </t>
  </si>
  <si>
    <t>Interest rate x average of BOP &amp; EOP LTD balances</t>
  </si>
  <si>
    <t>Interest rate on cash</t>
  </si>
  <si>
    <t>Weighted average interest rate on cash</t>
  </si>
  <si>
    <t>Interest rate x average of BOP &amp; EOP cash balances (circularity)</t>
  </si>
  <si>
    <t>EARNINGS PER SHARE</t>
  </si>
  <si>
    <t>Reference from I/S</t>
  </si>
  <si>
    <t xml:space="preserve">Basic shares </t>
  </si>
  <si>
    <t>Last period basic shares + ($ shares issued - $ shares repurchased)/Current period average share price OR reference average Basic shares from schedule below</t>
  </si>
  <si>
    <t>Net income / Basic shares</t>
  </si>
  <si>
    <t>Diluted Shares</t>
  </si>
  <si>
    <t>Basic shares + Dilutive securities</t>
  </si>
  <si>
    <t>Net income/Diluted Shares</t>
  </si>
  <si>
    <t>$ amount of shares repurchased</t>
  </si>
  <si>
    <t>Reference from RE schedule - treasury repurchases (flip sign)</t>
  </si>
  <si>
    <t>$ amount of new shares issued</t>
  </si>
  <si>
    <t xml:space="preserve">Reference SBC from I/S </t>
  </si>
  <si>
    <t>Average share price</t>
  </si>
  <si>
    <t>Last period share price x (1+growth rate)</t>
  </si>
  <si>
    <t>Share price increase</t>
  </si>
  <si>
    <t>Optional analysis for calculating weighted average basic shares</t>
  </si>
  <si>
    <t>Basic Shares - BOP</t>
  </si>
  <si>
    <t>Reference from latest share count &gt;</t>
  </si>
  <si>
    <t xml:space="preserve">Link to prior year Basic shares - EOP </t>
  </si>
  <si>
    <t>Net change in basic shares</t>
  </si>
  <si>
    <t xml:space="preserve"> ($ shares issued - $ shares repurchased)/Current period average share price</t>
  </si>
  <si>
    <t>Basic shares - EOP</t>
  </si>
  <si>
    <t>Basic Shares - BOP + Net change in basic shares</t>
  </si>
  <si>
    <t>Basic shares - average</t>
  </si>
  <si>
    <t>Average(Basic Shares BOP,Basic Shares EOP)</t>
  </si>
  <si>
    <t>SCENARIO ANALYSIS</t>
  </si>
  <si>
    <t>Active case:</t>
  </si>
  <si>
    <t xml:space="preserve">Variance from </t>
  </si>
  <si>
    <t>base case</t>
  </si>
  <si>
    <t>Best case</t>
  </si>
  <si>
    <t>NM</t>
  </si>
  <si>
    <t>Weak case</t>
  </si>
  <si>
    <r>
      <t xml:space="preserve">D&amp;A </t>
    </r>
    <r>
      <rPr>
        <u/>
        <sz val="9"/>
        <color theme="1"/>
        <rFont val="Calibri"/>
        <family val="2"/>
      </rPr>
      <t>not</t>
    </r>
    <r>
      <rPr>
        <sz val="9"/>
        <color theme="1"/>
        <rFont val="Calibri"/>
        <family val="2"/>
      </rPr>
      <t xml:space="preserve"> related to PP&amp;E</t>
    </r>
  </si>
  <si>
    <r>
      <t xml:space="preserve">CFO + CFI + CFF </t>
    </r>
    <r>
      <rPr>
        <u/>
        <sz val="9"/>
        <color theme="1"/>
        <rFont val="Calibri"/>
        <family val="2"/>
      </rPr>
      <t>except revolver</t>
    </r>
  </si>
  <si>
    <t>High</t>
  </si>
  <si>
    <t>Capital Expenditures</t>
  </si>
  <si>
    <t>Adjusted Cash Position BOP</t>
  </si>
  <si>
    <t>Adjusted Cash Position EOP</t>
  </si>
  <si>
    <t xml:space="preserve">(-) Cash Interest </t>
  </si>
  <si>
    <t>WACC Buildup</t>
  </si>
  <si>
    <t>Cost of capital assumptions</t>
  </si>
  <si>
    <t>Source</t>
  </si>
  <si>
    <t>Cost of debt</t>
  </si>
  <si>
    <t>From terminal year of UFCF forecast</t>
  </si>
  <si>
    <t>Cost of debt (after tax)</t>
  </si>
  <si>
    <t>Cost of debt x (1 - tax rate)</t>
  </si>
  <si>
    <t xml:space="preserve">Risk free rate </t>
  </si>
  <si>
    <t>WSJ: 10 Year US Treasury Yield</t>
  </si>
  <si>
    <t>Bloomberg 2 year weekly adjusted beta</t>
  </si>
  <si>
    <t>Market risk premium</t>
  </si>
  <si>
    <t>Cost of equity</t>
  </si>
  <si>
    <t>RfR + Beta x MRP</t>
  </si>
  <si>
    <t>Capital weights (capital structure)</t>
  </si>
  <si>
    <t xml:space="preserve">Target </t>
  </si>
  <si>
    <t xml:space="preserve">Current </t>
  </si>
  <si>
    <t>(override)</t>
  </si>
  <si>
    <t>% of total</t>
  </si>
  <si>
    <t>Equity</t>
  </si>
  <si>
    <t>Cost of capital (WACC)</t>
  </si>
  <si>
    <t>WACC sensitivity to MRP and Beta</t>
  </si>
  <si>
    <t>Market</t>
  </si>
  <si>
    <t>Risk</t>
  </si>
  <si>
    <t>Premium</t>
  </si>
  <si>
    <t>Select Beta for model</t>
  </si>
  <si>
    <t>Observed</t>
  </si>
  <si>
    <t>Industry beta</t>
  </si>
  <si>
    <t>From schedule below</t>
  </si>
  <si>
    <t>Share price</t>
  </si>
  <si>
    <t>Dil. shares</t>
  </si>
  <si>
    <t>Market cap</t>
  </si>
  <si>
    <t>Industry average delevered beta</t>
  </si>
  <si>
    <t>Observed b</t>
  </si>
  <si>
    <t>Delev. b</t>
  </si>
  <si>
    <t>Shares - Options and Convertibles</t>
  </si>
  <si>
    <t>Current share price</t>
  </si>
  <si>
    <t xml:space="preserve">Stock options - Treasury stock method </t>
  </si>
  <si>
    <t>Outstanding</t>
  </si>
  <si>
    <t xml:space="preserve">Exercise </t>
  </si>
  <si>
    <t>In-the-$</t>
  </si>
  <si>
    <t>options</t>
  </si>
  <si>
    <t>price</t>
  </si>
  <si>
    <t>Tranche 1</t>
  </si>
  <si>
    <t>Tranche 2</t>
  </si>
  <si>
    <t>Tranche 3</t>
  </si>
  <si>
    <t>Tranche 4</t>
  </si>
  <si>
    <t>Tranche 5</t>
  </si>
  <si>
    <t>Tranche 6</t>
  </si>
  <si>
    <t>Tranche 7</t>
  </si>
  <si>
    <t>Total</t>
  </si>
  <si>
    <t>Total proceeds ($mm)</t>
  </si>
  <si>
    <t>Total shares repurchased (mm)</t>
  </si>
  <si>
    <t>Net dilutive impact of stock options</t>
  </si>
  <si>
    <t>Convertible securities "if-converted" test</t>
  </si>
  <si>
    <t>Convertible Debt</t>
  </si>
  <si>
    <t xml:space="preserve">Principal Outstanding </t>
  </si>
  <si>
    <t>Each $1,000 in principal convertible into (Conversion ratio)</t>
  </si>
  <si>
    <t>Conversion price</t>
  </si>
  <si>
    <t>Common shares convertible into</t>
  </si>
  <si>
    <t>Dilutive impact of convertible securities</t>
  </si>
  <si>
    <t>Elimination of liability from net debt</t>
  </si>
  <si>
    <t>Convertible Preferred Stock</t>
  </si>
  <si>
    <t>Convertible Preferred Par Value</t>
  </si>
  <si>
    <t>Preferred shares outstanding</t>
  </si>
  <si>
    <t>Conversion ratio</t>
  </si>
  <si>
    <t>Discounted Cash Flow Valuation</t>
  </si>
  <si>
    <t>Most recent fiscal year end</t>
  </si>
  <si>
    <t>Discount rate (WACC)</t>
  </si>
  <si>
    <t>Link from WACC</t>
  </si>
  <si>
    <t>End of first fiscal year</t>
  </si>
  <si>
    <t>Share price (Public Co)</t>
  </si>
  <si>
    <t>Source: CIQ</t>
  </si>
  <si>
    <t>Most recent quarter end date</t>
  </si>
  <si>
    <t>Share price date</t>
  </si>
  <si>
    <t xml:space="preserve">Valuation date </t>
  </si>
  <si>
    <t>Midyear adjustment?</t>
  </si>
  <si>
    <t>Portion of First Year Cash Flows</t>
  </si>
  <si>
    <t>Case active:</t>
  </si>
  <si>
    <t>Unlevered Free Cash Flows</t>
  </si>
  <si>
    <t>Actual</t>
  </si>
  <si>
    <t>Forecasts</t>
  </si>
  <si>
    <t>Fiscal year ended</t>
  </si>
  <si>
    <t>% growth</t>
  </si>
  <si>
    <t>% margin</t>
  </si>
  <si>
    <t>Tax on EBIT</t>
  </si>
  <si>
    <t>NOPAT (aka EBIAT)</t>
  </si>
  <si>
    <t>Changes in net working capital</t>
  </si>
  <si>
    <t>Unlevered free cash flows (UFCF)</t>
  </si>
  <si>
    <t>Net working capital (WC Assets - WC liabilities)</t>
  </si>
  <si>
    <t>Val date</t>
  </si>
  <si>
    <t xml:space="preserve">Yr 1 - Stub </t>
  </si>
  <si>
    <t>Year 2</t>
  </si>
  <si>
    <t>Year 3</t>
  </si>
  <si>
    <t>Year 4</t>
  </si>
  <si>
    <t>Year 5</t>
  </si>
  <si>
    <t>Date for discounting cash flows</t>
  </si>
  <si>
    <t>Unlevered free cash flows (UFCF) stub adjusted</t>
  </si>
  <si>
    <t>&lt;-Stub year counts first year cash flows starting at the valuation date</t>
  </si>
  <si>
    <t>Present value of of unlevered free cash flows</t>
  </si>
  <si>
    <t>Terminal value - growth in perpetuity approach</t>
  </si>
  <si>
    <t>Terminal value - EBITDA multiple approach</t>
  </si>
  <si>
    <t>Long term growth rate</t>
  </si>
  <si>
    <t>Terminal year EBITDA</t>
  </si>
  <si>
    <t>EBITDA multiple</t>
  </si>
  <si>
    <t>Present value of terminal value</t>
  </si>
  <si>
    <t>Present value of stage 1 cash flows</t>
  </si>
  <si>
    <t>Total enterprise value (TEV)</t>
  </si>
  <si>
    <t>Enterprise value (stage 1 + 2)</t>
  </si>
  <si>
    <t>Terminal value as % of TEV</t>
  </si>
  <si>
    <t>Stage 1 cash flows as % of TEV</t>
  </si>
  <si>
    <t>Cash flows as % of TEV</t>
  </si>
  <si>
    <t>Implied TV exit EBITDA multiple</t>
  </si>
  <si>
    <t>Implied terminal growth rate</t>
  </si>
  <si>
    <t>Net debt</t>
  </si>
  <si>
    <t>Shares outstanding</t>
  </si>
  <si>
    <t>Source doc</t>
  </si>
  <si>
    <t>Source date</t>
  </si>
  <si>
    <t>Date</t>
  </si>
  <si>
    <t>Shares</t>
  </si>
  <si>
    <t>Gross debt and equivalents</t>
  </si>
  <si>
    <t>Restricted stock / RSUs</t>
  </si>
  <si>
    <t>Convertible debt</t>
  </si>
  <si>
    <t>Options / warrants</t>
  </si>
  <si>
    <t>Preferred stock</t>
  </si>
  <si>
    <t>Noncontrolling (minority) interests</t>
  </si>
  <si>
    <t>Convertible preferred stock</t>
  </si>
  <si>
    <t>Nonoperating assets</t>
  </si>
  <si>
    <t>Net diluted shares outstanding</t>
  </si>
  <si>
    <t xml:space="preserve">Cash </t>
  </si>
  <si>
    <t xml:space="preserve">Equity investments </t>
  </si>
  <si>
    <t>Valuation</t>
  </si>
  <si>
    <t>Enterprise value</t>
  </si>
  <si>
    <t xml:space="preserve">Equity value </t>
  </si>
  <si>
    <t>Equity value per share</t>
  </si>
  <si>
    <t>Last twelve months (LTM)</t>
  </si>
  <si>
    <t>EV / Revenue</t>
  </si>
  <si>
    <t xml:space="preserve">EV / EBITDA </t>
  </si>
  <si>
    <t>EV / EBIT</t>
  </si>
  <si>
    <t>Year 1</t>
  </si>
  <si>
    <t>Outputs</t>
  </si>
  <si>
    <t>LTM EBITDA multiple</t>
  </si>
  <si>
    <t>Long term growth rate (g):</t>
  </si>
  <si>
    <t>WACC:</t>
  </si>
  <si>
    <t xml:space="preserve">Data </t>
  </si>
  <si>
    <t>Tables</t>
  </si>
  <si>
    <t>Exit EBITDA Multiple</t>
  </si>
  <si>
    <t>Equity value range</t>
  </si>
  <si>
    <t>Football field</t>
  </si>
  <si>
    <t>Low</t>
  </si>
  <si>
    <t>Diff.</t>
  </si>
  <si>
    <t>52 Week Market High/Low</t>
  </si>
  <si>
    <t>$ mm except per share</t>
  </si>
  <si>
    <t>Actuals</t>
  </si>
  <si>
    <t>Commentary</t>
  </si>
  <si>
    <t>Income Statement</t>
  </si>
  <si>
    <t xml:space="preserve">Balance Sheet </t>
  </si>
  <si>
    <t>Cash from Operating Activities</t>
  </si>
  <si>
    <t>Cash from Investing Activities</t>
  </si>
  <si>
    <t>Cash from Financing Activities</t>
  </si>
  <si>
    <t>Supporting Schedules</t>
  </si>
  <si>
    <t>3-Statement Model</t>
  </si>
  <si>
    <t>Historical Financials</t>
  </si>
  <si>
    <t>Fiscal Period</t>
  </si>
  <si>
    <t>Fiscal Period End Date</t>
  </si>
  <si>
    <t>TOTAL DEPRECIATION &amp; AMORTIZATION</t>
  </si>
  <si>
    <t xml:space="preserve">$ and shares in millions, except per share data </t>
  </si>
  <si>
    <t>Margin (%)</t>
  </si>
  <si>
    <t xml:space="preserve">Other expense, net </t>
  </si>
  <si>
    <t xml:space="preserve">Cost of Sales </t>
  </si>
  <si>
    <t xml:space="preserve">Taxes </t>
  </si>
  <si>
    <t>Consensus</t>
  </si>
  <si>
    <t>Interest Income</t>
  </si>
  <si>
    <t>D&amp;A</t>
  </si>
  <si>
    <t>SBC</t>
  </si>
  <si>
    <t>As of 3Q25 (period ended x/xx/xx)</t>
  </si>
  <si>
    <t>Selling, General &amp; Administrative (SG&amp;A)</t>
  </si>
  <si>
    <t>Research &amp; Development (R&amp;D)</t>
  </si>
  <si>
    <t>D&amp;A related to PP&amp;E as a % of capex Step-Up</t>
  </si>
  <si>
    <t>Interest Expense</t>
  </si>
  <si>
    <t>Operating Profit</t>
  </si>
  <si>
    <t>Earning Before Taxes</t>
  </si>
  <si>
    <t>EBT Margin (%)</t>
  </si>
  <si>
    <t>Cash and Cash Equivalents</t>
  </si>
  <si>
    <t>Accounts Receivables</t>
  </si>
  <si>
    <t>Current Assets</t>
  </si>
  <si>
    <t>Non-Current Assets</t>
  </si>
  <si>
    <t>Accrued Expenses and Other Current Liabilities</t>
  </si>
  <si>
    <t>Non-Current Liabilities</t>
  </si>
  <si>
    <t>Beyond Meat, Inc.</t>
  </si>
  <si>
    <t>Foodservice</t>
  </si>
  <si>
    <t>straight-line</t>
  </si>
  <si>
    <t xml:space="preserve">Consensus estimates </t>
  </si>
  <si>
    <t>grow SBC in-line with revenue growth</t>
  </si>
  <si>
    <t>Reference from interest on cash schedule</t>
  </si>
  <si>
    <t xml:space="preserve">Straight line last historical % of revenue </t>
  </si>
  <si>
    <t>plug: EOP - D&amp;A not from PP&amp;E - BOP</t>
  </si>
  <si>
    <t>Hold last historical year's dividend payout ratio constant</t>
  </si>
  <si>
    <t>Straight-line last historical year repurchases</t>
  </si>
  <si>
    <t>assumption</t>
  </si>
  <si>
    <t>grow with net income growth rate (calculated below)</t>
  </si>
  <si>
    <t>TBD</t>
  </si>
  <si>
    <t>Market risk premium from D&amp;P - TBD</t>
  </si>
  <si>
    <t>Restructuring Charges &amp; Other Impairments</t>
  </si>
  <si>
    <t>Unrestricted Cash BOP</t>
  </si>
  <si>
    <t>BOP FX Adjustment</t>
  </si>
  <si>
    <t>EOP FX Adjustment</t>
  </si>
  <si>
    <t>Depreciation &amp; Amortization (D&amp;A)</t>
  </si>
  <si>
    <t>Stock-Based Compensation (SBC)</t>
  </si>
  <si>
    <t>straight line</t>
  </si>
  <si>
    <t>Sales and Marketing (S&amp;M)</t>
  </si>
  <si>
    <t>General and Administrative (G&amp;A)</t>
  </si>
  <si>
    <t xml:space="preserve">Interest Income </t>
  </si>
  <si>
    <t>Other Current Assets</t>
  </si>
  <si>
    <t>Goodwill</t>
  </si>
  <si>
    <t>Other non-current assets</t>
  </si>
  <si>
    <t>Operating lease assets</t>
  </si>
  <si>
    <t>Property and equipment, net</t>
  </si>
  <si>
    <t>Deferred income taxes</t>
  </si>
  <si>
    <t>Non-marketable securities</t>
  </si>
  <si>
    <t>Accrued revenue share</t>
  </si>
  <si>
    <t>Other long-term liabilities</t>
  </si>
  <si>
    <t>Income taxes payable, non-current</t>
  </si>
  <si>
    <t>Preferred Stock</t>
  </si>
  <si>
    <t>Retained earnings</t>
  </si>
  <si>
    <t>Accumulated other comprehensive income (loss)</t>
  </si>
  <si>
    <t>Depreciation of property and equipment</t>
  </si>
  <si>
    <t>Stock-based Compensation Expense</t>
  </si>
  <si>
    <t>Loss (gain) on debt and equity securities, net</t>
  </si>
  <si>
    <t>Other</t>
  </si>
  <si>
    <t xml:space="preserve">Accounts receivable, net	</t>
  </si>
  <si>
    <t>Income taxes, net</t>
  </si>
  <si>
    <t>Other assets</t>
  </si>
  <si>
    <t xml:space="preserve">Accounts payable	</t>
  </si>
  <si>
    <t xml:space="preserve">Accrued expenses and other liabilities	</t>
  </si>
  <si>
    <t>Deferred revenue</t>
  </si>
  <si>
    <t>Acquisitions, net of cash acquired, and purchases of intangible assets</t>
  </si>
  <si>
    <t>Purchases of property and equipment</t>
  </si>
  <si>
    <t>Proceeds from sale of interest in consolidated entities, net</t>
  </si>
  <si>
    <t>Dividend payments</t>
  </si>
  <si>
    <t>Repurchases of stock</t>
  </si>
  <si>
    <t>Net payments related to stock-based award activities</t>
  </si>
  <si>
    <t>Disaggregated Revenues</t>
  </si>
  <si>
    <t xml:space="preserve">Google Network	</t>
  </si>
  <si>
    <t>Google subscriptions, platforms, and devices</t>
  </si>
  <si>
    <t xml:space="preserve">Google Cloud	</t>
  </si>
  <si>
    <t>Other Bets</t>
  </si>
  <si>
    <t xml:space="preserve">Hedging gains (losses)	</t>
  </si>
  <si>
    <t>Total Google Services Revenue</t>
  </si>
  <si>
    <t>Offerings Drivers</t>
  </si>
  <si>
    <t>Common Stock &amp; Additional Paid in Capital</t>
  </si>
  <si>
    <t>Cash paid for income taxes, net of refunds</t>
  </si>
  <si>
    <t>1) xxx</t>
  </si>
  <si>
    <t>Accrued Revenue Share</t>
  </si>
  <si>
    <t>Accrued Compensation and Benefits</t>
  </si>
  <si>
    <t>Long-Term Debt</t>
  </si>
  <si>
    <t>Variance Check</t>
  </si>
  <si>
    <t>Deferred Revenue, Current</t>
  </si>
  <si>
    <t>EPS Build-Up</t>
  </si>
  <si>
    <t>Class A</t>
  </si>
  <si>
    <t>Class B</t>
  </si>
  <si>
    <t>Class C</t>
  </si>
  <si>
    <t>Allocation of undistributed earnings</t>
  </si>
  <si>
    <t>($ in Bns, Including Shares)</t>
  </si>
  <si>
    <t>Net Income Per Share</t>
  </si>
  <si>
    <t>Fully Diluted EPS</t>
  </si>
  <si>
    <t>Number of shares used in basic computation</t>
  </si>
  <si>
    <t xml:space="preserve">Conversion of Class B to Class A common shares outstanding	</t>
  </si>
  <si>
    <t>Basic EPS Per Share Class</t>
  </si>
  <si>
    <t>Fully Diluted EPS Per Share Class</t>
  </si>
  <si>
    <t xml:space="preserve">Consolidated Basic EPS </t>
  </si>
  <si>
    <t>Consolidated Basic Shares</t>
  </si>
  <si>
    <t>Consolidated Allocation of undistributed earnings</t>
  </si>
  <si>
    <t>Class A Basic EPS</t>
  </si>
  <si>
    <t>Class B Basic EPS</t>
  </si>
  <si>
    <t>Class C Basic EPS</t>
  </si>
  <si>
    <t>Consolidated Basic EPS</t>
  </si>
  <si>
    <t xml:space="preserve">Consolidated Fully Diluted EPS </t>
  </si>
  <si>
    <t>Consolidated Fully Diluted Shares</t>
  </si>
  <si>
    <t>Basic Shares</t>
  </si>
  <si>
    <t>RSUs and other contingently issuable shares</t>
  </si>
  <si>
    <t>Stock Split Converter</t>
  </si>
  <si>
    <t>Adjusted RSUs and other contingently issuable shares</t>
  </si>
  <si>
    <t>Unadjusted Basic Shares</t>
  </si>
  <si>
    <t>Stock Split Adjusted Basic Shares</t>
  </si>
  <si>
    <t>Stock Split Amount</t>
  </si>
  <si>
    <t>Stock Split End Period</t>
  </si>
  <si>
    <t>YouTube ads</t>
  </si>
  <si>
    <t>Other Income/Gains (Expenses/Losses)</t>
  </si>
  <si>
    <t>Cash Position Variance Check</t>
  </si>
  <si>
    <t>(-) Research &amp; Development (R&amp;D)</t>
  </si>
  <si>
    <t>(-) Sales and Marketing (S&amp;M)</t>
  </si>
  <si>
    <t>(-) General and Administrative (G&amp;A)</t>
  </si>
  <si>
    <t>Marketable Securities</t>
  </si>
  <si>
    <t>Operating Lease Liabilities</t>
  </si>
  <si>
    <t>(+/-) Proceeds / (Purchases) of Marketable Securities</t>
  </si>
  <si>
    <t>Proceeds / (Purchases) of Marketable Securities</t>
  </si>
  <si>
    <t>Proceeds / (Purchases) of Non-Marketable Securities</t>
  </si>
  <si>
    <t>Issuance / (Repayment) of Debt, net</t>
  </si>
  <si>
    <t>(+/-) Proceeds / (Purchases) of Non-Marketable Securities</t>
  </si>
  <si>
    <t>(+/-) Divestiture / Acquisitions</t>
  </si>
  <si>
    <t>(-) Share Repurchases</t>
  </si>
  <si>
    <t>(-) Dividend Payments</t>
  </si>
  <si>
    <t>Other investing activities</t>
  </si>
  <si>
    <t>(+/-) Other Investing Activities</t>
  </si>
  <si>
    <t>(+/-) Other Operating Activities</t>
  </si>
  <si>
    <t>$10Bn RCF due April 2025, April 2028 (CP Backstop)</t>
  </si>
  <si>
    <t>LTM Total Leverage</t>
  </si>
  <si>
    <t>LTM Net Leverage</t>
  </si>
  <si>
    <t xml:space="preserve">LTM Interest Coverage </t>
  </si>
  <si>
    <t>LTM Debt Service Coverage</t>
  </si>
  <si>
    <t>LTM Fixed Charge Coverage</t>
  </si>
  <si>
    <t>GOOG</t>
  </si>
  <si>
    <t>CAGR</t>
  </si>
  <si>
    <t>Street Outlook</t>
  </si>
  <si>
    <t>5-Year(A)</t>
  </si>
  <si>
    <t>5-Year(F)</t>
  </si>
  <si>
    <t xml:space="preserve">Cost of sales </t>
  </si>
  <si>
    <t>Depreciation &amp; Amortization</t>
  </si>
  <si>
    <t>Stock Based Compensation</t>
  </si>
  <si>
    <t>BofA</t>
  </si>
  <si>
    <t>Tax Rate</t>
  </si>
  <si>
    <t>Total Advertising Revenue</t>
  </si>
  <si>
    <t>BNP Paribas</t>
  </si>
  <si>
    <t>Google Search &amp; Other</t>
  </si>
  <si>
    <t xml:space="preserve">Y/Y Growth </t>
  </si>
  <si>
    <t>Google Network</t>
  </si>
  <si>
    <t>Itabba</t>
  </si>
  <si>
    <t>Subscriptions, platf, and devices</t>
  </si>
  <si>
    <t>Cloud</t>
  </si>
  <si>
    <t>Operating Expenses</t>
  </si>
  <si>
    <t>TD Cowen</t>
  </si>
  <si>
    <t>Other Drivers</t>
  </si>
  <si>
    <t>Capex</t>
  </si>
  <si>
    <t>EBIT Margin</t>
  </si>
  <si>
    <t>Revenue Segment Drivers</t>
  </si>
  <si>
    <t>Revenue Consensus</t>
  </si>
  <si>
    <t>% of Revenue</t>
  </si>
  <si>
    <t>Gross profit</t>
  </si>
  <si>
    <t>% Margin</t>
  </si>
  <si>
    <t>BofA Estimate</t>
  </si>
  <si>
    <t>Median</t>
  </si>
  <si>
    <t>Average</t>
  </si>
  <si>
    <t>Margins</t>
  </si>
  <si>
    <t>Gross Margin</t>
  </si>
  <si>
    <t>R&amp;D as a % of Sales</t>
  </si>
  <si>
    <t>S&amp;M as a % of Sales</t>
  </si>
  <si>
    <t>G&amp;A as a % of Sales</t>
  </si>
  <si>
    <t xml:space="preserve">% of Sales </t>
  </si>
  <si>
    <t>EBITDA Margin</t>
  </si>
  <si>
    <t>Adj. EBITDA Margin</t>
  </si>
  <si>
    <t>D&amp;A as a % of Sales</t>
  </si>
  <si>
    <t>SBC as a % of Sales</t>
  </si>
  <si>
    <t>Consensus Estimate</t>
  </si>
  <si>
    <t>Alphabet Inc</t>
  </si>
  <si>
    <t>Stockholders' Equity</t>
  </si>
  <si>
    <t>Total Stockholders' Equity</t>
  </si>
  <si>
    <t>straight-Line</t>
  </si>
  <si>
    <t>Growth Assumption: Grow in-line with revenue</t>
  </si>
  <si>
    <t>Consolidated Revenue growth</t>
  </si>
  <si>
    <t>Net Change in Cash Position</t>
  </si>
  <si>
    <t>Beginning of period (BOP)</t>
  </si>
  <si>
    <t>End of period (EOP)</t>
  </si>
  <si>
    <t>Capex x 'D&amp;A related to PP&amp;E as a % of capex</t>
  </si>
  <si>
    <t>Straight line last historical % of revenue - WSP assumption</t>
  </si>
  <si>
    <t>Straight-Line</t>
  </si>
  <si>
    <t>Depreciation Waterfall</t>
  </si>
  <si>
    <t>Existing PP&amp;E</t>
  </si>
  <si>
    <t>Gross PP&amp;E</t>
  </si>
  <si>
    <t>Non-depreciable PP&amp;E (i.e. land)</t>
  </si>
  <si>
    <t>Accumulated Depreciation</t>
  </si>
  <si>
    <t>Net PP&amp;E (Excl. Land)</t>
  </si>
  <si>
    <t>Average Useful Life</t>
  </si>
  <si>
    <t>Override - If necessary for smoothing</t>
  </si>
  <si>
    <t>Klarna Group plc (KLAR)</t>
  </si>
  <si>
    <t xml:space="preserve">Transaction and service revenue	</t>
  </si>
  <si>
    <t xml:space="preserve">Interest income	</t>
  </si>
  <si>
    <t>Processing and servicing costs</t>
  </si>
  <si>
    <t>Consumer credit losses</t>
  </si>
  <si>
    <t>Funding costs</t>
  </si>
  <si>
    <t>Technology and product development</t>
  </si>
  <si>
    <t>Customer service and operations</t>
  </si>
  <si>
    <t>Depreciation, amortization and impairments</t>
  </si>
  <si>
    <t>Other income (expense)</t>
  </si>
  <si>
    <t>KPIs</t>
  </si>
  <si>
    <t>Total GMW</t>
  </si>
  <si>
    <t>Number of Active Klarna Consumers</t>
  </si>
  <si>
    <t>ARPAC</t>
  </si>
  <si>
    <t>Transaction Margin Dollars</t>
  </si>
  <si>
    <t>Merchant checkout</t>
  </si>
  <si>
    <t>Direct-to-consumer</t>
  </si>
  <si>
    <t>Pay in Full (%)</t>
  </si>
  <si>
    <t>Pay Later (%)</t>
  </si>
  <si>
    <t>Fair Financing (%)</t>
  </si>
  <si>
    <t xml:space="preserve">Pay in Full </t>
  </si>
  <si>
    <t xml:space="preserve">Fair Financing </t>
  </si>
  <si>
    <t xml:space="preserve">Pay Later </t>
  </si>
  <si>
    <t>GMV Per Payment Structure</t>
  </si>
  <si>
    <t>GMV Per Channel</t>
  </si>
  <si>
    <t>Transaction and Service Revenue</t>
  </si>
  <si>
    <t>Merchant Revenue (%)</t>
  </si>
  <si>
    <t>Advertising Revenue (%)</t>
  </si>
  <si>
    <t>Consumer Service Revenue (%)</t>
  </si>
  <si>
    <t xml:space="preserve">Merchant Revenue </t>
  </si>
  <si>
    <t xml:space="preserve">Advertising Revenue </t>
  </si>
  <si>
    <t xml:space="preserve">Consumer Service Revenue </t>
  </si>
  <si>
    <t>Total Transaction &amp; Service Revenue</t>
  </si>
  <si>
    <t>Intersegment Elimination</t>
  </si>
  <si>
    <t>Reminder Fees</t>
  </si>
  <si>
    <t>Other Revenues</t>
  </si>
  <si>
    <t>Other Segment Analysis</t>
  </si>
  <si>
    <t>Funding Costs</t>
  </si>
  <si>
    <t>Total Funding Costs</t>
  </si>
  <si>
    <t>Average Purchase Frequency</t>
  </si>
  <si>
    <t>Total Average Purchase Frequency</t>
  </si>
  <si>
    <t>% of Purchases by Vertical (U.S)</t>
  </si>
  <si>
    <t xml:space="preserve">Total U.S Purchases by Vertical </t>
  </si>
  <si>
    <t xml:space="preserve">Apparel &amp; Accessories </t>
  </si>
  <si>
    <t xml:space="preserve">Health &amp; Beauty </t>
  </si>
  <si>
    <t xml:space="preserve">Home &amp; Electronics </t>
  </si>
  <si>
    <t xml:space="preserve">Food &amp; Beverage </t>
  </si>
  <si>
    <t xml:space="preserve">Leisure </t>
  </si>
  <si>
    <t xml:space="preserve">Events &amp; Services </t>
  </si>
  <si>
    <t xml:space="preserve">Travel </t>
  </si>
  <si>
    <t>% of Purchases by Vertical (Germany)</t>
  </si>
  <si>
    <t xml:space="preserve">Total Germany Purchases by Vertical </t>
  </si>
  <si>
    <t>% of Purchases by Vertical (Sweden)</t>
  </si>
  <si>
    <t xml:space="preserve">Total Sweden Purchases by Vertical </t>
  </si>
  <si>
    <t>Dollar NRR</t>
  </si>
  <si>
    <t>2.250% Senior Unsecured Floating Rate Notes due 2026</t>
  </si>
  <si>
    <t>1.800% Senior Unsecured Floating Rate Notes due 2026</t>
  </si>
  <si>
    <t>2.050% Senior Unsecured Floating Rate Notes due 2027</t>
  </si>
  <si>
    <t>7.500% Tier 2 Subordinated Unsecured Floating Rate Notes due 2033</t>
  </si>
  <si>
    <t>7.000% Tier 2 Subordinated Unsecured Floating Rate Notes due 2034</t>
  </si>
  <si>
    <t>7.000% AT1 Subordinated Unsecured Floating Rate Notes</t>
  </si>
  <si>
    <t>7.500% AT1 Subordinated Unsecured Floating Rate Notes</t>
  </si>
  <si>
    <t>Debt securities</t>
  </si>
  <si>
    <t>Consumer receivables</t>
  </si>
  <si>
    <t>Settlement and trade receivables</t>
  </si>
  <si>
    <t>Property and equipment</t>
  </si>
  <si>
    <t>Intangible assets</t>
  </si>
  <si>
    <t>Deferred tax assets</t>
  </si>
  <si>
    <t>Accounts payable and accrued expenses</t>
  </si>
  <si>
    <t>Consumer deposits</t>
  </si>
  <si>
    <t>Payables to merchants</t>
  </si>
  <si>
    <t>Notes payable and other borrowings</t>
  </si>
  <si>
    <t>Deferred tax liabilities</t>
  </si>
  <si>
    <t>Other liabilities</t>
  </si>
  <si>
    <t>Share capital</t>
  </si>
  <si>
    <t>Additional paid in capital</t>
  </si>
  <si>
    <t>Other equity instruments</t>
  </si>
  <si>
    <t>Reserves</t>
  </si>
  <si>
    <t>Accumulated deficit</t>
  </si>
  <si>
    <t>Total equity excluding non-controlling interests</t>
  </si>
  <si>
    <t xml:space="preserve">Total equity </t>
  </si>
  <si>
    <t>Non-controlling interests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</si>
</sst>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1">
    <numFmt numFmtId="5" formatCode="&quot;$&quot;#,##0_);\(&quot;$&quot;#,##0\)"/>
    <numFmt numFmtId="7" formatCode="&quot;$&quot;#,##0.00_);\(&quot;$&quot;#,##0.00\)"/>
    <numFmt numFmtId="8" formatCode="&quot;$&quot;#,##0.00_);[Red]\(&quot;$&quot;#,##0.00\)"/>
    <numFmt numFmtId="41" formatCode="_(* #,##0_);_(* \(#,##0\);_(* &quot;-&quot;_);_(@_)"/>
    <numFmt numFmtId="43" formatCode="_(* #,##0.00_);_(* \(#,##0.00\);_(* &quot;-&quot;??_);_(@_)"/>
    <numFmt numFmtId="164" formatCode="_(* #,##0_);_(* \(#,##0\);_(* &quot;-&quot;??_);_(@_)"/>
    <numFmt numFmtId="165" formatCode="_(&quot;$ &quot;#,##0_);_(&quot;$ &quot;\(#,##0\)"/>
    <numFmt numFmtId="166" formatCode="0.0%"/>
    <numFmt numFmtId="167" formatCode="#,##0.0%;\(#,##0.0%\)"/>
    <numFmt numFmtId="168" formatCode="#,##0.0&quot;bps&quot;_);\(#,##0.0&quot;bps&quot;\)"/>
    <numFmt numFmtId="169" formatCode="#,##0.00&quot;bps&quot;_);\(#,##0.00&quot;bps&quot;\)"/>
    <numFmt numFmtId="170" formatCode="_(* #,##0.00&quot;x&quot;_);_(* \(#,##0.00&quot;x&quot;\);_(* &quot;-&quot;_);_(@_)"/>
    <numFmt numFmtId="171" formatCode="_(#,##0_)_%;\(#,##0\)_%;_(&quot;–&quot;_)_%;_(@_)_%"/>
    <numFmt numFmtId="172" formatCode="m/d/yy;@"/>
    <numFmt numFmtId="173" formatCode="#,##0.000_);\(#,##0.000\)"/>
    <numFmt numFmtId="174" formatCode="0\A;[Red]0\A"/>
    <numFmt numFmtId="175" formatCode="0\P_);\(0\P\)"/>
    <numFmt numFmtId="176" formatCode="0.0%_);\(0.0%\);@_)"/>
    <numFmt numFmtId="177" formatCode="_(#,##0.0%_);\(#,##0.0%\);_(&quot;–&quot;_)_%;_(@_)_%"/>
    <numFmt numFmtId="178" formatCode="0.00%_);\(0.00%\);@_)"/>
    <numFmt numFmtId="179" formatCode="_(#,##0.00%_);\(#,##0.00%\);_(&quot;–&quot;_)_%;_(@_)_%"/>
    <numFmt numFmtId="180" formatCode="0%_);\(0%\);@_)"/>
    <numFmt numFmtId="181" formatCode="#,##0.0_);\(#,##0.0\);@_)"/>
    <numFmt numFmtId="182" formatCode="0.000"/>
    <numFmt numFmtId="183" formatCode="_([$$]#,##0.00_)_%;\([$$]#,##0.00\)_%;_(&quot;–&quot;_)_%;_(@_)_%"/>
    <numFmt numFmtId="184" formatCode="_([$$]#,##0_)_%;\([$$]#,##0\)_%;_(&quot;–&quot;_)_%;_(@_)_%"/>
    <numFmt numFmtId="185" formatCode="[$$-380A]\ #,##0.00;\-[$$-380A]\ #,##0.00"/>
    <numFmt numFmtId="186" formatCode="0000\A"/>
    <numFmt numFmtId="187" formatCode="0000\P"/>
    <numFmt numFmtId="188" formatCode="#,##0_);\(#,##0\);@_)"/>
    <numFmt numFmtId="189" formatCode="0.0\x_);\(0.0\x\);@_)"/>
    <numFmt numFmtId="190" formatCode="0.000%_);\(0.000%\);@_)"/>
    <numFmt numFmtId="191" formatCode="#,##0.000_);\(#,##0.000\);@_)"/>
    <numFmt numFmtId="192" formatCode="#,##0.000"/>
    <numFmt numFmtId="193" formatCode="&quot;$&quot;#,##0.00_);\(&quot;$&quot;#,##0.00\);@_)"/>
    <numFmt numFmtId="194" formatCode="_(0.0\x_)_';_(\(0.0\x\)_';_(&quot;–&quot;_)_%;_(@_)_%"/>
    <numFmt numFmtId="195" formatCode="_(0.0_)_'_x;_(\(0.0\)_';_(&quot;–&quot;_)_%;_(@_)_%"/>
    <numFmt numFmtId="196" formatCode="#,##0.00_);\(#,##0.00\);\-_);@_)"/>
    <numFmt numFmtId="197" formatCode="#,##0.0_);\(#,##0.0\);\-_);@_)"/>
    <numFmt numFmtId="198" formatCode="General&quot;F&quot;"/>
    <numFmt numFmtId="199" formatCode="General&quot;A&quot;"/>
  </numFmts>
  <fonts count="57">
    <font>
      <sz val="11"/>
      <color theme="1"/>
      <name val="Tw Cen MT"/>
      <family val="2"/>
      <scheme val="minor"/>
    </font>
    <font>
      <sz val="11"/>
      <color theme="1"/>
      <name val="Tw Cen MT"/>
      <family val="2"/>
      <scheme val="minor"/>
    </font>
    <font>
      <b/>
      <sz val="9"/>
      <color theme="0"/>
      <name val="Calibri"/>
      <family val="2"/>
    </font>
    <font>
      <i/>
      <sz val="9"/>
      <color theme="0"/>
      <name val="Calibri"/>
      <family val="2"/>
    </font>
    <font>
      <sz val="9"/>
      <color theme="1"/>
      <name val="Calibri"/>
      <family val="2"/>
    </font>
    <font>
      <b/>
      <i/>
      <sz val="9"/>
      <color theme="0"/>
      <name val="Calibri"/>
      <family val="2"/>
    </font>
    <font>
      <sz val="9"/>
      <name val="Calibri"/>
      <family val="2"/>
    </font>
    <font>
      <i/>
      <sz val="9"/>
      <name val="Calibri"/>
      <family val="2"/>
    </font>
    <font>
      <b/>
      <sz val="9"/>
      <name val="Calibri"/>
      <family val="2"/>
    </font>
    <font>
      <b/>
      <i/>
      <sz val="9"/>
      <name val="Calibri"/>
      <family val="2"/>
    </font>
    <font>
      <i/>
      <sz val="8"/>
      <name val="Calibri"/>
      <family val="2"/>
    </font>
    <font>
      <sz val="9"/>
      <color rgb="FF0000CC"/>
      <name val="Calibri"/>
      <family val="2"/>
    </font>
    <font>
      <sz val="9"/>
      <color rgb="FF0000FF"/>
      <name val="Calibri"/>
      <family val="2"/>
    </font>
    <font>
      <sz val="8"/>
      <name val="Calibri"/>
      <family val="2"/>
    </font>
    <font>
      <sz val="8"/>
      <color theme="1"/>
      <name val="Calibri"/>
      <family val="2"/>
    </font>
    <font>
      <b/>
      <sz val="9"/>
      <color theme="1"/>
      <name val="Calibri"/>
      <family val="2"/>
    </font>
    <font>
      <i/>
      <sz val="9"/>
      <color theme="1"/>
      <name val="Calibri"/>
      <family val="2"/>
    </font>
    <font>
      <b/>
      <sz val="9"/>
      <color indexed="8"/>
      <name val="Calibri"/>
      <family val="2"/>
    </font>
    <font>
      <sz val="9"/>
      <color rgb="FF0000E1"/>
      <name val="Calibri"/>
      <family val="2"/>
    </font>
    <font>
      <sz val="10"/>
      <name val="Arial"/>
      <family val="2"/>
    </font>
    <font>
      <sz val="9"/>
      <color rgb="FFFF0000"/>
      <name val="Tw Cen MT"/>
      <family val="2"/>
      <scheme val="minor"/>
    </font>
    <font>
      <sz val="9"/>
      <color rgb="FFFF0000"/>
      <name val="Calibri"/>
      <family val="2"/>
    </font>
    <font>
      <sz val="8"/>
      <color rgb="FFFF0000"/>
      <name val="Calibri"/>
      <family val="2"/>
    </font>
    <font>
      <b/>
      <sz val="8"/>
      <color theme="1"/>
      <name val="Calibri"/>
      <family val="2"/>
    </font>
    <font>
      <i/>
      <sz val="8"/>
      <color theme="1"/>
      <name val="Calibri"/>
      <family val="2"/>
    </font>
    <font>
      <sz val="9"/>
      <color indexed="81"/>
      <name val="Tahoma"/>
      <family val="2"/>
    </font>
    <font>
      <sz val="7"/>
      <color rgb="FFFF0000"/>
      <name val="Calibri"/>
      <family val="2"/>
    </font>
    <font>
      <sz val="9"/>
      <color rgb="FF00B050"/>
      <name val="Calibri"/>
      <family val="2"/>
    </font>
    <font>
      <b/>
      <sz val="9"/>
      <color indexed="81"/>
      <name val="Tahoma"/>
      <family val="2"/>
    </font>
    <font>
      <sz val="9"/>
      <color rgb="FF008000"/>
      <name val="Calibri"/>
      <family val="2"/>
    </font>
    <font>
      <i/>
      <sz val="9"/>
      <color rgb="FF000000"/>
      <name val="Calibri"/>
      <family val="2"/>
    </font>
    <font>
      <sz val="9"/>
      <color rgb="FF000000"/>
      <name val="Calibri"/>
      <family val="2"/>
    </font>
    <font>
      <i/>
      <sz val="9"/>
      <color rgb="FF0000FF"/>
      <name val="Calibri"/>
      <family val="2"/>
    </font>
    <font>
      <b/>
      <sz val="9"/>
      <color rgb="FF000000"/>
      <name val="Calibri"/>
      <family val="2"/>
    </font>
    <font>
      <u/>
      <sz val="9"/>
      <color theme="1"/>
      <name val="Calibri"/>
      <family val="2"/>
    </font>
    <font>
      <b/>
      <u/>
      <sz val="9"/>
      <color theme="1"/>
      <name val="Calibri"/>
      <family val="2"/>
    </font>
    <font>
      <sz val="10"/>
      <name val="Arial Narrow MT"/>
      <family val="2"/>
    </font>
    <font>
      <u val="singleAccounting"/>
      <sz val="9"/>
      <color rgb="FF000000"/>
      <name val="Calibri"/>
      <family val="2"/>
    </font>
    <font>
      <u val="singleAccounting"/>
      <sz val="9"/>
      <color theme="1"/>
      <name val="Calibri"/>
      <family val="2"/>
    </font>
    <font>
      <u val="singleAccounting"/>
      <sz val="9"/>
      <color rgb="FF0000FF"/>
      <name val="Calibri"/>
      <family val="2"/>
    </font>
    <font>
      <sz val="10"/>
      <name val="Times New Roman"/>
      <family val="1"/>
    </font>
    <font>
      <u/>
      <sz val="11"/>
      <color theme="10"/>
      <name val="Tw Cen MT"/>
      <family val="2"/>
      <scheme val="minor"/>
    </font>
    <font>
      <u/>
      <sz val="9"/>
      <color theme="10"/>
      <name val="Calibri"/>
      <family val="2"/>
    </font>
    <font>
      <b/>
      <u/>
      <sz val="9"/>
      <color rgb="FF0070C0"/>
      <name val="Calibri"/>
      <family val="2"/>
    </font>
    <font>
      <b/>
      <u val="singleAccounting"/>
      <sz val="9"/>
      <color theme="1"/>
      <name val="Calibri"/>
      <family val="2"/>
    </font>
    <font>
      <sz val="9"/>
      <color theme="0"/>
      <name val="Calibri"/>
      <family val="2"/>
    </font>
    <font>
      <i/>
      <sz val="8"/>
      <color rgb="FFFF0000"/>
      <name val="Calibri"/>
      <family val="2"/>
    </font>
    <font>
      <sz val="9"/>
      <color rgb="FF00B03C"/>
      <name val="Calibri"/>
      <family val="2"/>
    </font>
    <font>
      <b/>
      <sz val="9"/>
      <color rgb="FF008000"/>
      <name val="Calibri"/>
      <family val="2"/>
    </font>
    <font>
      <b/>
      <u val="singleAccounting"/>
      <sz val="9"/>
      <color rgb="FF000000"/>
      <name val="Calibri"/>
      <family val="2"/>
    </font>
    <font>
      <i/>
      <sz val="8"/>
      <color rgb="FF0000FF"/>
      <name val="Calibri"/>
      <family val="2"/>
    </font>
    <font>
      <b/>
      <i/>
      <sz val="8"/>
      <name val="Calibri"/>
      <family val="2"/>
    </font>
    <font>
      <b/>
      <sz val="8"/>
      <color theme="0"/>
      <name val="Calibri"/>
      <family val="2"/>
    </font>
    <font>
      <i/>
      <sz val="7"/>
      <color rgb="FFFF0000"/>
      <name val="Calibri"/>
      <family val="2"/>
    </font>
    <font>
      <u/>
      <sz val="9"/>
      <name val="Calibri"/>
      <family val="2"/>
    </font>
    <font>
      <i/>
      <sz val="8"/>
      <color rgb="FF00B03C"/>
      <name val="Calibri"/>
      <family val="2"/>
    </font>
    <font>
      <i/>
      <sz val="8"/>
      <color rgb="FF0000CC"/>
      <name val="Calibri"/>
      <family val="2"/>
    </font>
  </fonts>
  <fills count="21">
    <fill>
      <patternFill patternType="none"/>
    </fill>
    <fill>
      <patternFill patternType="gray125"/>
    </fill>
    <fill>
      <patternFill patternType="solid">
        <fgColor rgb="FF002060"/>
        <bgColor indexed="64"/>
      </patternFill>
    </fill>
    <fill>
      <patternFill patternType="solid">
        <fgColor theme="3" tint="0.89999084444715716"/>
        <bgColor indexed="64"/>
      </patternFill>
    </fill>
    <fill>
      <patternFill patternType="lightGray"/>
    </fill>
    <fill>
      <patternFill patternType="solid">
        <fgColor theme="9" tint="0.79998168889431442"/>
        <bgColor indexed="64"/>
      </patternFill>
    </fill>
    <fill>
      <patternFill patternType="solid">
        <fgColor theme="3" tint="0.79998168889431442"/>
        <bgColor indexed="64"/>
      </patternFill>
    </fill>
    <fill>
      <patternFill patternType="solid">
        <fgColor theme="0" tint="-4.9989318521683403E-2"/>
        <bgColor indexed="64"/>
      </patternFill>
    </fill>
    <fill>
      <patternFill patternType="solid">
        <fgColor rgb="FFC9DAF8"/>
        <bgColor indexed="64"/>
      </patternFill>
    </fill>
    <fill>
      <patternFill patternType="solid">
        <fgColor rgb="FFC9DAF8"/>
        <bgColor rgb="FF000000"/>
      </patternFill>
    </fill>
    <fill>
      <patternFill patternType="solid">
        <fgColor rgb="FFD2F2FF"/>
        <bgColor rgb="FF000000"/>
      </patternFill>
    </fill>
    <fill>
      <patternFill patternType="solid">
        <fgColor rgb="FFCCFFFF"/>
        <bgColor indexed="64"/>
      </patternFill>
    </fill>
    <fill>
      <patternFill patternType="solid">
        <fgColor rgb="FFC0C0C0"/>
        <bgColor indexed="64"/>
      </patternFill>
    </fill>
    <fill>
      <patternFill patternType="solid">
        <fgColor theme="5" tint="0.79998168889431442"/>
        <bgColor indexed="64"/>
      </patternFill>
    </fill>
    <fill>
      <patternFill patternType="solid">
        <fgColor theme="9" tint="-0.249977111117893"/>
        <bgColor indexed="64"/>
      </patternFill>
    </fill>
    <fill>
      <patternFill patternType="solid">
        <fgColor rgb="FFC00000"/>
        <bgColor indexed="64"/>
      </patternFill>
    </fill>
    <fill>
      <patternFill patternType="solid">
        <fgColor theme="4" tint="-0.499984740745262"/>
        <bgColor indexed="64"/>
      </patternFill>
    </fill>
    <fill>
      <patternFill patternType="solid">
        <fgColor rgb="FF0E5672"/>
        <bgColor indexed="64"/>
      </patternFill>
    </fill>
    <fill>
      <patternFill patternType="solid">
        <fgColor rgb="FF487B79"/>
        <bgColor indexed="64"/>
      </patternFill>
    </fill>
    <fill>
      <patternFill patternType="solid">
        <fgColor theme="0" tint="-0.14999847407452621"/>
        <bgColor indexed="64"/>
      </patternFill>
    </fill>
    <fill>
      <patternFill patternType="gray0625"/>
    </fill>
  </fills>
  <borders count="58">
    <border>
      <left/>
      <right/>
      <top/>
      <bottom/>
      <diagonal/>
    </border>
    <border>
      <left/>
      <right/>
      <top/>
      <bottom style="medium">
        <color indexed="64"/>
      </bottom>
      <diagonal/>
    </border>
    <border>
      <left/>
      <right/>
      <top style="thin">
        <color indexed="64"/>
      </top>
      <bottom/>
      <diagonal/>
    </border>
    <border>
      <left/>
      <right/>
      <top style="medium">
        <color indexed="64"/>
      </top>
      <bottom/>
      <diagonal/>
    </border>
    <border>
      <left/>
      <right/>
      <top/>
      <bottom style="thin">
        <color theme="0"/>
      </bottom>
      <diagonal/>
    </border>
    <border>
      <left/>
      <right/>
      <top style="thin">
        <color theme="0"/>
      </top>
      <bottom/>
      <diagonal/>
    </border>
    <border>
      <left/>
      <right/>
      <top/>
      <bottom style="thin">
        <color indexed="64"/>
      </bottom>
      <diagonal/>
    </border>
    <border>
      <left style="hair">
        <color rgb="FF000000"/>
      </left>
      <right style="hair">
        <color rgb="FF000000"/>
      </right>
      <top style="hair">
        <color rgb="FF000000"/>
      </top>
      <bottom style="hair">
        <color rgb="FF000000"/>
      </bottom>
      <diagonal/>
    </border>
    <border>
      <left/>
      <right/>
      <top/>
      <bottom style="thin">
        <color rgb="FF000000"/>
      </bottom>
      <diagonal/>
    </border>
    <border>
      <left/>
      <right/>
      <top style="thin">
        <color rgb="FF000000"/>
      </top>
      <bottom/>
      <diagonal/>
    </border>
    <border>
      <left/>
      <right/>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bottom style="hair">
        <color indexed="64"/>
      </bottom>
      <diagonal/>
    </border>
    <border>
      <left style="hair">
        <color indexed="64"/>
      </left>
      <right/>
      <top/>
      <bottom style="hair">
        <color indexed="64"/>
      </bottom>
      <diagonal/>
    </border>
    <border>
      <left style="hair">
        <color indexed="64"/>
      </left>
      <right/>
      <top/>
      <bottom/>
      <diagonal/>
    </border>
    <border>
      <left/>
      <right style="hair">
        <color indexed="64"/>
      </right>
      <top/>
      <bottom/>
      <diagonal/>
    </border>
    <border>
      <left/>
      <right style="hair">
        <color indexed="64"/>
      </right>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hair">
        <color rgb="FF000000"/>
      </top>
      <bottom style="thin">
        <color rgb="FF000000"/>
      </bottom>
      <diagonal/>
    </border>
    <border>
      <left/>
      <right/>
      <top style="hair">
        <color rgb="FF000000"/>
      </top>
      <bottom style="thin">
        <color rgb="FF000000"/>
      </bottom>
      <diagonal/>
    </border>
    <border>
      <left style="hair">
        <color rgb="FF000000"/>
      </left>
      <right style="thin">
        <color rgb="FF000000"/>
      </right>
      <top/>
      <bottom/>
      <diagonal/>
    </border>
    <border>
      <left style="hair">
        <color rgb="FF000000"/>
      </left>
      <right/>
      <top/>
      <bottom/>
      <diagonal/>
    </border>
    <border>
      <left/>
      <right/>
      <top style="thin">
        <color rgb="FF000000"/>
      </top>
      <bottom style="medium">
        <color rgb="FF000000"/>
      </bottom>
      <diagonal/>
    </border>
    <border>
      <left/>
      <right style="hair">
        <color rgb="FF000000"/>
      </right>
      <top/>
      <bottom/>
      <diagonal/>
    </border>
    <border>
      <left style="hair">
        <color rgb="FF000000"/>
      </left>
      <right style="hair">
        <color rgb="FF000000"/>
      </right>
      <top/>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hair">
        <color rgb="FF000000"/>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style="hair">
        <color rgb="FF000000"/>
      </left>
      <right/>
      <top/>
      <bottom style="thin">
        <color rgb="FF000000"/>
      </bottom>
      <diagonal/>
    </border>
    <border>
      <left style="hair">
        <color indexed="64"/>
      </left>
      <right style="hair">
        <color indexed="64"/>
      </right>
      <top style="hair">
        <color indexed="64"/>
      </top>
      <bottom style="hair">
        <color indexed="64"/>
      </bottom>
      <diagonal/>
    </border>
    <border>
      <left style="hair">
        <color rgb="FF000000"/>
      </left>
      <right style="hair">
        <color indexed="64"/>
      </right>
      <top style="hair">
        <color indexed="64"/>
      </top>
      <bottom style="hair">
        <color rgb="FF000000"/>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rgb="FF000000"/>
      </left>
      <right style="hair">
        <color rgb="FF000000"/>
      </right>
      <top style="hair">
        <color indexed="64"/>
      </top>
      <bottom style="hair">
        <color rgb="FF000000"/>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7">
    <xf numFmtId="0" fontId="0" fillId="0" borderId="0"/>
    <xf numFmtId="9" fontId="1" fillId="0" borderId="0" applyFont="0" applyFill="0" applyBorder="0" applyAlignment="0" applyProtection="0"/>
    <xf numFmtId="43" fontId="1" fillId="0" borderId="0" applyFont="0" applyFill="0" applyBorder="0" applyAlignment="0" applyProtection="0"/>
    <xf numFmtId="0" fontId="19" fillId="0" borderId="0"/>
    <xf numFmtId="0" fontId="36" fillId="0" borderId="0" applyNumberFormat="0" applyFont="0" applyFill="0" applyBorder="0" applyAlignment="0" applyProtection="0"/>
    <xf numFmtId="37" fontId="40" fillId="0" borderId="0"/>
    <xf numFmtId="0" fontId="41" fillId="0" borderId="0" applyNumberFormat="0" applyFill="0" applyBorder="0" applyAlignment="0" applyProtection="0"/>
  </cellStyleXfs>
  <cellXfs count="598">
    <xf numFmtId="0" fontId="0" fillId="0" borderId="0" xfId="0"/>
    <xf numFmtId="0" fontId="2" fillId="2" borderId="0" xfId="0" applyFont="1" applyFill="1" applyAlignment="1">
      <alignment vertical="center" wrapText="1"/>
    </xf>
    <xf numFmtId="0" fontId="2" fillId="2" borderId="4" xfId="0" applyFont="1" applyFill="1" applyBorder="1" applyAlignment="1">
      <alignment horizontal="centerContinuous" vertical="center" wrapText="1"/>
    </xf>
    <xf numFmtId="14" fontId="3" fillId="2" borderId="0" xfId="0" applyNumberFormat="1" applyFont="1" applyFill="1" applyAlignment="1">
      <alignment horizontal="center" vertical="center" wrapText="1"/>
    </xf>
    <xf numFmtId="0" fontId="2" fillId="2" borderId="0" xfId="0" applyFont="1" applyFill="1" applyAlignment="1">
      <alignment horizontal="center" vertical="center" wrapText="1"/>
    </xf>
    <xf numFmtId="0" fontId="4" fillId="0" borderId="0" xfId="0" applyFont="1" applyAlignment="1">
      <alignment wrapText="1"/>
    </xf>
    <xf numFmtId="0" fontId="3" fillId="2" borderId="0" xfId="0" applyFont="1" applyFill="1" applyAlignment="1">
      <alignment vertical="center" wrapText="1"/>
    </xf>
    <xf numFmtId="0" fontId="5" fillId="2" borderId="0" xfId="0" applyFont="1" applyFill="1" applyAlignment="1">
      <alignment horizontal="center" vertical="center" wrapText="1"/>
    </xf>
    <xf numFmtId="0" fontId="4" fillId="0" borderId="0" xfId="0" applyFont="1"/>
    <xf numFmtId="0" fontId="4" fillId="3" borderId="0" xfId="0" applyFont="1" applyFill="1"/>
    <xf numFmtId="0" fontId="6" fillId="0" borderId="0" xfId="0" applyFont="1" applyAlignment="1">
      <alignment vertical="top" wrapText="1"/>
    </xf>
    <xf numFmtId="41" fontId="4" fillId="0" borderId="0" xfId="0" applyNumberFormat="1" applyFont="1"/>
    <xf numFmtId="37" fontId="4" fillId="0" borderId="0" xfId="0" applyNumberFormat="1" applyFont="1" applyAlignment="1">
      <alignment wrapText="1"/>
    </xf>
    <xf numFmtId="167" fontId="7" fillId="3" borderId="0" xfId="1" applyNumberFormat="1" applyFont="1" applyFill="1" applyBorder="1" applyAlignment="1">
      <alignment horizontal="right" vertical="center" wrapText="1"/>
    </xf>
    <xf numFmtId="0" fontId="8" fillId="3" borderId="5" xfId="0" applyFont="1" applyFill="1" applyBorder="1" applyAlignment="1">
      <alignment vertical="top" wrapText="1"/>
    </xf>
    <xf numFmtId="5" fontId="8" fillId="3" borderId="2" xfId="0" applyNumberFormat="1" applyFont="1" applyFill="1" applyBorder="1" applyAlignment="1">
      <alignment horizontal="right" vertical="top" wrapText="1"/>
    </xf>
    <xf numFmtId="167" fontId="9" fillId="3" borderId="0" xfId="1" applyNumberFormat="1" applyFont="1" applyFill="1" applyBorder="1" applyAlignment="1">
      <alignment horizontal="right" vertical="center" wrapText="1"/>
    </xf>
    <xf numFmtId="0" fontId="10" fillId="0" borderId="0" xfId="0" applyFont="1" applyAlignment="1">
      <alignment horizontal="left" vertical="center" wrapText="1" indent="1"/>
    </xf>
    <xf numFmtId="5" fontId="8" fillId="4" borderId="0" xfId="0" applyNumberFormat="1" applyFont="1" applyFill="1" applyAlignment="1">
      <alignment horizontal="right" vertical="top" wrapText="1"/>
    </xf>
    <xf numFmtId="167" fontId="10" fillId="0" borderId="0" xfId="1" applyNumberFormat="1" applyFont="1" applyBorder="1" applyAlignment="1">
      <alignment horizontal="right" vertical="center" wrapText="1"/>
    </xf>
    <xf numFmtId="9" fontId="6" fillId="0" borderId="0" xfId="1" applyFont="1" applyAlignment="1">
      <alignment horizontal="left" vertical="top" wrapText="1" indent="1"/>
    </xf>
    <xf numFmtId="9" fontId="11" fillId="0" borderId="0" xfId="1" applyFont="1" applyAlignment="1">
      <alignment horizontal="right" vertical="top" wrapText="1"/>
    </xf>
    <xf numFmtId="9" fontId="4" fillId="0" borderId="0" xfId="1" applyFont="1" applyAlignment="1">
      <alignment wrapText="1"/>
    </xf>
    <xf numFmtId="9" fontId="12" fillId="0" borderId="0" xfId="1" applyFont="1" applyAlignment="1">
      <alignment horizontal="right" vertical="top" wrapText="1"/>
    </xf>
    <xf numFmtId="9" fontId="4" fillId="0" borderId="0" xfId="1" applyFont="1"/>
    <xf numFmtId="0" fontId="6" fillId="0" borderId="0" xfId="0" quotePrefix="1" applyFont="1" applyAlignment="1">
      <alignment vertical="top" wrapText="1"/>
    </xf>
    <xf numFmtId="37" fontId="6" fillId="0" borderId="0" xfId="0" applyNumberFormat="1" applyFont="1" applyAlignment="1">
      <alignment horizontal="right" vertical="top" wrapText="1"/>
    </xf>
    <xf numFmtId="0" fontId="8" fillId="0" borderId="0" xfId="0" applyFont="1" applyAlignment="1">
      <alignment vertical="top" wrapText="1"/>
    </xf>
    <xf numFmtId="5" fontId="8" fillId="0" borderId="2" xfId="0" applyNumberFormat="1" applyFont="1" applyBorder="1" applyAlignment="1">
      <alignment horizontal="right" vertical="top" wrapText="1"/>
    </xf>
    <xf numFmtId="9" fontId="13" fillId="0" borderId="0" xfId="1" applyFont="1" applyBorder="1" applyAlignment="1">
      <alignment horizontal="right" vertical="center" wrapText="1"/>
    </xf>
    <xf numFmtId="0" fontId="14" fillId="0" borderId="0" xfId="0" applyFont="1" applyAlignment="1">
      <alignment wrapText="1"/>
    </xf>
    <xf numFmtId="0" fontId="7" fillId="0" borderId="0" xfId="0" applyFont="1" applyAlignment="1">
      <alignment horizontal="left" vertical="center" wrapText="1" indent="1"/>
    </xf>
    <xf numFmtId="9" fontId="6" fillId="0" borderId="0" xfId="1" applyFont="1" applyBorder="1" applyAlignment="1">
      <alignment horizontal="right" vertical="center" wrapText="1"/>
    </xf>
    <xf numFmtId="0" fontId="4" fillId="0" borderId="0" xfId="0" quotePrefix="1" applyFont="1"/>
    <xf numFmtId="41" fontId="6" fillId="0" borderId="0" xfId="0" applyNumberFormat="1" applyFont="1" applyAlignment="1">
      <alignment horizontal="right" vertical="top" wrapText="1"/>
    </xf>
    <xf numFmtId="0" fontId="2" fillId="2" borderId="0" xfId="0" applyFont="1" applyFill="1" applyAlignment="1">
      <alignment wrapText="1"/>
    </xf>
    <xf numFmtId="41" fontId="8" fillId="3" borderId="2" xfId="0" applyNumberFormat="1" applyFont="1" applyFill="1" applyBorder="1" applyAlignment="1">
      <alignment horizontal="right" vertical="top" wrapText="1"/>
    </xf>
    <xf numFmtId="0" fontId="15" fillId="0" borderId="6" xfId="0" applyFont="1" applyBorder="1"/>
    <xf numFmtId="0" fontId="15" fillId="0" borderId="0" xfId="0" applyFont="1"/>
    <xf numFmtId="0" fontId="4" fillId="4" borderId="0" xfId="0" applyFont="1" applyFill="1"/>
    <xf numFmtId="0" fontId="4" fillId="0" borderId="1" xfId="0" applyFont="1" applyBorder="1"/>
    <xf numFmtId="0" fontId="4" fillId="2" borderId="0" xfId="0" applyFont="1" applyFill="1" applyAlignment="1">
      <alignment wrapText="1"/>
    </xf>
    <xf numFmtId="0" fontId="4" fillId="3" borderId="0" xfId="0" applyFont="1" applyFill="1" applyAlignment="1">
      <alignment wrapText="1"/>
    </xf>
    <xf numFmtId="165" fontId="4" fillId="0" borderId="0" xfId="0" applyNumberFormat="1" applyFont="1" applyAlignment="1">
      <alignment wrapText="1"/>
    </xf>
    <xf numFmtId="37" fontId="8" fillId="0" borderId="0" xfId="0" applyNumberFormat="1" applyFont="1" applyAlignment="1">
      <alignment horizontal="right" vertical="top" wrapText="1"/>
    </xf>
    <xf numFmtId="165" fontId="15" fillId="0" borderId="0" xfId="0" applyNumberFormat="1" applyFont="1" applyAlignment="1">
      <alignment wrapText="1"/>
    </xf>
    <xf numFmtId="9" fontId="6" fillId="0" borderId="0" xfId="1" applyFont="1" applyFill="1" applyBorder="1" applyAlignment="1">
      <alignment horizontal="right" vertical="center" wrapText="1"/>
    </xf>
    <xf numFmtId="167" fontId="7" fillId="0" borderId="0" xfId="1" applyNumberFormat="1" applyFont="1" applyBorder="1" applyAlignment="1">
      <alignment horizontal="right" vertical="center" wrapText="1"/>
    </xf>
    <xf numFmtId="37" fontId="15" fillId="0" borderId="0" xfId="0" applyNumberFormat="1" applyFont="1"/>
    <xf numFmtId="0" fontId="6" fillId="0" borderId="0" xfId="0" applyFont="1" applyAlignment="1">
      <alignment horizontal="left" vertical="top" wrapText="1"/>
    </xf>
    <xf numFmtId="10" fontId="16" fillId="0" borderId="0" xfId="1" applyNumberFormat="1" applyFont="1" applyFill="1" applyAlignment="1">
      <alignment horizont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5" fontId="8" fillId="0" borderId="0" xfId="0" applyNumberFormat="1" applyFont="1" applyAlignment="1">
      <alignment horizontal="right" vertical="top" wrapText="1"/>
    </xf>
    <xf numFmtId="37" fontId="15" fillId="0" borderId="0" xfId="0" applyNumberFormat="1" applyFont="1" applyAlignment="1">
      <alignment wrapText="1"/>
    </xf>
    <xf numFmtId="37" fontId="8" fillId="0" borderId="0" xfId="0" applyNumberFormat="1" applyFont="1" applyAlignment="1">
      <alignment wrapText="1"/>
    </xf>
    <xf numFmtId="0" fontId="12" fillId="0" borderId="0" xfId="0" applyFont="1" applyAlignment="1">
      <alignment wrapText="1"/>
    </xf>
    <xf numFmtId="0" fontId="8" fillId="0" borderId="0" xfId="0" applyFont="1" applyAlignment="1">
      <alignment wrapText="1"/>
    </xf>
    <xf numFmtId="0" fontId="15" fillId="0" borderId="0" xfId="0" applyFont="1" applyAlignment="1">
      <alignment wrapText="1"/>
    </xf>
    <xf numFmtId="0" fontId="3" fillId="0" borderId="0" xfId="0" applyFont="1" applyAlignment="1">
      <alignment wrapText="1"/>
    </xf>
    <xf numFmtId="0" fontId="17" fillId="0" borderId="0" xfId="0" applyFont="1" applyAlignment="1">
      <alignment wrapText="1"/>
    </xf>
    <xf numFmtId="164" fontId="4" fillId="0" borderId="0" xfId="2" applyNumberFormat="1" applyFont="1" applyBorder="1" applyAlignment="1">
      <alignment wrapText="1"/>
    </xf>
    <xf numFmtId="0" fontId="4" fillId="0" borderId="0" xfId="0" applyFont="1" applyAlignment="1">
      <alignment horizontal="left" wrapText="1" indent="1"/>
    </xf>
    <xf numFmtId="37" fontId="11" fillId="0" borderId="0" xfId="2" applyNumberFormat="1" applyFont="1" applyBorder="1" applyAlignment="1">
      <alignment wrapText="1"/>
    </xf>
    <xf numFmtId="37" fontId="11" fillId="0" borderId="0" xfId="2" applyNumberFormat="1" applyFont="1" applyFill="1" applyBorder="1" applyAlignment="1">
      <alignment wrapText="1"/>
    </xf>
    <xf numFmtId="0" fontId="4" fillId="0" borderId="0" xfId="0" applyFont="1" applyAlignment="1">
      <alignment horizontal="left" indent="1"/>
    </xf>
    <xf numFmtId="37" fontId="8" fillId="0" borderId="0" xfId="2" applyNumberFormat="1" applyFont="1" applyBorder="1" applyAlignment="1">
      <alignment wrapText="1"/>
    </xf>
    <xf numFmtId="37" fontId="6" fillId="0" borderId="0" xfId="2" applyNumberFormat="1" applyFont="1" applyBorder="1" applyAlignment="1">
      <alignment wrapText="1"/>
    </xf>
    <xf numFmtId="37" fontId="15" fillId="0" borderId="0" xfId="2" applyNumberFormat="1" applyFont="1" applyBorder="1" applyAlignment="1">
      <alignment wrapText="1"/>
    </xf>
    <xf numFmtId="37" fontId="15" fillId="0" borderId="0" xfId="2" applyNumberFormat="1" applyFont="1" applyFill="1" applyBorder="1" applyAlignment="1">
      <alignment wrapText="1"/>
    </xf>
    <xf numFmtId="37" fontId="4" fillId="0" borderId="0" xfId="0" applyNumberFormat="1" applyFont="1"/>
    <xf numFmtId="37" fontId="18" fillId="0" borderId="0" xfId="2" applyNumberFormat="1" applyFont="1" applyFill="1" applyBorder="1" applyAlignment="1">
      <alignment wrapText="1"/>
    </xf>
    <xf numFmtId="37" fontId="6" fillId="0" borderId="0" xfId="2" applyNumberFormat="1" applyFont="1" applyFill="1" applyBorder="1" applyAlignment="1">
      <alignment wrapText="1"/>
    </xf>
    <xf numFmtId="164" fontId="15" fillId="0" borderId="0" xfId="2" applyNumberFormat="1" applyFont="1" applyBorder="1" applyAlignment="1">
      <alignment wrapText="1"/>
    </xf>
    <xf numFmtId="0" fontId="20" fillId="0" borderId="0" xfId="0" applyFont="1" applyAlignment="1">
      <alignment vertical="top" wrapText="1"/>
    </xf>
    <xf numFmtId="43" fontId="22" fillId="0" borderId="0" xfId="0" applyNumberFormat="1" applyFont="1" applyAlignment="1">
      <alignment wrapText="1"/>
    </xf>
    <xf numFmtId="0" fontId="23" fillId="0" borderId="0" xfId="0" applyFont="1" applyAlignment="1">
      <alignment wrapText="1"/>
    </xf>
    <xf numFmtId="41" fontId="8" fillId="0" borderId="0" xfId="0" applyNumberFormat="1" applyFont="1" applyAlignment="1">
      <alignment horizontal="right" vertical="top" wrapText="1"/>
    </xf>
    <xf numFmtId="0" fontId="17" fillId="0" borderId="6" xfId="0" applyFont="1" applyBorder="1"/>
    <xf numFmtId="0" fontId="4" fillId="0" borderId="1" xfId="0" applyFont="1" applyBorder="1" applyAlignment="1">
      <alignment wrapText="1"/>
    </xf>
    <xf numFmtId="164" fontId="4" fillId="0" borderId="1" xfId="2" applyNumberFormat="1" applyFont="1" applyBorder="1" applyAlignment="1">
      <alignment wrapText="1"/>
    </xf>
    <xf numFmtId="167" fontId="7" fillId="5" borderId="0" xfId="1" applyNumberFormat="1" applyFont="1" applyFill="1" applyBorder="1" applyAlignment="1">
      <alignment horizontal="right" vertical="center" wrapText="1"/>
    </xf>
    <xf numFmtId="167" fontId="9" fillId="5" borderId="0" xfId="1" applyNumberFormat="1" applyFont="1" applyFill="1" applyBorder="1" applyAlignment="1">
      <alignment horizontal="right" vertical="center" wrapText="1"/>
    </xf>
    <xf numFmtId="169" fontId="9" fillId="5" borderId="0" xfId="1" applyNumberFormat="1" applyFont="1" applyFill="1" applyBorder="1" applyAlignment="1">
      <alignment horizontal="right" vertical="center" wrapText="1"/>
    </xf>
    <xf numFmtId="0" fontId="8" fillId="0" borderId="6" xfId="0" applyFont="1" applyBorder="1" applyAlignment="1">
      <alignment vertical="top" wrapText="1"/>
    </xf>
    <xf numFmtId="41" fontId="26" fillId="0" borderId="0" xfId="0" applyNumberFormat="1" applyFont="1" applyAlignment="1">
      <alignment horizontal="right" vertical="center" wrapText="1"/>
    </xf>
    <xf numFmtId="0" fontId="15" fillId="0" borderId="0" xfId="0" applyFont="1" applyAlignment="1">
      <alignment horizontal="center"/>
    </xf>
    <xf numFmtId="41" fontId="11" fillId="0" borderId="0" xfId="0" applyNumberFormat="1" applyFont="1"/>
    <xf numFmtId="41" fontId="11" fillId="0" borderId="0" xfId="0" applyNumberFormat="1" applyFont="1" applyAlignment="1">
      <alignment horizontal="right" vertical="top" wrapText="1"/>
    </xf>
    <xf numFmtId="170" fontId="4" fillId="0" borderId="0" xfId="0" applyNumberFormat="1" applyFont="1"/>
    <xf numFmtId="0" fontId="29" fillId="0" borderId="11" xfId="0" applyFont="1" applyBorder="1" applyAlignment="1">
      <alignment horizontal="left" indent="2"/>
    </xf>
    <xf numFmtId="0" fontId="29" fillId="0" borderId="12" xfId="0" applyFont="1" applyBorder="1" applyAlignment="1">
      <alignment horizontal="left" indent="2"/>
    </xf>
    <xf numFmtId="0" fontId="29" fillId="0" borderId="0" xfId="0" applyFont="1" applyAlignment="1">
      <alignment horizontal="center"/>
    </xf>
    <xf numFmtId="0" fontId="15" fillId="0" borderId="16" xfId="0" applyFont="1" applyBorder="1" applyAlignment="1">
      <alignment horizontal="center"/>
    </xf>
    <xf numFmtId="0" fontId="15" fillId="0" borderId="17" xfId="0" applyFont="1" applyBorder="1" applyAlignment="1">
      <alignment horizontal="center"/>
    </xf>
    <xf numFmtId="0" fontId="31" fillId="0" borderId="0" xfId="0" applyFont="1"/>
    <xf numFmtId="0" fontId="15" fillId="0" borderId="8" xfId="0" applyFont="1" applyBorder="1"/>
    <xf numFmtId="0" fontId="4" fillId="0" borderId="8" xfId="0" applyFont="1" applyBorder="1"/>
    <xf numFmtId="0" fontId="16" fillId="0" borderId="0" xfId="0" applyFont="1"/>
    <xf numFmtId="172" fontId="32" fillId="0" borderId="0" xfId="0" applyNumberFormat="1" applyFont="1"/>
    <xf numFmtId="172" fontId="16" fillId="0" borderId="0" xfId="0" applyNumberFormat="1" applyFont="1"/>
    <xf numFmtId="9" fontId="16" fillId="0" borderId="0" xfId="0" applyNumberFormat="1" applyFont="1"/>
    <xf numFmtId="166" fontId="16" fillId="0" borderId="0" xfId="0" applyNumberFormat="1" applyFont="1"/>
    <xf numFmtId="37" fontId="12" fillId="0" borderId="0" xfId="0" applyNumberFormat="1" applyFont="1"/>
    <xf numFmtId="37" fontId="31" fillId="0" borderId="0" xfId="0" applyNumberFormat="1" applyFont="1"/>
    <xf numFmtId="37" fontId="33" fillId="0" borderId="0" xfId="0" applyNumberFormat="1" applyFont="1"/>
    <xf numFmtId="0" fontId="4" fillId="0" borderId="0" xfId="0" applyFont="1" applyAlignment="1">
      <alignment horizontal="left"/>
    </xf>
    <xf numFmtId="0" fontId="15" fillId="0" borderId="0" xfId="0" applyFont="1" applyAlignment="1">
      <alignment horizontal="left"/>
    </xf>
    <xf numFmtId="4" fontId="4" fillId="0" borderId="0" xfId="0" applyNumberFormat="1" applyFont="1"/>
    <xf numFmtId="0" fontId="34" fillId="0" borderId="0" xfId="0" applyFont="1"/>
    <xf numFmtId="176" fontId="31" fillId="0" borderId="0" xfId="0" applyNumberFormat="1" applyFont="1"/>
    <xf numFmtId="176" fontId="12" fillId="0" borderId="0" xfId="0" applyNumberFormat="1" applyFont="1"/>
    <xf numFmtId="14" fontId="16" fillId="0" borderId="0" xfId="0" applyNumberFormat="1" applyFont="1"/>
    <xf numFmtId="174" fontId="33" fillId="0" borderId="0" xfId="0" applyNumberFormat="1" applyFont="1"/>
    <xf numFmtId="175" fontId="33" fillId="0" borderId="0" xfId="0" applyNumberFormat="1" applyFont="1"/>
    <xf numFmtId="172" fontId="30" fillId="0" borderId="8" xfId="0" applyNumberFormat="1" applyFont="1" applyBorder="1"/>
    <xf numFmtId="3" fontId="4" fillId="0" borderId="0" xfId="0" applyNumberFormat="1" applyFont="1"/>
    <xf numFmtId="0" fontId="15" fillId="0" borderId="9" xfId="0" applyFont="1" applyBorder="1" applyAlignment="1">
      <alignment horizontal="centerContinuous"/>
    </xf>
    <xf numFmtId="0" fontId="4" fillId="0" borderId="0" xfId="0" quotePrefix="1" applyFont="1" applyAlignment="1">
      <alignment horizontal="left" indent="1"/>
    </xf>
    <xf numFmtId="0" fontId="4" fillId="0" borderId="10" xfId="0" quotePrefix="1" applyFont="1" applyBorder="1" applyAlignment="1">
      <alignment horizontal="left" indent="1"/>
    </xf>
    <xf numFmtId="37" fontId="12" fillId="0" borderId="10" xfId="0" applyNumberFormat="1" applyFont="1" applyBorder="1"/>
    <xf numFmtId="37" fontId="4" fillId="0" borderId="10" xfId="0" applyNumberFormat="1" applyFont="1" applyBorder="1"/>
    <xf numFmtId="0" fontId="15" fillId="0" borderId="0" xfId="0" applyFont="1" applyAlignment="1">
      <alignment horizontal="left" indent="1"/>
    </xf>
    <xf numFmtId="176" fontId="4" fillId="0" borderId="0" xfId="0" applyNumberFormat="1" applyFont="1"/>
    <xf numFmtId="177" fontId="12" fillId="0" borderId="0" xfId="0" applyNumberFormat="1" applyFont="1"/>
    <xf numFmtId="171" fontId="4" fillId="0" borderId="0" xfId="0" applyNumberFormat="1" applyFont="1"/>
    <xf numFmtId="0" fontId="15" fillId="0" borderId="8" xfId="0" applyFont="1" applyBorder="1" applyAlignment="1">
      <alignment horizontal="left"/>
    </xf>
    <xf numFmtId="176" fontId="4" fillId="0" borderId="8" xfId="0" applyNumberFormat="1" applyFont="1" applyBorder="1"/>
    <xf numFmtId="176" fontId="31" fillId="0" borderId="8" xfId="0" applyNumberFormat="1" applyFont="1" applyBorder="1"/>
    <xf numFmtId="177" fontId="4" fillId="0" borderId="0" xfId="0" applyNumberFormat="1" applyFont="1"/>
    <xf numFmtId="37" fontId="15" fillId="0" borderId="8" xfId="0" applyNumberFormat="1" applyFont="1" applyBorder="1"/>
    <xf numFmtId="37" fontId="31" fillId="0" borderId="9" xfId="0" applyNumberFormat="1" applyFont="1" applyBorder="1"/>
    <xf numFmtId="0" fontId="4" fillId="0" borderId="10" xfId="0" applyFont="1" applyBorder="1" applyAlignment="1">
      <alignment horizontal="left" indent="1"/>
    </xf>
    <xf numFmtId="0" fontId="4" fillId="0" borderId="10" xfId="0" applyFont="1" applyBorder="1"/>
    <xf numFmtId="37" fontId="31" fillId="0" borderId="10" xfId="0" applyNumberFormat="1" applyFont="1" applyBorder="1"/>
    <xf numFmtId="37" fontId="15" fillId="0" borderId="8" xfId="0" applyNumberFormat="1" applyFont="1" applyBorder="1" applyAlignment="1">
      <alignment horizontal="left"/>
    </xf>
    <xf numFmtId="37" fontId="15" fillId="0" borderId="10" xfId="0" applyNumberFormat="1" applyFont="1" applyBorder="1"/>
    <xf numFmtId="37" fontId="4" fillId="0" borderId="12" xfId="0" applyNumberFormat="1" applyFont="1" applyBorder="1"/>
    <xf numFmtId="0" fontId="4" fillId="0" borderId="12" xfId="0" applyFont="1" applyBorder="1"/>
    <xf numFmtId="37" fontId="21" fillId="0" borderId="12" xfId="0" applyNumberFormat="1" applyFont="1" applyBorder="1" applyAlignment="1">
      <alignment horizontal="right"/>
    </xf>
    <xf numFmtId="37" fontId="21" fillId="0" borderId="0" xfId="0" applyNumberFormat="1" applyFont="1" applyAlignment="1">
      <alignment horizontal="right"/>
    </xf>
    <xf numFmtId="9" fontId="12" fillId="0" borderId="8" xfId="0" applyNumberFormat="1" applyFont="1" applyBorder="1"/>
    <xf numFmtId="3" fontId="31" fillId="0" borderId="0" xfId="0" applyNumberFormat="1" applyFont="1"/>
    <xf numFmtId="37" fontId="4" fillId="0" borderId="9" xfId="0" applyNumberFormat="1" applyFont="1" applyBorder="1"/>
    <xf numFmtId="0" fontId="34" fillId="0" borderId="0" xfId="0" applyFont="1" applyAlignment="1">
      <alignment horizontal="left" indent="1"/>
    </xf>
    <xf numFmtId="0" fontId="35" fillId="0" borderId="0" xfId="0" applyFont="1" applyAlignment="1">
      <alignment horizontal="left"/>
    </xf>
    <xf numFmtId="178" fontId="12" fillId="0" borderId="0" xfId="0" applyNumberFormat="1" applyFont="1"/>
    <xf numFmtId="0" fontId="33" fillId="0" borderId="13" xfId="0" applyFont="1" applyBorder="1" applyAlignment="1">
      <alignment horizontal="left" indent="1"/>
    </xf>
    <xf numFmtId="37" fontId="33" fillId="0" borderId="13" xfId="0" applyNumberFormat="1" applyFont="1" applyBorder="1"/>
    <xf numFmtId="0" fontId="4" fillId="0" borderId="0" xfId="0" applyFont="1" applyAlignment="1">
      <alignment horizontal="left" indent="2"/>
    </xf>
    <xf numFmtId="10" fontId="12" fillId="0" borderId="0" xfId="0" applyNumberFormat="1" applyFont="1"/>
    <xf numFmtId="179" fontId="31" fillId="0" borderId="0" xfId="0" applyNumberFormat="1" applyFont="1"/>
    <xf numFmtId="37" fontId="31" fillId="0" borderId="0" xfId="0" applyNumberFormat="1" applyFont="1" applyAlignment="1">
      <alignment horizontal="left" indent="1"/>
    </xf>
    <xf numFmtId="8" fontId="4" fillId="0" borderId="0" xfId="0" applyNumberFormat="1" applyFont="1"/>
    <xf numFmtId="9" fontId="31" fillId="0" borderId="0" xfId="0" applyNumberFormat="1" applyFont="1"/>
    <xf numFmtId="0" fontId="4" fillId="0" borderId="0" xfId="0" applyFont="1" applyAlignment="1">
      <alignment horizontal="right"/>
    </xf>
    <xf numFmtId="37" fontId="15" fillId="0" borderId="14" xfId="0" applyNumberFormat="1" applyFont="1" applyBorder="1"/>
    <xf numFmtId="171" fontId="15" fillId="0" borderId="15" xfId="0" applyNumberFormat="1" applyFont="1" applyBorder="1"/>
    <xf numFmtId="176" fontId="4" fillId="0" borderId="18" xfId="0" applyNumberFormat="1" applyFont="1" applyBorder="1" applyAlignment="1">
      <alignment horizontal="center"/>
    </xf>
    <xf numFmtId="0" fontId="4" fillId="0" borderId="18" xfId="0" applyFont="1" applyBorder="1"/>
    <xf numFmtId="177" fontId="12" fillId="0" borderId="18" xfId="0" applyNumberFormat="1" applyFont="1" applyBorder="1" applyAlignment="1">
      <alignment horizontal="center"/>
    </xf>
    <xf numFmtId="0" fontId="4" fillId="0" borderId="18" xfId="0" applyFont="1" applyBorder="1" applyAlignment="1">
      <alignment horizontal="center"/>
    </xf>
    <xf numFmtId="180" fontId="4" fillId="0" borderId="0" xfId="0" applyNumberFormat="1" applyFont="1"/>
    <xf numFmtId="177" fontId="12" fillId="0" borderId="19" xfId="0" applyNumberFormat="1" applyFont="1" applyBorder="1" applyAlignment="1">
      <alignment horizontal="center"/>
    </xf>
    <xf numFmtId="37" fontId="27" fillId="0" borderId="0" xfId="0" applyNumberFormat="1" applyFont="1"/>
    <xf numFmtId="14" fontId="3" fillId="2" borderId="0" xfId="0" quotePrefix="1" applyNumberFormat="1" applyFont="1" applyFill="1" applyAlignment="1">
      <alignment horizontal="center" vertical="center" wrapText="1"/>
    </xf>
    <xf numFmtId="41" fontId="8" fillId="6" borderId="2" xfId="0" applyNumberFormat="1" applyFont="1" applyFill="1" applyBorder="1" applyAlignment="1">
      <alignment horizontal="right" vertical="top" wrapText="1"/>
    </xf>
    <xf numFmtId="3" fontId="4" fillId="0" borderId="0" xfId="0" applyNumberFormat="1" applyFont="1" applyAlignment="1">
      <alignment wrapText="1"/>
    </xf>
    <xf numFmtId="43" fontId="22" fillId="0" borderId="20" xfId="0" applyNumberFormat="1" applyFont="1" applyBorder="1" applyAlignment="1">
      <alignment wrapText="1"/>
    </xf>
    <xf numFmtId="41" fontId="6" fillId="0" borderId="20" xfId="0" applyNumberFormat="1" applyFont="1" applyBorder="1" applyAlignment="1">
      <alignment horizontal="right" vertical="top" wrapText="1"/>
    </xf>
    <xf numFmtId="0" fontId="8" fillId="6" borderId="22" xfId="0" applyFont="1" applyFill="1" applyBorder="1" applyAlignment="1">
      <alignment horizontal="right" vertical="center" wrapText="1"/>
    </xf>
    <xf numFmtId="0" fontId="4" fillId="0" borderId="22" xfId="0" applyFont="1" applyBorder="1"/>
    <xf numFmtId="37" fontId="4" fillId="0" borderId="23" xfId="0" applyNumberFormat="1" applyFont="1" applyBorder="1" applyAlignment="1">
      <alignment wrapText="1"/>
    </xf>
    <xf numFmtId="41" fontId="8" fillId="0" borderId="25" xfId="0" applyNumberFormat="1" applyFont="1" applyBorder="1" applyAlignment="1">
      <alignment horizontal="right" vertical="top" wrapText="1"/>
    </xf>
    <xf numFmtId="41" fontId="6" fillId="0" borderId="26" xfId="0" applyNumberFormat="1" applyFont="1" applyBorder="1" applyAlignment="1">
      <alignment horizontal="right" vertical="top" wrapText="1"/>
    </xf>
    <xf numFmtId="41" fontId="27" fillId="0" borderId="0" xfId="0" applyNumberFormat="1" applyFont="1"/>
    <xf numFmtId="0" fontId="15" fillId="0" borderId="26" xfId="0" applyFont="1" applyBorder="1" applyAlignment="1">
      <alignment horizontal="left"/>
    </xf>
    <xf numFmtId="37" fontId="33" fillId="0" borderId="26" xfId="0" applyNumberFormat="1" applyFont="1" applyBorder="1"/>
    <xf numFmtId="0" fontId="15" fillId="0" borderId="26" xfId="0" applyFont="1" applyBorder="1"/>
    <xf numFmtId="0" fontId="4" fillId="0" borderId="26" xfId="0" applyFont="1" applyBorder="1"/>
    <xf numFmtId="0" fontId="4" fillId="7" borderId="26" xfId="0" applyFont="1" applyFill="1" applyBorder="1"/>
    <xf numFmtId="37" fontId="15" fillId="0" borderId="26" xfId="0" applyNumberFormat="1" applyFont="1" applyBorder="1"/>
    <xf numFmtId="37" fontId="4" fillId="6" borderId="0" xfId="0" applyNumberFormat="1" applyFont="1" applyFill="1"/>
    <xf numFmtId="8" fontId="27" fillId="0" borderId="0" xfId="0" applyNumberFormat="1" applyFont="1"/>
    <xf numFmtId="0" fontId="15" fillId="0" borderId="26" xfId="0" applyFont="1" applyBorder="1" applyAlignment="1">
      <alignment horizontal="left" indent="1"/>
    </xf>
    <xf numFmtId="37" fontId="31" fillId="6" borderId="9" xfId="0" applyNumberFormat="1" applyFont="1" applyFill="1" applyBorder="1"/>
    <xf numFmtId="37" fontId="31" fillId="6" borderId="10" xfId="0" applyNumberFormat="1" applyFont="1" applyFill="1" applyBorder="1"/>
    <xf numFmtId="37" fontId="31" fillId="6" borderId="0" xfId="0" applyNumberFormat="1" applyFont="1" applyFill="1"/>
    <xf numFmtId="176" fontId="31" fillId="6" borderId="0" xfId="0" applyNumberFormat="1" applyFont="1" applyFill="1"/>
    <xf numFmtId="37" fontId="33" fillId="6" borderId="0" xfId="0" applyNumberFormat="1" applyFont="1" applyFill="1"/>
    <xf numFmtId="37" fontId="12" fillId="6" borderId="0" xfId="0" applyNumberFormat="1" applyFont="1" applyFill="1"/>
    <xf numFmtId="37" fontId="4" fillId="6" borderId="10" xfId="0" applyNumberFormat="1" applyFont="1" applyFill="1" applyBorder="1"/>
    <xf numFmtId="37" fontId="12" fillId="6" borderId="10" xfId="0" applyNumberFormat="1" applyFont="1" applyFill="1" applyBorder="1"/>
    <xf numFmtId="179" fontId="6" fillId="6" borderId="0" xfId="0" applyNumberFormat="1" applyFont="1" applyFill="1"/>
    <xf numFmtId="177" fontId="6" fillId="6" borderId="0" xfId="0" applyNumberFormat="1" applyFont="1" applyFill="1"/>
    <xf numFmtId="179" fontId="31" fillId="6" borderId="0" xfId="0" applyNumberFormat="1" applyFont="1" applyFill="1"/>
    <xf numFmtId="0" fontId="33" fillId="0" borderId="10" xfId="0" applyFont="1" applyBorder="1"/>
    <xf numFmtId="0" fontId="31" fillId="0" borderId="10" xfId="0" applyFont="1" applyBorder="1"/>
    <xf numFmtId="0" fontId="34" fillId="0" borderId="0" xfId="0" applyFont="1" applyAlignment="1">
      <alignment horizontal="left"/>
    </xf>
    <xf numFmtId="166" fontId="31" fillId="0" borderId="0" xfId="0" applyNumberFormat="1" applyFont="1"/>
    <xf numFmtId="166" fontId="37" fillId="0" borderId="0" xfId="0" applyNumberFormat="1" applyFont="1" applyAlignment="1">
      <alignment horizontal="right"/>
    </xf>
    <xf numFmtId="0" fontId="15" fillId="0" borderId="28" xfId="0" applyFont="1" applyBorder="1"/>
    <xf numFmtId="0" fontId="15" fillId="0" borderId="29" xfId="0" applyFont="1" applyBorder="1"/>
    <xf numFmtId="0" fontId="4" fillId="0" borderId="29" xfId="0" applyFont="1" applyBorder="1"/>
    <xf numFmtId="173" fontId="12" fillId="0" borderId="0" xfId="0" applyNumberFormat="1" applyFont="1"/>
    <xf numFmtId="179" fontId="29" fillId="0" borderId="10" xfId="0" applyNumberFormat="1" applyFont="1" applyBorder="1"/>
    <xf numFmtId="173" fontId="31" fillId="0" borderId="0" xfId="0" applyNumberFormat="1" applyFont="1"/>
    <xf numFmtId="181" fontId="29" fillId="0" borderId="0" xfId="0" applyNumberFormat="1" applyFont="1"/>
    <xf numFmtId="9" fontId="12" fillId="8" borderId="0" xfId="0" applyNumberFormat="1" applyFont="1" applyFill="1"/>
    <xf numFmtId="176" fontId="15" fillId="0" borderId="30" xfId="0" applyNumberFormat="1" applyFont="1" applyBorder="1"/>
    <xf numFmtId="39" fontId="15" fillId="0" borderId="0" xfId="0" applyNumberFormat="1" applyFont="1"/>
    <xf numFmtId="0" fontId="4" fillId="0" borderId="0" xfId="0" applyFont="1" applyAlignment="1">
      <alignment horizontal="centerContinuous"/>
    </xf>
    <xf numFmtId="0" fontId="4" fillId="0" borderId="9" xfId="0" applyFont="1" applyBorder="1" applyAlignment="1">
      <alignment horizontal="centerContinuous"/>
    </xf>
    <xf numFmtId="176" fontId="4" fillId="8" borderId="0" xfId="0" applyNumberFormat="1" applyFont="1" applyFill="1"/>
    <xf numFmtId="182" fontId="31" fillId="0" borderId="31" xfId="0" applyNumberFormat="1" applyFont="1" applyBorder="1"/>
    <xf numFmtId="173" fontId="12" fillId="0" borderId="32" xfId="0" applyNumberFormat="1" applyFont="1" applyBorder="1"/>
    <xf numFmtId="182" fontId="31" fillId="0" borderId="32" xfId="0" applyNumberFormat="1" applyFont="1" applyBorder="1"/>
    <xf numFmtId="10" fontId="31" fillId="0" borderId="33" xfId="0" applyNumberFormat="1" applyFont="1" applyBorder="1"/>
    <xf numFmtId="177" fontId="4" fillId="0" borderId="9" xfId="0" applyNumberFormat="1" applyFont="1" applyBorder="1"/>
    <xf numFmtId="10" fontId="12" fillId="0" borderId="33" xfId="0" applyNumberFormat="1" applyFont="1" applyBorder="1"/>
    <xf numFmtId="10" fontId="31" fillId="0" borderId="34" xfId="0" applyNumberFormat="1" applyFont="1" applyBorder="1"/>
    <xf numFmtId="0" fontId="12" fillId="10" borderId="7" xfId="0" applyFont="1" applyFill="1" applyBorder="1" applyAlignment="1">
      <alignment horizontal="right"/>
    </xf>
    <xf numFmtId="173" fontId="4" fillId="0" borderId="0" xfId="0" applyNumberFormat="1" applyFont="1"/>
    <xf numFmtId="0" fontId="4" fillId="0" borderId="35" xfId="0" applyFont="1" applyBorder="1"/>
    <xf numFmtId="0" fontId="4" fillId="0" borderId="35" xfId="0" applyFont="1" applyBorder="1" applyAlignment="1">
      <alignment wrapText="1"/>
    </xf>
    <xf numFmtId="0" fontId="12" fillId="0" borderId="0" xfId="0" applyFont="1"/>
    <xf numFmtId="39" fontId="12" fillId="0" borderId="0" xfId="0" applyNumberFormat="1" applyFont="1"/>
    <xf numFmtId="39" fontId="29" fillId="0" borderId="0" xfId="0" applyNumberFormat="1" applyFont="1"/>
    <xf numFmtId="37" fontId="29" fillId="0" borderId="0" xfId="0" applyNumberFormat="1" applyFont="1"/>
    <xf numFmtId="176" fontId="31" fillId="0" borderId="36" xfId="0" applyNumberFormat="1" applyFont="1" applyBorder="1"/>
    <xf numFmtId="173" fontId="15" fillId="0" borderId="0" xfId="0" applyNumberFormat="1" applyFont="1"/>
    <xf numFmtId="39" fontId="4" fillId="0" borderId="0" xfId="0" applyNumberFormat="1" applyFont="1"/>
    <xf numFmtId="183" fontId="12" fillId="0" borderId="0" xfId="0" applyNumberFormat="1" applyFont="1"/>
    <xf numFmtId="173" fontId="39" fillId="0" borderId="0" xfId="0" applyNumberFormat="1" applyFont="1"/>
    <xf numFmtId="184" fontId="12" fillId="0" borderId="0" xfId="0" applyNumberFormat="1" applyFont="1"/>
    <xf numFmtId="173" fontId="37" fillId="0" borderId="0" xfId="0" applyNumberFormat="1" applyFont="1"/>
    <xf numFmtId="0" fontId="15" fillId="0" borderId="10" xfId="0" applyFont="1" applyBorder="1"/>
    <xf numFmtId="185" fontId="31" fillId="0" borderId="0" xfId="0" applyNumberFormat="1" applyFont="1"/>
    <xf numFmtId="39" fontId="31" fillId="0" borderId="0" xfId="0" applyNumberFormat="1" applyFont="1"/>
    <xf numFmtId="7" fontId="4" fillId="0" borderId="0" xfId="0" applyNumberFormat="1" applyFont="1"/>
    <xf numFmtId="37" fontId="30" fillId="0" borderId="0" xfId="0" applyNumberFormat="1" applyFont="1"/>
    <xf numFmtId="7" fontId="31" fillId="0" borderId="0" xfId="0" applyNumberFormat="1" applyFont="1"/>
    <xf numFmtId="14" fontId="12" fillId="0" borderId="0" xfId="0" applyNumberFormat="1" applyFont="1" applyAlignment="1">
      <alignment horizontal="right"/>
    </xf>
    <xf numFmtId="0" fontId="42" fillId="0" borderId="0" xfId="6" applyFont="1" applyBorder="1"/>
    <xf numFmtId="177" fontId="31" fillId="0" borderId="0" xfId="0" applyNumberFormat="1" applyFont="1"/>
    <xf numFmtId="7" fontId="29" fillId="0" borderId="0" xfId="0" applyNumberFormat="1" applyFont="1" applyAlignment="1">
      <alignment horizontal="right"/>
    </xf>
    <xf numFmtId="0" fontId="38" fillId="0" borderId="0" xfId="0" applyFont="1" applyAlignment="1">
      <alignment horizontal="centerContinuous"/>
    </xf>
    <xf numFmtId="14" fontId="4" fillId="0" borderId="0" xfId="0" applyNumberFormat="1" applyFont="1" applyAlignment="1">
      <alignment horizontal="center"/>
    </xf>
    <xf numFmtId="172" fontId="4" fillId="0" borderId="37" xfId="0" applyNumberFormat="1" applyFont="1" applyBorder="1" applyAlignment="1">
      <alignment horizontal="center"/>
    </xf>
    <xf numFmtId="172" fontId="4" fillId="0" borderId="34" xfId="0" applyNumberFormat="1" applyFont="1" applyBorder="1" applyAlignment="1">
      <alignment horizontal="center"/>
    </xf>
    <xf numFmtId="172" fontId="4" fillId="0" borderId="0" xfId="0" applyNumberFormat="1" applyFont="1" applyAlignment="1">
      <alignment horizontal="center"/>
    </xf>
    <xf numFmtId="186" fontId="15" fillId="0" borderId="37" xfId="0" applyNumberFormat="1" applyFont="1" applyBorder="1"/>
    <xf numFmtId="187" fontId="15" fillId="0" borderId="0" xfId="0" applyNumberFormat="1" applyFont="1"/>
    <xf numFmtId="188" fontId="29" fillId="0" borderId="0" xfId="0" applyNumberFormat="1" applyFont="1"/>
    <xf numFmtId="188" fontId="31" fillId="0" borderId="0" xfId="0" applyNumberFormat="1" applyFont="1"/>
    <xf numFmtId="188" fontId="4" fillId="0" borderId="0" xfId="0" applyNumberFormat="1" applyFont="1"/>
    <xf numFmtId="188" fontId="33" fillId="0" borderId="0" xfId="0" applyNumberFormat="1" applyFont="1"/>
    <xf numFmtId="14" fontId="4" fillId="0" borderId="0" xfId="0" applyNumberFormat="1" applyFont="1"/>
    <xf numFmtId="177" fontId="4" fillId="0" borderId="0" xfId="0" applyNumberFormat="1" applyFont="1" applyAlignment="1">
      <alignment horizontal="center"/>
    </xf>
    <xf numFmtId="187" fontId="4" fillId="0" borderId="0" xfId="0" applyNumberFormat="1" applyFont="1"/>
    <xf numFmtId="189" fontId="12" fillId="0" borderId="0" xfId="0" applyNumberFormat="1" applyFont="1"/>
    <xf numFmtId="188" fontId="15" fillId="0" borderId="0" xfId="0" applyNumberFormat="1" applyFont="1"/>
    <xf numFmtId="0" fontId="16" fillId="0" borderId="0" xfId="0" applyFont="1" applyAlignment="1">
      <alignment horizontal="left"/>
    </xf>
    <xf numFmtId="177" fontId="16" fillId="0" borderId="0" xfId="0" applyNumberFormat="1" applyFont="1"/>
    <xf numFmtId="190" fontId="16" fillId="0" borderId="0" xfId="0" applyNumberFormat="1" applyFont="1"/>
    <xf numFmtId="189" fontId="16" fillId="0" borderId="0" xfId="0" applyNumberFormat="1" applyFont="1"/>
    <xf numFmtId="176" fontId="4" fillId="0" borderId="0" xfId="0" quotePrefix="1" applyNumberFormat="1" applyFont="1"/>
    <xf numFmtId="0" fontId="34" fillId="0" borderId="0" xfId="0" applyFont="1" applyAlignment="1">
      <alignment horizontal="right"/>
    </xf>
    <xf numFmtId="0" fontId="34" fillId="0" borderId="0" xfId="0" applyFont="1" applyAlignment="1">
      <alignment horizontal="left" vertical="center"/>
    </xf>
    <xf numFmtId="14" fontId="31" fillId="0" borderId="0" xfId="0" applyNumberFormat="1" applyFont="1"/>
    <xf numFmtId="191" fontId="12" fillId="0" borderId="0" xfId="0" applyNumberFormat="1" applyFont="1"/>
    <xf numFmtId="0" fontId="31" fillId="0" borderId="0" xfId="0" applyFont="1" applyAlignment="1">
      <alignment horizontal="left" indent="1"/>
    </xf>
    <xf numFmtId="0" fontId="4" fillId="0" borderId="0" xfId="0" applyFont="1" applyAlignment="1">
      <alignment horizontal="left" vertical="center" indent="1"/>
    </xf>
    <xf numFmtId="188" fontId="4" fillId="0" borderId="0" xfId="0" applyNumberFormat="1" applyFont="1" applyAlignment="1">
      <alignment horizontal="right"/>
    </xf>
    <xf numFmtId="37" fontId="16" fillId="0" borderId="10" xfId="0" applyNumberFormat="1" applyFont="1" applyBorder="1" applyAlignment="1">
      <alignment horizontal="right"/>
    </xf>
    <xf numFmtId="37" fontId="4" fillId="0" borderId="0" xfId="0" applyNumberFormat="1" applyFont="1" applyAlignment="1">
      <alignment horizontal="right"/>
    </xf>
    <xf numFmtId="194" fontId="4" fillId="9" borderId="0" xfId="0" applyNumberFormat="1" applyFont="1" applyFill="1" applyAlignment="1">
      <alignment horizontal="right"/>
    </xf>
    <xf numFmtId="195" fontId="4" fillId="9" borderId="0" xfId="0" applyNumberFormat="1" applyFont="1" applyFill="1" applyAlignment="1">
      <alignment horizontal="right"/>
    </xf>
    <xf numFmtId="195" fontId="4" fillId="0" borderId="0" xfId="0" applyNumberFormat="1" applyFont="1" applyAlignment="1">
      <alignment horizontal="right"/>
    </xf>
    <xf numFmtId="194" fontId="4" fillId="0" borderId="0" xfId="0" applyNumberFormat="1" applyFont="1" applyAlignment="1">
      <alignment horizontal="right"/>
    </xf>
    <xf numFmtId="0" fontId="31" fillId="10" borderId="0" xfId="0" applyFont="1" applyFill="1"/>
    <xf numFmtId="0" fontId="44" fillId="0" borderId="0" xfId="0" applyFont="1" applyAlignment="1">
      <alignment horizontal="centerContinuous"/>
    </xf>
    <xf numFmtId="0" fontId="38" fillId="0" borderId="34" xfId="0" applyFont="1" applyBorder="1" applyAlignment="1">
      <alignment horizontal="centerContinuous"/>
    </xf>
    <xf numFmtId="0" fontId="4" fillId="0" borderId="34" xfId="0" applyFont="1" applyBorder="1" applyAlignment="1">
      <alignment horizontal="centerContinuous"/>
    </xf>
    <xf numFmtId="193" fontId="4" fillId="0" borderId="8" xfId="0" applyNumberFormat="1" applyFont="1" applyBorder="1" applyAlignment="1">
      <alignment horizontal="right"/>
    </xf>
    <xf numFmtId="166" fontId="31" fillId="11" borderId="28" xfId="0" applyNumberFormat="1" applyFont="1" applyFill="1" applyBorder="1"/>
    <xf numFmtId="166" fontId="31" fillId="11" borderId="29" xfId="0" applyNumberFormat="1" applyFont="1" applyFill="1" applyBorder="1"/>
    <xf numFmtId="166" fontId="12" fillId="11" borderId="29" xfId="0" applyNumberFormat="1" applyFont="1" applyFill="1" applyBorder="1"/>
    <xf numFmtId="166" fontId="31" fillId="11" borderId="34" xfId="0" applyNumberFormat="1" applyFont="1" applyFill="1" applyBorder="1"/>
    <xf numFmtId="189" fontId="4" fillId="0" borderId="38" xfId="0" applyNumberFormat="1" applyFont="1" applyBorder="1" applyAlignment="1">
      <alignment horizontal="right"/>
    </xf>
    <xf numFmtId="166" fontId="31" fillId="11" borderId="30" xfId="0" applyNumberFormat="1" applyFont="1" applyFill="1" applyBorder="1"/>
    <xf numFmtId="166" fontId="31" fillId="11" borderId="39" xfId="0" applyNumberFormat="1" applyFont="1" applyFill="1" applyBorder="1" applyAlignment="1">
      <alignment horizontal="right"/>
    </xf>
    <xf numFmtId="196" fontId="4" fillId="0" borderId="0" xfId="0" applyNumberFormat="1" applyFont="1"/>
    <xf numFmtId="196" fontId="4" fillId="0" borderId="34" xfId="0" applyNumberFormat="1" applyFont="1" applyBorder="1"/>
    <xf numFmtId="189" fontId="4" fillId="0" borderId="0" xfId="0" applyNumberFormat="1" applyFont="1" applyAlignment="1">
      <alignment horizontal="right"/>
    </xf>
    <xf numFmtId="166" fontId="12" fillId="11" borderId="39" xfId="0" applyNumberFormat="1" applyFont="1" applyFill="1" applyBorder="1" applyAlignment="1">
      <alignment horizontal="right"/>
    </xf>
    <xf numFmtId="0" fontId="33" fillId="10" borderId="0" xfId="0" applyFont="1" applyFill="1" applyAlignment="1">
      <alignment horizontal="center"/>
    </xf>
    <xf numFmtId="166" fontId="31" fillId="11" borderId="40" xfId="0" applyNumberFormat="1" applyFont="1" applyFill="1" applyBorder="1" applyAlignment="1">
      <alignment horizontal="right"/>
    </xf>
    <xf numFmtId="197" fontId="4" fillId="0" borderId="0" xfId="0" applyNumberFormat="1" applyFont="1"/>
    <xf numFmtId="197" fontId="4" fillId="0" borderId="34" xfId="0" applyNumberFormat="1" applyFont="1" applyBorder="1"/>
    <xf numFmtId="193" fontId="4" fillId="0" borderId="38" xfId="0" applyNumberFormat="1" applyFont="1" applyBorder="1"/>
    <xf numFmtId="189" fontId="31" fillId="11" borderId="29" xfId="0" applyNumberFormat="1" applyFont="1" applyFill="1" applyBorder="1"/>
    <xf numFmtId="189" fontId="12" fillId="11" borderId="29" xfId="0" applyNumberFormat="1" applyFont="1" applyFill="1" applyBorder="1"/>
    <xf numFmtId="189" fontId="31" fillId="11" borderId="34" xfId="0" applyNumberFormat="1" applyFont="1" applyFill="1" applyBorder="1"/>
    <xf numFmtId="189" fontId="31" fillId="11" borderId="30" xfId="0" applyNumberFormat="1" applyFont="1" applyFill="1" applyBorder="1"/>
    <xf numFmtId="0" fontId="4" fillId="0" borderId="34" xfId="0" applyFont="1" applyBorder="1"/>
    <xf numFmtId="0" fontId="15" fillId="12" borderId="0" xfId="0" applyFont="1" applyFill="1"/>
    <xf numFmtId="0" fontId="15" fillId="12" borderId="34" xfId="0" applyFont="1" applyFill="1" applyBorder="1"/>
    <xf numFmtId="179" fontId="4" fillId="0" borderId="0" xfId="0" applyNumberFormat="1" applyFont="1"/>
    <xf numFmtId="0" fontId="4" fillId="0" borderId="28" xfId="0" applyFont="1" applyBorder="1"/>
    <xf numFmtId="0" fontId="4" fillId="0" borderId="29" xfId="0" applyFont="1" applyBorder="1" applyAlignment="1">
      <alignment horizontal="right"/>
    </xf>
    <xf numFmtId="0" fontId="4" fillId="0" borderId="30" xfId="0" applyFont="1" applyBorder="1" applyAlignment="1">
      <alignment horizontal="right"/>
    </xf>
    <xf numFmtId="0" fontId="4" fillId="0" borderId="41" xfId="0" applyFont="1" applyBorder="1"/>
    <xf numFmtId="0" fontId="4" fillId="0" borderId="42" xfId="0" quotePrefix="1" applyFont="1" applyBorder="1"/>
    <xf numFmtId="39" fontId="4" fillId="0" borderId="43" xfId="0" applyNumberFormat="1" applyFont="1" applyBorder="1"/>
    <xf numFmtId="39" fontId="31" fillId="0" borderId="43" xfId="0" applyNumberFormat="1" applyFont="1" applyBorder="1"/>
    <xf numFmtId="0" fontId="4" fillId="0" borderId="42" xfId="0" applyFont="1" applyBorder="1"/>
    <xf numFmtId="0" fontId="4" fillId="0" borderId="44" xfId="0" applyFont="1" applyBorder="1"/>
    <xf numFmtId="39" fontId="4" fillId="0" borderId="8" xfId="0" applyNumberFormat="1" applyFont="1" applyBorder="1"/>
    <xf numFmtId="39" fontId="31" fillId="0" borderId="8" xfId="0" applyNumberFormat="1" applyFont="1" applyBorder="1"/>
    <xf numFmtId="39" fontId="4" fillId="0" borderId="38" xfId="0" applyNumberFormat="1" applyFont="1" applyBorder="1"/>
    <xf numFmtId="0" fontId="4" fillId="0" borderId="45" xfId="0" applyFont="1" applyBorder="1"/>
    <xf numFmtId="39" fontId="31" fillId="0" borderId="38" xfId="0" applyNumberFormat="1" applyFont="1" applyBorder="1"/>
    <xf numFmtId="192" fontId="15" fillId="0" borderId="26" xfId="0" applyNumberFormat="1" applyFont="1" applyBorder="1"/>
    <xf numFmtId="37" fontId="11" fillId="0" borderId="0" xfId="0" applyNumberFormat="1" applyFont="1" applyAlignment="1">
      <alignment horizontal="right" vertical="top" wrapText="1"/>
    </xf>
    <xf numFmtId="0" fontId="12" fillId="0" borderId="0" xfId="0" applyFont="1" applyAlignment="1">
      <alignment horizontal="center"/>
    </xf>
    <xf numFmtId="8" fontId="12" fillId="0" borderId="0" xfId="0" applyNumberFormat="1" applyFont="1" applyAlignment="1">
      <alignment horizontal="center"/>
    </xf>
    <xf numFmtId="14" fontId="12" fillId="0" borderId="0" xfId="0" applyNumberFormat="1" applyFont="1" applyAlignment="1">
      <alignment horizontal="center"/>
    </xf>
    <xf numFmtId="172" fontId="12" fillId="0" borderId="0" xfId="0" applyNumberFormat="1" applyFont="1" applyAlignment="1">
      <alignment horizontal="center"/>
    </xf>
    <xf numFmtId="0" fontId="4" fillId="0" borderId="20" xfId="0" applyFont="1" applyBorder="1"/>
    <xf numFmtId="173" fontId="12" fillId="0" borderId="20" xfId="0" applyNumberFormat="1" applyFont="1" applyBorder="1" applyAlignment="1">
      <alignment horizontal="center"/>
    </xf>
    <xf numFmtId="0" fontId="4" fillId="0" borderId="21" xfId="0" applyFont="1" applyBorder="1"/>
    <xf numFmtId="0" fontId="4" fillId="0" borderId="23" xfId="0" applyFont="1" applyBorder="1"/>
    <xf numFmtId="0" fontId="4" fillId="0" borderId="24" xfId="0" applyFont="1" applyBorder="1"/>
    <xf numFmtId="0" fontId="12" fillId="0" borderId="26" xfId="0" applyFont="1" applyBorder="1" applyAlignment="1">
      <alignment horizontal="center"/>
    </xf>
    <xf numFmtId="0" fontId="4" fillId="0" borderId="27" xfId="0" applyFont="1" applyBorder="1"/>
    <xf numFmtId="0" fontId="33" fillId="0" borderId="25" xfId="0" applyFont="1" applyBorder="1"/>
    <xf numFmtId="0" fontId="33" fillId="0" borderId="22" xfId="0" applyFont="1" applyBorder="1"/>
    <xf numFmtId="0" fontId="15" fillId="0" borderId="22" xfId="0" applyFont="1" applyBorder="1"/>
    <xf numFmtId="0" fontId="15" fillId="0" borderId="21" xfId="0" applyFont="1" applyBorder="1"/>
    <xf numFmtId="0" fontId="4" fillId="0" borderId="0" xfId="0" applyFont="1" applyAlignment="1">
      <alignment horizontal="center"/>
    </xf>
    <xf numFmtId="171" fontId="12" fillId="6" borderId="7" xfId="0" applyNumberFormat="1" applyFont="1" applyFill="1" applyBorder="1" applyAlignment="1">
      <alignment horizontal="center"/>
    </xf>
    <xf numFmtId="171" fontId="12" fillId="6" borderId="47" xfId="0" applyNumberFormat="1" applyFont="1" applyFill="1" applyBorder="1" applyAlignment="1">
      <alignment horizontal="center"/>
    </xf>
    <xf numFmtId="0" fontId="4" fillId="0" borderId="0" xfId="0" applyFont="1" applyAlignment="1">
      <alignment vertical="center"/>
    </xf>
    <xf numFmtId="0" fontId="4" fillId="0" borderId="0" xfId="0" applyFont="1" applyAlignment="1">
      <alignment horizontal="left" vertical="center"/>
    </xf>
    <xf numFmtId="199" fontId="5" fillId="2" borderId="0" xfId="0" applyNumberFormat="1" applyFont="1" applyFill="1" applyAlignment="1">
      <alignment horizontal="center" vertical="center" wrapText="1"/>
    </xf>
    <xf numFmtId="0" fontId="4" fillId="0" borderId="22" xfId="0" applyFont="1" applyBorder="1" applyAlignment="1">
      <alignment horizontal="left" indent="1"/>
    </xf>
    <xf numFmtId="176" fontId="31" fillId="0" borderId="23" xfId="0" applyNumberFormat="1" applyFont="1" applyBorder="1"/>
    <xf numFmtId="0" fontId="45" fillId="2" borderId="26" xfId="0" applyFont="1" applyFill="1" applyBorder="1"/>
    <xf numFmtId="0" fontId="45" fillId="2" borderId="27" xfId="0" applyFont="1" applyFill="1" applyBorder="1"/>
    <xf numFmtId="0" fontId="2" fillId="2" borderId="25" xfId="0" applyFont="1" applyFill="1" applyBorder="1"/>
    <xf numFmtId="0" fontId="45" fillId="0" borderId="0" xfId="0" applyFont="1"/>
    <xf numFmtId="0" fontId="45" fillId="0" borderId="23" xfId="0" applyFont="1" applyBorder="1"/>
    <xf numFmtId="0" fontId="2" fillId="0" borderId="22" xfId="0" applyFont="1" applyBorder="1"/>
    <xf numFmtId="0" fontId="3" fillId="0" borderId="0" xfId="0" applyFont="1" applyAlignment="1">
      <alignment vertical="center" wrapText="1"/>
    </xf>
    <xf numFmtId="14" fontId="3" fillId="0" borderId="0" xfId="0" applyNumberFormat="1" applyFont="1" applyAlignment="1">
      <alignment horizontal="center" vertical="center" wrapText="1"/>
    </xf>
    <xf numFmtId="0" fontId="15" fillId="13" borderId="26" xfId="0" applyFont="1" applyFill="1" applyBorder="1" applyAlignment="1">
      <alignment horizontal="left"/>
    </xf>
    <xf numFmtId="5" fontId="33" fillId="13" borderId="26" xfId="0" applyNumberFormat="1" applyFont="1" applyFill="1" applyBorder="1"/>
    <xf numFmtId="5" fontId="15" fillId="13" borderId="26" xfId="0" applyNumberFormat="1" applyFont="1" applyFill="1" applyBorder="1"/>
    <xf numFmtId="5" fontId="33" fillId="0" borderId="26" xfId="0" applyNumberFormat="1" applyFont="1" applyBorder="1"/>
    <xf numFmtId="41" fontId="6" fillId="0" borderId="0" xfId="0" applyNumberFormat="1" applyFont="1" applyAlignment="1">
      <alignment horizontal="right" vertical="center" wrapText="1"/>
    </xf>
    <xf numFmtId="41" fontId="6" fillId="0" borderId="0" xfId="0" applyNumberFormat="1" applyFont="1" applyAlignment="1">
      <alignment horizontal="right" wrapText="1"/>
    </xf>
    <xf numFmtId="41" fontId="27" fillId="0" borderId="0" xfId="0" applyNumberFormat="1" applyFont="1" applyAlignment="1">
      <alignment horizontal="right" wrapText="1"/>
    </xf>
    <xf numFmtId="0" fontId="2" fillId="14" borderId="0" xfId="0" applyFont="1" applyFill="1" applyAlignment="1">
      <alignment vertical="center" wrapText="1"/>
    </xf>
    <xf numFmtId="0" fontId="3" fillId="14" borderId="0" xfId="0" applyFont="1" applyFill="1" applyAlignment="1">
      <alignment vertical="center" wrapText="1"/>
    </xf>
    <xf numFmtId="0" fontId="2" fillId="15" borderId="0" xfId="0" applyFont="1" applyFill="1" applyAlignment="1">
      <alignment vertical="center" wrapText="1"/>
    </xf>
    <xf numFmtId="0" fontId="2" fillId="15" borderId="4" xfId="0" applyFont="1" applyFill="1" applyBorder="1" applyAlignment="1">
      <alignment horizontal="centerContinuous" vertical="center" wrapText="1"/>
    </xf>
    <xf numFmtId="0" fontId="3" fillId="15" borderId="0" xfId="0" applyFont="1" applyFill="1" applyAlignment="1">
      <alignment vertical="center" wrapText="1"/>
    </xf>
    <xf numFmtId="14" fontId="3" fillId="15" borderId="0" xfId="0" applyNumberFormat="1" applyFont="1" applyFill="1" applyAlignment="1">
      <alignment horizontal="center" vertical="center" wrapText="1"/>
    </xf>
    <xf numFmtId="167" fontId="7" fillId="0" borderId="0" xfId="1" applyNumberFormat="1" applyFont="1" applyFill="1" applyBorder="1" applyAlignment="1">
      <alignment horizontal="right" vertical="center" wrapText="1"/>
    </xf>
    <xf numFmtId="0" fontId="2" fillId="2" borderId="0" xfId="0" applyFont="1" applyFill="1" applyAlignment="1">
      <alignment horizontal="centerContinuous" vertical="center" wrapText="1"/>
    </xf>
    <xf numFmtId="0" fontId="2" fillId="14" borderId="4" xfId="0" applyFont="1" applyFill="1" applyBorder="1" applyAlignment="1">
      <alignment horizontal="centerContinuous" vertical="center" wrapText="1"/>
    </xf>
    <xf numFmtId="0" fontId="4" fillId="14" borderId="0" xfId="0" applyFont="1" applyFill="1" applyAlignment="1">
      <alignment wrapText="1"/>
    </xf>
    <xf numFmtId="0" fontId="5" fillId="14" borderId="0" xfId="0" applyFont="1" applyFill="1" applyAlignment="1">
      <alignment horizontal="center" vertical="center" wrapText="1"/>
    </xf>
    <xf numFmtId="14" fontId="3" fillId="14" borderId="0" xfId="0" applyNumberFormat="1" applyFont="1" applyFill="1" applyAlignment="1">
      <alignment horizontal="center" vertical="center" wrapText="1"/>
    </xf>
    <xf numFmtId="198" fontId="5" fillId="2" borderId="0" xfId="0" applyNumberFormat="1" applyFont="1" applyFill="1" applyAlignment="1">
      <alignment horizontal="center" vertical="center" wrapText="1"/>
    </xf>
    <xf numFmtId="0" fontId="2" fillId="16" borderId="0" xfId="0" applyFont="1" applyFill="1" applyAlignment="1">
      <alignment vertical="center" wrapText="1"/>
    </xf>
    <xf numFmtId="0" fontId="3" fillId="16" borderId="0" xfId="0" applyFont="1" applyFill="1" applyAlignment="1">
      <alignment vertical="center" wrapText="1"/>
    </xf>
    <xf numFmtId="199" fontId="5" fillId="16" borderId="0" xfId="0" applyNumberFormat="1" applyFont="1" applyFill="1" applyAlignment="1">
      <alignment horizontal="center" vertical="center" wrapText="1"/>
    </xf>
    <xf numFmtId="198" fontId="5" fillId="16" borderId="0" xfId="0" applyNumberFormat="1" applyFont="1" applyFill="1" applyAlignment="1">
      <alignment horizontal="center" vertical="center" wrapText="1"/>
    </xf>
    <xf numFmtId="14" fontId="3" fillId="16" borderId="0" xfId="0" applyNumberFormat="1" applyFont="1" applyFill="1" applyAlignment="1">
      <alignment horizontal="center" vertical="center" wrapText="1"/>
    </xf>
    <xf numFmtId="0" fontId="2" fillId="17" borderId="0" xfId="0" applyFont="1" applyFill="1" applyAlignment="1">
      <alignment vertical="center" wrapText="1"/>
    </xf>
    <xf numFmtId="0" fontId="2" fillId="17" borderId="4" xfId="0" applyFont="1" applyFill="1" applyBorder="1" applyAlignment="1">
      <alignment horizontal="centerContinuous" vertical="center" wrapText="1"/>
    </xf>
    <xf numFmtId="0" fontId="4" fillId="17" borderId="0" xfId="0" applyFont="1" applyFill="1" applyAlignment="1">
      <alignment wrapText="1"/>
    </xf>
    <xf numFmtId="0" fontId="5" fillId="17" borderId="0" xfId="0" applyFont="1" applyFill="1" applyAlignment="1">
      <alignment horizontal="center" vertical="center" wrapText="1"/>
    </xf>
    <xf numFmtId="0" fontId="3" fillId="17" borderId="0" xfId="0" applyFont="1" applyFill="1" applyAlignment="1">
      <alignment vertical="center" wrapText="1"/>
    </xf>
    <xf numFmtId="0" fontId="5" fillId="17" borderId="0" xfId="0" applyFont="1" applyFill="1" applyAlignment="1">
      <alignment vertical="center" wrapText="1"/>
    </xf>
    <xf numFmtId="14" fontId="3" fillId="17" borderId="0" xfId="0" applyNumberFormat="1" applyFont="1" applyFill="1" applyAlignment="1">
      <alignment horizontal="center" vertical="center" wrapText="1"/>
    </xf>
    <xf numFmtId="14" fontId="3" fillId="17" borderId="0" xfId="0" applyNumberFormat="1" applyFont="1" applyFill="1" applyAlignment="1">
      <alignment vertical="center" wrapText="1"/>
    </xf>
    <xf numFmtId="0" fontId="2" fillId="18" borderId="0" xfId="0" applyFont="1" applyFill="1" applyAlignment="1">
      <alignment vertical="center" wrapText="1"/>
    </xf>
    <xf numFmtId="0" fontId="2" fillId="18" borderId="4" xfId="0" applyFont="1" applyFill="1" applyBorder="1" applyAlignment="1">
      <alignment horizontal="centerContinuous" vertical="center" wrapText="1"/>
    </xf>
    <xf numFmtId="0" fontId="3" fillId="18" borderId="0" xfId="0" applyFont="1" applyFill="1" applyAlignment="1">
      <alignment vertical="center" wrapText="1"/>
    </xf>
    <xf numFmtId="198" fontId="5" fillId="18" borderId="0" xfId="0" applyNumberFormat="1" applyFont="1" applyFill="1" applyAlignment="1">
      <alignment horizontal="center" vertical="center" wrapText="1"/>
    </xf>
    <xf numFmtId="14" fontId="3" fillId="18" borderId="0" xfId="0" applyNumberFormat="1" applyFont="1" applyFill="1" applyAlignment="1">
      <alignment horizontal="center" vertical="center" wrapText="1"/>
    </xf>
    <xf numFmtId="199" fontId="5" fillId="15" borderId="0" xfId="0" applyNumberFormat="1" applyFont="1" applyFill="1" applyAlignment="1">
      <alignment horizontal="center" vertical="center" wrapText="1"/>
    </xf>
    <xf numFmtId="198" fontId="5" fillId="15" borderId="0" xfId="0" applyNumberFormat="1" applyFont="1" applyFill="1" applyAlignment="1">
      <alignment horizontal="center" vertical="center" wrapText="1"/>
    </xf>
    <xf numFmtId="14" fontId="12" fillId="0" borderId="0" xfId="5" applyNumberFormat="1" applyFont="1" applyAlignment="1">
      <alignment horizontal="right"/>
    </xf>
    <xf numFmtId="14" fontId="31" fillId="0" borderId="0" xfId="5" applyNumberFormat="1" applyFont="1" applyAlignment="1">
      <alignment horizontal="right"/>
    </xf>
    <xf numFmtId="7" fontId="12" fillId="0" borderId="0" xfId="0" applyNumberFormat="1" applyFont="1"/>
    <xf numFmtId="0" fontId="43" fillId="0" borderId="0" xfId="0" applyFont="1" applyAlignment="1">
      <alignment horizontal="center"/>
    </xf>
    <xf numFmtId="177" fontId="31" fillId="0" borderId="20" xfId="0" applyNumberFormat="1" applyFont="1" applyBorder="1"/>
    <xf numFmtId="7" fontId="29" fillId="0" borderId="20" xfId="0" applyNumberFormat="1" applyFont="1" applyBorder="1" applyAlignment="1">
      <alignment horizontal="right"/>
    </xf>
    <xf numFmtId="0" fontId="42" fillId="0" borderId="23" xfId="6" applyFont="1" applyBorder="1"/>
    <xf numFmtId="0" fontId="4" fillId="0" borderId="25" xfId="0" applyFont="1" applyBorder="1"/>
    <xf numFmtId="14" fontId="12" fillId="0" borderId="26" xfId="5" applyNumberFormat="1" applyFont="1" applyBorder="1" applyAlignment="1">
      <alignment horizontal="right"/>
    </xf>
    <xf numFmtId="176" fontId="29" fillId="0" borderId="26" xfId="0" applyNumberFormat="1" applyFont="1" applyBorder="1"/>
    <xf numFmtId="0" fontId="6" fillId="0" borderId="0" xfId="0" applyFont="1" applyAlignment="1">
      <alignment vertical="center" wrapText="1"/>
    </xf>
    <xf numFmtId="0" fontId="16" fillId="0" borderId="22" xfId="0" applyFont="1" applyBorder="1" applyAlignment="1">
      <alignment horizontal="left" indent="2"/>
    </xf>
    <xf numFmtId="176" fontId="27" fillId="0" borderId="0" xfId="0" applyNumberFormat="1" applyFont="1"/>
    <xf numFmtId="0" fontId="24" fillId="0" borderId="0" xfId="0" applyFont="1" applyAlignment="1">
      <alignment horizontal="left" vertical="center" indent="1"/>
    </xf>
    <xf numFmtId="167" fontId="10" fillId="0" borderId="0" xfId="1" applyNumberFormat="1" applyFont="1" applyFill="1" applyAlignment="1">
      <alignment horizontal="right" vertical="center"/>
    </xf>
    <xf numFmtId="0" fontId="16" fillId="0" borderId="0" xfId="0" applyFont="1" applyAlignment="1">
      <alignment horizontal="left" vertical="center" indent="1"/>
    </xf>
    <xf numFmtId="0" fontId="2" fillId="2" borderId="0" xfId="0" applyFont="1" applyFill="1" applyAlignment="1">
      <alignment horizontal="centerContinuous" vertical="center"/>
    </xf>
    <xf numFmtId="0" fontId="34" fillId="0" borderId="22" xfId="0" applyFont="1" applyBorder="1" applyAlignment="1">
      <alignment horizontal="left" indent="1"/>
    </xf>
    <xf numFmtId="37" fontId="47" fillId="6" borderId="0" xfId="0" applyNumberFormat="1" applyFont="1" applyFill="1"/>
    <xf numFmtId="0" fontId="15" fillId="6" borderId="26" xfId="0" applyFont="1" applyFill="1" applyBorder="1"/>
    <xf numFmtId="7" fontId="33" fillId="6" borderId="26" xfId="0" applyNumberFormat="1" applyFont="1" applyFill="1" applyBorder="1"/>
    <xf numFmtId="173" fontId="29" fillId="0" borderId="0" xfId="0" applyNumberFormat="1" applyFont="1" applyAlignment="1">
      <alignment horizontal="right" vertical="center"/>
    </xf>
    <xf numFmtId="0" fontId="15" fillId="0" borderId="48" xfId="0" applyFont="1" applyBorder="1"/>
    <xf numFmtId="0" fontId="15" fillId="0" borderId="49" xfId="0" applyFont="1" applyBorder="1"/>
    <xf numFmtId="7" fontId="48" fillId="0" borderId="50" xfId="0" applyNumberFormat="1" applyFont="1" applyBorder="1"/>
    <xf numFmtId="0" fontId="2" fillId="2" borderId="0" xfId="0" applyFont="1" applyFill="1" applyAlignment="1">
      <alignment horizontal="centerContinuous"/>
    </xf>
    <xf numFmtId="0" fontId="2" fillId="2" borderId="0" xfId="0" applyFont="1" applyFill="1" applyAlignment="1">
      <alignment horizontal="left" vertical="center" wrapText="1"/>
    </xf>
    <xf numFmtId="0" fontId="3" fillId="2" borderId="4" xfId="0" applyFont="1" applyFill="1" applyBorder="1" applyAlignment="1">
      <alignment horizontal="left" vertical="center" wrapText="1"/>
    </xf>
    <xf numFmtId="0" fontId="2" fillId="0" borderId="0" xfId="0" applyFont="1" applyAlignment="1">
      <alignment horizontal="centerContinuous" vertical="center"/>
    </xf>
    <xf numFmtId="0" fontId="44" fillId="0" borderId="0" xfId="0" applyFont="1" applyAlignment="1">
      <alignment horizontal="center"/>
    </xf>
    <xf numFmtId="173" fontId="33" fillId="6" borderId="26" xfId="0" applyNumberFormat="1" applyFont="1" applyFill="1" applyBorder="1"/>
    <xf numFmtId="0" fontId="4" fillId="6" borderId="26" xfId="0" applyFont="1" applyFill="1" applyBorder="1"/>
    <xf numFmtId="173" fontId="11" fillId="0" borderId="0" xfId="0" applyNumberFormat="1" applyFont="1" applyAlignment="1">
      <alignment horizontal="right" vertical="center"/>
    </xf>
    <xf numFmtId="0" fontId="2" fillId="2" borderId="0" xfId="0" applyFont="1" applyFill="1" applyAlignment="1">
      <alignment horizontal="left" vertical="center"/>
    </xf>
    <xf numFmtId="0" fontId="15" fillId="7" borderId="26" xfId="0" applyFont="1" applyFill="1" applyBorder="1"/>
    <xf numFmtId="188" fontId="15" fillId="7" borderId="26" xfId="0" applyNumberFormat="1" applyFont="1" applyFill="1" applyBorder="1"/>
    <xf numFmtId="188" fontId="31" fillId="0" borderId="0" xfId="0" applyNumberFormat="1" applyFont="1" applyAlignment="1">
      <alignment vertical="center"/>
    </xf>
    <xf numFmtId="0" fontId="15" fillId="7" borderId="26" xfId="0" applyFont="1" applyFill="1" applyBorder="1" applyAlignment="1">
      <alignment vertical="center"/>
    </xf>
    <xf numFmtId="0" fontId="33" fillId="7" borderId="26" xfId="0" applyFont="1" applyFill="1" applyBorder="1" applyAlignment="1">
      <alignment vertical="center"/>
    </xf>
    <xf numFmtId="188" fontId="33" fillId="7" borderId="26" xfId="0" applyNumberFormat="1" applyFont="1" applyFill="1" applyBorder="1" applyAlignment="1">
      <alignment vertical="center"/>
    </xf>
    <xf numFmtId="0" fontId="2" fillId="0" borderId="0" xfId="0" applyFont="1" applyAlignment="1">
      <alignment horizontal="left" vertical="center" wrapText="1"/>
    </xf>
    <xf numFmtId="0" fontId="2" fillId="0" borderId="0" xfId="0" applyFont="1" applyAlignment="1">
      <alignment horizontal="centerContinuous" vertical="center" wrapText="1"/>
    </xf>
    <xf numFmtId="188" fontId="49" fillId="0" borderId="10" xfId="0" applyNumberFormat="1" applyFont="1" applyBorder="1" applyAlignment="1">
      <alignment horizontal="center"/>
    </xf>
    <xf numFmtId="188" fontId="49" fillId="0" borderId="0" xfId="0" applyNumberFormat="1" applyFont="1" applyAlignment="1">
      <alignment horizontal="center"/>
    </xf>
    <xf numFmtId="14" fontId="47" fillId="0" borderId="0" xfId="0" applyNumberFormat="1" applyFont="1" applyAlignment="1">
      <alignment horizontal="center"/>
    </xf>
    <xf numFmtId="0" fontId="2" fillId="0" borderId="0" xfId="0" applyFont="1" applyAlignment="1">
      <alignment horizontal="left" vertical="center"/>
    </xf>
    <xf numFmtId="37" fontId="15" fillId="7" borderId="26" xfId="0" applyNumberFormat="1" applyFont="1" applyFill="1" applyBorder="1"/>
    <xf numFmtId="193" fontId="15" fillId="6" borderId="26" xfId="0" applyNumberFormat="1" applyFont="1" applyFill="1" applyBorder="1" applyAlignment="1">
      <alignment horizontal="right"/>
    </xf>
    <xf numFmtId="188" fontId="29" fillId="0" borderId="37" xfId="0" applyNumberFormat="1" applyFont="1" applyBorder="1"/>
    <xf numFmtId="0" fontId="4" fillId="0" borderId="37" xfId="0" applyFont="1" applyBorder="1"/>
    <xf numFmtId="177" fontId="31" fillId="0" borderId="37" xfId="0" applyNumberFormat="1" applyFont="1" applyBorder="1"/>
    <xf numFmtId="188" fontId="31" fillId="0" borderId="37" xfId="0" applyNumberFormat="1" applyFont="1" applyBorder="1"/>
    <xf numFmtId="176" fontId="29" fillId="0" borderId="34" xfId="0" applyNumberFormat="1" applyFont="1" applyBorder="1" applyAlignment="1">
      <alignment vertical="center"/>
    </xf>
    <xf numFmtId="176" fontId="29" fillId="0" borderId="0" xfId="0" applyNumberFormat="1" applyFont="1" applyAlignment="1">
      <alignment vertical="center"/>
    </xf>
    <xf numFmtId="0" fontId="37" fillId="0" borderId="10" xfId="0" applyFont="1" applyBorder="1" applyAlignment="1">
      <alignment horizontal="centerContinuous"/>
    </xf>
    <xf numFmtId="188" fontId="33" fillId="6" borderId="26" xfId="0" applyNumberFormat="1" applyFont="1" applyFill="1" applyBorder="1"/>
    <xf numFmtId="188" fontId="33" fillId="7" borderId="51" xfId="0" applyNumberFormat="1" applyFont="1" applyFill="1" applyBorder="1"/>
    <xf numFmtId="188" fontId="33" fillId="7" borderId="26" xfId="0" applyNumberFormat="1" applyFont="1" applyFill="1" applyBorder="1"/>
    <xf numFmtId="167" fontId="10" fillId="20" borderId="0" xfId="1" applyNumberFormat="1" applyFont="1" applyFill="1" applyAlignment="1">
      <alignment horizontal="right" vertical="center"/>
    </xf>
    <xf numFmtId="177" fontId="50" fillId="19" borderId="46" xfId="0" applyNumberFormat="1" applyFont="1" applyFill="1" applyBorder="1" applyAlignment="1">
      <alignment horizontal="center" vertical="center"/>
    </xf>
    <xf numFmtId="41" fontId="22" fillId="0" borderId="0" xfId="0" applyNumberFormat="1" applyFont="1" applyAlignment="1">
      <alignment horizontal="right" vertical="center" wrapText="1"/>
    </xf>
    <xf numFmtId="0" fontId="46" fillId="0" borderId="0" xfId="0" applyFont="1" applyAlignment="1">
      <alignment horizontal="left" vertical="center" indent="1"/>
    </xf>
    <xf numFmtId="167" fontId="10" fillId="20" borderId="0" xfId="1" applyNumberFormat="1" applyFont="1" applyFill="1" applyBorder="1" applyAlignment="1">
      <alignment horizontal="right" vertical="center" wrapText="1"/>
    </xf>
    <xf numFmtId="0" fontId="22" fillId="0" borderId="1" xfId="0" applyFont="1" applyBorder="1" applyAlignment="1">
      <alignment vertical="top" wrapText="1"/>
    </xf>
    <xf numFmtId="43" fontId="22" fillId="0" borderId="1" xfId="0" applyNumberFormat="1" applyFont="1" applyBorder="1" applyAlignment="1">
      <alignment wrapText="1"/>
    </xf>
    <xf numFmtId="0" fontId="23" fillId="0" borderId="1" xfId="0" applyFont="1" applyBorder="1" applyAlignment="1">
      <alignment wrapText="1"/>
    </xf>
    <xf numFmtId="0" fontId="14" fillId="0" borderId="1" xfId="0" applyFont="1" applyBorder="1" applyAlignment="1">
      <alignment wrapText="1"/>
    </xf>
    <xf numFmtId="0" fontId="6" fillId="0" borderId="0" xfId="0" applyFont="1" applyAlignment="1">
      <alignment wrapText="1"/>
    </xf>
    <xf numFmtId="41" fontId="11" fillId="0" borderId="0" xfId="0" applyNumberFormat="1" applyFont="1" applyAlignment="1">
      <alignment horizontal="right" wrapText="1"/>
    </xf>
    <xf numFmtId="0" fontId="4" fillId="0" borderId="0" xfId="0" applyFont="1" applyAlignment="1">
      <alignment vertical="center" wrapText="1"/>
    </xf>
    <xf numFmtId="41" fontId="11" fillId="0" borderId="0" xfId="0" applyNumberFormat="1" applyFont="1" applyAlignment="1">
      <alignment horizontal="right" vertical="center" wrapText="1"/>
    </xf>
    <xf numFmtId="37" fontId="4" fillId="0" borderId="0" xfId="0" applyNumberFormat="1" applyFont="1" applyAlignment="1">
      <alignment vertical="center" wrapText="1"/>
    </xf>
    <xf numFmtId="41" fontId="6" fillId="0" borderId="0" xfId="0" applyNumberFormat="1" applyFont="1"/>
    <xf numFmtId="0" fontId="14" fillId="3" borderId="0" xfId="0" applyFont="1" applyFill="1"/>
    <xf numFmtId="167" fontId="10" fillId="3" borderId="0" xfId="1" applyNumberFormat="1" applyFont="1" applyFill="1" applyBorder="1" applyAlignment="1">
      <alignment horizontal="right" vertical="center" wrapText="1"/>
    </xf>
    <xf numFmtId="167" fontId="51" fillId="3" borderId="0" xfId="1" applyNumberFormat="1" applyFont="1" applyFill="1" applyBorder="1" applyAlignment="1">
      <alignment horizontal="right" vertical="center" wrapText="1"/>
    </xf>
    <xf numFmtId="168" fontId="51" fillId="3" borderId="0" xfId="1" applyNumberFormat="1" applyFont="1" applyFill="1" applyBorder="1" applyAlignment="1">
      <alignment horizontal="right" vertical="center" wrapText="1"/>
    </xf>
    <xf numFmtId="0" fontId="14" fillId="0" borderId="0" xfId="0" applyFont="1"/>
    <xf numFmtId="176" fontId="6" fillId="0" borderId="34" xfId="0" applyNumberFormat="1" applyFont="1" applyBorder="1" applyAlignment="1">
      <alignment vertical="center"/>
    </xf>
    <xf numFmtId="0" fontId="24" fillId="0" borderId="0" xfId="0" applyFont="1" applyAlignment="1">
      <alignment horizontal="left" wrapText="1"/>
    </xf>
    <xf numFmtId="41" fontId="7" fillId="0" borderId="22" xfId="0" applyNumberFormat="1" applyFont="1" applyBorder="1" applyAlignment="1">
      <alignment horizontal="right" vertical="top" wrapText="1"/>
    </xf>
    <xf numFmtId="176" fontId="30" fillId="0" borderId="0" xfId="0" applyNumberFormat="1" applyFont="1"/>
    <xf numFmtId="41" fontId="31" fillId="0" borderId="0" xfId="0" applyNumberFormat="1" applyFont="1"/>
    <xf numFmtId="176" fontId="6" fillId="0" borderId="0" xfId="0" applyNumberFormat="1" applyFont="1"/>
    <xf numFmtId="0" fontId="53" fillId="0" borderId="0" xfId="0" applyFont="1" applyAlignment="1">
      <alignment horizontal="right" vertical="center" wrapText="1"/>
    </xf>
    <xf numFmtId="0" fontId="8" fillId="0" borderId="1" xfId="0" applyFont="1" applyBorder="1" applyAlignment="1">
      <alignment horizontal="left" vertical="center" wrapText="1"/>
    </xf>
    <xf numFmtId="0" fontId="54" fillId="0" borderId="0" xfId="0" applyFont="1" applyAlignment="1">
      <alignment horizontal="left" vertical="top" wrapText="1"/>
    </xf>
    <xf numFmtId="0" fontId="6" fillId="0" borderId="0" xfId="0" applyFont="1" applyAlignment="1">
      <alignment horizontal="left" vertical="top" indent="1"/>
    </xf>
    <xf numFmtId="0" fontId="6" fillId="0" borderId="0" xfId="0" applyFont="1" applyAlignment="1">
      <alignment horizontal="left" vertical="top" wrapText="1" indent="1"/>
    </xf>
    <xf numFmtId="7" fontId="8" fillId="7" borderId="2" xfId="0" applyNumberFormat="1" applyFont="1" applyFill="1" applyBorder="1" applyAlignment="1">
      <alignment horizontal="right" vertical="top" wrapText="1"/>
    </xf>
    <xf numFmtId="0" fontId="8" fillId="7" borderId="0" xfId="0" applyFont="1" applyFill="1" applyAlignment="1">
      <alignment vertical="top" wrapText="1"/>
    </xf>
    <xf numFmtId="14" fontId="3" fillId="2" borderId="0" xfId="0" applyNumberFormat="1" applyFont="1" applyFill="1" applyAlignment="1">
      <alignment horizontal="left" vertical="center" wrapText="1"/>
    </xf>
    <xf numFmtId="7" fontId="8" fillId="6" borderId="2" xfId="0" applyNumberFormat="1" applyFont="1" applyFill="1" applyBorder="1" applyAlignment="1">
      <alignment horizontal="right" vertical="top" wrapText="1"/>
    </xf>
    <xf numFmtId="7" fontId="8" fillId="0" borderId="0" xfId="0" applyNumberFormat="1" applyFont="1" applyAlignment="1">
      <alignment horizontal="right" vertical="top" wrapText="1"/>
    </xf>
    <xf numFmtId="0" fontId="6" fillId="0" borderId="0" xfId="0" applyFont="1" applyAlignment="1">
      <alignment horizontal="left" vertical="top" indent="2"/>
    </xf>
    <xf numFmtId="0" fontId="6" fillId="0" borderId="0" xfId="0" applyFont="1" applyAlignment="1">
      <alignment horizontal="left" vertical="center" wrapText="1" indent="1"/>
    </xf>
    <xf numFmtId="0" fontId="8" fillId="6" borderId="0" xfId="0" applyFont="1" applyFill="1" applyAlignment="1">
      <alignment vertical="top" wrapText="1"/>
    </xf>
    <xf numFmtId="7" fontId="27" fillId="0" borderId="0" xfId="0" applyNumberFormat="1" applyFont="1" applyAlignment="1">
      <alignment horizontal="right"/>
    </xf>
    <xf numFmtId="14" fontId="3" fillId="0" borderId="0" xfId="0" applyNumberFormat="1" applyFont="1" applyAlignment="1">
      <alignment horizontal="left" vertical="center" wrapText="1"/>
    </xf>
    <xf numFmtId="0" fontId="0" fillId="0" borderId="0" xfId="0" applyAlignment="1">
      <alignment vertical="center"/>
    </xf>
    <xf numFmtId="171" fontId="12" fillId="6" borderId="0" xfId="0" applyNumberFormat="1" applyFont="1" applyFill="1" applyAlignment="1">
      <alignment horizontal="right"/>
    </xf>
    <xf numFmtId="170" fontId="11" fillId="6" borderId="0" xfId="0" applyNumberFormat="1" applyFont="1" applyFill="1" applyAlignment="1">
      <alignment horizontal="center"/>
    </xf>
    <xf numFmtId="170" fontId="11" fillId="6" borderId="0" xfId="0" applyNumberFormat="1" applyFont="1" applyFill="1" applyAlignment="1">
      <alignment horizontal="right"/>
    </xf>
    <xf numFmtId="41" fontId="8" fillId="6" borderId="0" xfId="0" applyNumberFormat="1" applyFont="1" applyFill="1" applyAlignment="1">
      <alignment horizontal="right" vertical="top" wrapText="1"/>
    </xf>
    <xf numFmtId="41" fontId="6" fillId="6" borderId="0" xfId="0" applyNumberFormat="1" applyFont="1" applyFill="1" applyAlignment="1">
      <alignment horizontal="right" vertical="top" wrapText="1"/>
    </xf>
    <xf numFmtId="41" fontId="6" fillId="0" borderId="23" xfId="0" applyNumberFormat="1" applyFont="1" applyBorder="1" applyAlignment="1">
      <alignment horizontal="right" vertical="top" wrapText="1"/>
    </xf>
    <xf numFmtId="41" fontId="8" fillId="6" borderId="23" xfId="0" applyNumberFormat="1" applyFont="1" applyFill="1" applyBorder="1" applyAlignment="1">
      <alignment horizontal="right" vertical="top" wrapText="1"/>
    </xf>
    <xf numFmtId="41" fontId="8" fillId="0" borderId="23" xfId="0" applyNumberFormat="1" applyFont="1" applyBorder="1" applyAlignment="1">
      <alignment horizontal="right" vertical="top" wrapText="1"/>
    </xf>
    <xf numFmtId="41" fontId="6" fillId="6" borderId="23" xfId="0" applyNumberFormat="1" applyFont="1" applyFill="1" applyBorder="1" applyAlignment="1">
      <alignment horizontal="right" vertical="top" wrapText="1"/>
    </xf>
    <xf numFmtId="43" fontId="22" fillId="0" borderId="24" xfId="0" applyNumberFormat="1" applyFont="1" applyBorder="1" applyAlignment="1">
      <alignment wrapText="1"/>
    </xf>
    <xf numFmtId="0" fontId="8" fillId="0" borderId="22" xfId="0" applyFont="1" applyBorder="1" applyAlignment="1">
      <alignment horizontal="right" vertical="center" wrapText="1"/>
    </xf>
    <xf numFmtId="0" fontId="46" fillId="0" borderId="21" xfId="0" applyFont="1" applyBorder="1" applyAlignment="1">
      <alignment horizontal="right" vertical="top" wrapText="1"/>
    </xf>
    <xf numFmtId="0" fontId="46" fillId="0" borderId="0" xfId="0" applyFont="1" applyAlignment="1">
      <alignment vertical="top" wrapText="1"/>
    </xf>
    <xf numFmtId="41" fontId="6" fillId="0" borderId="27" xfId="0" applyNumberFormat="1" applyFont="1" applyBorder="1" applyAlignment="1">
      <alignment horizontal="right" vertical="top" wrapText="1"/>
    </xf>
    <xf numFmtId="41" fontId="27" fillId="0" borderId="0" xfId="0" applyNumberFormat="1" applyFont="1" applyAlignment="1">
      <alignment vertical="center"/>
    </xf>
    <xf numFmtId="41" fontId="4" fillId="0" borderId="0" xfId="0" applyNumberFormat="1" applyFont="1" applyAlignment="1">
      <alignment vertical="center"/>
    </xf>
    <xf numFmtId="0" fontId="2" fillId="2" borderId="4" xfId="0" applyFont="1" applyFill="1" applyBorder="1" applyAlignment="1">
      <alignment horizontal="centerContinuous" vertical="center"/>
    </xf>
    <xf numFmtId="199" fontId="5" fillId="2" borderId="0" xfId="0" applyNumberFormat="1" applyFont="1" applyFill="1" applyAlignment="1">
      <alignment horizontal="center" vertical="center"/>
    </xf>
    <xf numFmtId="198" fontId="5" fillId="2" borderId="0" xfId="0" applyNumberFormat="1" applyFont="1" applyFill="1" applyAlignment="1">
      <alignment horizontal="center" vertical="center"/>
    </xf>
    <xf numFmtId="14" fontId="3" fillId="2" borderId="0" xfId="0" applyNumberFormat="1" applyFont="1" applyFill="1" applyAlignment="1">
      <alignment horizontal="center" vertical="center"/>
    </xf>
    <xf numFmtId="167" fontId="4" fillId="0" borderId="0" xfId="1" applyNumberFormat="1" applyFont="1" applyAlignment="1">
      <alignment horizontal="center"/>
    </xf>
    <xf numFmtId="37" fontId="6" fillId="0" borderId="0" xfId="0" applyNumberFormat="1" applyFont="1"/>
    <xf numFmtId="37" fontId="15" fillId="0" borderId="2" xfId="0" applyNumberFormat="1" applyFont="1" applyBorder="1"/>
    <xf numFmtId="167" fontId="15" fillId="0" borderId="0" xfId="1" applyNumberFormat="1" applyFont="1" applyAlignment="1">
      <alignment horizontal="center"/>
    </xf>
    <xf numFmtId="166" fontId="15" fillId="0" borderId="0" xfId="1" applyNumberFormat="1" applyFont="1" applyAlignment="1">
      <alignment horizontal="center"/>
    </xf>
    <xf numFmtId="166" fontId="4" fillId="0" borderId="0" xfId="1" applyNumberFormat="1" applyFont="1" applyAlignment="1">
      <alignment horizontal="center"/>
    </xf>
    <xf numFmtId="0" fontId="2" fillId="2" borderId="0" xfId="0" applyFont="1" applyFill="1" applyAlignment="1">
      <alignment vertical="center"/>
    </xf>
    <xf numFmtId="0" fontId="3" fillId="2" borderId="0" xfId="0" applyFont="1" applyFill="1" applyAlignment="1">
      <alignment vertical="center"/>
    </xf>
    <xf numFmtId="0" fontId="15" fillId="0" borderId="20" xfId="0" applyFont="1" applyBorder="1"/>
    <xf numFmtId="0" fontId="16" fillId="0" borderId="0" xfId="0" applyFont="1" applyAlignment="1">
      <alignment horizontal="left" indent="1"/>
    </xf>
    <xf numFmtId="0" fontId="4" fillId="6" borderId="0" xfId="0" applyFont="1" applyFill="1"/>
    <xf numFmtId="0" fontId="16" fillId="6" borderId="0" xfId="0" applyFont="1" applyFill="1" applyAlignment="1">
      <alignment horizontal="left" indent="1"/>
    </xf>
    <xf numFmtId="166" fontId="4" fillId="6" borderId="0" xfId="1" applyNumberFormat="1" applyFont="1" applyFill="1"/>
    <xf numFmtId="3" fontId="11" fillId="0" borderId="0" xfId="0" applyNumberFormat="1" applyFont="1"/>
    <xf numFmtId="177" fontId="11" fillId="6" borderId="0" xfId="0" applyNumberFormat="1" applyFont="1" applyFill="1"/>
    <xf numFmtId="177" fontId="4" fillId="6" borderId="0" xfId="1" applyNumberFormat="1" applyFont="1" applyFill="1"/>
    <xf numFmtId="3" fontId="6" fillId="0" borderId="0" xfId="0" applyNumberFormat="1" applyFont="1"/>
    <xf numFmtId="9" fontId="11" fillId="0" borderId="0" xfId="1" applyFont="1"/>
    <xf numFmtId="166" fontId="11" fillId="0" borderId="0" xfId="1" applyNumberFormat="1" applyFont="1"/>
    <xf numFmtId="9" fontId="6" fillId="0" borderId="0" xfId="1" applyFont="1"/>
    <xf numFmtId="166" fontId="6" fillId="0" borderId="0" xfId="1" applyNumberFormat="1" applyFont="1"/>
    <xf numFmtId="0" fontId="4" fillId="7" borderId="21" xfId="0" applyFont="1" applyFill="1" applyBorder="1"/>
    <xf numFmtId="3" fontId="4" fillId="7" borderId="20" xfId="0" applyNumberFormat="1" applyFont="1" applyFill="1" applyBorder="1"/>
    <xf numFmtId="3" fontId="4" fillId="7" borderId="24" xfId="0" applyNumberFormat="1" applyFont="1" applyFill="1" applyBorder="1"/>
    <xf numFmtId="0" fontId="4" fillId="7" borderId="25" xfId="0" applyFont="1" applyFill="1" applyBorder="1"/>
    <xf numFmtId="3" fontId="4" fillId="7" borderId="26" xfId="0" applyNumberFormat="1" applyFont="1" applyFill="1" applyBorder="1"/>
    <xf numFmtId="3" fontId="4" fillId="7" borderId="27" xfId="0" applyNumberFormat="1" applyFont="1" applyFill="1" applyBorder="1"/>
    <xf numFmtId="0" fontId="2" fillId="2" borderId="0" xfId="0" applyFont="1" applyFill="1"/>
    <xf numFmtId="9" fontId="4" fillId="7" borderId="26" xfId="1" applyFont="1" applyFill="1" applyBorder="1"/>
    <xf numFmtId="9" fontId="4" fillId="7" borderId="27" xfId="1" applyFont="1" applyFill="1" applyBorder="1"/>
    <xf numFmtId="9" fontId="4" fillId="7" borderId="20" xfId="1" applyFont="1" applyFill="1" applyBorder="1"/>
    <xf numFmtId="9" fontId="4" fillId="7" borderId="24" xfId="1" applyFont="1" applyFill="1" applyBorder="1"/>
    <xf numFmtId="9" fontId="4" fillId="0" borderId="0" xfId="1" applyFont="1" applyFill="1" applyBorder="1"/>
    <xf numFmtId="0" fontId="16" fillId="0" borderId="21" xfId="0" applyFont="1" applyBorder="1" applyAlignment="1">
      <alignment horizontal="left" indent="2"/>
    </xf>
    <xf numFmtId="167" fontId="10" fillId="0" borderId="0" xfId="1" applyNumberFormat="1" applyFont="1" applyFill="1" applyBorder="1" applyAlignment="1">
      <alignment horizontal="right" vertical="center"/>
    </xf>
    <xf numFmtId="167" fontId="56" fillId="0" borderId="0" xfId="1" applyNumberFormat="1" applyFont="1" applyFill="1" applyBorder="1" applyAlignment="1">
      <alignment horizontal="right" vertical="center"/>
    </xf>
    <xf numFmtId="167" fontId="55" fillId="0" borderId="0" xfId="1" applyNumberFormat="1" applyFont="1" applyFill="1" applyBorder="1" applyAlignment="1">
      <alignment horizontal="right" vertical="center"/>
    </xf>
    <xf numFmtId="167" fontId="56" fillId="0" borderId="23" xfId="1" applyNumberFormat="1" applyFont="1" applyFill="1" applyBorder="1" applyAlignment="1">
      <alignment horizontal="right" vertical="center"/>
    </xf>
    <xf numFmtId="167" fontId="10" fillId="0" borderId="23" xfId="1" applyNumberFormat="1" applyFont="1" applyFill="1" applyBorder="1" applyAlignment="1">
      <alignment horizontal="right" vertical="center"/>
    </xf>
    <xf numFmtId="167" fontId="55" fillId="0" borderId="23" xfId="1" applyNumberFormat="1" applyFont="1" applyFill="1" applyBorder="1" applyAlignment="1">
      <alignment horizontal="right" vertical="center"/>
    </xf>
    <xf numFmtId="167" fontId="10" fillId="0" borderId="20" xfId="1" applyNumberFormat="1" applyFont="1" applyFill="1" applyBorder="1" applyAlignment="1">
      <alignment horizontal="right" vertical="center"/>
    </xf>
    <xf numFmtId="167" fontId="10" fillId="0" borderId="24" xfId="1" applyNumberFormat="1" applyFont="1" applyFill="1" applyBorder="1" applyAlignment="1">
      <alignment horizontal="right" vertical="center"/>
    </xf>
    <xf numFmtId="0" fontId="2" fillId="17" borderId="4" xfId="0" applyFont="1" applyFill="1" applyBorder="1" applyAlignment="1">
      <alignment horizontal="centerContinuous" vertical="center"/>
    </xf>
    <xf numFmtId="37" fontId="6" fillId="6" borderId="0" xfId="0" applyNumberFormat="1" applyFont="1" applyFill="1"/>
    <xf numFmtId="0" fontId="16" fillId="0" borderId="22" xfId="0" applyFont="1" applyBorder="1" applyAlignment="1">
      <alignment horizontal="left" indent="1"/>
    </xf>
    <xf numFmtId="164" fontId="4" fillId="0" borderId="0" xfId="0" applyNumberFormat="1" applyFont="1"/>
    <xf numFmtId="41" fontId="27" fillId="6" borderId="0" xfId="0" applyNumberFormat="1" applyFont="1" applyFill="1"/>
    <xf numFmtId="41" fontId="4" fillId="6" borderId="0" xfId="0" applyNumberFormat="1" applyFont="1" applyFill="1"/>
    <xf numFmtId="41" fontId="4" fillId="0" borderId="26" xfId="0" applyNumberFormat="1" applyFont="1" applyBorder="1"/>
    <xf numFmtId="41" fontId="15" fillId="0" borderId="26" xfId="0" applyNumberFormat="1" applyFont="1" applyBorder="1"/>
    <xf numFmtId="41" fontId="15" fillId="0" borderId="0" xfId="0" applyNumberFormat="1" applyFont="1"/>
    <xf numFmtId="0" fontId="4" fillId="0" borderId="6" xfId="0" applyFont="1" applyBorder="1"/>
    <xf numFmtId="0" fontId="15" fillId="0" borderId="2" xfId="0" applyFont="1" applyBorder="1"/>
    <xf numFmtId="0" fontId="4" fillId="0" borderId="2" xfId="0" applyFont="1" applyBorder="1"/>
    <xf numFmtId="0" fontId="15" fillId="0" borderId="6" xfId="0" applyFont="1" applyBorder="1" applyAlignment="1">
      <alignment horizontal="left"/>
    </xf>
    <xf numFmtId="41" fontId="15" fillId="0" borderId="2" xfId="0" applyNumberFormat="1" applyFont="1" applyBorder="1"/>
    <xf numFmtId="0" fontId="15" fillId="0" borderId="2" xfId="0" applyFont="1" applyBorder="1" applyAlignment="1">
      <alignment horizontal="left"/>
    </xf>
    <xf numFmtId="0" fontId="24" fillId="0" borderId="3" xfId="0" applyFont="1" applyBorder="1" applyAlignment="1">
      <alignment horizontal="left" wrapText="1"/>
    </xf>
    <xf numFmtId="0" fontId="2" fillId="2" borderId="0" xfId="0" applyFont="1" applyFill="1" applyAlignment="1">
      <alignment horizontal="center" vertical="center" wrapText="1"/>
    </xf>
    <xf numFmtId="0" fontId="5" fillId="17" borderId="0" xfId="0" applyFont="1" applyFill="1" applyAlignment="1">
      <alignment horizontal="center" vertical="center" wrapText="1"/>
    </xf>
    <xf numFmtId="0" fontId="5" fillId="14" borderId="0" xfId="0" applyFont="1" applyFill="1" applyAlignment="1">
      <alignment horizontal="center" vertical="center" wrapText="1"/>
    </xf>
    <xf numFmtId="0" fontId="52" fillId="2" borderId="0" xfId="0" applyFont="1" applyFill="1" applyAlignment="1">
      <alignment horizontal="center" vertical="center" wrapText="1"/>
    </xf>
    <xf numFmtId="167" fontId="56" fillId="0" borderId="0" xfId="1" applyNumberFormat="1" applyFont="1" applyBorder="1" applyAlignment="1">
      <alignment horizontal="right" vertical="center" wrapText="1"/>
    </xf>
    <xf numFmtId="0" fontId="4" fillId="0" borderId="0" xfId="0" applyFont="1" applyBorder="1"/>
    <xf numFmtId="167" fontId="56" fillId="0" borderId="6" xfId="1" applyNumberFormat="1" applyFont="1" applyBorder="1" applyAlignment="1">
      <alignment horizontal="right" vertical="center" wrapText="1"/>
    </xf>
    <xf numFmtId="0" fontId="4" fillId="0" borderId="53" xfId="0" applyFont="1" applyBorder="1"/>
    <xf numFmtId="0" fontId="4" fillId="0" borderId="52" xfId="0" applyFont="1" applyBorder="1"/>
    <xf numFmtId="167" fontId="56" fillId="0" borderId="2" xfId="1" applyNumberFormat="1" applyFont="1" applyBorder="1" applyAlignment="1">
      <alignment horizontal="right" vertical="center" wrapText="1"/>
    </xf>
    <xf numFmtId="0" fontId="4" fillId="0" borderId="57" xfId="0" applyFont="1" applyBorder="1"/>
    <xf numFmtId="0" fontId="10" fillId="7" borderId="56" xfId="0" applyFont="1" applyFill="1" applyBorder="1" applyAlignment="1">
      <alignment horizontal="left" vertical="center" wrapText="1" indent="1"/>
    </xf>
    <xf numFmtId="0" fontId="10" fillId="7" borderId="54" xfId="0" applyFont="1" applyFill="1" applyBorder="1" applyAlignment="1">
      <alignment horizontal="left" vertical="center" wrapText="1" indent="1"/>
    </xf>
    <xf numFmtId="0" fontId="10" fillId="7" borderId="55" xfId="0" applyFont="1" applyFill="1" applyBorder="1" applyAlignment="1">
      <alignment horizontal="left" vertical="center" wrapText="1" indent="1"/>
    </xf>
    <xf numFmtId="167" fontId="10" fillId="0" borderId="6" xfId="1" applyNumberFormat="1" applyFont="1" applyBorder="1" applyAlignment="1">
      <alignment horizontal="right" vertical="center" wrapText="1"/>
    </xf>
    <xf numFmtId="170" fontId="11" fillId="0" borderId="0" xfId="0" applyNumberFormat="1" applyFont="1"/>
    <xf numFmtId="170" fontId="8" fillId="3" borderId="2" xfId="0" applyNumberFormat="1" applyFont="1" applyFill="1" applyBorder="1" applyAlignment="1">
      <alignment horizontal="right" vertical="top" wrapText="1"/>
    </xf>
    <xf numFmtId="9" fontId="8" fillId="3" borderId="2" xfId="1" applyFont="1" applyFill="1" applyBorder="1" applyAlignment="1">
      <alignment horizontal="right" vertical="top" wrapText="1"/>
    </xf>
    <xf numFmtId="5" fontId="8" fillId="3" borderId="0" xfId="0" applyNumberFormat="1" applyFont="1" applyFill="1" applyBorder="1" applyAlignment="1">
      <alignment horizontal="right" vertical="top" wrapText="1"/>
    </xf>
    <xf numFmtId="0" fontId="4" fillId="0" borderId="0" xfId="0" applyFont="1" applyFill="1" applyAlignment="1">
      <alignment wrapText="1"/>
    </xf>
    <xf numFmtId="0" fontId="8" fillId="0" borderId="0" xfId="0" applyFont="1" applyFill="1" applyBorder="1" applyAlignment="1">
      <alignment vertical="top" wrapText="1"/>
    </xf>
    <xf numFmtId="5" fontId="8" fillId="0" borderId="0" xfId="0" applyNumberFormat="1" applyFont="1" applyFill="1" applyBorder="1" applyAlignment="1">
      <alignment horizontal="right" vertical="top" wrapText="1"/>
    </xf>
    <xf numFmtId="0" fontId="8" fillId="0" borderId="0" xfId="0" applyFont="1" applyFill="1" applyAlignment="1">
      <alignment wrapText="1"/>
    </xf>
    <xf numFmtId="165" fontId="15" fillId="0" borderId="0" xfId="0" applyNumberFormat="1" applyFont="1" applyFill="1" applyAlignment="1">
      <alignment wrapText="1"/>
    </xf>
  </cellXfs>
  <cellStyles count="7">
    <cellStyle name="%" xfId="3" xr:uid="{B2D0E839-0EB6-4A26-A036-4291FCE77A81}"/>
    <cellStyle name="******************************************" xfId="4" xr:uid="{7C8B12D3-B631-462E-992D-9CE2477EE747}"/>
    <cellStyle name="Comma" xfId="2" builtinId="3"/>
    <cellStyle name="Hyperlink" xfId="6" builtinId="8"/>
    <cellStyle name="Normal" xfId="0" builtinId="0"/>
    <cellStyle name="Normal_DCF_Model" xfId="5" xr:uid="{82C2EF57-1428-4F27-93CB-A7C5310C2F37}"/>
    <cellStyle name="Percent" xfId="1" builtinId="5"/>
  </cellStyles>
  <dxfs count="5">
    <dxf>
      <font>
        <b/>
        <i val="0"/>
      </font>
      <fill>
        <patternFill patternType="solid">
          <bgColor theme="2"/>
        </patternFill>
      </fill>
      <border>
        <left/>
        <right/>
        <top/>
        <bottom/>
      </border>
    </dxf>
    <dxf>
      <font>
        <color rgb="FF9C0006"/>
      </font>
      <fill>
        <patternFill>
          <bgColor rgb="FFFFC7CE"/>
        </patternFill>
      </fill>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s>
  <tableStyles count="0" defaultTableStyle="TableStyleMedium2" defaultPivotStyle="PivotStyleLight16"/>
  <colors>
    <mruColors>
      <color rgb="FF0000CC"/>
      <color rgb="FF00B03C"/>
      <color rgb="FF487B79"/>
      <color rgb="FF0E567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DCF Equity Valuation Range </a:t>
            </a:r>
          </a:p>
        </c:rich>
      </c:tx>
      <c:layout>
        <c:manualLayout>
          <c:xMode val="edge"/>
          <c:yMode val="edge"/>
          <c:x val="0.31291626892699836"/>
          <c:y val="0"/>
        </c:manualLayout>
      </c:layout>
      <c:overlay val="0"/>
    </c:title>
    <c:autoTitleDeleted val="0"/>
    <c:plotArea>
      <c:layout/>
      <c:barChart>
        <c:barDir val="col"/>
        <c:grouping val="stacked"/>
        <c:varyColors val="0"/>
        <c:ser>
          <c:idx val="0"/>
          <c:order val="0"/>
          <c:spPr>
            <a:noFill/>
          </c:spPr>
          <c:invertIfNegative val="0"/>
          <c:dLbls>
            <c:spPr>
              <a:noFill/>
              <a:ln>
                <a:noFill/>
              </a:ln>
              <a:effectLst/>
            </c:sp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'[1]Integrated DCF Empty'!$B$128:$B$130</c:f>
              <c:strCache>
                <c:ptCount val="3"/>
                <c:pt idx="0">
                  <c:v>DCF Value at 11.0x-15.0x Exit EBITDA Range at 9.0% WACC</c:v>
                </c:pt>
                <c:pt idx="1">
                  <c:v>DCF Value at 2.0%-4.0% Perpetuity Range at 9.0% WACC</c:v>
                </c:pt>
                <c:pt idx="2">
                  <c:v>52 Week Market High/Low</c:v>
                </c:pt>
              </c:strCache>
            </c:strRef>
          </c:cat>
          <c:val>
            <c:numRef>
              <c:f>'[1]Integrated DCF Empty'!$C$128:$C$130</c:f>
              <c:numCache>
                <c:formatCode>General</c:formatCode>
                <c:ptCount val="3"/>
                <c:pt idx="0">
                  <c:v>20.680633001583054</c:v>
                </c:pt>
                <c:pt idx="1">
                  <c:v>20.680633001583054</c:v>
                </c:pt>
                <c:pt idx="2">
                  <c:v>169.5</c:v>
                </c:pt>
              </c:numCache>
            </c:numRef>
          </c:val>
          <c:extLst>
            <c:ext xmlns:c16="http://schemas.microsoft.com/office/drawing/2014/chart" uri="{C3380CC4-5D6E-409C-BE32-E72D297353CC}">
              <c16:uniqueId val="{00000000-798B-4D7B-A8BB-5FCC91725BB4}"/>
            </c:ext>
          </c:extLst>
        </c:ser>
        <c:ser>
          <c:idx val="1"/>
          <c:order val="1"/>
          <c:invertIfNegative val="0"/>
          <c:cat>
            <c:strRef>
              <c:f>'[1]Integrated DCF Empty'!$B$128:$B$130</c:f>
              <c:strCache>
                <c:ptCount val="3"/>
                <c:pt idx="0">
                  <c:v>DCF Value at 11.0x-15.0x Exit EBITDA Range at 9.0% WACC</c:v>
                </c:pt>
                <c:pt idx="1">
                  <c:v>DCF Value at 2.0%-4.0% Perpetuity Range at 9.0% WACC</c:v>
                </c:pt>
                <c:pt idx="2">
                  <c:v>52 Week Market High/Low</c:v>
                </c:pt>
              </c:strCache>
            </c:strRef>
          </c:cat>
          <c:val>
            <c:numRef>
              <c:f>'[1]Integrated DCF Empty'!$D$128:$D$130</c:f>
              <c:numCache>
                <c:formatCode>General</c:formatCode>
                <c:ptCount val="3"/>
                <c:pt idx="0">
                  <c:v>0</c:v>
                </c:pt>
                <c:pt idx="1">
                  <c:v>0</c:v>
                </c:pt>
                <c:pt idx="2">
                  <c:v>158.35000000000002</c:v>
                </c:pt>
              </c:numCache>
            </c:numRef>
          </c:val>
          <c:extLst>
            <c:ext xmlns:c16="http://schemas.microsoft.com/office/drawing/2014/chart" uri="{C3380CC4-5D6E-409C-BE32-E72D297353CC}">
              <c16:uniqueId val="{00000001-798B-4D7B-A8BB-5FCC91725BB4}"/>
            </c:ext>
          </c:extLst>
        </c:ser>
        <c:ser>
          <c:idx val="2"/>
          <c:order val="2"/>
          <c:spPr>
            <a:noFill/>
          </c:spPr>
          <c:invertIfNegative val="0"/>
          <c:dLbls>
            <c:spPr>
              <a:noFill/>
              <a:ln>
                <a:noFill/>
              </a:ln>
              <a:effectLst/>
            </c:sp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'[1]Integrated DCF Empty'!$B$128:$B$130</c:f>
              <c:strCache>
                <c:ptCount val="3"/>
                <c:pt idx="0">
                  <c:v>DCF Value at 11.0x-15.0x Exit EBITDA Range at 9.0% WACC</c:v>
                </c:pt>
                <c:pt idx="1">
                  <c:v>DCF Value at 2.0%-4.0% Perpetuity Range at 9.0% WACC</c:v>
                </c:pt>
                <c:pt idx="2">
                  <c:v>52 Week Market High/Low</c:v>
                </c:pt>
              </c:strCache>
            </c:strRef>
          </c:cat>
          <c:val>
            <c:numRef>
              <c:f>'[1]Integrated DCF Empty'!$E$128:$E$130</c:f>
              <c:numCache>
                <c:formatCode>General</c:formatCode>
                <c:ptCount val="3"/>
                <c:pt idx="0">
                  <c:v>20.680633001583054</c:v>
                </c:pt>
                <c:pt idx="1">
                  <c:v>20.680633001583054</c:v>
                </c:pt>
                <c:pt idx="2">
                  <c:v>327.85</c:v>
                </c:pt>
              </c:numCache>
            </c:numRef>
          </c:val>
          <c:extLst>
            <c:ext xmlns:c16="http://schemas.microsoft.com/office/drawing/2014/chart" uri="{C3380CC4-5D6E-409C-BE32-E72D297353CC}">
              <c16:uniqueId val="{00000002-798B-4D7B-A8BB-5FCC91725BB4}"/>
            </c:ext>
          </c:extLst>
        </c:ser>
        <c:dLbls>
          <c:showLegendKey val="0"/>
          <c:showVal val="0"/>
          <c:showCatName val="0"/>
          <c:showSerName val="0"/>
          <c:showPercent val="0"/>
          <c:showBubbleSize val="0"/>
        </c:dLbls>
        <c:gapWidth val="150"/>
        <c:overlap val="100"/>
        <c:axId val="99639680"/>
        <c:axId val="99641216"/>
      </c:barChart>
      <c:catAx>
        <c:axId val="99639680"/>
        <c:scaling>
          <c:orientation val="minMax"/>
        </c:scaling>
        <c:delete val="0"/>
        <c:axPos val="b"/>
        <c:numFmt formatCode="General" sourceLinked="0"/>
        <c:majorTickMark val="out"/>
        <c:minorTickMark val="none"/>
        <c:tickLblPos val="nextTo"/>
        <c:crossAx val="99641216"/>
        <c:crosses val="autoZero"/>
        <c:auto val="1"/>
        <c:lblAlgn val="ctr"/>
        <c:lblOffset val="100"/>
        <c:noMultiLvlLbl val="0"/>
      </c:catAx>
      <c:valAx>
        <c:axId val="99641216"/>
        <c:scaling>
          <c:orientation val="minMax"/>
          <c:max val="400"/>
          <c:min val="100"/>
        </c:scaling>
        <c:delete val="0"/>
        <c:axPos val="l"/>
        <c:numFmt formatCode="General" sourceLinked="1"/>
        <c:majorTickMark val="out"/>
        <c:minorTickMark val="none"/>
        <c:tickLblPos val="nextTo"/>
        <c:crossAx val="99639680"/>
        <c:crosses val="autoZero"/>
        <c:crossBetween val="between"/>
      </c:valAx>
    </c:plotArea>
    <c:plotVisOnly val="1"/>
    <c:dispBlanksAs val="gap"/>
    <c:showDLblsOverMax val="0"/>
  </c:chart>
  <c:spPr>
    <a:ln>
      <a:noFill/>
    </a:ln>
  </c:spPr>
  <c:txPr>
    <a:bodyPr/>
    <a:lstStyle/>
    <a:p>
      <a:pPr>
        <a:defRPr sz="900">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a:pPr>
            <a:r>
              <a:rPr lang="en-US" sz="900"/>
              <a:t>LTM EBITDA Multiple Range</a:t>
            </a:r>
          </a:p>
        </c:rich>
      </c:tx>
      <c:layout>
        <c:manualLayout>
          <c:xMode val="edge"/>
          <c:yMode val="edge"/>
          <c:x val="0.31291626892699836"/>
          <c:y val="0"/>
        </c:manualLayout>
      </c:layout>
      <c:overlay val="0"/>
    </c:title>
    <c:autoTitleDeleted val="0"/>
    <c:plotArea>
      <c:layout/>
      <c:barChart>
        <c:barDir val="col"/>
        <c:grouping val="stacked"/>
        <c:varyColors val="0"/>
        <c:ser>
          <c:idx val="0"/>
          <c:order val="0"/>
          <c:spPr>
            <a:noFill/>
          </c:spPr>
          <c:invertIfNegative val="0"/>
          <c:dLbls>
            <c:numFmt formatCode="#,##0.0\x;\-#,##0.0\x" sourceLinked="0"/>
            <c:spPr>
              <a:noFill/>
              <a:ln>
                <a:noFill/>
              </a:ln>
              <a:effectLst/>
            </c:sp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'[1]Integrated DCF Empty'!$G$128:$G$130</c:f>
              <c:strCache>
                <c:ptCount val="3"/>
                <c:pt idx="0">
                  <c:v>LTM EBITDA Purchase Multiple at 2.0%-4.0% Perpetuity Growth at 9.0% WACC</c:v>
                </c:pt>
                <c:pt idx="1">
                  <c:v>#DIV/0!</c:v>
                </c:pt>
                <c:pt idx="2">
                  <c:v>LTM EBITDA Purchase Multiple at 7.0%-11.0% WACC at 13.0x Exit EBITDA</c:v>
                </c:pt>
              </c:strCache>
            </c:strRef>
          </c:cat>
          <c:val>
            <c:numRef>
              <c:f>'[1]Integrated DCF Empty'!$O$128:$O$130</c:f>
              <c:numCache>
                <c:formatCode>General</c:formatCode>
                <c:ptCount val="3"/>
                <c:pt idx="0">
                  <c:v>0</c:v>
                </c:pt>
                <c:pt idx="1">
                  <c:v>0</c:v>
                </c:pt>
                <c:pt idx="2">
                  <c:v>0</c:v>
                </c:pt>
              </c:numCache>
            </c:numRef>
          </c:val>
          <c:extLst>
            <c:ext xmlns:c16="http://schemas.microsoft.com/office/drawing/2014/chart" uri="{C3380CC4-5D6E-409C-BE32-E72D297353CC}">
              <c16:uniqueId val="{00000000-54D9-436E-9E1B-1B378FFDFC98}"/>
            </c:ext>
          </c:extLst>
        </c:ser>
        <c:ser>
          <c:idx val="1"/>
          <c:order val="1"/>
          <c:spPr>
            <a:solidFill>
              <a:schemeClr val="tx2"/>
            </a:solidFill>
          </c:spPr>
          <c:invertIfNegative val="0"/>
          <c:cat>
            <c:strRef>
              <c:f>'[1]Integrated DCF Empty'!$G$128:$G$130</c:f>
              <c:strCache>
                <c:ptCount val="3"/>
                <c:pt idx="0">
                  <c:v>LTM EBITDA Purchase Multiple at 2.0%-4.0% Perpetuity Growth at 9.0% WACC</c:v>
                </c:pt>
                <c:pt idx="1">
                  <c:v>#DIV/0!</c:v>
                </c:pt>
                <c:pt idx="2">
                  <c:v>LTM EBITDA Purchase Multiple at 7.0%-11.0% WACC at 13.0x Exit EBITDA</c:v>
                </c:pt>
              </c:strCache>
            </c:strRef>
          </c:cat>
          <c:val>
            <c:numRef>
              <c:f>'[1]Integrated DCF Empty'!$P$128:$P$130</c:f>
              <c:numCache>
                <c:formatCode>General</c:formatCode>
                <c:ptCount val="3"/>
                <c:pt idx="0">
                  <c:v>0</c:v>
                </c:pt>
                <c:pt idx="1">
                  <c:v>0</c:v>
                </c:pt>
                <c:pt idx="2">
                  <c:v>0</c:v>
                </c:pt>
              </c:numCache>
            </c:numRef>
          </c:val>
          <c:extLst>
            <c:ext xmlns:c16="http://schemas.microsoft.com/office/drawing/2014/chart" uri="{C3380CC4-5D6E-409C-BE32-E72D297353CC}">
              <c16:uniqueId val="{00000001-54D9-436E-9E1B-1B378FFDFC98}"/>
            </c:ext>
          </c:extLst>
        </c:ser>
        <c:ser>
          <c:idx val="2"/>
          <c:order val="2"/>
          <c:spPr>
            <a:noFill/>
          </c:spPr>
          <c:invertIfNegative val="0"/>
          <c:dLbls>
            <c:numFmt formatCode="#,##0.0\x;\-#,##0.0\x" sourceLinked="0"/>
            <c:spPr>
              <a:noFill/>
              <a:ln>
                <a:noFill/>
              </a:ln>
              <a:effectLst/>
            </c:sp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'[1]Integrated DCF Empty'!$G$128:$G$130</c:f>
              <c:strCache>
                <c:ptCount val="3"/>
                <c:pt idx="0">
                  <c:v>LTM EBITDA Purchase Multiple at 2.0%-4.0% Perpetuity Growth at 9.0% WACC</c:v>
                </c:pt>
                <c:pt idx="1">
                  <c:v>#DIV/0!</c:v>
                </c:pt>
                <c:pt idx="2">
                  <c:v>LTM EBITDA Purchase Multiple at 7.0%-11.0% WACC at 13.0x Exit EBITDA</c:v>
                </c:pt>
              </c:strCache>
            </c:strRef>
          </c:cat>
          <c:val>
            <c:numRef>
              <c:f>'[1]Integrated DCF Empty'!$Q$128:$Q$130</c:f>
              <c:numCache>
                <c:formatCode>General</c:formatCode>
                <c:ptCount val="3"/>
                <c:pt idx="0">
                  <c:v>0</c:v>
                </c:pt>
                <c:pt idx="1">
                  <c:v>0</c:v>
                </c:pt>
                <c:pt idx="2">
                  <c:v>0</c:v>
                </c:pt>
              </c:numCache>
            </c:numRef>
          </c:val>
          <c:extLst>
            <c:ext xmlns:c16="http://schemas.microsoft.com/office/drawing/2014/chart" uri="{C3380CC4-5D6E-409C-BE32-E72D297353CC}">
              <c16:uniqueId val="{00000002-54D9-436E-9E1B-1B378FFDFC98}"/>
            </c:ext>
          </c:extLst>
        </c:ser>
        <c:dLbls>
          <c:showLegendKey val="0"/>
          <c:showVal val="0"/>
          <c:showCatName val="0"/>
          <c:showSerName val="0"/>
          <c:showPercent val="0"/>
          <c:showBubbleSize val="0"/>
        </c:dLbls>
        <c:gapWidth val="150"/>
        <c:overlap val="100"/>
        <c:axId val="99639680"/>
        <c:axId val="99641216"/>
      </c:barChart>
      <c:catAx>
        <c:axId val="99639680"/>
        <c:scaling>
          <c:orientation val="minMax"/>
        </c:scaling>
        <c:delete val="0"/>
        <c:axPos val="b"/>
        <c:numFmt formatCode="General" sourceLinked="0"/>
        <c:majorTickMark val="out"/>
        <c:minorTickMark val="none"/>
        <c:tickLblPos val="nextTo"/>
        <c:crossAx val="99641216"/>
        <c:crosses val="autoZero"/>
        <c:auto val="1"/>
        <c:lblAlgn val="ctr"/>
        <c:lblOffset val="100"/>
        <c:noMultiLvlLbl val="0"/>
      </c:catAx>
      <c:valAx>
        <c:axId val="99641216"/>
        <c:scaling>
          <c:orientation val="minMax"/>
          <c:max val="20"/>
          <c:min val="10"/>
        </c:scaling>
        <c:delete val="0"/>
        <c:axPos val="l"/>
        <c:numFmt formatCode="#,##0.0\x;\-#,##0.0\x" sourceLinked="0"/>
        <c:majorTickMark val="out"/>
        <c:minorTickMark val="none"/>
        <c:tickLblPos val="nextTo"/>
        <c:crossAx val="99639680"/>
        <c:crosses val="autoZero"/>
        <c:crossBetween val="between"/>
      </c:valAx>
    </c:plotArea>
    <c:plotVisOnly val="1"/>
    <c:dispBlanksAs val="gap"/>
    <c:showDLblsOverMax val="0"/>
  </c:chart>
  <c:spPr>
    <a:ln>
      <a:noFill/>
    </a:ln>
  </c:spPr>
  <c:txPr>
    <a:bodyPr/>
    <a:lstStyle/>
    <a:p>
      <a:pPr>
        <a:defRPr sz="900">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53578</xdr:colOff>
      <xdr:row>110</xdr:row>
      <xdr:rowOff>149424</xdr:rowOff>
    </xdr:from>
    <xdr:to>
      <xdr:col>4</xdr:col>
      <xdr:colOff>654844</xdr:colOff>
      <xdr:row>129</xdr:row>
      <xdr:rowOff>53578</xdr:rowOff>
    </xdr:to>
    <xdr:graphicFrame macro="">
      <xdr:nvGraphicFramePr>
        <xdr:cNvPr id="2" name="Chart 1">
          <a:extLst>
            <a:ext uri="{FF2B5EF4-FFF2-40B4-BE49-F238E27FC236}">
              <a16:creationId xmlns:a16="http://schemas.microsoft.com/office/drawing/2014/main" id="{5AB26EB3-2259-42F5-8869-FD56CD6E68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47228</xdr:colOff>
      <xdr:row>110</xdr:row>
      <xdr:rowOff>149424</xdr:rowOff>
    </xdr:from>
    <xdr:to>
      <xdr:col>15</xdr:col>
      <xdr:colOff>657225</xdr:colOff>
      <xdr:row>129</xdr:row>
      <xdr:rowOff>47228</xdr:rowOff>
    </xdr:to>
    <xdr:graphicFrame macro="">
      <xdr:nvGraphicFramePr>
        <xdr:cNvPr id="3" name="Chart 2">
          <a:extLst>
            <a:ext uri="{FF2B5EF4-FFF2-40B4-BE49-F238E27FC236}">
              <a16:creationId xmlns:a16="http://schemas.microsoft.com/office/drawing/2014/main" id="{5E518025-7C3E-418F-9001-E2CCB020E7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Felix\AppData\Local\Temp\4819e2e9-aa78-4b81-b055-71c9923ae613_DCF-Modeling-Course-DL-Kit%20(7).zip.613\DCF%20Model.xlsx" TargetMode="External"/><Relationship Id="rId1" Type="http://schemas.openxmlformats.org/officeDocument/2006/relationships/externalLinkPath" Target="/Users/Felix/AppData/Local/Temp/4819e2e9-aa78-4b81-b055-71c9923ae613_DCF-Modeling-Course-DL-Kit%20(7).zip.613/DCF%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nancials "/>
      <sheetName val="Simple DCF Empty"/>
      <sheetName val="Simple DCF Done"/>
      <sheetName val="WACC Empty"/>
      <sheetName val="WACC Done"/>
      <sheetName val="Shares Empty"/>
      <sheetName val="Shares"/>
      <sheetName val="DCF 1-Pager"/>
      <sheetName val="2019 FSM Update Complete"/>
      <sheetName val="Integrated DCF Empty"/>
      <sheetName val="Integrated DCF"/>
    </sheetNames>
    <sheetDataSet>
      <sheetData sheetId="0"/>
      <sheetData sheetId="1" refreshError="1"/>
      <sheetData sheetId="2">
        <row r="5">
          <cell r="H5">
            <v>273.52</v>
          </cell>
        </row>
      </sheetData>
      <sheetData sheetId="3" refreshError="1"/>
      <sheetData sheetId="4"/>
      <sheetData sheetId="5" refreshError="1"/>
      <sheetData sheetId="6">
        <row r="25">
          <cell r="E25">
            <v>14543</v>
          </cell>
        </row>
      </sheetData>
      <sheetData sheetId="7" refreshError="1"/>
      <sheetData sheetId="8"/>
      <sheetData sheetId="9">
        <row r="128">
          <cell r="B128" t="str">
            <v>DCF Value at 11.0x-15.0x Exit EBITDA Range at 9.0% WACC</v>
          </cell>
          <cell r="C128">
            <v>20.680633001583054</v>
          </cell>
          <cell r="D128">
            <v>0</v>
          </cell>
          <cell r="E128">
            <v>20.680633001583054</v>
          </cell>
          <cell r="G128" t="str">
            <v>LTM EBITDA Purchase Multiple at 2.0%-4.0% Perpetuity Growth at 9.0% WACC</v>
          </cell>
          <cell r="O128" t="e">
            <v>#DIV/0!</v>
          </cell>
          <cell r="P128" t="e">
            <v>#DIV/0!</v>
          </cell>
          <cell r="Q128" t="e">
            <v>#DIV/0!</v>
          </cell>
        </row>
        <row r="129">
          <cell r="B129" t="str">
            <v>DCF Value at 2.0%-4.0% Perpetuity Range at 9.0% WACC</v>
          </cell>
          <cell r="C129">
            <v>20.680633001583054</v>
          </cell>
          <cell r="D129">
            <v>0</v>
          </cell>
          <cell r="E129">
            <v>20.680633001583054</v>
          </cell>
          <cell r="G129" t="e">
            <v>#DIV/0!</v>
          </cell>
          <cell r="O129" t="e">
            <v>#DIV/0!</v>
          </cell>
          <cell r="P129" t="e">
            <v>#DIV/0!</v>
          </cell>
          <cell r="Q129" t="e">
            <v>#DIV/0!</v>
          </cell>
        </row>
        <row r="130">
          <cell r="B130" t="str">
            <v>52 Week Market High/Low</v>
          </cell>
          <cell r="C130">
            <v>169.5</v>
          </cell>
          <cell r="D130">
            <v>158.35000000000002</v>
          </cell>
          <cell r="E130">
            <v>327.85</v>
          </cell>
          <cell r="G130" t="str">
            <v>LTM EBITDA Purchase Multiple at 7.0%-11.0% WACC at 13.0x Exit EBITDA</v>
          </cell>
          <cell r="O130" t="e">
            <v>#DIV/0!</v>
          </cell>
          <cell r="P130" t="e">
            <v>#DIV/0!</v>
          </cell>
          <cell r="Q130" t="e">
            <v>#DIV/0!</v>
          </cell>
        </row>
      </sheetData>
      <sheetData sheetId="10" refreshError="1"/>
    </sheetDataSet>
  </externalBook>
</externalLink>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1">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7A1EF-DD86-43F0-AF53-6181CD7220DC}">
  <sheetPr>
    <tabColor rgb="FF002060"/>
  </sheetPr>
  <dimension ref="A2:AW149"/>
  <sheetViews>
    <sheetView showGridLines="0" tabSelected="1" zoomScale="130" zoomScaleNormal="130" workbookViewId="0">
      <selection activeCell="B2" sqref="B2"/>
    </sheetView>
  </sheetViews>
  <sheetFormatPr defaultRowHeight="12" outlineLevelCol="1"/>
  <cols>
    <col min="1" max="1" width="1.625" style="5" bestFit="1" customWidth="1"/>
    <col min="2" max="2" width="38.125" style="5" customWidth="1"/>
    <col min="3" max="5" width="8.625" style="5" bestFit="1" customWidth="1"/>
    <col min="6" max="6" width="1.5" style="5" customWidth="1"/>
    <col min="7" max="8" width="8.25" style="5" customWidth="1" outlineLevel="1"/>
    <col min="9" max="9" width="8.25" style="5" bestFit="1" customWidth="1"/>
    <col min="10" max="10" width="8.625" style="5" bestFit="1" customWidth="1"/>
    <col min="11" max="11" width="8.25" style="5" bestFit="1" customWidth="1"/>
    <col min="12" max="13" width="8.625" style="5" bestFit="1" customWidth="1"/>
    <col min="14" max="14" width="1.5" style="5" customWidth="1"/>
    <col min="15" max="23" width="8.625" style="5" hidden="1" customWidth="1" outlineLevel="1"/>
    <col min="24" max="26" width="8" style="5" hidden="1" customWidth="1" outlineLevel="1"/>
    <col min="27" max="27" width="8.625" style="5" hidden="1" customWidth="1" outlineLevel="1"/>
    <col min="28" max="29" width="8.25" style="5" hidden="1" customWidth="1" outlineLevel="1"/>
    <col min="30" max="30" width="8.25" style="5" customWidth="1" collapsed="1"/>
    <col min="31" max="31" width="8.625" style="5" hidden="1" customWidth="1" outlineLevel="1"/>
    <col min="32" max="32" width="8.25" style="5" hidden="1" customWidth="1" outlineLevel="1"/>
    <col min="33" max="33" width="8.625" style="5" hidden="1" customWidth="1" outlineLevel="1"/>
    <col min="34" max="34" width="8.625" style="5" bestFit="1" customWidth="1" collapsed="1"/>
    <col min="35" max="35" width="1.25" style="5" customWidth="1"/>
    <col min="36" max="36" width="8" style="5" bestFit="1" customWidth="1"/>
    <col min="37" max="37" width="1.375" style="5" customWidth="1"/>
    <col min="38" max="16384" width="9" style="5"/>
  </cols>
  <sheetData>
    <row r="2" spans="1:36" ht="12.75" customHeight="1">
      <c r="B2" s="1" t="s">
        <v>620</v>
      </c>
      <c r="C2" s="370"/>
      <c r="D2" s="370"/>
      <c r="E2" s="370"/>
      <c r="F2" s="3"/>
      <c r="G2" s="370"/>
      <c r="H2" s="370"/>
      <c r="I2" s="370"/>
      <c r="J2" s="370"/>
      <c r="K2" s="370"/>
      <c r="L2" s="370"/>
      <c r="M2" s="370"/>
      <c r="N2" s="3"/>
      <c r="O2" s="370"/>
      <c r="P2" s="370"/>
      <c r="Q2" s="370"/>
      <c r="R2" s="370"/>
      <c r="S2" s="370"/>
      <c r="T2" s="370"/>
      <c r="U2" s="370"/>
      <c r="V2" s="370"/>
      <c r="W2" s="370"/>
      <c r="X2" s="370"/>
      <c r="Y2" s="370"/>
      <c r="Z2" s="370"/>
      <c r="AA2" s="370"/>
      <c r="AB2" s="370"/>
      <c r="AC2" s="370"/>
      <c r="AD2" s="370"/>
      <c r="AE2" s="370"/>
      <c r="AF2" s="370"/>
      <c r="AG2" s="370"/>
      <c r="AH2" s="370"/>
      <c r="AI2" s="3"/>
      <c r="AJ2" s="1"/>
    </row>
    <row r="3" spans="1:36" ht="12.75" customHeight="1">
      <c r="B3" s="6" t="s">
        <v>408</v>
      </c>
      <c r="C3" s="7"/>
      <c r="D3" s="7"/>
      <c r="E3" s="7"/>
      <c r="F3" s="3"/>
      <c r="G3" s="4"/>
      <c r="H3" s="4"/>
      <c r="I3" s="4"/>
      <c r="J3" s="4"/>
      <c r="K3" s="4"/>
      <c r="L3" s="4"/>
      <c r="M3" s="4"/>
      <c r="N3" s="3"/>
      <c r="O3" s="4"/>
      <c r="P3" s="4"/>
      <c r="Q3" s="4"/>
      <c r="R3" s="4"/>
      <c r="S3" s="4"/>
      <c r="T3" s="4"/>
      <c r="U3" s="4"/>
      <c r="V3" s="4"/>
      <c r="W3" s="4"/>
      <c r="X3" s="4"/>
      <c r="Y3" s="4"/>
      <c r="Z3" s="4"/>
      <c r="AA3" s="4"/>
      <c r="AB3" s="4"/>
      <c r="AC3" s="4"/>
      <c r="AD3" s="4"/>
      <c r="AE3" s="4"/>
      <c r="AF3" s="4"/>
      <c r="AG3" s="4"/>
      <c r="AH3" s="4"/>
      <c r="AI3" s="3"/>
      <c r="AJ3" s="1"/>
    </row>
    <row r="4" spans="1:36" ht="12.75" customHeight="1">
      <c r="B4" s="6" t="s">
        <v>398</v>
      </c>
      <c r="C4" s="3"/>
      <c r="D4" s="165"/>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1"/>
    </row>
    <row r="6" spans="1:36" ht="12.75" customHeight="1">
      <c r="A6" s="5" t="s">
        <v>19</v>
      </c>
      <c r="B6" s="1" t="s">
        <v>401</v>
      </c>
      <c r="C6" s="2" t="s">
        <v>0</v>
      </c>
      <c r="D6" s="2"/>
      <c r="E6" s="2"/>
      <c r="F6" s="3"/>
      <c r="G6" s="2"/>
      <c r="H6" s="2"/>
      <c r="I6" s="2" t="s">
        <v>1</v>
      </c>
      <c r="J6" s="2"/>
      <c r="K6" s="2"/>
      <c r="L6" s="2"/>
      <c r="M6" s="2"/>
      <c r="N6" s="3"/>
      <c r="O6" s="2" t="s">
        <v>6</v>
      </c>
      <c r="P6" s="2"/>
      <c r="Q6" s="2"/>
      <c r="R6" s="2"/>
      <c r="S6" s="2"/>
      <c r="T6" s="2"/>
      <c r="U6" s="2"/>
      <c r="V6" s="2"/>
      <c r="W6" s="2"/>
      <c r="X6" s="2"/>
      <c r="Y6" s="2"/>
      <c r="Z6" s="2"/>
      <c r="AA6" s="2"/>
      <c r="AB6" s="2"/>
      <c r="AC6" s="2" t="s">
        <v>6</v>
      </c>
      <c r="AD6" s="2" t="s">
        <v>6</v>
      </c>
      <c r="AE6" s="2"/>
      <c r="AF6" s="2"/>
      <c r="AG6" s="2"/>
      <c r="AH6" s="2"/>
      <c r="AI6" s="41"/>
      <c r="AJ6" s="574" t="s">
        <v>32</v>
      </c>
    </row>
    <row r="7" spans="1:36" ht="12.75" customHeight="1">
      <c r="B7" s="6" t="s">
        <v>409</v>
      </c>
      <c r="C7" s="7">
        <v>2022</v>
      </c>
      <c r="D7" s="7">
        <v>2023</v>
      </c>
      <c r="E7" s="7">
        <v>2024</v>
      </c>
      <c r="F7" s="3"/>
      <c r="G7" s="4" t="s">
        <v>2</v>
      </c>
      <c r="H7" s="4" t="s">
        <v>3</v>
      </c>
      <c r="I7" s="4" t="s">
        <v>4</v>
      </c>
      <c r="J7" s="4" t="s">
        <v>5</v>
      </c>
      <c r="K7" s="4" t="s">
        <v>35</v>
      </c>
      <c r="L7" s="4" t="s">
        <v>36</v>
      </c>
      <c r="M7" s="4" t="s">
        <v>81</v>
      </c>
      <c r="N7" s="3"/>
      <c r="O7" s="4" t="e">
        <f>#REF!</f>
        <v>#REF!</v>
      </c>
      <c r="P7" s="4" t="e">
        <f>#REF!</f>
        <v>#REF!</v>
      </c>
      <c r="Q7" s="4" t="e">
        <f>#REF!</f>
        <v>#REF!</v>
      </c>
      <c r="R7" s="4" t="e">
        <f>#REF!</f>
        <v>#REF!</v>
      </c>
      <c r="S7" s="4" t="e">
        <f>#REF!</f>
        <v>#REF!</v>
      </c>
      <c r="T7" s="4" t="e">
        <f>#REF!</f>
        <v>#REF!</v>
      </c>
      <c r="U7" s="4" t="e">
        <f>#REF!</f>
        <v>#REF!</v>
      </c>
      <c r="V7" s="4" t="e">
        <f>#REF!</f>
        <v>#REF!</v>
      </c>
      <c r="W7" s="4" t="e">
        <f>#REF!</f>
        <v>#REF!</v>
      </c>
      <c r="X7" s="4" t="e">
        <f>#REF!</f>
        <v>#REF!</v>
      </c>
      <c r="Y7" s="4" t="e">
        <f>#REF!</f>
        <v>#REF!</v>
      </c>
      <c r="Z7" s="4" t="e">
        <f>#REF!</f>
        <v>#REF!</v>
      </c>
      <c r="AA7" s="4" t="e">
        <f>#REF!</f>
        <v>#REF!</v>
      </c>
      <c r="AB7" s="4" t="str">
        <f t="shared" ref="AB7:AH8" si="0">G7</f>
        <v>1Q24</v>
      </c>
      <c r="AC7" s="4" t="str">
        <f t="shared" si="0"/>
        <v>2Q24</v>
      </c>
      <c r="AD7" s="4" t="str">
        <f t="shared" si="0"/>
        <v>3Q24</v>
      </c>
      <c r="AE7" s="4" t="str">
        <f t="shared" si="0"/>
        <v>4Q24</v>
      </c>
      <c r="AF7" s="4" t="str">
        <f t="shared" si="0"/>
        <v>1Q25</v>
      </c>
      <c r="AG7" s="4" t="str">
        <f t="shared" si="0"/>
        <v>2Q25</v>
      </c>
      <c r="AH7" s="4" t="str">
        <f t="shared" si="0"/>
        <v>3Q25</v>
      </c>
      <c r="AI7" s="41"/>
      <c r="AJ7" s="574"/>
    </row>
    <row r="8" spans="1:36" ht="12.75" customHeight="1">
      <c r="B8" s="6" t="s">
        <v>410</v>
      </c>
      <c r="C8" s="3">
        <v>44926</v>
      </c>
      <c r="D8" s="165">
        <v>45291</v>
      </c>
      <c r="E8" s="3">
        <v>45657</v>
      </c>
      <c r="F8" s="3"/>
      <c r="G8" s="3">
        <v>45382</v>
      </c>
      <c r="H8" s="3">
        <v>45473</v>
      </c>
      <c r="I8" s="3">
        <v>45565</v>
      </c>
      <c r="J8" s="3">
        <f>E8</f>
        <v>45657</v>
      </c>
      <c r="K8" s="3">
        <v>45747</v>
      </c>
      <c r="L8" s="3">
        <v>45838</v>
      </c>
      <c r="M8" s="3">
        <v>45930</v>
      </c>
      <c r="N8" s="3"/>
      <c r="O8" s="3" t="e">
        <f>#REF!</f>
        <v>#REF!</v>
      </c>
      <c r="P8" s="3" t="e">
        <f>#REF!</f>
        <v>#REF!</v>
      </c>
      <c r="Q8" s="3" t="e">
        <f>#REF!</f>
        <v>#REF!</v>
      </c>
      <c r="R8" s="3" t="e">
        <f>#REF!</f>
        <v>#REF!</v>
      </c>
      <c r="S8" s="3" t="e">
        <f>#REF!</f>
        <v>#REF!</v>
      </c>
      <c r="T8" s="3" t="e">
        <f>#REF!</f>
        <v>#REF!</v>
      </c>
      <c r="U8" s="3" t="e">
        <f>#REF!</f>
        <v>#REF!</v>
      </c>
      <c r="V8" s="3" t="e">
        <f>#REF!</f>
        <v>#REF!</v>
      </c>
      <c r="W8" s="3" t="e">
        <f>#REF!</f>
        <v>#REF!</v>
      </c>
      <c r="X8" s="3" t="e">
        <f>#REF!</f>
        <v>#REF!</v>
      </c>
      <c r="Y8" s="3" t="e">
        <f>#REF!</f>
        <v>#REF!</v>
      </c>
      <c r="Z8" s="3" t="e">
        <f>#REF!</f>
        <v>#REF!</v>
      </c>
      <c r="AA8" s="3" t="e">
        <f>#REF!</f>
        <v>#REF!</v>
      </c>
      <c r="AB8" s="3">
        <f t="shared" si="0"/>
        <v>45382</v>
      </c>
      <c r="AC8" s="3">
        <f t="shared" si="0"/>
        <v>45473</v>
      </c>
      <c r="AD8" s="3">
        <f t="shared" si="0"/>
        <v>45565</v>
      </c>
      <c r="AE8" s="3">
        <f t="shared" si="0"/>
        <v>45657</v>
      </c>
      <c r="AF8" s="3">
        <f t="shared" si="0"/>
        <v>45747</v>
      </c>
      <c r="AG8" s="3">
        <f t="shared" si="0"/>
        <v>45838</v>
      </c>
      <c r="AH8" s="3">
        <f t="shared" si="0"/>
        <v>45930</v>
      </c>
      <c r="AI8" s="41"/>
      <c r="AJ8" s="574"/>
    </row>
    <row r="9" spans="1:36" ht="5.0999999999999996" customHeight="1">
      <c r="AJ9" s="369"/>
    </row>
    <row r="10" spans="1:36" ht="12.75" customHeight="1">
      <c r="B10" s="10" t="s">
        <v>75</v>
      </c>
      <c r="C10" s="324">
        <v>1904</v>
      </c>
      <c r="D10" s="324">
        <v>2276</v>
      </c>
      <c r="E10" s="324">
        <v>2811</v>
      </c>
      <c r="F10" s="12"/>
      <c r="G10" s="324"/>
      <c r="H10" s="324"/>
      <c r="I10" s="324">
        <v>706</v>
      </c>
      <c r="J10" s="34">
        <f>SUM(E10-SUM(G10:I10))</f>
        <v>2105</v>
      </c>
      <c r="K10" s="88"/>
      <c r="L10" s="88"/>
      <c r="M10" s="88">
        <v>903</v>
      </c>
      <c r="O10" s="34" t="e">
        <f>SUM(#REF!)</f>
        <v>#REF!</v>
      </c>
      <c r="P10" s="34" t="e">
        <f>SUM(#REF!)</f>
        <v>#REF!</v>
      </c>
      <c r="Q10" s="34" t="e">
        <f>SUM(#REF!)</f>
        <v>#REF!</v>
      </c>
      <c r="R10" s="34" t="e">
        <f>SUM(#REF!)</f>
        <v>#REF!</v>
      </c>
      <c r="S10" s="34" t="e">
        <f>SUM(#REF!)</f>
        <v>#REF!</v>
      </c>
      <c r="T10" s="34" t="e">
        <f>SUM(#REF!)</f>
        <v>#REF!</v>
      </c>
      <c r="U10" s="34" t="e">
        <f>SUM(#REF!)</f>
        <v>#REF!</v>
      </c>
      <c r="V10" s="34" t="e">
        <f>SUM(#REF!)</f>
        <v>#REF!</v>
      </c>
      <c r="W10" s="34" t="e">
        <f>SUM(#REF!)</f>
        <v>#REF!</v>
      </c>
      <c r="X10" s="34" t="e">
        <f>SUM(#REF!)</f>
        <v>#REF!</v>
      </c>
      <c r="Y10" s="34" t="e">
        <f>SUM(#REF!)</f>
        <v>#REF!</v>
      </c>
      <c r="Z10" s="34" t="e">
        <f>SUM(#REF!)</f>
        <v>#REF!</v>
      </c>
      <c r="AA10" s="34" t="e">
        <f>SUM(#REF!)</f>
        <v>#REF!</v>
      </c>
      <c r="AB10" s="34">
        <f>SUM(G10:G10)</f>
        <v>0</v>
      </c>
      <c r="AC10" s="34">
        <f>SUM(G10:H10)</f>
        <v>0</v>
      </c>
      <c r="AD10" s="34">
        <f>SUM(G10:I10)</f>
        <v>706</v>
      </c>
      <c r="AE10" s="34">
        <f t="shared" ref="AE10:AH10" si="1">SUM(G10:J10)</f>
        <v>2811</v>
      </c>
      <c r="AF10" s="34">
        <f t="shared" si="1"/>
        <v>2811</v>
      </c>
      <c r="AG10" s="34">
        <f t="shared" si="1"/>
        <v>2811</v>
      </c>
      <c r="AH10" s="34">
        <f t="shared" si="1"/>
        <v>3008</v>
      </c>
      <c r="AI10" s="43"/>
      <c r="AJ10" s="13">
        <f>SUM(AH10/AD10)-1</f>
        <v>3.2606232294617561</v>
      </c>
    </row>
    <row r="11" spans="1:36" ht="12.75" customHeight="1">
      <c r="B11" s="14" t="s">
        <v>9</v>
      </c>
      <c r="C11" s="15">
        <f t="shared" ref="C11:E11" si="2">+SUM(C10:C10)</f>
        <v>1904</v>
      </c>
      <c r="D11" s="15">
        <f t="shared" si="2"/>
        <v>2276</v>
      </c>
      <c r="E11" s="15">
        <f t="shared" si="2"/>
        <v>2811</v>
      </c>
      <c r="F11" s="12"/>
      <c r="G11" s="15">
        <f t="shared" ref="G11:L11" si="3">+SUM(G10:G10)</f>
        <v>0</v>
      </c>
      <c r="H11" s="15">
        <f t="shared" si="3"/>
        <v>0</v>
      </c>
      <c r="I11" s="15">
        <f t="shared" si="3"/>
        <v>706</v>
      </c>
      <c r="J11" s="15">
        <f t="shared" si="3"/>
        <v>2105</v>
      </c>
      <c r="K11" s="15">
        <f t="shared" si="3"/>
        <v>0</v>
      </c>
      <c r="L11" s="15">
        <f t="shared" si="3"/>
        <v>0</v>
      </c>
      <c r="M11" s="15">
        <f>+SUM(M10:M10)</f>
        <v>903</v>
      </c>
      <c r="O11" s="15" t="e">
        <f t="shared" ref="O11:V11" si="4">+SUM(O10:O10)</f>
        <v>#REF!</v>
      </c>
      <c r="P11" s="15" t="e">
        <f t="shared" si="4"/>
        <v>#REF!</v>
      </c>
      <c r="Q11" s="15" t="e">
        <f t="shared" si="4"/>
        <v>#REF!</v>
      </c>
      <c r="R11" s="15" t="e">
        <f t="shared" si="4"/>
        <v>#REF!</v>
      </c>
      <c r="S11" s="15" t="e">
        <f t="shared" si="4"/>
        <v>#REF!</v>
      </c>
      <c r="T11" s="15" t="e">
        <f t="shared" si="4"/>
        <v>#REF!</v>
      </c>
      <c r="U11" s="15" t="e">
        <f t="shared" si="4"/>
        <v>#REF!</v>
      </c>
      <c r="V11" s="15" t="e">
        <f t="shared" si="4"/>
        <v>#REF!</v>
      </c>
      <c r="W11" s="15" t="e">
        <f t="shared" ref="W11:AG11" si="5">+SUM(W10:W10)</f>
        <v>#REF!</v>
      </c>
      <c r="X11" s="15" t="e">
        <f t="shared" si="5"/>
        <v>#REF!</v>
      </c>
      <c r="Y11" s="15" t="e">
        <f t="shared" si="5"/>
        <v>#REF!</v>
      </c>
      <c r="Z11" s="15" t="e">
        <f t="shared" si="5"/>
        <v>#REF!</v>
      </c>
      <c r="AA11" s="15" t="e">
        <f t="shared" si="5"/>
        <v>#REF!</v>
      </c>
      <c r="AB11" s="15">
        <f t="shared" si="5"/>
        <v>0</v>
      </c>
      <c r="AC11" s="15">
        <f t="shared" si="5"/>
        <v>0</v>
      </c>
      <c r="AD11" s="15">
        <f t="shared" si="5"/>
        <v>706</v>
      </c>
      <c r="AE11" s="15">
        <f t="shared" si="5"/>
        <v>2811</v>
      </c>
      <c r="AF11" s="15">
        <f t="shared" si="5"/>
        <v>2811</v>
      </c>
      <c r="AG11" s="15">
        <f t="shared" si="5"/>
        <v>2811</v>
      </c>
      <c r="AH11" s="15">
        <f>+SUM(AH10:AH10)</f>
        <v>3008</v>
      </c>
      <c r="AI11" s="43"/>
      <c r="AJ11" s="16">
        <f>SUM(AH11/AD11)-1</f>
        <v>3.2606232294617561</v>
      </c>
    </row>
    <row r="12" spans="1:36" s="22" customFormat="1" ht="5.0999999999999996" customHeight="1">
      <c r="B12" s="20"/>
      <c r="C12" s="21"/>
      <c r="D12" s="21"/>
      <c r="E12" s="21"/>
      <c r="G12" s="23"/>
      <c r="H12" s="23"/>
      <c r="I12" s="23"/>
      <c r="J12" s="23"/>
      <c r="K12" s="24"/>
      <c r="L12" s="23"/>
      <c r="M12" s="23"/>
      <c r="AJ12" s="81"/>
    </row>
    <row r="13" spans="1:36" ht="12.75" customHeight="1">
      <c r="B13" s="10" t="s">
        <v>623</v>
      </c>
      <c r="C13" s="88">
        <v>-520</v>
      </c>
      <c r="D13" s="88">
        <v>-541</v>
      </c>
      <c r="E13" s="88">
        <v>-596</v>
      </c>
      <c r="F13" s="26"/>
      <c r="G13" s="88"/>
      <c r="H13" s="88"/>
      <c r="I13" s="88">
        <v>-151</v>
      </c>
      <c r="J13" s="34">
        <f>SUM(E13-SUM(G13:I13))</f>
        <v>-445</v>
      </c>
      <c r="K13" s="88"/>
      <c r="L13" s="88"/>
      <c r="M13" s="88">
        <v>-208</v>
      </c>
      <c r="O13" s="34" t="e">
        <f>SUM(#REF!)</f>
        <v>#REF!</v>
      </c>
      <c r="P13" s="34" t="e">
        <f>SUM(#REF!)</f>
        <v>#REF!</v>
      </c>
      <c r="Q13" s="34" t="e">
        <f>SUM(#REF!)</f>
        <v>#REF!</v>
      </c>
      <c r="R13" s="34" t="e">
        <f>SUM(#REF!)</f>
        <v>#REF!</v>
      </c>
      <c r="S13" s="34" t="e">
        <f>SUM(#REF!)</f>
        <v>#REF!</v>
      </c>
      <c r="T13" s="34" t="e">
        <f>SUM(#REF!)</f>
        <v>#REF!</v>
      </c>
      <c r="U13" s="34" t="e">
        <f>SUM(#REF!)</f>
        <v>#REF!</v>
      </c>
      <c r="V13" s="34" t="e">
        <f>SUM(#REF!)</f>
        <v>#REF!</v>
      </c>
      <c r="W13" s="34" t="e">
        <f>SUM(#REF!)</f>
        <v>#REF!</v>
      </c>
      <c r="X13" s="34" t="e">
        <f>SUM(#REF!)</f>
        <v>#REF!</v>
      </c>
      <c r="Y13" s="34" t="e">
        <f>SUM(#REF!)</f>
        <v>#REF!</v>
      </c>
      <c r="Z13" s="34" t="e">
        <f>SUM(#REF!)</f>
        <v>#REF!</v>
      </c>
      <c r="AA13" s="34" t="e">
        <f>SUM(#REF!)</f>
        <v>#REF!</v>
      </c>
      <c r="AB13" s="34">
        <f>SUM(G13:G13)</f>
        <v>0</v>
      </c>
      <c r="AC13" s="34">
        <f>SUM(G13:H13)</f>
        <v>0</v>
      </c>
      <c r="AD13" s="34">
        <f>SUM(G13:I13)</f>
        <v>-151</v>
      </c>
      <c r="AE13" s="34">
        <f t="shared" ref="AE13:AH13" si="6">SUM(G13:J13)</f>
        <v>-596</v>
      </c>
      <c r="AF13" s="34">
        <f t="shared" si="6"/>
        <v>-596</v>
      </c>
      <c r="AG13" s="34">
        <f t="shared" si="6"/>
        <v>-596</v>
      </c>
      <c r="AH13" s="34">
        <f t="shared" si="6"/>
        <v>-653</v>
      </c>
      <c r="AI13" s="12"/>
      <c r="AJ13" s="81">
        <f>SUM(AH13/AD13)-1</f>
        <v>3.3245033112582778</v>
      </c>
    </row>
    <row r="14" spans="1:36" ht="12.75" customHeight="1">
      <c r="B14" s="10" t="s">
        <v>624</v>
      </c>
      <c r="C14" s="88">
        <v>-550</v>
      </c>
      <c r="D14" s="88">
        <v>-353</v>
      </c>
      <c r="E14" s="88">
        <v>-495</v>
      </c>
      <c r="F14" s="26"/>
      <c r="G14" s="88"/>
      <c r="H14" s="88"/>
      <c r="I14" s="88">
        <v>-116</v>
      </c>
      <c r="J14" s="34">
        <f t="shared" ref="J14:J15" si="7">SUM(E14-SUM(G14:I14))</f>
        <v>-379</v>
      </c>
      <c r="K14" s="88"/>
      <c r="L14" s="88"/>
      <c r="M14" s="88">
        <v>-235</v>
      </c>
      <c r="O14" s="34"/>
      <c r="P14" s="34"/>
      <c r="Q14" s="34"/>
      <c r="R14" s="34"/>
      <c r="S14" s="34"/>
      <c r="T14" s="34"/>
      <c r="U14" s="34"/>
      <c r="V14" s="34"/>
      <c r="W14" s="34"/>
      <c r="X14" s="34"/>
      <c r="Y14" s="34"/>
      <c r="Z14" s="34"/>
      <c r="AA14" s="34"/>
      <c r="AB14" s="34"/>
      <c r="AC14" s="34"/>
      <c r="AD14" s="34">
        <f t="shared" ref="AD14:AD15" si="8">SUM(G14:I14)</f>
        <v>-116</v>
      </c>
      <c r="AE14" s="34">
        <f t="shared" ref="AE14:AE15" si="9">SUM(G14:J14)</f>
        <v>-495</v>
      </c>
      <c r="AF14" s="34">
        <f t="shared" ref="AF14:AF15" si="10">SUM(H14:K14)</f>
        <v>-495</v>
      </c>
      <c r="AG14" s="34">
        <f t="shared" ref="AG14:AG15" si="11">SUM(I14:L14)</f>
        <v>-495</v>
      </c>
      <c r="AH14" s="34">
        <f t="shared" ref="AH14:AH15" si="12">SUM(J14:M14)</f>
        <v>-614</v>
      </c>
      <c r="AI14" s="12"/>
      <c r="AJ14" s="81"/>
    </row>
    <row r="15" spans="1:36" ht="12.75" customHeight="1">
      <c r="B15" s="10" t="s">
        <v>625</v>
      </c>
      <c r="C15" s="88">
        <v>-147</v>
      </c>
      <c r="D15" s="88">
        <v>-297</v>
      </c>
      <c r="E15" s="88">
        <v>-503</v>
      </c>
      <c r="F15" s="26"/>
      <c r="G15" s="88"/>
      <c r="H15" s="88"/>
      <c r="I15" s="88">
        <v>-123</v>
      </c>
      <c r="J15" s="34">
        <f t="shared" si="7"/>
        <v>-380</v>
      </c>
      <c r="K15" s="88"/>
      <c r="L15" s="88"/>
      <c r="M15" s="88">
        <v>-180</v>
      </c>
      <c r="O15" s="34"/>
      <c r="P15" s="34"/>
      <c r="Q15" s="34"/>
      <c r="R15" s="34"/>
      <c r="S15" s="34"/>
      <c r="T15" s="34"/>
      <c r="U15" s="34"/>
      <c r="V15" s="34"/>
      <c r="W15" s="34"/>
      <c r="X15" s="34"/>
      <c r="Y15" s="34"/>
      <c r="Z15" s="34"/>
      <c r="AA15" s="34"/>
      <c r="AB15" s="34"/>
      <c r="AC15" s="34"/>
      <c r="AD15" s="34">
        <f t="shared" si="8"/>
        <v>-123</v>
      </c>
      <c r="AE15" s="34">
        <f t="shared" si="9"/>
        <v>-503</v>
      </c>
      <c r="AF15" s="34">
        <f t="shared" si="10"/>
        <v>-503</v>
      </c>
      <c r="AG15" s="34">
        <f t="shared" si="11"/>
        <v>-503</v>
      </c>
      <c r="AH15" s="34">
        <f t="shared" si="12"/>
        <v>-560</v>
      </c>
      <c r="AI15" s="12"/>
      <c r="AJ15" s="81"/>
    </row>
    <row r="16" spans="1:36" ht="12.75" customHeight="1">
      <c r="B16" s="27" t="s">
        <v>25</v>
      </c>
      <c r="C16" s="28">
        <f t="shared" ref="C16:D16" si="13">+SUM(C11+SUM(C13:C15))</f>
        <v>687</v>
      </c>
      <c r="D16" s="28">
        <f t="shared" si="13"/>
        <v>1085</v>
      </c>
      <c r="E16" s="28">
        <f>+SUM(E11+SUM(E13:E15))</f>
        <v>1217</v>
      </c>
      <c r="G16" s="28">
        <f t="shared" ref="G16:M16" si="14">+SUM(G11+SUM(G13:G15))</f>
        <v>0</v>
      </c>
      <c r="H16" s="28">
        <f t="shared" si="14"/>
        <v>0</v>
      </c>
      <c r="I16" s="28">
        <f t="shared" si="14"/>
        <v>316</v>
      </c>
      <c r="J16" s="28">
        <f t="shared" si="14"/>
        <v>901</v>
      </c>
      <c r="K16" s="28">
        <f t="shared" si="14"/>
        <v>0</v>
      </c>
      <c r="L16" s="28">
        <f t="shared" si="14"/>
        <v>0</v>
      </c>
      <c r="M16" s="28">
        <f t="shared" si="14"/>
        <v>280</v>
      </c>
      <c r="O16" s="28" t="e">
        <f>+SUM(O11+SUM(O13:O13))</f>
        <v>#REF!</v>
      </c>
      <c r="P16" s="28" t="e">
        <f>+SUM(P11+SUM(P13:P13))</f>
        <v>#REF!</v>
      </c>
      <c r="Q16" s="28" t="e">
        <f>+SUM(Q11+SUM(Q13:Q13))</f>
        <v>#REF!</v>
      </c>
      <c r="R16" s="28" t="e">
        <f>+SUM(R11+SUM(R13:R13))</f>
        <v>#REF!</v>
      </c>
      <c r="S16" s="28" t="e">
        <f>+SUM(S11+SUM(S13:S13))</f>
        <v>#REF!</v>
      </c>
      <c r="T16" s="28" t="e">
        <f>+SUM(T11+SUM(T13:T13))</f>
        <v>#REF!</v>
      </c>
      <c r="U16" s="28" t="e">
        <f>+SUM(U11+SUM(U13:U13))</f>
        <v>#REF!</v>
      </c>
      <c r="V16" s="28" t="e">
        <f>+SUM(V11+SUM(V13:V13))</f>
        <v>#REF!</v>
      </c>
      <c r="W16" s="28" t="e">
        <f>+SUM(W11+SUM(W13:W13))</f>
        <v>#REF!</v>
      </c>
      <c r="X16" s="28" t="e">
        <f>+SUM(X11+SUM(X13:X13))</f>
        <v>#REF!</v>
      </c>
      <c r="Y16" s="28" t="e">
        <f>+SUM(Y11+SUM(Y13:Y13))</f>
        <v>#REF!</v>
      </c>
      <c r="Z16" s="28" t="e">
        <f>+SUM(Z11+SUM(Z13:Z13))</f>
        <v>#REF!</v>
      </c>
      <c r="AA16" s="28" t="e">
        <f>+SUM(AA11+SUM(AA13:AA13))</f>
        <v>#REF!</v>
      </c>
      <c r="AB16" s="28">
        <f>+SUM(AB11+SUM(AB13:AB13))</f>
        <v>0</v>
      </c>
      <c r="AC16" s="28">
        <f>+SUM(AC11+SUM(AC13:AC13))</f>
        <v>0</v>
      </c>
      <c r="AD16" s="28">
        <f t="shared" ref="AD16" si="15">+SUM(AD11+SUM(AD13:AD15))</f>
        <v>316</v>
      </c>
      <c r="AE16" s="28">
        <f t="shared" ref="AE16" si="16">+SUM(AE11+SUM(AE13:AE15))</f>
        <v>1217</v>
      </c>
      <c r="AF16" s="28">
        <f t="shared" ref="AF16" si="17">+SUM(AF11+SUM(AF13:AF15))</f>
        <v>1217</v>
      </c>
      <c r="AG16" s="28">
        <f t="shared" ref="AG16" si="18">+SUM(AG11+SUM(AG13:AG15))</f>
        <v>1217</v>
      </c>
      <c r="AH16" s="28">
        <f t="shared" ref="AH16" si="19">+SUM(AH11+SUM(AH13:AH15))</f>
        <v>1181</v>
      </c>
      <c r="AI16" s="45"/>
      <c r="AJ16" s="82">
        <f>SUM(AH16/AD16)-1</f>
        <v>2.7373417721518987</v>
      </c>
    </row>
    <row r="17" spans="2:36" ht="12.75" customHeight="1">
      <c r="B17" s="17" t="s">
        <v>41</v>
      </c>
      <c r="C17" s="19">
        <f>C16/C11</f>
        <v>0.36081932773109243</v>
      </c>
      <c r="D17" s="19">
        <f>D16/D11</f>
        <v>0.47671353251318099</v>
      </c>
      <c r="E17" s="19">
        <f>E16/E11</f>
        <v>0.4329420135183209</v>
      </c>
      <c r="F17" s="29"/>
      <c r="G17" s="19" t="e">
        <f>G16/G11</f>
        <v>#DIV/0!</v>
      </c>
      <c r="H17" s="19" t="e">
        <f>H16/H11</f>
        <v>#DIV/0!</v>
      </c>
      <c r="I17" s="19">
        <f>I16/I11</f>
        <v>0.44759206798866857</v>
      </c>
      <c r="J17" s="19">
        <f>J16/J11</f>
        <v>0.42802850356294536</v>
      </c>
      <c r="K17" s="19" t="e">
        <f>K16/K11</f>
        <v>#DIV/0!</v>
      </c>
      <c r="L17" s="19" t="e">
        <f>L16/L11</f>
        <v>#DIV/0!</v>
      </c>
      <c r="M17" s="19">
        <f>M16/M11</f>
        <v>0.31007751937984496</v>
      </c>
      <c r="N17" s="30"/>
      <c r="O17" s="19" t="e">
        <f>O16/O11</f>
        <v>#REF!</v>
      </c>
      <c r="P17" s="19" t="e">
        <f>P16/P11</f>
        <v>#REF!</v>
      </c>
      <c r="Q17" s="19" t="e">
        <f>Q16/Q11</f>
        <v>#REF!</v>
      </c>
      <c r="R17" s="19" t="e">
        <f>R16/R11</f>
        <v>#REF!</v>
      </c>
      <c r="S17" s="19" t="e">
        <f>S16/S11</f>
        <v>#REF!</v>
      </c>
      <c r="T17" s="19" t="e">
        <f>T16/T11</f>
        <v>#REF!</v>
      </c>
      <c r="U17" s="19" t="e">
        <f>U16/U11</f>
        <v>#REF!</v>
      </c>
      <c r="V17" s="19" t="e">
        <f>V16/V11</f>
        <v>#REF!</v>
      </c>
      <c r="W17" s="19" t="e">
        <f>W16/W11</f>
        <v>#REF!</v>
      </c>
      <c r="X17" s="19" t="e">
        <f>X16/X11</f>
        <v>#REF!</v>
      </c>
      <c r="Y17" s="19" t="e">
        <f>Y16/Y11</f>
        <v>#REF!</v>
      </c>
      <c r="Z17" s="19" t="e">
        <f>Z16/Z11</f>
        <v>#REF!</v>
      </c>
      <c r="AA17" s="19" t="e">
        <f>AA16/AA11</f>
        <v>#REF!</v>
      </c>
      <c r="AB17" s="19" t="e">
        <f>AB16/AB11</f>
        <v>#DIV/0!</v>
      </c>
      <c r="AC17" s="19" t="e">
        <f>AC16/AC11</f>
        <v>#DIV/0!</v>
      </c>
      <c r="AD17" s="19">
        <f>AD16/AD11</f>
        <v>0.44759206798866857</v>
      </c>
      <c r="AE17" s="19">
        <f>AE16/AE11</f>
        <v>0.4329420135183209</v>
      </c>
      <c r="AF17" s="19">
        <f>AF16/AF11</f>
        <v>0.4329420135183209</v>
      </c>
      <c r="AG17" s="19">
        <f>AG16/AG11</f>
        <v>0.4329420135183209</v>
      </c>
      <c r="AH17" s="19">
        <f>AH16/AH11</f>
        <v>0.39261968085106386</v>
      </c>
      <c r="AI17" s="45"/>
      <c r="AJ17" s="83">
        <f>SUM(AH17-AD17)*1000</f>
        <v>-54.97238713760472</v>
      </c>
    </row>
    <row r="18" spans="2:36" ht="5.0999999999999996" customHeight="1">
      <c r="B18" s="31"/>
      <c r="C18" s="32"/>
      <c r="D18" s="32"/>
      <c r="E18" s="32"/>
      <c r="F18" s="32"/>
      <c r="G18" s="32"/>
      <c r="H18" s="32"/>
      <c r="I18" s="32"/>
      <c r="J18" s="32"/>
      <c r="K18" s="32"/>
      <c r="L18" s="32"/>
      <c r="M18" s="32"/>
      <c r="O18" s="32"/>
      <c r="P18" s="32"/>
      <c r="Q18" s="32"/>
      <c r="R18" s="32"/>
      <c r="S18" s="32"/>
      <c r="T18" s="32"/>
      <c r="U18" s="32"/>
      <c r="V18" s="32"/>
      <c r="W18" s="32"/>
      <c r="X18" s="32"/>
      <c r="Y18" s="32"/>
      <c r="Z18" s="32"/>
      <c r="AA18" s="32"/>
      <c r="AB18" s="32"/>
      <c r="AC18" s="32"/>
      <c r="AD18" s="32"/>
      <c r="AE18" s="32"/>
      <c r="AF18" s="32"/>
      <c r="AG18" s="32"/>
      <c r="AH18" s="32"/>
      <c r="AI18" s="45"/>
      <c r="AJ18" s="81"/>
    </row>
    <row r="19" spans="2:36" ht="12.75" customHeight="1">
      <c r="B19" s="10" t="s">
        <v>626</v>
      </c>
      <c r="C19" s="88">
        <v>-430</v>
      </c>
      <c r="D19" s="88">
        <v>-389</v>
      </c>
      <c r="E19" s="88">
        <v>-444</v>
      </c>
      <c r="F19" s="34"/>
      <c r="G19" s="88"/>
      <c r="H19" s="88"/>
      <c r="I19" s="88">
        <v>-107</v>
      </c>
      <c r="J19" s="34">
        <f t="shared" ref="J19:J23" si="20">SUM(E19-SUM(G19:I19))</f>
        <v>-337</v>
      </c>
      <c r="K19" s="88"/>
      <c r="L19" s="88"/>
      <c r="M19" s="88">
        <v>-123</v>
      </c>
      <c r="O19" s="34"/>
      <c r="P19" s="34"/>
      <c r="Q19" s="34"/>
      <c r="R19" s="34"/>
      <c r="S19" s="34"/>
      <c r="T19" s="34"/>
      <c r="U19" s="34"/>
      <c r="V19" s="34"/>
      <c r="W19" s="34"/>
      <c r="X19" s="34"/>
      <c r="Y19" s="34"/>
      <c r="Z19" s="34"/>
      <c r="AA19" s="34"/>
      <c r="AB19" s="34"/>
      <c r="AC19" s="34"/>
      <c r="AD19" s="34">
        <f t="shared" ref="AD19:AD23" si="21">SUM(G19:I19)</f>
        <v>-107</v>
      </c>
      <c r="AE19" s="34">
        <f t="shared" ref="AE19:AE23" si="22">SUM(G19:J19)</f>
        <v>-444</v>
      </c>
      <c r="AF19" s="34">
        <f t="shared" ref="AF19:AF23" si="23">SUM(H19:K19)</f>
        <v>-444</v>
      </c>
      <c r="AG19" s="34">
        <f t="shared" ref="AG19:AG23" si="24">SUM(I19:L19)</f>
        <v>-444</v>
      </c>
      <c r="AH19" s="34">
        <f t="shared" ref="AH19:AH23" si="25">SUM(J19:M19)</f>
        <v>-460</v>
      </c>
      <c r="AI19" s="12"/>
      <c r="AJ19" s="81"/>
    </row>
    <row r="20" spans="2:36" ht="12.75" customHeight="1">
      <c r="B20" s="10" t="s">
        <v>456</v>
      </c>
      <c r="C20" s="88">
        <v>-531</v>
      </c>
      <c r="D20" s="88">
        <v>-381</v>
      </c>
      <c r="E20" s="88">
        <v>-328</v>
      </c>
      <c r="F20" s="34"/>
      <c r="G20" s="88"/>
      <c r="H20" s="88"/>
      <c r="I20" s="88">
        <v>-70</v>
      </c>
      <c r="J20" s="34">
        <f t="shared" si="20"/>
        <v>-258</v>
      </c>
      <c r="K20" s="88"/>
      <c r="L20" s="88"/>
      <c r="M20" s="88">
        <v>-102</v>
      </c>
      <c r="O20" s="34"/>
      <c r="P20" s="34"/>
      <c r="Q20" s="34"/>
      <c r="R20" s="34"/>
      <c r="S20" s="34"/>
      <c r="T20" s="34"/>
      <c r="U20" s="34"/>
      <c r="V20" s="34"/>
      <c r="W20" s="34"/>
      <c r="X20" s="34"/>
      <c r="Y20" s="34"/>
      <c r="Z20" s="34"/>
      <c r="AA20" s="34"/>
      <c r="AB20" s="34"/>
      <c r="AC20" s="34"/>
      <c r="AD20" s="34">
        <f t="shared" si="21"/>
        <v>-70</v>
      </c>
      <c r="AE20" s="34">
        <f t="shared" si="22"/>
        <v>-328</v>
      </c>
      <c r="AF20" s="34">
        <f t="shared" si="23"/>
        <v>-328</v>
      </c>
      <c r="AG20" s="34">
        <f t="shared" si="24"/>
        <v>-328</v>
      </c>
      <c r="AH20" s="34">
        <f t="shared" si="25"/>
        <v>-360</v>
      </c>
      <c r="AI20" s="12"/>
      <c r="AJ20" s="81"/>
    </row>
    <row r="21" spans="2:36" ht="12.75" customHeight="1">
      <c r="B21" s="10" t="s">
        <v>627</v>
      </c>
      <c r="C21" s="88">
        <v>-287</v>
      </c>
      <c r="D21" s="88">
        <v>-240</v>
      </c>
      <c r="E21" s="88">
        <v>-203</v>
      </c>
      <c r="F21" s="34"/>
      <c r="G21" s="88"/>
      <c r="H21" s="88"/>
      <c r="I21" s="88">
        <v>-44</v>
      </c>
      <c r="J21" s="34">
        <f t="shared" si="20"/>
        <v>-159</v>
      </c>
      <c r="K21" s="88"/>
      <c r="L21" s="88"/>
      <c r="M21" s="88">
        <v>-53</v>
      </c>
      <c r="O21" s="34"/>
      <c r="P21" s="34"/>
      <c r="Q21" s="34"/>
      <c r="R21" s="34"/>
      <c r="S21" s="34"/>
      <c r="T21" s="34"/>
      <c r="U21" s="34"/>
      <c r="V21" s="34"/>
      <c r="W21" s="34"/>
      <c r="X21" s="34"/>
      <c r="Y21" s="34"/>
      <c r="Z21" s="34"/>
      <c r="AA21" s="34"/>
      <c r="AB21" s="34"/>
      <c r="AC21" s="34"/>
      <c r="AD21" s="34">
        <f t="shared" si="21"/>
        <v>-44</v>
      </c>
      <c r="AE21" s="34">
        <f t="shared" si="22"/>
        <v>-203</v>
      </c>
      <c r="AF21" s="34">
        <f t="shared" si="23"/>
        <v>-203</v>
      </c>
      <c r="AG21" s="34">
        <f t="shared" si="24"/>
        <v>-203</v>
      </c>
      <c r="AH21" s="34">
        <f t="shared" si="25"/>
        <v>-212</v>
      </c>
      <c r="AI21" s="12"/>
      <c r="AJ21" s="81"/>
    </row>
    <row r="22" spans="2:36" ht="12.75" customHeight="1">
      <c r="B22" s="10" t="s">
        <v>457</v>
      </c>
      <c r="C22" s="88">
        <v>-320</v>
      </c>
      <c r="D22" s="88">
        <v>-270</v>
      </c>
      <c r="E22" s="88">
        <v>-281</v>
      </c>
      <c r="F22" s="34"/>
      <c r="G22" s="88"/>
      <c r="H22" s="88"/>
      <c r="I22" s="88">
        <v>-65</v>
      </c>
      <c r="J22" s="34">
        <f t="shared" si="20"/>
        <v>-216</v>
      </c>
      <c r="K22" s="88"/>
      <c r="L22" s="88"/>
      <c r="M22" s="88">
        <v>-77</v>
      </c>
      <c r="O22" s="34"/>
      <c r="P22" s="34"/>
      <c r="Q22" s="34"/>
      <c r="R22" s="34"/>
      <c r="S22" s="34"/>
      <c r="T22" s="34"/>
      <c r="U22" s="34"/>
      <c r="V22" s="34"/>
      <c r="W22" s="34"/>
      <c r="X22" s="34"/>
      <c r="Y22" s="34"/>
      <c r="Z22" s="34"/>
      <c r="AA22" s="34"/>
      <c r="AB22" s="34"/>
      <c r="AC22" s="34"/>
      <c r="AD22" s="34">
        <f t="shared" si="21"/>
        <v>-65</v>
      </c>
      <c r="AE22" s="34">
        <f t="shared" si="22"/>
        <v>-281</v>
      </c>
      <c r="AF22" s="34">
        <f t="shared" si="23"/>
        <v>-281</v>
      </c>
      <c r="AG22" s="34">
        <f t="shared" si="24"/>
        <v>-281</v>
      </c>
      <c r="AH22" s="34">
        <f t="shared" si="25"/>
        <v>-293</v>
      </c>
      <c r="AI22" s="12"/>
      <c r="AJ22" s="81"/>
    </row>
    <row r="23" spans="2:36" ht="12.75" customHeight="1">
      <c r="B23" s="10" t="s">
        <v>628</v>
      </c>
      <c r="C23" s="88">
        <v>-99</v>
      </c>
      <c r="D23" s="88">
        <v>-128</v>
      </c>
      <c r="E23" s="88">
        <v>-82</v>
      </c>
      <c r="F23" s="34"/>
      <c r="G23" s="88"/>
      <c r="H23" s="88"/>
      <c r="I23" s="88">
        <v>-17</v>
      </c>
      <c r="J23" s="34">
        <f t="shared" si="20"/>
        <v>-65</v>
      </c>
      <c r="K23" s="88"/>
      <c r="L23" s="88"/>
      <c r="M23" s="88">
        <v>-8</v>
      </c>
      <c r="O23" s="34"/>
      <c r="P23" s="34"/>
      <c r="Q23" s="34"/>
      <c r="R23" s="34"/>
      <c r="S23" s="34"/>
      <c r="T23" s="34"/>
      <c r="U23" s="34"/>
      <c r="V23" s="34"/>
      <c r="W23" s="34"/>
      <c r="X23" s="34"/>
      <c r="Y23" s="34"/>
      <c r="Z23" s="34"/>
      <c r="AA23" s="34"/>
      <c r="AB23" s="34"/>
      <c r="AC23" s="34"/>
      <c r="AD23" s="34">
        <f t="shared" si="21"/>
        <v>-17</v>
      </c>
      <c r="AE23" s="34">
        <f t="shared" si="22"/>
        <v>-82</v>
      </c>
      <c r="AF23" s="34">
        <f t="shared" si="23"/>
        <v>-82</v>
      </c>
      <c r="AG23" s="34">
        <f t="shared" si="24"/>
        <v>-82</v>
      </c>
      <c r="AH23" s="34">
        <f t="shared" si="25"/>
        <v>-73</v>
      </c>
      <c r="AI23" s="12"/>
      <c r="AJ23" s="81"/>
    </row>
    <row r="24" spans="2:36" ht="12.75" customHeight="1">
      <c r="B24" s="27" t="s">
        <v>426</v>
      </c>
      <c r="C24" s="28">
        <f>+SUM(C16+SUM(C19:C23))</f>
        <v>-980</v>
      </c>
      <c r="D24" s="28">
        <f>+SUM(D16+SUM(D19:D23))</f>
        <v>-323</v>
      </c>
      <c r="E24" s="28">
        <f>+SUM(E16+SUM(E19:E23))</f>
        <v>-121</v>
      </c>
      <c r="F24" s="34"/>
      <c r="G24" s="28">
        <f>+SUM(G16+SUM(G19:G23))</f>
        <v>0</v>
      </c>
      <c r="H24" s="28">
        <f>+SUM(H16+SUM(H19:H23))</f>
        <v>0</v>
      </c>
      <c r="I24" s="28">
        <f>+SUM(I16+SUM(I19:I23))</f>
        <v>13</v>
      </c>
      <c r="J24" s="28">
        <f>+SUM(J16+SUM(J19:J23))</f>
        <v>-134</v>
      </c>
      <c r="K24" s="28">
        <f>+SUM(K16+SUM(K19:K23))</f>
        <v>0</v>
      </c>
      <c r="L24" s="28">
        <f>+SUM(L16+SUM(L19:L23))</f>
        <v>0</v>
      </c>
      <c r="M24" s="28">
        <f>+SUM(M16+SUM(M19:M23))</f>
        <v>-83</v>
      </c>
      <c r="O24" s="28" t="e">
        <f>+SUM(O16+SUM(O19:O23))</f>
        <v>#REF!</v>
      </c>
      <c r="P24" s="28" t="e">
        <f>+SUM(P16+SUM(P19:P23))</f>
        <v>#REF!</v>
      </c>
      <c r="Q24" s="28" t="e">
        <f>+SUM(Q16+SUM(Q19:Q23))</f>
        <v>#REF!</v>
      </c>
      <c r="R24" s="28" t="e">
        <f>+SUM(R16+SUM(R19:R23))</f>
        <v>#REF!</v>
      </c>
      <c r="S24" s="28" t="e">
        <f>+SUM(S16+SUM(S19:S23))</f>
        <v>#REF!</v>
      </c>
      <c r="T24" s="28" t="e">
        <f>+SUM(T16+SUM(T19:T23))</f>
        <v>#REF!</v>
      </c>
      <c r="U24" s="28" t="e">
        <f>+SUM(U16+SUM(U19:U23))</f>
        <v>#REF!</v>
      </c>
      <c r="V24" s="28" t="e">
        <f>+SUM(V16+SUM(V19:V23))</f>
        <v>#REF!</v>
      </c>
      <c r="W24" s="28" t="e">
        <f>+SUM(W16+SUM(W19:W23))</f>
        <v>#REF!</v>
      </c>
      <c r="X24" s="28" t="e">
        <f>+SUM(X16+SUM(X19:X23))</f>
        <v>#REF!</v>
      </c>
      <c r="Y24" s="28" t="e">
        <f>+SUM(Y16+SUM(Y19:Y23))</f>
        <v>#REF!</v>
      </c>
      <c r="Z24" s="28" t="e">
        <f>+SUM(Z16+SUM(Z19:Z23))</f>
        <v>#REF!</v>
      </c>
      <c r="AA24" s="28" t="e">
        <f>+SUM(AA16+SUM(AA19:AA23))</f>
        <v>#REF!</v>
      </c>
      <c r="AB24" s="28">
        <f>+SUM(AB16+SUM(AB19:AB23))</f>
        <v>0</v>
      </c>
      <c r="AC24" s="28">
        <f>+SUM(AC16+SUM(AC19:AC23))</f>
        <v>0</v>
      </c>
      <c r="AD24" s="28">
        <f>+SUM(AD16+SUM(AD19:AD23))</f>
        <v>13</v>
      </c>
      <c r="AE24" s="28">
        <f>+SUM(AE16+SUM(AE19:AE23))</f>
        <v>-121</v>
      </c>
      <c r="AF24" s="28">
        <f>+SUM(AF16+SUM(AF19:AF23))</f>
        <v>-121</v>
      </c>
      <c r="AG24" s="28">
        <f>+SUM(AG16+SUM(AG19:AG23))</f>
        <v>-121</v>
      </c>
      <c r="AH24" s="28">
        <f>+SUM(AH16+SUM(AH19:AH23))</f>
        <v>-217</v>
      </c>
      <c r="AI24" s="12"/>
      <c r="AJ24" s="82">
        <f>SUM(AH24/AD24)-1</f>
        <v>-17.692307692307693</v>
      </c>
    </row>
    <row r="25" spans="2:36" ht="12.75" customHeight="1">
      <c r="B25" s="17" t="s">
        <v>43</v>
      </c>
      <c r="C25" s="19">
        <f>C24/C11</f>
        <v>-0.51470588235294112</v>
      </c>
      <c r="D25" s="19">
        <f>D24/D11</f>
        <v>-0.14191564147627417</v>
      </c>
      <c r="E25" s="19">
        <f>E24/E11</f>
        <v>-4.3045179651369621E-2</v>
      </c>
      <c r="F25" s="34"/>
      <c r="G25" s="19" t="e">
        <f>G24/G11</f>
        <v>#DIV/0!</v>
      </c>
      <c r="H25" s="19" t="e">
        <f>H24/H11</f>
        <v>#DIV/0!</v>
      </c>
      <c r="I25" s="19">
        <f>I24/I11</f>
        <v>1.8413597733711047E-2</v>
      </c>
      <c r="J25" s="19">
        <f>J24/J11</f>
        <v>-6.3657957244655589E-2</v>
      </c>
      <c r="K25" s="19" t="e">
        <f>K24/K11</f>
        <v>#DIV/0!</v>
      </c>
      <c r="L25" s="19" t="e">
        <f>L24/L11</f>
        <v>#DIV/0!</v>
      </c>
      <c r="M25" s="19">
        <f>M24/M11</f>
        <v>-9.1915836101882614E-2</v>
      </c>
      <c r="O25" s="19" t="e">
        <f>O24/O11</f>
        <v>#REF!</v>
      </c>
      <c r="P25" s="19" t="e">
        <f>P24/P11</f>
        <v>#REF!</v>
      </c>
      <c r="Q25" s="19" t="e">
        <f>Q24/Q11</f>
        <v>#REF!</v>
      </c>
      <c r="R25" s="19" t="e">
        <f>R24/R11</f>
        <v>#REF!</v>
      </c>
      <c r="S25" s="19" t="e">
        <f>S24/S11</f>
        <v>#REF!</v>
      </c>
      <c r="T25" s="19" t="e">
        <f>T24/T11</f>
        <v>#REF!</v>
      </c>
      <c r="U25" s="19" t="e">
        <f>U24/U11</f>
        <v>#REF!</v>
      </c>
      <c r="V25" s="19" t="e">
        <f>V24/V11</f>
        <v>#REF!</v>
      </c>
      <c r="W25" s="19" t="e">
        <f>W24/W11</f>
        <v>#REF!</v>
      </c>
      <c r="X25" s="19" t="e">
        <f>X24/X11</f>
        <v>#REF!</v>
      </c>
      <c r="Y25" s="19" t="e">
        <f>Y24/Y11</f>
        <v>#REF!</v>
      </c>
      <c r="Z25" s="19" t="e">
        <f>Z24/Z11</f>
        <v>#REF!</v>
      </c>
      <c r="AA25" s="19" t="e">
        <f>AA24/AA11</f>
        <v>#REF!</v>
      </c>
      <c r="AB25" s="19" t="e">
        <f>AB24/AB11</f>
        <v>#DIV/0!</v>
      </c>
      <c r="AC25" s="19" t="e">
        <f>AC24/AC11</f>
        <v>#DIV/0!</v>
      </c>
      <c r="AD25" s="19">
        <f>AD24/AD11</f>
        <v>1.8413597733711047E-2</v>
      </c>
      <c r="AE25" s="19">
        <f>AE24/AE11</f>
        <v>-4.3045179651369621E-2</v>
      </c>
      <c r="AF25" s="19">
        <f>AF24/AF11</f>
        <v>-4.3045179651369621E-2</v>
      </c>
      <c r="AG25" s="19">
        <f>AG24/AG11</f>
        <v>-4.3045179651369621E-2</v>
      </c>
      <c r="AH25" s="19">
        <f>AH24/AH11</f>
        <v>-7.2140957446808512E-2</v>
      </c>
      <c r="AI25" s="12"/>
      <c r="AJ25" s="83">
        <f>SUM(AH25-AD25)*1000</f>
        <v>-90.554555180519557</v>
      </c>
    </row>
    <row r="26" spans="2:36" ht="5.0999999999999996" customHeight="1">
      <c r="B26" s="17"/>
      <c r="C26" s="19"/>
      <c r="D26" s="19"/>
      <c r="E26" s="19"/>
      <c r="F26" s="34"/>
      <c r="G26" s="88"/>
      <c r="H26" s="88"/>
      <c r="I26" s="88"/>
      <c r="J26" s="88"/>
      <c r="K26" s="34"/>
      <c r="L26" s="88"/>
      <c r="M26" s="88"/>
      <c r="O26" s="34"/>
      <c r="P26" s="34"/>
      <c r="Q26" s="34"/>
      <c r="R26" s="34"/>
      <c r="S26" s="34"/>
      <c r="T26" s="34"/>
      <c r="U26" s="34"/>
      <c r="V26" s="34"/>
      <c r="W26" s="34"/>
      <c r="X26" s="34"/>
      <c r="Y26" s="34"/>
      <c r="Z26" s="34"/>
      <c r="AA26" s="34"/>
      <c r="AB26" s="34"/>
      <c r="AC26" s="34"/>
      <c r="AD26" s="34"/>
      <c r="AE26" s="34"/>
      <c r="AF26" s="34"/>
      <c r="AG26" s="34"/>
      <c r="AH26" s="34"/>
      <c r="AI26" s="12"/>
      <c r="AJ26" s="81"/>
    </row>
    <row r="27" spans="2:36" ht="12.75" customHeight="1">
      <c r="B27" s="10" t="s">
        <v>629</v>
      </c>
      <c r="C27" s="88">
        <v>-58</v>
      </c>
      <c r="D27" s="88">
        <v>19</v>
      </c>
      <c r="E27" s="88">
        <v>154</v>
      </c>
      <c r="F27" s="34"/>
      <c r="G27" s="88"/>
      <c r="H27" s="88"/>
      <c r="I27" s="88">
        <v>2</v>
      </c>
      <c r="J27" s="34">
        <f>SUM(E27-SUM(G27:I27))</f>
        <v>152</v>
      </c>
      <c r="K27" s="88"/>
      <c r="L27" s="88"/>
      <c r="M27" s="88">
        <v>-4</v>
      </c>
      <c r="O27" s="34" t="e">
        <f>SUM(#REF!)</f>
        <v>#REF!</v>
      </c>
      <c r="P27" s="34" t="e">
        <f>SUM(#REF!)</f>
        <v>#REF!</v>
      </c>
      <c r="Q27" s="34" t="e">
        <f>SUM(#REF!)</f>
        <v>#REF!</v>
      </c>
      <c r="R27" s="34" t="e">
        <f>SUM(#REF!)</f>
        <v>#REF!</v>
      </c>
      <c r="S27" s="34" t="e">
        <f>SUM(#REF!)</f>
        <v>#REF!</v>
      </c>
      <c r="T27" s="34" t="e">
        <f>SUM(#REF!)</f>
        <v>#REF!</v>
      </c>
      <c r="U27" s="34" t="e">
        <f>SUM(#REF!)</f>
        <v>#REF!</v>
      </c>
      <c r="V27" s="34" t="e">
        <f>SUM(#REF!)</f>
        <v>#REF!</v>
      </c>
      <c r="W27" s="34" t="e">
        <f>SUM(#REF!)</f>
        <v>#REF!</v>
      </c>
      <c r="X27" s="34" t="e">
        <f>SUM(#REF!)</f>
        <v>#REF!</v>
      </c>
      <c r="Y27" s="34" t="e">
        <f>SUM(#REF!)</f>
        <v>#REF!</v>
      </c>
      <c r="Z27" s="34" t="e">
        <f>SUM(#REF!)</f>
        <v>#REF!</v>
      </c>
      <c r="AA27" s="34" t="e">
        <f>SUM(#REF!)</f>
        <v>#REF!</v>
      </c>
      <c r="AB27" s="34">
        <f>SUM(G27:G27)</f>
        <v>0</v>
      </c>
      <c r="AC27" s="34">
        <f>SUM(G27:H27)</f>
        <v>0</v>
      </c>
      <c r="AD27" s="34">
        <f>SUM(G27:I27)</f>
        <v>2</v>
      </c>
      <c r="AE27" s="34">
        <f t="shared" ref="AE27:AH27" si="26">SUM(G27:J27)</f>
        <v>154</v>
      </c>
      <c r="AF27" s="34">
        <f t="shared" si="26"/>
        <v>154</v>
      </c>
      <c r="AG27" s="34">
        <f t="shared" si="26"/>
        <v>154</v>
      </c>
      <c r="AH27" s="34">
        <f t="shared" si="26"/>
        <v>148</v>
      </c>
      <c r="AI27" s="12"/>
      <c r="AJ27" s="81">
        <f>SUM(AH27/AD27)-1</f>
        <v>73</v>
      </c>
    </row>
    <row r="28" spans="2:36" ht="12.75" customHeight="1">
      <c r="B28" s="27" t="s">
        <v>427</v>
      </c>
      <c r="C28" s="28">
        <f>SUM(C24+SUM(C27:C27))</f>
        <v>-1038</v>
      </c>
      <c r="D28" s="28">
        <f>SUM(D24+SUM(D27:D27))</f>
        <v>-304</v>
      </c>
      <c r="E28" s="28">
        <f>SUM(E24+SUM(E27:E27))</f>
        <v>33</v>
      </c>
      <c r="G28" s="28">
        <f>SUM(G24+SUM(G27:G27))</f>
        <v>0</v>
      </c>
      <c r="H28" s="28">
        <f>SUM(H24+SUM(H27:H27))</f>
        <v>0</v>
      </c>
      <c r="I28" s="28">
        <f>SUM(I24+SUM(I27:I27))</f>
        <v>15</v>
      </c>
      <c r="J28" s="28">
        <f>SUM(J24+SUM(J27:J27))</f>
        <v>18</v>
      </c>
      <c r="K28" s="28">
        <f>SUM(K24+SUM(K27:K27))</f>
        <v>0</v>
      </c>
      <c r="L28" s="28">
        <f>SUM(L24+SUM(L27:L27))</f>
        <v>0</v>
      </c>
      <c r="M28" s="28">
        <f>SUM(M24+SUM(M27:M27))</f>
        <v>-87</v>
      </c>
      <c r="O28" s="28" t="e">
        <f>SUM(O24+SUM(O27:O27))</f>
        <v>#REF!</v>
      </c>
      <c r="P28" s="28" t="e">
        <f>SUM(P24+SUM(P27:P27))</f>
        <v>#REF!</v>
      </c>
      <c r="Q28" s="28" t="e">
        <f>SUM(Q24+SUM(Q27:Q27))</f>
        <v>#REF!</v>
      </c>
      <c r="R28" s="28" t="e">
        <f>SUM(R24+SUM(R27:R27))</f>
        <v>#REF!</v>
      </c>
      <c r="S28" s="28" t="e">
        <f>SUM(S24+SUM(S27:S27))</f>
        <v>#REF!</v>
      </c>
      <c r="T28" s="28" t="e">
        <f>SUM(T24+SUM(T27:T27))</f>
        <v>#REF!</v>
      </c>
      <c r="U28" s="28" t="e">
        <f>SUM(U24+SUM(U27:U27))</f>
        <v>#REF!</v>
      </c>
      <c r="V28" s="28" t="e">
        <f>SUM(V24+SUM(V27:V27))</f>
        <v>#REF!</v>
      </c>
      <c r="W28" s="28" t="e">
        <f>SUM(W24+SUM(W27:W27))</f>
        <v>#REF!</v>
      </c>
      <c r="X28" s="28" t="e">
        <f>SUM(X24+SUM(X27:X27))</f>
        <v>#REF!</v>
      </c>
      <c r="Y28" s="28" t="e">
        <f>SUM(Y24+SUM(Y27:Y27))</f>
        <v>#REF!</v>
      </c>
      <c r="Z28" s="28" t="e">
        <f>SUM(Z24+SUM(Z27:Z27))</f>
        <v>#REF!</v>
      </c>
      <c r="AA28" s="28" t="e">
        <f>SUM(AA24+SUM(AA27:AA27))</f>
        <v>#REF!</v>
      </c>
      <c r="AB28" s="28">
        <f>SUM(AB24+SUM(AB27:AB27))</f>
        <v>0</v>
      </c>
      <c r="AC28" s="28">
        <f>SUM(AC24+SUM(AC27:AC27))</f>
        <v>0</v>
      </c>
      <c r="AD28" s="28">
        <f>SUM(AD24+SUM(AD27:AD27))</f>
        <v>15</v>
      </c>
      <c r="AE28" s="28">
        <f>SUM(AE24+SUM(AE27:AE27))</f>
        <v>33</v>
      </c>
      <c r="AF28" s="28">
        <f>SUM(AF24+SUM(AF27:AF27))</f>
        <v>33</v>
      </c>
      <c r="AG28" s="28">
        <f>SUM(AG24+SUM(AG27:AG27))</f>
        <v>33</v>
      </c>
      <c r="AH28" s="28">
        <f>SUM(AH24+SUM(AH27:AH27))</f>
        <v>-69</v>
      </c>
      <c r="AI28" s="45"/>
      <c r="AJ28" s="82">
        <f>SUM(AH28/AD28)-1</f>
        <v>-5.6</v>
      </c>
    </row>
    <row r="29" spans="2:36" ht="12.75" customHeight="1">
      <c r="B29" s="17" t="s">
        <v>428</v>
      </c>
      <c r="C29" s="19">
        <f>C28/C11</f>
        <v>-0.54516806722689071</v>
      </c>
      <c r="D29" s="19">
        <f>D28/D11</f>
        <v>-0.1335676625659051</v>
      </c>
      <c r="E29" s="19">
        <f>E28/E11</f>
        <v>1.1739594450373533E-2</v>
      </c>
      <c r="F29" s="29"/>
      <c r="G29" s="19" t="e">
        <f>G28/G11</f>
        <v>#DIV/0!</v>
      </c>
      <c r="H29" s="19" t="e">
        <f>H28/H11</f>
        <v>#DIV/0!</v>
      </c>
      <c r="I29" s="19">
        <f>I28/I11</f>
        <v>2.1246458923512748E-2</v>
      </c>
      <c r="J29" s="19">
        <f>J28/J11</f>
        <v>8.5510688836104506E-3</v>
      </c>
      <c r="K29" s="19" t="e">
        <f>K28/K11</f>
        <v>#DIV/0!</v>
      </c>
      <c r="L29" s="19" t="e">
        <f>L28/L11</f>
        <v>#DIV/0!</v>
      </c>
      <c r="M29" s="19">
        <f>M28/M11</f>
        <v>-9.634551495016612E-2</v>
      </c>
      <c r="N29" s="30"/>
      <c r="O29" s="19" t="e">
        <f>O28/O11</f>
        <v>#REF!</v>
      </c>
      <c r="P29" s="19" t="e">
        <f>P28/P11</f>
        <v>#REF!</v>
      </c>
      <c r="Q29" s="19" t="e">
        <f>Q28/Q11</f>
        <v>#REF!</v>
      </c>
      <c r="R29" s="19" t="e">
        <f>R28/R11</f>
        <v>#REF!</v>
      </c>
      <c r="S29" s="19" t="e">
        <f>S28/S11</f>
        <v>#REF!</v>
      </c>
      <c r="T29" s="19" t="e">
        <f>T28/T11</f>
        <v>#REF!</v>
      </c>
      <c r="U29" s="19" t="e">
        <f>U28/U11</f>
        <v>#REF!</v>
      </c>
      <c r="V29" s="19" t="e">
        <f>V28/V11</f>
        <v>#REF!</v>
      </c>
      <c r="W29" s="19" t="e">
        <f>W28/W11</f>
        <v>#REF!</v>
      </c>
      <c r="X29" s="19" t="e">
        <f>X28/X11</f>
        <v>#REF!</v>
      </c>
      <c r="Y29" s="19" t="e">
        <f>Y28/Y11</f>
        <v>#REF!</v>
      </c>
      <c r="Z29" s="19" t="e">
        <f>Z28/Z11</f>
        <v>#REF!</v>
      </c>
      <c r="AA29" s="19" t="e">
        <f>AA28/AA11</f>
        <v>#REF!</v>
      </c>
      <c r="AB29" s="19" t="e">
        <f>AB28/AB11</f>
        <v>#DIV/0!</v>
      </c>
      <c r="AC29" s="19" t="e">
        <f>AC28/AC11</f>
        <v>#DIV/0!</v>
      </c>
      <c r="AD29" s="19">
        <f>AD28/AD11</f>
        <v>2.1246458923512748E-2</v>
      </c>
      <c r="AE29" s="19">
        <f>AE28/AE11</f>
        <v>1.1739594450373533E-2</v>
      </c>
      <c r="AF29" s="19">
        <f>AF28/AF11</f>
        <v>1.1739594450373533E-2</v>
      </c>
      <c r="AG29" s="19">
        <f>AG28/AG11</f>
        <v>1.1739594450373533E-2</v>
      </c>
      <c r="AH29" s="19">
        <f>AH28/AH11</f>
        <v>-2.2938829787234043E-2</v>
      </c>
      <c r="AI29" s="46"/>
      <c r="AJ29" s="83">
        <f>SUM(AH29-AD29)*1000</f>
        <v>-44.185288710746789</v>
      </c>
    </row>
    <row r="30" spans="2:36" ht="5.0999999999999996" customHeight="1">
      <c r="B30" s="31"/>
      <c r="C30" s="47"/>
      <c r="D30" s="47"/>
      <c r="E30" s="47"/>
      <c r="F30" s="32"/>
      <c r="G30" s="47"/>
      <c r="H30" s="47"/>
      <c r="I30" s="47"/>
      <c r="J30" s="47"/>
      <c r="K30" s="47"/>
      <c r="L30" s="47"/>
      <c r="M30" s="47"/>
      <c r="O30" s="47"/>
      <c r="P30" s="47"/>
      <c r="Q30" s="47"/>
      <c r="R30" s="47"/>
      <c r="S30" s="47"/>
      <c r="T30" s="47"/>
      <c r="U30" s="47"/>
      <c r="V30" s="47"/>
      <c r="W30" s="47"/>
      <c r="X30" s="47"/>
      <c r="Y30" s="47"/>
      <c r="Z30" s="47"/>
      <c r="AA30" s="47"/>
      <c r="AB30" s="47"/>
      <c r="AC30" s="47"/>
      <c r="AD30" s="47"/>
      <c r="AE30" s="47"/>
      <c r="AF30" s="47"/>
      <c r="AG30" s="47"/>
      <c r="AH30" s="47"/>
      <c r="AI30" s="46"/>
      <c r="AJ30" s="81"/>
    </row>
    <row r="31" spans="2:36" ht="12.75" customHeight="1">
      <c r="B31" s="49" t="s">
        <v>80</v>
      </c>
      <c r="C31" s="88">
        <v>3</v>
      </c>
      <c r="D31" s="88">
        <v>60</v>
      </c>
      <c r="E31" s="88">
        <v>-12</v>
      </c>
      <c r="F31" s="34"/>
      <c r="G31" s="88"/>
      <c r="H31" s="88"/>
      <c r="I31" s="88">
        <v>-2</v>
      </c>
      <c r="J31" s="34">
        <f>SUM(E31-SUM(G31:I31))</f>
        <v>-10</v>
      </c>
      <c r="K31" s="88"/>
      <c r="L31" s="88"/>
      <c r="M31" s="88">
        <v>-8</v>
      </c>
      <c r="N31" s="34"/>
      <c r="O31" s="34" t="e">
        <f>SUM(#REF!)</f>
        <v>#REF!</v>
      </c>
      <c r="P31" s="34" t="e">
        <f>SUM(#REF!)</f>
        <v>#REF!</v>
      </c>
      <c r="Q31" s="34" t="e">
        <f>SUM(#REF!)</f>
        <v>#REF!</v>
      </c>
      <c r="R31" s="34" t="e">
        <f>SUM(#REF!)</f>
        <v>#REF!</v>
      </c>
      <c r="S31" s="34" t="e">
        <f>SUM(#REF!)</f>
        <v>#REF!</v>
      </c>
      <c r="T31" s="34" t="e">
        <f>SUM(#REF!)</f>
        <v>#REF!</v>
      </c>
      <c r="U31" s="34" t="e">
        <f>SUM(#REF!)</f>
        <v>#REF!</v>
      </c>
      <c r="V31" s="34" t="e">
        <f>SUM(#REF!)</f>
        <v>#REF!</v>
      </c>
      <c r="W31" s="34" t="e">
        <f>SUM(#REF!)</f>
        <v>#REF!</v>
      </c>
      <c r="X31" s="34" t="e">
        <f>SUM(#REF!)</f>
        <v>#REF!</v>
      </c>
      <c r="Y31" s="34" t="e">
        <f>SUM(#REF!)</f>
        <v>#REF!</v>
      </c>
      <c r="Z31" s="34" t="e">
        <f>SUM(#REF!)</f>
        <v>#REF!</v>
      </c>
      <c r="AA31" s="34" t="e">
        <f>SUM(#REF!)</f>
        <v>#REF!</v>
      </c>
      <c r="AB31" s="34">
        <f>SUM(G31:G31)</f>
        <v>0</v>
      </c>
      <c r="AC31" s="34">
        <f>SUM(G31:H31)</f>
        <v>0</v>
      </c>
      <c r="AD31" s="34">
        <f>SUM(G31:I31)</f>
        <v>-2</v>
      </c>
      <c r="AE31" s="34">
        <f t="shared" ref="AE31:AH31" si="27">SUM(G31:J31)</f>
        <v>-12</v>
      </c>
      <c r="AF31" s="34">
        <f t="shared" si="27"/>
        <v>-12</v>
      </c>
      <c r="AG31" s="34">
        <f t="shared" si="27"/>
        <v>-12</v>
      </c>
      <c r="AH31" s="34">
        <f t="shared" si="27"/>
        <v>-18</v>
      </c>
      <c r="AI31" s="46"/>
      <c r="AJ31" s="81">
        <f>SUM(AH31/AD31)-1</f>
        <v>8</v>
      </c>
    </row>
    <row r="32" spans="2:36" ht="12.75" customHeight="1">
      <c r="B32" s="14" t="s">
        <v>65</v>
      </c>
      <c r="C32" s="15">
        <f t="shared" ref="C32:E32" si="28">SUM(C28+SUM(C31:C31))</f>
        <v>-1035</v>
      </c>
      <c r="D32" s="15">
        <f t="shared" si="28"/>
        <v>-244</v>
      </c>
      <c r="E32" s="15">
        <f t="shared" si="28"/>
        <v>21</v>
      </c>
      <c r="F32" s="12"/>
      <c r="G32" s="15">
        <f t="shared" ref="G32:M32" si="29">SUM(G28+SUM(G31:G31))</f>
        <v>0</v>
      </c>
      <c r="H32" s="15">
        <f t="shared" si="29"/>
        <v>0</v>
      </c>
      <c r="I32" s="15">
        <f t="shared" si="29"/>
        <v>13</v>
      </c>
      <c r="J32" s="15">
        <f t="shared" si="29"/>
        <v>8</v>
      </c>
      <c r="K32" s="15">
        <f t="shared" si="29"/>
        <v>0</v>
      </c>
      <c r="L32" s="15">
        <f t="shared" si="29"/>
        <v>0</v>
      </c>
      <c r="M32" s="15">
        <f t="shared" si="29"/>
        <v>-95</v>
      </c>
      <c r="N32" s="34"/>
      <c r="O32" s="15" t="e">
        <f t="shared" ref="O32:AH32" si="30">SUM(O28+SUM(O31:O31))</f>
        <v>#REF!</v>
      </c>
      <c r="P32" s="15" t="e">
        <f t="shared" si="30"/>
        <v>#REF!</v>
      </c>
      <c r="Q32" s="15" t="e">
        <f t="shared" si="30"/>
        <v>#REF!</v>
      </c>
      <c r="R32" s="15" t="e">
        <f t="shared" si="30"/>
        <v>#REF!</v>
      </c>
      <c r="S32" s="15" t="e">
        <f t="shared" si="30"/>
        <v>#REF!</v>
      </c>
      <c r="T32" s="15" t="e">
        <f t="shared" si="30"/>
        <v>#REF!</v>
      </c>
      <c r="U32" s="15" t="e">
        <f t="shared" si="30"/>
        <v>#REF!</v>
      </c>
      <c r="V32" s="15" t="e">
        <f t="shared" si="30"/>
        <v>#REF!</v>
      </c>
      <c r="W32" s="15" t="e">
        <f t="shared" si="30"/>
        <v>#REF!</v>
      </c>
      <c r="X32" s="15" t="e">
        <f t="shared" si="30"/>
        <v>#REF!</v>
      </c>
      <c r="Y32" s="15" t="e">
        <f t="shared" si="30"/>
        <v>#REF!</v>
      </c>
      <c r="Z32" s="15" t="e">
        <f t="shared" si="30"/>
        <v>#REF!</v>
      </c>
      <c r="AA32" s="15" t="e">
        <f t="shared" si="30"/>
        <v>#REF!</v>
      </c>
      <c r="AB32" s="15">
        <f t="shared" si="30"/>
        <v>0</v>
      </c>
      <c r="AC32" s="15">
        <f t="shared" si="30"/>
        <v>0</v>
      </c>
      <c r="AD32" s="15">
        <f t="shared" si="30"/>
        <v>13</v>
      </c>
      <c r="AE32" s="15">
        <f t="shared" si="30"/>
        <v>21</v>
      </c>
      <c r="AF32" s="15">
        <f t="shared" si="30"/>
        <v>21</v>
      </c>
      <c r="AG32" s="15">
        <f t="shared" si="30"/>
        <v>21</v>
      </c>
      <c r="AH32" s="15">
        <f t="shared" si="30"/>
        <v>-87</v>
      </c>
      <c r="AI32" s="38"/>
      <c r="AJ32" s="82">
        <f>SUM(AH32/AD32)-1</f>
        <v>-7.6923076923076925</v>
      </c>
    </row>
    <row r="33" spans="1:36" ht="12.75" customHeight="1">
      <c r="B33" s="17" t="s">
        <v>82</v>
      </c>
      <c r="C33" s="19">
        <f>C32/C11</f>
        <v>-0.54359243697478987</v>
      </c>
      <c r="D33" s="19">
        <f>D32/D11</f>
        <v>-0.10720562390158173</v>
      </c>
      <c r="E33" s="19">
        <f>E32/E11</f>
        <v>7.470651013874066E-3</v>
      </c>
      <c r="F33" s="29"/>
      <c r="G33" s="19" t="e">
        <f>G32/G11</f>
        <v>#DIV/0!</v>
      </c>
      <c r="H33" s="19" t="e">
        <f>H32/H11</f>
        <v>#DIV/0!</v>
      </c>
      <c r="I33" s="19">
        <f>I32/I11</f>
        <v>1.8413597733711047E-2</v>
      </c>
      <c r="J33" s="19">
        <f>J32/J11</f>
        <v>3.8004750593824228E-3</v>
      </c>
      <c r="K33" s="19" t="e">
        <f>K32/K11</f>
        <v>#DIV/0!</v>
      </c>
      <c r="L33" s="19" t="e">
        <f>L32/L11</f>
        <v>#DIV/0!</v>
      </c>
      <c r="M33" s="19">
        <f>M32/M11</f>
        <v>-0.10520487264673312</v>
      </c>
      <c r="N33" s="30"/>
      <c r="O33" s="19" t="e">
        <f>O32/O11</f>
        <v>#REF!</v>
      </c>
      <c r="P33" s="19" t="e">
        <f>P32/P11</f>
        <v>#REF!</v>
      </c>
      <c r="Q33" s="19" t="e">
        <f>Q32/Q11</f>
        <v>#REF!</v>
      </c>
      <c r="R33" s="19" t="e">
        <f>R32/R11</f>
        <v>#REF!</v>
      </c>
      <c r="S33" s="19" t="e">
        <f>S32/S11</f>
        <v>#REF!</v>
      </c>
      <c r="T33" s="19" t="e">
        <f>T32/T11</f>
        <v>#REF!</v>
      </c>
      <c r="U33" s="19" t="e">
        <f>U32/U11</f>
        <v>#REF!</v>
      </c>
      <c r="V33" s="19" t="e">
        <f>V32/V11</f>
        <v>#REF!</v>
      </c>
      <c r="W33" s="19" t="e">
        <f>W32/W11</f>
        <v>#REF!</v>
      </c>
      <c r="X33" s="19" t="e">
        <f>X32/X11</f>
        <v>#REF!</v>
      </c>
      <c r="Y33" s="19" t="e">
        <f>Y32/Y11</f>
        <v>#REF!</v>
      </c>
      <c r="Z33" s="19" t="e">
        <f>Z32/Z11</f>
        <v>#REF!</v>
      </c>
      <c r="AA33" s="19" t="e">
        <f>AA32/AA11</f>
        <v>#REF!</v>
      </c>
      <c r="AB33" s="19" t="e">
        <f>AB32/AB11</f>
        <v>#DIV/0!</v>
      </c>
      <c r="AC33" s="19" t="e">
        <f>AC32/AC11</f>
        <v>#DIV/0!</v>
      </c>
      <c r="AD33" s="19">
        <f>AD32/AD11</f>
        <v>1.8413597733711047E-2</v>
      </c>
      <c r="AE33" s="19">
        <f>AE32/AE11</f>
        <v>7.470651013874066E-3</v>
      </c>
      <c r="AF33" s="19">
        <f>AF32/AF11</f>
        <v>7.470651013874066E-3</v>
      </c>
      <c r="AG33" s="19">
        <f>AG32/AG11</f>
        <v>7.470651013874066E-3</v>
      </c>
      <c r="AH33" s="19">
        <f>AH32/AH11</f>
        <v>-2.892287234042553E-2</v>
      </c>
      <c r="AI33" s="46"/>
      <c r="AJ33" s="83">
        <f>SUM(AH33-AD33)*1000</f>
        <v>-47.336470074136578</v>
      </c>
    </row>
    <row r="34" spans="1:36" ht="5.0999999999999996" customHeight="1">
      <c r="B34" s="17"/>
      <c r="C34" s="19"/>
      <c r="D34" s="19"/>
      <c r="E34" s="19"/>
      <c r="F34" s="29"/>
      <c r="G34" s="19"/>
      <c r="H34" s="19"/>
      <c r="I34" s="19"/>
      <c r="J34" s="19"/>
      <c r="K34" s="19"/>
      <c r="L34" s="19"/>
      <c r="M34" s="19"/>
      <c r="N34" s="30"/>
      <c r="O34" s="19"/>
      <c r="P34" s="19"/>
      <c r="Q34" s="19"/>
      <c r="R34" s="19"/>
      <c r="S34" s="19"/>
      <c r="T34" s="19"/>
      <c r="U34" s="19"/>
      <c r="V34" s="19"/>
      <c r="W34" s="19"/>
      <c r="X34" s="19"/>
      <c r="Y34" s="19"/>
      <c r="Z34" s="19"/>
      <c r="AA34" s="19"/>
      <c r="AB34" s="19"/>
      <c r="AC34" s="19"/>
      <c r="AD34" s="19"/>
      <c r="AE34" s="19"/>
      <c r="AF34" s="19"/>
      <c r="AG34" s="19"/>
      <c r="AH34" s="19"/>
      <c r="AI34" s="46"/>
      <c r="AJ34" s="83"/>
    </row>
    <row r="35" spans="1:36" ht="12.75" customHeight="1">
      <c r="B35" s="49" t="s">
        <v>84</v>
      </c>
      <c r="C35" s="493"/>
      <c r="D35" s="493"/>
      <c r="E35" s="493"/>
      <c r="F35" s="29"/>
      <c r="G35" s="493"/>
      <c r="H35" s="493"/>
      <c r="I35" s="493"/>
      <c r="J35" s="493"/>
      <c r="K35" s="493"/>
      <c r="L35" s="493"/>
      <c r="M35" s="493"/>
      <c r="N35" s="493"/>
      <c r="O35" s="493" t="e">
        <f>EPS!#REF!</f>
        <v>#REF!</v>
      </c>
      <c r="P35" s="493" t="e">
        <f>EPS!#REF!</f>
        <v>#REF!</v>
      </c>
      <c r="Q35" s="493" t="e">
        <f>EPS!#REF!</f>
        <v>#REF!</v>
      </c>
      <c r="R35" s="493" t="e">
        <f>EPS!#REF!</f>
        <v>#REF!</v>
      </c>
      <c r="S35" s="493" t="e">
        <f>EPS!O18</f>
        <v>#REF!</v>
      </c>
      <c r="T35" s="493" t="e">
        <f>EPS!P18</f>
        <v>#REF!</v>
      </c>
      <c r="U35" s="493" t="e">
        <f>EPS!Q18</f>
        <v>#REF!</v>
      </c>
      <c r="V35" s="493" t="e">
        <f>EPS!R18</f>
        <v>#REF!</v>
      </c>
      <c r="W35" s="493" t="e">
        <f>EPS!S18</f>
        <v>#REF!</v>
      </c>
      <c r="X35" s="493" t="e">
        <f>EPS!T18</f>
        <v>#REF!</v>
      </c>
      <c r="Y35" s="493" t="e">
        <f>EPS!U18</f>
        <v>#REF!</v>
      </c>
      <c r="Z35" s="493" t="e">
        <f>EPS!V18</f>
        <v>#REF!</v>
      </c>
      <c r="AA35" s="493" t="e">
        <f>EPS!W18</f>
        <v>#REF!</v>
      </c>
      <c r="AB35" s="493">
        <f>EPS!X18</f>
        <v>1.9058802754723645</v>
      </c>
      <c r="AC35" s="493">
        <f>EPS!Y18</f>
        <v>3.8354407836153159</v>
      </c>
      <c r="AD35" s="493">
        <f>EPS!Z18</f>
        <v>6.0026905829596409</v>
      </c>
      <c r="AE35" s="493" t="e">
        <f>EPS!AA18</f>
        <v>#REF!</v>
      </c>
      <c r="AF35" s="493" t="e">
        <f>EPS!AB18</f>
        <v>#REF!</v>
      </c>
      <c r="AG35" s="493" t="e">
        <f>EPS!AC18</f>
        <v>#REF!</v>
      </c>
      <c r="AH35" s="493" t="e">
        <f>EPS!AD18</f>
        <v>#REF!</v>
      </c>
      <c r="AI35" s="46"/>
      <c r="AJ35" s="82" t="e">
        <f>SUM(AH35/AD35)-1</f>
        <v>#REF!</v>
      </c>
    </row>
    <row r="36" spans="1:36" ht="12.75" customHeight="1">
      <c r="B36" s="49" t="s">
        <v>511</v>
      </c>
      <c r="C36" s="493"/>
      <c r="D36" s="493"/>
      <c r="E36" s="493"/>
      <c r="F36" s="29"/>
      <c r="G36" s="493"/>
      <c r="H36" s="493"/>
      <c r="I36" s="493"/>
      <c r="J36" s="493"/>
      <c r="K36" s="493"/>
      <c r="L36" s="493"/>
      <c r="M36" s="493"/>
      <c r="N36" s="493"/>
      <c r="O36" s="493" t="e">
        <f>EPS!#REF!</f>
        <v>#REF!</v>
      </c>
      <c r="P36" s="493" t="e">
        <f>EPS!#REF!</f>
        <v>#REF!</v>
      </c>
      <c r="Q36" s="493" t="e">
        <f>EPS!#REF!</f>
        <v>#REF!</v>
      </c>
      <c r="R36" s="493" t="e">
        <f>EPS!#REF!</f>
        <v>#REF!</v>
      </c>
      <c r="S36" s="493" t="e">
        <f>EPS!O24</f>
        <v>#REF!</v>
      </c>
      <c r="T36" s="493" t="e">
        <f>EPS!P24</f>
        <v>#REF!</v>
      </c>
      <c r="U36" s="493" t="e">
        <f>EPS!Q24</f>
        <v>#REF!</v>
      </c>
      <c r="V36" s="493" t="e">
        <f>EPS!R24</f>
        <v>#REF!</v>
      </c>
      <c r="W36" s="493" t="e">
        <f>EPS!S24</f>
        <v>#REF!</v>
      </c>
      <c r="X36" s="493" t="e">
        <f>EPS!T24</f>
        <v>#REF!</v>
      </c>
      <c r="Y36" s="493" t="e">
        <f>EPS!U24</f>
        <v>#REF!</v>
      </c>
      <c r="Z36" s="493" t="e">
        <f>EPS!V24</f>
        <v>#REF!</v>
      </c>
      <c r="AA36" s="493" t="e">
        <f>EPS!W24</f>
        <v>#REF!</v>
      </c>
      <c r="AB36" s="493">
        <f>EPS!X24</f>
        <v>4.3814718614718613</v>
      </c>
      <c r="AC36" s="493">
        <f>EPS!Y24</f>
        <v>8.7672966880527134</v>
      </c>
      <c r="AD36" s="493">
        <f>EPS!Z24</f>
        <v>13.796633941093969</v>
      </c>
      <c r="AE36" s="493" t="e">
        <f>EPS!AA24</f>
        <v>#REF!</v>
      </c>
      <c r="AF36" s="493" t="e">
        <f>EPS!AB24</f>
        <v>#REF!</v>
      </c>
      <c r="AG36" s="493" t="e">
        <f>EPS!AC24</f>
        <v>#REF!</v>
      </c>
      <c r="AH36" s="493" t="e">
        <f>EPS!AD24</f>
        <v>#REF!</v>
      </c>
      <c r="AI36" s="46"/>
      <c r="AJ36" s="82" t="e">
        <f>SUM(AH36/AD36)-1</f>
        <v>#REF!</v>
      </c>
    </row>
    <row r="37" spans="1:36">
      <c r="B37" s="17"/>
      <c r="C37" s="19"/>
      <c r="D37" s="19"/>
      <c r="E37" s="19"/>
      <c r="F37" s="29"/>
      <c r="G37" s="19"/>
      <c r="H37" s="19"/>
      <c r="I37" s="19"/>
      <c r="J37" s="19"/>
      <c r="K37" s="19"/>
      <c r="L37" s="19"/>
      <c r="M37" s="19"/>
      <c r="N37" s="30"/>
      <c r="O37" s="19"/>
      <c r="P37" s="19"/>
      <c r="Q37" s="19"/>
      <c r="R37" s="19"/>
      <c r="S37" s="19"/>
      <c r="T37" s="19"/>
      <c r="U37" s="19"/>
      <c r="V37" s="19"/>
      <c r="W37" s="19"/>
      <c r="X37" s="19"/>
      <c r="Y37" s="19"/>
      <c r="Z37" s="19"/>
      <c r="AA37" s="19"/>
      <c r="AB37" s="19"/>
      <c r="AC37" s="19"/>
      <c r="AD37" s="19"/>
      <c r="AE37" s="19"/>
      <c r="AF37" s="19"/>
      <c r="AG37" s="19"/>
      <c r="AH37" s="19"/>
      <c r="AI37" s="46"/>
    </row>
    <row r="38" spans="1:36" ht="12.75" customHeight="1">
      <c r="A38" s="5" t="s">
        <v>19</v>
      </c>
      <c r="B38" s="381" t="s">
        <v>402</v>
      </c>
      <c r="C38" s="382"/>
      <c r="D38" s="382"/>
      <c r="E38" s="382"/>
      <c r="F38" s="383"/>
      <c r="G38" s="382"/>
      <c r="H38" s="382"/>
      <c r="I38" s="382"/>
      <c r="J38" s="382"/>
      <c r="K38" s="382"/>
      <c r="L38" s="382"/>
      <c r="M38" s="382"/>
      <c r="N38" s="381"/>
      <c r="O38" s="382"/>
      <c r="P38" s="382"/>
      <c r="Q38" s="382"/>
      <c r="R38" s="382"/>
      <c r="S38" s="382"/>
      <c r="T38" s="382"/>
      <c r="U38" s="382"/>
      <c r="V38" s="382"/>
      <c r="W38" s="382"/>
      <c r="X38" s="382"/>
      <c r="Y38" s="382"/>
      <c r="Z38" s="382"/>
      <c r="AA38" s="382"/>
      <c r="AB38" s="382"/>
      <c r="AC38" s="382" t="s">
        <v>6</v>
      </c>
      <c r="AD38" s="382"/>
      <c r="AE38" s="382"/>
      <c r="AF38" s="382"/>
      <c r="AG38" s="382"/>
      <c r="AH38" s="382"/>
      <c r="AI38" s="383"/>
      <c r="AJ38" s="575" t="s">
        <v>32</v>
      </c>
    </row>
    <row r="39" spans="1:36" ht="12.75" customHeight="1">
      <c r="B39" s="385" t="str">
        <f>B7</f>
        <v>Fiscal Period</v>
      </c>
      <c r="C39" s="384">
        <f>C7</f>
        <v>2022</v>
      </c>
      <c r="D39" s="384">
        <f>D7</f>
        <v>2023</v>
      </c>
      <c r="E39" s="384">
        <f>E7</f>
        <v>2024</v>
      </c>
      <c r="F39" s="383"/>
      <c r="G39" s="384" t="str">
        <f>G7</f>
        <v>1Q24</v>
      </c>
      <c r="H39" s="384" t="str">
        <f>H7</f>
        <v>2Q24</v>
      </c>
      <c r="I39" s="384" t="str">
        <f>I7</f>
        <v>3Q24</v>
      </c>
      <c r="J39" s="384" t="str">
        <f>J7</f>
        <v>4Q24</v>
      </c>
      <c r="K39" s="384" t="str">
        <f>K7</f>
        <v>1Q25</v>
      </c>
      <c r="L39" s="384" t="str">
        <f>L7</f>
        <v>2Q25</v>
      </c>
      <c r="M39" s="384" t="str">
        <f>M7</f>
        <v>3Q25</v>
      </c>
      <c r="N39" s="386"/>
      <c r="O39" s="384" t="e">
        <f>O7</f>
        <v>#REF!</v>
      </c>
      <c r="P39" s="384" t="e">
        <f>P7</f>
        <v>#REF!</v>
      </c>
      <c r="Q39" s="384" t="e">
        <f>Q7</f>
        <v>#REF!</v>
      </c>
      <c r="R39" s="384" t="e">
        <f>R7</f>
        <v>#REF!</v>
      </c>
      <c r="S39" s="384" t="e">
        <f>S7</f>
        <v>#REF!</v>
      </c>
      <c r="T39" s="384" t="e">
        <f>T7</f>
        <v>#REF!</v>
      </c>
      <c r="U39" s="384" t="e">
        <f>U7</f>
        <v>#REF!</v>
      </c>
      <c r="V39" s="384" t="e">
        <f>V7</f>
        <v>#REF!</v>
      </c>
      <c r="W39" s="384" t="e">
        <f>W7</f>
        <v>#REF!</v>
      </c>
      <c r="X39" s="384" t="e">
        <f>X7</f>
        <v>#REF!</v>
      </c>
      <c r="Y39" s="384" t="e">
        <f>Y7</f>
        <v>#REF!</v>
      </c>
      <c r="Z39" s="384" t="e">
        <f>Z7</f>
        <v>#REF!</v>
      </c>
      <c r="AA39" s="384" t="e">
        <f>AA7</f>
        <v>#REF!</v>
      </c>
      <c r="AB39" s="384" t="str">
        <f>AB7</f>
        <v>1Q24</v>
      </c>
      <c r="AC39" s="384" t="str">
        <f>AC7</f>
        <v>2Q24</v>
      </c>
      <c r="AD39" s="384" t="str">
        <f>AD7</f>
        <v>3Q24</v>
      </c>
      <c r="AE39" s="384" t="str">
        <f>AE7</f>
        <v>4Q24</v>
      </c>
      <c r="AF39" s="384" t="str">
        <f>AF7</f>
        <v>1Q25</v>
      </c>
      <c r="AG39" s="384" t="str">
        <f>AG7</f>
        <v>2Q25</v>
      </c>
      <c r="AH39" s="384" t="str">
        <f>AH7</f>
        <v>3Q25</v>
      </c>
      <c r="AI39" s="383"/>
      <c r="AJ39" s="575"/>
    </row>
    <row r="40" spans="1:36" ht="12.75" customHeight="1">
      <c r="B40" s="385" t="str">
        <f>B8</f>
        <v>Fiscal Period End Date</v>
      </c>
      <c r="C40" s="387">
        <f>C8</f>
        <v>44926</v>
      </c>
      <c r="D40" s="387">
        <f>D8</f>
        <v>45291</v>
      </c>
      <c r="E40" s="387">
        <f>E8</f>
        <v>45657</v>
      </c>
      <c r="F40" s="383"/>
      <c r="G40" s="387">
        <f>G8</f>
        <v>45382</v>
      </c>
      <c r="H40" s="387">
        <f>H8</f>
        <v>45473</v>
      </c>
      <c r="I40" s="387">
        <f>I8</f>
        <v>45565</v>
      </c>
      <c r="J40" s="387">
        <f>J8</f>
        <v>45657</v>
      </c>
      <c r="K40" s="387">
        <f>K8</f>
        <v>45747</v>
      </c>
      <c r="L40" s="387">
        <f>L8</f>
        <v>45838</v>
      </c>
      <c r="M40" s="387">
        <f>M8</f>
        <v>45930</v>
      </c>
      <c r="N40" s="388"/>
      <c r="O40" s="387" t="e">
        <f>O8</f>
        <v>#REF!</v>
      </c>
      <c r="P40" s="387" t="e">
        <f>P8</f>
        <v>#REF!</v>
      </c>
      <c r="Q40" s="387" t="e">
        <f>Q8</f>
        <v>#REF!</v>
      </c>
      <c r="R40" s="387" t="e">
        <f>R8</f>
        <v>#REF!</v>
      </c>
      <c r="S40" s="387" t="e">
        <f>S8</f>
        <v>#REF!</v>
      </c>
      <c r="T40" s="387" t="e">
        <f>T8</f>
        <v>#REF!</v>
      </c>
      <c r="U40" s="387" t="e">
        <f>U8</f>
        <v>#REF!</v>
      </c>
      <c r="V40" s="387" t="e">
        <f>V8</f>
        <v>#REF!</v>
      </c>
      <c r="W40" s="387" t="e">
        <f>W8</f>
        <v>#REF!</v>
      </c>
      <c r="X40" s="387" t="e">
        <f>X8</f>
        <v>#REF!</v>
      </c>
      <c r="Y40" s="387" t="e">
        <f>Y8</f>
        <v>#REF!</v>
      </c>
      <c r="Z40" s="387" t="e">
        <f>Z8</f>
        <v>#REF!</v>
      </c>
      <c r="AA40" s="387" t="e">
        <f>AA8</f>
        <v>#REF!</v>
      </c>
      <c r="AB40" s="387">
        <f>AB8</f>
        <v>45382</v>
      </c>
      <c r="AC40" s="387">
        <f>AC8</f>
        <v>45473</v>
      </c>
      <c r="AD40" s="387">
        <f>AD8</f>
        <v>45565</v>
      </c>
      <c r="AE40" s="387">
        <f>AE8</f>
        <v>45657</v>
      </c>
      <c r="AF40" s="387">
        <f>AF8</f>
        <v>45747</v>
      </c>
      <c r="AG40" s="387">
        <f>AG8</f>
        <v>45838</v>
      </c>
      <c r="AH40" s="387">
        <f>AH8</f>
        <v>45930</v>
      </c>
      <c r="AI40" s="383"/>
      <c r="AJ40" s="575"/>
    </row>
    <row r="41" spans="1:36" ht="5.0999999999999996" customHeight="1">
      <c r="B41" s="51"/>
      <c r="C41" s="52"/>
      <c r="D41" s="52"/>
      <c r="E41" s="52"/>
    </row>
    <row r="42" spans="1:36">
      <c r="B42" s="84" t="s">
        <v>431</v>
      </c>
      <c r="C42" s="52"/>
      <c r="D42" s="52"/>
      <c r="E42" s="52"/>
    </row>
    <row r="43" spans="1:36" s="465" customFormat="1" ht="12.75" customHeight="1">
      <c r="B43" s="406" t="s">
        <v>429</v>
      </c>
      <c r="C43" s="466"/>
      <c r="D43" s="466">
        <v>2391</v>
      </c>
      <c r="E43" s="466">
        <v>3243</v>
      </c>
      <c r="G43" s="466"/>
      <c r="H43" s="466"/>
      <c r="I43" s="466">
        <v>3243</v>
      </c>
      <c r="J43" s="360">
        <f>E43</f>
        <v>3243</v>
      </c>
      <c r="K43" s="466"/>
      <c r="L43" s="466"/>
      <c r="M43" s="466">
        <v>6795</v>
      </c>
      <c r="O43" s="360" t="e">
        <f>#REF!</f>
        <v>#REF!</v>
      </c>
      <c r="P43" s="360" t="e">
        <f>#REF!</f>
        <v>#REF!</v>
      </c>
      <c r="Q43" s="360" t="e">
        <f>#REF!</f>
        <v>#REF!</v>
      </c>
      <c r="R43" s="360" t="e">
        <f>#REF!</f>
        <v>#REF!</v>
      </c>
      <c r="S43" s="360" t="e">
        <f>#REF!</f>
        <v>#REF!</v>
      </c>
      <c r="T43" s="360" t="e">
        <f>#REF!</f>
        <v>#REF!</v>
      </c>
      <c r="U43" s="360" t="e">
        <f>#REF!</f>
        <v>#REF!</v>
      </c>
      <c r="V43" s="360" t="e">
        <f>#REF!</f>
        <v>#REF!</v>
      </c>
      <c r="W43" s="360" t="e">
        <f>#REF!</f>
        <v>#REF!</v>
      </c>
      <c r="X43" s="360" t="e">
        <f>#REF!</f>
        <v>#REF!</v>
      </c>
      <c r="Y43" s="360" t="e">
        <f>#REF!</f>
        <v>#REF!</v>
      </c>
      <c r="Z43" s="360" t="e">
        <f>#REF!</f>
        <v>#REF!</v>
      </c>
      <c r="AA43" s="360" t="e">
        <f>#REF!</f>
        <v>#REF!</v>
      </c>
      <c r="AB43" s="360">
        <f t="shared" ref="AB43:AH46" si="31">G43</f>
        <v>0</v>
      </c>
      <c r="AC43" s="360">
        <f t="shared" si="31"/>
        <v>0</v>
      </c>
      <c r="AD43" s="360">
        <f t="shared" si="31"/>
        <v>3243</v>
      </c>
      <c r="AE43" s="360">
        <f t="shared" si="31"/>
        <v>3243</v>
      </c>
      <c r="AF43" s="360">
        <f t="shared" si="31"/>
        <v>0</v>
      </c>
      <c r="AG43" s="360">
        <f t="shared" si="31"/>
        <v>0</v>
      </c>
      <c r="AH43" s="360">
        <f t="shared" si="31"/>
        <v>6795</v>
      </c>
      <c r="AI43" s="467"/>
      <c r="AJ43" s="81">
        <f>SUM(AH43/AD43)-1</f>
        <v>1.0952821461609621</v>
      </c>
    </row>
    <row r="44" spans="1:36" s="465" customFormat="1" ht="12.75" customHeight="1">
      <c r="B44" s="406" t="s">
        <v>682</v>
      </c>
      <c r="C44" s="466"/>
      <c r="D44" s="466">
        <v>799</v>
      </c>
      <c r="E44" s="466">
        <v>454</v>
      </c>
      <c r="G44" s="466"/>
      <c r="H44" s="466"/>
      <c r="I44" s="466">
        <v>454</v>
      </c>
      <c r="J44" s="360">
        <f>E44</f>
        <v>454</v>
      </c>
      <c r="K44" s="466"/>
      <c r="L44" s="466"/>
      <c r="M44" s="466">
        <v>1657</v>
      </c>
      <c r="O44" s="360" t="e">
        <f>#REF!</f>
        <v>#REF!</v>
      </c>
      <c r="P44" s="360" t="e">
        <f>#REF!</f>
        <v>#REF!</v>
      </c>
      <c r="Q44" s="360" t="e">
        <f>#REF!</f>
        <v>#REF!</v>
      </c>
      <c r="R44" s="360" t="e">
        <f>#REF!</f>
        <v>#REF!</v>
      </c>
      <c r="S44" s="360" t="e">
        <f>#REF!</f>
        <v>#REF!</v>
      </c>
      <c r="T44" s="360" t="e">
        <f>#REF!</f>
        <v>#REF!</v>
      </c>
      <c r="U44" s="360" t="e">
        <f>#REF!</f>
        <v>#REF!</v>
      </c>
      <c r="V44" s="360" t="e">
        <f>#REF!</f>
        <v>#REF!</v>
      </c>
      <c r="W44" s="360" t="e">
        <f>#REF!</f>
        <v>#REF!</v>
      </c>
      <c r="X44" s="360" t="e">
        <f>#REF!</f>
        <v>#REF!</v>
      </c>
      <c r="Y44" s="360" t="e">
        <f>#REF!</f>
        <v>#REF!</v>
      </c>
      <c r="Z44" s="360" t="e">
        <f>#REF!</f>
        <v>#REF!</v>
      </c>
      <c r="AA44" s="360" t="e">
        <f>#REF!</f>
        <v>#REF!</v>
      </c>
      <c r="AB44" s="360">
        <f t="shared" si="31"/>
        <v>0</v>
      </c>
      <c r="AC44" s="360">
        <f t="shared" si="31"/>
        <v>0</v>
      </c>
      <c r="AD44" s="360">
        <f t="shared" si="31"/>
        <v>454</v>
      </c>
      <c r="AE44" s="360">
        <f t="shared" si="31"/>
        <v>454</v>
      </c>
      <c r="AF44" s="360">
        <f t="shared" si="31"/>
        <v>0</v>
      </c>
      <c r="AG44" s="360">
        <f t="shared" si="31"/>
        <v>0</v>
      </c>
      <c r="AH44" s="360">
        <f t="shared" si="31"/>
        <v>1657</v>
      </c>
      <c r="AI44" s="467"/>
      <c r="AJ44" s="81">
        <f>SUM(AH44/AD44)-1</f>
        <v>2.6497797356828192</v>
      </c>
    </row>
    <row r="45" spans="1:36" s="465" customFormat="1" ht="12.75" customHeight="1">
      <c r="B45" s="406" t="s">
        <v>683</v>
      </c>
      <c r="C45" s="466"/>
      <c r="D45" s="466">
        <v>8083</v>
      </c>
      <c r="E45" s="466">
        <v>8141</v>
      </c>
      <c r="G45" s="466"/>
      <c r="H45" s="466"/>
      <c r="I45" s="466">
        <v>8141</v>
      </c>
      <c r="J45" s="360">
        <f>E45</f>
        <v>8141</v>
      </c>
      <c r="K45" s="466"/>
      <c r="L45" s="466"/>
      <c r="M45" s="466">
        <v>10095</v>
      </c>
      <c r="O45" s="360" t="e">
        <f>#REF!</f>
        <v>#REF!</v>
      </c>
      <c r="P45" s="360" t="e">
        <f>#REF!</f>
        <v>#REF!</v>
      </c>
      <c r="Q45" s="360" t="e">
        <f>#REF!</f>
        <v>#REF!</v>
      </c>
      <c r="R45" s="360" t="e">
        <f>#REF!</f>
        <v>#REF!</v>
      </c>
      <c r="S45" s="360" t="e">
        <f>#REF!</f>
        <v>#REF!</v>
      </c>
      <c r="T45" s="360" t="e">
        <f>#REF!</f>
        <v>#REF!</v>
      </c>
      <c r="U45" s="360" t="e">
        <f>#REF!</f>
        <v>#REF!</v>
      </c>
      <c r="V45" s="360" t="e">
        <f>#REF!</f>
        <v>#REF!</v>
      </c>
      <c r="W45" s="360" t="e">
        <f>#REF!</f>
        <v>#REF!</v>
      </c>
      <c r="X45" s="360" t="e">
        <f>#REF!</f>
        <v>#REF!</v>
      </c>
      <c r="Y45" s="360" t="e">
        <f>#REF!</f>
        <v>#REF!</v>
      </c>
      <c r="Z45" s="360" t="e">
        <f>#REF!</f>
        <v>#REF!</v>
      </c>
      <c r="AA45" s="360" t="e">
        <f>#REF!</f>
        <v>#REF!</v>
      </c>
      <c r="AB45" s="360">
        <f t="shared" si="31"/>
        <v>0</v>
      </c>
      <c r="AC45" s="360">
        <f t="shared" si="31"/>
        <v>0</v>
      </c>
      <c r="AD45" s="360">
        <f t="shared" si="31"/>
        <v>8141</v>
      </c>
      <c r="AE45" s="360">
        <f t="shared" si="31"/>
        <v>8141</v>
      </c>
      <c r="AF45" s="360">
        <f t="shared" si="31"/>
        <v>0</v>
      </c>
      <c r="AG45" s="360">
        <f t="shared" si="31"/>
        <v>0</v>
      </c>
      <c r="AH45" s="360">
        <f t="shared" si="31"/>
        <v>10095</v>
      </c>
      <c r="AI45" s="467"/>
      <c r="AJ45" s="81">
        <f>SUM(AH45/AD45)-1</f>
        <v>0.24001965360520816</v>
      </c>
    </row>
    <row r="46" spans="1:36" s="465" customFormat="1" ht="12.75" customHeight="1">
      <c r="B46" s="406" t="s">
        <v>684</v>
      </c>
      <c r="C46" s="466"/>
      <c r="D46" s="466">
        <v>714</v>
      </c>
      <c r="E46" s="466">
        <v>493</v>
      </c>
      <c r="G46" s="466"/>
      <c r="H46" s="466"/>
      <c r="I46" s="466">
        <v>493</v>
      </c>
      <c r="J46" s="360">
        <f>E46</f>
        <v>493</v>
      </c>
      <c r="K46" s="466"/>
      <c r="L46" s="466"/>
      <c r="M46" s="466">
        <v>553</v>
      </c>
      <c r="O46" s="360" t="e">
        <f>#REF!</f>
        <v>#REF!</v>
      </c>
      <c r="P46" s="360" t="e">
        <f>#REF!</f>
        <v>#REF!</v>
      </c>
      <c r="Q46" s="360" t="e">
        <f>#REF!</f>
        <v>#REF!</v>
      </c>
      <c r="R46" s="360" t="e">
        <f>#REF!</f>
        <v>#REF!</v>
      </c>
      <c r="S46" s="360" t="e">
        <f>#REF!</f>
        <v>#REF!</v>
      </c>
      <c r="T46" s="360" t="e">
        <f>#REF!</f>
        <v>#REF!</v>
      </c>
      <c r="U46" s="360" t="e">
        <f>#REF!</f>
        <v>#REF!</v>
      </c>
      <c r="V46" s="360" t="e">
        <f>#REF!</f>
        <v>#REF!</v>
      </c>
      <c r="W46" s="360" t="e">
        <f>#REF!</f>
        <v>#REF!</v>
      </c>
      <c r="X46" s="360" t="e">
        <f>#REF!</f>
        <v>#REF!</v>
      </c>
      <c r="Y46" s="360" t="e">
        <f>#REF!</f>
        <v>#REF!</v>
      </c>
      <c r="Z46" s="360" t="e">
        <f>#REF!</f>
        <v>#REF!</v>
      </c>
      <c r="AA46" s="360" t="e">
        <f>#REF!</f>
        <v>#REF!</v>
      </c>
      <c r="AB46" s="360">
        <f t="shared" si="31"/>
        <v>0</v>
      </c>
      <c r="AC46" s="360">
        <f t="shared" si="31"/>
        <v>0</v>
      </c>
      <c r="AD46" s="360">
        <f t="shared" si="31"/>
        <v>493</v>
      </c>
      <c r="AE46" s="360">
        <f t="shared" si="31"/>
        <v>493</v>
      </c>
      <c r="AF46" s="360">
        <f t="shared" si="31"/>
        <v>0</v>
      </c>
      <c r="AG46" s="360">
        <f t="shared" si="31"/>
        <v>0</v>
      </c>
      <c r="AH46" s="360">
        <f t="shared" si="31"/>
        <v>553</v>
      </c>
      <c r="AI46" s="467"/>
      <c r="AJ46" s="81">
        <f>SUM(AH46/AD46)-1</f>
        <v>0.1217038539553752</v>
      </c>
    </row>
    <row r="47" spans="1:36" ht="12.75" customHeight="1">
      <c r="B47" s="27" t="s">
        <v>23</v>
      </c>
      <c r="C47" s="28">
        <f t="shared" ref="C47:E47" si="32">SUM(C43:C46)</f>
        <v>0</v>
      </c>
      <c r="D47" s="28">
        <f t="shared" si="32"/>
        <v>11987</v>
      </c>
      <c r="E47" s="28">
        <f t="shared" si="32"/>
        <v>12331</v>
      </c>
      <c r="F47" s="53"/>
      <c r="G47" s="28">
        <f t="shared" ref="G47:M47" si="33">SUM(G43:G46)</f>
        <v>0</v>
      </c>
      <c r="H47" s="28">
        <f t="shared" si="33"/>
        <v>0</v>
      </c>
      <c r="I47" s="28">
        <f t="shared" si="33"/>
        <v>12331</v>
      </c>
      <c r="J47" s="28">
        <f t="shared" si="33"/>
        <v>12331</v>
      </c>
      <c r="K47" s="28">
        <f t="shared" si="33"/>
        <v>0</v>
      </c>
      <c r="L47" s="28">
        <f t="shared" si="33"/>
        <v>0</v>
      </c>
      <c r="M47" s="28">
        <f t="shared" si="33"/>
        <v>19100</v>
      </c>
      <c r="N47" s="53"/>
      <c r="O47" s="28" t="e">
        <f t="shared" ref="O47:AH47" si="34">SUM(O43:O46)</f>
        <v>#REF!</v>
      </c>
      <c r="P47" s="28" t="e">
        <f t="shared" si="34"/>
        <v>#REF!</v>
      </c>
      <c r="Q47" s="28" t="e">
        <f t="shared" si="34"/>
        <v>#REF!</v>
      </c>
      <c r="R47" s="28" t="e">
        <f t="shared" si="34"/>
        <v>#REF!</v>
      </c>
      <c r="S47" s="28" t="e">
        <f t="shared" si="34"/>
        <v>#REF!</v>
      </c>
      <c r="T47" s="28" t="e">
        <f t="shared" si="34"/>
        <v>#REF!</v>
      </c>
      <c r="U47" s="28" t="e">
        <f t="shared" si="34"/>
        <v>#REF!</v>
      </c>
      <c r="V47" s="28" t="e">
        <f t="shared" si="34"/>
        <v>#REF!</v>
      </c>
      <c r="W47" s="28" t="e">
        <f t="shared" si="34"/>
        <v>#REF!</v>
      </c>
      <c r="X47" s="28" t="e">
        <f t="shared" si="34"/>
        <v>#REF!</v>
      </c>
      <c r="Y47" s="28" t="e">
        <f t="shared" si="34"/>
        <v>#REF!</v>
      </c>
      <c r="Z47" s="28" t="e">
        <f t="shared" si="34"/>
        <v>#REF!</v>
      </c>
      <c r="AA47" s="28" t="e">
        <f t="shared" si="34"/>
        <v>#REF!</v>
      </c>
      <c r="AB47" s="28">
        <f t="shared" si="34"/>
        <v>0</v>
      </c>
      <c r="AC47" s="28">
        <f t="shared" si="34"/>
        <v>0</v>
      </c>
      <c r="AD47" s="28">
        <f t="shared" si="34"/>
        <v>12331</v>
      </c>
      <c r="AE47" s="28">
        <f t="shared" si="34"/>
        <v>12331</v>
      </c>
      <c r="AF47" s="28">
        <f t="shared" si="34"/>
        <v>0</v>
      </c>
      <c r="AG47" s="28">
        <f t="shared" si="34"/>
        <v>0</v>
      </c>
      <c r="AH47" s="28">
        <f t="shared" si="34"/>
        <v>19100</v>
      </c>
      <c r="AI47" s="45"/>
      <c r="AJ47" s="82">
        <f>SUM(AH47/AD47)-1</f>
        <v>0.54894169167139739</v>
      </c>
    </row>
    <row r="48" spans="1:36" ht="5.0999999999999996" customHeight="1">
      <c r="B48" s="27"/>
      <c r="C48" s="54"/>
      <c r="D48" s="44"/>
      <c r="E48" s="44"/>
      <c r="G48" s="44"/>
      <c r="H48" s="44"/>
      <c r="I48" s="44"/>
      <c r="J48" s="44"/>
      <c r="K48" s="44"/>
      <c r="L48" s="44"/>
      <c r="M48" s="44"/>
      <c r="O48" s="45"/>
      <c r="P48" s="45"/>
      <c r="Q48" s="45"/>
      <c r="R48" s="45"/>
      <c r="S48" s="45"/>
      <c r="T48" s="45"/>
      <c r="U48" s="45"/>
      <c r="V48" s="45"/>
      <c r="W48" s="45"/>
      <c r="X48" s="45"/>
      <c r="Y48" s="45"/>
      <c r="Z48" s="45"/>
      <c r="AA48" s="45"/>
      <c r="AB48" s="45"/>
      <c r="AC48" s="45"/>
      <c r="AD48" s="45"/>
      <c r="AE48" s="45"/>
      <c r="AF48" s="45"/>
      <c r="AG48" s="45"/>
      <c r="AH48" s="45"/>
      <c r="AI48" s="45"/>
      <c r="AJ48" s="42"/>
    </row>
    <row r="49" spans="2:36" ht="12.75" customHeight="1">
      <c r="B49" s="84" t="s">
        <v>432</v>
      </c>
      <c r="C49" s="88"/>
      <c r="D49" s="88"/>
      <c r="E49" s="88"/>
      <c r="G49" s="88"/>
      <c r="H49" s="88"/>
      <c r="I49" s="88"/>
      <c r="J49" s="88"/>
      <c r="K49" s="34"/>
      <c r="L49" s="88"/>
      <c r="M49" s="88"/>
      <c r="O49" s="34"/>
      <c r="P49" s="34"/>
      <c r="Q49" s="34"/>
      <c r="R49" s="34"/>
      <c r="S49" s="34"/>
      <c r="T49" s="34"/>
      <c r="U49" s="34"/>
      <c r="V49" s="34"/>
      <c r="W49" s="34"/>
      <c r="X49" s="34"/>
      <c r="Y49" s="34"/>
      <c r="Z49" s="34"/>
      <c r="AA49" s="34"/>
      <c r="AB49" s="34"/>
      <c r="AC49" s="34"/>
      <c r="AD49" s="34"/>
      <c r="AE49" s="34"/>
      <c r="AF49" s="34"/>
      <c r="AG49" s="34"/>
      <c r="AH49" s="34"/>
      <c r="AI49" s="12"/>
      <c r="AJ49" s="81"/>
    </row>
    <row r="50" spans="2:36" ht="12.75" customHeight="1">
      <c r="B50" s="10" t="s">
        <v>685</v>
      </c>
      <c r="C50" s="88"/>
      <c r="D50" s="88">
        <v>122</v>
      </c>
      <c r="E50" s="88">
        <v>85</v>
      </c>
      <c r="G50" s="88"/>
      <c r="H50" s="88"/>
      <c r="I50" s="88">
        <v>85</v>
      </c>
      <c r="J50" s="34">
        <f>E50</f>
        <v>85</v>
      </c>
      <c r="K50" s="88"/>
      <c r="L50" s="88"/>
      <c r="M50" s="88">
        <v>54</v>
      </c>
      <c r="O50" s="34" t="e">
        <f>#REF!</f>
        <v>#REF!</v>
      </c>
      <c r="P50" s="34" t="e">
        <f>#REF!</f>
        <v>#REF!</v>
      </c>
      <c r="Q50" s="34" t="e">
        <f>#REF!</f>
        <v>#REF!</v>
      </c>
      <c r="R50" s="34" t="e">
        <f>#REF!</f>
        <v>#REF!</v>
      </c>
      <c r="S50" s="34" t="e">
        <f>#REF!</f>
        <v>#REF!</v>
      </c>
      <c r="T50" s="34" t="e">
        <f>#REF!</f>
        <v>#REF!</v>
      </c>
      <c r="U50" s="34" t="e">
        <f>#REF!</f>
        <v>#REF!</v>
      </c>
      <c r="V50" s="34" t="e">
        <f>#REF!</f>
        <v>#REF!</v>
      </c>
      <c r="W50" s="34" t="e">
        <f>#REF!</f>
        <v>#REF!</v>
      </c>
      <c r="X50" s="34" t="e">
        <f>#REF!</f>
        <v>#REF!</v>
      </c>
      <c r="Y50" s="34" t="e">
        <f>#REF!</f>
        <v>#REF!</v>
      </c>
      <c r="Z50" s="34" t="e">
        <f>#REF!</f>
        <v>#REF!</v>
      </c>
      <c r="AA50" s="34" t="e">
        <f>#REF!</f>
        <v>#REF!</v>
      </c>
      <c r="AB50" s="34">
        <f t="shared" ref="AB50:AH54" si="35">G50</f>
        <v>0</v>
      </c>
      <c r="AC50" s="34">
        <f t="shared" si="35"/>
        <v>0</v>
      </c>
      <c r="AD50" s="34">
        <f t="shared" si="35"/>
        <v>85</v>
      </c>
      <c r="AE50" s="34">
        <f t="shared" si="35"/>
        <v>85</v>
      </c>
      <c r="AF50" s="34">
        <f t="shared" si="35"/>
        <v>0</v>
      </c>
      <c r="AG50" s="34">
        <f t="shared" si="35"/>
        <v>0</v>
      </c>
      <c r="AH50" s="34">
        <f t="shared" si="35"/>
        <v>54</v>
      </c>
      <c r="AI50" s="12"/>
      <c r="AJ50" s="81">
        <f t="shared" ref="AJ50:AJ55" si="36">SUM(AH50/AD50)-1</f>
        <v>-0.36470588235294121</v>
      </c>
    </row>
    <row r="51" spans="2:36" ht="12.75" customHeight="1">
      <c r="B51" s="10" t="s">
        <v>460</v>
      </c>
      <c r="C51" s="88"/>
      <c r="D51" s="88">
        <v>667</v>
      </c>
      <c r="E51" s="88">
        <v>613</v>
      </c>
      <c r="G51" s="88"/>
      <c r="H51" s="88"/>
      <c r="I51" s="88">
        <v>613</v>
      </c>
      <c r="J51" s="34">
        <f>E51</f>
        <v>613</v>
      </c>
      <c r="K51" s="88"/>
      <c r="L51" s="88"/>
      <c r="M51" s="88">
        <v>681</v>
      </c>
      <c r="O51" s="34" t="e">
        <f>#REF!</f>
        <v>#REF!</v>
      </c>
      <c r="P51" s="34" t="e">
        <f>#REF!</f>
        <v>#REF!</v>
      </c>
      <c r="Q51" s="34" t="e">
        <f>#REF!</f>
        <v>#REF!</v>
      </c>
      <c r="R51" s="34" t="e">
        <f>#REF!</f>
        <v>#REF!</v>
      </c>
      <c r="S51" s="34" t="e">
        <f>#REF!</f>
        <v>#REF!</v>
      </c>
      <c r="T51" s="34" t="e">
        <f>#REF!</f>
        <v>#REF!</v>
      </c>
      <c r="U51" s="34" t="e">
        <f>#REF!</f>
        <v>#REF!</v>
      </c>
      <c r="V51" s="34" t="e">
        <f>#REF!</f>
        <v>#REF!</v>
      </c>
      <c r="W51" s="34" t="e">
        <f>#REF!</f>
        <v>#REF!</v>
      </c>
      <c r="X51" s="34" t="e">
        <f>#REF!</f>
        <v>#REF!</v>
      </c>
      <c r="Y51" s="34" t="e">
        <f>#REF!</f>
        <v>#REF!</v>
      </c>
      <c r="Z51" s="34" t="e">
        <f>#REF!</f>
        <v>#REF!</v>
      </c>
      <c r="AA51" s="34" t="e">
        <f>#REF!</f>
        <v>#REF!</v>
      </c>
      <c r="AB51" s="34">
        <f t="shared" si="35"/>
        <v>0</v>
      </c>
      <c r="AC51" s="34">
        <f t="shared" si="35"/>
        <v>0</v>
      </c>
      <c r="AD51" s="34">
        <f t="shared" si="35"/>
        <v>613</v>
      </c>
      <c r="AE51" s="34">
        <f t="shared" si="35"/>
        <v>613</v>
      </c>
      <c r="AF51" s="34">
        <f t="shared" si="35"/>
        <v>0</v>
      </c>
      <c r="AG51" s="34">
        <f t="shared" si="35"/>
        <v>0</v>
      </c>
      <c r="AH51" s="34">
        <f t="shared" si="35"/>
        <v>681</v>
      </c>
      <c r="AI51" s="12"/>
      <c r="AJ51" s="81">
        <f t="shared" si="36"/>
        <v>0.11092985318107673</v>
      </c>
    </row>
    <row r="52" spans="2:36" ht="12.75" customHeight="1">
      <c r="B52" s="10" t="s">
        <v>686</v>
      </c>
      <c r="C52" s="88"/>
      <c r="D52" s="88">
        <v>533</v>
      </c>
      <c r="E52" s="88">
        <v>376</v>
      </c>
      <c r="G52" s="88"/>
      <c r="H52" s="88"/>
      <c r="I52" s="88">
        <v>376</v>
      </c>
      <c r="J52" s="34">
        <f>E52</f>
        <v>376</v>
      </c>
      <c r="K52" s="88"/>
      <c r="L52" s="88"/>
      <c r="M52" s="88">
        <v>392</v>
      </c>
      <c r="O52" s="34" t="e">
        <f>#REF!</f>
        <v>#REF!</v>
      </c>
      <c r="P52" s="34" t="e">
        <f>#REF!</f>
        <v>#REF!</v>
      </c>
      <c r="Q52" s="34" t="e">
        <f>#REF!</f>
        <v>#REF!</v>
      </c>
      <c r="R52" s="34" t="e">
        <f>#REF!</f>
        <v>#REF!</v>
      </c>
      <c r="S52" s="34" t="e">
        <f>#REF!</f>
        <v>#REF!</v>
      </c>
      <c r="T52" s="34" t="e">
        <f>#REF!</f>
        <v>#REF!</v>
      </c>
      <c r="U52" s="34" t="e">
        <f>#REF!</f>
        <v>#REF!</v>
      </c>
      <c r="V52" s="34" t="e">
        <f>#REF!</f>
        <v>#REF!</v>
      </c>
      <c r="W52" s="34" t="e">
        <f>#REF!</f>
        <v>#REF!</v>
      </c>
      <c r="X52" s="34" t="e">
        <f>#REF!</f>
        <v>#REF!</v>
      </c>
      <c r="Y52" s="34" t="e">
        <f>#REF!</f>
        <v>#REF!</v>
      </c>
      <c r="Z52" s="34" t="e">
        <f>#REF!</f>
        <v>#REF!</v>
      </c>
      <c r="AA52" s="34" t="e">
        <f>#REF!</f>
        <v>#REF!</v>
      </c>
      <c r="AB52" s="34">
        <f t="shared" si="35"/>
        <v>0</v>
      </c>
      <c r="AC52" s="34">
        <f t="shared" si="35"/>
        <v>0</v>
      </c>
      <c r="AD52" s="34">
        <f t="shared" si="35"/>
        <v>376</v>
      </c>
      <c r="AE52" s="34">
        <f t="shared" si="35"/>
        <v>376</v>
      </c>
      <c r="AF52" s="34">
        <f t="shared" si="35"/>
        <v>0</v>
      </c>
      <c r="AG52" s="34">
        <f t="shared" si="35"/>
        <v>0</v>
      </c>
      <c r="AH52" s="34">
        <f t="shared" si="35"/>
        <v>392</v>
      </c>
      <c r="AI52" s="12"/>
      <c r="AJ52" s="81">
        <f t="shared" si="36"/>
        <v>4.2553191489361764E-2</v>
      </c>
    </row>
    <row r="53" spans="2:36" ht="12.75" customHeight="1">
      <c r="B53" s="10" t="s">
        <v>687</v>
      </c>
      <c r="C53" s="88"/>
      <c r="D53" s="88">
        <v>25</v>
      </c>
      <c r="E53" s="88">
        <v>33</v>
      </c>
      <c r="G53" s="88"/>
      <c r="H53" s="88"/>
      <c r="I53" s="88">
        <v>33</v>
      </c>
      <c r="J53" s="34">
        <f>E53</f>
        <v>33</v>
      </c>
      <c r="K53" s="88"/>
      <c r="L53" s="88"/>
      <c r="M53" s="88">
        <v>36</v>
      </c>
      <c r="O53" s="34" t="e">
        <f>#REF!</f>
        <v>#REF!</v>
      </c>
      <c r="P53" s="34" t="e">
        <f>#REF!</f>
        <v>#REF!</v>
      </c>
      <c r="Q53" s="34" t="e">
        <f>#REF!</f>
        <v>#REF!</v>
      </c>
      <c r="R53" s="34" t="e">
        <f>#REF!</f>
        <v>#REF!</v>
      </c>
      <c r="S53" s="34" t="e">
        <f>#REF!</f>
        <v>#REF!</v>
      </c>
      <c r="T53" s="34" t="e">
        <f>#REF!</f>
        <v>#REF!</v>
      </c>
      <c r="U53" s="34" t="e">
        <f>#REF!</f>
        <v>#REF!</v>
      </c>
      <c r="V53" s="34" t="e">
        <f>#REF!</f>
        <v>#REF!</v>
      </c>
      <c r="W53" s="34" t="e">
        <f>#REF!</f>
        <v>#REF!</v>
      </c>
      <c r="X53" s="34" t="e">
        <f>#REF!</f>
        <v>#REF!</v>
      </c>
      <c r="Y53" s="34" t="e">
        <f>#REF!</f>
        <v>#REF!</v>
      </c>
      <c r="Z53" s="34" t="e">
        <f>#REF!</f>
        <v>#REF!</v>
      </c>
      <c r="AA53" s="34" t="e">
        <f>#REF!</f>
        <v>#REF!</v>
      </c>
      <c r="AB53" s="34">
        <f t="shared" si="35"/>
        <v>0</v>
      </c>
      <c r="AC53" s="34">
        <f t="shared" si="35"/>
        <v>0</v>
      </c>
      <c r="AD53" s="34">
        <f t="shared" si="35"/>
        <v>33</v>
      </c>
      <c r="AE53" s="34">
        <f t="shared" si="35"/>
        <v>33</v>
      </c>
      <c r="AF53" s="34">
        <f t="shared" si="35"/>
        <v>0</v>
      </c>
      <c r="AG53" s="34">
        <f t="shared" si="35"/>
        <v>0</v>
      </c>
      <c r="AH53" s="34">
        <f t="shared" si="35"/>
        <v>36</v>
      </c>
      <c r="AI53" s="12"/>
      <c r="AJ53" s="81">
        <f t="shared" si="36"/>
        <v>9.0909090909090828E-2</v>
      </c>
    </row>
    <row r="54" spans="2:36" ht="12.75" customHeight="1">
      <c r="B54" s="10" t="s">
        <v>478</v>
      </c>
      <c r="C54" s="88"/>
      <c r="D54" s="88">
        <v>414</v>
      </c>
      <c r="E54" s="88">
        <v>366</v>
      </c>
      <c r="G54" s="88"/>
      <c r="H54" s="88"/>
      <c r="I54" s="88">
        <v>366</v>
      </c>
      <c r="J54" s="34">
        <f>E54</f>
        <v>366</v>
      </c>
      <c r="K54" s="88"/>
      <c r="L54" s="88"/>
      <c r="M54" s="88">
        <v>519</v>
      </c>
      <c r="O54" s="34" t="e">
        <f>#REF!</f>
        <v>#REF!</v>
      </c>
      <c r="P54" s="34" t="e">
        <f>#REF!</f>
        <v>#REF!</v>
      </c>
      <c r="Q54" s="34" t="e">
        <f>#REF!</f>
        <v>#REF!</v>
      </c>
      <c r="R54" s="34" t="e">
        <f>#REF!</f>
        <v>#REF!</v>
      </c>
      <c r="S54" s="34" t="e">
        <f>#REF!</f>
        <v>#REF!</v>
      </c>
      <c r="T54" s="34" t="e">
        <f>#REF!</f>
        <v>#REF!</v>
      </c>
      <c r="U54" s="34" t="e">
        <f>#REF!</f>
        <v>#REF!</v>
      </c>
      <c r="V54" s="34" t="e">
        <f>#REF!</f>
        <v>#REF!</v>
      </c>
      <c r="W54" s="34" t="e">
        <f>#REF!</f>
        <v>#REF!</v>
      </c>
      <c r="X54" s="34" t="e">
        <f>#REF!</f>
        <v>#REF!</v>
      </c>
      <c r="Y54" s="34" t="e">
        <f>#REF!</f>
        <v>#REF!</v>
      </c>
      <c r="Z54" s="34" t="e">
        <f>#REF!</f>
        <v>#REF!</v>
      </c>
      <c r="AA54" s="34" t="e">
        <f>#REF!</f>
        <v>#REF!</v>
      </c>
      <c r="AB54" s="34">
        <f t="shared" si="35"/>
        <v>0</v>
      </c>
      <c r="AC54" s="34">
        <f t="shared" si="35"/>
        <v>0</v>
      </c>
      <c r="AD54" s="34">
        <f t="shared" si="35"/>
        <v>366</v>
      </c>
      <c r="AE54" s="34">
        <f t="shared" si="35"/>
        <v>366</v>
      </c>
      <c r="AF54" s="34">
        <f t="shared" si="35"/>
        <v>0</v>
      </c>
      <c r="AG54" s="34">
        <f t="shared" si="35"/>
        <v>0</v>
      </c>
      <c r="AH54" s="34">
        <f t="shared" si="35"/>
        <v>519</v>
      </c>
      <c r="AI54" s="12"/>
      <c r="AJ54" s="81">
        <f t="shared" si="36"/>
        <v>0.41803278688524581</v>
      </c>
    </row>
    <row r="55" spans="2:36" ht="12.75" customHeight="1">
      <c r="B55" s="14" t="s">
        <v>24</v>
      </c>
      <c r="C55" s="15">
        <f>SUM(C50:C54)+C47</f>
        <v>0</v>
      </c>
      <c r="D55" s="15">
        <f>SUM(D50:D54)+D47</f>
        <v>13748</v>
      </c>
      <c r="E55" s="15">
        <f>SUM(E50:E54)+E47</f>
        <v>13804</v>
      </c>
      <c r="G55" s="15">
        <f>SUM(G50:G54)+G47</f>
        <v>0</v>
      </c>
      <c r="H55" s="15">
        <f>SUM(H50:H54)+H47</f>
        <v>0</v>
      </c>
      <c r="I55" s="15">
        <f>SUM(I50:I54)+I47</f>
        <v>13804</v>
      </c>
      <c r="J55" s="15">
        <f>SUM(J50:J54)+J47</f>
        <v>13804</v>
      </c>
      <c r="K55" s="15">
        <f>SUM(K50:K54)+K47</f>
        <v>0</v>
      </c>
      <c r="L55" s="15">
        <f>SUM(L50:L54)+L47</f>
        <v>0</v>
      </c>
      <c r="M55" s="15">
        <f>SUM(M50:M54)+M47</f>
        <v>20782</v>
      </c>
      <c r="O55" s="15" t="e">
        <f>SUM(O50:O54)+O47</f>
        <v>#REF!</v>
      </c>
      <c r="P55" s="15" t="e">
        <f>SUM(P50:P54)+P47</f>
        <v>#REF!</v>
      </c>
      <c r="Q55" s="15" t="e">
        <f>SUM(Q50:Q54)+Q47</f>
        <v>#REF!</v>
      </c>
      <c r="R55" s="15" t="e">
        <f>SUM(R50:R54)+R47</f>
        <v>#REF!</v>
      </c>
      <c r="S55" s="15" t="e">
        <f>SUM(S50:S54)+S47</f>
        <v>#REF!</v>
      </c>
      <c r="T55" s="15" t="e">
        <f>SUM(T50:T54)+T47</f>
        <v>#REF!</v>
      </c>
      <c r="U55" s="15" t="e">
        <f>SUM(U50:U54)+U47</f>
        <v>#REF!</v>
      </c>
      <c r="V55" s="15" t="e">
        <f>SUM(V50:V54)+V47</f>
        <v>#REF!</v>
      </c>
      <c r="W55" s="15" t="e">
        <f>SUM(W50:W54)+W47</f>
        <v>#REF!</v>
      </c>
      <c r="X55" s="15" t="e">
        <f>SUM(X50:X54)+X47</f>
        <v>#REF!</v>
      </c>
      <c r="Y55" s="15" t="e">
        <f>SUM(Y50:Y54)+Y47</f>
        <v>#REF!</v>
      </c>
      <c r="Z55" s="15" t="e">
        <f>SUM(Z50:Z54)+Z47</f>
        <v>#REF!</v>
      </c>
      <c r="AA55" s="15" t="e">
        <f>SUM(AA50:AA54)+AA47</f>
        <v>#REF!</v>
      </c>
      <c r="AB55" s="15">
        <f>SUM(AB50:AB54)+AB47</f>
        <v>0</v>
      </c>
      <c r="AC55" s="15">
        <f>SUM(AC50:AC54)+AC47</f>
        <v>0</v>
      </c>
      <c r="AD55" s="15">
        <f>SUM(AD50:AD54)+AD47</f>
        <v>13804</v>
      </c>
      <c r="AE55" s="15">
        <f>SUM(AE50:AE54)+AE47</f>
        <v>13804</v>
      </c>
      <c r="AF55" s="15">
        <f>SUM(AF50:AF54)+AF47</f>
        <v>0</v>
      </c>
      <c r="AG55" s="15">
        <f>SUM(AG50:AG54)+AG47</f>
        <v>0</v>
      </c>
      <c r="AH55" s="36">
        <f>SUM(AH50:AH54)+AH47</f>
        <v>20782</v>
      </c>
      <c r="AI55" s="45"/>
      <c r="AJ55" s="82">
        <f t="shared" si="36"/>
        <v>0.50550565053607643</v>
      </c>
    </row>
    <row r="56" spans="2:36" ht="12.75" customHeight="1">
      <c r="B56" s="27"/>
      <c r="C56" s="55"/>
      <c r="D56" s="44"/>
      <c r="E56" s="44"/>
      <c r="G56" s="44"/>
      <c r="H56" s="44"/>
      <c r="I56" s="44"/>
      <c r="J56" s="44"/>
      <c r="K56" s="44"/>
      <c r="L56" s="44"/>
      <c r="M56" s="44"/>
      <c r="O56" s="45"/>
      <c r="P56" s="45"/>
      <c r="Q56" s="45"/>
      <c r="R56" s="45"/>
      <c r="S56" s="45"/>
      <c r="T56" s="45"/>
      <c r="U56" s="45"/>
      <c r="V56" s="45"/>
      <c r="W56" s="45"/>
      <c r="X56" s="45"/>
      <c r="Y56" s="45"/>
      <c r="Z56" s="45"/>
      <c r="AA56" s="45"/>
      <c r="AB56" s="45"/>
      <c r="AC56" s="45"/>
      <c r="AD56" s="45"/>
      <c r="AE56" s="45"/>
      <c r="AF56" s="45"/>
      <c r="AG56" s="45"/>
      <c r="AH56" s="45"/>
      <c r="AI56" s="45"/>
      <c r="AJ56" s="42"/>
    </row>
    <row r="57" spans="2:36" ht="12.75" customHeight="1">
      <c r="B57" s="84" t="s">
        <v>61</v>
      </c>
      <c r="C57" s="55"/>
      <c r="D57" s="44"/>
      <c r="E57" s="44"/>
      <c r="G57" s="44"/>
      <c r="H57" s="44"/>
      <c r="I57" s="44"/>
      <c r="J57" s="44"/>
      <c r="K57" s="44"/>
      <c r="L57" s="44"/>
      <c r="M57" s="44"/>
      <c r="O57" s="45"/>
      <c r="P57" s="45"/>
      <c r="Q57" s="45"/>
      <c r="R57" s="45"/>
      <c r="S57" s="45"/>
      <c r="T57" s="45"/>
      <c r="U57" s="45"/>
      <c r="V57" s="45"/>
      <c r="W57" s="45"/>
      <c r="X57" s="45"/>
      <c r="Y57" s="45"/>
      <c r="Z57" s="45"/>
      <c r="AA57" s="45"/>
      <c r="AB57" s="45"/>
      <c r="AC57" s="45"/>
      <c r="AD57" s="45"/>
      <c r="AE57" s="45"/>
      <c r="AF57" s="45"/>
      <c r="AG57" s="45"/>
      <c r="AH57" s="45"/>
      <c r="AI57" s="45"/>
      <c r="AJ57" s="42"/>
    </row>
    <row r="58" spans="2:36" ht="12.75" customHeight="1">
      <c r="B58" s="463" t="s">
        <v>688</v>
      </c>
      <c r="C58" s="464"/>
      <c r="D58" s="464">
        <v>596</v>
      </c>
      <c r="E58" s="464">
        <v>572</v>
      </c>
      <c r="G58" s="464"/>
      <c r="H58" s="464"/>
      <c r="I58" s="464">
        <v>572</v>
      </c>
      <c r="J58" s="361">
        <f>E58</f>
        <v>572</v>
      </c>
      <c r="K58" s="464"/>
      <c r="L58" s="464"/>
      <c r="M58" s="464">
        <v>562</v>
      </c>
      <c r="O58" s="361" t="e">
        <f>#REF!</f>
        <v>#REF!</v>
      </c>
      <c r="P58" s="361" t="e">
        <f>#REF!</f>
        <v>#REF!</v>
      </c>
      <c r="Q58" s="361" t="e">
        <f>#REF!</f>
        <v>#REF!</v>
      </c>
      <c r="R58" s="361" t="e">
        <f>#REF!</f>
        <v>#REF!</v>
      </c>
      <c r="S58" s="361" t="e">
        <f>#REF!</f>
        <v>#REF!</v>
      </c>
      <c r="T58" s="361" t="e">
        <f>#REF!</f>
        <v>#REF!</v>
      </c>
      <c r="U58" s="361" t="e">
        <f>#REF!</f>
        <v>#REF!</v>
      </c>
      <c r="V58" s="361" t="e">
        <f>#REF!</f>
        <v>#REF!</v>
      </c>
      <c r="W58" s="361" t="e">
        <f>#REF!</f>
        <v>#REF!</v>
      </c>
      <c r="X58" s="361" t="e">
        <f>#REF!</f>
        <v>#REF!</v>
      </c>
      <c r="Y58" s="361" t="e">
        <f>#REF!</f>
        <v>#REF!</v>
      </c>
      <c r="Z58" s="361" t="e">
        <f>#REF!</f>
        <v>#REF!</v>
      </c>
      <c r="AA58" s="361" t="e">
        <f>#REF!</f>
        <v>#REF!</v>
      </c>
      <c r="AB58" s="361">
        <f t="shared" ref="AB58:AH60" si="37">G58</f>
        <v>0</v>
      </c>
      <c r="AC58" s="361">
        <f t="shared" si="37"/>
        <v>0</v>
      </c>
      <c r="AD58" s="361">
        <f t="shared" si="37"/>
        <v>572</v>
      </c>
      <c r="AE58" s="361">
        <f t="shared" si="37"/>
        <v>572</v>
      </c>
      <c r="AF58" s="361">
        <f t="shared" si="37"/>
        <v>0</v>
      </c>
      <c r="AG58" s="361">
        <f t="shared" si="37"/>
        <v>0</v>
      </c>
      <c r="AH58" s="361">
        <f t="shared" si="37"/>
        <v>562</v>
      </c>
      <c r="AI58" s="12"/>
      <c r="AJ58" s="81">
        <f t="shared" ref="AJ58:AJ61" si="38">SUM(AH58/AD58)-1</f>
        <v>-1.7482517482517501E-2</v>
      </c>
    </row>
    <row r="59" spans="2:36" ht="12.75" customHeight="1">
      <c r="B59" s="463" t="s">
        <v>689</v>
      </c>
      <c r="C59" s="464"/>
      <c r="D59" s="464">
        <v>9478</v>
      </c>
      <c r="E59" s="464">
        <v>9510</v>
      </c>
      <c r="G59" s="464"/>
      <c r="H59" s="464"/>
      <c r="I59" s="464">
        <v>9510</v>
      </c>
      <c r="J59" s="361">
        <f>E59</f>
        <v>9510</v>
      </c>
      <c r="K59" s="464"/>
      <c r="L59" s="464"/>
      <c r="M59" s="464">
        <v>13972</v>
      </c>
      <c r="O59" s="361" t="e">
        <f>#REF!</f>
        <v>#REF!</v>
      </c>
      <c r="P59" s="361" t="e">
        <f>#REF!</f>
        <v>#REF!</v>
      </c>
      <c r="Q59" s="361" t="e">
        <f>#REF!</f>
        <v>#REF!</v>
      </c>
      <c r="R59" s="361" t="e">
        <f>#REF!</f>
        <v>#REF!</v>
      </c>
      <c r="S59" s="361" t="e">
        <f>#REF!</f>
        <v>#REF!</v>
      </c>
      <c r="T59" s="361" t="e">
        <f>#REF!</f>
        <v>#REF!</v>
      </c>
      <c r="U59" s="361" t="e">
        <f>#REF!</f>
        <v>#REF!</v>
      </c>
      <c r="V59" s="361" t="e">
        <f>#REF!</f>
        <v>#REF!</v>
      </c>
      <c r="W59" s="361" t="e">
        <f>#REF!</f>
        <v>#REF!</v>
      </c>
      <c r="X59" s="361" t="e">
        <f>#REF!</f>
        <v>#REF!</v>
      </c>
      <c r="Y59" s="361" t="e">
        <f>#REF!</f>
        <v>#REF!</v>
      </c>
      <c r="Z59" s="361" t="e">
        <f>#REF!</f>
        <v>#REF!</v>
      </c>
      <c r="AA59" s="361" t="e">
        <f>#REF!</f>
        <v>#REF!</v>
      </c>
      <c r="AB59" s="361">
        <f t="shared" si="37"/>
        <v>0</v>
      </c>
      <c r="AC59" s="361">
        <f t="shared" si="37"/>
        <v>0</v>
      </c>
      <c r="AD59" s="361">
        <f t="shared" si="37"/>
        <v>9510</v>
      </c>
      <c r="AE59" s="361">
        <f t="shared" si="37"/>
        <v>9510</v>
      </c>
      <c r="AF59" s="361">
        <f t="shared" si="37"/>
        <v>0</v>
      </c>
      <c r="AG59" s="361">
        <f t="shared" si="37"/>
        <v>0</v>
      </c>
      <c r="AH59" s="361">
        <f t="shared" si="37"/>
        <v>13972</v>
      </c>
      <c r="AI59" s="12"/>
      <c r="AJ59" s="81">
        <f t="shared" si="38"/>
        <v>0.46919032597266042</v>
      </c>
    </row>
    <row r="60" spans="2:36" ht="12.75" customHeight="1">
      <c r="B60" s="463" t="s">
        <v>690</v>
      </c>
      <c r="C60" s="464"/>
      <c r="D60" s="464">
        <v>857</v>
      </c>
      <c r="E60" s="464">
        <v>696</v>
      </c>
      <c r="G60" s="464"/>
      <c r="H60" s="464"/>
      <c r="I60" s="464">
        <v>696</v>
      </c>
      <c r="J60" s="361">
        <f>E60</f>
        <v>696</v>
      </c>
      <c r="K60" s="464"/>
      <c r="L60" s="464"/>
      <c r="M60" s="464">
        <v>753</v>
      </c>
      <c r="O60" s="361" t="e">
        <f>#REF!</f>
        <v>#REF!</v>
      </c>
      <c r="P60" s="361" t="e">
        <f>#REF!</f>
        <v>#REF!</v>
      </c>
      <c r="Q60" s="361" t="e">
        <f>#REF!</f>
        <v>#REF!</v>
      </c>
      <c r="R60" s="361" t="e">
        <f>#REF!</f>
        <v>#REF!</v>
      </c>
      <c r="S60" s="361" t="e">
        <f>#REF!</f>
        <v>#REF!</v>
      </c>
      <c r="T60" s="361" t="e">
        <f>#REF!</f>
        <v>#REF!</v>
      </c>
      <c r="U60" s="361" t="e">
        <f>#REF!</f>
        <v>#REF!</v>
      </c>
      <c r="V60" s="361" t="e">
        <f>#REF!</f>
        <v>#REF!</v>
      </c>
      <c r="W60" s="361" t="e">
        <f>#REF!</f>
        <v>#REF!</v>
      </c>
      <c r="X60" s="361" t="e">
        <f>#REF!</f>
        <v>#REF!</v>
      </c>
      <c r="Y60" s="361" t="e">
        <f>#REF!</f>
        <v>#REF!</v>
      </c>
      <c r="Z60" s="361" t="e">
        <f>#REF!</f>
        <v>#REF!</v>
      </c>
      <c r="AA60" s="361" t="e">
        <f>#REF!</f>
        <v>#REF!</v>
      </c>
      <c r="AB60" s="361">
        <f t="shared" si="37"/>
        <v>0</v>
      </c>
      <c r="AC60" s="361">
        <f t="shared" si="37"/>
        <v>0</v>
      </c>
      <c r="AD60" s="361">
        <f t="shared" si="37"/>
        <v>696</v>
      </c>
      <c r="AE60" s="361">
        <f t="shared" si="37"/>
        <v>696</v>
      </c>
      <c r="AF60" s="361">
        <f t="shared" si="37"/>
        <v>0</v>
      </c>
      <c r="AG60" s="361">
        <f t="shared" si="37"/>
        <v>0</v>
      </c>
      <c r="AH60" s="361">
        <f t="shared" si="37"/>
        <v>753</v>
      </c>
      <c r="AI60" s="12"/>
      <c r="AJ60" s="81">
        <f t="shared" si="38"/>
        <v>8.18965517241379E-2</v>
      </c>
    </row>
    <row r="61" spans="2:36" ht="12.75" customHeight="1">
      <c r="B61" s="27" t="s">
        <v>20</v>
      </c>
      <c r="C61" s="28">
        <f>SUM(C58:C60)</f>
        <v>0</v>
      </c>
      <c r="D61" s="28">
        <f>SUM(D58:D60)</f>
        <v>10931</v>
      </c>
      <c r="E61" s="28">
        <f>SUM(E58:E60)</f>
        <v>10778</v>
      </c>
      <c r="G61" s="28">
        <f>SUM(G58:G60)</f>
        <v>0</v>
      </c>
      <c r="H61" s="28">
        <f>SUM(H58:H60)</f>
        <v>0</v>
      </c>
      <c r="I61" s="28">
        <f>SUM(I58:I60)</f>
        <v>10778</v>
      </c>
      <c r="J61" s="28">
        <f>SUM(J58:J60)</f>
        <v>10778</v>
      </c>
      <c r="K61" s="28">
        <f>SUM(K58:K60)</f>
        <v>0</v>
      </c>
      <c r="L61" s="28">
        <f>SUM(L58:L60)</f>
        <v>0</v>
      </c>
      <c r="M61" s="28">
        <f>SUM(M58:M60)</f>
        <v>15287</v>
      </c>
      <c r="N61" s="53"/>
      <c r="O61" s="28" t="e">
        <f>SUM(O58:O60)</f>
        <v>#REF!</v>
      </c>
      <c r="P61" s="28" t="e">
        <f>SUM(P58:P60)</f>
        <v>#REF!</v>
      </c>
      <c r="Q61" s="28" t="e">
        <f>SUM(Q58:Q60)</f>
        <v>#REF!</v>
      </c>
      <c r="R61" s="28" t="e">
        <f>SUM(R58:R60)</f>
        <v>#REF!</v>
      </c>
      <c r="S61" s="28" t="e">
        <f>SUM(S58:S60)</f>
        <v>#REF!</v>
      </c>
      <c r="T61" s="28" t="e">
        <f>SUM(T58:T60)</f>
        <v>#REF!</v>
      </c>
      <c r="U61" s="28" t="e">
        <f>SUM(U58:U60)</f>
        <v>#REF!</v>
      </c>
      <c r="V61" s="28" t="e">
        <f>SUM(V58:V60)</f>
        <v>#REF!</v>
      </c>
      <c r="W61" s="28" t="e">
        <f>SUM(W58:W60)</f>
        <v>#REF!</v>
      </c>
      <c r="X61" s="28" t="e">
        <f>SUM(X58:X60)</f>
        <v>#REF!</v>
      </c>
      <c r="Y61" s="28" t="e">
        <f>SUM(Y58:Y60)</f>
        <v>#REF!</v>
      </c>
      <c r="Z61" s="28" t="e">
        <f>SUM(Z58:Z60)</f>
        <v>#REF!</v>
      </c>
      <c r="AA61" s="28" t="e">
        <f>SUM(AA58:AA60)</f>
        <v>#REF!</v>
      </c>
      <c r="AB61" s="28">
        <f>SUM(AB58:AB60)</f>
        <v>0</v>
      </c>
      <c r="AC61" s="28">
        <f>SUM(AC58:AC60)</f>
        <v>0</v>
      </c>
      <c r="AD61" s="28">
        <f>SUM(AD58:AD60)</f>
        <v>10778</v>
      </c>
      <c r="AE61" s="28">
        <f>SUM(AE58:AE60)</f>
        <v>10778</v>
      </c>
      <c r="AF61" s="28">
        <f>SUM(AF58:AF60)</f>
        <v>0</v>
      </c>
      <c r="AG61" s="28">
        <f>SUM(AG58:AG60)</f>
        <v>0</v>
      </c>
      <c r="AH61" s="28">
        <f>SUM(AH58:AH60)</f>
        <v>15287</v>
      </c>
      <c r="AI61" s="45"/>
      <c r="AJ61" s="82">
        <f t="shared" si="38"/>
        <v>0.41835219892373354</v>
      </c>
    </row>
    <row r="62" spans="2:36" ht="5.0999999999999996" customHeight="1">
      <c r="B62" s="27"/>
      <c r="C62" s="55"/>
      <c r="D62" s="44"/>
      <c r="E62" s="44"/>
      <c r="G62" s="44"/>
      <c r="H62" s="44"/>
      <c r="I62" s="44"/>
      <c r="J62" s="44"/>
      <c r="K62" s="44"/>
      <c r="L62" s="44"/>
      <c r="M62" s="44"/>
      <c r="O62" s="45"/>
      <c r="P62" s="45"/>
      <c r="Q62" s="45"/>
      <c r="R62" s="45"/>
      <c r="S62" s="45"/>
      <c r="T62" s="45"/>
      <c r="U62" s="45"/>
      <c r="V62" s="45"/>
      <c r="W62" s="45"/>
      <c r="X62" s="45"/>
      <c r="Y62" s="45"/>
      <c r="Z62" s="45"/>
      <c r="AA62" s="45"/>
      <c r="AB62" s="45"/>
      <c r="AC62" s="45"/>
      <c r="AD62" s="45"/>
      <c r="AE62" s="45"/>
      <c r="AF62" s="45"/>
      <c r="AG62" s="45"/>
      <c r="AH62" s="45"/>
      <c r="AI62" s="45"/>
      <c r="AJ62" s="42"/>
    </row>
    <row r="63" spans="2:36">
      <c r="B63" s="84" t="s">
        <v>434</v>
      </c>
      <c r="C63" s="55"/>
      <c r="D63" s="44"/>
      <c r="E63" s="44"/>
      <c r="G63" s="44"/>
      <c r="H63" s="44"/>
      <c r="I63" s="44"/>
      <c r="J63" s="44"/>
      <c r="K63" s="44"/>
      <c r="L63" s="44"/>
      <c r="M63" s="44"/>
      <c r="O63" s="45"/>
      <c r="P63" s="45"/>
      <c r="Q63" s="45"/>
      <c r="R63" s="45"/>
      <c r="S63" s="45"/>
      <c r="T63" s="45"/>
      <c r="U63" s="45"/>
      <c r="V63" s="45"/>
      <c r="W63" s="45"/>
      <c r="X63" s="45"/>
      <c r="Y63" s="45"/>
      <c r="Z63" s="45"/>
      <c r="AA63" s="45"/>
      <c r="AB63" s="45"/>
      <c r="AC63" s="45"/>
      <c r="AD63" s="45"/>
      <c r="AE63" s="45"/>
      <c r="AF63" s="45"/>
      <c r="AG63" s="45"/>
      <c r="AH63" s="45"/>
      <c r="AI63" s="45"/>
      <c r="AJ63" s="42"/>
    </row>
    <row r="64" spans="2:36" ht="12.75" customHeight="1">
      <c r="B64" s="463" t="s">
        <v>691</v>
      </c>
      <c r="C64" s="464"/>
      <c r="D64" s="464">
        <v>324</v>
      </c>
      <c r="E64" s="464">
        <v>513</v>
      </c>
      <c r="F64" s="56"/>
      <c r="G64" s="464"/>
      <c r="H64" s="464"/>
      <c r="I64" s="464">
        <v>513</v>
      </c>
      <c r="J64" s="361">
        <f>E64</f>
        <v>513</v>
      </c>
      <c r="K64" s="464"/>
      <c r="L64" s="464"/>
      <c r="M64" s="464">
        <v>2623</v>
      </c>
      <c r="N64" s="464"/>
      <c r="O64" s="361" t="e">
        <f>#REF!</f>
        <v>#REF!</v>
      </c>
      <c r="P64" s="361" t="e">
        <f>#REF!</f>
        <v>#REF!</v>
      </c>
      <c r="Q64" s="361" t="e">
        <f>#REF!</f>
        <v>#REF!</v>
      </c>
      <c r="R64" s="361" t="e">
        <f>#REF!</f>
        <v>#REF!</v>
      </c>
      <c r="S64" s="361" t="e">
        <f>#REF!</f>
        <v>#REF!</v>
      </c>
      <c r="T64" s="361" t="e">
        <f>#REF!</f>
        <v>#REF!</v>
      </c>
      <c r="U64" s="361" t="e">
        <f>#REF!</f>
        <v>#REF!</v>
      </c>
      <c r="V64" s="361" t="e">
        <f>#REF!</f>
        <v>#REF!</v>
      </c>
      <c r="W64" s="361" t="e">
        <f>#REF!</f>
        <v>#REF!</v>
      </c>
      <c r="X64" s="361" t="e">
        <f>#REF!</f>
        <v>#REF!</v>
      </c>
      <c r="Y64" s="361" t="e">
        <f>#REF!</f>
        <v>#REF!</v>
      </c>
      <c r="Z64" s="361" t="e">
        <f>#REF!</f>
        <v>#REF!</v>
      </c>
      <c r="AA64" s="361" t="e">
        <f>#REF!</f>
        <v>#REF!</v>
      </c>
      <c r="AB64" s="361">
        <f t="shared" ref="AB64:AH66" si="39">G64</f>
        <v>0</v>
      </c>
      <c r="AC64" s="361">
        <f t="shared" si="39"/>
        <v>0</v>
      </c>
      <c r="AD64" s="361">
        <f t="shared" si="39"/>
        <v>513</v>
      </c>
      <c r="AE64" s="361">
        <f t="shared" si="39"/>
        <v>513</v>
      </c>
      <c r="AF64" s="361">
        <f t="shared" si="39"/>
        <v>0</v>
      </c>
      <c r="AG64" s="361">
        <f t="shared" si="39"/>
        <v>0</v>
      </c>
      <c r="AH64" s="361">
        <f t="shared" si="39"/>
        <v>2623</v>
      </c>
      <c r="AI64" s="45"/>
      <c r="AJ64" s="81">
        <f t="shared" ref="AJ64:AJ78" si="40">SUM(AH64/AD64)-1</f>
        <v>4.1130604288499022</v>
      </c>
    </row>
    <row r="65" spans="2:36" ht="12.75" customHeight="1">
      <c r="B65" s="463" t="s">
        <v>692</v>
      </c>
      <c r="C65" s="464"/>
      <c r="D65" s="464">
        <v>1</v>
      </c>
      <c r="E65" s="464">
        <v>1</v>
      </c>
      <c r="F65" s="56"/>
      <c r="G65" s="464"/>
      <c r="H65" s="464"/>
      <c r="I65" s="464">
        <v>1</v>
      </c>
      <c r="J65" s="361">
        <f>E65</f>
        <v>1</v>
      </c>
      <c r="K65" s="464"/>
      <c r="L65" s="464"/>
      <c r="M65" s="464">
        <v>3</v>
      </c>
      <c r="N65" s="464"/>
      <c r="O65" s="361" t="e">
        <f>#REF!</f>
        <v>#REF!</v>
      </c>
      <c r="P65" s="361" t="e">
        <f>#REF!</f>
        <v>#REF!</v>
      </c>
      <c r="Q65" s="361" t="e">
        <f>#REF!</f>
        <v>#REF!</v>
      </c>
      <c r="R65" s="361" t="e">
        <f>#REF!</f>
        <v>#REF!</v>
      </c>
      <c r="S65" s="361" t="e">
        <f>#REF!</f>
        <v>#REF!</v>
      </c>
      <c r="T65" s="361" t="e">
        <f>#REF!</f>
        <v>#REF!</v>
      </c>
      <c r="U65" s="361" t="e">
        <f>#REF!</f>
        <v>#REF!</v>
      </c>
      <c r="V65" s="361" t="e">
        <f>#REF!</f>
        <v>#REF!</v>
      </c>
      <c r="W65" s="361" t="e">
        <f>#REF!</f>
        <v>#REF!</v>
      </c>
      <c r="X65" s="361" t="e">
        <f>#REF!</f>
        <v>#REF!</v>
      </c>
      <c r="Y65" s="361" t="e">
        <f>#REF!</f>
        <v>#REF!</v>
      </c>
      <c r="Z65" s="361" t="e">
        <f>#REF!</f>
        <v>#REF!</v>
      </c>
      <c r="AA65" s="361" t="e">
        <f>#REF!</f>
        <v>#REF!</v>
      </c>
      <c r="AB65" s="361">
        <f t="shared" si="39"/>
        <v>0</v>
      </c>
      <c r="AC65" s="361">
        <f t="shared" si="39"/>
        <v>0</v>
      </c>
      <c r="AD65" s="361">
        <f t="shared" si="39"/>
        <v>1</v>
      </c>
      <c r="AE65" s="361">
        <f t="shared" si="39"/>
        <v>1</v>
      </c>
      <c r="AF65" s="361">
        <f t="shared" si="39"/>
        <v>0</v>
      </c>
      <c r="AG65" s="361">
        <f t="shared" si="39"/>
        <v>0</v>
      </c>
      <c r="AH65" s="361">
        <f t="shared" si="39"/>
        <v>3</v>
      </c>
      <c r="AI65" s="45"/>
      <c r="AJ65" s="81">
        <f t="shared" si="40"/>
        <v>2</v>
      </c>
    </row>
    <row r="66" spans="2:36" ht="12.75" customHeight="1">
      <c r="B66" s="463" t="s">
        <v>693</v>
      </c>
      <c r="C66" s="464"/>
      <c r="D66" s="464">
        <v>295</v>
      </c>
      <c r="E66" s="464">
        <v>255</v>
      </c>
      <c r="F66" s="56"/>
      <c r="G66" s="464"/>
      <c r="H66" s="464"/>
      <c r="I66" s="464">
        <v>255</v>
      </c>
      <c r="J66" s="361">
        <f>E66</f>
        <v>255</v>
      </c>
      <c r="K66" s="464"/>
      <c r="L66" s="464"/>
      <c r="M66" s="464">
        <v>249</v>
      </c>
      <c r="O66" s="361" t="e">
        <f>#REF!</f>
        <v>#REF!</v>
      </c>
      <c r="P66" s="361" t="e">
        <f>#REF!</f>
        <v>#REF!</v>
      </c>
      <c r="Q66" s="361" t="e">
        <f>#REF!</f>
        <v>#REF!</v>
      </c>
      <c r="R66" s="361" t="e">
        <f>#REF!</f>
        <v>#REF!</v>
      </c>
      <c r="S66" s="361" t="e">
        <f>#REF!</f>
        <v>#REF!</v>
      </c>
      <c r="T66" s="361" t="e">
        <f>#REF!</f>
        <v>#REF!</v>
      </c>
      <c r="U66" s="361" t="e">
        <f>#REF!</f>
        <v>#REF!</v>
      </c>
      <c r="V66" s="361" t="e">
        <f>#REF!</f>
        <v>#REF!</v>
      </c>
      <c r="W66" s="361" t="e">
        <f>#REF!</f>
        <v>#REF!</v>
      </c>
      <c r="X66" s="361" t="e">
        <f>#REF!</f>
        <v>#REF!</v>
      </c>
      <c r="Y66" s="361" t="e">
        <f>#REF!</f>
        <v>#REF!</v>
      </c>
      <c r="Z66" s="361" t="e">
        <f>#REF!</f>
        <v>#REF!</v>
      </c>
      <c r="AA66" s="361" t="e">
        <f>#REF!</f>
        <v>#REF!</v>
      </c>
      <c r="AB66" s="361">
        <f t="shared" si="39"/>
        <v>0</v>
      </c>
      <c r="AC66" s="361">
        <f t="shared" si="39"/>
        <v>0</v>
      </c>
      <c r="AD66" s="361">
        <f t="shared" si="39"/>
        <v>255</v>
      </c>
      <c r="AE66" s="361">
        <f t="shared" si="39"/>
        <v>255</v>
      </c>
      <c r="AF66" s="361">
        <f t="shared" si="39"/>
        <v>0</v>
      </c>
      <c r="AG66" s="361">
        <f t="shared" si="39"/>
        <v>0</v>
      </c>
      <c r="AH66" s="361">
        <f t="shared" si="39"/>
        <v>249</v>
      </c>
      <c r="AI66" s="45"/>
      <c r="AJ66" s="81">
        <f t="shared" si="40"/>
        <v>-2.352941176470591E-2</v>
      </c>
    </row>
    <row r="67" spans="2:36" ht="12.75" customHeight="1">
      <c r="B67" s="14" t="s">
        <v>18</v>
      </c>
      <c r="C67" s="15">
        <f>SUM(C64:C66)+C61</f>
        <v>0</v>
      </c>
      <c r="D67" s="15">
        <f>SUM(D64:D66)+D61</f>
        <v>11551</v>
      </c>
      <c r="E67" s="15">
        <f>SUM(E64:E66)+E61</f>
        <v>11547</v>
      </c>
      <c r="G67" s="15">
        <f>SUM(G64:G66)+G61</f>
        <v>0</v>
      </c>
      <c r="H67" s="15">
        <f>SUM(H64:H66)+H61</f>
        <v>0</v>
      </c>
      <c r="I67" s="15">
        <f>SUM(I64:I66)+I61</f>
        <v>11547</v>
      </c>
      <c r="J67" s="15">
        <f>SUM(J64:J66)+J61</f>
        <v>11547</v>
      </c>
      <c r="K67" s="15">
        <f>SUM(K64:K66)+K61</f>
        <v>0</v>
      </c>
      <c r="L67" s="15">
        <f>SUM(L64:L66)+L61</f>
        <v>0</v>
      </c>
      <c r="M67" s="15">
        <f>SUM(M64:M66)+M61</f>
        <v>18162</v>
      </c>
      <c r="O67" s="15" t="e">
        <f>SUM(O64:O66)+O61</f>
        <v>#REF!</v>
      </c>
      <c r="P67" s="15" t="e">
        <f>SUM(P64:P66)+P61</f>
        <v>#REF!</v>
      </c>
      <c r="Q67" s="15" t="e">
        <f>SUM(Q64:Q66)+Q61</f>
        <v>#REF!</v>
      </c>
      <c r="R67" s="15" t="e">
        <f>SUM(R64:R66)+R61</f>
        <v>#REF!</v>
      </c>
      <c r="S67" s="15" t="e">
        <f>SUM(S64:S66)+S61</f>
        <v>#REF!</v>
      </c>
      <c r="T67" s="15" t="e">
        <f>SUM(T64:T66)+T61</f>
        <v>#REF!</v>
      </c>
      <c r="U67" s="15" t="e">
        <f>SUM(U64:U66)+U61</f>
        <v>#REF!</v>
      </c>
      <c r="V67" s="15" t="e">
        <f>SUM(V64:V66)+V61</f>
        <v>#REF!</v>
      </c>
      <c r="W67" s="15" t="e">
        <f>SUM(W64:W66)+W61</f>
        <v>#REF!</v>
      </c>
      <c r="X67" s="15" t="e">
        <f>SUM(X64:X66)+X61</f>
        <v>#REF!</v>
      </c>
      <c r="Y67" s="15" t="e">
        <f>SUM(Y64:Y66)+Y61</f>
        <v>#REF!</v>
      </c>
      <c r="Z67" s="15" t="e">
        <f>SUM(Z64:Z66)+Z61</f>
        <v>#REF!</v>
      </c>
      <c r="AA67" s="15" t="e">
        <f>SUM(AA64:AA66)+AA61</f>
        <v>#REF!</v>
      </c>
      <c r="AB67" s="15">
        <f>SUM(AB64:AB66)+AB61</f>
        <v>0</v>
      </c>
      <c r="AC67" s="15">
        <f>SUM(AC64:AC66)+AC61</f>
        <v>0</v>
      </c>
      <c r="AD67" s="15">
        <f>SUM(AD64:AD66)+AD61</f>
        <v>11547</v>
      </c>
      <c r="AE67" s="15">
        <f>SUM(AE64:AE66)+AE61</f>
        <v>11547</v>
      </c>
      <c r="AF67" s="15">
        <f>SUM(AF64:AF66)+AF61</f>
        <v>0</v>
      </c>
      <c r="AG67" s="15">
        <f>SUM(AG64:AG66)+AG61</f>
        <v>0</v>
      </c>
      <c r="AH67" s="15">
        <f>SUM(AH64:AH66)+AH61</f>
        <v>18162</v>
      </c>
      <c r="AI67" s="45"/>
      <c r="AJ67" s="82">
        <f t="shared" si="40"/>
        <v>0.57287607170693677</v>
      </c>
    </row>
    <row r="68" spans="2:36" ht="5.0999999999999996" customHeight="1">
      <c r="B68" s="27"/>
      <c r="C68" s="54"/>
      <c r="D68" s="44"/>
      <c r="E68" s="44"/>
      <c r="G68" s="44"/>
      <c r="H68" s="44"/>
      <c r="I68" s="44"/>
      <c r="J68" s="44"/>
      <c r="K68" s="44"/>
      <c r="L68" s="44"/>
      <c r="M68" s="44"/>
      <c r="O68" s="45"/>
      <c r="P68" s="45"/>
      <c r="Q68" s="45"/>
      <c r="R68" s="45"/>
      <c r="S68" s="45"/>
      <c r="T68" s="45"/>
      <c r="U68" s="45"/>
      <c r="V68" s="45"/>
      <c r="W68" s="45"/>
      <c r="X68" s="45"/>
      <c r="Y68" s="45"/>
      <c r="Z68" s="45"/>
      <c r="AA68" s="45"/>
      <c r="AB68" s="45"/>
      <c r="AC68" s="45"/>
      <c r="AD68" s="45"/>
      <c r="AE68" s="45"/>
      <c r="AF68" s="45"/>
      <c r="AG68" s="45"/>
      <c r="AH68" s="45"/>
      <c r="AI68" s="45"/>
      <c r="AJ68" s="42"/>
    </row>
    <row r="69" spans="2:36" ht="12.75" customHeight="1">
      <c r="B69" s="10" t="s">
        <v>694</v>
      </c>
      <c r="C69" s="88"/>
      <c r="D69" s="88">
        <v>0</v>
      </c>
      <c r="E69" s="88">
        <v>0</v>
      </c>
      <c r="F69" s="34"/>
      <c r="G69" s="88"/>
      <c r="H69" s="88"/>
      <c r="I69" s="88"/>
      <c r="J69" s="34">
        <f>E69</f>
        <v>0</v>
      </c>
      <c r="K69" s="88"/>
      <c r="L69" s="88"/>
      <c r="M69" s="88"/>
      <c r="O69" s="34" t="e">
        <f>#REF!</f>
        <v>#REF!</v>
      </c>
      <c r="P69" s="34" t="e">
        <f>#REF!</f>
        <v>#REF!</v>
      </c>
      <c r="Q69" s="34" t="e">
        <f>#REF!</f>
        <v>#REF!</v>
      </c>
      <c r="R69" s="34" t="e">
        <f>#REF!</f>
        <v>#REF!</v>
      </c>
      <c r="S69" s="34" t="e">
        <f>#REF!</f>
        <v>#REF!</v>
      </c>
      <c r="T69" s="34" t="e">
        <f>#REF!</f>
        <v>#REF!</v>
      </c>
      <c r="U69" s="34" t="e">
        <f>#REF!</f>
        <v>#REF!</v>
      </c>
      <c r="V69" s="34" t="e">
        <f>#REF!</f>
        <v>#REF!</v>
      </c>
      <c r="W69" s="34" t="e">
        <f>#REF!</f>
        <v>#REF!</v>
      </c>
      <c r="X69" s="34" t="e">
        <f>#REF!</f>
        <v>#REF!</v>
      </c>
      <c r="Y69" s="34" t="e">
        <f>#REF!</f>
        <v>#REF!</v>
      </c>
      <c r="Z69" s="34" t="e">
        <f>#REF!</f>
        <v>#REF!</v>
      </c>
      <c r="AA69" s="34" t="e">
        <f>#REF!</f>
        <v>#REF!</v>
      </c>
      <c r="AB69" s="34">
        <f t="shared" ref="AB69:AH71" si="41">G69</f>
        <v>0</v>
      </c>
      <c r="AC69" s="34">
        <f t="shared" si="41"/>
        <v>0</v>
      </c>
      <c r="AD69" s="34">
        <f t="shared" si="41"/>
        <v>0</v>
      </c>
      <c r="AE69" s="34">
        <f t="shared" si="41"/>
        <v>0</v>
      </c>
      <c r="AF69" s="34">
        <f t="shared" si="41"/>
        <v>0</v>
      </c>
      <c r="AG69" s="34">
        <f t="shared" si="41"/>
        <v>0</v>
      </c>
      <c r="AH69" s="34">
        <f t="shared" si="41"/>
        <v>0</v>
      </c>
      <c r="AI69" s="12"/>
      <c r="AJ69" s="81" t="e">
        <f t="shared" si="40"/>
        <v>#DIV/0!</v>
      </c>
    </row>
    <row r="70" spans="2:36" ht="12.75" customHeight="1">
      <c r="B70" s="10" t="s">
        <v>695</v>
      </c>
      <c r="C70" s="88"/>
      <c r="D70" s="88">
        <v>4625</v>
      </c>
      <c r="E70" s="88">
        <v>4646</v>
      </c>
      <c r="F70" s="34"/>
      <c r="G70" s="88"/>
      <c r="H70" s="88"/>
      <c r="I70" s="88"/>
      <c r="J70" s="34">
        <f>E70</f>
        <v>4646</v>
      </c>
      <c r="K70" s="88"/>
      <c r="L70" s="88"/>
      <c r="M70" s="88"/>
      <c r="O70" s="34" t="e">
        <f>#REF!</f>
        <v>#REF!</v>
      </c>
      <c r="P70" s="34" t="e">
        <f>#REF!</f>
        <v>#REF!</v>
      </c>
      <c r="Q70" s="34" t="e">
        <f>#REF!</f>
        <v>#REF!</v>
      </c>
      <c r="R70" s="34" t="e">
        <f>#REF!</f>
        <v>#REF!</v>
      </c>
      <c r="S70" s="34" t="e">
        <f>#REF!</f>
        <v>#REF!</v>
      </c>
      <c r="T70" s="34" t="e">
        <f>#REF!</f>
        <v>#REF!</v>
      </c>
      <c r="U70" s="34" t="e">
        <f>#REF!</f>
        <v>#REF!</v>
      </c>
      <c r="V70" s="34" t="e">
        <f>#REF!</f>
        <v>#REF!</v>
      </c>
      <c r="W70" s="34" t="e">
        <f>#REF!</f>
        <v>#REF!</v>
      </c>
      <c r="X70" s="34" t="e">
        <f>#REF!</f>
        <v>#REF!</v>
      </c>
      <c r="Y70" s="34" t="e">
        <f>#REF!</f>
        <v>#REF!</v>
      </c>
      <c r="Z70" s="34" t="e">
        <f>#REF!</f>
        <v>#REF!</v>
      </c>
      <c r="AA70" s="34" t="e">
        <f>#REF!</f>
        <v>#REF!</v>
      </c>
      <c r="AB70" s="34">
        <f t="shared" si="41"/>
        <v>0</v>
      </c>
      <c r="AC70" s="34">
        <f t="shared" si="41"/>
        <v>0</v>
      </c>
      <c r="AD70" s="34">
        <f t="shared" si="41"/>
        <v>0</v>
      </c>
      <c r="AE70" s="34">
        <f t="shared" si="41"/>
        <v>4646</v>
      </c>
      <c r="AF70" s="34">
        <f t="shared" si="41"/>
        <v>0</v>
      </c>
      <c r="AG70" s="34">
        <f t="shared" si="41"/>
        <v>0</v>
      </c>
      <c r="AH70" s="34">
        <f t="shared" si="41"/>
        <v>0</v>
      </c>
      <c r="AI70" s="12"/>
      <c r="AJ70" s="81" t="e">
        <f t="shared" si="40"/>
        <v>#DIV/0!</v>
      </c>
    </row>
    <row r="71" spans="2:36" ht="12.75" customHeight="1">
      <c r="B71" s="10" t="s">
        <v>696</v>
      </c>
      <c r="C71" s="88"/>
      <c r="D71" s="88">
        <v>37</v>
      </c>
      <c r="E71" s="88">
        <v>0</v>
      </c>
      <c r="F71" s="34"/>
      <c r="G71" s="88"/>
      <c r="H71" s="88"/>
      <c r="I71" s="88"/>
      <c r="J71" s="34">
        <f>E71</f>
        <v>0</v>
      </c>
      <c r="K71" s="88"/>
      <c r="L71" s="88"/>
      <c r="M71" s="88"/>
      <c r="O71" s="34" t="e">
        <f>#REF!</f>
        <v>#REF!</v>
      </c>
      <c r="P71" s="34" t="e">
        <f>#REF!</f>
        <v>#REF!</v>
      </c>
      <c r="Q71" s="34" t="e">
        <f>#REF!</f>
        <v>#REF!</v>
      </c>
      <c r="R71" s="34" t="e">
        <f>#REF!</f>
        <v>#REF!</v>
      </c>
      <c r="S71" s="34" t="e">
        <f>#REF!</f>
        <v>#REF!</v>
      </c>
      <c r="T71" s="34" t="e">
        <f>#REF!</f>
        <v>#REF!</v>
      </c>
      <c r="U71" s="34" t="e">
        <f>#REF!</f>
        <v>#REF!</v>
      </c>
      <c r="V71" s="34" t="e">
        <f>#REF!</f>
        <v>#REF!</v>
      </c>
      <c r="W71" s="34" t="e">
        <f>#REF!</f>
        <v>#REF!</v>
      </c>
      <c r="X71" s="34" t="e">
        <f>#REF!</f>
        <v>#REF!</v>
      </c>
      <c r="Y71" s="34" t="e">
        <f>#REF!</f>
        <v>#REF!</v>
      </c>
      <c r="Z71" s="34" t="e">
        <f>#REF!</f>
        <v>#REF!</v>
      </c>
      <c r="AA71" s="34" t="e">
        <f>#REF!</f>
        <v>#REF!</v>
      </c>
      <c r="AB71" s="34">
        <f t="shared" si="41"/>
        <v>0</v>
      </c>
      <c r="AC71" s="34">
        <f t="shared" si="41"/>
        <v>0</v>
      </c>
      <c r="AD71" s="34">
        <f t="shared" si="41"/>
        <v>0</v>
      </c>
      <c r="AE71" s="34">
        <f t="shared" si="41"/>
        <v>0</v>
      </c>
      <c r="AF71" s="34">
        <f t="shared" si="41"/>
        <v>0</v>
      </c>
      <c r="AG71" s="34">
        <f t="shared" si="41"/>
        <v>0</v>
      </c>
      <c r="AH71" s="34">
        <f t="shared" si="41"/>
        <v>0</v>
      </c>
      <c r="AI71" s="12"/>
      <c r="AJ71" s="81" t="e">
        <f t="shared" si="40"/>
        <v>#DIV/0!</v>
      </c>
    </row>
    <row r="72" spans="2:36" ht="12.75" customHeight="1">
      <c r="B72" s="10" t="s">
        <v>697</v>
      </c>
      <c r="C72" s="88"/>
      <c r="D72" s="88">
        <v>-311</v>
      </c>
      <c r="E72" s="88">
        <v>-479</v>
      </c>
      <c r="F72" s="34"/>
      <c r="G72" s="88"/>
      <c r="H72" s="88"/>
      <c r="I72" s="88"/>
      <c r="J72" s="34">
        <f t="shared" ref="J72:J73" si="42">E72</f>
        <v>-479</v>
      </c>
      <c r="K72" s="88"/>
      <c r="L72" s="88"/>
      <c r="M72" s="88"/>
      <c r="O72" s="34"/>
      <c r="P72" s="34"/>
      <c r="Q72" s="34"/>
      <c r="R72" s="34"/>
      <c r="S72" s="34"/>
      <c r="T72" s="34"/>
      <c r="U72" s="34"/>
      <c r="V72" s="34"/>
      <c r="W72" s="34"/>
      <c r="X72" s="34"/>
      <c r="Y72" s="34"/>
      <c r="Z72" s="34"/>
      <c r="AA72" s="34"/>
      <c r="AB72" s="34"/>
      <c r="AC72" s="34"/>
      <c r="AD72" s="34"/>
      <c r="AE72" s="34"/>
      <c r="AF72" s="34"/>
      <c r="AG72" s="34"/>
      <c r="AH72" s="34"/>
      <c r="AI72" s="12"/>
      <c r="AJ72" s="81"/>
    </row>
    <row r="73" spans="2:36" ht="12.75" customHeight="1">
      <c r="B73" s="10" t="s">
        <v>698</v>
      </c>
      <c r="C73" s="88"/>
      <c r="D73" s="88">
        <v>-2159</v>
      </c>
      <c r="E73" s="88">
        <v>-2081</v>
      </c>
      <c r="F73" s="34"/>
      <c r="G73" s="88"/>
      <c r="H73" s="88"/>
      <c r="I73" s="88"/>
      <c r="J73" s="34">
        <f t="shared" si="42"/>
        <v>-2081</v>
      </c>
      <c r="K73" s="88"/>
      <c r="L73" s="88"/>
      <c r="M73" s="88"/>
      <c r="O73" s="34"/>
      <c r="P73" s="34"/>
      <c r="Q73" s="34"/>
      <c r="R73" s="34"/>
      <c r="S73" s="34"/>
      <c r="T73" s="34"/>
      <c r="U73" s="34"/>
      <c r="V73" s="34"/>
      <c r="W73" s="34"/>
      <c r="X73" s="34"/>
      <c r="Y73" s="34"/>
      <c r="Z73" s="34"/>
      <c r="AA73" s="34"/>
      <c r="AB73" s="34"/>
      <c r="AC73" s="34"/>
      <c r="AD73" s="34"/>
      <c r="AE73" s="34"/>
      <c r="AF73" s="34"/>
      <c r="AG73" s="34"/>
      <c r="AH73" s="34"/>
      <c r="AI73" s="12"/>
      <c r="AJ73" s="81"/>
    </row>
    <row r="74" spans="2:36" ht="12.75" customHeight="1">
      <c r="B74" s="14" t="s">
        <v>699</v>
      </c>
      <c r="C74" s="15">
        <f>SUM(C69:C73)</f>
        <v>0</v>
      </c>
      <c r="D74" s="15">
        <f>SUM(D69:D73)</f>
        <v>2192</v>
      </c>
      <c r="E74" s="15">
        <f>SUM(E69:E73)</f>
        <v>2086</v>
      </c>
      <c r="F74" s="57"/>
      <c r="G74" s="15">
        <f>SUM(G69:G73)</f>
        <v>0</v>
      </c>
      <c r="H74" s="15">
        <f>SUM(H69:H73)</f>
        <v>0</v>
      </c>
      <c r="I74" s="15">
        <f>SUM(I69:I73)</f>
        <v>0</v>
      </c>
      <c r="J74" s="15">
        <f>SUM(J69:J73)</f>
        <v>2086</v>
      </c>
      <c r="K74" s="15">
        <f>SUM(K69:K73)</f>
        <v>0</v>
      </c>
      <c r="L74" s="15">
        <f>SUM(L69:L73)</f>
        <v>0</v>
      </c>
      <c r="M74" s="15">
        <f>SUM(M69:M73)</f>
        <v>0</v>
      </c>
      <c r="O74" s="15" t="e">
        <f>SUM(O69:O73)</f>
        <v>#REF!</v>
      </c>
      <c r="P74" s="15" t="e">
        <f>SUM(P69:P73)</f>
        <v>#REF!</v>
      </c>
      <c r="Q74" s="15" t="e">
        <f>SUM(Q69:Q73)</f>
        <v>#REF!</v>
      </c>
      <c r="R74" s="15" t="e">
        <f>SUM(R69:R73)</f>
        <v>#REF!</v>
      </c>
      <c r="S74" s="15" t="e">
        <f>SUM(S69:S73)</f>
        <v>#REF!</v>
      </c>
      <c r="T74" s="15" t="e">
        <f>SUM(T69:T73)</f>
        <v>#REF!</v>
      </c>
      <c r="U74" s="15" t="e">
        <f>SUM(U69:U73)</f>
        <v>#REF!</v>
      </c>
      <c r="V74" s="15" t="e">
        <f>SUM(V69:V73)</f>
        <v>#REF!</v>
      </c>
      <c r="W74" s="15" t="e">
        <f>SUM(W69:W73)</f>
        <v>#REF!</v>
      </c>
      <c r="X74" s="15" t="e">
        <f>SUM(X69:X73)</f>
        <v>#REF!</v>
      </c>
      <c r="Y74" s="15" t="e">
        <f>SUM(Y69:Y73)</f>
        <v>#REF!</v>
      </c>
      <c r="Z74" s="15" t="e">
        <f>SUM(Z69:Z73)</f>
        <v>#REF!</v>
      </c>
      <c r="AA74" s="15" t="e">
        <f>SUM(AA69:AA73)</f>
        <v>#REF!</v>
      </c>
      <c r="AB74" s="15">
        <f>SUM(AB69:AB73)</f>
        <v>0</v>
      </c>
      <c r="AC74" s="15">
        <f>SUM(AC69:AC73)</f>
        <v>0</v>
      </c>
      <c r="AD74" s="15">
        <f>SUM(AD69:AD73)</f>
        <v>0</v>
      </c>
      <c r="AE74" s="15">
        <f>SUM(AE69:AE73)</f>
        <v>4646</v>
      </c>
      <c r="AF74" s="15">
        <f>SUM(AF69:AF73)</f>
        <v>0</v>
      </c>
      <c r="AG74" s="15">
        <f>SUM(AG69:AG73)</f>
        <v>0</v>
      </c>
      <c r="AH74" s="15">
        <f>SUM(AH69:AH73)</f>
        <v>0</v>
      </c>
      <c r="AI74" s="45"/>
      <c r="AJ74" s="81" t="e">
        <f t="shared" si="40"/>
        <v>#DIV/0!</v>
      </c>
    </row>
    <row r="75" spans="2:36" s="593" customFormat="1" ht="5.0999999999999996" customHeight="1">
      <c r="B75" s="594"/>
      <c r="C75" s="595"/>
      <c r="D75" s="595"/>
      <c r="E75" s="595"/>
      <c r="F75" s="596"/>
      <c r="G75" s="595"/>
      <c r="H75" s="595"/>
      <c r="I75" s="595"/>
      <c r="J75" s="595"/>
      <c r="K75" s="595"/>
      <c r="L75" s="595"/>
      <c r="M75" s="595"/>
      <c r="O75" s="595"/>
      <c r="P75" s="595"/>
      <c r="Q75" s="595"/>
      <c r="R75" s="595"/>
      <c r="S75" s="595"/>
      <c r="T75" s="595"/>
      <c r="U75" s="595"/>
      <c r="V75" s="595"/>
      <c r="W75" s="595"/>
      <c r="X75" s="595"/>
      <c r="Y75" s="595"/>
      <c r="Z75" s="595"/>
      <c r="AA75" s="595"/>
      <c r="AB75" s="595"/>
      <c r="AC75" s="595"/>
      <c r="AD75" s="595"/>
      <c r="AE75" s="595"/>
      <c r="AF75" s="595"/>
      <c r="AG75" s="595"/>
      <c r="AH75" s="595"/>
      <c r="AI75" s="597"/>
      <c r="AJ75" s="369"/>
    </row>
    <row r="76" spans="2:36" s="593" customFormat="1" ht="12.75" customHeight="1">
      <c r="B76" s="10" t="s">
        <v>701</v>
      </c>
      <c r="C76" s="88"/>
      <c r="D76" s="88">
        <v>5</v>
      </c>
      <c r="E76" s="88">
        <v>171</v>
      </c>
      <c r="F76" s="596"/>
      <c r="G76" s="88"/>
      <c r="H76" s="88"/>
      <c r="I76" s="88">
        <v>171</v>
      </c>
      <c r="J76" s="34">
        <f>E76</f>
        <v>171</v>
      </c>
      <c r="K76" s="88"/>
      <c r="L76" s="88"/>
      <c r="M76" s="88">
        <v>171</v>
      </c>
      <c r="O76" s="595"/>
      <c r="P76" s="595"/>
      <c r="Q76" s="595"/>
      <c r="R76" s="595"/>
      <c r="S76" s="595"/>
      <c r="T76" s="595"/>
      <c r="U76" s="595"/>
      <c r="V76" s="595"/>
      <c r="W76" s="595"/>
      <c r="X76" s="595"/>
      <c r="Y76" s="595"/>
      <c r="Z76" s="595"/>
      <c r="AA76" s="595"/>
      <c r="AB76" s="595"/>
      <c r="AC76" s="595"/>
      <c r="AD76" s="595"/>
      <c r="AE76" s="595"/>
      <c r="AF76" s="595"/>
      <c r="AG76" s="595"/>
      <c r="AH76" s="595"/>
      <c r="AI76" s="597"/>
      <c r="AJ76" s="369"/>
    </row>
    <row r="77" spans="2:36" ht="12.75" customHeight="1">
      <c r="B77" s="14" t="s">
        <v>700</v>
      </c>
      <c r="C77" s="15">
        <f>+C76+C74</f>
        <v>0</v>
      </c>
      <c r="D77" s="15">
        <f>+D76+D74</f>
        <v>2197</v>
      </c>
      <c r="E77" s="15">
        <f>+E76+E74</f>
        <v>2257</v>
      </c>
      <c r="F77" s="57"/>
      <c r="G77" s="15">
        <f t="shared" ref="G77:M77" si="43">+G76+G74</f>
        <v>0</v>
      </c>
      <c r="H77" s="15">
        <f t="shared" si="43"/>
        <v>0</v>
      </c>
      <c r="I77" s="15">
        <f t="shared" si="43"/>
        <v>171</v>
      </c>
      <c r="J77" s="15">
        <f t="shared" si="43"/>
        <v>2257</v>
      </c>
      <c r="K77" s="15">
        <f t="shared" si="43"/>
        <v>0</v>
      </c>
      <c r="L77" s="15">
        <f t="shared" si="43"/>
        <v>0</v>
      </c>
      <c r="M77" s="15">
        <f t="shared" si="43"/>
        <v>171</v>
      </c>
      <c r="O77" s="592"/>
      <c r="P77" s="592"/>
      <c r="Q77" s="592"/>
      <c r="R77" s="592"/>
      <c r="S77" s="592"/>
      <c r="T77" s="592"/>
      <c r="U77" s="592"/>
      <c r="V77" s="592"/>
      <c r="W77" s="592"/>
      <c r="X77" s="592"/>
      <c r="Y77" s="592"/>
      <c r="Z77" s="592"/>
      <c r="AA77" s="592"/>
      <c r="AB77" s="592"/>
      <c r="AC77" s="592"/>
      <c r="AD77" s="15">
        <f t="shared" ref="AD77" si="44">+AD76+AD74</f>
        <v>0</v>
      </c>
      <c r="AE77" s="15">
        <f t="shared" ref="AE77" si="45">+AE76+AE74</f>
        <v>4646</v>
      </c>
      <c r="AF77" s="15">
        <f t="shared" ref="AF77" si="46">+AF76+AF74</f>
        <v>0</v>
      </c>
      <c r="AG77" s="15">
        <f t="shared" ref="AG77" si="47">+AG76+AG74</f>
        <v>0</v>
      </c>
      <c r="AH77" s="15">
        <f t="shared" ref="AH77" si="48">+AH76+AH74</f>
        <v>0</v>
      </c>
      <c r="AI77" s="45"/>
      <c r="AJ77" s="81"/>
    </row>
    <row r="78" spans="2:36" ht="12.75" customHeight="1">
      <c r="B78" s="27" t="s">
        <v>66</v>
      </c>
      <c r="C78" s="53">
        <f t="shared" ref="C78:D78" si="49">SUM(C77+C67)</f>
        <v>0</v>
      </c>
      <c r="D78" s="53">
        <f t="shared" si="49"/>
        <v>13748</v>
      </c>
      <c r="E78" s="53">
        <f>SUM(E77+E67)</f>
        <v>13804</v>
      </c>
      <c r="F78" s="77"/>
      <c r="G78" s="53">
        <f t="shared" ref="G78:M78" si="50">SUM(G77+G67)</f>
        <v>0</v>
      </c>
      <c r="H78" s="53">
        <f t="shared" si="50"/>
        <v>0</v>
      </c>
      <c r="I78" s="53">
        <f t="shared" si="50"/>
        <v>11718</v>
      </c>
      <c r="J78" s="53">
        <f t="shared" si="50"/>
        <v>13804</v>
      </c>
      <c r="K78" s="53">
        <f t="shared" si="50"/>
        <v>0</v>
      </c>
      <c r="L78" s="53">
        <f t="shared" si="50"/>
        <v>0</v>
      </c>
      <c r="M78" s="53">
        <f t="shared" si="50"/>
        <v>18333</v>
      </c>
      <c r="N78" s="34"/>
      <c r="O78" s="34" t="e">
        <f>SUM(O74+O67)</f>
        <v>#REF!</v>
      </c>
      <c r="P78" s="34" t="e">
        <f>SUM(P74+P67)</f>
        <v>#REF!</v>
      </c>
      <c r="Q78" s="34" t="e">
        <f>SUM(Q74+Q67)</f>
        <v>#REF!</v>
      </c>
      <c r="R78" s="34" t="e">
        <f>SUM(R74+R67)</f>
        <v>#REF!</v>
      </c>
      <c r="S78" s="34" t="e">
        <f>SUM(S74+S67)</f>
        <v>#REF!</v>
      </c>
      <c r="T78" s="34" t="e">
        <f>SUM(T74+T67)</f>
        <v>#REF!</v>
      </c>
      <c r="U78" s="34" t="e">
        <f>SUM(U74+U67)</f>
        <v>#REF!</v>
      </c>
      <c r="V78" s="34" t="e">
        <f>SUM(V74+V67)</f>
        <v>#REF!</v>
      </c>
      <c r="W78" s="34" t="e">
        <f>SUM(W74+W67)</f>
        <v>#REF!</v>
      </c>
      <c r="X78" s="34" t="e">
        <f>SUM(X74+X67)</f>
        <v>#REF!</v>
      </c>
      <c r="Y78" s="34" t="e">
        <f>SUM(Y74+Y67)</f>
        <v>#REF!</v>
      </c>
      <c r="Z78" s="34" t="e">
        <f>SUM(Z74+Z67)</f>
        <v>#REF!</v>
      </c>
      <c r="AA78" s="34" t="e">
        <f>SUM(AA74+AA67)</f>
        <v>#REF!</v>
      </c>
      <c r="AB78" s="34">
        <f>SUM(AB74+AB67)</f>
        <v>0</v>
      </c>
      <c r="AC78" s="34">
        <f>SUM(AC74+AC67)</f>
        <v>0</v>
      </c>
      <c r="AD78" s="34">
        <f>SUM(AD74+AD67)</f>
        <v>11547</v>
      </c>
      <c r="AE78" s="34">
        <f>SUM(AE74+AE67)</f>
        <v>16193</v>
      </c>
      <c r="AF78" s="34">
        <f>SUM(AF74+AF67)</f>
        <v>0</v>
      </c>
      <c r="AG78" s="34">
        <f>SUM(AG74+AG67)</f>
        <v>0</v>
      </c>
      <c r="AH78" s="34">
        <f>SUM(AH74+AH67)</f>
        <v>18162</v>
      </c>
      <c r="AI78" s="12"/>
      <c r="AJ78" s="82">
        <f t="shared" si="40"/>
        <v>0.57287607170693677</v>
      </c>
    </row>
    <row r="79" spans="2:36" ht="5.0999999999999996" customHeight="1">
      <c r="B79" s="27"/>
      <c r="C79" s="34"/>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12"/>
    </row>
    <row r="80" spans="2:36" ht="12.75" customHeight="1">
      <c r="B80" s="508" t="s">
        <v>77</v>
      </c>
      <c r="C80" s="75">
        <f>C78-C55</f>
        <v>0</v>
      </c>
      <c r="D80" s="75">
        <f>D78-D55</f>
        <v>0</v>
      </c>
      <c r="E80" s="75">
        <f>E78-E55</f>
        <v>0</v>
      </c>
      <c r="F80" s="76"/>
      <c r="G80" s="75">
        <f>G78-G55</f>
        <v>0</v>
      </c>
      <c r="H80" s="75">
        <f>H78-H55</f>
        <v>0</v>
      </c>
      <c r="I80" s="75">
        <f>I78-I55</f>
        <v>-2086</v>
      </c>
      <c r="J80" s="75">
        <f>J78-J55</f>
        <v>0</v>
      </c>
      <c r="K80" s="75">
        <f>K78-K55</f>
        <v>0</v>
      </c>
      <c r="L80" s="75">
        <f>L78-L55</f>
        <v>0</v>
      </c>
      <c r="M80" s="75">
        <f>M78-M55</f>
        <v>-2449</v>
      </c>
      <c r="N80" s="30"/>
      <c r="O80" s="75" t="e">
        <f>O78-O55</f>
        <v>#REF!</v>
      </c>
      <c r="P80" s="75" t="e">
        <f>P78-P55</f>
        <v>#REF!</v>
      </c>
      <c r="Q80" s="75" t="e">
        <f>Q78-Q55</f>
        <v>#REF!</v>
      </c>
      <c r="R80" s="75" t="e">
        <f>R78-R55</f>
        <v>#REF!</v>
      </c>
      <c r="S80" s="75" t="e">
        <f>S78-S55</f>
        <v>#REF!</v>
      </c>
      <c r="T80" s="75" t="e">
        <f>T78-T55</f>
        <v>#REF!</v>
      </c>
      <c r="U80" s="75" t="e">
        <f>U78-U55</f>
        <v>#REF!</v>
      </c>
      <c r="V80" s="75" t="e">
        <f>V78-V55</f>
        <v>#REF!</v>
      </c>
      <c r="W80" s="75" t="e">
        <f>W78-W55</f>
        <v>#REF!</v>
      </c>
      <c r="X80" s="75" t="e">
        <f>X78-X55</f>
        <v>#REF!</v>
      </c>
      <c r="Y80" s="75" t="e">
        <f>Y78-Y55</f>
        <v>#REF!</v>
      </c>
      <c r="Z80" s="75" t="e">
        <f>Z78-Z55</f>
        <v>#REF!</v>
      </c>
      <c r="AA80" s="75" t="e">
        <f>AA78-AA55</f>
        <v>#REF!</v>
      </c>
      <c r="AB80" s="75">
        <f>AB78-AB55</f>
        <v>0</v>
      </c>
      <c r="AC80" s="75">
        <f>AC78-AC55</f>
        <v>0</v>
      </c>
      <c r="AD80" s="75">
        <f>AD78-AD55</f>
        <v>-2257</v>
      </c>
      <c r="AE80" s="75">
        <f>AE78-AE55</f>
        <v>2389</v>
      </c>
      <c r="AF80" s="75">
        <f>AF78-AF55</f>
        <v>0</v>
      </c>
      <c r="AG80" s="75">
        <f>AG78-AG55</f>
        <v>0</v>
      </c>
      <c r="AH80" s="75">
        <f>AH78-AH55</f>
        <v>-2620</v>
      </c>
    </row>
    <row r="81" spans="1:36" ht="5.0999999999999996" customHeight="1" thickBot="1">
      <c r="B81" s="459"/>
      <c r="C81" s="460"/>
      <c r="D81" s="460"/>
      <c r="E81" s="460"/>
      <c r="F81" s="461"/>
      <c r="G81" s="460"/>
      <c r="H81" s="460"/>
      <c r="I81" s="460"/>
      <c r="J81" s="460"/>
      <c r="K81" s="460"/>
      <c r="L81" s="460"/>
      <c r="M81" s="460"/>
      <c r="N81" s="462"/>
      <c r="O81" s="460"/>
      <c r="P81" s="460"/>
      <c r="Q81" s="460"/>
      <c r="R81" s="460"/>
      <c r="S81" s="460"/>
      <c r="T81" s="460"/>
      <c r="U81" s="460"/>
      <c r="V81" s="460"/>
      <c r="W81" s="460"/>
      <c r="X81" s="460"/>
      <c r="Y81" s="460"/>
      <c r="Z81" s="460"/>
      <c r="AA81" s="460"/>
      <c r="AB81" s="460"/>
      <c r="AC81" s="460"/>
      <c r="AD81" s="460"/>
      <c r="AE81" s="460"/>
      <c r="AF81" s="460"/>
      <c r="AG81" s="460"/>
      <c r="AH81" s="460"/>
      <c r="AI81" s="79"/>
      <c r="AJ81" s="79"/>
    </row>
    <row r="82" spans="1:36">
      <c r="B82" s="74"/>
      <c r="C82" s="26"/>
      <c r="D82" s="26"/>
      <c r="E82" s="26"/>
      <c r="F82" s="58"/>
    </row>
    <row r="83" spans="1:36" ht="12.75" customHeight="1">
      <c r="A83" s="5" t="s">
        <v>19</v>
      </c>
      <c r="B83" s="363" t="s">
        <v>15</v>
      </c>
      <c r="C83" s="371"/>
      <c r="D83" s="371"/>
      <c r="E83" s="371"/>
      <c r="F83" s="372"/>
      <c r="G83" s="371"/>
      <c r="H83" s="371"/>
      <c r="I83" s="371"/>
      <c r="J83" s="371"/>
      <c r="K83" s="371"/>
      <c r="L83" s="371"/>
      <c r="M83" s="371"/>
      <c r="N83" s="363"/>
      <c r="O83" s="371"/>
      <c r="P83" s="371"/>
      <c r="Q83" s="371"/>
      <c r="R83" s="371"/>
      <c r="S83" s="371"/>
      <c r="T83" s="371"/>
      <c r="U83" s="371"/>
      <c r="V83" s="371"/>
      <c r="W83" s="371"/>
      <c r="X83" s="371"/>
      <c r="Y83" s="371"/>
      <c r="Z83" s="371"/>
      <c r="AA83" s="371"/>
      <c r="AB83" s="371"/>
      <c r="AC83" s="371" t="s">
        <v>6</v>
      </c>
      <c r="AD83" s="371"/>
      <c r="AE83" s="371"/>
      <c r="AF83" s="371"/>
      <c r="AG83" s="371"/>
      <c r="AH83" s="371"/>
      <c r="AI83" s="372"/>
      <c r="AJ83" s="576" t="s">
        <v>32</v>
      </c>
    </row>
    <row r="84" spans="1:36" ht="12.75" customHeight="1">
      <c r="B84" s="364" t="str">
        <f>B7</f>
        <v>Fiscal Period</v>
      </c>
      <c r="C84" s="373">
        <f>C7</f>
        <v>2022</v>
      </c>
      <c r="D84" s="373">
        <f>D7</f>
        <v>2023</v>
      </c>
      <c r="E84" s="373">
        <f>E7</f>
        <v>2024</v>
      </c>
      <c r="F84" s="372"/>
      <c r="G84" s="373" t="str">
        <f>G7</f>
        <v>1Q24</v>
      </c>
      <c r="H84" s="373" t="str">
        <f>H7</f>
        <v>2Q24</v>
      </c>
      <c r="I84" s="373" t="str">
        <f>I7</f>
        <v>3Q24</v>
      </c>
      <c r="J84" s="373" t="str">
        <f>J7</f>
        <v>4Q24</v>
      </c>
      <c r="K84" s="373" t="str">
        <f>K7</f>
        <v>1Q25</v>
      </c>
      <c r="L84" s="373" t="str">
        <f>L7</f>
        <v>2Q25</v>
      </c>
      <c r="M84" s="373" t="str">
        <f>M7</f>
        <v>3Q25</v>
      </c>
      <c r="N84" s="373"/>
      <c r="O84" s="373" t="e">
        <f>O7</f>
        <v>#REF!</v>
      </c>
      <c r="P84" s="373" t="e">
        <f>P7</f>
        <v>#REF!</v>
      </c>
      <c r="Q84" s="373" t="e">
        <f>Q7</f>
        <v>#REF!</v>
      </c>
      <c r="R84" s="373" t="e">
        <f>R7</f>
        <v>#REF!</v>
      </c>
      <c r="S84" s="373" t="e">
        <f>S7</f>
        <v>#REF!</v>
      </c>
      <c r="T84" s="373" t="e">
        <f>T7</f>
        <v>#REF!</v>
      </c>
      <c r="U84" s="373" t="e">
        <f>U7</f>
        <v>#REF!</v>
      </c>
      <c r="V84" s="373" t="e">
        <f>V7</f>
        <v>#REF!</v>
      </c>
      <c r="W84" s="373" t="e">
        <f>W7</f>
        <v>#REF!</v>
      </c>
      <c r="X84" s="373" t="e">
        <f>X7</f>
        <v>#REF!</v>
      </c>
      <c r="Y84" s="373" t="e">
        <f>Y7</f>
        <v>#REF!</v>
      </c>
      <c r="Z84" s="373" t="e">
        <f>Z7</f>
        <v>#REF!</v>
      </c>
      <c r="AA84" s="373" t="e">
        <f>AA7</f>
        <v>#REF!</v>
      </c>
      <c r="AB84" s="373" t="str">
        <f>AB7</f>
        <v>1Q24</v>
      </c>
      <c r="AC84" s="373" t="str">
        <f>AC7</f>
        <v>2Q24</v>
      </c>
      <c r="AD84" s="373" t="str">
        <f>AD7</f>
        <v>3Q24</v>
      </c>
      <c r="AE84" s="373" t="str">
        <f>AE7</f>
        <v>4Q24</v>
      </c>
      <c r="AF84" s="373" t="str">
        <f>AF7</f>
        <v>1Q25</v>
      </c>
      <c r="AG84" s="373" t="str">
        <f>AG7</f>
        <v>2Q25</v>
      </c>
      <c r="AH84" s="373" t="str">
        <f>AH7</f>
        <v>3Q25</v>
      </c>
      <c r="AI84" s="372"/>
      <c r="AJ84" s="576"/>
    </row>
    <row r="85" spans="1:36" ht="12.75" customHeight="1">
      <c r="B85" s="364" t="str">
        <f>B8</f>
        <v>Fiscal Period End Date</v>
      </c>
      <c r="C85" s="374">
        <f>C8</f>
        <v>44926</v>
      </c>
      <c r="D85" s="374">
        <f>D8</f>
        <v>45291</v>
      </c>
      <c r="E85" s="374">
        <f>E8</f>
        <v>45657</v>
      </c>
      <c r="F85" s="372"/>
      <c r="G85" s="374">
        <f>G8</f>
        <v>45382</v>
      </c>
      <c r="H85" s="374">
        <f>H8</f>
        <v>45473</v>
      </c>
      <c r="I85" s="374">
        <f>I8</f>
        <v>45565</v>
      </c>
      <c r="J85" s="374">
        <f>J8</f>
        <v>45657</v>
      </c>
      <c r="K85" s="374">
        <f>K8</f>
        <v>45747</v>
      </c>
      <c r="L85" s="374">
        <f>L8</f>
        <v>45838</v>
      </c>
      <c r="M85" s="374">
        <f>M8</f>
        <v>45930</v>
      </c>
      <c r="N85" s="374"/>
      <c r="O85" s="374" t="e">
        <f>O8</f>
        <v>#REF!</v>
      </c>
      <c r="P85" s="374" t="e">
        <f>P8</f>
        <v>#REF!</v>
      </c>
      <c r="Q85" s="374" t="e">
        <f>Q8</f>
        <v>#REF!</v>
      </c>
      <c r="R85" s="374" t="e">
        <f>R8</f>
        <v>#REF!</v>
      </c>
      <c r="S85" s="374" t="e">
        <f>S8</f>
        <v>#REF!</v>
      </c>
      <c r="T85" s="374" t="e">
        <f>T8</f>
        <v>#REF!</v>
      </c>
      <c r="U85" s="374" t="e">
        <f>U8</f>
        <v>#REF!</v>
      </c>
      <c r="V85" s="374" t="e">
        <f>V8</f>
        <v>#REF!</v>
      </c>
      <c r="W85" s="374" t="e">
        <f>W8</f>
        <v>#REF!</v>
      </c>
      <c r="X85" s="374" t="e">
        <f>X8</f>
        <v>#REF!</v>
      </c>
      <c r="Y85" s="374" t="e">
        <f>Y8</f>
        <v>#REF!</v>
      </c>
      <c r="Z85" s="374" t="e">
        <f>Z8</f>
        <v>#REF!</v>
      </c>
      <c r="AA85" s="374" t="e">
        <f>AA8</f>
        <v>#REF!</v>
      </c>
      <c r="AB85" s="374">
        <f>AB8</f>
        <v>45382</v>
      </c>
      <c r="AC85" s="374">
        <f>AC8</f>
        <v>45473</v>
      </c>
      <c r="AD85" s="374">
        <f>AD8</f>
        <v>45565</v>
      </c>
      <c r="AE85" s="374">
        <f>AE8</f>
        <v>45657</v>
      </c>
      <c r="AF85" s="374">
        <f>AF8</f>
        <v>45747</v>
      </c>
      <c r="AG85" s="374">
        <f>AG8</f>
        <v>45838</v>
      </c>
      <c r="AH85" s="374">
        <f>AH8</f>
        <v>45930</v>
      </c>
      <c r="AI85" s="372"/>
      <c r="AJ85" s="576"/>
    </row>
    <row r="86" spans="1:36" ht="5.0999999999999996" customHeight="1">
      <c r="B86" s="59"/>
      <c r="C86" s="52"/>
      <c r="D86" s="52"/>
      <c r="E86" s="52"/>
    </row>
    <row r="87" spans="1:36" ht="12.75" customHeight="1">
      <c r="B87" s="60" t="s">
        <v>67</v>
      </c>
      <c r="C87" s="61"/>
      <c r="D87" s="61"/>
      <c r="E87" s="61"/>
    </row>
    <row r="88" spans="1:36" ht="12.75" customHeight="1">
      <c r="B88" s="62" t="s">
        <v>68</v>
      </c>
      <c r="C88" s="34">
        <f t="shared" ref="C88:E88" si="51">C32</f>
        <v>-1035</v>
      </c>
      <c r="D88" s="34">
        <f t="shared" si="51"/>
        <v>-244</v>
      </c>
      <c r="E88" s="34">
        <f t="shared" si="51"/>
        <v>21</v>
      </c>
      <c r="F88" s="34"/>
      <c r="G88" s="34">
        <f t="shared" ref="G88:M88" si="52">G32</f>
        <v>0</v>
      </c>
      <c r="H88" s="34">
        <f t="shared" si="52"/>
        <v>0</v>
      </c>
      <c r="I88" s="34">
        <f t="shared" si="52"/>
        <v>13</v>
      </c>
      <c r="J88" s="34">
        <f t="shared" si="52"/>
        <v>8</v>
      </c>
      <c r="K88" s="34">
        <f t="shared" si="52"/>
        <v>0</v>
      </c>
      <c r="L88" s="34">
        <f t="shared" si="52"/>
        <v>0</v>
      </c>
      <c r="M88" s="34">
        <f t="shared" si="52"/>
        <v>-95</v>
      </c>
      <c r="O88" s="34" t="e">
        <f>SUM(#REF!)</f>
        <v>#REF!</v>
      </c>
      <c r="P88" s="34" t="e">
        <f>SUM(#REF!)</f>
        <v>#REF!</v>
      </c>
      <c r="Q88" s="34" t="e">
        <f>SUM(#REF!)</f>
        <v>#REF!</v>
      </c>
      <c r="R88" s="34" t="e">
        <f>SUM(#REF!)</f>
        <v>#REF!</v>
      </c>
      <c r="S88" s="34" t="e">
        <f>SUM(#REF!)</f>
        <v>#REF!</v>
      </c>
      <c r="T88" s="34" t="e">
        <f>SUM(#REF!)</f>
        <v>#REF!</v>
      </c>
      <c r="U88" s="34" t="e">
        <f>SUM(#REF!)</f>
        <v>#REF!</v>
      </c>
      <c r="V88" s="34" t="e">
        <f>SUM(#REF!)</f>
        <v>#REF!</v>
      </c>
      <c r="W88" s="34" t="e">
        <f>SUM(#REF!)</f>
        <v>#REF!</v>
      </c>
      <c r="X88" s="34" t="e">
        <f>SUM(#REF!)</f>
        <v>#REF!</v>
      </c>
      <c r="Y88" s="34" t="e">
        <f>SUM(#REF!)</f>
        <v>#REF!</v>
      </c>
      <c r="Z88" s="34" t="e">
        <f>SUM(#REF!)</f>
        <v>#REF!</v>
      </c>
      <c r="AA88" s="34" t="e">
        <f>SUM(#REF!)</f>
        <v>#REF!</v>
      </c>
      <c r="AB88" s="34">
        <f>SUM(G88:G88)</f>
        <v>0</v>
      </c>
      <c r="AC88" s="34">
        <f>SUM(G88:H88)</f>
        <v>0</v>
      </c>
      <c r="AD88" s="34">
        <f>SUM(G88:I88)</f>
        <v>13</v>
      </c>
      <c r="AE88" s="34">
        <f t="shared" ref="AE88:AH88" si="53">SUM(G88:J88)</f>
        <v>21</v>
      </c>
      <c r="AF88" s="34">
        <f t="shared" si="53"/>
        <v>21</v>
      </c>
      <c r="AG88" s="34">
        <f t="shared" si="53"/>
        <v>21</v>
      </c>
      <c r="AH88" s="34">
        <f t="shared" si="53"/>
        <v>-87</v>
      </c>
      <c r="AI88" s="12"/>
      <c r="AJ88" s="81">
        <f>SUM(AH88/AD88)-1</f>
        <v>-7.6923076923076925</v>
      </c>
    </row>
    <row r="89" spans="1:36" ht="5.0999999999999996" customHeight="1">
      <c r="C89" s="34"/>
      <c r="D89" s="34"/>
      <c r="E89" s="34"/>
      <c r="F89" s="34"/>
      <c r="G89" s="34"/>
      <c r="H89" s="34"/>
      <c r="I89" s="34"/>
      <c r="J89" s="34"/>
      <c r="K89" s="34"/>
      <c r="L89" s="34"/>
      <c r="M89" s="34"/>
      <c r="O89" s="34"/>
      <c r="P89" s="34"/>
      <c r="Q89" s="34"/>
      <c r="R89" s="34"/>
      <c r="S89" s="34"/>
      <c r="T89" s="34"/>
      <c r="U89" s="34"/>
      <c r="V89" s="34"/>
      <c r="W89" s="34"/>
      <c r="X89" s="34"/>
      <c r="Y89" s="34"/>
      <c r="Z89" s="34"/>
      <c r="AA89" s="34"/>
      <c r="AB89" s="34"/>
      <c r="AC89" s="34"/>
      <c r="AD89" s="34"/>
      <c r="AE89" s="34"/>
      <c r="AF89" s="34"/>
      <c r="AG89" s="34"/>
      <c r="AH89" s="34"/>
      <c r="AI89" s="12"/>
      <c r="AJ89" s="81"/>
    </row>
    <row r="90" spans="1:36" ht="12.75" customHeight="1">
      <c r="B90" s="38" t="s">
        <v>76</v>
      </c>
      <c r="C90" s="34"/>
      <c r="D90" s="34"/>
      <c r="E90" s="34"/>
      <c r="F90" s="34"/>
      <c r="G90" s="88"/>
      <c r="H90" s="88"/>
      <c r="I90" s="88"/>
      <c r="J90" s="34"/>
      <c r="K90" s="88"/>
      <c r="L90" s="88"/>
      <c r="M90" s="88"/>
      <c r="O90" s="34"/>
      <c r="P90" s="34"/>
      <c r="Q90" s="34"/>
      <c r="R90" s="34"/>
      <c r="S90" s="34"/>
      <c r="T90" s="34"/>
      <c r="U90" s="34"/>
      <c r="V90" s="34"/>
      <c r="W90" s="34"/>
      <c r="X90" s="34"/>
      <c r="Y90" s="34"/>
      <c r="Z90" s="34"/>
      <c r="AA90" s="34"/>
      <c r="AB90" s="34"/>
      <c r="AC90" s="34"/>
      <c r="AD90" s="34"/>
      <c r="AE90" s="34"/>
      <c r="AF90" s="34"/>
      <c r="AG90" s="34"/>
      <c r="AH90" s="34"/>
      <c r="AI90" s="64"/>
      <c r="AJ90" s="81"/>
    </row>
    <row r="91" spans="1:36" ht="12.75" customHeight="1">
      <c r="B91" s="65" t="s">
        <v>472</v>
      </c>
      <c r="C91" s="88"/>
      <c r="D91" s="88"/>
      <c r="E91" s="88"/>
      <c r="F91" s="34"/>
      <c r="G91" s="88"/>
      <c r="H91" s="88"/>
      <c r="I91" s="88"/>
      <c r="J91" s="34">
        <f>SUM(E91-SUM(G91:I91))</f>
        <v>0</v>
      </c>
      <c r="K91" s="88"/>
      <c r="L91" s="88"/>
      <c r="M91" s="88"/>
      <c r="O91" s="34" t="e">
        <f>SUM(#REF!)</f>
        <v>#REF!</v>
      </c>
      <c r="P91" s="34" t="e">
        <f>SUM(#REF!)</f>
        <v>#REF!</v>
      </c>
      <c r="Q91" s="34" t="e">
        <f>SUM(#REF!)</f>
        <v>#REF!</v>
      </c>
      <c r="R91" s="34" t="e">
        <f>SUM(#REF!)</f>
        <v>#REF!</v>
      </c>
      <c r="S91" s="34" t="e">
        <f>SUM(#REF!)</f>
        <v>#REF!</v>
      </c>
      <c r="T91" s="34" t="e">
        <f>SUM(#REF!)</f>
        <v>#REF!</v>
      </c>
      <c r="U91" s="34" t="e">
        <f>SUM(#REF!)</f>
        <v>#REF!</v>
      </c>
      <c r="V91" s="34" t="e">
        <f>SUM(#REF!)</f>
        <v>#REF!</v>
      </c>
      <c r="W91" s="34" t="e">
        <f>SUM(#REF!)</f>
        <v>#REF!</v>
      </c>
      <c r="X91" s="34" t="e">
        <f>SUM(#REF!)</f>
        <v>#REF!</v>
      </c>
      <c r="Y91" s="34" t="e">
        <f>SUM(#REF!)</f>
        <v>#REF!</v>
      </c>
      <c r="Z91" s="34" t="e">
        <f>SUM(#REF!)</f>
        <v>#REF!</v>
      </c>
      <c r="AA91" s="34" t="e">
        <f>SUM(#REF!)</f>
        <v>#REF!</v>
      </c>
      <c r="AB91" s="34">
        <f>SUM(G91:G91)</f>
        <v>0</v>
      </c>
      <c r="AC91" s="34">
        <f>SUM(G91:H91)</f>
        <v>0</v>
      </c>
      <c r="AD91" s="34">
        <f>SUM(G91:I91)</f>
        <v>0</v>
      </c>
      <c r="AE91" s="34">
        <f t="shared" ref="AE91:AH95" si="54">SUM(G91:J91)</f>
        <v>0</v>
      </c>
      <c r="AF91" s="34">
        <f t="shared" si="54"/>
        <v>0</v>
      </c>
      <c r="AG91" s="34">
        <f t="shared" si="54"/>
        <v>0</v>
      </c>
      <c r="AH91" s="34">
        <f t="shared" si="54"/>
        <v>0</v>
      </c>
      <c r="AI91" s="12"/>
      <c r="AJ91" s="81" t="e">
        <f t="shared" ref="AJ91:AJ104" si="55">SUM(AH91/AD91)-1</f>
        <v>#DIV/0!</v>
      </c>
    </row>
    <row r="92" spans="1:36" ht="12.75" customHeight="1">
      <c r="B92" s="65" t="s">
        <v>473</v>
      </c>
      <c r="C92" s="88"/>
      <c r="D92" s="88"/>
      <c r="E92" s="88"/>
      <c r="F92" s="34"/>
      <c r="G92" s="88"/>
      <c r="H92" s="88"/>
      <c r="I92" s="88"/>
      <c r="J92" s="34">
        <f>SUM(E92-SUM(G92:I92))</f>
        <v>0</v>
      </c>
      <c r="K92" s="88"/>
      <c r="L92" s="88"/>
      <c r="M92" s="88"/>
      <c r="O92" s="34" t="e">
        <f>SUM(#REF!)</f>
        <v>#REF!</v>
      </c>
      <c r="P92" s="34" t="e">
        <f>SUM(#REF!)</f>
        <v>#REF!</v>
      </c>
      <c r="Q92" s="34" t="e">
        <f>SUM(#REF!)</f>
        <v>#REF!</v>
      </c>
      <c r="R92" s="34" t="e">
        <f>SUM(#REF!)</f>
        <v>#REF!</v>
      </c>
      <c r="S92" s="34" t="e">
        <f>SUM(#REF!)</f>
        <v>#REF!</v>
      </c>
      <c r="T92" s="34" t="e">
        <f>SUM(#REF!)</f>
        <v>#REF!</v>
      </c>
      <c r="U92" s="34" t="e">
        <f>SUM(#REF!)</f>
        <v>#REF!</v>
      </c>
      <c r="V92" s="34" t="e">
        <f>SUM(#REF!)</f>
        <v>#REF!</v>
      </c>
      <c r="W92" s="34" t="e">
        <f>SUM(#REF!)</f>
        <v>#REF!</v>
      </c>
      <c r="X92" s="34" t="e">
        <f>SUM(#REF!)</f>
        <v>#REF!</v>
      </c>
      <c r="Y92" s="34" t="e">
        <f>SUM(#REF!)</f>
        <v>#REF!</v>
      </c>
      <c r="Z92" s="34" t="e">
        <f>SUM(#REF!)</f>
        <v>#REF!</v>
      </c>
      <c r="AA92" s="34" t="e">
        <f>SUM(#REF!)</f>
        <v>#REF!</v>
      </c>
      <c r="AB92" s="34">
        <f>SUM(G92:G92)</f>
        <v>0</v>
      </c>
      <c r="AC92" s="34">
        <f>SUM(G92:H92)</f>
        <v>0</v>
      </c>
      <c r="AD92" s="34">
        <f>SUM(G92:I92)</f>
        <v>0</v>
      </c>
      <c r="AE92" s="34">
        <f t="shared" si="54"/>
        <v>0</v>
      </c>
      <c r="AF92" s="34">
        <f t="shared" si="54"/>
        <v>0</v>
      </c>
      <c r="AG92" s="34">
        <f t="shared" si="54"/>
        <v>0</v>
      </c>
      <c r="AH92" s="34">
        <f t="shared" si="54"/>
        <v>0</v>
      </c>
      <c r="AI92" s="12"/>
      <c r="AJ92" s="81" t="e">
        <f t="shared" si="55"/>
        <v>#DIV/0!</v>
      </c>
    </row>
    <row r="93" spans="1:36" ht="12.75" customHeight="1">
      <c r="B93" s="65" t="s">
        <v>464</v>
      </c>
      <c r="C93" s="88"/>
      <c r="D93" s="88"/>
      <c r="E93" s="88"/>
      <c r="F93" s="34"/>
      <c r="G93" s="88"/>
      <c r="H93" s="88"/>
      <c r="I93" s="88"/>
      <c r="J93" s="34">
        <f>SUM(E93-SUM(G93:I93))</f>
        <v>0</v>
      </c>
      <c r="K93" s="88"/>
      <c r="L93" s="88"/>
      <c r="M93" s="88"/>
      <c r="O93" s="34" t="e">
        <f>SUM(#REF!)</f>
        <v>#REF!</v>
      </c>
      <c r="P93" s="34" t="e">
        <f>SUM(#REF!)</f>
        <v>#REF!</v>
      </c>
      <c r="Q93" s="34" t="e">
        <f>SUM(#REF!)</f>
        <v>#REF!</v>
      </c>
      <c r="R93" s="34" t="e">
        <f>SUM(#REF!)</f>
        <v>#REF!</v>
      </c>
      <c r="S93" s="34" t="e">
        <f>SUM(#REF!)</f>
        <v>#REF!</v>
      </c>
      <c r="T93" s="34" t="e">
        <f>SUM(#REF!)</f>
        <v>#REF!</v>
      </c>
      <c r="U93" s="34" t="e">
        <f>SUM(#REF!)</f>
        <v>#REF!</v>
      </c>
      <c r="V93" s="34" t="e">
        <f>SUM(#REF!)</f>
        <v>#REF!</v>
      </c>
      <c r="W93" s="34" t="e">
        <f>SUM(#REF!)</f>
        <v>#REF!</v>
      </c>
      <c r="X93" s="34" t="e">
        <f>SUM(#REF!)</f>
        <v>#REF!</v>
      </c>
      <c r="Y93" s="34" t="e">
        <f>SUM(#REF!)</f>
        <v>#REF!</v>
      </c>
      <c r="Z93" s="34" t="e">
        <f>SUM(#REF!)</f>
        <v>#REF!</v>
      </c>
      <c r="AA93" s="34" t="e">
        <f>SUM(#REF!)</f>
        <v>#REF!</v>
      </c>
      <c r="AB93" s="34">
        <f>SUM(G93:G93)</f>
        <v>0</v>
      </c>
      <c r="AC93" s="34">
        <f>SUM(G93:H93)</f>
        <v>0</v>
      </c>
      <c r="AD93" s="34">
        <f>SUM(G93:I93)</f>
        <v>0</v>
      </c>
      <c r="AE93" s="34">
        <f t="shared" si="54"/>
        <v>0</v>
      </c>
      <c r="AF93" s="34">
        <f t="shared" si="54"/>
        <v>0</v>
      </c>
      <c r="AG93" s="34">
        <f t="shared" si="54"/>
        <v>0</v>
      </c>
      <c r="AH93" s="34">
        <f t="shared" si="54"/>
        <v>0</v>
      </c>
      <c r="AI93" s="12"/>
      <c r="AJ93" s="81" t="e">
        <f t="shared" si="55"/>
        <v>#DIV/0!</v>
      </c>
    </row>
    <row r="94" spans="1:36" ht="12.75" customHeight="1">
      <c r="B94" s="65" t="s">
        <v>474</v>
      </c>
      <c r="C94" s="88"/>
      <c r="D94" s="88"/>
      <c r="E94" s="88"/>
      <c r="F94" s="34"/>
      <c r="G94" s="88"/>
      <c r="H94" s="88"/>
      <c r="I94" s="88"/>
      <c r="J94" s="34">
        <f>SUM(E94-SUM(G94:I94))</f>
        <v>0</v>
      </c>
      <c r="K94" s="88"/>
      <c r="L94" s="88"/>
      <c r="M94" s="88"/>
      <c r="O94" s="34" t="e">
        <f>SUM(#REF!)</f>
        <v>#REF!</v>
      </c>
      <c r="P94" s="34" t="e">
        <f>SUM(#REF!)</f>
        <v>#REF!</v>
      </c>
      <c r="Q94" s="34" t="e">
        <f>SUM(#REF!)</f>
        <v>#REF!</v>
      </c>
      <c r="R94" s="34" t="e">
        <f>SUM(#REF!)</f>
        <v>#REF!</v>
      </c>
      <c r="S94" s="34" t="e">
        <f>SUM(#REF!)</f>
        <v>#REF!</v>
      </c>
      <c r="T94" s="34" t="e">
        <f>SUM(#REF!)</f>
        <v>#REF!</v>
      </c>
      <c r="U94" s="34" t="e">
        <f>SUM(#REF!)</f>
        <v>#REF!</v>
      </c>
      <c r="V94" s="34" t="e">
        <f>SUM(#REF!)</f>
        <v>#REF!</v>
      </c>
      <c r="W94" s="34" t="e">
        <f>SUM(#REF!)</f>
        <v>#REF!</v>
      </c>
      <c r="X94" s="34" t="e">
        <f>SUM(#REF!)</f>
        <v>#REF!</v>
      </c>
      <c r="Y94" s="34" t="e">
        <f>SUM(#REF!)</f>
        <v>#REF!</v>
      </c>
      <c r="Z94" s="34" t="e">
        <f>SUM(#REF!)</f>
        <v>#REF!</v>
      </c>
      <c r="AA94" s="34" t="e">
        <f>SUM(#REF!)</f>
        <v>#REF!</v>
      </c>
      <c r="AB94" s="34">
        <f>SUM(G94:G94)</f>
        <v>0</v>
      </c>
      <c r="AC94" s="34">
        <f>SUM(G94:H94)</f>
        <v>0</v>
      </c>
      <c r="AD94" s="34">
        <f>SUM(G94:I94)</f>
        <v>0</v>
      </c>
      <c r="AE94" s="34">
        <f t="shared" si="54"/>
        <v>0</v>
      </c>
      <c r="AF94" s="34">
        <f t="shared" si="54"/>
        <v>0</v>
      </c>
      <c r="AG94" s="34">
        <f t="shared" si="54"/>
        <v>0</v>
      </c>
      <c r="AH94" s="34">
        <f t="shared" si="54"/>
        <v>0</v>
      </c>
      <c r="AI94" s="12"/>
      <c r="AJ94" s="81" t="e">
        <f t="shared" si="55"/>
        <v>#DIV/0!</v>
      </c>
    </row>
    <row r="95" spans="1:36" ht="12.75" customHeight="1">
      <c r="B95" s="65" t="s">
        <v>475</v>
      </c>
      <c r="C95" s="88"/>
      <c r="D95" s="88"/>
      <c r="E95" s="88"/>
      <c r="F95" s="34"/>
      <c r="G95" s="88"/>
      <c r="H95" s="88"/>
      <c r="I95" s="88"/>
      <c r="J95" s="34">
        <f>SUM(E95-SUM(G95:I95))</f>
        <v>0</v>
      </c>
      <c r="K95" s="88"/>
      <c r="L95" s="88"/>
      <c r="M95" s="88"/>
      <c r="O95" s="34" t="e">
        <f>SUM(#REF!)</f>
        <v>#REF!</v>
      </c>
      <c r="P95" s="34" t="e">
        <f>SUM(#REF!)</f>
        <v>#REF!</v>
      </c>
      <c r="Q95" s="34" t="e">
        <f>SUM(#REF!)</f>
        <v>#REF!</v>
      </c>
      <c r="R95" s="34" t="e">
        <f>SUM(#REF!)</f>
        <v>#REF!</v>
      </c>
      <c r="S95" s="34" t="e">
        <f>SUM(#REF!)</f>
        <v>#REF!</v>
      </c>
      <c r="T95" s="34" t="e">
        <f>SUM(#REF!)</f>
        <v>#REF!</v>
      </c>
      <c r="U95" s="34" t="e">
        <f>SUM(#REF!)</f>
        <v>#REF!</v>
      </c>
      <c r="V95" s="34" t="e">
        <f>SUM(#REF!)</f>
        <v>#REF!</v>
      </c>
      <c r="W95" s="34" t="e">
        <f>SUM(#REF!)</f>
        <v>#REF!</v>
      </c>
      <c r="X95" s="34" t="e">
        <f>SUM(#REF!)</f>
        <v>#REF!</v>
      </c>
      <c r="Y95" s="34" t="e">
        <f>SUM(#REF!)</f>
        <v>#REF!</v>
      </c>
      <c r="Z95" s="34" t="e">
        <f>SUM(#REF!)</f>
        <v>#REF!</v>
      </c>
      <c r="AA95" s="34" t="e">
        <f>SUM(#REF!)</f>
        <v>#REF!</v>
      </c>
      <c r="AB95" s="34">
        <f>SUM(G95:G95)</f>
        <v>0</v>
      </c>
      <c r="AC95" s="34">
        <f>SUM(G95:H95)</f>
        <v>0</v>
      </c>
      <c r="AD95" s="34">
        <f>SUM(G95:I95)</f>
        <v>0</v>
      </c>
      <c r="AE95" s="34">
        <f t="shared" si="54"/>
        <v>0</v>
      </c>
      <c r="AF95" s="34">
        <f t="shared" si="54"/>
        <v>0</v>
      </c>
      <c r="AG95" s="34">
        <f t="shared" si="54"/>
        <v>0</v>
      </c>
      <c r="AH95" s="34">
        <f t="shared" si="54"/>
        <v>0</v>
      </c>
      <c r="AI95" s="12"/>
      <c r="AJ95" s="81" t="e">
        <f t="shared" si="55"/>
        <v>#DIV/0!</v>
      </c>
    </row>
    <row r="96" spans="1:36" ht="12.75" customHeight="1">
      <c r="B96" s="38" t="s">
        <v>14</v>
      </c>
      <c r="C96" s="88"/>
      <c r="D96" s="88"/>
      <c r="E96" s="88"/>
      <c r="F96" s="34"/>
      <c r="G96" s="88"/>
      <c r="H96" s="88"/>
      <c r="I96" s="88"/>
      <c r="J96" s="34"/>
      <c r="K96" s="88"/>
      <c r="L96" s="88"/>
      <c r="M96" s="88"/>
      <c r="O96" s="34"/>
      <c r="P96" s="34"/>
      <c r="Q96" s="34"/>
      <c r="R96" s="34"/>
      <c r="S96" s="34"/>
      <c r="T96" s="34"/>
      <c r="U96" s="34"/>
      <c r="V96" s="34"/>
      <c r="W96" s="34"/>
      <c r="X96" s="34"/>
      <c r="Y96" s="34"/>
      <c r="Z96" s="34"/>
      <c r="AA96" s="34"/>
      <c r="AB96" s="34"/>
      <c r="AC96" s="34"/>
      <c r="AD96" s="34"/>
      <c r="AE96" s="34"/>
      <c r="AF96" s="34"/>
      <c r="AG96" s="34"/>
      <c r="AH96" s="34"/>
      <c r="AI96" s="64"/>
      <c r="AJ96" s="81"/>
    </row>
    <row r="97" spans="2:36" ht="12.75" customHeight="1">
      <c r="B97" s="65" t="s">
        <v>476</v>
      </c>
      <c r="C97" s="88"/>
      <c r="D97" s="88"/>
      <c r="E97" s="88"/>
      <c r="F97" s="34"/>
      <c r="G97" s="88"/>
      <c r="H97" s="88"/>
      <c r="I97" s="88"/>
      <c r="J97" s="34">
        <f>SUM(E97-SUM(G97:I97))</f>
        <v>0</v>
      </c>
      <c r="K97" s="88"/>
      <c r="L97" s="88"/>
      <c r="M97" s="88"/>
      <c r="O97" s="34" t="e">
        <f>SUM(#REF!)</f>
        <v>#REF!</v>
      </c>
      <c r="P97" s="34" t="e">
        <f>SUM(#REF!)</f>
        <v>#REF!</v>
      </c>
      <c r="Q97" s="34" t="e">
        <f>SUM(#REF!)</f>
        <v>#REF!</v>
      </c>
      <c r="R97" s="34" t="e">
        <f>SUM(#REF!)</f>
        <v>#REF!</v>
      </c>
      <c r="S97" s="34" t="e">
        <f>SUM(#REF!)</f>
        <v>#REF!</v>
      </c>
      <c r="T97" s="34" t="e">
        <f>SUM(#REF!)</f>
        <v>#REF!</v>
      </c>
      <c r="U97" s="34" t="e">
        <f>SUM(#REF!)</f>
        <v>#REF!</v>
      </c>
      <c r="V97" s="34" t="e">
        <f>SUM(#REF!)</f>
        <v>#REF!</v>
      </c>
      <c r="W97" s="34" t="e">
        <f>SUM(#REF!)</f>
        <v>#REF!</v>
      </c>
      <c r="X97" s="34" t="e">
        <f>SUM(#REF!)</f>
        <v>#REF!</v>
      </c>
      <c r="Y97" s="34" t="e">
        <f>SUM(#REF!)</f>
        <v>#REF!</v>
      </c>
      <c r="Z97" s="34" t="e">
        <f>SUM(#REF!)</f>
        <v>#REF!</v>
      </c>
      <c r="AA97" s="34" t="e">
        <f>SUM(#REF!)</f>
        <v>#REF!</v>
      </c>
      <c r="AB97" s="34">
        <f>SUM(G97:G97)</f>
        <v>0</v>
      </c>
      <c r="AC97" s="34">
        <f>SUM(G97:H97)</f>
        <v>0</v>
      </c>
      <c r="AD97" s="34">
        <f>SUM(G97:I97)</f>
        <v>0</v>
      </c>
      <c r="AE97" s="34">
        <f t="shared" ref="AE97:AH103" si="56">SUM(G97:J97)</f>
        <v>0</v>
      </c>
      <c r="AF97" s="34">
        <f t="shared" si="56"/>
        <v>0</v>
      </c>
      <c r="AG97" s="34">
        <f t="shared" si="56"/>
        <v>0</v>
      </c>
      <c r="AH97" s="34">
        <f t="shared" si="56"/>
        <v>0</v>
      </c>
      <c r="AI97" s="64"/>
      <c r="AJ97" s="81" t="e">
        <f t="shared" si="55"/>
        <v>#DIV/0!</v>
      </c>
    </row>
    <row r="98" spans="2:36" ht="12.75" customHeight="1">
      <c r="B98" s="65" t="s">
        <v>477</v>
      </c>
      <c r="C98" s="88"/>
      <c r="D98" s="88"/>
      <c r="E98" s="88"/>
      <c r="F98" s="34"/>
      <c r="G98" s="88"/>
      <c r="H98" s="88"/>
      <c r="I98" s="88"/>
      <c r="J98" s="34">
        <f>SUM(E98-SUM(G98:I98))</f>
        <v>0</v>
      </c>
      <c r="K98" s="88"/>
      <c r="L98" s="88"/>
      <c r="M98" s="88"/>
      <c r="O98" s="34" t="e">
        <f>SUM(#REF!)</f>
        <v>#REF!</v>
      </c>
      <c r="P98" s="34" t="e">
        <f>SUM(#REF!)</f>
        <v>#REF!</v>
      </c>
      <c r="Q98" s="34" t="e">
        <f>SUM(#REF!)</f>
        <v>#REF!</v>
      </c>
      <c r="R98" s="34" t="e">
        <f>SUM(#REF!)</f>
        <v>#REF!</v>
      </c>
      <c r="S98" s="34" t="e">
        <f>SUM(#REF!)</f>
        <v>#REF!</v>
      </c>
      <c r="T98" s="34" t="e">
        <f>SUM(#REF!)</f>
        <v>#REF!</v>
      </c>
      <c r="U98" s="34" t="e">
        <f>SUM(#REF!)</f>
        <v>#REF!</v>
      </c>
      <c r="V98" s="34" t="e">
        <f>SUM(#REF!)</f>
        <v>#REF!</v>
      </c>
      <c r="W98" s="34" t="e">
        <f>SUM(#REF!)</f>
        <v>#REF!</v>
      </c>
      <c r="X98" s="34" t="e">
        <f>SUM(#REF!)</f>
        <v>#REF!</v>
      </c>
      <c r="Y98" s="34" t="e">
        <f>SUM(#REF!)</f>
        <v>#REF!</v>
      </c>
      <c r="Z98" s="34" t="e">
        <f>SUM(#REF!)</f>
        <v>#REF!</v>
      </c>
      <c r="AA98" s="34" t="e">
        <f>SUM(#REF!)</f>
        <v>#REF!</v>
      </c>
      <c r="AB98" s="34">
        <f>SUM(G98:G98)</f>
        <v>0</v>
      </c>
      <c r="AC98" s="34">
        <f>SUM(G98:H98)</f>
        <v>0</v>
      </c>
      <c r="AD98" s="34">
        <f>SUM(G98:I98)</f>
        <v>0</v>
      </c>
      <c r="AE98" s="34">
        <f t="shared" si="56"/>
        <v>0</v>
      </c>
      <c r="AF98" s="34">
        <f t="shared" si="56"/>
        <v>0</v>
      </c>
      <c r="AG98" s="34">
        <f t="shared" si="56"/>
        <v>0</v>
      </c>
      <c r="AH98" s="34">
        <f t="shared" si="56"/>
        <v>0</v>
      </c>
      <c r="AI98" s="64"/>
      <c r="AJ98" s="81" t="e">
        <f t="shared" si="55"/>
        <v>#DIV/0!</v>
      </c>
    </row>
    <row r="99" spans="2:36" ht="12.75" customHeight="1">
      <c r="B99" s="65" t="s">
        <v>478</v>
      </c>
      <c r="C99" s="88"/>
      <c r="D99" s="88"/>
      <c r="E99" s="88"/>
      <c r="F99" s="34"/>
      <c r="G99" s="88"/>
      <c r="H99" s="88"/>
      <c r="I99" s="88"/>
      <c r="J99" s="34">
        <f>SUM(E99-SUM(G99:I99))</f>
        <v>0</v>
      </c>
      <c r="K99" s="88"/>
      <c r="L99" s="88"/>
      <c r="M99" s="88"/>
      <c r="O99" s="34" t="e">
        <f>SUM(#REF!)</f>
        <v>#REF!</v>
      </c>
      <c r="P99" s="34" t="e">
        <f>SUM(#REF!)</f>
        <v>#REF!</v>
      </c>
      <c r="Q99" s="34" t="e">
        <f>SUM(#REF!)</f>
        <v>#REF!</v>
      </c>
      <c r="R99" s="34" t="e">
        <f>SUM(#REF!)</f>
        <v>#REF!</v>
      </c>
      <c r="S99" s="34" t="e">
        <f>SUM(#REF!)</f>
        <v>#REF!</v>
      </c>
      <c r="T99" s="34" t="e">
        <f>SUM(#REF!)</f>
        <v>#REF!</v>
      </c>
      <c r="U99" s="34" t="e">
        <f>SUM(#REF!)</f>
        <v>#REF!</v>
      </c>
      <c r="V99" s="34" t="e">
        <f>SUM(#REF!)</f>
        <v>#REF!</v>
      </c>
      <c r="W99" s="34" t="e">
        <f>SUM(#REF!)</f>
        <v>#REF!</v>
      </c>
      <c r="X99" s="34" t="e">
        <f>SUM(#REF!)</f>
        <v>#REF!</v>
      </c>
      <c r="Y99" s="34" t="e">
        <f>SUM(#REF!)</f>
        <v>#REF!</v>
      </c>
      <c r="Z99" s="34" t="e">
        <f>SUM(#REF!)</f>
        <v>#REF!</v>
      </c>
      <c r="AA99" s="34" t="e">
        <f>SUM(#REF!)</f>
        <v>#REF!</v>
      </c>
      <c r="AB99" s="34">
        <f>SUM(G99:G99)</f>
        <v>0</v>
      </c>
      <c r="AC99" s="34">
        <f>SUM(G99:H99)</f>
        <v>0</v>
      </c>
      <c r="AD99" s="34">
        <f>SUM(G99:I99)</f>
        <v>0</v>
      </c>
      <c r="AE99" s="34">
        <f t="shared" si="56"/>
        <v>0</v>
      </c>
      <c r="AF99" s="34">
        <f t="shared" si="56"/>
        <v>0</v>
      </c>
      <c r="AG99" s="34">
        <f t="shared" si="56"/>
        <v>0</v>
      </c>
      <c r="AH99" s="34">
        <f t="shared" si="56"/>
        <v>0</v>
      </c>
      <c r="AI99" s="64"/>
      <c r="AJ99" s="81" t="e">
        <f t="shared" si="55"/>
        <v>#DIV/0!</v>
      </c>
    </row>
    <row r="100" spans="2:36" ht="12.75" customHeight="1">
      <c r="B100" s="65" t="s">
        <v>479</v>
      </c>
      <c r="C100" s="88"/>
      <c r="D100" s="88"/>
      <c r="E100" s="88"/>
      <c r="F100" s="34"/>
      <c r="G100" s="88"/>
      <c r="H100" s="88"/>
      <c r="I100" s="88"/>
      <c r="J100" s="34">
        <f>SUM(E100-SUM(G100:I100))</f>
        <v>0</v>
      </c>
      <c r="K100" s="88"/>
      <c r="L100" s="88"/>
      <c r="M100" s="88"/>
      <c r="O100" s="34" t="e">
        <f>SUM(#REF!)</f>
        <v>#REF!</v>
      </c>
      <c r="P100" s="34" t="e">
        <f>SUM(#REF!)</f>
        <v>#REF!</v>
      </c>
      <c r="Q100" s="34" t="e">
        <f>SUM(#REF!)</f>
        <v>#REF!</v>
      </c>
      <c r="R100" s="34" t="e">
        <f>SUM(#REF!)</f>
        <v>#REF!</v>
      </c>
      <c r="S100" s="34" t="e">
        <f>SUM(#REF!)</f>
        <v>#REF!</v>
      </c>
      <c r="T100" s="34" t="e">
        <f>SUM(#REF!)</f>
        <v>#REF!</v>
      </c>
      <c r="U100" s="34" t="e">
        <f>SUM(#REF!)</f>
        <v>#REF!</v>
      </c>
      <c r="V100" s="34" t="e">
        <f>SUM(#REF!)</f>
        <v>#REF!</v>
      </c>
      <c r="W100" s="34" t="e">
        <f>SUM(#REF!)</f>
        <v>#REF!</v>
      </c>
      <c r="X100" s="34" t="e">
        <f>SUM(#REF!)</f>
        <v>#REF!</v>
      </c>
      <c r="Y100" s="34" t="e">
        <f>SUM(#REF!)</f>
        <v>#REF!</v>
      </c>
      <c r="Z100" s="34" t="e">
        <f>SUM(#REF!)</f>
        <v>#REF!</v>
      </c>
      <c r="AA100" s="34" t="e">
        <f>SUM(#REF!)</f>
        <v>#REF!</v>
      </c>
      <c r="AB100" s="34">
        <f>SUM(G100:G100)</f>
        <v>0</v>
      </c>
      <c r="AC100" s="34">
        <f>SUM(G100:H100)</f>
        <v>0</v>
      </c>
      <c r="AD100" s="34">
        <f>SUM(G100:I100)</f>
        <v>0</v>
      </c>
      <c r="AE100" s="34">
        <f t="shared" si="56"/>
        <v>0</v>
      </c>
      <c r="AF100" s="34">
        <f t="shared" si="56"/>
        <v>0</v>
      </c>
      <c r="AG100" s="34">
        <f t="shared" si="56"/>
        <v>0</v>
      </c>
      <c r="AH100" s="34">
        <f t="shared" si="56"/>
        <v>0</v>
      </c>
      <c r="AI100" s="64"/>
      <c r="AJ100" s="81" t="e">
        <f t="shared" si="55"/>
        <v>#DIV/0!</v>
      </c>
    </row>
    <row r="101" spans="2:36" ht="12.75" customHeight="1">
      <c r="B101" s="65" t="s">
        <v>480</v>
      </c>
      <c r="C101" s="88"/>
      <c r="D101" s="88"/>
      <c r="E101" s="88"/>
      <c r="F101" s="34"/>
      <c r="G101" s="88"/>
      <c r="H101" s="88"/>
      <c r="I101" s="88"/>
      <c r="J101" s="34">
        <f>SUM(E101-SUM(G101:I101))</f>
        <v>0</v>
      </c>
      <c r="K101" s="88"/>
      <c r="L101" s="88"/>
      <c r="M101" s="88"/>
      <c r="O101" s="34" t="e">
        <f>SUM(#REF!)</f>
        <v>#REF!</v>
      </c>
      <c r="P101" s="34" t="e">
        <f>SUM(#REF!)</f>
        <v>#REF!</v>
      </c>
      <c r="Q101" s="34" t="e">
        <f>SUM(#REF!)</f>
        <v>#REF!</v>
      </c>
      <c r="R101" s="34" t="e">
        <f>SUM(#REF!)</f>
        <v>#REF!</v>
      </c>
      <c r="S101" s="34" t="e">
        <f>SUM(#REF!)</f>
        <v>#REF!</v>
      </c>
      <c r="T101" s="34" t="e">
        <f>SUM(#REF!)</f>
        <v>#REF!</v>
      </c>
      <c r="U101" s="34" t="e">
        <f>SUM(#REF!)</f>
        <v>#REF!</v>
      </c>
      <c r="V101" s="34" t="e">
        <f>SUM(#REF!)</f>
        <v>#REF!</v>
      </c>
      <c r="W101" s="34" t="e">
        <f>SUM(#REF!)</f>
        <v>#REF!</v>
      </c>
      <c r="X101" s="34" t="e">
        <f>SUM(#REF!)</f>
        <v>#REF!</v>
      </c>
      <c r="Y101" s="34" t="e">
        <f>SUM(#REF!)</f>
        <v>#REF!</v>
      </c>
      <c r="Z101" s="34" t="e">
        <f>SUM(#REF!)</f>
        <v>#REF!</v>
      </c>
      <c r="AA101" s="34" t="e">
        <f>SUM(#REF!)</f>
        <v>#REF!</v>
      </c>
      <c r="AB101" s="34">
        <f>SUM(G101:G101)</f>
        <v>0</v>
      </c>
      <c r="AC101" s="34">
        <f>SUM(G101:H101)</f>
        <v>0</v>
      </c>
      <c r="AD101" s="34">
        <f>SUM(G101:I101)</f>
        <v>0</v>
      </c>
      <c r="AE101" s="34">
        <f t="shared" si="56"/>
        <v>0</v>
      </c>
      <c r="AF101" s="34">
        <f t="shared" si="56"/>
        <v>0</v>
      </c>
      <c r="AG101" s="34">
        <f t="shared" si="56"/>
        <v>0</v>
      </c>
      <c r="AH101" s="34">
        <f t="shared" si="56"/>
        <v>0</v>
      </c>
      <c r="AI101" s="64"/>
      <c r="AJ101" s="81" t="e">
        <f t="shared" si="55"/>
        <v>#DIV/0!</v>
      </c>
    </row>
    <row r="102" spans="2:36" ht="12.75" customHeight="1">
      <c r="B102" s="65" t="s">
        <v>466</v>
      </c>
      <c r="C102" s="88"/>
      <c r="D102" s="88"/>
      <c r="E102" s="88"/>
      <c r="F102" s="34"/>
      <c r="G102" s="88"/>
      <c r="H102" s="88"/>
      <c r="I102" s="88"/>
      <c r="J102" s="34">
        <f>SUM(E102-SUM(G102:I102))</f>
        <v>0</v>
      </c>
      <c r="K102" s="88"/>
      <c r="L102" s="88"/>
      <c r="M102" s="88"/>
      <c r="O102" s="34" t="e">
        <f>SUM(#REF!)</f>
        <v>#REF!</v>
      </c>
      <c r="P102" s="34" t="e">
        <f>SUM(#REF!)</f>
        <v>#REF!</v>
      </c>
      <c r="Q102" s="34" t="e">
        <f>SUM(#REF!)</f>
        <v>#REF!</v>
      </c>
      <c r="R102" s="34" t="e">
        <f>SUM(#REF!)</f>
        <v>#REF!</v>
      </c>
      <c r="S102" s="34" t="e">
        <f>SUM(#REF!)</f>
        <v>#REF!</v>
      </c>
      <c r="T102" s="34" t="e">
        <f>SUM(#REF!)</f>
        <v>#REF!</v>
      </c>
      <c r="U102" s="34" t="e">
        <f>SUM(#REF!)</f>
        <v>#REF!</v>
      </c>
      <c r="V102" s="34" t="e">
        <f>SUM(#REF!)</f>
        <v>#REF!</v>
      </c>
      <c r="W102" s="34" t="e">
        <f>SUM(#REF!)</f>
        <v>#REF!</v>
      </c>
      <c r="X102" s="34" t="e">
        <f>SUM(#REF!)</f>
        <v>#REF!</v>
      </c>
      <c r="Y102" s="34" t="e">
        <f>SUM(#REF!)</f>
        <v>#REF!</v>
      </c>
      <c r="Z102" s="34" t="e">
        <f>SUM(#REF!)</f>
        <v>#REF!</v>
      </c>
      <c r="AA102" s="34" t="e">
        <f>SUM(#REF!)</f>
        <v>#REF!</v>
      </c>
      <c r="AB102" s="34">
        <f>SUM(G102:G102)</f>
        <v>0</v>
      </c>
      <c r="AC102" s="34">
        <f>SUM(G102:H102)</f>
        <v>0</v>
      </c>
      <c r="AD102" s="34">
        <f>SUM(G102:I102)</f>
        <v>0</v>
      </c>
      <c r="AE102" s="34">
        <f t="shared" si="56"/>
        <v>0</v>
      </c>
      <c r="AF102" s="34">
        <f t="shared" si="56"/>
        <v>0</v>
      </c>
      <c r="AG102" s="34">
        <f t="shared" si="56"/>
        <v>0</v>
      </c>
      <c r="AH102" s="34">
        <f t="shared" si="56"/>
        <v>0</v>
      </c>
      <c r="AI102" s="64"/>
      <c r="AJ102" s="81" t="e">
        <f t="shared" si="55"/>
        <v>#DIV/0!</v>
      </c>
    </row>
    <row r="103" spans="2:36" ht="12.75" customHeight="1">
      <c r="B103" s="65" t="s">
        <v>481</v>
      </c>
      <c r="C103" s="88"/>
      <c r="D103" s="88"/>
      <c r="E103" s="88"/>
      <c r="F103" s="34"/>
      <c r="G103" s="88"/>
      <c r="H103" s="88"/>
      <c r="I103" s="88"/>
      <c r="J103" s="34">
        <f>SUM(E103-SUM(G103:I103))</f>
        <v>0</v>
      </c>
      <c r="K103" s="88"/>
      <c r="L103" s="88"/>
      <c r="M103" s="88"/>
      <c r="O103" s="34" t="e">
        <f>SUM(#REF!)</f>
        <v>#REF!</v>
      </c>
      <c r="P103" s="34" t="e">
        <f>SUM(#REF!)</f>
        <v>#REF!</v>
      </c>
      <c r="Q103" s="34" t="e">
        <f>SUM(#REF!)</f>
        <v>#REF!</v>
      </c>
      <c r="R103" s="34" t="e">
        <f>SUM(#REF!)</f>
        <v>#REF!</v>
      </c>
      <c r="S103" s="34" t="e">
        <f>SUM(#REF!)</f>
        <v>#REF!</v>
      </c>
      <c r="T103" s="34" t="e">
        <f>SUM(#REF!)</f>
        <v>#REF!</v>
      </c>
      <c r="U103" s="34" t="e">
        <f>SUM(#REF!)</f>
        <v>#REF!</v>
      </c>
      <c r="V103" s="34" t="e">
        <f>SUM(#REF!)</f>
        <v>#REF!</v>
      </c>
      <c r="W103" s="34" t="e">
        <f>SUM(#REF!)</f>
        <v>#REF!</v>
      </c>
      <c r="X103" s="34" t="e">
        <f>SUM(#REF!)</f>
        <v>#REF!</v>
      </c>
      <c r="Y103" s="34" t="e">
        <f>SUM(#REF!)</f>
        <v>#REF!</v>
      </c>
      <c r="Z103" s="34" t="e">
        <f>SUM(#REF!)</f>
        <v>#REF!</v>
      </c>
      <c r="AA103" s="34" t="e">
        <f>SUM(#REF!)</f>
        <v>#REF!</v>
      </c>
      <c r="AB103" s="34">
        <f>SUM(G103:G103)</f>
        <v>0</v>
      </c>
      <c r="AC103" s="34">
        <f>SUM(G103:H103)</f>
        <v>0</v>
      </c>
      <c r="AD103" s="34">
        <f>SUM(G103:I103)</f>
        <v>0</v>
      </c>
      <c r="AE103" s="34">
        <f t="shared" si="56"/>
        <v>0</v>
      </c>
      <c r="AF103" s="34">
        <f t="shared" si="56"/>
        <v>0</v>
      </c>
      <c r="AG103" s="34">
        <f t="shared" si="56"/>
        <v>0</v>
      </c>
      <c r="AH103" s="34">
        <f t="shared" si="56"/>
        <v>0</v>
      </c>
      <c r="AI103" s="64"/>
      <c r="AJ103" s="81" t="e">
        <f t="shared" si="55"/>
        <v>#DIV/0!</v>
      </c>
    </row>
    <row r="104" spans="2:36" ht="12.75" customHeight="1">
      <c r="B104" s="14" t="s">
        <v>70</v>
      </c>
      <c r="C104" s="15">
        <f t="shared" ref="C104:E104" si="57">SUM(C88:C103)</f>
        <v>-1035</v>
      </c>
      <c r="D104" s="15">
        <f t="shared" si="57"/>
        <v>-244</v>
      </c>
      <c r="E104" s="15">
        <f t="shared" si="57"/>
        <v>21</v>
      </c>
      <c r="G104" s="15">
        <f t="shared" ref="G104:M104" si="58">SUM(G88:G103)</f>
        <v>0</v>
      </c>
      <c r="H104" s="15">
        <f t="shared" si="58"/>
        <v>0</v>
      </c>
      <c r="I104" s="15">
        <f t="shared" si="58"/>
        <v>13</v>
      </c>
      <c r="J104" s="15">
        <f t="shared" si="58"/>
        <v>8</v>
      </c>
      <c r="K104" s="15">
        <f t="shared" si="58"/>
        <v>0</v>
      </c>
      <c r="L104" s="15">
        <f t="shared" si="58"/>
        <v>0</v>
      </c>
      <c r="M104" s="15">
        <f t="shared" si="58"/>
        <v>-95</v>
      </c>
      <c r="O104" s="15" t="e">
        <f t="shared" ref="O104:AH104" si="59">SUM(O88:O103)</f>
        <v>#REF!</v>
      </c>
      <c r="P104" s="15" t="e">
        <f t="shared" si="59"/>
        <v>#REF!</v>
      </c>
      <c r="Q104" s="15" t="e">
        <f t="shared" si="59"/>
        <v>#REF!</v>
      </c>
      <c r="R104" s="15" t="e">
        <f t="shared" si="59"/>
        <v>#REF!</v>
      </c>
      <c r="S104" s="15" t="e">
        <f t="shared" si="59"/>
        <v>#REF!</v>
      </c>
      <c r="T104" s="15" t="e">
        <f t="shared" si="59"/>
        <v>#REF!</v>
      </c>
      <c r="U104" s="15" t="e">
        <f t="shared" si="59"/>
        <v>#REF!</v>
      </c>
      <c r="V104" s="15" t="e">
        <f t="shared" si="59"/>
        <v>#REF!</v>
      </c>
      <c r="W104" s="15" t="e">
        <f t="shared" si="59"/>
        <v>#REF!</v>
      </c>
      <c r="X104" s="15" t="e">
        <f t="shared" si="59"/>
        <v>#REF!</v>
      </c>
      <c r="Y104" s="15" t="e">
        <f t="shared" si="59"/>
        <v>#REF!</v>
      </c>
      <c r="Z104" s="15" t="e">
        <f t="shared" si="59"/>
        <v>#REF!</v>
      </c>
      <c r="AA104" s="15" t="e">
        <f t="shared" si="59"/>
        <v>#REF!</v>
      </c>
      <c r="AB104" s="15">
        <f t="shared" si="59"/>
        <v>0</v>
      </c>
      <c r="AC104" s="15">
        <f t="shared" si="59"/>
        <v>0</v>
      </c>
      <c r="AD104" s="15">
        <f t="shared" si="59"/>
        <v>13</v>
      </c>
      <c r="AE104" s="15">
        <f t="shared" si="59"/>
        <v>21</v>
      </c>
      <c r="AF104" s="15">
        <f t="shared" si="59"/>
        <v>21</v>
      </c>
      <c r="AG104" s="15">
        <f t="shared" si="59"/>
        <v>21</v>
      </c>
      <c r="AH104" s="15">
        <f t="shared" si="59"/>
        <v>-87</v>
      </c>
      <c r="AI104" s="45"/>
      <c r="AJ104" s="82">
        <f t="shared" si="55"/>
        <v>-7.6923076923076925</v>
      </c>
    </row>
    <row r="105" spans="2:36" ht="12.75" customHeight="1">
      <c r="B105" s="58"/>
      <c r="C105" s="66"/>
      <c r="D105" s="66"/>
      <c r="E105" s="66"/>
      <c r="G105" s="66"/>
      <c r="H105" s="66"/>
      <c r="I105" s="66"/>
      <c r="J105" s="66"/>
      <c r="K105" s="66"/>
      <c r="L105" s="66"/>
      <c r="M105" s="66"/>
      <c r="O105" s="45"/>
      <c r="P105" s="45"/>
      <c r="Q105" s="45"/>
      <c r="R105" s="45"/>
      <c r="S105" s="45"/>
      <c r="T105" s="45"/>
      <c r="U105" s="45"/>
      <c r="V105" s="45"/>
      <c r="W105" s="45"/>
      <c r="X105" s="45"/>
      <c r="Y105" s="45"/>
      <c r="Z105" s="45"/>
      <c r="AA105" s="45"/>
      <c r="AB105" s="45"/>
      <c r="AC105" s="45"/>
      <c r="AD105" s="45"/>
      <c r="AE105" s="45"/>
      <c r="AF105" s="45"/>
      <c r="AG105" s="45"/>
      <c r="AH105" s="45"/>
      <c r="AI105" s="45"/>
      <c r="AJ105" s="42"/>
    </row>
    <row r="106" spans="2:36" ht="12.75" customHeight="1">
      <c r="B106" s="58" t="s">
        <v>71</v>
      </c>
      <c r="C106" s="63"/>
      <c r="D106" s="63"/>
      <c r="E106" s="63"/>
      <c r="G106" s="88"/>
      <c r="H106" s="88"/>
      <c r="I106" s="88"/>
      <c r="J106" s="34"/>
      <c r="K106" s="63"/>
      <c r="L106" s="63"/>
      <c r="M106" s="63"/>
      <c r="O106" s="63"/>
      <c r="P106" s="63"/>
      <c r="Q106" s="63"/>
      <c r="R106" s="63"/>
      <c r="S106" s="63"/>
      <c r="T106" s="63"/>
      <c r="U106" s="63"/>
      <c r="V106" s="63"/>
      <c r="W106" s="63"/>
      <c r="X106" s="63"/>
      <c r="Y106" s="63"/>
      <c r="Z106" s="63"/>
      <c r="AA106" s="63"/>
      <c r="AB106" s="63"/>
      <c r="AC106" s="63"/>
      <c r="AD106" s="63"/>
      <c r="AE106" s="63"/>
      <c r="AF106" s="63"/>
      <c r="AG106" s="63"/>
      <c r="AH106" s="63"/>
      <c r="AI106" s="64"/>
      <c r="AJ106" s="42"/>
    </row>
    <row r="107" spans="2:36" ht="12.75" customHeight="1">
      <c r="B107" s="65" t="s">
        <v>483</v>
      </c>
      <c r="C107" s="88"/>
      <c r="D107" s="88"/>
      <c r="E107" s="88"/>
      <c r="F107" s="34"/>
      <c r="G107" s="88"/>
      <c r="H107" s="88"/>
      <c r="I107" s="88"/>
      <c r="J107" s="34">
        <f>SUM(E107-SUM(G107:I107))</f>
        <v>0</v>
      </c>
      <c r="K107" s="88"/>
      <c r="L107" s="88"/>
      <c r="M107" s="88"/>
      <c r="N107" s="34"/>
      <c r="O107" s="34" t="e">
        <f>SUM(#REF!)</f>
        <v>#REF!</v>
      </c>
      <c r="P107" s="34" t="e">
        <f>SUM(#REF!)</f>
        <v>#REF!</v>
      </c>
      <c r="Q107" s="34" t="e">
        <f>SUM(#REF!)</f>
        <v>#REF!</v>
      </c>
      <c r="R107" s="34" t="e">
        <f>SUM(#REF!)</f>
        <v>#REF!</v>
      </c>
      <c r="S107" s="34" t="e">
        <f>SUM(#REF!)</f>
        <v>#REF!</v>
      </c>
      <c r="T107" s="34" t="e">
        <f>SUM(#REF!)</f>
        <v>#REF!</v>
      </c>
      <c r="U107" s="34" t="e">
        <f>SUM(#REF!)</f>
        <v>#REF!</v>
      </c>
      <c r="V107" s="34" t="e">
        <f>SUM(#REF!)</f>
        <v>#REF!</v>
      </c>
      <c r="W107" s="34" t="e">
        <f>SUM(#REF!)</f>
        <v>#REF!</v>
      </c>
      <c r="X107" s="34" t="e">
        <f>SUM(#REF!)</f>
        <v>#REF!</v>
      </c>
      <c r="Y107" s="34" t="e">
        <f>SUM(#REF!)</f>
        <v>#REF!</v>
      </c>
      <c r="Z107" s="34" t="e">
        <f>SUM(#REF!)</f>
        <v>#REF!</v>
      </c>
      <c r="AA107" s="34" t="e">
        <f>SUM(#REF!)</f>
        <v>#REF!</v>
      </c>
      <c r="AB107" s="34">
        <f>SUM(G107:G107)</f>
        <v>0</v>
      </c>
      <c r="AC107" s="34">
        <f>SUM(G107:H107)</f>
        <v>0</v>
      </c>
      <c r="AD107" s="34">
        <f>SUM(G107:I107)</f>
        <v>0</v>
      </c>
      <c r="AE107" s="34">
        <f t="shared" ref="AE107:AH109" si="60">SUM(G107:J107)</f>
        <v>0</v>
      </c>
      <c r="AF107" s="34">
        <f t="shared" si="60"/>
        <v>0</v>
      </c>
      <c r="AG107" s="34">
        <f t="shared" si="60"/>
        <v>0</v>
      </c>
      <c r="AH107" s="34">
        <f t="shared" si="60"/>
        <v>0</v>
      </c>
      <c r="AI107" s="64"/>
      <c r="AJ107" s="81" t="e">
        <f t="shared" ref="AJ107:AJ120" si="61">SUM(AH107/AD107)-1</f>
        <v>#DIV/0!</v>
      </c>
    </row>
    <row r="108" spans="2:36" ht="12.75" customHeight="1">
      <c r="B108" s="65" t="s">
        <v>542</v>
      </c>
      <c r="C108" s="88"/>
      <c r="D108" s="88"/>
      <c r="E108" s="88"/>
      <c r="F108" s="34"/>
      <c r="G108" s="88"/>
      <c r="H108" s="88"/>
      <c r="I108" s="88"/>
      <c r="J108" s="34">
        <f>SUM(E108-SUM(G108:I108))</f>
        <v>0</v>
      </c>
      <c r="K108" s="88"/>
      <c r="L108" s="88"/>
      <c r="M108" s="88"/>
      <c r="N108" s="34"/>
      <c r="O108" s="34"/>
      <c r="P108" s="34"/>
      <c r="Q108" s="34"/>
      <c r="R108" s="34"/>
      <c r="S108" s="34"/>
      <c r="T108" s="34"/>
      <c r="U108" s="34"/>
      <c r="V108" s="34"/>
      <c r="W108" s="34"/>
      <c r="X108" s="34"/>
      <c r="Y108" s="34"/>
      <c r="Z108" s="34"/>
      <c r="AA108" s="34"/>
      <c r="AB108" s="34"/>
      <c r="AC108" s="34"/>
      <c r="AD108" s="34">
        <f>SUM(G108:I108)</f>
        <v>0</v>
      </c>
      <c r="AE108" s="34">
        <f t="shared" si="60"/>
        <v>0</v>
      </c>
      <c r="AF108" s="34">
        <f t="shared" si="60"/>
        <v>0</v>
      </c>
      <c r="AG108" s="34">
        <f t="shared" si="60"/>
        <v>0</v>
      </c>
      <c r="AH108" s="34">
        <f t="shared" si="60"/>
        <v>0</v>
      </c>
      <c r="AI108" s="64"/>
      <c r="AJ108" s="81" t="e">
        <f t="shared" si="61"/>
        <v>#DIV/0!</v>
      </c>
    </row>
    <row r="109" spans="2:36" ht="12.75" customHeight="1">
      <c r="B109" s="65" t="s">
        <v>543</v>
      </c>
      <c r="C109" s="88"/>
      <c r="D109" s="88"/>
      <c r="E109" s="88"/>
      <c r="F109" s="34"/>
      <c r="G109" s="88"/>
      <c r="H109" s="88"/>
      <c r="I109" s="88"/>
      <c r="J109" s="34">
        <f>SUM(E109-SUM(G109:I109))</f>
        <v>0</v>
      </c>
      <c r="K109" s="88"/>
      <c r="L109" s="88"/>
      <c r="M109" s="88"/>
      <c r="N109" s="34"/>
      <c r="O109" s="34"/>
      <c r="P109" s="34"/>
      <c r="Q109" s="34"/>
      <c r="R109" s="34"/>
      <c r="S109" s="34"/>
      <c r="T109" s="34"/>
      <c r="U109" s="34"/>
      <c r="V109" s="34"/>
      <c r="W109" s="34"/>
      <c r="X109" s="34"/>
      <c r="Y109" s="34"/>
      <c r="Z109" s="34"/>
      <c r="AA109" s="34"/>
      <c r="AB109" s="34"/>
      <c r="AC109" s="34"/>
      <c r="AD109" s="34">
        <f>SUM(G109:I109)</f>
        <v>0</v>
      </c>
      <c r="AE109" s="34">
        <f t="shared" si="60"/>
        <v>0</v>
      </c>
      <c r="AF109" s="34">
        <f t="shared" si="60"/>
        <v>0</v>
      </c>
      <c r="AG109" s="34">
        <f t="shared" si="60"/>
        <v>0</v>
      </c>
      <c r="AH109" s="34">
        <f t="shared" si="60"/>
        <v>0</v>
      </c>
      <c r="AI109" s="64"/>
      <c r="AJ109" s="81" t="e">
        <f t="shared" si="61"/>
        <v>#DIV/0!</v>
      </c>
    </row>
    <row r="110" spans="2:36" ht="12.75" customHeight="1">
      <c r="B110" s="65" t="s">
        <v>482</v>
      </c>
      <c r="C110" s="88"/>
      <c r="D110" s="88"/>
      <c r="E110" s="88"/>
      <c r="F110" s="34"/>
      <c r="G110" s="88"/>
      <c r="H110" s="88"/>
      <c r="I110" s="88"/>
      <c r="J110" s="34">
        <f>SUM(E110-SUM(G110:I110))</f>
        <v>0</v>
      </c>
      <c r="K110" s="88"/>
      <c r="L110" s="88"/>
      <c r="M110" s="88"/>
      <c r="N110" s="34"/>
      <c r="O110" s="34" t="e">
        <f>SUM(#REF!)</f>
        <v>#REF!</v>
      </c>
      <c r="P110" s="34" t="e">
        <f>SUM(#REF!)</f>
        <v>#REF!</v>
      </c>
      <c r="Q110" s="34" t="e">
        <f>SUM(#REF!)</f>
        <v>#REF!</v>
      </c>
      <c r="R110" s="34" t="e">
        <f>SUM(#REF!)</f>
        <v>#REF!</v>
      </c>
      <c r="S110" s="34" t="e">
        <f>SUM(#REF!)</f>
        <v>#REF!</v>
      </c>
      <c r="T110" s="34" t="e">
        <f>SUM(#REF!)</f>
        <v>#REF!</v>
      </c>
      <c r="U110" s="34" t="e">
        <f>SUM(#REF!)</f>
        <v>#REF!</v>
      </c>
      <c r="V110" s="34" t="e">
        <f>SUM(#REF!)</f>
        <v>#REF!</v>
      </c>
      <c r="W110" s="34" t="e">
        <f>SUM(#REF!)</f>
        <v>#REF!</v>
      </c>
      <c r="X110" s="34" t="e">
        <f>SUM(#REF!)</f>
        <v>#REF!</v>
      </c>
      <c r="Y110" s="34" t="e">
        <f>SUM(#REF!)</f>
        <v>#REF!</v>
      </c>
      <c r="Z110" s="34" t="e">
        <f>SUM(#REF!)</f>
        <v>#REF!</v>
      </c>
      <c r="AA110" s="34" t="e">
        <f>SUM(#REF!)</f>
        <v>#REF!</v>
      </c>
      <c r="AB110" s="34">
        <f>SUM(G110:G110)</f>
        <v>0</v>
      </c>
      <c r="AC110" s="34">
        <f>SUM(G110:H110)</f>
        <v>0</v>
      </c>
      <c r="AD110" s="34">
        <f>SUM(G110:I110)</f>
        <v>0</v>
      </c>
      <c r="AE110" s="34">
        <f t="shared" ref="AE110:AH111" si="62">SUM(G110:J110)</f>
        <v>0</v>
      </c>
      <c r="AF110" s="34">
        <f t="shared" si="62"/>
        <v>0</v>
      </c>
      <c r="AG110" s="34">
        <f t="shared" si="62"/>
        <v>0</v>
      </c>
      <c r="AH110" s="34">
        <f t="shared" si="62"/>
        <v>0</v>
      </c>
      <c r="AI110" s="64"/>
      <c r="AJ110" s="81" t="e">
        <f t="shared" si="61"/>
        <v>#DIV/0!</v>
      </c>
    </row>
    <row r="111" spans="2:36" ht="12.75" customHeight="1">
      <c r="B111" s="65" t="s">
        <v>549</v>
      </c>
      <c r="C111" s="88"/>
      <c r="D111" s="88"/>
      <c r="E111" s="88"/>
      <c r="F111" s="34"/>
      <c r="G111" s="88"/>
      <c r="H111" s="88"/>
      <c r="I111" s="88"/>
      <c r="J111" s="34">
        <f>SUM(E111-SUM(G111:I111))</f>
        <v>0</v>
      </c>
      <c r="K111" s="88"/>
      <c r="L111" s="88"/>
      <c r="M111" s="88"/>
      <c r="N111" s="34"/>
      <c r="O111" s="34" t="e">
        <f>SUM(#REF!)</f>
        <v>#REF!</v>
      </c>
      <c r="P111" s="34" t="e">
        <f>SUM(#REF!)</f>
        <v>#REF!</v>
      </c>
      <c r="Q111" s="34" t="e">
        <f>SUM(#REF!)</f>
        <v>#REF!</v>
      </c>
      <c r="R111" s="34" t="e">
        <f>SUM(#REF!)</f>
        <v>#REF!</v>
      </c>
      <c r="S111" s="34" t="e">
        <f>SUM(#REF!)</f>
        <v>#REF!</v>
      </c>
      <c r="T111" s="34" t="e">
        <f>SUM(#REF!)</f>
        <v>#REF!</v>
      </c>
      <c r="U111" s="34" t="e">
        <f>SUM(#REF!)</f>
        <v>#REF!</v>
      </c>
      <c r="V111" s="34" t="e">
        <f>SUM(#REF!)</f>
        <v>#REF!</v>
      </c>
      <c r="W111" s="34" t="e">
        <f>SUM(#REF!)</f>
        <v>#REF!</v>
      </c>
      <c r="X111" s="34" t="e">
        <f>SUM(#REF!)</f>
        <v>#REF!</v>
      </c>
      <c r="Y111" s="34" t="e">
        <f>SUM(#REF!)</f>
        <v>#REF!</v>
      </c>
      <c r="Z111" s="34" t="e">
        <f>SUM(#REF!)</f>
        <v>#REF!</v>
      </c>
      <c r="AA111" s="34" t="e">
        <f>SUM(#REF!)</f>
        <v>#REF!</v>
      </c>
      <c r="AB111" s="34">
        <f>SUM(G111:G111)</f>
        <v>0</v>
      </c>
      <c r="AC111" s="34">
        <f>SUM(G111:H111)</f>
        <v>0</v>
      </c>
      <c r="AD111" s="34">
        <f>SUM(G111:I111)</f>
        <v>0</v>
      </c>
      <c r="AE111" s="34">
        <f t="shared" si="62"/>
        <v>0</v>
      </c>
      <c r="AF111" s="34">
        <f t="shared" si="62"/>
        <v>0</v>
      </c>
      <c r="AG111" s="34">
        <f t="shared" si="62"/>
        <v>0</v>
      </c>
      <c r="AH111" s="34">
        <f t="shared" si="62"/>
        <v>0</v>
      </c>
      <c r="AI111" s="64"/>
      <c r="AJ111" s="81" t="e">
        <f t="shared" si="61"/>
        <v>#DIV/0!</v>
      </c>
    </row>
    <row r="112" spans="2:36" ht="12.75" customHeight="1">
      <c r="B112" s="14" t="s">
        <v>72</v>
      </c>
      <c r="C112" s="15">
        <f t="shared" ref="C112:E112" si="63">SUM(C107:C111)</f>
        <v>0</v>
      </c>
      <c r="D112" s="15">
        <f t="shared" si="63"/>
        <v>0</v>
      </c>
      <c r="E112" s="15">
        <f t="shared" si="63"/>
        <v>0</v>
      </c>
      <c r="G112" s="15">
        <f t="shared" ref="G112:M112" si="64">SUM(G107:G111)</f>
        <v>0</v>
      </c>
      <c r="H112" s="15">
        <f t="shared" si="64"/>
        <v>0</v>
      </c>
      <c r="I112" s="15">
        <f t="shared" si="64"/>
        <v>0</v>
      </c>
      <c r="J112" s="15">
        <f t="shared" si="64"/>
        <v>0</v>
      </c>
      <c r="K112" s="15">
        <f t="shared" si="64"/>
        <v>0</v>
      </c>
      <c r="L112" s="15">
        <f t="shared" si="64"/>
        <v>0</v>
      </c>
      <c r="M112" s="15">
        <f t="shared" si="64"/>
        <v>0</v>
      </c>
      <c r="O112" s="15" t="e">
        <f t="shared" ref="O112:AH112" si="65">SUM(O107:O111)</f>
        <v>#REF!</v>
      </c>
      <c r="P112" s="15" t="e">
        <f t="shared" si="65"/>
        <v>#REF!</v>
      </c>
      <c r="Q112" s="15" t="e">
        <f t="shared" si="65"/>
        <v>#REF!</v>
      </c>
      <c r="R112" s="15" t="e">
        <f t="shared" si="65"/>
        <v>#REF!</v>
      </c>
      <c r="S112" s="15" t="e">
        <f t="shared" si="65"/>
        <v>#REF!</v>
      </c>
      <c r="T112" s="15" t="e">
        <f t="shared" si="65"/>
        <v>#REF!</v>
      </c>
      <c r="U112" s="15" t="e">
        <f t="shared" si="65"/>
        <v>#REF!</v>
      </c>
      <c r="V112" s="15" t="e">
        <f t="shared" si="65"/>
        <v>#REF!</v>
      </c>
      <c r="W112" s="15" t="e">
        <f t="shared" si="65"/>
        <v>#REF!</v>
      </c>
      <c r="X112" s="15" t="e">
        <f t="shared" si="65"/>
        <v>#REF!</v>
      </c>
      <c r="Y112" s="15" t="e">
        <f t="shared" si="65"/>
        <v>#REF!</v>
      </c>
      <c r="Z112" s="15" t="e">
        <f t="shared" si="65"/>
        <v>#REF!</v>
      </c>
      <c r="AA112" s="15" t="e">
        <f t="shared" si="65"/>
        <v>#REF!</v>
      </c>
      <c r="AB112" s="15">
        <f t="shared" si="65"/>
        <v>0</v>
      </c>
      <c r="AC112" s="15">
        <f t="shared" si="65"/>
        <v>0</v>
      </c>
      <c r="AD112" s="15">
        <f t="shared" si="65"/>
        <v>0</v>
      </c>
      <c r="AE112" s="15">
        <f t="shared" si="65"/>
        <v>0</v>
      </c>
      <c r="AF112" s="15">
        <f t="shared" si="65"/>
        <v>0</v>
      </c>
      <c r="AG112" s="15">
        <f t="shared" si="65"/>
        <v>0</v>
      </c>
      <c r="AH112" s="15">
        <f t="shared" si="65"/>
        <v>0</v>
      </c>
      <c r="AI112" s="45"/>
      <c r="AJ112" s="82" t="e">
        <f t="shared" si="61"/>
        <v>#DIV/0!</v>
      </c>
    </row>
    <row r="113" spans="2:36" ht="5.0999999999999996" customHeight="1">
      <c r="B113" s="57"/>
      <c r="C113" s="66"/>
      <c r="D113" s="66"/>
      <c r="E113" s="66"/>
      <c r="G113" s="66"/>
      <c r="H113" s="66"/>
      <c r="I113" s="66"/>
      <c r="J113" s="66"/>
      <c r="K113" s="66"/>
      <c r="L113" s="66"/>
      <c r="M113" s="66"/>
      <c r="O113" s="45"/>
      <c r="P113" s="45"/>
      <c r="Q113" s="45"/>
      <c r="R113" s="45"/>
      <c r="S113" s="45"/>
      <c r="T113" s="45"/>
      <c r="U113" s="45"/>
      <c r="V113" s="45"/>
      <c r="W113" s="45"/>
      <c r="X113" s="45"/>
      <c r="Y113" s="45"/>
      <c r="Z113" s="45"/>
      <c r="AA113" s="45"/>
      <c r="AB113" s="45"/>
      <c r="AC113" s="45"/>
      <c r="AD113" s="45"/>
      <c r="AE113" s="45"/>
      <c r="AF113" s="45"/>
      <c r="AG113" s="45"/>
      <c r="AH113" s="45"/>
      <c r="AI113" s="45"/>
      <c r="AJ113" s="42"/>
    </row>
    <row r="114" spans="2:36" ht="12.75" customHeight="1">
      <c r="B114" s="58" t="s">
        <v>73</v>
      </c>
      <c r="C114" s="68"/>
      <c r="D114" s="68"/>
      <c r="E114" s="68"/>
      <c r="G114" s="68"/>
      <c r="H114" s="68"/>
      <c r="I114" s="68"/>
      <c r="J114" s="68"/>
      <c r="K114" s="68"/>
      <c r="L114" s="68"/>
      <c r="M114" s="68"/>
      <c r="N114" s="34"/>
      <c r="O114" s="34" t="e">
        <f>SUM(#REF!)</f>
        <v>#REF!</v>
      </c>
      <c r="P114" s="34" t="e">
        <f>SUM(#REF!)</f>
        <v>#REF!</v>
      </c>
      <c r="Q114" s="34" t="e">
        <f>SUM(#REF!)</f>
        <v>#REF!</v>
      </c>
      <c r="R114" s="34" t="e">
        <f>SUM(#REF!)</f>
        <v>#REF!</v>
      </c>
      <c r="S114" s="34" t="e">
        <f>SUM(#REF!)</f>
        <v>#REF!</v>
      </c>
      <c r="T114" s="34" t="e">
        <f>SUM(#REF!)</f>
        <v>#REF!</v>
      </c>
      <c r="U114" s="34" t="e">
        <f>SUM(#REF!)</f>
        <v>#REF!</v>
      </c>
      <c r="V114" s="34" t="e">
        <f>SUM(#REF!)</f>
        <v>#REF!</v>
      </c>
      <c r="W114" s="34" t="e">
        <f>SUM(#REF!)</f>
        <v>#REF!</v>
      </c>
      <c r="X114" s="34" t="e">
        <f>SUM(#REF!)</f>
        <v>#REF!</v>
      </c>
      <c r="Y114" s="34" t="e">
        <f>SUM(#REF!)</f>
        <v>#REF!</v>
      </c>
      <c r="Z114" s="34" t="e">
        <f>SUM(#REF!)</f>
        <v>#REF!</v>
      </c>
      <c r="AA114" s="34" t="e">
        <f>SUM(#REF!)</f>
        <v>#REF!</v>
      </c>
      <c r="AB114" s="34">
        <f>SUM(G114:G114)</f>
        <v>0</v>
      </c>
      <c r="AC114" s="34">
        <f>SUM(G114:H114)</f>
        <v>0</v>
      </c>
      <c r="AD114" s="34">
        <f>SUM(G114:I114)</f>
        <v>0</v>
      </c>
      <c r="AE114" s="34">
        <f t="shared" ref="AE114:AH117" si="66">SUM(G114:J114)</f>
        <v>0</v>
      </c>
      <c r="AF114" s="34">
        <f t="shared" si="66"/>
        <v>0</v>
      </c>
      <c r="AG114" s="34">
        <f t="shared" si="66"/>
        <v>0</v>
      </c>
      <c r="AH114" s="34">
        <f t="shared" si="66"/>
        <v>0</v>
      </c>
      <c r="AI114" s="69"/>
      <c r="AJ114" s="81" t="e">
        <f t="shared" si="61"/>
        <v>#DIV/0!</v>
      </c>
    </row>
    <row r="115" spans="2:36" ht="12.75" customHeight="1">
      <c r="B115" s="118" t="s">
        <v>487</v>
      </c>
      <c r="C115" s="88"/>
      <c r="D115" s="88"/>
      <c r="E115" s="88"/>
      <c r="G115" s="88"/>
      <c r="H115" s="88"/>
      <c r="I115" s="88"/>
      <c r="J115" s="34">
        <f>SUM(E115-SUM(G115:I115))</f>
        <v>0</v>
      </c>
      <c r="K115" s="88"/>
      <c r="L115" s="88"/>
      <c r="M115" s="88"/>
      <c r="N115" s="34"/>
      <c r="O115" s="34" t="e">
        <f>SUM(#REF!)</f>
        <v>#REF!</v>
      </c>
      <c r="P115" s="34" t="e">
        <f>SUM(#REF!)</f>
        <v>#REF!</v>
      </c>
      <c r="Q115" s="34" t="e">
        <f>SUM(#REF!)</f>
        <v>#REF!</v>
      </c>
      <c r="R115" s="34" t="e">
        <f>SUM(#REF!)</f>
        <v>#REF!</v>
      </c>
      <c r="S115" s="34" t="e">
        <f>SUM(#REF!)</f>
        <v>#REF!</v>
      </c>
      <c r="T115" s="34" t="e">
        <f>SUM(#REF!)</f>
        <v>#REF!</v>
      </c>
      <c r="U115" s="34" t="e">
        <f>SUM(#REF!)</f>
        <v>#REF!</v>
      </c>
      <c r="V115" s="34" t="e">
        <f>SUM(#REF!)</f>
        <v>#REF!</v>
      </c>
      <c r="W115" s="34" t="e">
        <f>SUM(#REF!)</f>
        <v>#REF!</v>
      </c>
      <c r="X115" s="34" t="e">
        <f>SUM(#REF!)</f>
        <v>#REF!</v>
      </c>
      <c r="Y115" s="34" t="e">
        <f>SUM(#REF!)</f>
        <v>#REF!</v>
      </c>
      <c r="Z115" s="34" t="e">
        <f>SUM(#REF!)</f>
        <v>#REF!</v>
      </c>
      <c r="AA115" s="34" t="e">
        <f>SUM(#REF!)</f>
        <v>#REF!</v>
      </c>
      <c r="AB115" s="34">
        <f>SUM(G115:G115)</f>
        <v>0</v>
      </c>
      <c r="AC115" s="34">
        <f>SUM(G115:H115)</f>
        <v>0</v>
      </c>
      <c r="AD115" s="34">
        <f>SUM(G115:I115)</f>
        <v>0</v>
      </c>
      <c r="AE115" s="34">
        <f t="shared" si="66"/>
        <v>0</v>
      </c>
      <c r="AF115" s="34">
        <f t="shared" si="66"/>
        <v>0</v>
      </c>
      <c r="AG115" s="34">
        <f t="shared" si="66"/>
        <v>0</v>
      </c>
      <c r="AH115" s="34">
        <f t="shared" si="66"/>
        <v>0</v>
      </c>
      <c r="AI115" s="69"/>
      <c r="AJ115" s="81" t="e">
        <f t="shared" si="61"/>
        <v>#DIV/0!</v>
      </c>
    </row>
    <row r="116" spans="2:36" ht="12.75" customHeight="1">
      <c r="B116" s="118" t="s">
        <v>486</v>
      </c>
      <c r="C116" s="88"/>
      <c r="D116" s="88"/>
      <c r="E116" s="88"/>
      <c r="G116" s="88"/>
      <c r="H116" s="88"/>
      <c r="I116" s="88"/>
      <c r="J116" s="34">
        <f>SUM(E116-SUM(G116:I116))</f>
        <v>0</v>
      </c>
      <c r="K116" s="88"/>
      <c r="L116" s="88"/>
      <c r="M116" s="88"/>
      <c r="N116" s="34"/>
      <c r="O116" s="34" t="e">
        <f>SUM(#REF!)</f>
        <v>#REF!</v>
      </c>
      <c r="P116" s="34" t="e">
        <f>SUM(#REF!)</f>
        <v>#REF!</v>
      </c>
      <c r="Q116" s="34" t="e">
        <f>SUM(#REF!)</f>
        <v>#REF!</v>
      </c>
      <c r="R116" s="34" t="e">
        <f>SUM(#REF!)</f>
        <v>#REF!</v>
      </c>
      <c r="S116" s="34" t="e">
        <f>SUM(#REF!)</f>
        <v>#REF!</v>
      </c>
      <c r="T116" s="34" t="e">
        <f>SUM(#REF!)</f>
        <v>#REF!</v>
      </c>
      <c r="U116" s="34" t="e">
        <f>SUM(#REF!)</f>
        <v>#REF!</v>
      </c>
      <c r="V116" s="34" t="e">
        <f>SUM(#REF!)</f>
        <v>#REF!</v>
      </c>
      <c r="W116" s="34" t="e">
        <f>SUM(#REF!)</f>
        <v>#REF!</v>
      </c>
      <c r="X116" s="34" t="e">
        <f>SUM(#REF!)</f>
        <v>#REF!</v>
      </c>
      <c r="Y116" s="34" t="e">
        <f>SUM(#REF!)</f>
        <v>#REF!</v>
      </c>
      <c r="Z116" s="34" t="e">
        <f>SUM(#REF!)</f>
        <v>#REF!</v>
      </c>
      <c r="AA116" s="34" t="e">
        <f>SUM(#REF!)</f>
        <v>#REF!</v>
      </c>
      <c r="AB116" s="34">
        <f>SUM(G116:G116)</f>
        <v>0</v>
      </c>
      <c r="AC116" s="34">
        <f>SUM(G116:H116)</f>
        <v>0</v>
      </c>
      <c r="AD116" s="34">
        <f>SUM(G116:I116)</f>
        <v>0</v>
      </c>
      <c r="AE116" s="34">
        <f t="shared" si="66"/>
        <v>0</v>
      </c>
      <c r="AF116" s="34">
        <f t="shared" si="66"/>
        <v>0</v>
      </c>
      <c r="AG116" s="34">
        <f t="shared" si="66"/>
        <v>0</v>
      </c>
      <c r="AH116" s="34">
        <f t="shared" si="66"/>
        <v>0</v>
      </c>
      <c r="AI116" s="69"/>
      <c r="AJ116" s="81" t="e">
        <f t="shared" si="61"/>
        <v>#DIV/0!</v>
      </c>
    </row>
    <row r="117" spans="2:36" ht="12.75" customHeight="1">
      <c r="B117" s="118" t="s">
        <v>485</v>
      </c>
      <c r="C117" s="88"/>
      <c r="D117" s="88"/>
      <c r="E117" s="88"/>
      <c r="G117" s="88"/>
      <c r="H117" s="88"/>
      <c r="I117" s="88"/>
      <c r="J117" s="34">
        <f>SUM(E117-SUM(G117:I117))</f>
        <v>0</v>
      </c>
      <c r="K117" s="88"/>
      <c r="L117" s="88"/>
      <c r="M117" s="88"/>
      <c r="N117" s="34"/>
      <c r="O117" s="34" t="e">
        <f>SUM(#REF!)</f>
        <v>#REF!</v>
      </c>
      <c r="P117" s="34" t="e">
        <f>SUM(#REF!)</f>
        <v>#REF!</v>
      </c>
      <c r="Q117" s="34" t="e">
        <f>SUM(#REF!)</f>
        <v>#REF!</v>
      </c>
      <c r="R117" s="34" t="e">
        <f>SUM(#REF!)</f>
        <v>#REF!</v>
      </c>
      <c r="S117" s="34" t="e">
        <f>SUM(#REF!)</f>
        <v>#REF!</v>
      </c>
      <c r="T117" s="34" t="e">
        <f>SUM(#REF!)</f>
        <v>#REF!</v>
      </c>
      <c r="U117" s="34" t="e">
        <f>SUM(#REF!)</f>
        <v>#REF!</v>
      </c>
      <c r="V117" s="34" t="e">
        <f>SUM(#REF!)</f>
        <v>#REF!</v>
      </c>
      <c r="W117" s="34" t="e">
        <f>SUM(#REF!)</f>
        <v>#REF!</v>
      </c>
      <c r="X117" s="34" t="e">
        <f>SUM(#REF!)</f>
        <v>#REF!</v>
      </c>
      <c r="Y117" s="34" t="e">
        <f>SUM(#REF!)</f>
        <v>#REF!</v>
      </c>
      <c r="Z117" s="34" t="e">
        <f>SUM(#REF!)</f>
        <v>#REF!</v>
      </c>
      <c r="AA117" s="34" t="e">
        <f>SUM(#REF!)</f>
        <v>#REF!</v>
      </c>
      <c r="AB117" s="34">
        <f>SUM(G117:G117)</f>
        <v>0</v>
      </c>
      <c r="AC117" s="34">
        <f>SUM(G117:H117)</f>
        <v>0</v>
      </c>
      <c r="AD117" s="34">
        <f>SUM(G117:I117)</f>
        <v>0</v>
      </c>
      <c r="AE117" s="34">
        <f t="shared" si="66"/>
        <v>0</v>
      </c>
      <c r="AF117" s="34">
        <f t="shared" si="66"/>
        <v>0</v>
      </c>
      <c r="AG117" s="34">
        <f t="shared" si="66"/>
        <v>0</v>
      </c>
      <c r="AH117" s="34">
        <f t="shared" si="66"/>
        <v>0</v>
      </c>
      <c r="AI117" s="69"/>
      <c r="AJ117" s="81" t="e">
        <f t="shared" si="61"/>
        <v>#DIV/0!</v>
      </c>
    </row>
    <row r="118" spans="2:36" ht="12.75" customHeight="1">
      <c r="B118" s="118" t="s">
        <v>544</v>
      </c>
      <c r="C118" s="88"/>
      <c r="D118" s="88"/>
      <c r="E118" s="88"/>
      <c r="G118" s="88"/>
      <c r="H118" s="88"/>
      <c r="I118" s="88"/>
      <c r="J118" s="34">
        <f>SUM(E118-SUM(G118:I118))</f>
        <v>0</v>
      </c>
      <c r="K118" s="88"/>
      <c r="L118" s="88"/>
      <c r="M118" s="88"/>
      <c r="N118" s="34"/>
      <c r="O118" s="34"/>
      <c r="P118" s="34"/>
      <c r="Q118" s="34"/>
      <c r="R118" s="34"/>
      <c r="S118" s="34"/>
      <c r="T118" s="34"/>
      <c r="U118" s="34"/>
      <c r="V118" s="34"/>
      <c r="W118" s="34"/>
      <c r="X118" s="34"/>
      <c r="Y118" s="34"/>
      <c r="Z118" s="34"/>
      <c r="AA118" s="34"/>
      <c r="AB118" s="34"/>
      <c r="AC118" s="34"/>
      <c r="AD118" s="34">
        <f>SUM(G118:I118)</f>
        <v>0</v>
      </c>
      <c r="AE118" s="34">
        <f t="shared" ref="AE118:AH119" si="67">SUM(G118:J118)</f>
        <v>0</v>
      </c>
      <c r="AF118" s="34">
        <f t="shared" si="67"/>
        <v>0</v>
      </c>
      <c r="AG118" s="34">
        <f t="shared" si="67"/>
        <v>0</v>
      </c>
      <c r="AH118" s="34">
        <f t="shared" si="67"/>
        <v>0</v>
      </c>
      <c r="AI118" s="69"/>
      <c r="AJ118" s="81" t="e">
        <f t="shared" si="61"/>
        <v>#DIV/0!</v>
      </c>
    </row>
    <row r="119" spans="2:36" ht="12.75" customHeight="1">
      <c r="B119" s="118" t="s">
        <v>484</v>
      </c>
      <c r="C119" s="88"/>
      <c r="D119" s="88"/>
      <c r="E119" s="88"/>
      <c r="G119" s="88"/>
      <c r="H119" s="88"/>
      <c r="I119" s="88"/>
      <c r="J119" s="34">
        <f>SUM(E119-SUM(G119:I119))</f>
        <v>0</v>
      </c>
      <c r="K119" s="88"/>
      <c r="L119" s="88"/>
      <c r="M119" s="88"/>
      <c r="N119" s="34"/>
      <c r="O119" s="34" t="e">
        <f>SUM(#REF!)</f>
        <v>#REF!</v>
      </c>
      <c r="P119" s="34" t="e">
        <f>SUM(#REF!)</f>
        <v>#REF!</v>
      </c>
      <c r="Q119" s="34" t="e">
        <f>SUM(#REF!)</f>
        <v>#REF!</v>
      </c>
      <c r="R119" s="34" t="e">
        <f>SUM(#REF!)</f>
        <v>#REF!</v>
      </c>
      <c r="S119" s="34" t="e">
        <f>SUM(#REF!)</f>
        <v>#REF!</v>
      </c>
      <c r="T119" s="34" t="e">
        <f>SUM(#REF!)</f>
        <v>#REF!</v>
      </c>
      <c r="U119" s="34" t="e">
        <f>SUM(#REF!)</f>
        <v>#REF!</v>
      </c>
      <c r="V119" s="34" t="e">
        <f>SUM(#REF!)</f>
        <v>#REF!</v>
      </c>
      <c r="W119" s="34" t="e">
        <f>SUM(#REF!)</f>
        <v>#REF!</v>
      </c>
      <c r="X119" s="34" t="e">
        <f>SUM(#REF!)</f>
        <v>#REF!</v>
      </c>
      <c r="Y119" s="34" t="e">
        <f>SUM(#REF!)</f>
        <v>#REF!</v>
      </c>
      <c r="Z119" s="34" t="e">
        <f>SUM(#REF!)</f>
        <v>#REF!</v>
      </c>
      <c r="AA119" s="34" t="e">
        <f>SUM(#REF!)</f>
        <v>#REF!</v>
      </c>
      <c r="AB119" s="34">
        <f>SUM(G119:G119)</f>
        <v>0</v>
      </c>
      <c r="AC119" s="34">
        <f>SUM(G119:H119)</f>
        <v>0</v>
      </c>
      <c r="AD119" s="34">
        <f>SUM(G119:I119)</f>
        <v>0</v>
      </c>
      <c r="AE119" s="34">
        <f t="shared" si="67"/>
        <v>0</v>
      </c>
      <c r="AF119" s="34">
        <f t="shared" si="67"/>
        <v>0</v>
      </c>
      <c r="AG119" s="34">
        <f t="shared" si="67"/>
        <v>0</v>
      </c>
      <c r="AH119" s="34">
        <f t="shared" si="67"/>
        <v>0</v>
      </c>
      <c r="AI119" s="69"/>
      <c r="AJ119" s="81" t="e">
        <f t="shared" si="61"/>
        <v>#DIV/0!</v>
      </c>
    </row>
    <row r="120" spans="2:36" ht="12.75" customHeight="1">
      <c r="B120" s="14" t="s">
        <v>74</v>
      </c>
      <c r="C120" s="36">
        <f t="shared" ref="C120:E120" si="68">SUM(C115:C119)</f>
        <v>0</v>
      </c>
      <c r="D120" s="36">
        <f t="shared" si="68"/>
        <v>0</v>
      </c>
      <c r="E120" s="36">
        <f t="shared" si="68"/>
        <v>0</v>
      </c>
      <c r="F120" s="34"/>
      <c r="G120" s="36">
        <f t="shared" ref="G120:M120" si="69">SUM(G115:G119)</f>
        <v>0</v>
      </c>
      <c r="H120" s="36">
        <f t="shared" si="69"/>
        <v>0</v>
      </c>
      <c r="I120" s="36">
        <f t="shared" si="69"/>
        <v>0</v>
      </c>
      <c r="J120" s="36">
        <f t="shared" si="69"/>
        <v>0</v>
      </c>
      <c r="K120" s="36">
        <f t="shared" si="69"/>
        <v>0</v>
      </c>
      <c r="L120" s="36">
        <f t="shared" si="69"/>
        <v>0</v>
      </c>
      <c r="M120" s="36">
        <f t="shared" si="69"/>
        <v>0</v>
      </c>
      <c r="N120" s="34"/>
      <c r="O120" s="36" t="e">
        <f t="shared" ref="O120:AH120" si="70">SUM(O115:O119)</f>
        <v>#REF!</v>
      </c>
      <c r="P120" s="36" t="e">
        <f t="shared" si="70"/>
        <v>#REF!</v>
      </c>
      <c r="Q120" s="36" t="e">
        <f t="shared" si="70"/>
        <v>#REF!</v>
      </c>
      <c r="R120" s="36" t="e">
        <f t="shared" si="70"/>
        <v>#REF!</v>
      </c>
      <c r="S120" s="36" t="e">
        <f t="shared" si="70"/>
        <v>#REF!</v>
      </c>
      <c r="T120" s="36" t="e">
        <f t="shared" si="70"/>
        <v>#REF!</v>
      </c>
      <c r="U120" s="36" t="e">
        <f t="shared" si="70"/>
        <v>#REF!</v>
      </c>
      <c r="V120" s="36" t="e">
        <f t="shared" si="70"/>
        <v>#REF!</v>
      </c>
      <c r="W120" s="36" t="e">
        <f t="shared" si="70"/>
        <v>#REF!</v>
      </c>
      <c r="X120" s="36" t="e">
        <f t="shared" si="70"/>
        <v>#REF!</v>
      </c>
      <c r="Y120" s="36" t="e">
        <f t="shared" si="70"/>
        <v>#REF!</v>
      </c>
      <c r="Z120" s="36" t="e">
        <f t="shared" si="70"/>
        <v>#REF!</v>
      </c>
      <c r="AA120" s="36" t="e">
        <f t="shared" si="70"/>
        <v>#REF!</v>
      </c>
      <c r="AB120" s="36">
        <f t="shared" si="70"/>
        <v>0</v>
      </c>
      <c r="AC120" s="36">
        <f t="shared" si="70"/>
        <v>0</v>
      </c>
      <c r="AD120" s="36">
        <f t="shared" si="70"/>
        <v>0</v>
      </c>
      <c r="AE120" s="36">
        <f t="shared" si="70"/>
        <v>0</v>
      </c>
      <c r="AF120" s="36">
        <f t="shared" si="70"/>
        <v>0</v>
      </c>
      <c r="AG120" s="36">
        <f t="shared" si="70"/>
        <v>0</v>
      </c>
      <c r="AH120" s="36">
        <f t="shared" si="70"/>
        <v>0</v>
      </c>
      <c r="AI120" s="45"/>
      <c r="AJ120" s="82" t="e">
        <f t="shared" si="61"/>
        <v>#DIV/0!</v>
      </c>
    </row>
    <row r="121" spans="2:36" ht="5.0999999999999996" customHeight="1">
      <c r="B121" s="8"/>
      <c r="C121" s="71"/>
      <c r="D121" s="71"/>
      <c r="E121" s="71"/>
      <c r="F121" s="34"/>
      <c r="G121" s="71"/>
      <c r="H121" s="71"/>
      <c r="I121" s="71"/>
      <c r="J121" s="71"/>
      <c r="K121" s="71"/>
      <c r="L121" s="71"/>
      <c r="M121" s="71"/>
      <c r="O121" s="12"/>
      <c r="P121" s="12"/>
      <c r="Q121" s="12"/>
      <c r="R121" s="12"/>
      <c r="S121" s="12"/>
      <c r="T121" s="12"/>
      <c r="U121" s="12"/>
      <c r="V121" s="12"/>
      <c r="W121" s="12"/>
      <c r="X121" s="12"/>
      <c r="Y121" s="12"/>
      <c r="Z121" s="12"/>
      <c r="AA121" s="12"/>
      <c r="AB121" s="12"/>
      <c r="AC121" s="12"/>
      <c r="AD121" s="12"/>
      <c r="AE121" s="12"/>
      <c r="AF121" s="12"/>
      <c r="AG121" s="12"/>
      <c r="AH121" s="12"/>
      <c r="AI121" s="12"/>
      <c r="AJ121" s="50"/>
    </row>
    <row r="122" spans="2:36" ht="5.0999999999999996" customHeight="1">
      <c r="B122" s="77"/>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12"/>
      <c r="AJ122" s="50"/>
    </row>
    <row r="123" spans="2:36">
      <c r="B123" s="173" t="s">
        <v>450</v>
      </c>
      <c r="C123" s="174"/>
      <c r="D123" s="174"/>
      <c r="E123" s="174"/>
      <c r="F123" s="174"/>
      <c r="G123" s="174"/>
      <c r="H123" s="174">
        <f t="shared" ref="H123:M123" si="71">G129</f>
        <v>0</v>
      </c>
      <c r="I123" s="174">
        <f t="shared" si="71"/>
        <v>0</v>
      </c>
      <c r="J123" s="174">
        <f t="shared" si="71"/>
        <v>13</v>
      </c>
      <c r="K123" s="174">
        <f t="shared" si="71"/>
        <v>21</v>
      </c>
      <c r="L123" s="174">
        <f t="shared" si="71"/>
        <v>21</v>
      </c>
      <c r="M123" s="174">
        <f t="shared" si="71"/>
        <v>21</v>
      </c>
      <c r="N123" s="174"/>
      <c r="O123" s="174" t="e">
        <f>#REF!</f>
        <v>#REF!</v>
      </c>
      <c r="P123" s="174" t="e">
        <f>#REF!</f>
        <v>#REF!</v>
      </c>
      <c r="Q123" s="174" t="e">
        <f>#REF!</f>
        <v>#REF!</v>
      </c>
      <c r="R123" s="174" t="e">
        <f>#REF!</f>
        <v>#REF!</v>
      </c>
      <c r="S123" s="174" t="e">
        <f>#REF!</f>
        <v>#REF!</v>
      </c>
      <c r="T123" s="174" t="e">
        <f>#REF!</f>
        <v>#REF!</v>
      </c>
      <c r="U123" s="174" t="e">
        <f>#REF!</f>
        <v>#REF!</v>
      </c>
      <c r="V123" s="174" t="e">
        <f>#REF!</f>
        <v>#REF!</v>
      </c>
      <c r="W123" s="174" t="e">
        <f>#REF!</f>
        <v>#REF!</v>
      </c>
      <c r="X123" s="174" t="e">
        <f>#REF!</f>
        <v>#REF!</v>
      </c>
      <c r="Y123" s="174" t="e">
        <f>#REF!</f>
        <v>#REF!</v>
      </c>
      <c r="Z123" s="174" t="e">
        <f>#REF!</f>
        <v>#REF!</v>
      </c>
      <c r="AA123" s="174" t="e">
        <f>#REF!</f>
        <v>#REF!</v>
      </c>
      <c r="AB123" s="174" t="e">
        <f>#REF!</f>
        <v>#REF!</v>
      </c>
      <c r="AC123" s="174" t="e">
        <f>#REF!</f>
        <v>#REF!</v>
      </c>
      <c r="AD123" s="174" t="e">
        <f>#REF!</f>
        <v>#REF!</v>
      </c>
      <c r="AE123" s="174" t="e">
        <f>#REF!</f>
        <v>#REF!</v>
      </c>
      <c r="AF123" s="174">
        <f t="shared" ref="AF123:AH123" si="72">G129</f>
        <v>0</v>
      </c>
      <c r="AG123" s="174">
        <f t="shared" si="72"/>
        <v>0</v>
      </c>
      <c r="AH123" s="509">
        <f t="shared" si="72"/>
        <v>13</v>
      </c>
      <c r="AI123" s="12"/>
      <c r="AJ123" s="50"/>
    </row>
    <row r="124" spans="2:36">
      <c r="B124" s="476" t="s">
        <v>451</v>
      </c>
      <c r="C124" s="88">
        <v>0</v>
      </c>
      <c r="D124" s="88">
        <v>0</v>
      </c>
      <c r="E124" s="88">
        <v>0</v>
      </c>
      <c r="F124" s="34"/>
      <c r="G124" s="34">
        <v>0</v>
      </c>
      <c r="H124" s="34">
        <v>0</v>
      </c>
      <c r="I124" s="34">
        <v>0</v>
      </c>
      <c r="J124" s="34">
        <f>SUM(E124-SUM(G124:I124))</f>
        <v>0</v>
      </c>
      <c r="K124" s="34">
        <v>0</v>
      </c>
      <c r="L124" s="34">
        <v>0</v>
      </c>
      <c r="M124" s="88">
        <v>0</v>
      </c>
      <c r="N124" s="34"/>
      <c r="O124" s="34" t="e">
        <f>SUM(#REF!)</f>
        <v>#REF!</v>
      </c>
      <c r="P124" s="34" t="e">
        <f>SUM(#REF!)</f>
        <v>#REF!</v>
      </c>
      <c r="Q124" s="34" t="e">
        <f>SUM(#REF!)</f>
        <v>#REF!</v>
      </c>
      <c r="R124" s="34" t="e">
        <f>SUM(#REF!)</f>
        <v>#REF!</v>
      </c>
      <c r="S124" s="34" t="e">
        <f>SUM(#REF!)</f>
        <v>#REF!</v>
      </c>
      <c r="T124" s="34" t="e">
        <f>SUM(#REF!)</f>
        <v>#REF!</v>
      </c>
      <c r="U124" s="34" t="e">
        <f>SUM(#REF!)</f>
        <v>#REF!</v>
      </c>
      <c r="V124" s="34" t="e">
        <f>SUM(#REF!)</f>
        <v>#REF!</v>
      </c>
      <c r="W124" s="34" t="e">
        <f>SUM(#REF!)</f>
        <v>#REF!</v>
      </c>
      <c r="X124" s="34" t="e">
        <f>SUM(#REF!)</f>
        <v>#REF!</v>
      </c>
      <c r="Y124" s="34" t="e">
        <f>SUM(#REF!)</f>
        <v>#REF!</v>
      </c>
      <c r="Z124" s="34" t="e">
        <f>SUM(#REF!)</f>
        <v>#REF!</v>
      </c>
      <c r="AA124" s="34" t="e">
        <f>SUM(#REF!)</f>
        <v>#REF!</v>
      </c>
      <c r="AB124" s="34">
        <f>SUM(G124:G124)</f>
        <v>0</v>
      </c>
      <c r="AC124" s="34">
        <f>SUM(G124:H124)</f>
        <v>0</v>
      </c>
      <c r="AD124" s="34">
        <f>SUM(G124:I124)</f>
        <v>0</v>
      </c>
      <c r="AE124" s="34">
        <f t="shared" ref="AE124:AH124" si="73">SUM(G124:J124)</f>
        <v>0</v>
      </c>
      <c r="AF124" s="34">
        <f t="shared" si="73"/>
        <v>0</v>
      </c>
      <c r="AG124" s="34">
        <f t="shared" si="73"/>
        <v>0</v>
      </c>
      <c r="AH124" s="501">
        <f t="shared" si="73"/>
        <v>0</v>
      </c>
      <c r="AI124" s="12"/>
      <c r="AJ124" s="50"/>
    </row>
    <row r="125" spans="2:36">
      <c r="B125" s="170" t="s">
        <v>244</v>
      </c>
      <c r="C125" s="166">
        <f t="shared" ref="C125:E125" si="74">SUM(C123:C124)</f>
        <v>0</v>
      </c>
      <c r="D125" s="166">
        <f t="shared" si="74"/>
        <v>0</v>
      </c>
      <c r="E125" s="166">
        <f t="shared" si="74"/>
        <v>0</v>
      </c>
      <c r="F125" s="34"/>
      <c r="G125" s="166">
        <f t="shared" ref="G125:M125" si="75">SUM(G123:G124)</f>
        <v>0</v>
      </c>
      <c r="H125" s="166">
        <f t="shared" si="75"/>
        <v>0</v>
      </c>
      <c r="I125" s="166">
        <f t="shared" si="75"/>
        <v>0</v>
      </c>
      <c r="J125" s="166">
        <f t="shared" si="75"/>
        <v>13</v>
      </c>
      <c r="K125" s="166">
        <f t="shared" si="75"/>
        <v>21</v>
      </c>
      <c r="L125" s="166">
        <f t="shared" si="75"/>
        <v>21</v>
      </c>
      <c r="M125" s="166">
        <f t="shared" si="75"/>
        <v>21</v>
      </c>
      <c r="N125" s="34"/>
      <c r="O125" s="499" t="e">
        <f t="shared" ref="O125:V125" si="76">SUM(O123:O124)</f>
        <v>#REF!</v>
      </c>
      <c r="P125" s="499" t="e">
        <f t="shared" si="76"/>
        <v>#REF!</v>
      </c>
      <c r="Q125" s="499" t="e">
        <f t="shared" si="76"/>
        <v>#REF!</v>
      </c>
      <c r="R125" s="499" t="e">
        <f t="shared" si="76"/>
        <v>#REF!</v>
      </c>
      <c r="S125" s="499" t="e">
        <f t="shared" si="76"/>
        <v>#REF!</v>
      </c>
      <c r="T125" s="499" t="e">
        <f t="shared" si="76"/>
        <v>#REF!</v>
      </c>
      <c r="U125" s="499" t="e">
        <f t="shared" si="76"/>
        <v>#REF!</v>
      </c>
      <c r="V125" s="499" t="e">
        <f t="shared" si="76"/>
        <v>#REF!</v>
      </c>
      <c r="W125" s="499" t="e">
        <f t="shared" ref="W125:AH125" si="77">SUM(W123:W124)</f>
        <v>#REF!</v>
      </c>
      <c r="X125" s="499" t="e">
        <f t="shared" si="77"/>
        <v>#REF!</v>
      </c>
      <c r="Y125" s="499" t="e">
        <f t="shared" si="77"/>
        <v>#REF!</v>
      </c>
      <c r="Z125" s="499" t="e">
        <f t="shared" si="77"/>
        <v>#REF!</v>
      </c>
      <c r="AA125" s="499" t="e">
        <f t="shared" si="77"/>
        <v>#REF!</v>
      </c>
      <c r="AB125" s="499" t="e">
        <f t="shared" si="77"/>
        <v>#REF!</v>
      </c>
      <c r="AC125" s="499" t="e">
        <f t="shared" si="77"/>
        <v>#REF!</v>
      </c>
      <c r="AD125" s="499" t="e">
        <f t="shared" si="77"/>
        <v>#REF!</v>
      </c>
      <c r="AE125" s="499" t="e">
        <f t="shared" si="77"/>
        <v>#REF!</v>
      </c>
      <c r="AF125" s="499">
        <f t="shared" si="77"/>
        <v>0</v>
      </c>
      <c r="AG125" s="499">
        <f t="shared" si="77"/>
        <v>0</v>
      </c>
      <c r="AH125" s="502">
        <f t="shared" si="77"/>
        <v>13</v>
      </c>
      <c r="AI125" s="12"/>
      <c r="AJ125" s="50"/>
    </row>
    <row r="126" spans="2:36" ht="5.0999999999999996" customHeight="1">
      <c r="B126" s="506"/>
      <c r="C126" s="77"/>
      <c r="D126" s="77"/>
      <c r="E126" s="77"/>
      <c r="F126" s="34"/>
      <c r="G126" s="77"/>
      <c r="H126" s="77"/>
      <c r="I126" s="77"/>
      <c r="J126" s="77"/>
      <c r="K126" s="77"/>
      <c r="L126" s="77"/>
      <c r="M126" s="77"/>
      <c r="N126" s="34"/>
      <c r="O126" s="77"/>
      <c r="P126" s="77"/>
      <c r="Q126" s="77"/>
      <c r="R126" s="77"/>
      <c r="S126" s="77"/>
      <c r="T126" s="77"/>
      <c r="U126" s="77"/>
      <c r="V126" s="77"/>
      <c r="W126" s="77"/>
      <c r="X126" s="77"/>
      <c r="Y126" s="77"/>
      <c r="Z126" s="77"/>
      <c r="AA126" s="77"/>
      <c r="AB126" s="77"/>
      <c r="AC126" s="77"/>
      <c r="AD126" s="77"/>
      <c r="AE126" s="77"/>
      <c r="AF126" s="77"/>
      <c r="AG126" s="77"/>
      <c r="AH126" s="503"/>
      <c r="AI126" s="12"/>
      <c r="AJ126" s="50"/>
    </row>
    <row r="127" spans="2:36">
      <c r="B127" s="476" t="s">
        <v>452</v>
      </c>
      <c r="C127" s="88"/>
      <c r="D127" s="88"/>
      <c r="E127" s="88"/>
      <c r="F127" s="34"/>
      <c r="G127" s="88"/>
      <c r="H127" s="88"/>
      <c r="I127" s="88"/>
      <c r="J127" s="34">
        <f>SUM(E127-SUM(G127:I127))</f>
        <v>0</v>
      </c>
      <c r="K127" s="88"/>
      <c r="L127" s="88"/>
      <c r="M127" s="88"/>
      <c r="N127" s="34"/>
      <c r="O127" s="34" t="e">
        <f>SUM(#REF!)</f>
        <v>#REF!</v>
      </c>
      <c r="P127" s="34" t="e">
        <f>SUM(#REF!)</f>
        <v>#REF!</v>
      </c>
      <c r="Q127" s="34" t="e">
        <f>SUM(#REF!)</f>
        <v>#REF!</v>
      </c>
      <c r="R127" s="34" t="e">
        <f>SUM(#REF!)</f>
        <v>#REF!</v>
      </c>
      <c r="S127" s="34" t="e">
        <f>SUM(#REF!)</f>
        <v>#REF!</v>
      </c>
      <c r="T127" s="34" t="e">
        <f>SUM(#REF!)</f>
        <v>#REF!</v>
      </c>
      <c r="U127" s="34" t="e">
        <f>SUM(#REF!)</f>
        <v>#REF!</v>
      </c>
      <c r="V127" s="34" t="e">
        <f>SUM(#REF!)</f>
        <v>#REF!</v>
      </c>
      <c r="W127" s="34" t="e">
        <f>SUM(#REF!)</f>
        <v>#REF!</v>
      </c>
      <c r="X127" s="34" t="e">
        <f>SUM(#REF!)</f>
        <v>#REF!</v>
      </c>
      <c r="Y127" s="34" t="e">
        <f>SUM(#REF!)</f>
        <v>#REF!</v>
      </c>
      <c r="Z127" s="34" t="e">
        <f>SUM(#REF!)</f>
        <v>#REF!</v>
      </c>
      <c r="AA127" s="34" t="e">
        <f>SUM(#REF!)</f>
        <v>#REF!</v>
      </c>
      <c r="AB127" s="34">
        <f>SUM(G127:G127)</f>
        <v>0</v>
      </c>
      <c r="AC127" s="34">
        <f>SUM(G127:H127)</f>
        <v>0</v>
      </c>
      <c r="AD127" s="34">
        <f>SUM(G127:I127)</f>
        <v>0</v>
      </c>
      <c r="AE127" s="34">
        <f t="shared" ref="AE127:AH128" si="78">SUM(G127:J127)</f>
        <v>0</v>
      </c>
      <c r="AF127" s="34">
        <f t="shared" si="78"/>
        <v>0</v>
      </c>
      <c r="AG127" s="34">
        <f t="shared" si="78"/>
        <v>0</v>
      </c>
      <c r="AH127" s="501">
        <f t="shared" si="78"/>
        <v>0</v>
      </c>
      <c r="AI127" s="12"/>
      <c r="AJ127" s="50"/>
    </row>
    <row r="128" spans="2:36">
      <c r="B128" s="476" t="s">
        <v>78</v>
      </c>
      <c r="C128" s="34">
        <f t="shared" ref="C128:E128" si="79">+C120+C112+C104</f>
        <v>-1035</v>
      </c>
      <c r="D128" s="34">
        <f t="shared" si="79"/>
        <v>-244</v>
      </c>
      <c r="E128" s="34">
        <f t="shared" si="79"/>
        <v>21</v>
      </c>
      <c r="F128" s="34"/>
      <c r="G128" s="34">
        <f t="shared" ref="G128:M128" si="80">+G120+G112+G104</f>
        <v>0</v>
      </c>
      <c r="H128" s="34">
        <f t="shared" si="80"/>
        <v>0</v>
      </c>
      <c r="I128" s="34">
        <f t="shared" si="80"/>
        <v>13</v>
      </c>
      <c r="J128" s="34">
        <f t="shared" si="80"/>
        <v>8</v>
      </c>
      <c r="K128" s="34">
        <f t="shared" si="80"/>
        <v>0</v>
      </c>
      <c r="L128" s="34">
        <f t="shared" si="80"/>
        <v>0</v>
      </c>
      <c r="M128" s="34">
        <f t="shared" si="80"/>
        <v>-95</v>
      </c>
      <c r="N128" s="34"/>
      <c r="O128" s="34" t="e">
        <f>SUM(#REF!)</f>
        <v>#REF!</v>
      </c>
      <c r="P128" s="34" t="e">
        <f>SUM(#REF!)</f>
        <v>#REF!</v>
      </c>
      <c r="Q128" s="34" t="e">
        <f>SUM(#REF!)</f>
        <v>#REF!</v>
      </c>
      <c r="R128" s="34" t="e">
        <f>SUM(#REF!)</f>
        <v>#REF!</v>
      </c>
      <c r="S128" s="34" t="e">
        <f>SUM(#REF!)</f>
        <v>#REF!</v>
      </c>
      <c r="T128" s="34" t="e">
        <f>SUM(#REF!)</f>
        <v>#REF!</v>
      </c>
      <c r="U128" s="34" t="e">
        <f>SUM(#REF!)</f>
        <v>#REF!</v>
      </c>
      <c r="V128" s="34" t="e">
        <f>SUM(#REF!)</f>
        <v>#REF!</v>
      </c>
      <c r="W128" s="34" t="e">
        <f>SUM(#REF!)</f>
        <v>#REF!</v>
      </c>
      <c r="X128" s="34" t="e">
        <f>SUM(#REF!)</f>
        <v>#REF!</v>
      </c>
      <c r="Y128" s="34" t="e">
        <f>SUM(#REF!)</f>
        <v>#REF!</v>
      </c>
      <c r="Z128" s="34" t="e">
        <f>SUM(#REF!)</f>
        <v>#REF!</v>
      </c>
      <c r="AA128" s="34" t="e">
        <f>SUM(#REF!)</f>
        <v>#REF!</v>
      </c>
      <c r="AB128" s="34">
        <f>SUM(G128:G128)</f>
        <v>0</v>
      </c>
      <c r="AC128" s="34">
        <f>SUM(G128:H128)</f>
        <v>0</v>
      </c>
      <c r="AD128" s="34">
        <f>SUM(G128:I128)</f>
        <v>13</v>
      </c>
      <c r="AE128" s="34">
        <f t="shared" si="78"/>
        <v>21</v>
      </c>
      <c r="AF128" s="34">
        <f t="shared" si="78"/>
        <v>21</v>
      </c>
      <c r="AG128" s="34">
        <f t="shared" si="78"/>
        <v>21</v>
      </c>
      <c r="AH128" s="501">
        <f t="shared" si="78"/>
        <v>-87</v>
      </c>
      <c r="AI128" s="12"/>
      <c r="AJ128" s="50"/>
    </row>
    <row r="129" spans="2:36">
      <c r="B129" s="170" t="s">
        <v>245</v>
      </c>
      <c r="C129" s="166">
        <f t="shared" ref="C129:E129" si="81">SUM(C125:C128)</f>
        <v>-1035</v>
      </c>
      <c r="D129" s="166">
        <f t="shared" si="81"/>
        <v>-244</v>
      </c>
      <c r="E129" s="166">
        <f t="shared" si="81"/>
        <v>21</v>
      </c>
      <c r="F129" s="34"/>
      <c r="G129" s="166">
        <f t="shared" ref="G129:M129" si="82">SUM(G125:G128)</f>
        <v>0</v>
      </c>
      <c r="H129" s="166">
        <f t="shared" si="82"/>
        <v>0</v>
      </c>
      <c r="I129" s="166">
        <f t="shared" si="82"/>
        <v>13</v>
      </c>
      <c r="J129" s="166">
        <f t="shared" si="82"/>
        <v>21</v>
      </c>
      <c r="K129" s="166">
        <f t="shared" si="82"/>
        <v>21</v>
      </c>
      <c r="L129" s="166">
        <f t="shared" si="82"/>
        <v>21</v>
      </c>
      <c r="M129" s="166">
        <f t="shared" si="82"/>
        <v>-74</v>
      </c>
      <c r="N129" s="34"/>
      <c r="O129" s="500" t="e">
        <f t="shared" ref="O129:V129" si="83">SUM(O125:O128)</f>
        <v>#REF!</v>
      </c>
      <c r="P129" s="500" t="e">
        <f t="shared" si="83"/>
        <v>#REF!</v>
      </c>
      <c r="Q129" s="500" t="e">
        <f t="shared" si="83"/>
        <v>#REF!</v>
      </c>
      <c r="R129" s="500" t="e">
        <f t="shared" si="83"/>
        <v>#REF!</v>
      </c>
      <c r="S129" s="500" t="e">
        <f t="shared" si="83"/>
        <v>#REF!</v>
      </c>
      <c r="T129" s="500" t="e">
        <f t="shared" si="83"/>
        <v>#REF!</v>
      </c>
      <c r="U129" s="500" t="e">
        <f t="shared" si="83"/>
        <v>#REF!</v>
      </c>
      <c r="V129" s="500" t="e">
        <f t="shared" si="83"/>
        <v>#REF!</v>
      </c>
      <c r="W129" s="500" t="e">
        <f t="shared" ref="W129:AH129" si="84">SUM(W125:W128)</f>
        <v>#REF!</v>
      </c>
      <c r="X129" s="500" t="e">
        <f t="shared" si="84"/>
        <v>#REF!</v>
      </c>
      <c r="Y129" s="500" t="e">
        <f t="shared" si="84"/>
        <v>#REF!</v>
      </c>
      <c r="Z129" s="500" t="e">
        <f t="shared" si="84"/>
        <v>#REF!</v>
      </c>
      <c r="AA129" s="500" t="e">
        <f t="shared" si="84"/>
        <v>#REF!</v>
      </c>
      <c r="AB129" s="500" t="e">
        <f t="shared" si="84"/>
        <v>#REF!</v>
      </c>
      <c r="AC129" s="500" t="e">
        <f t="shared" si="84"/>
        <v>#REF!</v>
      </c>
      <c r="AD129" s="500" t="e">
        <f t="shared" si="84"/>
        <v>#REF!</v>
      </c>
      <c r="AE129" s="500" t="e">
        <f t="shared" si="84"/>
        <v>#REF!</v>
      </c>
      <c r="AF129" s="500">
        <f t="shared" si="84"/>
        <v>21</v>
      </c>
      <c r="AG129" s="500">
        <f t="shared" si="84"/>
        <v>21</v>
      </c>
      <c r="AH129" s="504">
        <f t="shared" si="84"/>
        <v>-74</v>
      </c>
      <c r="AI129" s="12"/>
      <c r="AJ129" s="50"/>
    </row>
    <row r="130" spans="2:36" ht="5.0999999999999996" customHeight="1">
      <c r="B130" s="171"/>
      <c r="C130" s="71"/>
      <c r="D130" s="71"/>
      <c r="E130" s="71"/>
      <c r="F130" s="34"/>
      <c r="G130" s="71"/>
      <c r="H130" s="71"/>
      <c r="I130" s="71"/>
      <c r="J130" s="71"/>
      <c r="K130" s="71"/>
      <c r="L130" s="71"/>
      <c r="M130" s="71"/>
      <c r="O130" s="12"/>
      <c r="P130" s="12"/>
      <c r="Q130" s="12"/>
      <c r="R130" s="12"/>
      <c r="S130" s="12"/>
      <c r="T130" s="12"/>
      <c r="U130" s="12"/>
      <c r="V130" s="12"/>
      <c r="W130" s="12"/>
      <c r="X130" s="12"/>
      <c r="Y130" s="12"/>
      <c r="Z130" s="12"/>
      <c r="AA130" s="12"/>
      <c r="AB130" s="12"/>
      <c r="AC130" s="12"/>
      <c r="AD130" s="12"/>
      <c r="AE130" s="12"/>
      <c r="AF130" s="12"/>
      <c r="AG130" s="172"/>
      <c r="AH130" s="172"/>
      <c r="AI130" s="12"/>
      <c r="AJ130" s="50"/>
    </row>
    <row r="131" spans="2:36">
      <c r="B131" s="507" t="s">
        <v>535</v>
      </c>
      <c r="C131" s="168">
        <f>C129-C43</f>
        <v>-1035</v>
      </c>
      <c r="D131" s="168">
        <f>D129-D43</f>
        <v>-2635</v>
      </c>
      <c r="E131" s="168">
        <f>E129-E43</f>
        <v>-3222</v>
      </c>
      <c r="F131" s="169"/>
      <c r="G131" s="168">
        <f>G129-G43</f>
        <v>0</v>
      </c>
      <c r="H131" s="168">
        <f>H129-H43</f>
        <v>0</v>
      </c>
      <c r="I131" s="168">
        <f>I129-I43</f>
        <v>-3230</v>
      </c>
      <c r="J131" s="168">
        <f>J129-J43</f>
        <v>-3222</v>
      </c>
      <c r="K131" s="168">
        <f>K129-K43</f>
        <v>21</v>
      </c>
      <c r="L131" s="168">
        <f>L129-L43</f>
        <v>21</v>
      </c>
      <c r="M131" s="168">
        <f>M129-M43</f>
        <v>-6869</v>
      </c>
      <c r="N131" s="168"/>
      <c r="O131" s="168" t="e">
        <f>O129-O43</f>
        <v>#REF!</v>
      </c>
      <c r="P131" s="168" t="e">
        <f>P129-P43</f>
        <v>#REF!</v>
      </c>
      <c r="Q131" s="168" t="e">
        <f>Q129-Q43</f>
        <v>#REF!</v>
      </c>
      <c r="R131" s="168" t="e">
        <f>R129-R43</f>
        <v>#REF!</v>
      </c>
      <c r="S131" s="168" t="e">
        <f>S129-S43</f>
        <v>#REF!</v>
      </c>
      <c r="T131" s="168" t="e">
        <f>T129-T43</f>
        <v>#REF!</v>
      </c>
      <c r="U131" s="168" t="e">
        <f>U129-U43</f>
        <v>#REF!</v>
      </c>
      <c r="V131" s="168" t="e">
        <f>V129-V43</f>
        <v>#REF!</v>
      </c>
      <c r="W131" s="168" t="e">
        <f>W129-W43</f>
        <v>#REF!</v>
      </c>
      <c r="X131" s="168" t="e">
        <f>X129-X43</f>
        <v>#REF!</v>
      </c>
      <c r="Y131" s="168" t="e">
        <f>Y129-Y43</f>
        <v>#REF!</v>
      </c>
      <c r="Z131" s="168" t="e">
        <f>Z129-Z43</f>
        <v>#REF!</v>
      </c>
      <c r="AA131" s="168" t="e">
        <f>AA129-AA43</f>
        <v>#REF!</v>
      </c>
      <c r="AB131" s="168" t="e">
        <f>AB129-AB43</f>
        <v>#REF!</v>
      </c>
      <c r="AC131" s="168" t="e">
        <f>AC129-AC43</f>
        <v>#REF!</v>
      </c>
      <c r="AD131" s="168" t="e">
        <f>AD129-AD43</f>
        <v>#REF!</v>
      </c>
      <c r="AE131" s="168" t="e">
        <f>AE129-AE43</f>
        <v>#REF!</v>
      </c>
      <c r="AF131" s="168">
        <f>AF129-AF43</f>
        <v>21</v>
      </c>
      <c r="AG131" s="168">
        <f>AG129-AG43</f>
        <v>21</v>
      </c>
      <c r="AH131" s="505">
        <f>AH129-AH43</f>
        <v>-6869</v>
      </c>
      <c r="AI131" s="12"/>
      <c r="AJ131" s="50"/>
    </row>
    <row r="132" spans="2:36" ht="5.0999999999999996" customHeight="1">
      <c r="B132" s="8"/>
      <c r="C132" s="71"/>
      <c r="D132" s="71"/>
      <c r="E132" s="71"/>
      <c r="F132" s="34"/>
      <c r="G132" s="71"/>
      <c r="H132" s="71"/>
      <c r="I132" s="71"/>
      <c r="J132" s="71"/>
      <c r="K132" s="71"/>
      <c r="L132" s="71"/>
      <c r="M132" s="71"/>
      <c r="O132" s="12"/>
      <c r="P132" s="12"/>
      <c r="Q132" s="12"/>
      <c r="R132" s="12"/>
      <c r="S132" s="12"/>
      <c r="T132" s="12"/>
      <c r="U132" s="12"/>
      <c r="V132" s="12"/>
      <c r="W132" s="12"/>
      <c r="X132" s="12"/>
      <c r="Y132" s="12"/>
      <c r="Z132" s="12"/>
      <c r="AA132" s="12"/>
      <c r="AB132" s="12"/>
      <c r="AC132" s="12"/>
      <c r="AD132" s="12"/>
      <c r="AE132" s="12"/>
      <c r="AF132" s="12"/>
      <c r="AG132" s="12"/>
      <c r="AH132" s="12"/>
      <c r="AI132" s="12"/>
      <c r="AJ132" s="50"/>
    </row>
    <row r="133" spans="2:36" ht="12.75" customHeight="1">
      <c r="B133" s="78" t="s">
        <v>79</v>
      </c>
      <c r="C133" s="67"/>
      <c r="D133" s="67"/>
      <c r="E133" s="67"/>
      <c r="F133" s="12"/>
      <c r="G133" s="67"/>
      <c r="H133" s="67"/>
      <c r="I133" s="67"/>
      <c r="J133" s="67"/>
      <c r="K133" s="88"/>
      <c r="L133" s="67"/>
      <c r="M133" s="67"/>
      <c r="O133" s="67"/>
      <c r="P133" s="67"/>
      <c r="Q133" s="67"/>
      <c r="R133" s="67"/>
      <c r="S133" s="67"/>
      <c r="T133" s="67"/>
      <c r="U133" s="67"/>
      <c r="V133" s="67"/>
      <c r="W133" s="67"/>
      <c r="X133" s="67"/>
      <c r="Y133" s="67"/>
      <c r="Z133" s="67"/>
      <c r="AA133" s="67"/>
      <c r="AB133" s="67"/>
      <c r="AC133" s="67"/>
      <c r="AD133" s="67"/>
      <c r="AE133" s="67"/>
      <c r="AF133" s="67"/>
      <c r="AG133" s="67"/>
      <c r="AH133" s="67"/>
      <c r="AI133" s="72"/>
      <c r="AJ133" s="50"/>
    </row>
    <row r="134" spans="2:36" ht="12.75" customHeight="1">
      <c r="B134" s="8" t="s">
        <v>497</v>
      </c>
      <c r="C134" s="88"/>
      <c r="D134" s="88"/>
      <c r="E134" s="88"/>
      <c r="F134" s="34"/>
      <c r="G134" s="34">
        <f>$E$134/4</f>
        <v>0</v>
      </c>
      <c r="H134" s="34">
        <f>$E$134/4</f>
        <v>0</v>
      </c>
      <c r="I134" s="34">
        <f>$E$134/4</f>
        <v>0</v>
      </c>
      <c r="J134" s="34">
        <f>SUM(E134-SUM(G134:I134))</f>
        <v>0</v>
      </c>
      <c r="K134" s="34">
        <f>J134</f>
        <v>0</v>
      </c>
      <c r="L134" s="34">
        <f>K134</f>
        <v>0</v>
      </c>
      <c r="M134" s="34">
        <f>L134</f>
        <v>0</v>
      </c>
      <c r="N134" s="34"/>
      <c r="O134" s="34" t="e">
        <f>SUM(#REF!)</f>
        <v>#REF!</v>
      </c>
      <c r="P134" s="34" t="e">
        <f>SUM(#REF!)</f>
        <v>#REF!</v>
      </c>
      <c r="Q134" s="34" t="e">
        <f>SUM(#REF!)</f>
        <v>#REF!</v>
      </c>
      <c r="R134" s="34" t="e">
        <f>SUM(#REF!)</f>
        <v>#REF!</v>
      </c>
      <c r="S134" s="34" t="e">
        <f>SUM(#REF!)</f>
        <v>#REF!</v>
      </c>
      <c r="T134" s="34" t="e">
        <f>SUM(#REF!)</f>
        <v>#REF!</v>
      </c>
      <c r="U134" s="34" t="e">
        <f>SUM(#REF!)</f>
        <v>#REF!</v>
      </c>
      <c r="V134" s="34" t="e">
        <f>SUM(#REF!)</f>
        <v>#REF!</v>
      </c>
      <c r="W134" s="34" t="e">
        <f>SUM(#REF!)</f>
        <v>#REF!</v>
      </c>
      <c r="X134" s="34" t="e">
        <f>SUM(#REF!)</f>
        <v>#REF!</v>
      </c>
      <c r="Y134" s="34" t="e">
        <f>SUM(#REF!)</f>
        <v>#REF!</v>
      </c>
      <c r="Z134" s="34" t="e">
        <f>SUM(#REF!)</f>
        <v>#REF!</v>
      </c>
      <c r="AA134" s="34" t="e">
        <f>SUM(#REF!)</f>
        <v>#REF!</v>
      </c>
      <c r="AB134" s="34">
        <f>SUM(G134:G134)</f>
        <v>0</v>
      </c>
      <c r="AC134" s="34">
        <f>SUM(G134:H134)</f>
        <v>0</v>
      </c>
      <c r="AD134" s="34">
        <f>SUM(G134:I134)</f>
        <v>0</v>
      </c>
      <c r="AE134" s="34">
        <f t="shared" ref="AE134:AH134" si="85">SUM(G134:J134)</f>
        <v>0</v>
      </c>
      <c r="AF134" s="34">
        <f t="shared" si="85"/>
        <v>0</v>
      </c>
      <c r="AG134" s="34">
        <f t="shared" si="85"/>
        <v>0</v>
      </c>
      <c r="AH134" s="34">
        <f t="shared" si="85"/>
        <v>0</v>
      </c>
      <c r="AI134" s="12"/>
      <c r="AJ134" s="50"/>
    </row>
    <row r="135" spans="2:36" ht="5.0999999999999996" customHeight="1" thickBot="1">
      <c r="B135" s="79"/>
      <c r="C135" s="80"/>
      <c r="D135" s="80"/>
      <c r="E135" s="80"/>
      <c r="F135" s="79"/>
      <c r="G135" s="79"/>
      <c r="H135" s="79"/>
      <c r="I135" s="79"/>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J135" s="50"/>
    </row>
    <row r="136" spans="2:36" ht="12.75" customHeight="1">
      <c r="B136" s="573" t="s">
        <v>498</v>
      </c>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475"/>
      <c r="AJ136" s="50"/>
    </row>
    <row r="137" spans="2:36" ht="12.75" customHeight="1">
      <c r="B137" s="58"/>
      <c r="C137" s="73"/>
      <c r="D137" s="73"/>
      <c r="E137" s="73"/>
    </row>
    <row r="138" spans="2:36" ht="12.75" customHeight="1">
      <c r="C138" s="61"/>
      <c r="D138" s="61"/>
      <c r="E138" s="61"/>
    </row>
    <row r="139" spans="2:36" ht="12.75" customHeight="1">
      <c r="C139" s="61"/>
      <c r="D139" s="61"/>
      <c r="E139" s="61"/>
    </row>
    <row r="140" spans="2:36" ht="12.75" customHeight="1">
      <c r="C140" s="61"/>
      <c r="D140" s="61"/>
      <c r="E140" s="61"/>
    </row>
    <row r="141" spans="2:36" ht="12.75" customHeight="1">
      <c r="C141" s="61"/>
      <c r="D141" s="61"/>
      <c r="E141" s="61"/>
    </row>
    <row r="142" spans="2:36" ht="12.75" customHeight="1">
      <c r="C142" s="61"/>
      <c r="D142" s="61"/>
      <c r="E142" s="61"/>
      <c r="G142" s="167"/>
      <c r="H142" s="167"/>
    </row>
    <row r="143" spans="2:36" ht="12.75" customHeight="1">
      <c r="C143" s="61"/>
      <c r="D143" s="61"/>
      <c r="E143" s="61"/>
    </row>
    <row r="144" spans="2:36" ht="12.75" customHeight="1">
      <c r="C144" s="61"/>
      <c r="D144" s="61"/>
      <c r="E144" s="61"/>
      <c r="G144" s="167"/>
      <c r="H144" s="167"/>
    </row>
    <row r="145" spans="7:8">
      <c r="G145" s="167"/>
      <c r="H145" s="167"/>
    </row>
    <row r="146" spans="7:8">
      <c r="G146" s="167"/>
      <c r="H146" s="167"/>
    </row>
    <row r="148" spans="7:8">
      <c r="G148" s="167"/>
      <c r="H148" s="167"/>
    </row>
    <row r="149" spans="7:8">
      <c r="G149" s="167"/>
      <c r="H149" s="167"/>
    </row>
  </sheetData>
  <mergeCells count="4">
    <mergeCell ref="B136:AG136"/>
    <mergeCell ref="AJ6:AJ8"/>
    <mergeCell ref="AJ38:AJ40"/>
    <mergeCell ref="AJ83:AJ85"/>
  </mergeCells>
  <dataValidations disablePrompts="1" count="1">
    <dataValidation type="list" allowBlank="1" showInputMessage="1" showErrorMessage="1" sqref="B4" xr:uid="{95A5AB56-0215-4703-953B-CB353CAB6883}">
      <formula1>"$ bns except per share, $ mm except per share,$ in thousands except per share"</formula1>
    </dataValidation>
  </dataValidations>
  <pageMargins left="0.7" right="0.7" top="0.75" bottom="0.75" header="0.3" footer="0.3"/>
  <ignoredErrors>
    <ignoredError sqref="AG17:AG18 AG33 F47 S25:AE27 J107 J110:J111 W107:AC107 S28:AE31" formulaRange="1"/>
    <ignoredError sqref="AJ113:AJ114 AJ105:AJ106 C17:E18 C25:E26 C28:E30 C32:E34 G17:M18 G24:M26 G32:M34 G28:M30 J31 J27 AD35:AH36" evalErro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0DE3B-E141-483B-A529-0B7542C29209}">
  <sheetPr>
    <tabColor theme="5" tint="-0.249977111117893"/>
  </sheetPr>
  <dimension ref="A1:AO69"/>
  <sheetViews>
    <sheetView showGridLines="0" zoomScale="115" zoomScaleNormal="115" workbookViewId="0">
      <selection activeCell="B2" sqref="B2"/>
    </sheetView>
  </sheetViews>
  <sheetFormatPr defaultRowHeight="14.25" outlineLevelRow="1" outlineLevelCol="1"/>
  <cols>
    <col min="1" max="1" width="1.75" bestFit="1" customWidth="1"/>
    <col min="2" max="2" width="47" bestFit="1" customWidth="1"/>
    <col min="3" max="5" width="8.625" customWidth="1" outlineLevel="1"/>
    <col min="6" max="6" width="1.625" customWidth="1"/>
    <col min="7" max="8" width="7.875" customWidth="1" outlineLevel="1"/>
    <col min="9" max="9" width="7.875" bestFit="1" customWidth="1"/>
    <col min="10" max="10" width="8.625" bestFit="1" customWidth="1"/>
    <col min="11" max="13" width="7.875" bestFit="1" customWidth="1"/>
    <col min="14" max="14" width="1.625" customWidth="1"/>
    <col min="15" max="15" width="8.625" hidden="1" customWidth="1" outlineLevel="1"/>
    <col min="16" max="17" width="7.125" hidden="1" customWidth="1" outlineLevel="1"/>
    <col min="18" max="18" width="7.875" hidden="1" customWidth="1" outlineLevel="1"/>
    <col min="19" max="19" width="8.625" hidden="1" customWidth="1" outlineLevel="1"/>
    <col min="20" max="21" width="7.125" hidden="1" customWidth="1" outlineLevel="1"/>
    <col min="22" max="22" width="7.875" hidden="1" customWidth="1" outlineLevel="1"/>
    <col min="23" max="23" width="8.625" hidden="1" customWidth="1" outlineLevel="1"/>
    <col min="24" max="25" width="7.875" hidden="1" customWidth="1" outlineLevel="1"/>
    <col min="26" max="26" width="7.875" bestFit="1" customWidth="1" collapsed="1"/>
    <col min="27" max="27" width="8.625" hidden="1" customWidth="1" outlineLevel="1"/>
    <col min="28" max="29" width="7.875" hidden="1" customWidth="1" outlineLevel="1"/>
    <col min="30" max="30" width="7.875" bestFit="1" customWidth="1" collapsed="1"/>
  </cols>
  <sheetData>
    <row r="1" spans="1:30" s="5" customFormat="1" ht="12"/>
    <row r="2" spans="1:30" s="5" customFormat="1" ht="12.75" customHeight="1">
      <c r="B2" s="1" t="str">
        <f>'Historical Financials'!B2</f>
        <v>Klarna Group plc (KLAR)</v>
      </c>
      <c r="C2" s="370"/>
      <c r="D2" s="370"/>
      <c r="E2" s="370"/>
      <c r="F2" s="3"/>
      <c r="G2" s="370"/>
      <c r="H2" s="370"/>
      <c r="I2" s="370"/>
      <c r="J2" s="370"/>
      <c r="K2" s="370"/>
      <c r="L2" s="370"/>
      <c r="M2" s="370"/>
      <c r="N2" s="3"/>
      <c r="O2" s="370"/>
      <c r="P2" s="370"/>
      <c r="Q2" s="370"/>
      <c r="R2" s="370"/>
      <c r="S2" s="370"/>
      <c r="T2" s="370"/>
      <c r="U2" s="370"/>
      <c r="V2" s="370"/>
      <c r="W2" s="370"/>
      <c r="X2" s="370"/>
      <c r="Y2" s="370"/>
      <c r="Z2" s="370"/>
      <c r="AA2" s="370"/>
      <c r="AB2" s="370"/>
      <c r="AC2" s="370"/>
      <c r="AD2" s="370"/>
    </row>
    <row r="3" spans="1:30" s="5" customFormat="1" ht="12.75" customHeight="1">
      <c r="B3" s="6" t="s">
        <v>504</v>
      </c>
      <c r="C3" s="7"/>
      <c r="D3" s="7"/>
      <c r="E3" s="7"/>
      <c r="F3" s="3"/>
      <c r="G3" s="4"/>
      <c r="H3" s="4"/>
      <c r="I3" s="4"/>
      <c r="J3" s="4"/>
      <c r="K3" s="4"/>
      <c r="L3" s="4"/>
      <c r="M3" s="4"/>
      <c r="N3" s="3"/>
      <c r="O3" s="4"/>
      <c r="P3" s="4"/>
      <c r="Q3" s="4"/>
      <c r="R3" s="4"/>
      <c r="S3" s="4"/>
      <c r="T3" s="4"/>
      <c r="U3" s="4"/>
      <c r="V3" s="4"/>
      <c r="W3" s="4"/>
      <c r="X3" s="4"/>
      <c r="Y3" s="4"/>
      <c r="Z3" s="4"/>
      <c r="AA3" s="4"/>
      <c r="AB3" s="4"/>
      <c r="AC3" s="4"/>
      <c r="AD3" s="4"/>
    </row>
    <row r="4" spans="1:30" s="5" customFormat="1" ht="12.75" customHeight="1">
      <c r="B4" s="487" t="s">
        <v>509</v>
      </c>
      <c r="C4" s="3"/>
      <c r="D4" s="3"/>
      <c r="E4" s="3"/>
      <c r="F4" s="3"/>
      <c r="G4" s="3"/>
      <c r="H4" s="3"/>
      <c r="I4" s="3"/>
      <c r="J4" s="3"/>
      <c r="K4" s="3"/>
      <c r="L4" s="3"/>
      <c r="M4" s="3"/>
      <c r="N4" s="3"/>
      <c r="O4" s="3"/>
      <c r="P4" s="3"/>
      <c r="Q4" s="3"/>
      <c r="R4" s="3"/>
      <c r="S4" s="3"/>
      <c r="T4" s="3"/>
      <c r="U4" s="3"/>
      <c r="V4" s="3"/>
      <c r="W4" s="3"/>
      <c r="X4" s="3"/>
      <c r="Y4" s="3"/>
      <c r="Z4" s="3"/>
      <c r="AA4" s="3"/>
      <c r="AB4" s="3"/>
      <c r="AC4" s="3"/>
      <c r="AD4" s="3"/>
    </row>
    <row r="5" spans="1:30" s="5" customFormat="1" ht="5.0999999999999996" customHeight="1">
      <c r="B5" s="494"/>
      <c r="C5" s="355"/>
      <c r="D5" s="355"/>
      <c r="E5" s="355"/>
      <c r="F5" s="355"/>
      <c r="G5" s="355"/>
      <c r="H5" s="355"/>
      <c r="I5" s="355"/>
      <c r="J5" s="355"/>
      <c r="K5" s="355"/>
      <c r="L5" s="355"/>
      <c r="M5" s="355"/>
      <c r="N5" s="355"/>
      <c r="O5" s="355"/>
      <c r="P5" s="355"/>
      <c r="Q5" s="355"/>
      <c r="R5" s="355"/>
      <c r="S5" s="355"/>
      <c r="T5" s="355"/>
      <c r="U5" s="355"/>
      <c r="V5" s="355"/>
      <c r="W5" s="355"/>
      <c r="X5" s="355"/>
      <c r="Y5" s="355"/>
      <c r="Z5" s="355"/>
      <c r="AA5" s="355"/>
      <c r="AB5" s="355"/>
      <c r="AC5" s="355"/>
      <c r="AD5" s="355"/>
    </row>
    <row r="6" spans="1:30" s="5" customFormat="1" ht="12.75" customHeight="1">
      <c r="B6" s="38" t="s">
        <v>527</v>
      </c>
      <c r="C6" s="496">
        <v>1</v>
      </c>
      <c r="D6" s="355"/>
      <c r="E6" s="355"/>
      <c r="F6" s="355"/>
      <c r="G6" s="355"/>
      <c r="H6" s="355"/>
      <c r="I6" s="355"/>
      <c r="J6" s="355"/>
      <c r="K6" s="355"/>
      <c r="L6" s="355"/>
      <c r="M6" s="355"/>
      <c r="N6" s="355"/>
      <c r="O6" s="355"/>
      <c r="P6" s="355"/>
      <c r="Q6" s="355"/>
      <c r="R6" s="355"/>
      <c r="S6" s="355"/>
      <c r="T6" s="355"/>
      <c r="U6" s="355"/>
      <c r="V6" s="355"/>
      <c r="W6" s="355"/>
      <c r="X6" s="355"/>
      <c r="Y6" s="355"/>
      <c r="Z6" s="355"/>
      <c r="AA6" s="355"/>
      <c r="AB6" s="355"/>
      <c r="AC6" s="355"/>
      <c r="AD6" s="355"/>
    </row>
    <row r="7" spans="1:30" s="5" customFormat="1" ht="12.75" customHeight="1">
      <c r="B7" s="122" t="s">
        <v>531</v>
      </c>
      <c r="C7" s="497">
        <v>20</v>
      </c>
      <c r="D7" s="355"/>
      <c r="E7" s="355"/>
      <c r="F7" s="355"/>
      <c r="G7" s="355"/>
      <c r="H7" s="355"/>
      <c r="I7" s="355"/>
      <c r="J7" s="355"/>
      <c r="K7" s="355"/>
      <c r="L7" s="355"/>
      <c r="M7" s="355"/>
      <c r="N7" s="355"/>
      <c r="O7" s="355"/>
      <c r="P7" s="355"/>
      <c r="Q7" s="355"/>
      <c r="R7" s="355"/>
      <c r="S7" s="355"/>
      <c r="T7" s="355"/>
      <c r="U7" s="355"/>
      <c r="V7" s="355"/>
      <c r="W7" s="355"/>
      <c r="X7" s="355"/>
      <c r="Y7" s="355"/>
      <c r="Z7" s="355"/>
      <c r="AA7" s="355"/>
      <c r="AB7" s="355"/>
      <c r="AC7" s="355"/>
      <c r="AD7" s="355"/>
    </row>
    <row r="8" spans="1:30" s="5" customFormat="1" ht="12.75" customHeight="1">
      <c r="B8" s="122" t="s">
        <v>532</v>
      </c>
      <c r="C8" s="498" t="s">
        <v>34</v>
      </c>
      <c r="D8" s="355"/>
      <c r="E8" s="355"/>
      <c r="F8" s="355"/>
      <c r="G8" s="355"/>
      <c r="H8" s="355"/>
      <c r="I8" s="355"/>
      <c r="J8" s="355"/>
      <c r="K8" s="355"/>
      <c r="L8" s="355"/>
      <c r="M8" s="355"/>
      <c r="N8" s="355"/>
      <c r="O8" s="355"/>
      <c r="P8" s="355"/>
      <c r="Q8" s="355"/>
      <c r="R8" s="355"/>
      <c r="S8" s="355"/>
      <c r="T8" s="355"/>
      <c r="U8" s="355"/>
      <c r="V8" s="355"/>
      <c r="W8" s="355"/>
      <c r="X8" s="355"/>
      <c r="Y8" s="355"/>
      <c r="Z8" s="355"/>
      <c r="AA8" s="355"/>
      <c r="AB8" s="355"/>
      <c r="AC8" s="355"/>
      <c r="AD8" s="355"/>
    </row>
    <row r="9" spans="1:30" s="5" customFormat="1" ht="5.0999999999999996" customHeight="1"/>
    <row r="10" spans="1:30" s="5" customFormat="1" ht="12.75" customHeight="1">
      <c r="B10" s="1" t="s">
        <v>510</v>
      </c>
      <c r="C10" s="2" t="s">
        <v>0</v>
      </c>
      <c r="D10" s="2"/>
      <c r="E10" s="2"/>
      <c r="F10" s="3"/>
      <c r="G10" s="2"/>
      <c r="H10" s="2"/>
      <c r="I10" s="2" t="s">
        <v>1</v>
      </c>
      <c r="J10" s="2"/>
      <c r="K10" s="2"/>
      <c r="L10" s="2"/>
      <c r="M10" s="2"/>
      <c r="N10" s="3"/>
      <c r="O10" s="2"/>
      <c r="P10" s="2"/>
      <c r="Q10" s="2"/>
      <c r="R10" s="2"/>
      <c r="S10" s="2"/>
      <c r="T10" s="2"/>
      <c r="U10" s="2"/>
      <c r="V10" s="2"/>
      <c r="W10" s="2"/>
      <c r="X10" s="2"/>
      <c r="Y10" s="2" t="s">
        <v>6</v>
      </c>
      <c r="Z10" s="2" t="s">
        <v>6</v>
      </c>
      <c r="AA10" s="2"/>
      <c r="AB10" s="2"/>
      <c r="AC10" s="2"/>
      <c r="AD10" s="2"/>
    </row>
    <row r="11" spans="1:30" s="5" customFormat="1" ht="12.75" customHeight="1">
      <c r="B11" s="6" t="s">
        <v>409</v>
      </c>
      <c r="C11" s="7">
        <v>2022</v>
      </c>
      <c r="D11" s="7">
        <v>2023</v>
      </c>
      <c r="E11" s="7">
        <v>2024</v>
      </c>
      <c r="F11" s="3"/>
      <c r="G11" s="4" t="s">
        <v>2</v>
      </c>
      <c r="H11" s="4" t="s">
        <v>3</v>
      </c>
      <c r="I11" s="4" t="s">
        <v>4</v>
      </c>
      <c r="J11" s="4" t="s">
        <v>5</v>
      </c>
      <c r="K11" s="4" t="s">
        <v>35</v>
      </c>
      <c r="L11" s="4" t="s">
        <v>36</v>
      </c>
      <c r="M11" s="4" t="s">
        <v>81</v>
      </c>
      <c r="N11" s="3"/>
      <c r="O11" s="4" t="e">
        <f>#REF!</f>
        <v>#REF!</v>
      </c>
      <c r="P11" s="4" t="e">
        <f>#REF!</f>
        <v>#REF!</v>
      </c>
      <c r="Q11" s="4" t="e">
        <f>#REF!</f>
        <v>#REF!</v>
      </c>
      <c r="R11" s="4" t="e">
        <f>#REF!</f>
        <v>#REF!</v>
      </c>
      <c r="S11" s="4" t="e">
        <f>#REF!</f>
        <v>#REF!</v>
      </c>
      <c r="T11" s="4" t="e">
        <f>#REF!</f>
        <v>#REF!</v>
      </c>
      <c r="U11" s="4" t="e">
        <f>#REF!</f>
        <v>#REF!</v>
      </c>
      <c r="V11" s="4" t="e">
        <f>#REF!</f>
        <v>#REF!</v>
      </c>
      <c r="W11" s="4" t="e">
        <f>#REF!</f>
        <v>#REF!</v>
      </c>
      <c r="X11" s="4" t="str">
        <f t="shared" ref="X11:AD12" si="0">G11</f>
        <v>1Q24</v>
      </c>
      <c r="Y11" s="4" t="str">
        <f t="shared" si="0"/>
        <v>2Q24</v>
      </c>
      <c r="Z11" s="4" t="str">
        <f t="shared" si="0"/>
        <v>3Q24</v>
      </c>
      <c r="AA11" s="4" t="str">
        <f t="shared" si="0"/>
        <v>4Q24</v>
      </c>
      <c r="AB11" s="4" t="str">
        <f t="shared" si="0"/>
        <v>1Q25</v>
      </c>
      <c r="AC11" s="4" t="str">
        <f t="shared" si="0"/>
        <v>2Q25</v>
      </c>
      <c r="AD11" s="4" t="str">
        <f t="shared" si="0"/>
        <v>3Q25</v>
      </c>
    </row>
    <row r="12" spans="1:30" s="5" customFormat="1" ht="12.75" customHeight="1">
      <c r="B12" s="6" t="s">
        <v>410</v>
      </c>
      <c r="C12" s="3">
        <v>44926</v>
      </c>
      <c r="D12" s="165">
        <v>45291</v>
      </c>
      <c r="E12" s="3">
        <v>45657</v>
      </c>
      <c r="F12" s="3"/>
      <c r="G12" s="3">
        <v>45381</v>
      </c>
      <c r="H12" s="3">
        <v>45472</v>
      </c>
      <c r="I12" s="3">
        <v>45563</v>
      </c>
      <c r="J12" s="3">
        <v>45657</v>
      </c>
      <c r="K12" s="3">
        <v>45745</v>
      </c>
      <c r="L12" s="3">
        <v>45836</v>
      </c>
      <c r="M12" s="3">
        <v>45927</v>
      </c>
      <c r="N12" s="3"/>
      <c r="O12" s="3" t="e">
        <f>#REF!</f>
        <v>#REF!</v>
      </c>
      <c r="P12" s="3" t="e">
        <f>#REF!</f>
        <v>#REF!</v>
      </c>
      <c r="Q12" s="3" t="e">
        <f>#REF!</f>
        <v>#REF!</v>
      </c>
      <c r="R12" s="3" t="e">
        <f>#REF!</f>
        <v>#REF!</v>
      </c>
      <c r="S12" s="3" t="e">
        <f>#REF!</f>
        <v>#REF!</v>
      </c>
      <c r="T12" s="3" t="e">
        <f>#REF!</f>
        <v>#REF!</v>
      </c>
      <c r="U12" s="3" t="e">
        <f>#REF!</f>
        <v>#REF!</v>
      </c>
      <c r="V12" s="3" t="e">
        <f>#REF!</f>
        <v>#REF!</v>
      </c>
      <c r="W12" s="3" t="e">
        <f>#REF!</f>
        <v>#REF!</v>
      </c>
      <c r="X12" s="3">
        <f t="shared" si="0"/>
        <v>45381</v>
      </c>
      <c r="Y12" s="3">
        <f t="shared" si="0"/>
        <v>45472</v>
      </c>
      <c r="Z12" s="3">
        <f t="shared" si="0"/>
        <v>45563</v>
      </c>
      <c r="AA12" s="3">
        <f t="shared" si="0"/>
        <v>45657</v>
      </c>
      <c r="AB12" s="3">
        <f t="shared" si="0"/>
        <v>45745</v>
      </c>
      <c r="AC12" s="3">
        <f t="shared" si="0"/>
        <v>45836</v>
      </c>
      <c r="AD12" s="3">
        <f t="shared" si="0"/>
        <v>45927</v>
      </c>
    </row>
    <row r="13" spans="1:30" ht="5.0999999999999996" customHeight="1"/>
    <row r="14" spans="1:30" ht="15" thickBot="1">
      <c r="A14" s="5" t="s">
        <v>19</v>
      </c>
      <c r="B14" s="481" t="s">
        <v>516</v>
      </c>
    </row>
    <row r="15" spans="1:30" ht="5.0999999999999996" customHeight="1"/>
    <row r="16" spans="1:30">
      <c r="B16" s="483" t="s">
        <v>518</v>
      </c>
      <c r="C16" s="34">
        <f>C29+C35+C41</f>
        <v>15464</v>
      </c>
      <c r="D16" s="34">
        <f t="shared" ref="D16:E16" si="1">D29+D35+D41</f>
        <v>17190</v>
      </c>
      <c r="E16" s="34">
        <f t="shared" si="1"/>
        <v>19804</v>
      </c>
      <c r="G16" s="34">
        <f t="shared" ref="G16:M16" si="2">G29+G35+G41</f>
        <v>10793</v>
      </c>
      <c r="H16" s="34">
        <f t="shared" si="2"/>
        <v>10743</v>
      </c>
      <c r="I16" s="34">
        <f t="shared" si="2"/>
        <v>11929</v>
      </c>
      <c r="J16" s="34" t="e">
        <f t="shared" si="2"/>
        <v>#REF!</v>
      </c>
      <c r="K16" s="34">
        <f t="shared" si="2"/>
        <v>15571</v>
      </c>
      <c r="L16" s="34">
        <f t="shared" si="2"/>
        <v>12679</v>
      </c>
      <c r="M16" s="34">
        <f t="shared" si="2"/>
        <v>15695</v>
      </c>
      <c r="O16" s="34" t="e">
        <f t="shared" ref="O16:AD16" si="3">O29+O35+O41</f>
        <v>#REF!</v>
      </c>
      <c r="P16" s="34" t="e">
        <f t="shared" si="3"/>
        <v>#REF!</v>
      </c>
      <c r="Q16" s="34" t="e">
        <f t="shared" si="3"/>
        <v>#REF!</v>
      </c>
      <c r="R16" s="34" t="e">
        <f t="shared" si="3"/>
        <v>#REF!</v>
      </c>
      <c r="S16" s="34" t="e">
        <f t="shared" si="3"/>
        <v>#REF!</v>
      </c>
      <c r="T16" s="34" t="e">
        <f t="shared" si="3"/>
        <v>#REF!</v>
      </c>
      <c r="U16" s="34" t="e">
        <f t="shared" si="3"/>
        <v>#REF!</v>
      </c>
      <c r="V16" s="34" t="e">
        <f t="shared" si="3"/>
        <v>#REF!</v>
      </c>
      <c r="W16" s="34" t="e">
        <f t="shared" si="3"/>
        <v>#REF!</v>
      </c>
      <c r="X16" s="34">
        <f t="shared" si="3"/>
        <v>10793</v>
      </c>
      <c r="Y16" s="34">
        <f t="shared" si="3"/>
        <v>21536</v>
      </c>
      <c r="Z16" s="34">
        <f t="shared" si="3"/>
        <v>33465</v>
      </c>
      <c r="AA16" s="34" t="e">
        <f t="shared" si="3"/>
        <v>#REF!</v>
      </c>
      <c r="AB16" s="34" t="e">
        <f t="shared" si="3"/>
        <v>#REF!</v>
      </c>
      <c r="AC16" s="34" t="e">
        <f t="shared" si="3"/>
        <v>#REF!</v>
      </c>
      <c r="AD16" s="34" t="e">
        <f t="shared" si="3"/>
        <v>#REF!</v>
      </c>
    </row>
    <row r="17" spans="1:30">
      <c r="B17" s="491" t="s">
        <v>517</v>
      </c>
      <c r="C17" s="34">
        <f>IF($C$6=1,C30+C35+C41,C31+C37+C43)</f>
        <v>15464</v>
      </c>
      <c r="D17" s="34">
        <f>IF($C$6=1,D30+D35+D41,D31+D37+D43)</f>
        <v>17190</v>
      </c>
      <c r="E17" s="34">
        <f>IF($C$6=1,E30+E35+E41,E31+E37+E43)</f>
        <v>19804</v>
      </c>
      <c r="G17" s="34">
        <f t="shared" ref="G17:M17" si="4">IF($C$6=1,G30+G36+G42,G31+G37+G43)</f>
        <v>5663</v>
      </c>
      <c r="H17" s="34">
        <f t="shared" si="4"/>
        <v>5615</v>
      </c>
      <c r="I17" s="34">
        <f t="shared" si="4"/>
        <v>5575</v>
      </c>
      <c r="J17" s="34" t="e">
        <f t="shared" si="4"/>
        <v>#REF!</v>
      </c>
      <c r="K17" s="34">
        <f t="shared" si="4"/>
        <v>5493</v>
      </c>
      <c r="L17" s="34">
        <f t="shared" si="4"/>
        <v>5451</v>
      </c>
      <c r="M17" s="34">
        <f t="shared" si="4"/>
        <v>5423</v>
      </c>
      <c r="O17" s="34" t="e">
        <f t="shared" ref="O17:AD17" si="5">IF($C$6=1,O30+O36+O42,O31+O37+O43)</f>
        <v>#REF!</v>
      </c>
      <c r="P17" s="34" t="e">
        <f t="shared" si="5"/>
        <v>#REF!</v>
      </c>
      <c r="Q17" s="34" t="e">
        <f t="shared" si="5"/>
        <v>#REF!</v>
      </c>
      <c r="R17" s="34" t="e">
        <f t="shared" si="5"/>
        <v>#REF!</v>
      </c>
      <c r="S17" s="34" t="e">
        <f t="shared" si="5"/>
        <v>#REF!</v>
      </c>
      <c r="T17" s="34" t="e">
        <f t="shared" si="5"/>
        <v>#REF!</v>
      </c>
      <c r="U17" s="34" t="e">
        <f t="shared" si="5"/>
        <v>#REF!</v>
      </c>
      <c r="V17" s="34" t="e">
        <f t="shared" si="5"/>
        <v>#REF!</v>
      </c>
      <c r="W17" s="34" t="e">
        <f t="shared" si="5"/>
        <v>#REF!</v>
      </c>
      <c r="X17" s="34">
        <f t="shared" si="5"/>
        <v>5663</v>
      </c>
      <c r="Y17" s="34">
        <f t="shared" si="5"/>
        <v>5615</v>
      </c>
      <c r="Z17" s="34">
        <f t="shared" si="5"/>
        <v>5575</v>
      </c>
      <c r="AA17" s="34" t="e">
        <f t="shared" si="5"/>
        <v>#REF!</v>
      </c>
      <c r="AB17" s="34">
        <f t="shared" si="5"/>
        <v>5493</v>
      </c>
      <c r="AC17" s="34">
        <f t="shared" si="5"/>
        <v>5451</v>
      </c>
      <c r="AD17" s="34">
        <f t="shared" si="5"/>
        <v>5423</v>
      </c>
    </row>
    <row r="18" spans="1:30">
      <c r="B18" s="492" t="s">
        <v>522</v>
      </c>
      <c r="C18" s="488">
        <f t="shared" ref="C18:E18" si="6">C16/C17</f>
        <v>1</v>
      </c>
      <c r="D18" s="488">
        <f t="shared" si="6"/>
        <v>1</v>
      </c>
      <c r="E18" s="488">
        <f t="shared" si="6"/>
        <v>1</v>
      </c>
      <c r="G18" s="488">
        <f t="shared" ref="G18:M18" si="7">G16/G17</f>
        <v>1.9058802754723645</v>
      </c>
      <c r="H18" s="488">
        <f t="shared" si="7"/>
        <v>1.9132680320569901</v>
      </c>
      <c r="I18" s="488">
        <f t="shared" si="7"/>
        <v>2.1397309417040358</v>
      </c>
      <c r="J18" s="488" t="e">
        <f t="shared" si="7"/>
        <v>#REF!</v>
      </c>
      <c r="K18" s="488">
        <f t="shared" si="7"/>
        <v>2.8346987074458401</v>
      </c>
      <c r="L18" s="488">
        <f t="shared" si="7"/>
        <v>2.3259952302329849</v>
      </c>
      <c r="M18" s="488">
        <f t="shared" si="7"/>
        <v>2.8941545270145674</v>
      </c>
      <c r="O18" s="488" t="e">
        <f t="shared" ref="O18:AD18" si="8">O16/O17</f>
        <v>#REF!</v>
      </c>
      <c r="P18" s="488" t="e">
        <f t="shared" si="8"/>
        <v>#REF!</v>
      </c>
      <c r="Q18" s="488" t="e">
        <f t="shared" si="8"/>
        <v>#REF!</v>
      </c>
      <c r="R18" s="488" t="e">
        <f t="shared" si="8"/>
        <v>#REF!</v>
      </c>
      <c r="S18" s="488" t="e">
        <f t="shared" si="8"/>
        <v>#REF!</v>
      </c>
      <c r="T18" s="488" t="e">
        <f t="shared" si="8"/>
        <v>#REF!</v>
      </c>
      <c r="U18" s="488" t="e">
        <f t="shared" si="8"/>
        <v>#REF!</v>
      </c>
      <c r="V18" s="488" t="e">
        <f t="shared" si="8"/>
        <v>#REF!</v>
      </c>
      <c r="W18" s="488" t="e">
        <f t="shared" si="8"/>
        <v>#REF!</v>
      </c>
      <c r="X18" s="488">
        <f t="shared" si="8"/>
        <v>1.9058802754723645</v>
      </c>
      <c r="Y18" s="488">
        <f t="shared" si="8"/>
        <v>3.8354407836153159</v>
      </c>
      <c r="Z18" s="488">
        <f t="shared" si="8"/>
        <v>6.0026905829596409</v>
      </c>
      <c r="AA18" s="488" t="e">
        <f t="shared" si="8"/>
        <v>#REF!</v>
      </c>
      <c r="AB18" s="488" t="e">
        <f t="shared" si="8"/>
        <v>#REF!</v>
      </c>
      <c r="AC18" s="488" t="e">
        <f t="shared" si="8"/>
        <v>#REF!</v>
      </c>
      <c r="AD18" s="488" t="e">
        <f t="shared" si="8"/>
        <v>#REF!</v>
      </c>
    </row>
    <row r="20" spans="1:30" ht="15" thickBot="1">
      <c r="A20" s="5" t="s">
        <v>19</v>
      </c>
      <c r="B20" s="481" t="s">
        <v>523</v>
      </c>
    </row>
    <row r="21" spans="1:30" ht="5.0999999999999996" customHeight="1"/>
    <row r="22" spans="1:30">
      <c r="B22" s="483" t="s">
        <v>518</v>
      </c>
      <c r="C22" s="34">
        <f t="shared" ref="C22:E23" si="9">+C49+C58+C64</f>
        <v>32784</v>
      </c>
      <c r="D22" s="34">
        <f t="shared" si="9"/>
        <v>36630</v>
      </c>
      <c r="E22" s="34">
        <f t="shared" si="9"/>
        <v>42976</v>
      </c>
      <c r="G22" s="34">
        <f t="shared" ref="G22:AD22" si="10">+G49+G58+G64</f>
        <v>25303</v>
      </c>
      <c r="H22" s="34">
        <f t="shared" si="10"/>
        <v>25258</v>
      </c>
      <c r="I22" s="34">
        <f t="shared" si="10"/>
        <v>28135</v>
      </c>
      <c r="J22" s="34" t="e">
        <f t="shared" si="10"/>
        <v>#REF!</v>
      </c>
      <c r="K22" s="34">
        <f t="shared" si="10"/>
        <v>36955</v>
      </c>
      <c r="L22" s="34">
        <f t="shared" si="10"/>
        <v>30166</v>
      </c>
      <c r="M22" s="34">
        <f t="shared" si="10"/>
        <v>37402</v>
      </c>
      <c r="O22" s="34" t="e">
        <f t="shared" si="10"/>
        <v>#REF!</v>
      </c>
      <c r="P22" s="34" t="e">
        <f t="shared" si="10"/>
        <v>#REF!</v>
      </c>
      <c r="Q22" s="34" t="e">
        <f t="shared" si="10"/>
        <v>#REF!</v>
      </c>
      <c r="R22" s="34" t="e">
        <f t="shared" si="10"/>
        <v>#REF!</v>
      </c>
      <c r="S22" s="34" t="e">
        <f t="shared" si="10"/>
        <v>#REF!</v>
      </c>
      <c r="T22" s="34" t="e">
        <f t="shared" si="10"/>
        <v>#REF!</v>
      </c>
      <c r="U22" s="34" t="e">
        <f t="shared" si="10"/>
        <v>#REF!</v>
      </c>
      <c r="V22" s="34" t="e">
        <f t="shared" si="10"/>
        <v>#REF!</v>
      </c>
      <c r="W22" s="34" t="e">
        <f t="shared" si="10"/>
        <v>#REF!</v>
      </c>
      <c r="X22" s="34">
        <f t="shared" si="10"/>
        <v>25303</v>
      </c>
      <c r="Y22" s="34">
        <f t="shared" si="10"/>
        <v>50561</v>
      </c>
      <c r="Z22" s="34">
        <f t="shared" si="10"/>
        <v>78696</v>
      </c>
      <c r="AA22" s="34" t="e">
        <f t="shared" si="10"/>
        <v>#REF!</v>
      </c>
      <c r="AB22" s="34" t="e">
        <f t="shared" si="10"/>
        <v>#REF!</v>
      </c>
      <c r="AC22" s="34" t="e">
        <f t="shared" si="10"/>
        <v>#REF!</v>
      </c>
      <c r="AD22" s="34" t="e">
        <f t="shared" si="10"/>
        <v>#REF!</v>
      </c>
    </row>
    <row r="23" spans="1:30">
      <c r="B23" s="491" t="s">
        <v>524</v>
      </c>
      <c r="C23" s="34">
        <f t="shared" si="9"/>
        <v>7157.46</v>
      </c>
      <c r="D23" s="34">
        <f t="shared" si="9"/>
        <v>7052.5399999999991</v>
      </c>
      <c r="E23" s="34">
        <f t="shared" si="9"/>
        <v>6820.62</v>
      </c>
      <c r="G23" s="34">
        <f t="shared" ref="G23:AD23" si="11">+G50+G59+G65</f>
        <v>5775</v>
      </c>
      <c r="H23" s="34">
        <f t="shared" si="11"/>
        <v>5767</v>
      </c>
      <c r="I23" s="34">
        <f t="shared" si="11"/>
        <v>5704</v>
      </c>
      <c r="J23" s="34" t="e">
        <f t="shared" si="11"/>
        <v>#REF!</v>
      </c>
      <c r="K23" s="34">
        <f t="shared" si="11"/>
        <v>5601</v>
      </c>
      <c r="L23" s="34">
        <f t="shared" si="11"/>
        <v>5527</v>
      </c>
      <c r="M23" s="34">
        <f t="shared" si="11"/>
        <v>5540</v>
      </c>
      <c r="O23" s="34" t="e">
        <f t="shared" si="11"/>
        <v>#REF!</v>
      </c>
      <c r="P23" s="34" t="e">
        <f t="shared" si="11"/>
        <v>#REF!</v>
      </c>
      <c r="Q23" s="34" t="e">
        <f t="shared" si="11"/>
        <v>#REF!</v>
      </c>
      <c r="R23" s="34" t="e">
        <f t="shared" si="11"/>
        <v>#REF!</v>
      </c>
      <c r="S23" s="34" t="e">
        <f t="shared" si="11"/>
        <v>#REF!</v>
      </c>
      <c r="T23" s="34" t="e">
        <f t="shared" si="11"/>
        <v>#REF!</v>
      </c>
      <c r="U23" s="34" t="e">
        <f t="shared" si="11"/>
        <v>#REF!</v>
      </c>
      <c r="V23" s="34" t="e">
        <f t="shared" si="11"/>
        <v>#REF!</v>
      </c>
      <c r="W23" s="34" t="e">
        <f t="shared" si="11"/>
        <v>#REF!</v>
      </c>
      <c r="X23" s="34">
        <f t="shared" si="11"/>
        <v>5775</v>
      </c>
      <c r="Y23" s="34">
        <f t="shared" si="11"/>
        <v>5767</v>
      </c>
      <c r="Z23" s="34">
        <f t="shared" si="11"/>
        <v>5704</v>
      </c>
      <c r="AA23" s="34" t="e">
        <f t="shared" si="11"/>
        <v>#REF!</v>
      </c>
      <c r="AB23" s="34">
        <f t="shared" si="11"/>
        <v>5601</v>
      </c>
      <c r="AC23" s="34">
        <f t="shared" si="11"/>
        <v>5527</v>
      </c>
      <c r="AD23" s="34">
        <f t="shared" si="11"/>
        <v>5540</v>
      </c>
    </row>
    <row r="24" spans="1:30">
      <c r="B24" s="492" t="s">
        <v>522</v>
      </c>
      <c r="C24" s="488">
        <f t="shared" ref="C24:E24" si="12">C22/C23</f>
        <v>4.5803958387472647</v>
      </c>
      <c r="D24" s="488">
        <f t="shared" si="12"/>
        <v>5.1938734129831241</v>
      </c>
      <c r="E24" s="488">
        <f t="shared" si="12"/>
        <v>6.3008934671628092</v>
      </c>
      <c r="G24" s="488">
        <f t="shared" ref="G24:M24" si="13">G22/G23</f>
        <v>4.3814718614718613</v>
      </c>
      <c r="H24" s="488">
        <f t="shared" si="13"/>
        <v>4.3797468354430382</v>
      </c>
      <c r="I24" s="488">
        <f t="shared" si="13"/>
        <v>4.9325035063113605</v>
      </c>
      <c r="J24" s="488" t="e">
        <f t="shared" si="13"/>
        <v>#REF!</v>
      </c>
      <c r="K24" s="488">
        <f t="shared" si="13"/>
        <v>6.5979289412604896</v>
      </c>
      <c r="L24" s="488">
        <f t="shared" si="13"/>
        <v>5.4579337796272842</v>
      </c>
      <c r="M24" s="488">
        <f t="shared" si="13"/>
        <v>6.7512635379061372</v>
      </c>
      <c r="O24" s="488" t="e">
        <f t="shared" ref="O24:AD24" si="14">O22/O23</f>
        <v>#REF!</v>
      </c>
      <c r="P24" s="488" t="e">
        <f t="shared" si="14"/>
        <v>#REF!</v>
      </c>
      <c r="Q24" s="488" t="e">
        <f t="shared" si="14"/>
        <v>#REF!</v>
      </c>
      <c r="R24" s="488" t="e">
        <f t="shared" si="14"/>
        <v>#REF!</v>
      </c>
      <c r="S24" s="488" t="e">
        <f t="shared" si="14"/>
        <v>#REF!</v>
      </c>
      <c r="T24" s="488" t="e">
        <f t="shared" si="14"/>
        <v>#REF!</v>
      </c>
      <c r="U24" s="488" t="e">
        <f t="shared" si="14"/>
        <v>#REF!</v>
      </c>
      <c r="V24" s="488" t="e">
        <f t="shared" si="14"/>
        <v>#REF!</v>
      </c>
      <c r="W24" s="488" t="e">
        <f t="shared" si="14"/>
        <v>#REF!</v>
      </c>
      <c r="X24" s="488">
        <f t="shared" si="14"/>
        <v>4.3814718614718613</v>
      </c>
      <c r="Y24" s="488">
        <f t="shared" si="14"/>
        <v>8.7672966880527134</v>
      </c>
      <c r="Z24" s="488">
        <f t="shared" si="14"/>
        <v>13.796633941093969</v>
      </c>
      <c r="AA24" s="488" t="e">
        <f t="shared" si="14"/>
        <v>#REF!</v>
      </c>
      <c r="AB24" s="488" t="e">
        <f t="shared" si="14"/>
        <v>#REF!</v>
      </c>
      <c r="AC24" s="488" t="e">
        <f t="shared" si="14"/>
        <v>#REF!</v>
      </c>
      <c r="AD24" s="488" t="e">
        <f t="shared" si="14"/>
        <v>#REF!</v>
      </c>
    </row>
    <row r="26" spans="1:30" s="8" customFormat="1" ht="12">
      <c r="A26" s="38" t="s">
        <v>19</v>
      </c>
      <c r="B26" s="1" t="s">
        <v>514</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ht="5.0999999999999996" customHeight="1"/>
    <row r="28" spans="1:30">
      <c r="B28" s="482" t="s">
        <v>505</v>
      </c>
      <c r="C28" s="466"/>
    </row>
    <row r="29" spans="1:30">
      <c r="B29" s="483" t="s">
        <v>508</v>
      </c>
      <c r="C29" s="466"/>
      <c r="D29" s="466"/>
      <c r="E29" s="466"/>
      <c r="F29" s="495"/>
      <c r="G29" s="466"/>
      <c r="H29" s="466"/>
      <c r="I29" s="466"/>
      <c r="J29" s="360">
        <f>SUM(E29-SUM(G29:I29))</f>
        <v>0</v>
      </c>
      <c r="K29" s="466"/>
      <c r="L29" s="466"/>
      <c r="M29" s="466"/>
      <c r="O29" s="360" t="e">
        <f>SUM(#REF!)</f>
        <v>#REF!</v>
      </c>
      <c r="P29" s="360" t="e">
        <f>SUM(#REF!)</f>
        <v>#REF!</v>
      </c>
      <c r="Q29" s="360" t="e">
        <f>SUM(#REF!)</f>
        <v>#REF!</v>
      </c>
      <c r="R29" s="360" t="e">
        <f>SUM(#REF!)</f>
        <v>#REF!</v>
      </c>
      <c r="S29" s="360" t="e">
        <f>SUM(#REF!)</f>
        <v>#REF!</v>
      </c>
      <c r="T29" s="360" t="e">
        <f>SUM(#REF!)</f>
        <v>#REF!</v>
      </c>
      <c r="U29" s="360" t="e">
        <f>SUM(#REF!)</f>
        <v>#REF!</v>
      </c>
      <c r="V29" s="360" t="e">
        <f>SUM(#REF!)</f>
        <v>#REF!</v>
      </c>
      <c r="W29" s="360" t="e">
        <f>SUM(#REF!)</f>
        <v>#REF!</v>
      </c>
      <c r="X29" s="360">
        <f>SUM(G29:G29)</f>
        <v>0</v>
      </c>
      <c r="Y29" s="360">
        <f>SUM(G29:H29)</f>
        <v>0</v>
      </c>
      <c r="Z29" s="360">
        <f>SUM(G29:I29)</f>
        <v>0</v>
      </c>
      <c r="AA29" s="360">
        <f t="shared" ref="AA29:AD29" si="15">SUM(G29:J29)</f>
        <v>0</v>
      </c>
      <c r="AB29" s="360">
        <f t="shared" si="15"/>
        <v>0</v>
      </c>
      <c r="AC29" s="360">
        <f t="shared" si="15"/>
        <v>0</v>
      </c>
      <c r="AD29" s="360">
        <f t="shared" si="15"/>
        <v>0</v>
      </c>
    </row>
    <row r="30" spans="1:30">
      <c r="B30" s="484" t="s">
        <v>530</v>
      </c>
      <c r="C30" s="360">
        <f>IF($C$6=1,C31*20,C31)</f>
        <v>0</v>
      </c>
      <c r="D30" s="360">
        <f>IF($C$6=1,D31*20,D31)</f>
        <v>0</v>
      </c>
      <c r="E30" s="360">
        <f>IF($C$6=1,E31*20,E31)</f>
        <v>0</v>
      </c>
      <c r="F30" s="495"/>
      <c r="G30" s="360">
        <f t="shared" ref="G30:M30" si="16">G31</f>
        <v>0</v>
      </c>
      <c r="H30" s="360">
        <f t="shared" si="16"/>
        <v>0</v>
      </c>
      <c r="I30" s="360">
        <f t="shared" si="16"/>
        <v>0</v>
      </c>
      <c r="J30" s="360">
        <f t="shared" si="16"/>
        <v>0</v>
      </c>
      <c r="K30" s="360">
        <f t="shared" si="16"/>
        <v>0</v>
      </c>
      <c r="L30" s="360">
        <f t="shared" si="16"/>
        <v>0</v>
      </c>
      <c r="M30" s="360">
        <f t="shared" si="16"/>
        <v>0</v>
      </c>
      <c r="O30" s="360" t="e">
        <f>#REF!</f>
        <v>#REF!</v>
      </c>
      <c r="P30" s="360" t="e">
        <f>#REF!</f>
        <v>#REF!</v>
      </c>
      <c r="Q30" s="360" t="e">
        <f>#REF!</f>
        <v>#REF!</v>
      </c>
      <c r="R30" s="360" t="e">
        <f>#REF!</f>
        <v>#REF!</v>
      </c>
      <c r="S30" s="360" t="e">
        <f>#REF!</f>
        <v>#REF!</v>
      </c>
      <c r="T30" s="360" t="e">
        <f>#REF!</f>
        <v>#REF!</v>
      </c>
      <c r="U30" s="360" t="e">
        <f>#REF!</f>
        <v>#REF!</v>
      </c>
      <c r="V30" s="360" t="e">
        <f>#REF!</f>
        <v>#REF!</v>
      </c>
      <c r="W30" s="360" t="e">
        <f>#REF!</f>
        <v>#REF!</v>
      </c>
      <c r="X30" s="360">
        <f t="shared" ref="X30:AD31" si="17">G30</f>
        <v>0</v>
      </c>
      <c r="Y30" s="360">
        <f t="shared" si="17"/>
        <v>0</v>
      </c>
      <c r="Z30" s="360">
        <f t="shared" si="17"/>
        <v>0</v>
      </c>
      <c r="AA30" s="360">
        <f t="shared" si="17"/>
        <v>0</v>
      </c>
      <c r="AB30" s="360">
        <f t="shared" si="17"/>
        <v>0</v>
      </c>
      <c r="AC30" s="360">
        <f t="shared" si="17"/>
        <v>0</v>
      </c>
      <c r="AD30" s="360">
        <f t="shared" si="17"/>
        <v>0</v>
      </c>
    </row>
    <row r="31" spans="1:30" outlineLevel="1">
      <c r="B31" s="484" t="s">
        <v>529</v>
      </c>
      <c r="C31" s="466"/>
      <c r="D31" s="466"/>
      <c r="E31" s="466"/>
      <c r="F31" s="495"/>
      <c r="G31" s="466"/>
      <c r="H31" s="466"/>
      <c r="I31" s="466"/>
      <c r="J31" s="360">
        <f>D31</f>
        <v>0</v>
      </c>
      <c r="K31" s="466"/>
      <c r="L31" s="466"/>
      <c r="M31" s="466"/>
      <c r="O31" s="360" t="e">
        <f>#REF!</f>
        <v>#REF!</v>
      </c>
      <c r="P31" s="360" t="e">
        <f>#REF!</f>
        <v>#REF!</v>
      </c>
      <c r="Q31" s="360" t="e">
        <f>#REF!</f>
        <v>#REF!</v>
      </c>
      <c r="R31" s="360" t="e">
        <f>#REF!</f>
        <v>#REF!</v>
      </c>
      <c r="S31" s="360" t="e">
        <f>#REF!</f>
        <v>#REF!</v>
      </c>
      <c r="T31" s="360" t="e">
        <f>#REF!</f>
        <v>#REF!</v>
      </c>
      <c r="U31" s="360" t="e">
        <f>#REF!</f>
        <v>#REF!</v>
      </c>
      <c r="V31" s="360" t="e">
        <f>#REF!</f>
        <v>#REF!</v>
      </c>
      <c r="W31" s="360" t="e">
        <f>#REF!</f>
        <v>#REF!</v>
      </c>
      <c r="X31" s="360">
        <f t="shared" si="17"/>
        <v>0</v>
      </c>
      <c r="Y31" s="360">
        <f t="shared" si="17"/>
        <v>0</v>
      </c>
      <c r="Z31" s="360">
        <f t="shared" si="17"/>
        <v>0</v>
      </c>
      <c r="AA31" s="360">
        <f t="shared" si="17"/>
        <v>0</v>
      </c>
      <c r="AB31" s="360">
        <f t="shared" si="17"/>
        <v>0</v>
      </c>
      <c r="AC31" s="360">
        <f t="shared" si="17"/>
        <v>0</v>
      </c>
      <c r="AD31" s="360">
        <f t="shared" si="17"/>
        <v>0</v>
      </c>
    </row>
    <row r="32" spans="1:30">
      <c r="B32" s="486" t="s">
        <v>519</v>
      </c>
      <c r="C32" s="485" t="e">
        <f t="shared" ref="C32:E32" si="18">IF($C$6=1, C29/C30,C29/C31)</f>
        <v>#DIV/0!</v>
      </c>
      <c r="D32" s="485" t="e">
        <f t="shared" si="18"/>
        <v>#DIV/0!</v>
      </c>
      <c r="E32" s="485" t="e">
        <f t="shared" si="18"/>
        <v>#DIV/0!</v>
      </c>
      <c r="G32" s="485" t="e">
        <f t="shared" ref="G32:M32" si="19">IF($C$6=1, G29/G30,G29/G31)</f>
        <v>#DIV/0!</v>
      </c>
      <c r="H32" s="485" t="e">
        <f t="shared" si="19"/>
        <v>#DIV/0!</v>
      </c>
      <c r="I32" s="485" t="e">
        <f t="shared" si="19"/>
        <v>#DIV/0!</v>
      </c>
      <c r="J32" s="485" t="e">
        <f t="shared" si="19"/>
        <v>#DIV/0!</v>
      </c>
      <c r="K32" s="485" t="e">
        <f t="shared" si="19"/>
        <v>#DIV/0!</v>
      </c>
      <c r="L32" s="485" t="e">
        <f t="shared" si="19"/>
        <v>#DIV/0!</v>
      </c>
      <c r="M32" s="485" t="e">
        <f t="shared" si="19"/>
        <v>#DIV/0!</v>
      </c>
      <c r="O32" s="485" t="e">
        <f t="shared" ref="O32:AD32" si="20">IF($C$6=1, O29/O30,O29/O31)</f>
        <v>#REF!</v>
      </c>
      <c r="P32" s="485" t="e">
        <f t="shared" si="20"/>
        <v>#REF!</v>
      </c>
      <c r="Q32" s="485" t="e">
        <f t="shared" si="20"/>
        <v>#REF!</v>
      </c>
      <c r="R32" s="485" t="e">
        <f t="shared" si="20"/>
        <v>#REF!</v>
      </c>
      <c r="S32" s="485" t="e">
        <f t="shared" si="20"/>
        <v>#REF!</v>
      </c>
      <c r="T32" s="485" t="e">
        <f t="shared" si="20"/>
        <v>#REF!</v>
      </c>
      <c r="U32" s="485" t="e">
        <f t="shared" si="20"/>
        <v>#REF!</v>
      </c>
      <c r="V32" s="485" t="e">
        <f t="shared" si="20"/>
        <v>#REF!</v>
      </c>
      <c r="W32" s="485" t="e">
        <f t="shared" si="20"/>
        <v>#REF!</v>
      </c>
      <c r="X32" s="485" t="e">
        <f t="shared" si="20"/>
        <v>#DIV/0!</v>
      </c>
      <c r="Y32" s="485" t="e">
        <f t="shared" si="20"/>
        <v>#DIV/0!</v>
      </c>
      <c r="Z32" s="485" t="e">
        <f t="shared" si="20"/>
        <v>#DIV/0!</v>
      </c>
      <c r="AA32" s="485" t="e">
        <f t="shared" si="20"/>
        <v>#DIV/0!</v>
      </c>
      <c r="AB32" s="485" t="e">
        <f t="shared" si="20"/>
        <v>#DIV/0!</v>
      </c>
      <c r="AC32" s="485" t="e">
        <f t="shared" si="20"/>
        <v>#DIV/0!</v>
      </c>
      <c r="AD32" s="485" t="e">
        <f t="shared" si="20"/>
        <v>#DIV/0!</v>
      </c>
    </row>
    <row r="33" spans="1:30">
      <c r="B33" s="49"/>
    </row>
    <row r="34" spans="1:30">
      <c r="B34" s="482" t="s">
        <v>506</v>
      </c>
    </row>
    <row r="35" spans="1:30">
      <c r="B35" s="483" t="s">
        <v>508</v>
      </c>
      <c r="C35" s="466"/>
      <c r="D35" s="466"/>
      <c r="E35" s="466"/>
      <c r="G35" s="466"/>
      <c r="H35" s="466"/>
      <c r="I35" s="466"/>
      <c r="J35" s="360" t="e">
        <f>SUM(#REF!-SUM(G35:I35))</f>
        <v>#REF!</v>
      </c>
      <c r="K35" s="466"/>
      <c r="L35" s="466"/>
      <c r="M35" s="466"/>
      <c r="O35" s="360" t="e">
        <f>SUM(#REF!)</f>
        <v>#REF!</v>
      </c>
      <c r="P35" s="360" t="e">
        <f>SUM(#REF!)</f>
        <v>#REF!</v>
      </c>
      <c r="Q35" s="360" t="e">
        <f>SUM(#REF!)</f>
        <v>#REF!</v>
      </c>
      <c r="R35" s="360" t="e">
        <f>SUM(#REF!)</f>
        <v>#REF!</v>
      </c>
      <c r="S35" s="360" t="e">
        <f>SUM(#REF!)</f>
        <v>#REF!</v>
      </c>
      <c r="T35" s="360" t="e">
        <f>SUM(#REF!)</f>
        <v>#REF!</v>
      </c>
      <c r="U35" s="360" t="e">
        <f>SUM(#REF!)</f>
        <v>#REF!</v>
      </c>
      <c r="V35" s="360" t="e">
        <f>SUM(#REF!)</f>
        <v>#REF!</v>
      </c>
      <c r="W35" s="360" t="e">
        <f>SUM(#REF!)</f>
        <v>#REF!</v>
      </c>
      <c r="X35" s="360">
        <f>SUM(G35:G35)</f>
        <v>0</v>
      </c>
      <c r="Y35" s="360">
        <f>SUM(G35:H35)</f>
        <v>0</v>
      </c>
      <c r="Z35" s="360">
        <f>SUM(G35:I35)</f>
        <v>0</v>
      </c>
      <c r="AA35" s="360" t="e">
        <f t="shared" ref="AA35:AD35" si="21">SUM(G35:J35)</f>
        <v>#REF!</v>
      </c>
      <c r="AB35" s="360" t="e">
        <f t="shared" si="21"/>
        <v>#REF!</v>
      </c>
      <c r="AC35" s="360" t="e">
        <f t="shared" si="21"/>
        <v>#REF!</v>
      </c>
      <c r="AD35" s="360" t="e">
        <f t="shared" si="21"/>
        <v>#REF!</v>
      </c>
    </row>
    <row r="36" spans="1:30">
      <c r="B36" s="484" t="s">
        <v>530</v>
      </c>
      <c r="C36" s="360">
        <f>IF($C$6=1,C37*20,C37)</f>
        <v>0</v>
      </c>
      <c r="D36" s="360">
        <f>IF($C$6=1,D37*20,D37)</f>
        <v>0</v>
      </c>
      <c r="E36" s="360">
        <f>IF($C$6=1,E37*20,E37)</f>
        <v>0</v>
      </c>
      <c r="G36" s="360">
        <f t="shared" ref="G36:M36" si="22">G37</f>
        <v>0</v>
      </c>
      <c r="H36" s="360">
        <f t="shared" si="22"/>
        <v>0</v>
      </c>
      <c r="I36" s="360">
        <f t="shared" si="22"/>
        <v>0</v>
      </c>
      <c r="J36" s="360" t="e">
        <f t="shared" si="22"/>
        <v>#REF!</v>
      </c>
      <c r="K36" s="360">
        <f t="shared" si="22"/>
        <v>0</v>
      </c>
      <c r="L36" s="360">
        <f t="shared" si="22"/>
        <v>0</v>
      </c>
      <c r="M36" s="360">
        <f t="shared" si="22"/>
        <v>0</v>
      </c>
      <c r="O36" s="360" t="e">
        <f>#REF!</f>
        <v>#REF!</v>
      </c>
      <c r="P36" s="360" t="e">
        <f>#REF!</f>
        <v>#REF!</v>
      </c>
      <c r="Q36" s="360" t="e">
        <f>#REF!</f>
        <v>#REF!</v>
      </c>
      <c r="R36" s="360" t="e">
        <f>#REF!</f>
        <v>#REF!</v>
      </c>
      <c r="S36" s="360" t="e">
        <f>#REF!</f>
        <v>#REF!</v>
      </c>
      <c r="T36" s="360" t="e">
        <f>#REF!</f>
        <v>#REF!</v>
      </c>
      <c r="U36" s="360" t="e">
        <f>#REF!</f>
        <v>#REF!</v>
      </c>
      <c r="V36" s="360" t="e">
        <f>#REF!</f>
        <v>#REF!</v>
      </c>
      <c r="W36" s="360" t="e">
        <f>#REF!</f>
        <v>#REF!</v>
      </c>
      <c r="X36" s="360">
        <f t="shared" ref="X36:AD37" si="23">G36</f>
        <v>0</v>
      </c>
      <c r="Y36" s="360">
        <f t="shared" si="23"/>
        <v>0</v>
      </c>
      <c r="Z36" s="360">
        <f t="shared" si="23"/>
        <v>0</v>
      </c>
      <c r="AA36" s="360" t="e">
        <f t="shared" si="23"/>
        <v>#REF!</v>
      </c>
      <c r="AB36" s="360">
        <f t="shared" si="23"/>
        <v>0</v>
      </c>
      <c r="AC36" s="360">
        <f t="shared" si="23"/>
        <v>0</v>
      </c>
      <c r="AD36" s="360">
        <f t="shared" si="23"/>
        <v>0</v>
      </c>
    </row>
    <row r="37" spans="1:30" outlineLevel="1">
      <c r="B37" s="484" t="s">
        <v>529</v>
      </c>
      <c r="C37" s="466"/>
      <c r="D37" s="466"/>
      <c r="E37" s="466"/>
      <c r="G37" s="466"/>
      <c r="H37" s="466"/>
      <c r="I37" s="466"/>
      <c r="J37" s="360" t="e">
        <f>#REF!</f>
        <v>#REF!</v>
      </c>
      <c r="K37" s="466"/>
      <c r="L37" s="466"/>
      <c r="M37" s="466"/>
      <c r="O37" s="360" t="e">
        <f>#REF!</f>
        <v>#REF!</v>
      </c>
      <c r="P37" s="360" t="e">
        <f>#REF!</f>
        <v>#REF!</v>
      </c>
      <c r="Q37" s="360" t="e">
        <f>#REF!</f>
        <v>#REF!</v>
      </c>
      <c r="R37" s="360" t="e">
        <f>#REF!</f>
        <v>#REF!</v>
      </c>
      <c r="S37" s="360" t="e">
        <f>#REF!</f>
        <v>#REF!</v>
      </c>
      <c r="T37" s="360" t="e">
        <f>#REF!</f>
        <v>#REF!</v>
      </c>
      <c r="U37" s="360" t="e">
        <f>#REF!</f>
        <v>#REF!</v>
      </c>
      <c r="V37" s="360" t="e">
        <f>#REF!</f>
        <v>#REF!</v>
      </c>
      <c r="W37" s="360" t="e">
        <f>#REF!</f>
        <v>#REF!</v>
      </c>
      <c r="X37" s="360">
        <f t="shared" si="23"/>
        <v>0</v>
      </c>
      <c r="Y37" s="360">
        <f t="shared" si="23"/>
        <v>0</v>
      </c>
      <c r="Z37" s="360">
        <f t="shared" si="23"/>
        <v>0</v>
      </c>
      <c r="AA37" s="360" t="e">
        <f t="shared" si="23"/>
        <v>#REF!</v>
      </c>
      <c r="AB37" s="360">
        <f t="shared" si="23"/>
        <v>0</v>
      </c>
      <c r="AC37" s="360">
        <f t="shared" si="23"/>
        <v>0</v>
      </c>
      <c r="AD37" s="360">
        <f t="shared" si="23"/>
        <v>0</v>
      </c>
    </row>
    <row r="38" spans="1:30">
      <c r="B38" s="486" t="s">
        <v>520</v>
      </c>
      <c r="C38" s="485" t="e">
        <f t="shared" ref="C38:E38" si="24">IF($C$6=1, C35/C36,C35/C37)</f>
        <v>#DIV/0!</v>
      </c>
      <c r="D38" s="485" t="e">
        <f t="shared" si="24"/>
        <v>#DIV/0!</v>
      </c>
      <c r="E38" s="485" t="e">
        <f t="shared" si="24"/>
        <v>#DIV/0!</v>
      </c>
      <c r="G38" s="485" t="e">
        <f t="shared" ref="G38:M38" si="25">IF($C$6=1, G35/G36,G35/G37)</f>
        <v>#DIV/0!</v>
      </c>
      <c r="H38" s="485" t="e">
        <f t="shared" si="25"/>
        <v>#DIV/0!</v>
      </c>
      <c r="I38" s="485" t="e">
        <f t="shared" si="25"/>
        <v>#DIV/0!</v>
      </c>
      <c r="J38" s="485" t="e">
        <f t="shared" si="25"/>
        <v>#REF!</v>
      </c>
      <c r="K38" s="485" t="e">
        <f t="shared" si="25"/>
        <v>#DIV/0!</v>
      </c>
      <c r="L38" s="485" t="e">
        <f t="shared" si="25"/>
        <v>#DIV/0!</v>
      </c>
      <c r="M38" s="485" t="e">
        <f t="shared" si="25"/>
        <v>#DIV/0!</v>
      </c>
      <c r="O38" s="485" t="e">
        <f t="shared" ref="O38:AD38" si="26">IF($C$6=1, O35/O36,O35/O37)</f>
        <v>#REF!</v>
      </c>
      <c r="P38" s="485" t="e">
        <f t="shared" si="26"/>
        <v>#REF!</v>
      </c>
      <c r="Q38" s="485" t="e">
        <f t="shared" si="26"/>
        <v>#REF!</v>
      </c>
      <c r="R38" s="485" t="e">
        <f t="shared" si="26"/>
        <v>#REF!</v>
      </c>
      <c r="S38" s="485" t="e">
        <f t="shared" si="26"/>
        <v>#REF!</v>
      </c>
      <c r="T38" s="485" t="e">
        <f t="shared" si="26"/>
        <v>#REF!</v>
      </c>
      <c r="U38" s="485" t="e">
        <f t="shared" si="26"/>
        <v>#REF!</v>
      </c>
      <c r="V38" s="485" t="e">
        <f t="shared" si="26"/>
        <v>#REF!</v>
      </c>
      <c r="W38" s="485" t="e">
        <f t="shared" si="26"/>
        <v>#REF!</v>
      </c>
      <c r="X38" s="485" t="e">
        <f t="shared" si="26"/>
        <v>#DIV/0!</v>
      </c>
      <c r="Y38" s="485" t="e">
        <f t="shared" si="26"/>
        <v>#DIV/0!</v>
      </c>
      <c r="Z38" s="485" t="e">
        <f t="shared" si="26"/>
        <v>#DIV/0!</v>
      </c>
      <c r="AA38" s="485" t="e">
        <f t="shared" si="26"/>
        <v>#REF!</v>
      </c>
      <c r="AB38" s="485" t="e">
        <f t="shared" si="26"/>
        <v>#REF!</v>
      </c>
      <c r="AC38" s="485" t="e">
        <f t="shared" si="26"/>
        <v>#REF!</v>
      </c>
      <c r="AD38" s="485" t="e">
        <f t="shared" si="26"/>
        <v>#REF!</v>
      </c>
    </row>
    <row r="39" spans="1:30">
      <c r="B39" s="49"/>
    </row>
    <row r="40" spans="1:30">
      <c r="B40" s="482" t="s">
        <v>507</v>
      </c>
    </row>
    <row r="41" spans="1:30">
      <c r="B41" s="483" t="s">
        <v>508</v>
      </c>
      <c r="C41" s="466">
        <v>15464</v>
      </c>
      <c r="D41" s="466">
        <v>17190</v>
      </c>
      <c r="E41" s="466">
        <v>19804</v>
      </c>
      <c r="G41" s="466">
        <v>10793</v>
      </c>
      <c r="H41" s="466">
        <v>10743</v>
      </c>
      <c r="I41" s="466">
        <v>11929</v>
      </c>
      <c r="J41" s="360" t="e">
        <f>SUM(#REF!-SUM(G41:I41))</f>
        <v>#REF!</v>
      </c>
      <c r="K41" s="464">
        <v>15571</v>
      </c>
      <c r="L41" s="464">
        <v>12679</v>
      </c>
      <c r="M41" s="464">
        <v>15695</v>
      </c>
      <c r="O41" s="360" t="e">
        <f>SUM(#REF!)</f>
        <v>#REF!</v>
      </c>
      <c r="P41" s="360" t="e">
        <f>SUM(#REF!)</f>
        <v>#REF!</v>
      </c>
      <c r="Q41" s="360" t="e">
        <f>SUM(#REF!)</f>
        <v>#REF!</v>
      </c>
      <c r="R41" s="360" t="e">
        <f>SUM(#REF!)</f>
        <v>#REF!</v>
      </c>
      <c r="S41" s="360" t="e">
        <f>SUM(#REF!)</f>
        <v>#REF!</v>
      </c>
      <c r="T41" s="360" t="e">
        <f>SUM(#REF!)</f>
        <v>#REF!</v>
      </c>
      <c r="U41" s="360" t="e">
        <f>SUM(#REF!)</f>
        <v>#REF!</v>
      </c>
      <c r="V41" s="360" t="e">
        <f>SUM(#REF!)</f>
        <v>#REF!</v>
      </c>
      <c r="W41" s="360" t="e">
        <f>SUM(#REF!)</f>
        <v>#REF!</v>
      </c>
      <c r="X41" s="360">
        <f>SUM(G41:G41)</f>
        <v>10793</v>
      </c>
      <c r="Y41" s="360">
        <f>SUM(G41:H41)</f>
        <v>21536</v>
      </c>
      <c r="Z41" s="360">
        <f>SUM(G41:I41)</f>
        <v>33465</v>
      </c>
      <c r="AA41" s="360" t="e">
        <f t="shared" ref="AA41:AD41" si="27">SUM(G41:J41)</f>
        <v>#REF!</v>
      </c>
      <c r="AB41" s="360" t="e">
        <f t="shared" si="27"/>
        <v>#REF!</v>
      </c>
      <c r="AC41" s="360" t="e">
        <f t="shared" si="27"/>
        <v>#REF!</v>
      </c>
      <c r="AD41" s="360" t="e">
        <f t="shared" si="27"/>
        <v>#REF!</v>
      </c>
    </row>
    <row r="42" spans="1:30">
      <c r="B42" s="484" t="s">
        <v>530</v>
      </c>
      <c r="C42" s="360">
        <f>IF($C$6=1,C43*20,C43)</f>
        <v>6994.56</v>
      </c>
      <c r="D42" s="360">
        <f>IF($C$6=1,D43*20,D43)</f>
        <v>6933.3399999999992</v>
      </c>
      <c r="E42" s="360">
        <f>IF($C$6=1,E43*20,E43)</f>
        <v>6696.38</v>
      </c>
      <c r="G42" s="360">
        <f t="shared" ref="G42:M42" si="28">G43</f>
        <v>5663</v>
      </c>
      <c r="H42" s="360">
        <f t="shared" si="28"/>
        <v>5615</v>
      </c>
      <c r="I42" s="360">
        <f t="shared" si="28"/>
        <v>5575</v>
      </c>
      <c r="J42" s="360" t="e">
        <f t="shared" si="28"/>
        <v>#REF!</v>
      </c>
      <c r="K42" s="360">
        <f t="shared" si="28"/>
        <v>5493</v>
      </c>
      <c r="L42" s="360">
        <f t="shared" si="28"/>
        <v>5451</v>
      </c>
      <c r="M42" s="360">
        <f t="shared" si="28"/>
        <v>5423</v>
      </c>
      <c r="O42" s="360" t="e">
        <f>#REF!</f>
        <v>#REF!</v>
      </c>
      <c r="P42" s="360" t="e">
        <f>#REF!</f>
        <v>#REF!</v>
      </c>
      <c r="Q42" s="360" t="e">
        <f>#REF!</f>
        <v>#REF!</v>
      </c>
      <c r="R42" s="360" t="e">
        <f>#REF!</f>
        <v>#REF!</v>
      </c>
      <c r="S42" s="360" t="e">
        <f>#REF!</f>
        <v>#REF!</v>
      </c>
      <c r="T42" s="360" t="e">
        <f>#REF!</f>
        <v>#REF!</v>
      </c>
      <c r="U42" s="360" t="e">
        <f>#REF!</f>
        <v>#REF!</v>
      </c>
      <c r="V42" s="360" t="e">
        <f>#REF!</f>
        <v>#REF!</v>
      </c>
      <c r="W42" s="360" t="e">
        <f>#REF!</f>
        <v>#REF!</v>
      </c>
      <c r="X42" s="360">
        <f t="shared" ref="X42:AD43" si="29">G42</f>
        <v>5663</v>
      </c>
      <c r="Y42" s="360">
        <f t="shared" si="29"/>
        <v>5615</v>
      </c>
      <c r="Z42" s="360">
        <f t="shared" si="29"/>
        <v>5575</v>
      </c>
      <c r="AA42" s="360" t="e">
        <f t="shared" si="29"/>
        <v>#REF!</v>
      </c>
      <c r="AB42" s="360">
        <f t="shared" si="29"/>
        <v>5493</v>
      </c>
      <c r="AC42" s="360">
        <f t="shared" si="29"/>
        <v>5451</v>
      </c>
      <c r="AD42" s="360">
        <f t="shared" si="29"/>
        <v>5423</v>
      </c>
    </row>
    <row r="43" spans="1:30" outlineLevel="1">
      <c r="B43" s="484" t="s">
        <v>529</v>
      </c>
      <c r="C43" s="466">
        <v>349.72800000000001</v>
      </c>
      <c r="D43" s="466">
        <v>346.66699999999997</v>
      </c>
      <c r="E43" s="466">
        <v>334.81900000000002</v>
      </c>
      <c r="G43" s="466">
        <v>5663</v>
      </c>
      <c r="H43" s="466">
        <v>5615</v>
      </c>
      <c r="I43" s="466">
        <v>5575</v>
      </c>
      <c r="J43" s="360" t="e">
        <f>#REF!</f>
        <v>#REF!</v>
      </c>
      <c r="K43" s="464">
        <v>5493</v>
      </c>
      <c r="L43" s="464">
        <v>5451</v>
      </c>
      <c r="M43" s="464">
        <v>5423</v>
      </c>
      <c r="O43" s="360" t="e">
        <f>#REF!</f>
        <v>#REF!</v>
      </c>
      <c r="P43" s="360" t="e">
        <f>#REF!</f>
        <v>#REF!</v>
      </c>
      <c r="Q43" s="360" t="e">
        <f>#REF!</f>
        <v>#REF!</v>
      </c>
      <c r="R43" s="360" t="e">
        <f>#REF!</f>
        <v>#REF!</v>
      </c>
      <c r="S43" s="360" t="e">
        <f>#REF!</f>
        <v>#REF!</v>
      </c>
      <c r="T43" s="360" t="e">
        <f>#REF!</f>
        <v>#REF!</v>
      </c>
      <c r="U43" s="360" t="e">
        <f>#REF!</f>
        <v>#REF!</v>
      </c>
      <c r="V43" s="360" t="e">
        <f>#REF!</f>
        <v>#REF!</v>
      </c>
      <c r="W43" s="360" t="e">
        <f>#REF!</f>
        <v>#REF!</v>
      </c>
      <c r="X43" s="360">
        <f t="shared" si="29"/>
        <v>5663</v>
      </c>
      <c r="Y43" s="360">
        <f t="shared" si="29"/>
        <v>5615</v>
      </c>
      <c r="Z43" s="360">
        <f t="shared" si="29"/>
        <v>5575</v>
      </c>
      <c r="AA43" s="360" t="e">
        <f t="shared" si="29"/>
        <v>#REF!</v>
      </c>
      <c r="AB43" s="360">
        <f t="shared" si="29"/>
        <v>5493</v>
      </c>
      <c r="AC43" s="360">
        <f t="shared" si="29"/>
        <v>5451</v>
      </c>
      <c r="AD43" s="360">
        <f t="shared" si="29"/>
        <v>5423</v>
      </c>
    </row>
    <row r="44" spans="1:30">
      <c r="B44" s="486" t="s">
        <v>521</v>
      </c>
      <c r="C44" s="485">
        <f t="shared" ref="C44:E44" si="30">IF($C$6=1, C41/C42,C41/C43)</f>
        <v>2.210861011986458</v>
      </c>
      <c r="D44" s="485">
        <f t="shared" si="30"/>
        <v>2.4793245391110204</v>
      </c>
      <c r="E44" s="485">
        <f t="shared" si="30"/>
        <v>2.9574187844775834</v>
      </c>
      <c r="G44" s="485">
        <f t="shared" ref="G44:M44" si="31">IF($C$6=1, G41/G42,G41/G43)</f>
        <v>1.9058802754723645</v>
      </c>
      <c r="H44" s="485">
        <f t="shared" si="31"/>
        <v>1.9132680320569901</v>
      </c>
      <c r="I44" s="485">
        <f t="shared" si="31"/>
        <v>2.1397309417040358</v>
      </c>
      <c r="J44" s="485" t="e">
        <f t="shared" si="31"/>
        <v>#REF!</v>
      </c>
      <c r="K44" s="485">
        <f t="shared" si="31"/>
        <v>2.8346987074458401</v>
      </c>
      <c r="L44" s="485">
        <f t="shared" si="31"/>
        <v>2.3259952302329849</v>
      </c>
      <c r="M44" s="485">
        <f t="shared" si="31"/>
        <v>2.8941545270145674</v>
      </c>
      <c r="O44" s="485" t="e">
        <f t="shared" ref="O44:AD44" si="32">IF($C$6=1, O41/O42,O41/O43)</f>
        <v>#REF!</v>
      </c>
      <c r="P44" s="485" t="e">
        <f t="shared" si="32"/>
        <v>#REF!</v>
      </c>
      <c r="Q44" s="485" t="e">
        <f t="shared" si="32"/>
        <v>#REF!</v>
      </c>
      <c r="R44" s="485" t="e">
        <f t="shared" si="32"/>
        <v>#REF!</v>
      </c>
      <c r="S44" s="485" t="e">
        <f t="shared" si="32"/>
        <v>#REF!</v>
      </c>
      <c r="T44" s="485" t="e">
        <f t="shared" si="32"/>
        <v>#REF!</v>
      </c>
      <c r="U44" s="485" t="e">
        <f t="shared" si="32"/>
        <v>#REF!</v>
      </c>
      <c r="V44" s="485" t="e">
        <f t="shared" si="32"/>
        <v>#REF!</v>
      </c>
      <c r="W44" s="485" t="e">
        <f t="shared" si="32"/>
        <v>#REF!</v>
      </c>
      <c r="X44" s="485">
        <f t="shared" si="32"/>
        <v>1.9058802754723645</v>
      </c>
      <c r="Y44" s="485">
        <f t="shared" si="32"/>
        <v>3.8354407836153159</v>
      </c>
      <c r="Z44" s="485">
        <f t="shared" si="32"/>
        <v>6.0026905829596409</v>
      </c>
      <c r="AA44" s="485" t="e">
        <f t="shared" si="32"/>
        <v>#REF!</v>
      </c>
      <c r="AB44" s="485" t="e">
        <f t="shared" si="32"/>
        <v>#REF!</v>
      </c>
      <c r="AC44" s="485" t="e">
        <f t="shared" si="32"/>
        <v>#REF!</v>
      </c>
      <c r="AD44" s="485" t="e">
        <f t="shared" si="32"/>
        <v>#REF!</v>
      </c>
    </row>
    <row r="45" spans="1:30">
      <c r="B45" s="49"/>
    </row>
    <row r="46" spans="1:30" s="8" customFormat="1" ht="12">
      <c r="A46" s="38" t="s">
        <v>19</v>
      </c>
      <c r="B46" s="1" t="s">
        <v>515</v>
      </c>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5.0999999999999996" customHeight="1">
      <c r="B47" s="49"/>
    </row>
    <row r="48" spans="1:30">
      <c r="A48" s="5"/>
      <c r="B48" s="482" t="s">
        <v>505</v>
      </c>
    </row>
    <row r="49" spans="2:30">
      <c r="B49" s="483" t="s">
        <v>508</v>
      </c>
      <c r="C49" s="466">
        <v>15126</v>
      </c>
      <c r="D49" s="466">
        <v>17027</v>
      </c>
      <c r="E49" s="466">
        <v>20285</v>
      </c>
      <c r="G49" s="466">
        <v>12754</v>
      </c>
      <c r="H49" s="466">
        <v>12736</v>
      </c>
      <c r="I49" s="466">
        <v>14237</v>
      </c>
      <c r="J49" s="360" t="e">
        <f>SUM(#REF!-SUM(G49:I49))</f>
        <v>#REF!</v>
      </c>
      <c r="K49" s="466">
        <v>18813</v>
      </c>
      <c r="L49" s="466">
        <v>15429</v>
      </c>
      <c r="M49" s="466">
        <v>19113</v>
      </c>
      <c r="O49" s="360" t="e">
        <f>SUM(#REF!)</f>
        <v>#REF!</v>
      </c>
      <c r="P49" s="360" t="e">
        <f>SUM(#REF!)</f>
        <v>#REF!</v>
      </c>
      <c r="Q49" s="360" t="e">
        <f>SUM(#REF!)</f>
        <v>#REF!</v>
      </c>
      <c r="R49" s="360" t="e">
        <f>SUM(#REF!)</f>
        <v>#REF!</v>
      </c>
      <c r="S49" s="360" t="e">
        <f>SUM(#REF!)</f>
        <v>#REF!</v>
      </c>
      <c r="T49" s="360" t="e">
        <f>SUM(#REF!)</f>
        <v>#REF!</v>
      </c>
      <c r="U49" s="360" t="e">
        <f>SUM(#REF!)</f>
        <v>#REF!</v>
      </c>
      <c r="V49" s="360" t="e">
        <f>SUM(#REF!)</f>
        <v>#REF!</v>
      </c>
      <c r="W49" s="360" t="e">
        <f>SUM(#REF!)</f>
        <v>#REF!</v>
      </c>
      <c r="X49" s="360">
        <f>SUM(G49:G49)</f>
        <v>12754</v>
      </c>
      <c r="Y49" s="360">
        <f>SUM(G49:H49)</f>
        <v>25490</v>
      </c>
      <c r="Z49" s="360">
        <f>SUM(G49:I49)</f>
        <v>39727</v>
      </c>
      <c r="AA49" s="360" t="e">
        <f t="shared" ref="AA49:AD49" si="33">SUM(G49:J49)</f>
        <v>#REF!</v>
      </c>
      <c r="AB49" s="360" t="e">
        <f t="shared" si="33"/>
        <v>#REF!</v>
      </c>
      <c r="AC49" s="360" t="e">
        <f t="shared" si="33"/>
        <v>#REF!</v>
      </c>
      <c r="AD49" s="360" t="e">
        <f t="shared" si="33"/>
        <v>#REF!</v>
      </c>
    </row>
    <row r="50" spans="2:30">
      <c r="B50" s="483" t="s">
        <v>85</v>
      </c>
      <c r="C50" s="34">
        <f>SUM(C51:C53)</f>
        <v>13.78</v>
      </c>
      <c r="D50" s="34">
        <f t="shared" ref="D50:E50" si="34">SUM(D51:D53)</f>
        <v>8.26</v>
      </c>
      <c r="E50" s="34">
        <f t="shared" si="34"/>
        <v>1.7399999999999998</v>
      </c>
      <c r="G50" s="34">
        <f t="shared" ref="G50:M50" si="35">SUM(G51:G53)</f>
        <v>0</v>
      </c>
      <c r="H50" s="34">
        <f t="shared" si="35"/>
        <v>0</v>
      </c>
      <c r="I50" s="34">
        <f t="shared" si="35"/>
        <v>0</v>
      </c>
      <c r="J50" s="34" t="e">
        <f t="shared" si="35"/>
        <v>#REF!</v>
      </c>
      <c r="K50" s="34">
        <f t="shared" si="35"/>
        <v>0</v>
      </c>
      <c r="L50" s="34">
        <f t="shared" si="35"/>
        <v>0</v>
      </c>
      <c r="M50" s="34">
        <f t="shared" si="35"/>
        <v>0</v>
      </c>
      <c r="O50" s="34" t="e">
        <f>SUM(O51:O53)</f>
        <v>#REF!</v>
      </c>
      <c r="P50" s="34" t="e">
        <f t="shared" ref="P50:AD50" si="36">SUM(P51:P53)</f>
        <v>#REF!</v>
      </c>
      <c r="Q50" s="34" t="e">
        <f t="shared" si="36"/>
        <v>#REF!</v>
      </c>
      <c r="R50" s="34" t="e">
        <f t="shared" si="36"/>
        <v>#REF!</v>
      </c>
      <c r="S50" s="34" t="e">
        <f t="shared" si="36"/>
        <v>#REF!</v>
      </c>
      <c r="T50" s="34" t="e">
        <f t="shared" si="36"/>
        <v>#REF!</v>
      </c>
      <c r="U50" s="34" t="e">
        <f t="shared" si="36"/>
        <v>#REF!</v>
      </c>
      <c r="V50" s="34" t="e">
        <f t="shared" si="36"/>
        <v>#REF!</v>
      </c>
      <c r="W50" s="34" t="e">
        <f t="shared" si="36"/>
        <v>#REF!</v>
      </c>
      <c r="X50" s="34">
        <f t="shared" si="36"/>
        <v>0</v>
      </c>
      <c r="Y50" s="34">
        <f t="shared" si="36"/>
        <v>0</v>
      </c>
      <c r="Z50" s="34">
        <f t="shared" si="36"/>
        <v>0</v>
      </c>
      <c r="AA50" s="34" t="e">
        <f t="shared" si="36"/>
        <v>#REF!</v>
      </c>
      <c r="AB50" s="34">
        <f t="shared" si="36"/>
        <v>0</v>
      </c>
      <c r="AC50" s="34">
        <f t="shared" si="36"/>
        <v>0</v>
      </c>
      <c r="AD50" s="34">
        <f t="shared" si="36"/>
        <v>0</v>
      </c>
    </row>
    <row r="51" spans="2:30">
      <c r="B51" s="490" t="s">
        <v>512</v>
      </c>
      <c r="C51" s="360">
        <f t="shared" ref="C51:E51" si="37">IF($C$6=1,C30,C31)</f>
        <v>0</v>
      </c>
      <c r="D51" s="360">
        <f t="shared" si="37"/>
        <v>0</v>
      </c>
      <c r="E51" s="360">
        <f t="shared" si="37"/>
        <v>0</v>
      </c>
      <c r="G51" s="360">
        <f t="shared" ref="G51:M51" si="38">IF($C$6=1,G30,G31)</f>
        <v>0</v>
      </c>
      <c r="H51" s="360">
        <f t="shared" si="38"/>
        <v>0</v>
      </c>
      <c r="I51" s="360">
        <f t="shared" si="38"/>
        <v>0</v>
      </c>
      <c r="J51" s="360">
        <f t="shared" si="38"/>
        <v>0</v>
      </c>
      <c r="K51" s="360">
        <f t="shared" si="38"/>
        <v>0</v>
      </c>
      <c r="L51" s="360">
        <f t="shared" si="38"/>
        <v>0</v>
      </c>
      <c r="M51" s="360">
        <f t="shared" si="38"/>
        <v>0</v>
      </c>
      <c r="O51" s="360" t="e">
        <f t="shared" ref="O51:AD51" si="39">IF($C$6=1,O30,O31)</f>
        <v>#REF!</v>
      </c>
      <c r="P51" s="360" t="e">
        <f t="shared" si="39"/>
        <v>#REF!</v>
      </c>
      <c r="Q51" s="360" t="e">
        <f t="shared" si="39"/>
        <v>#REF!</v>
      </c>
      <c r="R51" s="360" t="e">
        <f t="shared" si="39"/>
        <v>#REF!</v>
      </c>
      <c r="S51" s="360" t="e">
        <f t="shared" si="39"/>
        <v>#REF!</v>
      </c>
      <c r="T51" s="360" t="e">
        <f t="shared" si="39"/>
        <v>#REF!</v>
      </c>
      <c r="U51" s="360" t="e">
        <f t="shared" si="39"/>
        <v>#REF!</v>
      </c>
      <c r="V51" s="360" t="e">
        <f t="shared" si="39"/>
        <v>#REF!</v>
      </c>
      <c r="W51" s="360" t="e">
        <f t="shared" si="39"/>
        <v>#REF!</v>
      </c>
      <c r="X51" s="360">
        <f t="shared" si="39"/>
        <v>0</v>
      </c>
      <c r="Y51" s="360">
        <f t="shared" si="39"/>
        <v>0</v>
      </c>
      <c r="Z51" s="360">
        <f t="shared" si="39"/>
        <v>0</v>
      </c>
      <c r="AA51" s="360">
        <f t="shared" si="39"/>
        <v>0</v>
      </c>
      <c r="AB51" s="360">
        <f t="shared" si="39"/>
        <v>0</v>
      </c>
      <c r="AC51" s="360">
        <f t="shared" si="39"/>
        <v>0</v>
      </c>
      <c r="AD51" s="360">
        <f t="shared" si="39"/>
        <v>0</v>
      </c>
    </row>
    <row r="52" spans="2:30">
      <c r="B52" s="490" t="s">
        <v>513</v>
      </c>
      <c r="C52" s="360">
        <f t="shared" ref="C52:E52" si="40">IF($C$6=1,C36,C37)</f>
        <v>0</v>
      </c>
      <c r="D52" s="360">
        <f t="shared" si="40"/>
        <v>0</v>
      </c>
      <c r="E52" s="360">
        <f t="shared" si="40"/>
        <v>0</v>
      </c>
      <c r="G52" s="360">
        <f t="shared" ref="G52:M52" si="41">IF($C$6=1,G36,G37)</f>
        <v>0</v>
      </c>
      <c r="H52" s="360">
        <f t="shared" si="41"/>
        <v>0</v>
      </c>
      <c r="I52" s="360">
        <f t="shared" si="41"/>
        <v>0</v>
      </c>
      <c r="J52" s="360" t="e">
        <f t="shared" si="41"/>
        <v>#REF!</v>
      </c>
      <c r="K52" s="360">
        <f t="shared" si="41"/>
        <v>0</v>
      </c>
      <c r="L52" s="360">
        <f t="shared" si="41"/>
        <v>0</v>
      </c>
      <c r="M52" s="360">
        <f t="shared" si="41"/>
        <v>0</v>
      </c>
      <c r="O52" s="360" t="e">
        <f t="shared" ref="O52:AD52" si="42">IF($C$6=1,O36,O37)</f>
        <v>#REF!</v>
      </c>
      <c r="P52" s="360" t="e">
        <f t="shared" si="42"/>
        <v>#REF!</v>
      </c>
      <c r="Q52" s="360" t="e">
        <f t="shared" si="42"/>
        <v>#REF!</v>
      </c>
      <c r="R52" s="360" t="e">
        <f t="shared" si="42"/>
        <v>#REF!</v>
      </c>
      <c r="S52" s="360" t="e">
        <f t="shared" si="42"/>
        <v>#REF!</v>
      </c>
      <c r="T52" s="360" t="e">
        <f t="shared" si="42"/>
        <v>#REF!</v>
      </c>
      <c r="U52" s="360" t="e">
        <f t="shared" si="42"/>
        <v>#REF!</v>
      </c>
      <c r="V52" s="360" t="e">
        <f t="shared" si="42"/>
        <v>#REF!</v>
      </c>
      <c r="W52" s="360" t="e">
        <f t="shared" si="42"/>
        <v>#REF!</v>
      </c>
      <c r="X52" s="360">
        <f t="shared" si="42"/>
        <v>0</v>
      </c>
      <c r="Y52" s="360">
        <f t="shared" si="42"/>
        <v>0</v>
      </c>
      <c r="Z52" s="360">
        <f t="shared" si="42"/>
        <v>0</v>
      </c>
      <c r="AA52" s="360" t="e">
        <f t="shared" si="42"/>
        <v>#REF!</v>
      </c>
      <c r="AB52" s="360">
        <f t="shared" si="42"/>
        <v>0</v>
      </c>
      <c r="AC52" s="360">
        <f t="shared" si="42"/>
        <v>0</v>
      </c>
      <c r="AD52" s="360">
        <f t="shared" si="42"/>
        <v>0</v>
      </c>
    </row>
    <row r="53" spans="2:30">
      <c r="B53" s="490" t="s">
        <v>528</v>
      </c>
      <c r="C53" s="360">
        <f t="shared" ref="C53:E53" si="43">IF($C$6=1,C54*20,C54)</f>
        <v>13.78</v>
      </c>
      <c r="D53" s="360">
        <f t="shared" si="43"/>
        <v>8.26</v>
      </c>
      <c r="E53" s="360">
        <f t="shared" si="43"/>
        <v>1.7399999999999998</v>
      </c>
      <c r="G53" s="360">
        <f t="shared" ref="G53:O53" si="44">G54</f>
        <v>0</v>
      </c>
      <c r="H53" s="360">
        <f t="shared" si="44"/>
        <v>0</v>
      </c>
      <c r="I53" s="360">
        <f t="shared" si="44"/>
        <v>0</v>
      </c>
      <c r="J53" s="360" t="e">
        <f t="shared" si="44"/>
        <v>#REF!</v>
      </c>
      <c r="K53" s="360">
        <f t="shared" si="44"/>
        <v>0</v>
      </c>
      <c r="L53" s="360">
        <f t="shared" si="44"/>
        <v>0</v>
      </c>
      <c r="M53" s="360">
        <f t="shared" si="44"/>
        <v>0</v>
      </c>
      <c r="O53" s="360" t="e">
        <f t="shared" si="44"/>
        <v>#REF!</v>
      </c>
      <c r="P53" s="360" t="e">
        <f t="shared" ref="P53:AD53" si="45">P54</f>
        <v>#REF!</v>
      </c>
      <c r="Q53" s="360" t="e">
        <f t="shared" si="45"/>
        <v>#REF!</v>
      </c>
      <c r="R53" s="360" t="e">
        <f t="shared" si="45"/>
        <v>#REF!</v>
      </c>
      <c r="S53" s="360" t="e">
        <f t="shared" si="45"/>
        <v>#REF!</v>
      </c>
      <c r="T53" s="360" t="e">
        <f t="shared" si="45"/>
        <v>#REF!</v>
      </c>
      <c r="U53" s="360" t="e">
        <f t="shared" si="45"/>
        <v>#REF!</v>
      </c>
      <c r="V53" s="360" t="e">
        <f t="shared" si="45"/>
        <v>#REF!</v>
      </c>
      <c r="W53" s="360" t="e">
        <f t="shared" si="45"/>
        <v>#REF!</v>
      </c>
      <c r="X53" s="360">
        <f t="shared" si="45"/>
        <v>0</v>
      </c>
      <c r="Y53" s="360">
        <f t="shared" si="45"/>
        <v>0</v>
      </c>
      <c r="Z53" s="360">
        <f t="shared" si="45"/>
        <v>0</v>
      </c>
      <c r="AA53" s="360" t="e">
        <f t="shared" si="45"/>
        <v>#REF!</v>
      </c>
      <c r="AB53" s="360">
        <f t="shared" si="45"/>
        <v>0</v>
      </c>
      <c r="AC53" s="360">
        <f t="shared" si="45"/>
        <v>0</v>
      </c>
      <c r="AD53" s="360">
        <f t="shared" si="45"/>
        <v>0</v>
      </c>
    </row>
    <row r="54" spans="2:30" outlineLevel="1">
      <c r="B54" s="490" t="s">
        <v>526</v>
      </c>
      <c r="C54" s="466">
        <v>0.68899999999999995</v>
      </c>
      <c r="D54" s="466">
        <v>0.41299999999999998</v>
      </c>
      <c r="E54" s="466">
        <v>8.6999999999999994E-2</v>
      </c>
      <c r="G54" s="466">
        <v>0</v>
      </c>
      <c r="H54" s="466">
        <v>0</v>
      </c>
      <c r="I54" s="466">
        <v>0</v>
      </c>
      <c r="J54" s="360" t="e">
        <f>#REF!</f>
        <v>#REF!</v>
      </c>
      <c r="K54" s="466">
        <v>0</v>
      </c>
      <c r="L54" s="466">
        <v>0</v>
      </c>
      <c r="M54" s="466">
        <v>0</v>
      </c>
      <c r="O54" s="360" t="e">
        <f>#REF!</f>
        <v>#REF!</v>
      </c>
      <c r="P54" s="360" t="e">
        <f>#REF!</f>
        <v>#REF!</v>
      </c>
      <c r="Q54" s="360" t="e">
        <f>#REF!</f>
        <v>#REF!</v>
      </c>
      <c r="R54" s="360" t="e">
        <f>#REF!</f>
        <v>#REF!</v>
      </c>
      <c r="S54" s="360" t="e">
        <f>#REF!</f>
        <v>#REF!</v>
      </c>
      <c r="T54" s="360" t="e">
        <f>#REF!</f>
        <v>#REF!</v>
      </c>
      <c r="U54" s="360" t="e">
        <f>#REF!</f>
        <v>#REF!</v>
      </c>
      <c r="V54" s="360" t="e">
        <f>#REF!</f>
        <v>#REF!</v>
      </c>
      <c r="W54" s="360" t="e">
        <f>#REF!</f>
        <v>#REF!</v>
      </c>
      <c r="X54" s="360">
        <f t="shared" ref="X54:AD54" si="46">G54</f>
        <v>0</v>
      </c>
      <c r="Y54" s="360">
        <f t="shared" si="46"/>
        <v>0</v>
      </c>
      <c r="Z54" s="360">
        <f t="shared" si="46"/>
        <v>0</v>
      </c>
      <c r="AA54" s="360" t="e">
        <f t="shared" si="46"/>
        <v>#REF!</v>
      </c>
      <c r="AB54" s="360">
        <f t="shared" si="46"/>
        <v>0</v>
      </c>
      <c r="AC54" s="360">
        <f t="shared" si="46"/>
        <v>0</v>
      </c>
      <c r="AD54" s="360">
        <f t="shared" si="46"/>
        <v>0</v>
      </c>
    </row>
    <row r="55" spans="2:30">
      <c r="B55" s="486" t="s">
        <v>511</v>
      </c>
      <c r="C55" s="485">
        <f t="shared" ref="C55:E55" si="47">C49/C50</f>
        <v>1097.677793904209</v>
      </c>
      <c r="D55" s="485">
        <f t="shared" si="47"/>
        <v>2061.3801452784505</v>
      </c>
      <c r="E55" s="485">
        <f t="shared" si="47"/>
        <v>11658.045977011496</v>
      </c>
      <c r="G55" s="485" t="e">
        <f t="shared" ref="G55:AD55" si="48">G49/G50</f>
        <v>#DIV/0!</v>
      </c>
      <c r="H55" s="485" t="e">
        <f t="shared" si="48"/>
        <v>#DIV/0!</v>
      </c>
      <c r="I55" s="485" t="e">
        <f t="shared" si="48"/>
        <v>#DIV/0!</v>
      </c>
      <c r="J55" s="485" t="e">
        <f t="shared" si="48"/>
        <v>#REF!</v>
      </c>
      <c r="K55" s="485" t="e">
        <f t="shared" si="48"/>
        <v>#DIV/0!</v>
      </c>
      <c r="L55" s="485" t="e">
        <f t="shared" si="48"/>
        <v>#DIV/0!</v>
      </c>
      <c r="M55" s="485" t="e">
        <f t="shared" si="48"/>
        <v>#DIV/0!</v>
      </c>
      <c r="O55" s="485" t="e">
        <f t="shared" si="48"/>
        <v>#REF!</v>
      </c>
      <c r="P55" s="485" t="e">
        <f t="shared" si="48"/>
        <v>#REF!</v>
      </c>
      <c r="Q55" s="485" t="e">
        <f t="shared" si="48"/>
        <v>#REF!</v>
      </c>
      <c r="R55" s="485" t="e">
        <f t="shared" si="48"/>
        <v>#REF!</v>
      </c>
      <c r="S55" s="485" t="e">
        <f t="shared" si="48"/>
        <v>#REF!</v>
      </c>
      <c r="T55" s="485" t="e">
        <f t="shared" si="48"/>
        <v>#REF!</v>
      </c>
      <c r="U55" s="485" t="e">
        <f t="shared" si="48"/>
        <v>#REF!</v>
      </c>
      <c r="V55" s="485" t="e">
        <f t="shared" si="48"/>
        <v>#REF!</v>
      </c>
      <c r="W55" s="485" t="e">
        <f t="shared" si="48"/>
        <v>#REF!</v>
      </c>
      <c r="X55" s="485" t="e">
        <f t="shared" si="48"/>
        <v>#DIV/0!</v>
      </c>
      <c r="Y55" s="485" t="e">
        <f t="shared" si="48"/>
        <v>#DIV/0!</v>
      </c>
      <c r="Z55" s="485" t="e">
        <f t="shared" si="48"/>
        <v>#DIV/0!</v>
      </c>
      <c r="AA55" s="485" t="e">
        <f t="shared" si="48"/>
        <v>#REF!</v>
      </c>
      <c r="AB55" s="485" t="e">
        <f t="shared" si="48"/>
        <v>#REF!</v>
      </c>
      <c r="AC55" s="485" t="e">
        <f t="shared" si="48"/>
        <v>#REF!</v>
      </c>
      <c r="AD55" s="485" t="e">
        <f t="shared" si="48"/>
        <v>#REF!</v>
      </c>
    </row>
    <row r="57" spans="2:30">
      <c r="B57" s="482" t="s">
        <v>506</v>
      </c>
    </row>
    <row r="58" spans="2:30">
      <c r="B58" s="483" t="s">
        <v>508</v>
      </c>
      <c r="C58" s="466">
        <v>2048</v>
      </c>
      <c r="D58" s="466">
        <v>2287</v>
      </c>
      <c r="E58" s="466">
        <v>2707</v>
      </c>
      <c r="G58" s="88">
        <v>1641</v>
      </c>
      <c r="H58" s="88">
        <v>1639</v>
      </c>
      <c r="I58" s="88">
        <v>1834</v>
      </c>
      <c r="J58" s="360" t="e">
        <f>SUM(#REF!-SUM(G58:I58))</f>
        <v>#REF!</v>
      </c>
      <c r="K58" s="88">
        <v>2415</v>
      </c>
      <c r="L58" s="88">
        <v>1970</v>
      </c>
      <c r="M58" s="88">
        <v>2423</v>
      </c>
      <c r="O58" s="360" t="e">
        <f>SUM(#REF!)</f>
        <v>#REF!</v>
      </c>
      <c r="P58" s="360" t="e">
        <f>SUM(#REF!)</f>
        <v>#REF!</v>
      </c>
      <c r="Q58" s="360" t="e">
        <f>SUM(#REF!)</f>
        <v>#REF!</v>
      </c>
      <c r="R58" s="360" t="e">
        <f>SUM(#REF!)</f>
        <v>#REF!</v>
      </c>
      <c r="S58" s="360" t="e">
        <f>SUM(#REF!)</f>
        <v>#REF!</v>
      </c>
      <c r="T58" s="360" t="e">
        <f>SUM(#REF!)</f>
        <v>#REF!</v>
      </c>
      <c r="U58" s="360" t="e">
        <f>SUM(#REF!)</f>
        <v>#REF!</v>
      </c>
      <c r="V58" s="360" t="e">
        <f>SUM(#REF!)</f>
        <v>#REF!</v>
      </c>
      <c r="W58" s="360" t="e">
        <f>SUM(#REF!)</f>
        <v>#REF!</v>
      </c>
      <c r="X58" s="360">
        <f>SUM(G58:G58)</f>
        <v>1641</v>
      </c>
      <c r="Y58" s="360">
        <f>SUM(G58:H58)</f>
        <v>3280</v>
      </c>
      <c r="Z58" s="360">
        <f>SUM(G58:I58)</f>
        <v>5114</v>
      </c>
      <c r="AA58" s="360" t="e">
        <f t="shared" ref="AA58:AD58" si="49">SUM(G58:J58)</f>
        <v>#REF!</v>
      </c>
      <c r="AB58" s="360" t="e">
        <f t="shared" si="49"/>
        <v>#REF!</v>
      </c>
      <c r="AC58" s="360" t="e">
        <f t="shared" si="49"/>
        <v>#REF!</v>
      </c>
      <c r="AD58" s="360" t="e">
        <f t="shared" si="49"/>
        <v>#REF!</v>
      </c>
    </row>
    <row r="59" spans="2:30">
      <c r="B59" s="483" t="s">
        <v>85</v>
      </c>
      <c r="C59" s="34">
        <f t="shared" ref="C59:E59" si="50">SUM(C60:C60)</f>
        <v>0</v>
      </c>
      <c r="D59" s="34">
        <f t="shared" si="50"/>
        <v>0</v>
      </c>
      <c r="E59" s="34">
        <f t="shared" si="50"/>
        <v>0</v>
      </c>
      <c r="G59" s="34">
        <f t="shared" ref="G59:O59" si="51">SUM(G60:G60)</f>
        <v>0</v>
      </c>
      <c r="H59" s="34">
        <f t="shared" si="51"/>
        <v>0</v>
      </c>
      <c r="I59" s="34">
        <f t="shared" si="51"/>
        <v>0</v>
      </c>
      <c r="J59" s="34" t="e">
        <f t="shared" si="51"/>
        <v>#REF!</v>
      </c>
      <c r="K59" s="34">
        <f t="shared" si="51"/>
        <v>0</v>
      </c>
      <c r="L59" s="34">
        <f t="shared" si="51"/>
        <v>0</v>
      </c>
      <c r="M59" s="34">
        <f t="shared" si="51"/>
        <v>0</v>
      </c>
      <c r="O59" s="34" t="e">
        <f t="shared" si="51"/>
        <v>#REF!</v>
      </c>
      <c r="P59" s="34" t="e">
        <f t="shared" ref="P59:AD59" si="52">SUM(P60:P60)</f>
        <v>#REF!</v>
      </c>
      <c r="Q59" s="34" t="e">
        <f t="shared" si="52"/>
        <v>#REF!</v>
      </c>
      <c r="R59" s="34" t="e">
        <f t="shared" si="52"/>
        <v>#REF!</v>
      </c>
      <c r="S59" s="34" t="e">
        <f t="shared" si="52"/>
        <v>#REF!</v>
      </c>
      <c r="T59" s="34" t="e">
        <f t="shared" si="52"/>
        <v>#REF!</v>
      </c>
      <c r="U59" s="34" t="e">
        <f t="shared" si="52"/>
        <v>#REF!</v>
      </c>
      <c r="V59" s="34" t="e">
        <f t="shared" si="52"/>
        <v>#REF!</v>
      </c>
      <c r="W59" s="34" t="e">
        <f t="shared" si="52"/>
        <v>#REF!</v>
      </c>
      <c r="X59" s="34">
        <f t="shared" si="52"/>
        <v>0</v>
      </c>
      <c r="Y59" s="34">
        <f t="shared" si="52"/>
        <v>0</v>
      </c>
      <c r="Z59" s="34">
        <f t="shared" si="52"/>
        <v>0</v>
      </c>
      <c r="AA59" s="34" t="e">
        <f t="shared" si="52"/>
        <v>#REF!</v>
      </c>
      <c r="AB59" s="34">
        <f t="shared" si="52"/>
        <v>0</v>
      </c>
      <c r="AC59" s="34">
        <f t="shared" si="52"/>
        <v>0</v>
      </c>
      <c r="AD59" s="34">
        <f t="shared" si="52"/>
        <v>0</v>
      </c>
    </row>
    <row r="60" spans="2:30">
      <c r="B60" s="490" t="s">
        <v>512</v>
      </c>
      <c r="C60" s="360">
        <f t="shared" ref="C60:E60" si="53">IF($C$6=1,C36,C37)</f>
        <v>0</v>
      </c>
      <c r="D60" s="360">
        <f t="shared" si="53"/>
        <v>0</v>
      </c>
      <c r="E60" s="360">
        <f t="shared" si="53"/>
        <v>0</v>
      </c>
      <c r="G60" s="360">
        <f t="shared" ref="G60:M60" si="54">IF($C$6=1,G36,G37)</f>
        <v>0</v>
      </c>
      <c r="H60" s="360">
        <f t="shared" si="54"/>
        <v>0</v>
      </c>
      <c r="I60" s="360">
        <f t="shared" si="54"/>
        <v>0</v>
      </c>
      <c r="J60" s="360" t="e">
        <f t="shared" si="54"/>
        <v>#REF!</v>
      </c>
      <c r="K60" s="360">
        <f t="shared" si="54"/>
        <v>0</v>
      </c>
      <c r="L60" s="360">
        <f t="shared" si="54"/>
        <v>0</v>
      </c>
      <c r="M60" s="360">
        <f t="shared" si="54"/>
        <v>0</v>
      </c>
      <c r="O60" s="360" t="e">
        <f>#REF!</f>
        <v>#REF!</v>
      </c>
      <c r="P60" s="360" t="e">
        <f>#REF!</f>
        <v>#REF!</v>
      </c>
      <c r="Q60" s="360" t="e">
        <f>#REF!</f>
        <v>#REF!</v>
      </c>
      <c r="R60" s="360" t="e">
        <f>#REF!</f>
        <v>#REF!</v>
      </c>
      <c r="S60" s="360" t="e">
        <f>#REF!</f>
        <v>#REF!</v>
      </c>
      <c r="T60" s="360" t="e">
        <f>#REF!</f>
        <v>#REF!</v>
      </c>
      <c r="U60" s="360" t="e">
        <f>#REF!</f>
        <v>#REF!</v>
      </c>
      <c r="V60" s="360" t="e">
        <f>#REF!</f>
        <v>#REF!</v>
      </c>
      <c r="W60" s="360" t="e">
        <f>#REF!</f>
        <v>#REF!</v>
      </c>
      <c r="X60" s="360">
        <f t="shared" ref="X60:AD60" si="55">G60</f>
        <v>0</v>
      </c>
      <c r="Y60" s="360">
        <f t="shared" si="55"/>
        <v>0</v>
      </c>
      <c r="Z60" s="360">
        <f t="shared" si="55"/>
        <v>0</v>
      </c>
      <c r="AA60" s="360" t="e">
        <f t="shared" si="55"/>
        <v>#REF!</v>
      </c>
      <c r="AB60" s="360">
        <f t="shared" si="55"/>
        <v>0</v>
      </c>
      <c r="AC60" s="360">
        <f t="shared" si="55"/>
        <v>0</v>
      </c>
      <c r="AD60" s="360">
        <f t="shared" si="55"/>
        <v>0</v>
      </c>
    </row>
    <row r="61" spans="2:30">
      <c r="B61" s="486" t="s">
        <v>511</v>
      </c>
      <c r="C61" s="485" t="e">
        <f t="shared" ref="C61:E61" si="56">C58/C59</f>
        <v>#DIV/0!</v>
      </c>
      <c r="D61" s="485" t="e">
        <f t="shared" si="56"/>
        <v>#DIV/0!</v>
      </c>
      <c r="E61" s="485" t="e">
        <f t="shared" si="56"/>
        <v>#DIV/0!</v>
      </c>
      <c r="G61" s="485" t="e">
        <f t="shared" ref="G61:AD61" si="57">G58/G59</f>
        <v>#DIV/0!</v>
      </c>
      <c r="H61" s="485" t="e">
        <f t="shared" si="57"/>
        <v>#DIV/0!</v>
      </c>
      <c r="I61" s="485" t="e">
        <f t="shared" si="57"/>
        <v>#DIV/0!</v>
      </c>
      <c r="J61" s="485" t="e">
        <f t="shared" si="57"/>
        <v>#REF!</v>
      </c>
      <c r="K61" s="485" t="e">
        <f t="shared" si="57"/>
        <v>#DIV/0!</v>
      </c>
      <c r="L61" s="485" t="e">
        <f t="shared" si="57"/>
        <v>#DIV/0!</v>
      </c>
      <c r="M61" s="485" t="e">
        <f t="shared" si="57"/>
        <v>#DIV/0!</v>
      </c>
      <c r="O61" s="485" t="e">
        <f t="shared" si="57"/>
        <v>#REF!</v>
      </c>
      <c r="P61" s="485" t="e">
        <f t="shared" si="57"/>
        <v>#REF!</v>
      </c>
      <c r="Q61" s="485" t="e">
        <f t="shared" si="57"/>
        <v>#REF!</v>
      </c>
      <c r="R61" s="485" t="e">
        <f t="shared" si="57"/>
        <v>#REF!</v>
      </c>
      <c r="S61" s="485" t="e">
        <f t="shared" si="57"/>
        <v>#REF!</v>
      </c>
      <c r="T61" s="485" t="e">
        <f t="shared" si="57"/>
        <v>#REF!</v>
      </c>
      <c r="U61" s="485" t="e">
        <f t="shared" si="57"/>
        <v>#REF!</v>
      </c>
      <c r="V61" s="485" t="e">
        <f t="shared" si="57"/>
        <v>#REF!</v>
      </c>
      <c r="W61" s="485" t="e">
        <f t="shared" si="57"/>
        <v>#REF!</v>
      </c>
      <c r="X61" s="485" t="e">
        <f t="shared" si="57"/>
        <v>#DIV/0!</v>
      </c>
      <c r="Y61" s="485" t="e">
        <f t="shared" si="57"/>
        <v>#DIV/0!</v>
      </c>
      <c r="Z61" s="485" t="e">
        <f t="shared" si="57"/>
        <v>#DIV/0!</v>
      </c>
      <c r="AA61" s="485" t="e">
        <f t="shared" si="57"/>
        <v>#REF!</v>
      </c>
      <c r="AB61" s="485" t="e">
        <f t="shared" si="57"/>
        <v>#REF!</v>
      </c>
      <c r="AC61" s="485" t="e">
        <f t="shared" si="57"/>
        <v>#REF!</v>
      </c>
      <c r="AD61" s="485" t="e">
        <f t="shared" si="57"/>
        <v>#REF!</v>
      </c>
    </row>
    <row r="62" spans="2:30">
      <c r="B62" s="27"/>
      <c r="C62" s="489"/>
      <c r="D62" s="489"/>
      <c r="E62" s="489"/>
      <c r="G62" s="489"/>
      <c r="H62" s="489"/>
      <c r="I62" s="489"/>
      <c r="J62" s="489"/>
      <c r="K62" s="489"/>
      <c r="L62" s="489"/>
      <c r="M62" s="489"/>
    </row>
    <row r="63" spans="2:30">
      <c r="B63" s="482" t="s">
        <v>507</v>
      </c>
    </row>
    <row r="64" spans="2:30">
      <c r="B64" s="483" t="s">
        <v>508</v>
      </c>
      <c r="C64" s="466">
        <v>15610</v>
      </c>
      <c r="D64" s="466">
        <v>17316</v>
      </c>
      <c r="E64" s="466">
        <v>19984</v>
      </c>
      <c r="G64" s="466">
        <v>10908</v>
      </c>
      <c r="H64" s="466">
        <v>10883</v>
      </c>
      <c r="I64" s="466">
        <v>12064</v>
      </c>
      <c r="J64" s="360" t="e">
        <f>SUM(#REF!-SUM(G64:I64))</f>
        <v>#REF!</v>
      </c>
      <c r="K64" s="466">
        <v>15727</v>
      </c>
      <c r="L64" s="466">
        <v>12767</v>
      </c>
      <c r="M64" s="466">
        <v>15866</v>
      </c>
      <c r="O64" s="360" t="e">
        <f>SUM(#REF!)</f>
        <v>#REF!</v>
      </c>
      <c r="P64" s="360" t="e">
        <f>SUM(#REF!)</f>
        <v>#REF!</v>
      </c>
      <c r="Q64" s="360" t="e">
        <f>SUM(#REF!)</f>
        <v>#REF!</v>
      </c>
      <c r="R64" s="360" t="e">
        <f>SUM(#REF!)</f>
        <v>#REF!</v>
      </c>
      <c r="S64" s="360" t="e">
        <f>SUM(#REF!)</f>
        <v>#REF!</v>
      </c>
      <c r="T64" s="360" t="e">
        <f>SUM(#REF!)</f>
        <v>#REF!</v>
      </c>
      <c r="U64" s="360" t="e">
        <f>SUM(#REF!)</f>
        <v>#REF!</v>
      </c>
      <c r="V64" s="360" t="e">
        <f>SUM(#REF!)</f>
        <v>#REF!</v>
      </c>
      <c r="W64" s="360" t="e">
        <f>SUM(#REF!)</f>
        <v>#REF!</v>
      </c>
      <c r="X64" s="360">
        <f>SUM(G64:G64)</f>
        <v>10908</v>
      </c>
      <c r="Y64" s="360">
        <f>SUM(G64:H64)</f>
        <v>21791</v>
      </c>
      <c r="Z64" s="360">
        <f>SUM(G64:I64)</f>
        <v>33855</v>
      </c>
      <c r="AA64" s="360" t="e">
        <f t="shared" ref="AA64:AD64" si="58">SUM(G64:J64)</f>
        <v>#REF!</v>
      </c>
      <c r="AB64" s="360" t="e">
        <f t="shared" si="58"/>
        <v>#REF!</v>
      </c>
      <c r="AC64" s="360" t="e">
        <f t="shared" si="58"/>
        <v>#REF!</v>
      </c>
      <c r="AD64" s="360" t="e">
        <f t="shared" si="58"/>
        <v>#REF!</v>
      </c>
    </row>
    <row r="65" spans="2:30">
      <c r="B65" s="483" t="s">
        <v>85</v>
      </c>
      <c r="C65" s="34">
        <f>SUM(C66:C67)</f>
        <v>7143.68</v>
      </c>
      <c r="D65" s="34">
        <f t="shared" ref="D65:E65" si="59">SUM(D66:D67)</f>
        <v>7044.2799999999988</v>
      </c>
      <c r="E65" s="34">
        <f t="shared" si="59"/>
        <v>6818.88</v>
      </c>
      <c r="G65" s="34">
        <f t="shared" ref="G65:M65" si="60">SUM(G66:G67)</f>
        <v>5775</v>
      </c>
      <c r="H65" s="34">
        <f t="shared" si="60"/>
        <v>5767</v>
      </c>
      <c r="I65" s="34">
        <f t="shared" si="60"/>
        <v>5704</v>
      </c>
      <c r="J65" s="34" t="e">
        <f t="shared" si="60"/>
        <v>#REF!</v>
      </c>
      <c r="K65" s="34">
        <f t="shared" si="60"/>
        <v>5601</v>
      </c>
      <c r="L65" s="34">
        <f t="shared" si="60"/>
        <v>5527</v>
      </c>
      <c r="M65" s="34">
        <f t="shared" si="60"/>
        <v>5540</v>
      </c>
      <c r="O65" s="34" t="e">
        <f>SUM(O66:O67)</f>
        <v>#REF!</v>
      </c>
      <c r="P65" s="34" t="e">
        <f t="shared" ref="P65:AD65" si="61">SUM(P66:P67)</f>
        <v>#REF!</v>
      </c>
      <c r="Q65" s="34" t="e">
        <f t="shared" si="61"/>
        <v>#REF!</v>
      </c>
      <c r="R65" s="34" t="e">
        <f t="shared" si="61"/>
        <v>#REF!</v>
      </c>
      <c r="S65" s="34" t="e">
        <f t="shared" si="61"/>
        <v>#REF!</v>
      </c>
      <c r="T65" s="34" t="e">
        <f t="shared" si="61"/>
        <v>#REF!</v>
      </c>
      <c r="U65" s="34" t="e">
        <f t="shared" si="61"/>
        <v>#REF!</v>
      </c>
      <c r="V65" s="34" t="e">
        <f t="shared" si="61"/>
        <v>#REF!</v>
      </c>
      <c r="W65" s="34" t="e">
        <f t="shared" si="61"/>
        <v>#REF!</v>
      </c>
      <c r="X65" s="34">
        <f t="shared" si="61"/>
        <v>5775</v>
      </c>
      <c r="Y65" s="34">
        <f t="shared" si="61"/>
        <v>5767</v>
      </c>
      <c r="Z65" s="34">
        <f t="shared" si="61"/>
        <v>5704</v>
      </c>
      <c r="AA65" s="34" t="e">
        <f t="shared" si="61"/>
        <v>#REF!</v>
      </c>
      <c r="AB65" s="34">
        <f t="shared" si="61"/>
        <v>5601</v>
      </c>
      <c r="AC65" s="34">
        <f t="shared" si="61"/>
        <v>5527</v>
      </c>
      <c r="AD65" s="34">
        <f t="shared" si="61"/>
        <v>5540</v>
      </c>
    </row>
    <row r="66" spans="2:30">
      <c r="B66" s="490" t="s">
        <v>525</v>
      </c>
      <c r="C66" s="360">
        <f t="shared" ref="C66:E66" si="62">IF($C$6=1,C42,C43)</f>
        <v>6994.56</v>
      </c>
      <c r="D66" s="360">
        <f t="shared" si="62"/>
        <v>6933.3399999999992</v>
      </c>
      <c r="E66" s="360">
        <f t="shared" si="62"/>
        <v>6696.38</v>
      </c>
      <c r="G66" s="360">
        <f t="shared" ref="G66:M66" si="63">IF($C$6=1,G42,G43)</f>
        <v>5663</v>
      </c>
      <c r="H66" s="360">
        <f t="shared" si="63"/>
        <v>5615</v>
      </c>
      <c r="I66" s="360">
        <f t="shared" si="63"/>
        <v>5575</v>
      </c>
      <c r="J66" s="360" t="e">
        <f t="shared" si="63"/>
        <v>#REF!</v>
      </c>
      <c r="K66" s="360">
        <f t="shared" si="63"/>
        <v>5493</v>
      </c>
      <c r="L66" s="360">
        <f t="shared" si="63"/>
        <v>5451</v>
      </c>
      <c r="M66" s="360">
        <f t="shared" si="63"/>
        <v>5423</v>
      </c>
      <c r="O66" s="360" t="e">
        <f>#REF!</f>
        <v>#REF!</v>
      </c>
      <c r="P66" s="360" t="e">
        <f>#REF!</f>
        <v>#REF!</v>
      </c>
      <c r="Q66" s="360" t="e">
        <f>#REF!</f>
        <v>#REF!</v>
      </c>
      <c r="R66" s="360" t="e">
        <f>#REF!</f>
        <v>#REF!</v>
      </c>
      <c r="S66" s="360" t="e">
        <f>#REF!</f>
        <v>#REF!</v>
      </c>
      <c r="T66" s="360" t="e">
        <f>#REF!</f>
        <v>#REF!</v>
      </c>
      <c r="U66" s="360" t="e">
        <f>#REF!</f>
        <v>#REF!</v>
      </c>
      <c r="V66" s="360" t="e">
        <f>#REF!</f>
        <v>#REF!</v>
      </c>
      <c r="W66" s="360" t="e">
        <f>#REF!</f>
        <v>#REF!</v>
      </c>
      <c r="X66" s="360">
        <f t="shared" ref="X66:AD68" si="64">G66</f>
        <v>5663</v>
      </c>
      <c r="Y66" s="360">
        <f t="shared" si="64"/>
        <v>5615</v>
      </c>
      <c r="Z66" s="360">
        <f t="shared" si="64"/>
        <v>5575</v>
      </c>
      <c r="AA66" s="360" t="e">
        <f t="shared" si="64"/>
        <v>#REF!</v>
      </c>
      <c r="AB66" s="360">
        <f t="shared" si="64"/>
        <v>5493</v>
      </c>
      <c r="AC66" s="360">
        <f t="shared" si="64"/>
        <v>5451</v>
      </c>
      <c r="AD66" s="360">
        <f t="shared" si="64"/>
        <v>5423</v>
      </c>
    </row>
    <row r="67" spans="2:30">
      <c r="B67" s="490" t="s">
        <v>528</v>
      </c>
      <c r="C67" s="360">
        <f t="shared" ref="C67:E67" si="65">IF($C$6=1,C68*20,C68)</f>
        <v>149.12</v>
      </c>
      <c r="D67" s="360">
        <f t="shared" si="65"/>
        <v>110.94</v>
      </c>
      <c r="E67" s="360">
        <f t="shared" si="65"/>
        <v>122.5</v>
      </c>
      <c r="G67" s="360">
        <f t="shared" ref="G67:M67" si="66">G68</f>
        <v>112</v>
      </c>
      <c r="H67" s="360">
        <f t="shared" si="66"/>
        <v>152</v>
      </c>
      <c r="I67" s="360">
        <f t="shared" si="66"/>
        <v>129</v>
      </c>
      <c r="J67" s="360" t="e">
        <f t="shared" si="66"/>
        <v>#REF!</v>
      </c>
      <c r="K67" s="360">
        <f t="shared" si="66"/>
        <v>108</v>
      </c>
      <c r="L67" s="360">
        <f t="shared" si="66"/>
        <v>76</v>
      </c>
      <c r="M67" s="360">
        <f t="shared" si="66"/>
        <v>117</v>
      </c>
      <c r="O67" s="360" t="e">
        <f>#REF!</f>
        <v>#REF!</v>
      </c>
      <c r="P67" s="360" t="e">
        <f>#REF!</f>
        <v>#REF!</v>
      </c>
      <c r="Q67" s="360" t="e">
        <f>#REF!</f>
        <v>#REF!</v>
      </c>
      <c r="R67" s="360" t="e">
        <f>#REF!</f>
        <v>#REF!</v>
      </c>
      <c r="S67" s="360" t="e">
        <f>#REF!</f>
        <v>#REF!</v>
      </c>
      <c r="T67" s="360" t="e">
        <f>#REF!</f>
        <v>#REF!</v>
      </c>
      <c r="U67" s="360" t="e">
        <f>#REF!</f>
        <v>#REF!</v>
      </c>
      <c r="V67" s="360" t="e">
        <f>#REF!</f>
        <v>#REF!</v>
      </c>
      <c r="W67" s="360" t="e">
        <f>#REF!</f>
        <v>#REF!</v>
      </c>
      <c r="X67" s="360">
        <f t="shared" si="64"/>
        <v>112</v>
      </c>
      <c r="Y67" s="360">
        <f t="shared" si="64"/>
        <v>152</v>
      </c>
      <c r="Z67" s="360">
        <f t="shared" si="64"/>
        <v>129</v>
      </c>
      <c r="AA67" s="360" t="e">
        <f t="shared" si="64"/>
        <v>#REF!</v>
      </c>
      <c r="AB67" s="360">
        <f t="shared" si="64"/>
        <v>108</v>
      </c>
      <c r="AC67" s="360">
        <f t="shared" si="64"/>
        <v>76</v>
      </c>
      <c r="AD67" s="360">
        <f t="shared" si="64"/>
        <v>117</v>
      </c>
    </row>
    <row r="68" spans="2:30" outlineLevel="1">
      <c r="B68" s="490" t="s">
        <v>526</v>
      </c>
      <c r="C68" s="466">
        <v>7.4560000000000004</v>
      </c>
      <c r="D68" s="466">
        <v>5.5469999999999997</v>
      </c>
      <c r="E68" s="466">
        <v>6.125</v>
      </c>
      <c r="G68" s="466">
        <v>112</v>
      </c>
      <c r="H68" s="466">
        <v>152</v>
      </c>
      <c r="I68" s="466">
        <v>129</v>
      </c>
      <c r="J68" s="360" t="e">
        <f>#REF!</f>
        <v>#REF!</v>
      </c>
      <c r="K68" s="466">
        <v>108</v>
      </c>
      <c r="L68" s="466">
        <v>76</v>
      </c>
      <c r="M68" s="466">
        <v>117</v>
      </c>
      <c r="O68" s="360" t="e">
        <f>#REF!</f>
        <v>#REF!</v>
      </c>
      <c r="P68" s="360" t="e">
        <f>#REF!</f>
        <v>#REF!</v>
      </c>
      <c r="Q68" s="360" t="e">
        <f>#REF!</f>
        <v>#REF!</v>
      </c>
      <c r="R68" s="360" t="e">
        <f>#REF!</f>
        <v>#REF!</v>
      </c>
      <c r="S68" s="360" t="e">
        <f>#REF!</f>
        <v>#REF!</v>
      </c>
      <c r="T68" s="360" t="e">
        <f>#REF!</f>
        <v>#REF!</v>
      </c>
      <c r="U68" s="360" t="e">
        <f>#REF!</f>
        <v>#REF!</v>
      </c>
      <c r="V68" s="360" t="e">
        <f>#REF!</f>
        <v>#REF!</v>
      </c>
      <c r="W68" s="360" t="e">
        <f>#REF!</f>
        <v>#REF!</v>
      </c>
      <c r="X68" s="360">
        <f t="shared" si="64"/>
        <v>112</v>
      </c>
      <c r="Y68" s="360">
        <f t="shared" si="64"/>
        <v>152</v>
      </c>
      <c r="Z68" s="360">
        <f t="shared" si="64"/>
        <v>129</v>
      </c>
      <c r="AA68" s="360" t="e">
        <f t="shared" si="64"/>
        <v>#REF!</v>
      </c>
      <c r="AB68" s="360">
        <f t="shared" si="64"/>
        <v>108</v>
      </c>
      <c r="AC68" s="360">
        <f t="shared" si="64"/>
        <v>76</v>
      </c>
      <c r="AD68" s="360">
        <f t="shared" si="64"/>
        <v>117</v>
      </c>
    </row>
    <row r="69" spans="2:30">
      <c r="B69" s="486" t="s">
        <v>511</v>
      </c>
      <c r="C69" s="485">
        <f t="shared" ref="C69:E69" si="67">C64/C65</f>
        <v>2.1851482709191901</v>
      </c>
      <c r="D69" s="485">
        <f t="shared" si="67"/>
        <v>2.4581646385436131</v>
      </c>
      <c r="E69" s="485">
        <f t="shared" si="67"/>
        <v>2.930686564362476</v>
      </c>
      <c r="G69" s="485">
        <f t="shared" ref="G69:AD69" si="68">G64/G65</f>
        <v>1.8888311688311687</v>
      </c>
      <c r="H69" s="485">
        <f t="shared" si="68"/>
        <v>1.8871163516559737</v>
      </c>
      <c r="I69" s="485">
        <f t="shared" si="68"/>
        <v>2.1150070126227209</v>
      </c>
      <c r="J69" s="485" t="e">
        <f t="shared" si="68"/>
        <v>#REF!</v>
      </c>
      <c r="K69" s="485">
        <f t="shared" si="68"/>
        <v>2.807891447955722</v>
      </c>
      <c r="L69" s="485">
        <f t="shared" si="68"/>
        <v>2.3099330559073636</v>
      </c>
      <c r="M69" s="485">
        <f t="shared" si="68"/>
        <v>2.8638989169675089</v>
      </c>
      <c r="O69" s="485" t="e">
        <f t="shared" si="68"/>
        <v>#REF!</v>
      </c>
      <c r="P69" s="485" t="e">
        <f t="shared" si="68"/>
        <v>#REF!</v>
      </c>
      <c r="Q69" s="485" t="e">
        <f t="shared" si="68"/>
        <v>#REF!</v>
      </c>
      <c r="R69" s="485" t="e">
        <f t="shared" si="68"/>
        <v>#REF!</v>
      </c>
      <c r="S69" s="485" t="e">
        <f t="shared" si="68"/>
        <v>#REF!</v>
      </c>
      <c r="T69" s="485" t="e">
        <f t="shared" si="68"/>
        <v>#REF!</v>
      </c>
      <c r="U69" s="485" t="e">
        <f t="shared" si="68"/>
        <v>#REF!</v>
      </c>
      <c r="V69" s="485" t="e">
        <f t="shared" si="68"/>
        <v>#REF!</v>
      </c>
      <c r="W69" s="485" t="e">
        <f t="shared" si="68"/>
        <v>#REF!</v>
      </c>
      <c r="X69" s="485">
        <f t="shared" si="68"/>
        <v>1.8888311688311687</v>
      </c>
      <c r="Y69" s="485">
        <f t="shared" si="68"/>
        <v>3.7785677128489681</v>
      </c>
      <c r="Z69" s="485">
        <f t="shared" si="68"/>
        <v>5.9353085553997191</v>
      </c>
      <c r="AA69" s="485" t="e">
        <f t="shared" si="68"/>
        <v>#REF!</v>
      </c>
      <c r="AB69" s="485" t="e">
        <f t="shared" si="68"/>
        <v>#REF!</v>
      </c>
      <c r="AC69" s="485" t="e">
        <f t="shared" si="68"/>
        <v>#REF!</v>
      </c>
      <c r="AD69" s="485" t="e">
        <f t="shared" si="68"/>
        <v>#REF!</v>
      </c>
    </row>
  </sheetData>
  <dataValidations count="1">
    <dataValidation type="list" allowBlank="1" showInputMessage="1" showErrorMessage="1" sqref="C6" xr:uid="{0F016773-3555-4BCA-8A5C-A96AB5BAF205}">
      <formula1>"0,1"</formula1>
    </dataValidation>
  </dataValidations>
  <pageMargins left="0.7" right="0.7" top="0.75" bottom="0.75" header="0.3" footer="0.3"/>
  <ignoredErrors>
    <ignoredError sqref="F50 D58 C55:E57 F55:F57 F60 C59:E59 F59 F66 F65 D64 C61:E63 F61:F63 C69:E69 F69 D54 D49 F49 F58 F64 D68 F68 F54 F52 F51 L55:M57 L59:M63 L65:M67 L69:M69" evalError="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177D2-8829-42BE-A7B1-460B1A987ED3}">
  <sheetPr>
    <tabColor rgb="FFC00000"/>
  </sheetPr>
  <dimension ref="A2:AF70"/>
  <sheetViews>
    <sheetView showGridLines="0" zoomScale="130" zoomScaleNormal="130" workbookViewId="0">
      <selection activeCell="B2" sqref="B2"/>
    </sheetView>
  </sheetViews>
  <sheetFormatPr defaultRowHeight="12" outlineLevelCol="1"/>
  <cols>
    <col min="1" max="1" width="1.5" style="8" customWidth="1"/>
    <col min="2" max="2" width="25.125" style="8" bestFit="1" customWidth="1"/>
    <col min="3" max="5" width="8.625" style="8" bestFit="1" customWidth="1"/>
    <col min="6" max="6" width="1.5" style="8" customWidth="1"/>
    <col min="7" max="7" width="8.5" style="8" customWidth="1"/>
    <col min="8" max="8" width="8.25" style="8" bestFit="1" customWidth="1"/>
    <col min="9" max="9" width="8.5" style="8" bestFit="1" customWidth="1"/>
    <col min="10" max="13" width="9.125" style="8" bestFit="1" customWidth="1"/>
    <col min="14" max="14" width="1.5" style="8" customWidth="1"/>
    <col min="15" max="20" width="8.75" style="8" hidden="1" customWidth="1" outlineLevel="1"/>
    <col min="21" max="21" width="8.75" style="8" bestFit="1" customWidth="1" collapsed="1"/>
    <col min="22" max="24" width="8.75" style="8" hidden="1" customWidth="1" outlineLevel="1"/>
    <col min="25" max="25" width="8.75" style="8" bestFit="1" customWidth="1" collapsed="1"/>
    <col min="26" max="26" width="1.5" style="8" customWidth="1"/>
    <col min="27" max="27" width="9.875" style="8" bestFit="1" customWidth="1"/>
    <col min="28" max="16384" width="9" style="8"/>
  </cols>
  <sheetData>
    <row r="2" spans="1:27" s="5" customFormat="1" ht="12.75" customHeight="1">
      <c r="B2" s="1" t="str">
        <f>'Historical Financials'!B2</f>
        <v>Klarna Group plc (KLAR)</v>
      </c>
      <c r="C2" s="2" t="s">
        <v>0</v>
      </c>
      <c r="D2" s="2"/>
      <c r="E2" s="2"/>
      <c r="F2" s="3"/>
      <c r="G2" s="2" t="s">
        <v>1</v>
      </c>
      <c r="H2" s="2" t="s">
        <v>1</v>
      </c>
      <c r="I2" s="2"/>
      <c r="J2" s="2"/>
      <c r="K2" s="2"/>
      <c r="L2" s="2"/>
      <c r="M2" s="2"/>
      <c r="N2" s="3"/>
      <c r="O2" s="2" t="s">
        <v>6</v>
      </c>
      <c r="P2" s="2"/>
      <c r="Q2" s="2"/>
      <c r="R2" s="2"/>
      <c r="S2" s="2" t="s">
        <v>6</v>
      </c>
      <c r="T2" s="2"/>
      <c r="U2" s="2" t="s">
        <v>6</v>
      </c>
      <c r="V2" s="2"/>
      <c r="W2" s="2"/>
      <c r="X2" s="2"/>
      <c r="Y2" s="2"/>
      <c r="Z2" s="3"/>
      <c r="AA2" s="574" t="s">
        <v>32</v>
      </c>
    </row>
    <row r="3" spans="1:27" s="5" customFormat="1" ht="12.75" customHeight="1">
      <c r="B3" s="6" t="s">
        <v>87</v>
      </c>
      <c r="C3" s="7">
        <f>'Historical Financials'!C7</f>
        <v>2022</v>
      </c>
      <c r="D3" s="7">
        <f>'Historical Financials'!D7</f>
        <v>2023</v>
      </c>
      <c r="E3" s="7">
        <f>'Historical Financials'!E7</f>
        <v>2024</v>
      </c>
      <c r="F3" s="3"/>
      <c r="G3" s="7" t="str">
        <f>'Historical Financials'!G7</f>
        <v>1Q24</v>
      </c>
      <c r="H3" s="7" t="str">
        <f>'Historical Financials'!H7</f>
        <v>2Q24</v>
      </c>
      <c r="I3" s="7" t="str">
        <f>'Historical Financials'!I7</f>
        <v>3Q24</v>
      </c>
      <c r="J3" s="7" t="str">
        <f>'Historical Financials'!J7</f>
        <v>4Q24</v>
      </c>
      <c r="K3" s="7" t="str">
        <f>'Historical Financials'!K7</f>
        <v>1Q25</v>
      </c>
      <c r="L3" s="7" t="str">
        <f>'Historical Financials'!L7</f>
        <v>2Q25</v>
      </c>
      <c r="M3" s="7" t="str">
        <f>'Historical Financials'!M7</f>
        <v>3Q25</v>
      </c>
      <c r="N3" s="4"/>
      <c r="O3" s="4" t="e">
        <f>#REF!</f>
        <v>#REF!</v>
      </c>
      <c r="P3" s="4" t="e">
        <f>#REF!</f>
        <v>#REF!</v>
      </c>
      <c r="Q3" s="4" t="e">
        <f>#REF!</f>
        <v>#REF!</v>
      </c>
      <c r="R3" s="4" t="e">
        <f>#REF!</f>
        <v>#REF!</v>
      </c>
      <c r="S3" s="4" t="str">
        <f t="shared" ref="S3:X4" si="0">G3</f>
        <v>1Q24</v>
      </c>
      <c r="T3" s="4" t="str">
        <f t="shared" si="0"/>
        <v>2Q24</v>
      </c>
      <c r="U3" s="4" t="str">
        <f t="shared" si="0"/>
        <v>3Q24</v>
      </c>
      <c r="V3" s="4" t="str">
        <f t="shared" si="0"/>
        <v>4Q24</v>
      </c>
      <c r="W3" s="4" t="str">
        <f t="shared" si="0"/>
        <v>1Q25</v>
      </c>
      <c r="X3" s="4" t="str">
        <f t="shared" si="0"/>
        <v>2Q25</v>
      </c>
      <c r="Y3" s="4" t="str">
        <f>M3</f>
        <v>3Q25</v>
      </c>
      <c r="Z3" s="3"/>
      <c r="AA3" s="574"/>
    </row>
    <row r="4" spans="1:27" s="5" customFormat="1" ht="12.75" customHeight="1">
      <c r="B4" s="6" t="s">
        <v>398</v>
      </c>
      <c r="C4" s="3">
        <f>'Historical Financials'!C8</f>
        <v>44926</v>
      </c>
      <c r="D4" s="3">
        <f>'Historical Financials'!D8</f>
        <v>45291</v>
      </c>
      <c r="E4" s="3">
        <f>'Historical Financials'!E8</f>
        <v>45657</v>
      </c>
      <c r="F4" s="3"/>
      <c r="G4" s="3">
        <f>'Historical Financials'!G8</f>
        <v>45382</v>
      </c>
      <c r="H4" s="3">
        <f>'Historical Financials'!H8</f>
        <v>45473</v>
      </c>
      <c r="I4" s="3">
        <f>'Historical Financials'!I8</f>
        <v>45565</v>
      </c>
      <c r="J4" s="3">
        <f>'Historical Financials'!J8</f>
        <v>45657</v>
      </c>
      <c r="K4" s="3">
        <f>'Historical Financials'!K8</f>
        <v>45747</v>
      </c>
      <c r="L4" s="3">
        <f>'Historical Financials'!L8</f>
        <v>45838</v>
      </c>
      <c r="M4" s="3">
        <f>'Historical Financials'!M8</f>
        <v>45930</v>
      </c>
      <c r="N4" s="3"/>
      <c r="O4" s="3" t="e">
        <f>#REF!</f>
        <v>#REF!</v>
      </c>
      <c r="P4" s="3" t="e">
        <f>#REF!</f>
        <v>#REF!</v>
      </c>
      <c r="Q4" s="3" t="e">
        <f>#REF!</f>
        <v>#REF!</v>
      </c>
      <c r="R4" s="3" t="e">
        <f>#REF!</f>
        <v>#REF!</v>
      </c>
      <c r="S4" s="3">
        <f t="shared" si="0"/>
        <v>45382</v>
      </c>
      <c r="T4" s="3">
        <f t="shared" si="0"/>
        <v>45473</v>
      </c>
      <c r="U4" s="3">
        <f t="shared" si="0"/>
        <v>45565</v>
      </c>
      <c r="V4" s="3">
        <f t="shared" si="0"/>
        <v>45657</v>
      </c>
      <c r="W4" s="3">
        <f t="shared" si="0"/>
        <v>45747</v>
      </c>
      <c r="X4" s="3">
        <f t="shared" si="0"/>
        <v>45838</v>
      </c>
      <c r="Y4" s="3">
        <f>M4</f>
        <v>45930</v>
      </c>
      <c r="Z4" s="3"/>
      <c r="AA4" s="574"/>
    </row>
    <row r="5" spans="1:27" ht="5.0999999999999996" customHeight="1"/>
    <row r="6" spans="1:27">
      <c r="A6" s="38" t="s">
        <v>19</v>
      </c>
      <c r="B6" s="1" t="s">
        <v>495</v>
      </c>
      <c r="C6" s="1"/>
      <c r="D6" s="1"/>
      <c r="E6" s="1"/>
      <c r="F6" s="1"/>
      <c r="G6" s="1"/>
      <c r="H6" s="1"/>
      <c r="I6" s="1"/>
      <c r="J6" s="1"/>
      <c r="K6" s="1"/>
      <c r="L6" s="1"/>
      <c r="M6" s="1"/>
      <c r="N6" s="1"/>
      <c r="O6" s="1"/>
      <c r="P6" s="1"/>
      <c r="Q6" s="1"/>
      <c r="R6" s="1"/>
      <c r="S6" s="1"/>
      <c r="T6" s="1"/>
      <c r="U6" s="1"/>
      <c r="V6" s="1"/>
      <c r="W6" s="1"/>
      <c r="X6" s="1"/>
      <c r="Y6" s="1"/>
      <c r="Z6" s="1"/>
      <c r="AA6" s="1"/>
    </row>
    <row r="7" spans="1:27" ht="5.0999999999999996" customHeight="1"/>
    <row r="8" spans="1:27" ht="12.75" customHeight="1">
      <c r="A8" s="86"/>
      <c r="B8" s="84" t="s">
        <v>488</v>
      </c>
      <c r="C8" s="11"/>
      <c r="D8" s="11"/>
      <c r="E8" s="11"/>
      <c r="F8" s="11"/>
      <c r="G8" s="11"/>
      <c r="H8" s="11"/>
      <c r="I8" s="11"/>
      <c r="J8" s="468"/>
      <c r="K8" s="11"/>
      <c r="L8" s="11"/>
      <c r="M8" s="11"/>
      <c r="N8" s="5"/>
      <c r="O8" s="12"/>
      <c r="P8" s="12"/>
      <c r="Q8" s="12"/>
      <c r="R8" s="12"/>
      <c r="S8" s="12"/>
      <c r="T8" s="12"/>
      <c r="U8" s="12"/>
      <c r="V8" s="12"/>
      <c r="W8" s="12"/>
      <c r="X8" s="12"/>
      <c r="AA8" s="13"/>
    </row>
    <row r="9" spans="1:27" ht="12.75" customHeight="1">
      <c r="B9" s="10" t="s">
        <v>621</v>
      </c>
      <c r="C9" s="87">
        <v>1468</v>
      </c>
      <c r="D9" s="87">
        <v>1768</v>
      </c>
      <c r="E9" s="87">
        <v>2136</v>
      </c>
      <c r="F9" s="87"/>
      <c r="G9" s="87"/>
      <c r="H9" s="87"/>
      <c r="I9" s="87">
        <v>532</v>
      </c>
      <c r="J9" s="468">
        <f t="shared" ref="J9:J10" si="1">SUM(E9-SUM(G9:I9))</f>
        <v>1604</v>
      </c>
      <c r="K9" s="87"/>
      <c r="L9" s="87"/>
      <c r="M9" s="87">
        <v>634</v>
      </c>
      <c r="N9" s="12"/>
      <c r="O9" s="12" t="e">
        <f>SUM(#REF!)</f>
        <v>#REF!</v>
      </c>
      <c r="P9" s="12" t="e">
        <f>SUM(#REF!)</f>
        <v>#REF!</v>
      </c>
      <c r="Q9" s="12" t="e">
        <f>SUM(#REF!)</f>
        <v>#REF!</v>
      </c>
      <c r="R9" s="12" t="e">
        <f>SUM(#REF!)</f>
        <v>#REF!</v>
      </c>
      <c r="S9" s="12">
        <f>SUM(G9:G9)</f>
        <v>0</v>
      </c>
      <c r="T9" s="12">
        <f>SUM(G9:H9)</f>
        <v>0</v>
      </c>
      <c r="U9" s="468">
        <f>SUM(G9:I9)</f>
        <v>532</v>
      </c>
      <c r="V9" s="468">
        <f t="shared" ref="V9:Y10" si="2">SUM(G9:J9)</f>
        <v>2136</v>
      </c>
      <c r="W9" s="468">
        <f t="shared" si="2"/>
        <v>2136</v>
      </c>
      <c r="X9" s="468">
        <f t="shared" si="2"/>
        <v>2136</v>
      </c>
      <c r="Y9" s="468">
        <f t="shared" si="2"/>
        <v>2238</v>
      </c>
      <c r="AA9" s="13">
        <f>SUM(Y9/U9)-1</f>
        <v>3.2067669172932334</v>
      </c>
    </row>
    <row r="10" spans="1:27" ht="12.75" customHeight="1">
      <c r="B10" s="10" t="s">
        <v>622</v>
      </c>
      <c r="C10" s="87">
        <v>436</v>
      </c>
      <c r="D10" s="87">
        <v>508</v>
      </c>
      <c r="E10" s="87">
        <v>675</v>
      </c>
      <c r="F10" s="87"/>
      <c r="G10" s="87"/>
      <c r="H10" s="87"/>
      <c r="I10" s="87">
        <v>174</v>
      </c>
      <c r="J10" s="468">
        <f t="shared" si="1"/>
        <v>501</v>
      </c>
      <c r="K10" s="87"/>
      <c r="L10" s="87"/>
      <c r="M10" s="87">
        <v>269</v>
      </c>
      <c r="N10" s="12"/>
      <c r="O10" s="12"/>
      <c r="P10" s="12"/>
      <c r="Q10" s="12"/>
      <c r="R10" s="12"/>
      <c r="S10" s="12"/>
      <c r="T10" s="12"/>
      <c r="U10" s="468">
        <f>SUM(G10:I10)</f>
        <v>174</v>
      </c>
      <c r="V10" s="468">
        <f t="shared" si="2"/>
        <v>675</v>
      </c>
      <c r="W10" s="468">
        <f t="shared" si="2"/>
        <v>675</v>
      </c>
      <c r="X10" s="468">
        <f t="shared" si="2"/>
        <v>675</v>
      </c>
      <c r="Y10" s="468">
        <f t="shared" si="2"/>
        <v>770</v>
      </c>
      <c r="AA10" s="13">
        <f>SUM(Y10/U10)-1</f>
        <v>3.4252873563218387</v>
      </c>
    </row>
    <row r="11" spans="1:27" ht="12.75" customHeight="1">
      <c r="B11" s="14" t="s">
        <v>88</v>
      </c>
      <c r="C11" s="36">
        <f>SUM(C9:C10)</f>
        <v>1904</v>
      </c>
      <c r="D11" s="36">
        <f t="shared" ref="D11:E11" si="3">SUM(D9:D10)</f>
        <v>2276</v>
      </c>
      <c r="E11" s="36">
        <f t="shared" si="3"/>
        <v>2811</v>
      </c>
      <c r="F11" s="12"/>
      <c r="G11" s="36">
        <f>SUM(G9:G10)</f>
        <v>0</v>
      </c>
      <c r="H11" s="36">
        <f>SUM(H9:H10)</f>
        <v>0</v>
      </c>
      <c r="I11" s="36">
        <f>SUM(I9:I10)</f>
        <v>706</v>
      </c>
      <c r="J11" s="36">
        <f>SUM(J9:J10)</f>
        <v>2105</v>
      </c>
      <c r="K11" s="36">
        <f>SUM(K9:K10)</f>
        <v>0</v>
      </c>
      <c r="L11" s="36">
        <f>SUM(L9:L10)</f>
        <v>0</v>
      </c>
      <c r="M11" s="36">
        <f>SUM(M9:M10)</f>
        <v>903</v>
      </c>
      <c r="N11" s="5"/>
      <c r="O11" s="36" t="e">
        <f>SUM(O9:O10)</f>
        <v>#REF!</v>
      </c>
      <c r="P11" s="36" t="e">
        <f>SUM(P9:P10)</f>
        <v>#REF!</v>
      </c>
      <c r="Q11" s="36" t="e">
        <f>SUM(Q9:Q10)</f>
        <v>#REF!</v>
      </c>
      <c r="R11" s="36" t="e">
        <f>SUM(R9:R10)</f>
        <v>#REF!</v>
      </c>
      <c r="S11" s="36">
        <f>SUM(S9:S10)</f>
        <v>0</v>
      </c>
      <c r="T11" s="36">
        <f>SUM(T9:T10)</f>
        <v>0</v>
      </c>
      <c r="U11" s="36">
        <f>SUM(U9:U10)</f>
        <v>706</v>
      </c>
      <c r="V11" s="36">
        <f>SUM(V9:V10)</f>
        <v>2811</v>
      </c>
      <c r="W11" s="36">
        <f>SUM(W9:W10)</f>
        <v>2811</v>
      </c>
      <c r="X11" s="36">
        <f>SUM(X9:X10)</f>
        <v>2811</v>
      </c>
      <c r="Y11" s="36">
        <f>SUM(Y9:Y10)</f>
        <v>3008</v>
      </c>
      <c r="AA11" s="16">
        <f>SUM(Y11/U11)-1</f>
        <v>3.2606232294617561</v>
      </c>
    </row>
    <row r="12" spans="1:27">
      <c r="B12" s="480" t="s">
        <v>502</v>
      </c>
      <c r="C12" s="85">
        <f>+C11-'Historical Financials'!C11</f>
        <v>0</v>
      </c>
      <c r="D12" s="85">
        <f>+D11-'Historical Financials'!D11</f>
        <v>0</v>
      </c>
      <c r="E12" s="85">
        <f>+E11-'Historical Financials'!E11</f>
        <v>0</v>
      </c>
      <c r="F12" s="12"/>
      <c r="G12" s="85">
        <f>G11-'Historical Financials'!G11</f>
        <v>0</v>
      </c>
      <c r="H12" s="85">
        <f>H11-'Historical Financials'!H11</f>
        <v>0</v>
      </c>
      <c r="I12" s="85">
        <f>I11-'Historical Financials'!I11</f>
        <v>0</v>
      </c>
      <c r="J12" s="85">
        <f>J11-'Historical Financials'!J11</f>
        <v>0</v>
      </c>
      <c r="K12" s="85">
        <f>K11-'Historical Financials'!K11</f>
        <v>0</v>
      </c>
      <c r="L12" s="85">
        <f>L11-'Historical Financials'!L11</f>
        <v>0</v>
      </c>
      <c r="M12" s="85">
        <f>M11-'Historical Financials'!M11</f>
        <v>0</v>
      </c>
      <c r="N12" s="85"/>
      <c r="O12" s="85" t="e">
        <f>+O11-'Historical Financials'!X11</f>
        <v>#REF!</v>
      </c>
      <c r="P12" s="85" t="e">
        <f>+P11-'Historical Financials'!Y11</f>
        <v>#REF!</v>
      </c>
      <c r="Q12" s="85" t="e">
        <f>+Q11-'Historical Financials'!Z11</f>
        <v>#REF!</v>
      </c>
      <c r="R12" s="85" t="e">
        <f>+R11-'Historical Financials'!AA11</f>
        <v>#REF!</v>
      </c>
      <c r="S12" s="85">
        <f>+S11-'Historical Financials'!AB11</f>
        <v>0</v>
      </c>
      <c r="T12" s="85">
        <f>+T11-'Historical Financials'!AC11</f>
        <v>0</v>
      </c>
      <c r="U12" s="85">
        <f>+U11-'Historical Financials'!AD11</f>
        <v>0</v>
      </c>
      <c r="V12" s="85">
        <f>+V11-'Historical Financials'!AE11</f>
        <v>0</v>
      </c>
      <c r="W12" s="85">
        <f>+W11-'Historical Financials'!AF11</f>
        <v>0</v>
      </c>
      <c r="X12" s="85">
        <f>+X11-'Historical Financials'!AG11</f>
        <v>0</v>
      </c>
      <c r="Y12" s="85">
        <f>Y11-'Historical Financials'!AH11</f>
        <v>0</v>
      </c>
      <c r="AA12" s="9"/>
    </row>
    <row r="13" spans="1:27" ht="5.0999999999999996" customHeight="1">
      <c r="B13" s="20"/>
      <c r="C13" s="21"/>
      <c r="D13" s="21"/>
      <c r="E13" s="21"/>
      <c r="F13" s="22"/>
      <c r="G13" s="23"/>
      <c r="H13" s="23"/>
      <c r="I13" s="23"/>
      <c r="J13" s="23"/>
      <c r="K13" s="23"/>
      <c r="L13" s="23"/>
      <c r="M13" s="23"/>
      <c r="N13" s="22"/>
      <c r="O13" s="22"/>
      <c r="P13" s="22"/>
      <c r="Q13" s="22"/>
      <c r="R13" s="22"/>
      <c r="S13" s="22"/>
      <c r="T13" s="22"/>
      <c r="U13" s="22"/>
      <c r="V13" s="22"/>
      <c r="W13" s="22"/>
      <c r="X13" s="22"/>
      <c r="Y13" s="22"/>
      <c r="AA13" s="9"/>
    </row>
    <row r="14" spans="1:27" ht="12.75" customHeight="1">
      <c r="A14" s="86"/>
      <c r="B14" s="84" t="s">
        <v>645</v>
      </c>
      <c r="C14" s="24"/>
      <c r="D14" s="24"/>
      <c r="E14" s="24"/>
      <c r="F14" s="11"/>
      <c r="G14" s="11"/>
      <c r="H14" s="11"/>
      <c r="I14" s="11"/>
      <c r="J14" s="468"/>
      <c r="K14" s="11"/>
      <c r="L14" s="11"/>
      <c r="M14" s="11"/>
      <c r="N14" s="5"/>
      <c r="O14" s="12"/>
      <c r="P14" s="12"/>
      <c r="Q14" s="12"/>
      <c r="R14" s="12"/>
      <c r="S14" s="12"/>
      <c r="T14" s="12"/>
      <c r="U14" s="12"/>
      <c r="V14" s="12"/>
      <c r="W14" s="12"/>
      <c r="X14" s="12"/>
      <c r="AA14" s="13"/>
    </row>
    <row r="15" spans="1:27" ht="12.75" customHeight="1">
      <c r="B15" s="10" t="s">
        <v>649</v>
      </c>
      <c r="C15" s="468">
        <f>C$9*C22</f>
        <v>1115.68</v>
      </c>
      <c r="D15" s="468">
        <f t="shared" ref="D15:E15" si="4">D$9*D22</f>
        <v>1343.68</v>
      </c>
      <c r="E15" s="468">
        <f t="shared" si="4"/>
        <v>1602</v>
      </c>
      <c r="F15" s="87"/>
      <c r="G15" s="87"/>
      <c r="H15" s="87"/>
      <c r="I15" s="87"/>
      <c r="J15" s="468">
        <f t="shared" ref="J15:J18" si="5">SUM(E15-SUM(G15:I15))</f>
        <v>1602</v>
      </c>
      <c r="K15" s="87"/>
      <c r="L15" s="87"/>
      <c r="M15" s="87"/>
      <c r="N15" s="12"/>
      <c r="O15" s="12" t="e">
        <f>SUM(#REF!)</f>
        <v>#REF!</v>
      </c>
      <c r="P15" s="12" t="e">
        <f>SUM(#REF!)</f>
        <v>#REF!</v>
      </c>
      <c r="Q15" s="12" t="e">
        <f>SUM(#REF!)</f>
        <v>#REF!</v>
      </c>
      <c r="R15" s="12" t="e">
        <f>SUM(#REF!)</f>
        <v>#REF!</v>
      </c>
      <c r="S15" s="12">
        <f>SUM(G15:G15)</f>
        <v>0</v>
      </c>
      <c r="T15" s="12">
        <f>SUM(G15:H15)</f>
        <v>0</v>
      </c>
      <c r="U15" s="468">
        <f>SUM(G15:I15)</f>
        <v>0</v>
      </c>
      <c r="V15" s="468">
        <f t="shared" ref="V15:V17" si="6">SUM(G15:J15)</f>
        <v>1602</v>
      </c>
      <c r="W15" s="468">
        <f t="shared" ref="W15:W17" si="7">SUM(H15:K15)</f>
        <v>1602</v>
      </c>
      <c r="X15" s="468">
        <f t="shared" ref="X15:X17" si="8">SUM(I15:L15)</f>
        <v>1602</v>
      </c>
      <c r="Y15" s="468">
        <f t="shared" ref="Y15:Y17" si="9">SUM(J15:M15)</f>
        <v>1602</v>
      </c>
      <c r="AA15" s="13" t="e">
        <f>SUM(Y15/U15)-1</f>
        <v>#DIV/0!</v>
      </c>
    </row>
    <row r="16" spans="1:27" ht="12.75" customHeight="1">
      <c r="B16" s="10" t="s">
        <v>650</v>
      </c>
      <c r="C16" s="468">
        <f>C$9*C23</f>
        <v>161.47999999999999</v>
      </c>
      <c r="D16" s="468">
        <f>D$9*D23</f>
        <v>159.12</v>
      </c>
      <c r="E16" s="468">
        <f>E$9*E23</f>
        <v>170.88</v>
      </c>
      <c r="F16" s="87"/>
      <c r="G16" s="87"/>
      <c r="H16" s="87"/>
      <c r="I16" s="87"/>
      <c r="J16" s="468">
        <f t="shared" si="5"/>
        <v>170.88</v>
      </c>
      <c r="K16" s="87"/>
      <c r="L16" s="87"/>
      <c r="M16" s="87"/>
      <c r="N16" s="12"/>
      <c r="O16" s="12"/>
      <c r="P16" s="12"/>
      <c r="Q16" s="12"/>
      <c r="R16" s="12"/>
      <c r="S16" s="12"/>
      <c r="T16" s="12"/>
      <c r="U16" s="468"/>
      <c r="V16" s="468"/>
      <c r="W16" s="468"/>
      <c r="X16" s="468"/>
      <c r="Y16" s="468"/>
      <c r="AA16" s="13"/>
    </row>
    <row r="17" spans="1:27" ht="12.75" customHeight="1">
      <c r="B17" s="10" t="s">
        <v>651</v>
      </c>
      <c r="C17" s="468">
        <f>C$9*C24</f>
        <v>176.16</v>
      </c>
      <c r="D17" s="468">
        <f>D$9*D24</f>
        <v>229.84</v>
      </c>
      <c r="E17" s="468">
        <f>E$9*E24</f>
        <v>341.76</v>
      </c>
      <c r="F17" s="87"/>
      <c r="G17" s="87"/>
      <c r="H17" s="87"/>
      <c r="I17" s="87"/>
      <c r="J17" s="468">
        <f t="shared" si="5"/>
        <v>341.76</v>
      </c>
      <c r="K17" s="87"/>
      <c r="L17" s="87"/>
      <c r="M17" s="87"/>
      <c r="N17" s="12"/>
      <c r="O17" s="12"/>
      <c r="P17" s="12"/>
      <c r="Q17" s="12"/>
      <c r="R17" s="12"/>
      <c r="S17" s="12"/>
      <c r="T17" s="12"/>
      <c r="U17" s="468">
        <f>SUM(G17:I17)</f>
        <v>0</v>
      </c>
      <c r="V17" s="468">
        <f t="shared" si="6"/>
        <v>341.76</v>
      </c>
      <c r="W17" s="468">
        <f t="shared" si="7"/>
        <v>341.76</v>
      </c>
      <c r="X17" s="468">
        <f t="shared" si="8"/>
        <v>341.76</v>
      </c>
      <c r="Y17" s="468">
        <f t="shared" si="9"/>
        <v>341.76</v>
      </c>
      <c r="AA17" s="13" t="e">
        <f>SUM(Y17/U17)-1</f>
        <v>#DIV/0!</v>
      </c>
    </row>
    <row r="18" spans="1:27" ht="12.75" customHeight="1">
      <c r="B18" s="484" t="s">
        <v>653</v>
      </c>
      <c r="C18" s="468">
        <f>+SUM(C9-SUM(C15:C17))</f>
        <v>14.679999999999836</v>
      </c>
      <c r="D18" s="468">
        <f t="shared" ref="D18:E18" si="10">+SUM(D9-SUM(D15:D17))</f>
        <v>35.3599999999999</v>
      </c>
      <c r="E18" s="468">
        <f t="shared" si="10"/>
        <v>21.359999999999673</v>
      </c>
      <c r="F18" s="87"/>
      <c r="G18" s="87"/>
      <c r="H18" s="87"/>
      <c r="I18" s="87"/>
      <c r="J18" s="468">
        <f t="shared" si="5"/>
        <v>21.359999999999673</v>
      </c>
      <c r="K18" s="87"/>
      <c r="L18" s="87"/>
      <c r="M18" s="87"/>
      <c r="N18" s="12"/>
      <c r="O18" s="12"/>
      <c r="P18" s="12"/>
      <c r="Q18" s="12"/>
      <c r="R18" s="12"/>
      <c r="S18" s="12"/>
      <c r="T18" s="12"/>
      <c r="U18" s="468"/>
      <c r="V18" s="468"/>
      <c r="W18" s="468"/>
      <c r="X18" s="468"/>
      <c r="Y18" s="468"/>
      <c r="AA18" s="13"/>
    </row>
    <row r="19" spans="1:27" ht="12.75" customHeight="1">
      <c r="B19" s="14" t="s">
        <v>652</v>
      </c>
      <c r="C19" s="36">
        <f>SUM(C15:C18)</f>
        <v>1468</v>
      </c>
      <c r="D19" s="36">
        <f t="shared" ref="D19:E19" si="11">SUM(D15:D18)</f>
        <v>1768</v>
      </c>
      <c r="E19" s="36">
        <f t="shared" si="11"/>
        <v>2136</v>
      </c>
      <c r="F19" s="12"/>
      <c r="G19" s="36">
        <f>SUM(G15:G17)</f>
        <v>0</v>
      </c>
      <c r="H19" s="36">
        <f>SUM(H15:H17)</f>
        <v>0</v>
      </c>
      <c r="I19" s="36">
        <f>SUM(I15:I17)</f>
        <v>0</v>
      </c>
      <c r="J19" s="36">
        <f>SUM(J15:J17)</f>
        <v>2114.6400000000003</v>
      </c>
      <c r="K19" s="36">
        <f>SUM(K15:K17)</f>
        <v>0</v>
      </c>
      <c r="L19" s="36">
        <f>SUM(L15:L17)</f>
        <v>0</v>
      </c>
      <c r="M19" s="36">
        <f>SUM(M15:M17)</f>
        <v>0</v>
      </c>
      <c r="N19" s="5"/>
      <c r="O19" s="36" t="e">
        <f>SUM(O15:O17)</f>
        <v>#REF!</v>
      </c>
      <c r="P19" s="36" t="e">
        <f>SUM(P15:P17)</f>
        <v>#REF!</v>
      </c>
      <c r="Q19" s="36" t="e">
        <f>SUM(Q15:Q17)</f>
        <v>#REF!</v>
      </c>
      <c r="R19" s="36" t="e">
        <f>SUM(R15:R17)</f>
        <v>#REF!</v>
      </c>
      <c r="S19" s="36">
        <f>SUM(S15:S17)</f>
        <v>0</v>
      </c>
      <c r="T19" s="36">
        <f>SUM(T15:T17)</f>
        <v>0</v>
      </c>
      <c r="U19" s="36">
        <f>SUM(U15:U17)</f>
        <v>0</v>
      </c>
      <c r="V19" s="36">
        <f>SUM(V15:V17)</f>
        <v>1943.76</v>
      </c>
      <c r="W19" s="36">
        <f>SUM(W15:W17)</f>
        <v>1943.76</v>
      </c>
      <c r="X19" s="36">
        <f>SUM(X15:X17)</f>
        <v>1943.76</v>
      </c>
      <c r="Y19" s="36">
        <f>SUM(Y15:Y17)</f>
        <v>1943.76</v>
      </c>
      <c r="AA19" s="16" t="e">
        <f>SUM(Y19/U19)-1</f>
        <v>#DIV/0!</v>
      </c>
    </row>
    <row r="20" spans="1:27">
      <c r="B20" s="480" t="s">
        <v>502</v>
      </c>
      <c r="C20" s="85">
        <f>+C19-C9</f>
        <v>0</v>
      </c>
      <c r="D20" s="85">
        <f t="shared" ref="D20:E20" si="12">+D19-D9</f>
        <v>0</v>
      </c>
      <c r="E20" s="85">
        <f t="shared" si="12"/>
        <v>0</v>
      </c>
      <c r="F20" s="12"/>
      <c r="G20" s="85" t="e">
        <f>G19-'Historical Financials'!#REF!</f>
        <v>#REF!</v>
      </c>
      <c r="H20" s="85" t="e">
        <f>H19-'Historical Financials'!#REF!</f>
        <v>#REF!</v>
      </c>
      <c r="I20" s="85" t="e">
        <f>I19-'Historical Financials'!#REF!</f>
        <v>#REF!</v>
      </c>
      <c r="J20" s="85" t="e">
        <f>J19-'Historical Financials'!#REF!</f>
        <v>#REF!</v>
      </c>
      <c r="K20" s="85" t="e">
        <f>K19-'Historical Financials'!#REF!</f>
        <v>#REF!</v>
      </c>
      <c r="L20" s="85" t="e">
        <f>L19-'Historical Financials'!#REF!</f>
        <v>#REF!</v>
      </c>
      <c r="M20" s="85" t="e">
        <f>M19-'Historical Financials'!#REF!</f>
        <v>#REF!</v>
      </c>
      <c r="N20" s="85"/>
      <c r="O20" s="85" t="e">
        <f>+O19-'Historical Financials'!#REF!</f>
        <v>#REF!</v>
      </c>
      <c r="P20" s="85" t="e">
        <f>+P19-'Historical Financials'!#REF!</f>
        <v>#REF!</v>
      </c>
      <c r="Q20" s="85" t="e">
        <f>+Q19-'Historical Financials'!#REF!</f>
        <v>#REF!</v>
      </c>
      <c r="R20" s="85" t="e">
        <f>+R19-'Historical Financials'!#REF!</f>
        <v>#REF!</v>
      </c>
      <c r="S20" s="85" t="e">
        <f>+S19-'Historical Financials'!#REF!</f>
        <v>#REF!</v>
      </c>
      <c r="T20" s="85" t="e">
        <f>+T19-'Historical Financials'!#REF!</f>
        <v>#REF!</v>
      </c>
      <c r="U20" s="85" t="e">
        <f>+U19-'Historical Financials'!#REF!</f>
        <v>#REF!</v>
      </c>
      <c r="V20" s="85" t="e">
        <f>+V19-'Historical Financials'!#REF!</f>
        <v>#REF!</v>
      </c>
      <c r="W20" s="85" t="e">
        <f>+W19-'Historical Financials'!#REF!</f>
        <v>#REF!</v>
      </c>
      <c r="X20" s="85" t="e">
        <f>+X19-'Historical Financials'!#REF!</f>
        <v>#REF!</v>
      </c>
      <c r="Y20" s="85" t="e">
        <f>Y19-'Historical Financials'!#REF!</f>
        <v>#REF!</v>
      </c>
      <c r="AA20" s="9"/>
    </row>
    <row r="21" spans="1:27" ht="5.0999999999999996" customHeight="1">
      <c r="B21" s="20"/>
      <c r="C21" s="21"/>
      <c r="D21" s="21"/>
      <c r="E21" s="21"/>
      <c r="F21" s="22"/>
      <c r="G21" s="23"/>
      <c r="H21" s="23"/>
      <c r="I21" s="23"/>
      <c r="J21" s="23"/>
      <c r="K21" s="23"/>
      <c r="L21" s="23"/>
      <c r="M21" s="23"/>
      <c r="N21" s="22"/>
      <c r="O21" s="22"/>
      <c r="P21" s="22"/>
      <c r="Q21" s="22"/>
      <c r="R21" s="22"/>
      <c r="S21" s="22"/>
      <c r="T21" s="22"/>
      <c r="U21" s="22"/>
      <c r="V21" s="22"/>
      <c r="W21" s="22"/>
      <c r="X21" s="22"/>
      <c r="Y21" s="22"/>
      <c r="AA21" s="9"/>
    </row>
    <row r="22" spans="1:27">
      <c r="B22" s="585" t="s">
        <v>646</v>
      </c>
      <c r="C22" s="583">
        <v>0.76</v>
      </c>
      <c r="D22" s="583">
        <v>0.76</v>
      </c>
      <c r="E22" s="583">
        <v>0.75</v>
      </c>
      <c r="F22" s="569"/>
      <c r="G22" s="569"/>
      <c r="H22" s="569"/>
      <c r="I22" s="569"/>
      <c r="J22" s="569"/>
      <c r="K22" s="569"/>
      <c r="L22" s="569"/>
      <c r="M22" s="569"/>
      <c r="N22" s="569"/>
      <c r="O22" s="569"/>
      <c r="P22" s="569"/>
      <c r="Q22" s="569"/>
      <c r="R22" s="569"/>
      <c r="S22" s="569"/>
      <c r="T22" s="569"/>
      <c r="U22" s="569"/>
      <c r="V22" s="569"/>
      <c r="W22" s="569"/>
      <c r="X22" s="569"/>
      <c r="Y22" s="584"/>
    </row>
    <row r="23" spans="1:27">
      <c r="B23" s="586" t="s">
        <v>647</v>
      </c>
      <c r="C23" s="578">
        <v>0.11</v>
      </c>
      <c r="D23" s="578">
        <v>0.09</v>
      </c>
      <c r="E23" s="578">
        <v>0.08</v>
      </c>
      <c r="F23" s="579"/>
      <c r="G23" s="579"/>
      <c r="H23" s="579"/>
      <c r="I23" s="579"/>
      <c r="J23" s="579"/>
      <c r="K23" s="579"/>
      <c r="L23" s="579"/>
      <c r="M23" s="579"/>
      <c r="N23" s="579"/>
      <c r="O23" s="579"/>
      <c r="P23" s="579"/>
      <c r="Q23" s="579"/>
      <c r="R23" s="579"/>
      <c r="S23" s="579"/>
      <c r="T23" s="579"/>
      <c r="U23" s="579"/>
      <c r="V23" s="579"/>
      <c r="W23" s="579"/>
      <c r="X23" s="579"/>
      <c r="Y23" s="581"/>
    </row>
    <row r="24" spans="1:27">
      <c r="B24" s="587" t="s">
        <v>648</v>
      </c>
      <c r="C24" s="580">
        <v>0.12</v>
      </c>
      <c r="D24" s="580">
        <v>0.13</v>
      </c>
      <c r="E24" s="580">
        <v>0.16</v>
      </c>
      <c r="F24" s="567"/>
      <c r="G24" s="567"/>
      <c r="H24" s="567"/>
      <c r="I24" s="567"/>
      <c r="J24" s="567"/>
      <c r="K24" s="567"/>
      <c r="L24" s="567"/>
      <c r="M24" s="567"/>
      <c r="N24" s="567"/>
      <c r="O24" s="567"/>
      <c r="P24" s="567"/>
      <c r="Q24" s="567"/>
      <c r="R24" s="567"/>
      <c r="S24" s="567"/>
      <c r="T24" s="567"/>
      <c r="U24" s="567"/>
      <c r="V24" s="567"/>
      <c r="W24" s="567"/>
      <c r="X24" s="567"/>
      <c r="Y24" s="582"/>
    </row>
    <row r="25" spans="1:27">
      <c r="B25" s="20"/>
      <c r="C25" s="21"/>
      <c r="D25" s="21"/>
      <c r="E25" s="21"/>
      <c r="F25" s="22"/>
      <c r="G25" s="23"/>
      <c r="H25" s="23"/>
      <c r="I25" s="23"/>
      <c r="J25" s="23"/>
      <c r="K25" s="23"/>
      <c r="L25" s="23"/>
      <c r="M25" s="23"/>
      <c r="N25" s="22"/>
      <c r="O25" s="22"/>
      <c r="P25" s="22"/>
      <c r="Q25" s="22"/>
      <c r="R25" s="22"/>
      <c r="S25" s="22"/>
      <c r="T25" s="22"/>
      <c r="U25" s="22"/>
      <c r="V25" s="22"/>
      <c r="W25" s="22"/>
      <c r="X25" s="22"/>
      <c r="Y25" s="22"/>
      <c r="AA25" s="9"/>
    </row>
    <row r="26" spans="1:27" ht="12.75" customHeight="1">
      <c r="A26" s="86"/>
      <c r="B26" s="84" t="s">
        <v>651</v>
      </c>
      <c r="C26" s="24"/>
      <c r="D26" s="24"/>
      <c r="E26" s="24"/>
      <c r="F26" s="11"/>
      <c r="G26" s="11"/>
      <c r="H26" s="11"/>
      <c r="I26" s="11"/>
      <c r="J26" s="468"/>
      <c r="K26" s="11"/>
      <c r="L26" s="11"/>
      <c r="M26" s="11"/>
      <c r="N26" s="5"/>
      <c r="O26" s="12"/>
      <c r="P26" s="12"/>
      <c r="Q26" s="12"/>
      <c r="R26" s="12"/>
      <c r="S26" s="12"/>
      <c r="T26" s="12"/>
      <c r="U26" s="12"/>
      <c r="V26" s="12"/>
      <c r="W26" s="12"/>
      <c r="X26" s="12"/>
      <c r="AA26" s="13"/>
    </row>
    <row r="27" spans="1:27" ht="12.75" customHeight="1">
      <c r="B27" s="10" t="s">
        <v>654</v>
      </c>
      <c r="C27" s="468">
        <f>C$17*C32</f>
        <v>165.59039999999999</v>
      </c>
      <c r="D27" s="468">
        <f t="shared" ref="D27:E28" si="13">D$17*D32</f>
        <v>190.7672</v>
      </c>
      <c r="E27" s="468">
        <f t="shared" si="13"/>
        <v>252.9024</v>
      </c>
      <c r="F27" s="87"/>
      <c r="G27" s="87"/>
      <c r="H27" s="87"/>
      <c r="I27" s="87"/>
      <c r="J27" s="468">
        <f t="shared" ref="J27:J28" si="14">SUM(E27-SUM(G27:I27))</f>
        <v>252.9024</v>
      </c>
      <c r="K27" s="87"/>
      <c r="L27" s="87"/>
      <c r="M27" s="87"/>
      <c r="N27" s="12"/>
      <c r="O27" s="12"/>
      <c r="P27" s="12"/>
      <c r="Q27" s="12"/>
      <c r="R27" s="12"/>
      <c r="S27" s="12"/>
      <c r="T27" s="12"/>
      <c r="U27" s="468">
        <f>SUM(G27:I27)</f>
        <v>0</v>
      </c>
      <c r="V27" s="468">
        <f t="shared" ref="V27" si="15">SUM(G27:J27)</f>
        <v>252.9024</v>
      </c>
      <c r="W27" s="468">
        <f t="shared" ref="W27" si="16">SUM(H27:K27)</f>
        <v>252.9024</v>
      </c>
      <c r="X27" s="468">
        <f t="shared" ref="X27" si="17">SUM(I27:L27)</f>
        <v>252.9024</v>
      </c>
      <c r="Y27" s="468">
        <f t="shared" ref="Y27" si="18">SUM(J27:M27)</f>
        <v>252.9024</v>
      </c>
      <c r="AA27" s="13" t="e">
        <f>SUM(Y27/U27)-1</f>
        <v>#DIV/0!</v>
      </c>
    </row>
    <row r="28" spans="1:27" ht="12.75" customHeight="1">
      <c r="B28" s="10" t="s">
        <v>655</v>
      </c>
      <c r="C28" s="468">
        <f>C$17*C33</f>
        <v>10.569600000000008</v>
      </c>
      <c r="D28" s="468">
        <f t="shared" si="13"/>
        <v>39.072800000000008</v>
      </c>
      <c r="E28" s="468">
        <f t="shared" si="13"/>
        <v>88.857600000000005</v>
      </c>
      <c r="F28" s="87"/>
      <c r="G28" s="87"/>
      <c r="H28" s="87"/>
      <c r="I28" s="87"/>
      <c r="J28" s="468">
        <f t="shared" si="14"/>
        <v>88.857600000000005</v>
      </c>
      <c r="K28" s="87"/>
      <c r="L28" s="87"/>
      <c r="M28" s="87"/>
      <c r="N28" s="12"/>
      <c r="O28" s="12"/>
      <c r="P28" s="12"/>
      <c r="Q28" s="12"/>
      <c r="R28" s="12"/>
      <c r="S28" s="12"/>
      <c r="T28" s="12"/>
      <c r="U28" s="468"/>
      <c r="V28" s="468"/>
      <c r="W28" s="468"/>
      <c r="X28" s="468"/>
      <c r="Y28" s="468"/>
      <c r="AA28" s="13"/>
    </row>
    <row r="29" spans="1:27" ht="12.75" customHeight="1">
      <c r="B29" s="14" t="s">
        <v>652</v>
      </c>
      <c r="C29" s="36">
        <f>SUM(C27:C28)</f>
        <v>176.16</v>
      </c>
      <c r="D29" s="36">
        <f>SUM(D27:D28)</f>
        <v>229.84</v>
      </c>
      <c r="E29" s="36">
        <f>SUM(E27:E28)</f>
        <v>341.76</v>
      </c>
      <c r="F29" s="12"/>
      <c r="G29" s="36">
        <f>SUM(G27:G27)</f>
        <v>0</v>
      </c>
      <c r="H29" s="36">
        <f>SUM(H27:H27)</f>
        <v>0</v>
      </c>
      <c r="I29" s="36">
        <f>SUM(I27:I27)</f>
        <v>0</v>
      </c>
      <c r="J29" s="36">
        <f>SUM(J27:J27)</f>
        <v>252.9024</v>
      </c>
      <c r="K29" s="36">
        <f>SUM(K27:K27)</f>
        <v>0</v>
      </c>
      <c r="L29" s="36">
        <f>SUM(L27:L27)</f>
        <v>0</v>
      </c>
      <c r="M29" s="36">
        <f>SUM(M27:M27)</f>
        <v>0</v>
      </c>
      <c r="N29" s="5"/>
      <c r="O29" s="36">
        <f>SUM(O27:O27)</f>
        <v>0</v>
      </c>
      <c r="P29" s="36">
        <f>SUM(P27:P27)</f>
        <v>0</v>
      </c>
      <c r="Q29" s="36">
        <f>SUM(Q27:Q27)</f>
        <v>0</v>
      </c>
      <c r="R29" s="36">
        <f>SUM(R27:R27)</f>
        <v>0</v>
      </c>
      <c r="S29" s="36">
        <f>SUM(S27:S27)</f>
        <v>0</v>
      </c>
      <c r="T29" s="36">
        <f>SUM(T27:T27)</f>
        <v>0</v>
      </c>
      <c r="U29" s="36">
        <f>SUM(U27:U27)</f>
        <v>0</v>
      </c>
      <c r="V29" s="36">
        <f>SUM(V27:V27)</f>
        <v>252.9024</v>
      </c>
      <c r="W29" s="36">
        <f>SUM(W27:W27)</f>
        <v>252.9024</v>
      </c>
      <c r="X29" s="36">
        <f>SUM(X27:X27)</f>
        <v>252.9024</v>
      </c>
      <c r="Y29" s="36">
        <f>SUM(Y27:Y27)</f>
        <v>252.9024</v>
      </c>
      <c r="AA29" s="16" t="e">
        <f>SUM(Y29/U29)-1</f>
        <v>#DIV/0!</v>
      </c>
    </row>
    <row r="30" spans="1:27">
      <c r="B30" s="480" t="s">
        <v>502</v>
      </c>
      <c r="C30" s="85">
        <f t="shared" ref="C30:D30" si="19">C29-C17</f>
        <v>0</v>
      </c>
      <c r="D30" s="85">
        <f t="shared" si="19"/>
        <v>0</v>
      </c>
      <c r="E30" s="85">
        <f>E29-E17</f>
        <v>0</v>
      </c>
      <c r="F30" s="12"/>
      <c r="G30" s="85">
        <f>G29-'Historical Financials'!G28</f>
        <v>0</v>
      </c>
      <c r="H30" s="85">
        <f>H29-'Historical Financials'!H28</f>
        <v>0</v>
      </c>
      <c r="I30" s="85">
        <f>I29-'Historical Financials'!I28</f>
        <v>-15</v>
      </c>
      <c r="J30" s="85">
        <f>J29-'Historical Financials'!J28</f>
        <v>234.9024</v>
      </c>
      <c r="K30" s="85">
        <f>K29-'Historical Financials'!K28</f>
        <v>0</v>
      </c>
      <c r="L30" s="85">
        <f>L29-'Historical Financials'!L28</f>
        <v>0</v>
      </c>
      <c r="M30" s="85">
        <f>M29-'Historical Financials'!M28</f>
        <v>87</v>
      </c>
      <c r="N30" s="85"/>
      <c r="O30" s="85" t="e">
        <f>+O29-'Historical Financials'!X28</f>
        <v>#REF!</v>
      </c>
      <c r="P30" s="85" t="e">
        <f>+P29-'Historical Financials'!Y28</f>
        <v>#REF!</v>
      </c>
      <c r="Q30" s="85" t="e">
        <f>+Q29-'Historical Financials'!Z28</f>
        <v>#REF!</v>
      </c>
      <c r="R30" s="85" t="e">
        <f>+R29-'Historical Financials'!AA28</f>
        <v>#REF!</v>
      </c>
      <c r="S30" s="85">
        <f>+S29-'Historical Financials'!AB28</f>
        <v>0</v>
      </c>
      <c r="T30" s="85">
        <f>+T29-'Historical Financials'!AC28</f>
        <v>0</v>
      </c>
      <c r="U30" s="85">
        <f>+U29-'Historical Financials'!AD28</f>
        <v>-15</v>
      </c>
      <c r="V30" s="85">
        <f>+V29-'Historical Financials'!AE28</f>
        <v>219.9024</v>
      </c>
      <c r="W30" s="85">
        <f>+W29-'Historical Financials'!AF28</f>
        <v>219.9024</v>
      </c>
      <c r="X30" s="85">
        <f>+X29-'Historical Financials'!AG28</f>
        <v>219.9024</v>
      </c>
      <c r="Y30" s="85">
        <f>Y29-'Historical Financials'!AH28</f>
        <v>321.9024</v>
      </c>
      <c r="AA30" s="9"/>
    </row>
    <row r="31" spans="1:27" ht="5.0999999999999996" customHeight="1">
      <c r="B31" s="20"/>
      <c r="C31" s="21"/>
      <c r="D31" s="21"/>
      <c r="E31" s="21"/>
      <c r="F31" s="22"/>
      <c r="G31" s="23"/>
      <c r="H31" s="23"/>
      <c r="I31" s="23"/>
      <c r="J31" s="23"/>
      <c r="K31" s="23"/>
      <c r="L31" s="23"/>
      <c r="M31" s="23"/>
      <c r="N31" s="22"/>
      <c r="O31" s="22"/>
      <c r="P31" s="22"/>
      <c r="Q31" s="22"/>
      <c r="R31" s="22"/>
      <c r="S31" s="22"/>
      <c r="T31" s="22"/>
      <c r="U31" s="22"/>
      <c r="V31" s="22"/>
      <c r="W31" s="22"/>
      <c r="X31" s="22"/>
      <c r="Y31" s="22"/>
      <c r="AA31" s="9"/>
    </row>
    <row r="32" spans="1:27">
      <c r="B32" s="585" t="s">
        <v>646</v>
      </c>
      <c r="C32" s="583">
        <v>0.94</v>
      </c>
      <c r="D32" s="583">
        <v>0.83</v>
      </c>
      <c r="E32" s="583">
        <v>0.74</v>
      </c>
      <c r="F32" s="569"/>
      <c r="G32" s="569"/>
      <c r="H32" s="569"/>
      <c r="I32" s="569"/>
      <c r="J32" s="569"/>
      <c r="K32" s="569"/>
      <c r="L32" s="569"/>
      <c r="M32" s="569"/>
      <c r="N32" s="569"/>
      <c r="O32" s="569"/>
      <c r="P32" s="569"/>
      <c r="Q32" s="569"/>
      <c r="R32" s="569"/>
      <c r="S32" s="569"/>
      <c r="T32" s="569"/>
      <c r="U32" s="569"/>
      <c r="V32" s="569"/>
      <c r="W32" s="569"/>
      <c r="X32" s="569"/>
      <c r="Y32" s="584"/>
    </row>
    <row r="33" spans="1:27">
      <c r="B33" s="587" t="s">
        <v>648</v>
      </c>
      <c r="C33" s="588">
        <f t="shared" ref="C33:D33" si="20">1-C32</f>
        <v>6.0000000000000053E-2</v>
      </c>
      <c r="D33" s="588">
        <f t="shared" si="20"/>
        <v>0.17000000000000004</v>
      </c>
      <c r="E33" s="588">
        <f>1-E32</f>
        <v>0.26</v>
      </c>
      <c r="F33" s="567"/>
      <c r="G33" s="567"/>
      <c r="H33" s="567"/>
      <c r="I33" s="567"/>
      <c r="J33" s="567"/>
      <c r="K33" s="567"/>
      <c r="L33" s="567"/>
      <c r="M33" s="567"/>
      <c r="N33" s="567"/>
      <c r="O33" s="567"/>
      <c r="P33" s="567"/>
      <c r="Q33" s="567"/>
      <c r="R33" s="567"/>
      <c r="S33" s="567"/>
      <c r="T33" s="567"/>
      <c r="U33" s="567"/>
      <c r="V33" s="567"/>
      <c r="W33" s="567"/>
      <c r="X33" s="567"/>
      <c r="Y33" s="582"/>
    </row>
    <row r="34" spans="1:27" ht="5.0999999999999996" customHeight="1">
      <c r="B34" s="20"/>
      <c r="C34" s="21"/>
      <c r="D34" s="21"/>
      <c r="E34" s="21"/>
      <c r="F34" s="22"/>
      <c r="G34" s="23"/>
      <c r="H34" s="23"/>
      <c r="I34" s="23"/>
      <c r="J34" s="23"/>
      <c r="K34" s="23"/>
      <c r="L34" s="23"/>
      <c r="M34" s="23"/>
      <c r="N34" s="22"/>
      <c r="O34" s="22"/>
      <c r="P34" s="22"/>
      <c r="Q34" s="22"/>
      <c r="R34" s="22"/>
      <c r="S34" s="22"/>
      <c r="T34" s="22"/>
      <c r="U34" s="22"/>
      <c r="V34" s="22"/>
      <c r="W34" s="22"/>
      <c r="X34" s="22"/>
      <c r="Y34" s="22"/>
      <c r="AA34" s="9"/>
    </row>
    <row r="35" spans="1:27">
      <c r="A35" s="38" t="s">
        <v>19</v>
      </c>
      <c r="B35" s="1" t="s">
        <v>630</v>
      </c>
      <c r="C35" s="1"/>
      <c r="D35" s="1"/>
      <c r="E35" s="1"/>
      <c r="F35" s="1"/>
      <c r="G35" s="1"/>
      <c r="H35" s="1"/>
      <c r="I35" s="1"/>
      <c r="J35" s="1"/>
      <c r="K35" s="1"/>
      <c r="L35" s="1"/>
      <c r="M35" s="1"/>
      <c r="N35" s="1"/>
      <c r="O35" s="1"/>
      <c r="P35" s="1"/>
      <c r="Q35" s="1"/>
      <c r="R35" s="1"/>
      <c r="S35" s="1"/>
      <c r="T35" s="1"/>
      <c r="U35" s="1"/>
      <c r="V35" s="1"/>
      <c r="W35" s="1"/>
      <c r="X35" s="1"/>
      <c r="Y35" s="1"/>
      <c r="Z35" s="1"/>
      <c r="AA35" s="1"/>
    </row>
    <row r="36" spans="1:27" ht="5.0999999999999996" customHeight="1"/>
    <row r="37" spans="1:27" ht="12.75" customHeight="1">
      <c r="A37" s="86"/>
      <c r="B37" s="84" t="s">
        <v>644</v>
      </c>
      <c r="C37" s="11"/>
      <c r="D37" s="11"/>
      <c r="E37" s="11"/>
      <c r="F37" s="11"/>
      <c r="G37" s="11"/>
      <c r="H37" s="11"/>
      <c r="I37" s="11"/>
      <c r="J37" s="11"/>
      <c r="K37" s="11"/>
      <c r="L37" s="11"/>
      <c r="M37" s="11"/>
      <c r="N37" s="5"/>
      <c r="O37" s="12"/>
      <c r="P37" s="12"/>
      <c r="Q37" s="12"/>
      <c r="R37" s="12"/>
      <c r="S37" s="12"/>
      <c r="T37" s="12"/>
      <c r="U37" s="12"/>
      <c r="V37" s="12"/>
      <c r="W37" s="12"/>
      <c r="X37" s="12"/>
      <c r="AA37" s="13"/>
    </row>
    <row r="38" spans="1:27" ht="12.75" customHeight="1">
      <c r="A38" s="86"/>
      <c r="B38" s="10" t="s">
        <v>635</v>
      </c>
      <c r="C38" s="87">
        <v>75239</v>
      </c>
      <c r="D38" s="87">
        <v>84642</v>
      </c>
      <c r="E38" s="87">
        <v>95623</v>
      </c>
      <c r="F38" s="11"/>
      <c r="G38" s="11"/>
      <c r="H38" s="11"/>
      <c r="I38" s="11"/>
      <c r="J38" s="468">
        <f>SUM(E38-SUM(G38:I38))</f>
        <v>95623</v>
      </c>
      <c r="K38" s="11"/>
      <c r="L38" s="11"/>
      <c r="M38" s="11"/>
      <c r="N38" s="5"/>
      <c r="O38" s="12"/>
      <c r="P38" s="12"/>
      <c r="Q38" s="12"/>
      <c r="R38" s="12"/>
      <c r="S38" s="12"/>
      <c r="T38" s="12"/>
      <c r="U38" s="12"/>
      <c r="V38" s="12"/>
      <c r="W38" s="12"/>
      <c r="X38" s="12"/>
      <c r="AA38" s="13"/>
    </row>
    <row r="39" spans="1:27" ht="12.75" customHeight="1">
      <c r="B39" s="10" t="s">
        <v>636</v>
      </c>
      <c r="C39" s="87">
        <v>7598</v>
      </c>
      <c r="D39" s="87">
        <v>7823</v>
      </c>
      <c r="E39" s="87">
        <v>9392</v>
      </c>
      <c r="F39" s="87"/>
      <c r="G39" s="87"/>
      <c r="H39" s="87"/>
      <c r="I39" s="87"/>
      <c r="J39" s="468">
        <f>SUM(E39-SUM(G39:I39))</f>
        <v>9392</v>
      </c>
      <c r="K39" s="87"/>
      <c r="L39" s="87"/>
      <c r="M39" s="87"/>
      <c r="N39" s="12"/>
      <c r="O39" s="12" t="e">
        <f>SUM(#REF!)</f>
        <v>#REF!</v>
      </c>
      <c r="P39" s="12" t="e">
        <f>SUM(#REF!)</f>
        <v>#REF!</v>
      </c>
      <c r="Q39" s="12" t="e">
        <f>SUM(#REF!)</f>
        <v>#REF!</v>
      </c>
      <c r="R39" s="12" t="e">
        <f>SUM(#REF!)</f>
        <v>#REF!</v>
      </c>
      <c r="S39" s="12">
        <f>SUM(G39:G39)</f>
        <v>0</v>
      </c>
      <c r="T39" s="12">
        <f>SUM(G39:H39)</f>
        <v>0</v>
      </c>
      <c r="U39" s="12">
        <f>SUM(G39:I39)</f>
        <v>0</v>
      </c>
      <c r="V39" s="12">
        <f t="shared" ref="V39:Y39" si="21">SUM(G39:J39)</f>
        <v>9392</v>
      </c>
      <c r="W39" s="12">
        <f t="shared" si="21"/>
        <v>9392</v>
      </c>
      <c r="X39" s="12">
        <f t="shared" si="21"/>
        <v>9392</v>
      </c>
      <c r="Y39" s="12">
        <f t="shared" si="21"/>
        <v>9392</v>
      </c>
      <c r="AA39" s="13" t="e">
        <f t="shared" ref="AA39:AA40" si="22">SUM(Y39/U39)-1</f>
        <v>#DIV/0!</v>
      </c>
    </row>
    <row r="40" spans="1:27" ht="12.75" customHeight="1">
      <c r="B40" s="14" t="s">
        <v>631</v>
      </c>
      <c r="C40" s="36">
        <f>SUM(C38:C39)</f>
        <v>82837</v>
      </c>
      <c r="D40" s="36">
        <f t="shared" ref="D40:E40" si="23">SUM(D38:D39)</f>
        <v>92465</v>
      </c>
      <c r="E40" s="36">
        <f t="shared" si="23"/>
        <v>105015</v>
      </c>
      <c r="F40" s="12"/>
      <c r="G40" s="36">
        <f t="shared" ref="G40" si="24">SUM(G38:G39)</f>
        <v>0</v>
      </c>
      <c r="H40" s="36">
        <f t="shared" ref="H40" si="25">SUM(H38:H39)</f>
        <v>0</v>
      </c>
      <c r="I40" s="36">
        <f t="shared" ref="I40" si="26">SUM(I38:I39)</f>
        <v>0</v>
      </c>
      <c r="J40" s="36">
        <f t="shared" ref="J40" si="27">SUM(J38:J39)</f>
        <v>105015</v>
      </c>
      <c r="K40" s="36">
        <f t="shared" ref="K40" si="28">SUM(K38:K39)</f>
        <v>0</v>
      </c>
      <c r="L40" s="36">
        <f t="shared" ref="L40" si="29">SUM(L38:L39)</f>
        <v>0</v>
      </c>
      <c r="M40" s="36">
        <f t="shared" ref="M40" si="30">SUM(M38:M39)</f>
        <v>0</v>
      </c>
      <c r="N40" s="5"/>
      <c r="O40" s="36" t="e">
        <f>SUM(O39:O39)</f>
        <v>#REF!</v>
      </c>
      <c r="P40" s="36" t="e">
        <f>SUM(P39:P39)</f>
        <v>#REF!</v>
      </c>
      <c r="Q40" s="36" t="e">
        <f>SUM(Q39:Q39)</f>
        <v>#REF!</v>
      </c>
      <c r="R40" s="36" t="e">
        <f>SUM(R39:R39)</f>
        <v>#REF!</v>
      </c>
      <c r="S40" s="36">
        <f>SUM(S39:S39)</f>
        <v>0</v>
      </c>
      <c r="T40" s="36">
        <f>SUM(T39:T39)</f>
        <v>0</v>
      </c>
      <c r="U40" s="36">
        <f>SUM(U39:U39)</f>
        <v>0</v>
      </c>
      <c r="V40" s="36">
        <f>SUM(V39:V39)</f>
        <v>9392</v>
      </c>
      <c r="W40" s="36">
        <f>SUM(W39:W39)</f>
        <v>9392</v>
      </c>
      <c r="X40" s="36">
        <f>SUM(X39:X39)</f>
        <v>9392</v>
      </c>
      <c r="Y40" s="36">
        <f>SUM(Y39:Y39)</f>
        <v>9392</v>
      </c>
      <c r="AA40" s="16" t="e">
        <f t="shared" si="22"/>
        <v>#DIV/0!</v>
      </c>
    </row>
    <row r="41" spans="1:27" ht="5.0999999999999996" customHeight="1"/>
    <row r="42" spans="1:27">
      <c r="B42" s="585" t="s">
        <v>637</v>
      </c>
      <c r="C42" s="583">
        <v>0.26</v>
      </c>
      <c r="D42" s="583">
        <v>0.21</v>
      </c>
      <c r="E42" s="583">
        <v>0.16</v>
      </c>
      <c r="F42" s="569"/>
      <c r="G42" s="569"/>
      <c r="H42" s="569"/>
      <c r="I42" s="569"/>
      <c r="J42" s="569"/>
      <c r="K42" s="569"/>
      <c r="L42" s="569"/>
      <c r="M42" s="569"/>
      <c r="N42" s="569"/>
      <c r="O42" s="569"/>
      <c r="P42" s="569"/>
      <c r="Q42" s="569"/>
      <c r="R42" s="569"/>
      <c r="S42" s="569"/>
      <c r="T42" s="569"/>
      <c r="U42" s="569"/>
      <c r="V42" s="569"/>
      <c r="W42" s="569"/>
      <c r="X42" s="569"/>
      <c r="Y42" s="584"/>
    </row>
    <row r="43" spans="1:27">
      <c r="B43" s="586" t="s">
        <v>638</v>
      </c>
      <c r="C43" s="578">
        <v>0.7</v>
      </c>
      <c r="D43" s="578">
        <v>0.75</v>
      </c>
      <c r="E43" s="578">
        <v>0.79</v>
      </c>
      <c r="F43" s="579"/>
      <c r="G43" s="579"/>
      <c r="H43" s="579"/>
      <c r="I43" s="579"/>
      <c r="J43" s="579"/>
      <c r="K43" s="579"/>
      <c r="L43" s="579"/>
      <c r="M43" s="579"/>
      <c r="N43" s="579"/>
      <c r="O43" s="579"/>
      <c r="P43" s="579"/>
      <c r="Q43" s="579"/>
      <c r="R43" s="579"/>
      <c r="S43" s="579"/>
      <c r="T43" s="579"/>
      <c r="U43" s="579"/>
      <c r="V43" s="579"/>
      <c r="W43" s="579"/>
      <c r="X43" s="579"/>
      <c r="Y43" s="581"/>
    </row>
    <row r="44" spans="1:27">
      <c r="B44" s="587" t="s">
        <v>639</v>
      </c>
      <c r="C44" s="580">
        <v>0.04</v>
      </c>
      <c r="D44" s="580">
        <v>0.04</v>
      </c>
      <c r="E44" s="580">
        <v>0.05</v>
      </c>
      <c r="F44" s="567"/>
      <c r="G44" s="567"/>
      <c r="H44" s="567"/>
      <c r="I44" s="567"/>
      <c r="J44" s="567"/>
      <c r="K44" s="567"/>
      <c r="L44" s="567"/>
      <c r="M44" s="567"/>
      <c r="N44" s="567"/>
      <c r="O44" s="567"/>
      <c r="P44" s="567"/>
      <c r="Q44" s="567"/>
      <c r="R44" s="567"/>
      <c r="S44" s="567"/>
      <c r="T44" s="567"/>
      <c r="U44" s="567"/>
      <c r="V44" s="567"/>
      <c r="W44" s="567"/>
      <c r="X44" s="567"/>
      <c r="Y44" s="582"/>
    </row>
    <row r="46" spans="1:27" ht="12.75" customHeight="1">
      <c r="A46" s="86"/>
      <c r="B46" s="84" t="s">
        <v>643</v>
      </c>
      <c r="C46" s="11"/>
      <c r="D46" s="11"/>
      <c r="E46" s="11"/>
      <c r="F46" s="11"/>
      <c r="G46" s="11"/>
      <c r="H46" s="11"/>
      <c r="I46" s="11"/>
      <c r="J46" s="11"/>
      <c r="K46" s="11"/>
      <c r="L46" s="11"/>
      <c r="M46" s="11"/>
      <c r="N46" s="5"/>
      <c r="O46" s="12"/>
      <c r="P46" s="12"/>
      <c r="Q46" s="12"/>
      <c r="R46" s="12"/>
      <c r="S46" s="12"/>
      <c r="T46" s="12"/>
      <c r="U46" s="12"/>
      <c r="V46" s="12"/>
      <c r="W46" s="12"/>
      <c r="X46" s="12"/>
      <c r="AA46" s="13"/>
    </row>
    <row r="47" spans="1:27" ht="12.75" customHeight="1">
      <c r="A47" s="86"/>
      <c r="B47" s="10" t="s">
        <v>640</v>
      </c>
      <c r="C47" s="468">
        <f>C42*C40</f>
        <v>21537.62</v>
      </c>
      <c r="D47" s="468">
        <f t="shared" ref="D47:E47" si="31">D42*D40</f>
        <v>19417.649999999998</v>
      </c>
      <c r="E47" s="468">
        <f t="shared" si="31"/>
        <v>16802.400000000001</v>
      </c>
      <c r="F47" s="11"/>
      <c r="G47" s="11"/>
      <c r="H47" s="11"/>
      <c r="I47" s="11"/>
      <c r="J47" s="468">
        <f t="shared" ref="J47:J48" si="32">SUM(E47-SUM(G47:I47))</f>
        <v>16802.400000000001</v>
      </c>
      <c r="K47" s="11"/>
      <c r="L47" s="11"/>
      <c r="M47" s="11"/>
      <c r="N47" s="5"/>
      <c r="O47" s="12"/>
      <c r="P47" s="12"/>
      <c r="Q47" s="12"/>
      <c r="R47" s="12"/>
      <c r="S47" s="12"/>
      <c r="T47" s="12"/>
      <c r="U47" s="12"/>
      <c r="V47" s="12"/>
      <c r="W47" s="12"/>
      <c r="X47" s="12"/>
      <c r="AA47" s="13"/>
    </row>
    <row r="48" spans="1:27" ht="12.75" customHeight="1">
      <c r="A48" s="86"/>
      <c r="B48" s="10" t="s">
        <v>642</v>
      </c>
      <c r="C48" s="468">
        <f>C43*C40</f>
        <v>57985.899999999994</v>
      </c>
      <c r="D48" s="468">
        <f t="shared" ref="D48:E48" si="33">D43*D40</f>
        <v>69348.75</v>
      </c>
      <c r="E48" s="468">
        <f t="shared" si="33"/>
        <v>82961.850000000006</v>
      </c>
      <c r="F48" s="11"/>
      <c r="G48" s="11"/>
      <c r="H48" s="11"/>
      <c r="I48" s="11"/>
      <c r="J48" s="468">
        <f t="shared" si="32"/>
        <v>82961.850000000006</v>
      </c>
      <c r="K48" s="11"/>
      <c r="L48" s="11"/>
      <c r="M48" s="11"/>
      <c r="N48" s="5"/>
      <c r="O48" s="12"/>
      <c r="P48" s="12"/>
      <c r="Q48" s="12"/>
      <c r="R48" s="12"/>
      <c r="S48" s="12"/>
      <c r="T48" s="12"/>
      <c r="U48" s="12"/>
      <c r="V48" s="12"/>
      <c r="W48" s="12"/>
      <c r="X48" s="12"/>
      <c r="AA48" s="13"/>
    </row>
    <row r="49" spans="1:27" ht="12.75" customHeight="1">
      <c r="B49" s="10" t="s">
        <v>641</v>
      </c>
      <c r="C49" s="468">
        <f>C44*C40</f>
        <v>3313.48</v>
      </c>
      <c r="D49" s="468">
        <f t="shared" ref="D49:E49" si="34">D44*D40</f>
        <v>3698.6</v>
      </c>
      <c r="E49" s="468">
        <f t="shared" si="34"/>
        <v>5250.75</v>
      </c>
      <c r="F49" s="87"/>
      <c r="G49" s="87"/>
      <c r="H49" s="87"/>
      <c r="I49" s="87"/>
      <c r="J49" s="468">
        <f>SUM(E49-SUM(G49:I49))</f>
        <v>5250.75</v>
      </c>
      <c r="K49" s="87"/>
      <c r="L49" s="87"/>
      <c r="M49" s="87"/>
      <c r="N49" s="12"/>
      <c r="O49" s="12" t="e">
        <f>SUM(#REF!)</f>
        <v>#REF!</v>
      </c>
      <c r="P49" s="12" t="e">
        <f>SUM(#REF!)</f>
        <v>#REF!</v>
      </c>
      <c r="Q49" s="12" t="e">
        <f>SUM(#REF!)</f>
        <v>#REF!</v>
      </c>
      <c r="R49" s="12" t="e">
        <f>SUM(#REF!)</f>
        <v>#REF!</v>
      </c>
      <c r="S49" s="12">
        <f>SUM(G49:G49)</f>
        <v>0</v>
      </c>
      <c r="T49" s="12">
        <f>SUM(G49:H49)</f>
        <v>0</v>
      </c>
      <c r="U49" s="12">
        <f>SUM(G49:I49)</f>
        <v>0</v>
      </c>
      <c r="V49" s="12">
        <f t="shared" ref="V49" si="35">SUM(G49:J49)</f>
        <v>5250.75</v>
      </c>
      <c r="W49" s="12">
        <f t="shared" ref="W49" si="36">SUM(H49:K49)</f>
        <v>5250.75</v>
      </c>
      <c r="X49" s="12">
        <f t="shared" ref="X49" si="37">SUM(I49:L49)</f>
        <v>5250.75</v>
      </c>
      <c r="Y49" s="12">
        <f t="shared" ref="Y49" si="38">SUM(J49:M49)</f>
        <v>5250.75</v>
      </c>
      <c r="AA49" s="13" t="e">
        <f t="shared" ref="AA49:AA50" si="39">SUM(Y49/U49)-1</f>
        <v>#DIV/0!</v>
      </c>
    </row>
    <row r="50" spans="1:27" ht="12.75" customHeight="1">
      <c r="B50" s="14" t="s">
        <v>631</v>
      </c>
      <c r="C50" s="36">
        <f>SUM(C47:C49)</f>
        <v>82836.999999999985</v>
      </c>
      <c r="D50" s="36">
        <f t="shared" ref="D50" si="40">SUM(D47:D49)</f>
        <v>92465</v>
      </c>
      <c r="E50" s="36">
        <f t="shared" ref="E50" si="41">SUM(E47:E49)</f>
        <v>105015</v>
      </c>
      <c r="F50" s="12"/>
      <c r="G50" s="36">
        <f t="shared" ref="G50" si="42">SUM(G47:G49)</f>
        <v>0</v>
      </c>
      <c r="H50" s="36">
        <f t="shared" ref="H50" si="43">SUM(H47:H49)</f>
        <v>0</v>
      </c>
      <c r="I50" s="36">
        <f t="shared" ref="I50" si="44">SUM(I47:I49)</f>
        <v>0</v>
      </c>
      <c r="J50" s="36">
        <f t="shared" ref="J50" si="45">SUM(J47:J49)</f>
        <v>105015</v>
      </c>
      <c r="K50" s="36">
        <f t="shared" ref="K50" si="46">SUM(K47:K49)</f>
        <v>0</v>
      </c>
      <c r="L50" s="36">
        <f t="shared" ref="L50" si="47">SUM(L47:L49)</f>
        <v>0</v>
      </c>
      <c r="M50" s="36">
        <f t="shared" ref="M50" si="48">SUM(M47:M49)</f>
        <v>0</v>
      </c>
      <c r="N50" s="5"/>
      <c r="O50" s="36" t="e">
        <f>SUM(O49:O49)</f>
        <v>#REF!</v>
      </c>
      <c r="P50" s="36" t="e">
        <f>SUM(P49:P49)</f>
        <v>#REF!</v>
      </c>
      <c r="Q50" s="36" t="e">
        <f>SUM(Q49:Q49)</f>
        <v>#REF!</v>
      </c>
      <c r="R50" s="36" t="e">
        <f>SUM(R49:R49)</f>
        <v>#REF!</v>
      </c>
      <c r="S50" s="36">
        <f>SUM(S49:S49)</f>
        <v>0</v>
      </c>
      <c r="T50" s="36">
        <f>SUM(T49:T49)</f>
        <v>0</v>
      </c>
      <c r="U50" s="36">
        <f>SUM(U49:U49)</f>
        <v>0</v>
      </c>
      <c r="V50" s="36">
        <f>SUM(V49:V49)</f>
        <v>5250.75</v>
      </c>
      <c r="W50" s="36">
        <f>SUM(W49:W49)</f>
        <v>5250.75</v>
      </c>
      <c r="X50" s="36">
        <f>SUM(X49:X49)</f>
        <v>5250.75</v>
      </c>
      <c r="Y50" s="36">
        <f>SUM(Y49:Y49)</f>
        <v>5250.75</v>
      </c>
      <c r="AA50" s="16" t="e">
        <f t="shared" si="39"/>
        <v>#DIV/0!</v>
      </c>
    </row>
    <row r="52" spans="1:27" ht="12.75" customHeight="1">
      <c r="A52" s="86"/>
      <c r="B52" s="84" t="s">
        <v>632</v>
      </c>
      <c r="C52" s="11"/>
      <c r="D52" s="11"/>
      <c r="E52" s="11"/>
      <c r="F52" s="11"/>
      <c r="G52" s="11"/>
      <c r="H52" s="11"/>
      <c r="I52" s="11"/>
      <c r="J52" s="11"/>
      <c r="K52" s="11"/>
      <c r="L52" s="11"/>
      <c r="M52" s="11"/>
      <c r="N52" s="5"/>
      <c r="O52" s="12"/>
      <c r="P52" s="12"/>
      <c r="Q52" s="12"/>
      <c r="R52" s="12"/>
      <c r="S52" s="12"/>
      <c r="T52" s="12"/>
      <c r="U52" s="12"/>
      <c r="V52" s="12"/>
      <c r="W52" s="12"/>
      <c r="X52" s="12"/>
      <c r="AA52" s="13"/>
    </row>
    <row r="53" spans="1:27" ht="12.75" customHeight="1">
      <c r="B53" s="10" t="s">
        <v>632</v>
      </c>
      <c r="C53" s="87">
        <v>79</v>
      </c>
      <c r="D53" s="87">
        <v>84</v>
      </c>
      <c r="E53" s="87">
        <v>93</v>
      </c>
      <c r="F53" s="87"/>
      <c r="G53" s="87"/>
      <c r="H53" s="87"/>
      <c r="I53" s="87"/>
      <c r="J53" s="468">
        <f>SUM(E53-SUM(G53:I53))</f>
        <v>93</v>
      </c>
      <c r="K53" s="87"/>
      <c r="L53" s="87"/>
      <c r="M53" s="87"/>
      <c r="N53" s="12"/>
      <c r="O53" s="12" t="e">
        <f>SUM(#REF!)</f>
        <v>#REF!</v>
      </c>
      <c r="P53" s="12" t="e">
        <f>SUM(#REF!)</f>
        <v>#REF!</v>
      </c>
      <c r="Q53" s="12" t="e">
        <f>SUM(#REF!)</f>
        <v>#REF!</v>
      </c>
      <c r="R53" s="12" t="e">
        <f>SUM(#REF!)</f>
        <v>#REF!</v>
      </c>
      <c r="S53" s="12">
        <f>SUM(G53:G53)</f>
        <v>0</v>
      </c>
      <c r="T53" s="12">
        <f>SUM(G53:H53)</f>
        <v>0</v>
      </c>
      <c r="U53" s="12">
        <f>SUM(G53:I53)</f>
        <v>0</v>
      </c>
      <c r="V53" s="12">
        <f t="shared" ref="V53" si="49">SUM(G53:J53)</f>
        <v>93</v>
      </c>
      <c r="W53" s="12">
        <f t="shared" ref="W53" si="50">SUM(H53:K53)</f>
        <v>93</v>
      </c>
      <c r="X53" s="12">
        <f t="shared" ref="X53" si="51">SUM(I53:L53)</f>
        <v>93</v>
      </c>
      <c r="Y53" s="12">
        <f t="shared" ref="Y53" si="52">SUM(J53:M53)</f>
        <v>93</v>
      </c>
      <c r="AA53" s="13" t="e">
        <f t="shared" ref="AA53:AA54" si="53">SUM(Y53/U53)-1</f>
        <v>#DIV/0!</v>
      </c>
    </row>
    <row r="54" spans="1:27" ht="12.75" customHeight="1">
      <c r="B54" s="14" t="s">
        <v>631</v>
      </c>
      <c r="C54" s="36">
        <f>SUM(C53:C53)</f>
        <v>79</v>
      </c>
      <c r="D54" s="36">
        <f>SUM(D53:D53)</f>
        <v>84</v>
      </c>
      <c r="E54" s="36">
        <f>SUM(E53:E53)</f>
        <v>93</v>
      </c>
      <c r="F54" s="12"/>
      <c r="G54" s="36">
        <f>SUM(G53:G53)</f>
        <v>0</v>
      </c>
      <c r="H54" s="36">
        <f>SUM(H53:H53)</f>
        <v>0</v>
      </c>
      <c r="I54" s="36">
        <f>SUM(I53:I53)</f>
        <v>0</v>
      </c>
      <c r="J54" s="36">
        <f>SUM(J53:J53)</f>
        <v>93</v>
      </c>
      <c r="K54" s="36">
        <f>SUM(K53:K53)</f>
        <v>0</v>
      </c>
      <c r="L54" s="36">
        <f>SUM(L53:L53)</f>
        <v>0</v>
      </c>
      <c r="M54" s="36">
        <f>SUM(M53:M53)</f>
        <v>0</v>
      </c>
      <c r="N54" s="5"/>
      <c r="O54" s="36" t="e">
        <f>SUM(O53:O53)</f>
        <v>#REF!</v>
      </c>
      <c r="P54" s="36" t="e">
        <f>SUM(P53:P53)</f>
        <v>#REF!</v>
      </c>
      <c r="Q54" s="36" t="e">
        <f>SUM(Q53:Q53)</f>
        <v>#REF!</v>
      </c>
      <c r="R54" s="36" t="e">
        <f>SUM(R53:R53)</f>
        <v>#REF!</v>
      </c>
      <c r="S54" s="36">
        <f>SUM(S53:S53)</f>
        <v>0</v>
      </c>
      <c r="T54" s="36">
        <f>SUM(T53:T53)</f>
        <v>0</v>
      </c>
      <c r="U54" s="36">
        <f>SUM(U53:U53)</f>
        <v>0</v>
      </c>
      <c r="V54" s="36">
        <f>SUM(V53:V53)</f>
        <v>93</v>
      </c>
      <c r="W54" s="36">
        <f>SUM(W53:W53)</f>
        <v>93</v>
      </c>
      <c r="X54" s="36">
        <f>SUM(X53:X53)</f>
        <v>93</v>
      </c>
      <c r="Y54" s="36">
        <f>SUM(Y53:Y53)</f>
        <v>93</v>
      </c>
      <c r="AA54" s="16" t="e">
        <f t="shared" si="53"/>
        <v>#DIV/0!</v>
      </c>
    </row>
    <row r="56" spans="1:27" ht="12.75" customHeight="1">
      <c r="A56" s="86"/>
      <c r="B56" s="84" t="s">
        <v>633</v>
      </c>
      <c r="C56" s="11"/>
      <c r="D56" s="11"/>
      <c r="E56" s="11"/>
      <c r="F56" s="11"/>
      <c r="G56" s="11"/>
      <c r="H56" s="11"/>
      <c r="I56" s="11"/>
      <c r="J56" s="11"/>
      <c r="K56" s="11"/>
      <c r="L56" s="11"/>
      <c r="M56" s="11"/>
      <c r="N56" s="5"/>
      <c r="O56" s="12"/>
      <c r="P56" s="12"/>
      <c r="Q56" s="12"/>
      <c r="R56" s="12"/>
      <c r="S56" s="12"/>
      <c r="T56" s="12"/>
      <c r="U56" s="12"/>
      <c r="V56" s="12"/>
      <c r="W56" s="12"/>
      <c r="X56" s="12"/>
      <c r="AA56" s="13"/>
    </row>
    <row r="57" spans="1:27" ht="12.75" customHeight="1">
      <c r="B57" s="10" t="s">
        <v>633</v>
      </c>
      <c r="C57" s="87">
        <v>24</v>
      </c>
      <c r="D57" s="87">
        <v>27</v>
      </c>
      <c r="E57" s="87">
        <v>30</v>
      </c>
      <c r="F57" s="87"/>
      <c r="G57" s="87"/>
      <c r="H57" s="87"/>
      <c r="I57" s="87"/>
      <c r="J57" s="468">
        <f>SUM(E57-SUM(G57:I57))</f>
        <v>30</v>
      </c>
      <c r="K57" s="87"/>
      <c r="L57" s="87"/>
      <c r="M57" s="87"/>
      <c r="N57" s="12"/>
      <c r="O57" s="12" t="e">
        <f>SUM(#REF!)</f>
        <v>#REF!</v>
      </c>
      <c r="P57" s="12" t="e">
        <f>SUM(#REF!)</f>
        <v>#REF!</v>
      </c>
      <c r="Q57" s="12" t="e">
        <f>SUM(#REF!)</f>
        <v>#REF!</v>
      </c>
      <c r="R57" s="12" t="e">
        <f>SUM(#REF!)</f>
        <v>#REF!</v>
      </c>
      <c r="S57" s="12">
        <f>SUM(G57:G57)</f>
        <v>0</v>
      </c>
      <c r="T57" s="12">
        <f>SUM(G57:H57)</f>
        <v>0</v>
      </c>
      <c r="U57" s="12">
        <f>SUM(G57:I57)</f>
        <v>0</v>
      </c>
      <c r="V57" s="12">
        <f t="shared" ref="V57" si="54">SUM(G57:J57)</f>
        <v>30</v>
      </c>
      <c r="W57" s="12">
        <f t="shared" ref="W57" si="55">SUM(H57:K57)</f>
        <v>30</v>
      </c>
      <c r="X57" s="12">
        <f t="shared" ref="X57" si="56">SUM(I57:L57)</f>
        <v>30</v>
      </c>
      <c r="Y57" s="12">
        <f t="shared" ref="Y57" si="57">SUM(J57:M57)</f>
        <v>30</v>
      </c>
      <c r="AA57" s="13" t="e">
        <f t="shared" ref="AA57:AA58" si="58">SUM(Y57/U57)-1</f>
        <v>#DIV/0!</v>
      </c>
    </row>
    <row r="58" spans="1:27" ht="12.75" customHeight="1">
      <c r="B58" s="14" t="s">
        <v>631</v>
      </c>
      <c r="C58" s="36">
        <f>SUM(C57:C57)</f>
        <v>24</v>
      </c>
      <c r="D58" s="36">
        <f>SUM(D57:D57)</f>
        <v>27</v>
      </c>
      <c r="E58" s="36">
        <f>SUM(E57:E57)</f>
        <v>30</v>
      </c>
      <c r="F58" s="12"/>
      <c r="G58" s="36">
        <f>SUM(G57:G57)</f>
        <v>0</v>
      </c>
      <c r="H58" s="36">
        <f>SUM(H57:H57)</f>
        <v>0</v>
      </c>
      <c r="I58" s="36">
        <f>SUM(I57:I57)</f>
        <v>0</v>
      </c>
      <c r="J58" s="36">
        <f>SUM(J57:J57)</f>
        <v>30</v>
      </c>
      <c r="K58" s="36">
        <f>SUM(K57:K57)</f>
        <v>0</v>
      </c>
      <c r="L58" s="36">
        <f>SUM(L57:L57)</f>
        <v>0</v>
      </c>
      <c r="M58" s="36">
        <f>SUM(M57:M57)</f>
        <v>0</v>
      </c>
      <c r="N58" s="5"/>
      <c r="O58" s="36" t="e">
        <f>SUM(O57:O57)</f>
        <v>#REF!</v>
      </c>
      <c r="P58" s="36" t="e">
        <f>SUM(P57:P57)</f>
        <v>#REF!</v>
      </c>
      <c r="Q58" s="36" t="e">
        <f>SUM(Q57:Q57)</f>
        <v>#REF!</v>
      </c>
      <c r="R58" s="36" t="e">
        <f>SUM(R57:R57)</f>
        <v>#REF!</v>
      </c>
      <c r="S58" s="36">
        <f>SUM(S57:S57)</f>
        <v>0</v>
      </c>
      <c r="T58" s="36">
        <f>SUM(T57:T57)</f>
        <v>0</v>
      </c>
      <c r="U58" s="36">
        <f>SUM(U57:U57)</f>
        <v>0</v>
      </c>
      <c r="V58" s="36">
        <f>SUM(V57:V57)</f>
        <v>30</v>
      </c>
      <c r="W58" s="36">
        <f>SUM(W57:W57)</f>
        <v>30</v>
      </c>
      <c r="X58" s="36">
        <f>SUM(X57:X57)</f>
        <v>30</v>
      </c>
      <c r="Y58" s="36">
        <f>SUM(Y57:Y57)</f>
        <v>30</v>
      </c>
      <c r="AA58" s="16" t="e">
        <f t="shared" si="58"/>
        <v>#DIV/0!</v>
      </c>
    </row>
    <row r="60" spans="1:27" ht="12.75" customHeight="1">
      <c r="A60" s="86"/>
      <c r="B60" s="84" t="s">
        <v>634</v>
      </c>
      <c r="C60" s="11"/>
      <c r="D60" s="11"/>
      <c r="E60" s="11"/>
      <c r="F60" s="11"/>
      <c r="G60" s="11"/>
      <c r="H60" s="11"/>
      <c r="I60" s="11"/>
      <c r="J60" s="11"/>
      <c r="K60" s="11"/>
      <c r="L60" s="11"/>
      <c r="M60" s="11"/>
      <c r="N60" s="5"/>
      <c r="O60" s="12"/>
      <c r="P60" s="12"/>
      <c r="Q60" s="12"/>
      <c r="R60" s="12"/>
      <c r="S60" s="12"/>
      <c r="T60" s="12"/>
      <c r="U60" s="12"/>
      <c r="V60" s="12"/>
      <c r="W60" s="12"/>
      <c r="X60" s="12"/>
      <c r="AA60" s="13"/>
    </row>
    <row r="61" spans="1:27" ht="12.75" customHeight="1">
      <c r="B61" s="10" t="s">
        <v>634</v>
      </c>
      <c r="C61" s="87">
        <v>687</v>
      </c>
      <c r="D61" s="87">
        <v>1085</v>
      </c>
      <c r="E61" s="87">
        <v>1217</v>
      </c>
      <c r="F61" s="87"/>
      <c r="G61" s="87"/>
      <c r="H61" s="87"/>
      <c r="I61" s="87"/>
      <c r="J61" s="468">
        <f>SUM(E61-SUM(G61:I61))</f>
        <v>1217</v>
      </c>
      <c r="K61" s="87"/>
      <c r="L61" s="87"/>
      <c r="M61" s="87"/>
      <c r="N61" s="12"/>
      <c r="O61" s="12" t="e">
        <f>SUM(#REF!)</f>
        <v>#REF!</v>
      </c>
      <c r="P61" s="12" t="e">
        <f>SUM(#REF!)</f>
        <v>#REF!</v>
      </c>
      <c r="Q61" s="12" t="e">
        <f>SUM(#REF!)</f>
        <v>#REF!</v>
      </c>
      <c r="R61" s="12" t="e">
        <f>SUM(#REF!)</f>
        <v>#REF!</v>
      </c>
      <c r="S61" s="12">
        <f>SUM(G61:G61)</f>
        <v>0</v>
      </c>
      <c r="T61" s="12">
        <f>SUM(G61:H61)</f>
        <v>0</v>
      </c>
      <c r="U61" s="12">
        <f>SUM(G61:I61)</f>
        <v>0</v>
      </c>
      <c r="V61" s="12">
        <f t="shared" ref="V61" si="59">SUM(G61:J61)</f>
        <v>1217</v>
      </c>
      <c r="W61" s="12">
        <f t="shared" ref="W61" si="60">SUM(H61:K61)</f>
        <v>1217</v>
      </c>
      <c r="X61" s="12">
        <f t="shared" ref="X61" si="61">SUM(I61:L61)</f>
        <v>1217</v>
      </c>
      <c r="Y61" s="12">
        <f t="shared" ref="Y61" si="62">SUM(J61:M61)</f>
        <v>1217</v>
      </c>
      <c r="AA61" s="13" t="e">
        <f t="shared" ref="AA61:AA62" si="63">SUM(Y61/U61)-1</f>
        <v>#DIV/0!</v>
      </c>
    </row>
    <row r="62" spans="1:27" ht="12.75" customHeight="1">
      <c r="B62" s="14" t="s">
        <v>631</v>
      </c>
      <c r="C62" s="36">
        <f>SUM(C61:C61)</f>
        <v>687</v>
      </c>
      <c r="D62" s="36">
        <f>SUM(D61:D61)</f>
        <v>1085</v>
      </c>
      <c r="E62" s="36">
        <f>SUM(E61:E61)</f>
        <v>1217</v>
      </c>
      <c r="F62" s="12"/>
      <c r="G62" s="36">
        <f>SUM(G61:G61)</f>
        <v>0</v>
      </c>
      <c r="H62" s="36">
        <f>SUM(H61:H61)</f>
        <v>0</v>
      </c>
      <c r="I62" s="36">
        <f>SUM(I61:I61)</f>
        <v>0</v>
      </c>
      <c r="J62" s="36">
        <f>SUM(J61:J61)</f>
        <v>1217</v>
      </c>
      <c r="K62" s="36">
        <f>SUM(K61:K61)</f>
        <v>0</v>
      </c>
      <c r="L62" s="36">
        <f>SUM(L61:L61)</f>
        <v>0</v>
      </c>
      <c r="M62" s="36">
        <f>SUM(M61:M61)</f>
        <v>0</v>
      </c>
      <c r="N62" s="5"/>
      <c r="O62" s="36" t="e">
        <f>SUM(O61:O61)</f>
        <v>#REF!</v>
      </c>
      <c r="P62" s="36" t="e">
        <f>SUM(P61:P61)</f>
        <v>#REF!</v>
      </c>
      <c r="Q62" s="36" t="e">
        <f>SUM(Q61:Q61)</f>
        <v>#REF!</v>
      </c>
      <c r="R62" s="36" t="e">
        <f>SUM(R61:R61)</f>
        <v>#REF!</v>
      </c>
      <c r="S62" s="36">
        <f>SUM(S61:S61)</f>
        <v>0</v>
      </c>
      <c r="T62" s="36">
        <f>SUM(T61:T61)</f>
        <v>0</v>
      </c>
      <c r="U62" s="36">
        <f>SUM(U61:U61)</f>
        <v>0</v>
      </c>
      <c r="V62" s="36">
        <f>SUM(V61:V61)</f>
        <v>1217</v>
      </c>
      <c r="W62" s="36">
        <f>SUM(W61:W61)</f>
        <v>1217</v>
      </c>
      <c r="X62" s="36">
        <f>SUM(X61:X61)</f>
        <v>1217</v>
      </c>
      <c r="Y62" s="36">
        <f>SUM(Y61:Y61)</f>
        <v>1217</v>
      </c>
      <c r="AA62" s="16" t="e">
        <f t="shared" si="63"/>
        <v>#DIV/0!</v>
      </c>
    </row>
    <row r="64" spans="1:27" ht="12.75" customHeight="1">
      <c r="A64" s="86"/>
      <c r="B64" s="84" t="s">
        <v>659</v>
      </c>
      <c r="C64" s="11"/>
      <c r="D64" s="11"/>
      <c r="E64" s="11"/>
      <c r="F64" s="11"/>
      <c r="G64" s="11"/>
      <c r="H64" s="11"/>
      <c r="I64" s="11"/>
      <c r="J64" s="11"/>
      <c r="K64" s="11"/>
      <c r="L64" s="11"/>
      <c r="M64" s="11"/>
      <c r="N64" s="5"/>
      <c r="O64" s="12"/>
      <c r="P64" s="12"/>
      <c r="Q64" s="12"/>
      <c r="R64" s="12"/>
      <c r="S64" s="12"/>
      <c r="T64" s="12"/>
      <c r="U64" s="12"/>
      <c r="V64" s="12"/>
      <c r="W64" s="12"/>
      <c r="X64" s="12"/>
      <c r="AA64" s="13"/>
    </row>
    <row r="65" spans="1:27" ht="12.75" customHeight="1">
      <c r="B65" s="10" t="s">
        <v>659</v>
      </c>
      <c r="C65" s="589">
        <v>10.4</v>
      </c>
      <c r="D65" s="589">
        <v>10.9</v>
      </c>
      <c r="E65" s="589">
        <v>11.3</v>
      </c>
      <c r="F65" s="87"/>
      <c r="G65" s="87"/>
      <c r="H65" s="87"/>
      <c r="I65" s="87"/>
      <c r="J65" s="468">
        <f>SUM(E65-SUM(G65:I65))</f>
        <v>11.3</v>
      </c>
      <c r="K65" s="87"/>
      <c r="L65" s="87"/>
      <c r="M65" s="87"/>
      <c r="N65" s="12"/>
      <c r="O65" s="12" t="e">
        <f>SUM(#REF!)</f>
        <v>#REF!</v>
      </c>
      <c r="P65" s="12" t="e">
        <f>SUM(#REF!)</f>
        <v>#REF!</v>
      </c>
      <c r="Q65" s="12" t="e">
        <f>SUM(#REF!)</f>
        <v>#REF!</v>
      </c>
      <c r="R65" s="12" t="e">
        <f>SUM(#REF!)</f>
        <v>#REF!</v>
      </c>
      <c r="S65" s="12">
        <f>SUM(G65:G65)</f>
        <v>0</v>
      </c>
      <c r="T65" s="12">
        <f>SUM(G65:H65)</f>
        <v>0</v>
      </c>
      <c r="U65" s="12">
        <f>SUM(G65:I65)</f>
        <v>0</v>
      </c>
      <c r="V65" s="12">
        <f t="shared" ref="V65" si="64">SUM(G65:J65)</f>
        <v>11.3</v>
      </c>
      <c r="W65" s="12">
        <f t="shared" ref="W65" si="65">SUM(H65:K65)</f>
        <v>11.3</v>
      </c>
      <c r="X65" s="12">
        <f t="shared" ref="X65" si="66">SUM(I65:L65)</f>
        <v>11.3</v>
      </c>
      <c r="Y65" s="12">
        <f t="shared" ref="Y65" si="67">SUM(J65:M65)</f>
        <v>11.3</v>
      </c>
      <c r="AA65" s="13" t="e">
        <f t="shared" ref="AA65:AA66" si="68">SUM(Y65/U65)-1</f>
        <v>#DIV/0!</v>
      </c>
    </row>
    <row r="66" spans="1:27" ht="12.75" customHeight="1">
      <c r="B66" s="14" t="s">
        <v>660</v>
      </c>
      <c r="C66" s="590">
        <f>SUM(C65:C65)</f>
        <v>10.4</v>
      </c>
      <c r="D66" s="590">
        <f>SUM(D65:D65)</f>
        <v>10.9</v>
      </c>
      <c r="E66" s="590">
        <f>SUM(E65:E65)</f>
        <v>11.3</v>
      </c>
      <c r="F66" s="12"/>
      <c r="G66" s="36">
        <f>SUM(G65:G65)</f>
        <v>0</v>
      </c>
      <c r="H66" s="36">
        <f>SUM(H65:H65)</f>
        <v>0</v>
      </c>
      <c r="I66" s="36">
        <f>SUM(I65:I65)</f>
        <v>0</v>
      </c>
      <c r="J66" s="36">
        <f>SUM(J65:J65)</f>
        <v>11.3</v>
      </c>
      <c r="K66" s="36">
        <f>SUM(K65:K65)</f>
        <v>0</v>
      </c>
      <c r="L66" s="36">
        <f>SUM(L65:L65)</f>
        <v>0</v>
      </c>
      <c r="M66" s="36">
        <f>SUM(M65:M65)</f>
        <v>0</v>
      </c>
      <c r="N66" s="5"/>
      <c r="O66" s="36" t="e">
        <f>SUM(O65:O65)</f>
        <v>#REF!</v>
      </c>
      <c r="P66" s="36" t="e">
        <f>SUM(P65:P65)</f>
        <v>#REF!</v>
      </c>
      <c r="Q66" s="36" t="e">
        <f>SUM(Q65:Q65)</f>
        <v>#REF!</v>
      </c>
      <c r="R66" s="36" t="e">
        <f>SUM(R65:R65)</f>
        <v>#REF!</v>
      </c>
      <c r="S66" s="36">
        <f>SUM(S65:S65)</f>
        <v>0</v>
      </c>
      <c r="T66" s="36">
        <f>SUM(T65:T65)</f>
        <v>0</v>
      </c>
      <c r="U66" s="36">
        <f>SUM(U65:U65)</f>
        <v>0</v>
      </c>
      <c r="V66" s="36">
        <f>SUM(V65:V65)</f>
        <v>11.3</v>
      </c>
      <c r="W66" s="36">
        <f>SUM(W65:W65)</f>
        <v>11.3</v>
      </c>
      <c r="X66" s="36">
        <f>SUM(X65:X65)</f>
        <v>11.3</v>
      </c>
      <c r="Y66" s="36">
        <f>SUM(Y65:Y65)</f>
        <v>11.3</v>
      </c>
      <c r="AA66" s="16" t="e">
        <f t="shared" si="68"/>
        <v>#DIV/0!</v>
      </c>
    </row>
    <row r="68" spans="1:27" ht="12.75" customHeight="1">
      <c r="A68" s="86"/>
      <c r="B68" s="84" t="s">
        <v>674</v>
      </c>
      <c r="C68" s="11"/>
      <c r="D68" s="11"/>
      <c r="E68" s="11"/>
      <c r="F68" s="11"/>
      <c r="G68" s="11"/>
      <c r="H68" s="11"/>
      <c r="I68" s="11"/>
      <c r="J68" s="11"/>
      <c r="K68" s="11"/>
      <c r="L68" s="11"/>
      <c r="M68" s="11"/>
      <c r="N68" s="5"/>
      <c r="O68" s="12"/>
      <c r="P68" s="12"/>
      <c r="Q68" s="12"/>
      <c r="R68" s="12"/>
      <c r="S68" s="12"/>
      <c r="T68" s="12"/>
      <c r="U68" s="12"/>
      <c r="V68" s="12"/>
      <c r="W68" s="12"/>
      <c r="X68" s="12"/>
      <c r="AA68" s="13"/>
    </row>
    <row r="69" spans="1:27" ht="12.75" customHeight="1">
      <c r="B69" s="10" t="s">
        <v>674</v>
      </c>
      <c r="C69" s="589"/>
      <c r="D69" s="533">
        <v>1.1499999999999999</v>
      </c>
      <c r="E69" s="533"/>
      <c r="F69" s="87">
        <v>114</v>
      </c>
      <c r="G69" s="87"/>
      <c r="H69" s="87"/>
      <c r="I69" s="87"/>
      <c r="J69" s="468">
        <f>SUM(E69-SUM(G69:I69))</f>
        <v>0</v>
      </c>
      <c r="K69" s="87"/>
      <c r="L69" s="87"/>
      <c r="M69" s="87"/>
      <c r="N69" s="12"/>
      <c r="O69" s="12" t="e">
        <f>SUM(#REF!)</f>
        <v>#REF!</v>
      </c>
      <c r="P69" s="12" t="e">
        <f>SUM(#REF!)</f>
        <v>#REF!</v>
      </c>
      <c r="Q69" s="12" t="e">
        <f>SUM(#REF!)</f>
        <v>#REF!</v>
      </c>
      <c r="R69" s="12" t="e">
        <f>SUM(#REF!)</f>
        <v>#REF!</v>
      </c>
      <c r="S69" s="12">
        <f>SUM(G69:G69)</f>
        <v>0</v>
      </c>
      <c r="T69" s="12">
        <f>SUM(G69:H69)</f>
        <v>0</v>
      </c>
      <c r="U69" s="12">
        <f>SUM(G69:I69)</f>
        <v>0</v>
      </c>
      <c r="V69" s="12">
        <f t="shared" ref="V69" si="69">SUM(G69:J69)</f>
        <v>0</v>
      </c>
      <c r="W69" s="12">
        <f t="shared" ref="W69" si="70">SUM(H69:K69)</f>
        <v>0</v>
      </c>
      <c r="X69" s="12">
        <f t="shared" ref="X69" si="71">SUM(I69:L69)</f>
        <v>0</v>
      </c>
      <c r="Y69" s="12">
        <f t="shared" ref="Y69" si="72">SUM(J69:M69)</f>
        <v>0</v>
      </c>
      <c r="AA69" s="13" t="e">
        <f t="shared" ref="AA69:AA70" si="73">SUM(Y69/U69)-1</f>
        <v>#DIV/0!</v>
      </c>
    </row>
    <row r="70" spans="1:27" ht="12.75" customHeight="1">
      <c r="B70" s="14" t="s">
        <v>660</v>
      </c>
      <c r="C70" s="590">
        <f>SUM(C69:C69)</f>
        <v>0</v>
      </c>
      <c r="D70" s="591">
        <f>SUM(D69:D69)</f>
        <v>1.1499999999999999</v>
      </c>
      <c r="E70" s="591">
        <f>SUM(E69:E69)</f>
        <v>0</v>
      </c>
      <c r="F70" s="12"/>
      <c r="G70" s="36">
        <f>SUM(G69:G69)</f>
        <v>0</v>
      </c>
      <c r="H70" s="36">
        <f>SUM(H69:H69)</f>
        <v>0</v>
      </c>
      <c r="I70" s="36">
        <f>SUM(I69:I69)</f>
        <v>0</v>
      </c>
      <c r="J70" s="36">
        <f>SUM(J69:J69)</f>
        <v>0</v>
      </c>
      <c r="K70" s="36">
        <f>SUM(K69:K69)</f>
        <v>0</v>
      </c>
      <c r="L70" s="36">
        <f>SUM(L69:L69)</f>
        <v>0</v>
      </c>
      <c r="M70" s="36">
        <f>SUM(M69:M69)</f>
        <v>0</v>
      </c>
      <c r="N70" s="5"/>
      <c r="O70" s="36" t="e">
        <f>SUM(O69:O69)</f>
        <v>#REF!</v>
      </c>
      <c r="P70" s="36" t="e">
        <f>SUM(P69:P69)</f>
        <v>#REF!</v>
      </c>
      <c r="Q70" s="36" t="e">
        <f>SUM(Q69:Q69)</f>
        <v>#REF!</v>
      </c>
      <c r="R70" s="36" t="e">
        <f>SUM(R69:R69)</f>
        <v>#REF!</v>
      </c>
      <c r="S70" s="36">
        <f>SUM(S69:S69)</f>
        <v>0</v>
      </c>
      <c r="T70" s="36">
        <f>SUM(T69:T69)</f>
        <v>0</v>
      </c>
      <c r="U70" s="36">
        <f>SUM(U69:U69)</f>
        <v>0</v>
      </c>
      <c r="V70" s="36">
        <f>SUM(V69:V69)</f>
        <v>0</v>
      </c>
      <c r="W70" s="36">
        <f>SUM(W69:W69)</f>
        <v>0</v>
      </c>
      <c r="X70" s="36">
        <f>SUM(X69:X69)</f>
        <v>0</v>
      </c>
      <c r="Y70" s="36">
        <f>SUM(Y69:Y69)</f>
        <v>0</v>
      </c>
      <c r="AA70" s="16" t="e">
        <f t="shared" si="73"/>
        <v>#DIV/0!</v>
      </c>
    </row>
  </sheetData>
  <mergeCells count="1">
    <mergeCell ref="AA2:AA4"/>
  </mergeCells>
  <dataValidations disablePrompts="1" count="1">
    <dataValidation type="list" allowBlank="1" showInputMessage="1" showErrorMessage="1" sqref="B4" xr:uid="{62176FD9-E514-4BEC-85E1-6C6963572068}">
      <formula1>"$ bns except per share, $ mm except per share,$ in thousands except per share"</formula1>
    </dataValidation>
  </dataValidations>
  <pageMargins left="0.7" right="0.7" top="0.75" bottom="0.75" header="0.3" footer="0.3"/>
  <ignoredErrors>
    <ignoredError sqref="U39:Y39 C48:E48"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EFF2A-68F6-4EDE-BC4E-69E9CE992E67}">
  <dimension ref="A2:AF90"/>
  <sheetViews>
    <sheetView showGridLines="0" zoomScale="145" zoomScaleNormal="145" workbookViewId="0">
      <selection activeCell="B2" sqref="B2"/>
    </sheetView>
  </sheetViews>
  <sheetFormatPr defaultRowHeight="14.25" outlineLevelCol="1"/>
  <cols>
    <col min="1" max="1" width="1.5" style="8" customWidth="1"/>
    <col min="2" max="2" width="25.125" style="8" bestFit="1" customWidth="1"/>
    <col min="3" max="5" width="8.625" style="8" bestFit="1" customWidth="1"/>
    <col min="6" max="6" width="1.5" style="8" customWidth="1"/>
    <col min="7" max="7" width="8.5" style="8" customWidth="1"/>
    <col min="8" max="8" width="8.25" style="8" bestFit="1" customWidth="1"/>
    <col min="9" max="9" width="8.5" style="8" bestFit="1" customWidth="1"/>
    <col min="10" max="13" width="9.125" style="8" bestFit="1" customWidth="1"/>
    <col min="14" max="14" width="1.5" style="8" customWidth="1"/>
    <col min="15" max="20" width="8.75" style="8" hidden="1" customWidth="1" outlineLevel="1"/>
    <col min="21" max="21" width="8.75" style="8" bestFit="1" customWidth="1" collapsed="1"/>
    <col min="22" max="24" width="8.75" style="8" hidden="1" customWidth="1" outlineLevel="1"/>
    <col min="25" max="25" width="8.75" style="8" bestFit="1" customWidth="1" collapsed="1"/>
    <col min="26" max="26" width="1.5" style="8" customWidth="1"/>
    <col min="27" max="27" width="9.875" style="8" bestFit="1" customWidth="1"/>
    <col min="28" max="16384" width="9" style="8"/>
  </cols>
  <sheetData>
    <row r="2" spans="1:27" s="5" customFormat="1" ht="12.75" customHeight="1">
      <c r="B2" s="1" t="str">
        <f>'Historical Financials'!B2</f>
        <v>Klarna Group plc (KLAR)</v>
      </c>
      <c r="C2" s="2" t="s">
        <v>0</v>
      </c>
      <c r="D2" s="2"/>
      <c r="E2" s="2"/>
      <c r="F2" s="3"/>
      <c r="G2" s="2" t="s">
        <v>1</v>
      </c>
      <c r="H2" s="2" t="s">
        <v>1</v>
      </c>
      <c r="I2" s="2"/>
      <c r="J2" s="2"/>
      <c r="K2" s="2"/>
      <c r="L2" s="2"/>
      <c r="M2" s="2"/>
      <c r="N2" s="3"/>
      <c r="O2" s="2" t="s">
        <v>6</v>
      </c>
      <c r="P2" s="2"/>
      <c r="Q2" s="2"/>
      <c r="R2" s="2"/>
      <c r="S2" s="2" t="s">
        <v>6</v>
      </c>
      <c r="T2" s="2"/>
      <c r="U2" s="2" t="s">
        <v>6</v>
      </c>
      <c r="V2" s="2"/>
      <c r="W2" s="2"/>
      <c r="X2" s="2"/>
      <c r="Y2" s="2"/>
      <c r="Z2" s="3"/>
      <c r="AA2" s="574" t="s">
        <v>32</v>
      </c>
    </row>
    <row r="3" spans="1:27" s="5" customFormat="1" ht="12.75" customHeight="1">
      <c r="B3" s="6" t="s">
        <v>656</v>
      </c>
      <c r="C3" s="7">
        <f>'Historical Financials'!C7</f>
        <v>2022</v>
      </c>
      <c r="D3" s="7">
        <f>'Historical Financials'!D7</f>
        <v>2023</v>
      </c>
      <c r="E3" s="7">
        <f>'Historical Financials'!E7</f>
        <v>2024</v>
      </c>
      <c r="F3" s="3"/>
      <c r="G3" s="7" t="str">
        <f>'Historical Financials'!G7</f>
        <v>1Q24</v>
      </c>
      <c r="H3" s="7" t="str">
        <f>'Historical Financials'!H7</f>
        <v>2Q24</v>
      </c>
      <c r="I3" s="7" t="str">
        <f>'Historical Financials'!I7</f>
        <v>3Q24</v>
      </c>
      <c r="J3" s="7" t="str">
        <f>'Historical Financials'!J7</f>
        <v>4Q24</v>
      </c>
      <c r="K3" s="7" t="str">
        <f>'Historical Financials'!K7</f>
        <v>1Q25</v>
      </c>
      <c r="L3" s="7" t="str">
        <f>'Historical Financials'!L7</f>
        <v>2Q25</v>
      </c>
      <c r="M3" s="7" t="str">
        <f>'Historical Financials'!M7</f>
        <v>3Q25</v>
      </c>
      <c r="N3" s="4"/>
      <c r="O3" s="4" t="e">
        <f>#REF!</f>
        <v>#REF!</v>
      </c>
      <c r="P3" s="4" t="e">
        <f>#REF!</f>
        <v>#REF!</v>
      </c>
      <c r="Q3" s="4" t="e">
        <f>#REF!</f>
        <v>#REF!</v>
      </c>
      <c r="R3" s="4" t="e">
        <f>#REF!</f>
        <v>#REF!</v>
      </c>
      <c r="S3" s="4" t="str">
        <f t="shared" ref="S3:X4" si="0">G3</f>
        <v>1Q24</v>
      </c>
      <c r="T3" s="4" t="str">
        <f t="shared" si="0"/>
        <v>2Q24</v>
      </c>
      <c r="U3" s="4" t="str">
        <f t="shared" si="0"/>
        <v>3Q24</v>
      </c>
      <c r="V3" s="4" t="str">
        <f t="shared" si="0"/>
        <v>4Q24</v>
      </c>
      <c r="W3" s="4" t="str">
        <f t="shared" si="0"/>
        <v>1Q25</v>
      </c>
      <c r="X3" s="4" t="str">
        <f t="shared" si="0"/>
        <v>2Q25</v>
      </c>
      <c r="Y3" s="4" t="str">
        <f>M3</f>
        <v>3Q25</v>
      </c>
      <c r="Z3" s="3"/>
      <c r="AA3" s="574"/>
    </row>
    <row r="4" spans="1:27" s="5" customFormat="1" ht="12.75" customHeight="1">
      <c r="B4" s="6" t="s">
        <v>398</v>
      </c>
      <c r="C4" s="3">
        <f>'Historical Financials'!C8</f>
        <v>44926</v>
      </c>
      <c r="D4" s="3">
        <f>'Historical Financials'!D8</f>
        <v>45291</v>
      </c>
      <c r="E4" s="3">
        <f>'Historical Financials'!E8</f>
        <v>45657</v>
      </c>
      <c r="F4" s="3"/>
      <c r="G4" s="3">
        <f>'Historical Financials'!G8</f>
        <v>45382</v>
      </c>
      <c r="H4" s="3">
        <f>'Historical Financials'!H8</f>
        <v>45473</v>
      </c>
      <c r="I4" s="3">
        <f>'Historical Financials'!I8</f>
        <v>45565</v>
      </c>
      <c r="J4" s="3">
        <f>'Historical Financials'!J8</f>
        <v>45657</v>
      </c>
      <c r="K4" s="3">
        <f>'Historical Financials'!K8</f>
        <v>45747</v>
      </c>
      <c r="L4" s="3">
        <f>'Historical Financials'!L8</f>
        <v>45838</v>
      </c>
      <c r="M4" s="3">
        <f>'Historical Financials'!M8</f>
        <v>45930</v>
      </c>
      <c r="N4" s="3"/>
      <c r="O4" s="3" t="e">
        <f>#REF!</f>
        <v>#REF!</v>
      </c>
      <c r="P4" s="3" t="e">
        <f>#REF!</f>
        <v>#REF!</v>
      </c>
      <c r="Q4" s="3" t="e">
        <f>#REF!</f>
        <v>#REF!</v>
      </c>
      <c r="R4" s="3" t="e">
        <f>#REF!</f>
        <v>#REF!</v>
      </c>
      <c r="S4" s="3">
        <f t="shared" si="0"/>
        <v>45382</v>
      </c>
      <c r="T4" s="3">
        <f t="shared" si="0"/>
        <v>45473</v>
      </c>
      <c r="U4" s="3">
        <f t="shared" si="0"/>
        <v>45565</v>
      </c>
      <c r="V4" s="3">
        <f t="shared" si="0"/>
        <v>45657</v>
      </c>
      <c r="W4" s="3">
        <f t="shared" si="0"/>
        <v>45747</v>
      </c>
      <c r="X4" s="3">
        <f t="shared" si="0"/>
        <v>45838</v>
      </c>
      <c r="Y4" s="3">
        <f>M4</f>
        <v>45930</v>
      </c>
      <c r="Z4" s="3"/>
      <c r="AA4" s="574"/>
    </row>
    <row r="5" spans="1:27" ht="5.0999999999999996" customHeight="1"/>
    <row r="6" spans="1:27" ht="12">
      <c r="A6" s="38" t="s">
        <v>19</v>
      </c>
      <c r="B6" s="1" t="s">
        <v>576</v>
      </c>
      <c r="C6" s="1"/>
      <c r="D6" s="1"/>
      <c r="E6" s="1"/>
      <c r="F6" s="1"/>
      <c r="G6" s="1"/>
      <c r="H6" s="1"/>
      <c r="I6" s="1"/>
      <c r="J6" s="1"/>
      <c r="K6" s="1"/>
      <c r="L6" s="1"/>
      <c r="M6" s="1"/>
      <c r="N6" s="1"/>
      <c r="O6" s="1"/>
      <c r="P6" s="1"/>
      <c r="Q6" s="1"/>
      <c r="R6" s="1"/>
      <c r="S6" s="1"/>
      <c r="T6" s="1"/>
      <c r="U6" s="1"/>
      <c r="V6" s="1"/>
      <c r="W6" s="1"/>
      <c r="X6" s="1"/>
      <c r="Y6" s="1"/>
      <c r="Z6" s="1"/>
      <c r="AA6" s="1"/>
    </row>
    <row r="7" spans="1:27" ht="5.0999999999999996" customHeight="1"/>
    <row r="8" spans="1:27" ht="12.75" customHeight="1">
      <c r="A8" s="86"/>
      <c r="B8" s="84" t="s">
        <v>657</v>
      </c>
      <c r="C8" s="11"/>
      <c r="D8" s="11"/>
      <c r="E8" s="11"/>
      <c r="F8" s="11"/>
      <c r="G8" s="11"/>
      <c r="H8" s="11"/>
      <c r="I8" s="11"/>
      <c r="J8" s="468"/>
      <c r="K8" s="11"/>
      <c r="L8" s="11"/>
      <c r="M8" s="11"/>
      <c r="N8" s="5"/>
      <c r="O8" s="12"/>
      <c r="P8" s="12"/>
      <c r="Q8" s="12"/>
      <c r="R8" s="12"/>
      <c r="S8" s="12"/>
      <c r="T8" s="12"/>
      <c r="U8" s="12"/>
      <c r="V8" s="12"/>
      <c r="W8" s="12"/>
      <c r="X8" s="12"/>
      <c r="AA8" s="13"/>
    </row>
    <row r="9" spans="1:27" ht="12.75" customHeight="1">
      <c r="B9" s="10" t="s">
        <v>623</v>
      </c>
      <c r="C9" s="87">
        <v>-520</v>
      </c>
      <c r="D9" s="87">
        <v>-541</v>
      </c>
      <c r="E9" s="87">
        <v>-596</v>
      </c>
      <c r="F9" s="87"/>
      <c r="G9" s="87"/>
      <c r="H9" s="87"/>
      <c r="I9" s="87"/>
      <c r="J9" s="468">
        <f t="shared" ref="J9:J11" si="1">SUM(E9-SUM(G9:I9))</f>
        <v>-596</v>
      </c>
      <c r="K9" s="87"/>
      <c r="L9" s="87"/>
      <c r="M9" s="87"/>
      <c r="N9" s="12"/>
      <c r="O9" s="12" t="e">
        <f>SUM(#REF!)</f>
        <v>#REF!</v>
      </c>
      <c r="P9" s="12" t="e">
        <f>SUM(#REF!)</f>
        <v>#REF!</v>
      </c>
      <c r="Q9" s="12" t="e">
        <f>SUM(#REF!)</f>
        <v>#REF!</v>
      </c>
      <c r="R9" s="12" t="e">
        <f>SUM(#REF!)</f>
        <v>#REF!</v>
      </c>
      <c r="S9" s="12">
        <f>SUM(G9:G9)</f>
        <v>0</v>
      </c>
      <c r="T9" s="12">
        <f>SUM(G9:H9)</f>
        <v>0</v>
      </c>
      <c r="U9" s="468">
        <f>SUM(G9:I9)</f>
        <v>0</v>
      </c>
      <c r="V9" s="468">
        <f t="shared" ref="V9:Y11" si="2">SUM(G9:J9)</f>
        <v>-596</v>
      </c>
      <c r="W9" s="468">
        <f t="shared" si="2"/>
        <v>-596</v>
      </c>
      <c r="X9" s="468">
        <f t="shared" si="2"/>
        <v>-596</v>
      </c>
      <c r="Y9" s="468">
        <f t="shared" si="2"/>
        <v>-596</v>
      </c>
      <c r="AA9" s="13" t="e">
        <f>SUM(Y9/U9)-1</f>
        <v>#DIV/0!</v>
      </c>
    </row>
    <row r="10" spans="1:27" ht="12.75" customHeight="1">
      <c r="B10" s="10" t="s">
        <v>624</v>
      </c>
      <c r="C10" s="87">
        <v>-550</v>
      </c>
      <c r="D10" s="87">
        <v>-353</v>
      </c>
      <c r="E10" s="87">
        <v>-495</v>
      </c>
      <c r="F10" s="87"/>
      <c r="G10" s="87"/>
      <c r="H10" s="87"/>
      <c r="I10" s="87"/>
      <c r="J10" s="468"/>
      <c r="K10" s="87"/>
      <c r="L10" s="87"/>
      <c r="M10" s="87"/>
      <c r="N10" s="12"/>
      <c r="O10" s="12"/>
      <c r="P10" s="12"/>
      <c r="Q10" s="12"/>
      <c r="R10" s="12"/>
      <c r="S10" s="12"/>
      <c r="T10" s="12"/>
      <c r="U10" s="468"/>
      <c r="V10" s="468"/>
      <c r="W10" s="468"/>
      <c r="X10" s="468"/>
      <c r="Y10" s="468"/>
      <c r="AA10" s="13"/>
    </row>
    <row r="11" spans="1:27" ht="12.75" customHeight="1">
      <c r="B11" s="10" t="s">
        <v>625</v>
      </c>
      <c r="C11" s="87">
        <v>-147</v>
      </c>
      <c r="D11" s="87">
        <v>-297</v>
      </c>
      <c r="E11" s="87">
        <v>-503</v>
      </c>
      <c r="F11" s="87"/>
      <c r="G11" s="87"/>
      <c r="H11" s="87"/>
      <c r="I11" s="87"/>
      <c r="J11" s="468">
        <f t="shared" si="1"/>
        <v>-503</v>
      </c>
      <c r="K11" s="87"/>
      <c r="L11" s="87"/>
      <c r="M11" s="87"/>
      <c r="N11" s="12"/>
      <c r="O11" s="12"/>
      <c r="P11" s="12"/>
      <c r="Q11" s="12"/>
      <c r="R11" s="12"/>
      <c r="S11" s="12"/>
      <c r="T11" s="12"/>
      <c r="U11" s="468">
        <f>SUM(G11:I11)</f>
        <v>0</v>
      </c>
      <c r="V11" s="468">
        <f t="shared" si="2"/>
        <v>-503</v>
      </c>
      <c r="W11" s="468">
        <f t="shared" si="2"/>
        <v>-503</v>
      </c>
      <c r="X11" s="468">
        <f t="shared" si="2"/>
        <v>-503</v>
      </c>
      <c r="Y11" s="468">
        <f t="shared" si="2"/>
        <v>-503</v>
      </c>
      <c r="AA11" s="13" t="e">
        <f>SUM(Y11/U11)-1</f>
        <v>#DIV/0!</v>
      </c>
    </row>
    <row r="12" spans="1:27" ht="12.75" customHeight="1">
      <c r="B12" s="14" t="s">
        <v>658</v>
      </c>
      <c r="C12" s="36">
        <f>SUM(C9:C11)</f>
        <v>-1217</v>
      </c>
      <c r="D12" s="36">
        <f t="shared" ref="D12:E12" si="3">SUM(D9:D11)</f>
        <v>-1191</v>
      </c>
      <c r="E12" s="36">
        <f t="shared" si="3"/>
        <v>-1594</v>
      </c>
      <c r="F12" s="12"/>
      <c r="G12" s="36">
        <f>SUM(G9:G11)</f>
        <v>0</v>
      </c>
      <c r="H12" s="36">
        <f>SUM(H9:H11)</f>
        <v>0</v>
      </c>
      <c r="I12" s="36">
        <f>SUM(I9:I11)</f>
        <v>0</v>
      </c>
      <c r="J12" s="36">
        <f>SUM(J9:J11)</f>
        <v>-1099</v>
      </c>
      <c r="K12" s="36">
        <f>SUM(K9:K11)</f>
        <v>0</v>
      </c>
      <c r="L12" s="36">
        <f>SUM(L9:L11)</f>
        <v>0</v>
      </c>
      <c r="M12" s="36">
        <f>SUM(M9:M11)</f>
        <v>0</v>
      </c>
      <c r="N12" s="5"/>
      <c r="O12" s="36" t="e">
        <f>SUM(O9:O11)</f>
        <v>#REF!</v>
      </c>
      <c r="P12" s="36" t="e">
        <f>SUM(P9:P11)</f>
        <v>#REF!</v>
      </c>
      <c r="Q12" s="36" t="e">
        <f>SUM(Q9:Q11)</f>
        <v>#REF!</v>
      </c>
      <c r="R12" s="36" t="e">
        <f>SUM(R9:R11)</f>
        <v>#REF!</v>
      </c>
      <c r="S12" s="36">
        <f>SUM(S9:S11)</f>
        <v>0</v>
      </c>
      <c r="T12" s="36">
        <f>SUM(T9:T11)</f>
        <v>0</v>
      </c>
      <c r="U12" s="36">
        <f>SUM(U9:U11)</f>
        <v>0</v>
      </c>
      <c r="V12" s="36">
        <f>SUM(V9:V11)</f>
        <v>-1099</v>
      </c>
      <c r="W12" s="36">
        <f>SUM(W9:W11)</f>
        <v>-1099</v>
      </c>
      <c r="X12" s="36">
        <f>SUM(X9:X11)</f>
        <v>-1099</v>
      </c>
      <c r="Y12" s="36">
        <f>SUM(Y9:Y11)</f>
        <v>-1099</v>
      </c>
      <c r="AA12" s="16" t="e">
        <f>SUM(Y12/U12)-1</f>
        <v>#DIV/0!</v>
      </c>
    </row>
    <row r="13" spans="1:27" ht="12">
      <c r="B13" s="480" t="s">
        <v>502</v>
      </c>
      <c r="C13" s="85" t="e">
        <f>C12-'Historical Financials'!#REF!</f>
        <v>#REF!</v>
      </c>
      <c r="D13" s="85">
        <f>+D12-'Historical Financials'!D11</f>
        <v>-3467</v>
      </c>
      <c r="E13" s="85">
        <f>+E12-'Historical Financials'!E11</f>
        <v>-4405</v>
      </c>
      <c r="F13" s="12"/>
      <c r="G13" s="85">
        <f>G12-'Historical Financials'!G11</f>
        <v>0</v>
      </c>
      <c r="H13" s="85">
        <f>H12-'Historical Financials'!H11</f>
        <v>0</v>
      </c>
      <c r="I13" s="85">
        <f>I12-'Historical Financials'!I11</f>
        <v>-706</v>
      </c>
      <c r="J13" s="85">
        <f>J12-'Historical Financials'!J11</f>
        <v>-3204</v>
      </c>
      <c r="K13" s="85">
        <f>K12-'Historical Financials'!K11</f>
        <v>0</v>
      </c>
      <c r="L13" s="85">
        <f>L12-'Historical Financials'!L11</f>
        <v>0</v>
      </c>
      <c r="M13" s="85">
        <f>M12-'Historical Financials'!M11</f>
        <v>-903</v>
      </c>
      <c r="N13" s="85"/>
      <c r="O13" s="85" t="e">
        <f>+O12-'Historical Financials'!X11</f>
        <v>#REF!</v>
      </c>
      <c r="P13" s="85" t="e">
        <f>+P12-'Historical Financials'!Y11</f>
        <v>#REF!</v>
      </c>
      <c r="Q13" s="85" t="e">
        <f>+Q12-'Historical Financials'!Z11</f>
        <v>#REF!</v>
      </c>
      <c r="R13" s="85" t="e">
        <f>+R12-'Historical Financials'!AA11</f>
        <v>#REF!</v>
      </c>
      <c r="S13" s="85">
        <f>+S12-'Historical Financials'!AB11</f>
        <v>0</v>
      </c>
      <c r="T13" s="85">
        <f>+T12-'Historical Financials'!AC11</f>
        <v>0</v>
      </c>
      <c r="U13" s="85">
        <f>+U12-'Historical Financials'!AD11</f>
        <v>-706</v>
      </c>
      <c r="V13" s="85">
        <f>+V12-'Historical Financials'!AE11</f>
        <v>-3910</v>
      </c>
      <c r="W13" s="85">
        <f>+W12-'Historical Financials'!AF11</f>
        <v>-3910</v>
      </c>
      <c r="X13" s="85">
        <f>+X12-'Historical Financials'!AG11</f>
        <v>-3910</v>
      </c>
      <c r="Y13" s="85">
        <f>Y12-'Historical Financials'!AH11</f>
        <v>-4107</v>
      </c>
      <c r="AA13" s="9"/>
    </row>
    <row r="14" spans="1:27" ht="5.0999999999999996" customHeight="1">
      <c r="B14" s="20"/>
      <c r="C14" s="21"/>
      <c r="D14" s="21"/>
      <c r="E14" s="21"/>
      <c r="F14" s="22"/>
      <c r="G14" s="23"/>
      <c r="H14" s="23"/>
      <c r="I14" s="23"/>
      <c r="J14" s="23"/>
      <c r="K14" s="23"/>
      <c r="L14" s="23"/>
      <c r="M14" s="23"/>
      <c r="N14" s="22"/>
      <c r="O14" s="22"/>
      <c r="P14" s="22"/>
      <c r="Q14" s="22"/>
      <c r="R14" s="22"/>
      <c r="S14" s="22"/>
      <c r="T14" s="22"/>
      <c r="U14" s="22"/>
      <c r="V14" s="22"/>
      <c r="W14" s="22"/>
      <c r="X14" s="22"/>
      <c r="Y14" s="22"/>
      <c r="AA14" s="9"/>
    </row>
    <row r="15" spans="1:27" ht="12.75" customHeight="1">
      <c r="A15" s="86"/>
      <c r="B15" s="84" t="s">
        <v>645</v>
      </c>
      <c r="C15" s="24"/>
      <c r="D15" s="24"/>
      <c r="E15" s="24"/>
      <c r="F15" s="11"/>
      <c r="G15" s="11"/>
      <c r="H15" s="11"/>
      <c r="I15" s="11"/>
      <c r="J15" s="468"/>
      <c r="K15" s="11"/>
      <c r="L15" s="11"/>
      <c r="M15" s="11"/>
      <c r="N15" s="5"/>
      <c r="O15" s="12"/>
      <c r="P15" s="12"/>
      <c r="Q15" s="12"/>
      <c r="R15" s="12"/>
      <c r="S15" s="12"/>
      <c r="T15" s="12"/>
      <c r="U15" s="12"/>
      <c r="V15" s="12"/>
      <c r="W15" s="12"/>
      <c r="X15" s="12"/>
      <c r="AA15" s="13"/>
    </row>
    <row r="16" spans="1:27" ht="12.75" customHeight="1">
      <c r="B16" s="10" t="s">
        <v>649</v>
      </c>
      <c r="C16" s="468">
        <f>C$9*C23</f>
        <v>-395.2</v>
      </c>
      <c r="D16" s="468">
        <f t="shared" ref="D16:E16" si="4">D$9*D23</f>
        <v>-411.16</v>
      </c>
      <c r="E16" s="468">
        <f t="shared" si="4"/>
        <v>-447</v>
      </c>
      <c r="F16" s="87"/>
      <c r="G16" s="87"/>
      <c r="H16" s="87"/>
      <c r="I16" s="87"/>
      <c r="J16" s="468">
        <f t="shared" ref="J16:J18" si="5">SUM(E16-SUM(G16:I16))</f>
        <v>-447</v>
      </c>
      <c r="K16" s="87"/>
      <c r="L16" s="87"/>
      <c r="M16" s="87"/>
      <c r="N16" s="12"/>
      <c r="O16" s="12" t="e">
        <f>SUM(#REF!)</f>
        <v>#REF!</v>
      </c>
      <c r="P16" s="12" t="e">
        <f>SUM(#REF!)</f>
        <v>#REF!</v>
      </c>
      <c r="Q16" s="12" t="e">
        <f>SUM(#REF!)</f>
        <v>#REF!</v>
      </c>
      <c r="R16" s="12" t="e">
        <f>SUM(#REF!)</f>
        <v>#REF!</v>
      </c>
      <c r="S16" s="12">
        <f>SUM(G16:G16)</f>
        <v>0</v>
      </c>
      <c r="T16" s="12">
        <f>SUM(G16:H16)</f>
        <v>0</v>
      </c>
      <c r="U16" s="468">
        <f>SUM(G16:I16)</f>
        <v>0</v>
      </c>
      <c r="V16" s="468">
        <f t="shared" ref="V16:Y18" si="6">SUM(G16:J16)</f>
        <v>-447</v>
      </c>
      <c r="W16" s="468">
        <f t="shared" si="6"/>
        <v>-447</v>
      </c>
      <c r="X16" s="468">
        <f t="shared" si="6"/>
        <v>-447</v>
      </c>
      <c r="Y16" s="468">
        <f t="shared" si="6"/>
        <v>-447</v>
      </c>
      <c r="AA16" s="13" t="e">
        <f>SUM(Y16/U16)-1</f>
        <v>#DIV/0!</v>
      </c>
    </row>
    <row r="17" spans="1:27" ht="12.75" customHeight="1">
      <c r="B17" s="10" t="s">
        <v>650</v>
      </c>
      <c r="C17" s="468">
        <f>C$9*C24</f>
        <v>-57.2</v>
      </c>
      <c r="D17" s="468">
        <f>D$9*D24</f>
        <v>-48.69</v>
      </c>
      <c r="E17" s="468">
        <f>E$9*E24</f>
        <v>-47.68</v>
      </c>
      <c r="F17" s="87"/>
      <c r="G17" s="87"/>
      <c r="H17" s="87"/>
      <c r="I17" s="87"/>
      <c r="J17" s="468"/>
      <c r="K17" s="87"/>
      <c r="L17" s="87"/>
      <c r="M17" s="87"/>
      <c r="N17" s="12"/>
      <c r="O17" s="12"/>
      <c r="P17" s="12"/>
      <c r="Q17" s="12"/>
      <c r="R17" s="12"/>
      <c r="S17" s="12"/>
      <c r="T17" s="12"/>
      <c r="U17" s="468"/>
      <c r="V17" s="468"/>
      <c r="W17" s="468"/>
      <c r="X17" s="468"/>
      <c r="Y17" s="468"/>
      <c r="AA17" s="13"/>
    </row>
    <row r="18" spans="1:27" ht="12.75" customHeight="1">
      <c r="B18" s="10" t="s">
        <v>651</v>
      </c>
      <c r="C18" s="468">
        <f>C$9*C25</f>
        <v>-62.4</v>
      </c>
      <c r="D18" s="468">
        <f>D$9*D25</f>
        <v>-70.33</v>
      </c>
      <c r="E18" s="468">
        <f>E$9*E25</f>
        <v>-95.36</v>
      </c>
      <c r="F18" s="87"/>
      <c r="G18" s="87"/>
      <c r="H18" s="87"/>
      <c r="I18" s="87"/>
      <c r="J18" s="468">
        <f t="shared" si="5"/>
        <v>-95.36</v>
      </c>
      <c r="K18" s="87"/>
      <c r="L18" s="87"/>
      <c r="M18" s="87"/>
      <c r="N18" s="12"/>
      <c r="O18" s="12"/>
      <c r="P18" s="12"/>
      <c r="Q18" s="12"/>
      <c r="R18" s="12"/>
      <c r="S18" s="12"/>
      <c r="T18" s="12"/>
      <c r="U18" s="468">
        <f>SUM(G18:I18)</f>
        <v>0</v>
      </c>
      <c r="V18" s="468">
        <f t="shared" si="6"/>
        <v>-95.36</v>
      </c>
      <c r="W18" s="468">
        <f t="shared" si="6"/>
        <v>-95.36</v>
      </c>
      <c r="X18" s="468">
        <f t="shared" si="6"/>
        <v>-95.36</v>
      </c>
      <c r="Y18" s="468">
        <f t="shared" si="6"/>
        <v>-95.36</v>
      </c>
      <c r="AA18" s="13" t="e">
        <f>SUM(Y18/U18)-1</f>
        <v>#DIV/0!</v>
      </c>
    </row>
    <row r="19" spans="1:27" ht="12.75" customHeight="1">
      <c r="B19" s="484" t="s">
        <v>653</v>
      </c>
      <c r="C19" s="468">
        <f>+SUM(C9-SUM(C16:C18))</f>
        <v>-5.2000000000000455</v>
      </c>
      <c r="D19" s="468">
        <f t="shared" ref="D19:E19" si="7">+SUM(D9-SUM(D16:D18))</f>
        <v>-10.819999999999936</v>
      </c>
      <c r="E19" s="468">
        <f t="shared" si="7"/>
        <v>-5.9600000000000364</v>
      </c>
      <c r="F19" s="87"/>
      <c r="G19" s="87"/>
      <c r="H19" s="87"/>
      <c r="I19" s="87"/>
      <c r="J19" s="468"/>
      <c r="K19" s="87"/>
      <c r="L19" s="87"/>
      <c r="M19" s="87"/>
      <c r="N19" s="12"/>
      <c r="O19" s="12"/>
      <c r="P19" s="12"/>
      <c r="Q19" s="12"/>
      <c r="R19" s="12"/>
      <c r="S19" s="12"/>
      <c r="T19" s="12"/>
      <c r="U19" s="468"/>
      <c r="V19" s="468"/>
      <c r="W19" s="468"/>
      <c r="X19" s="468"/>
      <c r="Y19" s="468"/>
      <c r="AA19" s="13"/>
    </row>
    <row r="20" spans="1:27" ht="12.75" customHeight="1">
      <c r="B20" s="14" t="s">
        <v>652</v>
      </c>
      <c r="C20" s="36">
        <f>SUM(C16:C19)</f>
        <v>-520</v>
      </c>
      <c r="D20" s="36">
        <f t="shared" ref="D20:E20" si="8">SUM(D16:D19)</f>
        <v>-541</v>
      </c>
      <c r="E20" s="36">
        <f t="shared" si="8"/>
        <v>-596</v>
      </c>
      <c r="F20" s="12"/>
      <c r="G20" s="36">
        <f>SUM(G16:G18)</f>
        <v>0</v>
      </c>
      <c r="H20" s="36">
        <f>SUM(H16:H18)</f>
        <v>0</v>
      </c>
      <c r="I20" s="36">
        <f>SUM(I16:I18)</f>
        <v>0</v>
      </c>
      <c r="J20" s="36">
        <f>SUM(J16:J18)</f>
        <v>-542.36</v>
      </c>
      <c r="K20" s="36">
        <f>SUM(K16:K18)</f>
        <v>0</v>
      </c>
      <c r="L20" s="36">
        <f>SUM(L16:L18)</f>
        <v>0</v>
      </c>
      <c r="M20" s="36">
        <f>SUM(M16:M18)</f>
        <v>0</v>
      </c>
      <c r="N20" s="5"/>
      <c r="O20" s="36" t="e">
        <f>SUM(O16:O18)</f>
        <v>#REF!</v>
      </c>
      <c r="P20" s="36" t="e">
        <f>SUM(P16:P18)</f>
        <v>#REF!</v>
      </c>
      <c r="Q20" s="36" t="e">
        <f>SUM(Q16:Q18)</f>
        <v>#REF!</v>
      </c>
      <c r="R20" s="36" t="e">
        <f>SUM(R16:R18)</f>
        <v>#REF!</v>
      </c>
      <c r="S20" s="36">
        <f>SUM(S16:S18)</f>
        <v>0</v>
      </c>
      <c r="T20" s="36">
        <f>SUM(T16:T18)</f>
        <v>0</v>
      </c>
      <c r="U20" s="36">
        <f>SUM(U16:U18)</f>
        <v>0</v>
      </c>
      <c r="V20" s="36">
        <f>SUM(V16:V18)</f>
        <v>-542.36</v>
      </c>
      <c r="W20" s="36">
        <f>SUM(W16:W18)</f>
        <v>-542.36</v>
      </c>
      <c r="X20" s="36">
        <f>SUM(X16:X18)</f>
        <v>-542.36</v>
      </c>
      <c r="Y20" s="36">
        <f>SUM(Y16:Y18)</f>
        <v>-542.36</v>
      </c>
      <c r="AA20" s="16" t="e">
        <f>SUM(Y20/U20)-1</f>
        <v>#DIV/0!</v>
      </c>
    </row>
    <row r="21" spans="1:27" ht="12">
      <c r="B21" s="480" t="s">
        <v>502</v>
      </c>
      <c r="C21" s="85">
        <f>+C20-C9</f>
        <v>0</v>
      </c>
      <c r="D21" s="85">
        <f t="shared" ref="D21:E21" si="9">+D20-D9</f>
        <v>0</v>
      </c>
      <c r="E21" s="85">
        <f t="shared" si="9"/>
        <v>0</v>
      </c>
      <c r="F21" s="12"/>
      <c r="G21" s="85" t="e">
        <f>G20-'Historical Financials'!#REF!</f>
        <v>#REF!</v>
      </c>
      <c r="H21" s="85" t="e">
        <f>H20-'Historical Financials'!#REF!</f>
        <v>#REF!</v>
      </c>
      <c r="I21" s="85" t="e">
        <f>I20-'Historical Financials'!#REF!</f>
        <v>#REF!</v>
      </c>
      <c r="J21" s="85" t="e">
        <f>J20-'Historical Financials'!#REF!</f>
        <v>#REF!</v>
      </c>
      <c r="K21" s="85" t="e">
        <f>K20-'Historical Financials'!#REF!</f>
        <v>#REF!</v>
      </c>
      <c r="L21" s="85" t="e">
        <f>L20-'Historical Financials'!#REF!</f>
        <v>#REF!</v>
      </c>
      <c r="M21" s="85" t="e">
        <f>M20-'Historical Financials'!#REF!</f>
        <v>#REF!</v>
      </c>
      <c r="N21" s="85"/>
      <c r="O21" s="85" t="e">
        <f>+O20-'Historical Financials'!#REF!</f>
        <v>#REF!</v>
      </c>
      <c r="P21" s="85" t="e">
        <f>+P20-'Historical Financials'!#REF!</f>
        <v>#REF!</v>
      </c>
      <c r="Q21" s="85" t="e">
        <f>+Q20-'Historical Financials'!#REF!</f>
        <v>#REF!</v>
      </c>
      <c r="R21" s="85" t="e">
        <f>+R20-'Historical Financials'!#REF!</f>
        <v>#REF!</v>
      </c>
      <c r="S21" s="85" t="e">
        <f>+S20-'Historical Financials'!#REF!</f>
        <v>#REF!</v>
      </c>
      <c r="T21" s="85" t="e">
        <f>+T20-'Historical Financials'!#REF!</f>
        <v>#REF!</v>
      </c>
      <c r="U21" s="85" t="e">
        <f>+U20-'Historical Financials'!#REF!</f>
        <v>#REF!</v>
      </c>
      <c r="V21" s="85" t="e">
        <f>+V20-'Historical Financials'!#REF!</f>
        <v>#REF!</v>
      </c>
      <c r="W21" s="85" t="e">
        <f>+W20-'Historical Financials'!#REF!</f>
        <v>#REF!</v>
      </c>
      <c r="X21" s="85" t="e">
        <f>+X20-'Historical Financials'!#REF!</f>
        <v>#REF!</v>
      </c>
      <c r="Y21" s="85" t="e">
        <f>Y20-'Historical Financials'!#REF!</f>
        <v>#REF!</v>
      </c>
      <c r="AA21" s="9"/>
    </row>
    <row r="22" spans="1:27" ht="5.0999999999999996" customHeight="1">
      <c r="B22" s="20"/>
      <c r="C22" s="21"/>
      <c r="D22" s="21"/>
      <c r="E22" s="21"/>
      <c r="F22" s="22"/>
      <c r="G22" s="23"/>
      <c r="H22" s="23"/>
      <c r="I22" s="23"/>
      <c r="J22" s="23"/>
      <c r="K22" s="23"/>
      <c r="L22" s="23"/>
      <c r="M22" s="23"/>
      <c r="N22" s="22"/>
      <c r="O22" s="22"/>
      <c r="P22" s="22"/>
      <c r="Q22" s="22"/>
      <c r="R22" s="22"/>
      <c r="S22" s="22"/>
      <c r="T22" s="22"/>
      <c r="U22" s="22"/>
      <c r="V22" s="22"/>
      <c r="W22" s="22"/>
      <c r="X22" s="22"/>
      <c r="Y22" s="22"/>
      <c r="AA22" s="9"/>
    </row>
    <row r="23" spans="1:27" ht="12">
      <c r="B23" s="585" t="s">
        <v>646</v>
      </c>
      <c r="C23" s="583">
        <v>0.76</v>
      </c>
      <c r="D23" s="583">
        <v>0.76</v>
      </c>
      <c r="E23" s="583">
        <v>0.75</v>
      </c>
      <c r="F23" s="569"/>
      <c r="G23" s="569"/>
      <c r="H23" s="569"/>
      <c r="I23" s="569"/>
      <c r="J23" s="569"/>
      <c r="K23" s="569"/>
      <c r="L23" s="569"/>
      <c r="M23" s="569"/>
      <c r="N23" s="569"/>
      <c r="O23" s="569"/>
      <c r="P23" s="569"/>
      <c r="Q23" s="569"/>
      <c r="R23" s="569"/>
      <c r="S23" s="569"/>
      <c r="T23" s="569"/>
      <c r="U23" s="569"/>
      <c r="V23" s="569"/>
      <c r="W23" s="569"/>
      <c r="X23" s="569"/>
      <c r="Y23" s="584"/>
    </row>
    <row r="24" spans="1:27" ht="12">
      <c r="B24" s="586" t="s">
        <v>647</v>
      </c>
      <c r="C24" s="578">
        <v>0.11</v>
      </c>
      <c r="D24" s="578">
        <v>0.09</v>
      </c>
      <c r="E24" s="578">
        <v>0.08</v>
      </c>
      <c r="F24" s="579"/>
      <c r="G24" s="579"/>
      <c r="H24" s="579"/>
      <c r="I24" s="579"/>
      <c r="J24" s="579"/>
      <c r="K24" s="579"/>
      <c r="L24" s="579"/>
      <c r="M24" s="579"/>
      <c r="N24" s="579"/>
      <c r="O24" s="579"/>
      <c r="P24" s="579"/>
      <c r="Q24" s="579"/>
      <c r="R24" s="579"/>
      <c r="S24" s="579"/>
      <c r="T24" s="579"/>
      <c r="U24" s="579"/>
      <c r="V24" s="579"/>
      <c r="W24" s="579"/>
      <c r="X24" s="579"/>
      <c r="Y24" s="581"/>
    </row>
    <row r="25" spans="1:27" ht="12">
      <c r="B25" s="587" t="s">
        <v>648</v>
      </c>
      <c r="C25" s="580">
        <v>0.12</v>
      </c>
      <c r="D25" s="580">
        <v>0.13</v>
      </c>
      <c r="E25" s="580">
        <v>0.16</v>
      </c>
      <c r="F25" s="567"/>
      <c r="G25" s="567"/>
      <c r="H25" s="567"/>
      <c r="I25" s="567"/>
      <c r="J25" s="567"/>
      <c r="K25" s="567"/>
      <c r="L25" s="567"/>
      <c r="M25" s="567"/>
      <c r="N25" s="567"/>
      <c r="O25" s="567"/>
      <c r="P25" s="567"/>
      <c r="Q25" s="567"/>
      <c r="R25" s="567"/>
      <c r="S25" s="567"/>
      <c r="T25" s="567"/>
      <c r="U25" s="567"/>
      <c r="V25" s="567"/>
      <c r="W25" s="567"/>
      <c r="X25" s="567"/>
      <c r="Y25" s="582"/>
    </row>
    <row r="26" spans="1:27" ht="12">
      <c r="B26" s="20"/>
      <c r="C26" s="21"/>
      <c r="D26" s="21"/>
      <c r="E26" s="21"/>
      <c r="F26" s="22"/>
      <c r="G26" s="23"/>
      <c r="H26" s="23"/>
      <c r="I26" s="23"/>
      <c r="J26" s="23"/>
      <c r="K26" s="23"/>
      <c r="L26" s="23"/>
      <c r="M26" s="23"/>
      <c r="N26" s="22"/>
      <c r="O26" s="22"/>
      <c r="P26" s="22"/>
      <c r="Q26" s="22"/>
      <c r="R26" s="22"/>
      <c r="S26" s="22"/>
      <c r="T26" s="22"/>
      <c r="U26" s="22"/>
      <c r="V26" s="22"/>
      <c r="W26" s="22"/>
      <c r="X26" s="22"/>
      <c r="Y26" s="22"/>
      <c r="AA26" s="9"/>
    </row>
    <row r="27" spans="1:27" ht="12.75" customHeight="1">
      <c r="A27" s="86"/>
      <c r="B27" s="84" t="s">
        <v>651</v>
      </c>
      <c r="C27" s="24"/>
      <c r="D27" s="24"/>
      <c r="E27" s="24"/>
      <c r="F27" s="11"/>
      <c r="G27" s="11"/>
      <c r="H27" s="11"/>
      <c r="I27" s="11"/>
      <c r="J27" s="468"/>
      <c r="K27" s="11"/>
      <c r="L27" s="11"/>
      <c r="M27" s="11"/>
      <c r="N27" s="5"/>
      <c r="O27" s="12"/>
      <c r="P27" s="12"/>
      <c r="Q27" s="12"/>
      <c r="R27" s="12"/>
      <c r="S27" s="12"/>
      <c r="T27" s="12"/>
      <c r="U27" s="12"/>
      <c r="V27" s="12"/>
      <c r="W27" s="12"/>
      <c r="X27" s="12"/>
      <c r="AA27" s="13"/>
    </row>
    <row r="28" spans="1:27" ht="12.75" customHeight="1">
      <c r="B28" s="10" t="s">
        <v>654</v>
      </c>
      <c r="C28" s="468">
        <f>C$18*C33</f>
        <v>-58.655999999999999</v>
      </c>
      <c r="D28" s="468">
        <f t="shared" ref="D28:E29" si="10">D$18*D33</f>
        <v>-58.373899999999999</v>
      </c>
      <c r="E28" s="468">
        <f t="shared" si="10"/>
        <v>-70.566400000000002</v>
      </c>
      <c r="F28" s="87"/>
      <c r="G28" s="87"/>
      <c r="H28" s="87"/>
      <c r="I28" s="87"/>
      <c r="J28" s="468">
        <f t="shared" ref="J28" si="11">SUM(E28-SUM(G28:I28))</f>
        <v>-70.566400000000002</v>
      </c>
      <c r="K28" s="87"/>
      <c r="L28" s="87"/>
      <c r="M28" s="87"/>
      <c r="N28" s="12"/>
      <c r="O28" s="12"/>
      <c r="P28" s="12"/>
      <c r="Q28" s="12"/>
      <c r="R28" s="12"/>
      <c r="S28" s="12"/>
      <c r="T28" s="12"/>
      <c r="U28" s="468">
        <f>SUM(G28:I28)</f>
        <v>0</v>
      </c>
      <c r="V28" s="468">
        <f t="shared" ref="V28:Y28" si="12">SUM(G28:J28)</f>
        <v>-70.566400000000002</v>
      </c>
      <c r="W28" s="468">
        <f t="shared" si="12"/>
        <v>-70.566400000000002</v>
      </c>
      <c r="X28" s="468">
        <f t="shared" si="12"/>
        <v>-70.566400000000002</v>
      </c>
      <c r="Y28" s="468">
        <f t="shared" si="12"/>
        <v>-70.566400000000002</v>
      </c>
      <c r="AA28" s="13" t="e">
        <f>SUM(Y28/U28)-1</f>
        <v>#DIV/0!</v>
      </c>
    </row>
    <row r="29" spans="1:27" ht="12.75" customHeight="1">
      <c r="B29" s="10" t="s">
        <v>655</v>
      </c>
      <c r="C29" s="468">
        <f>C$18*C34</f>
        <v>-3.7440000000000033</v>
      </c>
      <c r="D29" s="468">
        <f t="shared" si="10"/>
        <v>-11.956100000000003</v>
      </c>
      <c r="E29" s="468">
        <f t="shared" si="10"/>
        <v>-24.793600000000001</v>
      </c>
      <c r="F29" s="87"/>
      <c r="G29" s="87"/>
      <c r="H29" s="87"/>
      <c r="I29" s="87"/>
      <c r="J29" s="468"/>
      <c r="K29" s="87"/>
      <c r="L29" s="87"/>
      <c r="M29" s="87"/>
      <c r="N29" s="12"/>
      <c r="O29" s="12"/>
      <c r="P29" s="12"/>
      <c r="Q29" s="12"/>
      <c r="R29" s="12"/>
      <c r="S29" s="12"/>
      <c r="T29" s="12"/>
      <c r="U29" s="468"/>
      <c r="V29" s="468"/>
      <c r="W29" s="468"/>
      <c r="X29" s="468"/>
      <c r="Y29" s="468"/>
      <c r="AA29" s="13"/>
    </row>
    <row r="30" spans="1:27" ht="12.75" customHeight="1">
      <c r="B30" s="14" t="s">
        <v>652</v>
      </c>
      <c r="C30" s="36">
        <f>SUM(C28:C29)</f>
        <v>-62.400000000000006</v>
      </c>
      <c r="D30" s="36">
        <f>SUM(D28:D29)</f>
        <v>-70.33</v>
      </c>
      <c r="E30" s="36">
        <f>SUM(E28:E29)</f>
        <v>-95.36</v>
      </c>
      <c r="F30" s="12"/>
      <c r="G30" s="36">
        <f>SUM(G28:G28)</f>
        <v>0</v>
      </c>
      <c r="H30" s="36">
        <f>SUM(H28:H28)</f>
        <v>0</v>
      </c>
      <c r="I30" s="36">
        <f>SUM(I28:I28)</f>
        <v>0</v>
      </c>
      <c r="J30" s="36">
        <f>SUM(J28:J28)</f>
        <v>-70.566400000000002</v>
      </c>
      <c r="K30" s="36">
        <f>SUM(K28:K28)</f>
        <v>0</v>
      </c>
      <c r="L30" s="36">
        <f>SUM(L28:L28)</f>
        <v>0</v>
      </c>
      <c r="M30" s="36">
        <f>SUM(M28:M28)</f>
        <v>0</v>
      </c>
      <c r="N30" s="5"/>
      <c r="O30" s="36">
        <f>SUM(O28:O28)</f>
        <v>0</v>
      </c>
      <c r="P30" s="36">
        <f>SUM(P28:P28)</f>
        <v>0</v>
      </c>
      <c r="Q30" s="36">
        <f>SUM(Q28:Q28)</f>
        <v>0</v>
      </c>
      <c r="R30" s="36">
        <f>SUM(R28:R28)</f>
        <v>0</v>
      </c>
      <c r="S30" s="36">
        <f>SUM(S28:S28)</f>
        <v>0</v>
      </c>
      <c r="T30" s="36">
        <f>SUM(T28:T28)</f>
        <v>0</v>
      </c>
      <c r="U30" s="36">
        <f>SUM(U28:U28)</f>
        <v>0</v>
      </c>
      <c r="V30" s="36">
        <f>SUM(V28:V28)</f>
        <v>-70.566400000000002</v>
      </c>
      <c r="W30" s="36">
        <f>SUM(W28:W28)</f>
        <v>-70.566400000000002</v>
      </c>
      <c r="X30" s="36">
        <f>SUM(X28:X28)</f>
        <v>-70.566400000000002</v>
      </c>
      <c r="Y30" s="36">
        <f>SUM(Y28:Y28)</f>
        <v>-70.566400000000002</v>
      </c>
      <c r="AA30" s="16" t="e">
        <f>SUM(Y30/U30)-1</f>
        <v>#DIV/0!</v>
      </c>
    </row>
    <row r="31" spans="1:27" ht="12">
      <c r="B31" s="480" t="s">
        <v>502</v>
      </c>
      <c r="C31" s="85">
        <f t="shared" ref="C31:D31" si="13">C30-C18</f>
        <v>0</v>
      </c>
      <c r="D31" s="85">
        <f t="shared" si="13"/>
        <v>0</v>
      </c>
      <c r="E31" s="85">
        <f>E30-E18</f>
        <v>0</v>
      </c>
      <c r="F31" s="12"/>
      <c r="G31" s="85">
        <f>G30-'Historical Financials'!G28</f>
        <v>0</v>
      </c>
      <c r="H31" s="85">
        <f>H30-'Historical Financials'!H28</f>
        <v>0</v>
      </c>
      <c r="I31" s="85">
        <f>I30-'Historical Financials'!I28</f>
        <v>-15</v>
      </c>
      <c r="J31" s="85">
        <f>J30-'Historical Financials'!J28</f>
        <v>-88.566400000000002</v>
      </c>
      <c r="K31" s="85">
        <f>K30-'Historical Financials'!K28</f>
        <v>0</v>
      </c>
      <c r="L31" s="85">
        <f>L30-'Historical Financials'!L28</f>
        <v>0</v>
      </c>
      <c r="M31" s="85">
        <f>M30-'Historical Financials'!M28</f>
        <v>87</v>
      </c>
      <c r="N31" s="85"/>
      <c r="O31" s="85" t="e">
        <f>+O30-'Historical Financials'!X28</f>
        <v>#REF!</v>
      </c>
      <c r="P31" s="85" t="e">
        <f>+P30-'Historical Financials'!Y28</f>
        <v>#REF!</v>
      </c>
      <c r="Q31" s="85" t="e">
        <f>+Q30-'Historical Financials'!Z28</f>
        <v>#REF!</v>
      </c>
      <c r="R31" s="85" t="e">
        <f>+R30-'Historical Financials'!AA28</f>
        <v>#REF!</v>
      </c>
      <c r="S31" s="85">
        <f>+S30-'Historical Financials'!AB28</f>
        <v>0</v>
      </c>
      <c r="T31" s="85">
        <f>+T30-'Historical Financials'!AC28</f>
        <v>0</v>
      </c>
      <c r="U31" s="85">
        <f>+U30-'Historical Financials'!AD28</f>
        <v>-15</v>
      </c>
      <c r="V31" s="85">
        <f>+V30-'Historical Financials'!AE28</f>
        <v>-103.5664</v>
      </c>
      <c r="W31" s="85">
        <f>+W30-'Historical Financials'!AF28</f>
        <v>-103.5664</v>
      </c>
      <c r="X31" s="85">
        <f>+X30-'Historical Financials'!AG28</f>
        <v>-103.5664</v>
      </c>
      <c r="Y31" s="85">
        <f>Y30-'Historical Financials'!AH28</f>
        <v>-1.5664000000000016</v>
      </c>
      <c r="AA31" s="9"/>
    </row>
    <row r="32" spans="1:27" ht="5.0999999999999996" customHeight="1">
      <c r="B32" s="20"/>
      <c r="C32" s="21"/>
      <c r="D32" s="21"/>
      <c r="E32" s="21"/>
      <c r="F32" s="22"/>
      <c r="G32" s="23"/>
      <c r="H32" s="23"/>
      <c r="I32" s="23"/>
      <c r="J32" s="23"/>
      <c r="K32" s="23"/>
      <c r="L32" s="23"/>
      <c r="M32" s="23"/>
      <c r="N32" s="22"/>
      <c r="O32" s="22"/>
      <c r="P32" s="22"/>
      <c r="Q32" s="22"/>
      <c r="R32" s="22"/>
      <c r="S32" s="22"/>
      <c r="T32" s="22"/>
      <c r="U32" s="22"/>
      <c r="V32" s="22"/>
      <c r="W32" s="22"/>
      <c r="X32" s="22"/>
      <c r="Y32" s="22"/>
      <c r="AA32" s="9"/>
    </row>
    <row r="33" spans="1:27" ht="12">
      <c r="B33" s="585" t="s">
        <v>646</v>
      </c>
      <c r="C33" s="583">
        <v>0.94</v>
      </c>
      <c r="D33" s="583">
        <v>0.83</v>
      </c>
      <c r="E33" s="583">
        <v>0.74</v>
      </c>
      <c r="F33" s="569"/>
      <c r="G33" s="569"/>
      <c r="H33" s="569"/>
      <c r="I33" s="569"/>
      <c r="J33" s="569"/>
      <c r="K33" s="569"/>
      <c r="L33" s="569"/>
      <c r="M33" s="569"/>
      <c r="N33" s="569"/>
      <c r="O33" s="569"/>
      <c r="P33" s="569"/>
      <c r="Q33" s="569"/>
      <c r="R33" s="569"/>
      <c r="S33" s="569"/>
      <c r="T33" s="569"/>
      <c r="U33" s="569"/>
      <c r="V33" s="569"/>
      <c r="W33" s="569"/>
      <c r="X33" s="569"/>
      <c r="Y33" s="584"/>
    </row>
    <row r="34" spans="1:27" ht="12">
      <c r="B34" s="587" t="s">
        <v>648</v>
      </c>
      <c r="C34" s="588">
        <f t="shared" ref="C34:D34" si="14">1-C33</f>
        <v>6.0000000000000053E-2</v>
      </c>
      <c r="D34" s="588">
        <f t="shared" si="14"/>
        <v>0.17000000000000004</v>
      </c>
      <c r="E34" s="588">
        <f>1-E33</f>
        <v>0.26</v>
      </c>
      <c r="F34" s="567"/>
      <c r="G34" s="567"/>
      <c r="H34" s="567"/>
      <c r="I34" s="567"/>
      <c r="J34" s="567"/>
      <c r="K34" s="567"/>
      <c r="L34" s="567"/>
      <c r="M34" s="567"/>
      <c r="N34" s="567"/>
      <c r="O34" s="567"/>
      <c r="P34" s="567"/>
      <c r="Q34" s="567"/>
      <c r="R34" s="567"/>
      <c r="S34" s="567"/>
      <c r="T34" s="567"/>
      <c r="U34" s="567"/>
      <c r="V34" s="567"/>
      <c r="W34" s="567"/>
      <c r="X34" s="567"/>
      <c r="Y34" s="582"/>
    </row>
    <row r="35" spans="1:27" ht="5.0999999999999996" customHeight="1">
      <c r="B35" s="20"/>
      <c r="C35" s="21"/>
      <c r="D35" s="21"/>
      <c r="E35" s="21"/>
      <c r="F35" s="22"/>
      <c r="G35" s="23"/>
      <c r="H35" s="23"/>
      <c r="I35" s="23"/>
      <c r="J35" s="23"/>
      <c r="K35" s="23"/>
      <c r="L35" s="23"/>
      <c r="M35" s="23"/>
      <c r="N35" s="22"/>
      <c r="O35" s="22"/>
      <c r="P35" s="22"/>
      <c r="Q35" s="22"/>
      <c r="R35" s="22"/>
      <c r="S35" s="22"/>
      <c r="T35" s="22"/>
      <c r="U35" s="22"/>
      <c r="V35" s="22"/>
      <c r="W35" s="22"/>
      <c r="X35" s="22"/>
      <c r="Y35" s="22"/>
      <c r="AA35" s="9"/>
    </row>
    <row r="36" spans="1:27" ht="12">
      <c r="A36" s="38" t="s">
        <v>19</v>
      </c>
      <c r="B36" s="1" t="s">
        <v>630</v>
      </c>
      <c r="C36" s="1"/>
      <c r="D36" s="1"/>
      <c r="E36" s="1"/>
      <c r="F36" s="1"/>
      <c r="G36" s="1"/>
      <c r="H36" s="1"/>
      <c r="I36" s="1"/>
      <c r="J36" s="1"/>
      <c r="K36" s="1"/>
      <c r="L36" s="1"/>
      <c r="M36" s="1"/>
      <c r="N36" s="1"/>
      <c r="O36" s="1"/>
      <c r="P36" s="1"/>
      <c r="Q36" s="1"/>
      <c r="R36" s="1"/>
      <c r="S36" s="1"/>
      <c r="T36" s="1"/>
      <c r="U36" s="1"/>
      <c r="V36" s="1"/>
      <c r="W36" s="1"/>
      <c r="X36" s="1"/>
      <c r="Y36" s="1"/>
      <c r="Z36" s="1"/>
      <c r="AA36" s="1"/>
    </row>
    <row r="37" spans="1:27" ht="5.0999999999999996" customHeight="1"/>
    <row r="38" spans="1:27" ht="12.75" customHeight="1">
      <c r="A38" s="86"/>
      <c r="B38" s="84" t="s">
        <v>661</v>
      </c>
      <c r="C38" s="11"/>
      <c r="D38" s="11"/>
      <c r="E38" s="11"/>
      <c r="F38" s="11"/>
      <c r="G38" s="11"/>
      <c r="H38" s="11"/>
      <c r="I38" s="11"/>
      <c r="J38" s="11"/>
      <c r="K38" s="11"/>
      <c r="L38" s="11"/>
      <c r="M38" s="11"/>
      <c r="N38" s="5"/>
      <c r="O38" s="12"/>
      <c r="P38" s="12"/>
      <c r="Q38" s="12"/>
      <c r="R38" s="12"/>
      <c r="S38" s="12"/>
      <c r="T38" s="12"/>
      <c r="U38" s="12"/>
      <c r="V38" s="12"/>
      <c r="W38" s="12"/>
      <c r="X38" s="12"/>
      <c r="AA38" s="13"/>
    </row>
    <row r="39" spans="1:27" ht="12.75" customHeight="1">
      <c r="A39" s="86"/>
      <c r="B39" s="10" t="s">
        <v>663</v>
      </c>
      <c r="C39" s="87"/>
      <c r="D39" s="87"/>
      <c r="E39" s="87"/>
      <c r="F39" s="11"/>
      <c r="G39" s="11"/>
      <c r="H39" s="11"/>
      <c r="I39" s="11"/>
      <c r="J39" s="468">
        <f>SUM(E39-SUM(G39:I39))</f>
        <v>0</v>
      </c>
      <c r="K39" s="11"/>
      <c r="L39" s="11"/>
      <c r="M39" s="11"/>
      <c r="N39" s="5"/>
      <c r="O39" s="12"/>
      <c r="P39" s="12"/>
      <c r="Q39" s="12"/>
      <c r="R39" s="12"/>
      <c r="S39" s="12"/>
      <c r="T39" s="12"/>
      <c r="U39" s="12"/>
      <c r="V39" s="12"/>
      <c r="W39" s="12"/>
      <c r="X39" s="12"/>
      <c r="AA39" s="13"/>
    </row>
    <row r="40" spans="1:27" ht="12.75" customHeight="1">
      <c r="A40" s="86"/>
      <c r="B40" s="10" t="s">
        <v>664</v>
      </c>
      <c r="C40" s="87"/>
      <c r="D40" s="87"/>
      <c r="E40" s="87"/>
      <c r="F40" s="11"/>
      <c r="G40" s="11"/>
      <c r="H40" s="11"/>
      <c r="I40" s="11"/>
      <c r="J40" s="468"/>
      <c r="K40" s="11"/>
      <c r="L40" s="11"/>
      <c r="M40" s="11"/>
      <c r="N40" s="5"/>
      <c r="O40" s="12"/>
      <c r="P40" s="12"/>
      <c r="Q40" s="12"/>
      <c r="R40" s="12"/>
      <c r="S40" s="12"/>
      <c r="T40" s="12"/>
      <c r="U40" s="12"/>
      <c r="V40" s="12"/>
      <c r="W40" s="12"/>
      <c r="X40" s="12"/>
      <c r="AA40" s="13"/>
    </row>
    <row r="41" spans="1:27" ht="12.75" customHeight="1">
      <c r="A41" s="86"/>
      <c r="B41" s="10" t="s">
        <v>665</v>
      </c>
      <c r="C41" s="87"/>
      <c r="D41" s="87"/>
      <c r="E41" s="87"/>
      <c r="F41" s="11"/>
      <c r="G41" s="11"/>
      <c r="H41" s="11"/>
      <c r="I41" s="11"/>
      <c r="J41" s="468"/>
      <c r="K41" s="11"/>
      <c r="L41" s="11"/>
      <c r="M41" s="11"/>
      <c r="N41" s="5"/>
      <c r="O41" s="12"/>
      <c r="P41" s="12"/>
      <c r="Q41" s="12"/>
      <c r="R41" s="12"/>
      <c r="S41" s="12"/>
      <c r="T41" s="12"/>
      <c r="U41" s="12"/>
      <c r="V41" s="12"/>
      <c r="W41" s="12"/>
      <c r="X41" s="12"/>
      <c r="AA41" s="13"/>
    </row>
    <row r="42" spans="1:27" ht="12.75" customHeight="1">
      <c r="A42" s="86"/>
      <c r="B42" s="10" t="s">
        <v>666</v>
      </c>
      <c r="C42" s="87"/>
      <c r="D42" s="87"/>
      <c r="E42" s="87"/>
      <c r="F42" s="11"/>
      <c r="G42" s="11"/>
      <c r="H42" s="11"/>
      <c r="I42" s="11"/>
      <c r="J42" s="468"/>
      <c r="K42" s="11"/>
      <c r="L42" s="11"/>
      <c r="M42" s="11"/>
      <c r="N42" s="5"/>
      <c r="O42" s="12"/>
      <c r="P42" s="12"/>
      <c r="Q42" s="12"/>
      <c r="R42" s="12"/>
      <c r="S42" s="12"/>
      <c r="T42" s="12"/>
      <c r="U42" s="12"/>
      <c r="V42" s="12"/>
      <c r="W42" s="12"/>
      <c r="X42" s="12"/>
      <c r="AA42" s="13"/>
    </row>
    <row r="43" spans="1:27" ht="12.75" customHeight="1">
      <c r="A43" s="86"/>
      <c r="B43" s="10" t="s">
        <v>667</v>
      </c>
      <c r="C43" s="87"/>
      <c r="D43" s="87"/>
      <c r="E43" s="87"/>
      <c r="F43" s="11"/>
      <c r="G43" s="11"/>
      <c r="H43" s="11"/>
      <c r="I43" s="11"/>
      <c r="J43" s="468"/>
      <c r="K43" s="11"/>
      <c r="L43" s="11"/>
      <c r="M43" s="11"/>
      <c r="N43" s="5"/>
      <c r="O43" s="12"/>
      <c r="P43" s="12"/>
      <c r="Q43" s="12"/>
      <c r="R43" s="12"/>
      <c r="S43" s="12"/>
      <c r="T43" s="12"/>
      <c r="U43" s="12"/>
      <c r="V43" s="12"/>
      <c r="W43" s="12"/>
      <c r="X43" s="12"/>
      <c r="AA43" s="13"/>
    </row>
    <row r="44" spans="1:27" ht="12.75" customHeight="1">
      <c r="A44" s="86"/>
      <c r="B44" s="10" t="s">
        <v>668</v>
      </c>
      <c r="C44" s="87"/>
      <c r="D44" s="87"/>
      <c r="E44" s="87"/>
      <c r="F44" s="11"/>
      <c r="G44" s="11"/>
      <c r="H44" s="11"/>
      <c r="I44" s="11"/>
      <c r="J44" s="468"/>
      <c r="K44" s="11"/>
      <c r="L44" s="11"/>
      <c r="M44" s="11"/>
      <c r="N44" s="5"/>
      <c r="O44" s="12"/>
      <c r="P44" s="12"/>
      <c r="Q44" s="12"/>
      <c r="R44" s="12"/>
      <c r="S44" s="12"/>
      <c r="T44" s="12"/>
      <c r="U44" s="12"/>
      <c r="V44" s="12"/>
      <c r="W44" s="12"/>
      <c r="X44" s="12"/>
      <c r="AA44" s="13"/>
    </row>
    <row r="45" spans="1:27" ht="12.75" customHeight="1">
      <c r="A45" s="86"/>
      <c r="B45" s="10" t="s">
        <v>669</v>
      </c>
      <c r="C45" s="87"/>
      <c r="D45" s="87"/>
      <c r="E45" s="87"/>
      <c r="F45" s="11"/>
      <c r="G45" s="11"/>
      <c r="H45" s="11"/>
      <c r="I45" s="11"/>
      <c r="J45" s="468"/>
      <c r="K45" s="11"/>
      <c r="L45" s="11"/>
      <c r="M45" s="11"/>
      <c r="N45" s="5"/>
      <c r="O45" s="12"/>
      <c r="P45" s="12"/>
      <c r="Q45" s="12"/>
      <c r="R45" s="12"/>
      <c r="S45" s="12"/>
      <c r="T45" s="12"/>
      <c r="U45" s="12"/>
      <c r="V45" s="12"/>
      <c r="W45" s="12"/>
      <c r="X45" s="12"/>
      <c r="AA45" s="13"/>
    </row>
    <row r="46" spans="1:27" ht="12.75" customHeight="1">
      <c r="B46" s="14" t="s">
        <v>662</v>
      </c>
      <c r="C46" s="36">
        <f>SUM(C39:C45)</f>
        <v>0</v>
      </c>
      <c r="D46" s="36">
        <f>SUM(D39:D45)</f>
        <v>0</v>
      </c>
      <c r="E46" s="36">
        <f>SUM(E39:E45)</f>
        <v>0</v>
      </c>
      <c r="F46" s="12"/>
      <c r="G46" s="36">
        <f>SUM(G39:G45)</f>
        <v>0</v>
      </c>
      <c r="H46" s="36">
        <f>SUM(H39:H45)</f>
        <v>0</v>
      </c>
      <c r="I46" s="36">
        <f>SUM(I39:I45)</f>
        <v>0</v>
      </c>
      <c r="J46" s="36">
        <f>SUM(J39:J45)</f>
        <v>0</v>
      </c>
      <c r="K46" s="36">
        <f>SUM(K39:K45)</f>
        <v>0</v>
      </c>
      <c r="L46" s="36">
        <f>SUM(L39:L45)</f>
        <v>0</v>
      </c>
      <c r="M46" s="36">
        <f>SUM(M39:M45)</f>
        <v>0</v>
      </c>
      <c r="N46" s="5"/>
      <c r="O46" s="36" t="e">
        <f>SUM(#REF!)</f>
        <v>#REF!</v>
      </c>
      <c r="P46" s="36" t="e">
        <f>SUM(#REF!)</f>
        <v>#REF!</v>
      </c>
      <c r="Q46" s="36" t="e">
        <f>SUM(#REF!)</f>
        <v>#REF!</v>
      </c>
      <c r="R46" s="36" t="e">
        <f>SUM(#REF!)</f>
        <v>#REF!</v>
      </c>
      <c r="S46" s="36" t="e">
        <f>SUM(#REF!)</f>
        <v>#REF!</v>
      </c>
      <c r="T46" s="36" t="e">
        <f>SUM(#REF!)</f>
        <v>#REF!</v>
      </c>
      <c r="U46" s="36" t="e">
        <f>SUM(#REF!)</f>
        <v>#REF!</v>
      </c>
      <c r="V46" s="36" t="e">
        <f>SUM(#REF!)</f>
        <v>#REF!</v>
      </c>
      <c r="W46" s="36" t="e">
        <f>SUM(#REF!)</f>
        <v>#REF!</v>
      </c>
      <c r="X46" s="36" t="e">
        <f>SUM(#REF!)</f>
        <v>#REF!</v>
      </c>
      <c r="Y46" s="36" t="e">
        <f>SUM(#REF!)</f>
        <v>#REF!</v>
      </c>
      <c r="AA46" s="16" t="e">
        <f t="shared" ref="AA46" si="15">SUM(Y46/U46)-1</f>
        <v>#REF!</v>
      </c>
    </row>
    <row r="47" spans="1:27" ht="5.0999999999999996" customHeight="1"/>
    <row r="48" spans="1:27" ht="12">
      <c r="B48" s="585" t="str">
        <f>B39&amp;"(%)"</f>
        <v>Apparel &amp; Accessories (%)</v>
      </c>
      <c r="C48" s="583"/>
      <c r="D48" s="583"/>
      <c r="E48" s="583">
        <v>0.69</v>
      </c>
      <c r="F48" s="569"/>
      <c r="G48" s="569"/>
      <c r="H48" s="569"/>
      <c r="I48" s="569"/>
      <c r="J48" s="569"/>
      <c r="K48" s="569"/>
      <c r="L48" s="569"/>
      <c r="M48" s="569"/>
      <c r="N48" s="569"/>
      <c r="O48" s="569"/>
      <c r="P48" s="569"/>
      <c r="Q48" s="569"/>
      <c r="R48" s="569"/>
      <c r="S48" s="569"/>
      <c r="T48" s="569"/>
      <c r="U48" s="569"/>
      <c r="V48" s="569"/>
      <c r="W48" s="569"/>
      <c r="X48" s="569"/>
      <c r="Y48" s="584"/>
    </row>
    <row r="49" spans="1:27" ht="12">
      <c r="B49" s="586" t="str">
        <f t="shared" ref="B49:B54" si="16">B40&amp;"(%)"</f>
        <v>Health &amp; Beauty (%)</v>
      </c>
      <c r="C49" s="578"/>
      <c r="D49" s="578"/>
      <c r="E49" s="578">
        <v>0.03</v>
      </c>
      <c r="F49" s="579"/>
      <c r="G49" s="579"/>
      <c r="H49" s="579"/>
      <c r="I49" s="579"/>
      <c r="J49" s="579"/>
      <c r="K49" s="579"/>
      <c r="L49" s="579"/>
      <c r="M49" s="579"/>
      <c r="N49" s="579"/>
      <c r="O49" s="579"/>
      <c r="P49" s="579"/>
      <c r="Q49" s="579"/>
      <c r="R49" s="579"/>
      <c r="S49" s="579"/>
      <c r="T49" s="579"/>
      <c r="U49" s="579"/>
      <c r="V49" s="579"/>
      <c r="W49" s="579"/>
      <c r="X49" s="579"/>
      <c r="Y49" s="581"/>
    </row>
    <row r="50" spans="1:27" ht="12">
      <c r="B50" s="586" t="str">
        <f t="shared" si="16"/>
        <v>Home &amp; Electronics (%)</v>
      </c>
      <c r="C50" s="578"/>
      <c r="D50" s="578"/>
      <c r="E50" s="578">
        <v>0.04</v>
      </c>
      <c r="F50" s="579"/>
      <c r="G50" s="579"/>
      <c r="H50" s="579"/>
      <c r="I50" s="579"/>
      <c r="J50" s="579"/>
      <c r="K50" s="579"/>
      <c r="L50" s="579"/>
      <c r="M50" s="579"/>
      <c r="N50" s="579"/>
      <c r="O50" s="579"/>
      <c r="P50" s="579"/>
      <c r="Q50" s="579"/>
      <c r="R50" s="579"/>
      <c r="S50" s="579"/>
      <c r="T50" s="579"/>
      <c r="U50" s="579"/>
      <c r="V50" s="579"/>
      <c r="W50" s="579"/>
      <c r="X50" s="579"/>
      <c r="Y50" s="581"/>
    </row>
    <row r="51" spans="1:27" ht="12">
      <c r="B51" s="586" t="str">
        <f t="shared" si="16"/>
        <v>Food &amp; Beverage (%)</v>
      </c>
      <c r="C51" s="578"/>
      <c r="D51" s="578"/>
      <c r="E51" s="578">
        <v>0.05</v>
      </c>
      <c r="F51" s="579"/>
      <c r="G51" s="579"/>
      <c r="H51" s="579"/>
      <c r="I51" s="579"/>
      <c r="J51" s="579"/>
      <c r="K51" s="579"/>
      <c r="L51" s="579"/>
      <c r="M51" s="579"/>
      <c r="N51" s="579"/>
      <c r="O51" s="579"/>
      <c r="P51" s="579"/>
      <c r="Q51" s="579"/>
      <c r="R51" s="579"/>
      <c r="S51" s="579"/>
      <c r="T51" s="579"/>
      <c r="U51" s="579"/>
      <c r="V51" s="579"/>
      <c r="W51" s="579"/>
      <c r="X51" s="579"/>
      <c r="Y51" s="581"/>
    </row>
    <row r="52" spans="1:27" ht="12">
      <c r="B52" s="586" t="str">
        <f t="shared" si="16"/>
        <v>Leisure (%)</v>
      </c>
      <c r="C52" s="578"/>
      <c r="D52" s="578"/>
      <c r="E52" s="578">
        <v>0.12</v>
      </c>
      <c r="F52" s="579"/>
      <c r="G52" s="579"/>
      <c r="H52" s="579"/>
      <c r="I52" s="579"/>
      <c r="J52" s="579"/>
      <c r="K52" s="579"/>
      <c r="L52" s="579"/>
      <c r="M52" s="579"/>
      <c r="N52" s="579"/>
      <c r="O52" s="579"/>
      <c r="P52" s="579"/>
      <c r="Q52" s="579"/>
      <c r="R52" s="579"/>
      <c r="S52" s="579"/>
      <c r="T52" s="579"/>
      <c r="U52" s="579"/>
      <c r="V52" s="579"/>
      <c r="W52" s="579"/>
      <c r="X52" s="579"/>
      <c r="Y52" s="581"/>
    </row>
    <row r="53" spans="1:27" ht="12">
      <c r="B53" s="586" t="str">
        <f t="shared" si="16"/>
        <v>Events &amp; Services (%)</v>
      </c>
      <c r="C53" s="578"/>
      <c r="D53" s="578"/>
      <c r="E53" s="578">
        <v>0.04</v>
      </c>
      <c r="F53" s="579"/>
      <c r="G53" s="579"/>
      <c r="H53" s="579"/>
      <c r="I53" s="579"/>
      <c r="J53" s="579"/>
      <c r="K53" s="579"/>
      <c r="L53" s="579"/>
      <c r="M53" s="579"/>
      <c r="N53" s="579"/>
      <c r="O53" s="579"/>
      <c r="P53" s="579"/>
      <c r="Q53" s="579"/>
      <c r="R53" s="579"/>
      <c r="S53" s="579"/>
      <c r="T53" s="579"/>
      <c r="U53" s="579"/>
      <c r="V53" s="579"/>
      <c r="W53" s="579"/>
      <c r="X53" s="579"/>
      <c r="Y53" s="581"/>
    </row>
    <row r="54" spans="1:27" ht="12">
      <c r="B54" s="587" t="str">
        <f t="shared" si="16"/>
        <v>Travel (%)</v>
      </c>
      <c r="C54" s="580"/>
      <c r="D54" s="580"/>
      <c r="E54" s="580">
        <v>0.03</v>
      </c>
      <c r="F54" s="567"/>
      <c r="G54" s="567"/>
      <c r="H54" s="567"/>
      <c r="I54" s="567"/>
      <c r="J54" s="567"/>
      <c r="K54" s="567"/>
      <c r="L54" s="567"/>
      <c r="M54" s="567"/>
      <c r="N54" s="567"/>
      <c r="O54" s="567"/>
      <c r="P54" s="567"/>
      <c r="Q54" s="567"/>
      <c r="R54" s="567"/>
      <c r="S54" s="567"/>
      <c r="T54" s="567"/>
      <c r="U54" s="567"/>
      <c r="V54" s="567"/>
      <c r="W54" s="567"/>
      <c r="X54" s="567"/>
      <c r="Y54" s="582"/>
    </row>
    <row r="55" spans="1:27" ht="12"/>
    <row r="56" spans="1:27" ht="12.75" customHeight="1">
      <c r="A56" s="86"/>
      <c r="B56" s="84" t="s">
        <v>670</v>
      </c>
      <c r="C56" s="11"/>
      <c r="D56" s="11"/>
      <c r="E56" s="11"/>
      <c r="F56" s="11"/>
      <c r="G56" s="11"/>
      <c r="H56" s="11"/>
      <c r="I56" s="11"/>
      <c r="J56" s="11"/>
      <c r="K56" s="11"/>
      <c r="L56" s="11"/>
      <c r="M56" s="11"/>
      <c r="N56" s="5"/>
      <c r="O56" s="12"/>
      <c r="P56" s="12"/>
      <c r="Q56" s="12"/>
      <c r="R56" s="12"/>
      <c r="S56" s="12"/>
      <c r="T56" s="12"/>
      <c r="U56" s="12"/>
      <c r="V56" s="12"/>
      <c r="W56" s="12"/>
      <c r="X56" s="12"/>
      <c r="AA56" s="13"/>
    </row>
    <row r="57" spans="1:27" ht="12.75" customHeight="1">
      <c r="A57" s="86"/>
      <c r="B57" s="10" t="s">
        <v>663</v>
      </c>
      <c r="C57" s="87"/>
      <c r="D57" s="87"/>
      <c r="E57" s="87"/>
      <c r="F57" s="11"/>
      <c r="G57" s="11"/>
      <c r="H57" s="11"/>
      <c r="I57" s="11"/>
      <c r="J57" s="468">
        <f>SUM(E57-SUM(G57:I57))</f>
        <v>0</v>
      </c>
      <c r="K57" s="11"/>
      <c r="L57" s="11"/>
      <c r="M57" s="11"/>
      <c r="N57" s="5"/>
      <c r="O57" s="12"/>
      <c r="P57" s="12"/>
      <c r="Q57" s="12"/>
      <c r="R57" s="12"/>
      <c r="S57" s="12"/>
      <c r="T57" s="12"/>
      <c r="U57" s="12"/>
      <c r="V57" s="12"/>
      <c r="W57" s="12"/>
      <c r="X57" s="12"/>
      <c r="AA57" s="13"/>
    </row>
    <row r="58" spans="1:27" ht="12.75" customHeight="1">
      <c r="A58" s="86"/>
      <c r="B58" s="10" t="s">
        <v>664</v>
      </c>
      <c r="C58" s="87"/>
      <c r="D58" s="87"/>
      <c r="E58" s="87"/>
      <c r="F58" s="11"/>
      <c r="G58" s="11"/>
      <c r="H58" s="11"/>
      <c r="I58" s="11"/>
      <c r="J58" s="468"/>
      <c r="K58" s="11"/>
      <c r="L58" s="11"/>
      <c r="M58" s="11"/>
      <c r="N58" s="5"/>
      <c r="O58" s="12"/>
      <c r="P58" s="12"/>
      <c r="Q58" s="12"/>
      <c r="R58" s="12"/>
      <c r="S58" s="12"/>
      <c r="T58" s="12"/>
      <c r="U58" s="12"/>
      <c r="V58" s="12"/>
      <c r="W58" s="12"/>
      <c r="X58" s="12"/>
      <c r="AA58" s="13"/>
    </row>
    <row r="59" spans="1:27" ht="12.75" customHeight="1">
      <c r="A59" s="86"/>
      <c r="B59" s="10" t="s">
        <v>665</v>
      </c>
      <c r="C59" s="87"/>
      <c r="D59" s="87"/>
      <c r="E59" s="87"/>
      <c r="F59" s="11"/>
      <c r="G59" s="11"/>
      <c r="H59" s="11"/>
      <c r="I59" s="11"/>
      <c r="J59" s="468"/>
      <c r="K59" s="11"/>
      <c r="L59" s="11"/>
      <c r="M59" s="11"/>
      <c r="N59" s="5"/>
      <c r="O59" s="12"/>
      <c r="P59" s="12"/>
      <c r="Q59" s="12"/>
      <c r="R59" s="12"/>
      <c r="S59" s="12"/>
      <c r="T59" s="12"/>
      <c r="U59" s="12"/>
      <c r="V59" s="12"/>
      <c r="W59" s="12"/>
      <c r="X59" s="12"/>
      <c r="AA59" s="13"/>
    </row>
    <row r="60" spans="1:27" ht="12.75" customHeight="1">
      <c r="A60" s="86"/>
      <c r="B60" s="10" t="s">
        <v>666</v>
      </c>
      <c r="C60" s="87"/>
      <c r="D60" s="87"/>
      <c r="E60" s="87"/>
      <c r="F60" s="11"/>
      <c r="G60" s="11"/>
      <c r="H60" s="11"/>
      <c r="I60" s="11"/>
      <c r="J60" s="468"/>
      <c r="K60" s="11"/>
      <c r="L60" s="11"/>
      <c r="M60" s="11"/>
      <c r="N60" s="5"/>
      <c r="O60" s="12"/>
      <c r="P60" s="12"/>
      <c r="Q60" s="12"/>
      <c r="R60" s="12"/>
      <c r="S60" s="12"/>
      <c r="T60" s="12"/>
      <c r="U60" s="12"/>
      <c r="V60" s="12"/>
      <c r="W60" s="12"/>
      <c r="X60" s="12"/>
      <c r="AA60" s="13"/>
    </row>
    <row r="61" spans="1:27" ht="12.75" customHeight="1">
      <c r="A61" s="86"/>
      <c r="B61" s="10" t="s">
        <v>667</v>
      </c>
      <c r="C61" s="87"/>
      <c r="D61" s="87"/>
      <c r="E61" s="87"/>
      <c r="F61" s="11"/>
      <c r="G61" s="11"/>
      <c r="H61" s="11"/>
      <c r="I61" s="11"/>
      <c r="J61" s="468"/>
      <c r="K61" s="11"/>
      <c r="L61" s="11"/>
      <c r="M61" s="11"/>
      <c r="N61" s="5"/>
      <c r="O61" s="12"/>
      <c r="P61" s="12"/>
      <c r="Q61" s="12"/>
      <c r="R61" s="12"/>
      <c r="S61" s="12"/>
      <c r="T61" s="12"/>
      <c r="U61" s="12"/>
      <c r="V61" s="12"/>
      <c r="W61" s="12"/>
      <c r="X61" s="12"/>
      <c r="AA61" s="13"/>
    </row>
    <row r="62" spans="1:27" ht="12.75" customHeight="1">
      <c r="A62" s="86"/>
      <c r="B62" s="10" t="s">
        <v>668</v>
      </c>
      <c r="C62" s="87"/>
      <c r="D62" s="87"/>
      <c r="E62" s="87"/>
      <c r="F62" s="11"/>
      <c r="G62" s="11"/>
      <c r="H62" s="11"/>
      <c r="I62" s="11"/>
      <c r="J62" s="468"/>
      <c r="K62" s="11"/>
      <c r="L62" s="11"/>
      <c r="M62" s="11"/>
      <c r="N62" s="5"/>
      <c r="O62" s="12"/>
      <c r="P62" s="12"/>
      <c r="Q62" s="12"/>
      <c r="R62" s="12"/>
      <c r="S62" s="12"/>
      <c r="T62" s="12"/>
      <c r="U62" s="12"/>
      <c r="V62" s="12"/>
      <c r="W62" s="12"/>
      <c r="X62" s="12"/>
      <c r="AA62" s="13"/>
    </row>
    <row r="63" spans="1:27" ht="12.75" customHeight="1">
      <c r="A63" s="86"/>
      <c r="B63" s="10" t="s">
        <v>669</v>
      </c>
      <c r="C63" s="87"/>
      <c r="D63" s="87"/>
      <c r="E63" s="87"/>
      <c r="F63" s="11"/>
      <c r="G63" s="11"/>
      <c r="H63" s="11"/>
      <c r="I63" s="11"/>
      <c r="J63" s="468"/>
      <c r="K63" s="11"/>
      <c r="L63" s="11"/>
      <c r="M63" s="11"/>
      <c r="N63" s="5"/>
      <c r="O63" s="12"/>
      <c r="P63" s="12"/>
      <c r="Q63" s="12"/>
      <c r="R63" s="12"/>
      <c r="S63" s="12"/>
      <c r="T63" s="12"/>
      <c r="U63" s="12"/>
      <c r="V63" s="12"/>
      <c r="W63" s="12"/>
      <c r="X63" s="12"/>
      <c r="AA63" s="13"/>
    </row>
    <row r="64" spans="1:27" ht="12.75" customHeight="1">
      <c r="B64" s="14" t="s">
        <v>671</v>
      </c>
      <c r="C64" s="36">
        <f>SUM(C57:C63)</f>
        <v>0</v>
      </c>
      <c r="D64" s="36">
        <f>SUM(D57:D63)</f>
        <v>0</v>
      </c>
      <c r="E64" s="36">
        <f>SUM(E57:E63)</f>
        <v>0</v>
      </c>
      <c r="F64" s="12"/>
      <c r="G64" s="36">
        <f>SUM(G57:G63)</f>
        <v>0</v>
      </c>
      <c r="H64" s="36">
        <f>SUM(H57:H63)</f>
        <v>0</v>
      </c>
      <c r="I64" s="36">
        <f>SUM(I57:I63)</f>
        <v>0</v>
      </c>
      <c r="J64" s="36">
        <f>SUM(J57:J63)</f>
        <v>0</v>
      </c>
      <c r="K64" s="36">
        <f>SUM(K57:K63)</f>
        <v>0</v>
      </c>
      <c r="L64" s="36">
        <f>SUM(L57:L63)</f>
        <v>0</v>
      </c>
      <c r="M64" s="36">
        <f>SUM(M57:M63)</f>
        <v>0</v>
      </c>
      <c r="N64" s="5"/>
      <c r="O64" s="36" t="e">
        <f>SUM(#REF!)</f>
        <v>#REF!</v>
      </c>
      <c r="P64" s="36" t="e">
        <f>SUM(#REF!)</f>
        <v>#REF!</v>
      </c>
      <c r="Q64" s="36" t="e">
        <f>SUM(#REF!)</f>
        <v>#REF!</v>
      </c>
      <c r="R64" s="36" t="e">
        <f>SUM(#REF!)</f>
        <v>#REF!</v>
      </c>
      <c r="S64" s="36" t="e">
        <f>SUM(#REF!)</f>
        <v>#REF!</v>
      </c>
      <c r="T64" s="36" t="e">
        <f>SUM(#REF!)</f>
        <v>#REF!</v>
      </c>
      <c r="U64" s="36" t="e">
        <f>SUM(#REF!)</f>
        <v>#REF!</v>
      </c>
      <c r="V64" s="36" t="e">
        <f>SUM(#REF!)</f>
        <v>#REF!</v>
      </c>
      <c r="W64" s="36" t="e">
        <f>SUM(#REF!)</f>
        <v>#REF!</v>
      </c>
      <c r="X64" s="36" t="e">
        <f>SUM(#REF!)</f>
        <v>#REF!</v>
      </c>
      <c r="Y64" s="36" t="e">
        <f>SUM(#REF!)</f>
        <v>#REF!</v>
      </c>
      <c r="AA64" s="16" t="e">
        <f t="shared" ref="AA64" si="17">SUM(Y64/U64)-1</f>
        <v>#REF!</v>
      </c>
    </row>
    <row r="65" spans="1:27" ht="5.0999999999999996" customHeight="1"/>
    <row r="66" spans="1:27" ht="12">
      <c r="B66" s="585" t="str">
        <f>B57&amp;"(%)"</f>
        <v>Apparel &amp; Accessories (%)</v>
      </c>
      <c r="C66" s="583"/>
      <c r="D66" s="583"/>
      <c r="E66" s="583">
        <v>0.26</v>
      </c>
      <c r="F66" s="569"/>
      <c r="G66" s="569"/>
      <c r="H66" s="569"/>
      <c r="I66" s="569"/>
      <c r="J66" s="569"/>
      <c r="K66" s="569"/>
      <c r="L66" s="569"/>
      <c r="M66" s="569"/>
      <c r="N66" s="569"/>
      <c r="O66" s="569"/>
      <c r="P66" s="569"/>
      <c r="Q66" s="569"/>
      <c r="R66" s="569"/>
      <c r="S66" s="569"/>
      <c r="T66" s="569"/>
      <c r="U66" s="569"/>
      <c r="V66" s="569"/>
      <c r="W66" s="569"/>
      <c r="X66" s="569"/>
      <c r="Y66" s="584"/>
    </row>
    <row r="67" spans="1:27" ht="12">
      <c r="B67" s="586" t="str">
        <f t="shared" ref="B67:B72" si="18">B58&amp;"(%)"</f>
        <v>Health &amp; Beauty (%)</v>
      </c>
      <c r="C67" s="578"/>
      <c r="D67" s="578"/>
      <c r="E67" s="578">
        <v>0.08</v>
      </c>
      <c r="F67" s="579"/>
      <c r="G67" s="579"/>
      <c r="H67" s="579"/>
      <c r="I67" s="579"/>
      <c r="J67" s="579"/>
      <c r="K67" s="579"/>
      <c r="L67" s="579"/>
      <c r="M67" s="579"/>
      <c r="N67" s="579"/>
      <c r="O67" s="579"/>
      <c r="P67" s="579"/>
      <c r="Q67" s="579"/>
      <c r="R67" s="579"/>
      <c r="S67" s="579"/>
      <c r="T67" s="579"/>
      <c r="U67" s="579"/>
      <c r="V67" s="579"/>
      <c r="W67" s="579"/>
      <c r="X67" s="579"/>
      <c r="Y67" s="581"/>
    </row>
    <row r="68" spans="1:27" ht="12">
      <c r="B68" s="586" t="str">
        <f t="shared" si="18"/>
        <v>Home &amp; Electronics (%)</v>
      </c>
      <c r="C68" s="578"/>
      <c r="D68" s="578"/>
      <c r="E68" s="578">
        <v>0.14000000000000001</v>
      </c>
      <c r="F68" s="579"/>
      <c r="G68" s="579"/>
      <c r="H68" s="579"/>
      <c r="I68" s="579"/>
      <c r="J68" s="579"/>
      <c r="K68" s="579"/>
      <c r="L68" s="579"/>
      <c r="M68" s="579"/>
      <c r="N68" s="579"/>
      <c r="O68" s="579"/>
      <c r="P68" s="579"/>
      <c r="Q68" s="579"/>
      <c r="R68" s="579"/>
      <c r="S68" s="579"/>
      <c r="T68" s="579"/>
      <c r="U68" s="579"/>
      <c r="V68" s="579"/>
      <c r="W68" s="579"/>
      <c r="X68" s="579"/>
      <c r="Y68" s="581"/>
    </row>
    <row r="69" spans="1:27" ht="12">
      <c r="B69" s="586" t="str">
        <f t="shared" si="18"/>
        <v>Food &amp; Beverage (%)</v>
      </c>
      <c r="C69" s="578"/>
      <c r="D69" s="578"/>
      <c r="E69" s="578">
        <v>0.05</v>
      </c>
      <c r="F69" s="579"/>
      <c r="G69" s="579"/>
      <c r="H69" s="579"/>
      <c r="I69" s="579"/>
      <c r="J69" s="579"/>
      <c r="K69" s="579"/>
      <c r="L69" s="579"/>
      <c r="M69" s="579"/>
      <c r="N69" s="579"/>
      <c r="O69" s="579"/>
      <c r="P69" s="579"/>
      <c r="Q69" s="579"/>
      <c r="R69" s="579"/>
      <c r="S69" s="579"/>
      <c r="T69" s="579"/>
      <c r="U69" s="579"/>
      <c r="V69" s="579"/>
      <c r="W69" s="579"/>
      <c r="X69" s="579"/>
      <c r="Y69" s="581"/>
    </row>
    <row r="70" spans="1:27" ht="12">
      <c r="B70" s="586" t="str">
        <f t="shared" si="18"/>
        <v>Leisure (%)</v>
      </c>
      <c r="C70" s="578"/>
      <c r="D70" s="578"/>
      <c r="E70" s="578">
        <v>0.15</v>
      </c>
      <c r="F70" s="579"/>
      <c r="G70" s="579"/>
      <c r="H70" s="579"/>
      <c r="I70" s="579"/>
      <c r="J70" s="579"/>
      <c r="K70" s="579"/>
      <c r="L70" s="579"/>
      <c r="M70" s="579"/>
      <c r="N70" s="579"/>
      <c r="O70" s="579"/>
      <c r="P70" s="579"/>
      <c r="Q70" s="579"/>
      <c r="R70" s="579"/>
      <c r="S70" s="579"/>
      <c r="T70" s="579"/>
      <c r="U70" s="579"/>
      <c r="V70" s="579"/>
      <c r="W70" s="579"/>
      <c r="X70" s="579"/>
      <c r="Y70" s="581"/>
    </row>
    <row r="71" spans="1:27" ht="12">
      <c r="B71" s="586" t="str">
        <f t="shared" si="18"/>
        <v>Events &amp; Services (%)</v>
      </c>
      <c r="C71" s="578"/>
      <c r="D71" s="578"/>
      <c r="E71" s="578">
        <v>0.28999999999999998</v>
      </c>
      <c r="F71" s="579"/>
      <c r="G71" s="579"/>
      <c r="H71" s="579"/>
      <c r="I71" s="579"/>
      <c r="J71" s="579"/>
      <c r="K71" s="579"/>
      <c r="L71" s="579"/>
      <c r="M71" s="579"/>
      <c r="N71" s="579"/>
      <c r="O71" s="579"/>
      <c r="P71" s="579"/>
      <c r="Q71" s="579"/>
      <c r="R71" s="579"/>
      <c r="S71" s="579"/>
      <c r="T71" s="579"/>
      <c r="U71" s="579"/>
      <c r="V71" s="579"/>
      <c r="W71" s="579"/>
      <c r="X71" s="579"/>
      <c r="Y71" s="581"/>
    </row>
    <row r="72" spans="1:27" ht="12">
      <c r="B72" s="587" t="str">
        <f t="shared" si="18"/>
        <v>Travel (%)</v>
      </c>
      <c r="C72" s="580"/>
      <c r="D72" s="580"/>
      <c r="E72" s="580">
        <v>0.03</v>
      </c>
      <c r="F72" s="567"/>
      <c r="G72" s="567"/>
      <c r="H72" s="567"/>
      <c r="I72" s="567"/>
      <c r="J72" s="567"/>
      <c r="K72" s="567"/>
      <c r="L72" s="567"/>
      <c r="M72" s="567"/>
      <c r="N72" s="567"/>
      <c r="O72" s="567"/>
      <c r="P72" s="567"/>
      <c r="Q72" s="567"/>
      <c r="R72" s="567"/>
      <c r="S72" s="567"/>
      <c r="T72" s="567"/>
      <c r="U72" s="567"/>
      <c r="V72" s="567"/>
      <c r="W72" s="567"/>
      <c r="X72" s="567"/>
      <c r="Y72" s="582"/>
    </row>
    <row r="74" spans="1:27" ht="12.75" customHeight="1">
      <c r="A74" s="86"/>
      <c r="B74" s="84" t="s">
        <v>672</v>
      </c>
      <c r="C74" s="11"/>
      <c r="D74" s="11"/>
      <c r="E74" s="11"/>
      <c r="F74" s="11"/>
      <c r="G74" s="11"/>
      <c r="H74" s="11"/>
      <c r="I74" s="11"/>
      <c r="J74" s="11"/>
      <c r="K74" s="11"/>
      <c r="L74" s="11"/>
      <c r="M74" s="11"/>
      <c r="N74" s="5"/>
      <c r="O74" s="12"/>
      <c r="P74" s="12"/>
      <c r="Q74" s="12"/>
      <c r="R74" s="12"/>
      <c r="S74" s="12"/>
      <c r="T74" s="12"/>
      <c r="U74" s="12"/>
      <c r="V74" s="12"/>
      <c r="W74" s="12"/>
      <c r="X74" s="12"/>
      <c r="AA74" s="13"/>
    </row>
    <row r="75" spans="1:27" ht="12.75" customHeight="1">
      <c r="A75" s="86"/>
      <c r="B75" s="10" t="s">
        <v>663</v>
      </c>
      <c r="C75" s="87"/>
      <c r="D75" s="87"/>
      <c r="E75" s="87"/>
      <c r="F75" s="11"/>
      <c r="G75" s="11"/>
      <c r="H75" s="11"/>
      <c r="I75" s="11"/>
      <c r="J75" s="468">
        <f>SUM(E75-SUM(G75:I75))</f>
        <v>0</v>
      </c>
      <c r="K75" s="11"/>
      <c r="L75" s="11"/>
      <c r="M75" s="11"/>
      <c r="N75" s="5"/>
      <c r="O75" s="12"/>
      <c r="P75" s="12"/>
      <c r="Q75" s="12"/>
      <c r="R75" s="12"/>
      <c r="S75" s="12"/>
      <c r="T75" s="12"/>
      <c r="U75" s="12"/>
      <c r="V75" s="12"/>
      <c r="W75" s="12"/>
      <c r="X75" s="12"/>
      <c r="AA75" s="13"/>
    </row>
    <row r="76" spans="1:27" ht="12.75" customHeight="1">
      <c r="A76" s="86"/>
      <c r="B76" s="10" t="s">
        <v>664</v>
      </c>
      <c r="C76" s="87"/>
      <c r="D76" s="87"/>
      <c r="E76" s="87"/>
      <c r="F76" s="11"/>
      <c r="G76" s="11"/>
      <c r="H76" s="11"/>
      <c r="I76" s="11"/>
      <c r="J76" s="468"/>
      <c r="K76" s="11"/>
      <c r="L76" s="11"/>
      <c r="M76" s="11"/>
      <c r="N76" s="5"/>
      <c r="O76" s="12"/>
      <c r="P76" s="12"/>
      <c r="Q76" s="12"/>
      <c r="R76" s="12"/>
      <c r="S76" s="12"/>
      <c r="T76" s="12"/>
      <c r="U76" s="12"/>
      <c r="V76" s="12"/>
      <c r="W76" s="12"/>
      <c r="X76" s="12"/>
      <c r="AA76" s="13"/>
    </row>
    <row r="77" spans="1:27" ht="12.75" customHeight="1">
      <c r="A77" s="86"/>
      <c r="B77" s="10" t="s">
        <v>665</v>
      </c>
      <c r="C77" s="87"/>
      <c r="D77" s="87"/>
      <c r="E77" s="87"/>
      <c r="F77" s="11"/>
      <c r="G77" s="11"/>
      <c r="H77" s="11"/>
      <c r="I77" s="11"/>
      <c r="J77" s="468"/>
      <c r="K77" s="11"/>
      <c r="L77" s="11"/>
      <c r="M77" s="11"/>
      <c r="N77" s="5"/>
      <c r="O77" s="12"/>
      <c r="P77" s="12"/>
      <c r="Q77" s="12"/>
      <c r="R77" s="12"/>
      <c r="S77" s="12"/>
      <c r="T77" s="12"/>
      <c r="U77" s="12"/>
      <c r="V77" s="12"/>
      <c r="W77" s="12"/>
      <c r="X77" s="12"/>
      <c r="AA77" s="13"/>
    </row>
    <row r="78" spans="1:27" ht="12.75" customHeight="1">
      <c r="A78" s="86"/>
      <c r="B78" s="10" t="s">
        <v>666</v>
      </c>
      <c r="C78" s="87"/>
      <c r="D78" s="87"/>
      <c r="E78" s="87"/>
      <c r="F78" s="11"/>
      <c r="G78" s="11"/>
      <c r="H78" s="11"/>
      <c r="I78" s="11"/>
      <c r="J78" s="468"/>
      <c r="K78" s="11"/>
      <c r="L78" s="11"/>
      <c r="M78" s="11"/>
      <c r="N78" s="5"/>
      <c r="O78" s="12"/>
      <c r="P78" s="12"/>
      <c r="Q78" s="12"/>
      <c r="R78" s="12"/>
      <c r="S78" s="12"/>
      <c r="T78" s="12"/>
      <c r="U78" s="12"/>
      <c r="V78" s="12"/>
      <c r="W78" s="12"/>
      <c r="X78" s="12"/>
      <c r="AA78" s="13"/>
    </row>
    <row r="79" spans="1:27" ht="12.75" customHeight="1">
      <c r="A79" s="86"/>
      <c r="B79" s="10" t="s">
        <v>667</v>
      </c>
      <c r="C79" s="87"/>
      <c r="D79" s="87"/>
      <c r="E79" s="87"/>
      <c r="F79" s="11"/>
      <c r="G79" s="11"/>
      <c r="H79" s="11"/>
      <c r="I79" s="11"/>
      <c r="J79" s="468"/>
      <c r="K79" s="11"/>
      <c r="L79" s="11"/>
      <c r="M79" s="11"/>
      <c r="N79" s="5"/>
      <c r="O79" s="12"/>
      <c r="P79" s="12"/>
      <c r="Q79" s="12"/>
      <c r="R79" s="12"/>
      <c r="S79" s="12"/>
      <c r="T79" s="12"/>
      <c r="U79" s="12"/>
      <c r="V79" s="12"/>
      <c r="W79" s="12"/>
      <c r="X79" s="12"/>
      <c r="AA79" s="13"/>
    </row>
    <row r="80" spans="1:27" ht="12.75" customHeight="1">
      <c r="A80" s="86"/>
      <c r="B80" s="10" t="s">
        <v>668</v>
      </c>
      <c r="C80" s="87"/>
      <c r="D80" s="87"/>
      <c r="E80" s="87"/>
      <c r="F80" s="11"/>
      <c r="G80" s="11"/>
      <c r="H80" s="11"/>
      <c r="I80" s="11"/>
      <c r="J80" s="468"/>
      <c r="K80" s="11"/>
      <c r="L80" s="11"/>
      <c r="M80" s="11"/>
      <c r="N80" s="5"/>
      <c r="O80" s="12"/>
      <c r="P80" s="12"/>
      <c r="Q80" s="12"/>
      <c r="R80" s="12"/>
      <c r="S80" s="12"/>
      <c r="T80" s="12"/>
      <c r="U80" s="12"/>
      <c r="V80" s="12"/>
      <c r="W80" s="12"/>
      <c r="X80" s="12"/>
      <c r="AA80" s="13"/>
    </row>
    <row r="81" spans="1:27" ht="12.75" customHeight="1">
      <c r="A81" s="86"/>
      <c r="B81" s="10" t="s">
        <v>669</v>
      </c>
      <c r="C81" s="87"/>
      <c r="D81" s="87"/>
      <c r="E81" s="87"/>
      <c r="F81" s="11"/>
      <c r="G81" s="11"/>
      <c r="H81" s="11"/>
      <c r="I81" s="11"/>
      <c r="J81" s="468"/>
      <c r="K81" s="11"/>
      <c r="L81" s="11"/>
      <c r="M81" s="11"/>
      <c r="N81" s="5"/>
      <c r="O81" s="12"/>
      <c r="P81" s="12"/>
      <c r="Q81" s="12"/>
      <c r="R81" s="12"/>
      <c r="S81" s="12"/>
      <c r="T81" s="12"/>
      <c r="U81" s="12"/>
      <c r="V81" s="12"/>
      <c r="W81" s="12"/>
      <c r="X81" s="12"/>
      <c r="AA81" s="13"/>
    </row>
    <row r="82" spans="1:27" ht="12.75" customHeight="1">
      <c r="B82" s="14" t="s">
        <v>673</v>
      </c>
      <c r="C82" s="36">
        <f>SUM(C75:C81)</f>
        <v>0</v>
      </c>
      <c r="D82" s="36">
        <f>SUM(D75:D81)</f>
        <v>0</v>
      </c>
      <c r="E82" s="36">
        <f>SUM(E75:E81)</f>
        <v>0</v>
      </c>
      <c r="F82" s="12"/>
      <c r="G82" s="36">
        <f>SUM(G75:G81)</f>
        <v>0</v>
      </c>
      <c r="H82" s="36">
        <f>SUM(H75:H81)</f>
        <v>0</v>
      </c>
      <c r="I82" s="36">
        <f>SUM(I75:I81)</f>
        <v>0</v>
      </c>
      <c r="J82" s="36">
        <f>SUM(J75:J81)</f>
        <v>0</v>
      </c>
      <c r="K82" s="36">
        <f>SUM(K75:K81)</f>
        <v>0</v>
      </c>
      <c r="L82" s="36">
        <f>SUM(L75:L81)</f>
        <v>0</v>
      </c>
      <c r="M82" s="36">
        <f>SUM(M75:M81)</f>
        <v>0</v>
      </c>
      <c r="N82" s="5"/>
      <c r="O82" s="36" t="e">
        <f>SUM(#REF!)</f>
        <v>#REF!</v>
      </c>
      <c r="P82" s="36" t="e">
        <f>SUM(#REF!)</f>
        <v>#REF!</v>
      </c>
      <c r="Q82" s="36" t="e">
        <f>SUM(#REF!)</f>
        <v>#REF!</v>
      </c>
      <c r="R82" s="36" t="e">
        <f>SUM(#REF!)</f>
        <v>#REF!</v>
      </c>
      <c r="S82" s="36" t="e">
        <f>SUM(#REF!)</f>
        <v>#REF!</v>
      </c>
      <c r="T82" s="36" t="e">
        <f>SUM(#REF!)</f>
        <v>#REF!</v>
      </c>
      <c r="U82" s="36" t="e">
        <f>SUM(#REF!)</f>
        <v>#REF!</v>
      </c>
      <c r="V82" s="36" t="e">
        <f>SUM(#REF!)</f>
        <v>#REF!</v>
      </c>
      <c r="W82" s="36" t="e">
        <f>SUM(#REF!)</f>
        <v>#REF!</v>
      </c>
      <c r="X82" s="36" t="e">
        <f>SUM(#REF!)</f>
        <v>#REF!</v>
      </c>
      <c r="Y82" s="36" t="e">
        <f>SUM(#REF!)</f>
        <v>#REF!</v>
      </c>
      <c r="AA82" s="16" t="e">
        <f t="shared" ref="AA82" si="19">SUM(Y82/U82)-1</f>
        <v>#REF!</v>
      </c>
    </row>
    <row r="83" spans="1:27" ht="5.0999999999999996" customHeight="1"/>
    <row r="84" spans="1:27" ht="12">
      <c r="B84" s="585" t="str">
        <f>B75&amp;"(%)"</f>
        <v>Apparel &amp; Accessories (%)</v>
      </c>
      <c r="C84" s="583"/>
      <c r="D84" s="583"/>
      <c r="E84" s="583">
        <v>0.18</v>
      </c>
      <c r="F84" s="569"/>
      <c r="G84" s="569"/>
      <c r="H84" s="569"/>
      <c r="I84" s="569"/>
      <c r="J84" s="569"/>
      <c r="K84" s="569"/>
      <c r="L84" s="569"/>
      <c r="M84" s="569"/>
      <c r="N84" s="569"/>
      <c r="O84" s="569"/>
      <c r="P84" s="569"/>
      <c r="Q84" s="569"/>
      <c r="R84" s="569"/>
      <c r="S84" s="569"/>
      <c r="T84" s="569"/>
      <c r="U84" s="569"/>
      <c r="V84" s="569"/>
      <c r="W84" s="569"/>
      <c r="X84" s="569"/>
      <c r="Y84" s="584"/>
    </row>
    <row r="85" spans="1:27" ht="12">
      <c r="B85" s="586" t="str">
        <f t="shared" ref="B85:B90" si="20">B76&amp;"(%)"</f>
        <v>Health &amp; Beauty (%)</v>
      </c>
      <c r="C85" s="578"/>
      <c r="D85" s="578"/>
      <c r="E85" s="578">
        <v>0.19</v>
      </c>
      <c r="F85" s="579"/>
      <c r="G85" s="579"/>
      <c r="H85" s="579"/>
      <c r="I85" s="579"/>
      <c r="J85" s="579"/>
      <c r="K85" s="579"/>
      <c r="L85" s="579"/>
      <c r="M85" s="579"/>
      <c r="N85" s="579"/>
      <c r="O85" s="579"/>
      <c r="P85" s="579"/>
      <c r="Q85" s="579"/>
      <c r="R85" s="579"/>
      <c r="S85" s="579"/>
      <c r="T85" s="579"/>
      <c r="U85" s="579"/>
      <c r="V85" s="579"/>
      <c r="W85" s="579"/>
      <c r="X85" s="579"/>
      <c r="Y85" s="581"/>
    </row>
    <row r="86" spans="1:27" ht="12">
      <c r="B86" s="586" t="str">
        <f t="shared" si="20"/>
        <v>Home &amp; Electronics (%)</v>
      </c>
      <c r="C86" s="578"/>
      <c r="D86" s="578"/>
      <c r="E86" s="578">
        <v>0.19</v>
      </c>
      <c r="F86" s="579"/>
      <c r="G86" s="579"/>
      <c r="H86" s="579"/>
      <c r="I86" s="579"/>
      <c r="J86" s="579"/>
      <c r="K86" s="579"/>
      <c r="L86" s="579"/>
      <c r="M86" s="579"/>
      <c r="N86" s="579"/>
      <c r="O86" s="579"/>
      <c r="P86" s="579"/>
      <c r="Q86" s="579"/>
      <c r="R86" s="579"/>
      <c r="S86" s="579"/>
      <c r="T86" s="579"/>
      <c r="U86" s="579"/>
      <c r="V86" s="579"/>
      <c r="W86" s="579"/>
      <c r="X86" s="579"/>
      <c r="Y86" s="581"/>
    </row>
    <row r="87" spans="1:27" ht="12">
      <c r="B87" s="586" t="str">
        <f t="shared" si="20"/>
        <v>Food &amp; Beverage (%)</v>
      </c>
      <c r="C87" s="578"/>
      <c r="D87" s="578"/>
      <c r="E87" s="578">
        <v>0.13</v>
      </c>
      <c r="F87" s="579"/>
      <c r="G87" s="579"/>
      <c r="H87" s="579"/>
      <c r="I87" s="579"/>
      <c r="J87" s="579"/>
      <c r="K87" s="579"/>
      <c r="L87" s="579"/>
      <c r="M87" s="579"/>
      <c r="N87" s="579"/>
      <c r="O87" s="579"/>
      <c r="P87" s="579"/>
      <c r="Q87" s="579"/>
      <c r="R87" s="579"/>
      <c r="S87" s="579"/>
      <c r="T87" s="579"/>
      <c r="U87" s="579"/>
      <c r="V87" s="579"/>
      <c r="W87" s="579"/>
      <c r="X87" s="579"/>
      <c r="Y87" s="581"/>
    </row>
    <row r="88" spans="1:27" ht="12">
      <c r="B88" s="586" t="str">
        <f t="shared" si="20"/>
        <v>Leisure (%)</v>
      </c>
      <c r="C88" s="578"/>
      <c r="D88" s="578"/>
      <c r="E88" s="578">
        <v>0.14000000000000001</v>
      </c>
      <c r="F88" s="579"/>
      <c r="G88" s="579"/>
      <c r="H88" s="579"/>
      <c r="I88" s="579"/>
      <c r="J88" s="579"/>
      <c r="K88" s="579"/>
      <c r="L88" s="579"/>
      <c r="M88" s="579"/>
      <c r="N88" s="579"/>
      <c r="O88" s="579"/>
      <c r="P88" s="579"/>
      <c r="Q88" s="579"/>
      <c r="R88" s="579"/>
      <c r="S88" s="579"/>
      <c r="T88" s="579"/>
      <c r="U88" s="579"/>
      <c r="V88" s="579"/>
      <c r="W88" s="579"/>
      <c r="X88" s="579"/>
      <c r="Y88" s="581"/>
    </row>
    <row r="89" spans="1:27" ht="12">
      <c r="B89" s="586" t="str">
        <f t="shared" si="20"/>
        <v>Events &amp; Services (%)</v>
      </c>
      <c r="C89" s="578"/>
      <c r="D89" s="578"/>
      <c r="E89" s="578">
        <v>0.12</v>
      </c>
      <c r="F89" s="579"/>
      <c r="G89" s="579"/>
      <c r="H89" s="579"/>
      <c r="I89" s="579"/>
      <c r="J89" s="579"/>
      <c r="K89" s="579"/>
      <c r="L89" s="579"/>
      <c r="M89" s="579"/>
      <c r="N89" s="579"/>
      <c r="O89" s="579"/>
      <c r="P89" s="579"/>
      <c r="Q89" s="579"/>
      <c r="R89" s="579"/>
      <c r="S89" s="579"/>
      <c r="T89" s="579"/>
      <c r="U89" s="579"/>
      <c r="V89" s="579"/>
      <c r="W89" s="579"/>
      <c r="X89" s="579"/>
      <c r="Y89" s="581"/>
    </row>
    <row r="90" spans="1:27" ht="12">
      <c r="B90" s="587" t="str">
        <f t="shared" si="20"/>
        <v>Travel (%)</v>
      </c>
      <c r="C90" s="580"/>
      <c r="D90" s="580"/>
      <c r="E90" s="580">
        <v>0.05</v>
      </c>
      <c r="F90" s="567"/>
      <c r="G90" s="567"/>
      <c r="H90" s="567"/>
      <c r="I90" s="567"/>
      <c r="J90" s="567"/>
      <c r="K90" s="567"/>
      <c r="L90" s="567"/>
      <c r="M90" s="567"/>
      <c r="N90" s="567"/>
      <c r="O90" s="567"/>
      <c r="P90" s="567"/>
      <c r="Q90" s="567"/>
      <c r="R90" s="567"/>
      <c r="S90" s="567"/>
      <c r="T90" s="567"/>
      <c r="U90" s="567"/>
      <c r="V90" s="567"/>
      <c r="W90" s="567"/>
      <c r="X90" s="567"/>
      <c r="Y90" s="582"/>
    </row>
  </sheetData>
  <mergeCells count="1">
    <mergeCell ref="AA2:AA4"/>
  </mergeCells>
  <dataValidations disablePrompts="1" count="1">
    <dataValidation type="list" allowBlank="1" showInputMessage="1" showErrorMessage="1" sqref="B4" xr:uid="{B3728C35-3A1D-46C1-B682-E4F673119312}">
      <formula1>"$ bns except per share, $ mm except per share,$ in thousands except per share"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6C0D2-A617-43BF-9493-F1D2AA08251E}">
  <sheetPr>
    <tabColor theme="6" tint="-0.249977111117893"/>
  </sheetPr>
  <dimension ref="A2:AK83"/>
  <sheetViews>
    <sheetView showGridLines="0" zoomScale="115" zoomScaleNormal="115" workbookViewId="0">
      <selection activeCell="B2" sqref="B2"/>
    </sheetView>
  </sheetViews>
  <sheetFormatPr defaultRowHeight="12" outlineLevelCol="1"/>
  <cols>
    <col min="1" max="1" width="1.5" style="8" customWidth="1"/>
    <col min="2" max="2" width="48.125" style="8" bestFit="1" customWidth="1"/>
    <col min="3" max="3" width="9" style="8" bestFit="1" customWidth="1"/>
    <col min="4" max="4" width="9.25" style="8" bestFit="1" customWidth="1"/>
    <col min="5" max="5" width="9" style="8"/>
    <col min="6" max="6" width="1.5" style="8" customWidth="1"/>
    <col min="7" max="9" width="7.875" style="8" hidden="1" customWidth="1" outlineLevel="1"/>
    <col min="10" max="10" width="9" style="8" hidden="1" customWidth="1" outlineLevel="1"/>
    <col min="11" max="11" width="8.5" style="8" hidden="1" customWidth="1" outlineLevel="1"/>
    <col min="12" max="12" width="7.875" style="8" hidden="1" customWidth="1" outlineLevel="1"/>
    <col min="13" max="13" width="9" style="8" hidden="1" customWidth="1" outlineLevel="1"/>
    <col min="14" max="14" width="9.25" style="8" hidden="1" customWidth="1" outlineLevel="1"/>
    <col min="15" max="15" width="9.75" style="8" hidden="1" customWidth="1" outlineLevel="1"/>
    <col min="16" max="16" width="9" style="8" hidden="1" customWidth="1" outlineLevel="1"/>
    <col min="17" max="17" width="9" style="8" bestFit="1" customWidth="1" collapsed="1"/>
    <col min="18" max="19" width="9" style="8" bestFit="1" customWidth="1"/>
    <col min="20" max="21" width="8.5" style="8" bestFit="1" customWidth="1"/>
    <col min="22" max="22" width="1.625" style="8" customWidth="1"/>
    <col min="23" max="23" width="9" style="8" hidden="1" customWidth="1" outlineLevel="1"/>
    <col min="24" max="24" width="8.625" style="8" hidden="1" customWidth="1" outlineLevel="1"/>
    <col min="25" max="25" width="8.5" style="8" hidden="1" customWidth="1" outlineLevel="1"/>
    <col min="26" max="27" width="8.25" style="8" hidden="1" customWidth="1" outlineLevel="1"/>
    <col min="28" max="28" width="9.25" style="8" hidden="1" customWidth="1" outlineLevel="1"/>
    <col min="29" max="29" width="9.75" style="8" hidden="1" customWidth="1" outlineLevel="1"/>
    <col min="30" max="30" width="9" style="8" hidden="1" customWidth="1" outlineLevel="1"/>
    <col min="31" max="31" width="9" style="8" customWidth="1" collapsed="1"/>
    <col min="32" max="33" width="9" style="8" hidden="1" customWidth="1" outlineLevel="1"/>
    <col min="34" max="34" width="8.5" style="8" hidden="1" customWidth="1" outlineLevel="1"/>
    <col min="35" max="35" width="8.5" style="8" bestFit="1" customWidth="1" collapsed="1"/>
    <col min="36" max="36" width="1.5" style="8" customWidth="1"/>
    <col min="37" max="37" width="8.375" style="473" bestFit="1" customWidth="1"/>
    <col min="38" max="16384" width="9" style="8"/>
  </cols>
  <sheetData>
    <row r="2" spans="2:37" s="5" customFormat="1" ht="12.75" customHeight="1">
      <c r="B2" s="1" t="str">
        <f>'Historical Financials'!B2</f>
        <v>Klarna Group plc (KLAR)</v>
      </c>
      <c r="C2" s="2" t="s">
        <v>0</v>
      </c>
      <c r="D2" s="2"/>
      <c r="E2" s="2"/>
      <c r="F2" s="3"/>
      <c r="G2" s="2" t="s">
        <v>1</v>
      </c>
      <c r="H2" s="2"/>
      <c r="I2" s="2"/>
      <c r="J2" s="2"/>
      <c r="K2" s="2"/>
      <c r="L2" s="2"/>
      <c r="M2" s="2"/>
      <c r="N2" s="2"/>
      <c r="O2" s="2"/>
      <c r="P2" s="2"/>
      <c r="Q2" s="2" t="s">
        <v>1</v>
      </c>
      <c r="R2" s="2"/>
      <c r="S2" s="2"/>
      <c r="T2" s="2"/>
      <c r="U2" s="2"/>
      <c r="V2" s="3"/>
      <c r="W2" s="2" t="s">
        <v>6</v>
      </c>
      <c r="X2" s="2"/>
      <c r="Y2" s="2"/>
      <c r="Z2" s="2"/>
      <c r="AA2" s="2"/>
      <c r="AB2" s="2"/>
      <c r="AC2" s="2"/>
      <c r="AD2" s="2" t="s">
        <v>6</v>
      </c>
      <c r="AE2" s="2" t="s">
        <v>6</v>
      </c>
      <c r="AF2" s="2"/>
      <c r="AG2" s="2"/>
      <c r="AH2" s="2"/>
      <c r="AI2" s="2"/>
      <c r="AJ2" s="3"/>
      <c r="AK2" s="577" t="s">
        <v>32</v>
      </c>
    </row>
    <row r="3" spans="2:37" s="5" customFormat="1" ht="12.75" customHeight="1">
      <c r="B3" s="6" t="s">
        <v>33</v>
      </c>
      <c r="C3" s="7">
        <f>'Historical Financials'!C7</f>
        <v>2022</v>
      </c>
      <c r="D3" s="7">
        <f>'Historical Financials'!D7</f>
        <v>2023</v>
      </c>
      <c r="E3" s="7">
        <f>'Historical Financials'!E7</f>
        <v>2024</v>
      </c>
      <c r="F3" s="3"/>
      <c r="G3" s="7" t="e">
        <f>'Historical Financials'!#REF!</f>
        <v>#REF!</v>
      </c>
      <c r="H3" s="7" t="e">
        <f>'Historical Financials'!#REF!</f>
        <v>#REF!</v>
      </c>
      <c r="I3" s="7" t="e">
        <f>'Historical Financials'!#REF!</f>
        <v>#REF!</v>
      </c>
      <c r="J3" s="7" t="e">
        <f>'Historical Financials'!#REF!</f>
        <v>#REF!</v>
      </c>
      <c r="K3" s="7" t="e">
        <f>'Historical Financials'!#REF!</f>
        <v>#REF!</v>
      </c>
      <c r="L3" s="7" t="e">
        <f>'Historical Financials'!#REF!</f>
        <v>#REF!</v>
      </c>
      <c r="M3" s="7" t="e">
        <f>'Historical Financials'!#REF!</f>
        <v>#REF!</v>
      </c>
      <c r="N3" s="7" t="e">
        <f>'Historical Financials'!#REF!</f>
        <v>#REF!</v>
      </c>
      <c r="O3" s="7" t="str">
        <f>'Historical Financials'!G7</f>
        <v>1Q24</v>
      </c>
      <c r="P3" s="7" t="str">
        <f>'Historical Financials'!H7</f>
        <v>2Q24</v>
      </c>
      <c r="Q3" s="7" t="str">
        <f>'Historical Financials'!I7</f>
        <v>3Q24</v>
      </c>
      <c r="R3" s="7" t="str">
        <f>'Historical Financials'!J7</f>
        <v>4Q24</v>
      </c>
      <c r="S3" s="7" t="str">
        <f>'Historical Financials'!K7</f>
        <v>1Q25</v>
      </c>
      <c r="T3" s="7" t="str">
        <f>'Historical Financials'!L7</f>
        <v>2Q25</v>
      </c>
      <c r="U3" s="7" t="str">
        <f>'Historical Financials'!M7</f>
        <v>3Q25</v>
      </c>
      <c r="V3" s="3"/>
      <c r="W3" s="4" t="e">
        <f t="shared" ref="W3:AI4" si="0">I3</f>
        <v>#REF!</v>
      </c>
      <c r="X3" s="4" t="e">
        <f t="shared" si="0"/>
        <v>#REF!</v>
      </c>
      <c r="Y3" s="4" t="e">
        <f t="shared" si="0"/>
        <v>#REF!</v>
      </c>
      <c r="Z3" s="4" t="e">
        <f t="shared" si="0"/>
        <v>#REF!</v>
      </c>
      <c r="AA3" s="4" t="e">
        <f t="shared" si="0"/>
        <v>#REF!</v>
      </c>
      <c r="AB3" s="4" t="e">
        <f t="shared" si="0"/>
        <v>#REF!</v>
      </c>
      <c r="AC3" s="4" t="str">
        <f t="shared" si="0"/>
        <v>1Q24</v>
      </c>
      <c r="AD3" s="4" t="str">
        <f t="shared" si="0"/>
        <v>2Q24</v>
      </c>
      <c r="AE3" s="4" t="str">
        <f t="shared" si="0"/>
        <v>3Q24</v>
      </c>
      <c r="AF3" s="4" t="str">
        <f t="shared" si="0"/>
        <v>4Q24</v>
      </c>
      <c r="AG3" s="4" t="str">
        <f t="shared" si="0"/>
        <v>1Q25</v>
      </c>
      <c r="AH3" s="4" t="str">
        <f t="shared" si="0"/>
        <v>2Q25</v>
      </c>
      <c r="AI3" s="4" t="str">
        <f t="shared" si="0"/>
        <v>3Q25</v>
      </c>
      <c r="AJ3" s="3"/>
      <c r="AK3" s="577"/>
    </row>
    <row r="4" spans="2:37" s="5" customFormat="1" ht="12.75" customHeight="1">
      <c r="B4" s="6" t="s">
        <v>398</v>
      </c>
      <c r="C4" s="3">
        <f>'Historical Financials'!C8</f>
        <v>44926</v>
      </c>
      <c r="D4" s="3">
        <f>'Historical Financials'!D8</f>
        <v>45291</v>
      </c>
      <c r="E4" s="3">
        <f>'Historical Financials'!E8</f>
        <v>45657</v>
      </c>
      <c r="F4" s="3"/>
      <c r="G4" s="3" t="e">
        <f>'Historical Financials'!#REF!</f>
        <v>#REF!</v>
      </c>
      <c r="H4" s="3" t="e">
        <f>'Historical Financials'!#REF!</f>
        <v>#REF!</v>
      </c>
      <c r="I4" s="3" t="e">
        <f>'Historical Financials'!#REF!</f>
        <v>#REF!</v>
      </c>
      <c r="J4" s="3" t="e">
        <f>'Historical Financials'!#REF!</f>
        <v>#REF!</v>
      </c>
      <c r="K4" s="3" t="e">
        <f>'Historical Financials'!#REF!</f>
        <v>#REF!</v>
      </c>
      <c r="L4" s="3" t="e">
        <f>'Historical Financials'!#REF!</f>
        <v>#REF!</v>
      </c>
      <c r="M4" s="3" t="e">
        <f>'Historical Financials'!#REF!</f>
        <v>#REF!</v>
      </c>
      <c r="N4" s="3" t="e">
        <f>'Historical Financials'!#REF!</f>
        <v>#REF!</v>
      </c>
      <c r="O4" s="3">
        <f>'Historical Financials'!G8</f>
        <v>45382</v>
      </c>
      <c r="P4" s="3">
        <f>'Historical Financials'!H8</f>
        <v>45473</v>
      </c>
      <c r="Q4" s="3">
        <f>'Historical Financials'!I8</f>
        <v>45565</v>
      </c>
      <c r="R4" s="3">
        <f>'Historical Financials'!J8</f>
        <v>45657</v>
      </c>
      <c r="S4" s="3">
        <f>'Historical Financials'!K8</f>
        <v>45747</v>
      </c>
      <c r="T4" s="3">
        <f>'Historical Financials'!L8</f>
        <v>45838</v>
      </c>
      <c r="U4" s="3">
        <f>'Historical Financials'!M8</f>
        <v>45930</v>
      </c>
      <c r="V4" s="3"/>
      <c r="W4" s="3" t="e">
        <f t="shared" si="0"/>
        <v>#REF!</v>
      </c>
      <c r="X4" s="3" t="e">
        <f t="shared" si="0"/>
        <v>#REF!</v>
      </c>
      <c r="Y4" s="3" t="e">
        <f t="shared" si="0"/>
        <v>#REF!</v>
      </c>
      <c r="Z4" s="3" t="e">
        <f t="shared" si="0"/>
        <v>#REF!</v>
      </c>
      <c r="AA4" s="3" t="e">
        <f t="shared" si="0"/>
        <v>#REF!</v>
      </c>
      <c r="AB4" s="3" t="e">
        <f t="shared" si="0"/>
        <v>#REF!</v>
      </c>
      <c r="AC4" s="3">
        <f t="shared" si="0"/>
        <v>45382</v>
      </c>
      <c r="AD4" s="3">
        <f t="shared" si="0"/>
        <v>45473</v>
      </c>
      <c r="AE4" s="3">
        <f t="shared" si="0"/>
        <v>45565</v>
      </c>
      <c r="AF4" s="3">
        <f t="shared" si="0"/>
        <v>45657</v>
      </c>
      <c r="AG4" s="3">
        <f t="shared" si="0"/>
        <v>45747</v>
      </c>
      <c r="AH4" s="3">
        <f t="shared" si="0"/>
        <v>45838</v>
      </c>
      <c r="AI4" s="3">
        <f t="shared" si="0"/>
        <v>45930</v>
      </c>
      <c r="AJ4" s="3"/>
      <c r="AK4" s="577"/>
    </row>
    <row r="5" spans="2:37" ht="5.0999999999999996" customHeight="1">
      <c r="AK5" s="469"/>
    </row>
    <row r="6" spans="2:37" ht="12.75" customHeight="1">
      <c r="B6" s="10" t="str">
        <f>'Revenue Drivers'!B9</f>
        <v xml:space="preserve">Transaction and service revenue	</v>
      </c>
      <c r="C6" s="175">
        <f>'Revenue Drivers'!C9</f>
        <v>1468</v>
      </c>
      <c r="D6" s="175">
        <f>'Revenue Drivers'!D9</f>
        <v>1768</v>
      </c>
      <c r="E6" s="175">
        <f>'Revenue Drivers'!E9</f>
        <v>2136</v>
      </c>
      <c r="F6" s="11"/>
      <c r="G6" s="510" t="e">
        <f>'Revenue Drivers'!#REF!</f>
        <v>#REF!</v>
      </c>
      <c r="H6" s="510" t="e">
        <f>'Revenue Drivers'!#REF!</f>
        <v>#REF!</v>
      </c>
      <c r="I6" s="510" t="e">
        <f>'Revenue Drivers'!#REF!</f>
        <v>#REF!</v>
      </c>
      <c r="J6" s="510" t="e">
        <f>'Revenue Drivers'!#REF!</f>
        <v>#REF!</v>
      </c>
      <c r="K6" s="510" t="e">
        <f>'Revenue Drivers'!#REF!</f>
        <v>#REF!</v>
      </c>
      <c r="L6" s="510" t="e">
        <f>'Revenue Drivers'!#REF!</f>
        <v>#REF!</v>
      </c>
      <c r="M6" s="510" t="e">
        <f>'Revenue Drivers'!#REF!</f>
        <v>#REF!</v>
      </c>
      <c r="N6" s="510" t="e">
        <f>'Revenue Drivers'!#REF!</f>
        <v>#REF!</v>
      </c>
      <c r="O6" s="510">
        <f>'Revenue Drivers'!G9</f>
        <v>0</v>
      </c>
      <c r="P6" s="510">
        <f>'Revenue Drivers'!H9</f>
        <v>0</v>
      </c>
      <c r="Q6" s="510">
        <f>'Revenue Drivers'!I9</f>
        <v>532</v>
      </c>
      <c r="R6" s="510">
        <f>'Revenue Drivers'!J9</f>
        <v>1604</v>
      </c>
      <c r="S6" s="510">
        <f>'Revenue Drivers'!K9</f>
        <v>0</v>
      </c>
      <c r="T6" s="510">
        <f>'Revenue Drivers'!L9</f>
        <v>0</v>
      </c>
      <c r="U6" s="510">
        <f>'Revenue Drivers'!M9</f>
        <v>634</v>
      </c>
      <c r="V6" s="5"/>
      <c r="W6" s="11" t="e">
        <f t="shared" ref="W6:AI6" si="1">SUM(F6:I6)</f>
        <v>#REF!</v>
      </c>
      <c r="X6" s="11" t="e">
        <f t="shared" si="1"/>
        <v>#REF!</v>
      </c>
      <c r="Y6" s="11" t="e">
        <f t="shared" si="1"/>
        <v>#REF!</v>
      </c>
      <c r="Z6" s="11" t="e">
        <f t="shared" si="1"/>
        <v>#REF!</v>
      </c>
      <c r="AA6" s="11" t="e">
        <f t="shared" si="1"/>
        <v>#REF!</v>
      </c>
      <c r="AB6" s="11" t="e">
        <f t="shared" si="1"/>
        <v>#REF!</v>
      </c>
      <c r="AC6" s="11" t="e">
        <f t="shared" si="1"/>
        <v>#REF!</v>
      </c>
      <c r="AD6" s="11" t="e">
        <f t="shared" si="1"/>
        <v>#REF!</v>
      </c>
      <c r="AE6" s="511" t="e">
        <f t="shared" si="1"/>
        <v>#REF!</v>
      </c>
      <c r="AF6" s="511">
        <f t="shared" si="1"/>
        <v>2136</v>
      </c>
      <c r="AG6" s="511">
        <f t="shared" si="1"/>
        <v>2136</v>
      </c>
      <c r="AH6" s="511">
        <f t="shared" si="1"/>
        <v>2136</v>
      </c>
      <c r="AI6" s="511">
        <f t="shared" si="1"/>
        <v>2238</v>
      </c>
      <c r="AK6" s="470" t="e">
        <f>SUM(AI6/AE6)-1</f>
        <v>#REF!</v>
      </c>
    </row>
    <row r="7" spans="2:37" ht="12.75" customHeight="1">
      <c r="B7" s="10" t="str">
        <f>'Revenue Drivers'!B10</f>
        <v xml:space="preserve">Interest income	</v>
      </c>
      <c r="C7" s="175">
        <f>'Revenue Drivers'!C10</f>
        <v>436</v>
      </c>
      <c r="D7" s="175">
        <f>'Revenue Drivers'!D10</f>
        <v>508</v>
      </c>
      <c r="E7" s="175">
        <f>'Revenue Drivers'!E10</f>
        <v>675</v>
      </c>
      <c r="F7" s="11"/>
      <c r="G7" s="510" t="e">
        <f>'Revenue Drivers'!#REF!</f>
        <v>#REF!</v>
      </c>
      <c r="H7" s="510" t="e">
        <f>'Revenue Drivers'!#REF!</f>
        <v>#REF!</v>
      </c>
      <c r="I7" s="510" t="e">
        <f>'Revenue Drivers'!#REF!</f>
        <v>#REF!</v>
      </c>
      <c r="J7" s="510" t="e">
        <f>'Revenue Drivers'!#REF!</f>
        <v>#REF!</v>
      </c>
      <c r="K7" s="510" t="e">
        <f>'Revenue Drivers'!#REF!</f>
        <v>#REF!</v>
      </c>
      <c r="L7" s="510" t="e">
        <f>'Revenue Drivers'!#REF!</f>
        <v>#REF!</v>
      </c>
      <c r="M7" s="510" t="e">
        <f>'Revenue Drivers'!#REF!</f>
        <v>#REF!</v>
      </c>
      <c r="N7" s="510" t="e">
        <f>'Revenue Drivers'!#REF!</f>
        <v>#REF!</v>
      </c>
      <c r="O7" s="510">
        <f>'Revenue Drivers'!G10</f>
        <v>0</v>
      </c>
      <c r="P7" s="510">
        <f>'Revenue Drivers'!H10</f>
        <v>0</v>
      </c>
      <c r="Q7" s="510">
        <f>'Revenue Drivers'!I10</f>
        <v>174</v>
      </c>
      <c r="R7" s="510">
        <f>'Revenue Drivers'!J10</f>
        <v>501</v>
      </c>
      <c r="S7" s="510">
        <f>'Revenue Drivers'!K10</f>
        <v>0</v>
      </c>
      <c r="T7" s="510">
        <f>'Revenue Drivers'!L10</f>
        <v>0</v>
      </c>
      <c r="U7" s="510">
        <f>'Revenue Drivers'!M10</f>
        <v>269</v>
      </c>
      <c r="V7" s="5"/>
      <c r="W7" s="11"/>
      <c r="X7" s="11"/>
      <c r="Y7" s="11"/>
      <c r="Z7" s="11"/>
      <c r="AA7" s="11"/>
      <c r="AB7" s="11"/>
      <c r="AC7" s="11"/>
      <c r="AD7" s="11"/>
      <c r="AE7" s="511" t="e">
        <f t="shared" ref="AE7:AI9" si="2">SUM(N7:Q7)</f>
        <v>#REF!</v>
      </c>
      <c r="AF7" s="511">
        <f t="shared" si="2"/>
        <v>675</v>
      </c>
      <c r="AG7" s="511">
        <f t="shared" si="2"/>
        <v>675</v>
      </c>
      <c r="AH7" s="511">
        <f t="shared" si="2"/>
        <v>675</v>
      </c>
      <c r="AI7" s="511">
        <f t="shared" si="2"/>
        <v>770</v>
      </c>
      <c r="AK7" s="470" t="e">
        <f>SUM(AI7/AE7)-1</f>
        <v>#REF!</v>
      </c>
    </row>
    <row r="8" spans="2:37" ht="12.75" customHeight="1">
      <c r="B8" s="10" t="e">
        <f>'Revenue Drivers'!#REF!</f>
        <v>#REF!</v>
      </c>
      <c r="C8" s="175" t="e">
        <f>'Revenue Drivers'!#REF!</f>
        <v>#REF!</v>
      </c>
      <c r="D8" s="175" t="e">
        <f>'Revenue Drivers'!#REF!</f>
        <v>#REF!</v>
      </c>
      <c r="E8" s="175" t="e">
        <f>'Revenue Drivers'!#REF!</f>
        <v>#REF!</v>
      </c>
      <c r="F8" s="11"/>
      <c r="G8" s="510" t="e">
        <f>'Revenue Drivers'!#REF!</f>
        <v>#REF!</v>
      </c>
      <c r="H8" s="510" t="e">
        <f>'Revenue Drivers'!#REF!</f>
        <v>#REF!</v>
      </c>
      <c r="I8" s="510" t="e">
        <f>'Revenue Drivers'!#REF!</f>
        <v>#REF!</v>
      </c>
      <c r="J8" s="510" t="e">
        <f>'Revenue Drivers'!#REF!</f>
        <v>#REF!</v>
      </c>
      <c r="K8" s="510" t="e">
        <f>'Revenue Drivers'!#REF!</f>
        <v>#REF!</v>
      </c>
      <c r="L8" s="510" t="e">
        <f>'Revenue Drivers'!#REF!</f>
        <v>#REF!</v>
      </c>
      <c r="M8" s="510" t="e">
        <f>'Revenue Drivers'!#REF!</f>
        <v>#REF!</v>
      </c>
      <c r="N8" s="510" t="e">
        <f>'Revenue Drivers'!#REF!</f>
        <v>#REF!</v>
      </c>
      <c r="O8" s="510" t="e">
        <f>'Revenue Drivers'!#REF!</f>
        <v>#REF!</v>
      </c>
      <c r="P8" s="510" t="e">
        <f>'Revenue Drivers'!#REF!</f>
        <v>#REF!</v>
      </c>
      <c r="Q8" s="510" t="e">
        <f>'Revenue Drivers'!#REF!</f>
        <v>#REF!</v>
      </c>
      <c r="R8" s="510" t="e">
        <f>'Revenue Drivers'!#REF!</f>
        <v>#REF!</v>
      </c>
      <c r="S8" s="510" t="e">
        <f>'Revenue Drivers'!#REF!</f>
        <v>#REF!</v>
      </c>
      <c r="T8" s="510" t="e">
        <f>'Revenue Drivers'!#REF!</f>
        <v>#REF!</v>
      </c>
      <c r="U8" s="510" t="e">
        <f>'Revenue Drivers'!#REF!</f>
        <v>#REF!</v>
      </c>
      <c r="V8" s="5"/>
      <c r="W8" s="11"/>
      <c r="X8" s="11"/>
      <c r="Y8" s="11"/>
      <c r="Z8" s="11"/>
      <c r="AA8" s="11"/>
      <c r="AB8" s="11"/>
      <c r="AC8" s="11"/>
      <c r="AD8" s="11"/>
      <c r="AE8" s="511" t="e">
        <f t="shared" si="2"/>
        <v>#REF!</v>
      </c>
      <c r="AF8" s="511" t="e">
        <f t="shared" si="2"/>
        <v>#REF!</v>
      </c>
      <c r="AG8" s="511" t="e">
        <f t="shared" si="2"/>
        <v>#REF!</v>
      </c>
      <c r="AH8" s="511" t="e">
        <f t="shared" si="2"/>
        <v>#REF!</v>
      </c>
      <c r="AI8" s="511" t="e">
        <f t="shared" si="2"/>
        <v>#REF!</v>
      </c>
      <c r="AK8" s="470" t="e">
        <f>SUM(AI8/AE8)-1</f>
        <v>#REF!</v>
      </c>
    </row>
    <row r="9" spans="2:37" ht="12.75" customHeight="1">
      <c r="B9" s="10" t="e">
        <f>'Revenue Drivers'!#REF!</f>
        <v>#REF!</v>
      </c>
      <c r="C9" s="175" t="e">
        <f>'Revenue Drivers'!#REF!</f>
        <v>#REF!</v>
      </c>
      <c r="D9" s="175" t="e">
        <f>'Revenue Drivers'!#REF!</f>
        <v>#REF!</v>
      </c>
      <c r="E9" s="175" t="e">
        <f>'Revenue Drivers'!#REF!</f>
        <v>#REF!</v>
      </c>
      <c r="F9" s="11"/>
      <c r="G9" s="510" t="e">
        <f>'Revenue Drivers'!#REF!</f>
        <v>#REF!</v>
      </c>
      <c r="H9" s="510" t="e">
        <f>'Revenue Drivers'!#REF!</f>
        <v>#REF!</v>
      </c>
      <c r="I9" s="510" t="e">
        <f>'Revenue Drivers'!#REF!</f>
        <v>#REF!</v>
      </c>
      <c r="J9" s="510" t="e">
        <f>'Revenue Drivers'!#REF!</f>
        <v>#REF!</v>
      </c>
      <c r="K9" s="510" t="e">
        <f>'Revenue Drivers'!#REF!</f>
        <v>#REF!</v>
      </c>
      <c r="L9" s="510" t="e">
        <f>'Revenue Drivers'!#REF!</f>
        <v>#REF!</v>
      </c>
      <c r="M9" s="510" t="e">
        <f>'Revenue Drivers'!#REF!</f>
        <v>#REF!</v>
      </c>
      <c r="N9" s="510" t="e">
        <f>'Revenue Drivers'!#REF!</f>
        <v>#REF!</v>
      </c>
      <c r="O9" s="510" t="e">
        <f>'Revenue Drivers'!#REF!</f>
        <v>#REF!</v>
      </c>
      <c r="P9" s="510" t="e">
        <f>'Revenue Drivers'!#REF!</f>
        <v>#REF!</v>
      </c>
      <c r="Q9" s="510" t="e">
        <f>'Revenue Drivers'!#REF!</f>
        <v>#REF!</v>
      </c>
      <c r="R9" s="510" t="e">
        <f>'Revenue Drivers'!#REF!</f>
        <v>#REF!</v>
      </c>
      <c r="S9" s="510" t="e">
        <f>'Revenue Drivers'!#REF!</f>
        <v>#REF!</v>
      </c>
      <c r="T9" s="510" t="e">
        <f>'Revenue Drivers'!#REF!</f>
        <v>#REF!</v>
      </c>
      <c r="U9" s="510" t="e">
        <f>'Revenue Drivers'!#REF!</f>
        <v>#REF!</v>
      </c>
      <c r="V9" s="5"/>
      <c r="W9" s="11"/>
      <c r="X9" s="11"/>
      <c r="Y9" s="11"/>
      <c r="Z9" s="11"/>
      <c r="AA9" s="11"/>
      <c r="AB9" s="11"/>
      <c r="AC9" s="11"/>
      <c r="AD9" s="11"/>
      <c r="AE9" s="511" t="e">
        <f t="shared" si="2"/>
        <v>#REF!</v>
      </c>
      <c r="AF9" s="511" t="e">
        <f t="shared" si="2"/>
        <v>#REF!</v>
      </c>
      <c r="AG9" s="511" t="e">
        <f t="shared" si="2"/>
        <v>#REF!</v>
      </c>
      <c r="AH9" s="511" t="e">
        <f t="shared" si="2"/>
        <v>#REF!</v>
      </c>
      <c r="AI9" s="511" t="e">
        <f t="shared" si="2"/>
        <v>#REF!</v>
      </c>
      <c r="AK9" s="470" t="e">
        <f>SUM(AI9/AE9)-1</f>
        <v>#REF!</v>
      </c>
    </row>
    <row r="10" spans="2:37" ht="12.75" customHeight="1">
      <c r="B10" s="14" t="s">
        <v>9</v>
      </c>
      <c r="C10" s="15" t="e">
        <f>SUM(C6:C9)</f>
        <v>#REF!</v>
      </c>
      <c r="D10" s="15" t="e">
        <f>SUM(D6:D9)</f>
        <v>#REF!</v>
      </c>
      <c r="E10" s="15" t="e">
        <f>SUM(E6:E9)</f>
        <v>#REF!</v>
      </c>
      <c r="F10" s="11"/>
      <c r="G10" s="15" t="e">
        <f t="shared" ref="G10:U10" si="3">SUM(G6:G9)</f>
        <v>#REF!</v>
      </c>
      <c r="H10" s="15" t="e">
        <f t="shared" si="3"/>
        <v>#REF!</v>
      </c>
      <c r="I10" s="15" t="e">
        <f t="shared" si="3"/>
        <v>#REF!</v>
      </c>
      <c r="J10" s="15" t="e">
        <f t="shared" si="3"/>
        <v>#REF!</v>
      </c>
      <c r="K10" s="15" t="e">
        <f t="shared" si="3"/>
        <v>#REF!</v>
      </c>
      <c r="L10" s="15" t="e">
        <f t="shared" si="3"/>
        <v>#REF!</v>
      </c>
      <c r="M10" s="15" t="e">
        <f t="shared" si="3"/>
        <v>#REF!</v>
      </c>
      <c r="N10" s="15" t="e">
        <f t="shared" si="3"/>
        <v>#REF!</v>
      </c>
      <c r="O10" s="15" t="e">
        <f t="shared" si="3"/>
        <v>#REF!</v>
      </c>
      <c r="P10" s="15" t="e">
        <f t="shared" si="3"/>
        <v>#REF!</v>
      </c>
      <c r="Q10" s="15" t="e">
        <f t="shared" si="3"/>
        <v>#REF!</v>
      </c>
      <c r="R10" s="15" t="e">
        <f t="shared" si="3"/>
        <v>#REF!</v>
      </c>
      <c r="S10" s="15" t="e">
        <f t="shared" si="3"/>
        <v>#REF!</v>
      </c>
      <c r="T10" s="15" t="e">
        <f t="shared" si="3"/>
        <v>#REF!</v>
      </c>
      <c r="U10" s="15" t="e">
        <f t="shared" si="3"/>
        <v>#REF!</v>
      </c>
      <c r="V10" s="5"/>
      <c r="W10" s="15" t="e">
        <f t="shared" ref="W10:AI10" si="4">SUM(W6:W9)</f>
        <v>#REF!</v>
      </c>
      <c r="X10" s="15" t="e">
        <f t="shared" si="4"/>
        <v>#REF!</v>
      </c>
      <c r="Y10" s="15" t="e">
        <f t="shared" si="4"/>
        <v>#REF!</v>
      </c>
      <c r="Z10" s="15" t="e">
        <f t="shared" si="4"/>
        <v>#REF!</v>
      </c>
      <c r="AA10" s="15" t="e">
        <f t="shared" si="4"/>
        <v>#REF!</v>
      </c>
      <c r="AB10" s="15" t="e">
        <f t="shared" si="4"/>
        <v>#REF!</v>
      </c>
      <c r="AC10" s="15" t="e">
        <f t="shared" si="4"/>
        <v>#REF!</v>
      </c>
      <c r="AD10" s="15" t="e">
        <f t="shared" si="4"/>
        <v>#REF!</v>
      </c>
      <c r="AE10" s="15" t="e">
        <f t="shared" si="4"/>
        <v>#REF!</v>
      </c>
      <c r="AF10" s="15" t="e">
        <f t="shared" si="4"/>
        <v>#REF!</v>
      </c>
      <c r="AG10" s="15" t="e">
        <f t="shared" si="4"/>
        <v>#REF!</v>
      </c>
      <c r="AH10" s="15" t="e">
        <f t="shared" si="4"/>
        <v>#REF!</v>
      </c>
      <c r="AI10" s="15" t="e">
        <f t="shared" si="4"/>
        <v>#REF!</v>
      </c>
      <c r="AK10" s="471" t="e">
        <f>SUM(AI10/AE10)-1</f>
        <v>#REF!</v>
      </c>
    </row>
    <row r="11" spans="2:37" ht="12.75" customHeight="1">
      <c r="B11" s="17" t="s">
        <v>37</v>
      </c>
      <c r="C11" s="19" t="e">
        <f>SUM(C10/#REF!)-1</f>
        <v>#REF!</v>
      </c>
      <c r="D11" s="19" t="e">
        <f>SUM(D10/C10)-1</f>
        <v>#REF!</v>
      </c>
      <c r="E11" s="19" t="e">
        <f>SUM(E10/D10)-1</f>
        <v>#REF!</v>
      </c>
      <c r="F11" s="12"/>
      <c r="G11" s="18"/>
      <c r="H11" s="18"/>
      <c r="I11" s="18"/>
      <c r="J11" s="18"/>
      <c r="K11" s="19" t="e">
        <f>SUM(K10/G10)-1</f>
        <v>#REF!</v>
      </c>
      <c r="L11" s="19" t="e">
        <f t="shared" ref="L11:U11" si="5">SUM(L10/H10)-1</f>
        <v>#REF!</v>
      </c>
      <c r="M11" s="19" t="e">
        <f t="shared" si="5"/>
        <v>#REF!</v>
      </c>
      <c r="N11" s="19" t="e">
        <f t="shared" si="5"/>
        <v>#REF!</v>
      </c>
      <c r="O11" s="19" t="e">
        <f t="shared" si="5"/>
        <v>#REF!</v>
      </c>
      <c r="P11" s="19" t="e">
        <f t="shared" si="5"/>
        <v>#REF!</v>
      </c>
      <c r="Q11" s="19" t="e">
        <f t="shared" si="5"/>
        <v>#REF!</v>
      </c>
      <c r="R11" s="19" t="e">
        <f t="shared" si="5"/>
        <v>#REF!</v>
      </c>
      <c r="S11" s="19" t="e">
        <f t="shared" si="5"/>
        <v>#REF!</v>
      </c>
      <c r="T11" s="19" t="e">
        <f t="shared" si="5"/>
        <v>#REF!</v>
      </c>
      <c r="U11" s="19" t="e">
        <f t="shared" si="5"/>
        <v>#REF!</v>
      </c>
      <c r="V11" s="5"/>
      <c r="W11" s="458"/>
      <c r="X11" s="458"/>
      <c r="Y11" s="458"/>
      <c r="Z11" s="458"/>
      <c r="AA11" s="19" t="e">
        <f t="shared" ref="AA11:AI11" si="6">SUM(AA10/W10)-1</f>
        <v>#REF!</v>
      </c>
      <c r="AB11" s="19" t="e">
        <f t="shared" si="6"/>
        <v>#REF!</v>
      </c>
      <c r="AC11" s="19" t="e">
        <f t="shared" si="6"/>
        <v>#REF!</v>
      </c>
      <c r="AD11" s="19" t="e">
        <f t="shared" si="6"/>
        <v>#REF!</v>
      </c>
      <c r="AE11" s="19" t="e">
        <f t="shared" si="6"/>
        <v>#REF!</v>
      </c>
      <c r="AF11" s="19" t="e">
        <f t="shared" si="6"/>
        <v>#REF!</v>
      </c>
      <c r="AG11" s="19" t="e">
        <f t="shared" si="6"/>
        <v>#REF!</v>
      </c>
      <c r="AH11" s="19" t="e">
        <f t="shared" si="6"/>
        <v>#REF!</v>
      </c>
      <c r="AI11" s="19" t="e">
        <f t="shared" si="6"/>
        <v>#REF!</v>
      </c>
      <c r="AK11" s="472" t="e">
        <f>SUM(AI11-AE11)*10000</f>
        <v>#REF!</v>
      </c>
    </row>
    <row r="12" spans="2:37" ht="12.75" customHeight="1">
      <c r="B12" s="17" t="s">
        <v>38</v>
      </c>
      <c r="C12" s="19" t="s">
        <v>39</v>
      </c>
      <c r="D12" s="19" t="s">
        <v>39</v>
      </c>
      <c r="E12" s="19" t="s">
        <v>39</v>
      </c>
      <c r="F12" s="12"/>
      <c r="G12" s="18"/>
      <c r="H12" s="19" t="e">
        <f>SUM(H10/G10)-1</f>
        <v>#REF!</v>
      </c>
      <c r="I12" s="19" t="e">
        <f t="shared" ref="I12:U12" si="7">SUM(I10/H10)-1</f>
        <v>#REF!</v>
      </c>
      <c r="J12" s="19" t="e">
        <f t="shared" si="7"/>
        <v>#REF!</v>
      </c>
      <c r="K12" s="19" t="e">
        <f t="shared" si="7"/>
        <v>#REF!</v>
      </c>
      <c r="L12" s="19" t="e">
        <f t="shared" si="7"/>
        <v>#REF!</v>
      </c>
      <c r="M12" s="19" t="e">
        <f t="shared" si="7"/>
        <v>#REF!</v>
      </c>
      <c r="N12" s="19" t="e">
        <f t="shared" si="7"/>
        <v>#REF!</v>
      </c>
      <c r="O12" s="19" t="e">
        <f t="shared" si="7"/>
        <v>#REF!</v>
      </c>
      <c r="P12" s="19" t="e">
        <f t="shared" si="7"/>
        <v>#REF!</v>
      </c>
      <c r="Q12" s="19" t="e">
        <f t="shared" si="7"/>
        <v>#REF!</v>
      </c>
      <c r="R12" s="19" t="e">
        <f t="shared" si="7"/>
        <v>#REF!</v>
      </c>
      <c r="S12" s="19" t="e">
        <f t="shared" si="7"/>
        <v>#REF!</v>
      </c>
      <c r="T12" s="19" t="e">
        <f t="shared" si="7"/>
        <v>#REF!</v>
      </c>
      <c r="U12" s="19" t="e">
        <f t="shared" si="7"/>
        <v>#REF!</v>
      </c>
      <c r="V12" s="5"/>
      <c r="W12" s="19" t="s">
        <v>39</v>
      </c>
      <c r="X12" s="19" t="s">
        <v>39</v>
      </c>
      <c r="Y12" s="19" t="s">
        <v>39</v>
      </c>
      <c r="Z12" s="19" t="s">
        <v>39</v>
      </c>
      <c r="AA12" s="19" t="s">
        <v>39</v>
      </c>
      <c r="AB12" s="19" t="s">
        <v>39</v>
      </c>
      <c r="AC12" s="19" t="s">
        <v>39</v>
      </c>
      <c r="AD12" s="19" t="s">
        <v>39</v>
      </c>
      <c r="AE12" s="19" t="s">
        <v>39</v>
      </c>
      <c r="AF12" s="19" t="s">
        <v>39</v>
      </c>
      <c r="AG12" s="19" t="s">
        <v>39</v>
      </c>
      <c r="AH12" s="19" t="s">
        <v>39</v>
      </c>
      <c r="AI12" s="19" t="s">
        <v>39</v>
      </c>
      <c r="AK12" s="469"/>
    </row>
    <row r="13" spans="2:37" ht="5.0999999999999996" customHeight="1">
      <c r="B13" s="20"/>
      <c r="C13" s="21"/>
      <c r="D13" s="21"/>
      <c r="E13" s="21"/>
      <c r="F13" s="22"/>
      <c r="G13" s="23"/>
      <c r="H13" s="23"/>
      <c r="I13" s="23"/>
      <c r="J13" s="24"/>
      <c r="K13" s="23"/>
      <c r="L13" s="23"/>
      <c r="M13" s="23"/>
      <c r="N13" s="24"/>
      <c r="O13" s="23"/>
      <c r="P13" s="23"/>
      <c r="Q13" s="23"/>
      <c r="R13" s="23"/>
      <c r="S13" s="23"/>
      <c r="T13" s="23"/>
      <c r="U13" s="23"/>
      <c r="V13" s="22"/>
      <c r="W13" s="22"/>
      <c r="X13" s="22"/>
      <c r="Y13" s="22"/>
      <c r="Z13" s="22"/>
      <c r="AA13" s="22"/>
      <c r="AB13" s="22"/>
      <c r="AC13" s="22"/>
      <c r="AD13" s="22"/>
      <c r="AE13" s="22"/>
      <c r="AF13" s="22"/>
      <c r="AG13" s="22"/>
      <c r="AH13" s="22"/>
      <c r="AI13" s="22"/>
      <c r="AK13" s="469"/>
    </row>
    <row r="14" spans="2:37" ht="12.75" customHeight="1">
      <c r="B14" s="25" t="s">
        <v>40</v>
      </c>
      <c r="C14" s="510">
        <f>'Historical Financials'!C13</f>
        <v>-520</v>
      </c>
      <c r="D14" s="510">
        <f>'Historical Financials'!D13</f>
        <v>-541</v>
      </c>
      <c r="E14" s="510">
        <f>'Historical Financials'!E13</f>
        <v>-596</v>
      </c>
      <c r="F14" s="11"/>
      <c r="G14" s="510" t="e">
        <f>'Historical Financials'!#REF!</f>
        <v>#REF!</v>
      </c>
      <c r="H14" s="510" t="e">
        <f>'Historical Financials'!#REF!</f>
        <v>#REF!</v>
      </c>
      <c r="I14" s="510" t="e">
        <f>'Historical Financials'!#REF!</f>
        <v>#REF!</v>
      </c>
      <c r="J14" s="510" t="e">
        <f>'Historical Financials'!#REF!</f>
        <v>#REF!</v>
      </c>
      <c r="K14" s="510" t="e">
        <f>'Historical Financials'!#REF!</f>
        <v>#REF!</v>
      </c>
      <c r="L14" s="510" t="e">
        <f>'Historical Financials'!#REF!</f>
        <v>#REF!</v>
      </c>
      <c r="M14" s="510" t="e">
        <f>'Historical Financials'!#REF!</f>
        <v>#REF!</v>
      </c>
      <c r="N14" s="510" t="e">
        <f>'Historical Financials'!#REF!</f>
        <v>#REF!</v>
      </c>
      <c r="O14" s="510">
        <f>'Historical Financials'!G13</f>
        <v>0</v>
      </c>
      <c r="P14" s="510">
        <f>'Historical Financials'!H13</f>
        <v>0</v>
      </c>
      <c r="Q14" s="510">
        <f>'Historical Financials'!I13</f>
        <v>-151</v>
      </c>
      <c r="R14" s="510">
        <f>'Historical Financials'!J13</f>
        <v>-445</v>
      </c>
      <c r="S14" s="510">
        <f>'Historical Financials'!K13</f>
        <v>0</v>
      </c>
      <c r="T14" s="510">
        <f>'Historical Financials'!L13</f>
        <v>0</v>
      </c>
      <c r="U14" s="510">
        <f>'Historical Financials'!M13</f>
        <v>-208</v>
      </c>
      <c r="V14" s="5"/>
      <c r="W14" s="11" t="e">
        <f t="shared" ref="W14:AI14" si="8">SUM(F14:I14)</f>
        <v>#REF!</v>
      </c>
      <c r="X14" s="11" t="e">
        <f t="shared" si="8"/>
        <v>#REF!</v>
      </c>
      <c r="Y14" s="11" t="e">
        <f t="shared" si="8"/>
        <v>#REF!</v>
      </c>
      <c r="Z14" s="11" t="e">
        <f t="shared" si="8"/>
        <v>#REF!</v>
      </c>
      <c r="AA14" s="11" t="e">
        <f t="shared" si="8"/>
        <v>#REF!</v>
      </c>
      <c r="AB14" s="11" t="e">
        <f t="shared" si="8"/>
        <v>#REF!</v>
      </c>
      <c r="AC14" s="11" t="e">
        <f t="shared" si="8"/>
        <v>#REF!</v>
      </c>
      <c r="AD14" s="11" t="e">
        <f t="shared" si="8"/>
        <v>#REF!</v>
      </c>
      <c r="AE14" s="511" t="e">
        <f t="shared" si="8"/>
        <v>#REF!</v>
      </c>
      <c r="AF14" s="511">
        <f t="shared" si="8"/>
        <v>-596</v>
      </c>
      <c r="AG14" s="511">
        <f t="shared" si="8"/>
        <v>-596</v>
      </c>
      <c r="AH14" s="511">
        <f t="shared" si="8"/>
        <v>-596</v>
      </c>
      <c r="AI14" s="511">
        <f t="shared" si="8"/>
        <v>-653</v>
      </c>
      <c r="AK14" s="470" t="e">
        <f>SUM(AI14/AE14)-1</f>
        <v>#REF!</v>
      </c>
    </row>
    <row r="15" spans="2:37" ht="12.75" customHeight="1">
      <c r="B15" s="27" t="s">
        <v>25</v>
      </c>
      <c r="C15" s="28" t="e">
        <f>+C10+C14</f>
        <v>#REF!</v>
      </c>
      <c r="D15" s="28" t="e">
        <f>+D10+D14</f>
        <v>#REF!</v>
      </c>
      <c r="E15" s="28" t="e">
        <f>+E10+E14</f>
        <v>#REF!</v>
      </c>
      <c r="F15" s="5"/>
      <c r="G15" s="28" t="e">
        <f t="shared" ref="G15:T15" si="9">+G10+G14</f>
        <v>#REF!</v>
      </c>
      <c r="H15" s="28" t="e">
        <f t="shared" si="9"/>
        <v>#REF!</v>
      </c>
      <c r="I15" s="28" t="e">
        <f t="shared" si="9"/>
        <v>#REF!</v>
      </c>
      <c r="J15" s="28" t="e">
        <f t="shared" si="9"/>
        <v>#REF!</v>
      </c>
      <c r="K15" s="28" t="e">
        <f t="shared" si="9"/>
        <v>#REF!</v>
      </c>
      <c r="L15" s="28" t="e">
        <f t="shared" si="9"/>
        <v>#REF!</v>
      </c>
      <c r="M15" s="28" t="e">
        <f t="shared" si="9"/>
        <v>#REF!</v>
      </c>
      <c r="N15" s="28" t="e">
        <f t="shared" si="9"/>
        <v>#REF!</v>
      </c>
      <c r="O15" s="28" t="e">
        <f t="shared" si="9"/>
        <v>#REF!</v>
      </c>
      <c r="P15" s="28" t="e">
        <f t="shared" si="9"/>
        <v>#REF!</v>
      </c>
      <c r="Q15" s="28" t="e">
        <f t="shared" si="9"/>
        <v>#REF!</v>
      </c>
      <c r="R15" s="28" t="e">
        <f t="shared" si="9"/>
        <v>#REF!</v>
      </c>
      <c r="S15" s="28" t="e">
        <f t="shared" si="9"/>
        <v>#REF!</v>
      </c>
      <c r="T15" s="28" t="e">
        <f t="shared" si="9"/>
        <v>#REF!</v>
      </c>
      <c r="U15" s="28" t="e">
        <f>+U10+U14</f>
        <v>#REF!</v>
      </c>
      <c r="V15" s="5"/>
      <c r="W15" s="28" t="e">
        <f t="shared" ref="W15:AG15" si="10">+W10+W14</f>
        <v>#REF!</v>
      </c>
      <c r="X15" s="28" t="e">
        <f t="shared" si="10"/>
        <v>#REF!</v>
      </c>
      <c r="Y15" s="28" t="e">
        <f t="shared" si="10"/>
        <v>#REF!</v>
      </c>
      <c r="Z15" s="28" t="e">
        <f t="shared" si="10"/>
        <v>#REF!</v>
      </c>
      <c r="AA15" s="28" t="e">
        <f t="shared" si="10"/>
        <v>#REF!</v>
      </c>
      <c r="AB15" s="28" t="e">
        <f t="shared" si="10"/>
        <v>#REF!</v>
      </c>
      <c r="AC15" s="28" t="e">
        <f t="shared" si="10"/>
        <v>#REF!</v>
      </c>
      <c r="AD15" s="28" t="e">
        <f t="shared" si="10"/>
        <v>#REF!</v>
      </c>
      <c r="AE15" s="28" t="e">
        <f t="shared" si="10"/>
        <v>#REF!</v>
      </c>
      <c r="AF15" s="28" t="e">
        <f t="shared" si="10"/>
        <v>#REF!</v>
      </c>
      <c r="AG15" s="28" t="e">
        <f t="shared" si="10"/>
        <v>#REF!</v>
      </c>
      <c r="AH15" s="28" t="e">
        <f>+AH10+AH14</f>
        <v>#REF!</v>
      </c>
      <c r="AI15" s="28" t="e">
        <f>+AI10+AI14</f>
        <v>#REF!</v>
      </c>
      <c r="AK15" s="471" t="e">
        <f>SUM(AI15/AE15)-1</f>
        <v>#REF!</v>
      </c>
    </row>
    <row r="16" spans="2:37" ht="12.75" customHeight="1">
      <c r="B16" s="17" t="s">
        <v>41</v>
      </c>
      <c r="C16" s="19" t="e">
        <f>C15/C10</f>
        <v>#REF!</v>
      </c>
      <c r="D16" s="19" t="e">
        <f>D15/D10</f>
        <v>#REF!</v>
      </c>
      <c r="E16" s="19" t="e">
        <f>E15/E10</f>
        <v>#REF!</v>
      </c>
      <c r="F16" s="29"/>
      <c r="G16" s="19" t="e">
        <f t="shared" ref="G16:T16" si="11">G15/G10</f>
        <v>#REF!</v>
      </c>
      <c r="H16" s="19" t="e">
        <f t="shared" si="11"/>
        <v>#REF!</v>
      </c>
      <c r="I16" s="19" t="e">
        <f t="shared" si="11"/>
        <v>#REF!</v>
      </c>
      <c r="J16" s="19" t="e">
        <f t="shared" si="11"/>
        <v>#REF!</v>
      </c>
      <c r="K16" s="19" t="e">
        <f t="shared" si="11"/>
        <v>#REF!</v>
      </c>
      <c r="L16" s="19" t="e">
        <f t="shared" si="11"/>
        <v>#REF!</v>
      </c>
      <c r="M16" s="19" t="e">
        <f t="shared" si="11"/>
        <v>#REF!</v>
      </c>
      <c r="N16" s="19" t="e">
        <f t="shared" si="11"/>
        <v>#REF!</v>
      </c>
      <c r="O16" s="19" t="e">
        <f t="shared" si="11"/>
        <v>#REF!</v>
      </c>
      <c r="P16" s="19" t="e">
        <f t="shared" si="11"/>
        <v>#REF!</v>
      </c>
      <c r="Q16" s="19" t="e">
        <f t="shared" si="11"/>
        <v>#REF!</v>
      </c>
      <c r="R16" s="19" t="e">
        <f t="shared" si="11"/>
        <v>#REF!</v>
      </c>
      <c r="S16" s="19" t="e">
        <f t="shared" si="11"/>
        <v>#REF!</v>
      </c>
      <c r="T16" s="19" t="e">
        <f t="shared" si="11"/>
        <v>#REF!</v>
      </c>
      <c r="U16" s="19" t="e">
        <f>U15/U10</f>
        <v>#REF!</v>
      </c>
      <c r="V16" s="30"/>
      <c r="W16" s="19" t="e">
        <f t="shared" ref="W16:AG16" si="12">W15/W10</f>
        <v>#REF!</v>
      </c>
      <c r="X16" s="19" t="e">
        <f t="shared" si="12"/>
        <v>#REF!</v>
      </c>
      <c r="Y16" s="19" t="e">
        <f t="shared" si="12"/>
        <v>#REF!</v>
      </c>
      <c r="Z16" s="19" t="e">
        <f t="shared" si="12"/>
        <v>#REF!</v>
      </c>
      <c r="AA16" s="19" t="e">
        <f t="shared" si="12"/>
        <v>#REF!</v>
      </c>
      <c r="AB16" s="19" t="e">
        <f t="shared" si="12"/>
        <v>#REF!</v>
      </c>
      <c r="AC16" s="19" t="e">
        <f t="shared" si="12"/>
        <v>#REF!</v>
      </c>
      <c r="AD16" s="19" t="e">
        <f t="shared" si="12"/>
        <v>#REF!</v>
      </c>
      <c r="AE16" s="19" t="e">
        <f t="shared" si="12"/>
        <v>#REF!</v>
      </c>
      <c r="AF16" s="19" t="e">
        <f t="shared" si="12"/>
        <v>#REF!</v>
      </c>
      <c r="AG16" s="19" t="e">
        <f t="shared" si="12"/>
        <v>#REF!</v>
      </c>
      <c r="AH16" s="19" t="e">
        <f>AH15/AH10</f>
        <v>#REF!</v>
      </c>
      <c r="AI16" s="19" t="e">
        <f>AI15/AI10</f>
        <v>#REF!</v>
      </c>
      <c r="AK16" s="472" t="e">
        <f>SUM(AI16-AE16)*10000</f>
        <v>#REF!</v>
      </c>
    </row>
    <row r="17" spans="2:37" ht="5.0999999999999996" customHeight="1">
      <c r="B17" s="31"/>
      <c r="C17" s="32"/>
      <c r="D17" s="32"/>
      <c r="E17" s="32"/>
      <c r="F17" s="32"/>
      <c r="G17" s="32"/>
      <c r="H17" s="32"/>
      <c r="I17" s="32"/>
      <c r="J17" s="32"/>
      <c r="K17" s="32"/>
      <c r="L17" s="32"/>
      <c r="M17" s="32"/>
      <c r="N17" s="32"/>
      <c r="O17" s="32"/>
      <c r="P17" s="32"/>
      <c r="Q17" s="32"/>
      <c r="R17" s="32"/>
      <c r="S17" s="32"/>
      <c r="T17" s="32"/>
      <c r="U17" s="32"/>
      <c r="V17" s="5"/>
      <c r="W17" s="32"/>
      <c r="X17" s="32"/>
      <c r="Y17" s="32"/>
      <c r="Z17" s="32"/>
      <c r="AA17" s="32"/>
      <c r="AB17" s="32"/>
      <c r="AC17" s="32"/>
      <c r="AD17" s="32"/>
      <c r="AE17" s="32"/>
      <c r="AF17" s="32"/>
      <c r="AG17" s="32"/>
      <c r="AH17" s="32"/>
      <c r="AI17" s="32"/>
      <c r="AK17" s="469"/>
    </row>
    <row r="18" spans="2:37" ht="12.75" customHeight="1">
      <c r="B18" s="25" t="s">
        <v>536</v>
      </c>
      <c r="C18" s="510" t="e">
        <f>'Historical Financials'!#REF!</f>
        <v>#REF!</v>
      </c>
      <c r="D18" s="510" t="e">
        <f>'Historical Financials'!#REF!</f>
        <v>#REF!</v>
      </c>
      <c r="E18" s="510" t="e">
        <f>'Historical Financials'!#REF!</f>
        <v>#REF!</v>
      </c>
      <c r="F18" s="175"/>
      <c r="G18" s="510" t="e">
        <f>'Historical Financials'!#REF!</f>
        <v>#REF!</v>
      </c>
      <c r="H18" s="510" t="e">
        <f>'Historical Financials'!#REF!</f>
        <v>#REF!</v>
      </c>
      <c r="I18" s="510" t="e">
        <f>'Historical Financials'!#REF!</f>
        <v>#REF!</v>
      </c>
      <c r="J18" s="510" t="e">
        <f>'Historical Financials'!#REF!</f>
        <v>#REF!</v>
      </c>
      <c r="K18" s="510" t="e">
        <f>'Historical Financials'!#REF!</f>
        <v>#REF!</v>
      </c>
      <c r="L18" s="510" t="e">
        <f>'Historical Financials'!#REF!</f>
        <v>#REF!</v>
      </c>
      <c r="M18" s="510" t="e">
        <f>'Historical Financials'!#REF!</f>
        <v>#REF!</v>
      </c>
      <c r="N18" s="510" t="e">
        <f>'Historical Financials'!#REF!</f>
        <v>#REF!</v>
      </c>
      <c r="O18" s="510" t="e">
        <f>'Historical Financials'!#REF!</f>
        <v>#REF!</v>
      </c>
      <c r="P18" s="510" t="e">
        <f>'Historical Financials'!#REF!</f>
        <v>#REF!</v>
      </c>
      <c r="Q18" s="510" t="e">
        <f>'Historical Financials'!#REF!</f>
        <v>#REF!</v>
      </c>
      <c r="R18" s="510" t="e">
        <f>'Historical Financials'!#REF!</f>
        <v>#REF!</v>
      </c>
      <c r="S18" s="510" t="e">
        <f>'Historical Financials'!#REF!</f>
        <v>#REF!</v>
      </c>
      <c r="T18" s="510" t="e">
        <f>'Historical Financials'!#REF!</f>
        <v>#REF!</v>
      </c>
      <c r="U18" s="510" t="e">
        <f>'Historical Financials'!#REF!</f>
        <v>#REF!</v>
      </c>
      <c r="V18" s="5"/>
      <c r="W18" s="11" t="e">
        <f t="shared" ref="W18:AI20" si="13">SUM(F18:I18)</f>
        <v>#REF!</v>
      </c>
      <c r="X18" s="11" t="e">
        <f t="shared" si="13"/>
        <v>#REF!</v>
      </c>
      <c r="Y18" s="11" t="e">
        <f t="shared" si="13"/>
        <v>#REF!</v>
      </c>
      <c r="Z18" s="11" t="e">
        <f t="shared" si="13"/>
        <v>#REF!</v>
      </c>
      <c r="AA18" s="11" t="e">
        <f t="shared" si="13"/>
        <v>#REF!</v>
      </c>
      <c r="AB18" s="11" t="e">
        <f t="shared" si="13"/>
        <v>#REF!</v>
      </c>
      <c r="AC18" s="11" t="e">
        <f t="shared" si="13"/>
        <v>#REF!</v>
      </c>
      <c r="AD18" s="11" t="e">
        <f t="shared" si="13"/>
        <v>#REF!</v>
      </c>
      <c r="AE18" s="511" t="e">
        <f t="shared" si="13"/>
        <v>#REF!</v>
      </c>
      <c r="AF18" s="511" t="e">
        <f t="shared" si="13"/>
        <v>#REF!</v>
      </c>
      <c r="AG18" s="511" t="e">
        <f t="shared" si="13"/>
        <v>#REF!</v>
      </c>
      <c r="AH18" s="511" t="e">
        <f t="shared" si="13"/>
        <v>#REF!</v>
      </c>
      <c r="AI18" s="511" t="e">
        <f t="shared" si="13"/>
        <v>#REF!</v>
      </c>
      <c r="AK18" s="470" t="e">
        <f>SUM(AI18/AE18)-1</f>
        <v>#REF!</v>
      </c>
    </row>
    <row r="19" spans="2:37" ht="12.75" customHeight="1">
      <c r="B19" s="25" t="s">
        <v>537</v>
      </c>
      <c r="C19" s="510" t="e">
        <f>'Historical Financials'!#REF!</f>
        <v>#REF!</v>
      </c>
      <c r="D19" s="510" t="e">
        <f>'Historical Financials'!#REF!</f>
        <v>#REF!</v>
      </c>
      <c r="E19" s="510" t="e">
        <f>'Historical Financials'!#REF!</f>
        <v>#REF!</v>
      </c>
      <c r="F19" s="175"/>
      <c r="G19" s="510" t="e">
        <f>'Historical Financials'!#REF!</f>
        <v>#REF!</v>
      </c>
      <c r="H19" s="510" t="e">
        <f>'Historical Financials'!#REF!</f>
        <v>#REF!</v>
      </c>
      <c r="I19" s="510" t="e">
        <f>'Historical Financials'!#REF!</f>
        <v>#REF!</v>
      </c>
      <c r="J19" s="510" t="e">
        <f>'Historical Financials'!#REF!</f>
        <v>#REF!</v>
      </c>
      <c r="K19" s="510" t="e">
        <f>'Historical Financials'!#REF!</f>
        <v>#REF!</v>
      </c>
      <c r="L19" s="510" t="e">
        <f>'Historical Financials'!#REF!</f>
        <v>#REF!</v>
      </c>
      <c r="M19" s="510" t="e">
        <f>'Historical Financials'!#REF!</f>
        <v>#REF!</v>
      </c>
      <c r="N19" s="510" t="e">
        <f>'Historical Financials'!#REF!</f>
        <v>#REF!</v>
      </c>
      <c r="O19" s="510" t="e">
        <f>'Historical Financials'!#REF!</f>
        <v>#REF!</v>
      </c>
      <c r="P19" s="510" t="e">
        <f>'Historical Financials'!#REF!</f>
        <v>#REF!</v>
      </c>
      <c r="Q19" s="510" t="e">
        <f>'Historical Financials'!#REF!</f>
        <v>#REF!</v>
      </c>
      <c r="R19" s="510" t="e">
        <f>'Historical Financials'!#REF!</f>
        <v>#REF!</v>
      </c>
      <c r="S19" s="510" t="e">
        <f>'Historical Financials'!#REF!</f>
        <v>#REF!</v>
      </c>
      <c r="T19" s="510" t="e">
        <f>'Historical Financials'!#REF!</f>
        <v>#REF!</v>
      </c>
      <c r="U19" s="510" t="e">
        <f>'Historical Financials'!#REF!</f>
        <v>#REF!</v>
      </c>
      <c r="V19" s="5"/>
      <c r="W19" s="11" t="e">
        <f t="shared" si="13"/>
        <v>#REF!</v>
      </c>
      <c r="X19" s="11" t="e">
        <f t="shared" si="13"/>
        <v>#REF!</v>
      </c>
      <c r="Y19" s="11" t="e">
        <f t="shared" si="13"/>
        <v>#REF!</v>
      </c>
      <c r="Z19" s="11" t="e">
        <f t="shared" si="13"/>
        <v>#REF!</v>
      </c>
      <c r="AA19" s="11" t="e">
        <f t="shared" si="13"/>
        <v>#REF!</v>
      </c>
      <c r="AB19" s="11" t="e">
        <f t="shared" si="13"/>
        <v>#REF!</v>
      </c>
      <c r="AC19" s="11" t="e">
        <f t="shared" si="13"/>
        <v>#REF!</v>
      </c>
      <c r="AD19" s="11" t="e">
        <f t="shared" si="13"/>
        <v>#REF!</v>
      </c>
      <c r="AE19" s="511" t="e">
        <f t="shared" si="13"/>
        <v>#REF!</v>
      </c>
      <c r="AF19" s="511" t="e">
        <f t="shared" si="13"/>
        <v>#REF!</v>
      </c>
      <c r="AG19" s="511" t="e">
        <f t="shared" si="13"/>
        <v>#REF!</v>
      </c>
      <c r="AH19" s="511" t="e">
        <f t="shared" si="13"/>
        <v>#REF!</v>
      </c>
      <c r="AI19" s="511" t="e">
        <f t="shared" si="13"/>
        <v>#REF!</v>
      </c>
      <c r="AK19" s="470" t="e">
        <f>SUM(AI19/AE19)-1</f>
        <v>#REF!</v>
      </c>
    </row>
    <row r="20" spans="2:37" ht="12.75" customHeight="1">
      <c r="B20" s="25" t="s">
        <v>538</v>
      </c>
      <c r="C20" s="510" t="e">
        <f>'Historical Financials'!#REF!</f>
        <v>#REF!</v>
      </c>
      <c r="D20" s="510" t="e">
        <f>'Historical Financials'!#REF!</f>
        <v>#REF!</v>
      </c>
      <c r="E20" s="510" t="e">
        <f>'Historical Financials'!#REF!</f>
        <v>#REF!</v>
      </c>
      <c r="F20" s="175"/>
      <c r="G20" s="510" t="e">
        <f>'Historical Financials'!#REF!</f>
        <v>#REF!</v>
      </c>
      <c r="H20" s="510" t="e">
        <f>'Historical Financials'!#REF!</f>
        <v>#REF!</v>
      </c>
      <c r="I20" s="510" t="e">
        <f>'Historical Financials'!#REF!</f>
        <v>#REF!</v>
      </c>
      <c r="J20" s="510" t="e">
        <f>'Historical Financials'!#REF!</f>
        <v>#REF!</v>
      </c>
      <c r="K20" s="510" t="e">
        <f>'Historical Financials'!#REF!</f>
        <v>#REF!</v>
      </c>
      <c r="L20" s="510" t="e">
        <f>'Historical Financials'!#REF!</f>
        <v>#REF!</v>
      </c>
      <c r="M20" s="510" t="e">
        <f>'Historical Financials'!#REF!</f>
        <v>#REF!</v>
      </c>
      <c r="N20" s="510" t="e">
        <f>'Historical Financials'!#REF!</f>
        <v>#REF!</v>
      </c>
      <c r="O20" s="510" t="e">
        <f>'Historical Financials'!#REF!</f>
        <v>#REF!</v>
      </c>
      <c r="P20" s="510" t="e">
        <f>'Historical Financials'!#REF!</f>
        <v>#REF!</v>
      </c>
      <c r="Q20" s="510" t="e">
        <f>'Historical Financials'!#REF!</f>
        <v>#REF!</v>
      </c>
      <c r="R20" s="510" t="e">
        <f>'Historical Financials'!#REF!</f>
        <v>#REF!</v>
      </c>
      <c r="S20" s="510" t="e">
        <f>'Historical Financials'!#REF!</f>
        <v>#REF!</v>
      </c>
      <c r="T20" s="510" t="e">
        <f>'Historical Financials'!#REF!</f>
        <v>#REF!</v>
      </c>
      <c r="U20" s="510" t="e">
        <f>'Historical Financials'!#REF!</f>
        <v>#REF!</v>
      </c>
      <c r="V20" s="5"/>
      <c r="W20" s="11" t="e">
        <f t="shared" si="13"/>
        <v>#REF!</v>
      </c>
      <c r="X20" s="11" t="e">
        <f t="shared" si="13"/>
        <v>#REF!</v>
      </c>
      <c r="Y20" s="11" t="e">
        <f t="shared" si="13"/>
        <v>#REF!</v>
      </c>
      <c r="Z20" s="11" t="e">
        <f t="shared" si="13"/>
        <v>#REF!</v>
      </c>
      <c r="AA20" s="11" t="e">
        <f t="shared" si="13"/>
        <v>#REF!</v>
      </c>
      <c r="AB20" s="11" t="e">
        <f t="shared" si="13"/>
        <v>#REF!</v>
      </c>
      <c r="AC20" s="11" t="e">
        <f t="shared" si="13"/>
        <v>#REF!</v>
      </c>
      <c r="AD20" s="11" t="e">
        <f t="shared" si="13"/>
        <v>#REF!</v>
      </c>
      <c r="AE20" s="511" t="e">
        <f t="shared" si="13"/>
        <v>#REF!</v>
      </c>
      <c r="AF20" s="511" t="e">
        <f t="shared" si="13"/>
        <v>#REF!</v>
      </c>
      <c r="AG20" s="511" t="e">
        <f t="shared" si="13"/>
        <v>#REF!</v>
      </c>
      <c r="AH20" s="511" t="e">
        <f t="shared" si="13"/>
        <v>#REF!</v>
      </c>
      <c r="AI20" s="511" t="e">
        <f t="shared" si="13"/>
        <v>#REF!</v>
      </c>
      <c r="AK20" s="470" t="e">
        <f>SUM(AI20/AE20)-1</f>
        <v>#REF!</v>
      </c>
    </row>
    <row r="21" spans="2:37" ht="12.75" customHeight="1">
      <c r="B21" s="14" t="s">
        <v>42</v>
      </c>
      <c r="C21" s="15" t="e">
        <f>SUM(C15+SUM(C18:C20))</f>
        <v>#REF!</v>
      </c>
      <c r="D21" s="15" t="e">
        <f>SUM(D15+SUM(D18:D20))</f>
        <v>#REF!</v>
      </c>
      <c r="E21" s="15" t="e">
        <f>SUM(E15+SUM(E18:E20))</f>
        <v>#REF!</v>
      </c>
      <c r="F21" s="12"/>
      <c r="G21" s="15" t="e">
        <f t="shared" ref="G21:U21" si="14">SUM(G15+SUM(G18:G20))</f>
        <v>#REF!</v>
      </c>
      <c r="H21" s="15" t="e">
        <f t="shared" si="14"/>
        <v>#REF!</v>
      </c>
      <c r="I21" s="15" t="e">
        <f t="shared" si="14"/>
        <v>#REF!</v>
      </c>
      <c r="J21" s="15" t="e">
        <f t="shared" si="14"/>
        <v>#REF!</v>
      </c>
      <c r="K21" s="15" t="e">
        <f t="shared" si="14"/>
        <v>#REF!</v>
      </c>
      <c r="L21" s="15" t="e">
        <f t="shared" si="14"/>
        <v>#REF!</v>
      </c>
      <c r="M21" s="15" t="e">
        <f t="shared" si="14"/>
        <v>#REF!</v>
      </c>
      <c r="N21" s="15" t="e">
        <f t="shared" si="14"/>
        <v>#REF!</v>
      </c>
      <c r="O21" s="15" t="e">
        <f t="shared" si="14"/>
        <v>#REF!</v>
      </c>
      <c r="P21" s="15" t="e">
        <f t="shared" si="14"/>
        <v>#REF!</v>
      </c>
      <c r="Q21" s="15" t="e">
        <f t="shared" si="14"/>
        <v>#REF!</v>
      </c>
      <c r="R21" s="15" t="e">
        <f t="shared" si="14"/>
        <v>#REF!</v>
      </c>
      <c r="S21" s="15" t="e">
        <f t="shared" si="14"/>
        <v>#REF!</v>
      </c>
      <c r="T21" s="15" t="e">
        <f t="shared" si="14"/>
        <v>#REF!</v>
      </c>
      <c r="U21" s="15" t="e">
        <f t="shared" si="14"/>
        <v>#REF!</v>
      </c>
      <c r="V21" s="5"/>
      <c r="W21" s="15" t="e">
        <f t="shared" ref="W21:AI21" si="15">SUM(W15+SUM(W18:W20))</f>
        <v>#REF!</v>
      </c>
      <c r="X21" s="15" t="e">
        <f t="shared" si="15"/>
        <v>#REF!</v>
      </c>
      <c r="Y21" s="15" t="e">
        <f t="shared" si="15"/>
        <v>#REF!</v>
      </c>
      <c r="Z21" s="15" t="e">
        <f t="shared" si="15"/>
        <v>#REF!</v>
      </c>
      <c r="AA21" s="15" t="e">
        <f t="shared" si="15"/>
        <v>#REF!</v>
      </c>
      <c r="AB21" s="15" t="e">
        <f t="shared" si="15"/>
        <v>#REF!</v>
      </c>
      <c r="AC21" s="15" t="e">
        <f t="shared" si="15"/>
        <v>#REF!</v>
      </c>
      <c r="AD21" s="15" t="e">
        <f t="shared" si="15"/>
        <v>#REF!</v>
      </c>
      <c r="AE21" s="15" t="e">
        <f t="shared" si="15"/>
        <v>#REF!</v>
      </c>
      <c r="AF21" s="15" t="e">
        <f t="shared" si="15"/>
        <v>#REF!</v>
      </c>
      <c r="AG21" s="15" t="e">
        <f t="shared" si="15"/>
        <v>#REF!</v>
      </c>
      <c r="AH21" s="15" t="e">
        <f t="shared" si="15"/>
        <v>#REF!</v>
      </c>
      <c r="AI21" s="15" t="e">
        <f t="shared" si="15"/>
        <v>#REF!</v>
      </c>
      <c r="AK21" s="471" t="e">
        <f>SUM(AI21/AE21)-1</f>
        <v>#REF!</v>
      </c>
    </row>
    <row r="22" spans="2:37" ht="12.75" customHeight="1">
      <c r="B22" s="17" t="s">
        <v>43</v>
      </c>
      <c r="C22" s="19" t="e">
        <f>C21/C10</f>
        <v>#REF!</v>
      </c>
      <c r="D22" s="19" t="e">
        <f>D21/D10</f>
        <v>#REF!</v>
      </c>
      <c r="E22" s="19" t="e">
        <f>E21/E10</f>
        <v>#REF!</v>
      </c>
      <c r="F22" s="29"/>
      <c r="G22" s="19" t="e">
        <f t="shared" ref="G22:U22" si="16">G21/G10</f>
        <v>#REF!</v>
      </c>
      <c r="H22" s="19" t="e">
        <f t="shared" si="16"/>
        <v>#REF!</v>
      </c>
      <c r="I22" s="19" t="e">
        <f t="shared" si="16"/>
        <v>#REF!</v>
      </c>
      <c r="J22" s="19" t="e">
        <f t="shared" si="16"/>
        <v>#REF!</v>
      </c>
      <c r="K22" s="19" t="e">
        <f t="shared" si="16"/>
        <v>#REF!</v>
      </c>
      <c r="L22" s="19" t="e">
        <f t="shared" si="16"/>
        <v>#REF!</v>
      </c>
      <c r="M22" s="19" t="e">
        <f t="shared" si="16"/>
        <v>#REF!</v>
      </c>
      <c r="N22" s="19" t="e">
        <f t="shared" si="16"/>
        <v>#REF!</v>
      </c>
      <c r="O22" s="19" t="e">
        <f t="shared" si="16"/>
        <v>#REF!</v>
      </c>
      <c r="P22" s="19" t="e">
        <f t="shared" si="16"/>
        <v>#REF!</v>
      </c>
      <c r="Q22" s="19" t="e">
        <f t="shared" si="16"/>
        <v>#REF!</v>
      </c>
      <c r="R22" s="19" t="e">
        <f t="shared" si="16"/>
        <v>#REF!</v>
      </c>
      <c r="S22" s="19" t="e">
        <f t="shared" si="16"/>
        <v>#REF!</v>
      </c>
      <c r="T22" s="19" t="e">
        <f t="shared" si="16"/>
        <v>#REF!</v>
      </c>
      <c r="U22" s="19" t="e">
        <f t="shared" si="16"/>
        <v>#REF!</v>
      </c>
      <c r="V22" s="30"/>
      <c r="W22" s="19" t="e">
        <f t="shared" ref="W22:AI22" si="17">W21/W10</f>
        <v>#REF!</v>
      </c>
      <c r="X22" s="19" t="e">
        <f t="shared" si="17"/>
        <v>#REF!</v>
      </c>
      <c r="Y22" s="19" t="e">
        <f t="shared" si="17"/>
        <v>#REF!</v>
      </c>
      <c r="Z22" s="19" t="e">
        <f t="shared" si="17"/>
        <v>#REF!</v>
      </c>
      <c r="AA22" s="19" t="e">
        <f t="shared" si="17"/>
        <v>#REF!</v>
      </c>
      <c r="AB22" s="19" t="e">
        <f t="shared" si="17"/>
        <v>#REF!</v>
      </c>
      <c r="AC22" s="19" t="e">
        <f t="shared" si="17"/>
        <v>#REF!</v>
      </c>
      <c r="AD22" s="19" t="e">
        <f t="shared" si="17"/>
        <v>#REF!</v>
      </c>
      <c r="AE22" s="19" t="e">
        <f t="shared" si="17"/>
        <v>#REF!</v>
      </c>
      <c r="AF22" s="19" t="e">
        <f t="shared" si="17"/>
        <v>#REF!</v>
      </c>
      <c r="AG22" s="19" t="e">
        <f t="shared" si="17"/>
        <v>#REF!</v>
      </c>
      <c r="AH22" s="19" t="e">
        <f t="shared" si="17"/>
        <v>#REF!</v>
      </c>
      <c r="AI22" s="19" t="e">
        <f t="shared" si="17"/>
        <v>#REF!</v>
      </c>
      <c r="AK22" s="472" t="e">
        <f>SUM(AI22-AE22)*10000</f>
        <v>#REF!</v>
      </c>
    </row>
    <row r="23" spans="2:37" ht="5.0999999999999996" customHeight="1">
      <c r="AK23" s="469"/>
    </row>
    <row r="24" spans="2:37" ht="12.75" customHeight="1">
      <c r="B24" s="33" t="s">
        <v>44</v>
      </c>
      <c r="C24" s="175">
        <f>'Historical Financials'!C91</f>
        <v>0</v>
      </c>
      <c r="D24" s="175">
        <f>'Historical Financials'!D91</f>
        <v>0</v>
      </c>
      <c r="E24" s="175">
        <f>'Historical Financials'!E91</f>
        <v>0</v>
      </c>
      <c r="G24" s="175" t="e">
        <f>'Historical Financials'!#REF!</f>
        <v>#REF!</v>
      </c>
      <c r="H24" s="175" t="e">
        <f>'Historical Financials'!#REF!</f>
        <v>#REF!</v>
      </c>
      <c r="I24" s="175" t="e">
        <f>'Historical Financials'!#REF!</f>
        <v>#REF!</v>
      </c>
      <c r="J24" s="175" t="e">
        <f>'Historical Financials'!#REF!</f>
        <v>#REF!</v>
      </c>
      <c r="K24" s="175" t="e">
        <f>'Historical Financials'!#REF!</f>
        <v>#REF!</v>
      </c>
      <c r="L24" s="175" t="e">
        <f>'Historical Financials'!#REF!</f>
        <v>#REF!</v>
      </c>
      <c r="M24" s="175" t="e">
        <f>'Historical Financials'!#REF!</f>
        <v>#REF!</v>
      </c>
      <c r="N24" s="175" t="e">
        <f>'Historical Financials'!#REF!</f>
        <v>#REF!</v>
      </c>
      <c r="O24" s="175">
        <f>'Historical Financials'!G91</f>
        <v>0</v>
      </c>
      <c r="P24" s="175">
        <f>'Historical Financials'!H91</f>
        <v>0</v>
      </c>
      <c r="Q24" s="175">
        <f>'Historical Financials'!I91</f>
        <v>0</v>
      </c>
      <c r="R24" s="175">
        <f>'Historical Financials'!J91</f>
        <v>0</v>
      </c>
      <c r="S24" s="175">
        <f>'Historical Financials'!K91</f>
        <v>0</v>
      </c>
      <c r="T24" s="175">
        <f>'Historical Financials'!L91</f>
        <v>0</v>
      </c>
      <c r="U24" s="175">
        <f>'Historical Financials'!M91</f>
        <v>0</v>
      </c>
      <c r="W24" s="11" t="e">
        <f t="shared" ref="W24:AI24" si="18">SUM(F24:I24)</f>
        <v>#REF!</v>
      </c>
      <c r="X24" s="11" t="e">
        <f t="shared" si="18"/>
        <v>#REF!</v>
      </c>
      <c r="Y24" s="11" t="e">
        <f t="shared" si="18"/>
        <v>#REF!</v>
      </c>
      <c r="Z24" s="11" t="e">
        <f t="shared" si="18"/>
        <v>#REF!</v>
      </c>
      <c r="AA24" s="11" t="e">
        <f t="shared" si="18"/>
        <v>#REF!</v>
      </c>
      <c r="AB24" s="11" t="e">
        <f t="shared" si="18"/>
        <v>#REF!</v>
      </c>
      <c r="AC24" s="11" t="e">
        <f t="shared" si="18"/>
        <v>#REF!</v>
      </c>
      <c r="AD24" s="11" t="e">
        <f t="shared" si="18"/>
        <v>#REF!</v>
      </c>
      <c r="AE24" s="11" t="e">
        <f t="shared" si="18"/>
        <v>#REF!</v>
      </c>
      <c r="AF24" s="11">
        <f t="shared" si="18"/>
        <v>0</v>
      </c>
      <c r="AG24" s="11">
        <f t="shared" si="18"/>
        <v>0</v>
      </c>
      <c r="AH24" s="11">
        <f t="shared" si="18"/>
        <v>0</v>
      </c>
      <c r="AI24" s="11">
        <f t="shared" si="18"/>
        <v>0</v>
      </c>
      <c r="AK24" s="470" t="e">
        <f>SUM(AI24/AE24)-1</f>
        <v>#REF!</v>
      </c>
    </row>
    <row r="25" spans="2:37" ht="12.75" customHeight="1">
      <c r="B25" s="27" t="s">
        <v>7</v>
      </c>
      <c r="C25" s="28" t="e">
        <f>SUM(C21+C24)</f>
        <v>#REF!</v>
      </c>
      <c r="D25" s="28" t="e">
        <f>SUM(D21+D24)</f>
        <v>#REF!</v>
      </c>
      <c r="E25" s="28" t="e">
        <f>SUM(E21+E24)</f>
        <v>#REF!</v>
      </c>
      <c r="G25" s="28" t="e">
        <f t="shared" ref="G25:P25" si="19">SUM(G21+G24)</f>
        <v>#REF!</v>
      </c>
      <c r="H25" s="28" t="e">
        <f t="shared" si="19"/>
        <v>#REF!</v>
      </c>
      <c r="I25" s="28" t="e">
        <f t="shared" si="19"/>
        <v>#REF!</v>
      </c>
      <c r="J25" s="28" t="e">
        <f t="shared" si="19"/>
        <v>#REF!</v>
      </c>
      <c r="K25" s="28" t="e">
        <f t="shared" si="19"/>
        <v>#REF!</v>
      </c>
      <c r="L25" s="28" t="e">
        <f t="shared" si="19"/>
        <v>#REF!</v>
      </c>
      <c r="M25" s="28" t="e">
        <f t="shared" si="19"/>
        <v>#REF!</v>
      </c>
      <c r="N25" s="28" t="e">
        <f t="shared" si="19"/>
        <v>#REF!</v>
      </c>
      <c r="O25" s="28" t="e">
        <f t="shared" si="19"/>
        <v>#REF!</v>
      </c>
      <c r="P25" s="28" t="e">
        <f t="shared" si="19"/>
        <v>#REF!</v>
      </c>
      <c r="Q25" s="28" t="e">
        <f>SUM(Q21+Q24)</f>
        <v>#REF!</v>
      </c>
      <c r="R25" s="28" t="e">
        <f>SUM(R21+R24)</f>
        <v>#REF!</v>
      </c>
      <c r="S25" s="28" t="e">
        <f>SUM(S21+S24)</f>
        <v>#REF!</v>
      </c>
      <c r="T25" s="28" t="e">
        <f>SUM(T21+T24)</f>
        <v>#REF!</v>
      </c>
      <c r="U25" s="28" t="e">
        <f>SUM(U21+U24)</f>
        <v>#REF!</v>
      </c>
      <c r="W25" s="28" t="e">
        <f t="shared" ref="W25:AG25" si="20">SUM(W21+W24)</f>
        <v>#REF!</v>
      </c>
      <c r="X25" s="28" t="e">
        <f t="shared" si="20"/>
        <v>#REF!</v>
      </c>
      <c r="Y25" s="28" t="e">
        <f t="shared" si="20"/>
        <v>#REF!</v>
      </c>
      <c r="Z25" s="28" t="e">
        <f t="shared" si="20"/>
        <v>#REF!</v>
      </c>
      <c r="AA25" s="28" t="e">
        <f t="shared" si="20"/>
        <v>#REF!</v>
      </c>
      <c r="AB25" s="28" t="e">
        <f t="shared" si="20"/>
        <v>#REF!</v>
      </c>
      <c r="AC25" s="28" t="e">
        <f t="shared" si="20"/>
        <v>#REF!</v>
      </c>
      <c r="AD25" s="28" t="e">
        <f t="shared" si="20"/>
        <v>#REF!</v>
      </c>
      <c r="AE25" s="28" t="e">
        <f t="shared" si="20"/>
        <v>#REF!</v>
      </c>
      <c r="AF25" s="28" t="e">
        <f t="shared" si="20"/>
        <v>#REF!</v>
      </c>
      <c r="AG25" s="28" t="e">
        <f t="shared" si="20"/>
        <v>#REF!</v>
      </c>
      <c r="AH25" s="28" t="e">
        <f>SUM(AH21+AH24)</f>
        <v>#REF!</v>
      </c>
      <c r="AI25" s="28" t="e">
        <f>SUM(AI21+AI24)</f>
        <v>#REF!</v>
      </c>
      <c r="AK25" s="471" t="e">
        <f>SUM(AI25/AE25)-1</f>
        <v>#REF!</v>
      </c>
    </row>
    <row r="26" spans="2:37" ht="12.75" customHeight="1">
      <c r="B26" s="17" t="s">
        <v>45</v>
      </c>
      <c r="C26" s="19" t="e">
        <f>C25/C10</f>
        <v>#REF!</v>
      </c>
      <c r="D26" s="19" t="e">
        <f>D25/D10</f>
        <v>#REF!</v>
      </c>
      <c r="E26" s="19" t="e">
        <f>E25/E10</f>
        <v>#REF!</v>
      </c>
      <c r="G26" s="19" t="e">
        <f t="shared" ref="G26:U26" si="21">G25/G10</f>
        <v>#REF!</v>
      </c>
      <c r="H26" s="19" t="e">
        <f t="shared" si="21"/>
        <v>#REF!</v>
      </c>
      <c r="I26" s="19" t="e">
        <f t="shared" si="21"/>
        <v>#REF!</v>
      </c>
      <c r="J26" s="19" t="e">
        <f t="shared" si="21"/>
        <v>#REF!</v>
      </c>
      <c r="K26" s="19" t="e">
        <f t="shared" si="21"/>
        <v>#REF!</v>
      </c>
      <c r="L26" s="19" t="e">
        <f t="shared" si="21"/>
        <v>#REF!</v>
      </c>
      <c r="M26" s="19" t="e">
        <f t="shared" si="21"/>
        <v>#REF!</v>
      </c>
      <c r="N26" s="19" t="e">
        <f t="shared" si="21"/>
        <v>#REF!</v>
      </c>
      <c r="O26" s="19" t="e">
        <f t="shared" si="21"/>
        <v>#REF!</v>
      </c>
      <c r="P26" s="19" t="e">
        <f t="shared" si="21"/>
        <v>#REF!</v>
      </c>
      <c r="Q26" s="19" t="e">
        <f t="shared" si="21"/>
        <v>#REF!</v>
      </c>
      <c r="R26" s="19" t="e">
        <f t="shared" si="21"/>
        <v>#REF!</v>
      </c>
      <c r="S26" s="19" t="e">
        <f t="shared" si="21"/>
        <v>#REF!</v>
      </c>
      <c r="T26" s="19" t="e">
        <f t="shared" si="21"/>
        <v>#REF!</v>
      </c>
      <c r="U26" s="19" t="e">
        <f t="shared" si="21"/>
        <v>#REF!</v>
      </c>
      <c r="W26" s="19" t="e">
        <f t="shared" ref="W26:AI26" si="22">W25/W10</f>
        <v>#REF!</v>
      </c>
      <c r="X26" s="19" t="e">
        <f t="shared" si="22"/>
        <v>#REF!</v>
      </c>
      <c r="Y26" s="19" t="e">
        <f t="shared" si="22"/>
        <v>#REF!</v>
      </c>
      <c r="Z26" s="19" t="e">
        <f t="shared" si="22"/>
        <v>#REF!</v>
      </c>
      <c r="AA26" s="19" t="e">
        <f t="shared" si="22"/>
        <v>#REF!</v>
      </c>
      <c r="AB26" s="19" t="e">
        <f t="shared" si="22"/>
        <v>#REF!</v>
      </c>
      <c r="AC26" s="19" t="e">
        <f t="shared" si="22"/>
        <v>#REF!</v>
      </c>
      <c r="AD26" s="19" t="e">
        <f t="shared" si="22"/>
        <v>#REF!</v>
      </c>
      <c r="AE26" s="19" t="e">
        <f t="shared" si="22"/>
        <v>#REF!</v>
      </c>
      <c r="AF26" s="19" t="e">
        <f t="shared" si="22"/>
        <v>#REF!</v>
      </c>
      <c r="AG26" s="19" t="e">
        <f t="shared" si="22"/>
        <v>#REF!</v>
      </c>
      <c r="AH26" s="19" t="e">
        <f t="shared" si="22"/>
        <v>#REF!</v>
      </c>
      <c r="AI26" s="19" t="e">
        <f t="shared" si="22"/>
        <v>#REF!</v>
      </c>
      <c r="AK26" s="472" t="e">
        <f>SUM(AI26-AE26)*10000</f>
        <v>#REF!</v>
      </c>
    </row>
    <row r="27" spans="2:37" ht="5.0999999999999996" customHeight="1">
      <c r="AK27" s="469"/>
    </row>
    <row r="28" spans="2:37" ht="12.75" customHeight="1">
      <c r="B28" s="33" t="s">
        <v>46</v>
      </c>
      <c r="C28" s="510">
        <f>'Historical Financials'!C92</f>
        <v>0</v>
      </c>
      <c r="D28" s="510">
        <f>'Historical Financials'!D92</f>
        <v>0</v>
      </c>
      <c r="E28" s="510">
        <f>'Historical Financials'!E92</f>
        <v>0</v>
      </c>
      <c r="G28" s="510" t="e">
        <f>'Historical Financials'!#REF!</f>
        <v>#REF!</v>
      </c>
      <c r="H28" s="510" t="e">
        <f>'Historical Financials'!#REF!</f>
        <v>#REF!</v>
      </c>
      <c r="I28" s="510" t="e">
        <f>'Historical Financials'!#REF!</f>
        <v>#REF!</v>
      </c>
      <c r="J28" s="510" t="e">
        <f>'Historical Financials'!#REF!</f>
        <v>#REF!</v>
      </c>
      <c r="K28" s="510" t="e">
        <f>'Historical Financials'!#REF!</f>
        <v>#REF!</v>
      </c>
      <c r="L28" s="510" t="e">
        <f>'Historical Financials'!#REF!</f>
        <v>#REF!</v>
      </c>
      <c r="M28" s="510" t="e">
        <f>'Historical Financials'!#REF!</f>
        <v>#REF!</v>
      </c>
      <c r="N28" s="510" t="e">
        <f>'Historical Financials'!#REF!</f>
        <v>#REF!</v>
      </c>
      <c r="O28" s="510">
        <f>'Historical Financials'!G92</f>
        <v>0</v>
      </c>
      <c r="P28" s="510">
        <f>'Historical Financials'!H92</f>
        <v>0</v>
      </c>
      <c r="Q28" s="510">
        <f>'Historical Financials'!I92</f>
        <v>0</v>
      </c>
      <c r="R28" s="510">
        <f>'Historical Financials'!J92</f>
        <v>0</v>
      </c>
      <c r="S28" s="510">
        <f>'Historical Financials'!K92</f>
        <v>0</v>
      </c>
      <c r="T28" s="510">
        <f>'Historical Financials'!L92</f>
        <v>0</v>
      </c>
      <c r="U28" s="510">
        <f>'Historical Financials'!M92</f>
        <v>0</v>
      </c>
      <c r="W28" s="11" t="e">
        <f t="shared" ref="W28:AI28" si="23">SUM(F28:I28)</f>
        <v>#REF!</v>
      </c>
      <c r="X28" s="11" t="e">
        <f t="shared" si="23"/>
        <v>#REF!</v>
      </c>
      <c r="Y28" s="11" t="e">
        <f t="shared" si="23"/>
        <v>#REF!</v>
      </c>
      <c r="Z28" s="11" t="e">
        <f t="shared" si="23"/>
        <v>#REF!</v>
      </c>
      <c r="AA28" s="11" t="e">
        <f t="shared" si="23"/>
        <v>#REF!</v>
      </c>
      <c r="AB28" s="11" t="e">
        <f t="shared" si="23"/>
        <v>#REF!</v>
      </c>
      <c r="AC28" s="11" t="e">
        <f t="shared" si="23"/>
        <v>#REF!</v>
      </c>
      <c r="AD28" s="11" t="e">
        <f t="shared" si="23"/>
        <v>#REF!</v>
      </c>
      <c r="AE28" s="511" t="e">
        <f t="shared" si="23"/>
        <v>#REF!</v>
      </c>
      <c r="AF28" s="511">
        <f t="shared" si="23"/>
        <v>0</v>
      </c>
      <c r="AG28" s="511">
        <f t="shared" si="23"/>
        <v>0</v>
      </c>
      <c r="AH28" s="511">
        <f t="shared" si="23"/>
        <v>0</v>
      </c>
      <c r="AI28" s="511">
        <f t="shared" si="23"/>
        <v>0</v>
      </c>
      <c r="AK28" s="470" t="e">
        <f>SUM(AI28/AE28)-1</f>
        <v>#REF!</v>
      </c>
    </row>
    <row r="29" spans="2:37" ht="12.75" customHeight="1">
      <c r="B29" s="14" t="s">
        <v>47</v>
      </c>
      <c r="C29" s="15" t="e">
        <f>+SUM(C25+SUM(C28:C28))</f>
        <v>#REF!</v>
      </c>
      <c r="D29" s="15" t="e">
        <f>+SUM(D25+SUM(D28:D28))</f>
        <v>#REF!</v>
      </c>
      <c r="E29" s="15" t="e">
        <f>+SUM(E25+SUM(E28:E28))</f>
        <v>#REF!</v>
      </c>
      <c r="F29" s="12"/>
      <c r="G29" s="15" t="e">
        <f t="shared" ref="G29:U29" si="24">+SUM(G25+SUM(G28:G28))</f>
        <v>#REF!</v>
      </c>
      <c r="H29" s="15" t="e">
        <f t="shared" si="24"/>
        <v>#REF!</v>
      </c>
      <c r="I29" s="15" t="e">
        <f t="shared" si="24"/>
        <v>#REF!</v>
      </c>
      <c r="J29" s="15" t="e">
        <f t="shared" si="24"/>
        <v>#REF!</v>
      </c>
      <c r="K29" s="15" t="e">
        <f t="shared" si="24"/>
        <v>#REF!</v>
      </c>
      <c r="L29" s="15" t="e">
        <f t="shared" si="24"/>
        <v>#REF!</v>
      </c>
      <c r="M29" s="15" t="e">
        <f t="shared" si="24"/>
        <v>#REF!</v>
      </c>
      <c r="N29" s="15" t="e">
        <f t="shared" si="24"/>
        <v>#REF!</v>
      </c>
      <c r="O29" s="15" t="e">
        <f t="shared" si="24"/>
        <v>#REF!</v>
      </c>
      <c r="P29" s="15" t="e">
        <f t="shared" si="24"/>
        <v>#REF!</v>
      </c>
      <c r="Q29" s="15" t="e">
        <f t="shared" si="24"/>
        <v>#REF!</v>
      </c>
      <c r="R29" s="15" t="e">
        <f t="shared" si="24"/>
        <v>#REF!</v>
      </c>
      <c r="S29" s="15" t="e">
        <f t="shared" si="24"/>
        <v>#REF!</v>
      </c>
      <c r="T29" s="15" t="e">
        <f t="shared" si="24"/>
        <v>#REF!</v>
      </c>
      <c r="U29" s="15" t="e">
        <f t="shared" si="24"/>
        <v>#REF!</v>
      </c>
      <c r="W29" s="15" t="e">
        <f t="shared" ref="W29:AI29" si="25">+SUM(W25+SUM(W28:W28))</f>
        <v>#REF!</v>
      </c>
      <c r="X29" s="15" t="e">
        <f t="shared" si="25"/>
        <v>#REF!</v>
      </c>
      <c r="Y29" s="15" t="e">
        <f t="shared" si="25"/>
        <v>#REF!</v>
      </c>
      <c r="Z29" s="15" t="e">
        <f t="shared" si="25"/>
        <v>#REF!</v>
      </c>
      <c r="AA29" s="15" t="e">
        <f t="shared" si="25"/>
        <v>#REF!</v>
      </c>
      <c r="AB29" s="15" t="e">
        <f t="shared" si="25"/>
        <v>#REF!</v>
      </c>
      <c r="AC29" s="15" t="e">
        <f t="shared" si="25"/>
        <v>#REF!</v>
      </c>
      <c r="AD29" s="15" t="e">
        <f t="shared" si="25"/>
        <v>#REF!</v>
      </c>
      <c r="AE29" s="15" t="e">
        <f t="shared" si="25"/>
        <v>#REF!</v>
      </c>
      <c r="AF29" s="15" t="e">
        <f t="shared" si="25"/>
        <v>#REF!</v>
      </c>
      <c r="AG29" s="15" t="e">
        <f t="shared" si="25"/>
        <v>#REF!</v>
      </c>
      <c r="AH29" s="15" t="e">
        <f t="shared" si="25"/>
        <v>#REF!</v>
      </c>
      <c r="AI29" s="15" t="e">
        <f t="shared" si="25"/>
        <v>#REF!</v>
      </c>
      <c r="AK29" s="471" t="e">
        <f>SUM(AI29/AE29)-1</f>
        <v>#REF!</v>
      </c>
    </row>
    <row r="30" spans="2:37" ht="12.75" customHeight="1">
      <c r="B30" s="17" t="s">
        <v>48</v>
      </c>
      <c r="C30" s="19" t="e">
        <f>C29/C10</f>
        <v>#REF!</v>
      </c>
      <c r="D30" s="19" t="e">
        <f>D29/D10</f>
        <v>#REF!</v>
      </c>
      <c r="E30" s="19" t="e">
        <f>E29/E10</f>
        <v>#REF!</v>
      </c>
      <c r="G30" s="19" t="e">
        <f t="shared" ref="G30:U30" si="26">G29/G10</f>
        <v>#REF!</v>
      </c>
      <c r="H30" s="19" t="e">
        <f t="shared" si="26"/>
        <v>#REF!</v>
      </c>
      <c r="I30" s="19" t="e">
        <f t="shared" si="26"/>
        <v>#REF!</v>
      </c>
      <c r="J30" s="19" t="e">
        <f t="shared" si="26"/>
        <v>#REF!</v>
      </c>
      <c r="K30" s="19" t="e">
        <f t="shared" si="26"/>
        <v>#REF!</v>
      </c>
      <c r="L30" s="19" t="e">
        <f t="shared" si="26"/>
        <v>#REF!</v>
      </c>
      <c r="M30" s="19" t="e">
        <f t="shared" si="26"/>
        <v>#REF!</v>
      </c>
      <c r="N30" s="19" t="e">
        <f t="shared" si="26"/>
        <v>#REF!</v>
      </c>
      <c r="O30" s="19" t="e">
        <f t="shared" si="26"/>
        <v>#REF!</v>
      </c>
      <c r="P30" s="19" t="e">
        <f t="shared" si="26"/>
        <v>#REF!</v>
      </c>
      <c r="Q30" s="19" t="e">
        <f t="shared" si="26"/>
        <v>#REF!</v>
      </c>
      <c r="R30" s="19" t="e">
        <f t="shared" si="26"/>
        <v>#REF!</v>
      </c>
      <c r="S30" s="19" t="e">
        <f t="shared" si="26"/>
        <v>#REF!</v>
      </c>
      <c r="T30" s="19" t="e">
        <f t="shared" si="26"/>
        <v>#REF!</v>
      </c>
      <c r="U30" s="19" t="e">
        <f t="shared" si="26"/>
        <v>#REF!</v>
      </c>
      <c r="W30" s="19" t="e">
        <f t="shared" ref="W30:AI30" si="27">W29/W10</f>
        <v>#REF!</v>
      </c>
      <c r="X30" s="19" t="e">
        <f t="shared" si="27"/>
        <v>#REF!</v>
      </c>
      <c r="Y30" s="19" t="e">
        <f t="shared" si="27"/>
        <v>#REF!</v>
      </c>
      <c r="Z30" s="19" t="e">
        <f t="shared" si="27"/>
        <v>#REF!</v>
      </c>
      <c r="AA30" s="19" t="e">
        <f t="shared" si="27"/>
        <v>#REF!</v>
      </c>
      <c r="AB30" s="19" t="e">
        <f t="shared" si="27"/>
        <v>#REF!</v>
      </c>
      <c r="AC30" s="19" t="e">
        <f t="shared" si="27"/>
        <v>#REF!</v>
      </c>
      <c r="AD30" s="19" t="e">
        <f t="shared" si="27"/>
        <v>#REF!</v>
      </c>
      <c r="AE30" s="19" t="e">
        <f t="shared" si="27"/>
        <v>#REF!</v>
      </c>
      <c r="AF30" s="19" t="e">
        <f t="shared" si="27"/>
        <v>#REF!</v>
      </c>
      <c r="AG30" s="19" t="e">
        <f t="shared" si="27"/>
        <v>#REF!</v>
      </c>
      <c r="AH30" s="19" t="e">
        <f t="shared" si="27"/>
        <v>#REF!</v>
      </c>
      <c r="AI30" s="19" t="e">
        <f t="shared" si="27"/>
        <v>#REF!</v>
      </c>
      <c r="AK30" s="472" t="e">
        <f>SUM(AI30-AE30)*10000</f>
        <v>#REF!</v>
      </c>
    </row>
    <row r="31" spans="2:37" ht="5.0999999999999996" customHeight="1">
      <c r="AK31" s="469"/>
    </row>
    <row r="32" spans="2:37" ht="12.75" customHeight="1">
      <c r="B32" s="25" t="s">
        <v>49</v>
      </c>
      <c r="C32" s="510" t="e">
        <f>'Historical Financials'!#REF!</f>
        <v>#REF!</v>
      </c>
      <c r="D32" s="510" t="e">
        <f>'Historical Financials'!#REF!</f>
        <v>#REF!</v>
      </c>
      <c r="E32" s="510">
        <f>'Historical Financials'!C107</f>
        <v>0</v>
      </c>
      <c r="G32" s="510" t="e">
        <f>'Historical Financials'!#REF!</f>
        <v>#REF!</v>
      </c>
      <c r="H32" s="510" t="e">
        <f>'Historical Financials'!#REF!</f>
        <v>#REF!</v>
      </c>
      <c r="I32" s="510" t="e">
        <f>'Historical Financials'!#REF!</f>
        <v>#REF!</v>
      </c>
      <c r="J32" s="510" t="e">
        <f>'Historical Financials'!#REF!</f>
        <v>#REF!</v>
      </c>
      <c r="K32" s="510" t="e">
        <f>'Historical Financials'!#REF!</f>
        <v>#REF!</v>
      </c>
      <c r="L32" s="510" t="e">
        <f>'Historical Financials'!#REF!</f>
        <v>#REF!</v>
      </c>
      <c r="M32" s="510" t="e">
        <f>'Historical Financials'!#REF!</f>
        <v>#REF!</v>
      </c>
      <c r="N32" s="510" t="e">
        <f>'Historical Financials'!#REF!</f>
        <v>#REF!</v>
      </c>
      <c r="O32" s="510">
        <f>'Historical Financials'!G107</f>
        <v>0</v>
      </c>
      <c r="P32" s="510">
        <f>'Historical Financials'!H107</f>
        <v>0</v>
      </c>
      <c r="Q32" s="510">
        <f>'Historical Financials'!I107</f>
        <v>0</v>
      </c>
      <c r="R32" s="510">
        <f>'Historical Financials'!J107</f>
        <v>0</v>
      </c>
      <c r="S32" s="510">
        <f>'Historical Financials'!K107</f>
        <v>0</v>
      </c>
      <c r="T32" s="510">
        <f>'Historical Financials'!L107</f>
        <v>0</v>
      </c>
      <c r="U32" s="510">
        <f>'Historical Financials'!M107</f>
        <v>0</v>
      </c>
      <c r="W32" s="11" t="e">
        <f t="shared" ref="W32:AI35" si="28">SUM(F32:I32)</f>
        <v>#REF!</v>
      </c>
      <c r="X32" s="11" t="e">
        <f t="shared" si="28"/>
        <v>#REF!</v>
      </c>
      <c r="Y32" s="11" t="e">
        <f t="shared" si="28"/>
        <v>#REF!</v>
      </c>
      <c r="Z32" s="11" t="e">
        <f t="shared" si="28"/>
        <v>#REF!</v>
      </c>
      <c r="AA32" s="11" t="e">
        <f t="shared" si="28"/>
        <v>#REF!</v>
      </c>
      <c r="AB32" s="11" t="e">
        <f t="shared" si="28"/>
        <v>#REF!</v>
      </c>
      <c r="AC32" s="11" t="e">
        <f t="shared" si="28"/>
        <v>#REF!</v>
      </c>
      <c r="AD32" s="11" t="e">
        <f t="shared" si="28"/>
        <v>#REF!</v>
      </c>
      <c r="AE32" s="511" t="e">
        <f t="shared" si="28"/>
        <v>#REF!</v>
      </c>
      <c r="AF32" s="511">
        <f t="shared" si="28"/>
        <v>0</v>
      </c>
      <c r="AG32" s="511">
        <f t="shared" si="28"/>
        <v>0</v>
      </c>
      <c r="AH32" s="511">
        <f t="shared" si="28"/>
        <v>0</v>
      </c>
      <c r="AI32" s="511">
        <f t="shared" si="28"/>
        <v>0</v>
      </c>
      <c r="AK32" s="470" t="e">
        <f>SUM(AI32/AE32)-1</f>
        <v>#REF!</v>
      </c>
    </row>
    <row r="33" spans="1:37" ht="12.75" customHeight="1">
      <c r="B33" s="25" t="s">
        <v>50</v>
      </c>
      <c r="C33" s="510">
        <f>-'Historical Financials'!C134</f>
        <v>0</v>
      </c>
      <c r="D33" s="510">
        <f>-'Historical Financials'!D134</f>
        <v>0</v>
      </c>
      <c r="E33" s="510">
        <f>-'Historical Financials'!E134</f>
        <v>0</v>
      </c>
      <c r="G33" s="510" t="e">
        <f>-'Historical Financials'!#REF!</f>
        <v>#REF!</v>
      </c>
      <c r="H33" s="510" t="e">
        <f>-'Historical Financials'!#REF!</f>
        <v>#REF!</v>
      </c>
      <c r="I33" s="510" t="e">
        <f>-'Historical Financials'!#REF!</f>
        <v>#REF!</v>
      </c>
      <c r="J33" s="510" t="e">
        <f>-'Historical Financials'!#REF!</f>
        <v>#REF!</v>
      </c>
      <c r="K33" s="510" t="e">
        <f>-'Historical Financials'!#REF!</f>
        <v>#REF!</v>
      </c>
      <c r="L33" s="510" t="e">
        <f>-'Historical Financials'!#REF!</f>
        <v>#REF!</v>
      </c>
      <c r="M33" s="510" t="e">
        <f>-'Historical Financials'!#REF!</f>
        <v>#REF!</v>
      </c>
      <c r="N33" s="510" t="e">
        <f>-'Historical Financials'!#REF!</f>
        <v>#REF!</v>
      </c>
      <c r="O33" s="510">
        <f>-'Historical Financials'!G134</f>
        <v>0</v>
      </c>
      <c r="P33" s="510">
        <f>-'Historical Financials'!H134</f>
        <v>0</v>
      </c>
      <c r="Q33" s="510">
        <f>-'Historical Financials'!I134</f>
        <v>0</v>
      </c>
      <c r="R33" s="510">
        <f>-'Historical Financials'!J134</f>
        <v>0</v>
      </c>
      <c r="S33" s="510">
        <f>-'Historical Financials'!K134</f>
        <v>0</v>
      </c>
      <c r="T33" s="510">
        <f>-'Historical Financials'!L134</f>
        <v>0</v>
      </c>
      <c r="U33" s="510">
        <f>-'Historical Financials'!M134</f>
        <v>0</v>
      </c>
      <c r="W33" s="11" t="e">
        <f t="shared" si="28"/>
        <v>#REF!</v>
      </c>
      <c r="X33" s="11" t="e">
        <f t="shared" si="28"/>
        <v>#REF!</v>
      </c>
      <c r="Y33" s="11" t="e">
        <f t="shared" si="28"/>
        <v>#REF!</v>
      </c>
      <c r="Z33" s="11" t="e">
        <f t="shared" si="28"/>
        <v>#REF!</v>
      </c>
      <c r="AA33" s="11" t="e">
        <f t="shared" si="28"/>
        <v>#REF!</v>
      </c>
      <c r="AB33" s="11" t="e">
        <f t="shared" si="28"/>
        <v>#REF!</v>
      </c>
      <c r="AC33" s="11" t="e">
        <f t="shared" si="28"/>
        <v>#REF!</v>
      </c>
      <c r="AD33" s="11" t="e">
        <f t="shared" si="28"/>
        <v>#REF!</v>
      </c>
      <c r="AE33" s="511" t="e">
        <f t="shared" si="28"/>
        <v>#REF!</v>
      </c>
      <c r="AF33" s="511">
        <f t="shared" si="28"/>
        <v>0</v>
      </c>
      <c r="AG33" s="511">
        <f t="shared" si="28"/>
        <v>0</v>
      </c>
      <c r="AH33" s="511">
        <f t="shared" si="28"/>
        <v>0</v>
      </c>
      <c r="AI33" s="511">
        <f t="shared" si="28"/>
        <v>0</v>
      </c>
      <c r="AK33" s="470" t="e">
        <f>SUM(AI33/AE33)-1</f>
        <v>#REF!</v>
      </c>
    </row>
    <row r="34" spans="1:37" ht="12.75" customHeight="1">
      <c r="B34" s="25" t="s">
        <v>246</v>
      </c>
      <c r="C34" s="510" t="e">
        <f>'Historical Financials'!#REF!</f>
        <v>#REF!</v>
      </c>
      <c r="D34" s="510" t="e">
        <f>'Historical Financials'!#REF!</f>
        <v>#REF!</v>
      </c>
      <c r="E34" s="510" t="e">
        <f>'Historical Financials'!#REF!</f>
        <v>#REF!</v>
      </c>
      <c r="G34" s="510" t="e">
        <f>'Historical Financials'!#REF!</f>
        <v>#REF!</v>
      </c>
      <c r="H34" s="510" t="e">
        <f>'Historical Financials'!#REF!</f>
        <v>#REF!</v>
      </c>
      <c r="I34" s="510" t="e">
        <f>'Historical Financials'!#REF!</f>
        <v>#REF!</v>
      </c>
      <c r="J34" s="510" t="e">
        <f>'Historical Financials'!#REF!</f>
        <v>#REF!</v>
      </c>
      <c r="K34" s="510" t="e">
        <f>'Historical Financials'!#REF!</f>
        <v>#REF!</v>
      </c>
      <c r="L34" s="510" t="e">
        <f>'Historical Financials'!#REF!</f>
        <v>#REF!</v>
      </c>
      <c r="M34" s="510" t="e">
        <f>'Historical Financials'!#REF!</f>
        <v>#REF!</v>
      </c>
      <c r="N34" s="510" t="e">
        <f>'Historical Financials'!#REF!</f>
        <v>#REF!</v>
      </c>
      <c r="O34" s="510" t="e">
        <f>'Historical Financials'!#REF!</f>
        <v>#REF!</v>
      </c>
      <c r="P34" s="510" t="e">
        <f>'Historical Financials'!#REF!</f>
        <v>#REF!</v>
      </c>
      <c r="Q34" s="510" t="e">
        <f>'Historical Financials'!#REF!</f>
        <v>#REF!</v>
      </c>
      <c r="R34" s="510" t="e">
        <f>'Historical Financials'!#REF!</f>
        <v>#REF!</v>
      </c>
      <c r="S34" s="510" t="e">
        <f>'Historical Financials'!#REF!</f>
        <v>#REF!</v>
      </c>
      <c r="T34" s="510" t="e">
        <f>'Historical Financials'!#REF!</f>
        <v>#REF!</v>
      </c>
      <c r="U34" s="510" t="e">
        <f>'Historical Financials'!#REF!</f>
        <v>#REF!</v>
      </c>
      <c r="W34" s="11" t="e">
        <f t="shared" si="28"/>
        <v>#REF!</v>
      </c>
      <c r="X34" s="11" t="e">
        <f t="shared" si="28"/>
        <v>#REF!</v>
      </c>
      <c r="Y34" s="11" t="e">
        <f t="shared" si="28"/>
        <v>#REF!</v>
      </c>
      <c r="Z34" s="11" t="e">
        <f t="shared" si="28"/>
        <v>#REF!</v>
      </c>
      <c r="AA34" s="11" t="e">
        <f t="shared" si="28"/>
        <v>#REF!</v>
      </c>
      <c r="AB34" s="11" t="e">
        <f t="shared" si="28"/>
        <v>#REF!</v>
      </c>
      <c r="AC34" s="11" t="e">
        <f t="shared" si="28"/>
        <v>#REF!</v>
      </c>
      <c r="AD34" s="11" t="e">
        <f t="shared" si="28"/>
        <v>#REF!</v>
      </c>
      <c r="AE34" s="511" t="e">
        <f t="shared" si="28"/>
        <v>#REF!</v>
      </c>
      <c r="AF34" s="511" t="e">
        <f t="shared" si="28"/>
        <v>#REF!</v>
      </c>
      <c r="AG34" s="511" t="e">
        <f t="shared" si="28"/>
        <v>#REF!</v>
      </c>
      <c r="AH34" s="511" t="e">
        <f t="shared" si="28"/>
        <v>#REF!</v>
      </c>
      <c r="AI34" s="511" t="e">
        <f t="shared" si="28"/>
        <v>#REF!</v>
      </c>
      <c r="AK34" s="470" t="e">
        <f>SUM(AI34/AE34)-1</f>
        <v>#REF!</v>
      </c>
    </row>
    <row r="35" spans="1:37" ht="12.75" customHeight="1">
      <c r="B35" s="25" t="s">
        <v>51</v>
      </c>
      <c r="C35" s="510">
        <f>SUM('Historical Financials'!C97:C103)</f>
        <v>0</v>
      </c>
      <c r="D35" s="510">
        <f>SUM('Historical Financials'!D97:D103)</f>
        <v>0</v>
      </c>
      <c r="E35" s="510">
        <f>SUM('Historical Financials'!E97:E103)</f>
        <v>0</v>
      </c>
      <c r="G35" s="510" t="e">
        <f>SUM('Historical Financials'!#REF!)</f>
        <v>#REF!</v>
      </c>
      <c r="H35" s="510" t="e">
        <f>SUM('Historical Financials'!#REF!)</f>
        <v>#REF!</v>
      </c>
      <c r="I35" s="510" t="e">
        <f>SUM('Historical Financials'!#REF!)</f>
        <v>#REF!</v>
      </c>
      <c r="J35" s="510" t="e">
        <f>SUM('Historical Financials'!#REF!)</f>
        <v>#REF!</v>
      </c>
      <c r="K35" s="510" t="e">
        <f>SUM('Historical Financials'!#REF!)</f>
        <v>#REF!</v>
      </c>
      <c r="L35" s="510" t="e">
        <f>SUM('Historical Financials'!#REF!)</f>
        <v>#REF!</v>
      </c>
      <c r="M35" s="510" t="e">
        <f>SUM('Historical Financials'!#REF!)</f>
        <v>#REF!</v>
      </c>
      <c r="N35" s="510" t="e">
        <f>SUM('Historical Financials'!#REF!)</f>
        <v>#REF!</v>
      </c>
      <c r="O35" s="510">
        <f>SUM('Historical Financials'!G97:G103)</f>
        <v>0</v>
      </c>
      <c r="P35" s="510">
        <f>SUM('Historical Financials'!H97:H103)</f>
        <v>0</v>
      </c>
      <c r="Q35" s="510">
        <f>SUM('Historical Financials'!I97:I103)</f>
        <v>0</v>
      </c>
      <c r="R35" s="510">
        <f>SUM('Historical Financials'!J97:J103)</f>
        <v>0</v>
      </c>
      <c r="S35" s="510">
        <f>SUM('Historical Financials'!K97:K103)</f>
        <v>0</v>
      </c>
      <c r="T35" s="510">
        <f>SUM('Historical Financials'!L97:L103)</f>
        <v>0</v>
      </c>
      <c r="U35" s="510">
        <f>SUM('Historical Financials'!M97:M103)</f>
        <v>0</v>
      </c>
      <c r="W35" s="11" t="e">
        <f t="shared" si="28"/>
        <v>#REF!</v>
      </c>
      <c r="X35" s="11" t="e">
        <f t="shared" si="28"/>
        <v>#REF!</v>
      </c>
      <c r="Y35" s="11" t="e">
        <f t="shared" si="28"/>
        <v>#REF!</v>
      </c>
      <c r="Z35" s="11" t="e">
        <f t="shared" si="28"/>
        <v>#REF!</v>
      </c>
      <c r="AA35" s="11" t="e">
        <f t="shared" si="28"/>
        <v>#REF!</v>
      </c>
      <c r="AB35" s="11" t="e">
        <f t="shared" si="28"/>
        <v>#REF!</v>
      </c>
      <c r="AC35" s="11" t="e">
        <f t="shared" si="28"/>
        <v>#REF!</v>
      </c>
      <c r="AD35" s="11" t="e">
        <f t="shared" si="28"/>
        <v>#REF!</v>
      </c>
      <c r="AE35" s="511" t="e">
        <f t="shared" si="28"/>
        <v>#REF!</v>
      </c>
      <c r="AF35" s="511">
        <f t="shared" si="28"/>
        <v>0</v>
      </c>
      <c r="AG35" s="511">
        <f t="shared" si="28"/>
        <v>0</v>
      </c>
      <c r="AH35" s="511">
        <f t="shared" si="28"/>
        <v>0</v>
      </c>
      <c r="AI35" s="511">
        <f t="shared" si="28"/>
        <v>0</v>
      </c>
      <c r="AK35" s="470" t="e">
        <f>SUM(AI35/AE35)-1</f>
        <v>#REF!</v>
      </c>
    </row>
    <row r="36" spans="1:37" ht="12.75" customHeight="1">
      <c r="B36" s="14" t="s">
        <v>52</v>
      </c>
      <c r="C36" s="15" t="e">
        <f>SUM(C29+SUM(C32:C35))</f>
        <v>#REF!</v>
      </c>
      <c r="D36" s="15" t="e">
        <f>SUM(D29+SUM(D32:D35))</f>
        <v>#REF!</v>
      </c>
      <c r="E36" s="15" t="e">
        <f>SUM(E29+SUM(E32:E35))</f>
        <v>#REF!</v>
      </c>
      <c r="G36" s="15" t="e">
        <f t="shared" ref="G36:T36" si="29">SUM(G29+SUM(G32:G35))</f>
        <v>#REF!</v>
      </c>
      <c r="H36" s="15" t="e">
        <f t="shared" si="29"/>
        <v>#REF!</v>
      </c>
      <c r="I36" s="15" t="e">
        <f t="shared" si="29"/>
        <v>#REF!</v>
      </c>
      <c r="J36" s="15" t="e">
        <f t="shared" si="29"/>
        <v>#REF!</v>
      </c>
      <c r="K36" s="15" t="e">
        <f t="shared" si="29"/>
        <v>#REF!</v>
      </c>
      <c r="L36" s="15" t="e">
        <f t="shared" si="29"/>
        <v>#REF!</v>
      </c>
      <c r="M36" s="15" t="e">
        <f t="shared" si="29"/>
        <v>#REF!</v>
      </c>
      <c r="N36" s="15" t="e">
        <f t="shared" si="29"/>
        <v>#REF!</v>
      </c>
      <c r="O36" s="15" t="e">
        <f t="shared" si="29"/>
        <v>#REF!</v>
      </c>
      <c r="P36" s="15" t="e">
        <f t="shared" si="29"/>
        <v>#REF!</v>
      </c>
      <c r="Q36" s="15" t="e">
        <f t="shared" si="29"/>
        <v>#REF!</v>
      </c>
      <c r="R36" s="15" t="e">
        <f t="shared" si="29"/>
        <v>#REF!</v>
      </c>
      <c r="S36" s="15" t="e">
        <f t="shared" si="29"/>
        <v>#REF!</v>
      </c>
      <c r="T36" s="15" t="e">
        <f t="shared" si="29"/>
        <v>#REF!</v>
      </c>
      <c r="U36" s="15" t="e">
        <f>SUM(U29+SUM(U32:U35))</f>
        <v>#REF!</v>
      </c>
      <c r="W36" s="15" t="e">
        <f t="shared" ref="W36:AG36" si="30">SUM(W29+SUM(W32:W35))</f>
        <v>#REF!</v>
      </c>
      <c r="X36" s="15" t="e">
        <f t="shared" si="30"/>
        <v>#REF!</v>
      </c>
      <c r="Y36" s="15" t="e">
        <f t="shared" si="30"/>
        <v>#REF!</v>
      </c>
      <c r="Z36" s="15" t="e">
        <f t="shared" si="30"/>
        <v>#REF!</v>
      </c>
      <c r="AA36" s="15" t="e">
        <f t="shared" si="30"/>
        <v>#REF!</v>
      </c>
      <c r="AB36" s="15" t="e">
        <f t="shared" si="30"/>
        <v>#REF!</v>
      </c>
      <c r="AC36" s="15" t="e">
        <f t="shared" si="30"/>
        <v>#REF!</v>
      </c>
      <c r="AD36" s="15" t="e">
        <f t="shared" si="30"/>
        <v>#REF!</v>
      </c>
      <c r="AE36" s="15" t="e">
        <f t="shared" si="30"/>
        <v>#REF!</v>
      </c>
      <c r="AF36" s="15" t="e">
        <f t="shared" si="30"/>
        <v>#REF!</v>
      </c>
      <c r="AG36" s="15" t="e">
        <f t="shared" si="30"/>
        <v>#REF!</v>
      </c>
      <c r="AH36" s="15" t="e">
        <f>SUM(AH29+SUM(AH32:AH35))</f>
        <v>#REF!</v>
      </c>
      <c r="AI36" s="15" t="e">
        <f>SUM(AI29+SUM(AI32:AI35))</f>
        <v>#REF!</v>
      </c>
      <c r="AK36" s="471" t="e">
        <f>SUM(AI36/AE36)-1</f>
        <v>#REF!</v>
      </c>
    </row>
    <row r="37" spans="1:37" ht="5.0999999999999996" customHeight="1"/>
    <row r="38" spans="1:37" ht="12.75" customHeight="1">
      <c r="B38" s="33" t="s">
        <v>541</v>
      </c>
      <c r="C38" s="510">
        <f>'Historical Financials'!C108</f>
        <v>0</v>
      </c>
      <c r="D38" s="510">
        <f>'Historical Financials'!D108</f>
        <v>0</v>
      </c>
      <c r="E38" s="510">
        <f>'Historical Financials'!E108</f>
        <v>0</v>
      </c>
      <c r="F38" s="34"/>
      <c r="G38" s="510" t="e">
        <f>'Historical Financials'!#REF!</f>
        <v>#REF!</v>
      </c>
      <c r="H38" s="510" t="e">
        <f>'Historical Financials'!#REF!</f>
        <v>#REF!</v>
      </c>
      <c r="I38" s="510" t="e">
        <f>'Historical Financials'!#REF!</f>
        <v>#REF!</v>
      </c>
      <c r="J38" s="510" t="e">
        <f>'Historical Financials'!#REF!</f>
        <v>#REF!</v>
      </c>
      <c r="K38" s="510" t="e">
        <f>'Historical Financials'!#REF!</f>
        <v>#REF!</v>
      </c>
      <c r="L38" s="510" t="e">
        <f>'Historical Financials'!#REF!</f>
        <v>#REF!</v>
      </c>
      <c r="M38" s="510" t="e">
        <f>'Historical Financials'!#REF!</f>
        <v>#REF!</v>
      </c>
      <c r="N38" s="510" t="e">
        <f>'Historical Financials'!#REF!</f>
        <v>#REF!</v>
      </c>
      <c r="O38" s="510">
        <f>'Historical Financials'!G108</f>
        <v>0</v>
      </c>
      <c r="P38" s="510">
        <f>'Historical Financials'!H108</f>
        <v>0</v>
      </c>
      <c r="Q38" s="510">
        <f>'Historical Financials'!I108</f>
        <v>0</v>
      </c>
      <c r="R38" s="510">
        <f>'Historical Financials'!J108</f>
        <v>0</v>
      </c>
      <c r="S38" s="510">
        <f>'Historical Financials'!K108</f>
        <v>0</v>
      </c>
      <c r="T38" s="510">
        <f>'Historical Financials'!L108</f>
        <v>0</v>
      </c>
      <c r="U38" s="510">
        <f>'Historical Financials'!M108</f>
        <v>0</v>
      </c>
      <c r="W38" s="11" t="e">
        <f t="shared" ref="W38:AI40" si="31">SUM(F38:I38)</f>
        <v>#REF!</v>
      </c>
      <c r="X38" s="11" t="e">
        <f t="shared" si="31"/>
        <v>#REF!</v>
      </c>
      <c r="Y38" s="11" t="e">
        <f t="shared" si="31"/>
        <v>#REF!</v>
      </c>
      <c r="Z38" s="11" t="e">
        <f t="shared" si="31"/>
        <v>#REF!</v>
      </c>
      <c r="AA38" s="11" t="e">
        <f t="shared" si="31"/>
        <v>#REF!</v>
      </c>
      <c r="AB38" s="11" t="e">
        <f t="shared" si="31"/>
        <v>#REF!</v>
      </c>
      <c r="AC38" s="11" t="e">
        <f t="shared" si="31"/>
        <v>#REF!</v>
      </c>
      <c r="AD38" s="11" t="e">
        <f t="shared" si="31"/>
        <v>#REF!</v>
      </c>
      <c r="AE38" s="511" t="e">
        <f t="shared" si="31"/>
        <v>#REF!</v>
      </c>
      <c r="AF38" s="511">
        <f t="shared" si="31"/>
        <v>0</v>
      </c>
      <c r="AG38" s="511">
        <f t="shared" si="31"/>
        <v>0</v>
      </c>
      <c r="AH38" s="511">
        <f t="shared" si="31"/>
        <v>0</v>
      </c>
      <c r="AI38" s="511">
        <f t="shared" si="31"/>
        <v>0</v>
      </c>
    </row>
    <row r="39" spans="1:37" ht="12.75" customHeight="1">
      <c r="B39" s="33" t="s">
        <v>545</v>
      </c>
      <c r="C39" s="510">
        <f>'Historical Financials'!C109</f>
        <v>0</v>
      </c>
      <c r="D39" s="510">
        <f>'Historical Financials'!D109</f>
        <v>0</v>
      </c>
      <c r="E39" s="510">
        <f>'Historical Financials'!E109</f>
        <v>0</v>
      </c>
      <c r="F39" s="34"/>
      <c r="G39" s="510" t="e">
        <f>'Historical Financials'!#REF!</f>
        <v>#REF!</v>
      </c>
      <c r="H39" s="510" t="e">
        <f>'Historical Financials'!#REF!</f>
        <v>#REF!</v>
      </c>
      <c r="I39" s="510" t="e">
        <f>'Historical Financials'!#REF!</f>
        <v>#REF!</v>
      </c>
      <c r="J39" s="510" t="e">
        <f>'Historical Financials'!#REF!</f>
        <v>#REF!</v>
      </c>
      <c r="K39" s="510" t="e">
        <f>'Historical Financials'!#REF!</f>
        <v>#REF!</v>
      </c>
      <c r="L39" s="510" t="e">
        <f>'Historical Financials'!#REF!</f>
        <v>#REF!</v>
      </c>
      <c r="M39" s="510" t="e">
        <f>'Historical Financials'!#REF!</f>
        <v>#REF!</v>
      </c>
      <c r="N39" s="510" t="e">
        <f>'Historical Financials'!#REF!</f>
        <v>#REF!</v>
      </c>
      <c r="O39" s="510">
        <f>'Historical Financials'!G109</f>
        <v>0</v>
      </c>
      <c r="P39" s="510">
        <f>'Historical Financials'!H109</f>
        <v>0</v>
      </c>
      <c r="Q39" s="510">
        <f>'Historical Financials'!I109</f>
        <v>0</v>
      </c>
      <c r="R39" s="510">
        <f>'Historical Financials'!J109</f>
        <v>0</v>
      </c>
      <c r="S39" s="510">
        <f>'Historical Financials'!K109</f>
        <v>0</v>
      </c>
      <c r="T39" s="510">
        <f>'Historical Financials'!L109</f>
        <v>0</v>
      </c>
      <c r="U39" s="510">
        <f>'Historical Financials'!M109</f>
        <v>0</v>
      </c>
      <c r="W39" s="11" t="e">
        <f t="shared" si="31"/>
        <v>#REF!</v>
      </c>
      <c r="X39" s="11" t="e">
        <f t="shared" si="31"/>
        <v>#REF!</v>
      </c>
      <c r="Y39" s="11" t="e">
        <f t="shared" si="31"/>
        <v>#REF!</v>
      </c>
      <c r="Z39" s="11" t="e">
        <f t="shared" si="31"/>
        <v>#REF!</v>
      </c>
      <c r="AA39" s="11" t="e">
        <f t="shared" si="31"/>
        <v>#REF!</v>
      </c>
      <c r="AB39" s="11" t="e">
        <f t="shared" si="31"/>
        <v>#REF!</v>
      </c>
      <c r="AC39" s="11" t="e">
        <f t="shared" si="31"/>
        <v>#REF!</v>
      </c>
      <c r="AD39" s="11" t="e">
        <f t="shared" si="31"/>
        <v>#REF!</v>
      </c>
      <c r="AE39" s="511" t="e">
        <f t="shared" si="31"/>
        <v>#REF!</v>
      </c>
      <c r="AF39" s="511">
        <f t="shared" si="31"/>
        <v>0</v>
      </c>
      <c r="AG39" s="511">
        <f t="shared" si="31"/>
        <v>0</v>
      </c>
      <c r="AH39" s="511">
        <f t="shared" si="31"/>
        <v>0</v>
      </c>
      <c r="AI39" s="511">
        <f t="shared" si="31"/>
        <v>0</v>
      </c>
    </row>
    <row r="40" spans="1:37" ht="12.75" customHeight="1">
      <c r="B40" s="33" t="s">
        <v>546</v>
      </c>
      <c r="C40" s="510">
        <f>'Historical Financials'!C110+'Historical Financials'!C119</f>
        <v>0</v>
      </c>
      <c r="D40" s="510">
        <f>'Historical Financials'!D110+'Historical Financials'!D119</f>
        <v>0</v>
      </c>
      <c r="E40" s="510">
        <f>'Historical Financials'!E110+'Historical Financials'!E119</f>
        <v>0</v>
      </c>
      <c r="F40" s="34"/>
      <c r="G40" s="510" t="e">
        <f>'Historical Financials'!#REF!+'Historical Financials'!#REF!</f>
        <v>#REF!</v>
      </c>
      <c r="H40" s="510" t="e">
        <f>'Historical Financials'!#REF!+'Historical Financials'!#REF!</f>
        <v>#REF!</v>
      </c>
      <c r="I40" s="510" t="e">
        <f>'Historical Financials'!#REF!+'Historical Financials'!#REF!</f>
        <v>#REF!</v>
      </c>
      <c r="J40" s="510" t="e">
        <f>'Historical Financials'!#REF!+'Historical Financials'!#REF!</f>
        <v>#REF!</v>
      </c>
      <c r="K40" s="510" t="e">
        <f>'Historical Financials'!#REF!+'Historical Financials'!#REF!</f>
        <v>#REF!</v>
      </c>
      <c r="L40" s="510" t="e">
        <f>'Historical Financials'!#REF!+'Historical Financials'!#REF!</f>
        <v>#REF!</v>
      </c>
      <c r="M40" s="510" t="e">
        <f>'Historical Financials'!#REF!+'Historical Financials'!#REF!</f>
        <v>#REF!</v>
      </c>
      <c r="N40" s="510" t="e">
        <f>'Historical Financials'!#REF!+'Historical Financials'!#REF!</f>
        <v>#REF!</v>
      </c>
      <c r="O40" s="510">
        <f>'Historical Financials'!G110+'Historical Financials'!G119</f>
        <v>0</v>
      </c>
      <c r="P40" s="510">
        <f>'Historical Financials'!H110+'Historical Financials'!H119</f>
        <v>0</v>
      </c>
      <c r="Q40" s="510">
        <f>'Historical Financials'!I110+'Historical Financials'!I119</f>
        <v>0</v>
      </c>
      <c r="R40" s="510">
        <f>'Historical Financials'!J110+'Historical Financials'!J119</f>
        <v>0</v>
      </c>
      <c r="S40" s="510">
        <f>'Historical Financials'!K110+'Historical Financials'!K119</f>
        <v>0</v>
      </c>
      <c r="T40" s="510">
        <f>'Historical Financials'!L110+'Historical Financials'!L119</f>
        <v>0</v>
      </c>
      <c r="U40" s="510">
        <f>'Historical Financials'!M110+'Historical Financials'!M119</f>
        <v>0</v>
      </c>
      <c r="W40" s="11" t="e">
        <f t="shared" si="31"/>
        <v>#REF!</v>
      </c>
      <c r="X40" s="11" t="e">
        <f t="shared" si="31"/>
        <v>#REF!</v>
      </c>
      <c r="Y40" s="11" t="e">
        <f t="shared" si="31"/>
        <v>#REF!</v>
      </c>
      <c r="Z40" s="11" t="e">
        <f t="shared" si="31"/>
        <v>#REF!</v>
      </c>
      <c r="AA40" s="11" t="e">
        <f t="shared" si="31"/>
        <v>#REF!</v>
      </c>
      <c r="AB40" s="11" t="e">
        <f t="shared" si="31"/>
        <v>#REF!</v>
      </c>
      <c r="AC40" s="11" t="e">
        <f t="shared" si="31"/>
        <v>#REF!</v>
      </c>
      <c r="AD40" s="11" t="e">
        <f t="shared" si="31"/>
        <v>#REF!</v>
      </c>
      <c r="AE40" s="511" t="e">
        <f t="shared" si="31"/>
        <v>#REF!</v>
      </c>
      <c r="AF40" s="511">
        <f t="shared" si="31"/>
        <v>0</v>
      </c>
      <c r="AG40" s="511">
        <f t="shared" si="31"/>
        <v>0</v>
      </c>
      <c r="AH40" s="511">
        <f t="shared" si="31"/>
        <v>0</v>
      </c>
      <c r="AI40" s="511">
        <f t="shared" si="31"/>
        <v>0</v>
      </c>
    </row>
    <row r="41" spans="1:37" ht="12.75" customHeight="1">
      <c r="B41" s="33" t="s">
        <v>547</v>
      </c>
      <c r="C41" s="510">
        <f>'Historical Financials'!C116</f>
        <v>0</v>
      </c>
      <c r="D41" s="510">
        <f>'Historical Financials'!D116</f>
        <v>0</v>
      </c>
      <c r="E41" s="510">
        <f>'Historical Financials'!E116</f>
        <v>0</v>
      </c>
      <c r="F41" s="34"/>
      <c r="G41" s="510" t="e">
        <f>'Historical Financials'!#REF!</f>
        <v>#REF!</v>
      </c>
      <c r="H41" s="510" t="e">
        <f>'Historical Financials'!#REF!</f>
        <v>#REF!</v>
      </c>
      <c r="I41" s="510" t="e">
        <f>'Historical Financials'!#REF!</f>
        <v>#REF!</v>
      </c>
      <c r="J41" s="510" t="e">
        <f>'Historical Financials'!#REF!</f>
        <v>#REF!</v>
      </c>
      <c r="K41" s="510" t="e">
        <f>'Historical Financials'!#REF!</f>
        <v>#REF!</v>
      </c>
      <c r="L41" s="510" t="e">
        <f>'Historical Financials'!#REF!</f>
        <v>#REF!</v>
      </c>
      <c r="M41" s="510" t="e">
        <f>'Historical Financials'!#REF!</f>
        <v>#REF!</v>
      </c>
      <c r="N41" s="510" t="e">
        <f>'Historical Financials'!#REF!</f>
        <v>#REF!</v>
      </c>
      <c r="O41" s="510">
        <f>'Historical Financials'!G116</f>
        <v>0</v>
      </c>
      <c r="P41" s="510">
        <f>'Historical Financials'!H116</f>
        <v>0</v>
      </c>
      <c r="Q41" s="510">
        <f>'Historical Financials'!I116</f>
        <v>0</v>
      </c>
      <c r="R41" s="510">
        <f>'Historical Financials'!J116</f>
        <v>0</v>
      </c>
      <c r="S41" s="510">
        <f>'Historical Financials'!K116</f>
        <v>0</v>
      </c>
      <c r="T41" s="510">
        <f>'Historical Financials'!L116</f>
        <v>0</v>
      </c>
      <c r="U41" s="510">
        <f>'Historical Financials'!M116</f>
        <v>0</v>
      </c>
      <c r="W41" s="11"/>
      <c r="X41" s="11"/>
      <c r="Y41" s="11"/>
      <c r="Z41" s="11"/>
      <c r="AA41" s="11"/>
      <c r="AB41" s="11"/>
      <c r="AC41" s="11"/>
      <c r="AD41" s="11"/>
      <c r="AE41" s="511" t="e">
        <f t="shared" ref="AE41:AI42" si="32">SUM(N41:Q41)</f>
        <v>#REF!</v>
      </c>
      <c r="AF41" s="511">
        <f t="shared" si="32"/>
        <v>0</v>
      </c>
      <c r="AG41" s="511">
        <f t="shared" si="32"/>
        <v>0</v>
      </c>
      <c r="AH41" s="511">
        <f t="shared" si="32"/>
        <v>0</v>
      </c>
      <c r="AI41" s="511">
        <f t="shared" si="32"/>
        <v>0</v>
      </c>
    </row>
    <row r="42" spans="1:37" ht="12.75" customHeight="1">
      <c r="B42" s="33" t="s">
        <v>548</v>
      </c>
      <c r="C42" s="510">
        <f>'Historical Financials'!C117</f>
        <v>0</v>
      </c>
      <c r="D42" s="510">
        <f>'Historical Financials'!D117</f>
        <v>0</v>
      </c>
      <c r="E42" s="510">
        <f>'Historical Financials'!E117</f>
        <v>0</v>
      </c>
      <c r="F42" s="34"/>
      <c r="G42" s="510" t="e">
        <f>'Historical Financials'!#REF!</f>
        <v>#REF!</v>
      </c>
      <c r="H42" s="510" t="e">
        <f>'Historical Financials'!#REF!</f>
        <v>#REF!</v>
      </c>
      <c r="I42" s="510" t="e">
        <f>'Historical Financials'!#REF!</f>
        <v>#REF!</v>
      </c>
      <c r="J42" s="510" t="e">
        <f>'Historical Financials'!#REF!</f>
        <v>#REF!</v>
      </c>
      <c r="K42" s="510" t="e">
        <f>'Historical Financials'!#REF!</f>
        <v>#REF!</v>
      </c>
      <c r="L42" s="510" t="e">
        <f>'Historical Financials'!#REF!</f>
        <v>#REF!</v>
      </c>
      <c r="M42" s="510" t="e">
        <f>'Historical Financials'!#REF!</f>
        <v>#REF!</v>
      </c>
      <c r="N42" s="510" t="e">
        <f>'Historical Financials'!#REF!</f>
        <v>#REF!</v>
      </c>
      <c r="O42" s="510">
        <f>'Historical Financials'!G117</f>
        <v>0</v>
      </c>
      <c r="P42" s="510">
        <f>'Historical Financials'!H117</f>
        <v>0</v>
      </c>
      <c r="Q42" s="510">
        <f>'Historical Financials'!I117</f>
        <v>0</v>
      </c>
      <c r="R42" s="510">
        <f>'Historical Financials'!J117</f>
        <v>0</v>
      </c>
      <c r="S42" s="510">
        <f>'Historical Financials'!K117</f>
        <v>0</v>
      </c>
      <c r="T42" s="510">
        <f>'Historical Financials'!L117</f>
        <v>0</v>
      </c>
      <c r="U42" s="510">
        <f>'Historical Financials'!M117</f>
        <v>0</v>
      </c>
      <c r="W42" s="11"/>
      <c r="X42" s="11"/>
      <c r="Y42" s="11"/>
      <c r="Z42" s="11"/>
      <c r="AA42" s="11"/>
      <c r="AB42" s="11"/>
      <c r="AC42" s="11"/>
      <c r="AD42" s="11"/>
      <c r="AE42" s="511" t="e">
        <f t="shared" si="32"/>
        <v>#REF!</v>
      </c>
      <c r="AF42" s="511">
        <f t="shared" si="32"/>
        <v>0</v>
      </c>
      <c r="AG42" s="511">
        <f t="shared" si="32"/>
        <v>0</v>
      </c>
      <c r="AH42" s="511">
        <f t="shared" si="32"/>
        <v>0</v>
      </c>
      <c r="AI42" s="511">
        <f t="shared" si="32"/>
        <v>0</v>
      </c>
    </row>
    <row r="43" spans="1:37" ht="12.75" customHeight="1">
      <c r="B43" s="33" t="s">
        <v>550</v>
      </c>
      <c r="C43" s="510">
        <f>'Historical Financials'!C111</f>
        <v>0</v>
      </c>
      <c r="D43" s="510">
        <f>'Historical Financials'!D111</f>
        <v>0</v>
      </c>
      <c r="E43" s="510">
        <f>'Historical Financials'!E111</f>
        <v>0</v>
      </c>
      <c r="F43" s="34"/>
      <c r="G43" s="510" t="e">
        <f>'Historical Financials'!#REF!</f>
        <v>#REF!</v>
      </c>
      <c r="H43" s="510" t="e">
        <f>'Historical Financials'!#REF!</f>
        <v>#REF!</v>
      </c>
      <c r="I43" s="510" t="e">
        <f>'Historical Financials'!#REF!</f>
        <v>#REF!</v>
      </c>
      <c r="J43" s="510" t="e">
        <f>'Historical Financials'!#REF!</f>
        <v>#REF!</v>
      </c>
      <c r="K43" s="510" t="e">
        <f>'Historical Financials'!#REF!</f>
        <v>#REF!</v>
      </c>
      <c r="L43" s="510" t="e">
        <f>'Historical Financials'!#REF!</f>
        <v>#REF!</v>
      </c>
      <c r="M43" s="510" t="e">
        <f>'Historical Financials'!#REF!</f>
        <v>#REF!</v>
      </c>
      <c r="N43" s="510" t="e">
        <f>'Historical Financials'!#REF!</f>
        <v>#REF!</v>
      </c>
      <c r="O43" s="510">
        <f>'Historical Financials'!G111</f>
        <v>0</v>
      </c>
      <c r="P43" s="510">
        <f>'Historical Financials'!H111</f>
        <v>0</v>
      </c>
      <c r="Q43" s="510">
        <f>'Historical Financials'!I111</f>
        <v>0</v>
      </c>
      <c r="R43" s="510">
        <f>'Historical Financials'!J111</f>
        <v>0</v>
      </c>
      <c r="S43" s="510">
        <f>'Historical Financials'!K111</f>
        <v>0</v>
      </c>
      <c r="T43" s="510">
        <f>'Historical Financials'!L111</f>
        <v>0</v>
      </c>
      <c r="U43" s="510">
        <f>'Historical Financials'!M111</f>
        <v>0</v>
      </c>
      <c r="W43" s="11"/>
      <c r="X43" s="11"/>
      <c r="Y43" s="11"/>
      <c r="Z43" s="11"/>
      <c r="AA43" s="11"/>
      <c r="AB43" s="11"/>
      <c r="AC43" s="11"/>
      <c r="AD43" s="11" t="e">
        <f t="shared" ref="AD43:AI45" si="33">SUM(M43:P43)</f>
        <v>#REF!</v>
      </c>
      <c r="AE43" s="511" t="e">
        <f t="shared" si="33"/>
        <v>#REF!</v>
      </c>
      <c r="AF43" s="511">
        <f t="shared" si="33"/>
        <v>0</v>
      </c>
      <c r="AG43" s="511">
        <f t="shared" si="33"/>
        <v>0</v>
      </c>
      <c r="AH43" s="511">
        <f t="shared" si="33"/>
        <v>0</v>
      </c>
      <c r="AI43" s="511">
        <f t="shared" si="33"/>
        <v>0</v>
      </c>
    </row>
    <row r="44" spans="1:37" ht="12.75" customHeight="1">
      <c r="B44" s="33" t="s">
        <v>551</v>
      </c>
      <c r="C44" s="510">
        <f>'Historical Financials'!C93+'Historical Financials'!C94+'Historical Financials'!C95</f>
        <v>0</v>
      </c>
      <c r="D44" s="510">
        <f>'Historical Financials'!D93+'Historical Financials'!D94+'Historical Financials'!D95</f>
        <v>0</v>
      </c>
      <c r="E44" s="510">
        <f>'Historical Financials'!E93+'Historical Financials'!E94+'Historical Financials'!E95</f>
        <v>0</v>
      </c>
      <c r="F44" s="34"/>
      <c r="G44" s="510" t="e">
        <f>'Historical Financials'!#REF!+'Historical Financials'!#REF!+'Historical Financials'!#REF!</f>
        <v>#REF!</v>
      </c>
      <c r="H44" s="510" t="e">
        <f>'Historical Financials'!#REF!+'Historical Financials'!#REF!+'Historical Financials'!#REF!</f>
        <v>#REF!</v>
      </c>
      <c r="I44" s="510" t="e">
        <f>'Historical Financials'!#REF!+'Historical Financials'!#REF!+'Historical Financials'!#REF!</f>
        <v>#REF!</v>
      </c>
      <c r="J44" s="510" t="e">
        <f>'Historical Financials'!#REF!+'Historical Financials'!#REF!+'Historical Financials'!#REF!</f>
        <v>#REF!</v>
      </c>
      <c r="K44" s="510" t="e">
        <f>'Historical Financials'!#REF!+'Historical Financials'!#REF!+'Historical Financials'!#REF!</f>
        <v>#REF!</v>
      </c>
      <c r="L44" s="510" t="e">
        <f>'Historical Financials'!#REF!+'Historical Financials'!#REF!+'Historical Financials'!#REF!</f>
        <v>#REF!</v>
      </c>
      <c r="M44" s="510" t="e">
        <f>'Historical Financials'!#REF!+'Historical Financials'!#REF!+'Historical Financials'!#REF!</f>
        <v>#REF!</v>
      </c>
      <c r="N44" s="510" t="e">
        <f>'Historical Financials'!#REF!+'Historical Financials'!#REF!+'Historical Financials'!#REF!</f>
        <v>#REF!</v>
      </c>
      <c r="O44" s="510">
        <f>'Historical Financials'!G93+'Historical Financials'!G94+'Historical Financials'!G95</f>
        <v>0</v>
      </c>
      <c r="P44" s="510">
        <f>'Historical Financials'!H93+'Historical Financials'!H94+'Historical Financials'!H95</f>
        <v>0</v>
      </c>
      <c r="Q44" s="510">
        <f>'Historical Financials'!I93+'Historical Financials'!I94+'Historical Financials'!I95</f>
        <v>0</v>
      </c>
      <c r="R44" s="510">
        <f>'Historical Financials'!J93+'Historical Financials'!J94+'Historical Financials'!J95</f>
        <v>0</v>
      </c>
      <c r="S44" s="510">
        <f>'Historical Financials'!K93+'Historical Financials'!K94+'Historical Financials'!K95</f>
        <v>0</v>
      </c>
      <c r="T44" s="510">
        <f>'Historical Financials'!L93+'Historical Financials'!L94+'Historical Financials'!L95</f>
        <v>0</v>
      </c>
      <c r="U44" s="510">
        <f>'Historical Financials'!M93+'Historical Financials'!M94+'Historical Financials'!M95</f>
        <v>0</v>
      </c>
      <c r="W44" s="11"/>
      <c r="X44" s="11"/>
      <c r="Y44" s="11"/>
      <c r="Z44" s="11"/>
      <c r="AA44" s="11"/>
      <c r="AB44" s="11"/>
      <c r="AC44" s="11"/>
      <c r="AD44" s="11"/>
      <c r="AE44" s="511" t="e">
        <f>SUM(N44:Q44)</f>
        <v>#REF!</v>
      </c>
      <c r="AF44" s="511">
        <f>SUM(O44:R44)</f>
        <v>0</v>
      </c>
      <c r="AG44" s="511">
        <f>SUM(P44:S44)</f>
        <v>0</v>
      </c>
      <c r="AH44" s="511">
        <f>SUM(Q44:T44)</f>
        <v>0</v>
      </c>
      <c r="AI44" s="511">
        <f>SUM(R44:U44)</f>
        <v>0</v>
      </c>
    </row>
    <row r="45" spans="1:37" ht="12.75" customHeight="1">
      <c r="B45" s="33" t="s">
        <v>89</v>
      </c>
      <c r="C45" s="360" t="e">
        <f>SUM(C50-#REF!)-SUM(C36:C43)</f>
        <v>#REF!</v>
      </c>
      <c r="D45" s="360" t="e">
        <f>SUM(D50-C50)-SUM(D36:D43)</f>
        <v>#REF!</v>
      </c>
      <c r="E45" s="360" t="e">
        <f>SUM(E50-D50)-SUM(E36:E44)</f>
        <v>#REF!</v>
      </c>
      <c r="F45" s="34"/>
      <c r="G45" s="360" t="e">
        <f>SUM(G50-#REF!)-SUM(G36:G44)</f>
        <v>#REF!</v>
      </c>
      <c r="H45" s="360" t="e">
        <f>SUM(H50-G50)-SUM(H36:H44)</f>
        <v>#REF!</v>
      </c>
      <c r="I45" s="360" t="e">
        <f t="shared" ref="I45:U45" si="34">SUM(I50-H50)-SUM(I36:I44)</f>
        <v>#REF!</v>
      </c>
      <c r="J45" s="360" t="e">
        <f t="shared" si="34"/>
        <v>#REF!</v>
      </c>
      <c r="K45" s="360" t="e">
        <f t="shared" si="34"/>
        <v>#REF!</v>
      </c>
      <c r="L45" s="360" t="e">
        <f>SUM(L50-K50)-SUM(L36:L44)</f>
        <v>#REF!</v>
      </c>
      <c r="M45" s="360" t="e">
        <f t="shared" si="34"/>
        <v>#REF!</v>
      </c>
      <c r="N45" s="360" t="e">
        <f t="shared" si="34"/>
        <v>#REF!</v>
      </c>
      <c r="O45" s="360" t="e">
        <f t="shared" si="34"/>
        <v>#REF!</v>
      </c>
      <c r="P45" s="360" t="e">
        <f t="shared" si="34"/>
        <v>#REF!</v>
      </c>
      <c r="Q45" s="360" t="e">
        <f t="shared" si="34"/>
        <v>#REF!</v>
      </c>
      <c r="R45" s="360" t="e">
        <f t="shared" si="34"/>
        <v>#REF!</v>
      </c>
      <c r="S45" s="360" t="e">
        <f t="shared" si="34"/>
        <v>#REF!</v>
      </c>
      <c r="T45" s="360" t="e">
        <f t="shared" si="34"/>
        <v>#REF!</v>
      </c>
      <c r="U45" s="360" t="e">
        <f t="shared" si="34"/>
        <v>#REF!</v>
      </c>
      <c r="W45" s="11" t="e">
        <f t="shared" ref="W45:AC45" si="35">SUM(F45:I45)</f>
        <v>#REF!</v>
      </c>
      <c r="X45" s="11" t="e">
        <f t="shared" si="35"/>
        <v>#REF!</v>
      </c>
      <c r="Y45" s="11" t="e">
        <f t="shared" si="35"/>
        <v>#REF!</v>
      </c>
      <c r="Z45" s="11" t="e">
        <f t="shared" si="35"/>
        <v>#REF!</v>
      </c>
      <c r="AA45" s="11" t="e">
        <f t="shared" si="35"/>
        <v>#REF!</v>
      </c>
      <c r="AB45" s="11" t="e">
        <f t="shared" si="35"/>
        <v>#REF!</v>
      </c>
      <c r="AC45" s="11" t="e">
        <f t="shared" si="35"/>
        <v>#REF!</v>
      </c>
      <c r="AD45" s="11" t="e">
        <f t="shared" si="33"/>
        <v>#REF!</v>
      </c>
      <c r="AE45" s="511" t="e">
        <f t="shared" si="33"/>
        <v>#REF!</v>
      </c>
      <c r="AF45" s="511" t="e">
        <f t="shared" si="33"/>
        <v>#REF!</v>
      </c>
      <c r="AG45" s="511" t="e">
        <f t="shared" si="33"/>
        <v>#REF!</v>
      </c>
      <c r="AH45" s="511" t="e">
        <f t="shared" si="33"/>
        <v>#REF!</v>
      </c>
      <c r="AI45" s="511" t="e">
        <f t="shared" si="33"/>
        <v>#REF!</v>
      </c>
    </row>
    <row r="46" spans="1:37" ht="12.75" customHeight="1">
      <c r="B46" s="14" t="s">
        <v>53</v>
      </c>
      <c r="C46" s="15" t="e">
        <f>SUM(C36+SUM(C38:C45))</f>
        <v>#REF!</v>
      </c>
      <c r="D46" s="15" t="e">
        <f>SUM(D36+SUM(D38:D45))</f>
        <v>#REF!</v>
      </c>
      <c r="E46" s="15" t="e">
        <f>SUM(E36+SUM(E38:E45))</f>
        <v>#REF!</v>
      </c>
      <c r="G46" s="15" t="e">
        <f t="shared" ref="G46:T46" si="36">SUM(G36+SUM(G38:G45))</f>
        <v>#REF!</v>
      </c>
      <c r="H46" s="15" t="e">
        <f t="shared" si="36"/>
        <v>#REF!</v>
      </c>
      <c r="I46" s="15" t="e">
        <f t="shared" si="36"/>
        <v>#REF!</v>
      </c>
      <c r="J46" s="15" t="e">
        <f t="shared" si="36"/>
        <v>#REF!</v>
      </c>
      <c r="K46" s="15" t="e">
        <f t="shared" si="36"/>
        <v>#REF!</v>
      </c>
      <c r="L46" s="15" t="e">
        <f t="shared" si="36"/>
        <v>#REF!</v>
      </c>
      <c r="M46" s="15" t="e">
        <f t="shared" si="36"/>
        <v>#REF!</v>
      </c>
      <c r="N46" s="15" t="e">
        <f t="shared" si="36"/>
        <v>#REF!</v>
      </c>
      <c r="O46" s="15" t="e">
        <f t="shared" si="36"/>
        <v>#REF!</v>
      </c>
      <c r="P46" s="15" t="e">
        <f t="shared" si="36"/>
        <v>#REF!</v>
      </c>
      <c r="Q46" s="15" t="e">
        <f t="shared" si="36"/>
        <v>#REF!</v>
      </c>
      <c r="R46" s="15" t="e">
        <f t="shared" si="36"/>
        <v>#REF!</v>
      </c>
      <c r="S46" s="15" t="e">
        <f t="shared" si="36"/>
        <v>#REF!</v>
      </c>
      <c r="T46" s="15" t="e">
        <f t="shared" si="36"/>
        <v>#REF!</v>
      </c>
      <c r="U46" s="15" t="e">
        <f>SUM(U36+SUM(U38:U45))</f>
        <v>#REF!</v>
      </c>
      <c r="W46" s="15" t="e">
        <f t="shared" ref="W46:AH46" si="37">SUM(W36+SUM(W38:W45))</f>
        <v>#REF!</v>
      </c>
      <c r="X46" s="15" t="e">
        <f t="shared" si="37"/>
        <v>#REF!</v>
      </c>
      <c r="Y46" s="15" t="e">
        <f t="shared" si="37"/>
        <v>#REF!</v>
      </c>
      <c r="Z46" s="15" t="e">
        <f t="shared" si="37"/>
        <v>#REF!</v>
      </c>
      <c r="AA46" s="15" t="e">
        <f t="shared" si="37"/>
        <v>#REF!</v>
      </c>
      <c r="AB46" s="15" t="e">
        <f t="shared" si="37"/>
        <v>#REF!</v>
      </c>
      <c r="AC46" s="15" t="e">
        <f t="shared" si="37"/>
        <v>#REF!</v>
      </c>
      <c r="AD46" s="15" t="e">
        <f t="shared" si="37"/>
        <v>#REF!</v>
      </c>
      <c r="AE46" s="15" t="e">
        <f t="shared" si="37"/>
        <v>#REF!</v>
      </c>
      <c r="AF46" s="15" t="e">
        <f t="shared" si="37"/>
        <v>#REF!</v>
      </c>
      <c r="AG46" s="15" t="e">
        <f t="shared" si="37"/>
        <v>#REF!</v>
      </c>
      <c r="AH46" s="15" t="e">
        <f t="shared" si="37"/>
        <v>#REF!</v>
      </c>
      <c r="AI46" s="15" t="e">
        <f>SUM(AI36+SUM(AI38:AI45))</f>
        <v>#REF!</v>
      </c>
    </row>
    <row r="47" spans="1:37" ht="5.0999999999999996" customHeight="1"/>
    <row r="48" spans="1:37" ht="12.75" customHeight="1">
      <c r="A48" s="5"/>
      <c r="B48" s="35" t="s">
        <v>54</v>
      </c>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c r="AF48" s="35"/>
      <c r="AG48" s="35"/>
      <c r="AH48" s="35"/>
      <c r="AI48" s="35"/>
    </row>
    <row r="49" spans="2:35" ht="5.0999999999999996" customHeight="1"/>
    <row r="50" spans="2:35" ht="12.75" customHeight="1">
      <c r="B50" s="8" t="s">
        <v>55</v>
      </c>
      <c r="C50" s="175">
        <f>'Historical Financials'!C43</f>
        <v>0</v>
      </c>
      <c r="D50" s="175">
        <f>'Historical Financials'!D43</f>
        <v>2391</v>
      </c>
      <c r="E50" s="175">
        <f>'Historical Financials'!E43</f>
        <v>3243</v>
      </c>
      <c r="F50" s="34"/>
      <c r="G50" s="175" t="e">
        <f>'Historical Financials'!#REF!</f>
        <v>#REF!</v>
      </c>
      <c r="H50" s="175" t="e">
        <f>'Historical Financials'!#REF!</f>
        <v>#REF!</v>
      </c>
      <c r="I50" s="175" t="e">
        <f>'Historical Financials'!#REF!</f>
        <v>#REF!</v>
      </c>
      <c r="J50" s="175" t="e">
        <f>'Historical Financials'!#REF!</f>
        <v>#REF!</v>
      </c>
      <c r="K50" s="175" t="e">
        <f>'Historical Financials'!#REF!</f>
        <v>#REF!</v>
      </c>
      <c r="L50" s="175" t="e">
        <f>'Historical Financials'!#REF!</f>
        <v>#REF!</v>
      </c>
      <c r="M50" s="175" t="e">
        <f>'Historical Financials'!#REF!</f>
        <v>#REF!</v>
      </c>
      <c r="N50" s="175" t="e">
        <f>'Historical Financials'!#REF!</f>
        <v>#REF!</v>
      </c>
      <c r="O50" s="175">
        <f>'Historical Financials'!G43</f>
        <v>0</v>
      </c>
      <c r="P50" s="175">
        <f>'Historical Financials'!H43</f>
        <v>0</v>
      </c>
      <c r="Q50" s="175">
        <f>'Historical Financials'!I43</f>
        <v>3243</v>
      </c>
      <c r="R50" s="175">
        <f>'Historical Financials'!J43</f>
        <v>3243</v>
      </c>
      <c r="S50" s="175">
        <f>'Historical Financials'!K43</f>
        <v>0</v>
      </c>
      <c r="T50" s="175">
        <f>'Historical Financials'!L43</f>
        <v>0</v>
      </c>
      <c r="U50" s="175">
        <f>'Historical Financials'!M43</f>
        <v>6795</v>
      </c>
      <c r="W50" s="11" t="e">
        <f t="shared" ref="W50:AI50" si="38">I50</f>
        <v>#REF!</v>
      </c>
      <c r="X50" s="11" t="e">
        <f t="shared" si="38"/>
        <v>#REF!</v>
      </c>
      <c r="Y50" s="11" t="e">
        <f t="shared" si="38"/>
        <v>#REF!</v>
      </c>
      <c r="Z50" s="11" t="e">
        <f t="shared" si="38"/>
        <v>#REF!</v>
      </c>
      <c r="AA50" s="11" t="e">
        <f t="shared" si="38"/>
        <v>#REF!</v>
      </c>
      <c r="AB50" s="11" t="e">
        <f t="shared" si="38"/>
        <v>#REF!</v>
      </c>
      <c r="AC50" s="11">
        <f t="shared" si="38"/>
        <v>0</v>
      </c>
      <c r="AD50" s="11">
        <f t="shared" si="38"/>
        <v>0</v>
      </c>
      <c r="AE50" s="11">
        <f t="shared" si="38"/>
        <v>3243</v>
      </c>
      <c r="AF50" s="11">
        <f t="shared" si="38"/>
        <v>3243</v>
      </c>
      <c r="AG50" s="11">
        <f t="shared" si="38"/>
        <v>0</v>
      </c>
      <c r="AH50" s="11">
        <f t="shared" si="38"/>
        <v>0</v>
      </c>
      <c r="AI50" s="11">
        <f t="shared" si="38"/>
        <v>6795</v>
      </c>
    </row>
    <row r="51" spans="2:35" ht="12.75" customHeight="1">
      <c r="B51" s="8" t="s">
        <v>539</v>
      </c>
      <c r="C51" s="175">
        <f>'Historical Financials'!C44</f>
        <v>0</v>
      </c>
      <c r="D51" s="175">
        <f>'Historical Financials'!D44</f>
        <v>799</v>
      </c>
      <c r="E51" s="175">
        <f>'Historical Financials'!E44</f>
        <v>454</v>
      </c>
      <c r="F51" s="34"/>
      <c r="G51" s="175" t="e">
        <f>'Historical Financials'!#REF!</f>
        <v>#REF!</v>
      </c>
      <c r="H51" s="175" t="e">
        <f>'Historical Financials'!#REF!</f>
        <v>#REF!</v>
      </c>
      <c r="I51" s="175" t="e">
        <f>'Historical Financials'!#REF!</f>
        <v>#REF!</v>
      </c>
      <c r="J51" s="175" t="e">
        <f>'Historical Financials'!#REF!</f>
        <v>#REF!</v>
      </c>
      <c r="K51" s="175" t="e">
        <f>'Historical Financials'!#REF!</f>
        <v>#REF!</v>
      </c>
      <c r="L51" s="175" t="e">
        <f>'Historical Financials'!#REF!</f>
        <v>#REF!</v>
      </c>
      <c r="M51" s="175" t="e">
        <f>'Historical Financials'!#REF!</f>
        <v>#REF!</v>
      </c>
      <c r="N51" s="175" t="e">
        <f>'Historical Financials'!#REF!</f>
        <v>#REF!</v>
      </c>
      <c r="O51" s="175">
        <f>'Historical Financials'!G44</f>
        <v>0</v>
      </c>
      <c r="P51" s="175">
        <f>'Historical Financials'!H44</f>
        <v>0</v>
      </c>
      <c r="Q51" s="175">
        <f>'Historical Financials'!I44</f>
        <v>454</v>
      </c>
      <c r="R51" s="175">
        <f>'Historical Financials'!J44</f>
        <v>454</v>
      </c>
      <c r="S51" s="175">
        <f>'Historical Financials'!K44</f>
        <v>0</v>
      </c>
      <c r="T51" s="175">
        <f>'Historical Financials'!L44</f>
        <v>0</v>
      </c>
      <c r="U51" s="175">
        <f>'Historical Financials'!M44</f>
        <v>1657</v>
      </c>
      <c r="W51" s="11"/>
      <c r="X51" s="11"/>
      <c r="Y51" s="11"/>
      <c r="Z51" s="11"/>
      <c r="AA51" s="11"/>
      <c r="AB51" s="11"/>
      <c r="AC51" s="11"/>
      <c r="AD51" s="11"/>
      <c r="AE51" s="11">
        <f t="shared" ref="AE51:AI52" si="39">Q51</f>
        <v>454</v>
      </c>
      <c r="AF51" s="11">
        <f t="shared" si="39"/>
        <v>454</v>
      </c>
      <c r="AG51" s="11">
        <f t="shared" si="39"/>
        <v>0</v>
      </c>
      <c r="AH51" s="11">
        <f t="shared" si="39"/>
        <v>0</v>
      </c>
      <c r="AI51" s="11">
        <f t="shared" si="39"/>
        <v>1657</v>
      </c>
    </row>
    <row r="52" spans="2:35" ht="12.75" customHeight="1">
      <c r="B52" s="33" t="s">
        <v>552</v>
      </c>
      <c r="C52" s="87">
        <v>10000</v>
      </c>
      <c r="D52" s="87">
        <v>10000</v>
      </c>
      <c r="E52" s="87">
        <v>10000</v>
      </c>
      <c r="F52" s="175"/>
      <c r="G52" s="87">
        <v>10000</v>
      </c>
      <c r="H52" s="87">
        <v>10000</v>
      </c>
      <c r="I52" s="87">
        <v>10000</v>
      </c>
      <c r="J52" s="468">
        <f>C52</f>
        <v>10000</v>
      </c>
      <c r="K52" s="87">
        <v>10000</v>
      </c>
      <c r="L52" s="87">
        <v>10000</v>
      </c>
      <c r="M52" s="87">
        <v>10000</v>
      </c>
      <c r="N52" s="468">
        <f>D52</f>
        <v>10000</v>
      </c>
      <c r="O52" s="87">
        <v>10000</v>
      </c>
      <c r="P52" s="87">
        <v>10000</v>
      </c>
      <c r="Q52" s="87">
        <v>10000</v>
      </c>
      <c r="R52" s="468">
        <f>E52</f>
        <v>10000</v>
      </c>
      <c r="S52" s="87">
        <v>10000</v>
      </c>
      <c r="T52" s="87">
        <v>10000</v>
      </c>
      <c r="U52" s="87">
        <v>10000</v>
      </c>
      <c r="W52" s="11"/>
      <c r="X52" s="11"/>
      <c r="Y52" s="11"/>
      <c r="Z52" s="11"/>
      <c r="AA52" s="11"/>
      <c r="AB52" s="11"/>
      <c r="AC52" s="11"/>
      <c r="AD52" s="11"/>
      <c r="AE52" s="11">
        <f t="shared" si="39"/>
        <v>10000</v>
      </c>
      <c r="AF52" s="11">
        <f t="shared" si="39"/>
        <v>10000</v>
      </c>
      <c r="AG52" s="11">
        <f t="shared" si="39"/>
        <v>10000</v>
      </c>
      <c r="AH52" s="11">
        <f t="shared" si="39"/>
        <v>10000</v>
      </c>
      <c r="AI52" s="11">
        <f t="shared" si="39"/>
        <v>10000</v>
      </c>
    </row>
    <row r="53" spans="2:35" ht="12.75" customHeight="1">
      <c r="B53" s="14" t="s">
        <v>56</v>
      </c>
      <c r="C53" s="15">
        <f>SUM(C50:C52)</f>
        <v>10000</v>
      </c>
      <c r="D53" s="15">
        <f>SUM(D50:D52)</f>
        <v>13190</v>
      </c>
      <c r="E53" s="15">
        <f>SUM(E50:E52)</f>
        <v>13697</v>
      </c>
      <c r="F53" s="34"/>
      <c r="G53" s="15" t="e">
        <f t="shared" ref="G53:U53" si="40">SUM(G50:G52)</f>
        <v>#REF!</v>
      </c>
      <c r="H53" s="15" t="e">
        <f t="shared" si="40"/>
        <v>#REF!</v>
      </c>
      <c r="I53" s="15" t="e">
        <f t="shared" si="40"/>
        <v>#REF!</v>
      </c>
      <c r="J53" s="15" t="e">
        <f t="shared" si="40"/>
        <v>#REF!</v>
      </c>
      <c r="K53" s="15" t="e">
        <f t="shared" si="40"/>
        <v>#REF!</v>
      </c>
      <c r="L53" s="15" t="e">
        <f t="shared" si="40"/>
        <v>#REF!</v>
      </c>
      <c r="M53" s="15" t="e">
        <f t="shared" si="40"/>
        <v>#REF!</v>
      </c>
      <c r="N53" s="15" t="e">
        <f t="shared" si="40"/>
        <v>#REF!</v>
      </c>
      <c r="O53" s="15">
        <f t="shared" si="40"/>
        <v>10000</v>
      </c>
      <c r="P53" s="15">
        <f t="shared" si="40"/>
        <v>10000</v>
      </c>
      <c r="Q53" s="15">
        <f t="shared" si="40"/>
        <v>13697</v>
      </c>
      <c r="R53" s="15">
        <f t="shared" si="40"/>
        <v>13697</v>
      </c>
      <c r="S53" s="15">
        <f t="shared" si="40"/>
        <v>10000</v>
      </c>
      <c r="T53" s="15">
        <f t="shared" si="40"/>
        <v>10000</v>
      </c>
      <c r="U53" s="15">
        <f t="shared" si="40"/>
        <v>18452</v>
      </c>
      <c r="W53" s="15" t="e">
        <f t="shared" ref="W53:AD53" si="41">SUM(W50:W50)</f>
        <v>#REF!</v>
      </c>
      <c r="X53" s="15" t="e">
        <f t="shared" si="41"/>
        <v>#REF!</v>
      </c>
      <c r="Y53" s="15" t="e">
        <f t="shared" si="41"/>
        <v>#REF!</v>
      </c>
      <c r="Z53" s="15" t="e">
        <f t="shared" si="41"/>
        <v>#REF!</v>
      </c>
      <c r="AA53" s="15" t="e">
        <f t="shared" si="41"/>
        <v>#REF!</v>
      </c>
      <c r="AB53" s="15" t="e">
        <f t="shared" si="41"/>
        <v>#REF!</v>
      </c>
      <c r="AC53" s="15">
        <f t="shared" si="41"/>
        <v>0</v>
      </c>
      <c r="AD53" s="15">
        <f t="shared" si="41"/>
        <v>0</v>
      </c>
      <c r="AE53" s="15">
        <f>SUM(AE50:AE52)</f>
        <v>13697</v>
      </c>
      <c r="AF53" s="15">
        <f>SUM(AF50:AF52)</f>
        <v>13697</v>
      </c>
      <c r="AG53" s="15">
        <f>SUM(AG50:AG52)</f>
        <v>10000</v>
      </c>
      <c r="AH53" s="15">
        <f>SUM(AH50:AH52)</f>
        <v>10000</v>
      </c>
      <c r="AI53" s="15">
        <f>SUM(AI50:AI52)</f>
        <v>18452</v>
      </c>
    </row>
    <row r="54" spans="2:35" ht="5.0999999999999996" customHeight="1"/>
    <row r="55" spans="2:35" ht="12.75" customHeight="1">
      <c r="B55" s="37" t="s">
        <v>57</v>
      </c>
    </row>
    <row r="56" spans="2:35" ht="12.75" customHeight="1">
      <c r="B56" s="8" t="s">
        <v>58</v>
      </c>
      <c r="C56" s="175">
        <f>'Historical Financials'!C45</f>
        <v>0</v>
      </c>
      <c r="D56" s="175">
        <f>'Historical Financials'!D45</f>
        <v>8083</v>
      </c>
      <c r="E56" s="175">
        <f>'Historical Financials'!E45</f>
        <v>8141</v>
      </c>
      <c r="G56" s="175" t="e">
        <f>'Historical Financials'!#REF!</f>
        <v>#REF!</v>
      </c>
      <c r="H56" s="175" t="e">
        <f>'Historical Financials'!#REF!</f>
        <v>#REF!</v>
      </c>
      <c r="I56" s="175" t="e">
        <f>'Historical Financials'!#REF!</f>
        <v>#REF!</v>
      </c>
      <c r="J56" s="175" t="e">
        <f>'Historical Financials'!#REF!</f>
        <v>#REF!</v>
      </c>
      <c r="K56" s="175" t="e">
        <f>'Historical Financials'!#REF!</f>
        <v>#REF!</v>
      </c>
      <c r="L56" s="175" t="e">
        <f>'Historical Financials'!#REF!</f>
        <v>#REF!</v>
      </c>
      <c r="M56" s="175" t="e">
        <f>'Historical Financials'!#REF!</f>
        <v>#REF!</v>
      </c>
      <c r="N56" s="175" t="e">
        <f>'Historical Financials'!#REF!</f>
        <v>#REF!</v>
      </c>
      <c r="O56" s="175">
        <f>'Historical Financials'!G45</f>
        <v>0</v>
      </c>
      <c r="P56" s="175">
        <f>'Historical Financials'!H45</f>
        <v>0</v>
      </c>
      <c r="Q56" s="175">
        <f>'Historical Financials'!I45</f>
        <v>8141</v>
      </c>
      <c r="R56" s="175">
        <f>'Historical Financials'!J45</f>
        <v>8141</v>
      </c>
      <c r="S56" s="175">
        <f>'Historical Financials'!K45</f>
        <v>0</v>
      </c>
      <c r="T56" s="175">
        <f>'Historical Financials'!L45</f>
        <v>0</v>
      </c>
      <c r="U56" s="175">
        <f>'Historical Financials'!M45</f>
        <v>10095</v>
      </c>
      <c r="V56" s="11"/>
      <c r="W56" s="11" t="e">
        <f t="shared" ref="W56:AG60" si="42">I56</f>
        <v>#REF!</v>
      </c>
      <c r="X56" s="11" t="e">
        <f t="shared" si="42"/>
        <v>#REF!</v>
      </c>
      <c r="Y56" s="11" t="e">
        <f t="shared" si="42"/>
        <v>#REF!</v>
      </c>
      <c r="Z56" s="11" t="e">
        <f t="shared" si="42"/>
        <v>#REF!</v>
      </c>
      <c r="AA56" s="11" t="e">
        <f t="shared" si="42"/>
        <v>#REF!</v>
      </c>
      <c r="AB56" s="11" t="e">
        <f t="shared" si="42"/>
        <v>#REF!</v>
      </c>
      <c r="AC56" s="11">
        <f t="shared" si="42"/>
        <v>0</v>
      </c>
      <c r="AD56" s="11">
        <f t="shared" si="42"/>
        <v>0</v>
      </c>
      <c r="AE56" s="11">
        <f t="shared" si="42"/>
        <v>8141</v>
      </c>
      <c r="AF56" s="11">
        <f t="shared" si="42"/>
        <v>8141</v>
      </c>
      <c r="AG56" s="11">
        <f t="shared" si="42"/>
        <v>0</v>
      </c>
      <c r="AH56" s="11">
        <f t="shared" ref="AH56:AI60" si="43">T56</f>
        <v>0</v>
      </c>
      <c r="AI56" s="11">
        <f t="shared" si="43"/>
        <v>10095</v>
      </c>
    </row>
    <row r="57" spans="2:35" ht="12.75" customHeight="1">
      <c r="B57" s="8" t="s">
        <v>59</v>
      </c>
      <c r="C57" s="175">
        <f>'Historical Financials'!C58</f>
        <v>0</v>
      </c>
      <c r="D57" s="175">
        <f>'Historical Financials'!D58</f>
        <v>596</v>
      </c>
      <c r="E57" s="175">
        <f>'Historical Financials'!E58</f>
        <v>572</v>
      </c>
      <c r="F57" s="175"/>
      <c r="G57" s="175" t="e">
        <f>'Historical Financials'!#REF!</f>
        <v>#REF!</v>
      </c>
      <c r="H57" s="175" t="e">
        <f>'Historical Financials'!#REF!</f>
        <v>#REF!</v>
      </c>
      <c r="I57" s="175" t="e">
        <f>'Historical Financials'!#REF!</f>
        <v>#REF!</v>
      </c>
      <c r="J57" s="175" t="e">
        <f>'Historical Financials'!#REF!</f>
        <v>#REF!</v>
      </c>
      <c r="K57" s="175" t="e">
        <f>'Historical Financials'!#REF!</f>
        <v>#REF!</v>
      </c>
      <c r="L57" s="175" t="e">
        <f>'Historical Financials'!#REF!</f>
        <v>#REF!</v>
      </c>
      <c r="M57" s="175" t="e">
        <f>'Historical Financials'!#REF!</f>
        <v>#REF!</v>
      </c>
      <c r="N57" s="175" t="e">
        <f>'Historical Financials'!#REF!</f>
        <v>#REF!</v>
      </c>
      <c r="O57" s="175">
        <f>'Historical Financials'!G58</f>
        <v>0</v>
      </c>
      <c r="P57" s="175">
        <f>'Historical Financials'!H58</f>
        <v>0</v>
      </c>
      <c r="Q57" s="175">
        <f>'Historical Financials'!I58</f>
        <v>572</v>
      </c>
      <c r="R57" s="175">
        <f>'Historical Financials'!J58</f>
        <v>572</v>
      </c>
      <c r="S57" s="175">
        <f>'Historical Financials'!K58</f>
        <v>0</v>
      </c>
      <c r="T57" s="175">
        <f>'Historical Financials'!L58</f>
        <v>0</v>
      </c>
      <c r="U57" s="175">
        <f>'Historical Financials'!M58</f>
        <v>562</v>
      </c>
      <c r="W57" s="11" t="e">
        <f t="shared" si="42"/>
        <v>#REF!</v>
      </c>
      <c r="X57" s="11" t="e">
        <f t="shared" si="42"/>
        <v>#REF!</v>
      </c>
      <c r="Y57" s="11" t="e">
        <f t="shared" si="42"/>
        <v>#REF!</v>
      </c>
      <c r="Z57" s="11" t="e">
        <f t="shared" si="42"/>
        <v>#REF!</v>
      </c>
      <c r="AA57" s="11" t="e">
        <f t="shared" si="42"/>
        <v>#REF!</v>
      </c>
      <c r="AB57" s="11" t="e">
        <f t="shared" si="42"/>
        <v>#REF!</v>
      </c>
      <c r="AC57" s="11">
        <f t="shared" si="42"/>
        <v>0</v>
      </c>
      <c r="AD57" s="11">
        <f t="shared" si="42"/>
        <v>0</v>
      </c>
      <c r="AE57" s="11">
        <f t="shared" si="42"/>
        <v>572</v>
      </c>
      <c r="AF57" s="11">
        <f t="shared" si="42"/>
        <v>572</v>
      </c>
      <c r="AG57" s="11">
        <f t="shared" si="42"/>
        <v>0</v>
      </c>
      <c r="AH57" s="11">
        <f t="shared" si="43"/>
        <v>0</v>
      </c>
      <c r="AI57" s="11">
        <f t="shared" si="43"/>
        <v>562</v>
      </c>
    </row>
    <row r="58" spans="2:35" ht="12.75" customHeight="1">
      <c r="B58" s="8" t="s">
        <v>60</v>
      </c>
      <c r="C58" s="175">
        <f>'Historical Financials'!C52</f>
        <v>0</v>
      </c>
      <c r="D58" s="175">
        <f>'Historical Financials'!D52</f>
        <v>533</v>
      </c>
      <c r="E58" s="175">
        <f>'Historical Financials'!E52</f>
        <v>376</v>
      </c>
      <c r="F58" s="175"/>
      <c r="G58" s="175" t="e">
        <f>'Historical Financials'!#REF!</f>
        <v>#REF!</v>
      </c>
      <c r="H58" s="175" t="e">
        <f>'Historical Financials'!#REF!</f>
        <v>#REF!</v>
      </c>
      <c r="I58" s="175" t="e">
        <f>'Historical Financials'!#REF!</f>
        <v>#REF!</v>
      </c>
      <c r="J58" s="175" t="e">
        <f>'Historical Financials'!#REF!</f>
        <v>#REF!</v>
      </c>
      <c r="K58" s="175" t="e">
        <f>'Historical Financials'!#REF!</f>
        <v>#REF!</v>
      </c>
      <c r="L58" s="175" t="e">
        <f>'Historical Financials'!#REF!</f>
        <v>#REF!</v>
      </c>
      <c r="M58" s="175" t="e">
        <f>'Historical Financials'!#REF!</f>
        <v>#REF!</v>
      </c>
      <c r="N58" s="175" t="e">
        <f>'Historical Financials'!#REF!</f>
        <v>#REF!</v>
      </c>
      <c r="O58" s="175">
        <f>'Historical Financials'!G52</f>
        <v>0</v>
      </c>
      <c r="P58" s="175">
        <f>'Historical Financials'!H52</f>
        <v>0</v>
      </c>
      <c r="Q58" s="175">
        <f>'Historical Financials'!I52</f>
        <v>376</v>
      </c>
      <c r="R58" s="175">
        <f>'Historical Financials'!J52</f>
        <v>376</v>
      </c>
      <c r="S58" s="175">
        <f>'Historical Financials'!K52</f>
        <v>0</v>
      </c>
      <c r="T58" s="175">
        <f>'Historical Financials'!L52</f>
        <v>0</v>
      </c>
      <c r="U58" s="175">
        <f>'Historical Financials'!M52</f>
        <v>392</v>
      </c>
      <c r="W58" s="11" t="e">
        <f t="shared" si="42"/>
        <v>#REF!</v>
      </c>
      <c r="X58" s="11" t="e">
        <f t="shared" si="42"/>
        <v>#REF!</v>
      </c>
      <c r="Y58" s="11" t="e">
        <f t="shared" si="42"/>
        <v>#REF!</v>
      </c>
      <c r="Z58" s="11" t="e">
        <f t="shared" si="42"/>
        <v>#REF!</v>
      </c>
      <c r="AA58" s="11" t="e">
        <f t="shared" si="42"/>
        <v>#REF!</v>
      </c>
      <c r="AB58" s="11" t="e">
        <f t="shared" si="42"/>
        <v>#REF!</v>
      </c>
      <c r="AC58" s="11">
        <f t="shared" si="42"/>
        <v>0</v>
      </c>
      <c r="AD58" s="11">
        <f t="shared" si="42"/>
        <v>0</v>
      </c>
      <c r="AE58" s="11">
        <f t="shared" si="42"/>
        <v>376</v>
      </c>
      <c r="AF58" s="11">
        <f t="shared" si="42"/>
        <v>376</v>
      </c>
      <c r="AG58" s="11">
        <f t="shared" si="42"/>
        <v>0</v>
      </c>
      <c r="AH58" s="11">
        <f t="shared" si="43"/>
        <v>0</v>
      </c>
      <c r="AI58" s="11">
        <f t="shared" si="43"/>
        <v>392</v>
      </c>
    </row>
    <row r="59" spans="2:35" ht="12.75" customHeight="1">
      <c r="B59" s="8" t="s">
        <v>61</v>
      </c>
      <c r="C59" s="175">
        <f>'Historical Financials'!C61</f>
        <v>0</v>
      </c>
      <c r="D59" s="175">
        <f>'Historical Financials'!D61</f>
        <v>10931</v>
      </c>
      <c r="E59" s="175">
        <f>'Historical Financials'!E61</f>
        <v>10778</v>
      </c>
      <c r="F59" s="175"/>
      <c r="G59" s="175" t="e">
        <f>'Historical Financials'!#REF!</f>
        <v>#REF!</v>
      </c>
      <c r="H59" s="175" t="e">
        <f>'Historical Financials'!#REF!</f>
        <v>#REF!</v>
      </c>
      <c r="I59" s="175" t="e">
        <f>'Historical Financials'!#REF!</f>
        <v>#REF!</v>
      </c>
      <c r="J59" s="175" t="e">
        <f>'Historical Financials'!#REF!</f>
        <v>#REF!</v>
      </c>
      <c r="K59" s="175" t="e">
        <f>'Historical Financials'!#REF!</f>
        <v>#REF!</v>
      </c>
      <c r="L59" s="175" t="e">
        <f>'Historical Financials'!#REF!</f>
        <v>#REF!</v>
      </c>
      <c r="M59" s="175" t="e">
        <f>'Historical Financials'!#REF!</f>
        <v>#REF!</v>
      </c>
      <c r="N59" s="175" t="e">
        <f>'Historical Financials'!#REF!</f>
        <v>#REF!</v>
      </c>
      <c r="O59" s="175">
        <f>'Historical Financials'!G61</f>
        <v>0</v>
      </c>
      <c r="P59" s="175">
        <f>'Historical Financials'!H61</f>
        <v>0</v>
      </c>
      <c r="Q59" s="175">
        <f>'Historical Financials'!I61</f>
        <v>10778</v>
      </c>
      <c r="R59" s="175">
        <f>'Historical Financials'!J61</f>
        <v>10778</v>
      </c>
      <c r="S59" s="175">
        <f>'Historical Financials'!K61</f>
        <v>0</v>
      </c>
      <c r="T59" s="175">
        <f>'Historical Financials'!L61</f>
        <v>0</v>
      </c>
      <c r="U59" s="175">
        <f>'Historical Financials'!M61</f>
        <v>15287</v>
      </c>
      <c r="W59" s="11" t="e">
        <f t="shared" si="42"/>
        <v>#REF!</v>
      </c>
      <c r="X59" s="11" t="e">
        <f t="shared" si="42"/>
        <v>#REF!</v>
      </c>
      <c r="Y59" s="11" t="e">
        <f t="shared" si="42"/>
        <v>#REF!</v>
      </c>
      <c r="Z59" s="11" t="e">
        <f t="shared" si="42"/>
        <v>#REF!</v>
      </c>
      <c r="AA59" s="11" t="e">
        <f t="shared" si="42"/>
        <v>#REF!</v>
      </c>
      <c r="AB59" s="11" t="e">
        <f t="shared" si="42"/>
        <v>#REF!</v>
      </c>
      <c r="AC59" s="11">
        <f t="shared" si="42"/>
        <v>0</v>
      </c>
      <c r="AD59" s="11">
        <f t="shared" si="42"/>
        <v>0</v>
      </c>
      <c r="AE59" s="11">
        <f t="shared" si="42"/>
        <v>10778</v>
      </c>
      <c r="AF59" s="11">
        <f t="shared" si="42"/>
        <v>10778</v>
      </c>
      <c r="AG59" s="11">
        <f t="shared" si="42"/>
        <v>0</v>
      </c>
      <c r="AH59" s="11">
        <f t="shared" si="43"/>
        <v>0</v>
      </c>
      <c r="AI59" s="11">
        <f t="shared" si="43"/>
        <v>15287</v>
      </c>
    </row>
    <row r="60" spans="2:35" ht="12.75" customHeight="1">
      <c r="B60" s="8" t="s">
        <v>18</v>
      </c>
      <c r="C60" s="175">
        <f>'Historical Financials'!C67</f>
        <v>0</v>
      </c>
      <c r="D60" s="175">
        <f>'Historical Financials'!D67</f>
        <v>11551</v>
      </c>
      <c r="E60" s="175">
        <f>'Historical Financials'!E67</f>
        <v>11547</v>
      </c>
      <c r="F60" s="175"/>
      <c r="G60" s="175" t="e">
        <f>'Historical Financials'!#REF!</f>
        <v>#REF!</v>
      </c>
      <c r="H60" s="175" t="e">
        <f>'Historical Financials'!#REF!</f>
        <v>#REF!</v>
      </c>
      <c r="I60" s="175" t="e">
        <f>'Historical Financials'!#REF!</f>
        <v>#REF!</v>
      </c>
      <c r="J60" s="175" t="e">
        <f>'Historical Financials'!#REF!</f>
        <v>#REF!</v>
      </c>
      <c r="K60" s="175" t="e">
        <f>'Historical Financials'!#REF!</f>
        <v>#REF!</v>
      </c>
      <c r="L60" s="175" t="e">
        <f>'Historical Financials'!#REF!</f>
        <v>#REF!</v>
      </c>
      <c r="M60" s="175" t="e">
        <f>'Historical Financials'!#REF!</f>
        <v>#REF!</v>
      </c>
      <c r="N60" s="175" t="e">
        <f>'Historical Financials'!#REF!</f>
        <v>#REF!</v>
      </c>
      <c r="O60" s="175">
        <f>'Historical Financials'!G67</f>
        <v>0</v>
      </c>
      <c r="P60" s="175">
        <f>'Historical Financials'!H67</f>
        <v>0</v>
      </c>
      <c r="Q60" s="175">
        <f>'Historical Financials'!I67</f>
        <v>11547</v>
      </c>
      <c r="R60" s="175">
        <f>'Historical Financials'!J67</f>
        <v>11547</v>
      </c>
      <c r="S60" s="175">
        <f>'Historical Financials'!K67</f>
        <v>0</v>
      </c>
      <c r="T60" s="175">
        <f>'Historical Financials'!L67</f>
        <v>0</v>
      </c>
      <c r="U60" s="175">
        <f>'Historical Financials'!M67</f>
        <v>18162</v>
      </c>
      <c r="W60" s="11" t="e">
        <f t="shared" si="42"/>
        <v>#REF!</v>
      </c>
      <c r="X60" s="11" t="e">
        <f t="shared" si="42"/>
        <v>#REF!</v>
      </c>
      <c r="Y60" s="11" t="e">
        <f t="shared" si="42"/>
        <v>#REF!</v>
      </c>
      <c r="Z60" s="11" t="e">
        <f t="shared" si="42"/>
        <v>#REF!</v>
      </c>
      <c r="AA60" s="11" t="e">
        <f t="shared" si="42"/>
        <v>#REF!</v>
      </c>
      <c r="AB60" s="11" t="e">
        <f t="shared" si="42"/>
        <v>#REF!</v>
      </c>
      <c r="AC60" s="11">
        <f t="shared" si="42"/>
        <v>0</v>
      </c>
      <c r="AD60" s="11">
        <f t="shared" si="42"/>
        <v>0</v>
      </c>
      <c r="AE60" s="11">
        <f t="shared" si="42"/>
        <v>11547</v>
      </c>
      <c r="AF60" s="11">
        <f t="shared" si="42"/>
        <v>11547</v>
      </c>
      <c r="AG60" s="11">
        <f t="shared" si="42"/>
        <v>0</v>
      </c>
      <c r="AH60" s="11">
        <f t="shared" si="43"/>
        <v>0</v>
      </c>
      <c r="AI60" s="11">
        <f t="shared" si="43"/>
        <v>18162</v>
      </c>
    </row>
    <row r="61" spans="2:35" ht="5.0999999999999996" customHeight="1">
      <c r="E61" s="11"/>
    </row>
    <row r="62" spans="2:35" ht="12.75" customHeight="1">
      <c r="B62" s="33" t="s">
        <v>675</v>
      </c>
      <c r="C62" s="87"/>
      <c r="D62" s="87"/>
      <c r="E62" s="87">
        <v>45200</v>
      </c>
      <c r="G62" s="87">
        <v>0</v>
      </c>
      <c r="H62" s="87">
        <v>0</v>
      </c>
      <c r="I62" s="87">
        <v>0</v>
      </c>
      <c r="J62" s="468">
        <f>C62</f>
        <v>0</v>
      </c>
      <c r="K62" s="87">
        <v>0</v>
      </c>
      <c r="L62" s="87">
        <v>0</v>
      </c>
      <c r="M62" s="87">
        <v>0</v>
      </c>
      <c r="N62" s="468">
        <f>D62</f>
        <v>0</v>
      </c>
      <c r="O62" s="87">
        <v>0</v>
      </c>
      <c r="P62" s="87">
        <v>0</v>
      </c>
      <c r="Q62" s="87">
        <v>0</v>
      </c>
      <c r="R62" s="468">
        <f>E62</f>
        <v>45200</v>
      </c>
      <c r="S62" s="87">
        <v>2500</v>
      </c>
      <c r="T62" s="87">
        <v>3000</v>
      </c>
      <c r="U62" s="87">
        <v>3000</v>
      </c>
      <c r="W62" s="11">
        <f t="shared" ref="W62:AI62" si="44">I62</f>
        <v>0</v>
      </c>
      <c r="X62" s="11">
        <f t="shared" si="44"/>
        <v>0</v>
      </c>
      <c r="Y62" s="11">
        <f t="shared" si="44"/>
        <v>0</v>
      </c>
      <c r="Z62" s="11">
        <f t="shared" si="44"/>
        <v>0</v>
      </c>
      <c r="AA62" s="11">
        <f t="shared" si="44"/>
        <v>0</v>
      </c>
      <c r="AB62" s="11">
        <f t="shared" si="44"/>
        <v>0</v>
      </c>
      <c r="AC62" s="11">
        <f t="shared" si="44"/>
        <v>0</v>
      </c>
      <c r="AD62" s="11">
        <f t="shared" si="44"/>
        <v>0</v>
      </c>
      <c r="AE62" s="11">
        <f t="shared" si="44"/>
        <v>0</v>
      </c>
      <c r="AF62" s="11">
        <f t="shared" si="44"/>
        <v>45200</v>
      </c>
      <c r="AG62" s="11">
        <f t="shared" si="44"/>
        <v>2500</v>
      </c>
      <c r="AH62" s="11">
        <f t="shared" si="44"/>
        <v>3000</v>
      </c>
      <c r="AI62" s="11">
        <f t="shared" si="44"/>
        <v>3000</v>
      </c>
    </row>
    <row r="63" spans="2:35" ht="12.75" customHeight="1">
      <c r="B63" s="33" t="s">
        <v>676</v>
      </c>
      <c r="C63" s="87"/>
      <c r="D63" s="87"/>
      <c r="E63" s="87">
        <v>67800</v>
      </c>
      <c r="G63" s="87"/>
      <c r="H63" s="87"/>
      <c r="I63" s="87"/>
      <c r="J63" s="468"/>
      <c r="K63" s="87"/>
      <c r="L63" s="87"/>
      <c r="M63" s="87"/>
      <c r="N63" s="468"/>
      <c r="O63" s="87"/>
      <c r="P63" s="87"/>
      <c r="Q63" s="87"/>
      <c r="R63" s="468"/>
      <c r="S63" s="87"/>
      <c r="T63" s="87"/>
      <c r="U63" s="87"/>
      <c r="W63" s="11"/>
      <c r="X63" s="11"/>
      <c r="Y63" s="11"/>
      <c r="Z63" s="11"/>
      <c r="AA63" s="11"/>
      <c r="AB63" s="11"/>
      <c r="AC63" s="11"/>
      <c r="AD63" s="11"/>
      <c r="AE63" s="11"/>
      <c r="AF63" s="11"/>
      <c r="AG63" s="11"/>
      <c r="AH63" s="11"/>
      <c r="AI63" s="11"/>
    </row>
    <row r="64" spans="2:35" ht="12.75" customHeight="1">
      <c r="B64" s="33" t="s">
        <v>677</v>
      </c>
      <c r="C64" s="87"/>
      <c r="D64" s="87"/>
      <c r="E64" s="87">
        <v>22600</v>
      </c>
      <c r="G64" s="87"/>
      <c r="H64" s="87"/>
      <c r="I64" s="87"/>
      <c r="J64" s="468"/>
      <c r="K64" s="87"/>
      <c r="L64" s="87"/>
      <c r="M64" s="87"/>
      <c r="N64" s="468"/>
      <c r="O64" s="87"/>
      <c r="P64" s="87"/>
      <c r="Q64" s="87"/>
      <c r="R64" s="468"/>
      <c r="S64" s="87"/>
      <c r="T64" s="87"/>
      <c r="U64" s="87"/>
      <c r="W64" s="11"/>
      <c r="X64" s="11"/>
      <c r="Y64" s="11"/>
      <c r="Z64" s="11"/>
      <c r="AA64" s="11"/>
      <c r="AB64" s="11"/>
      <c r="AC64" s="11"/>
      <c r="AD64" s="11"/>
      <c r="AE64" s="11"/>
      <c r="AF64" s="11"/>
      <c r="AG64" s="11"/>
      <c r="AH64" s="11"/>
      <c r="AI64" s="11"/>
    </row>
    <row r="65" spans="1:35" ht="12.75" customHeight="1">
      <c r="B65" s="33" t="s">
        <v>678</v>
      </c>
      <c r="C65" s="87"/>
      <c r="D65" s="87"/>
      <c r="E65" s="87">
        <v>45200</v>
      </c>
      <c r="G65" s="87"/>
      <c r="H65" s="87"/>
      <c r="I65" s="87"/>
      <c r="J65" s="468"/>
      <c r="K65" s="87"/>
      <c r="L65" s="87"/>
      <c r="M65" s="87"/>
      <c r="N65" s="468"/>
      <c r="O65" s="87"/>
      <c r="P65" s="87"/>
      <c r="Q65" s="87"/>
      <c r="R65" s="468"/>
      <c r="S65" s="87"/>
      <c r="T65" s="87"/>
      <c r="U65" s="87"/>
      <c r="W65" s="11"/>
      <c r="X65" s="11"/>
      <c r="Y65" s="11"/>
      <c r="Z65" s="11"/>
      <c r="AA65" s="11"/>
      <c r="AB65" s="11"/>
      <c r="AC65" s="11"/>
      <c r="AD65" s="11"/>
      <c r="AE65" s="11"/>
      <c r="AF65" s="11"/>
      <c r="AG65" s="11"/>
      <c r="AH65" s="11"/>
      <c r="AI65" s="11"/>
    </row>
    <row r="66" spans="1:35" ht="12.75" customHeight="1">
      <c r="B66" s="33" t="s">
        <v>678</v>
      </c>
      <c r="C66" s="87"/>
      <c r="D66" s="87"/>
      <c r="E66" s="87">
        <v>22600</v>
      </c>
      <c r="G66" s="87"/>
      <c r="H66" s="87"/>
      <c r="I66" s="87"/>
      <c r="J66" s="468"/>
      <c r="K66" s="87"/>
      <c r="L66" s="87"/>
      <c r="M66" s="87"/>
      <c r="N66" s="468"/>
      <c r="O66" s="87"/>
      <c r="P66" s="87"/>
      <c r="Q66" s="87"/>
      <c r="R66" s="468"/>
      <c r="S66" s="87"/>
      <c r="T66" s="87"/>
      <c r="U66" s="87"/>
      <c r="W66" s="11"/>
      <c r="X66" s="11"/>
      <c r="Y66" s="11"/>
      <c r="Z66" s="11"/>
      <c r="AA66" s="11"/>
      <c r="AB66" s="11"/>
      <c r="AC66" s="11"/>
      <c r="AD66" s="11"/>
      <c r="AE66" s="11"/>
      <c r="AF66" s="11"/>
      <c r="AG66" s="11"/>
      <c r="AH66" s="11"/>
      <c r="AI66" s="11"/>
    </row>
    <row r="67" spans="1:35" ht="12.75" customHeight="1">
      <c r="B67" s="33" t="s">
        <v>679</v>
      </c>
      <c r="C67" s="87"/>
      <c r="D67" s="87"/>
      <c r="E67" s="87">
        <v>100000</v>
      </c>
      <c r="G67" s="87"/>
      <c r="H67" s="87"/>
      <c r="I67" s="87"/>
      <c r="J67" s="468"/>
      <c r="K67" s="87"/>
      <c r="L67" s="87"/>
      <c r="M67" s="87"/>
      <c r="N67" s="468"/>
      <c r="O67" s="87"/>
      <c r="P67" s="87"/>
      <c r="Q67" s="87"/>
      <c r="R67" s="468"/>
      <c r="S67" s="87"/>
      <c r="T67" s="87"/>
      <c r="U67" s="87"/>
      <c r="W67" s="11"/>
      <c r="X67" s="11"/>
      <c r="Y67" s="11"/>
      <c r="Z67" s="11"/>
      <c r="AA67" s="11"/>
      <c r="AB67" s="11"/>
      <c r="AC67" s="11"/>
      <c r="AD67" s="11"/>
      <c r="AE67" s="11"/>
      <c r="AF67" s="11"/>
      <c r="AG67" s="11"/>
      <c r="AH67" s="11"/>
      <c r="AI67" s="11"/>
    </row>
    <row r="68" spans="1:35" ht="12.75" customHeight="1">
      <c r="B68" s="33" t="s">
        <v>680</v>
      </c>
      <c r="C68" s="87"/>
      <c r="D68" s="87"/>
      <c r="E68" s="87">
        <v>25000</v>
      </c>
      <c r="G68" s="87"/>
      <c r="H68" s="87"/>
      <c r="I68" s="87"/>
      <c r="J68" s="468"/>
      <c r="K68" s="87"/>
      <c r="L68" s="87"/>
      <c r="M68" s="87"/>
      <c r="N68" s="468"/>
      <c r="O68" s="87"/>
      <c r="P68" s="87"/>
      <c r="Q68" s="87"/>
      <c r="R68" s="468"/>
      <c r="S68" s="87"/>
      <c r="T68" s="87"/>
      <c r="U68" s="87"/>
      <c r="W68" s="11"/>
      <c r="X68" s="11"/>
      <c r="Y68" s="11"/>
      <c r="Z68" s="11"/>
      <c r="AA68" s="11"/>
      <c r="AB68" s="11"/>
      <c r="AC68" s="11"/>
      <c r="AD68" s="11"/>
      <c r="AE68" s="11"/>
      <c r="AF68" s="11"/>
      <c r="AG68" s="11"/>
      <c r="AH68" s="11"/>
      <c r="AI68" s="11"/>
    </row>
    <row r="69" spans="1:35" ht="12.75" customHeight="1">
      <c r="B69" s="33" t="s">
        <v>681</v>
      </c>
      <c r="C69" s="87"/>
      <c r="D69" s="87"/>
      <c r="E69" s="87">
        <v>135600</v>
      </c>
      <c r="G69" s="87"/>
      <c r="H69" s="87"/>
      <c r="I69" s="87"/>
      <c r="J69" s="468"/>
      <c r="K69" s="87"/>
      <c r="L69" s="87"/>
      <c r="M69" s="87"/>
      <c r="N69" s="468"/>
      <c r="O69" s="87"/>
      <c r="P69" s="87"/>
      <c r="Q69" s="87"/>
      <c r="R69" s="468"/>
      <c r="S69" s="87"/>
      <c r="T69" s="87"/>
      <c r="U69" s="87"/>
      <c r="W69" s="11"/>
      <c r="X69" s="11"/>
      <c r="Y69" s="11"/>
      <c r="Z69" s="11"/>
      <c r="AA69" s="11"/>
      <c r="AB69" s="11"/>
      <c r="AC69" s="11"/>
      <c r="AD69" s="11"/>
      <c r="AE69" s="11"/>
      <c r="AF69" s="11"/>
      <c r="AG69" s="11"/>
      <c r="AH69" s="11"/>
      <c r="AI69" s="11"/>
    </row>
    <row r="70" spans="1:35" ht="12.75" customHeight="1">
      <c r="B70" s="14" t="s">
        <v>29</v>
      </c>
      <c r="C70" s="15">
        <f>SUM(C62:C69)</f>
        <v>0</v>
      </c>
      <c r="D70" s="15">
        <f>SUM(D62:D69)</f>
        <v>0</v>
      </c>
      <c r="E70" s="15">
        <f>SUM(E62:E69)</f>
        <v>464000</v>
      </c>
      <c r="G70" s="15">
        <f>SUM(G62:G69)</f>
        <v>0</v>
      </c>
      <c r="H70" s="15">
        <f>SUM(H62:H69)</f>
        <v>0</v>
      </c>
      <c r="I70" s="15">
        <f>SUM(I62:I69)</f>
        <v>0</v>
      </c>
      <c r="J70" s="15">
        <f>SUM(J62:J69)</f>
        <v>0</v>
      </c>
      <c r="K70" s="15">
        <f>SUM(K62:K69)</f>
        <v>0</v>
      </c>
      <c r="L70" s="15">
        <f>SUM(L62:L69)</f>
        <v>0</v>
      </c>
      <c r="M70" s="15">
        <f>SUM(M62:M69)</f>
        <v>0</v>
      </c>
      <c r="N70" s="15">
        <f>SUM(N62:N69)</f>
        <v>0</v>
      </c>
      <c r="O70" s="15">
        <f>SUM(O62:O69)</f>
        <v>0</v>
      </c>
      <c r="P70" s="15">
        <f>SUM(P62:P69)</f>
        <v>0</v>
      </c>
      <c r="Q70" s="15">
        <f>SUM(Q62:Q69)</f>
        <v>0</v>
      </c>
      <c r="R70" s="15">
        <f>SUM(R62:R69)</f>
        <v>45200</v>
      </c>
      <c r="S70" s="15">
        <f>SUM(S62:S69)</f>
        <v>2500</v>
      </c>
      <c r="T70" s="15">
        <f>SUM(T62:T69)</f>
        <v>3000</v>
      </c>
      <c r="U70" s="15">
        <f>SUM(U62:U69)</f>
        <v>3000</v>
      </c>
      <c r="W70" s="15">
        <f>SUM(W62:W69)</f>
        <v>0</v>
      </c>
      <c r="X70" s="15">
        <f>SUM(X62:X69)</f>
        <v>0</v>
      </c>
      <c r="Y70" s="15">
        <f>SUM(Y62:Y69)</f>
        <v>0</v>
      </c>
      <c r="Z70" s="15">
        <f>SUM(Z62:Z69)</f>
        <v>0</v>
      </c>
      <c r="AA70" s="15">
        <f>SUM(AA62:AA69)</f>
        <v>0</v>
      </c>
      <c r="AB70" s="15">
        <f>SUM(AB62:AB69)</f>
        <v>0</v>
      </c>
      <c r="AC70" s="15">
        <f>SUM(AC62:AC69)</f>
        <v>0</v>
      </c>
      <c r="AD70" s="15">
        <f>SUM(AD62:AD69)</f>
        <v>0</v>
      </c>
      <c r="AE70" s="15">
        <f>SUM(AE62:AE69)</f>
        <v>0</v>
      </c>
      <c r="AF70" s="15">
        <f>SUM(AF62:AF69)</f>
        <v>45200</v>
      </c>
      <c r="AG70" s="15">
        <f>SUM(AG62:AG69)</f>
        <v>2500</v>
      </c>
      <c r="AH70" s="15">
        <f>SUM(AH62:AH69)</f>
        <v>3000</v>
      </c>
      <c r="AI70" s="15">
        <f>SUM(AI62:AI69)</f>
        <v>3000</v>
      </c>
    </row>
    <row r="71" spans="1:35" ht="5.0999999999999996" customHeight="1"/>
    <row r="72" spans="1:35" ht="12.75" customHeight="1">
      <c r="B72" s="8" t="s">
        <v>62</v>
      </c>
      <c r="C72" s="510">
        <f>'Historical Financials'!C74</f>
        <v>0</v>
      </c>
      <c r="D72" s="510">
        <f>'Historical Financials'!D74</f>
        <v>2192</v>
      </c>
      <c r="E72" s="510">
        <f>'Historical Financials'!E74</f>
        <v>2086</v>
      </c>
      <c r="G72" s="510" t="e">
        <f>'Historical Financials'!#REF!</f>
        <v>#REF!</v>
      </c>
      <c r="H72" s="510" t="e">
        <f>'Historical Financials'!#REF!</f>
        <v>#REF!</v>
      </c>
      <c r="I72" s="510" t="e">
        <f>'Historical Financials'!#REF!</f>
        <v>#REF!</v>
      </c>
      <c r="J72" s="510" t="e">
        <f>'Historical Financials'!#REF!</f>
        <v>#REF!</v>
      </c>
      <c r="K72" s="510" t="e">
        <f>'Historical Financials'!#REF!</f>
        <v>#REF!</v>
      </c>
      <c r="L72" s="510" t="e">
        <f>'Historical Financials'!#REF!</f>
        <v>#REF!</v>
      </c>
      <c r="M72" s="510" t="e">
        <f>'Historical Financials'!#REF!</f>
        <v>#REF!</v>
      </c>
      <c r="N72" s="510" t="e">
        <f>'Historical Financials'!#REF!</f>
        <v>#REF!</v>
      </c>
      <c r="O72" s="510">
        <f>'Historical Financials'!G74</f>
        <v>0</v>
      </c>
      <c r="P72" s="510">
        <f>'Historical Financials'!H74</f>
        <v>0</v>
      </c>
      <c r="Q72" s="510">
        <f>'Historical Financials'!I74</f>
        <v>0</v>
      </c>
      <c r="R72" s="510">
        <f>'Historical Financials'!J74</f>
        <v>2086</v>
      </c>
      <c r="S72" s="510">
        <f>'Historical Financials'!K74</f>
        <v>0</v>
      </c>
      <c r="T72" s="510">
        <f>'Historical Financials'!L74</f>
        <v>0</v>
      </c>
      <c r="U72" s="510">
        <f>'Historical Financials'!M74</f>
        <v>0</v>
      </c>
      <c r="W72" s="11" t="e">
        <f t="shared" ref="W72:AI72" si="45">I72</f>
        <v>#REF!</v>
      </c>
      <c r="X72" s="11" t="e">
        <f t="shared" si="45"/>
        <v>#REF!</v>
      </c>
      <c r="Y72" s="11" t="e">
        <f t="shared" si="45"/>
        <v>#REF!</v>
      </c>
      <c r="Z72" s="11" t="e">
        <f t="shared" si="45"/>
        <v>#REF!</v>
      </c>
      <c r="AA72" s="11" t="e">
        <f t="shared" si="45"/>
        <v>#REF!</v>
      </c>
      <c r="AB72" s="11" t="e">
        <f t="shared" si="45"/>
        <v>#REF!</v>
      </c>
      <c r="AC72" s="11">
        <f t="shared" si="45"/>
        <v>0</v>
      </c>
      <c r="AD72" s="11">
        <f t="shared" si="45"/>
        <v>0</v>
      </c>
      <c r="AE72" s="511">
        <f t="shared" si="45"/>
        <v>0</v>
      </c>
      <c r="AF72" s="511">
        <f t="shared" si="45"/>
        <v>2086</v>
      </c>
      <c r="AG72" s="511">
        <f t="shared" si="45"/>
        <v>0</v>
      </c>
      <c r="AH72" s="511">
        <f t="shared" si="45"/>
        <v>0</v>
      </c>
      <c r="AI72" s="511">
        <f t="shared" si="45"/>
        <v>0</v>
      </c>
    </row>
    <row r="73" spans="1:35" ht="12.75" customHeight="1">
      <c r="B73" s="14" t="s">
        <v>63</v>
      </c>
      <c r="C73" s="15">
        <f>SUM(C70:C72)</f>
        <v>0</v>
      </c>
      <c r="D73" s="15">
        <f>SUM(D70:D72)</f>
        <v>2192</v>
      </c>
      <c r="E73" s="15">
        <f>SUM(E70:E72)</f>
        <v>466086</v>
      </c>
      <c r="G73" s="15" t="e">
        <f t="shared" ref="G73:P73" si="46">SUM(G70:G72)</f>
        <v>#REF!</v>
      </c>
      <c r="H73" s="15" t="e">
        <f t="shared" si="46"/>
        <v>#REF!</v>
      </c>
      <c r="I73" s="15" t="e">
        <f t="shared" si="46"/>
        <v>#REF!</v>
      </c>
      <c r="J73" s="15" t="e">
        <f t="shared" si="46"/>
        <v>#REF!</v>
      </c>
      <c r="K73" s="15" t="e">
        <f t="shared" si="46"/>
        <v>#REF!</v>
      </c>
      <c r="L73" s="15" t="e">
        <f t="shared" si="46"/>
        <v>#REF!</v>
      </c>
      <c r="M73" s="15" t="e">
        <f t="shared" si="46"/>
        <v>#REF!</v>
      </c>
      <c r="N73" s="15" t="e">
        <f t="shared" si="46"/>
        <v>#REF!</v>
      </c>
      <c r="O73" s="15">
        <f t="shared" si="46"/>
        <v>0</v>
      </c>
      <c r="P73" s="15">
        <f t="shared" si="46"/>
        <v>0</v>
      </c>
      <c r="Q73" s="15">
        <f>SUM(Q70:Q72)</f>
        <v>0</v>
      </c>
      <c r="R73" s="15">
        <f>SUM(R70:R72)</f>
        <v>47286</v>
      </c>
      <c r="S73" s="15">
        <f>SUM(S70:S72)</f>
        <v>2500</v>
      </c>
      <c r="T73" s="15">
        <f>SUM(T70:T72)</f>
        <v>3000</v>
      </c>
      <c r="U73" s="15">
        <f>SUM(U70:U72)</f>
        <v>3000</v>
      </c>
      <c r="W73" s="15" t="e">
        <f t="shared" ref="W73:AG73" si="47">SUM(W70:W72)</f>
        <v>#REF!</v>
      </c>
      <c r="X73" s="15" t="e">
        <f t="shared" si="47"/>
        <v>#REF!</v>
      </c>
      <c r="Y73" s="15" t="e">
        <f t="shared" si="47"/>
        <v>#REF!</v>
      </c>
      <c r="Z73" s="15" t="e">
        <f t="shared" si="47"/>
        <v>#REF!</v>
      </c>
      <c r="AA73" s="15" t="e">
        <f t="shared" si="47"/>
        <v>#REF!</v>
      </c>
      <c r="AB73" s="15" t="e">
        <f t="shared" si="47"/>
        <v>#REF!</v>
      </c>
      <c r="AC73" s="15">
        <f t="shared" si="47"/>
        <v>0</v>
      </c>
      <c r="AD73" s="15">
        <f t="shared" si="47"/>
        <v>0</v>
      </c>
      <c r="AE73" s="15">
        <f t="shared" si="47"/>
        <v>0</v>
      </c>
      <c r="AF73" s="15">
        <f t="shared" si="47"/>
        <v>47286</v>
      </c>
      <c r="AG73" s="15">
        <f t="shared" si="47"/>
        <v>2500</v>
      </c>
      <c r="AH73" s="15">
        <f>SUM(AH70:AH72)</f>
        <v>3000</v>
      </c>
      <c r="AI73" s="15">
        <f>SUM(AI70:AI72)</f>
        <v>3000</v>
      </c>
    </row>
    <row r="74" spans="1:35" ht="5.0999999999999996" customHeight="1"/>
    <row r="75" spans="1:35" ht="12.75" customHeight="1">
      <c r="A75" s="5"/>
      <c r="B75" s="35" t="s">
        <v>90</v>
      </c>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35"/>
      <c r="AI75" s="35"/>
    </row>
    <row r="76" spans="1:35" ht="5.0999999999999996" customHeight="1"/>
    <row r="77" spans="1:35" ht="12.75" customHeight="1">
      <c r="B77" s="33" t="s">
        <v>553</v>
      </c>
      <c r="C77" s="89" t="e">
        <f>C70/C29</f>
        <v>#REF!</v>
      </c>
      <c r="D77" s="89" t="e">
        <f>D70/D29</f>
        <v>#REF!</v>
      </c>
      <c r="E77" s="89" t="e">
        <f>E70/E29</f>
        <v>#REF!</v>
      </c>
      <c r="G77" s="39"/>
      <c r="H77" s="39"/>
      <c r="I77" s="39"/>
      <c r="J77" s="89" t="e">
        <f>SUM(J70/SUM(G29:J29))</f>
        <v>#REF!</v>
      </c>
      <c r="K77" s="89" t="e">
        <f>SUM(K70/SUM(H29:K29))</f>
        <v>#REF!</v>
      </c>
      <c r="L77" s="89" t="e">
        <f>SUM(L70/SUM(I29:L29))</f>
        <v>#REF!</v>
      </c>
      <c r="M77" s="89" t="e">
        <f>SUM(M70/SUM(J29:M29))</f>
        <v>#REF!</v>
      </c>
      <c r="N77" s="89" t="e">
        <f>SUM(N70/SUM(K29:N29))</f>
        <v>#REF!</v>
      </c>
      <c r="O77" s="89" t="e">
        <f>SUM(O70/SUM(L29:O29))</f>
        <v>#REF!</v>
      </c>
      <c r="P77" s="89" t="e">
        <f>SUM(P70/SUM(M29:P29))</f>
        <v>#REF!</v>
      </c>
      <c r="Q77" s="89" t="e">
        <f>SUM(Q70/SUM(N29:Q29))</f>
        <v>#REF!</v>
      </c>
      <c r="R77" s="89" t="e">
        <f>SUM(R70/SUM(O29:R29))</f>
        <v>#REF!</v>
      </c>
      <c r="S77" s="89" t="e">
        <f>SUM(S70/SUM(P29:S29))</f>
        <v>#REF!</v>
      </c>
      <c r="T77" s="89" t="e">
        <f>SUM(T70/SUM(Q29:T29))</f>
        <v>#REF!</v>
      </c>
      <c r="U77" s="89" t="e">
        <f>SUM(U70/SUM(R29:U29))</f>
        <v>#REF!</v>
      </c>
      <c r="V77" s="89"/>
      <c r="W77" s="89" t="e">
        <f>W70/W29</f>
        <v>#REF!</v>
      </c>
      <c r="X77" s="89" t="e">
        <f>X70/X29</f>
        <v>#REF!</v>
      </c>
      <c r="Y77" s="89" t="e">
        <f>Y70/Y29</f>
        <v>#REF!</v>
      </c>
      <c r="Z77" s="89" t="e">
        <f>Z70/Z29</f>
        <v>#REF!</v>
      </c>
      <c r="AA77" s="89" t="e">
        <f>AA70/AA29</f>
        <v>#REF!</v>
      </c>
      <c r="AB77" s="89" t="e">
        <f>AB70/AB29</f>
        <v>#REF!</v>
      </c>
      <c r="AC77" s="89" t="e">
        <f>AC70/AC29</f>
        <v>#REF!</v>
      </c>
      <c r="AD77" s="89" t="e">
        <f>AD70/AD29</f>
        <v>#REF!</v>
      </c>
      <c r="AE77" s="89" t="e">
        <f>AE70/AE29</f>
        <v>#REF!</v>
      </c>
      <c r="AF77" s="89" t="e">
        <f>AF70/AF29</f>
        <v>#REF!</v>
      </c>
      <c r="AG77" s="89" t="e">
        <f>AG70/AG29</f>
        <v>#REF!</v>
      </c>
      <c r="AH77" s="89" t="e">
        <f>AH70/AH29</f>
        <v>#REF!</v>
      </c>
      <c r="AI77" s="89" t="e">
        <f>AI70/AI29</f>
        <v>#REF!</v>
      </c>
    </row>
    <row r="78" spans="1:35" ht="12.75" customHeight="1">
      <c r="B78" s="33" t="s">
        <v>554</v>
      </c>
      <c r="C78" s="89" t="e">
        <f>SUM(C70-C50)/C29</f>
        <v>#REF!</v>
      </c>
      <c r="D78" s="89" t="e">
        <f>SUM(D70-D50)/D29</f>
        <v>#REF!</v>
      </c>
      <c r="E78" s="89" t="e">
        <f>SUM(E70-E50)/E29</f>
        <v>#REF!</v>
      </c>
      <c r="G78" s="39"/>
      <c r="H78" s="39"/>
      <c r="I78" s="39"/>
      <c r="J78" s="89" t="e">
        <f>SUM(J70-J50)/SUM(G29:J29)</f>
        <v>#REF!</v>
      </c>
      <c r="K78" s="89" t="e">
        <f>SUM(K70-K50)/SUM(H29:K29)</f>
        <v>#REF!</v>
      </c>
      <c r="L78" s="89" t="e">
        <f>SUM(L70-L50)/SUM(I29:L29)</f>
        <v>#REF!</v>
      </c>
      <c r="M78" s="89" t="e">
        <f>SUM(M70-M50)/SUM(J29:M29)</f>
        <v>#REF!</v>
      </c>
      <c r="N78" s="89" t="e">
        <f>SUM(N70-N50)/SUM(K29:N29)</f>
        <v>#REF!</v>
      </c>
      <c r="O78" s="89" t="e">
        <f>SUM(O70-O50)/SUM(L29:O29)</f>
        <v>#REF!</v>
      </c>
      <c r="P78" s="89" t="e">
        <f>SUM(P70-P50)/SUM(M29:P29)</f>
        <v>#REF!</v>
      </c>
      <c r="Q78" s="89" t="e">
        <f>SUM(Q70-Q50)/SUM(N29:Q29)</f>
        <v>#REF!</v>
      </c>
      <c r="R78" s="89" t="e">
        <f>SUM(R70-R50)/SUM(O29:R29)</f>
        <v>#REF!</v>
      </c>
      <c r="S78" s="89" t="e">
        <f>SUM(S70-S50)/SUM(P29:S29)</f>
        <v>#REF!</v>
      </c>
      <c r="T78" s="89" t="e">
        <f>SUM(T70-T50)/SUM(Q29:T29)</f>
        <v>#REF!</v>
      </c>
      <c r="U78" s="89" t="e">
        <f>SUM(U70-U50)/SUM(R29:U29)</f>
        <v>#REF!</v>
      </c>
      <c r="V78" s="89"/>
      <c r="W78" s="89" t="e">
        <f>SUM(W70-W50)/W29</f>
        <v>#REF!</v>
      </c>
      <c r="X78" s="89" t="e">
        <f>SUM(X70-X50)/X29</f>
        <v>#REF!</v>
      </c>
      <c r="Y78" s="89" t="e">
        <f>SUM(Y70-Y50)/Y29</f>
        <v>#REF!</v>
      </c>
      <c r="Z78" s="89" t="e">
        <f>SUM(Z70-Z50)/Z29</f>
        <v>#REF!</v>
      </c>
      <c r="AA78" s="89" t="e">
        <f>SUM(AA70-AA50)/AA29</f>
        <v>#REF!</v>
      </c>
      <c r="AB78" s="89" t="e">
        <f>SUM(AB70-AB50)/AB29</f>
        <v>#REF!</v>
      </c>
      <c r="AC78" s="89" t="e">
        <f>SUM(AC70-AC50)/AC29</f>
        <v>#REF!</v>
      </c>
      <c r="AD78" s="89" t="e">
        <f>SUM(AD70-AD50)/AD29</f>
        <v>#REF!</v>
      </c>
      <c r="AE78" s="89" t="e">
        <f>SUM(AE70-AE50)/AE29</f>
        <v>#REF!</v>
      </c>
      <c r="AF78" s="89" t="e">
        <f>SUM(AF70-AF50)/AF29</f>
        <v>#REF!</v>
      </c>
      <c r="AG78" s="89" t="e">
        <f>SUM(AG70-AG50)/AG29</f>
        <v>#REF!</v>
      </c>
      <c r="AH78" s="89" t="e">
        <f>SUM(AH70-AH50)/AH29</f>
        <v>#REF!</v>
      </c>
      <c r="AI78" s="89" t="e">
        <f>SUM(AI70-AI50)/AI29</f>
        <v>#REF!</v>
      </c>
    </row>
    <row r="79" spans="1:35" ht="12.75" customHeight="1">
      <c r="B79" s="33" t="s">
        <v>555</v>
      </c>
      <c r="C79" s="89" t="e">
        <f>C29/-C34</f>
        <v>#REF!</v>
      </c>
      <c r="D79" s="89" t="e">
        <f>D29/-D34</f>
        <v>#REF!</v>
      </c>
      <c r="E79" s="89" t="e">
        <f>E29/-E34</f>
        <v>#REF!</v>
      </c>
      <c r="G79" s="39"/>
      <c r="H79" s="39"/>
      <c r="I79" s="39"/>
      <c r="J79" s="89" t="e" cm="1">
        <f t="array" ref="J79">SUM(G29:J29)/SUM(-G34:J34)</f>
        <v>#REF!</v>
      </c>
      <c r="K79" s="89" t="e" cm="1">
        <f t="array" ref="K79">SUM(H29:K29)/SUM(-H34:K34)</f>
        <v>#REF!</v>
      </c>
      <c r="L79" s="89" t="e" cm="1">
        <f t="array" ref="L79">SUM(I29:L29)/SUM(-I34:L34)</f>
        <v>#REF!</v>
      </c>
      <c r="M79" s="89" t="e" cm="1">
        <f t="array" ref="M79">SUM(J29:M29)/SUM(-J34:M34)</f>
        <v>#REF!</v>
      </c>
      <c r="N79" s="89" t="e" cm="1">
        <f t="array" ref="N79">SUM(K29:N29)/SUM(-K34:N34)</f>
        <v>#REF!</v>
      </c>
      <c r="O79" s="89" t="e" cm="1">
        <f t="array" ref="O79">SUM(L29:O29)/SUM(-L34:O34)</f>
        <v>#REF!</v>
      </c>
      <c r="P79" s="89" t="e" cm="1">
        <f t="array" ref="P79">SUM(M29:P29)/SUM(-M34:P34)</f>
        <v>#REF!</v>
      </c>
      <c r="Q79" s="89" t="e" cm="1">
        <f t="array" ref="Q79">SUM(N29:Q29)/SUM(-N34:Q34)</f>
        <v>#REF!</v>
      </c>
      <c r="R79" s="89" t="e" cm="1">
        <f t="array" ref="R79">SUM(O29:R29)/SUM(-O34:R34)</f>
        <v>#REF!</v>
      </c>
      <c r="S79" s="89" t="e" cm="1">
        <f t="array" ref="S79">SUM(P29:S29)/SUM(-P34:S34)</f>
        <v>#REF!</v>
      </c>
      <c r="T79" s="89" t="e" cm="1">
        <f t="array" ref="T79">SUM(Q29:T29)/SUM(-Q34:T34)</f>
        <v>#REF!</v>
      </c>
      <c r="U79" s="89" t="e" cm="1">
        <f t="array" ref="U79">SUM(R29:U29)/SUM(-R34:U34)</f>
        <v>#REF!</v>
      </c>
      <c r="V79" s="89"/>
      <c r="W79" s="89" t="e">
        <f>W29/-W34</f>
        <v>#REF!</v>
      </c>
      <c r="X79" s="89" t="e">
        <f>X29/-X34</f>
        <v>#REF!</v>
      </c>
      <c r="Y79" s="89" t="e">
        <f>Y29/-Y34</f>
        <v>#REF!</v>
      </c>
      <c r="Z79" s="89" t="e">
        <f>Z29/-Z34</f>
        <v>#REF!</v>
      </c>
      <c r="AA79" s="89" t="e">
        <f>AA29/-AA34</f>
        <v>#REF!</v>
      </c>
      <c r="AB79" s="89" t="e">
        <f>AB29/-AB34</f>
        <v>#REF!</v>
      </c>
      <c r="AC79" s="89" t="e">
        <f>AC29/-AC34</f>
        <v>#REF!</v>
      </c>
      <c r="AD79" s="89" t="e">
        <f>AD29/-AD34</f>
        <v>#REF!</v>
      </c>
      <c r="AE79" s="89" t="e">
        <f>AE29/-AE34</f>
        <v>#REF!</v>
      </c>
      <c r="AF79" s="89" t="e">
        <f>AF29/-AF34</f>
        <v>#REF!</v>
      </c>
      <c r="AG79" s="89" t="e">
        <f>AG29/-AG34</f>
        <v>#REF!</v>
      </c>
      <c r="AH79" s="89" t="e">
        <f>AH29/-AH34</f>
        <v>#REF!</v>
      </c>
      <c r="AI79" s="89" t="e">
        <f>AI29/-AI34</f>
        <v>#REF!</v>
      </c>
    </row>
    <row r="80" spans="1:35" ht="12.75" customHeight="1">
      <c r="B80" s="33" t="s">
        <v>556</v>
      </c>
      <c r="C80" s="89" t="e" cm="1">
        <f t="array" ref="C80">SUM(C29+C32)/SUM(-C33:C34)</f>
        <v>#REF!</v>
      </c>
      <c r="D80" s="89" t="e" cm="1">
        <f t="array" ref="D80">SUM(D29+D32)/SUM(-D33:D34)</f>
        <v>#REF!</v>
      </c>
      <c r="E80" s="89" t="e" cm="1">
        <f t="array" ref="E80">SUM(E29+E32)/SUM(-E33:E34)</f>
        <v>#REF!</v>
      </c>
      <c r="G80" s="39"/>
      <c r="H80" s="39"/>
      <c r="I80" s="39"/>
      <c r="J80" s="89" t="e" cm="1">
        <f t="array" ref="J80">SUM(G29:J29+G32:J32)/SUM(-G33:J34)</f>
        <v>#REF!</v>
      </c>
      <c r="K80" s="89" t="e" cm="1">
        <f t="array" ref="K80">SUM(H29:K29+H32:K32)/SUM(-H33:K34)</f>
        <v>#REF!</v>
      </c>
      <c r="L80" s="89" t="e" cm="1">
        <f t="array" ref="L80">SUM(I29:L29+I32:L32)/SUM(-I33:L34)</f>
        <v>#REF!</v>
      </c>
      <c r="M80" s="89" t="e" cm="1">
        <f t="array" ref="M80">SUM(J29:M29+J32:M32)/SUM(-J33:M34)</f>
        <v>#REF!</v>
      </c>
      <c r="N80" s="89" t="e" cm="1">
        <f t="array" ref="N80">SUM(K29:N29+K32:N32)/SUM(-K33:N34)</f>
        <v>#REF!</v>
      </c>
      <c r="O80" s="89" t="e" cm="1">
        <f t="array" ref="O80">SUM(L29:O29+L32:O32)/SUM(-L33:O34)</f>
        <v>#REF!</v>
      </c>
      <c r="P80" s="89" t="e" cm="1">
        <f t="array" ref="P80">SUM(M29:P29+M32:P32)/SUM(-M33:P34)</f>
        <v>#REF!</v>
      </c>
      <c r="Q80" s="89" t="e" cm="1">
        <f t="array" ref="Q80">SUM(N29:Q29+N32:Q32)/SUM(-N33:Q34)</f>
        <v>#REF!</v>
      </c>
      <c r="R80" s="89" t="e" cm="1">
        <f t="array" ref="R80">SUM(O29:R29+O32:R32)/SUM(-O33:R34)</f>
        <v>#REF!</v>
      </c>
      <c r="S80" s="89" t="e" cm="1">
        <f t="array" ref="S80">SUM(P29:S29+P32:S32)/SUM(-P33:S34)</f>
        <v>#REF!</v>
      </c>
      <c r="T80" s="89" t="e" cm="1">
        <f t="array" ref="T80">SUM(Q29:T29+Q32:T32)/SUM(-Q33:T34)</f>
        <v>#REF!</v>
      </c>
      <c r="U80" s="89" t="e" cm="1">
        <f t="array" ref="U80">SUM(R29:U29+R32:U32)/SUM(-R33:U34)</f>
        <v>#REF!</v>
      </c>
      <c r="V80" s="89"/>
      <c r="W80" s="89" t="e" cm="1">
        <f t="array" ref="W80">SUM(W29+W32)/SUM(-W33:W34)</f>
        <v>#REF!</v>
      </c>
      <c r="X80" s="89" t="e" cm="1">
        <f t="array" ref="X80">SUM(X29+X32)/SUM(-X33:X34)</f>
        <v>#REF!</v>
      </c>
      <c r="Y80" s="89" t="e" cm="1">
        <f t="array" ref="Y80">SUM(Y29+Y32)/SUM(-Y33:Y34)</f>
        <v>#REF!</v>
      </c>
      <c r="Z80" s="89" t="e" cm="1">
        <f t="array" ref="Z80">SUM(Z29+Z32)/SUM(-Z33:Z34)</f>
        <v>#REF!</v>
      </c>
      <c r="AA80" s="89" t="e" cm="1">
        <f t="array" ref="AA80">SUM(AA29+AA32)/SUM(-AA33:AA34)</f>
        <v>#REF!</v>
      </c>
      <c r="AB80" s="89" t="e" cm="1">
        <f t="array" ref="AB80">SUM(AB29+AB32)/SUM(-AB33:AB34)</f>
        <v>#REF!</v>
      </c>
      <c r="AC80" s="89" t="e" cm="1">
        <f t="array" ref="AC80">SUM(AC29+AC32)/SUM(-AC33:AC34)</f>
        <v>#REF!</v>
      </c>
      <c r="AD80" s="89" t="e" cm="1">
        <f t="array" ref="AD80">SUM(AD29+AD32)/SUM(-AD33:AD34)</f>
        <v>#REF!</v>
      </c>
      <c r="AE80" s="89" t="e" cm="1">
        <f t="array" ref="AE80">SUM(AE29+AE32)/SUM(-AE33:AE34)</f>
        <v>#REF!</v>
      </c>
      <c r="AF80" s="89" t="e" cm="1">
        <f t="array" ref="AF80">SUM(AF29+AF32)/SUM(-AF33:AF34)</f>
        <v>#REF!</v>
      </c>
      <c r="AG80" s="89" t="e" cm="1">
        <f t="array" ref="AG80">SUM(AG29+AG32)/SUM(-AG33:AG34)</f>
        <v>#REF!</v>
      </c>
      <c r="AH80" s="89" t="e" cm="1">
        <f t="array" ref="AH80">SUM(AH29+AH32)/SUM(-AH33:AH34)</f>
        <v>#REF!</v>
      </c>
      <c r="AI80" s="89" t="e" cm="1">
        <f t="array" ref="AI80">SUM(AI29+AI32)/SUM(-AI33:AI34)</f>
        <v>#REF!</v>
      </c>
    </row>
    <row r="81" spans="2:35" ht="12.75" customHeight="1">
      <c r="B81" s="33" t="s">
        <v>557</v>
      </c>
      <c r="C81" s="89" t="e" cm="1">
        <f t="array" ref="C81">SUM(C29)/SUM(-C32:C34)</f>
        <v>#REF!</v>
      </c>
      <c r="D81" s="89" t="e" cm="1">
        <f t="array" ref="D81">SUM(D29)/SUM(-D32:D34)</f>
        <v>#REF!</v>
      </c>
      <c r="E81" s="89" t="e" cm="1">
        <f t="array" ref="E81">SUM(E29)/SUM(-E32:E34)</f>
        <v>#REF!</v>
      </c>
      <c r="G81" s="39"/>
      <c r="H81" s="39"/>
      <c r="I81" s="39"/>
      <c r="J81" s="89" t="e" cm="1">
        <f t="array" ref="J81">SUM(G29:J29)/SUM(-G32:J34)</f>
        <v>#REF!</v>
      </c>
      <c r="K81" s="89" t="e" cm="1">
        <f t="array" ref="K81">SUM(H29:K29)/SUM(-H32:K34)</f>
        <v>#REF!</v>
      </c>
      <c r="L81" s="89" t="e" cm="1">
        <f t="array" ref="L81">SUM(I29:L29)/SUM(-I32:L34)</f>
        <v>#REF!</v>
      </c>
      <c r="M81" s="89" t="e" cm="1">
        <f t="array" ref="M81">SUM(J29:M29)/SUM(-J32:M34)</f>
        <v>#REF!</v>
      </c>
      <c r="N81" s="89" t="e" cm="1">
        <f t="array" ref="N81">SUM(K29:N29)/SUM(-K32:N34)</f>
        <v>#REF!</v>
      </c>
      <c r="O81" s="89" t="e" cm="1">
        <f t="array" ref="O81">SUM(L29:O29)/SUM(-L32:O34)</f>
        <v>#REF!</v>
      </c>
      <c r="P81" s="89" t="e" cm="1">
        <f t="array" ref="P81">SUM(M29:P29)/SUM(-M32:P34)</f>
        <v>#REF!</v>
      </c>
      <c r="Q81" s="89" t="e" cm="1">
        <f t="array" ref="Q81">SUM(N29:Q29)/SUM(-N32:Q34)</f>
        <v>#REF!</v>
      </c>
      <c r="R81" s="89" t="e" cm="1">
        <f t="array" ref="R81">SUM(O29:R29)/SUM(-O32:R34)</f>
        <v>#REF!</v>
      </c>
      <c r="S81" s="89" t="e" cm="1">
        <f t="array" ref="S81">SUM(P29:S29)/SUM(-P32:S34)</f>
        <v>#REF!</v>
      </c>
      <c r="T81" s="89" t="e" cm="1">
        <f t="array" ref="T81">SUM(Q29:T29)/SUM(-Q32:T34)</f>
        <v>#REF!</v>
      </c>
      <c r="U81" s="89" t="e" cm="1">
        <f t="array" ref="U81">SUM(R29:U29)/SUM(-R32:U34)</f>
        <v>#REF!</v>
      </c>
      <c r="V81" s="89"/>
      <c r="W81" s="89" t="e" cm="1">
        <f t="array" ref="W81">SUM(W29)/SUM(-W32:W34)</f>
        <v>#REF!</v>
      </c>
      <c r="X81" s="89" t="e" cm="1">
        <f t="array" ref="X81">SUM(X29)/SUM(-X32:X34)</f>
        <v>#REF!</v>
      </c>
      <c r="Y81" s="89" t="e" cm="1">
        <f t="array" ref="Y81">SUM(Y29)/SUM(-Y32:Y34)</f>
        <v>#REF!</v>
      </c>
      <c r="Z81" s="89" t="e" cm="1">
        <f t="array" ref="Z81">SUM(Z29)/SUM(-Z32:Z34)</f>
        <v>#REF!</v>
      </c>
      <c r="AA81" s="89" t="e" cm="1">
        <f t="array" ref="AA81">SUM(AA29)/SUM(-AA32:AA34)</f>
        <v>#REF!</v>
      </c>
      <c r="AB81" s="89" t="e" cm="1">
        <f t="array" ref="AB81">SUM(AB29)/SUM(-AB32:AB34)</f>
        <v>#REF!</v>
      </c>
      <c r="AC81" s="89" t="e" cm="1">
        <f t="array" ref="AC81">SUM(AC29)/SUM(-AC32:AC34)</f>
        <v>#REF!</v>
      </c>
      <c r="AD81" s="89" t="e" cm="1">
        <f t="array" ref="AD81">SUM(AD29)/SUM(-AD32:AD34)</f>
        <v>#REF!</v>
      </c>
      <c r="AE81" s="89" t="e" cm="1">
        <f t="array" ref="AE81">SUM(AE29)/SUM(-AE32:AE34)</f>
        <v>#REF!</v>
      </c>
      <c r="AF81" s="89" t="e" cm="1">
        <f t="array" ref="AF81">SUM(AF29)/SUM(-AF32:AF34)</f>
        <v>#REF!</v>
      </c>
      <c r="AG81" s="89" t="e" cm="1">
        <f t="array" ref="AG81">SUM(AG29)/SUM(-AG32:AG34)</f>
        <v>#REF!</v>
      </c>
      <c r="AH81" s="89" t="e" cm="1">
        <f t="array" ref="AH81">SUM(AH29)/SUM(-AH32:AH34)</f>
        <v>#REF!</v>
      </c>
      <c r="AI81" s="89" t="e" cm="1">
        <f t="array" ref="AI81">SUM(AI29)/SUM(-AI32:AI34)</f>
        <v>#REF!</v>
      </c>
    </row>
    <row r="82" spans="2:35" ht="12.75" customHeight="1">
      <c r="B82" s="8" t="s">
        <v>64</v>
      </c>
      <c r="C82" s="89" t="e">
        <f>C73/C70</f>
        <v>#DIV/0!</v>
      </c>
      <c r="D82" s="89" t="e">
        <f>D73/D70</f>
        <v>#DIV/0!</v>
      </c>
      <c r="E82" s="89">
        <f>E73/E70</f>
        <v>1.0044956896551724</v>
      </c>
      <c r="G82" s="39"/>
      <c r="H82" s="39"/>
      <c r="I82" s="39"/>
      <c r="J82" s="89" t="e">
        <f t="shared" ref="J82:T82" si="48">J73/J70</f>
        <v>#REF!</v>
      </c>
      <c r="K82" s="89" t="e">
        <f t="shared" si="48"/>
        <v>#REF!</v>
      </c>
      <c r="L82" s="89" t="e">
        <f t="shared" si="48"/>
        <v>#REF!</v>
      </c>
      <c r="M82" s="89" t="e">
        <f t="shared" si="48"/>
        <v>#REF!</v>
      </c>
      <c r="N82" s="89" t="e">
        <f t="shared" si="48"/>
        <v>#REF!</v>
      </c>
      <c r="O82" s="89" t="e">
        <f t="shared" si="48"/>
        <v>#DIV/0!</v>
      </c>
      <c r="P82" s="89" t="e">
        <f t="shared" si="48"/>
        <v>#DIV/0!</v>
      </c>
      <c r="Q82" s="89" t="e">
        <f t="shared" si="48"/>
        <v>#DIV/0!</v>
      </c>
      <c r="R82" s="89">
        <f t="shared" si="48"/>
        <v>1.046150442477876</v>
      </c>
      <c r="S82" s="89">
        <f t="shared" si="48"/>
        <v>1</v>
      </c>
      <c r="T82" s="89">
        <f t="shared" si="48"/>
        <v>1</v>
      </c>
      <c r="U82" s="89">
        <f>U73/U70</f>
        <v>1</v>
      </c>
      <c r="V82" s="89"/>
      <c r="W82" s="89" t="e">
        <f t="shared" ref="W82:AG82" si="49">W73/W70</f>
        <v>#REF!</v>
      </c>
      <c r="X82" s="89" t="e">
        <f t="shared" si="49"/>
        <v>#REF!</v>
      </c>
      <c r="Y82" s="89" t="e">
        <f t="shared" si="49"/>
        <v>#REF!</v>
      </c>
      <c r="Z82" s="89" t="e">
        <f t="shared" si="49"/>
        <v>#REF!</v>
      </c>
      <c r="AA82" s="89" t="e">
        <f t="shared" si="49"/>
        <v>#REF!</v>
      </c>
      <c r="AB82" s="89" t="e">
        <f t="shared" si="49"/>
        <v>#REF!</v>
      </c>
      <c r="AC82" s="89" t="e">
        <f t="shared" si="49"/>
        <v>#DIV/0!</v>
      </c>
      <c r="AD82" s="89" t="e">
        <f t="shared" si="49"/>
        <v>#DIV/0!</v>
      </c>
      <c r="AE82" s="89" t="e">
        <f t="shared" si="49"/>
        <v>#DIV/0!</v>
      </c>
      <c r="AF82" s="89">
        <f t="shared" si="49"/>
        <v>1.046150442477876</v>
      </c>
      <c r="AG82" s="89">
        <f t="shared" si="49"/>
        <v>1</v>
      </c>
      <c r="AH82" s="89">
        <f>AH73/AH70</f>
        <v>1</v>
      </c>
      <c r="AI82" s="89">
        <f>AI73/AI70</f>
        <v>1</v>
      </c>
    </row>
    <row r="83" spans="2:35" ht="5.0999999999999996" customHeight="1" thickBot="1">
      <c r="B83" s="40"/>
      <c r="C83" s="40"/>
      <c r="D83" s="40"/>
      <c r="E83" s="40"/>
      <c r="F83" s="40"/>
      <c r="G83" s="40"/>
      <c r="H83" s="40"/>
      <c r="I83" s="40"/>
      <c r="J83" s="40"/>
      <c r="K83" s="40"/>
      <c r="L83" s="40"/>
      <c r="M83" s="40"/>
      <c r="N83" s="40"/>
      <c r="O83" s="40"/>
      <c r="P83" s="40"/>
      <c r="Q83" s="40"/>
      <c r="R83" s="40"/>
      <c r="S83" s="40"/>
      <c r="T83" s="40"/>
      <c r="U83" s="40"/>
      <c r="V83" s="40"/>
      <c r="W83" s="40"/>
      <c r="X83" s="40"/>
      <c r="Y83" s="40"/>
      <c r="Z83" s="40"/>
      <c r="AA83" s="40"/>
      <c r="AB83" s="40"/>
      <c r="AC83" s="40"/>
      <c r="AD83" s="40"/>
      <c r="AE83" s="40"/>
      <c r="AF83" s="40"/>
      <c r="AG83" s="40"/>
      <c r="AH83" s="40"/>
      <c r="AI83" s="40"/>
    </row>
  </sheetData>
  <mergeCells count="1">
    <mergeCell ref="AK2:AK4"/>
  </mergeCells>
  <dataValidations disablePrompts="1" count="1">
    <dataValidation type="list" allowBlank="1" showInputMessage="1" showErrorMessage="1" sqref="B4" xr:uid="{060857CB-86CD-4220-87C0-9A83C6E53284}">
      <formula1>"$ bns except per share, $ mm except per share,$ in thousands except per share"</formula1>
    </dataValidation>
  </dataValidations>
  <pageMargins left="0.7" right="0.7" top="0.75" bottom="0.75" header="0.3" footer="0.3"/>
  <ignoredErrors>
    <ignoredError sqref="C36:T37 AJ37:AK37 F32:F34 F39 F40 AJ39:AK40 AJ35 AJ36 F35 AJ38:AK38 F38" formulaRange="1"/>
    <ignoredError sqref="C77:AI82 C11:AI13 AK21:AK28 C22:AI23 F14 V14:AI14 C15:AI17 AK10:AK20 F21 F19:F20 F18 V18:AI18 V19:AI20 C25:AI27 F24 V24:AI24 C29:AI30 F28 AK29:AK36 V28:AI28" evalError="1"/>
  </ignoredError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C1C5D-AED5-4BFE-BA26-5AB41D553B0B}">
  <sheetPr>
    <tabColor theme="8" tint="-0.249977111117893"/>
  </sheetPr>
  <dimension ref="A2:T243"/>
  <sheetViews>
    <sheetView showGridLines="0" zoomScale="115" zoomScaleNormal="115" workbookViewId="0">
      <selection activeCell="B3" sqref="B3"/>
    </sheetView>
  </sheetViews>
  <sheetFormatPr defaultColWidth="7.75" defaultRowHeight="12"/>
  <cols>
    <col min="1" max="1" width="1.5" style="8" customWidth="1"/>
    <col min="2" max="2" width="40.875" style="8" bestFit="1" customWidth="1"/>
    <col min="3" max="3" width="8.875" style="8" bestFit="1" customWidth="1"/>
    <col min="4" max="6" width="10" style="8" customWidth="1"/>
    <col min="7" max="7" width="11.375" style="8" bestFit="1" customWidth="1"/>
    <col min="8" max="11" width="10" style="8" customWidth="1"/>
    <col min="12" max="12" width="1.625" style="8" customWidth="1"/>
    <col min="13" max="13" width="10.375" style="8" customWidth="1"/>
    <col min="14" max="16" width="9" style="8" bestFit="1" customWidth="1"/>
    <col min="17" max="18" width="8.25" style="8" bestFit="1" customWidth="1"/>
    <col min="19" max="16384" width="7.75" style="8"/>
  </cols>
  <sheetData>
    <row r="2" spans="1:19">
      <c r="B2" s="1" t="str">
        <f>'Historical Financials'!B2</f>
        <v>Klarna Group plc (KLAR)</v>
      </c>
      <c r="C2" s="1"/>
      <c r="D2" s="1"/>
      <c r="E2" s="1"/>
      <c r="F2" s="1"/>
      <c r="G2" s="1"/>
      <c r="H2" s="1"/>
      <c r="I2" s="1"/>
      <c r="J2" s="1"/>
      <c r="K2" s="1"/>
    </row>
    <row r="3" spans="1:19">
      <c r="B3" s="6" t="s">
        <v>407</v>
      </c>
      <c r="C3" s="1"/>
      <c r="D3" s="1"/>
      <c r="E3" s="1"/>
      <c r="F3" s="1"/>
      <c r="G3" s="1"/>
      <c r="H3" s="1"/>
      <c r="I3" s="1"/>
      <c r="J3" s="1"/>
      <c r="K3" s="1"/>
    </row>
    <row r="4" spans="1:19">
      <c r="B4" s="6" t="s">
        <v>398</v>
      </c>
      <c r="C4" s="6"/>
      <c r="D4" s="6"/>
      <c r="E4" s="6"/>
      <c r="F4" s="6"/>
      <c r="G4" s="6"/>
      <c r="H4" s="6"/>
      <c r="I4" s="6"/>
      <c r="J4" s="6"/>
      <c r="K4" s="6"/>
    </row>
    <row r="5" spans="1:19" ht="5.0999999999999996" customHeight="1"/>
    <row r="6" spans="1:19">
      <c r="B6" s="336" t="s">
        <v>91</v>
      </c>
      <c r="C6" s="334" t="s">
        <v>435</v>
      </c>
      <c r="D6" s="179"/>
      <c r="E6" s="179"/>
      <c r="F6" s="179"/>
      <c r="G6" s="179"/>
      <c r="H6" s="179"/>
      <c r="I6" s="178" t="s">
        <v>92</v>
      </c>
      <c r="J6" s="179"/>
      <c r="K6" s="342" t="s">
        <v>93</v>
      </c>
    </row>
    <row r="7" spans="1:19">
      <c r="B7" s="337" t="s">
        <v>94</v>
      </c>
      <c r="C7" s="325" t="s">
        <v>558</v>
      </c>
      <c r="K7" s="332"/>
    </row>
    <row r="8" spans="1:19">
      <c r="B8" s="338" t="s">
        <v>95</v>
      </c>
      <c r="C8" s="341">
        <v>0</v>
      </c>
      <c r="K8" s="332"/>
    </row>
    <row r="9" spans="1:19">
      <c r="B9" s="338" t="s">
        <v>96</v>
      </c>
      <c r="C9" s="326"/>
      <c r="K9" s="332"/>
    </row>
    <row r="10" spans="1:19">
      <c r="B10" s="338" t="s">
        <v>97</v>
      </c>
      <c r="C10" s="327">
        <f ca="1">NOW()</f>
        <v>45986.418802314816</v>
      </c>
      <c r="K10" s="332"/>
      <c r="O10" s="70"/>
    </row>
    <row r="11" spans="1:19">
      <c r="B11" s="337" t="s">
        <v>98</v>
      </c>
      <c r="C11" s="328">
        <f>'Historical Financials'!E8</f>
        <v>45657</v>
      </c>
      <c r="K11" s="332"/>
    </row>
    <row r="12" spans="1:19">
      <c r="B12" s="339" t="s">
        <v>99</v>
      </c>
      <c r="C12" s="330">
        <v>4443.2650000000003</v>
      </c>
      <c r="D12" s="329"/>
      <c r="E12" s="329"/>
      <c r="F12" s="329"/>
      <c r="G12" s="329"/>
      <c r="H12" s="329"/>
      <c r="I12" s="329"/>
      <c r="J12" s="329"/>
      <c r="K12" s="333"/>
    </row>
    <row r="14" spans="1:19">
      <c r="A14" s="340" t="s">
        <v>19</v>
      </c>
      <c r="B14" s="1" t="s">
        <v>401</v>
      </c>
      <c r="C14" s="2" t="s">
        <v>399</v>
      </c>
      <c r="D14" s="2"/>
      <c r="E14" s="2"/>
      <c r="F14" s="2"/>
      <c r="G14" s="2" t="s">
        <v>157</v>
      </c>
      <c r="H14" s="2"/>
      <c r="I14" s="2"/>
      <c r="J14" s="2"/>
      <c r="K14" s="2"/>
    </row>
    <row r="15" spans="1:19">
      <c r="B15" s="6" t="s">
        <v>100</v>
      </c>
      <c r="C15" s="345">
        <f>D15-1</f>
        <v>2021</v>
      </c>
      <c r="D15" s="345">
        <f>E15-1</f>
        <v>2022</v>
      </c>
      <c r="E15" s="345">
        <f>F15-1</f>
        <v>2023</v>
      </c>
      <c r="F15" s="345">
        <f>YEAR(C11)</f>
        <v>2024</v>
      </c>
      <c r="G15" s="375">
        <f>F15+1</f>
        <v>2025</v>
      </c>
      <c r="H15" s="375">
        <f>G15+1</f>
        <v>2026</v>
      </c>
      <c r="I15" s="375">
        <f>H15+1</f>
        <v>2027</v>
      </c>
      <c r="J15" s="375">
        <f>I15+1</f>
        <v>2028</v>
      </c>
      <c r="K15" s="375">
        <f>J15+1</f>
        <v>2029</v>
      </c>
    </row>
    <row r="16" spans="1:19">
      <c r="B16" s="6" t="s">
        <v>101</v>
      </c>
      <c r="C16" s="3">
        <f>EOMONTH(D16,-12)</f>
        <v>44561</v>
      </c>
      <c r="D16" s="3">
        <f>EOMONTH(E16,-12)</f>
        <v>44926</v>
      </c>
      <c r="E16" s="3">
        <f>EOMONTH(F16,-12)</f>
        <v>45291</v>
      </c>
      <c r="F16" s="3">
        <f>C11</f>
        <v>45657</v>
      </c>
      <c r="G16" s="3">
        <f>EOMONTH(F16,12)</f>
        <v>46022</v>
      </c>
      <c r="H16" s="3">
        <f>EOMONTH(G16,12)</f>
        <v>46387</v>
      </c>
      <c r="I16" s="3">
        <f>EOMONTH(H16,12)</f>
        <v>46752</v>
      </c>
      <c r="J16" s="3">
        <f>EOMONTH(I16,12)</f>
        <v>47118</v>
      </c>
      <c r="K16" s="3">
        <f>EOMONTH(J16,12)</f>
        <v>47483</v>
      </c>
      <c r="M16" s="1" t="s">
        <v>400</v>
      </c>
      <c r="N16" s="1"/>
      <c r="O16" s="1"/>
      <c r="P16" s="1"/>
      <c r="Q16" s="1"/>
      <c r="R16" s="1"/>
      <c r="S16" s="1"/>
    </row>
    <row r="17" spans="2:13" ht="5.0999999999999996" customHeight="1">
      <c r="B17" s="98"/>
      <c r="C17" s="98"/>
      <c r="D17" s="99"/>
      <c r="E17" s="100"/>
      <c r="F17" s="100"/>
      <c r="G17" s="101"/>
      <c r="H17" s="102"/>
      <c r="I17" s="102"/>
      <c r="J17" s="100"/>
      <c r="K17" s="100"/>
    </row>
    <row r="18" spans="2:13" ht="12.75" customHeight="1">
      <c r="B18" s="8" t="s">
        <v>570</v>
      </c>
      <c r="C18" s="164" t="e">
        <f>'Revenue Drivers'!#REF!</f>
        <v>#REF!</v>
      </c>
      <c r="D18" s="164" t="e">
        <f>'Revenue Drivers'!#REF!</f>
        <v>#REF!</v>
      </c>
      <c r="E18" s="164" t="e">
        <f>'Revenue Drivers'!#REF!</f>
        <v>#REF!</v>
      </c>
      <c r="F18" s="164" t="e">
        <f>'Revenue Drivers'!#REF!</f>
        <v>#REF!</v>
      </c>
      <c r="G18" s="478" t="e">
        <f>F18*(1+G61)</f>
        <v>#REF!</v>
      </c>
      <c r="H18" s="478" t="e">
        <f>G18*(1+H61)</f>
        <v>#REF!</v>
      </c>
      <c r="I18" s="478" t="e">
        <f>H18*(1+I61)</f>
        <v>#REF!</v>
      </c>
      <c r="J18" s="478" t="e">
        <f>I18*(1+J61)</f>
        <v>#REF!</v>
      </c>
      <c r="K18" s="478" t="e">
        <f>J18*(1+K61)</f>
        <v>#REF!</v>
      </c>
    </row>
    <row r="19" spans="2:13" ht="12.75" customHeight="1">
      <c r="B19" s="8" t="s">
        <v>533</v>
      </c>
      <c r="C19" s="164" t="e">
        <f>'Revenue Drivers'!#REF!</f>
        <v>#REF!</v>
      </c>
      <c r="D19" s="164" t="e">
        <f>'Revenue Drivers'!#REF!</f>
        <v>#REF!</v>
      </c>
      <c r="E19" s="164" t="e">
        <f>'Revenue Drivers'!#REF!</f>
        <v>#REF!</v>
      </c>
      <c r="F19" s="164" t="e">
        <f>'Revenue Drivers'!#REF!</f>
        <v>#REF!</v>
      </c>
      <c r="G19" s="478"/>
      <c r="H19" s="478"/>
      <c r="I19" s="478"/>
      <c r="J19" s="478"/>
      <c r="K19" s="478"/>
    </row>
    <row r="20" spans="2:13" ht="12.75" customHeight="1">
      <c r="B20" s="8" t="s">
        <v>489</v>
      </c>
      <c r="C20" s="164" t="e">
        <f>'Revenue Drivers'!#REF!</f>
        <v>#REF!</v>
      </c>
      <c r="D20" s="164" t="e">
        <f>'Revenue Drivers'!#REF!</f>
        <v>#REF!</v>
      </c>
      <c r="E20" s="164" t="e">
        <f>'Revenue Drivers'!#REF!</f>
        <v>#REF!</v>
      </c>
      <c r="F20" s="164" t="e">
        <f>'Revenue Drivers'!#REF!</f>
        <v>#REF!</v>
      </c>
      <c r="G20" s="478"/>
      <c r="H20" s="478"/>
      <c r="I20" s="478"/>
      <c r="J20" s="478"/>
      <c r="K20" s="478"/>
    </row>
    <row r="21" spans="2:13" ht="12.75" customHeight="1">
      <c r="B21" s="122" t="s">
        <v>568</v>
      </c>
      <c r="C21" s="518" t="e">
        <f t="shared" ref="C21:K21" si="0">SUM(C18:C20)</f>
        <v>#REF!</v>
      </c>
      <c r="D21" s="518" t="e">
        <f t="shared" si="0"/>
        <v>#REF!</v>
      </c>
      <c r="E21" s="518" t="e">
        <f t="shared" si="0"/>
        <v>#REF!</v>
      </c>
      <c r="F21" s="518" t="e">
        <f t="shared" si="0"/>
        <v>#REF!</v>
      </c>
      <c r="G21" s="518" t="e">
        <f t="shared" si="0"/>
        <v>#REF!</v>
      </c>
      <c r="H21" s="518" t="e">
        <f t="shared" si="0"/>
        <v>#REF!</v>
      </c>
      <c r="I21" s="518" t="e">
        <f t="shared" si="0"/>
        <v>#REF!</v>
      </c>
      <c r="J21" s="518" t="e">
        <f t="shared" si="0"/>
        <v>#REF!</v>
      </c>
      <c r="K21" s="518" t="e">
        <f t="shared" si="0"/>
        <v>#REF!</v>
      </c>
    </row>
    <row r="22" spans="2:13" ht="12.75" customHeight="1">
      <c r="C22" s="164"/>
      <c r="D22" s="164"/>
      <c r="E22" s="164"/>
      <c r="F22" s="164"/>
      <c r="G22" s="478"/>
      <c r="H22" s="478"/>
      <c r="I22" s="478"/>
      <c r="J22" s="478"/>
      <c r="K22" s="478"/>
    </row>
    <row r="23" spans="2:13" ht="12.75" customHeight="1">
      <c r="C23" s="164"/>
      <c r="D23" s="164"/>
      <c r="E23" s="164"/>
      <c r="F23" s="164"/>
      <c r="G23" s="478"/>
      <c r="H23" s="478"/>
      <c r="I23" s="478"/>
      <c r="J23" s="478"/>
      <c r="K23" s="478"/>
    </row>
    <row r="24" spans="2:13" ht="12.75" customHeight="1">
      <c r="C24" s="164"/>
      <c r="D24" s="164"/>
      <c r="E24" s="164"/>
      <c r="F24" s="164"/>
      <c r="G24" s="478"/>
      <c r="H24" s="478"/>
      <c r="I24" s="478"/>
      <c r="J24" s="478"/>
      <c r="K24" s="478"/>
    </row>
    <row r="25" spans="2:13" ht="12.75" customHeight="1">
      <c r="C25" s="164"/>
      <c r="D25" s="164"/>
      <c r="E25" s="164"/>
      <c r="F25" s="164"/>
      <c r="G25" s="478"/>
      <c r="H25" s="478"/>
      <c r="I25" s="478"/>
      <c r="J25" s="478"/>
      <c r="K25" s="478"/>
    </row>
    <row r="26" spans="2:13" ht="12.75" customHeight="1">
      <c r="C26" s="164"/>
      <c r="D26" s="164"/>
      <c r="E26" s="164"/>
      <c r="F26" s="164"/>
      <c r="G26" s="478"/>
      <c r="H26" s="478"/>
      <c r="I26" s="478"/>
      <c r="J26" s="478"/>
      <c r="K26" s="478"/>
    </row>
    <row r="27" spans="2:13" ht="12.75" customHeight="1">
      <c r="C27" s="164"/>
      <c r="D27" s="164"/>
      <c r="E27" s="164"/>
      <c r="F27" s="164"/>
      <c r="G27" s="478">
        <f>F27*(1+G66)</f>
        <v>0</v>
      </c>
      <c r="H27" s="478">
        <f>G27*(1+H66)</f>
        <v>0</v>
      </c>
      <c r="I27" s="478">
        <f>H27*(1+I66)</f>
        <v>0</v>
      </c>
      <c r="J27" s="478">
        <f>I27*(1+J66)</f>
        <v>0</v>
      </c>
      <c r="K27" s="478">
        <f>J27*(1+K66)</f>
        <v>0</v>
      </c>
    </row>
    <row r="28" spans="2:13" ht="12.75" customHeight="1">
      <c r="B28" s="176" t="s">
        <v>88</v>
      </c>
      <c r="C28" s="359" t="e">
        <f t="shared" ref="C28:K28" si="1">SUM(C18:C27)</f>
        <v>#REF!</v>
      </c>
      <c r="D28" s="359" t="e">
        <f t="shared" si="1"/>
        <v>#REF!</v>
      </c>
      <c r="E28" s="359" t="e">
        <f t="shared" si="1"/>
        <v>#REF!</v>
      </c>
      <c r="F28" s="359" t="e">
        <f t="shared" si="1"/>
        <v>#REF!</v>
      </c>
      <c r="G28" s="359" t="e">
        <f t="shared" si="1"/>
        <v>#REF!</v>
      </c>
      <c r="H28" s="359" t="e">
        <f t="shared" si="1"/>
        <v>#REF!</v>
      </c>
      <c r="I28" s="359" t="e">
        <f t="shared" si="1"/>
        <v>#REF!</v>
      </c>
      <c r="J28" s="359" t="e">
        <f t="shared" si="1"/>
        <v>#REF!</v>
      </c>
      <c r="K28" s="359" t="e">
        <f t="shared" si="1"/>
        <v>#REF!</v>
      </c>
    </row>
    <row r="29" spans="2:13" ht="12.75" customHeight="1">
      <c r="B29" s="409" t="s">
        <v>37</v>
      </c>
      <c r="C29" s="454"/>
      <c r="D29" s="410" t="e">
        <f>SUM(D28/C28)-1</f>
        <v>#REF!</v>
      </c>
      <c r="E29" s="410" t="e">
        <f t="shared" ref="E29:K29" si="2">SUM(E28/D28)-1</f>
        <v>#REF!</v>
      </c>
      <c r="F29" s="410" t="e">
        <f t="shared" si="2"/>
        <v>#REF!</v>
      </c>
      <c r="G29" s="410" t="e">
        <f t="shared" si="2"/>
        <v>#REF!</v>
      </c>
      <c r="H29" s="410" t="e">
        <f t="shared" si="2"/>
        <v>#REF!</v>
      </c>
      <c r="I29" s="410" t="e">
        <f t="shared" si="2"/>
        <v>#REF!</v>
      </c>
      <c r="J29" s="410" t="e">
        <f t="shared" si="2"/>
        <v>#REF!</v>
      </c>
      <c r="K29" s="410" t="e">
        <f t="shared" si="2"/>
        <v>#REF!</v>
      </c>
    </row>
    <row r="30" spans="2:13" ht="5.0999999999999996" customHeight="1">
      <c r="C30" s="164"/>
      <c r="D30" s="164"/>
      <c r="E30" s="164"/>
      <c r="F30" s="164"/>
      <c r="G30" s="104"/>
      <c r="H30" s="104"/>
      <c r="I30" s="104"/>
      <c r="J30" s="104"/>
      <c r="K30" s="104"/>
    </row>
    <row r="31" spans="2:13" ht="12.75" customHeight="1">
      <c r="B31" s="8" t="s">
        <v>415</v>
      </c>
      <c r="C31" s="164" t="e">
        <f>'Historical Financials'!#REF!</f>
        <v>#REF!</v>
      </c>
      <c r="D31" s="164" t="e">
        <f>'Historical Financials'!#REF!</f>
        <v>#REF!</v>
      </c>
      <c r="E31" s="164">
        <f>'Historical Financials'!C13</f>
        <v>-520</v>
      </c>
      <c r="F31" s="164">
        <f>'Historical Financials'!D13</f>
        <v>-541</v>
      </c>
      <c r="G31" s="478" t="e">
        <f>+G32-G28</f>
        <v>#REF!</v>
      </c>
      <c r="H31" s="478" t="e">
        <f>+H32-H28</f>
        <v>#REF!</v>
      </c>
      <c r="I31" s="478" t="e">
        <f>+I32-I28</f>
        <v>#REF!</v>
      </c>
      <c r="J31" s="478" t="e">
        <f>+J32-J28</f>
        <v>#REF!</v>
      </c>
      <c r="K31" s="478" t="e">
        <f>+K32-K28</f>
        <v>#REF!</v>
      </c>
      <c r="M31" s="8" t="s">
        <v>102</v>
      </c>
    </row>
    <row r="32" spans="2:13" ht="12.75" customHeight="1">
      <c r="B32" s="176" t="s">
        <v>25</v>
      </c>
      <c r="C32" s="359" t="e">
        <f>+C31+C28</f>
        <v>#REF!</v>
      </c>
      <c r="D32" s="359" t="e">
        <f>+D31+D28</f>
        <v>#REF!</v>
      </c>
      <c r="E32" s="359" t="e">
        <f>+E31+E28</f>
        <v>#REF!</v>
      </c>
      <c r="F32" s="359" t="e">
        <f>+F31+F28</f>
        <v>#REF!</v>
      </c>
      <c r="G32" s="359" t="e">
        <f>G68*G28</f>
        <v>#REF!</v>
      </c>
      <c r="H32" s="359" t="e">
        <f>H68*H28</f>
        <v>#REF!</v>
      </c>
      <c r="I32" s="359" t="e">
        <f>I68*I28</f>
        <v>#REF!</v>
      </c>
      <c r="J32" s="359" t="e">
        <f>J68*J28</f>
        <v>#REF!</v>
      </c>
      <c r="K32" s="359" t="e">
        <f>K68*K28</f>
        <v>#REF!</v>
      </c>
      <c r="M32" s="33" t="s">
        <v>103</v>
      </c>
    </row>
    <row r="33" spans="2:14" ht="12.75" customHeight="1">
      <c r="B33" s="409" t="s">
        <v>413</v>
      </c>
      <c r="C33" s="410" t="e">
        <f>C32/C28</f>
        <v>#REF!</v>
      </c>
      <c r="D33" s="410" t="e">
        <f t="shared" ref="D33:K33" si="3">D32/D28</f>
        <v>#REF!</v>
      </c>
      <c r="E33" s="410" t="e">
        <f t="shared" si="3"/>
        <v>#REF!</v>
      </c>
      <c r="F33" s="410" t="e">
        <f t="shared" si="3"/>
        <v>#REF!</v>
      </c>
      <c r="G33" s="410" t="e">
        <f t="shared" si="3"/>
        <v>#REF!</v>
      </c>
      <c r="H33" s="410" t="e">
        <f t="shared" si="3"/>
        <v>#REF!</v>
      </c>
      <c r="I33" s="410" t="e">
        <f t="shared" si="3"/>
        <v>#REF!</v>
      </c>
      <c r="J33" s="410" t="e">
        <f t="shared" si="3"/>
        <v>#REF!</v>
      </c>
      <c r="K33" s="410" t="e">
        <f t="shared" si="3"/>
        <v>#REF!</v>
      </c>
      <c r="M33" s="33"/>
    </row>
    <row r="34" spans="2:14" ht="5.0999999999999996" customHeight="1">
      <c r="B34" s="38"/>
      <c r="C34" s="105"/>
      <c r="D34" s="105"/>
      <c r="E34" s="105"/>
      <c r="F34" s="105"/>
      <c r="G34" s="105"/>
      <c r="H34" s="105"/>
      <c r="I34" s="105"/>
      <c r="J34" s="105"/>
      <c r="K34" s="105"/>
      <c r="M34" s="33"/>
    </row>
    <row r="35" spans="2:14" ht="12.75" customHeight="1">
      <c r="B35" s="8" t="s">
        <v>422</v>
      </c>
      <c r="C35" s="164"/>
      <c r="D35" s="164"/>
      <c r="E35" s="164"/>
      <c r="F35" s="164"/>
      <c r="G35" s="478" t="e">
        <f>-G69*G18</f>
        <v>#REF!</v>
      </c>
      <c r="H35" s="478" t="e">
        <f>-H69*H18</f>
        <v>#REF!</v>
      </c>
      <c r="I35" s="478" t="e">
        <f>-I69*I18</f>
        <v>#REF!</v>
      </c>
      <c r="J35" s="478" t="e">
        <f>-J69*J18</f>
        <v>#REF!</v>
      </c>
      <c r="K35" s="478" t="e">
        <f>-K69*K18</f>
        <v>#REF!</v>
      </c>
      <c r="M35" s="33" t="s">
        <v>105</v>
      </c>
    </row>
    <row r="36" spans="2:14" ht="12.75" customHeight="1">
      <c r="B36" s="8" t="s">
        <v>423</v>
      </c>
      <c r="C36" s="164"/>
      <c r="D36" s="164"/>
      <c r="E36" s="164"/>
      <c r="F36" s="164"/>
      <c r="G36" s="478" t="e">
        <f>-G18*G70</f>
        <v>#REF!</v>
      </c>
      <c r="H36" s="478" t="e">
        <f>-H18*H70</f>
        <v>#REF!</v>
      </c>
      <c r="I36" s="478" t="e">
        <f>-I18*I70</f>
        <v>#REF!</v>
      </c>
      <c r="J36" s="478" t="e">
        <f>-J18*J70</f>
        <v>#REF!</v>
      </c>
      <c r="K36" s="478" t="e">
        <f>-K18*K70</f>
        <v>#REF!</v>
      </c>
      <c r="M36" s="33" t="s">
        <v>104</v>
      </c>
    </row>
    <row r="37" spans="2:14" ht="12.75" customHeight="1">
      <c r="B37" s="8" t="s">
        <v>449</v>
      </c>
      <c r="C37" s="164"/>
      <c r="D37" s="164"/>
      <c r="E37" s="164"/>
      <c r="F37" s="164"/>
      <c r="G37" s="478" t="e">
        <f>-G27*G71</f>
        <v>#REF!</v>
      </c>
      <c r="H37" s="478" t="e">
        <f>-H27*H71</f>
        <v>#REF!</v>
      </c>
      <c r="I37" s="478" t="e">
        <f>-I27*I71</f>
        <v>#REF!</v>
      </c>
      <c r="J37" s="478" t="e">
        <f>-J27*J71</f>
        <v>#REF!</v>
      </c>
      <c r="K37" s="478" t="e">
        <f>-K27*K71</f>
        <v>#REF!</v>
      </c>
      <c r="M37" s="33" t="s">
        <v>417</v>
      </c>
    </row>
    <row r="38" spans="2:14" ht="12.75" customHeight="1">
      <c r="B38" s="178" t="s">
        <v>106</v>
      </c>
      <c r="C38" s="359" t="e">
        <f>C32+C35+C36+C37</f>
        <v>#REF!</v>
      </c>
      <c r="D38" s="359" t="e">
        <f t="shared" ref="D38:K38" si="4">D32+D35+D36+D37</f>
        <v>#REF!</v>
      </c>
      <c r="E38" s="359" t="e">
        <f t="shared" si="4"/>
        <v>#REF!</v>
      </c>
      <c r="F38" s="359" t="e">
        <f t="shared" si="4"/>
        <v>#REF!</v>
      </c>
      <c r="G38" s="359" t="e">
        <f t="shared" si="4"/>
        <v>#REF!</v>
      </c>
      <c r="H38" s="359" t="e">
        <f t="shared" si="4"/>
        <v>#REF!</v>
      </c>
      <c r="I38" s="359" t="e">
        <f t="shared" si="4"/>
        <v>#REF!</v>
      </c>
      <c r="J38" s="359" t="e">
        <f t="shared" si="4"/>
        <v>#REF!</v>
      </c>
      <c r="K38" s="359" t="e">
        <f t="shared" si="4"/>
        <v>#REF!</v>
      </c>
      <c r="M38" s="38"/>
    </row>
    <row r="39" spans="2:14" ht="12.75" customHeight="1">
      <c r="B39" s="409" t="s">
        <v>413</v>
      </c>
      <c r="C39" s="410" t="e">
        <f>C38/C28</f>
        <v>#REF!</v>
      </c>
      <c r="D39" s="410" t="e">
        <f t="shared" ref="D39:K39" si="5">D38/D28</f>
        <v>#REF!</v>
      </c>
      <c r="E39" s="410" t="e">
        <f t="shared" si="5"/>
        <v>#REF!</v>
      </c>
      <c r="F39" s="410" t="e">
        <f t="shared" si="5"/>
        <v>#REF!</v>
      </c>
      <c r="G39" s="410" t="e">
        <f t="shared" si="5"/>
        <v>#REF!</v>
      </c>
      <c r="H39" s="410" t="e">
        <f t="shared" si="5"/>
        <v>#REF!</v>
      </c>
      <c r="I39" s="410" t="e">
        <f t="shared" si="5"/>
        <v>#REF!</v>
      </c>
      <c r="J39" s="410" t="e">
        <f t="shared" si="5"/>
        <v>#REF!</v>
      </c>
      <c r="K39" s="410" t="e">
        <f t="shared" si="5"/>
        <v>#REF!</v>
      </c>
      <c r="M39" s="38"/>
    </row>
    <row r="40" spans="2:14" ht="5.0999999999999996" customHeight="1">
      <c r="B40" s="38"/>
      <c r="C40" s="105"/>
      <c r="D40" s="105"/>
      <c r="E40" s="105"/>
      <c r="F40" s="105"/>
      <c r="G40" s="105"/>
      <c r="H40" s="105"/>
      <c r="I40" s="105"/>
      <c r="J40" s="105"/>
      <c r="K40" s="105"/>
      <c r="M40" s="33"/>
    </row>
    <row r="41" spans="2:14" ht="12.75" customHeight="1">
      <c r="B41" s="8" t="s">
        <v>418</v>
      </c>
      <c r="C41" s="164"/>
      <c r="D41" s="164"/>
      <c r="E41" s="164"/>
      <c r="F41" s="164"/>
      <c r="G41" s="478"/>
      <c r="H41" s="478"/>
      <c r="I41" s="478"/>
      <c r="J41" s="478"/>
      <c r="K41" s="478"/>
      <c r="M41" s="8" t="s">
        <v>440</v>
      </c>
    </row>
    <row r="42" spans="2:14" ht="12.75" customHeight="1">
      <c r="B42" s="8" t="s">
        <v>203</v>
      </c>
      <c r="C42" s="164"/>
      <c r="D42" s="164"/>
      <c r="E42" s="164"/>
      <c r="F42" s="164"/>
      <c r="G42" s="478"/>
      <c r="H42" s="478"/>
      <c r="I42" s="478"/>
      <c r="J42" s="478"/>
      <c r="K42" s="478"/>
      <c r="M42" s="8" t="s">
        <v>108</v>
      </c>
    </row>
    <row r="43" spans="2:14" ht="12.75" customHeight="1">
      <c r="B43" s="8" t="s">
        <v>414</v>
      </c>
      <c r="C43" s="164"/>
      <c r="D43" s="164"/>
      <c r="E43" s="164"/>
      <c r="F43" s="164"/>
      <c r="G43" s="11">
        <f>F43</f>
        <v>0</v>
      </c>
      <c r="H43" s="11">
        <f>G43</f>
        <v>0</v>
      </c>
      <c r="I43" s="11">
        <f>H43</f>
        <v>0</v>
      </c>
      <c r="J43" s="11">
        <f>I43</f>
        <v>0</v>
      </c>
      <c r="K43" s="11">
        <f>J43</f>
        <v>0</v>
      </c>
      <c r="M43" s="8" t="s">
        <v>109</v>
      </c>
    </row>
    <row r="44" spans="2:14" ht="12.75" customHeight="1">
      <c r="B44" s="178" t="s">
        <v>110</v>
      </c>
      <c r="C44" s="359" t="e">
        <f t="shared" ref="C44:K44" si="6">SUM(C38:C43)</f>
        <v>#REF!</v>
      </c>
      <c r="D44" s="359" t="e">
        <f t="shared" si="6"/>
        <v>#REF!</v>
      </c>
      <c r="E44" s="359" t="e">
        <f t="shared" si="6"/>
        <v>#REF!</v>
      </c>
      <c r="F44" s="359" t="e">
        <f t="shared" si="6"/>
        <v>#REF!</v>
      </c>
      <c r="G44" s="359" t="e">
        <f t="shared" si="6"/>
        <v>#REF!</v>
      </c>
      <c r="H44" s="359" t="e">
        <f t="shared" si="6"/>
        <v>#REF!</v>
      </c>
      <c r="I44" s="359" t="e">
        <f t="shared" si="6"/>
        <v>#REF!</v>
      </c>
      <c r="J44" s="359" t="e">
        <f t="shared" si="6"/>
        <v>#REF!</v>
      </c>
      <c r="K44" s="359" t="e">
        <f t="shared" si="6"/>
        <v>#REF!</v>
      </c>
      <c r="M44" s="38" t="s">
        <v>111</v>
      </c>
      <c r="N44" s="38"/>
    </row>
    <row r="45" spans="2:14" ht="5.0999999999999996" customHeight="1">
      <c r="B45" s="38"/>
      <c r="C45" s="105"/>
      <c r="D45" s="105"/>
      <c r="E45" s="105"/>
      <c r="F45" s="105"/>
      <c r="G45" s="105"/>
      <c r="H45" s="105"/>
      <c r="I45" s="105"/>
      <c r="J45" s="105"/>
      <c r="K45" s="105"/>
      <c r="M45" s="33"/>
    </row>
    <row r="46" spans="2:14" ht="12.75" customHeight="1">
      <c r="B46" s="8" t="s">
        <v>416</v>
      </c>
      <c r="C46" s="164"/>
      <c r="D46" s="164"/>
      <c r="E46" s="164"/>
      <c r="F46" s="164"/>
      <c r="G46" s="478">
        <v>0</v>
      </c>
      <c r="H46" s="478">
        <v>0</v>
      </c>
      <c r="I46" s="478">
        <v>0</v>
      </c>
      <c r="J46" s="478">
        <v>0</v>
      </c>
      <c r="K46" s="478">
        <v>0</v>
      </c>
      <c r="M46" s="8" t="s">
        <v>112</v>
      </c>
    </row>
    <row r="47" spans="2:14" ht="12.75" customHeight="1">
      <c r="B47" s="176" t="s">
        <v>13</v>
      </c>
      <c r="C47" s="359" t="e">
        <f t="shared" ref="C47:K47" si="7">SUM(C44:C46)</f>
        <v>#REF!</v>
      </c>
      <c r="D47" s="359" t="e">
        <f t="shared" si="7"/>
        <v>#REF!</v>
      </c>
      <c r="E47" s="359" t="e">
        <f t="shared" si="7"/>
        <v>#REF!</v>
      </c>
      <c r="F47" s="359" t="e">
        <f t="shared" si="7"/>
        <v>#REF!</v>
      </c>
      <c r="G47" s="359" t="e">
        <f t="shared" si="7"/>
        <v>#REF!</v>
      </c>
      <c r="H47" s="359" t="e">
        <f t="shared" si="7"/>
        <v>#REF!</v>
      </c>
      <c r="I47" s="359" t="e">
        <f t="shared" si="7"/>
        <v>#REF!</v>
      </c>
      <c r="J47" s="359" t="e">
        <f t="shared" si="7"/>
        <v>#REF!</v>
      </c>
      <c r="K47" s="359" t="e">
        <f t="shared" si="7"/>
        <v>#REF!</v>
      </c>
      <c r="M47" s="38" t="s">
        <v>113</v>
      </c>
    </row>
    <row r="48" spans="2:14" ht="12.75" customHeight="1">
      <c r="B48" s="409" t="s">
        <v>413</v>
      </c>
      <c r="C48" s="410" t="e">
        <f t="shared" ref="C48:K48" si="8">C47/C28</f>
        <v>#REF!</v>
      </c>
      <c r="D48" s="410" t="e">
        <f t="shared" si="8"/>
        <v>#REF!</v>
      </c>
      <c r="E48" s="410" t="e">
        <f t="shared" si="8"/>
        <v>#REF!</v>
      </c>
      <c r="F48" s="410" t="e">
        <f t="shared" si="8"/>
        <v>#REF!</v>
      </c>
      <c r="G48" s="410" t="e">
        <f t="shared" si="8"/>
        <v>#REF!</v>
      </c>
      <c r="H48" s="410" t="e">
        <f t="shared" si="8"/>
        <v>#REF!</v>
      </c>
      <c r="I48" s="410" t="e">
        <f t="shared" si="8"/>
        <v>#REF!</v>
      </c>
      <c r="J48" s="410" t="e">
        <f t="shared" si="8"/>
        <v>#REF!</v>
      </c>
      <c r="K48" s="410" t="e">
        <f t="shared" si="8"/>
        <v>#REF!</v>
      </c>
      <c r="M48" s="38"/>
    </row>
    <row r="49" spans="2:20" ht="5.0999999999999996" customHeight="1">
      <c r="B49" s="38"/>
      <c r="C49" s="105"/>
      <c r="D49" s="105"/>
      <c r="E49" s="105"/>
      <c r="F49" s="105"/>
      <c r="G49" s="105"/>
      <c r="H49" s="105"/>
      <c r="I49" s="105"/>
      <c r="J49" s="105"/>
      <c r="K49" s="105"/>
      <c r="M49" s="33"/>
    </row>
    <row r="50" spans="2:20" ht="12.75" customHeight="1">
      <c r="B50" s="106" t="s">
        <v>453</v>
      </c>
      <c r="C50" s="164"/>
      <c r="D50" s="164"/>
      <c r="E50" s="164"/>
      <c r="F50" s="164"/>
      <c r="G50" s="70"/>
      <c r="H50" s="70"/>
      <c r="I50" s="70"/>
      <c r="J50" s="70"/>
      <c r="K50" s="70"/>
      <c r="M50" s="8" t="s">
        <v>115</v>
      </c>
    </row>
    <row r="51" spans="2:20" ht="12.75" customHeight="1">
      <c r="B51" s="176" t="s">
        <v>7</v>
      </c>
      <c r="C51" s="359" t="e">
        <f t="shared" ref="C51:K51" si="9">C38+C50</f>
        <v>#REF!</v>
      </c>
      <c r="D51" s="359" t="e">
        <f t="shared" si="9"/>
        <v>#REF!</v>
      </c>
      <c r="E51" s="359" t="e">
        <f t="shared" si="9"/>
        <v>#REF!</v>
      </c>
      <c r="F51" s="359" t="e">
        <f t="shared" si="9"/>
        <v>#REF!</v>
      </c>
      <c r="G51" s="359" t="e">
        <f t="shared" si="9"/>
        <v>#REF!</v>
      </c>
      <c r="H51" s="359" t="e">
        <f t="shared" si="9"/>
        <v>#REF!</v>
      </c>
      <c r="I51" s="359" t="e">
        <f t="shared" si="9"/>
        <v>#REF!</v>
      </c>
      <c r="J51" s="359" t="e">
        <f t="shared" si="9"/>
        <v>#REF!</v>
      </c>
      <c r="K51" s="359" t="e">
        <f t="shared" si="9"/>
        <v>#REF!</v>
      </c>
      <c r="M51" s="38" t="s">
        <v>116</v>
      </c>
    </row>
    <row r="52" spans="2:20" ht="12.75" customHeight="1">
      <c r="B52" s="409" t="s">
        <v>413</v>
      </c>
      <c r="C52" s="410" t="e">
        <f t="shared" ref="C52:K52" si="10">C51/C28</f>
        <v>#REF!</v>
      </c>
      <c r="D52" s="410" t="e">
        <f t="shared" si="10"/>
        <v>#REF!</v>
      </c>
      <c r="E52" s="410" t="e">
        <f t="shared" si="10"/>
        <v>#REF!</v>
      </c>
      <c r="F52" s="410" t="e">
        <f t="shared" si="10"/>
        <v>#REF!</v>
      </c>
      <c r="G52" s="410" t="e">
        <f t="shared" si="10"/>
        <v>#REF!</v>
      </c>
      <c r="H52" s="410" t="e">
        <f t="shared" si="10"/>
        <v>#REF!</v>
      </c>
      <c r="I52" s="410" t="e">
        <f t="shared" si="10"/>
        <v>#REF!</v>
      </c>
      <c r="J52" s="410" t="e">
        <f t="shared" si="10"/>
        <v>#REF!</v>
      </c>
      <c r="K52" s="410" t="e">
        <f t="shared" si="10"/>
        <v>#REF!</v>
      </c>
      <c r="M52" s="38"/>
    </row>
    <row r="53" spans="2:20" ht="5.0999999999999996" customHeight="1">
      <c r="B53" s="38"/>
      <c r="C53" s="105"/>
      <c r="D53" s="105"/>
      <c r="E53" s="105"/>
      <c r="F53" s="105"/>
      <c r="G53" s="105"/>
      <c r="H53" s="105"/>
      <c r="I53" s="105"/>
      <c r="J53" s="105"/>
      <c r="K53" s="105"/>
      <c r="M53" s="33"/>
    </row>
    <row r="54" spans="2:20" ht="12.75" customHeight="1">
      <c r="B54" s="106" t="s">
        <v>454</v>
      </c>
      <c r="C54" s="164"/>
      <c r="D54" s="164"/>
      <c r="E54" s="164"/>
      <c r="F54" s="164"/>
      <c r="G54" s="70">
        <f>+(F54*G60)+F54</f>
        <v>0</v>
      </c>
      <c r="H54" s="70">
        <f>+(G54*H60)+G54</f>
        <v>0</v>
      </c>
      <c r="I54" s="70">
        <f>+(H54*I60)+H54</f>
        <v>0</v>
      </c>
      <c r="J54" s="70">
        <f>+(I54*J60)+I54</f>
        <v>0</v>
      </c>
      <c r="K54" s="70">
        <f>+(J54*K60)+J54</f>
        <v>0</v>
      </c>
      <c r="M54" s="8" t="s">
        <v>439</v>
      </c>
    </row>
    <row r="55" spans="2:20" ht="12.75" customHeight="1">
      <c r="B55" s="356" t="s">
        <v>8</v>
      </c>
      <c r="C55" s="357" t="e">
        <f t="shared" ref="C55:K55" si="11">SUM(C51:C54)</f>
        <v>#REF!</v>
      </c>
      <c r="D55" s="357" t="e">
        <f t="shared" si="11"/>
        <v>#REF!</v>
      </c>
      <c r="E55" s="357" t="e">
        <f t="shared" si="11"/>
        <v>#REF!</v>
      </c>
      <c r="F55" s="357" t="e">
        <f t="shared" si="11"/>
        <v>#REF!</v>
      </c>
      <c r="G55" s="358" t="e">
        <f t="shared" si="11"/>
        <v>#REF!</v>
      </c>
      <c r="H55" s="358" t="e">
        <f t="shared" si="11"/>
        <v>#REF!</v>
      </c>
      <c r="I55" s="358" t="e">
        <f t="shared" si="11"/>
        <v>#REF!</v>
      </c>
      <c r="J55" s="358" t="e">
        <f t="shared" si="11"/>
        <v>#REF!</v>
      </c>
      <c r="K55" s="358" t="e">
        <f t="shared" si="11"/>
        <v>#REF!</v>
      </c>
      <c r="M55" s="38" t="s">
        <v>118</v>
      </c>
    </row>
    <row r="56" spans="2:20" ht="12.75" customHeight="1">
      <c r="B56" s="409" t="s">
        <v>413</v>
      </c>
      <c r="C56" s="410" t="e">
        <f t="shared" ref="C56:K56" si="12">C55/C28</f>
        <v>#REF!</v>
      </c>
      <c r="D56" s="410" t="e">
        <f t="shared" si="12"/>
        <v>#REF!</v>
      </c>
      <c r="E56" s="410" t="e">
        <f t="shared" si="12"/>
        <v>#REF!</v>
      </c>
      <c r="F56" s="410" t="e">
        <f t="shared" si="12"/>
        <v>#REF!</v>
      </c>
      <c r="G56" s="410" t="e">
        <f t="shared" si="12"/>
        <v>#REF!</v>
      </c>
      <c r="H56" s="410" t="e">
        <f t="shared" si="12"/>
        <v>#REF!</v>
      </c>
      <c r="I56" s="410" t="e">
        <f t="shared" si="12"/>
        <v>#REF!</v>
      </c>
      <c r="J56" s="410" t="e">
        <f t="shared" si="12"/>
        <v>#REF!</v>
      </c>
      <c r="K56" s="410" t="e">
        <f t="shared" si="12"/>
        <v>#REF!</v>
      </c>
      <c r="M56" s="38"/>
    </row>
    <row r="57" spans="2:20">
      <c r="B57" s="65"/>
      <c r="G57" s="108"/>
    </row>
    <row r="58" spans="2:20">
      <c r="B58" s="350" t="s">
        <v>119</v>
      </c>
      <c r="C58" s="348"/>
      <c r="D58" s="348"/>
      <c r="E58" s="348"/>
      <c r="F58" s="348"/>
      <c r="G58" s="348"/>
      <c r="H58" s="348"/>
      <c r="I58" s="348"/>
      <c r="J58" s="348"/>
      <c r="K58" s="349"/>
    </row>
    <row r="59" spans="2:20" ht="5.0999999999999996" customHeight="1">
      <c r="B59" s="353"/>
      <c r="C59" s="351"/>
      <c r="D59" s="351"/>
      <c r="E59" s="351"/>
      <c r="F59" s="351"/>
      <c r="G59" s="351"/>
      <c r="H59" s="351"/>
      <c r="I59" s="351"/>
      <c r="J59" s="351"/>
      <c r="K59" s="352"/>
    </row>
    <row r="60" spans="2:20">
      <c r="B60" s="413" t="s">
        <v>120</v>
      </c>
      <c r="C60" s="110"/>
      <c r="D60" s="110" t="e">
        <f>D28/C28-1</f>
        <v>#REF!</v>
      </c>
      <c r="E60" s="110" t="e">
        <f>E28/D28-1</f>
        <v>#REF!</v>
      </c>
      <c r="F60" s="110" t="e">
        <f>F28/E28-1</f>
        <v>#REF!</v>
      </c>
      <c r="G60" s="408"/>
      <c r="H60" s="408"/>
      <c r="I60" s="408"/>
      <c r="J60" s="408"/>
      <c r="K60" s="408"/>
      <c r="M60" s="8" t="s">
        <v>438</v>
      </c>
      <c r="O60" s="111"/>
      <c r="P60" s="111"/>
      <c r="Q60" s="111"/>
      <c r="R60" s="111"/>
      <c r="S60" s="111"/>
      <c r="T60" s="111"/>
    </row>
    <row r="61" spans="2:20">
      <c r="B61" s="407" t="s">
        <v>570</v>
      </c>
      <c r="C61" s="110"/>
      <c r="D61" s="477" t="e">
        <f>SUM(D18/C18)-1</f>
        <v>#REF!</v>
      </c>
      <c r="E61" s="477" t="e">
        <f>SUM(E18/D18)-1</f>
        <v>#REF!</v>
      </c>
      <c r="F61" s="477" t="e">
        <f>SUM(F18/E18)-1</f>
        <v>#REF!</v>
      </c>
      <c r="G61" s="408"/>
      <c r="H61" s="408"/>
      <c r="I61" s="408"/>
      <c r="J61" s="408"/>
      <c r="K61" s="408"/>
      <c r="M61" s="8" t="s">
        <v>438</v>
      </c>
      <c r="O61" s="111"/>
      <c r="P61" s="111"/>
      <c r="Q61" s="111"/>
      <c r="R61" s="111"/>
      <c r="S61" s="111"/>
      <c r="T61" s="111"/>
    </row>
    <row r="62" spans="2:20">
      <c r="B62" s="407"/>
      <c r="C62" s="110"/>
      <c r="D62" s="477"/>
      <c r="E62" s="477"/>
      <c r="F62" s="477"/>
      <c r="G62" s="408"/>
      <c r="H62" s="408"/>
      <c r="I62" s="408"/>
      <c r="J62" s="408"/>
      <c r="K62" s="408"/>
      <c r="O62" s="111"/>
      <c r="P62" s="111"/>
      <c r="Q62" s="111"/>
      <c r="R62" s="111"/>
      <c r="S62" s="111"/>
      <c r="T62" s="111"/>
    </row>
    <row r="63" spans="2:20">
      <c r="B63" s="407"/>
      <c r="C63" s="110"/>
      <c r="D63" s="477"/>
      <c r="E63" s="477"/>
      <c r="F63" s="477"/>
      <c r="G63" s="408"/>
      <c r="H63" s="408"/>
      <c r="I63" s="408"/>
      <c r="J63" s="408"/>
      <c r="K63" s="408"/>
      <c r="O63" s="111"/>
      <c r="P63" s="111"/>
      <c r="Q63" s="111"/>
      <c r="R63" s="111"/>
      <c r="S63" s="111"/>
      <c r="T63" s="111"/>
    </row>
    <row r="64" spans="2:20">
      <c r="B64" s="407"/>
      <c r="C64" s="110"/>
      <c r="D64" s="477"/>
      <c r="E64" s="477"/>
      <c r="F64" s="477"/>
      <c r="G64" s="408"/>
      <c r="H64" s="408"/>
      <c r="I64" s="408"/>
      <c r="J64" s="408"/>
      <c r="K64" s="408"/>
      <c r="O64" s="111"/>
      <c r="P64" s="111"/>
      <c r="Q64" s="111"/>
      <c r="R64" s="111"/>
      <c r="S64" s="111"/>
      <c r="T64" s="111"/>
    </row>
    <row r="65" spans="1:20">
      <c r="B65" s="407"/>
      <c r="C65" s="110"/>
      <c r="D65" s="477"/>
      <c r="E65" s="477"/>
      <c r="F65" s="477"/>
      <c r="G65" s="408"/>
      <c r="H65" s="408"/>
      <c r="I65" s="408"/>
      <c r="J65" s="408"/>
      <c r="K65" s="408"/>
      <c r="O65" s="111"/>
      <c r="P65" s="111"/>
      <c r="Q65" s="111"/>
      <c r="R65" s="111"/>
      <c r="S65" s="111"/>
      <c r="T65" s="111"/>
    </row>
    <row r="66" spans="1:20">
      <c r="B66" s="407" t="s">
        <v>436</v>
      </c>
      <c r="C66" s="110"/>
      <c r="D66" s="477" t="e">
        <f>SUM(D27/C27)-1</f>
        <v>#DIV/0!</v>
      </c>
      <c r="E66" s="477" t="e">
        <f>SUM(E27/D27)-1</f>
        <v>#DIV/0!</v>
      </c>
      <c r="F66" s="477" t="e">
        <f>SUM(F27/E27)-1</f>
        <v>#DIV/0!</v>
      </c>
      <c r="G66" s="408"/>
      <c r="H66" s="408"/>
      <c r="I66" s="408"/>
      <c r="J66" s="408"/>
      <c r="K66" s="408"/>
      <c r="M66" s="8" t="s">
        <v>438</v>
      </c>
      <c r="O66" s="111"/>
      <c r="P66" s="111"/>
      <c r="Q66" s="111"/>
      <c r="R66" s="111"/>
      <c r="S66" s="111"/>
      <c r="T66" s="111"/>
    </row>
    <row r="67" spans="1:20" ht="5.0999999999999996" customHeight="1">
      <c r="B67" s="346"/>
      <c r="C67" s="110"/>
      <c r="D67" s="110"/>
      <c r="E67" s="110"/>
      <c r="F67" s="110"/>
      <c r="G67" s="110"/>
      <c r="H67" s="110"/>
      <c r="I67" s="110"/>
      <c r="J67" s="110"/>
      <c r="K67" s="347"/>
      <c r="O67" s="111"/>
      <c r="P67" s="111"/>
      <c r="Q67" s="111"/>
      <c r="R67" s="111"/>
      <c r="S67" s="111"/>
      <c r="T67" s="111"/>
    </row>
    <row r="68" spans="1:20">
      <c r="B68" s="346" t="s">
        <v>121</v>
      </c>
      <c r="C68" s="110" t="e">
        <f>C32/C28</f>
        <v>#REF!</v>
      </c>
      <c r="D68" s="110" t="e">
        <f>D32/D28</f>
        <v>#REF!</v>
      </c>
      <c r="E68" s="110" t="e">
        <f>E32/E28</f>
        <v>#REF!</v>
      </c>
      <c r="F68" s="110" t="e">
        <f>F32/F28</f>
        <v>#REF!</v>
      </c>
      <c r="G68" s="408"/>
      <c r="H68" s="408"/>
      <c r="I68" s="408"/>
      <c r="J68" s="408"/>
      <c r="K68" s="408"/>
      <c r="M68" s="8" t="s">
        <v>586</v>
      </c>
      <c r="O68" s="111"/>
      <c r="P68" s="111"/>
      <c r="Q68" s="111"/>
      <c r="R68" s="111"/>
      <c r="S68" s="111"/>
      <c r="T68" s="111"/>
    </row>
    <row r="69" spans="1:20">
      <c r="B69" s="346" t="s">
        <v>122</v>
      </c>
      <c r="C69" s="110" t="e">
        <f>-C35/C18</f>
        <v>#REF!</v>
      </c>
      <c r="D69" s="110" t="e">
        <f>-D35/D18</f>
        <v>#REF!</v>
      </c>
      <c r="E69" s="110" t="e">
        <f>-E35/E18</f>
        <v>#REF!</v>
      </c>
      <c r="F69" s="110" t="e">
        <f>-F35/F18</f>
        <v>#REF!</v>
      </c>
      <c r="G69" s="408"/>
      <c r="H69" s="408"/>
      <c r="I69" s="408"/>
      <c r="J69" s="408"/>
      <c r="K69" s="408"/>
      <c r="M69" s="8" t="s">
        <v>438</v>
      </c>
      <c r="O69" s="111"/>
      <c r="P69" s="111"/>
      <c r="Q69" s="111"/>
      <c r="R69" s="111"/>
      <c r="S69" s="111"/>
      <c r="T69" s="111"/>
    </row>
    <row r="70" spans="1:20">
      <c r="B70" s="346" t="s">
        <v>123</v>
      </c>
      <c r="C70" s="110" t="e">
        <f>-C36/C18</f>
        <v>#REF!</v>
      </c>
      <c r="D70" s="110" t="e">
        <f>-D36/D18</f>
        <v>#REF!</v>
      </c>
      <c r="E70" s="110" t="e">
        <f>-E36/E18</f>
        <v>#REF!</v>
      </c>
      <c r="F70" s="110" t="e">
        <f>-F36/F18</f>
        <v>#REF!</v>
      </c>
      <c r="G70" s="408"/>
      <c r="H70" s="408"/>
      <c r="I70" s="408"/>
      <c r="J70" s="408"/>
      <c r="K70" s="408"/>
      <c r="M70" s="8" t="s">
        <v>438</v>
      </c>
      <c r="O70" s="111"/>
      <c r="P70" s="111"/>
      <c r="Q70" s="111"/>
      <c r="R70" s="111"/>
      <c r="S70" s="111"/>
      <c r="T70" s="111"/>
    </row>
    <row r="71" spans="1:20">
      <c r="B71" s="346" t="s">
        <v>124</v>
      </c>
      <c r="C71" s="110" t="e">
        <f>-(C46/C44)</f>
        <v>#REF!</v>
      </c>
      <c r="D71" s="110" t="e">
        <f>-(D46/D44)</f>
        <v>#REF!</v>
      </c>
      <c r="E71" s="110" t="e">
        <f>-(E46/E44)</f>
        <v>#REF!</v>
      </c>
      <c r="F71" s="110" t="e">
        <f>-(F46/F44)</f>
        <v>#REF!</v>
      </c>
      <c r="G71" s="479" t="e">
        <f>F71</f>
        <v>#REF!</v>
      </c>
      <c r="H71" s="479" t="e">
        <f>G71</f>
        <v>#REF!</v>
      </c>
      <c r="I71" s="479" t="e">
        <f>H71</f>
        <v>#REF!</v>
      </c>
      <c r="J71" s="479" t="e">
        <f>I71</f>
        <v>#REF!</v>
      </c>
      <c r="K71" s="479" t="e">
        <f>J71</f>
        <v>#REF!</v>
      </c>
      <c r="M71" s="8" t="s">
        <v>455</v>
      </c>
      <c r="O71" s="111"/>
      <c r="P71" s="111"/>
      <c r="Q71" s="111"/>
      <c r="R71" s="111"/>
      <c r="S71" s="111"/>
      <c r="T71" s="111"/>
    </row>
    <row r="72" spans="1:20" ht="5.0999999999999996" customHeight="1">
      <c r="B72" s="65"/>
      <c r="C72" s="65"/>
      <c r="G72" s="108"/>
    </row>
    <row r="73" spans="1:20">
      <c r="B73" s="346" t="s">
        <v>419</v>
      </c>
      <c r="C73" s="110"/>
      <c r="D73" s="110" t="e">
        <f>D50/C50-1</f>
        <v>#DIV/0!</v>
      </c>
      <c r="E73" s="110" t="e">
        <f>E50/D50-1</f>
        <v>#DIV/0!</v>
      </c>
      <c r="F73" s="110" t="e">
        <f>F50/E50-1</f>
        <v>#DIV/0!</v>
      </c>
      <c r="G73" s="408"/>
      <c r="H73" s="408"/>
      <c r="I73" s="408"/>
      <c r="J73" s="408"/>
      <c r="K73" s="408"/>
      <c r="M73" s="8" t="s">
        <v>438</v>
      </c>
    </row>
    <row r="74" spans="1:20">
      <c r="B74" s="346" t="s">
        <v>420</v>
      </c>
      <c r="C74" s="110"/>
      <c r="D74" s="110" t="e">
        <f>D54/C54-1</f>
        <v>#DIV/0!</v>
      </c>
      <c r="E74" s="110" t="e">
        <f>E54/D54-1</f>
        <v>#DIV/0!</v>
      </c>
      <c r="F74" s="110" t="e">
        <f>F54/E54-1</f>
        <v>#DIV/0!</v>
      </c>
      <c r="G74" s="408"/>
      <c r="H74" s="408"/>
      <c r="I74" s="408"/>
      <c r="J74" s="408"/>
      <c r="K74" s="408"/>
      <c r="M74" s="8" t="s">
        <v>438</v>
      </c>
    </row>
    <row r="75" spans="1:20">
      <c r="B75" s="65"/>
      <c r="C75" s="65"/>
      <c r="G75" s="108"/>
    </row>
    <row r="76" spans="1:20">
      <c r="A76" s="340" t="s">
        <v>19</v>
      </c>
      <c r="B76" s="376" t="s">
        <v>402</v>
      </c>
      <c r="C76" s="382" t="s">
        <v>399</v>
      </c>
      <c r="D76" s="382"/>
      <c r="E76" s="382"/>
      <c r="F76" s="382"/>
      <c r="G76" s="382" t="s">
        <v>157</v>
      </c>
      <c r="H76" s="382"/>
      <c r="I76" s="382"/>
      <c r="J76" s="382"/>
      <c r="K76" s="382"/>
    </row>
    <row r="77" spans="1:20">
      <c r="B77" s="377" t="str">
        <f t="shared" ref="B77:K77" si="13">B15</f>
        <v xml:space="preserve">Fiscal year  </v>
      </c>
      <c r="C77" s="378">
        <f t="shared" si="13"/>
        <v>2021</v>
      </c>
      <c r="D77" s="378">
        <f t="shared" si="13"/>
        <v>2022</v>
      </c>
      <c r="E77" s="378">
        <f t="shared" si="13"/>
        <v>2023</v>
      </c>
      <c r="F77" s="378">
        <f t="shared" si="13"/>
        <v>2024</v>
      </c>
      <c r="G77" s="379">
        <f t="shared" si="13"/>
        <v>2025</v>
      </c>
      <c r="H77" s="379">
        <f t="shared" si="13"/>
        <v>2026</v>
      </c>
      <c r="I77" s="379">
        <f t="shared" si="13"/>
        <v>2027</v>
      </c>
      <c r="J77" s="379">
        <f t="shared" si="13"/>
        <v>2028</v>
      </c>
      <c r="K77" s="379">
        <f t="shared" si="13"/>
        <v>2029</v>
      </c>
    </row>
    <row r="78" spans="1:20">
      <c r="B78" s="377" t="str">
        <f t="shared" ref="B78:K78" si="14">B16</f>
        <v>Fiscal year end date</v>
      </c>
      <c r="C78" s="380">
        <f t="shared" si="14"/>
        <v>44561</v>
      </c>
      <c r="D78" s="380">
        <f t="shared" si="14"/>
        <v>44926</v>
      </c>
      <c r="E78" s="380">
        <f t="shared" si="14"/>
        <v>45291</v>
      </c>
      <c r="F78" s="380">
        <f t="shared" si="14"/>
        <v>45657</v>
      </c>
      <c r="G78" s="380">
        <f t="shared" si="14"/>
        <v>46022</v>
      </c>
      <c r="H78" s="380">
        <f t="shared" si="14"/>
        <v>46387</v>
      </c>
      <c r="I78" s="380">
        <f t="shared" si="14"/>
        <v>46752</v>
      </c>
      <c r="J78" s="380">
        <f t="shared" si="14"/>
        <v>47118</v>
      </c>
      <c r="K78" s="380">
        <f t="shared" si="14"/>
        <v>47483</v>
      </c>
    </row>
    <row r="79" spans="1:20" ht="5.0999999999999996" customHeight="1">
      <c r="B79" s="354"/>
      <c r="C79" s="355"/>
      <c r="D79" s="355"/>
      <c r="E79" s="355"/>
      <c r="F79" s="355"/>
      <c r="G79" s="355"/>
      <c r="H79" s="355"/>
      <c r="I79" s="355"/>
      <c r="J79" s="355"/>
      <c r="K79" s="355"/>
    </row>
    <row r="80" spans="1:20" ht="12.75" customHeight="1">
      <c r="B80" s="8" t="s">
        <v>125</v>
      </c>
      <c r="C80" s="362"/>
      <c r="D80" s="362"/>
      <c r="E80" s="362"/>
      <c r="F80" s="362"/>
      <c r="G80" s="361" t="e">
        <f>+F80+G125</f>
        <v>#REF!</v>
      </c>
      <c r="H80" s="361" t="e">
        <f>+G80+H125</f>
        <v>#REF!</v>
      </c>
      <c r="I80" s="361" t="e">
        <f>+H80+I125</f>
        <v>#REF!</v>
      </c>
      <c r="J80" s="361" t="e">
        <f>+I80+J125</f>
        <v>#REF!</v>
      </c>
      <c r="K80" s="361" t="e">
        <f>+J80+K125</f>
        <v>#REF!</v>
      </c>
      <c r="M80" s="8" t="s">
        <v>126</v>
      </c>
    </row>
    <row r="81" spans="2:14" ht="12.75" customHeight="1">
      <c r="B81" s="8" t="s">
        <v>10</v>
      </c>
      <c r="C81" s="362"/>
      <c r="D81" s="362"/>
      <c r="E81" s="362"/>
      <c r="F81" s="362"/>
      <c r="G81" s="361">
        <f>F81*(1+G60)</f>
        <v>0</v>
      </c>
      <c r="H81" s="361">
        <f>G81*(1+H60)</f>
        <v>0</v>
      </c>
      <c r="I81" s="361">
        <f>H81*(1+I60)</f>
        <v>0</v>
      </c>
      <c r="J81" s="361">
        <f>I81*(1+J60)</f>
        <v>0</v>
      </c>
      <c r="K81" s="361">
        <f>J81*(1+K60)</f>
        <v>0</v>
      </c>
      <c r="M81" s="8" t="s">
        <v>127</v>
      </c>
    </row>
    <row r="82" spans="2:14" ht="12.75" customHeight="1">
      <c r="B82" s="8" t="s">
        <v>11</v>
      </c>
      <c r="C82" s="362"/>
      <c r="D82" s="362"/>
      <c r="E82" s="362"/>
      <c r="F82" s="362"/>
      <c r="G82" s="361" t="e">
        <f>F82*G31/F31</f>
        <v>#REF!</v>
      </c>
      <c r="H82" s="361" t="e">
        <f>G82*H31/G31</f>
        <v>#REF!</v>
      </c>
      <c r="I82" s="361" t="e">
        <f>H82*I31/H31</f>
        <v>#REF!</v>
      </c>
      <c r="J82" s="361" t="e">
        <f>I82*J31/I31</f>
        <v>#REF!</v>
      </c>
      <c r="K82" s="361" t="e">
        <f>J82*K31/J31</f>
        <v>#REF!</v>
      </c>
      <c r="M82" s="8" t="s">
        <v>128</v>
      </c>
    </row>
    <row r="83" spans="2:14" ht="12.75" customHeight="1">
      <c r="B83" s="8" t="s">
        <v>16</v>
      </c>
      <c r="C83" s="362"/>
      <c r="D83" s="362"/>
      <c r="E83" s="362"/>
      <c r="F83" s="362"/>
      <c r="G83" s="361">
        <f>F83*(1+G60)</f>
        <v>0</v>
      </c>
      <c r="H83" s="361">
        <f>G83*(1+H60)</f>
        <v>0</v>
      </c>
      <c r="I83" s="361">
        <f>H83*(1+I60)</f>
        <v>0</v>
      </c>
      <c r="J83" s="361">
        <f>I83*(1+J60)</f>
        <v>0</v>
      </c>
      <c r="K83" s="361">
        <f>J83*(1+K60)</f>
        <v>0</v>
      </c>
      <c r="M83" s="8" t="s">
        <v>127</v>
      </c>
      <c r="N83" s="70"/>
    </row>
    <row r="84" spans="2:14" ht="12.75" customHeight="1">
      <c r="B84" s="8" t="s">
        <v>129</v>
      </c>
      <c r="C84" s="362"/>
      <c r="D84" s="362"/>
      <c r="E84" s="362"/>
      <c r="F84" s="362"/>
      <c r="G84" s="361"/>
      <c r="H84" s="361"/>
      <c r="I84" s="361"/>
      <c r="J84" s="361"/>
      <c r="K84" s="361"/>
      <c r="M84" s="8" t="s">
        <v>130</v>
      </c>
    </row>
    <row r="85" spans="2:14" ht="12.75" customHeight="1">
      <c r="B85" s="8" t="s">
        <v>131</v>
      </c>
      <c r="C85" s="362"/>
      <c r="D85" s="362"/>
      <c r="E85" s="362"/>
      <c r="F85" s="362"/>
      <c r="G85" s="361">
        <f>F85*(1+G60)</f>
        <v>0</v>
      </c>
      <c r="H85" s="361">
        <f>G85*(1+H60)</f>
        <v>0</v>
      </c>
      <c r="I85" s="361">
        <f>H85*(1+I60)</f>
        <v>0</v>
      </c>
      <c r="J85" s="361">
        <f>I85*(1+J60)</f>
        <v>0</v>
      </c>
      <c r="K85" s="361">
        <f>J85*(1+K60)</f>
        <v>0</v>
      </c>
      <c r="M85" s="8" t="s">
        <v>127</v>
      </c>
    </row>
    <row r="86" spans="2:14" ht="12.75" customHeight="1">
      <c r="B86" s="356" t="s">
        <v>24</v>
      </c>
      <c r="C86" s="357">
        <f>SUM(C80:C85)</f>
        <v>0</v>
      </c>
      <c r="D86" s="357">
        <f>SUM(D80:D85)</f>
        <v>0</v>
      </c>
      <c r="E86" s="357">
        <f>SUM(E80:E85)</f>
        <v>0</v>
      </c>
      <c r="F86" s="357">
        <f t="shared" ref="F86:K86" si="15">SUM(F80:F85)</f>
        <v>0</v>
      </c>
      <c r="G86" s="358" t="e">
        <f t="shared" si="15"/>
        <v>#REF!</v>
      </c>
      <c r="H86" s="358" t="e">
        <f t="shared" si="15"/>
        <v>#REF!</v>
      </c>
      <c r="I86" s="358" t="e">
        <f t="shared" si="15"/>
        <v>#REF!</v>
      </c>
      <c r="J86" s="358" t="e">
        <f t="shared" si="15"/>
        <v>#REF!</v>
      </c>
      <c r="K86" s="358" t="e">
        <f t="shared" si="15"/>
        <v>#REF!</v>
      </c>
    </row>
    <row r="87" spans="2:14" ht="5.0999999999999996" customHeight="1">
      <c r="B87" s="106"/>
      <c r="C87" s="106"/>
      <c r="D87" s="70"/>
      <c r="E87" s="70"/>
      <c r="F87" s="70"/>
      <c r="G87" s="70"/>
      <c r="H87" s="70"/>
      <c r="I87" s="70"/>
      <c r="J87" s="70"/>
      <c r="K87" s="70"/>
    </row>
    <row r="88" spans="2:14" ht="12.75" customHeight="1">
      <c r="B88" s="106" t="s">
        <v>12</v>
      </c>
      <c r="C88" s="362"/>
      <c r="D88" s="362"/>
      <c r="E88" s="362"/>
      <c r="F88" s="362"/>
      <c r="G88" s="361" t="e">
        <f>F88*G31/F31</f>
        <v>#REF!</v>
      </c>
      <c r="H88" s="361" t="e">
        <f>G88*H31/G31</f>
        <v>#REF!</v>
      </c>
      <c r="I88" s="361" t="e">
        <f>H88*I31/H31</f>
        <v>#REF!</v>
      </c>
      <c r="J88" s="361" t="e">
        <f>I88*J31/I31</f>
        <v>#REF!</v>
      </c>
      <c r="K88" s="361" t="e">
        <f>J88*K31/J31</f>
        <v>#REF!</v>
      </c>
      <c r="M88" s="8" t="s">
        <v>128</v>
      </c>
    </row>
    <row r="89" spans="2:14" ht="12.75" customHeight="1">
      <c r="B89" s="106" t="s">
        <v>132</v>
      </c>
      <c r="C89" s="362"/>
      <c r="D89" s="362"/>
      <c r="E89" s="362"/>
      <c r="F89" s="362"/>
      <c r="G89" s="361">
        <f>F89*(1+G60)</f>
        <v>0</v>
      </c>
      <c r="H89" s="361">
        <f>G89*(1+H60)</f>
        <v>0</v>
      </c>
      <c r="I89" s="361">
        <f>H89*(1+I60)</f>
        <v>0</v>
      </c>
      <c r="J89" s="361">
        <f>I89*(1+J60)</f>
        <v>0</v>
      </c>
      <c r="K89" s="361">
        <f>J89*(1+K60)</f>
        <v>0</v>
      </c>
      <c r="M89" s="8" t="s">
        <v>127</v>
      </c>
    </row>
    <row r="90" spans="2:14" ht="12.75" customHeight="1">
      <c r="B90" s="106" t="s">
        <v>133</v>
      </c>
      <c r="C90" s="362"/>
      <c r="D90" s="362"/>
      <c r="E90" s="362"/>
      <c r="F90" s="362"/>
      <c r="G90" s="361">
        <f>F90*(1+G60)</f>
        <v>0</v>
      </c>
      <c r="H90" s="361">
        <f>G90*(1+H60)</f>
        <v>0</v>
      </c>
      <c r="I90" s="361">
        <f>H90*(1+I60)</f>
        <v>0</v>
      </c>
      <c r="J90" s="361">
        <f>I90*(1+J60)</f>
        <v>0</v>
      </c>
      <c r="K90" s="361">
        <f>J90*(1+K60)</f>
        <v>0</v>
      </c>
      <c r="M90" s="8" t="s">
        <v>127</v>
      </c>
      <c r="N90" s="70"/>
    </row>
    <row r="91" spans="2:14" ht="12.75" customHeight="1">
      <c r="B91" s="106" t="s">
        <v>134</v>
      </c>
      <c r="C91" s="362"/>
      <c r="D91" s="362"/>
      <c r="E91" s="362"/>
      <c r="F91" s="362"/>
      <c r="G91" s="361" t="e">
        <f>G175</f>
        <v>#REF!</v>
      </c>
      <c r="H91" s="361" t="e">
        <f>H175</f>
        <v>#REF!</v>
      </c>
      <c r="I91" s="361" t="e">
        <f>I175</f>
        <v>#REF!</v>
      </c>
      <c r="J91" s="361" t="e">
        <f>J175</f>
        <v>#REF!</v>
      </c>
      <c r="K91" s="361" t="e">
        <f>K175</f>
        <v>#REF!</v>
      </c>
      <c r="M91" s="8" t="s">
        <v>135</v>
      </c>
    </row>
    <row r="92" spans="2:14" ht="12.75" customHeight="1">
      <c r="B92" s="106" t="s">
        <v>136</v>
      </c>
      <c r="C92" s="362"/>
      <c r="D92" s="362"/>
      <c r="E92" s="362"/>
      <c r="F92" s="362"/>
      <c r="G92" s="361">
        <f>F92</f>
        <v>0</v>
      </c>
      <c r="H92" s="361">
        <f>G92</f>
        <v>0</v>
      </c>
      <c r="I92" s="361">
        <f>H92</f>
        <v>0</v>
      </c>
      <c r="J92" s="361">
        <f>I92</f>
        <v>0</v>
      </c>
      <c r="K92" s="361">
        <f>J92</f>
        <v>0</v>
      </c>
      <c r="M92" s="8" t="s">
        <v>437</v>
      </c>
    </row>
    <row r="93" spans="2:14" ht="12.75" customHeight="1">
      <c r="B93" s="106" t="s">
        <v>137</v>
      </c>
      <c r="C93" s="362"/>
      <c r="D93" s="362"/>
      <c r="E93" s="362"/>
      <c r="F93" s="362"/>
      <c r="G93" s="361">
        <f>F93*(1+G60)</f>
        <v>0</v>
      </c>
      <c r="H93" s="361">
        <f>G93*(1+H60)</f>
        <v>0</v>
      </c>
      <c r="I93" s="361">
        <f>H93*(1+I60)</f>
        <v>0</v>
      </c>
      <c r="J93" s="361">
        <f>I93*(1+J60)</f>
        <v>0</v>
      </c>
      <c r="K93" s="361">
        <f>J93*(1+K60)</f>
        <v>0</v>
      </c>
      <c r="M93" s="8" t="s">
        <v>127</v>
      </c>
    </row>
    <row r="94" spans="2:14" ht="12.75" customHeight="1">
      <c r="B94" s="356" t="s">
        <v>138</v>
      </c>
      <c r="C94" s="357">
        <f>SUM(C88:C93)</f>
        <v>0</v>
      </c>
      <c r="D94" s="357">
        <f>SUM(D88:D93)</f>
        <v>0</v>
      </c>
      <c r="E94" s="357">
        <f>SUM(E88:E93)</f>
        <v>0</v>
      </c>
      <c r="F94" s="357">
        <f t="shared" ref="F94:K94" si="16">SUM(F88:F93)</f>
        <v>0</v>
      </c>
      <c r="G94" s="358" t="e">
        <f t="shared" si="16"/>
        <v>#REF!</v>
      </c>
      <c r="H94" s="358" t="e">
        <f t="shared" si="16"/>
        <v>#REF!</v>
      </c>
      <c r="I94" s="358" t="e">
        <f t="shared" si="16"/>
        <v>#REF!</v>
      </c>
      <c r="J94" s="358" t="e">
        <f t="shared" si="16"/>
        <v>#REF!</v>
      </c>
      <c r="K94" s="358" t="e">
        <f t="shared" si="16"/>
        <v>#REF!</v>
      </c>
    </row>
    <row r="95" spans="2:14" ht="5.0999999999999996" customHeight="1">
      <c r="B95" s="107"/>
      <c r="C95" s="107"/>
      <c r="D95" s="105"/>
      <c r="E95" s="105"/>
      <c r="F95" s="105"/>
      <c r="G95" s="70"/>
      <c r="H95" s="70"/>
      <c r="I95" s="70"/>
      <c r="J95" s="70"/>
      <c r="K95" s="70"/>
    </row>
    <row r="96" spans="2:14" ht="12.75" customHeight="1">
      <c r="B96" s="106" t="s">
        <v>21</v>
      </c>
      <c r="C96" s="362"/>
      <c r="D96" s="362"/>
      <c r="E96" s="362"/>
      <c r="F96" s="362"/>
      <c r="G96" s="361">
        <f>F96+G54</f>
        <v>0</v>
      </c>
      <c r="H96" s="361">
        <f>G96+H54</f>
        <v>0</v>
      </c>
      <c r="I96" s="361">
        <f>H96+I54</f>
        <v>0</v>
      </c>
      <c r="J96" s="361">
        <f>I96+J54</f>
        <v>0</v>
      </c>
      <c r="K96" s="361">
        <f>J96+K54</f>
        <v>0</v>
      </c>
      <c r="M96" s="8" t="s">
        <v>139</v>
      </c>
    </row>
    <row r="97" spans="1:14" ht="12.75" customHeight="1">
      <c r="B97" s="106" t="s">
        <v>140</v>
      </c>
      <c r="C97" s="362"/>
      <c r="D97" s="362"/>
      <c r="E97" s="362"/>
      <c r="F97" s="362"/>
      <c r="G97" s="361"/>
      <c r="H97" s="361"/>
      <c r="I97" s="361"/>
      <c r="J97" s="361"/>
      <c r="K97" s="361"/>
      <c r="M97" s="8" t="s">
        <v>141</v>
      </c>
      <c r="N97" s="70"/>
    </row>
    <row r="98" spans="1:14" ht="12.75" customHeight="1">
      <c r="B98" s="106" t="s">
        <v>142</v>
      </c>
      <c r="C98" s="362"/>
      <c r="D98" s="362"/>
      <c r="E98" s="362"/>
      <c r="F98" s="362"/>
      <c r="G98" s="361">
        <f>F98</f>
        <v>0</v>
      </c>
      <c r="H98" s="361">
        <f>G98</f>
        <v>0</v>
      </c>
      <c r="I98" s="361">
        <f>H98</f>
        <v>0</v>
      </c>
      <c r="J98" s="361">
        <f>I98</f>
        <v>0</v>
      </c>
      <c r="K98" s="361">
        <f>J98</f>
        <v>0</v>
      </c>
      <c r="M98" s="8" t="s">
        <v>437</v>
      </c>
    </row>
    <row r="99" spans="1:14" ht="12.75" customHeight="1">
      <c r="B99" s="356" t="s">
        <v>143</v>
      </c>
      <c r="C99" s="357">
        <f t="shared" ref="C99:K99" si="17">SUM(C96:C98)</f>
        <v>0</v>
      </c>
      <c r="D99" s="357">
        <f t="shared" si="17"/>
        <v>0</v>
      </c>
      <c r="E99" s="357">
        <f t="shared" si="17"/>
        <v>0</v>
      </c>
      <c r="F99" s="357">
        <f t="shared" si="17"/>
        <v>0</v>
      </c>
      <c r="G99" s="358">
        <f t="shared" si="17"/>
        <v>0</v>
      </c>
      <c r="H99" s="358">
        <f t="shared" si="17"/>
        <v>0</v>
      </c>
      <c r="I99" s="358">
        <f t="shared" si="17"/>
        <v>0</v>
      </c>
      <c r="J99" s="358">
        <f t="shared" si="17"/>
        <v>0</v>
      </c>
      <c r="K99" s="358">
        <f t="shared" si="17"/>
        <v>0</v>
      </c>
    </row>
    <row r="100" spans="1:14">
      <c r="B100" s="457" t="s">
        <v>144</v>
      </c>
      <c r="C100" s="456">
        <f t="shared" ref="C100:K100" si="18">ROUND(C86-C94-C99,3)</f>
        <v>0</v>
      </c>
      <c r="D100" s="456">
        <f t="shared" si="18"/>
        <v>0</v>
      </c>
      <c r="E100" s="456">
        <f t="shared" si="18"/>
        <v>0</v>
      </c>
      <c r="F100" s="456">
        <f t="shared" si="18"/>
        <v>0</v>
      </c>
      <c r="G100" s="456" t="e">
        <f t="shared" si="18"/>
        <v>#REF!</v>
      </c>
      <c r="H100" s="456" t="e">
        <f t="shared" si="18"/>
        <v>#REF!</v>
      </c>
      <c r="I100" s="456" t="e">
        <f t="shared" si="18"/>
        <v>#REF!</v>
      </c>
      <c r="J100" s="456" t="e">
        <f t="shared" si="18"/>
        <v>#REF!</v>
      </c>
      <c r="K100" s="456" t="e">
        <f t="shared" si="18"/>
        <v>#REF!</v>
      </c>
    </row>
    <row r="101" spans="1:14">
      <c r="E101" s="70"/>
      <c r="F101" s="70"/>
      <c r="H101" s="70"/>
      <c r="I101" s="70"/>
      <c r="J101" s="70"/>
      <c r="K101" s="70"/>
    </row>
    <row r="102" spans="1:14">
      <c r="A102" s="340" t="s">
        <v>19</v>
      </c>
      <c r="B102" s="389" t="s">
        <v>15</v>
      </c>
      <c r="C102" s="393"/>
      <c r="D102" s="393"/>
      <c r="E102" s="393"/>
      <c r="F102" s="393"/>
      <c r="G102" s="390" t="s">
        <v>157</v>
      </c>
      <c r="H102" s="390"/>
      <c r="I102" s="390"/>
      <c r="J102" s="390"/>
      <c r="K102" s="390"/>
    </row>
    <row r="103" spans="1:14">
      <c r="B103" s="391" t="str">
        <f>B15</f>
        <v xml:space="preserve">Fiscal year  </v>
      </c>
      <c r="C103" s="393"/>
      <c r="D103" s="393"/>
      <c r="E103" s="393"/>
      <c r="F103" s="393"/>
      <c r="G103" s="392">
        <f t="shared" ref="G103:K104" si="19">G15</f>
        <v>2025</v>
      </c>
      <c r="H103" s="392">
        <f t="shared" si="19"/>
        <v>2026</v>
      </c>
      <c r="I103" s="392">
        <f t="shared" si="19"/>
        <v>2027</v>
      </c>
      <c r="J103" s="392">
        <f t="shared" si="19"/>
        <v>2028</v>
      </c>
      <c r="K103" s="392">
        <f t="shared" si="19"/>
        <v>2029</v>
      </c>
    </row>
    <row r="104" spans="1:14">
      <c r="B104" s="391" t="str">
        <f>B16</f>
        <v>Fiscal year end date</v>
      </c>
      <c r="C104" s="393"/>
      <c r="D104" s="393"/>
      <c r="E104" s="393"/>
      <c r="F104" s="393"/>
      <c r="G104" s="393">
        <f t="shared" si="19"/>
        <v>46022</v>
      </c>
      <c r="H104" s="393">
        <f t="shared" si="19"/>
        <v>46387</v>
      </c>
      <c r="I104" s="393">
        <f t="shared" si="19"/>
        <v>46752</v>
      </c>
      <c r="J104" s="393">
        <f t="shared" si="19"/>
        <v>47118</v>
      </c>
      <c r="K104" s="393">
        <f t="shared" si="19"/>
        <v>47483</v>
      </c>
    </row>
    <row r="105" spans="1:14" ht="5.0999999999999996" customHeight="1"/>
    <row r="106" spans="1:14" ht="12.75" customHeight="1">
      <c r="B106" s="8" t="s">
        <v>13</v>
      </c>
      <c r="C106" s="360"/>
      <c r="D106" s="360"/>
      <c r="E106" s="360"/>
      <c r="F106" s="360"/>
      <c r="G106" s="360" t="e">
        <f>G47</f>
        <v>#REF!</v>
      </c>
      <c r="H106" s="360" t="e">
        <f>H47</f>
        <v>#REF!</v>
      </c>
      <c r="I106" s="360" t="e">
        <f>I47</f>
        <v>#REF!</v>
      </c>
      <c r="J106" s="360" t="e">
        <f>J47</f>
        <v>#REF!</v>
      </c>
      <c r="K106" s="360" t="e">
        <f>K47</f>
        <v>#REF!</v>
      </c>
      <c r="M106" s="8" t="s">
        <v>145</v>
      </c>
    </row>
    <row r="107" spans="1:14" ht="12.75" customHeight="1">
      <c r="B107" s="8" t="s">
        <v>69</v>
      </c>
      <c r="C107" s="360"/>
      <c r="D107" s="360"/>
      <c r="E107" s="360"/>
      <c r="F107" s="360"/>
      <c r="G107" s="360">
        <f>G50</f>
        <v>0</v>
      </c>
      <c r="H107" s="360">
        <f>H50</f>
        <v>0</v>
      </c>
      <c r="I107" s="360">
        <f>I50</f>
        <v>0</v>
      </c>
      <c r="J107" s="360">
        <f>J50</f>
        <v>0</v>
      </c>
      <c r="K107" s="360">
        <f>K50</f>
        <v>0</v>
      </c>
      <c r="M107" s="8" t="s">
        <v>145</v>
      </c>
    </row>
    <row r="108" spans="1:14" ht="12.75" customHeight="1">
      <c r="B108" s="8" t="s">
        <v>117</v>
      </c>
      <c r="C108" s="360"/>
      <c r="D108" s="360"/>
      <c r="E108" s="360"/>
      <c r="F108" s="360"/>
      <c r="G108" s="360">
        <f>G54</f>
        <v>0</v>
      </c>
      <c r="H108" s="360">
        <f>H54</f>
        <v>0</v>
      </c>
      <c r="I108" s="360">
        <f>I54</f>
        <v>0</v>
      </c>
      <c r="J108" s="360">
        <f>J54</f>
        <v>0</v>
      </c>
      <c r="K108" s="360">
        <f>K54</f>
        <v>0</v>
      </c>
    </row>
    <row r="109" spans="1:14" ht="12.75" customHeight="1">
      <c r="B109" s="8" t="s">
        <v>146</v>
      </c>
      <c r="C109" s="360"/>
      <c r="D109" s="360"/>
      <c r="E109" s="360"/>
      <c r="F109" s="360"/>
      <c r="G109" s="360" t="e">
        <f>SUM(F81:F83)-SUM(G81:G83)</f>
        <v>#REF!</v>
      </c>
      <c r="H109" s="360" t="e">
        <f>SUM(G81:G83)-SUM(H81:H83)</f>
        <v>#REF!</v>
      </c>
      <c r="I109" s="360" t="e">
        <f>SUM(H81:H83)-SUM(I81:I83)</f>
        <v>#REF!</v>
      </c>
      <c r="J109" s="360" t="e">
        <f>SUM(I81:I83)-SUM(J81:J83)</f>
        <v>#REF!</v>
      </c>
      <c r="K109" s="360" t="e">
        <f>SUM(J81:J83)-SUM(K81:K83)</f>
        <v>#REF!</v>
      </c>
    </row>
    <row r="110" spans="1:14" ht="12.75" customHeight="1">
      <c r="B110" s="8" t="s">
        <v>147</v>
      </c>
      <c r="C110" s="360"/>
      <c r="D110" s="360"/>
      <c r="E110" s="360"/>
      <c r="F110" s="360"/>
      <c r="G110" s="360" t="e">
        <f>SUM(G88:G90)-SUM(F88:F90)</f>
        <v>#REF!</v>
      </c>
      <c r="H110" s="360" t="e">
        <f>SUM(H88:H90)-SUM(G88:G90)</f>
        <v>#REF!</v>
      </c>
      <c r="I110" s="360" t="e">
        <f>SUM(I88:I90)-SUM(H88:H90)</f>
        <v>#REF!</v>
      </c>
      <c r="J110" s="360" t="e">
        <f>SUM(J88:J90)-SUM(I88:I90)</f>
        <v>#REF!</v>
      </c>
      <c r="K110" s="360" t="e">
        <f>SUM(K88:K90)-SUM(J88:J90)</f>
        <v>#REF!</v>
      </c>
    </row>
    <row r="111" spans="1:14" ht="12.75" customHeight="1">
      <c r="B111" s="8" t="s">
        <v>131</v>
      </c>
      <c r="C111" s="360"/>
      <c r="D111" s="360"/>
      <c r="E111" s="360"/>
      <c r="F111" s="360"/>
      <c r="G111" s="360" t="e">
        <f>-G151</f>
        <v>#REF!</v>
      </c>
      <c r="H111" s="360" t="e">
        <f>-H151</f>
        <v>#REF!</v>
      </c>
      <c r="I111" s="360" t="e">
        <f>-I151</f>
        <v>#REF!</v>
      </c>
      <c r="J111" s="360" t="e">
        <f>-J151</f>
        <v>#REF!</v>
      </c>
      <c r="K111" s="360" t="e">
        <f>-K151</f>
        <v>#REF!</v>
      </c>
      <c r="M111" s="8" t="s">
        <v>148</v>
      </c>
    </row>
    <row r="112" spans="1:14" ht="12.75" customHeight="1">
      <c r="B112" s="8" t="s">
        <v>137</v>
      </c>
      <c r="C112" s="360"/>
      <c r="D112" s="360"/>
      <c r="E112" s="360"/>
      <c r="F112" s="360"/>
      <c r="G112" s="360">
        <f>G93-F93</f>
        <v>0</v>
      </c>
      <c r="H112" s="360">
        <f>H93-G93</f>
        <v>0</v>
      </c>
      <c r="I112" s="360">
        <f>I93-H93</f>
        <v>0</v>
      </c>
      <c r="J112" s="360">
        <f>J93-I93</f>
        <v>0</v>
      </c>
      <c r="K112" s="360">
        <f>K93-J93</f>
        <v>0</v>
      </c>
      <c r="M112" s="38"/>
    </row>
    <row r="113" spans="1:13" ht="12.75" customHeight="1">
      <c r="B113" s="178" t="s">
        <v>403</v>
      </c>
      <c r="C113" s="181"/>
      <c r="D113" s="181"/>
      <c r="E113" s="181"/>
      <c r="F113" s="181"/>
      <c r="G113" s="181" t="e">
        <f>SUM(G106:G112)</f>
        <v>#REF!</v>
      </c>
      <c r="H113" s="181" t="e">
        <f>SUM(H106:H112)</f>
        <v>#REF!</v>
      </c>
      <c r="I113" s="181" t="e">
        <f>SUM(I106:I112)</f>
        <v>#REF!</v>
      </c>
      <c r="J113" s="181" t="e">
        <f>SUM(J106:J112)</f>
        <v>#REF!</v>
      </c>
      <c r="K113" s="181" t="e">
        <f>SUM(K106:K112)</f>
        <v>#REF!</v>
      </c>
    </row>
    <row r="114" spans="1:13" ht="12.75" customHeight="1">
      <c r="G114" s="70"/>
      <c r="H114" s="70"/>
      <c r="I114" s="70"/>
      <c r="J114" s="70"/>
      <c r="K114" s="70"/>
    </row>
    <row r="115" spans="1:13" ht="12.75" customHeight="1">
      <c r="B115" s="8" t="s">
        <v>243</v>
      </c>
      <c r="C115" s="361"/>
      <c r="D115" s="361"/>
      <c r="E115" s="361"/>
      <c r="F115" s="361"/>
      <c r="G115" s="361">
        <f>-(G136)</f>
        <v>0</v>
      </c>
      <c r="H115" s="361">
        <f>-(H136)</f>
        <v>0</v>
      </c>
      <c r="I115" s="361">
        <f>-(I136)</f>
        <v>0</v>
      </c>
      <c r="J115" s="361">
        <f>-(J136)</f>
        <v>0</v>
      </c>
      <c r="K115" s="361">
        <f>-(K136)</f>
        <v>0</v>
      </c>
      <c r="M115" s="8" t="s">
        <v>130</v>
      </c>
    </row>
    <row r="116" spans="1:13" ht="12.75" customHeight="1">
      <c r="B116" s="178" t="s">
        <v>404</v>
      </c>
      <c r="C116" s="181"/>
      <c r="D116" s="181"/>
      <c r="E116" s="181"/>
      <c r="F116" s="181"/>
      <c r="G116" s="181">
        <f>IFERROR(G115,"NA")</f>
        <v>0</v>
      </c>
      <c r="H116" s="181">
        <f>IFERROR(H115,"NA")</f>
        <v>0</v>
      </c>
      <c r="I116" s="181">
        <f>IFERROR(I115,"NA")</f>
        <v>0</v>
      </c>
      <c r="J116" s="181">
        <f>IFERROR(J115,"NA")</f>
        <v>0</v>
      </c>
      <c r="K116" s="181">
        <f>IFERROR(K115,"NA")</f>
        <v>0</v>
      </c>
    </row>
    <row r="117" spans="1:13" ht="12.75" customHeight="1">
      <c r="G117" s="70"/>
      <c r="H117" s="70"/>
      <c r="I117" s="70"/>
      <c r="J117" s="70"/>
      <c r="K117" s="70"/>
    </row>
    <row r="118" spans="1:13" ht="12.75" customHeight="1">
      <c r="B118" s="8" t="s">
        <v>150</v>
      </c>
      <c r="C118" s="361"/>
      <c r="D118" s="361"/>
      <c r="E118" s="361"/>
      <c r="F118" s="361"/>
      <c r="G118" s="361">
        <f>G92-F92</f>
        <v>0</v>
      </c>
      <c r="H118" s="361">
        <f>H92-G92</f>
        <v>0</v>
      </c>
      <c r="I118" s="361">
        <f>I92-H92</f>
        <v>0</v>
      </c>
      <c r="J118" s="361">
        <f>J92-I92</f>
        <v>0</v>
      </c>
      <c r="K118" s="361">
        <f>K92-J92</f>
        <v>0</v>
      </c>
    </row>
    <row r="119" spans="1:13" ht="12.75" customHeight="1">
      <c r="B119" s="8" t="s">
        <v>151</v>
      </c>
      <c r="C119" s="361"/>
      <c r="D119" s="361"/>
      <c r="E119" s="361"/>
      <c r="F119" s="361"/>
      <c r="G119" s="361" t="e">
        <f>G91-F91</f>
        <v>#REF!</v>
      </c>
      <c r="H119" s="361" t="e">
        <f>H91-G91</f>
        <v>#REF!</v>
      </c>
      <c r="I119" s="361" t="e">
        <f>I91-H91</f>
        <v>#REF!</v>
      </c>
      <c r="J119" s="361" t="e">
        <f>J91-I91</f>
        <v>#REF!</v>
      </c>
      <c r="K119" s="361" t="e">
        <f>K91-J91</f>
        <v>#REF!</v>
      </c>
      <c r="M119" s="8" t="s">
        <v>152</v>
      </c>
    </row>
    <row r="120" spans="1:13" ht="12.75" customHeight="1">
      <c r="B120" s="8" t="s">
        <v>153</v>
      </c>
      <c r="C120" s="361"/>
      <c r="D120" s="361"/>
      <c r="E120" s="361"/>
      <c r="F120" s="361"/>
      <c r="G120" s="361">
        <f>G158</f>
        <v>0</v>
      </c>
      <c r="H120" s="361">
        <f>H158</f>
        <v>0</v>
      </c>
      <c r="I120" s="361">
        <f>I158</f>
        <v>0</v>
      </c>
      <c r="J120" s="361">
        <f>J158</f>
        <v>0</v>
      </c>
      <c r="K120" s="361">
        <f>K158</f>
        <v>0</v>
      </c>
      <c r="M120" s="8" t="s">
        <v>141</v>
      </c>
    </row>
    <row r="121" spans="1:13" ht="12.75" customHeight="1">
      <c r="B121" s="8" t="s">
        <v>154</v>
      </c>
      <c r="C121" s="361"/>
      <c r="D121" s="361"/>
      <c r="E121" s="361"/>
      <c r="F121" s="361"/>
      <c r="G121" s="361" t="e">
        <f>G157</f>
        <v>#REF!</v>
      </c>
      <c r="H121" s="361" t="e">
        <f t="shared" ref="H121:K122" si="20">H157</f>
        <v>#REF!</v>
      </c>
      <c r="I121" s="361" t="e">
        <f t="shared" si="20"/>
        <v>#REF!</v>
      </c>
      <c r="J121" s="361" t="e">
        <f t="shared" si="20"/>
        <v>#REF!</v>
      </c>
      <c r="K121" s="361" t="e">
        <f t="shared" si="20"/>
        <v>#REF!</v>
      </c>
      <c r="M121" s="8" t="s">
        <v>141</v>
      </c>
    </row>
    <row r="122" spans="1:13" ht="12.75" customHeight="1">
      <c r="B122" s="8" t="s">
        <v>154</v>
      </c>
      <c r="C122" s="361"/>
      <c r="D122" s="361"/>
      <c r="E122" s="361"/>
      <c r="F122" s="361"/>
      <c r="G122" s="361">
        <f>G158</f>
        <v>0</v>
      </c>
      <c r="H122" s="361">
        <f t="shared" si="20"/>
        <v>0</v>
      </c>
      <c r="I122" s="361">
        <f t="shared" si="20"/>
        <v>0</v>
      </c>
      <c r="J122" s="361">
        <f t="shared" si="20"/>
        <v>0</v>
      </c>
      <c r="K122" s="361">
        <f t="shared" si="20"/>
        <v>0</v>
      </c>
      <c r="M122" s="8" t="s">
        <v>141</v>
      </c>
    </row>
    <row r="123" spans="1:13" ht="12.75" customHeight="1">
      <c r="B123" s="178" t="s">
        <v>405</v>
      </c>
      <c r="C123" s="181"/>
      <c r="D123" s="181"/>
      <c r="E123" s="181"/>
      <c r="F123" s="181"/>
      <c r="G123" s="181" t="e">
        <f>SUM(G118:G121)</f>
        <v>#REF!</v>
      </c>
      <c r="H123" s="181" t="e">
        <f>SUM(H118:H121)</f>
        <v>#REF!</v>
      </c>
      <c r="I123" s="181" t="e">
        <f>SUM(I118:I121)</f>
        <v>#REF!</v>
      </c>
      <c r="J123" s="181" t="e">
        <f>SUM(J118:J121)</f>
        <v>#REF!</v>
      </c>
      <c r="K123" s="181" t="e">
        <f>SUM(K118:K121)</f>
        <v>#REF!</v>
      </c>
    </row>
    <row r="124" spans="1:13" ht="5.0999999999999996" customHeight="1">
      <c r="G124" s="70"/>
      <c r="H124" s="70"/>
      <c r="I124" s="70"/>
      <c r="J124" s="70"/>
      <c r="K124" s="70"/>
    </row>
    <row r="125" spans="1:13" ht="12.75" customHeight="1">
      <c r="B125" s="38" t="s">
        <v>155</v>
      </c>
      <c r="C125" s="48"/>
      <c r="D125" s="48"/>
      <c r="E125" s="48"/>
      <c r="F125" s="48"/>
      <c r="G125" s="48" t="e">
        <f>G113+G116+G123</f>
        <v>#REF!</v>
      </c>
      <c r="H125" s="48" t="e">
        <f>H113+H116+H123</f>
        <v>#REF!</v>
      </c>
      <c r="I125" s="48" t="e">
        <f>I113+I116+I123</f>
        <v>#REF!</v>
      </c>
      <c r="J125" s="48" t="e">
        <f>J113+J116+J123</f>
        <v>#REF!</v>
      </c>
      <c r="K125" s="48" t="e">
        <f>K113+K116+K123</f>
        <v>#REF!</v>
      </c>
    </row>
    <row r="127" spans="1:13">
      <c r="A127" s="8" t="s">
        <v>19</v>
      </c>
      <c r="B127" s="365" t="s">
        <v>406</v>
      </c>
      <c r="C127" s="366" t="s">
        <v>399</v>
      </c>
      <c r="D127" s="366"/>
      <c r="E127" s="366"/>
      <c r="F127" s="366"/>
      <c r="G127" s="366" t="s">
        <v>157</v>
      </c>
      <c r="H127" s="366"/>
      <c r="I127" s="366"/>
      <c r="J127" s="366"/>
      <c r="K127" s="366"/>
    </row>
    <row r="128" spans="1:13">
      <c r="B128" s="367" t="s">
        <v>100</v>
      </c>
      <c r="C128" s="394">
        <v>2021</v>
      </c>
      <c r="D128" s="394">
        <v>2022</v>
      </c>
      <c r="E128" s="394">
        <v>2023</v>
      </c>
      <c r="F128" s="394">
        <v>2024</v>
      </c>
      <c r="G128" s="395">
        <v>2025</v>
      </c>
      <c r="H128" s="395">
        <v>2026</v>
      </c>
      <c r="I128" s="395">
        <v>2027</v>
      </c>
      <c r="J128" s="395">
        <v>2028</v>
      </c>
      <c r="K128" s="395">
        <v>2029</v>
      </c>
    </row>
    <row r="129" spans="1:17">
      <c r="B129" s="367" t="s">
        <v>101</v>
      </c>
      <c r="C129" s="368">
        <v>44469</v>
      </c>
      <c r="D129" s="368">
        <v>44834</v>
      </c>
      <c r="E129" s="368">
        <v>45199</v>
      </c>
      <c r="F129" s="368">
        <v>45559</v>
      </c>
      <c r="G129" s="368">
        <v>45930</v>
      </c>
      <c r="H129" s="368">
        <v>46295</v>
      </c>
      <c r="I129" s="368">
        <v>46660</v>
      </c>
      <c r="J129" s="368">
        <v>47026</v>
      </c>
      <c r="K129" s="368">
        <v>47391</v>
      </c>
    </row>
    <row r="131" spans="1:17">
      <c r="A131" s="340" t="s">
        <v>19</v>
      </c>
      <c r="B131" s="96" t="s">
        <v>156</v>
      </c>
      <c r="C131" s="96"/>
      <c r="D131" s="97"/>
      <c r="E131" s="97"/>
      <c r="F131" s="97"/>
      <c r="G131" s="97"/>
      <c r="H131" s="97"/>
      <c r="I131" s="97"/>
      <c r="J131" s="97"/>
      <c r="K131" s="97"/>
    </row>
    <row r="132" spans="1:17" hidden="1">
      <c r="B132" s="112" t="str">
        <f>B15</f>
        <v xml:space="preserve">Fiscal year  </v>
      </c>
      <c r="C132" s="112"/>
      <c r="D132" s="113">
        <f t="shared" ref="D132:K133" si="21">D15</f>
        <v>2022</v>
      </c>
      <c r="E132" s="113">
        <f t="shared" si="21"/>
        <v>2023</v>
      </c>
      <c r="F132" s="113">
        <f t="shared" si="21"/>
        <v>2024</v>
      </c>
      <c r="G132" s="114">
        <f t="shared" si="21"/>
        <v>2025</v>
      </c>
      <c r="H132" s="114">
        <f t="shared" si="21"/>
        <v>2026</v>
      </c>
      <c r="I132" s="114">
        <f t="shared" si="21"/>
        <v>2027</v>
      </c>
      <c r="J132" s="114">
        <f t="shared" si="21"/>
        <v>2028</v>
      </c>
      <c r="K132" s="114">
        <f t="shared" si="21"/>
        <v>2029</v>
      </c>
    </row>
    <row r="133" spans="1:17" hidden="1">
      <c r="B133" s="97" t="str">
        <f>B16</f>
        <v>Fiscal year end date</v>
      </c>
      <c r="C133" s="97"/>
      <c r="D133" s="115">
        <f t="shared" si="21"/>
        <v>44926</v>
      </c>
      <c r="E133" s="115">
        <f t="shared" si="21"/>
        <v>45291</v>
      </c>
      <c r="F133" s="115">
        <f t="shared" si="21"/>
        <v>45657</v>
      </c>
      <c r="G133" s="115">
        <f t="shared" si="21"/>
        <v>46022</v>
      </c>
      <c r="H133" s="115">
        <f t="shared" si="21"/>
        <v>46387</v>
      </c>
      <c r="I133" s="115">
        <f t="shared" si="21"/>
        <v>46752</v>
      </c>
      <c r="J133" s="115">
        <f t="shared" si="21"/>
        <v>47118</v>
      </c>
      <c r="K133" s="115">
        <f t="shared" si="21"/>
        <v>47483</v>
      </c>
    </row>
    <row r="134" spans="1:17" hidden="1">
      <c r="B134" s="38"/>
      <c r="C134" s="38"/>
      <c r="G134" s="117" t="s">
        <v>157</v>
      </c>
      <c r="H134" s="117"/>
      <c r="I134" s="117"/>
      <c r="J134" s="117"/>
      <c r="K134" s="117"/>
    </row>
    <row r="135" spans="1:17">
      <c r="B135" s="106" t="s">
        <v>158</v>
      </c>
      <c r="C135" s="106"/>
      <c r="D135" s="70">
        <f t="shared" ref="D135:K135" si="22">C138</f>
        <v>0</v>
      </c>
      <c r="E135" s="70">
        <f t="shared" si="22"/>
        <v>0</v>
      </c>
      <c r="F135" s="70">
        <f t="shared" si="22"/>
        <v>0</v>
      </c>
      <c r="G135" s="182">
        <f t="shared" si="22"/>
        <v>0</v>
      </c>
      <c r="H135" s="182" t="e">
        <f t="shared" si="22"/>
        <v>#DIV/0!</v>
      </c>
      <c r="I135" s="182" t="e">
        <f t="shared" si="22"/>
        <v>#DIV/0!</v>
      </c>
      <c r="J135" s="182" t="e">
        <f t="shared" si="22"/>
        <v>#DIV/0!</v>
      </c>
      <c r="K135" s="182" t="e">
        <f t="shared" si="22"/>
        <v>#DIV/0!</v>
      </c>
      <c r="M135" s="8" t="s">
        <v>159</v>
      </c>
    </row>
    <row r="136" spans="1:17">
      <c r="B136" s="118" t="s">
        <v>160</v>
      </c>
      <c r="C136" s="164"/>
      <c r="D136" s="164"/>
      <c r="E136" s="164"/>
      <c r="F136" s="164"/>
      <c r="G136" s="414"/>
      <c r="H136" s="414"/>
      <c r="I136" s="414"/>
      <c r="J136" s="414"/>
      <c r="K136" s="414"/>
      <c r="M136" s="8" t="s">
        <v>161</v>
      </c>
    </row>
    <row r="137" spans="1:17">
      <c r="B137" s="119" t="s">
        <v>162</v>
      </c>
      <c r="C137" s="120"/>
      <c r="D137" s="120"/>
      <c r="E137" s="120"/>
      <c r="F137" s="120"/>
      <c r="G137" s="191" t="e">
        <f>-(G140*G136)</f>
        <v>#DIV/0!</v>
      </c>
      <c r="H137" s="191" t="e">
        <f>-(H140*H136)</f>
        <v>#DIV/0!</v>
      </c>
      <c r="I137" s="191" t="e">
        <f>-(I140*I136)</f>
        <v>#DIV/0!</v>
      </c>
      <c r="J137" s="191" t="e">
        <f>-(J140*J136)</f>
        <v>#DIV/0!</v>
      </c>
      <c r="K137" s="191" t="e">
        <f>-(K140*K136)</f>
        <v>#DIV/0!</v>
      </c>
      <c r="M137" s="8" t="s">
        <v>163</v>
      </c>
    </row>
    <row r="138" spans="1:17">
      <c r="B138" s="122" t="s">
        <v>164</v>
      </c>
      <c r="C138" s="48">
        <f>C84</f>
        <v>0</v>
      </c>
      <c r="D138" s="48">
        <f>D84</f>
        <v>0</v>
      </c>
      <c r="E138" s="48">
        <f>E84</f>
        <v>0</v>
      </c>
      <c r="F138" s="48">
        <f>F84</f>
        <v>0</v>
      </c>
      <c r="G138" s="48" t="e">
        <f>SUM(G135:G137)</f>
        <v>#DIV/0!</v>
      </c>
      <c r="H138" s="48" t="e">
        <f>SUM(H135:H137)</f>
        <v>#DIV/0!</v>
      </c>
      <c r="I138" s="48" t="e">
        <f>SUM(I135:I137)</f>
        <v>#DIV/0!</v>
      </c>
      <c r="J138" s="48" t="e">
        <f>SUM(J135:J137)</f>
        <v>#DIV/0!</v>
      </c>
      <c r="K138" s="48" t="e">
        <f>SUM(K135:K137)</f>
        <v>#DIV/0!</v>
      </c>
      <c r="M138" s="8" t="s">
        <v>165</v>
      </c>
    </row>
    <row r="139" spans="1:17" ht="5.0999999999999996" customHeight="1">
      <c r="B139" s="106"/>
      <c r="C139" s="106"/>
      <c r="M139" s="109"/>
    </row>
    <row r="140" spans="1:17">
      <c r="B140" s="106" t="s">
        <v>166</v>
      </c>
      <c r="C140" s="123" t="e">
        <f>-(C137/C136)</f>
        <v>#DIV/0!</v>
      </c>
      <c r="D140" s="123" t="e">
        <f>-(D137/D136)</f>
        <v>#DIV/0!</v>
      </c>
      <c r="E140" s="123" t="e">
        <f>-(E137/E136)</f>
        <v>#DIV/0!</v>
      </c>
      <c r="F140" s="123" t="e">
        <f>-(F137/F136)</f>
        <v>#DIV/0!</v>
      </c>
      <c r="G140" s="188" t="e">
        <f>AVERAGE(D140:F140)</f>
        <v>#DIV/0!</v>
      </c>
      <c r="H140" s="188" t="e">
        <f>G140+$C$141</f>
        <v>#DIV/0!</v>
      </c>
      <c r="I140" s="188" t="e">
        <f>H140+$C$141</f>
        <v>#DIV/0!</v>
      </c>
      <c r="J140" s="188" t="e">
        <f>I140+$C$141</f>
        <v>#DIV/0!</v>
      </c>
      <c r="K140" s="188" t="e">
        <f>J140+$C$141</f>
        <v>#DIV/0!</v>
      </c>
      <c r="M140" s="124"/>
      <c r="N140" s="109"/>
      <c r="O140" s="125"/>
      <c r="P140" s="125"/>
      <c r="Q140" s="125"/>
    </row>
    <row r="141" spans="1:17">
      <c r="B141" s="409" t="s">
        <v>424</v>
      </c>
      <c r="C141" s="455">
        <v>0.02</v>
      </c>
      <c r="D141" s="123"/>
      <c r="E141" s="123"/>
      <c r="F141" s="123"/>
      <c r="G141" s="110"/>
      <c r="H141" s="110"/>
      <c r="I141" s="110"/>
      <c r="J141" s="110"/>
      <c r="K141" s="110"/>
      <c r="M141" s="124"/>
      <c r="N141" s="109"/>
      <c r="O141" s="125"/>
      <c r="P141" s="125"/>
      <c r="Q141" s="125"/>
    </row>
    <row r="142" spans="1:17">
      <c r="B142" s="106"/>
      <c r="C142" s="106"/>
      <c r="D142" s="123"/>
      <c r="E142" s="123"/>
      <c r="F142" s="123"/>
      <c r="G142" s="110"/>
      <c r="H142" s="110"/>
      <c r="I142" s="110"/>
      <c r="J142" s="110"/>
      <c r="K142" s="110"/>
      <c r="O142" s="125"/>
      <c r="P142" s="125"/>
      <c r="Q142" s="125"/>
    </row>
    <row r="143" spans="1:17">
      <c r="A143" s="340" t="s">
        <v>19</v>
      </c>
      <c r="B143" s="126" t="s">
        <v>411</v>
      </c>
      <c r="C143" s="126"/>
      <c r="D143" s="127"/>
      <c r="E143" s="127"/>
      <c r="F143" s="127"/>
      <c r="G143" s="128"/>
      <c r="H143" s="128"/>
      <c r="I143" s="128"/>
      <c r="J143" s="128"/>
      <c r="K143" s="128"/>
      <c r="O143" s="125"/>
      <c r="P143" s="125"/>
      <c r="Q143" s="125"/>
    </row>
    <row r="144" spans="1:17">
      <c r="B144" s="106" t="s">
        <v>240</v>
      </c>
      <c r="C144" s="70">
        <f>C146+C137</f>
        <v>0</v>
      </c>
      <c r="D144" s="70">
        <f>D146+D137</f>
        <v>0</v>
      </c>
      <c r="E144" s="70">
        <f>E146+E137</f>
        <v>0</v>
      </c>
      <c r="F144" s="70">
        <f>F146+F137</f>
        <v>0</v>
      </c>
      <c r="G144" s="187" t="e">
        <f>G145*G18</f>
        <v>#REF!</v>
      </c>
      <c r="H144" s="187" t="e">
        <f>H145*H18</f>
        <v>#REF!</v>
      </c>
      <c r="I144" s="187" t="e">
        <f>I145*I18</f>
        <v>#REF!</v>
      </c>
      <c r="J144" s="187" t="e">
        <f>J145*J18</f>
        <v>#REF!</v>
      </c>
      <c r="K144" s="187" t="e">
        <f>K145*K18</f>
        <v>#REF!</v>
      </c>
      <c r="M144" s="8" t="s">
        <v>167</v>
      </c>
      <c r="O144" s="125"/>
      <c r="P144" s="125"/>
      <c r="Q144" s="125"/>
    </row>
    <row r="145" spans="1:13">
      <c r="B145" s="65" t="s">
        <v>168</v>
      </c>
      <c r="C145" s="129" t="e">
        <f>C144/C18</f>
        <v>#REF!</v>
      </c>
      <c r="D145" s="129" t="e">
        <f>D144/D18</f>
        <v>#REF!</v>
      </c>
      <c r="E145" s="129" t="e">
        <f>E144/E18</f>
        <v>#REF!</v>
      </c>
      <c r="F145" s="129" t="e">
        <f>F144/F18</f>
        <v>#REF!</v>
      </c>
      <c r="G145" s="188" t="e">
        <f>F145</f>
        <v>#REF!</v>
      </c>
      <c r="H145" s="188" t="e">
        <f>G145</f>
        <v>#REF!</v>
      </c>
      <c r="I145" s="188" t="e">
        <f>H145</f>
        <v>#REF!</v>
      </c>
      <c r="J145" s="188" t="e">
        <f>I145</f>
        <v>#REF!</v>
      </c>
      <c r="K145" s="188" t="e">
        <f>J145</f>
        <v>#REF!</v>
      </c>
      <c r="M145" s="8" t="s">
        <v>441</v>
      </c>
    </row>
    <row r="146" spans="1:13">
      <c r="B146" s="107" t="s">
        <v>169</v>
      </c>
      <c r="C146" s="48">
        <f>C50</f>
        <v>0</v>
      </c>
      <c r="D146" s="48">
        <f>D50</f>
        <v>0</v>
      </c>
      <c r="E146" s="48">
        <f>E50</f>
        <v>0</v>
      </c>
      <c r="F146" s="48">
        <f>F50</f>
        <v>0</v>
      </c>
      <c r="G146" s="189" t="e">
        <f>-G137+G144</f>
        <v>#DIV/0!</v>
      </c>
      <c r="H146" s="189" t="e">
        <f>-H137+H144</f>
        <v>#DIV/0!</v>
      </c>
      <c r="I146" s="189" t="e">
        <f>-I137+I144</f>
        <v>#DIV/0!</v>
      </c>
      <c r="J146" s="189" t="e">
        <f>-J137+J144</f>
        <v>#DIV/0!</v>
      </c>
      <c r="K146" s="189" t="e">
        <f>-K137+K144</f>
        <v>#DIV/0!</v>
      </c>
      <c r="M146" s="8" t="s">
        <v>170</v>
      </c>
    </row>
    <row r="147" spans="1:13">
      <c r="B147" s="106"/>
      <c r="C147" s="106"/>
      <c r="D147" s="70"/>
      <c r="E147" s="70"/>
      <c r="F147" s="70"/>
      <c r="H147" s="70"/>
      <c r="I147" s="70"/>
      <c r="J147" s="70"/>
      <c r="K147" s="70"/>
    </row>
    <row r="148" spans="1:13">
      <c r="A148" s="340" t="s">
        <v>19</v>
      </c>
      <c r="B148" s="130" t="s">
        <v>171</v>
      </c>
      <c r="C148" s="130"/>
      <c r="D148" s="97"/>
      <c r="E148" s="97"/>
      <c r="F148" s="97"/>
      <c r="H148" s="70"/>
      <c r="I148" s="70"/>
      <c r="J148" s="70"/>
      <c r="K148" s="70"/>
    </row>
    <row r="149" spans="1:13">
      <c r="B149" s="106" t="s">
        <v>158</v>
      </c>
      <c r="C149" s="106"/>
      <c r="D149" s="131"/>
      <c r="E149" s="131"/>
      <c r="F149" s="131"/>
      <c r="G149" s="185">
        <f>F152</f>
        <v>0</v>
      </c>
      <c r="H149" s="185">
        <f>G152</f>
        <v>0</v>
      </c>
      <c r="I149" s="185">
        <f>H152</f>
        <v>0</v>
      </c>
      <c r="J149" s="185">
        <f>I152</f>
        <v>0</v>
      </c>
      <c r="K149" s="185">
        <f>J152</f>
        <v>0</v>
      </c>
      <c r="M149" s="8" t="s">
        <v>159</v>
      </c>
    </row>
    <row r="150" spans="1:13">
      <c r="B150" s="65" t="s">
        <v>172</v>
      </c>
      <c r="C150" s="65"/>
      <c r="D150" s="70"/>
      <c r="E150" s="70"/>
      <c r="F150" s="70"/>
      <c r="G150" s="182" t="e">
        <f>-(G144)</f>
        <v>#REF!</v>
      </c>
      <c r="H150" s="182" t="e">
        <f>-(H144)</f>
        <v>#REF!</v>
      </c>
      <c r="I150" s="182" t="e">
        <f>-(I144)</f>
        <v>#REF!</v>
      </c>
      <c r="J150" s="182" t="e">
        <f>-(J144)</f>
        <v>#REF!</v>
      </c>
      <c r="K150" s="182" t="e">
        <f>-(K144)</f>
        <v>#REF!</v>
      </c>
      <c r="M150" s="8" t="s">
        <v>173</v>
      </c>
    </row>
    <row r="151" spans="1:13">
      <c r="B151" s="132" t="s">
        <v>174</v>
      </c>
      <c r="C151" s="132"/>
      <c r="D151" s="134"/>
      <c r="E151" s="134"/>
      <c r="F151" s="134"/>
      <c r="G151" s="186" t="e">
        <f>G152-G150-G149</f>
        <v>#REF!</v>
      </c>
      <c r="H151" s="186" t="e">
        <f>H152-H150-H149</f>
        <v>#REF!</v>
      </c>
      <c r="I151" s="186" t="e">
        <f>I152-I150-I149</f>
        <v>#REF!</v>
      </c>
      <c r="J151" s="186" t="e">
        <f>J152-J150-J149</f>
        <v>#REF!</v>
      </c>
      <c r="K151" s="186" t="e">
        <f>K152-K150-K149</f>
        <v>#REF!</v>
      </c>
      <c r="M151" s="8" t="s">
        <v>442</v>
      </c>
    </row>
    <row r="152" spans="1:13">
      <c r="B152" s="122" t="s">
        <v>164</v>
      </c>
      <c r="C152" s="48"/>
      <c r="D152" s="48">
        <f t="shared" ref="D152:K152" si="23">D85</f>
        <v>0</v>
      </c>
      <c r="E152" s="48">
        <f t="shared" si="23"/>
        <v>0</v>
      </c>
      <c r="F152" s="48">
        <f t="shared" si="23"/>
        <v>0</v>
      </c>
      <c r="G152" s="48">
        <f t="shared" si="23"/>
        <v>0</v>
      </c>
      <c r="H152" s="48">
        <f t="shared" si="23"/>
        <v>0</v>
      </c>
      <c r="I152" s="48">
        <f t="shared" si="23"/>
        <v>0</v>
      </c>
      <c r="J152" s="48">
        <f t="shared" si="23"/>
        <v>0</v>
      </c>
      <c r="K152" s="48">
        <f t="shared" si="23"/>
        <v>0</v>
      </c>
      <c r="M152" s="8" t="s">
        <v>175</v>
      </c>
    </row>
    <row r="153" spans="1:13">
      <c r="B153" s="65"/>
      <c r="C153" s="65"/>
      <c r="E153" s="70"/>
      <c r="F153" s="70"/>
      <c r="H153" s="70"/>
      <c r="I153" s="70"/>
      <c r="J153" s="70"/>
      <c r="K153" s="70"/>
    </row>
    <row r="154" spans="1:13">
      <c r="A154" s="340" t="s">
        <v>19</v>
      </c>
      <c r="B154" s="135" t="s">
        <v>176</v>
      </c>
      <c r="C154" s="135"/>
      <c r="D154" s="130"/>
      <c r="E154" s="130"/>
      <c r="F154" s="130"/>
      <c r="G154" s="97"/>
      <c r="H154" s="97"/>
      <c r="I154" s="97"/>
      <c r="J154" s="97"/>
      <c r="K154" s="97"/>
    </row>
    <row r="155" spans="1:13">
      <c r="B155" s="106" t="s">
        <v>158</v>
      </c>
      <c r="C155" s="106"/>
      <c r="D155" s="70"/>
      <c r="E155" s="70"/>
      <c r="F155" s="70"/>
      <c r="G155" s="182">
        <f>F159</f>
        <v>0</v>
      </c>
      <c r="H155" s="182" t="e">
        <f>G159</f>
        <v>#REF!</v>
      </c>
      <c r="I155" s="182" t="e">
        <f>H159</f>
        <v>#REF!</v>
      </c>
      <c r="J155" s="182" t="e">
        <f>I159</f>
        <v>#REF!</v>
      </c>
      <c r="K155" s="182" t="e">
        <f>J159</f>
        <v>#REF!</v>
      </c>
      <c r="M155" s="8" t="s">
        <v>159</v>
      </c>
    </row>
    <row r="156" spans="1:13">
      <c r="B156" s="65" t="s">
        <v>177</v>
      </c>
      <c r="C156" s="104"/>
      <c r="D156" s="104"/>
      <c r="E156" s="104"/>
      <c r="F156" s="104" t="e">
        <f t="shared" ref="F156:K156" si="24">F47</f>
        <v>#REF!</v>
      </c>
      <c r="G156" s="182" t="e">
        <f t="shared" si="24"/>
        <v>#REF!</v>
      </c>
      <c r="H156" s="182" t="e">
        <f t="shared" si="24"/>
        <v>#REF!</v>
      </c>
      <c r="I156" s="182" t="e">
        <f t="shared" si="24"/>
        <v>#REF!</v>
      </c>
      <c r="J156" s="182" t="e">
        <f t="shared" si="24"/>
        <v>#REF!</v>
      </c>
      <c r="K156" s="182" t="e">
        <f t="shared" si="24"/>
        <v>#REF!</v>
      </c>
      <c r="M156" s="8" t="s">
        <v>178</v>
      </c>
    </row>
    <row r="157" spans="1:13">
      <c r="B157" s="65" t="s">
        <v>179</v>
      </c>
      <c r="C157" s="164"/>
      <c r="D157" s="164"/>
      <c r="E157" s="164"/>
      <c r="F157" s="164"/>
      <c r="G157" s="182" t="e">
        <f>G156*F157/F156</f>
        <v>#REF!</v>
      </c>
      <c r="H157" s="182" t="e">
        <f>H156*G157/G156</f>
        <v>#REF!</v>
      </c>
      <c r="I157" s="182" t="e">
        <f>I156*H157/H156</f>
        <v>#REF!</v>
      </c>
      <c r="J157" s="182" t="e">
        <f>J156*I157/I156</f>
        <v>#REF!</v>
      </c>
      <c r="K157" s="182" t="e">
        <f>K156*J157/J156</f>
        <v>#REF!</v>
      </c>
      <c r="M157" s="8" t="s">
        <v>443</v>
      </c>
    </row>
    <row r="158" spans="1:13">
      <c r="B158" s="132" t="s">
        <v>180</v>
      </c>
      <c r="C158" s="164"/>
      <c r="D158" s="164"/>
      <c r="E158" s="164"/>
      <c r="F158" s="164"/>
      <c r="G158" s="191">
        <f>F158</f>
        <v>0</v>
      </c>
      <c r="H158" s="191">
        <f>G158</f>
        <v>0</v>
      </c>
      <c r="I158" s="191">
        <f>H158</f>
        <v>0</v>
      </c>
      <c r="J158" s="191">
        <f>I158</f>
        <v>0</v>
      </c>
      <c r="K158" s="191">
        <f>J158</f>
        <v>0</v>
      </c>
      <c r="M158" s="8" t="s">
        <v>444</v>
      </c>
    </row>
    <row r="159" spans="1:13">
      <c r="B159" s="122" t="s">
        <v>164</v>
      </c>
      <c r="C159" s="177"/>
      <c r="D159" s="181"/>
      <c r="E159" s="181"/>
      <c r="F159" s="181">
        <f>F97</f>
        <v>0</v>
      </c>
      <c r="G159" s="48" t="e">
        <f>SUM(G155:G158)</f>
        <v>#REF!</v>
      </c>
      <c r="H159" s="48" t="e">
        <f>SUM(H155:H158)</f>
        <v>#REF!</v>
      </c>
      <c r="I159" s="48" t="e">
        <f>SUM(I155:I158)</f>
        <v>#REF!</v>
      </c>
      <c r="J159" s="48" t="e">
        <f>SUM(J155:J158)</f>
        <v>#REF!</v>
      </c>
      <c r="K159" s="48" t="e">
        <f>SUM(K155:K158)</f>
        <v>#REF!</v>
      </c>
      <c r="M159" s="8" t="s">
        <v>181</v>
      </c>
    </row>
    <row r="160" spans="1:13">
      <c r="E160" s="116"/>
      <c r="F160" s="116"/>
    </row>
    <row r="161" spans="1:19">
      <c r="A161" s="340" t="s">
        <v>19</v>
      </c>
      <c r="B161" s="96" t="s">
        <v>182</v>
      </c>
      <c r="C161" s="96"/>
      <c r="D161" s="97"/>
      <c r="E161" s="97"/>
      <c r="F161" s="97"/>
      <c r="G161" s="97"/>
      <c r="H161" s="97"/>
      <c r="I161" s="97"/>
      <c r="J161" s="97"/>
      <c r="K161" s="97"/>
      <c r="O161" s="125"/>
      <c r="P161" s="125"/>
    </row>
    <row r="162" spans="1:19" hidden="1">
      <c r="B162" s="112" t="str">
        <f>B15</f>
        <v xml:space="preserve">Fiscal year  </v>
      </c>
      <c r="C162" s="112"/>
      <c r="D162" s="113">
        <f t="shared" ref="D162:K163" si="25">D15</f>
        <v>2022</v>
      </c>
      <c r="E162" s="113">
        <f t="shared" si="25"/>
        <v>2023</v>
      </c>
      <c r="F162" s="113">
        <f t="shared" si="25"/>
        <v>2024</v>
      </c>
      <c r="G162" s="114">
        <f t="shared" si="25"/>
        <v>2025</v>
      </c>
      <c r="H162" s="114">
        <f t="shared" si="25"/>
        <v>2026</v>
      </c>
      <c r="I162" s="114">
        <f t="shared" si="25"/>
        <v>2027</v>
      </c>
      <c r="J162" s="114">
        <f t="shared" si="25"/>
        <v>2028</v>
      </c>
      <c r="K162" s="114">
        <f t="shared" si="25"/>
        <v>2029</v>
      </c>
      <c r="O162" s="125"/>
      <c r="P162" s="125"/>
    </row>
    <row r="163" spans="1:19" hidden="1">
      <c r="B163" s="97" t="str">
        <f>B16</f>
        <v>Fiscal year end date</v>
      </c>
      <c r="C163" s="97"/>
      <c r="D163" s="115">
        <f t="shared" si="25"/>
        <v>44926</v>
      </c>
      <c r="E163" s="115">
        <f t="shared" si="25"/>
        <v>45291</v>
      </c>
      <c r="F163" s="115">
        <f t="shared" si="25"/>
        <v>45657</v>
      </c>
      <c r="G163" s="115">
        <f t="shared" si="25"/>
        <v>46022</v>
      </c>
      <c r="H163" s="115">
        <f t="shared" si="25"/>
        <v>46387</v>
      </c>
      <c r="I163" s="115">
        <f t="shared" si="25"/>
        <v>46752</v>
      </c>
      <c r="J163" s="115">
        <f t="shared" si="25"/>
        <v>47118</v>
      </c>
      <c r="K163" s="115">
        <f t="shared" si="25"/>
        <v>47483</v>
      </c>
      <c r="O163" s="125"/>
      <c r="P163" s="125"/>
    </row>
    <row r="164" spans="1:19" hidden="1">
      <c r="B164" s="38"/>
      <c r="C164" s="38"/>
      <c r="O164" s="125"/>
      <c r="P164" s="125"/>
    </row>
    <row r="165" spans="1:19">
      <c r="B165" s="109" t="s">
        <v>183</v>
      </c>
      <c r="C165" s="109"/>
      <c r="O165" s="125"/>
      <c r="P165" s="125"/>
      <c r="Q165" s="125"/>
    </row>
    <row r="166" spans="1:19">
      <c r="B166" s="65" t="s">
        <v>184</v>
      </c>
      <c r="C166" s="65"/>
      <c r="G166" s="182">
        <f>F80</f>
        <v>0</v>
      </c>
      <c r="H166" s="182" t="e">
        <f>G80</f>
        <v>#REF!</v>
      </c>
      <c r="I166" s="182" t="e">
        <f>H80</f>
        <v>#REF!</v>
      </c>
      <c r="J166" s="182" t="e">
        <f>I80</f>
        <v>#REF!</v>
      </c>
      <c r="K166" s="182" t="e">
        <f>J80</f>
        <v>#REF!</v>
      </c>
      <c r="M166" s="8" t="s">
        <v>185</v>
      </c>
      <c r="O166" s="125"/>
      <c r="P166" s="125"/>
    </row>
    <row r="167" spans="1:19">
      <c r="B167" s="65" t="s">
        <v>186</v>
      </c>
      <c r="C167" s="65"/>
      <c r="G167" s="190"/>
      <c r="H167" s="190"/>
      <c r="I167" s="190"/>
      <c r="J167" s="190"/>
      <c r="K167" s="190"/>
      <c r="M167" s="8" t="s">
        <v>445</v>
      </c>
      <c r="O167" s="125"/>
      <c r="P167" s="125"/>
    </row>
    <row r="168" spans="1:19">
      <c r="B168" s="132" t="s">
        <v>187</v>
      </c>
      <c r="C168" s="132"/>
      <c r="D168" s="133"/>
      <c r="E168" s="133"/>
      <c r="F168" s="133"/>
      <c r="G168" s="191" t="e">
        <f>SUM(G113,G116,G118,G120,G121)</f>
        <v>#REF!</v>
      </c>
      <c r="H168" s="191" t="e">
        <f>SUM(H113,H116,H118,H120,H121)</f>
        <v>#REF!</v>
      </c>
      <c r="I168" s="191" t="e">
        <f>SUM(I113,I116,I118,I120,I121)</f>
        <v>#REF!</v>
      </c>
      <c r="J168" s="191" t="e">
        <f>SUM(J113,J116,J118,J120,J121)</f>
        <v>#REF!</v>
      </c>
      <c r="K168" s="191" t="e">
        <f>SUM(K113,K116,K118,K120,K121)</f>
        <v>#REF!</v>
      </c>
      <c r="M168" s="8" t="s">
        <v>241</v>
      </c>
    </row>
    <row r="169" spans="1:19">
      <c r="B169" s="122" t="s">
        <v>188</v>
      </c>
      <c r="C169" s="122"/>
      <c r="G169" s="48" t="e">
        <f>SUM(G166:G168)</f>
        <v>#REF!</v>
      </c>
      <c r="H169" s="48" t="e">
        <f>SUM(H166:H168)</f>
        <v>#REF!</v>
      </c>
      <c r="I169" s="48" t="e">
        <f>SUM(I166:I168)</f>
        <v>#REF!</v>
      </c>
      <c r="J169" s="48" t="e">
        <f>SUM(J166:J168)</f>
        <v>#REF!</v>
      </c>
      <c r="K169" s="48" t="e">
        <f>SUM(K166:K168)</f>
        <v>#REF!</v>
      </c>
    </row>
    <row r="171" spans="1:19">
      <c r="B171" s="38" t="s">
        <v>189</v>
      </c>
      <c r="C171" s="38"/>
    </row>
    <row r="172" spans="1:19">
      <c r="B172" s="65" t="s">
        <v>158</v>
      </c>
      <c r="C172" s="65"/>
      <c r="G172" s="182">
        <f>F175</f>
        <v>0</v>
      </c>
      <c r="H172" s="182" t="e">
        <f>G175</f>
        <v>#REF!</v>
      </c>
      <c r="I172" s="182" t="e">
        <f>H175</f>
        <v>#REF!</v>
      </c>
      <c r="J172" s="182" t="e">
        <f>I175</f>
        <v>#REF!</v>
      </c>
      <c r="K172" s="182" t="e">
        <f>J175</f>
        <v>#REF!</v>
      </c>
      <c r="M172" s="8" t="s">
        <v>159</v>
      </c>
    </row>
    <row r="173" spans="1:19">
      <c r="B173" s="118" t="s">
        <v>190</v>
      </c>
      <c r="C173" s="118"/>
      <c r="G173" s="182" t="e">
        <f>-MIN(G169,G172)</f>
        <v>#REF!</v>
      </c>
      <c r="H173" s="182" t="e">
        <f>-MIN(H169,H172)</f>
        <v>#REF!</v>
      </c>
      <c r="I173" s="182" t="e">
        <f>-MIN(I169,I172)</f>
        <v>#REF!</v>
      </c>
      <c r="J173" s="182" t="e">
        <f>-MIN(J169,J172)</f>
        <v>#REF!</v>
      </c>
      <c r="K173" s="182" t="e">
        <f>-MIN(K169,K172)</f>
        <v>#REF!</v>
      </c>
      <c r="M173" s="8" t="s">
        <v>191</v>
      </c>
    </row>
    <row r="174" spans="1:19">
      <c r="B174" s="119" t="s">
        <v>192</v>
      </c>
      <c r="C174" s="119"/>
      <c r="D174" s="133"/>
      <c r="E174" s="133"/>
      <c r="F174" s="133"/>
      <c r="G174" s="192"/>
      <c r="H174" s="192"/>
      <c r="I174" s="192"/>
      <c r="J174" s="192"/>
      <c r="K174" s="192"/>
      <c r="M174" s="8" t="s">
        <v>445</v>
      </c>
    </row>
    <row r="175" spans="1:19">
      <c r="B175" s="65" t="s">
        <v>164</v>
      </c>
      <c r="C175" s="121"/>
      <c r="D175" s="121">
        <f>D91</f>
        <v>0</v>
      </c>
      <c r="E175" s="121">
        <f>E91</f>
        <v>0</v>
      </c>
      <c r="F175" s="121">
        <f>F91</f>
        <v>0</v>
      </c>
      <c r="G175" s="136" t="e">
        <f>SUM(G172:G174)</f>
        <v>#REF!</v>
      </c>
      <c r="H175" s="136" t="e">
        <f>SUM(H172:H174)</f>
        <v>#REF!</v>
      </c>
      <c r="I175" s="136" t="e">
        <f>SUM(I172:I174)</f>
        <v>#REF!</v>
      </c>
      <c r="J175" s="136" t="e">
        <f>SUM(J172:J174)</f>
        <v>#REF!</v>
      </c>
      <c r="K175" s="136" t="e">
        <f>SUM(K172:K174)</f>
        <v>#REF!</v>
      </c>
    </row>
    <row r="176" spans="1:19">
      <c r="B176" s="90" t="s">
        <v>193</v>
      </c>
      <c r="C176" s="91"/>
      <c r="D176" s="137"/>
      <c r="E176" s="137"/>
      <c r="F176" s="138"/>
      <c r="G176" s="139" t="e">
        <f>IF(G175&lt;0,"Negative Debt","OK")</f>
        <v>#REF!</v>
      </c>
      <c r="H176" s="139" t="e">
        <f>IF(H175&lt;0,"Negative Debt","OK")</f>
        <v>#REF!</v>
      </c>
      <c r="I176" s="139" t="e">
        <f>IF(I175&lt;0,"Negative Debt","OK")</f>
        <v>#REF!</v>
      </c>
      <c r="J176" s="139" t="e">
        <f>IF(J175&lt;0,"Negative Debt","OK")</f>
        <v>#REF!</v>
      </c>
      <c r="K176" s="139" t="e">
        <f>IF(K175&lt;0,"Negative Debt","OK")</f>
        <v>#REF!</v>
      </c>
      <c r="S176" s="116"/>
    </row>
    <row r="177" spans="1:19">
      <c r="D177" s="70"/>
      <c r="E177" s="70"/>
      <c r="F177" s="92"/>
      <c r="G177" s="140"/>
      <c r="H177" s="140"/>
      <c r="I177" s="140"/>
      <c r="J177" s="140"/>
      <c r="K177" s="140"/>
      <c r="S177" s="116"/>
    </row>
    <row r="178" spans="1:19">
      <c r="A178" s="340" t="s">
        <v>19</v>
      </c>
      <c r="B178" s="96" t="s">
        <v>194</v>
      </c>
      <c r="C178" s="96"/>
      <c r="D178" s="127"/>
      <c r="E178" s="127"/>
      <c r="F178" s="127"/>
      <c r="G178" s="141"/>
      <c r="H178" s="141"/>
      <c r="I178" s="141"/>
      <c r="J178" s="141"/>
      <c r="K178" s="141"/>
      <c r="R178" s="142"/>
    </row>
    <row r="179" spans="1:19" hidden="1">
      <c r="B179" s="112" t="str">
        <f>B15</f>
        <v xml:space="preserve">Fiscal year  </v>
      </c>
      <c r="C179" s="112"/>
      <c r="D179" s="113">
        <f t="shared" ref="D179:K180" si="26">D15</f>
        <v>2022</v>
      </c>
      <c r="E179" s="113">
        <f t="shared" si="26"/>
        <v>2023</v>
      </c>
      <c r="F179" s="113">
        <f t="shared" si="26"/>
        <v>2024</v>
      </c>
      <c r="G179" s="114">
        <f t="shared" si="26"/>
        <v>2025</v>
      </c>
      <c r="H179" s="114">
        <f t="shared" si="26"/>
        <v>2026</v>
      </c>
      <c r="I179" s="114">
        <f t="shared" si="26"/>
        <v>2027</v>
      </c>
      <c r="J179" s="114">
        <f t="shared" si="26"/>
        <v>2028</v>
      </c>
      <c r="K179" s="114">
        <f t="shared" si="26"/>
        <v>2029</v>
      </c>
      <c r="R179" s="142"/>
      <c r="S179" s="116"/>
    </row>
    <row r="180" spans="1:19" hidden="1">
      <c r="B180" s="97" t="str">
        <f>B16</f>
        <v>Fiscal year end date</v>
      </c>
      <c r="C180" s="97"/>
      <c r="D180" s="115">
        <f t="shared" si="26"/>
        <v>44926</v>
      </c>
      <c r="E180" s="115">
        <f t="shared" si="26"/>
        <v>45291</v>
      </c>
      <c r="F180" s="115">
        <f t="shared" si="26"/>
        <v>45657</v>
      </c>
      <c r="G180" s="115">
        <f t="shared" si="26"/>
        <v>46022</v>
      </c>
      <c r="H180" s="115">
        <f t="shared" si="26"/>
        <v>46387</v>
      </c>
      <c r="I180" s="115">
        <f t="shared" si="26"/>
        <v>46752</v>
      </c>
      <c r="J180" s="115">
        <f t="shared" si="26"/>
        <v>47118</v>
      </c>
      <c r="K180" s="115">
        <f t="shared" si="26"/>
        <v>47483</v>
      </c>
      <c r="R180" s="142"/>
    </row>
    <row r="181" spans="1:19" ht="5.0999999999999996" customHeight="1">
      <c r="B181" s="65"/>
      <c r="C181" s="65"/>
      <c r="D181" s="70"/>
      <c r="E181" s="70"/>
      <c r="F181" s="70"/>
      <c r="G181" s="143"/>
      <c r="H181" s="143"/>
      <c r="I181" s="143"/>
      <c r="J181" s="143"/>
      <c r="K181" s="143"/>
      <c r="R181" s="142"/>
    </row>
    <row r="182" spans="1:19">
      <c r="B182" s="106" t="s">
        <v>195</v>
      </c>
      <c r="C182" s="70">
        <f>-(C42)</f>
        <v>0</v>
      </c>
      <c r="D182" s="70">
        <f>-(D42)</f>
        <v>0</v>
      </c>
      <c r="E182" s="70">
        <f>-(E42)</f>
        <v>0</v>
      </c>
      <c r="F182" s="70">
        <f>-(F42)</f>
        <v>0</v>
      </c>
      <c r="G182" s="182" t="e">
        <f>G187+G192</f>
        <v>#DIV/0!</v>
      </c>
      <c r="H182" s="182" t="e">
        <f>H187+H192</f>
        <v>#DIV/0!</v>
      </c>
      <c r="I182" s="182" t="e">
        <f>I187+I192</f>
        <v>#DIV/0!</v>
      </c>
      <c r="J182" s="182" t="e">
        <f>J187+J192</f>
        <v>#DIV/0!</v>
      </c>
      <c r="K182" s="182" t="e">
        <f>K187+K192</f>
        <v>#DIV/0!</v>
      </c>
      <c r="M182" s="8" t="s">
        <v>196</v>
      </c>
      <c r="R182" s="116"/>
    </row>
    <row r="183" spans="1:19" ht="5.0999999999999996" customHeight="1">
      <c r="B183" s="144"/>
      <c r="C183" s="144"/>
      <c r="R183" s="116"/>
    </row>
    <row r="184" spans="1:19">
      <c r="B184" s="145" t="s">
        <v>197</v>
      </c>
      <c r="C184" s="145"/>
      <c r="R184" s="116"/>
    </row>
    <row r="185" spans="1:19">
      <c r="B185" s="65" t="s">
        <v>198</v>
      </c>
      <c r="C185" s="150"/>
      <c r="D185" s="146"/>
      <c r="E185" s="146"/>
      <c r="F185" s="146"/>
      <c r="G185" s="193">
        <f>F185</f>
        <v>0</v>
      </c>
      <c r="H185" s="193">
        <f>G185</f>
        <v>0</v>
      </c>
      <c r="I185" s="193">
        <f>H185</f>
        <v>0</v>
      </c>
      <c r="J185" s="193">
        <f>I185</f>
        <v>0</v>
      </c>
      <c r="K185" s="193">
        <f>J185</f>
        <v>0</v>
      </c>
      <c r="M185" s="8" t="s">
        <v>109</v>
      </c>
    </row>
    <row r="186" spans="1:19">
      <c r="B186" s="65" t="s">
        <v>199</v>
      </c>
      <c r="C186" s="132"/>
      <c r="D186" s="121">
        <f t="shared" ref="D186:K186" si="27">D91</f>
        <v>0</v>
      </c>
      <c r="E186" s="121">
        <f t="shared" si="27"/>
        <v>0</v>
      </c>
      <c r="F186" s="121">
        <f t="shared" si="27"/>
        <v>0</v>
      </c>
      <c r="G186" s="182" t="e">
        <f t="shared" si="27"/>
        <v>#REF!</v>
      </c>
      <c r="H186" s="182" t="e">
        <f t="shared" si="27"/>
        <v>#REF!</v>
      </c>
      <c r="I186" s="182" t="e">
        <f t="shared" si="27"/>
        <v>#REF!</v>
      </c>
      <c r="J186" s="182" t="e">
        <f t="shared" si="27"/>
        <v>#REF!</v>
      </c>
      <c r="K186" s="182" t="e">
        <f t="shared" si="27"/>
        <v>#REF!</v>
      </c>
      <c r="M186" s="8" t="s">
        <v>200</v>
      </c>
    </row>
    <row r="187" spans="1:19">
      <c r="B187" s="147" t="s">
        <v>201</v>
      </c>
      <c r="C187" s="48"/>
      <c r="D187" s="48">
        <f>AVERAGE(C186:D186)*D185</f>
        <v>0</v>
      </c>
      <c r="E187" s="48">
        <f>AVERAGE(D186:E186)*E185</f>
        <v>0</v>
      </c>
      <c r="F187" s="48">
        <f>AVERAGE(E186:F186)*F185</f>
        <v>0</v>
      </c>
      <c r="G187" s="148">
        <f>IF($C$8=1,AVERAGE(F186,G186)*G185,0)</f>
        <v>0</v>
      </c>
      <c r="H187" s="148">
        <f>IF($C$8=1,AVERAGE(G186,H186)*H185,0)</f>
        <v>0</v>
      </c>
      <c r="I187" s="148">
        <f>IF($C$8=1,AVERAGE(H186,I186)*I185,0)</f>
        <v>0</v>
      </c>
      <c r="J187" s="148">
        <f>IF($C$8=1,AVERAGE(I186,J186)*J185,0)</f>
        <v>0</v>
      </c>
      <c r="K187" s="148">
        <f>IF($C$8=1,AVERAGE(J186,K186)*K185,0)</f>
        <v>0</v>
      </c>
      <c r="M187" s="8" t="s">
        <v>202</v>
      </c>
    </row>
    <row r="188" spans="1:19" ht="5.0999999999999996" customHeight="1">
      <c r="B188" s="149"/>
      <c r="C188" s="149"/>
      <c r="D188" s="70"/>
      <c r="E188" s="70"/>
      <c r="F188" s="70"/>
    </row>
    <row r="189" spans="1:19">
      <c r="B189" s="145" t="s">
        <v>150</v>
      </c>
      <c r="C189" s="145"/>
      <c r="D189" s="70"/>
      <c r="E189" s="70"/>
      <c r="F189" s="70"/>
    </row>
    <row r="190" spans="1:19">
      <c r="B190" s="65" t="s">
        <v>199</v>
      </c>
      <c r="C190" s="70">
        <f t="shared" ref="C190:K190" si="28">C92</f>
        <v>0</v>
      </c>
      <c r="D190" s="70">
        <f t="shared" si="28"/>
        <v>0</v>
      </c>
      <c r="E190" s="70">
        <f t="shared" si="28"/>
        <v>0</v>
      </c>
      <c r="F190" s="70">
        <f t="shared" si="28"/>
        <v>0</v>
      </c>
      <c r="G190" s="182">
        <f t="shared" si="28"/>
        <v>0</v>
      </c>
      <c r="H190" s="182">
        <f t="shared" si="28"/>
        <v>0</v>
      </c>
      <c r="I190" s="182">
        <f t="shared" si="28"/>
        <v>0</v>
      </c>
      <c r="J190" s="182">
        <f t="shared" si="28"/>
        <v>0</v>
      </c>
      <c r="K190" s="182">
        <f t="shared" si="28"/>
        <v>0</v>
      </c>
      <c r="M190" s="8" t="s">
        <v>152</v>
      </c>
    </row>
    <row r="191" spans="1:19">
      <c r="B191" s="65" t="s">
        <v>198</v>
      </c>
      <c r="C191" s="65"/>
      <c r="D191" s="129" t="e">
        <f>D192/AVERAGE(C190:D190)</f>
        <v>#DIV/0!</v>
      </c>
      <c r="E191" s="129" t="e">
        <f>E192/AVERAGE(D190:E190)</f>
        <v>#DIV/0!</v>
      </c>
      <c r="F191" s="129" t="e">
        <f>F192/AVERAGE(E190:F190)</f>
        <v>#DIV/0!</v>
      </c>
      <c r="G191" s="194" t="e">
        <f>AVERAGE(D191:F191)</f>
        <v>#DIV/0!</v>
      </c>
      <c r="H191" s="194" t="e">
        <f>G191</f>
        <v>#DIV/0!</v>
      </c>
      <c r="I191" s="194" t="e">
        <f>H191</f>
        <v>#DIV/0!</v>
      </c>
      <c r="J191" s="194" t="e">
        <f>I191</f>
        <v>#DIV/0!</v>
      </c>
      <c r="K191" s="194" t="e">
        <f>J191</f>
        <v>#DIV/0!</v>
      </c>
      <c r="M191" s="8" t="s">
        <v>109</v>
      </c>
      <c r="R191" s="142"/>
    </row>
    <row r="192" spans="1:19">
      <c r="B192" s="184" t="s">
        <v>203</v>
      </c>
      <c r="C192" s="184"/>
      <c r="D192" s="181">
        <f>D182-D187</f>
        <v>0</v>
      </c>
      <c r="E192" s="181">
        <f>E182-E187</f>
        <v>0</v>
      </c>
      <c r="F192" s="181">
        <f>F182-F187</f>
        <v>0</v>
      </c>
      <c r="G192" s="177" t="e">
        <f>G191*AVERAGE(F190:G190)</f>
        <v>#DIV/0!</v>
      </c>
      <c r="H192" s="177" t="e">
        <f>H191*AVERAGE(G190:H190)</f>
        <v>#DIV/0!</v>
      </c>
      <c r="I192" s="177" t="e">
        <f>I191*AVERAGE(H190:I190)</f>
        <v>#DIV/0!</v>
      </c>
      <c r="J192" s="177" t="e">
        <f>J191*AVERAGE(I190:J190)</f>
        <v>#DIV/0!</v>
      </c>
      <c r="K192" s="177" t="e">
        <f>K191*AVERAGE(J190:K190)</f>
        <v>#DIV/0!</v>
      </c>
      <c r="M192" s="8" t="s">
        <v>204</v>
      </c>
    </row>
    <row r="193" spans="1:13" ht="5.0999999999999996" customHeight="1">
      <c r="E193" s="70"/>
    </row>
    <row r="194" spans="1:13">
      <c r="B194" s="144" t="s">
        <v>205</v>
      </c>
      <c r="C194" s="144"/>
      <c r="E194" s="70"/>
      <c r="F194" s="70"/>
    </row>
    <row r="195" spans="1:13">
      <c r="B195" s="65" t="s">
        <v>206</v>
      </c>
      <c r="C195" s="150"/>
      <c r="D195" s="146"/>
      <c r="E195" s="146"/>
      <c r="F195" s="146"/>
      <c r="G195" s="195">
        <f>F195</f>
        <v>0</v>
      </c>
      <c r="H195" s="195">
        <f>G195</f>
        <v>0</v>
      </c>
      <c r="I195" s="195">
        <f>H195</f>
        <v>0</v>
      </c>
      <c r="J195" s="195">
        <f>I195</f>
        <v>0</v>
      </c>
      <c r="K195" s="195">
        <f>J195</f>
        <v>0</v>
      </c>
      <c r="M195" s="8" t="s">
        <v>109</v>
      </c>
    </row>
    <row r="196" spans="1:13">
      <c r="B196" s="65" t="s">
        <v>107</v>
      </c>
      <c r="C196" s="70">
        <f>C41</f>
        <v>0</v>
      </c>
      <c r="D196" s="70">
        <f>D41</f>
        <v>0</v>
      </c>
      <c r="E196" s="70">
        <f>E41</f>
        <v>0</v>
      </c>
      <c r="F196" s="70">
        <f>F41</f>
        <v>0</v>
      </c>
      <c r="G196" s="187">
        <f>IF($C$8=1,AVERAGE(F80,G80)*G195,0)</f>
        <v>0</v>
      </c>
      <c r="H196" s="187">
        <f>IF($C$8=1,AVERAGE(G80,H80)*H195,0)</f>
        <v>0</v>
      </c>
      <c r="I196" s="187">
        <f>IF($C$8=1,AVERAGE(H80,I80)*I195,0)</f>
        <v>0</v>
      </c>
      <c r="J196" s="187">
        <f>IF($C$8=1,AVERAGE(I80,J80)*J195,0)</f>
        <v>0</v>
      </c>
      <c r="K196" s="187">
        <f>IF($C$8=1,AVERAGE(J80,K80)*K195,0)</f>
        <v>0</v>
      </c>
      <c r="M196" s="8" t="s">
        <v>207</v>
      </c>
    </row>
    <row r="197" spans="1:13">
      <c r="B197" s="152"/>
      <c r="C197" s="152"/>
      <c r="D197" s="129"/>
      <c r="E197" s="129"/>
      <c r="F197" s="129"/>
      <c r="G197" s="129"/>
      <c r="H197" s="129"/>
    </row>
    <row r="198" spans="1:13">
      <c r="A198" s="340" t="s">
        <v>19</v>
      </c>
      <c r="B198" s="96" t="s">
        <v>208</v>
      </c>
      <c r="C198" s="96"/>
      <c r="D198" s="96"/>
      <c r="E198" s="96"/>
      <c r="F198" s="96"/>
      <c r="G198" s="96"/>
      <c r="H198" s="96"/>
      <c r="I198" s="96"/>
      <c r="J198" s="96"/>
      <c r="K198" s="96"/>
    </row>
    <row r="199" spans="1:13" hidden="1">
      <c r="B199" s="112"/>
      <c r="C199" s="113">
        <f t="shared" ref="C199:K199" si="29">C15</f>
        <v>2021</v>
      </c>
      <c r="D199" s="113">
        <f t="shared" si="29"/>
        <v>2022</v>
      </c>
      <c r="E199" s="113">
        <f t="shared" si="29"/>
        <v>2023</v>
      </c>
      <c r="F199" s="114">
        <f t="shared" si="29"/>
        <v>2024</v>
      </c>
      <c r="G199" s="114">
        <f t="shared" si="29"/>
        <v>2025</v>
      </c>
      <c r="H199" s="114">
        <f t="shared" si="29"/>
        <v>2026</v>
      </c>
      <c r="I199" s="114">
        <f t="shared" si="29"/>
        <v>2027</v>
      </c>
      <c r="J199" s="114">
        <f t="shared" si="29"/>
        <v>2028</v>
      </c>
      <c r="K199" s="114">
        <f t="shared" si="29"/>
        <v>2029</v>
      </c>
    </row>
    <row r="200" spans="1:13" hidden="1">
      <c r="B200" s="97"/>
      <c r="C200" s="115">
        <f t="shared" ref="C200:K200" si="30">C16</f>
        <v>44561</v>
      </c>
      <c r="D200" s="115">
        <f t="shared" si="30"/>
        <v>44926</v>
      </c>
      <c r="E200" s="115">
        <f t="shared" si="30"/>
        <v>45291</v>
      </c>
      <c r="F200" s="115">
        <f t="shared" si="30"/>
        <v>45657</v>
      </c>
      <c r="G200" s="115">
        <f t="shared" si="30"/>
        <v>46022</v>
      </c>
      <c r="H200" s="115">
        <f t="shared" si="30"/>
        <v>46387</v>
      </c>
      <c r="I200" s="115">
        <f t="shared" si="30"/>
        <v>46752</v>
      </c>
      <c r="J200" s="115">
        <f t="shared" si="30"/>
        <v>47118</v>
      </c>
      <c r="K200" s="115">
        <f t="shared" si="30"/>
        <v>47483</v>
      </c>
    </row>
    <row r="201" spans="1:13" ht="5.0999999999999996" customHeight="1">
      <c r="F201" s="111"/>
      <c r="G201" s="111"/>
      <c r="H201" s="111"/>
      <c r="I201" s="110"/>
      <c r="J201" s="110"/>
    </row>
    <row r="202" spans="1:13">
      <c r="B202" s="8" t="s">
        <v>13</v>
      </c>
      <c r="C202" s="70" t="e">
        <f t="shared" ref="C202:K202" si="31">C47</f>
        <v>#REF!</v>
      </c>
      <c r="D202" s="70" t="e">
        <f t="shared" si="31"/>
        <v>#REF!</v>
      </c>
      <c r="E202" s="70" t="e">
        <f t="shared" si="31"/>
        <v>#REF!</v>
      </c>
      <c r="F202" s="70" t="e">
        <f t="shared" si="31"/>
        <v>#REF!</v>
      </c>
      <c r="G202" s="70" t="e">
        <f t="shared" si="31"/>
        <v>#REF!</v>
      </c>
      <c r="H202" s="70" t="e">
        <f t="shared" si="31"/>
        <v>#REF!</v>
      </c>
      <c r="I202" s="70" t="e">
        <f t="shared" si="31"/>
        <v>#REF!</v>
      </c>
      <c r="J202" s="70" t="e">
        <f t="shared" si="31"/>
        <v>#REF!</v>
      </c>
      <c r="K202" s="70" t="e">
        <f t="shared" si="31"/>
        <v>#REF!</v>
      </c>
      <c r="M202" s="8" t="s">
        <v>209</v>
      </c>
    </row>
    <row r="203" spans="1:13">
      <c r="B203" s="8" t="s">
        <v>210</v>
      </c>
      <c r="C203" s="164" t="e">
        <f>'Historical Financials'!#REF!</f>
        <v>#REF!</v>
      </c>
      <c r="D203" s="164">
        <f>'Historical Financials'!C35</f>
        <v>0</v>
      </c>
      <c r="E203" s="164">
        <f>'Historical Financials'!D35</f>
        <v>0</v>
      </c>
      <c r="F203" s="164">
        <f>'Historical Financials'!E35</f>
        <v>0</v>
      </c>
      <c r="G203" s="70" t="e">
        <f>F203+(-G209+G210)/G211</f>
        <v>#DIV/0!</v>
      </c>
      <c r="H203" s="70" t="e">
        <f>G203+(-H209+H210)/H211</f>
        <v>#DIV/0!</v>
      </c>
      <c r="I203" s="70" t="e">
        <f>H203+(-I209+I210)/I211</f>
        <v>#DIV/0!</v>
      </c>
      <c r="J203" s="70" t="e">
        <f>I203+(-J209+J210)/J211</f>
        <v>#DIV/0!</v>
      </c>
      <c r="K203" s="70" t="e">
        <f>J203+(-K209+K210)/K211</f>
        <v>#DIV/0!</v>
      </c>
      <c r="M203" s="8" t="s">
        <v>211</v>
      </c>
    </row>
    <row r="204" spans="1:13">
      <c r="B204" s="415" t="s">
        <v>84</v>
      </c>
      <c r="C204" s="416" t="e">
        <f t="shared" ref="C204:K204" si="32">C202/C203</f>
        <v>#REF!</v>
      </c>
      <c r="D204" s="416" t="e">
        <f t="shared" si="32"/>
        <v>#REF!</v>
      </c>
      <c r="E204" s="416" t="e">
        <f t="shared" si="32"/>
        <v>#REF!</v>
      </c>
      <c r="F204" s="416" t="e">
        <f t="shared" si="32"/>
        <v>#REF!</v>
      </c>
      <c r="G204" s="416" t="e">
        <f t="shared" si="32"/>
        <v>#REF!</v>
      </c>
      <c r="H204" s="416" t="e">
        <f t="shared" si="32"/>
        <v>#REF!</v>
      </c>
      <c r="I204" s="416" t="e">
        <f t="shared" si="32"/>
        <v>#REF!</v>
      </c>
      <c r="J204" s="416" t="e">
        <f t="shared" si="32"/>
        <v>#REF!</v>
      </c>
      <c r="K204" s="416" t="e">
        <f t="shared" si="32"/>
        <v>#REF!</v>
      </c>
      <c r="M204" s="8" t="s">
        <v>212</v>
      </c>
    </row>
    <row r="205" spans="1:13">
      <c r="D205" s="103"/>
      <c r="E205" s="103"/>
      <c r="F205" s="103"/>
      <c r="G205" s="70"/>
    </row>
    <row r="206" spans="1:13">
      <c r="B206" s="8" t="s">
        <v>213</v>
      </c>
      <c r="C206" s="164" t="e">
        <f>'Historical Financials'!#REF!</f>
        <v>#REF!</v>
      </c>
      <c r="D206" s="164" t="e">
        <f>'Historical Financials'!#REF!</f>
        <v>#REF!</v>
      </c>
      <c r="E206" s="164" t="e">
        <f>'Historical Financials'!#REF!</f>
        <v>#REF!</v>
      </c>
      <c r="F206" s="164" t="e">
        <f>'Historical Financials'!#REF!</f>
        <v>#REF!</v>
      </c>
      <c r="G206" s="70" t="e">
        <f>G203+F206-F203</f>
        <v>#DIV/0!</v>
      </c>
      <c r="H206" s="70" t="e">
        <f>H203+G206-G203</f>
        <v>#DIV/0!</v>
      </c>
      <c r="I206" s="70" t="e">
        <f>I203+H206-H203</f>
        <v>#DIV/0!</v>
      </c>
      <c r="J206" s="70" t="e">
        <f>J203+I206-I203</f>
        <v>#DIV/0!</v>
      </c>
      <c r="K206" s="70" t="e">
        <f>K203+J206-J203</f>
        <v>#DIV/0!</v>
      </c>
      <c r="M206" s="8" t="s">
        <v>214</v>
      </c>
    </row>
    <row r="207" spans="1:13">
      <c r="B207" s="415" t="s">
        <v>86</v>
      </c>
      <c r="C207" s="416" t="e">
        <f t="shared" ref="C207:K207" si="33">C202/C206</f>
        <v>#REF!</v>
      </c>
      <c r="D207" s="416" t="e">
        <f t="shared" si="33"/>
        <v>#REF!</v>
      </c>
      <c r="E207" s="416" t="e">
        <f t="shared" si="33"/>
        <v>#REF!</v>
      </c>
      <c r="F207" s="416" t="e">
        <f t="shared" si="33"/>
        <v>#REF!</v>
      </c>
      <c r="G207" s="416" t="e">
        <f t="shared" si="33"/>
        <v>#REF!</v>
      </c>
      <c r="H207" s="416" t="e">
        <f t="shared" si="33"/>
        <v>#REF!</v>
      </c>
      <c r="I207" s="416" t="e">
        <f t="shared" si="33"/>
        <v>#REF!</v>
      </c>
      <c r="J207" s="416" t="e">
        <f t="shared" si="33"/>
        <v>#REF!</v>
      </c>
      <c r="K207" s="416" t="e">
        <f t="shared" si="33"/>
        <v>#REF!</v>
      </c>
      <c r="M207" s="8" t="s">
        <v>215</v>
      </c>
    </row>
    <row r="208" spans="1:13">
      <c r="G208" s="153"/>
    </row>
    <row r="209" spans="1:13">
      <c r="B209" s="8" t="s">
        <v>216</v>
      </c>
      <c r="G209" s="70">
        <f>-(G120)</f>
        <v>0</v>
      </c>
      <c r="H209" s="70">
        <f>-(H120)</f>
        <v>0</v>
      </c>
      <c r="I209" s="70">
        <f>-(I120)</f>
        <v>0</v>
      </c>
      <c r="J209" s="70">
        <f>-(J120)</f>
        <v>0</v>
      </c>
      <c r="K209" s="70">
        <f>-(K120)</f>
        <v>0</v>
      </c>
      <c r="M209" s="8" t="s">
        <v>217</v>
      </c>
    </row>
    <row r="210" spans="1:13">
      <c r="B210" s="8" t="s">
        <v>218</v>
      </c>
      <c r="G210" s="104">
        <f>G54</f>
        <v>0</v>
      </c>
      <c r="H210" s="104">
        <f>H54</f>
        <v>0</v>
      </c>
      <c r="I210" s="104">
        <f>I54</f>
        <v>0</v>
      </c>
      <c r="J210" s="104">
        <f>J54</f>
        <v>0</v>
      </c>
      <c r="K210" s="104">
        <f>K54</f>
        <v>0</v>
      </c>
      <c r="M210" s="8" t="s">
        <v>219</v>
      </c>
    </row>
    <row r="211" spans="1:13">
      <c r="B211" s="8" t="s">
        <v>220</v>
      </c>
      <c r="G211" s="183">
        <f>C9</f>
        <v>0</v>
      </c>
      <c r="H211" s="153" t="e">
        <f>G211*(1+H212)</f>
        <v>#REF!</v>
      </c>
      <c r="I211" s="153" t="e">
        <f>H211*(1+I212)</f>
        <v>#REF!</v>
      </c>
      <c r="J211" s="153" t="e">
        <f>I211*(1+J212)</f>
        <v>#REF!</v>
      </c>
      <c r="K211" s="153" t="e">
        <f>J211*(1+K212)</f>
        <v>#REF!</v>
      </c>
      <c r="M211" s="8" t="s">
        <v>221</v>
      </c>
    </row>
    <row r="212" spans="1:13">
      <c r="B212" s="8" t="s">
        <v>222</v>
      </c>
      <c r="H212" s="154" t="e">
        <f>H202/G202-1</f>
        <v>#REF!</v>
      </c>
      <c r="I212" s="154" t="e">
        <f>I202/H202-1</f>
        <v>#REF!</v>
      </c>
      <c r="J212" s="154" t="e">
        <f>J202/I202-1</f>
        <v>#REF!</v>
      </c>
      <c r="K212" s="154" t="e">
        <f>K202/J202-1</f>
        <v>#REF!</v>
      </c>
      <c r="M212" s="8" t="s">
        <v>446</v>
      </c>
    </row>
    <row r="213" spans="1:13">
      <c r="M213" s="109" t="s">
        <v>223</v>
      </c>
    </row>
    <row r="214" spans="1:13">
      <c r="B214" s="38" t="s">
        <v>224</v>
      </c>
      <c r="D214" s="38"/>
      <c r="E214" s="38"/>
      <c r="F214" s="155" t="s">
        <v>225</v>
      </c>
      <c r="G214" s="156">
        <f>C12</f>
        <v>4443.2650000000003</v>
      </c>
      <c r="H214" s="48" t="e">
        <f>G216</f>
        <v>#DIV/0!</v>
      </c>
      <c r="I214" s="48" t="e">
        <f>H216</f>
        <v>#DIV/0!</v>
      </c>
      <c r="J214" s="48" t="e">
        <f>I216</f>
        <v>#DIV/0!</v>
      </c>
      <c r="K214" s="48" t="e">
        <f>J216</f>
        <v>#DIV/0!</v>
      </c>
      <c r="M214" s="8" t="s">
        <v>226</v>
      </c>
    </row>
    <row r="215" spans="1:13">
      <c r="B215" s="8" t="s">
        <v>227</v>
      </c>
      <c r="G215" s="70" t="e">
        <f>(-G209+G210)/G211</f>
        <v>#DIV/0!</v>
      </c>
      <c r="H215" s="70" t="e">
        <f>(-H209+H210)/H211</f>
        <v>#REF!</v>
      </c>
      <c r="I215" s="70" t="e">
        <f>(-I209+I210)/I211</f>
        <v>#REF!</v>
      </c>
      <c r="J215" s="70" t="e">
        <f>(-J209+J210)/J211</f>
        <v>#REF!</v>
      </c>
      <c r="K215" s="70" t="e">
        <f>(-K209+K210)/K211</f>
        <v>#REF!</v>
      </c>
      <c r="M215" s="8" t="s">
        <v>228</v>
      </c>
    </row>
    <row r="216" spans="1:13">
      <c r="B216" s="8" t="s">
        <v>229</v>
      </c>
      <c r="G216" s="70" t="e">
        <f>SUM(G214:G215)</f>
        <v>#DIV/0!</v>
      </c>
      <c r="H216" s="70" t="e">
        <f>SUM(H214:H215)</f>
        <v>#DIV/0!</v>
      </c>
      <c r="I216" s="70" t="e">
        <f>SUM(I214:I215)</f>
        <v>#DIV/0!</v>
      </c>
      <c r="J216" s="70" t="e">
        <f>SUM(J214:J215)</f>
        <v>#DIV/0!</v>
      </c>
      <c r="K216" s="70" t="e">
        <f>SUM(K214:K215)</f>
        <v>#DIV/0!</v>
      </c>
      <c r="M216" s="8" t="s">
        <v>230</v>
      </c>
    </row>
    <row r="217" spans="1:13">
      <c r="B217" s="38" t="s">
        <v>231</v>
      </c>
      <c r="D217" s="38"/>
      <c r="E217" s="38"/>
      <c r="F217" s="38"/>
      <c r="G217" s="48" t="e">
        <f>AVERAGE(G216,G214)</f>
        <v>#DIV/0!</v>
      </c>
      <c r="H217" s="48" t="e">
        <f>AVERAGE(H216,H214)</f>
        <v>#DIV/0!</v>
      </c>
      <c r="I217" s="48" t="e">
        <f>AVERAGE(I216,I214)</f>
        <v>#DIV/0!</v>
      </c>
      <c r="J217" s="48" t="e">
        <f>AVERAGE(J216,J214)</f>
        <v>#DIV/0!</v>
      </c>
      <c r="K217" s="48" t="e">
        <f>AVERAGE(K216,K214)</f>
        <v>#DIV/0!</v>
      </c>
      <c r="M217" s="8" t="s">
        <v>232</v>
      </c>
    </row>
    <row r="218" spans="1:13">
      <c r="M218" s="109"/>
    </row>
    <row r="219" spans="1:13">
      <c r="A219" s="340" t="s">
        <v>19</v>
      </c>
      <c r="B219" s="96" t="s">
        <v>233</v>
      </c>
      <c r="C219" s="96"/>
      <c r="D219" s="96"/>
      <c r="E219" s="96"/>
      <c r="F219" s="96"/>
      <c r="G219" s="96"/>
      <c r="H219" s="96"/>
      <c r="I219" s="96"/>
      <c r="J219" s="96"/>
      <c r="K219" s="96"/>
    </row>
    <row r="220" spans="1:13" ht="5.0999999999999996" customHeight="1" thickBot="1"/>
    <row r="221" spans="1:13" ht="12.75" thickBot="1">
      <c r="B221" s="8" t="s">
        <v>234</v>
      </c>
      <c r="C221" s="157" t="str">
        <f>K6</f>
        <v>Base case</v>
      </c>
      <c r="F221" s="93" t="s">
        <v>235</v>
      </c>
      <c r="G221" s="114">
        <f t="shared" ref="G221:K222" si="34">G15</f>
        <v>2025</v>
      </c>
      <c r="H221" s="114">
        <f t="shared" si="34"/>
        <v>2026</v>
      </c>
      <c r="I221" s="114">
        <f t="shared" si="34"/>
        <v>2027</v>
      </c>
      <c r="J221" s="114">
        <f t="shared" si="34"/>
        <v>2028</v>
      </c>
      <c r="K221" s="114">
        <f t="shared" si="34"/>
        <v>2029</v>
      </c>
    </row>
    <row r="222" spans="1:13">
      <c r="F222" s="94" t="s">
        <v>236</v>
      </c>
      <c r="G222" s="115">
        <f t="shared" si="34"/>
        <v>46022</v>
      </c>
      <c r="H222" s="115">
        <f t="shared" si="34"/>
        <v>46387</v>
      </c>
      <c r="I222" s="115">
        <f t="shared" si="34"/>
        <v>46752</v>
      </c>
      <c r="J222" s="115">
        <f t="shared" si="34"/>
        <v>47118</v>
      </c>
      <c r="K222" s="115">
        <f t="shared" si="34"/>
        <v>47483</v>
      </c>
    </row>
    <row r="223" spans="1:13">
      <c r="B223" s="65" t="s">
        <v>120</v>
      </c>
      <c r="F223" s="158" t="str">
        <f t="shared" ref="F223:K226" ca="1" si="35">OFFSET(F$228,MATCH($K$6,$B$229:$B$231,0)+MATCH($B223,$B$228:$B$243,0)-1,0)</f>
        <v>NM</v>
      </c>
      <c r="G223" s="123">
        <f t="shared" ca="1" si="35"/>
        <v>0.06</v>
      </c>
      <c r="H223" s="123">
        <f t="shared" ca="1" si="35"/>
        <v>6.9000000000000006E-2</v>
      </c>
      <c r="I223" s="123">
        <f t="shared" ca="1" si="35"/>
        <v>6.9000000000000006E-2</v>
      </c>
      <c r="J223" s="123">
        <f t="shared" ca="1" si="35"/>
        <v>6.9000000000000006E-2</v>
      </c>
      <c r="K223" s="123">
        <f t="shared" ca="1" si="35"/>
        <v>6.9000000000000006E-2</v>
      </c>
    </row>
    <row r="224" spans="1:13">
      <c r="B224" s="65" t="s">
        <v>121</v>
      </c>
      <c r="F224" s="158" t="str">
        <f t="shared" ca="1" si="35"/>
        <v>NM</v>
      </c>
      <c r="G224" s="123">
        <f t="shared" ca="1" si="35"/>
        <v>0.378</v>
      </c>
      <c r="H224" s="123">
        <f t="shared" ca="1" si="35"/>
        <v>0.378</v>
      </c>
      <c r="I224" s="123">
        <f t="shared" ca="1" si="35"/>
        <v>0.378</v>
      </c>
      <c r="J224" s="123">
        <f t="shared" ca="1" si="35"/>
        <v>0.378</v>
      </c>
      <c r="K224" s="123">
        <f t="shared" ca="1" si="35"/>
        <v>0.378</v>
      </c>
    </row>
    <row r="225" spans="2:11">
      <c r="B225" s="65" t="s">
        <v>122</v>
      </c>
      <c r="F225" s="158" t="str">
        <f t="shared" ca="1" si="35"/>
        <v>NM</v>
      </c>
      <c r="G225" s="123">
        <f t="shared" ca="1" si="35"/>
        <v>6.2E-2</v>
      </c>
      <c r="H225" s="123">
        <f t="shared" ca="1" si="35"/>
        <v>6.2E-2</v>
      </c>
      <c r="I225" s="123">
        <f t="shared" ca="1" si="35"/>
        <v>6.2E-2</v>
      </c>
      <c r="J225" s="123">
        <f t="shared" ca="1" si="35"/>
        <v>6.2E-2</v>
      </c>
      <c r="K225" s="123">
        <f t="shared" ca="1" si="35"/>
        <v>6.2E-2</v>
      </c>
    </row>
    <row r="226" spans="2:11">
      <c r="B226" s="65" t="s">
        <v>123</v>
      </c>
      <c r="F226" s="158" t="str">
        <f t="shared" ca="1" si="35"/>
        <v>NM</v>
      </c>
      <c r="G226" s="123">
        <f t="shared" ca="1" si="35"/>
        <v>7.0000000000000007E-2</v>
      </c>
      <c r="H226" s="123">
        <f t="shared" ca="1" si="35"/>
        <v>7.0000000000000007E-2</v>
      </c>
      <c r="I226" s="123">
        <f t="shared" ca="1" si="35"/>
        <v>7.0000000000000007E-2</v>
      </c>
      <c r="J226" s="123">
        <f t="shared" ca="1" si="35"/>
        <v>7.0000000000000007E-2</v>
      </c>
      <c r="K226" s="123">
        <f t="shared" ca="1" si="35"/>
        <v>7.0000000000000007E-2</v>
      </c>
    </row>
    <row r="227" spans="2:11">
      <c r="F227" s="159"/>
    </row>
    <row r="228" spans="2:11">
      <c r="B228" s="122" t="s">
        <v>120</v>
      </c>
      <c r="F228" s="159"/>
    </row>
    <row r="229" spans="2:11">
      <c r="B229" s="149" t="s">
        <v>237</v>
      </c>
      <c r="F229" s="160">
        <v>2.5000000000000001E-2</v>
      </c>
      <c r="G229" s="110">
        <f>G230+$F$229</f>
        <v>8.4999999999999992E-2</v>
      </c>
      <c r="H229" s="110">
        <f>H230+$F$229</f>
        <v>9.4E-2</v>
      </c>
      <c r="I229" s="110">
        <f>I230+$F$229</f>
        <v>9.4E-2</v>
      </c>
      <c r="J229" s="110">
        <f>J230+$F$229</f>
        <v>9.4E-2</v>
      </c>
      <c r="K229" s="110">
        <f>K230+$F$229</f>
        <v>9.4E-2</v>
      </c>
    </row>
    <row r="230" spans="2:11">
      <c r="B230" s="149" t="s">
        <v>93</v>
      </c>
      <c r="F230" s="161" t="s">
        <v>238</v>
      </c>
      <c r="G230" s="111">
        <v>0.06</v>
      </c>
      <c r="H230" s="111">
        <v>6.9000000000000006E-2</v>
      </c>
      <c r="I230" s="111">
        <f>H230</f>
        <v>6.9000000000000006E-2</v>
      </c>
      <c r="J230" s="111">
        <f>I230</f>
        <v>6.9000000000000006E-2</v>
      </c>
      <c r="K230" s="111">
        <f>J230</f>
        <v>6.9000000000000006E-2</v>
      </c>
    </row>
    <row r="231" spans="2:11">
      <c r="B231" s="149" t="s">
        <v>239</v>
      </c>
      <c r="F231" s="160">
        <v>-2.5000000000000001E-2</v>
      </c>
      <c r="G231" s="110">
        <f>G230+$F$231</f>
        <v>3.4999999999999996E-2</v>
      </c>
      <c r="H231" s="110">
        <f>H230+$F$231</f>
        <v>4.4000000000000004E-2</v>
      </c>
      <c r="I231" s="110">
        <f>I230+$F$231</f>
        <v>4.4000000000000004E-2</v>
      </c>
      <c r="J231" s="110">
        <f>J230+$F$231</f>
        <v>4.4000000000000004E-2</v>
      </c>
      <c r="K231" s="110">
        <f>K230+$F$231</f>
        <v>4.4000000000000004E-2</v>
      </c>
    </row>
    <row r="232" spans="2:11">
      <c r="B232" s="122" t="s">
        <v>121</v>
      </c>
      <c r="F232" s="161"/>
      <c r="G232" s="111"/>
      <c r="H232" s="111"/>
      <c r="I232" s="111"/>
      <c r="J232" s="111"/>
      <c r="K232" s="111"/>
    </row>
    <row r="233" spans="2:11">
      <c r="B233" s="149" t="s">
        <v>237</v>
      </c>
      <c r="F233" s="160">
        <v>0.01</v>
      </c>
      <c r="G233" s="110">
        <f>G234+$F$233</f>
        <v>0.38800000000000001</v>
      </c>
      <c r="H233" s="110">
        <f>H234+$F$233</f>
        <v>0.38800000000000001</v>
      </c>
      <c r="I233" s="110">
        <f>I234+$F$233</f>
        <v>0.38800000000000001</v>
      </c>
      <c r="J233" s="110">
        <f>J234+$F$233</f>
        <v>0.38800000000000001</v>
      </c>
      <c r="K233" s="110">
        <f>K234+$F$233</f>
        <v>0.38800000000000001</v>
      </c>
    </row>
    <row r="234" spans="2:11">
      <c r="B234" s="149" t="s">
        <v>93</v>
      </c>
      <c r="F234" s="161" t="s">
        <v>238</v>
      </c>
      <c r="G234" s="111">
        <v>0.378</v>
      </c>
      <c r="H234" s="111">
        <v>0.378</v>
      </c>
      <c r="I234" s="111">
        <v>0.378</v>
      </c>
      <c r="J234" s="111">
        <v>0.378</v>
      </c>
      <c r="K234" s="111">
        <v>0.378</v>
      </c>
    </row>
    <row r="235" spans="2:11">
      <c r="B235" s="149" t="s">
        <v>239</v>
      </c>
      <c r="F235" s="160">
        <v>-0.01</v>
      </c>
      <c r="G235" s="110">
        <f>G234+$F$235</f>
        <v>0.36799999999999999</v>
      </c>
      <c r="H235" s="110">
        <f>H234+$F$235</f>
        <v>0.36799999999999999</v>
      </c>
      <c r="I235" s="110">
        <f>I234+$F$235</f>
        <v>0.36799999999999999</v>
      </c>
      <c r="J235" s="110">
        <f>J234+$F$235</f>
        <v>0.36799999999999999</v>
      </c>
      <c r="K235" s="110">
        <f>K234+$F$235</f>
        <v>0.36799999999999999</v>
      </c>
    </row>
    <row r="236" spans="2:11">
      <c r="B236" s="122" t="s">
        <v>122</v>
      </c>
      <c r="F236" s="161"/>
      <c r="G236" s="162"/>
      <c r="H236" s="162"/>
      <c r="I236" s="162"/>
      <c r="J236" s="162"/>
      <c r="K236" s="162"/>
    </row>
    <row r="237" spans="2:11">
      <c r="B237" s="149" t="s">
        <v>237</v>
      </c>
      <c r="F237" s="160">
        <v>-0.01</v>
      </c>
      <c r="G237" s="110">
        <f>G238+$F$237</f>
        <v>5.1999999999999998E-2</v>
      </c>
      <c r="H237" s="110">
        <f>H238+$F$237</f>
        <v>5.1999999999999998E-2</v>
      </c>
      <c r="I237" s="110">
        <f>I238+$F$237</f>
        <v>5.1999999999999998E-2</v>
      </c>
      <c r="J237" s="110">
        <f>J238+$F$237</f>
        <v>5.1999999999999998E-2</v>
      </c>
      <c r="K237" s="110">
        <f>K238+$F$237</f>
        <v>5.1999999999999998E-2</v>
      </c>
    </row>
    <row r="238" spans="2:11">
      <c r="B238" s="149" t="s">
        <v>93</v>
      </c>
      <c r="F238" s="161" t="s">
        <v>238</v>
      </c>
      <c r="G238" s="111">
        <v>6.2E-2</v>
      </c>
      <c r="H238" s="111">
        <v>6.2E-2</v>
      </c>
      <c r="I238" s="111">
        <v>6.2E-2</v>
      </c>
      <c r="J238" s="111">
        <v>6.2E-2</v>
      </c>
      <c r="K238" s="111">
        <v>6.2E-2</v>
      </c>
    </row>
    <row r="239" spans="2:11">
      <c r="B239" s="149" t="s">
        <v>239</v>
      </c>
      <c r="F239" s="160">
        <v>0.01</v>
      </c>
      <c r="G239" s="110">
        <f>G238+$F$239</f>
        <v>7.1999999999999995E-2</v>
      </c>
      <c r="H239" s="110">
        <f>H238+$F$239</f>
        <v>7.1999999999999995E-2</v>
      </c>
      <c r="I239" s="110">
        <f>I238+$F$239</f>
        <v>7.1999999999999995E-2</v>
      </c>
      <c r="J239" s="110">
        <f>J238+$F$239</f>
        <v>7.1999999999999995E-2</v>
      </c>
      <c r="K239" s="110">
        <f>K238+$F$239</f>
        <v>7.1999999999999995E-2</v>
      </c>
    </row>
    <row r="240" spans="2:11">
      <c r="B240" s="122" t="s">
        <v>123</v>
      </c>
      <c r="F240" s="161"/>
      <c r="G240" s="162"/>
      <c r="H240" s="162"/>
      <c r="I240" s="162"/>
      <c r="J240" s="162"/>
      <c r="K240" s="162"/>
    </row>
    <row r="241" spans="2:11">
      <c r="B241" s="149" t="s">
        <v>237</v>
      </c>
      <c r="F241" s="160">
        <v>-0.01</v>
      </c>
      <c r="G241" s="110">
        <f>G242+$F$241</f>
        <v>6.0000000000000005E-2</v>
      </c>
      <c r="H241" s="110">
        <f>H242+$F$241</f>
        <v>6.0000000000000005E-2</v>
      </c>
      <c r="I241" s="110">
        <f>I242+$F$241</f>
        <v>6.0000000000000005E-2</v>
      </c>
      <c r="J241" s="110">
        <f>J242+$F$241</f>
        <v>6.0000000000000005E-2</v>
      </c>
      <c r="K241" s="110">
        <f>K242+$F$241</f>
        <v>6.0000000000000005E-2</v>
      </c>
    </row>
    <row r="242" spans="2:11">
      <c r="B242" s="149" t="s">
        <v>93</v>
      </c>
      <c r="F242" s="161" t="s">
        <v>238</v>
      </c>
      <c r="G242" s="111">
        <v>7.0000000000000007E-2</v>
      </c>
      <c r="H242" s="111">
        <v>7.0000000000000007E-2</v>
      </c>
      <c r="I242" s="111">
        <v>7.0000000000000007E-2</v>
      </c>
      <c r="J242" s="111">
        <v>7.0000000000000007E-2</v>
      </c>
      <c r="K242" s="111">
        <v>7.0000000000000007E-2</v>
      </c>
    </row>
    <row r="243" spans="2:11" ht="12.75" thickBot="1">
      <c r="B243" s="149" t="s">
        <v>239</v>
      </c>
      <c r="F243" s="163">
        <v>0.01</v>
      </c>
      <c r="G243" s="110">
        <f>G242+$F$243</f>
        <v>0.08</v>
      </c>
      <c r="H243" s="110">
        <f>H242+$F$243</f>
        <v>0.08</v>
      </c>
      <c r="I243" s="110">
        <f>I242+$F$243</f>
        <v>0.08</v>
      </c>
      <c r="J243" s="110">
        <f>J242+$F$243</f>
        <v>0.08</v>
      </c>
      <c r="K243" s="110">
        <f>K242+$F$243</f>
        <v>0.08</v>
      </c>
    </row>
  </sheetData>
  <conditionalFormatting sqref="B226">
    <cfRule type="expression" dxfId="4" priority="1">
      <formula>#REF!=$B226</formula>
    </cfRule>
  </conditionalFormatting>
  <conditionalFormatting sqref="B240">
    <cfRule type="expression" dxfId="3" priority="2">
      <formula>#REF!=$B240</formula>
    </cfRule>
  </conditionalFormatting>
  <conditionalFormatting sqref="B70:C70">
    <cfRule type="expression" dxfId="2" priority="3">
      <formula>#REF!=$B70</formula>
    </cfRule>
  </conditionalFormatting>
  <dataValidations disablePrompts="1" count="3">
    <dataValidation type="list" allowBlank="1" showInputMessage="1" showErrorMessage="1" sqref="K6" xr:uid="{316BE8D0-5F80-4150-9F8E-D688FDB5F6FA}">
      <formula1>$B$229:$B$231</formula1>
    </dataValidation>
    <dataValidation type="list" allowBlank="1" showInputMessage="1" showErrorMessage="1" sqref="C8" xr:uid="{8FB3E4E8-6631-4284-8CF7-9D27DFB216D8}">
      <formula1>"0,1"</formula1>
    </dataValidation>
    <dataValidation type="list" allowBlank="1" showInputMessage="1" showErrorMessage="1" sqref="B4" xr:uid="{546FCFF0-46AD-42A0-9C58-8911EAA87FA4}">
      <formula1>"$ bns except per share, $ mm except per share,$ in thousands except per share"</formula1>
    </dataValidation>
  </dataValidations>
  <pageMargins left="0.7" right="0.7" top="0.75" bottom="0.75" header="0.3" footer="0.3"/>
  <ignoredErrors>
    <ignoredError sqref="G107:K108 G86:K87 H156:K156 G92:K95 H91:K91 G203:K207 H100:K100 G98:K99 B155:B159 G158:K158 H159:K159 G155:K155 G157:K157 F156 G113:K113 H109:K112 H96:K96 G44:K44 C28:K30 C45:K52 C44:F44 C55:K55 D72:F74 C68:C71 D66:F71 C56:K56 B57:K59 B56 B60:C60 G66:K71 B68:B71 C32:K43 G31:K31 B66:C67 C61 G60:K61 D60:F61 G89:K90 G88:J88" evalError="1"/>
  </ignoredErrors>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79C42-13A4-4B46-993E-E6AAC91FB0B6}">
  <dimension ref="A2:U200"/>
  <sheetViews>
    <sheetView showGridLines="0" zoomScale="115" zoomScaleNormal="115" workbookViewId="0">
      <selection activeCell="B3" sqref="B3"/>
    </sheetView>
  </sheetViews>
  <sheetFormatPr defaultRowHeight="12"/>
  <cols>
    <col min="1" max="1" width="1.625" style="8" customWidth="1"/>
    <col min="2" max="2" width="31.75" style="8" bestFit="1" customWidth="1"/>
    <col min="3" max="3" width="9.5" style="8" bestFit="1" customWidth="1"/>
    <col min="4" max="8" width="8.625" style="8" bestFit="1" customWidth="1"/>
    <col min="9" max="9" width="2" style="8" customWidth="1"/>
    <col min="10" max="10" width="8.875" style="8" customWidth="1"/>
    <col min="11" max="11" width="1.125" style="8" customWidth="1"/>
    <col min="12" max="17" width="8.625" style="8" bestFit="1" customWidth="1"/>
    <col min="18" max="18" width="1.625" style="8" customWidth="1"/>
    <col min="19" max="19" width="8.625" style="8" bestFit="1" customWidth="1"/>
    <col min="20" max="20" width="1.625" style="8" customWidth="1"/>
    <col min="21" max="25" width="7.875" style="8" bestFit="1" customWidth="1"/>
    <col min="26" max="16384" width="9" style="8"/>
  </cols>
  <sheetData>
    <row r="2" spans="2:19">
      <c r="B2" s="1" t="str">
        <f>'Historical Financials'!B2</f>
        <v>Klarna Group plc (KLAR)</v>
      </c>
      <c r="C2" s="1"/>
      <c r="D2" s="1"/>
      <c r="E2" s="1"/>
      <c r="F2" s="1"/>
      <c r="G2" s="1"/>
      <c r="H2" s="1"/>
      <c r="I2" s="1"/>
      <c r="J2" s="1"/>
      <c r="K2" s="1"/>
      <c r="L2" s="1"/>
      <c r="M2" s="1"/>
      <c r="N2" s="1"/>
      <c r="O2" s="1"/>
      <c r="P2" s="1"/>
      <c r="Q2" s="1"/>
      <c r="R2" s="1"/>
      <c r="S2" s="1"/>
    </row>
    <row r="3" spans="2:19">
      <c r="B3" s="6" t="s">
        <v>407</v>
      </c>
      <c r="C3" s="1"/>
      <c r="D3" s="1"/>
      <c r="E3" s="1"/>
      <c r="F3" s="1"/>
      <c r="G3" s="1"/>
      <c r="H3" s="1"/>
      <c r="I3" s="1"/>
      <c r="J3" s="1"/>
      <c r="K3" s="1"/>
      <c r="L3" s="1"/>
      <c r="M3" s="1"/>
      <c r="N3" s="1"/>
      <c r="O3" s="1"/>
      <c r="P3" s="1"/>
      <c r="Q3" s="1"/>
      <c r="R3" s="1"/>
      <c r="S3" s="1"/>
    </row>
    <row r="4" spans="2:19">
      <c r="B4" s="6" t="s">
        <v>398</v>
      </c>
      <c r="C4" s="6"/>
      <c r="D4" s="6"/>
      <c r="E4" s="6"/>
      <c r="F4" s="6"/>
      <c r="G4" s="6"/>
      <c r="H4" s="6"/>
      <c r="I4" s="6"/>
      <c r="J4" s="6"/>
      <c r="K4" s="6"/>
      <c r="L4" s="6"/>
      <c r="M4" s="6"/>
      <c r="N4" s="6"/>
      <c r="O4" s="6"/>
      <c r="P4" s="6"/>
      <c r="Q4" s="6"/>
      <c r="R4" s="6"/>
      <c r="S4" s="6"/>
    </row>
    <row r="5" spans="2:19" ht="5.0999999999999996" customHeight="1"/>
    <row r="6" spans="2:19">
      <c r="B6" s="336" t="s">
        <v>91</v>
      </c>
      <c r="C6" s="334" t="s">
        <v>600</v>
      </c>
      <c r="D6" s="179"/>
      <c r="E6" s="179"/>
      <c r="F6" s="179"/>
      <c r="G6" s="179"/>
      <c r="H6" s="179"/>
      <c r="I6" s="179"/>
      <c r="J6" s="179"/>
      <c r="K6" s="179"/>
      <c r="L6" s="179"/>
      <c r="M6" s="179"/>
      <c r="N6" s="179"/>
      <c r="O6" s="178" t="s">
        <v>92</v>
      </c>
      <c r="P6" s="179"/>
      <c r="Q6" s="342" t="s">
        <v>93</v>
      </c>
      <c r="R6" s="179"/>
      <c r="S6" s="335"/>
    </row>
    <row r="7" spans="2:19">
      <c r="B7" s="337" t="s">
        <v>94</v>
      </c>
      <c r="C7" s="325" t="s">
        <v>558</v>
      </c>
      <c r="S7" s="332"/>
    </row>
    <row r="8" spans="2:19">
      <c r="B8" s="338" t="s">
        <v>95</v>
      </c>
      <c r="C8" s="341">
        <v>0</v>
      </c>
      <c r="S8" s="332"/>
    </row>
    <row r="9" spans="2:19">
      <c r="B9" s="338" t="s">
        <v>96</v>
      </c>
      <c r="C9" s="326"/>
      <c r="S9" s="332"/>
    </row>
    <row r="10" spans="2:19">
      <c r="B10" s="338" t="s">
        <v>97</v>
      </c>
      <c r="C10" s="327"/>
      <c r="S10" s="332"/>
    </row>
    <row r="11" spans="2:19">
      <c r="B11" s="337" t="s">
        <v>98</v>
      </c>
      <c r="C11" s="328"/>
      <c r="S11" s="332"/>
    </row>
    <row r="12" spans="2:19">
      <c r="B12" s="339" t="s">
        <v>99</v>
      </c>
      <c r="C12" s="330"/>
      <c r="D12" s="329"/>
      <c r="E12" s="329"/>
      <c r="F12" s="329"/>
      <c r="G12" s="329"/>
      <c r="H12" s="329"/>
      <c r="I12" s="329"/>
      <c r="J12" s="329"/>
      <c r="K12" s="329"/>
      <c r="L12" s="329"/>
      <c r="M12" s="329"/>
      <c r="N12" s="329"/>
      <c r="O12" s="329"/>
      <c r="P12" s="329"/>
      <c r="Q12" s="329"/>
      <c r="R12" s="329"/>
      <c r="S12" s="333"/>
    </row>
    <row r="13" spans="2:19" ht="5.0999999999999996" customHeight="1"/>
    <row r="14" spans="2:19">
      <c r="B14" s="1" t="s">
        <v>401</v>
      </c>
      <c r="C14" s="2" t="s">
        <v>399</v>
      </c>
      <c r="D14" s="2"/>
      <c r="E14" s="2"/>
      <c r="F14" s="2"/>
      <c r="G14" s="2"/>
      <c r="H14" s="2"/>
      <c r="I14" s="1"/>
      <c r="J14" s="2" t="s">
        <v>559</v>
      </c>
      <c r="K14" s="1"/>
      <c r="L14" s="2" t="s">
        <v>157</v>
      </c>
      <c r="M14" s="512"/>
      <c r="N14" s="512"/>
      <c r="O14" s="512"/>
      <c r="P14" s="512"/>
      <c r="Q14" s="2"/>
      <c r="R14" s="370"/>
      <c r="S14" s="2" t="s">
        <v>559</v>
      </c>
    </row>
    <row r="15" spans="2:19">
      <c r="B15" s="6" t="s">
        <v>100</v>
      </c>
      <c r="C15" s="513">
        <v>2019</v>
      </c>
      <c r="D15" s="513">
        <v>2020</v>
      </c>
      <c r="E15" s="513">
        <v>2021</v>
      </c>
      <c r="F15" s="513">
        <v>2022</v>
      </c>
      <c r="G15" s="513">
        <v>2023</v>
      </c>
      <c r="H15" s="513">
        <v>2024</v>
      </c>
      <c r="I15" s="6"/>
      <c r="J15" s="345" t="s">
        <v>561</v>
      </c>
      <c r="K15" s="6"/>
      <c r="L15" s="514">
        <f>H15+1</f>
        <v>2025</v>
      </c>
      <c r="M15" s="514">
        <f>+L15+1</f>
        <v>2026</v>
      </c>
      <c r="N15" s="514">
        <f>+M15+1</f>
        <v>2027</v>
      </c>
      <c r="O15" s="514">
        <f>+N15+1</f>
        <v>2028</v>
      </c>
      <c r="P15" s="514">
        <f>+O15+1</f>
        <v>2029</v>
      </c>
      <c r="Q15" s="514">
        <f>+P15+1</f>
        <v>2030</v>
      </c>
      <c r="R15" s="345"/>
      <c r="S15" s="345" t="s">
        <v>562</v>
      </c>
    </row>
    <row r="16" spans="2:19">
      <c r="B16" s="6" t="s">
        <v>101</v>
      </c>
      <c r="C16" s="515">
        <v>43830</v>
      </c>
      <c r="D16" s="515">
        <v>44196</v>
      </c>
      <c r="E16" s="515">
        <v>44561</v>
      </c>
      <c r="F16" s="515">
        <v>44926</v>
      </c>
      <c r="G16" s="515">
        <v>45291</v>
      </c>
      <c r="H16" s="515">
        <v>45657</v>
      </c>
      <c r="I16" s="6"/>
      <c r="J16" s="3">
        <f>H16</f>
        <v>45657</v>
      </c>
      <c r="K16" s="6"/>
      <c r="L16" s="515">
        <f>EOMONTH(H16,12)</f>
        <v>46022</v>
      </c>
      <c r="M16" s="515">
        <f>EOMONTH(L16,12)</f>
        <v>46387</v>
      </c>
      <c r="N16" s="515">
        <f>EOMONTH(M16,12)</f>
        <v>46752</v>
      </c>
      <c r="O16" s="515">
        <f>EOMONTH(N16,12)</f>
        <v>47118</v>
      </c>
      <c r="P16" s="515">
        <f>EOMONTH(O16,12)</f>
        <v>47483</v>
      </c>
      <c r="Q16" s="515">
        <f>EOMONTH(P16,12)</f>
        <v>47848</v>
      </c>
      <c r="R16" s="3"/>
      <c r="S16" s="3">
        <f>Q16</f>
        <v>47848</v>
      </c>
    </row>
    <row r="17" spans="2:19" ht="5.0999999999999996" customHeight="1"/>
    <row r="18" spans="2:19">
      <c r="B18" s="8" t="s">
        <v>570</v>
      </c>
      <c r="C18" s="164" t="e">
        <f>'Revenue Drivers'!#REF!</f>
        <v>#REF!</v>
      </c>
      <c r="D18" s="164" t="e">
        <f>'Revenue Drivers'!#REF!</f>
        <v>#REF!</v>
      </c>
      <c r="E18" s="164" t="e">
        <f>'Revenue Drivers'!#REF!</f>
        <v>#REF!</v>
      </c>
      <c r="F18" s="164" t="e">
        <f>'Revenue Drivers'!#REF!</f>
        <v>#REF!</v>
      </c>
      <c r="G18" s="164" t="e">
        <f>'Revenue Drivers'!#REF!</f>
        <v>#REF!</v>
      </c>
      <c r="H18" s="164" t="e">
        <f>'Revenue Drivers'!#REF!</f>
        <v>#REF!</v>
      </c>
      <c r="J18" s="516" t="e">
        <f t="shared" ref="J18:J29" si="0">((H18/C18)^(1/COUNT(D18:H18))-1)</f>
        <v>#REF!</v>
      </c>
      <c r="L18" s="164">
        <f>Drivers!C35</f>
        <v>221130.19495493398</v>
      </c>
      <c r="M18" s="164">
        <f>Drivers!D35</f>
        <v>243527.80524204439</v>
      </c>
      <c r="N18" s="164">
        <f>Drivers!E35</f>
        <v>264237.03723351686</v>
      </c>
      <c r="O18" s="517">
        <f t="shared" ref="O18:Q20" si="1">SUM(N18*O57)+N18</f>
        <v>285376.00021219824</v>
      </c>
      <c r="P18" s="517">
        <f t="shared" si="1"/>
        <v>308206.08022917411</v>
      </c>
      <c r="Q18" s="517">
        <f t="shared" si="1"/>
        <v>332862.56664750807</v>
      </c>
      <c r="S18" s="516">
        <f>((Q18/L18)^(1/COUNT(L18:Q18))-1)</f>
        <v>7.0539800544617837E-2</v>
      </c>
    </row>
    <row r="19" spans="2:19">
      <c r="B19" s="8" t="s">
        <v>533</v>
      </c>
      <c r="C19" s="164" t="e">
        <f>'Revenue Drivers'!#REF!</f>
        <v>#REF!</v>
      </c>
      <c r="D19" s="164" t="e">
        <f>'Revenue Drivers'!#REF!</f>
        <v>#REF!</v>
      </c>
      <c r="E19" s="164" t="e">
        <f>'Revenue Drivers'!#REF!</f>
        <v>#REF!</v>
      </c>
      <c r="F19" s="164" t="e">
        <f>'Revenue Drivers'!#REF!</f>
        <v>#REF!</v>
      </c>
      <c r="G19" s="164" t="e">
        <f>'Revenue Drivers'!#REF!</f>
        <v>#REF!</v>
      </c>
      <c r="H19" s="164" t="e">
        <f>'Revenue Drivers'!#REF!</f>
        <v>#REF!</v>
      </c>
      <c r="J19" s="516" t="e">
        <f t="shared" si="0"/>
        <v>#REF!</v>
      </c>
      <c r="L19" s="164">
        <f>Drivers!C48</f>
        <v>41070.496666666666</v>
      </c>
      <c r="M19" s="164">
        <f>Drivers!D48</f>
        <v>46634.941233333338</v>
      </c>
      <c r="N19" s="164">
        <f>Drivers!E48</f>
        <v>52625.730935666674</v>
      </c>
      <c r="O19" s="517">
        <f t="shared" si="1"/>
        <v>58414.561338590007</v>
      </c>
      <c r="P19" s="517">
        <f t="shared" si="1"/>
        <v>64256.017472449006</v>
      </c>
      <c r="Q19" s="517">
        <f t="shared" si="1"/>
        <v>70039.059044969414</v>
      </c>
      <c r="S19" s="516">
        <f>((Q19/L19)^(1/COUNT(L19:Q19))-1)</f>
        <v>9.303748991510985E-2</v>
      </c>
    </row>
    <row r="20" spans="2:19">
      <c r="B20" s="8" t="s">
        <v>489</v>
      </c>
      <c r="C20" s="164" t="e">
        <f>'Revenue Drivers'!#REF!</f>
        <v>#REF!</v>
      </c>
      <c r="D20" s="164" t="e">
        <f>'Revenue Drivers'!#REF!</f>
        <v>#REF!</v>
      </c>
      <c r="E20" s="164" t="e">
        <f>'Revenue Drivers'!#REF!</f>
        <v>#REF!</v>
      </c>
      <c r="F20" s="164" t="e">
        <f>'Revenue Drivers'!#REF!</f>
        <v>#REF!</v>
      </c>
      <c r="G20" s="164" t="e">
        <f>'Revenue Drivers'!#REF!</f>
        <v>#REF!</v>
      </c>
      <c r="H20" s="164" t="e">
        <f>'Revenue Drivers'!#REF!</f>
        <v>#REF!</v>
      </c>
      <c r="J20" s="516" t="e">
        <f t="shared" si="0"/>
        <v>#REF!</v>
      </c>
      <c r="L20" s="164">
        <f>Drivers!C61</f>
        <v>29632.23</v>
      </c>
      <c r="M20" s="164">
        <f>Drivers!D61</f>
        <v>29539.891666666666</v>
      </c>
      <c r="N20" s="164">
        <f>Drivers!E61</f>
        <v>29601.511773333332</v>
      </c>
      <c r="O20" s="517" t="e">
        <f t="shared" si="1"/>
        <v>#REF!</v>
      </c>
      <c r="P20" s="517" t="e">
        <f t="shared" si="1"/>
        <v>#REF!</v>
      </c>
      <c r="Q20" s="517" t="e">
        <f t="shared" si="1"/>
        <v>#REF!</v>
      </c>
      <c r="S20" s="516" t="e">
        <f>((Q20/L20)^(1/COUNT(L20:Q20))-1)</f>
        <v>#REF!</v>
      </c>
    </row>
    <row r="21" spans="2:19">
      <c r="B21" s="122" t="s">
        <v>568</v>
      </c>
      <c r="C21" s="518" t="e">
        <f t="shared" ref="C21:H21" si="2">SUM(C18:C20)</f>
        <v>#REF!</v>
      </c>
      <c r="D21" s="518" t="e">
        <f t="shared" si="2"/>
        <v>#REF!</v>
      </c>
      <c r="E21" s="518" t="e">
        <f t="shared" si="2"/>
        <v>#REF!</v>
      </c>
      <c r="F21" s="518" t="e">
        <f t="shared" si="2"/>
        <v>#REF!</v>
      </c>
      <c r="G21" s="518" t="e">
        <f t="shared" si="2"/>
        <v>#REF!</v>
      </c>
      <c r="H21" s="518" t="e">
        <f t="shared" si="2"/>
        <v>#REF!</v>
      </c>
      <c r="J21" s="519" t="e">
        <f t="shared" si="0"/>
        <v>#REF!</v>
      </c>
      <c r="L21" s="518">
        <f t="shared" ref="L21:Q21" si="3">SUM(L18:L20)</f>
        <v>291832.92162160063</v>
      </c>
      <c r="M21" s="518">
        <f t="shared" si="3"/>
        <v>319702.63814204436</v>
      </c>
      <c r="N21" s="518">
        <f t="shared" si="3"/>
        <v>346464.27994251682</v>
      </c>
      <c r="O21" s="518" t="e">
        <f t="shared" si="3"/>
        <v>#REF!</v>
      </c>
      <c r="P21" s="518" t="e">
        <f t="shared" si="3"/>
        <v>#REF!</v>
      </c>
      <c r="Q21" s="518" t="e">
        <f t="shared" si="3"/>
        <v>#REF!</v>
      </c>
      <c r="S21" s="519" t="e">
        <f>((Q21/L21)^(1/COUNT(L21:Q21))-1)</f>
        <v>#REF!</v>
      </c>
    </row>
    <row r="22" spans="2:19" ht="5.0999999999999996" customHeight="1">
      <c r="C22" s="164"/>
      <c r="D22" s="164"/>
      <c r="E22" s="164"/>
      <c r="F22" s="164"/>
      <c r="G22" s="164"/>
      <c r="H22" s="164"/>
      <c r="J22" s="516"/>
      <c r="L22" s="517"/>
      <c r="M22" s="517"/>
      <c r="N22" s="517"/>
      <c r="O22" s="517"/>
      <c r="P22" s="517"/>
      <c r="Q22" s="517"/>
      <c r="S22" s="516"/>
    </row>
    <row r="23" spans="2:19">
      <c r="B23" s="8" t="s">
        <v>490</v>
      </c>
      <c r="C23" s="164" t="e">
        <f>'Revenue Drivers'!#REF!</f>
        <v>#REF!</v>
      </c>
      <c r="D23" s="164" t="e">
        <f>'Revenue Drivers'!#REF!</f>
        <v>#REF!</v>
      </c>
      <c r="E23" s="164" t="e">
        <f>'Revenue Drivers'!#REF!</f>
        <v>#REF!</v>
      </c>
      <c r="F23" s="164" t="e">
        <f>'Revenue Drivers'!#REF!</f>
        <v>#REF!</v>
      </c>
      <c r="G23" s="164" t="e">
        <f>'Revenue Drivers'!#REF!</f>
        <v>#REF!</v>
      </c>
      <c r="H23" s="164" t="e">
        <f>'Revenue Drivers'!#REF!</f>
        <v>#REF!</v>
      </c>
      <c r="J23" s="516" t="e">
        <f t="shared" si="0"/>
        <v>#REF!</v>
      </c>
      <c r="L23" s="164">
        <f>Drivers!C74</f>
        <v>47146.508198395022</v>
      </c>
      <c r="M23" s="164">
        <f>Drivers!D74</f>
        <v>54034.476526792721</v>
      </c>
      <c r="N23" s="164">
        <f>Drivers!E74</f>
        <v>60208.760873571009</v>
      </c>
      <c r="O23" s="164">
        <f>Drivers!F74</f>
        <v>62475.760873571009</v>
      </c>
      <c r="P23" s="164">
        <f>Drivers!G74</f>
        <v>65014.760873571009</v>
      </c>
      <c r="Q23" s="164">
        <f>Drivers!H74</f>
        <v>67858.427540237681</v>
      </c>
      <c r="S23" s="516">
        <f>((Q23/L23)^(1/COUNT(L23:Q23))-1)</f>
        <v>6.2573652756709564E-2</v>
      </c>
    </row>
    <row r="24" spans="2:19">
      <c r="B24" s="122" t="s">
        <v>494</v>
      </c>
      <c r="C24" s="518" t="e">
        <f t="shared" ref="C24:H24" si="4">+C23+C21</f>
        <v>#REF!</v>
      </c>
      <c r="D24" s="518" t="e">
        <f t="shared" si="4"/>
        <v>#REF!</v>
      </c>
      <c r="E24" s="518" t="e">
        <f t="shared" si="4"/>
        <v>#REF!</v>
      </c>
      <c r="F24" s="518" t="e">
        <f t="shared" si="4"/>
        <v>#REF!</v>
      </c>
      <c r="G24" s="518" t="e">
        <f t="shared" si="4"/>
        <v>#REF!</v>
      </c>
      <c r="H24" s="518" t="e">
        <f t="shared" si="4"/>
        <v>#REF!</v>
      </c>
      <c r="J24" s="519" t="e">
        <f t="shared" si="0"/>
        <v>#REF!</v>
      </c>
      <c r="L24" s="518">
        <f t="shared" ref="L24:Q24" si="5">+L23+L21</f>
        <v>338979.42981999565</v>
      </c>
      <c r="M24" s="518">
        <f t="shared" si="5"/>
        <v>373737.11466883711</v>
      </c>
      <c r="N24" s="518">
        <f t="shared" si="5"/>
        <v>406673.04081608786</v>
      </c>
      <c r="O24" s="518" t="e">
        <f t="shared" si="5"/>
        <v>#REF!</v>
      </c>
      <c r="P24" s="518" t="e">
        <f t="shared" si="5"/>
        <v>#REF!</v>
      </c>
      <c r="Q24" s="518" t="e">
        <f t="shared" si="5"/>
        <v>#REF!</v>
      </c>
      <c r="S24" s="519" t="e">
        <f>((Q24/L24)^(1/COUNT(L24:Q24))-1)</f>
        <v>#REF!</v>
      </c>
    </row>
    <row r="25" spans="2:19" ht="5.0999999999999996" customHeight="1">
      <c r="C25" s="164"/>
      <c r="D25" s="164"/>
      <c r="E25" s="164"/>
      <c r="F25" s="164"/>
      <c r="G25" s="164"/>
      <c r="H25" s="164"/>
      <c r="J25" s="516"/>
      <c r="L25" s="517"/>
      <c r="M25" s="517"/>
      <c r="N25" s="517"/>
      <c r="O25" s="517"/>
      <c r="P25" s="517"/>
      <c r="Q25" s="517"/>
      <c r="S25" s="516"/>
    </row>
    <row r="26" spans="2:19">
      <c r="B26" s="8" t="s">
        <v>491</v>
      </c>
      <c r="C26" s="164" t="e">
        <f>'Revenue Drivers'!#REF!</f>
        <v>#REF!</v>
      </c>
      <c r="D26" s="164" t="e">
        <f>'Revenue Drivers'!#REF!</f>
        <v>#REF!</v>
      </c>
      <c r="E26" s="164" t="e">
        <f>'Revenue Drivers'!#REF!</f>
        <v>#REF!</v>
      </c>
      <c r="F26" s="164">
        <f>'Revenue Drivers'!C10</f>
        <v>436</v>
      </c>
      <c r="G26" s="164">
        <f>'Revenue Drivers'!D10</f>
        <v>508</v>
      </c>
      <c r="H26" s="164">
        <f>'Revenue Drivers'!E10</f>
        <v>675</v>
      </c>
      <c r="J26" s="516" t="e">
        <f t="shared" si="0"/>
        <v>#REF!</v>
      </c>
      <c r="L26" s="164">
        <f>Drivers!C87</f>
        <v>56838.869062333513</v>
      </c>
      <c r="M26" s="164">
        <f>Drivers!D87</f>
        <v>74972.97278379109</v>
      </c>
      <c r="N26" s="164">
        <f>Drivers!E87</f>
        <v>96842.664324616388</v>
      </c>
      <c r="O26" s="517">
        <f>SUM(N26*O61)+N26</f>
        <v>107908.45388849419</v>
      </c>
      <c r="P26" s="517">
        <f>SUM(O26*P61)+O26</f>
        <v>120238.68304132804</v>
      </c>
      <c r="Q26" s="517">
        <f>SUM(P26*Q61)+P26</f>
        <v>133977.833789114</v>
      </c>
      <c r="S26" s="516">
        <f>((Q26/L26)^(1/COUNT(L26:Q26))-1)</f>
        <v>0.15362480945833812</v>
      </c>
    </row>
    <row r="27" spans="2:19">
      <c r="B27" s="8" t="s">
        <v>492</v>
      </c>
      <c r="C27" s="164" t="e">
        <f>'Revenue Drivers'!#REF!</f>
        <v>#REF!</v>
      </c>
      <c r="D27" s="164" t="e">
        <f>'Revenue Drivers'!#REF!</f>
        <v>#REF!</v>
      </c>
      <c r="E27" s="164" t="e">
        <f>'Revenue Drivers'!#REF!</f>
        <v>#REF!</v>
      </c>
      <c r="F27" s="164" t="e">
        <f>'Revenue Drivers'!#REF!</f>
        <v>#REF!</v>
      </c>
      <c r="G27" s="164" t="e">
        <f>'Revenue Drivers'!#REF!</f>
        <v>#REF!</v>
      </c>
      <c r="H27" s="164" t="e">
        <f>'Revenue Drivers'!#REF!</f>
        <v>#REF!</v>
      </c>
      <c r="J27" s="516" t="e">
        <f t="shared" si="0"/>
        <v>#REF!</v>
      </c>
      <c r="L27" s="164">
        <f>Drivers!C100</f>
        <v>1649.1666666666667</v>
      </c>
      <c r="M27" s="164">
        <f>Drivers!D100</f>
        <v>1759.7966666666669</v>
      </c>
      <c r="N27" s="164">
        <f>Drivers!E100</f>
        <v>1889.0631666666668</v>
      </c>
      <c r="O27" s="164">
        <f>Drivers!F100</f>
        <v>1917.1965</v>
      </c>
      <c r="P27" s="164">
        <f>Drivers!G100</f>
        <v>1946.9298333333334</v>
      </c>
      <c r="Q27" s="164">
        <f>Drivers!H100</f>
        <v>1978.2965000000002</v>
      </c>
      <c r="S27" s="516">
        <f>((Q27/L27)^(1/COUNT(L27:Q27))-1)</f>
        <v>3.0792236774068504E-2</v>
      </c>
    </row>
    <row r="28" spans="2:19">
      <c r="B28" s="8" t="s">
        <v>493</v>
      </c>
      <c r="C28" s="164" t="e">
        <f>'Revenue Drivers'!#REF!</f>
        <v>#REF!</v>
      </c>
      <c r="D28" s="164" t="e">
        <f>'Revenue Drivers'!#REF!</f>
        <v>#REF!</v>
      </c>
      <c r="E28" s="164" t="e">
        <f>'Revenue Drivers'!#REF!</f>
        <v>#REF!</v>
      </c>
      <c r="F28" s="164" t="e">
        <f>'Revenue Drivers'!#REF!</f>
        <v>#REF!</v>
      </c>
      <c r="G28" s="164" t="e">
        <f>'Revenue Drivers'!#REF!</f>
        <v>#REF!</v>
      </c>
      <c r="H28" s="164" t="e">
        <f>'Revenue Drivers'!#REF!</f>
        <v>#REF!</v>
      </c>
      <c r="J28" s="516" t="e">
        <f t="shared" si="0"/>
        <v>#REF!</v>
      </c>
      <c r="L28" s="517" t="e">
        <f>H28</f>
        <v>#REF!</v>
      </c>
      <c r="M28" s="517" t="e">
        <f>L28</f>
        <v>#REF!</v>
      </c>
      <c r="N28" s="517" t="e">
        <f>M28</f>
        <v>#REF!</v>
      </c>
      <c r="O28" s="517" t="e">
        <f>N28</f>
        <v>#REF!</v>
      </c>
      <c r="P28" s="517" t="e">
        <f>O28</f>
        <v>#REF!</v>
      </c>
      <c r="Q28" s="517" t="e">
        <f>P28</f>
        <v>#REF!</v>
      </c>
      <c r="S28" s="516" t="e">
        <f>((Q28/L28)^(1/COUNT(L28:Q28))-1)</f>
        <v>#REF!</v>
      </c>
    </row>
    <row r="29" spans="2:19">
      <c r="B29" s="38" t="s">
        <v>9</v>
      </c>
      <c r="C29" s="518" t="e">
        <f t="shared" ref="C29:H29" si="6">SUM(C26:C28)+C24</f>
        <v>#REF!</v>
      </c>
      <c r="D29" s="518" t="e">
        <f t="shared" si="6"/>
        <v>#REF!</v>
      </c>
      <c r="E29" s="518" t="e">
        <f t="shared" si="6"/>
        <v>#REF!</v>
      </c>
      <c r="F29" s="518" t="e">
        <f t="shared" si="6"/>
        <v>#REF!</v>
      </c>
      <c r="G29" s="518" t="e">
        <f t="shared" si="6"/>
        <v>#REF!</v>
      </c>
      <c r="H29" s="518" t="e">
        <f t="shared" si="6"/>
        <v>#REF!</v>
      </c>
      <c r="I29" s="38"/>
      <c r="J29" s="519" t="e">
        <f t="shared" si="0"/>
        <v>#REF!</v>
      </c>
      <c r="K29" s="38"/>
      <c r="L29" s="518" t="e">
        <f t="shared" ref="L29:Q29" si="7">SUM(L26:L28)+L24</f>
        <v>#REF!</v>
      </c>
      <c r="M29" s="518" t="e">
        <f t="shared" si="7"/>
        <v>#REF!</v>
      </c>
      <c r="N29" s="518" t="e">
        <f t="shared" si="7"/>
        <v>#REF!</v>
      </c>
      <c r="O29" s="518" t="e">
        <f t="shared" si="7"/>
        <v>#REF!</v>
      </c>
      <c r="P29" s="518" t="e">
        <f t="shared" si="7"/>
        <v>#REF!</v>
      </c>
      <c r="Q29" s="518" t="e">
        <f t="shared" si="7"/>
        <v>#REF!</v>
      </c>
      <c r="S29" s="519" t="e">
        <f>((Q29/L29)^(1/COUNT(L29:Q29))-1)</f>
        <v>#REF!</v>
      </c>
    </row>
    <row r="30" spans="2:19" ht="5.0999999999999996" customHeight="1">
      <c r="C30" s="164"/>
      <c r="D30" s="164"/>
      <c r="E30" s="164"/>
      <c r="F30" s="164"/>
      <c r="G30" s="164"/>
      <c r="H30" s="164"/>
      <c r="L30" s="164"/>
      <c r="M30" s="164"/>
      <c r="N30" s="164"/>
      <c r="O30" s="164"/>
      <c r="P30" s="164"/>
      <c r="Q30" s="164"/>
      <c r="S30" s="516"/>
    </row>
    <row r="31" spans="2:19">
      <c r="B31" s="8" t="s">
        <v>563</v>
      </c>
      <c r="C31" s="164" t="e">
        <f>'Historical Financials'!#REF!</f>
        <v>#REF!</v>
      </c>
      <c r="D31" s="164" t="e">
        <f>'Historical Financials'!#REF!</f>
        <v>#REF!</v>
      </c>
      <c r="E31" s="164" t="e">
        <f>'Historical Financials'!#REF!</f>
        <v>#REF!</v>
      </c>
      <c r="F31" s="164">
        <f>'Historical Financials'!C13</f>
        <v>-520</v>
      </c>
      <c r="G31" s="164">
        <f>'Historical Financials'!D13</f>
        <v>-541</v>
      </c>
      <c r="H31" s="164">
        <f>'Historical Financials'!E13</f>
        <v>-596</v>
      </c>
      <c r="J31" s="516" t="e">
        <f>((H31/C31)^(1/COUNT(D31:H31))-1)</f>
        <v>#REF!</v>
      </c>
      <c r="L31" s="517" t="e">
        <f t="shared" ref="L31:Q31" si="8">+L32-L29</f>
        <v>#REF!</v>
      </c>
      <c r="M31" s="517" t="e">
        <f t="shared" si="8"/>
        <v>#REF!</v>
      </c>
      <c r="N31" s="517" t="e">
        <f t="shared" si="8"/>
        <v>#REF!</v>
      </c>
      <c r="O31" s="517" t="e">
        <f t="shared" si="8"/>
        <v>#REF!</v>
      </c>
      <c r="P31" s="517" t="e">
        <f t="shared" si="8"/>
        <v>#REF!</v>
      </c>
      <c r="Q31" s="517" t="e">
        <f t="shared" si="8"/>
        <v>#REF!</v>
      </c>
      <c r="S31" s="516" t="e">
        <f>((Q31/L31)^(1/COUNT(L31:Q31))-1)</f>
        <v>#REF!</v>
      </c>
    </row>
    <row r="32" spans="2:19">
      <c r="B32" s="38" t="s">
        <v>25</v>
      </c>
      <c r="C32" s="518" t="e">
        <f t="shared" ref="C32:H32" si="9">+C31+C29</f>
        <v>#REF!</v>
      </c>
      <c r="D32" s="518" t="e">
        <f t="shared" si="9"/>
        <v>#REF!</v>
      </c>
      <c r="E32" s="518" t="e">
        <f t="shared" si="9"/>
        <v>#REF!</v>
      </c>
      <c r="F32" s="518" t="e">
        <f t="shared" si="9"/>
        <v>#REF!</v>
      </c>
      <c r="G32" s="518" t="e">
        <f t="shared" si="9"/>
        <v>#REF!</v>
      </c>
      <c r="H32" s="518" t="e">
        <f t="shared" si="9"/>
        <v>#REF!</v>
      </c>
      <c r="I32" s="38"/>
      <c r="J32" s="519" t="e">
        <f>((H32/C32)^(1/COUNT(D32:H32))-1)</f>
        <v>#REF!</v>
      </c>
      <c r="K32" s="38"/>
      <c r="L32" s="518" t="e">
        <f t="shared" ref="L32:Q32" si="10">+L29*L66</f>
        <v>#REF!</v>
      </c>
      <c r="M32" s="518" t="e">
        <f t="shared" si="10"/>
        <v>#REF!</v>
      </c>
      <c r="N32" s="518" t="e">
        <f t="shared" si="10"/>
        <v>#REF!</v>
      </c>
      <c r="O32" s="518" t="e">
        <f t="shared" si="10"/>
        <v>#REF!</v>
      </c>
      <c r="P32" s="518" t="e">
        <f t="shared" si="10"/>
        <v>#REF!</v>
      </c>
      <c r="Q32" s="518" t="e">
        <f t="shared" si="10"/>
        <v>#REF!</v>
      </c>
      <c r="S32" s="519" t="e">
        <f>((Q32/L32)^(1/COUNT(L32:Q32))-1)</f>
        <v>#REF!</v>
      </c>
    </row>
    <row r="33" spans="2:21" ht="5.0999999999999996" customHeight="1">
      <c r="C33" s="70"/>
      <c r="D33" s="70"/>
      <c r="E33" s="70"/>
      <c r="F33" s="70"/>
      <c r="G33" s="70"/>
      <c r="H33" s="70"/>
      <c r="L33" s="70"/>
      <c r="M33" s="70"/>
      <c r="N33" s="70"/>
      <c r="O33" s="70"/>
      <c r="P33" s="70"/>
      <c r="Q33" s="70"/>
      <c r="S33" s="516"/>
    </row>
    <row r="34" spans="2:21">
      <c r="B34" s="8" t="s">
        <v>423</v>
      </c>
      <c r="C34" s="164" t="e">
        <f>'Historical Financials'!#REF!</f>
        <v>#REF!</v>
      </c>
      <c r="D34" s="164" t="e">
        <f>'Historical Financials'!#REF!</f>
        <v>#REF!</v>
      </c>
      <c r="E34" s="164" t="e">
        <f>'Historical Financials'!#REF!</f>
        <v>#REF!</v>
      </c>
      <c r="F34" s="164" t="e">
        <f>'Historical Financials'!#REF!</f>
        <v>#REF!</v>
      </c>
      <c r="G34" s="164" t="e">
        <f>'Historical Financials'!#REF!</f>
        <v>#REF!</v>
      </c>
      <c r="H34" s="164" t="e">
        <f>'Historical Financials'!#REF!</f>
        <v>#REF!</v>
      </c>
      <c r="J34" s="516" t="e">
        <f t="shared" ref="J34:J48" si="11">((H34/C34)^(1/COUNT(D34:H34))-1)</f>
        <v>#REF!</v>
      </c>
      <c r="L34" s="517" t="e">
        <f t="shared" ref="L34:Q34" si="12">-(+L29*L73)</f>
        <v>#REF!</v>
      </c>
      <c r="M34" s="517" t="e">
        <f t="shared" si="12"/>
        <v>#REF!</v>
      </c>
      <c r="N34" s="517" t="e">
        <f t="shared" si="12"/>
        <v>#REF!</v>
      </c>
      <c r="O34" s="517" t="e">
        <f t="shared" si="12"/>
        <v>#REF!</v>
      </c>
      <c r="P34" s="517" t="e">
        <f t="shared" si="12"/>
        <v>#REF!</v>
      </c>
      <c r="Q34" s="517" t="e">
        <f t="shared" si="12"/>
        <v>#REF!</v>
      </c>
      <c r="S34" s="516" t="e">
        <f>((Q34/L34)^(1/COUNT(L34:Q34))-1)</f>
        <v>#REF!</v>
      </c>
    </row>
    <row r="35" spans="2:21">
      <c r="B35" s="8" t="s">
        <v>456</v>
      </c>
      <c r="C35" s="164" t="e">
        <f>'Historical Financials'!#REF!</f>
        <v>#REF!</v>
      </c>
      <c r="D35" s="164" t="e">
        <f>'Historical Financials'!#REF!</f>
        <v>#REF!</v>
      </c>
      <c r="E35" s="164" t="e">
        <f>'Historical Financials'!#REF!</f>
        <v>#REF!</v>
      </c>
      <c r="F35" s="164" t="e">
        <f>'Historical Financials'!#REF!</f>
        <v>#REF!</v>
      </c>
      <c r="G35" s="164" t="e">
        <f>'Historical Financials'!#REF!</f>
        <v>#REF!</v>
      </c>
      <c r="H35" s="164" t="e">
        <f>'Historical Financials'!#REF!</f>
        <v>#REF!</v>
      </c>
      <c r="J35" s="516" t="e">
        <f t="shared" si="11"/>
        <v>#REF!</v>
      </c>
      <c r="L35" s="517" t="e">
        <f t="shared" ref="L35:Q35" si="13">-(+L29*L74)</f>
        <v>#REF!</v>
      </c>
      <c r="M35" s="517" t="e">
        <f t="shared" si="13"/>
        <v>#REF!</v>
      </c>
      <c r="N35" s="517" t="e">
        <f t="shared" si="13"/>
        <v>#REF!</v>
      </c>
      <c r="O35" s="517" t="e">
        <f t="shared" si="13"/>
        <v>#REF!</v>
      </c>
      <c r="P35" s="517" t="e">
        <f t="shared" si="13"/>
        <v>#REF!</v>
      </c>
      <c r="Q35" s="517" t="e">
        <f t="shared" si="13"/>
        <v>#REF!</v>
      </c>
      <c r="S35" s="516" t="e">
        <f>((Q35/L35)^(1/COUNT(L35:Q35))-1)</f>
        <v>#REF!</v>
      </c>
    </row>
    <row r="36" spans="2:21">
      <c r="B36" s="8" t="s">
        <v>457</v>
      </c>
      <c r="C36" s="164" t="e">
        <f>'Historical Financials'!#REF!</f>
        <v>#REF!</v>
      </c>
      <c r="D36" s="164" t="e">
        <f>'Historical Financials'!#REF!</f>
        <v>#REF!</v>
      </c>
      <c r="E36" s="164" t="e">
        <f>'Historical Financials'!#REF!</f>
        <v>#REF!</v>
      </c>
      <c r="F36" s="164" t="e">
        <f>'Historical Financials'!#REF!</f>
        <v>#REF!</v>
      </c>
      <c r="G36" s="164" t="e">
        <f>'Historical Financials'!#REF!</f>
        <v>#REF!</v>
      </c>
      <c r="H36" s="164" t="e">
        <f>'Historical Financials'!#REF!</f>
        <v>#REF!</v>
      </c>
      <c r="J36" s="516" t="e">
        <f t="shared" si="11"/>
        <v>#REF!</v>
      </c>
      <c r="L36" s="517" t="e">
        <f t="shared" ref="L36:Q36" si="14">-(+L29*L75)</f>
        <v>#REF!</v>
      </c>
      <c r="M36" s="517" t="e">
        <f t="shared" si="14"/>
        <v>#REF!</v>
      </c>
      <c r="N36" s="517" t="e">
        <f t="shared" si="14"/>
        <v>#REF!</v>
      </c>
      <c r="O36" s="517" t="e">
        <f t="shared" si="14"/>
        <v>#REF!</v>
      </c>
      <c r="P36" s="517" t="e">
        <f t="shared" si="14"/>
        <v>#REF!</v>
      </c>
      <c r="Q36" s="517" t="e">
        <f t="shared" si="14"/>
        <v>#REF!</v>
      </c>
      <c r="S36" s="516" t="e">
        <f>((Q36/L36)^(1/COUNT(L36:Q36))-1)</f>
        <v>#REF!</v>
      </c>
    </row>
    <row r="37" spans="2:21">
      <c r="B37" s="38" t="s">
        <v>106</v>
      </c>
      <c r="C37" s="518" t="e">
        <f t="shared" ref="C37:H37" si="15">SUM(C34:C36)+C32</f>
        <v>#REF!</v>
      </c>
      <c r="D37" s="518" t="e">
        <f t="shared" si="15"/>
        <v>#REF!</v>
      </c>
      <c r="E37" s="518" t="e">
        <f t="shared" si="15"/>
        <v>#REF!</v>
      </c>
      <c r="F37" s="518" t="e">
        <f t="shared" si="15"/>
        <v>#REF!</v>
      </c>
      <c r="G37" s="518" t="e">
        <f t="shared" si="15"/>
        <v>#REF!</v>
      </c>
      <c r="H37" s="518" t="e">
        <f t="shared" si="15"/>
        <v>#REF!</v>
      </c>
      <c r="I37" s="38"/>
      <c r="J37" s="519" t="e">
        <f t="shared" si="11"/>
        <v>#REF!</v>
      </c>
      <c r="K37" s="38"/>
      <c r="L37" s="518" t="e">
        <f t="shared" ref="L37:Q37" si="16">SUM(L34:L36)+L32</f>
        <v>#REF!</v>
      </c>
      <c r="M37" s="518" t="e">
        <f t="shared" si="16"/>
        <v>#REF!</v>
      </c>
      <c r="N37" s="518" t="e">
        <f t="shared" si="16"/>
        <v>#REF!</v>
      </c>
      <c r="O37" s="518" t="e">
        <f t="shared" si="16"/>
        <v>#REF!</v>
      </c>
      <c r="P37" s="518" t="e">
        <f t="shared" si="16"/>
        <v>#REF!</v>
      </c>
      <c r="Q37" s="518" t="e">
        <f t="shared" si="16"/>
        <v>#REF!</v>
      </c>
      <c r="S37" s="519" t="e">
        <f>((Q37/L37)^(1/COUNT(L37:Q37))-1)</f>
        <v>#REF!</v>
      </c>
    </row>
    <row r="38" spans="2:21" ht="5.0999999999999996" customHeight="1"/>
    <row r="39" spans="2:21">
      <c r="B39" s="8" t="s">
        <v>458</v>
      </c>
      <c r="C39" s="164" t="e">
        <f>'Historical Financials'!#REF!</f>
        <v>#REF!</v>
      </c>
      <c r="D39" s="164" t="e">
        <f>'Historical Financials'!#REF!</f>
        <v>#REF!</v>
      </c>
      <c r="E39" s="164" t="e">
        <f>'Historical Financials'!#REF!</f>
        <v>#REF!</v>
      </c>
      <c r="F39" s="164">
        <f>'Historical Financials'!C27</f>
        <v>-58</v>
      </c>
      <c r="G39" s="164">
        <f>'Historical Financials'!D27</f>
        <v>19</v>
      </c>
      <c r="H39" s="164">
        <f>'Historical Financials'!E27</f>
        <v>154</v>
      </c>
      <c r="J39" s="516" t="e">
        <f t="shared" si="11"/>
        <v>#REF!</v>
      </c>
      <c r="L39" s="559"/>
      <c r="M39" s="559"/>
      <c r="N39" s="559"/>
      <c r="O39" s="559"/>
      <c r="P39" s="559"/>
      <c r="Q39" s="559"/>
      <c r="S39" s="516" t="e">
        <f>((Q39/L39)^(1/COUNT(L39:Q39))-1)</f>
        <v>#DIV/0!</v>
      </c>
      <c r="U39" s="8" t="s">
        <v>440</v>
      </c>
    </row>
    <row r="40" spans="2:21">
      <c r="B40" s="8" t="s">
        <v>425</v>
      </c>
      <c r="C40" s="164" t="e">
        <f>'Historical Financials'!#REF!</f>
        <v>#REF!</v>
      </c>
      <c r="D40" s="164" t="e">
        <f>'Historical Financials'!#REF!</f>
        <v>#REF!</v>
      </c>
      <c r="E40" s="164" t="e">
        <f>'Historical Financials'!#REF!</f>
        <v>#REF!</v>
      </c>
      <c r="F40" s="164" t="e">
        <f>'Historical Financials'!#REF!</f>
        <v>#REF!</v>
      </c>
      <c r="G40" s="164" t="e">
        <f>'Historical Financials'!#REF!</f>
        <v>#REF!</v>
      </c>
      <c r="H40" s="164" t="e">
        <f>'Historical Financials'!#REF!</f>
        <v>#REF!</v>
      </c>
      <c r="J40" s="516" t="e">
        <f t="shared" si="11"/>
        <v>#REF!</v>
      </c>
      <c r="L40" s="559"/>
      <c r="M40" s="559"/>
      <c r="N40" s="559"/>
      <c r="O40" s="559"/>
      <c r="P40" s="559"/>
      <c r="Q40" s="559"/>
      <c r="S40" s="516" t="e">
        <f>((Q40/L40)^(1/COUNT(L40:Q40))-1)</f>
        <v>#DIV/0!</v>
      </c>
      <c r="U40" s="8" t="s">
        <v>108</v>
      </c>
    </row>
    <row r="41" spans="2:21">
      <c r="B41" s="8" t="s">
        <v>534</v>
      </c>
      <c r="C41" s="164" t="e">
        <f>'Historical Financials'!#REF!</f>
        <v>#REF!</v>
      </c>
      <c r="D41" s="164" t="e">
        <f>'Historical Financials'!#REF!</f>
        <v>#REF!</v>
      </c>
      <c r="E41" s="164" t="e">
        <f>'Historical Financials'!#REF!</f>
        <v>#REF!</v>
      </c>
      <c r="F41" s="164" t="e">
        <f>'Historical Financials'!#REF!</f>
        <v>#REF!</v>
      </c>
      <c r="G41" s="164" t="e">
        <f>'Historical Financials'!#REF!</f>
        <v>#REF!</v>
      </c>
      <c r="H41" s="164" t="e">
        <f>'Historical Financials'!#REF!</f>
        <v>#REF!</v>
      </c>
      <c r="J41" s="516" t="e">
        <f t="shared" si="11"/>
        <v>#REF!</v>
      </c>
      <c r="L41" s="517" t="e">
        <f>H41</f>
        <v>#REF!</v>
      </c>
      <c r="M41" s="517" t="e">
        <f>L41</f>
        <v>#REF!</v>
      </c>
      <c r="N41" s="517" t="e">
        <f>M41</f>
        <v>#REF!</v>
      </c>
      <c r="O41" s="517" t="e">
        <f>N41</f>
        <v>#REF!</v>
      </c>
      <c r="P41" s="517" t="e">
        <f>O41</f>
        <v>#REF!</v>
      </c>
      <c r="Q41" s="517" t="e">
        <f>P41</f>
        <v>#REF!</v>
      </c>
      <c r="S41" s="516" t="e">
        <f>((Q41/L41)^(1/COUNT(L41:Q41))-1)</f>
        <v>#REF!</v>
      </c>
      <c r="U41" s="8" t="s">
        <v>109</v>
      </c>
    </row>
    <row r="42" spans="2:21">
      <c r="B42" s="38" t="s">
        <v>110</v>
      </c>
      <c r="C42" s="518" t="e">
        <f t="shared" ref="C42:H42" si="17">SUM(C39:C41)+C37</f>
        <v>#REF!</v>
      </c>
      <c r="D42" s="518" t="e">
        <f t="shared" si="17"/>
        <v>#REF!</v>
      </c>
      <c r="E42" s="518" t="e">
        <f t="shared" si="17"/>
        <v>#REF!</v>
      </c>
      <c r="F42" s="518" t="e">
        <f t="shared" si="17"/>
        <v>#REF!</v>
      </c>
      <c r="G42" s="518" t="e">
        <f t="shared" si="17"/>
        <v>#REF!</v>
      </c>
      <c r="H42" s="518" t="e">
        <f t="shared" si="17"/>
        <v>#REF!</v>
      </c>
      <c r="I42" s="38"/>
      <c r="J42" s="519" t="e">
        <f t="shared" si="11"/>
        <v>#REF!</v>
      </c>
      <c r="K42" s="38"/>
      <c r="L42" s="518" t="e">
        <f t="shared" ref="L42:Q42" si="18">SUM(L39:L41)+L37</f>
        <v>#REF!</v>
      </c>
      <c r="M42" s="518" t="e">
        <f t="shared" si="18"/>
        <v>#REF!</v>
      </c>
      <c r="N42" s="518" t="e">
        <f t="shared" si="18"/>
        <v>#REF!</v>
      </c>
      <c r="O42" s="518" t="e">
        <f t="shared" si="18"/>
        <v>#REF!</v>
      </c>
      <c r="P42" s="518" t="e">
        <f t="shared" si="18"/>
        <v>#REF!</v>
      </c>
      <c r="Q42" s="518" t="e">
        <f t="shared" si="18"/>
        <v>#REF!</v>
      </c>
      <c r="S42" s="519" t="e">
        <f>((Q42/L42)^(1/COUNT(L42:Q42))-1)</f>
        <v>#REF!</v>
      </c>
    </row>
    <row r="43" spans="2:21" ht="5.0999999999999996" customHeight="1">
      <c r="B43" s="38"/>
      <c r="C43" s="38"/>
      <c r="D43" s="38"/>
      <c r="E43" s="38"/>
      <c r="F43" s="38"/>
      <c r="G43" s="38"/>
      <c r="H43" s="38"/>
      <c r="I43" s="38"/>
      <c r="J43" s="38"/>
      <c r="K43" s="38"/>
      <c r="L43" s="38"/>
      <c r="M43" s="38"/>
      <c r="N43" s="38"/>
      <c r="O43" s="38"/>
      <c r="P43" s="38"/>
      <c r="Q43" s="38"/>
      <c r="S43" s="521"/>
    </row>
    <row r="44" spans="2:21">
      <c r="B44" s="8" t="s">
        <v>416</v>
      </c>
      <c r="C44" s="164" t="e">
        <f>'Historical Financials'!#REF!</f>
        <v>#REF!</v>
      </c>
      <c r="D44" s="164" t="e">
        <f>'Historical Financials'!#REF!</f>
        <v>#REF!</v>
      </c>
      <c r="E44" s="164" t="e">
        <f>'Historical Financials'!#REF!</f>
        <v>#REF!</v>
      </c>
      <c r="F44" s="164">
        <f>'Historical Financials'!C31</f>
        <v>3</v>
      </c>
      <c r="G44" s="164">
        <f>'Historical Financials'!D31</f>
        <v>60</v>
      </c>
      <c r="H44" s="164">
        <f>'Historical Financials'!E31</f>
        <v>-12</v>
      </c>
      <c r="J44" s="516" t="e">
        <f t="shared" si="11"/>
        <v>#REF!</v>
      </c>
      <c r="L44" s="517" t="e">
        <f t="shared" ref="L44:Q44" si="19">-(L42*L68)</f>
        <v>#REF!</v>
      </c>
      <c r="M44" s="517" t="e">
        <f t="shared" si="19"/>
        <v>#REF!</v>
      </c>
      <c r="N44" s="517" t="e">
        <f t="shared" si="19"/>
        <v>#REF!</v>
      </c>
      <c r="O44" s="517" t="e">
        <f t="shared" si="19"/>
        <v>#REF!</v>
      </c>
      <c r="P44" s="517" t="e">
        <f t="shared" si="19"/>
        <v>#REF!</v>
      </c>
      <c r="Q44" s="517" t="e">
        <f t="shared" si="19"/>
        <v>#REF!</v>
      </c>
      <c r="S44" s="516" t="e">
        <f>((Q44/L44)^(1/COUNT(L44:Q44))-1)</f>
        <v>#REF!</v>
      </c>
    </row>
    <row r="45" spans="2:21">
      <c r="B45" s="38" t="s">
        <v>13</v>
      </c>
      <c r="C45" s="518" t="e">
        <f t="shared" ref="C45:H45" si="20">+C42+C44</f>
        <v>#REF!</v>
      </c>
      <c r="D45" s="518" t="e">
        <f t="shared" si="20"/>
        <v>#REF!</v>
      </c>
      <c r="E45" s="518" t="e">
        <f t="shared" si="20"/>
        <v>#REF!</v>
      </c>
      <c r="F45" s="518" t="e">
        <f t="shared" si="20"/>
        <v>#REF!</v>
      </c>
      <c r="G45" s="518" t="e">
        <f t="shared" si="20"/>
        <v>#REF!</v>
      </c>
      <c r="H45" s="518" t="e">
        <f t="shared" si="20"/>
        <v>#REF!</v>
      </c>
      <c r="I45" s="38"/>
      <c r="J45" s="519" t="e">
        <f t="shared" si="11"/>
        <v>#REF!</v>
      </c>
      <c r="K45" s="38"/>
      <c r="L45" s="518" t="e">
        <f t="shared" ref="L45:Q45" si="21">+L42+L44</f>
        <v>#REF!</v>
      </c>
      <c r="M45" s="518" t="e">
        <f t="shared" si="21"/>
        <v>#REF!</v>
      </c>
      <c r="N45" s="518" t="e">
        <f t="shared" si="21"/>
        <v>#REF!</v>
      </c>
      <c r="O45" s="518" t="e">
        <f t="shared" si="21"/>
        <v>#REF!</v>
      </c>
      <c r="P45" s="518" t="e">
        <f t="shared" si="21"/>
        <v>#REF!</v>
      </c>
      <c r="Q45" s="518" t="e">
        <f t="shared" si="21"/>
        <v>#REF!</v>
      </c>
      <c r="S45" s="519" t="e">
        <f>((Q45/L45)^(1/COUNT(L45:Q45))-1)</f>
        <v>#REF!</v>
      </c>
    </row>
    <row r="46" spans="2:21" ht="5.0999999999999996" customHeight="1">
      <c r="B46" s="38"/>
      <c r="C46" s="48"/>
      <c r="D46" s="48"/>
      <c r="E46" s="48"/>
      <c r="F46" s="48"/>
      <c r="G46" s="48"/>
      <c r="H46" s="48"/>
      <c r="I46" s="38"/>
      <c r="J46" s="38"/>
      <c r="K46" s="38"/>
      <c r="L46" s="48"/>
      <c r="M46" s="48"/>
      <c r="N46" s="48"/>
      <c r="O46" s="48"/>
      <c r="P46" s="48"/>
      <c r="Q46" s="48"/>
      <c r="S46" s="520"/>
    </row>
    <row r="47" spans="2:21">
      <c r="B47" s="8" t="s">
        <v>564</v>
      </c>
      <c r="C47" s="164" t="e">
        <f>'Historical Financials'!#REF!</f>
        <v>#REF!</v>
      </c>
      <c r="D47" s="164" t="e">
        <f>'Historical Financials'!#REF!</f>
        <v>#REF!</v>
      </c>
      <c r="E47" s="164" t="e">
        <f>'Historical Financials'!#REF!</f>
        <v>#REF!</v>
      </c>
      <c r="F47" s="164">
        <f>'Historical Financials'!C91</f>
        <v>0</v>
      </c>
      <c r="G47" s="164">
        <f>'Historical Financials'!D91</f>
        <v>0</v>
      </c>
      <c r="H47" s="164">
        <f>'Historical Financials'!E91</f>
        <v>0</v>
      </c>
      <c r="J47" s="516" t="e">
        <f t="shared" si="11"/>
        <v>#REF!</v>
      </c>
      <c r="L47" s="559" t="e">
        <f t="shared" ref="L47:Q47" ca="1" si="22">-L164</f>
        <v>#DIV/0!</v>
      </c>
      <c r="M47" s="559" t="e">
        <f t="shared" ca="1" si="22"/>
        <v>#DIV/0!</v>
      </c>
      <c r="N47" s="559" t="e">
        <f t="shared" ca="1" si="22"/>
        <v>#DIV/0!</v>
      </c>
      <c r="O47" s="559" t="e">
        <f t="shared" ca="1" si="22"/>
        <v>#DIV/0!</v>
      </c>
      <c r="P47" s="559" t="e">
        <f t="shared" ca="1" si="22"/>
        <v>#DIV/0!</v>
      </c>
      <c r="Q47" s="559" t="e">
        <f t="shared" ca="1" si="22"/>
        <v>#DIV/0!</v>
      </c>
      <c r="S47" s="516" t="e">
        <f ca="1">((Q47/L47)^(1/COUNT(L47:Q47))-1)</f>
        <v>#DIV/0!</v>
      </c>
      <c r="U47" s="8" t="s">
        <v>115</v>
      </c>
    </row>
    <row r="48" spans="2:21">
      <c r="B48" s="38" t="s">
        <v>7</v>
      </c>
      <c r="C48" s="518" t="e">
        <f t="shared" ref="C48:H48" si="23">+C37+C47</f>
        <v>#REF!</v>
      </c>
      <c r="D48" s="518" t="e">
        <f t="shared" si="23"/>
        <v>#REF!</v>
      </c>
      <c r="E48" s="518" t="e">
        <f t="shared" si="23"/>
        <v>#REF!</v>
      </c>
      <c r="F48" s="518" t="e">
        <f t="shared" si="23"/>
        <v>#REF!</v>
      </c>
      <c r="G48" s="518" t="e">
        <f t="shared" si="23"/>
        <v>#REF!</v>
      </c>
      <c r="H48" s="518" t="e">
        <f t="shared" si="23"/>
        <v>#REF!</v>
      </c>
      <c r="I48" s="38"/>
      <c r="J48" s="519" t="e">
        <f t="shared" si="11"/>
        <v>#REF!</v>
      </c>
      <c r="K48" s="38"/>
      <c r="L48" s="518" t="e">
        <f t="shared" ref="L48:Q48" ca="1" si="24">+L37+L47</f>
        <v>#REF!</v>
      </c>
      <c r="M48" s="518" t="e">
        <f t="shared" ca="1" si="24"/>
        <v>#REF!</v>
      </c>
      <c r="N48" s="518" t="e">
        <f t="shared" ca="1" si="24"/>
        <v>#REF!</v>
      </c>
      <c r="O48" s="518" t="e">
        <f t="shared" ca="1" si="24"/>
        <v>#REF!</v>
      </c>
      <c r="P48" s="518" t="e">
        <f t="shared" ca="1" si="24"/>
        <v>#REF!</v>
      </c>
      <c r="Q48" s="518" t="e">
        <f t="shared" ca="1" si="24"/>
        <v>#REF!</v>
      </c>
      <c r="S48" s="516" t="e">
        <f ca="1">((Q48/L48)^(1/COUNT(L48:Q48))-1)</f>
        <v>#REF!</v>
      </c>
    </row>
    <row r="49" spans="2:19" ht="5.0999999999999996" customHeight="1">
      <c r="B49" s="38"/>
      <c r="C49" s="48"/>
      <c r="D49" s="48"/>
      <c r="E49" s="48"/>
      <c r="F49" s="48"/>
      <c r="G49" s="48"/>
      <c r="H49" s="48"/>
      <c r="I49" s="38"/>
      <c r="J49" s="519"/>
      <c r="K49" s="38"/>
      <c r="L49" s="48"/>
      <c r="M49" s="48"/>
      <c r="N49" s="48"/>
      <c r="O49" s="48"/>
      <c r="P49" s="48"/>
      <c r="Q49" s="48"/>
      <c r="S49" s="519"/>
    </row>
    <row r="50" spans="2:19">
      <c r="B50" s="8" t="s">
        <v>565</v>
      </c>
      <c r="C50" s="164" t="e">
        <f>'Historical Financials'!#REF!</f>
        <v>#REF!</v>
      </c>
      <c r="D50" s="164" t="e">
        <f>'Historical Financials'!#REF!</f>
        <v>#REF!</v>
      </c>
      <c r="E50" s="164" t="e">
        <f>'Historical Financials'!#REF!</f>
        <v>#REF!</v>
      </c>
      <c r="F50" s="164">
        <f>'Historical Financials'!C92</f>
        <v>0</v>
      </c>
      <c r="G50" s="164">
        <f>'Historical Financials'!D92</f>
        <v>0</v>
      </c>
      <c r="H50" s="164">
        <f>'Historical Financials'!E92</f>
        <v>0</v>
      </c>
      <c r="J50" s="516" t="e">
        <f>((H50/C50)^(1/COUNT(D50:H50))-1)</f>
        <v>#REF!</v>
      </c>
      <c r="L50" s="517" t="e">
        <f>(H50*L56)+H50</f>
        <v>#REF!</v>
      </c>
      <c r="M50" s="517" t="e">
        <f>(L50*M56)+L50</f>
        <v>#REF!</v>
      </c>
      <c r="N50" s="517" t="e">
        <f>(M50*N56)+M50</f>
        <v>#REF!</v>
      </c>
      <c r="O50" s="517" t="e">
        <f>(N50*O56)+N50</f>
        <v>#REF!</v>
      </c>
      <c r="P50" s="517" t="e">
        <f>(O50*P56)+O50</f>
        <v>#REF!</v>
      </c>
      <c r="Q50" s="517" t="e">
        <f>(P50*Q56)+P50</f>
        <v>#REF!</v>
      </c>
      <c r="S50" s="516" t="e">
        <f>((Q50/L50)^(1/COUNT(L50:Q50))-1)</f>
        <v>#REF!</v>
      </c>
    </row>
    <row r="51" spans="2:19">
      <c r="B51" s="38" t="s">
        <v>47</v>
      </c>
      <c r="C51" s="518" t="e">
        <f t="shared" ref="C51:H51" si="25">+C48+C50</f>
        <v>#REF!</v>
      </c>
      <c r="D51" s="518" t="e">
        <f t="shared" si="25"/>
        <v>#REF!</v>
      </c>
      <c r="E51" s="518" t="e">
        <f t="shared" si="25"/>
        <v>#REF!</v>
      </c>
      <c r="F51" s="518" t="e">
        <f t="shared" si="25"/>
        <v>#REF!</v>
      </c>
      <c r="G51" s="518" t="e">
        <f t="shared" si="25"/>
        <v>#REF!</v>
      </c>
      <c r="H51" s="518" t="e">
        <f t="shared" si="25"/>
        <v>#REF!</v>
      </c>
      <c r="I51" s="38"/>
      <c r="J51" s="519" t="e">
        <f>((H51/C51)^(1/COUNT(D51:H51))-1)</f>
        <v>#REF!</v>
      </c>
      <c r="K51" s="38"/>
      <c r="L51" s="518" t="e">
        <f t="shared" ref="L51:Q51" ca="1" si="26">+L48+L50</f>
        <v>#REF!</v>
      </c>
      <c r="M51" s="518" t="e">
        <f t="shared" ca="1" si="26"/>
        <v>#REF!</v>
      </c>
      <c r="N51" s="518" t="e">
        <f t="shared" ca="1" si="26"/>
        <v>#REF!</v>
      </c>
      <c r="O51" s="518" t="e">
        <f t="shared" ca="1" si="26"/>
        <v>#REF!</v>
      </c>
      <c r="P51" s="518" t="e">
        <f t="shared" ca="1" si="26"/>
        <v>#REF!</v>
      </c>
      <c r="Q51" s="518" t="e">
        <f t="shared" ca="1" si="26"/>
        <v>#REF!</v>
      </c>
      <c r="S51" s="516" t="e">
        <f ca="1">((Q51/L51)^(1/COUNT(L51:Q51))-1)</f>
        <v>#REF!</v>
      </c>
    </row>
    <row r="52" spans="2:19" ht="5.0999999999999996" customHeight="1"/>
    <row r="53" spans="2:19">
      <c r="B53" s="350" t="s">
        <v>119</v>
      </c>
      <c r="C53" s="543"/>
      <c r="D53" s="543"/>
      <c r="E53" s="543"/>
      <c r="F53" s="543"/>
      <c r="G53" s="543"/>
      <c r="H53" s="543"/>
      <c r="I53" s="543"/>
      <c r="J53" s="543"/>
      <c r="K53" s="543"/>
      <c r="L53" s="543"/>
      <c r="M53" s="543"/>
      <c r="N53" s="543"/>
      <c r="O53" s="543"/>
      <c r="P53" s="543"/>
      <c r="Q53" s="543"/>
    </row>
    <row r="54" spans="2:19" ht="5.0999999999999996" customHeight="1">
      <c r="B54" s="353"/>
      <c r="Q54" s="332"/>
    </row>
    <row r="55" spans="2:19">
      <c r="B55" s="413" t="s">
        <v>120</v>
      </c>
      <c r="Q55" s="332"/>
    </row>
    <row r="56" spans="2:19">
      <c r="B56" s="560" t="s">
        <v>605</v>
      </c>
      <c r="D56" s="550" t="e">
        <f>SUM(D29/C29)-1</f>
        <v>#REF!</v>
      </c>
      <c r="E56" s="550" t="e">
        <f>SUM(E29/D29)-1</f>
        <v>#REF!</v>
      </c>
      <c r="F56" s="550" t="e">
        <f>SUM(F29/E29)-1</f>
        <v>#REF!</v>
      </c>
      <c r="G56" s="550" t="e">
        <f>SUM(G29/F29)-1</f>
        <v>#REF!</v>
      </c>
      <c r="H56" s="550" t="e">
        <f>SUM(H29/G29)-1</f>
        <v>#REF!</v>
      </c>
      <c r="L56" s="550" t="e">
        <f>SUM(L29/H29)-1</f>
        <v>#REF!</v>
      </c>
      <c r="M56" s="550" t="e">
        <f>SUM(M29/L29)-1</f>
        <v>#REF!</v>
      </c>
      <c r="N56" s="550" t="e">
        <f>SUM(N29/M29)-1</f>
        <v>#REF!</v>
      </c>
      <c r="O56" s="550" t="e">
        <f>SUM(O29/N29)-1</f>
        <v>#REF!</v>
      </c>
      <c r="P56" s="550" t="e">
        <f>SUM(P29/O29)-1</f>
        <v>#REF!</v>
      </c>
      <c r="Q56" s="554" t="e">
        <f>SUM(Q29/P29)-1</f>
        <v>#REF!</v>
      </c>
    </row>
    <row r="57" spans="2:19">
      <c r="B57" s="407" t="s">
        <v>570</v>
      </c>
      <c r="D57" s="550" t="e">
        <f t="shared" ref="D57:H59" si="27">SUM(D18/C18)-1</f>
        <v>#REF!</v>
      </c>
      <c r="E57" s="550" t="e">
        <f t="shared" si="27"/>
        <v>#REF!</v>
      </c>
      <c r="F57" s="550" t="e">
        <f t="shared" si="27"/>
        <v>#REF!</v>
      </c>
      <c r="G57" s="550" t="e">
        <f t="shared" si="27"/>
        <v>#REF!</v>
      </c>
      <c r="H57" s="550" t="e">
        <f t="shared" si="27"/>
        <v>#REF!</v>
      </c>
      <c r="L57" s="550" t="e">
        <f>SUM(L18/H18)-1</f>
        <v>#REF!</v>
      </c>
      <c r="M57" s="550">
        <f t="shared" ref="M57:N60" si="28">SUM(M18/L18)-1</f>
        <v>0.10128698295443095</v>
      </c>
      <c r="N57" s="550">
        <f t="shared" si="28"/>
        <v>8.5038470128244281E-2</v>
      </c>
      <c r="O57" s="551">
        <v>0.08</v>
      </c>
      <c r="P57" s="551">
        <v>0.08</v>
      </c>
      <c r="Q57" s="553">
        <v>0.08</v>
      </c>
    </row>
    <row r="58" spans="2:19">
      <c r="B58" s="407" t="s">
        <v>533</v>
      </c>
      <c r="D58" s="550" t="e">
        <f t="shared" si="27"/>
        <v>#REF!</v>
      </c>
      <c r="E58" s="550" t="e">
        <f t="shared" si="27"/>
        <v>#REF!</v>
      </c>
      <c r="F58" s="550" t="e">
        <f t="shared" si="27"/>
        <v>#REF!</v>
      </c>
      <c r="G58" s="550" t="e">
        <f t="shared" si="27"/>
        <v>#REF!</v>
      </c>
      <c r="H58" s="550" t="e">
        <f t="shared" si="27"/>
        <v>#REF!</v>
      </c>
      <c r="L58" s="550" t="e">
        <f>SUM(L19/H19)-1</f>
        <v>#REF!</v>
      </c>
      <c r="M58" s="550">
        <f t="shared" si="28"/>
        <v>0.13548520271932452</v>
      </c>
      <c r="N58" s="550">
        <f t="shared" si="28"/>
        <v>0.12846139705331683</v>
      </c>
      <c r="O58" s="551">
        <v>0.11</v>
      </c>
      <c r="P58" s="551">
        <v>0.1</v>
      </c>
      <c r="Q58" s="553">
        <v>0.09</v>
      </c>
    </row>
    <row r="59" spans="2:19">
      <c r="B59" s="407" t="s">
        <v>489</v>
      </c>
      <c r="D59" s="550" t="e">
        <f t="shared" si="27"/>
        <v>#REF!</v>
      </c>
      <c r="E59" s="550" t="e">
        <f t="shared" si="27"/>
        <v>#REF!</v>
      </c>
      <c r="F59" s="550" t="e">
        <f t="shared" si="27"/>
        <v>#REF!</v>
      </c>
      <c r="G59" s="550" t="e">
        <f t="shared" si="27"/>
        <v>#REF!</v>
      </c>
      <c r="H59" s="550" t="e">
        <f t="shared" si="27"/>
        <v>#REF!</v>
      </c>
      <c r="L59" s="550" t="e">
        <f>SUM(L20/H20)-1</f>
        <v>#REF!</v>
      </c>
      <c r="M59" s="550">
        <f t="shared" si="28"/>
        <v>-3.1161452693008185E-3</v>
      </c>
      <c r="N59" s="550">
        <f t="shared" si="28"/>
        <v>2.0859963659312086E-3</v>
      </c>
      <c r="O59" s="551" t="e">
        <f>AVERAGE(L59:N59)</f>
        <v>#REF!</v>
      </c>
      <c r="P59" s="551" t="e">
        <f>AVERAGE(M59:O59)</f>
        <v>#REF!</v>
      </c>
      <c r="Q59" s="553" t="e">
        <f>AVERAGE(N59:P59)</f>
        <v>#REF!</v>
      </c>
    </row>
    <row r="60" spans="2:19">
      <c r="B60" s="407" t="s">
        <v>490</v>
      </c>
      <c r="D60" s="550" t="e">
        <f>SUM(D23/C23)-1</f>
        <v>#REF!</v>
      </c>
      <c r="E60" s="550" t="e">
        <f>SUM(E23/D23)-1</f>
        <v>#REF!</v>
      </c>
      <c r="F60" s="550" t="e">
        <f>SUM(F23/E23)-1</f>
        <v>#REF!</v>
      </c>
      <c r="G60" s="550" t="e">
        <f>SUM(G23/F23)-1</f>
        <v>#REF!</v>
      </c>
      <c r="H60" s="550" t="e">
        <f>SUM(H23/G23)-1</f>
        <v>#REF!</v>
      </c>
      <c r="L60" s="550" t="e">
        <f>SUM(L21/H21)-1</f>
        <v>#REF!</v>
      </c>
      <c r="M60" s="550">
        <f t="shared" si="28"/>
        <v>9.5498877801663662E-2</v>
      </c>
      <c r="N60" s="550">
        <f t="shared" si="28"/>
        <v>8.3707916694081952E-2</v>
      </c>
      <c r="O60" s="550" t="e">
        <f>SUM(O21/N21)-1</f>
        <v>#REF!</v>
      </c>
      <c r="P60" s="550" t="e">
        <f>SUM(P21/O21)-1</f>
        <v>#REF!</v>
      </c>
      <c r="Q60" s="554" t="e">
        <f>SUM(Q21/P21)-1</f>
        <v>#REF!</v>
      </c>
    </row>
    <row r="61" spans="2:19">
      <c r="B61" s="407" t="s">
        <v>491</v>
      </c>
      <c r="D61" s="550" t="e">
        <f t="shared" ref="D61:H63" si="29">SUM(D26/C26)-1</f>
        <v>#REF!</v>
      </c>
      <c r="E61" s="550" t="e">
        <f t="shared" si="29"/>
        <v>#REF!</v>
      </c>
      <c r="F61" s="550" t="e">
        <f t="shared" si="29"/>
        <v>#REF!</v>
      </c>
      <c r="G61" s="550">
        <f t="shared" si="29"/>
        <v>0.16513761467889898</v>
      </c>
      <c r="H61" s="550">
        <f t="shared" si="29"/>
        <v>0.32874015748031504</v>
      </c>
      <c r="L61" s="550" t="e">
        <f>SUM(L23/H23)-1</f>
        <v>#REF!</v>
      </c>
      <c r="M61" s="550">
        <f>SUM(M23/L23)-1</f>
        <v>0.14609710435845558</v>
      </c>
      <c r="N61" s="550">
        <f>SUM(N23/M23)-1</f>
        <v>0.11426564563305797</v>
      </c>
      <c r="O61" s="551">
        <f>N61</f>
        <v>0.11426564563305797</v>
      </c>
      <c r="P61" s="551">
        <f>O61</f>
        <v>0.11426564563305797</v>
      </c>
      <c r="Q61" s="553">
        <f>P61</f>
        <v>0.11426564563305797</v>
      </c>
    </row>
    <row r="62" spans="2:19">
      <c r="B62" s="407" t="s">
        <v>492</v>
      </c>
      <c r="D62" s="550" t="e">
        <f t="shared" si="29"/>
        <v>#REF!</v>
      </c>
      <c r="E62" s="550" t="e">
        <f t="shared" si="29"/>
        <v>#REF!</v>
      </c>
      <c r="F62" s="550" t="e">
        <f t="shared" si="29"/>
        <v>#REF!</v>
      </c>
      <c r="G62" s="550" t="e">
        <f t="shared" si="29"/>
        <v>#REF!</v>
      </c>
      <c r="H62" s="550" t="e">
        <f t="shared" si="29"/>
        <v>#REF!</v>
      </c>
      <c r="L62" s="550" t="e">
        <f>SUM(L23/H27)-1</f>
        <v>#REF!</v>
      </c>
      <c r="M62" s="550">
        <f>SUM(M23/L23)-1</f>
        <v>0.14609710435845558</v>
      </c>
      <c r="N62" s="550">
        <f>SUM(N23/M23)-1</f>
        <v>0.11426564563305797</v>
      </c>
      <c r="O62" s="550">
        <f>SUM(O23/N23)-1</f>
        <v>3.7652327785990147E-2</v>
      </c>
      <c r="P62" s="550">
        <f>SUM(P23/O23)-1</f>
        <v>4.0639761156939569E-2</v>
      </c>
      <c r="Q62" s="554">
        <v>0.03</v>
      </c>
    </row>
    <row r="63" spans="2:19">
      <c r="B63" s="407" t="s">
        <v>493</v>
      </c>
      <c r="D63" s="550" t="e">
        <f t="shared" si="29"/>
        <v>#REF!</v>
      </c>
      <c r="E63" s="550" t="e">
        <f t="shared" si="29"/>
        <v>#REF!</v>
      </c>
      <c r="F63" s="550" t="e">
        <f t="shared" si="29"/>
        <v>#REF!</v>
      </c>
      <c r="G63" s="550" t="e">
        <f t="shared" si="29"/>
        <v>#REF!</v>
      </c>
      <c r="H63" s="550" t="e">
        <f t="shared" si="29"/>
        <v>#REF!</v>
      </c>
      <c r="L63" s="551">
        <v>0</v>
      </c>
      <c r="M63" s="551">
        <v>0</v>
      </c>
      <c r="N63" s="551">
        <v>0</v>
      </c>
      <c r="O63" s="551">
        <v>0</v>
      </c>
      <c r="P63" s="551">
        <v>0</v>
      </c>
      <c r="Q63" s="553">
        <v>0</v>
      </c>
    </row>
    <row r="64" spans="2:19">
      <c r="B64" s="413"/>
      <c r="Q64" s="332"/>
    </row>
    <row r="65" spans="1:19">
      <c r="B65" s="413" t="s">
        <v>589</v>
      </c>
      <c r="Q65" s="332"/>
    </row>
    <row r="66" spans="1:19">
      <c r="B66" s="407" t="s">
        <v>590</v>
      </c>
      <c r="C66" s="550" t="e">
        <f t="shared" ref="C66:H66" si="30">C32/C24</f>
        <v>#REF!</v>
      </c>
      <c r="D66" s="550" t="e">
        <f t="shared" si="30"/>
        <v>#REF!</v>
      </c>
      <c r="E66" s="550" t="e">
        <f t="shared" si="30"/>
        <v>#REF!</v>
      </c>
      <c r="F66" s="550" t="e">
        <f t="shared" si="30"/>
        <v>#REF!</v>
      </c>
      <c r="G66" s="550" t="e">
        <f t="shared" si="30"/>
        <v>#REF!</v>
      </c>
      <c r="H66" s="550" t="e">
        <f t="shared" si="30"/>
        <v>#REF!</v>
      </c>
      <c r="L66" s="550" t="e">
        <f>H66</f>
        <v>#REF!</v>
      </c>
      <c r="M66" s="550" t="e">
        <f>L66</f>
        <v>#REF!</v>
      </c>
      <c r="N66" s="552">
        <f>Drivers!E185</f>
        <v>0.68188305865483911</v>
      </c>
      <c r="O66" s="552">
        <f>Drivers!F185</f>
        <v>0.68188305865483911</v>
      </c>
      <c r="P66" s="552">
        <f>Drivers!G185</f>
        <v>0.68188305865483911</v>
      </c>
      <c r="Q66" s="555">
        <f>Drivers!H185</f>
        <v>0.68188305865483911</v>
      </c>
      <c r="S66" s="8" t="s">
        <v>586</v>
      </c>
    </row>
    <row r="67" spans="1:19">
      <c r="B67" s="407" t="s">
        <v>580</v>
      </c>
      <c r="C67" s="550" t="e">
        <f t="shared" ref="C67:H67" si="31">C37/C29</f>
        <v>#REF!</v>
      </c>
      <c r="D67" s="550" t="e">
        <f t="shared" si="31"/>
        <v>#REF!</v>
      </c>
      <c r="E67" s="550" t="e">
        <f t="shared" si="31"/>
        <v>#REF!</v>
      </c>
      <c r="F67" s="550" t="e">
        <f t="shared" si="31"/>
        <v>#REF!</v>
      </c>
      <c r="G67" s="550" t="e">
        <f t="shared" si="31"/>
        <v>#REF!</v>
      </c>
      <c r="H67" s="550" t="e">
        <f t="shared" si="31"/>
        <v>#REF!</v>
      </c>
      <c r="L67" s="550" t="e">
        <f t="shared" ref="L67:Q67" si="32">L37/L29</f>
        <v>#REF!</v>
      </c>
      <c r="M67" s="550" t="e">
        <f t="shared" si="32"/>
        <v>#REF!</v>
      </c>
      <c r="N67" s="550" t="e">
        <f t="shared" si="32"/>
        <v>#REF!</v>
      </c>
      <c r="O67" s="550" t="e">
        <f t="shared" si="32"/>
        <v>#REF!</v>
      </c>
      <c r="P67" s="550" t="e">
        <f t="shared" si="32"/>
        <v>#REF!</v>
      </c>
      <c r="Q67" s="554" t="e">
        <f t="shared" si="32"/>
        <v>#REF!</v>
      </c>
    </row>
    <row r="68" spans="1:19">
      <c r="B68" s="407" t="s">
        <v>567</v>
      </c>
      <c r="C68" s="550" t="e">
        <f t="shared" ref="C68:H68" si="33">-C44/C42</f>
        <v>#REF!</v>
      </c>
      <c r="D68" s="550" t="e">
        <f t="shared" si="33"/>
        <v>#REF!</v>
      </c>
      <c r="E68" s="550" t="e">
        <f t="shared" si="33"/>
        <v>#REF!</v>
      </c>
      <c r="F68" s="550" t="e">
        <f t="shared" si="33"/>
        <v>#REF!</v>
      </c>
      <c r="G68" s="550" t="e">
        <f t="shared" si="33"/>
        <v>#REF!</v>
      </c>
      <c r="H68" s="550" t="e">
        <f t="shared" si="33"/>
        <v>#REF!</v>
      </c>
      <c r="L68" s="550" t="e">
        <f>H68</f>
        <v>#REF!</v>
      </c>
      <c r="M68" s="552">
        <f>Drivers!D136</f>
        <v>0.16866666666666666</v>
      </c>
      <c r="N68" s="552">
        <f>Drivers!E136</f>
        <v>0.17033333333333334</v>
      </c>
      <c r="O68" s="552">
        <f>Drivers!F136</f>
        <v>0.17033333333333334</v>
      </c>
      <c r="P68" s="552">
        <f>Drivers!G136</f>
        <v>0.17033333333333334</v>
      </c>
      <c r="Q68" s="555">
        <f>Drivers!H136</f>
        <v>0.17033333333333334</v>
      </c>
      <c r="S68" s="8" t="s">
        <v>599</v>
      </c>
    </row>
    <row r="69" spans="1:19">
      <c r="B69" s="407" t="s">
        <v>595</v>
      </c>
      <c r="C69" s="550" t="e">
        <f t="shared" ref="C69:H69" si="34">C48/C29</f>
        <v>#REF!</v>
      </c>
      <c r="D69" s="550" t="e">
        <f t="shared" si="34"/>
        <v>#REF!</v>
      </c>
      <c r="E69" s="550" t="e">
        <f t="shared" si="34"/>
        <v>#REF!</v>
      </c>
      <c r="F69" s="550" t="e">
        <f t="shared" si="34"/>
        <v>#REF!</v>
      </c>
      <c r="G69" s="550" t="e">
        <f t="shared" si="34"/>
        <v>#REF!</v>
      </c>
      <c r="H69" s="550" t="e">
        <f t="shared" si="34"/>
        <v>#REF!</v>
      </c>
      <c r="L69" s="552"/>
      <c r="Q69" s="332"/>
      <c r="S69" s="8" t="s">
        <v>599</v>
      </c>
    </row>
    <row r="70" spans="1:19">
      <c r="B70" s="407" t="s">
        <v>596</v>
      </c>
      <c r="C70" s="550" t="e">
        <f t="shared" ref="C70:H70" si="35">C51/C29</f>
        <v>#REF!</v>
      </c>
      <c r="D70" s="550" t="e">
        <f t="shared" si="35"/>
        <v>#REF!</v>
      </c>
      <c r="E70" s="550" t="e">
        <f t="shared" si="35"/>
        <v>#REF!</v>
      </c>
      <c r="F70" s="550" t="e">
        <f t="shared" si="35"/>
        <v>#REF!</v>
      </c>
      <c r="G70" s="550" t="e">
        <f t="shared" si="35"/>
        <v>#REF!</v>
      </c>
      <c r="H70" s="550" t="e">
        <f t="shared" si="35"/>
        <v>#REF!</v>
      </c>
      <c r="L70" s="550" t="e">
        <f t="shared" ref="L70:Q70" ca="1" si="36">L51/L29</f>
        <v>#REF!</v>
      </c>
      <c r="M70" s="550" t="e">
        <f t="shared" ca="1" si="36"/>
        <v>#REF!</v>
      </c>
      <c r="N70" s="550" t="e">
        <f t="shared" ca="1" si="36"/>
        <v>#REF!</v>
      </c>
      <c r="O70" s="550" t="e">
        <f t="shared" ca="1" si="36"/>
        <v>#REF!</v>
      </c>
      <c r="P70" s="550" t="e">
        <f t="shared" ca="1" si="36"/>
        <v>#REF!</v>
      </c>
      <c r="Q70" s="554" t="e">
        <f t="shared" ca="1" si="36"/>
        <v>#REF!</v>
      </c>
      <c r="S70" s="8" t="s">
        <v>599</v>
      </c>
    </row>
    <row r="71" spans="1:19">
      <c r="B71" s="407"/>
      <c r="C71" s="550"/>
      <c r="D71" s="550"/>
      <c r="E71" s="550"/>
      <c r="F71" s="550"/>
      <c r="G71" s="550"/>
      <c r="H71" s="550"/>
      <c r="Q71" s="332"/>
    </row>
    <row r="72" spans="1:19">
      <c r="B72" s="413" t="s">
        <v>594</v>
      </c>
      <c r="C72" s="550"/>
      <c r="D72" s="550"/>
      <c r="E72" s="550"/>
      <c r="F72" s="550"/>
      <c r="G72" s="550"/>
      <c r="H72" s="550"/>
      <c r="Q72" s="332"/>
    </row>
    <row r="73" spans="1:19">
      <c r="B73" s="407" t="s">
        <v>591</v>
      </c>
      <c r="C73" s="550" t="e">
        <f t="shared" ref="C73:H73" si="37">-C34/C29</f>
        <v>#REF!</v>
      </c>
      <c r="D73" s="550" t="e">
        <f t="shared" si="37"/>
        <v>#REF!</v>
      </c>
      <c r="E73" s="550" t="e">
        <f t="shared" si="37"/>
        <v>#REF!</v>
      </c>
      <c r="F73" s="550" t="e">
        <f t="shared" si="37"/>
        <v>#REF!</v>
      </c>
      <c r="G73" s="550" t="e">
        <f t="shared" si="37"/>
        <v>#REF!</v>
      </c>
      <c r="H73" s="550" t="e">
        <f t="shared" si="37"/>
        <v>#REF!</v>
      </c>
      <c r="L73" s="550" t="e">
        <f>H73</f>
        <v>#REF!</v>
      </c>
      <c r="M73" s="552">
        <f>Drivers!D107</f>
        <v>0.18599543099615734</v>
      </c>
      <c r="N73" s="552">
        <f>Drivers!E107</f>
        <v>0.16363690348057802</v>
      </c>
      <c r="O73" s="552">
        <f>Drivers!F107</f>
        <v>0.14688959199816276</v>
      </c>
      <c r="P73" s="552">
        <f>Drivers!G107</f>
        <v>0.13818683916325081</v>
      </c>
      <c r="Q73" s="554">
        <f>P73</f>
        <v>0.13818683916325081</v>
      </c>
    </row>
    <row r="74" spans="1:19">
      <c r="B74" s="407" t="s">
        <v>592</v>
      </c>
      <c r="C74" s="550" t="e">
        <f t="shared" ref="C74:H74" si="38">-C35/C29</f>
        <v>#REF!</v>
      </c>
      <c r="D74" s="550" t="e">
        <f t="shared" si="38"/>
        <v>#REF!</v>
      </c>
      <c r="E74" s="550" t="e">
        <f t="shared" si="38"/>
        <v>#REF!</v>
      </c>
      <c r="F74" s="550" t="e">
        <f t="shared" si="38"/>
        <v>#REF!</v>
      </c>
      <c r="G74" s="550" t="e">
        <f t="shared" si="38"/>
        <v>#REF!</v>
      </c>
      <c r="H74" s="550" t="e">
        <f t="shared" si="38"/>
        <v>#REF!</v>
      </c>
      <c r="L74" s="552">
        <f>Drivers!C118</f>
        <v>8.1950394026401391E-2</v>
      </c>
      <c r="M74" s="552">
        <f>Drivers!D118</f>
        <v>7.3305516942493237E-2</v>
      </c>
      <c r="N74" s="552">
        <f>Drivers!E118</f>
        <v>6.8958619369037147E-2</v>
      </c>
      <c r="O74" s="552">
        <f>Drivers!F118</f>
        <v>6.8958619369037147E-2</v>
      </c>
      <c r="P74" s="552">
        <f>Drivers!G118</f>
        <v>6.8958619369037147E-2</v>
      </c>
      <c r="Q74" s="555">
        <f>Drivers!H118</f>
        <v>6.8958619369037147E-2</v>
      </c>
    </row>
    <row r="75" spans="1:19">
      <c r="B75" s="407" t="s">
        <v>593</v>
      </c>
      <c r="C75" s="550" t="e">
        <f t="shared" ref="C75:H75" si="39">-C36/C29</f>
        <v>#REF!</v>
      </c>
      <c r="D75" s="550" t="e">
        <f t="shared" si="39"/>
        <v>#REF!</v>
      </c>
      <c r="E75" s="550" t="e">
        <f t="shared" si="39"/>
        <v>#REF!</v>
      </c>
      <c r="F75" s="550" t="e">
        <f t="shared" si="39"/>
        <v>#REF!</v>
      </c>
      <c r="G75" s="550" t="e">
        <f t="shared" si="39"/>
        <v>#REF!</v>
      </c>
      <c r="H75" s="550" t="e">
        <f t="shared" si="39"/>
        <v>#REF!</v>
      </c>
      <c r="L75" s="552">
        <f>Drivers!C126</f>
        <v>6.0782011162370551E-2</v>
      </c>
      <c r="M75" s="552">
        <f>Drivers!D126</f>
        <v>4.1976927013277793E-2</v>
      </c>
      <c r="N75" s="550">
        <f>M75</f>
        <v>4.1976927013277793E-2</v>
      </c>
      <c r="O75" s="550">
        <f>N75</f>
        <v>4.1976927013277793E-2</v>
      </c>
      <c r="P75" s="550">
        <f>O75</f>
        <v>4.1976927013277793E-2</v>
      </c>
      <c r="Q75" s="554">
        <f>P75</f>
        <v>4.1976927013277793E-2</v>
      </c>
    </row>
    <row r="76" spans="1:19">
      <c r="B76" s="407" t="s">
        <v>597</v>
      </c>
      <c r="C76" s="550" t="e">
        <f t="shared" ref="C76:H76" si="40">C47/C29</f>
        <v>#REF!</v>
      </c>
      <c r="D76" s="550" t="e">
        <f t="shared" si="40"/>
        <v>#REF!</v>
      </c>
      <c r="E76" s="550" t="e">
        <f t="shared" si="40"/>
        <v>#REF!</v>
      </c>
      <c r="F76" s="550" t="e">
        <f t="shared" si="40"/>
        <v>#REF!</v>
      </c>
      <c r="G76" s="550" t="e">
        <f t="shared" si="40"/>
        <v>#REF!</v>
      </c>
      <c r="H76" s="550" t="e">
        <f t="shared" si="40"/>
        <v>#REF!</v>
      </c>
      <c r="L76" s="550" t="e">
        <f t="shared" ref="L76:Q76" ca="1" si="41">L47/L29</f>
        <v>#DIV/0!</v>
      </c>
      <c r="M76" s="550" t="e">
        <f t="shared" ca="1" si="41"/>
        <v>#DIV/0!</v>
      </c>
      <c r="N76" s="550" t="e">
        <f t="shared" ca="1" si="41"/>
        <v>#DIV/0!</v>
      </c>
      <c r="O76" s="550" t="e">
        <f t="shared" ca="1" si="41"/>
        <v>#DIV/0!</v>
      </c>
      <c r="P76" s="550" t="e">
        <f t="shared" ca="1" si="41"/>
        <v>#DIV/0!</v>
      </c>
      <c r="Q76" s="554" t="e">
        <f t="shared" ca="1" si="41"/>
        <v>#DIV/0!</v>
      </c>
    </row>
    <row r="77" spans="1:19">
      <c r="B77" s="549" t="s">
        <v>598</v>
      </c>
      <c r="C77" s="556" t="e">
        <f t="shared" ref="C77:H77" si="42">C50/C29</f>
        <v>#REF!</v>
      </c>
      <c r="D77" s="556" t="e">
        <f t="shared" si="42"/>
        <v>#REF!</v>
      </c>
      <c r="E77" s="556" t="e">
        <f t="shared" si="42"/>
        <v>#REF!</v>
      </c>
      <c r="F77" s="556" t="e">
        <f t="shared" si="42"/>
        <v>#REF!</v>
      </c>
      <c r="G77" s="556" t="e">
        <f t="shared" si="42"/>
        <v>#REF!</v>
      </c>
      <c r="H77" s="556" t="e">
        <f t="shared" si="42"/>
        <v>#REF!</v>
      </c>
      <c r="I77" s="329"/>
      <c r="J77" s="329"/>
      <c r="K77" s="329"/>
      <c r="L77" s="556" t="e">
        <f t="shared" ref="L77:Q77" si="43">L50/L29</f>
        <v>#REF!</v>
      </c>
      <c r="M77" s="556" t="e">
        <f t="shared" si="43"/>
        <v>#REF!</v>
      </c>
      <c r="N77" s="556" t="e">
        <f t="shared" si="43"/>
        <v>#REF!</v>
      </c>
      <c r="O77" s="556" t="e">
        <f t="shared" si="43"/>
        <v>#REF!</v>
      </c>
      <c r="P77" s="556" t="e">
        <f t="shared" si="43"/>
        <v>#REF!</v>
      </c>
      <c r="Q77" s="557" t="e">
        <f t="shared" si="43"/>
        <v>#REF!</v>
      </c>
    </row>
    <row r="79" spans="1:19">
      <c r="A79" s="340" t="s">
        <v>19</v>
      </c>
      <c r="B79" s="376" t="s">
        <v>402</v>
      </c>
      <c r="C79" s="382" t="s">
        <v>399</v>
      </c>
      <c r="D79" s="382"/>
      <c r="E79" s="382"/>
      <c r="F79" s="382"/>
      <c r="G79" s="382"/>
      <c r="H79" s="382"/>
      <c r="I79" s="382"/>
      <c r="J79" s="379"/>
      <c r="K79" s="558" t="s">
        <v>157</v>
      </c>
      <c r="L79" s="382"/>
      <c r="M79" s="382"/>
      <c r="N79" s="382"/>
      <c r="O79" s="382"/>
      <c r="P79" s="382"/>
      <c r="Q79" s="382"/>
    </row>
    <row r="80" spans="1:19">
      <c r="B80" s="377" t="str">
        <f t="shared" ref="B80:H81" si="44">B15</f>
        <v xml:space="preserve">Fiscal year  </v>
      </c>
      <c r="C80" s="378">
        <f t="shared" si="44"/>
        <v>2019</v>
      </c>
      <c r="D80" s="378">
        <f t="shared" si="44"/>
        <v>2020</v>
      </c>
      <c r="E80" s="378">
        <f t="shared" si="44"/>
        <v>2021</v>
      </c>
      <c r="F80" s="378">
        <f t="shared" si="44"/>
        <v>2022</v>
      </c>
      <c r="G80" s="378">
        <f t="shared" si="44"/>
        <v>2023</v>
      </c>
      <c r="H80" s="378">
        <f t="shared" si="44"/>
        <v>2024</v>
      </c>
      <c r="I80" s="379"/>
      <c r="J80" s="379"/>
      <c r="K80" s="379">
        <f>K20</f>
        <v>0</v>
      </c>
      <c r="L80" s="379">
        <f t="shared" ref="L80:Q81" si="45">L15</f>
        <v>2025</v>
      </c>
      <c r="M80" s="379">
        <f t="shared" si="45"/>
        <v>2026</v>
      </c>
      <c r="N80" s="379">
        <f t="shared" si="45"/>
        <v>2027</v>
      </c>
      <c r="O80" s="379">
        <f t="shared" si="45"/>
        <v>2028</v>
      </c>
      <c r="P80" s="379">
        <f t="shared" si="45"/>
        <v>2029</v>
      </c>
      <c r="Q80" s="379">
        <f t="shared" si="45"/>
        <v>2030</v>
      </c>
    </row>
    <row r="81" spans="2:19">
      <c r="B81" s="377" t="str">
        <f t="shared" si="44"/>
        <v>Fiscal year end date</v>
      </c>
      <c r="C81" s="380">
        <f t="shared" si="44"/>
        <v>43830</v>
      </c>
      <c r="D81" s="380">
        <f t="shared" si="44"/>
        <v>44196</v>
      </c>
      <c r="E81" s="380">
        <f t="shared" si="44"/>
        <v>44561</v>
      </c>
      <c r="F81" s="380">
        <f t="shared" si="44"/>
        <v>44926</v>
      </c>
      <c r="G81" s="380">
        <f t="shared" si="44"/>
        <v>45291</v>
      </c>
      <c r="H81" s="380">
        <f t="shared" si="44"/>
        <v>45657</v>
      </c>
      <c r="I81" s="380"/>
      <c r="J81" s="380"/>
      <c r="K81" s="380">
        <f>K21</f>
        <v>0</v>
      </c>
      <c r="L81" s="380">
        <f t="shared" si="45"/>
        <v>46022</v>
      </c>
      <c r="M81" s="380">
        <f t="shared" si="45"/>
        <v>46387</v>
      </c>
      <c r="N81" s="380">
        <f t="shared" si="45"/>
        <v>46752</v>
      </c>
      <c r="O81" s="380">
        <f t="shared" si="45"/>
        <v>47118</v>
      </c>
      <c r="P81" s="380">
        <f t="shared" si="45"/>
        <v>47483</v>
      </c>
      <c r="Q81" s="380">
        <f t="shared" si="45"/>
        <v>47848</v>
      </c>
    </row>
    <row r="82" spans="2:19" ht="5.0999999999999996" customHeight="1"/>
    <row r="83" spans="2:19">
      <c r="B83" s="524" t="s">
        <v>431</v>
      </c>
    </row>
    <row r="84" spans="2:19">
      <c r="B84" s="8" t="s">
        <v>429</v>
      </c>
      <c r="C84" s="175" t="e">
        <f>'Historical Financials'!#REF!</f>
        <v>#REF!</v>
      </c>
      <c r="D84" s="175" t="e">
        <f>'Historical Financials'!#REF!</f>
        <v>#REF!</v>
      </c>
      <c r="E84" s="175" t="e">
        <f>'Historical Financials'!#REF!</f>
        <v>#REF!</v>
      </c>
      <c r="F84" s="175">
        <f>'Historical Financials'!C43</f>
        <v>0</v>
      </c>
      <c r="G84" s="175">
        <f>'Historical Financials'!D43</f>
        <v>2391</v>
      </c>
      <c r="H84" s="175">
        <f>'Historical Financials'!E43</f>
        <v>3243</v>
      </c>
      <c r="L84" s="563" t="e">
        <f t="shared" ref="L84:Q84" si="46">L146</f>
        <v>#REF!</v>
      </c>
      <c r="M84" s="563" t="e">
        <f t="shared" si="46"/>
        <v>#REF!</v>
      </c>
      <c r="N84" s="563" t="e">
        <f t="shared" si="46"/>
        <v>#REF!</v>
      </c>
      <c r="O84" s="563" t="e">
        <f t="shared" si="46"/>
        <v>#REF!</v>
      </c>
      <c r="P84" s="563" t="e">
        <f t="shared" si="46"/>
        <v>#REF!</v>
      </c>
      <c r="Q84" s="563" t="e">
        <f t="shared" si="46"/>
        <v>#REF!</v>
      </c>
      <c r="S84" s="8" t="s">
        <v>126</v>
      </c>
    </row>
    <row r="85" spans="2:19">
      <c r="B85" s="8" t="s">
        <v>539</v>
      </c>
      <c r="C85" s="175" t="e">
        <f>'Historical Financials'!#REF!</f>
        <v>#REF!</v>
      </c>
      <c r="D85" s="175" t="e">
        <f>'Historical Financials'!#REF!</f>
        <v>#REF!</v>
      </c>
      <c r="E85" s="175" t="e">
        <f>'Historical Financials'!#REF!</f>
        <v>#REF!</v>
      </c>
      <c r="F85" s="175">
        <f>'Historical Financials'!C44</f>
        <v>0</v>
      </c>
      <c r="G85" s="175">
        <f>'Historical Financials'!D44</f>
        <v>799</v>
      </c>
      <c r="H85" s="175">
        <f>'Historical Financials'!E44</f>
        <v>454</v>
      </c>
      <c r="L85" s="11">
        <f>H85</f>
        <v>454</v>
      </c>
      <c r="M85" s="11">
        <f>L85</f>
        <v>454</v>
      </c>
      <c r="N85" s="11">
        <f>M85</f>
        <v>454</v>
      </c>
      <c r="O85" s="11">
        <f>N85</f>
        <v>454</v>
      </c>
      <c r="P85" s="11">
        <f>O85</f>
        <v>454</v>
      </c>
      <c r="Q85" s="11">
        <f>P85</f>
        <v>454</v>
      </c>
    </row>
    <row r="86" spans="2:19">
      <c r="B86" s="8" t="s">
        <v>430</v>
      </c>
      <c r="C86" s="175" t="e">
        <f>'Historical Financials'!#REF!</f>
        <v>#REF!</v>
      </c>
      <c r="D86" s="175" t="e">
        <f>'Historical Financials'!#REF!</f>
        <v>#REF!</v>
      </c>
      <c r="E86" s="175" t="e">
        <f>'Historical Financials'!#REF!</f>
        <v>#REF!</v>
      </c>
      <c r="F86" s="175">
        <f>'Historical Financials'!C45</f>
        <v>0</v>
      </c>
      <c r="G86" s="175">
        <f>'Historical Financials'!D45</f>
        <v>8083</v>
      </c>
      <c r="H86" s="175">
        <f>'Historical Financials'!E45</f>
        <v>8141</v>
      </c>
      <c r="L86" s="561" t="e">
        <f>(H86*L56)+H86</f>
        <v>#REF!</v>
      </c>
      <c r="M86" s="561" t="e">
        <f>(L86*M56)+L86</f>
        <v>#REF!</v>
      </c>
      <c r="N86" s="561" t="e">
        <f>(M86*N56)+M86</f>
        <v>#REF!</v>
      </c>
      <c r="O86" s="561" t="e">
        <f>(N86*O56)+N86</f>
        <v>#REF!</v>
      </c>
      <c r="P86" s="561" t="e">
        <f>(O86*P56)+O86</f>
        <v>#REF!</v>
      </c>
      <c r="Q86" s="561" t="e">
        <f>(P86*Q56)+P86</f>
        <v>#REF!</v>
      </c>
      <c r="S86" s="8" t="s">
        <v>604</v>
      </c>
    </row>
    <row r="87" spans="2:19">
      <c r="B87" s="8" t="s">
        <v>459</v>
      </c>
      <c r="C87" s="175" t="e">
        <f>'Historical Financials'!#REF!</f>
        <v>#REF!</v>
      </c>
      <c r="D87" s="175" t="e">
        <f>'Historical Financials'!#REF!</f>
        <v>#REF!</v>
      </c>
      <c r="E87" s="175" t="e">
        <f>'Historical Financials'!#REF!</f>
        <v>#REF!</v>
      </c>
      <c r="F87" s="175">
        <f>'Historical Financials'!C46</f>
        <v>0</v>
      </c>
      <c r="G87" s="175">
        <f>'Historical Financials'!D46</f>
        <v>714</v>
      </c>
      <c r="H87" s="175">
        <f>'Historical Financials'!E46</f>
        <v>493</v>
      </c>
      <c r="L87" s="561" t="e">
        <f>(H87*L56)+H87</f>
        <v>#REF!</v>
      </c>
      <c r="M87" s="561" t="e">
        <f>(L87*M56)+L87</f>
        <v>#REF!</v>
      </c>
      <c r="N87" s="561" t="e">
        <f>(M87*N56)+M87</f>
        <v>#REF!</v>
      </c>
      <c r="O87" s="561" t="e">
        <f>(N87*O56)+N87</f>
        <v>#REF!</v>
      </c>
      <c r="P87" s="561" t="e">
        <f>(O87*P56)+O87</f>
        <v>#REF!</v>
      </c>
      <c r="Q87" s="561" t="e">
        <f>(P87*Q56)+P87</f>
        <v>#REF!</v>
      </c>
      <c r="S87" s="8" t="s">
        <v>604</v>
      </c>
    </row>
    <row r="88" spans="2:19">
      <c r="B88" s="122" t="s">
        <v>23</v>
      </c>
      <c r="C88" s="181" t="e">
        <f t="shared" ref="C88:H88" si="47">SUM(C84:C87)</f>
        <v>#REF!</v>
      </c>
      <c r="D88" s="181" t="e">
        <f t="shared" si="47"/>
        <v>#REF!</v>
      </c>
      <c r="E88" s="181" t="e">
        <f t="shared" si="47"/>
        <v>#REF!</v>
      </c>
      <c r="F88" s="181">
        <f t="shared" si="47"/>
        <v>0</v>
      </c>
      <c r="G88" s="181">
        <f t="shared" si="47"/>
        <v>11987</v>
      </c>
      <c r="H88" s="181">
        <f t="shared" si="47"/>
        <v>12331</v>
      </c>
      <c r="L88" s="181" t="e">
        <f t="shared" ref="L88:Q88" si="48">SUM(L84:L87)</f>
        <v>#REF!</v>
      </c>
      <c r="M88" s="181" t="e">
        <f t="shared" si="48"/>
        <v>#REF!</v>
      </c>
      <c r="N88" s="181" t="e">
        <f t="shared" si="48"/>
        <v>#REF!</v>
      </c>
      <c r="O88" s="181" t="e">
        <f t="shared" si="48"/>
        <v>#REF!</v>
      </c>
      <c r="P88" s="181" t="e">
        <f t="shared" si="48"/>
        <v>#REF!</v>
      </c>
      <c r="Q88" s="181" t="e">
        <f t="shared" si="48"/>
        <v>#REF!</v>
      </c>
    </row>
    <row r="89" spans="2:19">
      <c r="B89" s="38"/>
    </row>
    <row r="90" spans="2:19">
      <c r="B90" s="524" t="s">
        <v>432</v>
      </c>
    </row>
    <row r="91" spans="2:19">
      <c r="B91" s="8" t="s">
        <v>465</v>
      </c>
      <c r="C91" s="175" t="e">
        <f>'Historical Financials'!#REF!</f>
        <v>#REF!</v>
      </c>
      <c r="D91" s="175" t="e">
        <f>'Historical Financials'!#REF!</f>
        <v>#REF!</v>
      </c>
      <c r="E91" s="175" t="e">
        <f>'Historical Financials'!#REF!</f>
        <v>#REF!</v>
      </c>
      <c r="F91" s="175">
        <f>'Historical Financials'!C50</f>
        <v>0</v>
      </c>
      <c r="G91" s="175">
        <f>'Historical Financials'!D50</f>
        <v>122</v>
      </c>
      <c r="H91" s="175">
        <f>'Historical Financials'!E50</f>
        <v>85</v>
      </c>
      <c r="L91" s="11">
        <f>H91</f>
        <v>85</v>
      </c>
      <c r="M91" s="11">
        <f>L91</f>
        <v>85</v>
      </c>
      <c r="N91" s="11">
        <f t="shared" ref="N91:Q95" si="49">M91</f>
        <v>85</v>
      </c>
      <c r="O91" s="11">
        <f t="shared" si="49"/>
        <v>85</v>
      </c>
      <c r="P91" s="11">
        <f t="shared" si="49"/>
        <v>85</v>
      </c>
      <c r="Q91" s="11">
        <f t="shared" si="49"/>
        <v>85</v>
      </c>
      <c r="S91" s="8" t="s">
        <v>611</v>
      </c>
    </row>
    <row r="92" spans="2:19">
      <c r="B92" s="8" t="s">
        <v>464</v>
      </c>
      <c r="C92" s="175" t="e">
        <f>'Historical Financials'!#REF!</f>
        <v>#REF!</v>
      </c>
      <c r="D92" s="175" t="e">
        <f>'Historical Financials'!#REF!</f>
        <v>#REF!</v>
      </c>
      <c r="E92" s="175" t="e">
        <f>'Historical Financials'!#REF!</f>
        <v>#REF!</v>
      </c>
      <c r="F92" s="175">
        <f>'Historical Financials'!C51</f>
        <v>0</v>
      </c>
      <c r="G92" s="175">
        <f>'Historical Financials'!D51</f>
        <v>667</v>
      </c>
      <c r="H92" s="175">
        <f>'Historical Financials'!E51</f>
        <v>613</v>
      </c>
      <c r="L92" s="11">
        <f>H92</f>
        <v>613</v>
      </c>
      <c r="M92" s="11">
        <f>L92</f>
        <v>613</v>
      </c>
      <c r="N92" s="11">
        <f t="shared" si="49"/>
        <v>613</v>
      </c>
      <c r="O92" s="11">
        <f t="shared" si="49"/>
        <v>613</v>
      </c>
      <c r="P92" s="11">
        <f t="shared" si="49"/>
        <v>613</v>
      </c>
      <c r="Q92" s="11">
        <f t="shared" si="49"/>
        <v>613</v>
      </c>
      <c r="S92" s="8" t="s">
        <v>611</v>
      </c>
    </row>
    <row r="93" spans="2:19">
      <c r="B93" s="8" t="s">
        <v>463</v>
      </c>
      <c r="C93" s="175" t="e">
        <f>'Historical Financials'!#REF!</f>
        <v>#REF!</v>
      </c>
      <c r="D93" s="175" t="e">
        <f>'Historical Financials'!#REF!</f>
        <v>#REF!</v>
      </c>
      <c r="E93" s="175" t="e">
        <f>'Historical Financials'!#REF!</f>
        <v>#REF!</v>
      </c>
      <c r="F93" s="175">
        <f>'Historical Financials'!C52</f>
        <v>0</v>
      </c>
      <c r="G93" s="175">
        <f>'Historical Financials'!D52</f>
        <v>533</v>
      </c>
      <c r="H93" s="175">
        <f>'Historical Financials'!E52</f>
        <v>376</v>
      </c>
      <c r="L93" s="562"/>
      <c r="M93" s="562"/>
      <c r="N93" s="562"/>
      <c r="O93" s="562"/>
      <c r="P93" s="562"/>
      <c r="Q93" s="562"/>
      <c r="S93" s="8" t="s">
        <v>130</v>
      </c>
    </row>
    <row r="94" spans="2:19">
      <c r="B94" s="8" t="s">
        <v>462</v>
      </c>
      <c r="C94" s="175" t="e">
        <f>'Historical Financials'!#REF!</f>
        <v>#REF!</v>
      </c>
      <c r="D94" s="175" t="e">
        <f>'Historical Financials'!#REF!</f>
        <v>#REF!</v>
      </c>
      <c r="E94" s="175" t="e">
        <f>'Historical Financials'!#REF!</f>
        <v>#REF!</v>
      </c>
      <c r="F94" s="175">
        <f>'Historical Financials'!C53</f>
        <v>0</v>
      </c>
      <c r="G94" s="175">
        <f>'Historical Financials'!D53</f>
        <v>25</v>
      </c>
      <c r="H94" s="175">
        <f>'Historical Financials'!E53</f>
        <v>33</v>
      </c>
      <c r="L94" s="11">
        <f>H94</f>
        <v>33</v>
      </c>
      <c r="M94" s="11">
        <f>L94</f>
        <v>33</v>
      </c>
      <c r="N94" s="11">
        <f t="shared" si="49"/>
        <v>33</v>
      </c>
      <c r="O94" s="11">
        <f t="shared" si="49"/>
        <v>33</v>
      </c>
      <c r="P94" s="11">
        <f t="shared" si="49"/>
        <v>33</v>
      </c>
      <c r="Q94" s="11">
        <f t="shared" si="49"/>
        <v>33</v>
      </c>
      <c r="S94" s="8" t="s">
        <v>603</v>
      </c>
    </row>
    <row r="95" spans="2:19">
      <c r="B95" s="8" t="s">
        <v>460</v>
      </c>
      <c r="C95" s="175" t="e">
        <f>'Historical Financials'!#REF!</f>
        <v>#REF!</v>
      </c>
      <c r="D95" s="175" t="e">
        <f>'Historical Financials'!#REF!</f>
        <v>#REF!</v>
      </c>
      <c r="E95" s="175" t="e">
        <f>'Historical Financials'!#REF!</f>
        <v>#REF!</v>
      </c>
      <c r="F95" s="175">
        <f>'Historical Financials'!C54</f>
        <v>0</v>
      </c>
      <c r="G95" s="175">
        <f>'Historical Financials'!D54</f>
        <v>414</v>
      </c>
      <c r="H95" s="175">
        <f>'Historical Financials'!E54</f>
        <v>366</v>
      </c>
      <c r="L95" s="11">
        <f>H95</f>
        <v>366</v>
      </c>
      <c r="M95" s="11">
        <f>L95</f>
        <v>366</v>
      </c>
      <c r="N95" s="11">
        <f t="shared" si="49"/>
        <v>366</v>
      </c>
      <c r="O95" s="11">
        <f t="shared" si="49"/>
        <v>366</v>
      </c>
      <c r="P95" s="11">
        <f t="shared" si="49"/>
        <v>366</v>
      </c>
      <c r="Q95" s="11">
        <f t="shared" si="49"/>
        <v>366</v>
      </c>
      <c r="S95" s="8" t="s">
        <v>603</v>
      </c>
    </row>
    <row r="96" spans="2:19">
      <c r="B96" s="8" t="s">
        <v>461</v>
      </c>
      <c r="C96" s="175" t="e">
        <f>'Historical Financials'!#REF!</f>
        <v>#REF!</v>
      </c>
      <c r="D96" s="175" t="e">
        <f>'Historical Financials'!#REF!</f>
        <v>#REF!</v>
      </c>
      <c r="E96" s="175" t="e">
        <f>'Historical Financials'!#REF!</f>
        <v>#REF!</v>
      </c>
      <c r="F96" s="175" t="e">
        <f>'Historical Financials'!#REF!</f>
        <v>#REF!</v>
      </c>
      <c r="G96" s="175" t="e">
        <f>'Historical Financials'!#REF!</f>
        <v>#REF!</v>
      </c>
      <c r="H96" s="175" t="e">
        <f>'Historical Financials'!#REF!</f>
        <v>#REF!</v>
      </c>
      <c r="L96" s="561" t="e">
        <f>(H96*L56)+H96</f>
        <v>#REF!</v>
      </c>
      <c r="M96" s="561" t="e">
        <f>(L96*M56)+L96</f>
        <v>#REF!</v>
      </c>
      <c r="N96" s="561" t="e">
        <f>(M96*N56)+M96</f>
        <v>#REF!</v>
      </c>
      <c r="O96" s="561" t="e">
        <f>(N96*O56)+N96</f>
        <v>#REF!</v>
      </c>
      <c r="P96" s="561" t="e">
        <f>(O96*P56)+O96</f>
        <v>#REF!</v>
      </c>
      <c r="Q96" s="561" t="e">
        <f>(P96*Q56)+P96</f>
        <v>#REF!</v>
      </c>
      <c r="S96" s="8" t="s">
        <v>604</v>
      </c>
    </row>
    <row r="97" spans="2:19">
      <c r="B97" s="122" t="s">
        <v>24</v>
      </c>
      <c r="C97" s="181" t="e">
        <f t="shared" ref="C97:H97" si="50">SUM(C88+SUM(C91:C96))</f>
        <v>#REF!</v>
      </c>
      <c r="D97" s="181" t="e">
        <f t="shared" si="50"/>
        <v>#REF!</v>
      </c>
      <c r="E97" s="181" t="e">
        <f t="shared" si="50"/>
        <v>#REF!</v>
      </c>
      <c r="F97" s="181" t="e">
        <f t="shared" si="50"/>
        <v>#REF!</v>
      </c>
      <c r="G97" s="181" t="e">
        <f t="shared" si="50"/>
        <v>#REF!</v>
      </c>
      <c r="H97" s="181" t="e">
        <f t="shared" si="50"/>
        <v>#REF!</v>
      </c>
      <c r="L97" s="181" t="e">
        <f t="shared" ref="L97:Q97" si="51">SUM(L88+SUM(L91:L96))</f>
        <v>#REF!</v>
      </c>
      <c r="M97" s="181" t="e">
        <f t="shared" si="51"/>
        <v>#REF!</v>
      </c>
      <c r="N97" s="181" t="e">
        <f t="shared" si="51"/>
        <v>#REF!</v>
      </c>
      <c r="O97" s="181" t="e">
        <f t="shared" si="51"/>
        <v>#REF!</v>
      </c>
      <c r="P97" s="181" t="e">
        <f t="shared" si="51"/>
        <v>#REF!</v>
      </c>
      <c r="Q97" s="181" t="e">
        <f t="shared" si="51"/>
        <v>#REF!</v>
      </c>
    </row>
    <row r="98" spans="2:19">
      <c r="B98" s="38"/>
    </row>
    <row r="99" spans="2:19">
      <c r="B99" s="524" t="s">
        <v>61</v>
      </c>
    </row>
    <row r="100" spans="2:19">
      <c r="B100" s="8" t="s">
        <v>59</v>
      </c>
      <c r="C100" s="175" t="e">
        <f>'Historical Financials'!#REF!</f>
        <v>#REF!</v>
      </c>
      <c r="D100" s="175" t="e">
        <f>'Historical Financials'!#REF!</f>
        <v>#REF!</v>
      </c>
      <c r="E100" s="175" t="e">
        <f>'Historical Financials'!#REF!</f>
        <v>#REF!</v>
      </c>
      <c r="F100" s="175">
        <f>'Historical Financials'!C58</f>
        <v>0</v>
      </c>
      <c r="G100" s="175">
        <f>'Historical Financials'!D58</f>
        <v>596</v>
      </c>
      <c r="H100" s="175">
        <f>'Historical Financials'!E58</f>
        <v>572</v>
      </c>
      <c r="L100" s="561" t="e">
        <f>H100*L31/H31</f>
        <v>#REF!</v>
      </c>
      <c r="M100" s="561" t="e">
        <f>L100*M31/L31</f>
        <v>#REF!</v>
      </c>
      <c r="N100" s="561" t="e">
        <f>M100*N31/M31</f>
        <v>#REF!</v>
      </c>
      <c r="O100" s="561" t="e">
        <f>N100*O31/N31</f>
        <v>#REF!</v>
      </c>
      <c r="P100" s="561" t="e">
        <f>O100*P31/O31</f>
        <v>#REF!</v>
      </c>
      <c r="Q100" s="561" t="e">
        <f>P100*Q31/P31</f>
        <v>#REF!</v>
      </c>
      <c r="S100" s="8" t="s">
        <v>128</v>
      </c>
    </row>
    <row r="101" spans="2:19">
      <c r="B101" s="8" t="s">
        <v>500</v>
      </c>
      <c r="C101" s="175" t="e">
        <f>'Historical Financials'!#REF!</f>
        <v>#REF!</v>
      </c>
      <c r="D101" s="175" t="e">
        <f>'Historical Financials'!#REF!</f>
        <v>#REF!</v>
      </c>
      <c r="E101" s="175" t="e">
        <f>'Historical Financials'!#REF!</f>
        <v>#REF!</v>
      </c>
      <c r="F101" s="175">
        <f>'Historical Financials'!C59</f>
        <v>0</v>
      </c>
      <c r="G101" s="175">
        <f>'Historical Financials'!D59</f>
        <v>9478</v>
      </c>
      <c r="H101" s="175">
        <f>'Historical Financials'!E59</f>
        <v>9510</v>
      </c>
      <c r="L101" s="11">
        <f>H101</f>
        <v>9510</v>
      </c>
      <c r="M101" s="11">
        <f>L101</f>
        <v>9510</v>
      </c>
      <c r="N101" s="11">
        <f t="shared" ref="N101:Q102" si="52">M101</f>
        <v>9510</v>
      </c>
      <c r="O101" s="11">
        <f t="shared" si="52"/>
        <v>9510</v>
      </c>
      <c r="P101" s="11">
        <f t="shared" si="52"/>
        <v>9510</v>
      </c>
      <c r="Q101" s="11">
        <f t="shared" si="52"/>
        <v>9510</v>
      </c>
      <c r="S101" s="8" t="s">
        <v>611</v>
      </c>
    </row>
    <row r="102" spans="2:19">
      <c r="B102" s="8" t="s">
        <v>433</v>
      </c>
      <c r="C102" s="175" t="e">
        <f>'Historical Financials'!#REF!</f>
        <v>#REF!</v>
      </c>
      <c r="D102" s="175" t="e">
        <f>'Historical Financials'!#REF!</f>
        <v>#REF!</v>
      </c>
      <c r="E102" s="175" t="e">
        <f>'Historical Financials'!#REF!</f>
        <v>#REF!</v>
      </c>
      <c r="F102" s="175">
        <f>'Historical Financials'!C60</f>
        <v>0</v>
      </c>
      <c r="G102" s="175">
        <f>'Historical Financials'!D60</f>
        <v>857</v>
      </c>
      <c r="H102" s="175">
        <f>'Historical Financials'!E60</f>
        <v>696</v>
      </c>
      <c r="L102" s="11">
        <f>H102</f>
        <v>696</v>
      </c>
      <c r="M102" s="11">
        <f>L102</f>
        <v>696</v>
      </c>
      <c r="N102" s="11">
        <f t="shared" si="52"/>
        <v>696</v>
      </c>
      <c r="O102" s="11">
        <f t="shared" si="52"/>
        <v>696</v>
      </c>
      <c r="P102" s="11">
        <f t="shared" si="52"/>
        <v>696</v>
      </c>
      <c r="Q102" s="11">
        <f t="shared" si="52"/>
        <v>696</v>
      </c>
      <c r="S102" s="8" t="s">
        <v>611</v>
      </c>
    </row>
    <row r="103" spans="2:19">
      <c r="B103" s="8" t="s">
        <v>499</v>
      </c>
      <c r="C103" s="175" t="e">
        <f>'Historical Financials'!#REF!</f>
        <v>#REF!</v>
      </c>
      <c r="D103" s="175" t="e">
        <f>'Historical Financials'!#REF!</f>
        <v>#REF!</v>
      </c>
      <c r="E103" s="175" t="e">
        <f>'Historical Financials'!#REF!</f>
        <v>#REF!</v>
      </c>
      <c r="F103" s="175" t="e">
        <f>'Historical Financials'!#REF!</f>
        <v>#REF!</v>
      </c>
      <c r="G103" s="175" t="e">
        <f>'Historical Financials'!#REF!</f>
        <v>#REF!</v>
      </c>
      <c r="H103" s="175" t="e">
        <f>'Historical Financials'!#REF!</f>
        <v>#REF!</v>
      </c>
      <c r="L103" s="561" t="e">
        <f>(H103*L56)+H103</f>
        <v>#REF!</v>
      </c>
      <c r="M103" s="561" t="e">
        <f>(L103*M56)+L103</f>
        <v>#REF!</v>
      </c>
      <c r="N103" s="561" t="e">
        <f>(M103*N56)+M103</f>
        <v>#REF!</v>
      </c>
      <c r="O103" s="561" t="e">
        <f>(N103*O56)+N103</f>
        <v>#REF!</v>
      </c>
      <c r="P103" s="561" t="e">
        <f>(O103*P56)+O103</f>
        <v>#REF!</v>
      </c>
      <c r="Q103" s="561" t="e">
        <f>(P103*Q56)+P103</f>
        <v>#REF!</v>
      </c>
      <c r="S103" s="8" t="s">
        <v>611</v>
      </c>
    </row>
    <row r="104" spans="2:19">
      <c r="B104" s="8" t="s">
        <v>503</v>
      </c>
      <c r="C104" s="175" t="e">
        <f>'Historical Financials'!#REF!</f>
        <v>#REF!</v>
      </c>
      <c r="D104" s="175" t="e">
        <f>'Historical Financials'!#REF!</f>
        <v>#REF!</v>
      </c>
      <c r="E104" s="175" t="e">
        <f>'Historical Financials'!#REF!</f>
        <v>#REF!</v>
      </c>
      <c r="F104" s="175" t="e">
        <f>'Historical Financials'!#REF!</f>
        <v>#REF!</v>
      </c>
      <c r="G104" s="175" t="e">
        <f>'Historical Financials'!#REF!</f>
        <v>#REF!</v>
      </c>
      <c r="H104" s="175" t="e">
        <f>'Historical Financials'!#REF!</f>
        <v>#REF!</v>
      </c>
      <c r="L104" s="561" t="e">
        <f>(H104*L56)+H104</f>
        <v>#REF!</v>
      </c>
      <c r="M104" s="561" t="e">
        <f>(L104*M56)+L104</f>
        <v>#REF!</v>
      </c>
      <c r="N104" s="561" t="e">
        <f>(M104*N56)+M104</f>
        <v>#REF!</v>
      </c>
      <c r="O104" s="561" t="e">
        <f>(N104*O56)+N104</f>
        <v>#REF!</v>
      </c>
      <c r="P104" s="561" t="e">
        <f>(O104*P56)+O104</f>
        <v>#REF!</v>
      </c>
      <c r="Q104" s="561" t="e">
        <f>(P104*Q56)+P104</f>
        <v>#REF!</v>
      </c>
      <c r="S104" s="8" t="s">
        <v>604</v>
      </c>
    </row>
    <row r="105" spans="2:19">
      <c r="B105" s="122" t="s">
        <v>20</v>
      </c>
      <c r="C105" s="181" t="e">
        <f t="shared" ref="C105:H105" si="53">SUM(C100:C104)</f>
        <v>#REF!</v>
      </c>
      <c r="D105" s="181" t="e">
        <f t="shared" si="53"/>
        <v>#REF!</v>
      </c>
      <c r="E105" s="181" t="e">
        <f t="shared" si="53"/>
        <v>#REF!</v>
      </c>
      <c r="F105" s="181" t="e">
        <f t="shared" si="53"/>
        <v>#REF!</v>
      </c>
      <c r="G105" s="181" t="e">
        <f t="shared" si="53"/>
        <v>#REF!</v>
      </c>
      <c r="H105" s="181" t="e">
        <f t="shared" si="53"/>
        <v>#REF!</v>
      </c>
      <c r="L105" s="181" t="e">
        <f t="shared" ref="L105:Q105" si="54">SUM(L100:L104)</f>
        <v>#REF!</v>
      </c>
      <c r="M105" s="181" t="e">
        <f t="shared" si="54"/>
        <v>#REF!</v>
      </c>
      <c r="N105" s="181" t="e">
        <f t="shared" si="54"/>
        <v>#REF!</v>
      </c>
      <c r="O105" s="181" t="e">
        <f t="shared" si="54"/>
        <v>#REF!</v>
      </c>
      <c r="P105" s="181" t="e">
        <f t="shared" si="54"/>
        <v>#REF!</v>
      </c>
      <c r="Q105" s="181" t="e">
        <f t="shared" si="54"/>
        <v>#REF!</v>
      </c>
    </row>
    <row r="106" spans="2:19">
      <c r="B106" s="38"/>
    </row>
    <row r="107" spans="2:19">
      <c r="B107" s="524" t="s">
        <v>434</v>
      </c>
    </row>
    <row r="108" spans="2:19">
      <c r="B108" s="8" t="s">
        <v>501</v>
      </c>
      <c r="C108" s="175" t="e">
        <f>'Historical Financials'!#REF!</f>
        <v>#REF!</v>
      </c>
      <c r="D108" s="175" t="e">
        <f>'Historical Financials'!#REF!</f>
        <v>#REF!</v>
      </c>
      <c r="E108" s="175" t="e">
        <f>'Historical Financials'!#REF!</f>
        <v>#REF!</v>
      </c>
      <c r="F108" s="175">
        <f>'Historical Financials'!C64</f>
        <v>0</v>
      </c>
      <c r="G108" s="175">
        <f>'Historical Financials'!D64</f>
        <v>324</v>
      </c>
      <c r="H108" s="175">
        <f>'Historical Financials'!E64</f>
        <v>513</v>
      </c>
      <c r="L108" s="11">
        <f>H108</f>
        <v>513</v>
      </c>
      <c r="M108" s="11">
        <f>L108</f>
        <v>513</v>
      </c>
      <c r="N108" s="11">
        <f t="shared" ref="N108:Q111" si="55">M108</f>
        <v>513</v>
      </c>
      <c r="O108" s="11">
        <f t="shared" si="55"/>
        <v>513</v>
      </c>
      <c r="P108" s="11">
        <f t="shared" si="55"/>
        <v>513</v>
      </c>
      <c r="Q108" s="11">
        <f t="shared" si="55"/>
        <v>513</v>
      </c>
      <c r="S108" s="8" t="s">
        <v>611</v>
      </c>
    </row>
    <row r="109" spans="2:19">
      <c r="B109" s="8" t="s">
        <v>134</v>
      </c>
      <c r="C109" s="562"/>
      <c r="D109" s="562"/>
      <c r="E109" s="562"/>
      <c r="F109" s="562"/>
      <c r="G109" s="562"/>
      <c r="H109" s="562"/>
      <c r="L109" s="562"/>
      <c r="M109" s="562"/>
      <c r="N109" s="562"/>
      <c r="O109" s="562"/>
      <c r="P109" s="562"/>
      <c r="Q109" s="562"/>
      <c r="S109" s="8" t="s">
        <v>135</v>
      </c>
    </row>
    <row r="110" spans="2:19">
      <c r="B110" s="8" t="s">
        <v>468</v>
      </c>
      <c r="C110" s="175" t="e">
        <f>'Historical Financials'!#REF!</f>
        <v>#REF!</v>
      </c>
      <c r="D110" s="175" t="e">
        <f>'Historical Financials'!#REF!</f>
        <v>#REF!</v>
      </c>
      <c r="E110" s="175" t="e">
        <f>'Historical Financials'!#REF!</f>
        <v>#REF!</v>
      </c>
      <c r="F110" s="175">
        <f>'Historical Financials'!C65</f>
        <v>0</v>
      </c>
      <c r="G110" s="175">
        <f>'Historical Financials'!D65</f>
        <v>1</v>
      </c>
      <c r="H110" s="175">
        <f>'Historical Financials'!E65</f>
        <v>1</v>
      </c>
      <c r="L110" s="11">
        <f>H110</f>
        <v>1</v>
      </c>
      <c r="M110" s="11">
        <f>L110</f>
        <v>1</v>
      </c>
      <c r="N110" s="11">
        <f t="shared" si="55"/>
        <v>1</v>
      </c>
      <c r="O110" s="11">
        <f t="shared" si="55"/>
        <v>1</v>
      </c>
      <c r="P110" s="11">
        <f t="shared" si="55"/>
        <v>1</v>
      </c>
      <c r="Q110" s="11">
        <f t="shared" si="55"/>
        <v>1</v>
      </c>
      <c r="S110" s="8" t="s">
        <v>611</v>
      </c>
    </row>
    <row r="111" spans="2:19">
      <c r="B111" s="8" t="s">
        <v>540</v>
      </c>
      <c r="C111" s="175" t="e">
        <f>'Historical Financials'!#REF!</f>
        <v>#REF!</v>
      </c>
      <c r="D111" s="175" t="e">
        <f>'Historical Financials'!#REF!</f>
        <v>#REF!</v>
      </c>
      <c r="E111" s="175" t="e">
        <f>'Historical Financials'!#REF!</f>
        <v>#REF!</v>
      </c>
      <c r="F111" s="175">
        <f>'Historical Financials'!C66</f>
        <v>0</v>
      </c>
      <c r="G111" s="175">
        <f>'Historical Financials'!D66</f>
        <v>295</v>
      </c>
      <c r="H111" s="175">
        <f>'Historical Financials'!E66</f>
        <v>255</v>
      </c>
      <c r="L111" s="11">
        <f>H111</f>
        <v>255</v>
      </c>
      <c r="M111" s="11">
        <f>L111</f>
        <v>255</v>
      </c>
      <c r="N111" s="11">
        <f t="shared" si="55"/>
        <v>255</v>
      </c>
      <c r="O111" s="11">
        <f t="shared" si="55"/>
        <v>255</v>
      </c>
      <c r="P111" s="11">
        <f t="shared" si="55"/>
        <v>255</v>
      </c>
      <c r="Q111" s="11">
        <f t="shared" si="55"/>
        <v>255</v>
      </c>
      <c r="S111" s="8" t="s">
        <v>611</v>
      </c>
    </row>
    <row r="112" spans="2:19">
      <c r="B112" s="8" t="s">
        <v>467</v>
      </c>
      <c r="C112" s="175" t="e">
        <f>'Historical Financials'!#REF!</f>
        <v>#REF!</v>
      </c>
      <c r="D112" s="175" t="e">
        <f>'Historical Financials'!#REF!</f>
        <v>#REF!</v>
      </c>
      <c r="E112" s="175" t="e">
        <f>'Historical Financials'!#REF!</f>
        <v>#REF!</v>
      </c>
      <c r="F112" s="175" t="e">
        <f>'Historical Financials'!#REF!</f>
        <v>#REF!</v>
      </c>
      <c r="G112" s="175" t="e">
        <f>'Historical Financials'!#REF!</f>
        <v>#REF!</v>
      </c>
      <c r="H112" s="175" t="e">
        <f>'Historical Financials'!#REF!</f>
        <v>#REF!</v>
      </c>
      <c r="L112" s="561" t="e">
        <f>(H112*L56)+H112</f>
        <v>#REF!</v>
      </c>
      <c r="M112" s="561" t="e">
        <f>(L112*M56)+L112</f>
        <v>#REF!</v>
      </c>
      <c r="N112" s="561" t="e">
        <f>(M112*N56)+M112</f>
        <v>#REF!</v>
      </c>
      <c r="O112" s="561" t="e">
        <f>(N112*O56)+N112</f>
        <v>#REF!</v>
      </c>
      <c r="P112" s="561" t="e">
        <f>(O112*P56)+O112</f>
        <v>#REF!</v>
      </c>
      <c r="Q112" s="561" t="e">
        <f>(P112*Q56)+P112</f>
        <v>#REF!</v>
      </c>
      <c r="S112" s="8" t="s">
        <v>604</v>
      </c>
    </row>
    <row r="113" spans="1:19">
      <c r="B113" s="122" t="s">
        <v>18</v>
      </c>
      <c r="C113" s="181" t="e">
        <f t="shared" ref="C113:H113" si="56">SUM(C105+SUM(C108:C112))</f>
        <v>#REF!</v>
      </c>
      <c r="D113" s="181" t="e">
        <f t="shared" si="56"/>
        <v>#REF!</v>
      </c>
      <c r="E113" s="181" t="e">
        <f t="shared" si="56"/>
        <v>#REF!</v>
      </c>
      <c r="F113" s="181" t="e">
        <f t="shared" si="56"/>
        <v>#REF!</v>
      </c>
      <c r="G113" s="181" t="e">
        <f t="shared" si="56"/>
        <v>#REF!</v>
      </c>
      <c r="H113" s="181" t="e">
        <f t="shared" si="56"/>
        <v>#REF!</v>
      </c>
      <c r="L113" s="181" t="e">
        <f t="shared" ref="L113:Q113" si="57">SUM(L105+SUM(L108:L112))</f>
        <v>#REF!</v>
      </c>
      <c r="M113" s="181" t="e">
        <f t="shared" si="57"/>
        <v>#REF!</v>
      </c>
      <c r="N113" s="181" t="e">
        <f t="shared" si="57"/>
        <v>#REF!</v>
      </c>
      <c r="O113" s="181" t="e">
        <f t="shared" si="57"/>
        <v>#REF!</v>
      </c>
      <c r="P113" s="181" t="e">
        <f t="shared" si="57"/>
        <v>#REF!</v>
      </c>
      <c r="Q113" s="181" t="e">
        <f t="shared" si="57"/>
        <v>#REF!</v>
      </c>
    </row>
    <row r="114" spans="1:19">
      <c r="B114" s="38"/>
    </row>
    <row r="115" spans="1:19">
      <c r="B115" s="524" t="s">
        <v>601</v>
      </c>
    </row>
    <row r="116" spans="1:19">
      <c r="B116" s="8" t="s">
        <v>469</v>
      </c>
      <c r="C116" s="175" t="e">
        <f>'Historical Financials'!#REF!</f>
        <v>#REF!</v>
      </c>
      <c r="D116" s="175" t="e">
        <f>'Historical Financials'!#REF!</f>
        <v>#REF!</v>
      </c>
      <c r="E116" s="175" t="e">
        <f>'Historical Financials'!#REF!</f>
        <v>#REF!</v>
      </c>
      <c r="F116" s="175">
        <f>'Historical Financials'!C69</f>
        <v>0</v>
      </c>
      <c r="G116" s="175">
        <f>'Historical Financials'!D69</f>
        <v>0</v>
      </c>
      <c r="H116" s="175">
        <f>'Historical Financials'!E69</f>
        <v>0</v>
      </c>
      <c r="L116" s="11">
        <f>H116</f>
        <v>0</v>
      </c>
      <c r="M116" s="11">
        <f>L116</f>
        <v>0</v>
      </c>
      <c r="N116" s="11">
        <f t="shared" ref="N116:Q118" si="58">M116</f>
        <v>0</v>
      </c>
      <c r="O116" s="11">
        <f t="shared" si="58"/>
        <v>0</v>
      </c>
      <c r="P116" s="11">
        <f t="shared" si="58"/>
        <v>0</v>
      </c>
      <c r="Q116" s="11">
        <f t="shared" si="58"/>
        <v>0</v>
      </c>
      <c r="S116" s="8" t="s">
        <v>611</v>
      </c>
    </row>
    <row r="117" spans="1:19">
      <c r="B117" s="8" t="s">
        <v>496</v>
      </c>
      <c r="C117" s="175" t="e">
        <f>'Historical Financials'!#REF!</f>
        <v>#REF!</v>
      </c>
      <c r="D117" s="175" t="e">
        <f>'Historical Financials'!#REF!</f>
        <v>#REF!</v>
      </c>
      <c r="E117" s="175" t="e">
        <f>'Historical Financials'!#REF!</f>
        <v>#REF!</v>
      </c>
      <c r="F117" s="175">
        <f>'Historical Financials'!C70</f>
        <v>0</v>
      </c>
      <c r="G117" s="175">
        <f>'Historical Financials'!D70</f>
        <v>4625</v>
      </c>
      <c r="H117" s="175">
        <f>'Historical Financials'!E70</f>
        <v>4646</v>
      </c>
      <c r="L117" s="561" t="e">
        <f>(H117*L61)+H117</f>
        <v>#REF!</v>
      </c>
      <c r="M117" s="561" t="e">
        <f>(L117*M61)+L117</f>
        <v>#REF!</v>
      </c>
      <c r="N117" s="561" t="e">
        <f>(M117*N61)+M117</f>
        <v>#REF!</v>
      </c>
      <c r="O117" s="561" t="e">
        <f>(N117*O61)+N117</f>
        <v>#REF!</v>
      </c>
      <c r="P117" s="561" t="e">
        <f>(O117*P61)+O117</f>
        <v>#REF!</v>
      </c>
      <c r="Q117" s="561" t="e">
        <f>(P117*Q61)+P117</f>
        <v>#REF!</v>
      </c>
      <c r="S117" s="8" t="s">
        <v>139</v>
      </c>
    </row>
    <row r="118" spans="1:19">
      <c r="B118" s="8" t="s">
        <v>471</v>
      </c>
      <c r="C118" s="175" t="e">
        <f>'Historical Financials'!#REF!</f>
        <v>#REF!</v>
      </c>
      <c r="D118" s="175" t="e">
        <f>'Historical Financials'!#REF!</f>
        <v>#REF!</v>
      </c>
      <c r="E118" s="175" t="e">
        <f>'Historical Financials'!#REF!</f>
        <v>#REF!</v>
      </c>
      <c r="F118" s="175">
        <f>'Historical Financials'!C71</f>
        <v>0</v>
      </c>
      <c r="G118" s="175">
        <f>'Historical Financials'!D71</f>
        <v>37</v>
      </c>
      <c r="H118" s="175">
        <f>'Historical Financials'!E71</f>
        <v>0</v>
      </c>
      <c r="L118" s="11">
        <f>H118</f>
        <v>0</v>
      </c>
      <c r="M118" s="11">
        <f>L118</f>
        <v>0</v>
      </c>
      <c r="N118" s="11">
        <f t="shared" si="58"/>
        <v>0</v>
      </c>
      <c r="O118" s="11">
        <f t="shared" si="58"/>
        <v>0</v>
      </c>
      <c r="P118" s="11">
        <f t="shared" si="58"/>
        <v>0</v>
      </c>
      <c r="Q118" s="11">
        <f t="shared" si="58"/>
        <v>0</v>
      </c>
      <c r="S118" s="8" t="s">
        <v>611</v>
      </c>
    </row>
    <row r="119" spans="1:19">
      <c r="B119" s="8" t="s">
        <v>470</v>
      </c>
      <c r="C119" s="175" t="e">
        <f>'Historical Financials'!#REF!</f>
        <v>#REF!</v>
      </c>
      <c r="D119" s="175" t="e">
        <f>'Historical Financials'!#REF!</f>
        <v>#REF!</v>
      </c>
      <c r="E119" s="175" t="e">
        <f>'Historical Financials'!#REF!</f>
        <v>#REF!</v>
      </c>
      <c r="F119" s="175" t="e">
        <f>'Historical Financials'!#REF!</f>
        <v>#REF!</v>
      </c>
      <c r="G119" s="175" t="e">
        <f>'Historical Financials'!#REF!</f>
        <v>#REF!</v>
      </c>
      <c r="H119" s="175" t="e">
        <f>'Historical Financials'!#REF!</f>
        <v>#REF!</v>
      </c>
      <c r="L119" s="526"/>
      <c r="M119" s="526"/>
      <c r="N119" s="526"/>
      <c r="O119" s="526"/>
      <c r="P119" s="526"/>
      <c r="Q119" s="526"/>
      <c r="S119" s="8" t="s">
        <v>141</v>
      </c>
    </row>
    <row r="120" spans="1:19">
      <c r="B120" s="122" t="s">
        <v>602</v>
      </c>
      <c r="C120" s="181" t="e">
        <f t="shared" ref="C120:H120" si="59">SUM(C116:C119)</f>
        <v>#REF!</v>
      </c>
      <c r="D120" s="181" t="e">
        <f t="shared" si="59"/>
        <v>#REF!</v>
      </c>
      <c r="E120" s="181" t="e">
        <f t="shared" si="59"/>
        <v>#REF!</v>
      </c>
      <c r="F120" s="181" t="e">
        <f t="shared" si="59"/>
        <v>#REF!</v>
      </c>
      <c r="G120" s="181" t="e">
        <f t="shared" si="59"/>
        <v>#REF!</v>
      </c>
      <c r="H120" s="181" t="e">
        <f t="shared" si="59"/>
        <v>#REF!</v>
      </c>
      <c r="L120" s="181" t="e">
        <f t="shared" ref="L120:Q120" si="60">SUM(L116:L119)</f>
        <v>#REF!</v>
      </c>
      <c r="M120" s="181" t="e">
        <f t="shared" si="60"/>
        <v>#REF!</v>
      </c>
      <c r="N120" s="181" t="e">
        <f t="shared" si="60"/>
        <v>#REF!</v>
      </c>
      <c r="O120" s="181" t="e">
        <f t="shared" si="60"/>
        <v>#REF!</v>
      </c>
      <c r="P120" s="181" t="e">
        <f t="shared" si="60"/>
        <v>#REF!</v>
      </c>
      <c r="Q120" s="181" t="e">
        <f t="shared" si="60"/>
        <v>#REF!</v>
      </c>
    </row>
    <row r="121" spans="1:19" ht="5.0999999999999996" customHeight="1">
      <c r="B121" s="38"/>
    </row>
    <row r="122" spans="1:19">
      <c r="B122" s="457" t="s">
        <v>144</v>
      </c>
      <c r="C122" s="456" t="e">
        <f t="shared" ref="C122:H122" si="61">+C120+C113-C97</f>
        <v>#REF!</v>
      </c>
      <c r="D122" s="456" t="e">
        <f t="shared" si="61"/>
        <v>#REF!</v>
      </c>
      <c r="E122" s="456" t="e">
        <f t="shared" si="61"/>
        <v>#REF!</v>
      </c>
      <c r="F122" s="456" t="e">
        <f t="shared" si="61"/>
        <v>#REF!</v>
      </c>
      <c r="G122" s="456" t="e">
        <f t="shared" si="61"/>
        <v>#REF!</v>
      </c>
      <c r="H122" s="456" t="e">
        <f t="shared" si="61"/>
        <v>#REF!</v>
      </c>
      <c r="L122" s="456" t="e">
        <f t="shared" ref="L122:Q122" si="62">+L120+L113-L97</f>
        <v>#REF!</v>
      </c>
      <c r="M122" s="456" t="e">
        <f t="shared" si="62"/>
        <v>#REF!</v>
      </c>
      <c r="N122" s="456" t="e">
        <f t="shared" si="62"/>
        <v>#REF!</v>
      </c>
      <c r="O122" s="456" t="e">
        <f t="shared" si="62"/>
        <v>#REF!</v>
      </c>
      <c r="P122" s="456" t="e">
        <f t="shared" si="62"/>
        <v>#REF!</v>
      </c>
      <c r="Q122" s="456" t="e">
        <f t="shared" si="62"/>
        <v>#REF!</v>
      </c>
    </row>
    <row r="123" spans="1:19">
      <c r="B123" s="38"/>
    </row>
    <row r="124" spans="1:19">
      <c r="A124" s="8" t="s">
        <v>19</v>
      </c>
      <c r="B124" s="389" t="s">
        <v>15</v>
      </c>
      <c r="C124" s="393"/>
      <c r="D124" s="393"/>
      <c r="E124" s="393"/>
      <c r="F124" s="393"/>
      <c r="G124" s="393"/>
      <c r="H124" s="393"/>
      <c r="I124" s="393"/>
      <c r="J124" s="393"/>
      <c r="K124" s="393"/>
      <c r="L124" s="390" t="s">
        <v>157</v>
      </c>
      <c r="M124" s="390"/>
      <c r="N124" s="390"/>
      <c r="O124" s="390"/>
      <c r="P124" s="390"/>
      <c r="Q124" s="390"/>
    </row>
    <row r="125" spans="1:19">
      <c r="B125" s="391" t="str">
        <f>B15</f>
        <v xml:space="preserve">Fiscal year  </v>
      </c>
      <c r="C125" s="393"/>
      <c r="D125" s="393"/>
      <c r="E125" s="393"/>
      <c r="F125" s="393"/>
      <c r="G125" s="393"/>
      <c r="H125" s="393"/>
      <c r="I125" s="393"/>
      <c r="J125" s="393"/>
      <c r="K125" s="393"/>
      <c r="L125" s="392">
        <f t="shared" ref="L125:Q126" si="63">L80</f>
        <v>2025</v>
      </c>
      <c r="M125" s="392">
        <f t="shared" si="63"/>
        <v>2026</v>
      </c>
      <c r="N125" s="392">
        <f t="shared" si="63"/>
        <v>2027</v>
      </c>
      <c r="O125" s="392">
        <f t="shared" si="63"/>
        <v>2028</v>
      </c>
      <c r="P125" s="392">
        <f t="shared" si="63"/>
        <v>2029</v>
      </c>
      <c r="Q125" s="392">
        <f t="shared" si="63"/>
        <v>2030</v>
      </c>
    </row>
    <row r="126" spans="1:19">
      <c r="B126" s="391" t="str">
        <f>B16</f>
        <v>Fiscal year end date</v>
      </c>
      <c r="C126" s="393"/>
      <c r="D126" s="393"/>
      <c r="E126" s="393"/>
      <c r="F126" s="393"/>
      <c r="G126" s="393"/>
      <c r="H126" s="393"/>
      <c r="I126" s="393"/>
      <c r="J126" s="393"/>
      <c r="K126" s="393"/>
      <c r="L126" s="393">
        <f t="shared" si="63"/>
        <v>46022</v>
      </c>
      <c r="M126" s="393">
        <f t="shared" si="63"/>
        <v>46387</v>
      </c>
      <c r="N126" s="393">
        <f t="shared" si="63"/>
        <v>46752</v>
      </c>
      <c r="O126" s="393">
        <f t="shared" si="63"/>
        <v>47118</v>
      </c>
      <c r="P126" s="393">
        <f t="shared" si="63"/>
        <v>47483</v>
      </c>
      <c r="Q126" s="393">
        <f t="shared" si="63"/>
        <v>47848</v>
      </c>
    </row>
    <row r="127" spans="1:19" ht="5.0999999999999996" customHeight="1"/>
    <row r="128" spans="1:19">
      <c r="B128" s="8" t="s">
        <v>13</v>
      </c>
      <c r="L128" s="11" t="e">
        <f t="shared" ref="L128:Q128" si="64">L45</f>
        <v>#REF!</v>
      </c>
      <c r="M128" s="11" t="e">
        <f t="shared" si="64"/>
        <v>#REF!</v>
      </c>
      <c r="N128" s="11" t="e">
        <f t="shared" si="64"/>
        <v>#REF!</v>
      </c>
      <c r="O128" s="11" t="e">
        <f t="shared" si="64"/>
        <v>#REF!</v>
      </c>
      <c r="P128" s="11" t="e">
        <f t="shared" si="64"/>
        <v>#REF!</v>
      </c>
      <c r="Q128" s="11" t="e">
        <f t="shared" si="64"/>
        <v>#REF!</v>
      </c>
      <c r="S128" s="8" t="s">
        <v>145</v>
      </c>
    </row>
    <row r="129" spans="2:19">
      <c r="B129" s="8" t="s">
        <v>69</v>
      </c>
      <c r="L129" s="563"/>
      <c r="M129" s="563"/>
      <c r="N129" s="563"/>
      <c r="O129" s="563"/>
      <c r="P129" s="563"/>
      <c r="Q129" s="563"/>
      <c r="S129" s="8" t="s">
        <v>145</v>
      </c>
    </row>
    <row r="130" spans="2:19">
      <c r="B130" s="8" t="s">
        <v>117</v>
      </c>
      <c r="L130" s="11" t="e">
        <f t="shared" ref="L130:Q130" si="65">L50</f>
        <v>#REF!</v>
      </c>
      <c r="M130" s="11" t="e">
        <f t="shared" si="65"/>
        <v>#REF!</v>
      </c>
      <c r="N130" s="11" t="e">
        <f t="shared" si="65"/>
        <v>#REF!</v>
      </c>
      <c r="O130" s="11" t="e">
        <f t="shared" si="65"/>
        <v>#REF!</v>
      </c>
      <c r="P130" s="11" t="e">
        <f t="shared" si="65"/>
        <v>#REF!</v>
      </c>
      <c r="Q130" s="11" t="e">
        <f t="shared" si="65"/>
        <v>#REF!</v>
      </c>
      <c r="S130" s="8" t="s">
        <v>145</v>
      </c>
    </row>
    <row r="131" spans="2:19">
      <c r="B131" s="8" t="s">
        <v>146</v>
      </c>
      <c r="L131" s="11" t="e">
        <f>SUM(H86:H87)-SUM(L86:L87)</f>
        <v>#REF!</v>
      </c>
      <c r="M131" s="11" t="e">
        <f>SUM(L86:L87)-SUM(M86:M87)</f>
        <v>#REF!</v>
      </c>
      <c r="N131" s="11" t="e">
        <f>SUM(M86:M87)-SUM(N86:N87)</f>
        <v>#REF!</v>
      </c>
      <c r="O131" s="11" t="e">
        <f>SUM(N86:N87)-SUM(O86:O87)</f>
        <v>#REF!</v>
      </c>
      <c r="P131" s="11" t="e">
        <f>SUM(O86:O87)-SUM(P86:P87)</f>
        <v>#REF!</v>
      </c>
      <c r="Q131" s="11" t="e">
        <f>SUM(P86:P87)-SUM(Q86:Q87)</f>
        <v>#REF!</v>
      </c>
    </row>
    <row r="132" spans="2:19">
      <c r="B132" s="8" t="s">
        <v>147</v>
      </c>
      <c r="L132" s="11" t="e">
        <f>SUM(L100:L104)-SUM(H100:H104)</f>
        <v>#REF!</v>
      </c>
      <c r="M132" s="11" t="e">
        <f>SUM(M100:M104)-SUM(L100:L104)</f>
        <v>#REF!</v>
      </c>
      <c r="N132" s="11" t="e">
        <f>SUM(N100:N104)-SUM(M100:M104)</f>
        <v>#REF!</v>
      </c>
      <c r="O132" s="11" t="e">
        <f>SUM(O100:O104)-SUM(N100:N104)</f>
        <v>#REF!</v>
      </c>
      <c r="P132" s="11" t="e">
        <f>SUM(P100:P104)-SUM(O100:O104)</f>
        <v>#REF!</v>
      </c>
      <c r="Q132" s="11" t="e">
        <f>SUM(Q100:Q104)-SUM(P100:P104)</f>
        <v>#REF!</v>
      </c>
    </row>
    <row r="133" spans="2:19">
      <c r="B133" s="8" t="s">
        <v>131</v>
      </c>
      <c r="L133" s="563"/>
      <c r="M133" s="563"/>
      <c r="N133" s="563"/>
      <c r="O133" s="563"/>
      <c r="P133" s="563"/>
      <c r="Q133" s="563"/>
      <c r="S133" s="8" t="s">
        <v>148</v>
      </c>
    </row>
    <row r="134" spans="2:19">
      <c r="B134" s="8" t="s">
        <v>137</v>
      </c>
      <c r="L134" s="11" t="e">
        <f>SUM(L110:L112)-SUM(H110:H112)</f>
        <v>#REF!</v>
      </c>
      <c r="M134" s="11" t="e">
        <f>SUM(M110:M112)-SUM(L110:L112)</f>
        <v>#REF!</v>
      </c>
      <c r="N134" s="11" t="e">
        <f>SUM(N110:N112)-SUM(M110:M112)</f>
        <v>#REF!</v>
      </c>
      <c r="O134" s="11" t="e">
        <f>SUM(O110:O112)-SUM(N110:N112)</f>
        <v>#REF!</v>
      </c>
      <c r="P134" s="11" t="e">
        <f>SUM(P110:P112)-SUM(O110:O112)</f>
        <v>#REF!</v>
      </c>
      <c r="Q134" s="11" t="e">
        <f>SUM(Q110:Q112)-SUM(P110:P112)</f>
        <v>#REF!</v>
      </c>
    </row>
    <row r="135" spans="2:19">
      <c r="B135" s="38" t="s">
        <v>403</v>
      </c>
      <c r="C135" s="179"/>
      <c r="D135" s="179"/>
      <c r="E135" s="179"/>
      <c r="F135" s="179"/>
      <c r="G135" s="179"/>
      <c r="H135" s="179"/>
      <c r="I135" s="179"/>
      <c r="J135" s="179"/>
      <c r="K135" s="179"/>
      <c r="L135" s="565" t="e">
        <f t="shared" ref="L135:Q135" si="66">SUM(L128:L134)</f>
        <v>#REF!</v>
      </c>
      <c r="M135" s="565" t="e">
        <f t="shared" si="66"/>
        <v>#REF!</v>
      </c>
      <c r="N135" s="565" t="e">
        <f t="shared" si="66"/>
        <v>#REF!</v>
      </c>
      <c r="O135" s="565" t="e">
        <f t="shared" si="66"/>
        <v>#REF!</v>
      </c>
      <c r="P135" s="565" t="e">
        <f t="shared" si="66"/>
        <v>#REF!</v>
      </c>
      <c r="Q135" s="565" t="e">
        <f t="shared" si="66"/>
        <v>#REF!</v>
      </c>
    </row>
    <row r="137" spans="2:19">
      <c r="B137" s="8" t="s">
        <v>243</v>
      </c>
      <c r="L137" s="563"/>
      <c r="M137" s="563"/>
      <c r="N137" s="563"/>
      <c r="O137" s="563"/>
      <c r="P137" s="563"/>
      <c r="Q137" s="563"/>
    </row>
    <row r="138" spans="2:19">
      <c r="B138" s="38" t="s">
        <v>404</v>
      </c>
      <c r="C138" s="179"/>
      <c r="D138" s="179"/>
      <c r="E138" s="179"/>
      <c r="F138" s="179"/>
      <c r="G138" s="179"/>
      <c r="H138" s="179"/>
      <c r="I138" s="179"/>
      <c r="J138" s="179"/>
      <c r="K138" s="179"/>
      <c r="L138" s="565">
        <f t="shared" ref="L138:Q138" si="67">+L137</f>
        <v>0</v>
      </c>
      <c r="M138" s="565">
        <f t="shared" si="67"/>
        <v>0</v>
      </c>
      <c r="N138" s="565">
        <f t="shared" si="67"/>
        <v>0</v>
      </c>
      <c r="O138" s="565">
        <f t="shared" si="67"/>
        <v>0</v>
      </c>
      <c r="P138" s="565">
        <f t="shared" si="67"/>
        <v>0</v>
      </c>
      <c r="Q138" s="565">
        <f t="shared" si="67"/>
        <v>0</v>
      </c>
    </row>
    <row r="140" spans="2:19">
      <c r="B140" s="8" t="s">
        <v>150</v>
      </c>
      <c r="L140" s="11">
        <f>L108-H108</f>
        <v>0</v>
      </c>
      <c r="M140" s="11">
        <f>M108-L108</f>
        <v>0</v>
      </c>
      <c r="N140" s="11">
        <f>N108-M108</f>
        <v>0</v>
      </c>
      <c r="O140" s="11">
        <f>O108-N108</f>
        <v>0</v>
      </c>
      <c r="P140" s="11">
        <f>P108-O108</f>
        <v>0</v>
      </c>
      <c r="Q140" s="11">
        <f>Q108-P108</f>
        <v>0</v>
      </c>
      <c r="S140" s="8" t="s">
        <v>152</v>
      </c>
    </row>
    <row r="141" spans="2:19">
      <c r="B141" s="8" t="s">
        <v>151</v>
      </c>
      <c r="L141" s="563"/>
      <c r="M141" s="563"/>
      <c r="N141" s="563"/>
      <c r="O141" s="563"/>
      <c r="P141" s="563"/>
      <c r="Q141" s="563"/>
      <c r="S141" s="8" t="s">
        <v>141</v>
      </c>
    </row>
    <row r="142" spans="2:19">
      <c r="B142" s="8" t="s">
        <v>153</v>
      </c>
      <c r="L142" s="563"/>
      <c r="M142" s="563"/>
      <c r="N142" s="563"/>
      <c r="O142" s="563"/>
      <c r="P142" s="563"/>
      <c r="Q142" s="563"/>
      <c r="S142" s="8" t="s">
        <v>141</v>
      </c>
    </row>
    <row r="143" spans="2:19">
      <c r="B143" s="8" t="s">
        <v>154</v>
      </c>
      <c r="L143" s="563"/>
      <c r="M143" s="563"/>
      <c r="N143" s="563"/>
      <c r="O143" s="563"/>
      <c r="P143" s="563"/>
      <c r="Q143" s="563"/>
      <c r="S143" s="8" t="s">
        <v>141</v>
      </c>
    </row>
    <row r="144" spans="2:19">
      <c r="B144" s="38" t="s">
        <v>404</v>
      </c>
      <c r="C144" s="179"/>
      <c r="D144" s="179"/>
      <c r="E144" s="179"/>
      <c r="F144" s="179"/>
      <c r="G144" s="179"/>
      <c r="H144" s="179"/>
      <c r="I144" s="179"/>
      <c r="J144" s="179"/>
      <c r="K144" s="179"/>
      <c r="L144" s="564">
        <f t="shared" ref="L144:Q144" si="68">SUM(L140:L143)</f>
        <v>0</v>
      </c>
      <c r="M144" s="564">
        <f t="shared" si="68"/>
        <v>0</v>
      </c>
      <c r="N144" s="564">
        <f t="shared" si="68"/>
        <v>0</v>
      </c>
      <c r="O144" s="564">
        <f t="shared" si="68"/>
        <v>0</v>
      </c>
      <c r="P144" s="564">
        <f t="shared" si="68"/>
        <v>0</v>
      </c>
      <c r="Q144" s="564">
        <f t="shared" si="68"/>
        <v>0</v>
      </c>
    </row>
    <row r="146" spans="1:19">
      <c r="B146" s="38" t="s">
        <v>606</v>
      </c>
      <c r="L146" s="566" t="e">
        <f t="shared" ref="L146:Q146" si="69">+L144+L138+L135</f>
        <v>#REF!</v>
      </c>
      <c r="M146" s="566" t="e">
        <f t="shared" si="69"/>
        <v>#REF!</v>
      </c>
      <c r="N146" s="566" t="e">
        <f t="shared" si="69"/>
        <v>#REF!</v>
      </c>
      <c r="O146" s="566" t="e">
        <f t="shared" si="69"/>
        <v>#REF!</v>
      </c>
      <c r="P146" s="566" t="e">
        <f t="shared" si="69"/>
        <v>#REF!</v>
      </c>
      <c r="Q146" s="566" t="e">
        <f t="shared" si="69"/>
        <v>#REF!</v>
      </c>
    </row>
    <row r="148" spans="1:19">
      <c r="A148" s="8" t="s">
        <v>19</v>
      </c>
      <c r="B148" s="365" t="s">
        <v>406</v>
      </c>
      <c r="C148" s="366" t="s">
        <v>399</v>
      </c>
      <c r="D148" s="366"/>
      <c r="E148" s="366"/>
      <c r="F148" s="366"/>
      <c r="G148" s="366"/>
      <c r="H148" s="366"/>
      <c r="I148" s="368"/>
      <c r="J148" s="368"/>
      <c r="K148" s="368"/>
      <c r="L148" s="366" t="s">
        <v>157</v>
      </c>
      <c r="M148" s="366"/>
      <c r="N148" s="366"/>
      <c r="O148" s="366"/>
      <c r="P148" s="366"/>
      <c r="Q148" s="366"/>
    </row>
    <row r="149" spans="1:19">
      <c r="B149" s="367" t="s">
        <v>100</v>
      </c>
      <c r="C149" s="394">
        <f t="shared" ref="C149:H150" si="70">C80</f>
        <v>2019</v>
      </c>
      <c r="D149" s="394">
        <f t="shared" si="70"/>
        <v>2020</v>
      </c>
      <c r="E149" s="394">
        <f t="shared" si="70"/>
        <v>2021</v>
      </c>
      <c r="F149" s="394">
        <f t="shared" si="70"/>
        <v>2022</v>
      </c>
      <c r="G149" s="394">
        <f t="shared" si="70"/>
        <v>2023</v>
      </c>
      <c r="H149" s="394">
        <f t="shared" si="70"/>
        <v>2024</v>
      </c>
      <c r="I149" s="368"/>
      <c r="J149" s="368"/>
      <c r="K149" s="368"/>
      <c r="L149" s="395">
        <f t="shared" ref="L149:Q149" si="71">L80</f>
        <v>2025</v>
      </c>
      <c r="M149" s="395">
        <f t="shared" si="71"/>
        <v>2026</v>
      </c>
      <c r="N149" s="395">
        <f t="shared" si="71"/>
        <v>2027</v>
      </c>
      <c r="O149" s="395">
        <f t="shared" si="71"/>
        <v>2028</v>
      </c>
      <c r="P149" s="395">
        <f t="shared" si="71"/>
        <v>2029</v>
      </c>
      <c r="Q149" s="395">
        <f t="shared" si="71"/>
        <v>2030</v>
      </c>
    </row>
    <row r="150" spans="1:19">
      <c r="B150" s="367" t="s">
        <v>101</v>
      </c>
      <c r="C150" s="368">
        <f t="shared" si="70"/>
        <v>43830</v>
      </c>
      <c r="D150" s="368">
        <f t="shared" si="70"/>
        <v>44196</v>
      </c>
      <c r="E150" s="368">
        <f t="shared" si="70"/>
        <v>44561</v>
      </c>
      <c r="F150" s="368">
        <f t="shared" si="70"/>
        <v>44926</v>
      </c>
      <c r="G150" s="368">
        <f t="shared" si="70"/>
        <v>45291</v>
      </c>
      <c r="H150" s="368">
        <f t="shared" si="70"/>
        <v>45657</v>
      </c>
      <c r="I150" s="368"/>
      <c r="J150" s="368"/>
      <c r="K150" s="368"/>
      <c r="L150" s="368">
        <f t="shared" ref="L150:Q150" si="72">L81</f>
        <v>46022</v>
      </c>
      <c r="M150" s="368">
        <f t="shared" si="72"/>
        <v>46387</v>
      </c>
      <c r="N150" s="368">
        <f t="shared" si="72"/>
        <v>46752</v>
      </c>
      <c r="O150" s="368">
        <f t="shared" si="72"/>
        <v>47118</v>
      </c>
      <c r="P150" s="368">
        <f t="shared" si="72"/>
        <v>47483</v>
      </c>
      <c r="Q150" s="368">
        <f t="shared" si="72"/>
        <v>47848</v>
      </c>
    </row>
    <row r="151" spans="1:19" ht="5.0999999999999996" customHeight="1"/>
    <row r="152" spans="1:19">
      <c r="B152" s="37" t="s">
        <v>156</v>
      </c>
      <c r="C152" s="567"/>
      <c r="D152" s="567"/>
      <c r="E152" s="567"/>
      <c r="F152" s="567"/>
      <c r="G152" s="567"/>
      <c r="H152" s="567"/>
      <c r="I152" s="567"/>
      <c r="J152" s="567"/>
      <c r="K152" s="567"/>
      <c r="L152" s="567"/>
      <c r="M152" s="567"/>
      <c r="N152" s="567"/>
      <c r="O152" s="567"/>
      <c r="P152" s="567"/>
      <c r="Q152" s="567"/>
    </row>
    <row r="153" spans="1:19">
      <c r="B153" s="38" t="s">
        <v>607</v>
      </c>
      <c r="C153" s="175" t="e">
        <f>'Historical Financials'!#REF!</f>
        <v>#REF!</v>
      </c>
      <c r="D153" s="566" t="e">
        <f>C156</f>
        <v>#REF!</v>
      </c>
      <c r="E153" s="566" t="e">
        <f>D156</f>
        <v>#REF!</v>
      </c>
      <c r="F153" s="566" t="e">
        <f>E156</f>
        <v>#REF!</v>
      </c>
      <c r="G153" s="566">
        <f>F156</f>
        <v>0</v>
      </c>
      <c r="H153" s="566">
        <f>G156</f>
        <v>533</v>
      </c>
      <c r="L153" s="566">
        <f>'Historical Financials'!M52</f>
        <v>392</v>
      </c>
      <c r="M153" s="566" t="e">
        <f>L156</f>
        <v>#DIV/0!</v>
      </c>
      <c r="N153" s="566" t="e">
        <f>M156</f>
        <v>#DIV/0!</v>
      </c>
      <c r="O153" s="566" t="e">
        <f>N156</f>
        <v>#DIV/0!</v>
      </c>
      <c r="P153" s="566" t="e">
        <f>O156</f>
        <v>#DIV/0!</v>
      </c>
      <c r="Q153" s="566" t="e">
        <f>P156</f>
        <v>#DIV/0!</v>
      </c>
    </row>
    <row r="154" spans="1:19">
      <c r="B154" s="65" t="s">
        <v>160</v>
      </c>
      <c r="C154" s="175" t="e">
        <f>'Historical Financials'!#REF!</f>
        <v>#REF!</v>
      </c>
      <c r="D154" s="175" t="e">
        <f>'Historical Financials'!#REF!</f>
        <v>#REF!</v>
      </c>
      <c r="E154" s="175" t="e">
        <f>'Historical Financials'!#REF!</f>
        <v>#REF!</v>
      </c>
      <c r="F154" s="175">
        <f>'Historical Financials'!C107</f>
        <v>0</v>
      </c>
      <c r="G154" s="175">
        <f>'Historical Financials'!D107</f>
        <v>0</v>
      </c>
      <c r="H154" s="175">
        <f>'Historical Financials'!E107</f>
        <v>0</v>
      </c>
      <c r="L154" s="87">
        <v>-91808</v>
      </c>
      <c r="M154" s="87">
        <f>L154</f>
        <v>-91808</v>
      </c>
      <c r="N154" s="87">
        <f>M154</f>
        <v>-91808</v>
      </c>
      <c r="O154" s="468">
        <f>N154</f>
        <v>-91808</v>
      </c>
      <c r="P154" s="468">
        <f>O154</f>
        <v>-91808</v>
      </c>
      <c r="Q154" s="468">
        <f>P154</f>
        <v>-91808</v>
      </c>
      <c r="S154" s="8" t="s">
        <v>599</v>
      </c>
    </row>
    <row r="155" spans="1:19">
      <c r="B155" s="65" t="s">
        <v>162</v>
      </c>
      <c r="C155" s="88">
        <v>10856</v>
      </c>
      <c r="D155" s="88">
        <v>12905</v>
      </c>
      <c r="E155" s="88">
        <v>11555</v>
      </c>
      <c r="F155" s="88">
        <v>13475</v>
      </c>
      <c r="G155" s="88">
        <v>11946</v>
      </c>
      <c r="H155" s="88">
        <v>15311</v>
      </c>
      <c r="L155" s="561" t="e">
        <f t="shared" ref="L155:Q155" si="73">-(L158*L154)</f>
        <v>#DIV/0!</v>
      </c>
      <c r="M155" s="561" t="e">
        <f t="shared" si="73"/>
        <v>#DIV/0!</v>
      </c>
      <c r="N155" s="561" t="e">
        <f t="shared" si="73"/>
        <v>#DIV/0!</v>
      </c>
      <c r="O155" s="561" t="e">
        <f t="shared" si="73"/>
        <v>#DIV/0!</v>
      </c>
      <c r="P155" s="561" t="e">
        <f t="shared" si="73"/>
        <v>#DIV/0!</v>
      </c>
      <c r="Q155" s="561" t="e">
        <f t="shared" si="73"/>
        <v>#DIV/0!</v>
      </c>
      <c r="S155" s="8" t="s">
        <v>609</v>
      </c>
    </row>
    <row r="156" spans="1:19">
      <c r="B156" s="568" t="s">
        <v>608</v>
      </c>
      <c r="C156" s="571" t="e">
        <f t="shared" ref="C156:H156" si="74">C93</f>
        <v>#REF!</v>
      </c>
      <c r="D156" s="571" t="e">
        <f t="shared" si="74"/>
        <v>#REF!</v>
      </c>
      <c r="E156" s="571" t="e">
        <f t="shared" si="74"/>
        <v>#REF!</v>
      </c>
      <c r="F156" s="571">
        <f t="shared" si="74"/>
        <v>0</v>
      </c>
      <c r="G156" s="571">
        <f t="shared" si="74"/>
        <v>533</v>
      </c>
      <c r="H156" s="571">
        <f t="shared" si="74"/>
        <v>376</v>
      </c>
      <c r="I156" s="569"/>
      <c r="J156" s="569"/>
      <c r="K156" s="569"/>
      <c r="L156" s="571" t="e">
        <f t="shared" ref="L156:Q156" si="75">SUM(L153:L155)</f>
        <v>#DIV/0!</v>
      </c>
      <c r="M156" s="571" t="e">
        <f t="shared" si="75"/>
        <v>#DIV/0!</v>
      </c>
      <c r="N156" s="571" t="e">
        <f t="shared" si="75"/>
        <v>#DIV/0!</v>
      </c>
      <c r="O156" s="571" t="e">
        <f t="shared" si="75"/>
        <v>#DIV/0!</v>
      </c>
      <c r="P156" s="571" t="e">
        <f t="shared" si="75"/>
        <v>#DIV/0!</v>
      </c>
      <c r="Q156" s="571" t="e">
        <f t="shared" si="75"/>
        <v>#DIV/0!</v>
      </c>
    </row>
    <row r="158" spans="1:19">
      <c r="B158" s="8" t="s">
        <v>166</v>
      </c>
      <c r="C158" s="123" t="e">
        <f t="shared" ref="C158:H158" si="76">-(C155/C154)</f>
        <v>#REF!</v>
      </c>
      <c r="D158" s="123" t="e">
        <f t="shared" si="76"/>
        <v>#REF!</v>
      </c>
      <c r="E158" s="123" t="e">
        <f t="shared" si="76"/>
        <v>#REF!</v>
      </c>
      <c r="F158" s="123" t="e">
        <f t="shared" si="76"/>
        <v>#DIV/0!</v>
      </c>
      <c r="G158" s="123" t="e">
        <f t="shared" si="76"/>
        <v>#DIV/0!</v>
      </c>
      <c r="H158" s="123" t="e">
        <f t="shared" si="76"/>
        <v>#DIV/0!</v>
      </c>
      <c r="L158" s="123" t="e">
        <f>H158</f>
        <v>#DIV/0!</v>
      </c>
      <c r="M158" s="123" t="e">
        <f>SUM(L158+$C$159)</f>
        <v>#DIV/0!</v>
      </c>
      <c r="N158" s="123" t="e">
        <f>SUM(M158+$C$159)</f>
        <v>#DIV/0!</v>
      </c>
      <c r="O158" s="123" t="e">
        <f>SUM(N158+$C$159)</f>
        <v>#DIV/0!</v>
      </c>
      <c r="P158" s="123" t="e">
        <f>SUM(O158+$C$159)</f>
        <v>#DIV/0!</v>
      </c>
      <c r="Q158" s="123" t="e">
        <f>SUM(P158+$C$159)</f>
        <v>#DIV/0!</v>
      </c>
    </row>
    <row r="159" spans="1:19">
      <c r="B159" s="525" t="s">
        <v>424</v>
      </c>
      <c r="C159" s="455">
        <v>0.03</v>
      </c>
    </row>
    <row r="161" spans="2:19">
      <c r="B161" s="37" t="s">
        <v>411</v>
      </c>
      <c r="C161" s="567"/>
      <c r="D161" s="567"/>
      <c r="E161" s="567"/>
      <c r="F161" s="567"/>
      <c r="G161" s="567"/>
      <c r="H161" s="567"/>
      <c r="I161" s="567"/>
      <c r="J161" s="567"/>
      <c r="K161" s="567"/>
      <c r="L161" s="567"/>
      <c r="M161" s="567"/>
      <c r="N161" s="567"/>
      <c r="O161" s="567"/>
      <c r="P161" s="567"/>
      <c r="Q161" s="567"/>
    </row>
    <row r="162" spans="2:19">
      <c r="B162" s="106" t="s">
        <v>240</v>
      </c>
      <c r="C162" s="70" t="e">
        <f t="shared" ref="C162:H162" si="77">C164+C155</f>
        <v>#REF!</v>
      </c>
      <c r="D162" s="70" t="e">
        <f t="shared" si="77"/>
        <v>#REF!</v>
      </c>
      <c r="E162" s="70" t="e">
        <f t="shared" si="77"/>
        <v>#REF!</v>
      </c>
      <c r="F162" s="70">
        <f t="shared" si="77"/>
        <v>13475</v>
      </c>
      <c r="G162" s="70">
        <f t="shared" si="77"/>
        <v>11946</v>
      </c>
      <c r="H162" s="70">
        <f t="shared" si="77"/>
        <v>15311</v>
      </c>
      <c r="L162" s="11" t="e">
        <f t="shared" ref="L162:Q162" ca="1" si="78">L163*L29</f>
        <v>#REF!</v>
      </c>
      <c r="M162" s="11" t="e">
        <f t="shared" ca="1" si="78"/>
        <v>#REF!</v>
      </c>
      <c r="N162" s="11" t="e">
        <f t="shared" ca="1" si="78"/>
        <v>#REF!</v>
      </c>
      <c r="O162" s="11" t="e">
        <f t="shared" ca="1" si="78"/>
        <v>#REF!</v>
      </c>
      <c r="P162" s="11" t="e">
        <f t="shared" ca="1" si="78"/>
        <v>#REF!</v>
      </c>
      <c r="Q162" s="11" t="e">
        <f t="shared" ca="1" si="78"/>
        <v>#REF!</v>
      </c>
      <c r="S162" s="8" t="s">
        <v>167</v>
      </c>
    </row>
    <row r="163" spans="2:19">
      <c r="B163" s="65" t="s">
        <v>168</v>
      </c>
      <c r="C163" s="263" t="e">
        <f t="shared" ref="C163:H163" si="79">C162/C29</f>
        <v>#REF!</v>
      </c>
      <c r="D163" s="263" t="e">
        <f t="shared" si="79"/>
        <v>#REF!</v>
      </c>
      <c r="E163" s="263" t="e">
        <f t="shared" si="79"/>
        <v>#REF!</v>
      </c>
      <c r="F163" s="263" t="e">
        <f t="shared" si="79"/>
        <v>#REF!</v>
      </c>
      <c r="G163" s="263" t="e">
        <f t="shared" si="79"/>
        <v>#REF!</v>
      </c>
      <c r="H163" s="263" t="e">
        <f t="shared" si="79"/>
        <v>#REF!</v>
      </c>
      <c r="L163" s="263" t="e">
        <f t="shared" ref="L163:Q163" ca="1" si="80">L162/L29</f>
        <v>#REF!</v>
      </c>
      <c r="M163" s="263" t="e">
        <f t="shared" ca="1" si="80"/>
        <v>#REF!</v>
      </c>
      <c r="N163" s="263" t="e">
        <f t="shared" ca="1" si="80"/>
        <v>#REF!</v>
      </c>
      <c r="O163" s="263" t="e">
        <f t="shared" ca="1" si="80"/>
        <v>#REF!</v>
      </c>
      <c r="P163" s="263" t="e">
        <f t="shared" ca="1" si="80"/>
        <v>#REF!</v>
      </c>
      <c r="Q163" s="263" t="e">
        <f t="shared" ca="1" si="80"/>
        <v>#REF!</v>
      </c>
      <c r="S163" s="8" t="s">
        <v>610</v>
      </c>
    </row>
    <row r="164" spans="2:19">
      <c r="B164" s="572" t="s">
        <v>169</v>
      </c>
      <c r="C164" s="518" t="e">
        <f t="shared" ref="C164:H164" si="81">C47</f>
        <v>#REF!</v>
      </c>
      <c r="D164" s="518" t="e">
        <f t="shared" si="81"/>
        <v>#REF!</v>
      </c>
      <c r="E164" s="518" t="e">
        <f t="shared" si="81"/>
        <v>#REF!</v>
      </c>
      <c r="F164" s="518">
        <f t="shared" si="81"/>
        <v>0</v>
      </c>
      <c r="G164" s="518">
        <f t="shared" si="81"/>
        <v>0</v>
      </c>
      <c r="H164" s="518">
        <f t="shared" si="81"/>
        <v>0</v>
      </c>
      <c r="I164" s="569"/>
      <c r="J164" s="569"/>
      <c r="K164" s="569"/>
      <c r="L164" s="518" t="e">
        <f t="shared" ref="L164:Q164" ca="1" si="82">-L155+L162</f>
        <v>#DIV/0!</v>
      </c>
      <c r="M164" s="518" t="e">
        <f t="shared" ca="1" si="82"/>
        <v>#DIV/0!</v>
      </c>
      <c r="N164" s="518" t="e">
        <f t="shared" ca="1" si="82"/>
        <v>#DIV/0!</v>
      </c>
      <c r="O164" s="518" t="e">
        <f t="shared" ca="1" si="82"/>
        <v>#DIV/0!</v>
      </c>
      <c r="P164" s="518" t="e">
        <f t="shared" ca="1" si="82"/>
        <v>#DIV/0!</v>
      </c>
      <c r="Q164" s="518" t="e">
        <f t="shared" ca="1" si="82"/>
        <v>#DIV/0!</v>
      </c>
      <c r="S164" s="8" t="s">
        <v>170</v>
      </c>
    </row>
    <row r="166" spans="2:19">
      <c r="B166" s="570" t="s">
        <v>612</v>
      </c>
      <c r="C166" s="567"/>
      <c r="D166" s="567"/>
      <c r="E166" s="567"/>
      <c r="F166" s="567"/>
      <c r="G166" s="567"/>
      <c r="H166" s="567"/>
      <c r="I166" s="567"/>
      <c r="J166" s="567"/>
      <c r="K166" s="567"/>
      <c r="L166" s="567"/>
      <c r="M166" s="567"/>
      <c r="N166" s="567"/>
      <c r="O166" s="567"/>
      <c r="P166" s="567"/>
      <c r="Q166" s="567"/>
    </row>
    <row r="167" spans="2:19">
      <c r="B167" s="8" t="s">
        <v>613</v>
      </c>
    </row>
    <row r="168" spans="2:19">
      <c r="B168" s="65" t="s">
        <v>614</v>
      </c>
      <c r="G168" s="88">
        <v>166667</v>
      </c>
      <c r="H168" s="88">
        <v>199829</v>
      </c>
    </row>
    <row r="169" spans="2:19">
      <c r="B169" s="65" t="s">
        <v>615</v>
      </c>
      <c r="G169" s="88"/>
      <c r="H169" s="88"/>
    </row>
    <row r="170" spans="2:19">
      <c r="B170" s="65" t="s">
        <v>616</v>
      </c>
      <c r="G170" s="88">
        <v>-67458</v>
      </c>
      <c r="H170" s="88">
        <v>-79390</v>
      </c>
    </row>
    <row r="171" spans="2:19">
      <c r="B171" s="65" t="s">
        <v>617</v>
      </c>
    </row>
    <row r="172" spans="2:19">
      <c r="B172" s="65"/>
    </row>
    <row r="173" spans="2:19">
      <c r="B173" s="8" t="s">
        <v>618</v>
      </c>
    </row>
    <row r="174" spans="2:19">
      <c r="B174" s="8" t="s">
        <v>619</v>
      </c>
    </row>
    <row r="176" spans="2:19">
      <c r="B176" s="37" t="s">
        <v>171</v>
      </c>
      <c r="C176" s="567"/>
      <c r="D176" s="567"/>
      <c r="E176" s="567"/>
      <c r="F176" s="567"/>
      <c r="G176" s="567"/>
      <c r="H176" s="567"/>
      <c r="I176" s="567"/>
      <c r="J176" s="567"/>
      <c r="K176" s="567"/>
      <c r="L176" s="567"/>
      <c r="M176" s="567"/>
      <c r="N176" s="567"/>
      <c r="O176" s="567"/>
      <c r="P176" s="567"/>
      <c r="Q176" s="567"/>
    </row>
    <row r="177" spans="2:17">
      <c r="B177" s="8" t="s">
        <v>158</v>
      </c>
    </row>
    <row r="178" spans="2:17">
      <c r="B178" s="65" t="s">
        <v>172</v>
      </c>
    </row>
    <row r="179" spans="2:17">
      <c r="B179" s="65" t="s">
        <v>174</v>
      </c>
    </row>
    <row r="180" spans="2:17">
      <c r="B180" s="568" t="s">
        <v>164</v>
      </c>
      <c r="C180" s="569"/>
      <c r="D180" s="569"/>
      <c r="E180" s="569"/>
      <c r="F180" s="569"/>
      <c r="G180" s="569"/>
      <c r="H180" s="569"/>
      <c r="I180" s="569"/>
      <c r="J180" s="569"/>
      <c r="K180" s="569"/>
      <c r="L180" s="568">
        <f t="shared" ref="L180:Q180" si="83">SUM(L177:L179)</f>
        <v>0</v>
      </c>
      <c r="M180" s="568">
        <f t="shared" si="83"/>
        <v>0</v>
      </c>
      <c r="N180" s="568">
        <f t="shared" si="83"/>
        <v>0</v>
      </c>
      <c r="O180" s="568">
        <f t="shared" si="83"/>
        <v>0</v>
      </c>
      <c r="P180" s="568">
        <f t="shared" si="83"/>
        <v>0</v>
      </c>
      <c r="Q180" s="568">
        <f t="shared" si="83"/>
        <v>0</v>
      </c>
    </row>
    <row r="182" spans="2:17">
      <c r="B182" s="37" t="s">
        <v>176</v>
      </c>
      <c r="C182" s="567"/>
      <c r="D182" s="567"/>
      <c r="E182" s="567"/>
      <c r="F182" s="567"/>
      <c r="G182" s="567"/>
      <c r="H182" s="567"/>
      <c r="I182" s="567"/>
      <c r="J182" s="567"/>
      <c r="K182" s="567"/>
      <c r="L182" s="567"/>
      <c r="M182" s="567"/>
      <c r="N182" s="567"/>
      <c r="O182" s="567"/>
      <c r="P182" s="567"/>
      <c r="Q182" s="567"/>
    </row>
    <row r="183" spans="2:17">
      <c r="B183" s="8" t="s">
        <v>158</v>
      </c>
      <c r="L183" s="8">
        <f t="shared" ref="L183:Q183" si="84">J187</f>
        <v>0</v>
      </c>
      <c r="M183" s="8">
        <f t="shared" si="84"/>
        <v>0</v>
      </c>
      <c r="N183" s="8">
        <f t="shared" si="84"/>
        <v>0</v>
      </c>
      <c r="O183" s="8">
        <f t="shared" si="84"/>
        <v>0</v>
      </c>
      <c r="P183" s="8">
        <f t="shared" si="84"/>
        <v>0</v>
      </c>
      <c r="Q183" s="8">
        <f t="shared" si="84"/>
        <v>0</v>
      </c>
    </row>
    <row r="184" spans="2:17">
      <c r="B184" s="65" t="s">
        <v>177</v>
      </c>
    </row>
    <row r="185" spans="2:17">
      <c r="B185" s="65" t="s">
        <v>179</v>
      </c>
    </row>
    <row r="186" spans="2:17">
      <c r="B186" s="65" t="s">
        <v>180</v>
      </c>
    </row>
    <row r="187" spans="2:17">
      <c r="B187" s="568" t="s">
        <v>164</v>
      </c>
      <c r="C187" s="568">
        <f t="shared" ref="C187:H187" si="85">SUM(C183:C186)</f>
        <v>0</v>
      </c>
      <c r="D187" s="568">
        <f t="shared" si="85"/>
        <v>0</v>
      </c>
      <c r="E187" s="568">
        <f t="shared" si="85"/>
        <v>0</v>
      </c>
      <c r="F187" s="568">
        <f t="shared" si="85"/>
        <v>0</v>
      </c>
      <c r="G187" s="568">
        <f t="shared" si="85"/>
        <v>0</v>
      </c>
      <c r="H187" s="568">
        <f t="shared" si="85"/>
        <v>0</v>
      </c>
      <c r="I187" s="568"/>
      <c r="J187" s="568"/>
      <c r="K187" s="569"/>
      <c r="L187" s="568">
        <f t="shared" ref="L187:Q187" si="86">SUM(L183:L186)</f>
        <v>0</v>
      </c>
      <c r="M187" s="568">
        <f t="shared" si="86"/>
        <v>0</v>
      </c>
      <c r="N187" s="568">
        <f t="shared" si="86"/>
        <v>0</v>
      </c>
      <c r="O187" s="568">
        <f t="shared" si="86"/>
        <v>0</v>
      </c>
      <c r="P187" s="568">
        <f t="shared" si="86"/>
        <v>0</v>
      </c>
      <c r="Q187" s="568">
        <f t="shared" si="86"/>
        <v>0</v>
      </c>
    </row>
    <row r="189" spans="2:17">
      <c r="B189" s="37" t="s">
        <v>182</v>
      </c>
      <c r="C189" s="567"/>
      <c r="D189" s="567"/>
      <c r="E189" s="567"/>
      <c r="F189" s="567"/>
      <c r="G189" s="567"/>
      <c r="H189" s="567"/>
      <c r="I189" s="567"/>
      <c r="J189" s="567"/>
      <c r="K189" s="567"/>
      <c r="L189" s="567"/>
      <c r="M189" s="567"/>
      <c r="N189" s="567"/>
      <c r="O189" s="567"/>
      <c r="P189" s="567"/>
      <c r="Q189" s="567"/>
    </row>
    <row r="190" spans="2:17">
      <c r="B190" s="8" t="s">
        <v>183</v>
      </c>
    </row>
    <row r="191" spans="2:17">
      <c r="B191" s="8" t="s">
        <v>184</v>
      </c>
    </row>
    <row r="192" spans="2:17">
      <c r="B192" s="8" t="s">
        <v>186</v>
      </c>
    </row>
    <row r="193" spans="2:18">
      <c r="B193" s="8" t="s">
        <v>187</v>
      </c>
    </row>
    <row r="194" spans="2:18">
      <c r="B194" s="568" t="s">
        <v>188</v>
      </c>
      <c r="C194" s="568"/>
      <c r="D194" s="568"/>
      <c r="E194" s="568"/>
      <c r="F194" s="568"/>
      <c r="G194" s="568"/>
      <c r="H194" s="568"/>
      <c r="I194" s="568"/>
      <c r="J194" s="568"/>
      <c r="K194" s="568"/>
      <c r="L194" s="568">
        <f t="shared" ref="L194:Q194" si="87">SUM(L190:L193)</f>
        <v>0</v>
      </c>
      <c r="M194" s="568">
        <f t="shared" si="87"/>
        <v>0</v>
      </c>
      <c r="N194" s="568">
        <f t="shared" si="87"/>
        <v>0</v>
      </c>
      <c r="O194" s="568">
        <f t="shared" si="87"/>
        <v>0</v>
      </c>
      <c r="P194" s="568">
        <f t="shared" si="87"/>
        <v>0</v>
      </c>
      <c r="Q194" s="568">
        <f t="shared" si="87"/>
        <v>0</v>
      </c>
    </row>
    <row r="196" spans="2:18">
      <c r="B196" s="38" t="s">
        <v>189</v>
      </c>
    </row>
    <row r="197" spans="2:18">
      <c r="B197" s="8" t="s">
        <v>158</v>
      </c>
    </row>
    <row r="198" spans="2:18">
      <c r="B198" s="8" t="s">
        <v>190</v>
      </c>
    </row>
    <row r="199" spans="2:18">
      <c r="B199" s="8" t="s">
        <v>192</v>
      </c>
    </row>
    <row r="200" spans="2:18">
      <c r="B200" s="568" t="s">
        <v>164</v>
      </c>
      <c r="C200" s="569"/>
      <c r="D200" s="569"/>
      <c r="E200" s="569"/>
      <c r="F200" s="569"/>
      <c r="G200" s="569"/>
      <c r="H200" s="569"/>
      <c r="I200" s="569"/>
      <c r="J200" s="569"/>
      <c r="K200" s="569"/>
      <c r="L200" s="568">
        <f t="shared" ref="L200:Q200" si="88">SUM(L197:L199)</f>
        <v>0</v>
      </c>
      <c r="M200" s="568">
        <f t="shared" si="88"/>
        <v>0</v>
      </c>
      <c r="N200" s="568">
        <f t="shared" si="88"/>
        <v>0</v>
      </c>
      <c r="O200" s="568">
        <f t="shared" si="88"/>
        <v>0</v>
      </c>
      <c r="P200" s="568">
        <f t="shared" si="88"/>
        <v>0</v>
      </c>
      <c r="Q200" s="568">
        <f t="shared" si="88"/>
        <v>0</v>
      </c>
      <c r="R200" s="569"/>
    </row>
  </sheetData>
  <dataValidations disablePrompts="1" count="3">
    <dataValidation type="list" allowBlank="1" showInputMessage="1" showErrorMessage="1" sqref="B16 I16 K16 B4" xr:uid="{EF325E0D-2959-4F33-A913-4DCCBA8C8945}">
      <formula1>"$ bns except per share, $ mm except per share,$ in thousands except per share"</formula1>
    </dataValidation>
    <dataValidation type="list" allowBlank="1" showInputMessage="1" showErrorMessage="1" sqref="C8" xr:uid="{6F8F92C4-A37F-4862-A69E-B43619D28F64}">
      <formula1>"0,1"</formula1>
    </dataValidation>
    <dataValidation type="list" allowBlank="1" showInputMessage="1" showErrorMessage="1" sqref="Q6" xr:uid="{F4A81998-27CA-4597-9CD0-03B15C6DA47B}">
      <formula1>$B$239:$B$241</formula1>
    </dataValidation>
  </dataValidations>
  <pageMargins left="0.7" right="0.7" top="0.75" bottom="0.75" header="0.3" footer="0.3"/>
  <ignoredErrors>
    <ignoredError sqref="M61:Q61 L73:Q74 L116:Q117" formula="1"/>
    <ignoredError sqref="J30:R30 K18 J18:J21 J26:K28 R26:R28 R18 J38:R38 J36:K36 R36 J33:R33 J31:K31 R31 J43:R43 J39:K41 R39:R41 J46:R46 J44:K44 R44 R34 J34:K34 J49:R49 J47:K47 R47 J51:R51 J50:K50 R50 J29:K29 J32:K32 J37:R37 J42:R42 J45:R45 J48:R48 S49 S46 S43 S33 S38 S22 S30 S18:S21 S31:S32 S23:S29 S39:S42 S34:S37 S44:S45 S47:S48 S50:S51 R29 R32 C158:H158" evalError="1"/>
  </ignoredErrors>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0968B-CCEC-4CB8-9F6E-68FBD68798A3}">
  <sheetPr>
    <tabColor theme="4" tint="0.39997558519241921"/>
  </sheetPr>
  <dimension ref="B2:Q136"/>
  <sheetViews>
    <sheetView showGridLines="0" zoomScale="160" zoomScaleNormal="160" workbookViewId="0">
      <selection activeCell="B3" sqref="B3"/>
    </sheetView>
  </sheetViews>
  <sheetFormatPr defaultColWidth="8" defaultRowHeight="12"/>
  <cols>
    <col min="1" max="1" width="1.25" style="8" customWidth="1"/>
    <col min="2" max="2" width="47.625" style="8" customWidth="1"/>
    <col min="3" max="3" width="11.75" style="8" customWidth="1"/>
    <col min="4" max="9" width="11.125" style="8" customWidth="1"/>
    <col min="10" max="10" width="1.5" style="8" customWidth="1"/>
    <col min="11" max="11" width="10.625" style="8" bestFit="1" customWidth="1"/>
    <col min="12" max="16" width="8.25" style="8" customWidth="1"/>
    <col min="17" max="16384" width="8" style="8"/>
  </cols>
  <sheetData>
    <row r="2" spans="2:10">
      <c r="B2" s="1" t="str">
        <f>'Historical Financials'!B2</f>
        <v>Klarna Group plc (KLAR)</v>
      </c>
      <c r="C2" s="1"/>
      <c r="D2" s="1"/>
      <c r="E2" s="1"/>
      <c r="F2" s="1"/>
      <c r="G2" s="1"/>
      <c r="H2" s="1"/>
      <c r="I2" s="1"/>
    </row>
    <row r="3" spans="2:10">
      <c r="B3" s="6" t="s">
        <v>312</v>
      </c>
      <c r="C3" s="1"/>
      <c r="D3" s="1"/>
      <c r="E3" s="1"/>
      <c r="F3" s="1"/>
      <c r="G3" s="1"/>
      <c r="H3" s="1"/>
      <c r="I3" s="1"/>
    </row>
    <row r="4" spans="2:10">
      <c r="B4" s="6" t="s">
        <v>412</v>
      </c>
      <c r="C4" s="1"/>
      <c r="D4" s="1"/>
      <c r="E4" s="1"/>
      <c r="F4" s="1"/>
      <c r="G4" s="1"/>
      <c r="H4" s="1"/>
      <c r="I4" s="1"/>
    </row>
    <row r="5" spans="2:10" ht="5.0999999999999996" customHeight="1"/>
    <row r="6" spans="2:10">
      <c r="B6" s="403" t="s">
        <v>313</v>
      </c>
      <c r="C6" s="404">
        <f>'Historical Financials'!E8</f>
        <v>45657</v>
      </c>
      <c r="D6" s="179"/>
      <c r="E6" s="179"/>
      <c r="F6" s="179" t="s">
        <v>314</v>
      </c>
      <c r="G6" s="179"/>
      <c r="H6" s="405"/>
      <c r="I6" s="335" t="s">
        <v>315</v>
      </c>
    </row>
    <row r="7" spans="2:10">
      <c r="B7" s="171" t="s">
        <v>316</v>
      </c>
      <c r="C7" s="397">
        <f>EOMONTH(C6,12)</f>
        <v>46022</v>
      </c>
      <c r="F7" s="8" t="s">
        <v>317</v>
      </c>
      <c r="H7" s="398"/>
      <c r="I7" s="332" t="s">
        <v>318</v>
      </c>
    </row>
    <row r="8" spans="2:10">
      <c r="B8" s="171" t="s">
        <v>319</v>
      </c>
      <c r="C8" s="396"/>
      <c r="F8" s="8" t="s">
        <v>320</v>
      </c>
      <c r="H8" s="242"/>
      <c r="I8" s="332"/>
      <c r="J8" s="243"/>
    </row>
    <row r="9" spans="2:10">
      <c r="B9" s="171" t="s">
        <v>321</v>
      </c>
      <c r="C9" s="396">
        <v>45956</v>
      </c>
      <c r="F9" s="8" t="s">
        <v>322</v>
      </c>
      <c r="H9" s="399">
        <v>1</v>
      </c>
      <c r="I9" s="402"/>
      <c r="J9" s="243"/>
    </row>
    <row r="10" spans="2:10">
      <c r="B10" s="331" t="s">
        <v>323</v>
      </c>
      <c r="C10" s="400">
        <f>YEARFRAC(C9,C7)</f>
        <v>0.18055555555555555</v>
      </c>
      <c r="D10" s="329"/>
      <c r="E10" s="329"/>
      <c r="F10" s="329" t="s">
        <v>324</v>
      </c>
      <c r="G10" s="329"/>
      <c r="H10" s="401" t="str">
        <f>'3-Statement Model'!K6</f>
        <v>Base case</v>
      </c>
      <c r="I10" s="333"/>
    </row>
    <row r="11" spans="2:10">
      <c r="D11" s="245"/>
    </row>
    <row r="12" spans="2:10">
      <c r="B12" s="422" t="s">
        <v>325</v>
      </c>
      <c r="C12" s="370"/>
      <c r="D12" s="370"/>
      <c r="E12" s="370"/>
      <c r="F12" s="370"/>
      <c r="G12" s="370"/>
      <c r="H12" s="370"/>
      <c r="I12" s="370"/>
    </row>
    <row r="13" spans="2:10" ht="17.25" customHeight="1">
      <c r="C13" s="246" t="s">
        <v>6</v>
      </c>
      <c r="D13" s="246" t="s">
        <v>326</v>
      </c>
      <c r="E13" s="450" t="s">
        <v>327</v>
      </c>
      <c r="F13" s="246"/>
      <c r="G13" s="246"/>
      <c r="H13" s="246"/>
      <c r="I13" s="246"/>
    </row>
    <row r="14" spans="2:10">
      <c r="B14" s="98" t="s">
        <v>328</v>
      </c>
      <c r="C14" s="247">
        <f>C9</f>
        <v>45956</v>
      </c>
      <c r="D14" s="248">
        <f>C6</f>
        <v>45657</v>
      </c>
      <c r="E14" s="249">
        <f>EOMONTH(D14,12)</f>
        <v>46022</v>
      </c>
      <c r="F14" s="250">
        <f>EOMONTH(E14,12)</f>
        <v>46387</v>
      </c>
      <c r="G14" s="250">
        <f>EOMONTH(F14,12)</f>
        <v>46752</v>
      </c>
      <c r="H14" s="250">
        <f>EOMONTH(G14,12)</f>
        <v>47118</v>
      </c>
      <c r="I14" s="250">
        <f>EOMONTH(H14,12)</f>
        <v>47483</v>
      </c>
    </row>
    <row r="15" spans="2:10" ht="5.0999999999999996" customHeight="1">
      <c r="B15" s="98"/>
      <c r="D15" s="251"/>
      <c r="E15" s="252"/>
      <c r="F15" s="252"/>
      <c r="G15" s="252"/>
      <c r="H15" s="252"/>
      <c r="I15" s="252"/>
    </row>
    <row r="16" spans="2:10">
      <c r="B16" s="8" t="s">
        <v>26</v>
      </c>
      <c r="C16" s="254"/>
      <c r="D16" s="444"/>
      <c r="E16" s="253"/>
      <c r="F16" s="253"/>
      <c r="G16" s="253"/>
      <c r="H16" s="253"/>
      <c r="I16" s="253"/>
    </row>
    <row r="17" spans="2:13">
      <c r="B17" s="65" t="s">
        <v>329</v>
      </c>
      <c r="D17" s="445"/>
      <c r="E17" s="244" t="e">
        <f>SUM(E16/D16)-1</f>
        <v>#DIV/0!</v>
      </c>
      <c r="F17" s="244" t="e">
        <f>SUM(F16/E16)-1</f>
        <v>#DIV/0!</v>
      </c>
      <c r="G17" s="244" t="e">
        <f>SUM(G16/F16)-1</f>
        <v>#DIV/0!</v>
      </c>
      <c r="H17" s="244" t="e">
        <f>SUM(H16/G16)-1</f>
        <v>#DIV/0!</v>
      </c>
      <c r="I17" s="244" t="e">
        <f>SUM(I16/H16)-1</f>
        <v>#DIV/0!</v>
      </c>
    </row>
    <row r="18" spans="2:13">
      <c r="B18" s="8" t="s">
        <v>7</v>
      </c>
      <c r="C18" s="254"/>
      <c r="D18" s="444"/>
      <c r="E18" s="253"/>
      <c r="F18" s="253"/>
      <c r="G18" s="253"/>
      <c r="H18" s="253"/>
      <c r="I18" s="253"/>
    </row>
    <row r="19" spans="2:13">
      <c r="B19" s="65" t="s">
        <v>330</v>
      </c>
      <c r="D19" s="446" t="e">
        <f t="shared" ref="D19:I19" si="0">D18/D16</f>
        <v>#DIV/0!</v>
      </c>
      <c r="E19" s="244" t="e">
        <f t="shared" si="0"/>
        <v>#DIV/0!</v>
      </c>
      <c r="F19" s="244" t="e">
        <f t="shared" si="0"/>
        <v>#DIV/0!</v>
      </c>
      <c r="G19" s="244" t="e">
        <f t="shared" si="0"/>
        <v>#DIV/0!</v>
      </c>
      <c r="H19" s="244" t="e">
        <f t="shared" si="0"/>
        <v>#DIV/0!</v>
      </c>
      <c r="I19" s="244" t="e">
        <f t="shared" si="0"/>
        <v>#DIV/0!</v>
      </c>
    </row>
    <row r="20" spans="2:13">
      <c r="B20" s="8" t="s">
        <v>27</v>
      </c>
      <c r="C20" s="254"/>
      <c r="D20" s="444"/>
      <c r="E20" s="253"/>
      <c r="F20" s="253"/>
      <c r="G20" s="253"/>
      <c r="H20" s="253"/>
      <c r="I20" s="253"/>
    </row>
    <row r="21" spans="2:13">
      <c r="B21" s="65" t="s">
        <v>330</v>
      </c>
      <c r="D21" s="446" t="e">
        <f t="shared" ref="D21:I21" si="1">D20/D16</f>
        <v>#DIV/0!</v>
      </c>
      <c r="E21" s="244" t="e">
        <f t="shared" si="1"/>
        <v>#DIV/0!</v>
      </c>
      <c r="F21" s="244" t="e">
        <f t="shared" si="1"/>
        <v>#DIV/0!</v>
      </c>
      <c r="G21" s="244" t="e">
        <f t="shared" si="1"/>
        <v>#DIV/0!</v>
      </c>
      <c r="H21" s="244" t="e">
        <f t="shared" si="1"/>
        <v>#DIV/0!</v>
      </c>
      <c r="I21" s="244" t="e">
        <f t="shared" si="1"/>
        <v>#DIV/0!</v>
      </c>
    </row>
    <row r="22" spans="2:13" ht="5.0999999999999996" customHeight="1">
      <c r="B22" s="65"/>
      <c r="D22" s="444"/>
      <c r="E22" s="253"/>
      <c r="F22" s="253"/>
      <c r="G22" s="253"/>
      <c r="H22" s="253"/>
      <c r="I22" s="253"/>
    </row>
    <row r="23" spans="2:13">
      <c r="B23" s="8" t="s">
        <v>331</v>
      </c>
      <c r="D23" s="447"/>
      <c r="E23" s="254">
        <f>+E20*E24</f>
        <v>0</v>
      </c>
      <c r="F23" s="254">
        <f>+F20*F24</f>
        <v>0</v>
      </c>
      <c r="G23" s="254">
        <f>+G20*G24</f>
        <v>0</v>
      </c>
      <c r="H23" s="254">
        <f>+H20*H24</f>
        <v>0</v>
      </c>
      <c r="I23" s="254">
        <f>+I20*I24</f>
        <v>0</v>
      </c>
    </row>
    <row r="24" spans="2:13" s="343" customFormat="1" ht="15" customHeight="1">
      <c r="B24" s="411" t="s">
        <v>124</v>
      </c>
      <c r="D24" s="474" t="e">
        <f>D23/D20</f>
        <v>#DIV/0!</v>
      </c>
      <c r="E24" s="448"/>
      <c r="F24" s="449"/>
      <c r="G24" s="449"/>
      <c r="H24" s="449"/>
      <c r="I24" s="449"/>
    </row>
    <row r="25" spans="2:13">
      <c r="B25" s="430" t="s">
        <v>332</v>
      </c>
      <c r="C25" s="430"/>
      <c r="D25" s="452">
        <f>+D23+D20</f>
        <v>0</v>
      </c>
      <c r="E25" s="453">
        <f>E20*(1-E24)</f>
        <v>0</v>
      </c>
      <c r="F25" s="453">
        <f>F20*(1-F24)</f>
        <v>0</v>
      </c>
      <c r="G25" s="453">
        <f>G20*(1-G24)</f>
        <v>0</v>
      </c>
      <c r="H25" s="453">
        <f>H20*(1-H24)</f>
        <v>0</v>
      </c>
      <c r="I25" s="453">
        <f>I20*(1-I24)</f>
        <v>0</v>
      </c>
    </row>
    <row r="26" spans="2:13" ht="5.0999999999999996" customHeight="1">
      <c r="D26" s="254"/>
      <c r="E26" s="254"/>
      <c r="F26" s="254"/>
      <c r="G26" s="254"/>
      <c r="H26" s="254"/>
      <c r="I26" s="254"/>
    </row>
    <row r="27" spans="2:13">
      <c r="B27" s="8" t="s">
        <v>114</v>
      </c>
      <c r="D27" s="253">
        <f>'3-Statement Model'!F50</f>
        <v>0</v>
      </c>
      <c r="E27" s="253"/>
      <c r="F27" s="253"/>
      <c r="G27" s="253"/>
      <c r="H27" s="253"/>
      <c r="I27" s="253"/>
      <c r="M27" s="255"/>
    </row>
    <row r="28" spans="2:13">
      <c r="B28" s="8" t="s">
        <v>333</v>
      </c>
      <c r="D28" s="254"/>
      <c r="E28" s="254">
        <f>D34-E34</f>
        <v>0</v>
      </c>
      <c r="F28" s="254">
        <f>E34-F34</f>
        <v>0</v>
      </c>
      <c r="G28" s="254">
        <f>F34-G34</f>
        <v>0</v>
      </c>
      <c r="H28" s="254">
        <f>G34-H34</f>
        <v>0</v>
      </c>
      <c r="I28" s="254">
        <f>H34-I34</f>
        <v>0</v>
      </c>
      <c r="M28" s="255"/>
    </row>
    <row r="29" spans="2:13">
      <c r="B29" s="8" t="s">
        <v>149</v>
      </c>
      <c r="D29" s="253"/>
      <c r="E29" s="253"/>
      <c r="F29" s="253"/>
      <c r="G29" s="253"/>
      <c r="H29" s="253"/>
      <c r="I29" s="253"/>
      <c r="M29" s="255"/>
    </row>
    <row r="30" spans="2:13">
      <c r="B30" s="65" t="s">
        <v>168</v>
      </c>
      <c r="D30" s="253"/>
      <c r="E30" s="244" t="e">
        <f>E29/E16</f>
        <v>#DIV/0!</v>
      </c>
      <c r="F30" s="244" t="e">
        <f>F29/F16</f>
        <v>#DIV/0!</v>
      </c>
      <c r="G30" s="244" t="e">
        <f>G29/G16</f>
        <v>#DIV/0!</v>
      </c>
      <c r="H30" s="244" t="e">
        <f>H29/H16</f>
        <v>#DIV/0!</v>
      </c>
      <c r="I30" s="244" t="e">
        <f>I29/I16</f>
        <v>#DIV/0!</v>
      </c>
      <c r="M30" s="255"/>
    </row>
    <row r="31" spans="2:13" ht="5.0999999999999996" customHeight="1">
      <c r="D31" s="253"/>
      <c r="E31" s="253"/>
      <c r="F31" s="253"/>
      <c r="G31" s="253"/>
      <c r="H31" s="253"/>
      <c r="I31" s="253"/>
      <c r="M31" s="255"/>
    </row>
    <row r="32" spans="2:13">
      <c r="B32" s="415" t="s">
        <v>334</v>
      </c>
      <c r="C32" s="415"/>
      <c r="D32" s="451"/>
      <c r="E32" s="451">
        <f>+E25+E27+E28+E29</f>
        <v>0</v>
      </c>
      <c r="F32" s="451">
        <f>+F25+F27+F28+F29</f>
        <v>0</v>
      </c>
      <c r="G32" s="451">
        <f>+G25+G27+G28+G29</f>
        <v>0</v>
      </c>
      <c r="H32" s="451">
        <f>+H25+H27+H28+H29</f>
        <v>0</v>
      </c>
      <c r="I32" s="451">
        <f>+I25+I27+I28+I29</f>
        <v>0</v>
      </c>
      <c r="M32" s="256"/>
    </row>
    <row r="33" spans="2:13" ht="5.0999999999999996" customHeight="1">
      <c r="D33" s="253"/>
      <c r="M33" s="255"/>
    </row>
    <row r="34" spans="2:13">
      <c r="B34" s="8" t="s">
        <v>335</v>
      </c>
      <c r="D34" s="253"/>
      <c r="E34" s="253"/>
      <c r="F34" s="253"/>
      <c r="G34" s="253"/>
      <c r="H34" s="253"/>
      <c r="I34" s="253"/>
    </row>
    <row r="35" spans="2:13" ht="15" customHeight="1">
      <c r="B35" s="65" t="s">
        <v>168</v>
      </c>
      <c r="D35" s="244"/>
      <c r="E35" s="244" t="e">
        <f>+E34/E16</f>
        <v>#DIV/0!</v>
      </c>
      <c r="F35" s="244" t="e">
        <f>+F34/F16</f>
        <v>#DIV/0!</v>
      </c>
      <c r="G35" s="244" t="e">
        <f>+G34/G16</f>
        <v>#DIV/0!</v>
      </c>
      <c r="H35" s="244" t="e">
        <f>+H34/H16</f>
        <v>#DIV/0!</v>
      </c>
      <c r="I35" s="244" t="e">
        <f>+I34/I16</f>
        <v>#DIV/0!</v>
      </c>
      <c r="J35" s="253"/>
    </row>
    <row r="36" spans="2:13" ht="5.0999999999999996" customHeight="1">
      <c r="D36" s="253"/>
      <c r="E36" s="244"/>
      <c r="F36" s="244"/>
      <c r="G36" s="244"/>
      <c r="H36" s="244"/>
      <c r="I36" s="244"/>
      <c r="J36" s="253"/>
      <c r="K36" s="104"/>
      <c r="M36" s="244"/>
    </row>
    <row r="37" spans="2:13">
      <c r="B37" s="422" t="str">
        <f>"Present value of UFCF on "&amp;TEXT(C9,"mmm dd, yyyy")&amp;" valuation date"</f>
        <v>Present value of UFCF on Oct 26, 2025 valuation date</v>
      </c>
      <c r="C37" s="370"/>
      <c r="D37" s="370"/>
      <c r="E37" s="370"/>
      <c r="F37" s="370"/>
      <c r="G37" s="370"/>
      <c r="H37" s="370"/>
      <c r="I37" s="370"/>
      <c r="J37" s="253"/>
    </row>
    <row r="38" spans="2:13" ht="5.0999999999999996" customHeight="1">
      <c r="B38" s="436"/>
      <c r="C38" s="437"/>
      <c r="D38" s="437"/>
      <c r="E38" s="437"/>
      <c r="F38" s="437"/>
      <c r="G38" s="437"/>
      <c r="H38" s="437"/>
      <c r="I38" s="437"/>
      <c r="J38" s="253"/>
    </row>
    <row r="39" spans="2:13" ht="14.25">
      <c r="B39" s="38"/>
      <c r="D39" s="438" t="s">
        <v>336</v>
      </c>
      <c r="E39" s="438" t="s">
        <v>337</v>
      </c>
      <c r="F39" s="439" t="s">
        <v>338</v>
      </c>
      <c r="G39" s="439" t="s">
        <v>339</v>
      </c>
      <c r="H39" s="439" t="s">
        <v>340</v>
      </c>
      <c r="I39" s="439" t="s">
        <v>341</v>
      </c>
      <c r="J39" s="253"/>
    </row>
    <row r="40" spans="2:13">
      <c r="B40" s="8" t="s">
        <v>342</v>
      </c>
      <c r="D40" s="440">
        <f>C9</f>
        <v>45956</v>
      </c>
      <c r="E40" s="257">
        <f>IF($H$9=1,AVERAGE(E14,D40),E14)</f>
        <v>45989</v>
      </c>
      <c r="F40" s="257">
        <f>IF($H$9=1,AVERAGE(F14,E14),F14)</f>
        <v>46204.5</v>
      </c>
      <c r="G40" s="257">
        <f>IF($H$9=1,AVERAGE(G14,F14),G14)</f>
        <v>46569.5</v>
      </c>
      <c r="H40" s="257">
        <f>IF($H$9=1,AVERAGE(H14,G14),H14)</f>
        <v>46935</v>
      </c>
      <c r="I40" s="257">
        <f>IF($H$9=1,AVERAGE(I14,H14),I14)</f>
        <v>47300.5</v>
      </c>
      <c r="J40" s="253"/>
    </row>
    <row r="41" spans="2:13">
      <c r="B41" s="8" t="s">
        <v>343</v>
      </c>
      <c r="C41" s="258">
        <f>C10</f>
        <v>0.18055555555555555</v>
      </c>
      <c r="D41" s="255"/>
      <c r="E41" s="254">
        <f>E32*C41</f>
        <v>0</v>
      </c>
      <c r="F41" s="254">
        <f>F32</f>
        <v>0</v>
      </c>
      <c r="G41" s="254">
        <f>G32</f>
        <v>0</v>
      </c>
      <c r="H41" s="254">
        <f>H32</f>
        <v>0</v>
      </c>
      <c r="I41" s="254">
        <f>I32</f>
        <v>0</v>
      </c>
      <c r="J41" s="254"/>
      <c r="K41" s="8" t="s">
        <v>344</v>
      </c>
    </row>
    <row r="42" spans="2:13" s="343" customFormat="1">
      <c r="B42" s="433" t="s">
        <v>345</v>
      </c>
      <c r="C42" s="434"/>
      <c r="D42" s="435"/>
      <c r="E42" s="435">
        <f>E41/(1+$H$6)^((E40-$C$9)/365)</f>
        <v>0</v>
      </c>
      <c r="F42" s="435">
        <f>F41/(1+$H$6)^((F40-$C$9)/365)</f>
        <v>0</v>
      </c>
      <c r="G42" s="435">
        <f>G41/(1+$H$6)^((G40-$C$9)/365)</f>
        <v>0</v>
      </c>
      <c r="H42" s="435">
        <f>H41/(1+$H$6)^((H40-$C$9)/365)</f>
        <v>0</v>
      </c>
      <c r="I42" s="435">
        <f>I41/(1+$H$6)^((I40-$C$9)/365)</f>
        <v>0</v>
      </c>
      <c r="J42" s="432"/>
    </row>
    <row r="44" spans="2:13">
      <c r="B44" s="422" t="s">
        <v>346</v>
      </c>
      <c r="C44" s="370"/>
      <c r="E44" s="429" t="s">
        <v>347</v>
      </c>
      <c r="F44" s="370"/>
      <c r="G44" s="370"/>
      <c r="H44" s="370"/>
      <c r="I44" s="370"/>
    </row>
    <row r="45" spans="2:13" ht="5.0999999999999996" customHeight="1">
      <c r="B45" s="436"/>
      <c r="C45" s="437"/>
      <c r="E45" s="441"/>
      <c r="F45" s="437"/>
      <c r="G45" s="437"/>
      <c r="H45" s="437"/>
      <c r="I45" s="437"/>
    </row>
    <row r="46" spans="2:13">
      <c r="B46" s="8" t="s">
        <v>348</v>
      </c>
      <c r="C46" s="124"/>
      <c r="E46" s="8" t="s">
        <v>349</v>
      </c>
      <c r="I46" s="255">
        <f>I18</f>
        <v>0</v>
      </c>
      <c r="J46" s="255"/>
    </row>
    <row r="47" spans="2:13">
      <c r="B47" s="259" t="str">
        <f>YEAR(I14)&amp;" FCF x (1+g)"</f>
        <v>2029 FCF x (1+g)</v>
      </c>
      <c r="C47" s="255">
        <f>I41*(1+C46)</f>
        <v>0</v>
      </c>
      <c r="E47" s="8" t="s">
        <v>350</v>
      </c>
      <c r="I47" s="260"/>
      <c r="J47" s="260"/>
    </row>
    <row r="48" spans="2:13">
      <c r="B48" s="8" t="str">
        <f>"Terminal value in "&amp;YEAR(I14)</f>
        <v>Terminal value in 2029</v>
      </c>
      <c r="C48" s="255" t="e">
        <f>C47/(H6-C46)</f>
        <v>#DIV/0!</v>
      </c>
      <c r="E48" s="8" t="str">
        <f>"Terminal value in "&amp;YEAR(I14)</f>
        <v>Terminal value in 2029</v>
      </c>
      <c r="I48" s="255">
        <f>I46*I47</f>
        <v>0</v>
      </c>
      <c r="J48" s="255"/>
    </row>
    <row r="49" spans="2:10">
      <c r="B49" s="8" t="s">
        <v>351</v>
      </c>
      <c r="C49" s="255" t="e">
        <f>C48/(1+H6)^((I40-$D$40)/365)</f>
        <v>#DIV/0!</v>
      </c>
      <c r="E49" s="8" t="s">
        <v>351</v>
      </c>
      <c r="I49" s="255">
        <f>I48/(1+H6)^((I40-D40)/365)</f>
        <v>0</v>
      </c>
      <c r="J49" s="255"/>
    </row>
    <row r="50" spans="2:10">
      <c r="B50" s="8" t="s">
        <v>352</v>
      </c>
      <c r="C50" s="254">
        <f>SUM(E42:I42)</f>
        <v>0</v>
      </c>
      <c r="E50" s="8" t="s">
        <v>352</v>
      </c>
      <c r="I50" s="255">
        <f>C50</f>
        <v>0</v>
      </c>
      <c r="J50" s="255"/>
    </row>
    <row r="51" spans="2:10">
      <c r="B51" s="430" t="s">
        <v>353</v>
      </c>
      <c r="C51" s="431" t="e">
        <f>C50+C49</f>
        <v>#DIV/0!</v>
      </c>
      <c r="E51" s="430" t="s">
        <v>354</v>
      </c>
      <c r="F51" s="180"/>
      <c r="G51" s="180"/>
      <c r="H51" s="180"/>
      <c r="I51" s="431">
        <f>SUM(I49:I50)</f>
        <v>0</v>
      </c>
      <c r="J51" s="261"/>
    </row>
    <row r="52" spans="2:10" ht="5.0999999999999996" customHeight="1"/>
    <row r="53" spans="2:10">
      <c r="B53" s="262" t="s">
        <v>355</v>
      </c>
      <c r="C53" s="263" t="e">
        <f>C49/$C$51</f>
        <v>#DIV/0!</v>
      </c>
      <c r="E53" s="262" t="s">
        <v>355</v>
      </c>
      <c r="I53" s="263" t="e">
        <f>+I49/I51</f>
        <v>#DIV/0!</v>
      </c>
      <c r="J53" s="263"/>
    </row>
    <row r="54" spans="2:10">
      <c r="B54" s="262" t="s">
        <v>356</v>
      </c>
      <c r="C54" s="263" t="e">
        <f>1-C53</f>
        <v>#DIV/0!</v>
      </c>
      <c r="E54" s="262" t="s">
        <v>357</v>
      </c>
      <c r="G54" s="264"/>
      <c r="I54" s="129" t="e">
        <f>1-I53</f>
        <v>#DIV/0!</v>
      </c>
      <c r="J54" s="129"/>
    </row>
    <row r="55" spans="2:10">
      <c r="B55" s="262" t="s">
        <v>358</v>
      </c>
      <c r="C55" s="265" t="e">
        <f>(C48/I18)</f>
        <v>#DIV/0!</v>
      </c>
      <c r="E55" s="8" t="s">
        <v>359</v>
      </c>
      <c r="I55" s="266" t="e">
        <f>(H6-I41/I48)/(1+I41/I48)</f>
        <v>#DIV/0!</v>
      </c>
      <c r="J55" s="266"/>
    </row>
    <row r="56" spans="2:10">
      <c r="B56" s="262"/>
      <c r="C56" s="98"/>
      <c r="D56" s="265"/>
      <c r="I56" s="266"/>
      <c r="J56" s="266"/>
    </row>
    <row r="57" spans="2:10">
      <c r="B57" s="422" t="s">
        <v>360</v>
      </c>
      <c r="C57" s="370"/>
      <c r="E57" s="429" t="s">
        <v>361</v>
      </c>
      <c r="F57" s="370"/>
      <c r="G57" s="422"/>
      <c r="H57" s="370"/>
      <c r="I57" s="422"/>
    </row>
    <row r="58" spans="2:10">
      <c r="B58" s="8" t="s">
        <v>362</v>
      </c>
      <c r="C58" s="242"/>
    </row>
    <row r="59" spans="2:10">
      <c r="B59" s="106" t="s">
        <v>363</v>
      </c>
      <c r="C59" s="257"/>
      <c r="G59" s="109" t="s">
        <v>362</v>
      </c>
      <c r="H59" s="267" t="s">
        <v>364</v>
      </c>
      <c r="I59" s="267" t="s">
        <v>365</v>
      </c>
    </row>
    <row r="60" spans="2:10">
      <c r="B60" s="268" t="s">
        <v>366</v>
      </c>
      <c r="C60" s="269"/>
      <c r="E60" s="343" t="s">
        <v>83</v>
      </c>
      <c r="G60" s="242"/>
      <c r="H60" s="242"/>
      <c r="I60" s="270"/>
      <c r="J60" s="270"/>
    </row>
    <row r="61" spans="2:10">
      <c r="B61" s="65" t="s">
        <v>17</v>
      </c>
      <c r="C61" s="164"/>
      <c r="E61" s="344" t="s">
        <v>367</v>
      </c>
      <c r="G61" s="242"/>
      <c r="H61" s="242"/>
      <c r="I61" s="270"/>
      <c r="J61" s="204"/>
    </row>
    <row r="62" spans="2:10">
      <c r="B62" s="65" t="s">
        <v>368</v>
      </c>
      <c r="C62" s="228"/>
      <c r="E62" s="344" t="s">
        <v>369</v>
      </c>
      <c r="G62" s="242"/>
      <c r="H62" s="242"/>
      <c r="I62" s="417"/>
    </row>
    <row r="63" spans="2:10">
      <c r="B63" s="65" t="s">
        <v>370</v>
      </c>
      <c r="C63" s="228"/>
      <c r="E63" s="343" t="s">
        <v>368</v>
      </c>
      <c r="G63" s="242"/>
      <c r="H63" s="242"/>
      <c r="I63" s="428"/>
    </row>
    <row r="64" spans="2:10">
      <c r="B64" s="271" t="s">
        <v>371</v>
      </c>
      <c r="C64" s="103"/>
      <c r="E64" s="343" t="s">
        <v>372</v>
      </c>
      <c r="G64" s="242"/>
      <c r="H64" s="242"/>
      <c r="I64" s="428"/>
    </row>
    <row r="65" spans="2:10">
      <c r="B65" s="268" t="s">
        <v>373</v>
      </c>
      <c r="E65" s="176" t="s">
        <v>374</v>
      </c>
      <c r="F65" s="179"/>
      <c r="G65" s="179"/>
      <c r="H65" s="179"/>
      <c r="I65" s="323">
        <f>SUM(I60:I64)</f>
        <v>0</v>
      </c>
      <c r="J65" s="234"/>
    </row>
    <row r="66" spans="2:10">
      <c r="B66" s="272" t="s">
        <v>375</v>
      </c>
      <c r="C66" s="164"/>
      <c r="J66" s="222"/>
    </row>
    <row r="67" spans="2:10">
      <c r="B67" s="272" t="s">
        <v>376</v>
      </c>
      <c r="C67" s="103"/>
      <c r="J67" s="222"/>
    </row>
    <row r="68" spans="2:10">
      <c r="B68" s="433" t="s">
        <v>360</v>
      </c>
      <c r="C68" s="442">
        <f>SUM(C61:C64)-SUM(C66:C67)</f>
        <v>0</v>
      </c>
    </row>
    <row r="70" spans="2:10">
      <c r="B70" s="422" t="s">
        <v>377</v>
      </c>
      <c r="C70" s="370"/>
      <c r="D70" s="422"/>
    </row>
    <row r="71" spans="2:10" ht="5.0999999999999996" customHeight="1">
      <c r="B71" s="436"/>
      <c r="C71" s="437"/>
      <c r="D71" s="436"/>
    </row>
    <row r="72" spans="2:10" ht="14.25">
      <c r="C72" s="425" t="s">
        <v>30</v>
      </c>
      <c r="D72" s="425" t="s">
        <v>7</v>
      </c>
    </row>
    <row r="73" spans="2:10">
      <c r="B73" s="8" t="s">
        <v>378</v>
      </c>
      <c r="C73" s="273" t="e">
        <f>C51</f>
        <v>#DIV/0!</v>
      </c>
      <c r="D73" s="273">
        <f>I51</f>
        <v>0</v>
      </c>
    </row>
    <row r="74" spans="2:10">
      <c r="B74" s="8" t="s">
        <v>360</v>
      </c>
      <c r="C74" s="274">
        <f>$C$68</f>
        <v>0</v>
      </c>
      <c r="D74" s="274">
        <f>C74</f>
        <v>0</v>
      </c>
    </row>
    <row r="75" spans="2:10">
      <c r="B75" s="8" t="s">
        <v>379</v>
      </c>
      <c r="C75" s="275" t="e">
        <f>C73-C74</f>
        <v>#DIV/0!</v>
      </c>
      <c r="D75" s="275">
        <f>D73-D74</f>
        <v>0</v>
      </c>
    </row>
    <row r="76" spans="2:10">
      <c r="B76" s="8" t="s">
        <v>361</v>
      </c>
      <c r="C76" s="275">
        <f>$I$65</f>
        <v>0</v>
      </c>
      <c r="D76" s="275">
        <f>C76</f>
        <v>0</v>
      </c>
    </row>
    <row r="77" spans="2:10">
      <c r="B77" s="415" t="s">
        <v>380</v>
      </c>
      <c r="C77" s="443" t="e">
        <f>C75/C76</f>
        <v>#DIV/0!</v>
      </c>
      <c r="D77" s="443" t="e">
        <f>D75/D76</f>
        <v>#DIV/0!</v>
      </c>
    </row>
    <row r="79" spans="2:10" ht="14.25">
      <c r="C79" s="246" t="s">
        <v>381</v>
      </c>
      <c r="D79" s="246"/>
    </row>
    <row r="80" spans="2:10">
      <c r="B80" s="109"/>
      <c r="C80" s="267" t="s">
        <v>30</v>
      </c>
      <c r="D80" s="267" t="s">
        <v>7</v>
      </c>
    </row>
    <row r="81" spans="2:17">
      <c r="B81" s="8" t="s">
        <v>382</v>
      </c>
      <c r="C81" s="276" t="e">
        <f>C$73/$C$16</f>
        <v>#DIV/0!</v>
      </c>
      <c r="D81" s="276" t="e">
        <f>D$73/$C$16</f>
        <v>#DIV/0!</v>
      </c>
    </row>
    <row r="82" spans="2:17">
      <c r="B82" s="8" t="s">
        <v>383</v>
      </c>
      <c r="C82" s="277" t="e">
        <f>C73/$C$18</f>
        <v>#DIV/0!</v>
      </c>
      <c r="D82" s="277" t="e">
        <f>D73/$C$18</f>
        <v>#DIV/0!</v>
      </c>
    </row>
    <row r="83" spans="2:17">
      <c r="B83" s="254" t="s">
        <v>384</v>
      </c>
      <c r="C83" s="277" t="e">
        <f>C73/$C$20</f>
        <v>#DIV/0!</v>
      </c>
      <c r="D83" s="277" t="e">
        <f>D73/$C$20</f>
        <v>#DIV/0!</v>
      </c>
    </row>
    <row r="84" spans="2:17" ht="14.25">
      <c r="B84" s="254"/>
      <c r="C84" s="246" t="s">
        <v>385</v>
      </c>
      <c r="D84" s="246"/>
      <c r="E84" s="278"/>
      <c r="F84" s="278"/>
    </row>
    <row r="85" spans="2:17">
      <c r="B85" s="109"/>
      <c r="C85" s="267" t="s">
        <v>30</v>
      </c>
      <c r="D85" s="267" t="s">
        <v>7</v>
      </c>
      <c r="E85" s="278"/>
      <c r="F85" s="278"/>
    </row>
    <row r="86" spans="2:17">
      <c r="B86" s="8" t="s">
        <v>382</v>
      </c>
      <c r="C86" s="279" t="e">
        <f>C73/$E$16</f>
        <v>#DIV/0!</v>
      </c>
      <c r="D86" s="279" t="e">
        <f>D73/$E$16</f>
        <v>#DIV/0!</v>
      </c>
      <c r="E86" s="278"/>
      <c r="F86" s="278"/>
    </row>
    <row r="87" spans="2:17">
      <c r="B87" s="8" t="s">
        <v>383</v>
      </c>
      <c r="C87" s="278" t="e">
        <f>C73/$E$18</f>
        <v>#DIV/0!</v>
      </c>
      <c r="D87" s="278" t="e">
        <f>D73/$E$18</f>
        <v>#DIV/0!</v>
      </c>
      <c r="E87" s="278"/>
      <c r="F87" s="278"/>
    </row>
    <row r="88" spans="2:17">
      <c r="B88" s="254" t="s">
        <v>384</v>
      </c>
      <c r="C88" s="278" t="e">
        <f>C73/$E$20</f>
        <v>#DIV/0!</v>
      </c>
      <c r="D88" s="278" t="e">
        <f>D73/$E$20</f>
        <v>#DIV/0!</v>
      </c>
      <c r="E88" s="278"/>
      <c r="F88" s="278"/>
    </row>
    <row r="90" spans="2:17">
      <c r="B90" s="236" t="s">
        <v>386</v>
      </c>
      <c r="C90" s="236"/>
      <c r="D90" s="236"/>
      <c r="E90" s="236"/>
      <c r="F90" s="236"/>
      <c r="G90" s="236"/>
      <c r="H90" s="236"/>
      <c r="I90" s="236"/>
      <c r="J90" s="236"/>
      <c r="K90" s="236"/>
      <c r="L90" s="236"/>
      <c r="M90" s="236"/>
      <c r="N90" s="236"/>
      <c r="O90" s="236"/>
      <c r="P90" s="236"/>
      <c r="Q90" s="236"/>
    </row>
    <row r="91" spans="2:17">
      <c r="B91" s="38"/>
    </row>
    <row r="92" spans="2:17" ht="17.25" customHeight="1">
      <c r="B92" s="280"/>
      <c r="C92" s="38"/>
      <c r="D92" s="281" t="s">
        <v>380</v>
      </c>
      <c r="E92" s="246"/>
      <c r="F92" s="246"/>
      <c r="G92" s="246"/>
      <c r="H92" s="246"/>
      <c r="I92" s="246"/>
      <c r="J92" s="282"/>
      <c r="L92" s="281" t="s">
        <v>387</v>
      </c>
      <c r="M92" s="246"/>
      <c r="N92" s="246"/>
      <c r="O92" s="246"/>
      <c r="P92" s="246"/>
      <c r="Q92" s="246"/>
    </row>
    <row r="93" spans="2:17" ht="15" customHeight="1">
      <c r="B93" s="280"/>
      <c r="D93" s="106"/>
      <c r="E93" s="211" t="s">
        <v>388</v>
      </c>
      <c r="F93" s="211"/>
      <c r="G93" s="211"/>
      <c r="H93" s="211"/>
      <c r="I93" s="211"/>
      <c r="J93" s="283"/>
      <c r="L93" s="106"/>
      <c r="M93" s="211"/>
      <c r="N93" s="211"/>
      <c r="O93" s="211"/>
      <c r="P93" s="211"/>
      <c r="Q93" s="211"/>
    </row>
    <row r="94" spans="2:17" ht="15" customHeight="1">
      <c r="B94" s="280"/>
      <c r="C94" s="155"/>
      <c r="D94" s="284" t="e">
        <f>C77</f>
        <v>#DIV/0!</v>
      </c>
      <c r="E94" s="285">
        <f>F94-0.005</f>
        <v>1.9999999999999997E-2</v>
      </c>
      <c r="F94" s="286">
        <f>G94-0.005</f>
        <v>2.4999999999999998E-2</v>
      </c>
      <c r="G94" s="287">
        <v>0.03</v>
      </c>
      <c r="H94" s="286">
        <f>G94+0.005</f>
        <v>3.4999999999999996E-2</v>
      </c>
      <c r="I94" s="286">
        <f>H94+0.005</f>
        <v>3.9999999999999994E-2</v>
      </c>
      <c r="J94" s="288"/>
      <c r="L94" s="289" t="e">
        <f>C82</f>
        <v>#DIV/0!</v>
      </c>
      <c r="M94" s="286">
        <f>N94-0.005</f>
        <v>1.9999999999999997E-2</v>
      </c>
      <c r="N94" s="286">
        <f>O94-0.005</f>
        <v>2.4999999999999998E-2</v>
      </c>
      <c r="O94" s="287">
        <v>0.03</v>
      </c>
      <c r="P94" s="286">
        <f>O94+0.005</f>
        <v>3.4999999999999996E-2</v>
      </c>
      <c r="Q94" s="290">
        <f>P94+0.005</f>
        <v>3.9999999999999994E-2</v>
      </c>
    </row>
    <row r="95" spans="2:17" ht="15" customHeight="1">
      <c r="B95" s="280"/>
      <c r="D95" s="291">
        <f>D96+0.01</f>
        <v>0.10999999999999999</v>
      </c>
      <c r="E95" s="292">
        <v>20.680633001583054</v>
      </c>
      <c r="F95" s="292">
        <v>20.680633001583054</v>
      </c>
      <c r="G95" s="292">
        <v>20.680633001583054</v>
      </c>
      <c r="H95" s="292">
        <v>20.680633001583054</v>
      </c>
      <c r="I95" s="292">
        <v>20.680633001583054</v>
      </c>
      <c r="J95" s="293"/>
      <c r="L95" s="291">
        <f>L96+0.01</f>
        <v>0.10999999999999999</v>
      </c>
      <c r="M95" s="294" t="e">
        <v>#DIV/0!</v>
      </c>
      <c r="N95" s="294" t="e">
        <v>#DIV/0!</v>
      </c>
      <c r="O95" s="294" t="e">
        <v>#DIV/0!</v>
      </c>
      <c r="P95" s="294" t="e">
        <v>#DIV/0!</v>
      </c>
      <c r="Q95" s="294" t="e">
        <v>#DIV/0!</v>
      </c>
    </row>
    <row r="96" spans="2:17" ht="15" customHeight="1">
      <c r="B96" s="280"/>
      <c r="D96" s="291">
        <f>D97+0.01</f>
        <v>9.9999999999999992E-2</v>
      </c>
      <c r="E96" s="292">
        <v>20.680633001583054</v>
      </c>
      <c r="F96" s="292">
        <v>20.680633001583054</v>
      </c>
      <c r="G96" s="292">
        <v>20.680633001583054</v>
      </c>
      <c r="H96" s="292">
        <v>20.680633001583054</v>
      </c>
      <c r="I96" s="292">
        <v>20.680633001583054</v>
      </c>
      <c r="J96" s="293"/>
      <c r="L96" s="291">
        <f>L97+0.01</f>
        <v>9.9999999999999992E-2</v>
      </c>
      <c r="M96" s="294" t="e">
        <v>#DIV/0!</v>
      </c>
      <c r="N96" s="294" t="e">
        <v>#DIV/0!</v>
      </c>
      <c r="O96" s="294" t="e">
        <v>#DIV/0!</v>
      </c>
      <c r="P96" s="294" t="e">
        <v>#DIV/0!</v>
      </c>
      <c r="Q96" s="294" t="e">
        <v>#DIV/0!</v>
      </c>
    </row>
    <row r="97" spans="2:17" ht="15" customHeight="1">
      <c r="B97" s="280"/>
      <c r="C97" s="155" t="s">
        <v>389</v>
      </c>
      <c r="D97" s="295">
        <v>0.09</v>
      </c>
      <c r="E97" s="292">
        <v>20.680633001583054</v>
      </c>
      <c r="F97" s="292">
        <v>20.680633001583054</v>
      </c>
      <c r="G97" s="292">
        <v>20.680633001583054</v>
      </c>
      <c r="H97" s="292">
        <v>20.680633001583054</v>
      </c>
      <c r="I97" s="292">
        <v>20.680633001583054</v>
      </c>
      <c r="J97" s="293"/>
      <c r="K97" s="155" t="s">
        <v>389</v>
      </c>
      <c r="L97" s="295">
        <v>0.09</v>
      </c>
      <c r="M97" s="294" t="e">
        <v>#DIV/0!</v>
      </c>
      <c r="N97" s="294" t="e">
        <v>#DIV/0!</v>
      </c>
      <c r="O97" s="294" t="e">
        <v>#DIV/0!</v>
      </c>
      <c r="P97" s="294" t="e">
        <v>#DIV/0!</v>
      </c>
      <c r="Q97" s="294" t="e">
        <v>#DIV/0!</v>
      </c>
    </row>
    <row r="98" spans="2:17" ht="15" customHeight="1">
      <c r="B98" s="280"/>
      <c r="D98" s="291">
        <f>D97-0.01</f>
        <v>0.08</v>
      </c>
      <c r="E98" s="292">
        <v>20.680633001583054</v>
      </c>
      <c r="F98" s="292">
        <v>20.680633001583054</v>
      </c>
      <c r="G98" s="292">
        <v>20.680633001583054</v>
      </c>
      <c r="H98" s="292">
        <v>20.680633001583054</v>
      </c>
      <c r="I98" s="292">
        <v>20.680633001583054</v>
      </c>
      <c r="J98" s="293"/>
      <c r="L98" s="291">
        <f>L97-0.01</f>
        <v>0.08</v>
      </c>
      <c r="M98" s="294" t="e">
        <v>#DIV/0!</v>
      </c>
      <c r="N98" s="294" t="e">
        <v>#DIV/0!</v>
      </c>
      <c r="O98" s="294" t="e">
        <v>#DIV/0!</v>
      </c>
      <c r="P98" s="294" t="e">
        <v>#DIV/0!</v>
      </c>
      <c r="Q98" s="294" t="e">
        <v>#DIV/0!</v>
      </c>
    </row>
    <row r="99" spans="2:17" ht="15" customHeight="1">
      <c r="B99" s="296" t="s">
        <v>390</v>
      </c>
      <c r="D99" s="297">
        <f>D98-0.01</f>
        <v>7.0000000000000007E-2</v>
      </c>
      <c r="E99" s="292">
        <v>20.680633001583054</v>
      </c>
      <c r="F99" s="292">
        <v>20.680633001583054</v>
      </c>
      <c r="G99" s="292">
        <v>20.680633001583054</v>
      </c>
      <c r="H99" s="292">
        <v>20.680633001583054</v>
      </c>
      <c r="I99" s="292">
        <v>20.680633001583054</v>
      </c>
      <c r="J99" s="293"/>
      <c r="L99" s="297">
        <f>L98-0.01</f>
        <v>7.0000000000000007E-2</v>
      </c>
      <c r="M99" s="294" t="e">
        <v>#DIV/0!</v>
      </c>
      <c r="N99" s="294" t="e">
        <v>#DIV/0!</v>
      </c>
      <c r="O99" s="294" t="e">
        <v>#DIV/0!</v>
      </c>
      <c r="P99" s="294" t="e">
        <v>#DIV/0!</v>
      </c>
      <c r="Q99" s="294" t="e">
        <v>#DIV/0!</v>
      </c>
    </row>
    <row r="100" spans="2:17" ht="15" customHeight="1">
      <c r="B100" s="296" t="s">
        <v>391</v>
      </c>
      <c r="E100" s="298"/>
      <c r="F100" s="298"/>
      <c r="G100" s="298"/>
      <c r="H100" s="298"/>
      <c r="I100" s="298"/>
      <c r="J100" s="299"/>
    </row>
    <row r="101" spans="2:17" ht="17.25" customHeight="1">
      <c r="B101" s="280"/>
      <c r="D101" s="281" t="s">
        <v>380</v>
      </c>
      <c r="E101" s="246"/>
      <c r="F101" s="246"/>
      <c r="G101" s="246"/>
      <c r="H101" s="246"/>
      <c r="I101" s="246"/>
      <c r="J101" s="282"/>
      <c r="L101" s="281" t="s">
        <v>387</v>
      </c>
      <c r="M101" s="246"/>
      <c r="N101" s="246"/>
      <c r="O101" s="246"/>
      <c r="P101" s="246"/>
      <c r="Q101" s="246"/>
    </row>
    <row r="102" spans="2:17" ht="15" customHeight="1">
      <c r="B102" s="280"/>
      <c r="E102" s="211" t="s">
        <v>392</v>
      </c>
      <c r="F102" s="211"/>
      <c r="G102" s="211"/>
      <c r="H102" s="211"/>
      <c r="I102" s="211"/>
      <c r="J102" s="283"/>
      <c r="M102" s="211" t="s">
        <v>392</v>
      </c>
      <c r="N102" s="211"/>
      <c r="O102" s="211"/>
      <c r="P102" s="211"/>
      <c r="Q102" s="211"/>
    </row>
    <row r="103" spans="2:17" ht="15" customHeight="1">
      <c r="B103" s="280"/>
      <c r="D103" s="300" t="e">
        <f>D77</f>
        <v>#DIV/0!</v>
      </c>
      <c r="E103" s="301">
        <f>F103-1</f>
        <v>11</v>
      </c>
      <c r="F103" s="301">
        <f>G103-1</f>
        <v>12</v>
      </c>
      <c r="G103" s="302">
        <v>13</v>
      </c>
      <c r="H103" s="301">
        <f>G103+1</f>
        <v>14</v>
      </c>
      <c r="I103" s="301">
        <f>H103+1</f>
        <v>15</v>
      </c>
      <c r="J103" s="303"/>
      <c r="L103" s="289" t="e">
        <f>D82</f>
        <v>#DIV/0!</v>
      </c>
      <c r="M103" s="301">
        <f>N103-1</f>
        <v>11</v>
      </c>
      <c r="N103" s="301">
        <f>O103-1</f>
        <v>12</v>
      </c>
      <c r="O103" s="302">
        <v>13</v>
      </c>
      <c r="P103" s="301">
        <f>O103+1</f>
        <v>14</v>
      </c>
      <c r="Q103" s="304">
        <f>P103+1</f>
        <v>15</v>
      </c>
    </row>
    <row r="104" spans="2:17" ht="15" customHeight="1">
      <c r="B104" s="280"/>
      <c r="D104" s="291">
        <f>D105+0.01</f>
        <v>0.10999999999999999</v>
      </c>
      <c r="E104" s="292">
        <v>20.680633001583054</v>
      </c>
      <c r="F104" s="292">
        <v>20.680633001583054</v>
      </c>
      <c r="G104" s="292">
        <v>20.680633001583054</v>
      </c>
      <c r="H104" s="292">
        <v>20.680633001583054</v>
      </c>
      <c r="I104" s="292">
        <v>20.680633001583054</v>
      </c>
      <c r="J104" s="293"/>
      <c r="L104" s="291">
        <f>L105+0.01</f>
        <v>0.10999999999999999</v>
      </c>
      <c r="M104" s="294" t="e">
        <v>#DIV/0!</v>
      </c>
      <c r="N104" s="294" t="e">
        <v>#DIV/0!</v>
      </c>
      <c r="O104" s="294" t="e">
        <v>#DIV/0!</v>
      </c>
      <c r="P104" s="294" t="e">
        <v>#DIV/0!</v>
      </c>
      <c r="Q104" s="294" t="e">
        <v>#DIV/0!</v>
      </c>
    </row>
    <row r="105" spans="2:17" ht="15" customHeight="1">
      <c r="B105" s="280"/>
      <c r="D105" s="291">
        <f>D106+0.01</f>
        <v>9.9999999999999992E-2</v>
      </c>
      <c r="E105" s="292">
        <v>20.680633001583054</v>
      </c>
      <c r="F105" s="292">
        <v>20.680633001583054</v>
      </c>
      <c r="G105" s="292">
        <v>20.680633001583054</v>
      </c>
      <c r="H105" s="292">
        <v>20.680633001583054</v>
      </c>
      <c r="I105" s="292">
        <v>20.680633001583054</v>
      </c>
      <c r="J105" s="293"/>
      <c r="L105" s="291">
        <f>L106+0.01</f>
        <v>9.9999999999999992E-2</v>
      </c>
      <c r="M105" s="294" t="e">
        <v>#DIV/0!</v>
      </c>
      <c r="N105" s="294" t="e">
        <v>#DIV/0!</v>
      </c>
      <c r="O105" s="294" t="e">
        <v>#DIV/0!</v>
      </c>
      <c r="P105" s="294" t="e">
        <v>#DIV/0!</v>
      </c>
      <c r="Q105" s="294" t="e">
        <v>#DIV/0!</v>
      </c>
    </row>
    <row r="106" spans="2:17" ht="15" customHeight="1">
      <c r="B106" s="280"/>
      <c r="C106" s="155" t="s">
        <v>389</v>
      </c>
      <c r="D106" s="295">
        <v>0.09</v>
      </c>
      <c r="E106" s="292">
        <v>20.680633001583054</v>
      </c>
      <c r="F106" s="292">
        <v>20.680633001583054</v>
      </c>
      <c r="G106" s="292">
        <v>20.680633001583054</v>
      </c>
      <c r="H106" s="292">
        <v>20.680633001583054</v>
      </c>
      <c r="I106" s="292">
        <v>20.680633001583054</v>
      </c>
      <c r="J106" s="293"/>
      <c r="K106" s="155" t="s">
        <v>389</v>
      </c>
      <c r="L106" s="295">
        <v>0.09</v>
      </c>
      <c r="M106" s="294" t="e">
        <v>#DIV/0!</v>
      </c>
      <c r="N106" s="294" t="e">
        <v>#DIV/0!</v>
      </c>
      <c r="O106" s="294" t="e">
        <v>#DIV/0!</v>
      </c>
      <c r="P106" s="294" t="e">
        <v>#DIV/0!</v>
      </c>
      <c r="Q106" s="294" t="e">
        <v>#DIV/0!</v>
      </c>
    </row>
    <row r="107" spans="2:17" ht="15" customHeight="1">
      <c r="B107" s="280"/>
      <c r="D107" s="291">
        <f>D106-0.01</f>
        <v>0.08</v>
      </c>
      <c r="E107" s="292">
        <v>20.680633001583054</v>
      </c>
      <c r="F107" s="292">
        <v>20.680633001583054</v>
      </c>
      <c r="G107" s="292">
        <v>20.680633001583054</v>
      </c>
      <c r="H107" s="292">
        <v>20.680633001583054</v>
      </c>
      <c r="I107" s="292">
        <v>20.680633001583054</v>
      </c>
      <c r="J107" s="293"/>
      <c r="L107" s="291">
        <f>L106-0.01</f>
        <v>0.08</v>
      </c>
      <c r="M107" s="294" t="e">
        <v>#DIV/0!</v>
      </c>
      <c r="N107" s="294" t="e">
        <v>#DIV/0!</v>
      </c>
      <c r="O107" s="294" t="e">
        <v>#DIV/0!</v>
      </c>
      <c r="P107" s="294" t="e">
        <v>#DIV/0!</v>
      </c>
      <c r="Q107" s="294" t="e">
        <v>#DIV/0!</v>
      </c>
    </row>
    <row r="108" spans="2:17" ht="15" customHeight="1">
      <c r="B108" s="280"/>
      <c r="D108" s="297">
        <f>D107-0.01</f>
        <v>7.0000000000000007E-2</v>
      </c>
      <c r="E108" s="292">
        <v>20.680633001583054</v>
      </c>
      <c r="F108" s="292">
        <v>20.680633001583054</v>
      </c>
      <c r="G108" s="292">
        <v>20.680633001583054</v>
      </c>
      <c r="H108" s="292">
        <v>20.680633001583054</v>
      </c>
      <c r="I108" s="292">
        <v>20.680633001583054</v>
      </c>
      <c r="J108" s="293"/>
      <c r="L108" s="297">
        <f>L107-0.01</f>
        <v>7.0000000000000007E-2</v>
      </c>
      <c r="M108" s="294" t="e">
        <v>#DIV/0!</v>
      </c>
      <c r="N108" s="294" t="e">
        <v>#DIV/0!</v>
      </c>
      <c r="O108" s="294" t="e">
        <v>#DIV/0!</v>
      </c>
      <c r="P108" s="294" t="e">
        <v>#DIV/0!</v>
      </c>
      <c r="Q108" s="294" t="e">
        <v>#DIV/0!</v>
      </c>
    </row>
    <row r="109" spans="2:17">
      <c r="J109" s="305"/>
    </row>
    <row r="110" spans="2:17">
      <c r="B110" s="306" t="s">
        <v>393</v>
      </c>
      <c r="C110" s="306"/>
      <c r="D110" s="306"/>
      <c r="E110" s="306"/>
      <c r="G110" s="306" t="s">
        <v>394</v>
      </c>
      <c r="H110" s="306"/>
      <c r="I110" s="306"/>
      <c r="J110" s="307"/>
      <c r="K110" s="306"/>
      <c r="L110" s="306"/>
      <c r="M110" s="306"/>
      <c r="N110" s="306"/>
      <c r="O110" s="306"/>
      <c r="P110" s="306"/>
    </row>
    <row r="111" spans="2:17">
      <c r="J111" s="305"/>
    </row>
    <row r="112" spans="2:17">
      <c r="J112" s="305"/>
    </row>
    <row r="113" spans="10:13">
      <c r="J113" s="305"/>
    </row>
    <row r="114" spans="10:13">
      <c r="J114" s="305"/>
    </row>
    <row r="115" spans="10:13">
      <c r="J115" s="305"/>
    </row>
    <row r="116" spans="10:13">
      <c r="J116" s="305"/>
    </row>
    <row r="117" spans="10:13">
      <c r="J117" s="305"/>
    </row>
    <row r="118" spans="10:13">
      <c r="J118" s="305"/>
    </row>
    <row r="119" spans="10:13">
      <c r="J119" s="305"/>
    </row>
    <row r="120" spans="10:13">
      <c r="J120" s="305"/>
    </row>
    <row r="121" spans="10:13">
      <c r="J121" s="305"/>
    </row>
    <row r="122" spans="10:13">
      <c r="J122" s="305"/>
    </row>
    <row r="123" spans="10:13">
      <c r="J123" s="305"/>
    </row>
    <row r="124" spans="10:13">
      <c r="J124" s="305"/>
      <c r="M124" s="308"/>
    </row>
    <row r="125" spans="10:13">
      <c r="J125" s="305"/>
    </row>
    <row r="126" spans="10:13">
      <c r="J126" s="305"/>
    </row>
    <row r="127" spans="10:13">
      <c r="J127" s="305"/>
    </row>
    <row r="128" spans="10:13">
      <c r="J128" s="305"/>
    </row>
    <row r="129" spans="2:17">
      <c r="J129" s="305"/>
    </row>
    <row r="130" spans="2:17">
      <c r="J130" s="305"/>
    </row>
    <row r="131" spans="2:17">
      <c r="B131" s="309"/>
      <c r="C131" s="310" t="s">
        <v>395</v>
      </c>
      <c r="D131" s="310" t="s">
        <v>396</v>
      </c>
      <c r="E131" s="311" t="s">
        <v>242</v>
      </c>
      <c r="G131" s="309"/>
      <c r="H131" s="203"/>
      <c r="I131" s="203"/>
      <c r="J131" s="312"/>
      <c r="K131" s="203"/>
      <c r="L131" s="203"/>
      <c r="M131" s="203"/>
      <c r="N131" s="203"/>
      <c r="O131" s="310" t="s">
        <v>395</v>
      </c>
      <c r="P131" s="310" t="s">
        <v>396</v>
      </c>
      <c r="Q131" s="311" t="s">
        <v>242</v>
      </c>
    </row>
    <row r="132" spans="2:17">
      <c r="B132" s="313" t="str">
        <f>"DCF Value at "&amp;TEXT(E103,"0.0x")&amp;"-"&amp;TEXT(I103,"0.0x")&amp;" Exit EBITDA Range at "&amp;TEXT(D106,"0.0%")&amp;" WACC"</f>
        <v>DCF Value at 11.0x-15.0x Exit EBITDA Range at 9.0% WACC</v>
      </c>
      <c r="C132" s="231">
        <f>E106</f>
        <v>20.680633001583054</v>
      </c>
      <c r="D132" s="231">
        <f>E132-C132</f>
        <v>0</v>
      </c>
      <c r="E132" s="314">
        <f>I106</f>
        <v>20.680633001583054</v>
      </c>
      <c r="G132" s="313" t="str">
        <f>"LTM EBITDA Purchase Multiple at "&amp;TEXT(M94,"0.0%")&amp;"-"&amp;TEXT(Q94,"0.0%")&amp;" Perpetuity Growth at "&amp;TEXT(L97,"0.0%")&amp;" WACC"</f>
        <v>LTM EBITDA Purchase Multiple at 2.0%-4.0% Perpetuity Growth at 9.0% WACC</v>
      </c>
      <c r="J132" s="305"/>
      <c r="O132" s="238" t="e">
        <f>M97</f>
        <v>#DIV/0!</v>
      </c>
      <c r="P132" s="238" t="e">
        <f>Q132-O132</f>
        <v>#DIV/0!</v>
      </c>
      <c r="Q132" s="315" t="e">
        <f>Q97</f>
        <v>#DIV/0!</v>
      </c>
    </row>
    <row r="133" spans="2:17">
      <c r="B133" s="316" t="str">
        <f>"DCF Value at "&amp;TEXT(E94,"0.0%")&amp;"-"&amp;TEXT(I94,"0.0%")&amp;" Perpetuity Range at "&amp;TEXT(D106,"0.0%")&amp;" WACC"</f>
        <v>DCF Value at 2.0%-4.0% Perpetuity Range at 9.0% WACC</v>
      </c>
      <c r="C133" s="231">
        <f>E97</f>
        <v>20.680633001583054</v>
      </c>
      <c r="D133" s="231">
        <f>E133-C133</f>
        <v>0</v>
      </c>
      <c r="E133" s="314">
        <f>I97</f>
        <v>20.680633001583054</v>
      </c>
      <c r="G133" s="316" t="e">
        <f>"LTM EBITDA Purchase Multiple at "&amp;TEXT(M106,"0.0x")&amp;"-"&amp;TEXT(Q106,"0.0x")&amp;" Exit EBITDA Multiple at "&amp;TEXT(L106,"0.0%")&amp;" WACC"</f>
        <v>#DIV/0!</v>
      </c>
      <c r="J133" s="305"/>
      <c r="O133" s="238" t="e">
        <f>M106</f>
        <v>#DIV/0!</v>
      </c>
      <c r="P133" s="238" t="e">
        <f>Q133-O133</f>
        <v>#DIV/0!</v>
      </c>
      <c r="Q133" s="315" t="e">
        <f>Q106</f>
        <v>#DIV/0!</v>
      </c>
    </row>
    <row r="134" spans="2:17">
      <c r="B134" s="317" t="s">
        <v>397</v>
      </c>
      <c r="C134" s="318">
        <v>169.5</v>
      </c>
      <c r="D134" s="319">
        <f>E134-C134</f>
        <v>158.35000000000002</v>
      </c>
      <c r="E134" s="320">
        <v>327.85</v>
      </c>
      <c r="G134" s="317" t="str">
        <f>"LTM EBITDA Purchase Multiple at "&amp;TEXT(L108,"0.0%")&amp;"-"&amp;TEXT(L104,"0.0%")&amp;" WACC at "&amp;TEXT(O103,"0.0x")&amp;" Exit EBITDA"</f>
        <v>LTM EBITDA Purchase Multiple at 7.0%-11.0% WACC at 13.0x Exit EBITDA</v>
      </c>
      <c r="H134" s="97"/>
      <c r="I134" s="97"/>
      <c r="J134" s="321"/>
      <c r="K134" s="97"/>
      <c r="L134" s="97"/>
      <c r="M134" s="97"/>
      <c r="N134" s="97"/>
      <c r="O134" s="319" t="e">
        <f>O104</f>
        <v>#DIV/0!</v>
      </c>
      <c r="P134" s="319" t="e">
        <f>Q134-O134</f>
        <v>#DIV/0!</v>
      </c>
      <c r="Q134" s="322" t="e">
        <f>O108</f>
        <v>#DIV/0!</v>
      </c>
    </row>
    <row r="135" spans="2:17">
      <c r="J135" s="305"/>
    </row>
    <row r="136" spans="2:17">
      <c r="J136" s="305"/>
    </row>
  </sheetData>
  <conditionalFormatting sqref="E95:J99 E104:J108">
    <cfRule type="cellIs" dxfId="1" priority="4" operator="lessThan">
      <formula>#REF!</formula>
    </cfRule>
  </conditionalFormatting>
  <dataValidations count="1">
    <dataValidation type="list" allowBlank="1" showInputMessage="1" showErrorMessage="1" sqref="H9" xr:uid="{2A47C13B-7E3B-42F4-BD39-D0A796599366}">
      <formula1>"0,1"</formula1>
    </dataValidation>
  </dataValidations>
  <pageMargins left="0.7" right="0.7" top="0.75" bottom="0.75" header="0.3" footer="0.3"/>
  <ignoredErrors>
    <ignoredError sqref="D75" formula="1"/>
    <ignoredError sqref="D17:I24" evalError="1"/>
  </ignoredErrors>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9222F-360D-4DA1-BCF5-0231D11F1122}">
  <sheetPr>
    <tabColor rgb="FFFF0000"/>
  </sheetPr>
  <dimension ref="B2:I49"/>
  <sheetViews>
    <sheetView showGridLines="0" zoomScale="115" zoomScaleNormal="115" workbookViewId="0">
      <selection activeCell="B3" sqref="B3"/>
    </sheetView>
  </sheetViews>
  <sheetFormatPr defaultColWidth="8" defaultRowHeight="12"/>
  <cols>
    <col min="1" max="1" width="1.25" style="8" customWidth="1"/>
    <col min="2" max="2" width="44" style="8" customWidth="1"/>
    <col min="3" max="3" width="11.75" style="8" customWidth="1"/>
    <col min="4" max="9" width="11.125" style="8" customWidth="1"/>
    <col min="10" max="10" width="1.5" style="8" customWidth="1"/>
    <col min="11" max="11" width="9.625" style="8" bestFit="1" customWidth="1"/>
    <col min="12" max="16" width="8.25" style="8" customWidth="1"/>
    <col min="17" max="16384" width="8" style="8"/>
  </cols>
  <sheetData>
    <row r="2" spans="2:9">
      <c r="B2" s="1" t="str">
        <f>'Historical Financials'!B2</f>
        <v>Klarna Group plc (KLAR)</v>
      </c>
      <c r="C2" s="6"/>
      <c r="D2" s="6"/>
      <c r="E2" s="6"/>
      <c r="F2" s="6"/>
      <c r="G2" s="6"/>
      <c r="H2" s="6"/>
      <c r="I2" s="6"/>
    </row>
    <row r="3" spans="2:9">
      <c r="B3" s="6" t="s">
        <v>247</v>
      </c>
      <c r="C3" s="6"/>
      <c r="D3" s="6"/>
      <c r="E3" s="6"/>
      <c r="F3" s="6"/>
      <c r="G3" s="6"/>
      <c r="H3" s="6"/>
      <c r="I3" s="6"/>
    </row>
    <row r="4" spans="2:9">
      <c r="B4" s="6" t="s">
        <v>412</v>
      </c>
      <c r="C4" s="6"/>
      <c r="D4" s="6"/>
      <c r="E4" s="6"/>
      <c r="F4" s="6"/>
      <c r="G4" s="6"/>
      <c r="H4" s="6"/>
      <c r="I4" s="6"/>
    </row>
    <row r="5" spans="2:9" ht="5.0999999999999996" customHeight="1"/>
    <row r="6" spans="2:9">
      <c r="B6" s="196" t="s">
        <v>248</v>
      </c>
      <c r="C6" s="197"/>
      <c r="D6" s="95"/>
      <c r="E6" s="109" t="s">
        <v>249</v>
      </c>
      <c r="F6" s="198"/>
    </row>
    <row r="7" spans="2:9" ht="5.0999999999999996" customHeight="1">
      <c r="E7" s="109"/>
    </row>
    <row r="8" spans="2:9">
      <c r="B8" s="8" t="s">
        <v>250</v>
      </c>
      <c r="C8" s="150"/>
      <c r="E8" s="8" t="s">
        <v>447</v>
      </c>
    </row>
    <row r="9" spans="2:9">
      <c r="B9" s="8" t="s">
        <v>124</v>
      </c>
      <c r="C9" s="205"/>
      <c r="E9" s="8" t="s">
        <v>251</v>
      </c>
    </row>
    <row r="10" spans="2:9">
      <c r="B10" s="8" t="s">
        <v>252</v>
      </c>
      <c r="C10" s="151">
        <f>C8*(1-C9)</f>
        <v>0</v>
      </c>
      <c r="E10" s="8" t="s">
        <v>253</v>
      </c>
    </row>
    <row r="12" spans="2:9">
      <c r="B12" s="8" t="s">
        <v>254</v>
      </c>
      <c r="C12" s="150"/>
      <c r="E12" s="8" t="s">
        <v>255</v>
      </c>
    </row>
    <row r="13" spans="2:9">
      <c r="B13" s="8" t="s">
        <v>22</v>
      </c>
      <c r="C13" s="206">
        <f>IF(C34="Observed",C36,C37)</f>
        <v>0</v>
      </c>
      <c r="E13" s="8" t="s">
        <v>256</v>
      </c>
    </row>
    <row r="14" spans="2:9">
      <c r="B14" s="8" t="s">
        <v>257</v>
      </c>
      <c r="C14" s="150"/>
      <c r="E14" s="8" t="s">
        <v>448</v>
      </c>
    </row>
    <row r="15" spans="2:9">
      <c r="B15" s="8" t="s">
        <v>258</v>
      </c>
      <c r="C15" s="199">
        <f>C12+C13*C14</f>
        <v>0</v>
      </c>
      <c r="E15" s="8" t="s">
        <v>259</v>
      </c>
    </row>
    <row r="17" spans="2:6">
      <c r="B17" s="96" t="s">
        <v>260</v>
      </c>
      <c r="C17" s="97"/>
      <c r="D17" s="97"/>
      <c r="E17" s="97"/>
      <c r="F17" s="38"/>
    </row>
    <row r="18" spans="2:6">
      <c r="B18" s="38"/>
      <c r="C18" s="155"/>
      <c r="D18" s="155" t="s">
        <v>261</v>
      </c>
      <c r="F18" s="38"/>
    </row>
    <row r="19" spans="2:6" ht="14.25">
      <c r="C19" s="200" t="s">
        <v>262</v>
      </c>
      <c r="D19" s="200" t="s">
        <v>263</v>
      </c>
      <c r="E19" s="200" t="s">
        <v>264</v>
      </c>
    </row>
    <row r="20" spans="2:6">
      <c r="B20" s="8" t="s">
        <v>265</v>
      </c>
      <c r="C20" s="207"/>
      <c r="D20" s="208"/>
      <c r="E20" s="123" t="e">
        <f>IF(D20,D20,C20/(C20+C21))</f>
        <v>#DIV/0!</v>
      </c>
    </row>
    <row r="21" spans="2:6">
      <c r="B21" s="8" t="s">
        <v>17</v>
      </c>
      <c r="C21" s="207">
        <f>DCF!C61</f>
        <v>0</v>
      </c>
      <c r="D21" s="154">
        <f>1-D20</f>
        <v>1</v>
      </c>
      <c r="E21" s="123" t="e">
        <f>1-E20</f>
        <v>#DIV/0!</v>
      </c>
    </row>
    <row r="23" spans="2:6">
      <c r="B23" s="201" t="s">
        <v>266</v>
      </c>
      <c r="C23" s="202"/>
      <c r="D23" s="203"/>
      <c r="E23" s="209" t="e">
        <f>C10*E21+C15*E20</f>
        <v>#DIV/0!</v>
      </c>
    </row>
    <row r="24" spans="2:6">
      <c r="B24" s="38"/>
      <c r="C24" s="210"/>
    </row>
    <row r="25" spans="2:6">
      <c r="B25" s="96" t="s">
        <v>267</v>
      </c>
      <c r="C25" s="97"/>
      <c r="D25" s="97"/>
      <c r="E25" s="97"/>
      <c r="F25" s="97"/>
    </row>
    <row r="26" spans="2:6">
      <c r="D26" s="211" t="s">
        <v>28</v>
      </c>
      <c r="E26" s="212"/>
      <c r="F26" s="211"/>
    </row>
    <row r="27" spans="2:6">
      <c r="C27" s="213" t="e">
        <f>E23</f>
        <v>#DIV/0!</v>
      </c>
      <c r="D27" s="214">
        <f>E27-0.1</f>
        <v>-0.1</v>
      </c>
      <c r="E27" s="215"/>
      <c r="F27" s="216">
        <f>E27+0.1</f>
        <v>0.1</v>
      </c>
    </row>
    <row r="28" spans="2:6">
      <c r="C28" s="217">
        <f>C29-0.005</f>
        <v>-0.01</v>
      </c>
      <c r="D28" s="218">
        <v>6.1013495196213796E-2</v>
      </c>
      <c r="E28" s="129">
        <v>6.590882572582199E-2</v>
      </c>
      <c r="F28" s="129">
        <v>7.080415625543017E-2</v>
      </c>
    </row>
    <row r="29" spans="2:6">
      <c r="B29" s="155" t="s">
        <v>268</v>
      </c>
      <c r="C29" s="217">
        <f>C30-0.005</f>
        <v>-5.0000000000000001E-3</v>
      </c>
      <c r="D29" s="129">
        <v>6.6447312084078877E-2</v>
      </c>
      <c r="E29" s="129">
        <v>7.1886568228087977E-2</v>
      </c>
      <c r="F29" s="129">
        <v>7.7325824372097077E-2</v>
      </c>
    </row>
    <row r="30" spans="2:6">
      <c r="B30" s="155" t="s">
        <v>269</v>
      </c>
      <c r="C30" s="219"/>
      <c r="D30" s="129">
        <v>7.1881128971943958E-2</v>
      </c>
      <c r="E30" s="129">
        <v>7.7864310730353978E-2</v>
      </c>
      <c r="F30" s="129">
        <v>8.3847492488763983E-2</v>
      </c>
    </row>
    <row r="31" spans="2:6">
      <c r="B31" s="155" t="s">
        <v>270</v>
      </c>
      <c r="C31" s="217">
        <f>C30+0.005</f>
        <v>5.0000000000000001E-3</v>
      </c>
      <c r="D31" s="129">
        <v>7.7314945859809053E-2</v>
      </c>
      <c r="E31" s="129">
        <v>8.3842053232619965E-2</v>
      </c>
      <c r="F31" s="129">
        <v>9.0369160605430876E-2</v>
      </c>
    </row>
    <row r="32" spans="2:6">
      <c r="C32" s="217">
        <f>C31+0.005</f>
        <v>0.01</v>
      </c>
      <c r="D32" s="129">
        <v>8.2748762747674148E-2</v>
      </c>
      <c r="E32" s="129">
        <v>8.9819795734885952E-2</v>
      </c>
      <c r="F32" s="129">
        <v>9.6890828722097783E-2</v>
      </c>
    </row>
    <row r="33" spans="2:9">
      <c r="C33" s="220"/>
      <c r="D33" s="129"/>
      <c r="E33" s="129"/>
      <c r="F33" s="129"/>
    </row>
    <row r="34" spans="2:9">
      <c r="B34" s="8" t="s">
        <v>271</v>
      </c>
      <c r="C34" s="221" t="s">
        <v>272</v>
      </c>
    </row>
    <row r="36" spans="2:9">
      <c r="B36" s="65" t="s">
        <v>272</v>
      </c>
      <c r="C36" s="204"/>
      <c r="D36" s="8" t="s">
        <v>256</v>
      </c>
    </row>
    <row r="37" spans="2:9">
      <c r="B37" s="65" t="s">
        <v>273</v>
      </c>
      <c r="C37" s="222" t="e">
        <f>C48</f>
        <v>#DIV/0!</v>
      </c>
      <c r="D37" s="8" t="s">
        <v>274</v>
      </c>
    </row>
    <row r="39" spans="2:9">
      <c r="B39" s="96" t="s">
        <v>273</v>
      </c>
      <c r="C39" s="96"/>
      <c r="D39" s="97"/>
      <c r="E39" s="97"/>
      <c r="F39" s="97"/>
      <c r="G39" s="97"/>
      <c r="H39" s="97"/>
      <c r="I39" s="97"/>
    </row>
    <row r="40" spans="2:9">
      <c r="H40" s="5"/>
    </row>
    <row r="41" spans="2:9" ht="12.75" thickBot="1">
      <c r="C41" s="223" t="s">
        <v>279</v>
      </c>
      <c r="D41" s="223" t="s">
        <v>275</v>
      </c>
      <c r="E41" s="223" t="s">
        <v>276</v>
      </c>
      <c r="F41" s="223" t="s">
        <v>277</v>
      </c>
      <c r="G41" s="224" t="s">
        <v>31</v>
      </c>
      <c r="H41" s="223" t="s">
        <v>124</v>
      </c>
      <c r="I41" s="223" t="s">
        <v>280</v>
      </c>
    </row>
    <row r="42" spans="2:9">
      <c r="B42" s="225"/>
      <c r="C42" s="204"/>
      <c r="D42" s="226"/>
      <c r="E42" s="103"/>
      <c r="F42" s="70">
        <f>D42*E42</f>
        <v>0</v>
      </c>
      <c r="G42" s="103"/>
      <c r="H42" s="111"/>
      <c r="I42" s="222" t="e">
        <f>C42/(1+(1-H42)*(G42)/F42)</f>
        <v>#DIV/0!</v>
      </c>
    </row>
    <row r="43" spans="2:9">
      <c r="B43" s="225"/>
      <c r="C43" s="204"/>
      <c r="D43" s="226"/>
      <c r="E43" s="103"/>
      <c r="F43" s="70">
        <f>D43*E43</f>
        <v>0</v>
      </c>
      <c r="G43" s="103"/>
      <c r="H43" s="111"/>
      <c r="I43" s="222" t="e">
        <f>C43/(1+(1-H43)*(G43)/F43)</f>
        <v>#DIV/0!</v>
      </c>
    </row>
    <row r="44" spans="2:9">
      <c r="B44" s="225"/>
      <c r="C44" s="204"/>
      <c r="D44" s="226"/>
      <c r="E44" s="103"/>
      <c r="F44" s="70">
        <f>D44*E44</f>
        <v>0</v>
      </c>
      <c r="G44" s="103"/>
      <c r="H44" s="111"/>
      <c r="I44" s="222" t="e">
        <f>C44/(1+(1-H44)*(G44)/F44)</f>
        <v>#DIV/0!</v>
      </c>
    </row>
    <row r="45" spans="2:9">
      <c r="B45" s="225"/>
      <c r="C45" s="206">
        <f>C36</f>
        <v>0</v>
      </c>
      <c r="D45" s="227"/>
      <c r="E45" s="228"/>
      <c r="F45" s="104">
        <f>C20</f>
        <v>0</v>
      </c>
      <c r="G45" s="104">
        <f>C21</f>
        <v>0</v>
      </c>
      <c r="H45" s="229">
        <f>C9</f>
        <v>0</v>
      </c>
      <c r="I45" s="222" t="e">
        <f>C45/(1+(1-H45)*(G45)/F45)</f>
        <v>#DIV/0!</v>
      </c>
    </row>
    <row r="46" spans="2:9">
      <c r="C46" s="222"/>
      <c r="F46" s="70"/>
      <c r="G46" s="70"/>
      <c r="H46" s="70"/>
      <c r="I46" s="123"/>
    </row>
    <row r="47" spans="2:9">
      <c r="B47" s="8" t="s">
        <v>278</v>
      </c>
      <c r="C47" s="222" t="e">
        <f>AVERAGE(I42:I45)</f>
        <v>#DIV/0!</v>
      </c>
    </row>
    <row r="48" spans="2:9">
      <c r="B48" s="38" t="str">
        <f>B45&amp;" beta"</f>
        <v xml:space="preserve"> beta</v>
      </c>
      <c r="C48" s="230" t="e">
        <f>C47*(1+(1-H45)*(G45)/F45)</f>
        <v>#DIV/0!</v>
      </c>
    </row>
    <row r="49" spans="3:3">
      <c r="C49" s="231"/>
    </row>
  </sheetData>
  <conditionalFormatting sqref="B24:C26">
    <cfRule type="expression" dxfId="0" priority="1">
      <formula>#REF!="Industry"</formula>
    </cfRule>
  </conditionalFormatting>
  <dataValidations count="1">
    <dataValidation type="list" allowBlank="1" showInputMessage="1" showErrorMessage="1" sqref="C34" xr:uid="{5969403F-F59B-4DD9-94A4-15D44B9BB601}">
      <formula1>"Industry, Observed"</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3F7DF-9DD1-4366-B49E-51C45A044389}">
  <sheetPr>
    <tabColor theme="5" tint="-0.249977111117893"/>
  </sheetPr>
  <dimension ref="A2:G44"/>
  <sheetViews>
    <sheetView showGridLines="0" zoomScale="130" zoomScaleNormal="130" workbookViewId="0">
      <selection activeCell="B3" sqref="B3"/>
    </sheetView>
  </sheetViews>
  <sheetFormatPr defaultColWidth="7.625" defaultRowHeight="12"/>
  <cols>
    <col min="1" max="1" width="1.25" style="8" customWidth="1"/>
    <col min="2" max="2" width="52.875" style="8" bestFit="1" customWidth="1"/>
    <col min="3" max="3" width="10" style="8" bestFit="1" customWidth="1"/>
    <col min="4" max="4" width="9.125" style="8" bestFit="1" customWidth="1"/>
    <col min="5" max="5" width="9.75" style="8" customWidth="1"/>
    <col min="6" max="6" width="8.75" style="8" bestFit="1" customWidth="1"/>
    <col min="7" max="7" width="9.75" style="8" bestFit="1" customWidth="1"/>
    <col min="8" max="16384" width="7.625" style="8"/>
  </cols>
  <sheetData>
    <row r="2" spans="1:5">
      <c r="B2" s="1" t="str">
        <f>'Historical Financials'!B2</f>
        <v>Klarna Group plc (KLAR)</v>
      </c>
      <c r="C2" s="6"/>
      <c r="D2" s="6"/>
      <c r="E2" s="6"/>
    </row>
    <row r="3" spans="1:5">
      <c r="B3" s="6" t="s">
        <v>281</v>
      </c>
      <c r="C3" s="6"/>
      <c r="D3" s="6"/>
      <c r="E3" s="6"/>
    </row>
    <row r="4" spans="1:5">
      <c r="B4" s="6" t="s">
        <v>412</v>
      </c>
      <c r="C4" s="6"/>
      <c r="D4" s="6"/>
      <c r="E4" s="6"/>
    </row>
    <row r="5" spans="1:5" ht="5.0999999999999996" customHeight="1"/>
    <row r="6" spans="1:5">
      <c r="B6" s="418" t="s">
        <v>282</v>
      </c>
      <c r="C6" s="419"/>
      <c r="D6" s="419"/>
      <c r="E6" s="420">
        <f>DCF!H7</f>
        <v>0</v>
      </c>
    </row>
    <row r="7" spans="1:5" ht="5.0999999999999996" customHeight="1"/>
    <row r="8" spans="1:5">
      <c r="B8" s="38"/>
    </row>
    <row r="9" spans="1:5">
      <c r="A9" s="8" t="s">
        <v>19</v>
      </c>
      <c r="B9" s="422" t="s">
        <v>283</v>
      </c>
      <c r="C9" s="421" t="s">
        <v>284</v>
      </c>
      <c r="D9" s="421" t="s">
        <v>285</v>
      </c>
      <c r="E9" s="421" t="s">
        <v>286</v>
      </c>
    </row>
    <row r="10" spans="1:5">
      <c r="B10" s="423" t="s">
        <v>421</v>
      </c>
      <c r="C10" s="412" t="s">
        <v>287</v>
      </c>
      <c r="D10" s="412" t="s">
        <v>288</v>
      </c>
      <c r="E10" s="412" t="s">
        <v>287</v>
      </c>
    </row>
    <row r="11" spans="1:5" ht="5.0999999999999996" customHeight="1">
      <c r="B11" s="51"/>
      <c r="C11" s="424"/>
      <c r="D11" s="425"/>
      <c r="E11" s="425"/>
    </row>
    <row r="12" spans="1:5">
      <c r="B12" s="8" t="s">
        <v>289</v>
      </c>
      <c r="C12" s="204"/>
      <c r="D12" s="232"/>
      <c r="E12" s="206">
        <f>IF(D12&lt;=$E$6,C12,0)</f>
        <v>0</v>
      </c>
    </row>
    <row r="13" spans="1:5">
      <c r="B13" s="8" t="s">
        <v>290</v>
      </c>
      <c r="C13" s="204"/>
      <c r="D13" s="232"/>
      <c r="E13" s="206">
        <f t="shared" ref="E13:E18" si="0">IF(D13&lt;=$E$6,C13,0)</f>
        <v>0</v>
      </c>
    </row>
    <row r="14" spans="1:5">
      <c r="B14" s="8" t="s">
        <v>291</v>
      </c>
      <c r="C14" s="204"/>
      <c r="D14" s="232"/>
      <c r="E14" s="206">
        <f t="shared" si="0"/>
        <v>0</v>
      </c>
    </row>
    <row r="15" spans="1:5">
      <c r="B15" s="8" t="s">
        <v>292</v>
      </c>
      <c r="C15" s="204"/>
      <c r="D15" s="232"/>
      <c r="E15" s="206">
        <f t="shared" si="0"/>
        <v>0</v>
      </c>
    </row>
    <row r="16" spans="1:5">
      <c r="B16" s="8" t="s">
        <v>293</v>
      </c>
      <c r="C16" s="204"/>
      <c r="D16" s="232"/>
      <c r="E16" s="206">
        <f t="shared" si="0"/>
        <v>0</v>
      </c>
    </row>
    <row r="17" spans="1:7">
      <c r="B17" s="8" t="s">
        <v>294</v>
      </c>
      <c r="C17" s="204"/>
      <c r="D17" s="232"/>
      <c r="E17" s="206">
        <f t="shared" si="0"/>
        <v>0</v>
      </c>
    </row>
    <row r="18" spans="1:7" ht="14.25">
      <c r="B18" s="8" t="s">
        <v>295</v>
      </c>
      <c r="C18" s="233"/>
      <c r="D18" s="232"/>
      <c r="E18" s="206">
        <f t="shared" si="0"/>
        <v>0</v>
      </c>
    </row>
    <row r="19" spans="1:7">
      <c r="B19" s="415" t="s">
        <v>296</v>
      </c>
      <c r="C19" s="426">
        <f>SUM(C12:C18)</f>
        <v>0</v>
      </c>
      <c r="D19" s="426"/>
      <c r="E19" s="426">
        <f>SUM(E12:E18)</f>
        <v>0</v>
      </c>
    </row>
    <row r="20" spans="1:7" ht="5.0999999999999996" customHeight="1">
      <c r="C20" s="204"/>
      <c r="D20" s="234"/>
      <c r="E20" s="222"/>
    </row>
    <row r="21" spans="1:7">
      <c r="B21" s="106" t="s">
        <v>297</v>
      </c>
      <c r="C21" s="70"/>
      <c r="E21" s="206">
        <f>SUMPRODUCT(D12:D18,E12:E18)</f>
        <v>0</v>
      </c>
    </row>
    <row r="22" spans="1:7" ht="14.25">
      <c r="B22" s="106" t="s">
        <v>298</v>
      </c>
      <c r="E22" s="235" t="e">
        <f>-(E21/E6)</f>
        <v>#DIV/0!</v>
      </c>
    </row>
    <row r="23" spans="1:7">
      <c r="B23" s="415" t="s">
        <v>299</v>
      </c>
      <c r="C23" s="426"/>
      <c r="D23" s="426"/>
      <c r="E23" s="426" t="e">
        <f>E19+E22</f>
        <v>#DIV/0!</v>
      </c>
    </row>
    <row r="24" spans="1:7">
      <c r="B24" s="38"/>
      <c r="C24" s="38"/>
      <c r="D24" s="38"/>
      <c r="E24" s="230"/>
    </row>
    <row r="25" spans="1:7">
      <c r="A25" s="8" t="s">
        <v>19</v>
      </c>
      <c r="B25" s="422" t="s">
        <v>300</v>
      </c>
      <c r="C25" s="422"/>
      <c r="D25" s="422"/>
      <c r="E25" s="422"/>
    </row>
    <row r="26" spans="1:7" ht="5.0999999999999996" customHeight="1">
      <c r="E26" s="38"/>
    </row>
    <row r="27" spans="1:7">
      <c r="B27" s="107" t="s">
        <v>301</v>
      </c>
    </row>
    <row r="28" spans="1:7">
      <c r="B28" s="8" t="s">
        <v>302</v>
      </c>
      <c r="E28" s="103"/>
    </row>
    <row r="29" spans="1:7">
      <c r="B29" s="8" t="s">
        <v>303</v>
      </c>
      <c r="E29" s="226"/>
    </row>
    <row r="30" spans="1:7">
      <c r="B30" s="8" t="s">
        <v>304</v>
      </c>
      <c r="E30" s="237" t="e">
        <f>E28/E31</f>
        <v>#DIV/0!</v>
      </c>
    </row>
    <row r="31" spans="1:7">
      <c r="B31" s="8" t="s">
        <v>305</v>
      </c>
      <c r="E31" s="238">
        <f>E29*E28/1000</f>
        <v>0</v>
      </c>
      <c r="G31" s="239"/>
    </row>
    <row r="32" spans="1:7" ht="5.0999999999999996" customHeight="1"/>
    <row r="33" spans="2:7">
      <c r="B33" s="415" t="s">
        <v>306</v>
      </c>
      <c r="C33" s="415"/>
      <c r="D33" s="427"/>
      <c r="E33" s="426" t="e">
        <f>IF(E30&lt;E6,E31,0)</f>
        <v>#DIV/0!</v>
      </c>
    </row>
    <row r="34" spans="2:7">
      <c r="B34" s="98" t="s">
        <v>307</v>
      </c>
      <c r="C34" s="98"/>
      <c r="E34" s="240" t="e">
        <f>IF(E33&gt;0,-E28,0)</f>
        <v>#DIV/0!</v>
      </c>
    </row>
    <row r="35" spans="2:7" ht="5.0999999999999996" customHeight="1"/>
    <row r="36" spans="2:7">
      <c r="B36" s="107" t="s">
        <v>308</v>
      </c>
    </row>
    <row r="37" spans="2:7">
      <c r="B37" s="8" t="s">
        <v>309</v>
      </c>
      <c r="E37" s="103"/>
    </row>
    <row r="38" spans="2:7">
      <c r="B38" s="8" t="s">
        <v>310</v>
      </c>
      <c r="E38" s="204"/>
    </row>
    <row r="39" spans="2:7">
      <c r="B39" s="8" t="s">
        <v>311</v>
      </c>
      <c r="E39" s="226"/>
    </row>
    <row r="40" spans="2:7">
      <c r="B40" s="8" t="s">
        <v>305</v>
      </c>
      <c r="E40" s="206">
        <f>E38*E39</f>
        <v>0</v>
      </c>
      <c r="G40" s="239"/>
    </row>
    <row r="41" spans="2:7">
      <c r="B41" s="8" t="s">
        <v>304</v>
      </c>
      <c r="E41" s="241" t="e">
        <f>E37/E40</f>
        <v>#DIV/0!</v>
      </c>
    </row>
    <row r="42" spans="2:7" ht="5.0999999999999996" customHeight="1">
      <c r="E42" s="241"/>
    </row>
    <row r="43" spans="2:7">
      <c r="B43" s="415" t="s">
        <v>306</v>
      </c>
      <c r="C43" s="415"/>
      <c r="D43" s="427"/>
      <c r="E43" s="426" t="e">
        <f>IF(E41&lt;E6,E40,0)</f>
        <v>#DIV/0!</v>
      </c>
    </row>
    <row r="44" spans="2:7">
      <c r="B44" s="98" t="s">
        <v>307</v>
      </c>
      <c r="E44" s="104" t="e">
        <f>IF(E43&gt;0,-E37,0)</f>
        <v>#DIV/0!</v>
      </c>
    </row>
  </sheetData>
  <pageMargins left="0.7" right="0.7" top="0.75" bottom="0.75" header="0.3" footer="0.3"/>
  <ignoredErrors>
    <ignoredError sqref="E22:E44" evalError="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E1BCF-328F-49A3-BB6D-CBB452391CB1}">
  <dimension ref="A2:J185"/>
  <sheetViews>
    <sheetView showGridLines="0" zoomScale="145" zoomScaleNormal="145" workbookViewId="0">
      <selection activeCell="B2" sqref="B2"/>
    </sheetView>
  </sheetViews>
  <sheetFormatPr defaultRowHeight="12"/>
  <cols>
    <col min="1" max="1" width="1.625" style="8" customWidth="1"/>
    <col min="2" max="2" width="20.75" style="8" bestFit="1" customWidth="1"/>
    <col min="3" max="3" width="7.875" style="8" bestFit="1" customWidth="1"/>
    <col min="4" max="4" width="8" style="8" bestFit="1" customWidth="1"/>
    <col min="5" max="8" width="7.875" style="8" bestFit="1" customWidth="1"/>
    <col min="9" max="9" width="1.625" style="8" customWidth="1"/>
    <col min="10" max="16384" width="9" style="8"/>
  </cols>
  <sheetData>
    <row r="2" spans="1:10">
      <c r="B2" s="522" t="str">
        <f>'Historical Financials'!B2</f>
        <v>Klarna Group plc (KLAR)</v>
      </c>
      <c r="C2" s="2" t="s">
        <v>157</v>
      </c>
      <c r="D2" s="512"/>
      <c r="E2" s="512"/>
      <c r="F2" s="512"/>
      <c r="G2" s="512"/>
      <c r="H2" s="2"/>
      <c r="I2" s="345"/>
      <c r="J2" s="2" t="s">
        <v>559</v>
      </c>
    </row>
    <row r="3" spans="1:10">
      <c r="B3" s="523" t="s">
        <v>560</v>
      </c>
      <c r="C3" s="514">
        <v>2025</v>
      </c>
      <c r="D3" s="514">
        <v>2026</v>
      </c>
      <c r="E3" s="514">
        <v>2027</v>
      </c>
      <c r="F3" s="514">
        <v>2028</v>
      </c>
      <c r="G3" s="514">
        <v>2029</v>
      </c>
      <c r="H3" s="514">
        <v>2030</v>
      </c>
      <c r="I3" s="345"/>
      <c r="J3" s="345" t="s">
        <v>562</v>
      </c>
    </row>
    <row r="4" spans="1:10">
      <c r="B4" s="523" t="s">
        <v>398</v>
      </c>
      <c r="C4" s="515">
        <v>45930</v>
      </c>
      <c r="D4" s="515">
        <v>46295</v>
      </c>
      <c r="E4" s="515">
        <v>46660</v>
      </c>
      <c r="F4" s="515">
        <v>47026</v>
      </c>
      <c r="G4" s="515">
        <v>47391</v>
      </c>
      <c r="H4" s="515">
        <v>47756</v>
      </c>
      <c r="I4" s="3"/>
      <c r="J4" s="3">
        <f>H4</f>
        <v>47756</v>
      </c>
    </row>
    <row r="5" spans="1:10" ht="5.0999999999999996" customHeight="1"/>
    <row r="6" spans="1:10">
      <c r="A6" s="8" t="s">
        <v>19</v>
      </c>
      <c r="B6" s="522" t="s">
        <v>582</v>
      </c>
      <c r="C6" s="522"/>
      <c r="D6" s="522"/>
      <c r="E6" s="522"/>
      <c r="F6" s="522"/>
      <c r="G6" s="522"/>
      <c r="H6" s="522"/>
      <c r="I6" s="522"/>
      <c r="J6" s="522"/>
    </row>
    <row r="7" spans="1:10" ht="5.0999999999999996" customHeight="1"/>
    <row r="8" spans="1:10">
      <c r="B8" s="524" t="s">
        <v>9</v>
      </c>
    </row>
    <row r="9" spans="1:10">
      <c r="B9" s="8" t="s">
        <v>573</v>
      </c>
      <c r="C9" s="529">
        <v>392268</v>
      </c>
      <c r="D9" s="529">
        <v>436585</v>
      </c>
      <c r="E9" s="529">
        <v>480338</v>
      </c>
      <c r="F9" s="529">
        <v>538306</v>
      </c>
      <c r="G9" s="529">
        <v>588380</v>
      </c>
      <c r="H9" s="529">
        <v>645069</v>
      </c>
      <c r="J9" s="519">
        <f>((H9/C9)^(1/COUNT(D9:H9))-1)</f>
        <v>0.10459903142793725</v>
      </c>
    </row>
    <row r="10" spans="1:10">
      <c r="B10" s="527" t="s">
        <v>571</v>
      </c>
      <c r="C10" s="530">
        <v>0.12</v>
      </c>
      <c r="D10" s="531">
        <f>SUM(D9/C9)-1</f>
        <v>0.11297633250736738</v>
      </c>
      <c r="E10" s="531">
        <f>SUM(E9/D9)-1</f>
        <v>0.10021645269535151</v>
      </c>
      <c r="F10" s="531">
        <f>SUM(F9/E9)-1</f>
        <v>0.12068168664565371</v>
      </c>
      <c r="G10" s="531">
        <f>SUM(G9/F9)-1</f>
        <v>9.3021441336340382E-2</v>
      </c>
      <c r="H10" s="531">
        <f>SUM(H9/G9)-1</f>
        <v>9.6347598490771347E-2</v>
      </c>
    </row>
    <row r="11" spans="1:10" ht="5.0999999999999996" customHeight="1"/>
    <row r="12" spans="1:10">
      <c r="B12" s="8" t="s">
        <v>569</v>
      </c>
      <c r="C12" s="529">
        <v>399831</v>
      </c>
      <c r="D12" s="529">
        <v>453850</v>
      </c>
      <c r="E12" s="529">
        <v>511170</v>
      </c>
      <c r="F12" s="532">
        <f>E12</f>
        <v>511170</v>
      </c>
      <c r="G12" s="532">
        <f>F12</f>
        <v>511170</v>
      </c>
      <c r="H12" s="532">
        <f>G12</f>
        <v>511170</v>
      </c>
      <c r="J12" s="519">
        <f>((H12/C12)^(1/COUNT(D12:H12))-1)</f>
        <v>5.0359043188543229E-2</v>
      </c>
    </row>
    <row r="13" spans="1:10">
      <c r="B13" s="527" t="s">
        <v>571</v>
      </c>
      <c r="C13" s="526"/>
      <c r="D13" s="531">
        <f>SUM(D12/C12)-1</f>
        <v>0.13510458168576234</v>
      </c>
      <c r="E13" s="531">
        <f>SUM(E12/D12)-1</f>
        <v>0.12629723476919685</v>
      </c>
      <c r="F13" s="531">
        <f>SUM(F12/E12)-1</f>
        <v>0</v>
      </c>
      <c r="G13" s="531">
        <f>SUM(G12/F12)-1</f>
        <v>0</v>
      </c>
      <c r="H13" s="531">
        <f>SUM(H12/G12)-1</f>
        <v>0</v>
      </c>
    </row>
    <row r="14" spans="1:10" ht="5.0999999999999996" customHeight="1"/>
    <row r="15" spans="1:10">
      <c r="B15" s="8" t="s">
        <v>566</v>
      </c>
      <c r="C15" s="529">
        <v>340967</v>
      </c>
      <c r="D15" s="529">
        <v>397318</v>
      </c>
      <c r="E15" s="529">
        <v>456109</v>
      </c>
      <c r="F15" s="532">
        <f>E15</f>
        <v>456109</v>
      </c>
      <c r="G15" s="532">
        <f>F15</f>
        <v>456109</v>
      </c>
      <c r="H15" s="532">
        <f>G15</f>
        <v>456109</v>
      </c>
      <c r="J15" s="519">
        <f>((H15/C15)^(1/COUNT(D15:H15))-1)</f>
        <v>5.9915537691517029E-2</v>
      </c>
    </row>
    <row r="16" spans="1:10">
      <c r="B16" s="527" t="s">
        <v>571</v>
      </c>
      <c r="C16" s="526"/>
      <c r="D16" s="531">
        <f>SUM(D15/C15)-1</f>
        <v>0.16526819310959717</v>
      </c>
      <c r="E16" s="531">
        <f>SUM(E15/D15)-1</f>
        <v>0.14796963641214345</v>
      </c>
      <c r="F16" s="531">
        <f>SUM(F15/E15)-1</f>
        <v>0</v>
      </c>
      <c r="G16" s="531">
        <f>SUM(G15/F15)-1</f>
        <v>0</v>
      </c>
      <c r="H16" s="531">
        <f>SUM(H15/G15)-1</f>
        <v>0</v>
      </c>
    </row>
    <row r="17" spans="1:10" ht="5.0999999999999996" customHeight="1"/>
    <row r="18" spans="1:10">
      <c r="B18" s="8" t="s">
        <v>577</v>
      </c>
      <c r="C18" s="529">
        <v>400013.8</v>
      </c>
      <c r="D18" s="529">
        <v>455990.6</v>
      </c>
      <c r="E18" s="532">
        <f>D18</f>
        <v>455990.6</v>
      </c>
      <c r="F18" s="532">
        <f>E18</f>
        <v>455990.6</v>
      </c>
      <c r="G18" s="532">
        <f>F18</f>
        <v>455990.6</v>
      </c>
      <c r="H18" s="532">
        <f>G18</f>
        <v>455990.6</v>
      </c>
      <c r="J18" s="519">
        <f>((H18/C18)^(1/COUNT(D18:H18))-1)</f>
        <v>2.6540724397008608E-2</v>
      </c>
    </row>
    <row r="19" spans="1:10">
      <c r="B19" s="527" t="s">
        <v>571</v>
      </c>
      <c r="C19" s="526"/>
      <c r="D19" s="531">
        <f>SUM(D18/C18)-1</f>
        <v>0.13993717216756019</v>
      </c>
      <c r="E19" s="531">
        <f>SUM(E18/D18)-1</f>
        <v>0</v>
      </c>
      <c r="F19" s="531">
        <f>SUM(F18/E18)-1</f>
        <v>0</v>
      </c>
      <c r="G19" s="531">
        <f>SUM(G18/F18)-1</f>
        <v>0</v>
      </c>
      <c r="H19" s="531">
        <f>SUM(H18/G18)-1</f>
        <v>0</v>
      </c>
    </row>
    <row r="21" spans="1:10" ht="5.0999999999999996" customHeight="1"/>
    <row r="22" spans="1:10">
      <c r="A22" s="8" t="s">
        <v>19</v>
      </c>
      <c r="B22" s="522" t="s">
        <v>581</v>
      </c>
      <c r="C22" s="522"/>
      <c r="D22" s="522"/>
      <c r="E22" s="522"/>
      <c r="F22" s="522"/>
      <c r="G22" s="522"/>
      <c r="H22" s="522"/>
      <c r="I22" s="522"/>
      <c r="J22" s="522"/>
    </row>
    <row r="23" spans="1:10" ht="5.0999999999999996" customHeight="1"/>
    <row r="24" spans="1:10">
      <c r="B24" s="524" t="s">
        <v>570</v>
      </c>
    </row>
    <row r="25" spans="1:10">
      <c r="B25" s="8" t="s">
        <v>573</v>
      </c>
      <c r="C25" s="529">
        <v>217892</v>
      </c>
      <c r="D25" s="529">
        <v>234234</v>
      </c>
      <c r="E25" s="529">
        <v>245946</v>
      </c>
      <c r="F25" s="529">
        <v>270541</v>
      </c>
      <c r="G25" s="529">
        <v>284068</v>
      </c>
      <c r="H25" s="529">
        <v>298271</v>
      </c>
      <c r="J25" s="519">
        <f>((H25/C25)^(1/COUNT(D25:H25))-1)</f>
        <v>6.4814481707963445E-2</v>
      </c>
    </row>
    <row r="26" spans="1:10">
      <c r="B26" s="527" t="s">
        <v>571</v>
      </c>
      <c r="C26" s="530">
        <v>0.1</v>
      </c>
      <c r="D26" s="531">
        <f>SUM(D25/C25)-1</f>
        <v>7.5000458942962478E-2</v>
      </c>
      <c r="E26" s="531">
        <f>SUM(E25/D25)-1</f>
        <v>5.0001280770511469E-2</v>
      </c>
      <c r="F26" s="531">
        <f>SUM(F25/E25)-1</f>
        <v>0.10000162637326904</v>
      </c>
      <c r="G26" s="531">
        <f>SUM(G25/F25)-1</f>
        <v>4.9999815185129082E-2</v>
      </c>
      <c r="H26" s="531">
        <f>SUM(H25/G25)-1</f>
        <v>4.9998591886449617E-2</v>
      </c>
    </row>
    <row r="27" spans="1:10" ht="5.0999999999999996" customHeight="1"/>
    <row r="28" spans="1:10">
      <c r="B28" s="8" t="s">
        <v>569</v>
      </c>
      <c r="C28" s="529">
        <v>222548</v>
      </c>
      <c r="D28" s="529">
        <v>246413</v>
      </c>
      <c r="E28" s="529">
        <v>270484</v>
      </c>
      <c r="F28" s="532">
        <f>E28</f>
        <v>270484</v>
      </c>
      <c r="G28" s="532">
        <f>F28</f>
        <v>270484</v>
      </c>
      <c r="H28" s="532">
        <f>G28</f>
        <v>270484</v>
      </c>
      <c r="J28" s="519">
        <f>((H28/C28)^(1/COUNT(D28:H28))-1)</f>
        <v>3.9785069265479311E-2</v>
      </c>
    </row>
    <row r="29" spans="1:10">
      <c r="B29" s="527" t="s">
        <v>571</v>
      </c>
      <c r="C29" s="526"/>
      <c r="D29" s="531">
        <f>SUM(D28/C28)-1</f>
        <v>0.10723529306037349</v>
      </c>
      <c r="E29" s="531">
        <f>SUM(E28/D28)-1</f>
        <v>9.7685592886738837E-2</v>
      </c>
      <c r="F29" s="531">
        <f>SUM(F28/E28)-1</f>
        <v>0</v>
      </c>
      <c r="G29" s="531">
        <f>SUM(G28/F28)-1</f>
        <v>0</v>
      </c>
      <c r="H29" s="531">
        <f>SUM(H28/G28)-1</f>
        <v>0</v>
      </c>
    </row>
    <row r="30" spans="1:10" ht="5.0999999999999996" customHeight="1"/>
    <row r="31" spans="1:10">
      <c r="B31" s="8" t="s">
        <v>566</v>
      </c>
      <c r="C31" s="529">
        <v>222950.58486480196</v>
      </c>
      <c r="D31" s="529">
        <v>249936.41572613319</v>
      </c>
      <c r="E31" s="529">
        <v>276281.11170055071</v>
      </c>
      <c r="F31" s="532">
        <f>E31</f>
        <v>276281.11170055071</v>
      </c>
      <c r="G31" s="532">
        <f>F31</f>
        <v>276281.11170055071</v>
      </c>
      <c r="H31" s="532">
        <f>G31</f>
        <v>276281.11170055071</v>
      </c>
      <c r="J31" s="519">
        <f>((H31/C31)^(1/COUNT(D31:H31))-1)</f>
        <v>4.382697475523667E-2</v>
      </c>
    </row>
    <row r="32" spans="1:10">
      <c r="B32" s="527" t="s">
        <v>571</v>
      </c>
      <c r="C32" s="526"/>
      <c r="D32" s="531">
        <f>SUM(D31/C31)-1</f>
        <v>0.12103951589853668</v>
      </c>
      <c r="E32" s="531">
        <f>SUM(E31/D31)-1</f>
        <v>0.10540559244989978</v>
      </c>
      <c r="F32" s="531">
        <f>SUM(F31/E31)-1</f>
        <v>0</v>
      </c>
      <c r="G32" s="531">
        <f>SUM(G31/F31)-1</f>
        <v>0</v>
      </c>
      <c r="H32" s="531">
        <f>SUM(H31/G31)-1</f>
        <v>0</v>
      </c>
    </row>
    <row r="33" spans="2:10" ht="5.0999999999999996" customHeight="1"/>
    <row r="34" spans="2:10">
      <c r="B34" s="540" t="s">
        <v>587</v>
      </c>
      <c r="C34" s="541">
        <f t="shared" ref="C34:H34" si="0">MEDIAN(C25,C28,C31)</f>
        <v>222548</v>
      </c>
      <c r="D34" s="541">
        <f t="shared" si="0"/>
        <v>246413</v>
      </c>
      <c r="E34" s="541">
        <f t="shared" si="0"/>
        <v>270484</v>
      </c>
      <c r="F34" s="541">
        <f t="shared" si="0"/>
        <v>270541</v>
      </c>
      <c r="G34" s="541">
        <f t="shared" si="0"/>
        <v>276281.11170055071</v>
      </c>
      <c r="H34" s="542">
        <f t="shared" si="0"/>
        <v>276281.11170055071</v>
      </c>
    </row>
    <row r="35" spans="2:10">
      <c r="B35" s="537" t="s">
        <v>588</v>
      </c>
      <c r="C35" s="538">
        <f t="shared" ref="C35:H35" si="1">AVERAGE(C31,C28,C25)</f>
        <v>221130.19495493398</v>
      </c>
      <c r="D35" s="538">
        <f t="shared" si="1"/>
        <v>243527.80524204439</v>
      </c>
      <c r="E35" s="538">
        <f t="shared" si="1"/>
        <v>264237.03723351686</v>
      </c>
      <c r="F35" s="538">
        <f t="shared" si="1"/>
        <v>272435.37056685024</v>
      </c>
      <c r="G35" s="538">
        <f t="shared" si="1"/>
        <v>276944.37056685024</v>
      </c>
      <c r="H35" s="539">
        <f t="shared" si="1"/>
        <v>281678.70390018355</v>
      </c>
    </row>
    <row r="37" spans="2:10">
      <c r="B37" s="524" t="s">
        <v>533</v>
      </c>
    </row>
    <row r="38" spans="2:10">
      <c r="B38" s="8" t="s">
        <v>573</v>
      </c>
      <c r="C38" s="529">
        <v>41569</v>
      </c>
      <c r="D38" s="529">
        <v>47804</v>
      </c>
      <c r="E38" s="529">
        <v>54975</v>
      </c>
      <c r="F38" s="529">
        <v>60473</v>
      </c>
      <c r="G38" s="529">
        <v>66520</v>
      </c>
      <c r="H38" s="529">
        <v>73172</v>
      </c>
      <c r="J38" s="519">
        <f>((H38/C38)^(1/COUNT(D38:H38))-1)</f>
        <v>0.11973452660347017</v>
      </c>
    </row>
    <row r="39" spans="2:10">
      <c r="B39" s="527" t="s">
        <v>571</v>
      </c>
      <c r="C39" s="530">
        <v>0.1</v>
      </c>
      <c r="D39" s="531">
        <f>SUM(D38/C38)-1</f>
        <v>0.14999158026413917</v>
      </c>
      <c r="E39" s="531">
        <f>SUM(E38/D38)-1</f>
        <v>0.15000836750062763</v>
      </c>
      <c r="F39" s="531">
        <f>SUM(F38/E38)-1</f>
        <v>0.10000909504320155</v>
      </c>
      <c r="G39" s="531">
        <f>SUM(G38/F38)-1</f>
        <v>9.9995039108362382E-2</v>
      </c>
      <c r="H39" s="531">
        <f>SUM(H38/G38)-1</f>
        <v>0.10000000000000009</v>
      </c>
    </row>
    <row r="40" spans="2:10" ht="5.0999999999999996" customHeight="1"/>
    <row r="41" spans="2:10">
      <c r="B41" s="8" t="s">
        <v>569</v>
      </c>
      <c r="C41" s="529">
        <v>40824</v>
      </c>
      <c r="D41" s="529">
        <v>45900</v>
      </c>
      <c r="E41" s="529">
        <v>51291</v>
      </c>
      <c r="F41" s="532">
        <f>E41</f>
        <v>51291</v>
      </c>
      <c r="G41" s="532">
        <f>F41</f>
        <v>51291</v>
      </c>
      <c r="H41" s="532">
        <f>G41</f>
        <v>51291</v>
      </c>
      <c r="J41" s="519">
        <f>((H41/C41)^(1/COUNT(D41:H41))-1)</f>
        <v>4.6706984659502293E-2</v>
      </c>
    </row>
    <row r="42" spans="2:10">
      <c r="B42" s="527" t="s">
        <v>571</v>
      </c>
      <c r="C42" s="530"/>
      <c r="D42" s="531">
        <f>SUM(D41/C41)-1</f>
        <v>0.12433862433862441</v>
      </c>
      <c r="E42" s="531">
        <f>SUM(E41/D41)-1</f>
        <v>0.11745098039215685</v>
      </c>
      <c r="F42" s="531">
        <f>SUM(F41/E41)-1</f>
        <v>0</v>
      </c>
      <c r="G42" s="531">
        <f>SUM(G41/F41)-1</f>
        <v>0</v>
      </c>
      <c r="H42" s="531">
        <f>SUM(H41/G41)-1</f>
        <v>0</v>
      </c>
    </row>
    <row r="43" spans="2:10" ht="5.0999999999999996" customHeight="1"/>
    <row r="44" spans="2:10">
      <c r="B44" s="8" t="s">
        <v>566</v>
      </c>
      <c r="C44" s="529">
        <v>40818.49</v>
      </c>
      <c r="D44" s="529">
        <v>46200.823699999994</v>
      </c>
      <c r="E44" s="529">
        <v>51611.192806999999</v>
      </c>
      <c r="F44" s="532">
        <f>E44</f>
        <v>51611.192806999999</v>
      </c>
      <c r="G44" s="532">
        <f>F44</f>
        <v>51611.192806999999</v>
      </c>
      <c r="H44" s="532">
        <f>G44</f>
        <v>51611.192806999999</v>
      </c>
      <c r="J44" s="519">
        <f>((H44/C44)^(1/COUNT(D44:H44))-1)</f>
        <v>4.8038875088015853E-2</v>
      </c>
    </row>
    <row r="45" spans="2:10">
      <c r="B45" s="527" t="s">
        <v>571</v>
      </c>
      <c r="C45" s="526"/>
      <c r="D45" s="531">
        <f>SUM(D44/C44)-1</f>
        <v>0.13186018640081976</v>
      </c>
      <c r="E45" s="531">
        <f>SUM(E44/D44)-1</f>
        <v>0.11710546855466575</v>
      </c>
      <c r="F45" s="531">
        <f>SUM(F44/E44)-1</f>
        <v>0</v>
      </c>
      <c r="G45" s="531">
        <f>SUM(G44/F44)-1</f>
        <v>0</v>
      </c>
      <c r="H45" s="531">
        <f>SUM(H44/G44)-1</f>
        <v>0</v>
      </c>
    </row>
    <row r="46" spans="2:10" ht="5.0999999999999996" customHeight="1"/>
    <row r="47" spans="2:10">
      <c r="B47" s="540" t="s">
        <v>587</v>
      </c>
      <c r="C47" s="541">
        <f t="shared" ref="C47:H47" si="2">MEDIAN(C38,C41,C44)</f>
        <v>40824</v>
      </c>
      <c r="D47" s="541">
        <f t="shared" si="2"/>
        <v>46200.823699999994</v>
      </c>
      <c r="E47" s="541">
        <f t="shared" si="2"/>
        <v>51611.192806999999</v>
      </c>
      <c r="F47" s="541">
        <f t="shared" si="2"/>
        <v>51611.192806999999</v>
      </c>
      <c r="G47" s="541">
        <f t="shared" si="2"/>
        <v>51611.192806999999</v>
      </c>
      <c r="H47" s="542">
        <f t="shared" si="2"/>
        <v>51611.192806999999</v>
      </c>
    </row>
    <row r="48" spans="2:10">
      <c r="B48" s="537" t="s">
        <v>588</v>
      </c>
      <c r="C48" s="538">
        <f t="shared" ref="C48:H48" si="3">AVERAGE(C44,C41,C38)</f>
        <v>41070.496666666666</v>
      </c>
      <c r="D48" s="538">
        <f t="shared" si="3"/>
        <v>46634.941233333338</v>
      </c>
      <c r="E48" s="538">
        <f t="shared" si="3"/>
        <v>52625.730935666674</v>
      </c>
      <c r="F48" s="538">
        <f t="shared" si="3"/>
        <v>54458.397602333338</v>
      </c>
      <c r="G48" s="538">
        <f t="shared" si="3"/>
        <v>56474.064269000002</v>
      </c>
      <c r="H48" s="539">
        <f t="shared" si="3"/>
        <v>58691.397602333338</v>
      </c>
    </row>
    <row r="50" spans="2:10">
      <c r="B50" s="524" t="s">
        <v>572</v>
      </c>
    </row>
    <row r="51" spans="2:10">
      <c r="B51" s="8" t="s">
        <v>573</v>
      </c>
      <c r="C51" s="529">
        <v>29308</v>
      </c>
      <c r="D51" s="529">
        <v>30040</v>
      </c>
      <c r="E51" s="529">
        <v>30791</v>
      </c>
      <c r="F51" s="529">
        <v>31561</v>
      </c>
      <c r="G51" s="529">
        <v>32350</v>
      </c>
      <c r="H51" s="529">
        <v>33159</v>
      </c>
      <c r="J51" s="519">
        <f>((H51/C51)^(1/COUNT(D51:H51))-1)</f>
        <v>2.4998071720021109E-2</v>
      </c>
    </row>
    <row r="52" spans="2:10">
      <c r="B52" s="527" t="s">
        <v>571</v>
      </c>
      <c r="C52" s="530">
        <v>-0.03</v>
      </c>
      <c r="D52" s="531">
        <f>SUM(D51/C51)-1</f>
        <v>2.497611573631775E-2</v>
      </c>
      <c r="E52" s="531">
        <f>SUM(E51/D51)-1</f>
        <v>2.4999999999999911E-2</v>
      </c>
      <c r="F52" s="531">
        <f>SUM(F51/E51)-1</f>
        <v>2.5007307330064066E-2</v>
      </c>
      <c r="G52" s="531">
        <f>SUM(G51/F51)-1</f>
        <v>2.4999207883146912E-2</v>
      </c>
      <c r="H52" s="531">
        <f>SUM(H51/G51)-1</f>
        <v>2.5007727975270511E-2</v>
      </c>
    </row>
    <row r="53" spans="2:10" ht="5.0999999999999996" customHeight="1"/>
    <row r="54" spans="2:10">
      <c r="B54" s="8" t="s">
        <v>569</v>
      </c>
      <c r="C54" s="529">
        <v>29843</v>
      </c>
      <c r="D54" s="529">
        <v>29174</v>
      </c>
      <c r="E54" s="529">
        <v>28591</v>
      </c>
      <c r="F54" s="532">
        <f>E54</f>
        <v>28591</v>
      </c>
      <c r="G54" s="532">
        <f>F54</f>
        <v>28591</v>
      </c>
      <c r="H54" s="532">
        <f>G54</f>
        <v>28591</v>
      </c>
      <c r="J54" s="519">
        <f>((H54/C54)^(1/COUNT(D54:H54))-1)</f>
        <v>-8.5350327201241249E-3</v>
      </c>
    </row>
    <row r="55" spans="2:10">
      <c r="B55" s="527" t="s">
        <v>571</v>
      </c>
      <c r="C55" s="530"/>
      <c r="D55" s="531">
        <f>SUM(D54/C54)-1</f>
        <v>-2.241731729383778E-2</v>
      </c>
      <c r="E55" s="531">
        <f>SUM(E54/D54)-1</f>
        <v>-1.9983546993898704E-2</v>
      </c>
      <c r="F55" s="531">
        <f>SUM(F54/E54)-1</f>
        <v>0</v>
      </c>
      <c r="G55" s="531">
        <f>SUM(G54/F54)-1</f>
        <v>0</v>
      </c>
      <c r="H55" s="531">
        <f>SUM(H54/G54)-1</f>
        <v>0</v>
      </c>
    </row>
    <row r="56" spans="2:10" ht="5.0999999999999996" customHeight="1"/>
    <row r="57" spans="2:10">
      <c r="B57" s="8" t="s">
        <v>566</v>
      </c>
      <c r="C57" s="529">
        <v>29745.690000000002</v>
      </c>
      <c r="D57" s="529">
        <v>29405.674999999999</v>
      </c>
      <c r="E57" s="529">
        <v>29422.535319999999</v>
      </c>
      <c r="F57" s="532">
        <f>E57</f>
        <v>29422.535319999999</v>
      </c>
      <c r="G57" s="532">
        <f>F57</f>
        <v>29422.535319999999</v>
      </c>
      <c r="H57" s="532">
        <f>G57</f>
        <v>29422.535319999999</v>
      </c>
      <c r="J57" s="519">
        <f>((H57/C57)^(1/COUNT(D57:H57))-1)</f>
        <v>-2.1822872085013323E-3</v>
      </c>
    </row>
    <row r="58" spans="2:10">
      <c r="B58" s="527" t="s">
        <v>571</v>
      </c>
      <c r="C58" s="526"/>
      <c r="D58" s="531">
        <f>SUM(D57/C57)-1</f>
        <v>-1.1430731645492243E-2</v>
      </c>
      <c r="E58" s="531">
        <f>SUM(E57/D57)-1</f>
        <v>5.7336959617493299E-4</v>
      </c>
      <c r="F58" s="531">
        <f>SUM(F57/E57)-1</f>
        <v>0</v>
      </c>
      <c r="G58" s="531">
        <f>SUM(G57/F57)-1</f>
        <v>0</v>
      </c>
      <c r="H58" s="531">
        <f>SUM(H57/G57)-1</f>
        <v>0</v>
      </c>
    </row>
    <row r="59" spans="2:10" ht="5.0999999999999996" customHeight="1"/>
    <row r="60" spans="2:10">
      <c r="B60" s="540" t="s">
        <v>587</v>
      </c>
      <c r="C60" s="541">
        <f t="shared" ref="C60:H60" si="4">MEDIAN(C51,C54,C57)</f>
        <v>29745.690000000002</v>
      </c>
      <c r="D60" s="541">
        <f t="shared" si="4"/>
        <v>29405.674999999999</v>
      </c>
      <c r="E60" s="541">
        <f t="shared" si="4"/>
        <v>29422.535319999999</v>
      </c>
      <c r="F60" s="541">
        <f t="shared" si="4"/>
        <v>29422.535319999999</v>
      </c>
      <c r="G60" s="541">
        <f t="shared" si="4"/>
        <v>29422.535319999999</v>
      </c>
      <c r="H60" s="542">
        <f t="shared" si="4"/>
        <v>29422.535319999999</v>
      </c>
    </row>
    <row r="61" spans="2:10">
      <c r="B61" s="537" t="s">
        <v>588</v>
      </c>
      <c r="C61" s="538">
        <f t="shared" ref="C61:H61" si="5">AVERAGE(C57,C54,C51)</f>
        <v>29632.23</v>
      </c>
      <c r="D61" s="538">
        <f t="shared" si="5"/>
        <v>29539.891666666666</v>
      </c>
      <c r="E61" s="538">
        <f t="shared" si="5"/>
        <v>29601.511773333332</v>
      </c>
      <c r="F61" s="538">
        <f t="shared" si="5"/>
        <v>29858.17844</v>
      </c>
      <c r="G61" s="538">
        <f t="shared" si="5"/>
        <v>30121.17844</v>
      </c>
      <c r="H61" s="539">
        <f t="shared" si="5"/>
        <v>30390.845106666664</v>
      </c>
    </row>
    <row r="63" spans="2:10">
      <c r="B63" s="524" t="s">
        <v>574</v>
      </c>
    </row>
    <row r="64" spans="2:10">
      <c r="B64" s="8" t="s">
        <v>573</v>
      </c>
      <c r="C64" s="529">
        <v>45181</v>
      </c>
      <c r="D64" s="529">
        <v>50602</v>
      </c>
      <c r="E64" s="529">
        <v>56675</v>
      </c>
      <c r="F64" s="529">
        <v>63476</v>
      </c>
      <c r="G64" s="529">
        <v>71093</v>
      </c>
      <c r="H64" s="529">
        <v>79624</v>
      </c>
      <c r="J64" s="519">
        <f>((H64/C64)^(1/COUNT(D64:H64))-1)</f>
        <v>0.11999898839996237</v>
      </c>
    </row>
    <row r="65" spans="2:10">
      <c r="B65" s="527" t="s">
        <v>571</v>
      </c>
      <c r="C65" s="530">
        <v>0.12</v>
      </c>
      <c r="D65" s="531">
        <f>SUM(D64/C64)-1</f>
        <v>0.1199840640977401</v>
      </c>
      <c r="E65" s="531">
        <f>SUM(E64/D64)-1</f>
        <v>0.12001501916920287</v>
      </c>
      <c r="F65" s="531">
        <f>SUM(F64/E64)-1</f>
        <v>0.12000000000000011</v>
      </c>
      <c r="G65" s="531">
        <f>SUM(G64/F64)-1</f>
        <v>0.11999810952170908</v>
      </c>
      <c r="H65" s="531">
        <f>SUM(H64/G64)-1</f>
        <v>0.11999774942680719</v>
      </c>
    </row>
    <row r="66" spans="2:10" ht="5.0999999999999996" customHeight="1"/>
    <row r="67" spans="2:10">
      <c r="B67" s="8" t="s">
        <v>569</v>
      </c>
      <c r="C67" s="529">
        <v>47953</v>
      </c>
      <c r="D67" s="529">
        <v>55417</v>
      </c>
      <c r="E67" s="529">
        <v>60959</v>
      </c>
      <c r="F67" s="532">
        <f>E67</f>
        <v>60959</v>
      </c>
      <c r="G67" s="532">
        <f>F67</f>
        <v>60959</v>
      </c>
      <c r="H67" s="532">
        <f>G67</f>
        <v>60959</v>
      </c>
      <c r="J67" s="519">
        <f>((H67/C67)^(1/COUNT(D67:H67))-1)</f>
        <v>4.9166488551483534E-2</v>
      </c>
    </row>
    <row r="68" spans="2:10">
      <c r="B68" s="527" t="s">
        <v>571</v>
      </c>
      <c r="C68" s="526"/>
      <c r="D68" s="531">
        <f>SUM(D67/C67)-1</f>
        <v>0.15565240965111671</v>
      </c>
      <c r="E68" s="531">
        <f>SUM(E67/D67)-1</f>
        <v>0.10000541350127223</v>
      </c>
      <c r="F68" s="531">
        <f>SUM(F67/E67)-1</f>
        <v>0</v>
      </c>
      <c r="G68" s="531">
        <f>SUM(G67/F67)-1</f>
        <v>0</v>
      </c>
      <c r="H68" s="531">
        <f>SUM(H67/G67)-1</f>
        <v>0</v>
      </c>
    </row>
    <row r="69" spans="2:10" ht="5.0999999999999996" customHeight="1"/>
    <row r="70" spans="2:10">
      <c r="B70" s="8" t="s">
        <v>566</v>
      </c>
      <c r="C70" s="529">
        <v>48305.524595185052</v>
      </c>
      <c r="D70" s="529">
        <v>56084.429580378186</v>
      </c>
      <c r="E70" s="529">
        <v>62992.282620713035</v>
      </c>
      <c r="F70" s="532">
        <f>E70</f>
        <v>62992.282620713035</v>
      </c>
      <c r="G70" s="532">
        <f>F70</f>
        <v>62992.282620713035</v>
      </c>
      <c r="H70" s="532">
        <f>G70</f>
        <v>62992.282620713035</v>
      </c>
      <c r="J70" s="519">
        <f>((H70/C70)^(1/COUNT(D70:H70))-1)</f>
        <v>5.4527982825901322E-2</v>
      </c>
    </row>
    <row r="71" spans="2:10">
      <c r="B71" s="527" t="s">
        <v>571</v>
      </c>
      <c r="C71" s="526"/>
      <c r="D71" s="531">
        <f>SUM(D70/C70)-1</f>
        <v>0.16103551406143946</v>
      </c>
      <c r="E71" s="531">
        <f>SUM(E70/D70)-1</f>
        <v>0.12316882050899292</v>
      </c>
      <c r="F71" s="531">
        <f>SUM(F70/E70)-1</f>
        <v>0</v>
      </c>
      <c r="G71" s="531">
        <f>SUM(G70/F70)-1</f>
        <v>0</v>
      </c>
      <c r="H71" s="531">
        <f>SUM(H70/G70)-1</f>
        <v>0</v>
      </c>
    </row>
    <row r="72" spans="2:10" ht="5.0999999999999996" customHeight="1"/>
    <row r="73" spans="2:10">
      <c r="B73" s="540" t="s">
        <v>587</v>
      </c>
      <c r="C73" s="541">
        <f t="shared" ref="C73:H73" si="6">MEDIAN(C64,C67,C70)</f>
        <v>47953</v>
      </c>
      <c r="D73" s="541">
        <f t="shared" si="6"/>
        <v>55417</v>
      </c>
      <c r="E73" s="541">
        <f t="shared" si="6"/>
        <v>60959</v>
      </c>
      <c r="F73" s="541">
        <f t="shared" si="6"/>
        <v>62992.282620713035</v>
      </c>
      <c r="G73" s="541">
        <f t="shared" si="6"/>
        <v>62992.282620713035</v>
      </c>
      <c r="H73" s="542">
        <f t="shared" si="6"/>
        <v>62992.282620713035</v>
      </c>
    </row>
    <row r="74" spans="2:10">
      <c r="B74" s="537" t="s">
        <v>588</v>
      </c>
      <c r="C74" s="538">
        <f t="shared" ref="C74:H74" si="7">AVERAGE(C70,C67,C64)</f>
        <v>47146.508198395022</v>
      </c>
      <c r="D74" s="538">
        <f t="shared" si="7"/>
        <v>54034.476526792721</v>
      </c>
      <c r="E74" s="538">
        <f t="shared" si="7"/>
        <v>60208.760873571009</v>
      </c>
      <c r="F74" s="538">
        <f t="shared" si="7"/>
        <v>62475.760873571009</v>
      </c>
      <c r="G74" s="538">
        <f t="shared" si="7"/>
        <v>65014.760873571009</v>
      </c>
      <c r="H74" s="539">
        <f t="shared" si="7"/>
        <v>67858.427540237681</v>
      </c>
    </row>
    <row r="76" spans="2:10">
      <c r="B76" s="524" t="s">
        <v>575</v>
      </c>
    </row>
    <row r="77" spans="2:10">
      <c r="B77" s="8" t="s">
        <v>573</v>
      </c>
      <c r="C77" s="529">
        <v>56198</v>
      </c>
      <c r="D77" s="529">
        <v>71652</v>
      </c>
      <c r="E77" s="529">
        <v>89565</v>
      </c>
      <c r="F77" s="529">
        <v>109717</v>
      </c>
      <c r="G77" s="529">
        <v>131661</v>
      </c>
      <c r="H77" s="529">
        <v>157993</v>
      </c>
      <c r="J77" s="519">
        <f>((H77/C77)^(1/COUNT(D77:H77))-1)</f>
        <v>0.22965533151339224</v>
      </c>
    </row>
    <row r="78" spans="2:10">
      <c r="B78" s="527" t="s">
        <v>571</v>
      </c>
      <c r="C78" s="530">
        <v>0.3</v>
      </c>
      <c r="D78" s="531">
        <f>SUM(D77/C77)-1</f>
        <v>0.27499199259760143</v>
      </c>
      <c r="E78" s="531">
        <f>SUM(E77/D77)-1</f>
        <v>0.25</v>
      </c>
      <c r="F78" s="531">
        <f>SUM(F77/E77)-1</f>
        <v>0.22499860436554453</v>
      </c>
      <c r="G78" s="531">
        <f>SUM(G77/F77)-1</f>
        <v>0.2000054686147088</v>
      </c>
      <c r="H78" s="531">
        <f>SUM(H77/G77)-1</f>
        <v>0.19999848094728123</v>
      </c>
    </row>
    <row r="79" spans="2:10" ht="5.0999999999999996" customHeight="1"/>
    <row r="80" spans="2:10">
      <c r="B80" s="8" t="s">
        <v>569</v>
      </c>
      <c r="C80" s="529">
        <v>57095</v>
      </c>
      <c r="D80" s="529">
        <v>75074</v>
      </c>
      <c r="E80" s="529">
        <v>97694</v>
      </c>
      <c r="F80" s="532">
        <f>E80</f>
        <v>97694</v>
      </c>
      <c r="G80" s="532">
        <f>F80</f>
        <v>97694</v>
      </c>
      <c r="H80" s="532">
        <f>G80</f>
        <v>97694</v>
      </c>
      <c r="J80" s="519">
        <f>((H80/C80)^(1/COUNT(D80:H80))-1)</f>
        <v>0.11340703975779687</v>
      </c>
    </row>
    <row r="81" spans="2:10">
      <c r="B81" s="527" t="s">
        <v>571</v>
      </c>
      <c r="C81" s="526"/>
      <c r="D81" s="531">
        <f>SUM(D80/C80)-1</f>
        <v>0.31489622558893071</v>
      </c>
      <c r="E81" s="531">
        <f>SUM(E80/D80)-1</f>
        <v>0.3013027146548739</v>
      </c>
      <c r="F81" s="531">
        <f>SUM(F80/E80)-1</f>
        <v>0</v>
      </c>
      <c r="G81" s="531">
        <f>SUM(G80/F80)-1</f>
        <v>0</v>
      </c>
      <c r="H81" s="531">
        <f>SUM(H80/G80)-1</f>
        <v>0</v>
      </c>
    </row>
    <row r="82" spans="2:10" ht="5.0999999999999996" customHeight="1"/>
    <row r="83" spans="2:10">
      <c r="B83" s="8" t="s">
        <v>566</v>
      </c>
      <c r="C83" s="529">
        <v>57223.607187000533</v>
      </c>
      <c r="D83" s="529">
        <v>78192.918351373257</v>
      </c>
      <c r="E83" s="529">
        <v>103268.99297384921</v>
      </c>
      <c r="F83" s="532">
        <f>E83</f>
        <v>103268.99297384921</v>
      </c>
      <c r="G83" s="532">
        <f>F83</f>
        <v>103268.99297384921</v>
      </c>
      <c r="H83" s="532">
        <f>G83</f>
        <v>103268.99297384921</v>
      </c>
      <c r="J83" s="519">
        <f>((H83/C83)^(1/COUNT(D83:H83))-1)</f>
        <v>0.12532752654147261</v>
      </c>
    </row>
    <row r="84" spans="2:10">
      <c r="B84" s="527" t="s">
        <v>571</v>
      </c>
      <c r="C84" s="526"/>
      <c r="D84" s="531">
        <f>SUM(D83/C83)-1</f>
        <v>0.3664451123440593</v>
      </c>
      <c r="E84" s="531">
        <f>SUM(E83/D83)-1</f>
        <v>0.32069495743581689</v>
      </c>
      <c r="F84" s="531">
        <f>SUM(F83/E83)-1</f>
        <v>0</v>
      </c>
      <c r="G84" s="531">
        <f>SUM(G83/F83)-1</f>
        <v>0</v>
      </c>
      <c r="H84" s="531">
        <f>SUM(H83/G83)-1</f>
        <v>0</v>
      </c>
    </row>
    <row r="85" spans="2:10" ht="5.0999999999999996" customHeight="1"/>
    <row r="86" spans="2:10">
      <c r="B86" s="540" t="s">
        <v>587</v>
      </c>
      <c r="C86" s="541">
        <f t="shared" ref="C86:H86" si="8">MEDIAN(C77,C80,C83)</f>
        <v>57095</v>
      </c>
      <c r="D86" s="541">
        <f t="shared" si="8"/>
        <v>75074</v>
      </c>
      <c r="E86" s="541">
        <f t="shared" si="8"/>
        <v>97694</v>
      </c>
      <c r="F86" s="541">
        <f t="shared" si="8"/>
        <v>103268.99297384921</v>
      </c>
      <c r="G86" s="541">
        <f t="shared" si="8"/>
        <v>103268.99297384921</v>
      </c>
      <c r="H86" s="542">
        <f t="shared" si="8"/>
        <v>103268.99297384921</v>
      </c>
    </row>
    <row r="87" spans="2:10">
      <c r="B87" s="537" t="s">
        <v>588</v>
      </c>
      <c r="C87" s="538">
        <f t="shared" ref="C87:H87" si="9">AVERAGE(C83,C80,C77)</f>
        <v>56838.869062333513</v>
      </c>
      <c r="D87" s="538">
        <f t="shared" si="9"/>
        <v>74972.97278379109</v>
      </c>
      <c r="E87" s="538">
        <f t="shared" si="9"/>
        <v>96842.664324616388</v>
      </c>
      <c r="F87" s="538">
        <f t="shared" si="9"/>
        <v>103559.99765794973</v>
      </c>
      <c r="G87" s="538">
        <f t="shared" si="9"/>
        <v>110874.66432461639</v>
      </c>
      <c r="H87" s="539">
        <f t="shared" si="9"/>
        <v>119651.99765794973</v>
      </c>
    </row>
    <row r="89" spans="2:10">
      <c r="B89" s="524" t="s">
        <v>492</v>
      </c>
    </row>
    <row r="90" spans="2:10">
      <c r="B90" s="8" t="s">
        <v>573</v>
      </c>
      <c r="C90" s="529">
        <v>1730</v>
      </c>
      <c r="D90" s="529">
        <v>1817</v>
      </c>
      <c r="E90" s="529">
        <v>1908</v>
      </c>
      <c r="F90" s="529">
        <v>2003</v>
      </c>
      <c r="G90" s="529">
        <v>2103</v>
      </c>
      <c r="H90" s="529">
        <v>2208</v>
      </c>
      <c r="J90" s="519">
        <f>((H90/C90)^(1/COUNT(D90:H90))-1)</f>
        <v>5.0003128806841879E-2</v>
      </c>
    </row>
    <row r="91" spans="2:10">
      <c r="B91" s="527" t="s">
        <v>571</v>
      </c>
      <c r="C91" s="530">
        <v>0.05</v>
      </c>
      <c r="D91" s="531">
        <f>SUM(D90/C90)-1</f>
        <v>5.028901734104041E-2</v>
      </c>
      <c r="E91" s="531">
        <f>SUM(E90/D90)-1</f>
        <v>5.0082553659879014E-2</v>
      </c>
      <c r="F91" s="531">
        <f>SUM(F90/E90)-1</f>
        <v>4.9790356394129986E-2</v>
      </c>
      <c r="G91" s="531">
        <f>SUM(G90/F90)-1</f>
        <v>4.9925112331502763E-2</v>
      </c>
      <c r="H91" s="531">
        <f>SUM(H90/G90)-1</f>
        <v>4.9928673323823114E-2</v>
      </c>
    </row>
    <row r="92" spans="2:10" ht="5.0999999999999996" customHeight="1"/>
    <row r="93" spans="2:10">
      <c r="B93" s="8" t="s">
        <v>577</v>
      </c>
      <c r="C93" s="529">
        <v>1610.5</v>
      </c>
      <c r="D93" s="529">
        <v>1600.2</v>
      </c>
      <c r="E93" s="529">
        <v>1589.6</v>
      </c>
      <c r="F93" s="529">
        <v>1579</v>
      </c>
      <c r="G93" s="529">
        <v>1568.2</v>
      </c>
      <c r="H93" s="529">
        <v>1557.3</v>
      </c>
      <c r="J93" s="519">
        <f>((H93/C93)^(1/COUNT(D93:H93))-1)</f>
        <v>-6.6957106165597136E-3</v>
      </c>
    </row>
    <row r="94" spans="2:10">
      <c r="B94" s="527" t="s">
        <v>571</v>
      </c>
      <c r="C94" s="530"/>
      <c r="D94" s="531">
        <f>SUM(D93/C93)-1</f>
        <v>-6.3955293387146783E-3</v>
      </c>
      <c r="E94" s="531">
        <f>SUM(E93/D93)-1</f>
        <v>-6.6241719785027353E-3</v>
      </c>
      <c r="F94" s="531">
        <f>SUM(F93/E93)-1</f>
        <v>-6.6683442375440327E-3</v>
      </c>
      <c r="G94" s="531">
        <f>SUM(G93/F93)-1</f>
        <v>-6.8397720075996649E-3</v>
      </c>
      <c r="H94" s="531">
        <f>SUM(H93/G93)-1</f>
        <v>-6.9506440505038292E-3</v>
      </c>
    </row>
    <row r="95" spans="2:10" ht="5.0999999999999996" customHeight="1"/>
    <row r="96" spans="2:10">
      <c r="B96" s="8" t="s">
        <v>566</v>
      </c>
      <c r="C96" s="529">
        <v>1607</v>
      </c>
      <c r="D96" s="529">
        <v>1862.19</v>
      </c>
      <c r="E96" s="529">
        <v>2169.5895</v>
      </c>
      <c r="F96" s="532">
        <f>E96</f>
        <v>2169.5895</v>
      </c>
      <c r="G96" s="532">
        <f>F96</f>
        <v>2169.5895</v>
      </c>
      <c r="H96" s="532">
        <f>G96</f>
        <v>2169.5895</v>
      </c>
      <c r="J96" s="519">
        <f>((H96/C96)^(1/COUNT(D96:H96))-1)</f>
        <v>6.1872414374643192E-2</v>
      </c>
    </row>
    <row r="97" spans="1:10">
      <c r="B97" s="527" t="s">
        <v>571</v>
      </c>
      <c r="C97" s="526"/>
      <c r="D97" s="531">
        <f>SUM(D96/C96)-1</f>
        <v>0.15879900435594285</v>
      </c>
      <c r="E97" s="531">
        <f>SUM(E96/D96)-1</f>
        <v>0.1650741868445218</v>
      </c>
      <c r="F97" s="531">
        <f>SUM(F96/E96)-1</f>
        <v>0</v>
      </c>
      <c r="G97" s="531">
        <f>SUM(G96/F96)-1</f>
        <v>0</v>
      </c>
      <c r="H97" s="531">
        <f>SUM(H96/G96)-1</f>
        <v>0</v>
      </c>
    </row>
    <row r="98" spans="1:10" ht="5.0999999999999996" customHeight="1"/>
    <row r="99" spans="1:10">
      <c r="B99" s="540" t="s">
        <v>587</v>
      </c>
      <c r="C99" s="541">
        <f t="shared" ref="C99:H99" si="10">MEDIAN(C90,C93,C96)</f>
        <v>1610.5</v>
      </c>
      <c r="D99" s="541">
        <f t="shared" si="10"/>
        <v>1817</v>
      </c>
      <c r="E99" s="541">
        <f t="shared" si="10"/>
        <v>1908</v>
      </c>
      <c r="F99" s="541">
        <f t="shared" si="10"/>
        <v>2003</v>
      </c>
      <c r="G99" s="541">
        <f t="shared" si="10"/>
        <v>2103</v>
      </c>
      <c r="H99" s="542">
        <f t="shared" si="10"/>
        <v>2169.5895</v>
      </c>
    </row>
    <row r="100" spans="1:10">
      <c r="B100" s="537" t="s">
        <v>588</v>
      </c>
      <c r="C100" s="538">
        <f t="shared" ref="C100:H100" si="11">AVERAGE(C96,C93,C90)</f>
        <v>1649.1666666666667</v>
      </c>
      <c r="D100" s="538">
        <f t="shared" si="11"/>
        <v>1759.7966666666669</v>
      </c>
      <c r="E100" s="538">
        <f t="shared" si="11"/>
        <v>1889.0631666666668</v>
      </c>
      <c r="F100" s="538">
        <f t="shared" si="11"/>
        <v>1917.1965</v>
      </c>
      <c r="G100" s="538">
        <f t="shared" si="11"/>
        <v>1946.9298333333334</v>
      </c>
      <c r="H100" s="539">
        <f t="shared" si="11"/>
        <v>1978.2965000000002</v>
      </c>
    </row>
    <row r="102" spans="1:10">
      <c r="A102" s="8" t="s">
        <v>19</v>
      </c>
      <c r="B102" s="522" t="s">
        <v>576</v>
      </c>
      <c r="C102" s="522"/>
      <c r="D102" s="522"/>
      <c r="E102" s="522"/>
      <c r="F102" s="522"/>
      <c r="G102" s="522"/>
      <c r="H102" s="522"/>
    </row>
    <row r="103" spans="1:10" ht="5.0999999999999996" customHeight="1"/>
    <row r="104" spans="1:10">
      <c r="B104" s="524" t="s">
        <v>423</v>
      </c>
    </row>
    <row r="105" spans="1:10" ht="5.0999999999999996" customHeight="1"/>
    <row r="106" spans="1:10">
      <c r="B106" s="8" t="s">
        <v>577</v>
      </c>
      <c r="C106" s="529">
        <v>45436.6</v>
      </c>
      <c r="D106" s="529">
        <v>53887.6</v>
      </c>
      <c r="E106" s="529">
        <v>62705.599999999999</v>
      </c>
      <c r="F106" s="529">
        <v>71916.399999999994</v>
      </c>
      <c r="G106" s="529">
        <v>81854.3</v>
      </c>
      <c r="H106" s="529">
        <v>91326</v>
      </c>
      <c r="J106" s="519">
        <f>((H106/C106)^(1/COUNT(D106:H106))-1)</f>
        <v>0.14984081950312755</v>
      </c>
    </row>
    <row r="107" spans="1:10">
      <c r="B107" s="527" t="s">
        <v>413</v>
      </c>
      <c r="C107" s="528">
        <f>C106/C12</f>
        <v>0.11363951269411326</v>
      </c>
      <c r="D107" s="531">
        <f>SUM(D106/C106)-1</f>
        <v>0.18599543099615734</v>
      </c>
      <c r="E107" s="531">
        <f>SUM(E106/D106)-1</f>
        <v>0.16363690348057802</v>
      </c>
      <c r="F107" s="531">
        <f>SUM(F106/E106)-1</f>
        <v>0.14688959199816276</v>
      </c>
      <c r="G107" s="531">
        <f>SUM(G106/F106)-1</f>
        <v>0.13818683916325081</v>
      </c>
      <c r="H107" s="531">
        <f>SUM(H106/G106)-1</f>
        <v>0.11571414085759701</v>
      </c>
    </row>
    <row r="108" spans="1:10" ht="5.0999999999999996" customHeight="1"/>
    <row r="109" spans="1:10">
      <c r="B109" s="8" t="s">
        <v>566</v>
      </c>
      <c r="C109" s="529">
        <v>58498.701291563615</v>
      </c>
      <c r="D109" s="529">
        <v>71087.142410586719</v>
      </c>
      <c r="E109" s="529">
        <v>85430.791385352772</v>
      </c>
      <c r="F109" s="532">
        <f>E109</f>
        <v>85430.791385352772</v>
      </c>
      <c r="G109" s="532">
        <f>F109</f>
        <v>85430.791385352772</v>
      </c>
      <c r="H109" s="532">
        <f>G109</f>
        <v>85430.791385352772</v>
      </c>
      <c r="J109" s="519">
        <f>((H109/C109)^(1/COUNT(D109:H109))-1)</f>
        <v>7.8682519771555715E-2</v>
      </c>
    </row>
    <row r="110" spans="1:10">
      <c r="B110" s="527" t="s">
        <v>413</v>
      </c>
      <c r="C110" s="528">
        <f t="shared" ref="C110:H110" si="12">C109/C15</f>
        <v>0.17156704693288094</v>
      </c>
      <c r="D110" s="528">
        <f t="shared" si="12"/>
        <v>0.17891749784954802</v>
      </c>
      <c r="E110" s="528">
        <f t="shared" si="12"/>
        <v>0.18730345462455855</v>
      </c>
      <c r="F110" s="528">
        <f t="shared" si="12"/>
        <v>0.18730345462455855</v>
      </c>
      <c r="G110" s="528">
        <f t="shared" si="12"/>
        <v>0.18730345462455855</v>
      </c>
      <c r="H110" s="528">
        <f t="shared" si="12"/>
        <v>0.18730345462455855</v>
      </c>
    </row>
    <row r="112" spans="1:10">
      <c r="B112" s="524" t="s">
        <v>456</v>
      </c>
    </row>
    <row r="113" spans="1:10" ht="5.0999999999999996" customHeight="1"/>
    <row r="114" spans="1:10">
      <c r="B114" s="8" t="s">
        <v>577</v>
      </c>
      <c r="C114" s="529">
        <v>25366.1</v>
      </c>
      <c r="D114" s="529">
        <v>27423</v>
      </c>
      <c r="E114" s="529">
        <v>30107.8</v>
      </c>
      <c r="F114" s="529">
        <v>32586.799999999999</v>
      </c>
      <c r="G114" s="529">
        <v>35177.800000000003</v>
      </c>
      <c r="H114" s="529">
        <v>37566.300000000003</v>
      </c>
      <c r="J114" s="519">
        <f>((H114/C114)^(1/COUNT(D114:H114))-1)</f>
        <v>8.1705267180309349E-2</v>
      </c>
    </row>
    <row r="115" spans="1:10">
      <c r="B115" s="527" t="s">
        <v>413</v>
      </c>
      <c r="C115" s="526"/>
      <c r="D115" s="531">
        <f>SUM(D114/C114)-1</f>
        <v>8.1088539428607609E-2</v>
      </c>
      <c r="E115" s="531">
        <f>SUM(E114/D114)-1</f>
        <v>9.7903219924880602E-2</v>
      </c>
      <c r="F115" s="531">
        <f>SUM(F114/E114)-1</f>
        <v>8.2337467367260331E-2</v>
      </c>
      <c r="G115" s="531">
        <f>SUM(G114/F114)-1</f>
        <v>7.9510722132888345E-2</v>
      </c>
      <c r="H115" s="531">
        <f>SUM(H114/G114)-1</f>
        <v>6.7897935629857464E-2</v>
      </c>
    </row>
    <row r="116" spans="1:10" ht="5.0999999999999996" customHeight="1"/>
    <row r="117" spans="1:10">
      <c r="B117" s="8" t="s">
        <v>566</v>
      </c>
      <c r="C117" s="529">
        <v>27942.38</v>
      </c>
      <c r="D117" s="529">
        <v>29125.601380557528</v>
      </c>
      <c r="E117" s="529">
        <v>31452.646921792162</v>
      </c>
      <c r="F117" s="532">
        <f>E117</f>
        <v>31452.646921792162</v>
      </c>
      <c r="G117" s="532">
        <f>F117</f>
        <v>31452.646921792162</v>
      </c>
      <c r="H117" s="532">
        <f>G117</f>
        <v>31452.646921792162</v>
      </c>
      <c r="J117" s="519">
        <f>((H117/C117)^(1/COUNT(D117:H117))-1)</f>
        <v>2.3950025235067729E-2</v>
      </c>
    </row>
    <row r="118" spans="1:10">
      <c r="B118" s="527" t="s">
        <v>413</v>
      </c>
      <c r="C118" s="528">
        <f t="shared" ref="C118:H118" si="13">C117/C15</f>
        <v>8.1950394026401391E-2</v>
      </c>
      <c r="D118" s="528">
        <f t="shared" si="13"/>
        <v>7.3305516942493237E-2</v>
      </c>
      <c r="E118" s="528">
        <f t="shared" si="13"/>
        <v>6.8958619369037147E-2</v>
      </c>
      <c r="F118" s="528">
        <f t="shared" si="13"/>
        <v>6.8958619369037147E-2</v>
      </c>
      <c r="G118" s="528">
        <f t="shared" si="13"/>
        <v>6.8958619369037147E-2</v>
      </c>
      <c r="H118" s="528">
        <f t="shared" si="13"/>
        <v>6.8958619369037147E-2</v>
      </c>
    </row>
    <row r="120" spans="1:10">
      <c r="B120" s="524" t="s">
        <v>457</v>
      </c>
    </row>
    <row r="121" spans="1:10" ht="5.0999999999999996" customHeight="1"/>
    <row r="122" spans="1:10">
      <c r="B122" s="8" t="s">
        <v>577</v>
      </c>
      <c r="C122" s="529">
        <v>16919.099999999999</v>
      </c>
      <c r="D122" s="529">
        <v>14275.9</v>
      </c>
      <c r="E122" s="529">
        <v>15893.4</v>
      </c>
      <c r="F122" s="529">
        <v>17581.7</v>
      </c>
      <c r="G122" s="529">
        <v>19293.7</v>
      </c>
      <c r="H122" s="529">
        <v>20971.8</v>
      </c>
      <c r="J122" s="519">
        <f>((H122/C122)^(1/COUNT(D122:H122))-1)</f>
        <v>4.3882675517841641E-2</v>
      </c>
    </row>
    <row r="123" spans="1:10">
      <c r="B123" s="527" t="s">
        <v>413</v>
      </c>
      <c r="C123" s="528"/>
      <c r="D123" s="531"/>
      <c r="E123" s="531"/>
      <c r="F123" s="531"/>
      <c r="G123" s="531"/>
      <c r="H123" s="531"/>
    </row>
    <row r="124" spans="1:10" ht="5.0999999999999996" customHeight="1"/>
    <row r="125" spans="1:10">
      <c r="B125" s="8" t="s">
        <v>566</v>
      </c>
      <c r="C125" s="529">
        <v>20724.66</v>
      </c>
      <c r="D125" s="529">
        <v>16678.188687061505</v>
      </c>
      <c r="E125" s="529">
        <v>18143.680476645044</v>
      </c>
      <c r="F125" s="532">
        <f>E125</f>
        <v>18143.680476645044</v>
      </c>
      <c r="G125" s="532">
        <f>F125</f>
        <v>18143.680476645044</v>
      </c>
      <c r="H125" s="532">
        <f>G125</f>
        <v>18143.680476645044</v>
      </c>
      <c r="J125" s="519">
        <f>((H125/C125)^(1/COUNT(D125:H125))-1)</f>
        <v>-2.6249721432910489E-2</v>
      </c>
    </row>
    <row r="126" spans="1:10">
      <c r="B126" s="527" t="s">
        <v>413</v>
      </c>
      <c r="C126" s="528">
        <f t="shared" ref="C126:H126" si="14">C125/C15</f>
        <v>6.0782011162370551E-2</v>
      </c>
      <c r="D126" s="528">
        <f t="shared" si="14"/>
        <v>4.1976927013277793E-2</v>
      </c>
      <c r="E126" s="528">
        <f t="shared" si="14"/>
        <v>3.977926433515902E-2</v>
      </c>
      <c r="F126" s="528">
        <f t="shared" si="14"/>
        <v>3.977926433515902E-2</v>
      </c>
      <c r="G126" s="528">
        <f t="shared" si="14"/>
        <v>3.977926433515902E-2</v>
      </c>
      <c r="H126" s="528">
        <f t="shared" si="14"/>
        <v>3.977926433515902E-2</v>
      </c>
    </row>
    <row r="128" spans="1:10">
      <c r="A128" s="8" t="s">
        <v>19</v>
      </c>
      <c r="B128" s="522" t="s">
        <v>578</v>
      </c>
      <c r="C128" s="522"/>
      <c r="D128" s="522"/>
      <c r="E128" s="522"/>
      <c r="F128" s="522"/>
      <c r="G128" s="522"/>
      <c r="H128" s="522"/>
      <c r="I128" s="522"/>
      <c r="J128" s="522"/>
    </row>
    <row r="129" spans="2:10" ht="5.0999999999999996" customHeight="1"/>
    <row r="130" spans="2:10">
      <c r="B130" s="524" t="s">
        <v>567</v>
      </c>
    </row>
    <row r="131" spans="2:10">
      <c r="B131" s="8" t="s">
        <v>573</v>
      </c>
      <c r="C131" s="533">
        <v>0.17</v>
      </c>
      <c r="D131" s="533">
        <v>0.17</v>
      </c>
      <c r="E131" s="533">
        <v>0.17</v>
      </c>
      <c r="F131" s="535">
        <f t="shared" ref="F131:H133" si="15">E131</f>
        <v>0.17</v>
      </c>
      <c r="G131" s="535">
        <f t="shared" si="15"/>
        <v>0.17</v>
      </c>
      <c r="H131" s="535">
        <f t="shared" si="15"/>
        <v>0.17</v>
      </c>
    </row>
    <row r="132" spans="2:10">
      <c r="B132" s="8" t="s">
        <v>569</v>
      </c>
      <c r="C132" s="533">
        <v>0.189</v>
      </c>
      <c r="D132" s="533">
        <v>0.17</v>
      </c>
      <c r="E132" s="533">
        <v>0.17499999999999999</v>
      </c>
      <c r="F132" s="535">
        <f t="shared" si="15"/>
        <v>0.17499999999999999</v>
      </c>
      <c r="G132" s="535">
        <f t="shared" si="15"/>
        <v>0.17499999999999999</v>
      </c>
      <c r="H132" s="535">
        <f t="shared" si="15"/>
        <v>0.17499999999999999</v>
      </c>
    </row>
    <row r="133" spans="2:10">
      <c r="B133" s="8" t="s">
        <v>566</v>
      </c>
      <c r="C133" s="533">
        <v>0.18099999999999999</v>
      </c>
      <c r="D133" s="533">
        <v>0.16600000000000001</v>
      </c>
      <c r="E133" s="533">
        <v>0.16600000000000001</v>
      </c>
      <c r="F133" s="535">
        <f t="shared" si="15"/>
        <v>0.16600000000000001</v>
      </c>
      <c r="G133" s="535">
        <f t="shared" si="15"/>
        <v>0.16600000000000001</v>
      </c>
      <c r="H133" s="535">
        <f t="shared" si="15"/>
        <v>0.16600000000000001</v>
      </c>
    </row>
    <row r="134" spans="2:10" ht="5.0999999999999996" customHeight="1"/>
    <row r="135" spans="2:10">
      <c r="B135" s="540" t="s">
        <v>587</v>
      </c>
      <c r="C135" s="544">
        <f t="shared" ref="C135:H135" si="16">MEDIAN(C131,C132,C133)</f>
        <v>0.18099999999999999</v>
      </c>
      <c r="D135" s="544">
        <f t="shared" si="16"/>
        <v>0.17</v>
      </c>
      <c r="E135" s="544">
        <f t="shared" si="16"/>
        <v>0.17</v>
      </c>
      <c r="F135" s="544">
        <f t="shared" si="16"/>
        <v>0.17</v>
      </c>
      <c r="G135" s="544">
        <f t="shared" si="16"/>
        <v>0.17</v>
      </c>
      <c r="H135" s="545">
        <f t="shared" si="16"/>
        <v>0.17</v>
      </c>
    </row>
    <row r="136" spans="2:10">
      <c r="B136" s="537" t="s">
        <v>588</v>
      </c>
      <c r="C136" s="546">
        <f t="shared" ref="C136:H136" si="17">AVERAGE(C133,C132,C131)</f>
        <v>0.18000000000000002</v>
      </c>
      <c r="D136" s="546">
        <f t="shared" si="17"/>
        <v>0.16866666666666666</v>
      </c>
      <c r="E136" s="546">
        <f t="shared" si="17"/>
        <v>0.17033333333333334</v>
      </c>
      <c r="F136" s="546">
        <f t="shared" si="17"/>
        <v>0.17033333333333334</v>
      </c>
      <c r="G136" s="546">
        <f t="shared" si="17"/>
        <v>0.17033333333333334</v>
      </c>
      <c r="H136" s="547">
        <f t="shared" si="17"/>
        <v>0.17033333333333334</v>
      </c>
    </row>
    <row r="138" spans="2:10">
      <c r="B138" s="524" t="s">
        <v>579</v>
      </c>
    </row>
    <row r="139" spans="2:10">
      <c r="B139" s="8" t="s">
        <v>573</v>
      </c>
      <c r="C139" s="529">
        <v>88260</v>
      </c>
      <c r="D139" s="529">
        <v>109146</v>
      </c>
      <c r="E139" s="529">
        <v>96068</v>
      </c>
      <c r="F139" s="529">
        <v>80746</v>
      </c>
      <c r="G139" s="529">
        <v>88257</v>
      </c>
      <c r="H139" s="529">
        <v>96760</v>
      </c>
      <c r="J139" s="519">
        <f>((H139/C139)^(1/COUNT(D139:H139))-1)</f>
        <v>1.8559461455379678E-2</v>
      </c>
    </row>
    <row r="140" spans="2:10">
      <c r="B140" s="527" t="s">
        <v>571</v>
      </c>
      <c r="C140" s="530"/>
      <c r="D140" s="531">
        <f>SUM(D139/C139)-1</f>
        <v>0.23664174031271235</v>
      </c>
      <c r="E140" s="531">
        <f>SUM(E139/D139)-1</f>
        <v>-0.1198211569823906</v>
      </c>
      <c r="F140" s="531">
        <f>SUM(F139/E139)-1</f>
        <v>-0.1594911937377691</v>
      </c>
      <c r="G140" s="531">
        <f>SUM(G139/F139)-1</f>
        <v>9.3020087682361918E-2</v>
      </c>
      <c r="H140" s="531">
        <f>SUM(H139/G139)-1</f>
        <v>9.6343632799664514E-2</v>
      </c>
    </row>
    <row r="141" spans="2:10">
      <c r="B141" s="527" t="s">
        <v>583</v>
      </c>
      <c r="C141" s="194">
        <f t="shared" ref="C141:H141" si="18">C139/C9</f>
        <v>0.22499923521673956</v>
      </c>
      <c r="D141" s="194">
        <f t="shared" si="18"/>
        <v>0.24999942737382183</v>
      </c>
      <c r="E141" s="194">
        <f t="shared" si="18"/>
        <v>0.20000083274694069</v>
      </c>
      <c r="F141" s="194">
        <f t="shared" si="18"/>
        <v>0.1500001857679461</v>
      </c>
      <c r="G141" s="194">
        <f t="shared" si="18"/>
        <v>0.15</v>
      </c>
      <c r="H141" s="194">
        <f t="shared" si="18"/>
        <v>0.14999945742238427</v>
      </c>
    </row>
    <row r="142" spans="2:10" ht="5.0999999999999996" customHeight="1"/>
    <row r="143" spans="2:10">
      <c r="B143" s="8" t="s">
        <v>569</v>
      </c>
      <c r="C143" s="529">
        <v>92410</v>
      </c>
      <c r="D143" s="529">
        <v>130120</v>
      </c>
      <c r="E143" s="529">
        <v>146581</v>
      </c>
      <c r="F143" s="532">
        <f>E143</f>
        <v>146581</v>
      </c>
      <c r="G143" s="532">
        <f>F143</f>
        <v>146581</v>
      </c>
      <c r="H143" s="532">
        <f>G143</f>
        <v>146581</v>
      </c>
      <c r="J143" s="519">
        <f>((H143/C143)^(1/COUNT(D143:H143))-1)</f>
        <v>9.66593405721623E-2</v>
      </c>
    </row>
    <row r="144" spans="2:10">
      <c r="B144" s="527" t="s">
        <v>571</v>
      </c>
      <c r="C144" s="526"/>
      <c r="D144" s="531">
        <f>SUM(D143/C143)-1</f>
        <v>0.4080727194026621</v>
      </c>
      <c r="E144" s="531">
        <f>SUM(E143/D143)-1</f>
        <v>0.12650630187519218</v>
      </c>
      <c r="F144" s="531">
        <f>SUM(F143/E143)-1</f>
        <v>0</v>
      </c>
      <c r="G144" s="531">
        <f>SUM(G143/F143)-1</f>
        <v>0</v>
      </c>
      <c r="H144" s="531">
        <f>SUM(H143/G143)-1</f>
        <v>0</v>
      </c>
    </row>
    <row r="145" spans="2:10">
      <c r="B145" s="527" t="s">
        <v>583</v>
      </c>
      <c r="C145" s="194">
        <f t="shared" ref="C145:H145" si="19">C143/C12</f>
        <v>0.23112264931933743</v>
      </c>
      <c r="D145" s="194">
        <f t="shared" si="19"/>
        <v>0.28670265506224524</v>
      </c>
      <c r="E145" s="194">
        <f t="shared" si="19"/>
        <v>0.28675587377976014</v>
      </c>
      <c r="F145" s="194">
        <f t="shared" si="19"/>
        <v>0.28675587377976014</v>
      </c>
      <c r="G145" s="194">
        <f t="shared" si="19"/>
        <v>0.28675587377976014</v>
      </c>
      <c r="H145" s="194">
        <f t="shared" si="19"/>
        <v>0.28675587377976014</v>
      </c>
    </row>
    <row r="146" spans="2:10" ht="5.0999999999999996" customHeight="1"/>
    <row r="147" spans="2:10">
      <c r="B147" s="8" t="s">
        <v>566</v>
      </c>
      <c r="C147" s="529">
        <v>92182</v>
      </c>
      <c r="D147" s="529">
        <v>122246</v>
      </c>
      <c r="E147" s="529">
        <v>140364</v>
      </c>
      <c r="F147" s="532">
        <f>E147</f>
        <v>140364</v>
      </c>
      <c r="G147" s="532">
        <f>F147</f>
        <v>140364</v>
      </c>
      <c r="H147" s="532">
        <f>G147</f>
        <v>140364</v>
      </c>
      <c r="J147" s="519">
        <f>((H147/C147)^(1/COUNT(D147:H147))-1)</f>
        <v>8.7732041749459144E-2</v>
      </c>
    </row>
    <row r="148" spans="2:10">
      <c r="B148" s="527" t="s">
        <v>571</v>
      </c>
      <c r="C148" s="526"/>
      <c r="D148" s="531">
        <f>SUM(D147/C147)-1</f>
        <v>0.32613742379206356</v>
      </c>
      <c r="E148" s="531">
        <f>SUM(E147/D147)-1</f>
        <v>0.14820934836313659</v>
      </c>
      <c r="F148" s="531">
        <f>SUM(F147/E147)-1</f>
        <v>0</v>
      </c>
      <c r="G148" s="531">
        <f>SUM(G147/F147)-1</f>
        <v>0</v>
      </c>
      <c r="H148" s="531">
        <f>SUM(H147/G147)-1</f>
        <v>0</v>
      </c>
    </row>
    <row r="150" spans="2:10">
      <c r="B150" s="524" t="s">
        <v>580</v>
      </c>
    </row>
    <row r="151" spans="2:10">
      <c r="B151" s="8" t="s">
        <v>573</v>
      </c>
      <c r="C151" s="534">
        <v>0.34</v>
      </c>
      <c r="D151" s="534">
        <v>0.35</v>
      </c>
      <c r="E151" s="534">
        <v>0.38</v>
      </c>
      <c r="F151" s="534">
        <v>0.4</v>
      </c>
      <c r="G151" s="534">
        <v>0.44</v>
      </c>
      <c r="H151" s="534">
        <v>0.44</v>
      </c>
    </row>
    <row r="152" spans="2:10">
      <c r="B152" s="8" t="s">
        <v>569</v>
      </c>
      <c r="C152" s="534">
        <v>0.32500000000000001</v>
      </c>
      <c r="D152" s="534">
        <v>0.33</v>
      </c>
      <c r="E152" s="534">
        <v>0.32800000000000001</v>
      </c>
      <c r="F152" s="536">
        <f t="shared" ref="F152:H153" si="20">E152</f>
        <v>0.32800000000000001</v>
      </c>
      <c r="G152" s="536">
        <f t="shared" si="20"/>
        <v>0.32800000000000001</v>
      </c>
      <c r="H152" s="536">
        <f t="shared" si="20"/>
        <v>0.32800000000000001</v>
      </c>
    </row>
    <row r="153" spans="2:10">
      <c r="B153" s="8" t="s">
        <v>566</v>
      </c>
      <c r="C153" s="534">
        <v>0.45300000000000001</v>
      </c>
      <c r="D153" s="534">
        <v>0.46700000000000003</v>
      </c>
      <c r="E153" s="534">
        <v>0.45300000000000001</v>
      </c>
      <c r="F153" s="536">
        <f t="shared" si="20"/>
        <v>0.45300000000000001</v>
      </c>
      <c r="G153" s="536">
        <f t="shared" si="20"/>
        <v>0.45300000000000001</v>
      </c>
      <c r="H153" s="536">
        <f t="shared" si="20"/>
        <v>0.45300000000000001</v>
      </c>
    </row>
    <row r="154" spans="2:10" ht="5.0999999999999996" customHeight="1"/>
    <row r="155" spans="2:10">
      <c r="B155" s="540" t="s">
        <v>587</v>
      </c>
      <c r="C155" s="544">
        <f t="shared" ref="C155:H155" si="21">MEDIAN(C151,C152,C153)</f>
        <v>0.34</v>
      </c>
      <c r="D155" s="544">
        <f t="shared" si="21"/>
        <v>0.35</v>
      </c>
      <c r="E155" s="544">
        <f t="shared" si="21"/>
        <v>0.38</v>
      </c>
      <c r="F155" s="544">
        <f t="shared" si="21"/>
        <v>0.4</v>
      </c>
      <c r="G155" s="544">
        <f t="shared" si="21"/>
        <v>0.44</v>
      </c>
      <c r="H155" s="545">
        <f t="shared" si="21"/>
        <v>0.44</v>
      </c>
    </row>
    <row r="156" spans="2:10">
      <c r="B156" s="537" t="s">
        <v>588</v>
      </c>
      <c r="C156" s="546">
        <f t="shared" ref="C156:H156" si="22">AVERAGE(C153,C152,C151)</f>
        <v>0.3726666666666667</v>
      </c>
      <c r="D156" s="546">
        <f t="shared" si="22"/>
        <v>0.38233333333333336</v>
      </c>
      <c r="E156" s="546">
        <f t="shared" si="22"/>
        <v>0.38700000000000001</v>
      </c>
      <c r="F156" s="546">
        <f t="shared" si="22"/>
        <v>0.39366666666666666</v>
      </c>
      <c r="G156" s="546">
        <f t="shared" si="22"/>
        <v>0.40700000000000003</v>
      </c>
      <c r="H156" s="547">
        <f t="shared" si="22"/>
        <v>0.40700000000000003</v>
      </c>
    </row>
    <row r="157" spans="2:10">
      <c r="B157" s="329"/>
      <c r="C157" s="548"/>
      <c r="D157" s="548"/>
      <c r="E157" s="548"/>
      <c r="F157" s="548"/>
      <c r="G157" s="548"/>
      <c r="H157" s="548"/>
    </row>
    <row r="158" spans="2:10">
      <c r="B158" s="524" t="s">
        <v>419</v>
      </c>
    </row>
    <row r="159" spans="2:10">
      <c r="B159" s="8" t="s">
        <v>573</v>
      </c>
      <c r="C159" s="529">
        <v>20455</v>
      </c>
      <c r="D159" s="529">
        <v>22766</v>
      </c>
      <c r="E159" s="529">
        <v>25047</v>
      </c>
      <c r="F159" s="529">
        <v>28070</v>
      </c>
      <c r="G159" s="529">
        <v>30681</v>
      </c>
      <c r="H159" s="529">
        <v>33637</v>
      </c>
    </row>
    <row r="160" spans="2:10">
      <c r="B160" s="527" t="s">
        <v>571</v>
      </c>
      <c r="C160" s="530"/>
      <c r="D160" s="531">
        <f>SUM(D159/C159)-1</f>
        <v>0.11297971156196529</v>
      </c>
      <c r="E160" s="531">
        <f>SUM(E159/D159)-1</f>
        <v>0.10019327066678385</v>
      </c>
      <c r="F160" s="531">
        <f>SUM(F159/E159)-1</f>
        <v>0.12069309697768205</v>
      </c>
      <c r="G160" s="531">
        <f>SUM(G159/F159)-1</f>
        <v>9.3017456359102191E-2</v>
      </c>
      <c r="H160" s="531">
        <f>SUM(H159/G159)-1</f>
        <v>9.6346272937648747E-2</v>
      </c>
    </row>
    <row r="161" spans="2:10" ht="5.0999999999999996" customHeight="1"/>
    <row r="162" spans="2:10">
      <c r="B162" s="8" t="s">
        <v>569</v>
      </c>
      <c r="C162" s="529">
        <v>21138</v>
      </c>
      <c r="D162" s="529">
        <v>32588</v>
      </c>
      <c r="E162" s="529">
        <v>46703</v>
      </c>
      <c r="F162" s="532">
        <f>E162</f>
        <v>46703</v>
      </c>
      <c r="G162" s="532">
        <f>F162</f>
        <v>46703</v>
      </c>
      <c r="H162" s="532">
        <f>G162</f>
        <v>46703</v>
      </c>
      <c r="J162" s="519">
        <f>((H162/C162)^(1/COUNT(D162:H162))-1)</f>
        <v>0.17180724015514337</v>
      </c>
    </row>
    <row r="163" spans="2:10">
      <c r="B163" s="527" t="s">
        <v>571</v>
      </c>
      <c r="C163" s="526"/>
      <c r="D163" s="531">
        <f>SUM(D162/C162)-1</f>
        <v>0.54167849370801391</v>
      </c>
      <c r="E163" s="531">
        <f>SUM(E162/D162)-1</f>
        <v>0.43313489628083968</v>
      </c>
      <c r="F163" s="531">
        <f>SUM(F162/E162)-1</f>
        <v>0</v>
      </c>
      <c r="G163" s="531">
        <f>SUM(G162/F162)-1</f>
        <v>0</v>
      </c>
      <c r="H163" s="531">
        <f>SUM(H162/G162)-1</f>
        <v>0</v>
      </c>
    </row>
    <row r="164" spans="2:10" ht="5.0999999999999996" customHeight="1"/>
    <row r="165" spans="2:10">
      <c r="B165" s="8" t="s">
        <v>566</v>
      </c>
      <c r="C165" s="529">
        <v>21357</v>
      </c>
      <c r="D165" s="529">
        <v>32344</v>
      </c>
      <c r="E165" s="529">
        <v>46534</v>
      </c>
      <c r="F165" s="532">
        <f>E165</f>
        <v>46534</v>
      </c>
      <c r="G165" s="532">
        <f>F165</f>
        <v>46534</v>
      </c>
      <c r="H165" s="532">
        <f>G165</f>
        <v>46534</v>
      </c>
      <c r="J165" s="519">
        <f>((H165/C165)^(1/COUNT(D165:H165))-1)</f>
        <v>0.16854657697167852</v>
      </c>
    </row>
    <row r="166" spans="2:10">
      <c r="B166" s="527" t="s">
        <v>571</v>
      </c>
      <c r="C166" s="526"/>
      <c r="D166" s="531">
        <f>SUM(D165/C165)-1</f>
        <v>0.51444491267500125</v>
      </c>
      <c r="E166" s="531">
        <f>SUM(E165/D165)-1</f>
        <v>0.4387212465990602</v>
      </c>
      <c r="F166" s="531">
        <f>SUM(F165/E165)-1</f>
        <v>0</v>
      </c>
      <c r="G166" s="531">
        <f>SUM(G165/F165)-1</f>
        <v>0</v>
      </c>
      <c r="H166" s="531">
        <f>SUM(H165/G165)-1</f>
        <v>0</v>
      </c>
    </row>
    <row r="168" spans="2:10">
      <c r="B168" s="524" t="s">
        <v>7</v>
      </c>
    </row>
    <row r="169" spans="2:10">
      <c r="B169" s="8" t="s">
        <v>573</v>
      </c>
      <c r="C169" s="529">
        <v>152233</v>
      </c>
      <c r="D169" s="529">
        <v>176980</v>
      </c>
      <c r="E169" s="529">
        <v>207419</v>
      </c>
      <c r="F169" s="529">
        <v>245580</v>
      </c>
      <c r="G169" s="529">
        <v>287724</v>
      </c>
      <c r="H169" s="529">
        <v>314610</v>
      </c>
      <c r="J169" s="519">
        <f>((H169/C169)^(1/COUNT(D169:H169))-1)</f>
        <v>0.15625265600010851</v>
      </c>
    </row>
    <row r="170" spans="2:10">
      <c r="B170" s="527" t="s">
        <v>571</v>
      </c>
      <c r="C170" s="530"/>
      <c r="D170" s="531">
        <f>SUM(D169/C169)-1</f>
        <v>0.16256002312245044</v>
      </c>
      <c r="E170" s="531">
        <f>SUM(E169/D169)-1</f>
        <v>0.17199118544468295</v>
      </c>
      <c r="F170" s="531">
        <f>SUM(F169/E169)-1</f>
        <v>0.18398025253231376</v>
      </c>
      <c r="G170" s="531">
        <f>SUM(G169/F169)-1</f>
        <v>0.17161006596628381</v>
      </c>
      <c r="H170" s="531">
        <f>SUM(H169/G169)-1</f>
        <v>9.3443716895358131E-2</v>
      </c>
    </row>
    <row r="171" spans="2:10" ht="5.0999999999999996" customHeight="1"/>
    <row r="172" spans="2:10">
      <c r="B172" s="8" t="s">
        <v>569</v>
      </c>
      <c r="C172" s="529">
        <v>151269</v>
      </c>
      <c r="D172" s="529">
        <v>182323</v>
      </c>
      <c r="E172" s="529">
        <v>214374</v>
      </c>
      <c r="F172" s="532">
        <f>E172</f>
        <v>214374</v>
      </c>
      <c r="G172" s="532">
        <f>F172</f>
        <v>214374</v>
      </c>
      <c r="H172" s="532">
        <f>G172</f>
        <v>214374</v>
      </c>
      <c r="J172" s="519">
        <f>((H172/C172)^(1/COUNT(D172:H172))-1)</f>
        <v>7.2221311746559769E-2</v>
      </c>
    </row>
    <row r="173" spans="2:10">
      <c r="B173" s="527" t="s">
        <v>571</v>
      </c>
      <c r="C173" s="526"/>
      <c r="D173" s="531">
        <f>SUM(D172/C172)-1</f>
        <v>0.20528991399427521</v>
      </c>
      <c r="E173" s="531">
        <f>SUM(E172/D172)-1</f>
        <v>0.17579241236706289</v>
      </c>
      <c r="F173" s="531">
        <f>SUM(F172/E172)-1</f>
        <v>0</v>
      </c>
      <c r="G173" s="531">
        <f>SUM(G172/F172)-1</f>
        <v>0</v>
      </c>
      <c r="H173" s="531">
        <f>SUM(H172/G172)-1</f>
        <v>0</v>
      </c>
    </row>
    <row r="174" spans="2:10" ht="5.0999999999999996" customHeight="1"/>
    <row r="175" spans="2:10">
      <c r="B175" s="8" t="s">
        <v>566</v>
      </c>
      <c r="C175" s="529">
        <v>175757</v>
      </c>
      <c r="D175" s="529">
        <v>217934</v>
      </c>
      <c r="E175" s="529">
        <v>253132</v>
      </c>
      <c r="F175" s="532">
        <f>E175</f>
        <v>253132</v>
      </c>
      <c r="G175" s="532">
        <f>F175</f>
        <v>253132</v>
      </c>
      <c r="H175" s="532">
        <f>G175</f>
        <v>253132</v>
      </c>
      <c r="J175" s="519">
        <f>((H175/C175)^(1/COUNT(D175:H175))-1)</f>
        <v>7.568938726493446E-2</v>
      </c>
    </row>
    <row r="176" spans="2:10">
      <c r="B176" s="527" t="s">
        <v>571</v>
      </c>
      <c r="C176" s="526"/>
      <c r="D176" s="531">
        <f>SUM(D175/C175)-1</f>
        <v>0.23997337232656446</v>
      </c>
      <c r="E176" s="531">
        <f>SUM(E175/D175)-1</f>
        <v>0.16150761239641365</v>
      </c>
      <c r="F176" s="531">
        <f>SUM(F175/E175)-1</f>
        <v>0</v>
      </c>
      <c r="G176" s="531">
        <f>SUM(G175/F175)-1</f>
        <v>0</v>
      </c>
      <c r="H176" s="531">
        <f>SUM(H175/G175)-1</f>
        <v>0</v>
      </c>
    </row>
    <row r="178" spans="2:10">
      <c r="B178" s="524" t="s">
        <v>584</v>
      </c>
    </row>
    <row r="179" spans="2:10" ht="5.0999999999999996" customHeight="1"/>
    <row r="180" spans="2:10">
      <c r="B180" s="8" t="s">
        <v>569</v>
      </c>
      <c r="C180" s="529"/>
      <c r="D180" s="529"/>
      <c r="E180" s="529"/>
      <c r="F180" s="532">
        <f>E180</f>
        <v>0</v>
      </c>
      <c r="G180" s="532">
        <f>F180</f>
        <v>0</v>
      </c>
      <c r="H180" s="532">
        <f>G180</f>
        <v>0</v>
      </c>
      <c r="J180" s="519" t="e">
        <f>((H180/C180)^(1/COUNT(D180:H180))-1)</f>
        <v>#DIV/0!</v>
      </c>
    </row>
    <row r="181" spans="2:10">
      <c r="B181" s="527" t="s">
        <v>571</v>
      </c>
      <c r="C181" s="526"/>
      <c r="D181" s="531" t="e">
        <f>SUM(D180/C180)-1</f>
        <v>#DIV/0!</v>
      </c>
      <c r="E181" s="531" t="e">
        <f>SUM(E180/D180)-1</f>
        <v>#DIV/0!</v>
      </c>
      <c r="F181" s="531" t="e">
        <f>SUM(F180/E180)-1</f>
        <v>#DIV/0!</v>
      </c>
      <c r="G181" s="531" t="e">
        <f>SUM(G180/F180)-1</f>
        <v>#DIV/0!</v>
      </c>
      <c r="H181" s="531" t="e">
        <f>SUM(H180/G180)-1</f>
        <v>#DIV/0!</v>
      </c>
    </row>
    <row r="182" spans="2:10" ht="5.0999999999999996" customHeight="1"/>
    <row r="183" spans="2:10">
      <c r="B183" s="8" t="s">
        <v>566</v>
      </c>
      <c r="C183" s="529">
        <v>237265</v>
      </c>
      <c r="D183" s="529">
        <v>274639</v>
      </c>
      <c r="E183" s="529">
        <v>311013</v>
      </c>
      <c r="F183" s="532">
        <f>E183</f>
        <v>311013</v>
      </c>
      <c r="G183" s="532">
        <f>F183</f>
        <v>311013</v>
      </c>
      <c r="H183" s="532">
        <f>G183</f>
        <v>311013</v>
      </c>
      <c r="J183" s="519">
        <f>((H183/C183)^(1/COUNT(D183:H183))-1)</f>
        <v>5.5623312924869772E-2</v>
      </c>
    </row>
    <row r="184" spans="2:10">
      <c r="B184" s="527" t="s">
        <v>571</v>
      </c>
      <c r="C184" s="526"/>
      <c r="D184" s="531">
        <f>SUM(D183/C183)-1</f>
        <v>0.15752007249278233</v>
      </c>
      <c r="E184" s="531">
        <f>SUM(E183/D183)-1</f>
        <v>0.132442952384767</v>
      </c>
      <c r="F184" s="531">
        <f>SUM(F183/E183)-1</f>
        <v>0</v>
      </c>
      <c r="G184" s="531">
        <f>SUM(G183/F183)-1</f>
        <v>0</v>
      </c>
      <c r="H184" s="531">
        <f>SUM(H183/G183)-1</f>
        <v>0</v>
      </c>
    </row>
    <row r="185" spans="2:10">
      <c r="B185" s="527" t="s">
        <v>585</v>
      </c>
      <c r="C185" s="194">
        <f t="shared" ref="C185:H185" si="23">C183/C15</f>
        <v>0.69585913006244005</v>
      </c>
      <c r="D185" s="194">
        <f t="shared" si="23"/>
        <v>0.69123221198133489</v>
      </c>
      <c r="E185" s="194">
        <f t="shared" si="23"/>
        <v>0.68188305865483911</v>
      </c>
      <c r="F185" s="194">
        <f t="shared" si="23"/>
        <v>0.68188305865483911</v>
      </c>
      <c r="G185" s="194">
        <f t="shared" si="23"/>
        <v>0.68188305865483911</v>
      </c>
      <c r="H185" s="194">
        <f t="shared" si="23"/>
        <v>0.68188305865483911</v>
      </c>
    </row>
  </sheetData>
  <dataValidations count="1">
    <dataValidation type="list" allowBlank="1" showInputMessage="1" showErrorMessage="1" sqref="B4" xr:uid="{FA3587D4-9496-490C-8B79-32E732BB8D80}">
      <formula1>"$ bns except per share, $ mm except per share,$ in thousands except per share"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Historical Financials</vt:lpstr>
      <vt:lpstr>EPS</vt:lpstr>
      <vt:lpstr>Revenue Drivers</vt:lpstr>
      <vt:lpstr>Other Segment Analysis</vt:lpstr>
      <vt:lpstr>FCF</vt:lpstr>
      <vt:lpstr>3-Statement Model</vt:lpstr>
      <vt:lpstr>Sheet1</vt:lpstr>
      <vt:lpstr>DCF</vt:lpstr>
      <vt:lpstr>WACC</vt:lpstr>
      <vt:lpstr>Shares</vt:lpstr>
      <vt:lpstr>Drivers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Felix Garcia</dc:creator>
  <cp:lastModifiedBy>Felix Garcia</cp:lastModifiedBy>
  <dcterms:created xsi:type="dcterms:W3CDTF">2024-08-10T06:01:52Z</dcterms:created>
  <dcterms:modified xsi:type="dcterms:W3CDTF">2025-11-25T18:03:04Z</dcterms:modified>
</cp:coreProperties>
</file>