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Felix\Downloads\"/>
    </mc:Choice>
  </mc:AlternateContent>
  <xr:revisionPtr revIDLastSave="0" documentId="8_{D6699832-3073-407E-8218-ADA6789B71A1}" xr6:coauthVersionLast="47" xr6:coauthVersionMax="47" xr10:uidLastSave="{00000000-0000-0000-0000-000000000000}"/>
  <bookViews>
    <workbookView xWindow="-120" yWindow="-120" windowWidth="29040" windowHeight="15720" xr2:uid="{BC9106CE-9107-4097-8948-317996376CB5}"/>
  </bookViews>
  <sheets>
    <sheet name="Historical Financials" sheetId="8" r:id="rId1"/>
    <sheet name="Revenue Drivers" sheetId="10" r:id="rId2"/>
    <sheet name="FCF" sheetId="9" r:id="rId3"/>
    <sheet name="Debt Schedule" sheetId="21" r:id="rId4"/>
  </sheet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9" l="1"/>
  <c r="B2" i="10"/>
  <c r="U11" i="8"/>
  <c r="V11" i="8"/>
  <c r="V14" i="8" s="1"/>
  <c r="W11" i="8"/>
  <c r="W14" i="8" s="1"/>
  <c r="U14" i="8"/>
  <c r="U20" i="8" s="1"/>
  <c r="U44" i="8"/>
  <c r="V44" i="8"/>
  <c r="W44" i="8"/>
  <c r="U45" i="8"/>
  <c r="V45" i="8"/>
  <c r="W45" i="8"/>
  <c r="U54" i="8"/>
  <c r="V54" i="8"/>
  <c r="W54" i="8"/>
  <c r="W63" i="8" s="1"/>
  <c r="U63" i="8"/>
  <c r="V63" i="8"/>
  <c r="U72" i="8"/>
  <c r="U80" i="8" s="1"/>
  <c r="V72" i="8"/>
  <c r="W72" i="8"/>
  <c r="V80" i="8"/>
  <c r="W80" i="8"/>
  <c r="U86" i="8"/>
  <c r="V86" i="8"/>
  <c r="V87" i="8" s="1"/>
  <c r="V89" i="8" s="1"/>
  <c r="W86" i="8"/>
  <c r="W87" i="8" s="1"/>
  <c r="W89" i="8" s="1"/>
  <c r="U93" i="8"/>
  <c r="V93" i="8"/>
  <c r="W93" i="8"/>
  <c r="U94" i="8"/>
  <c r="V94" i="8"/>
  <c r="W94" i="8"/>
  <c r="U126" i="8"/>
  <c r="V126" i="8"/>
  <c r="W126" i="8"/>
  <c r="U140" i="8"/>
  <c r="V140" i="8"/>
  <c r="W140" i="8"/>
  <c r="V144" i="8"/>
  <c r="W144" i="8"/>
  <c r="R139" i="8"/>
  <c r="S139" i="8" s="1"/>
  <c r="T139" i="8" s="1"/>
  <c r="N139" i="8"/>
  <c r="J139" i="8"/>
  <c r="K139" i="8" s="1"/>
  <c r="L139" i="8" s="1"/>
  <c r="R138" i="8"/>
  <c r="N138" i="8"/>
  <c r="J138" i="8"/>
  <c r="K138" i="8" s="1"/>
  <c r="R137" i="8"/>
  <c r="N137" i="8"/>
  <c r="O137" i="8" s="1"/>
  <c r="P137" i="8" s="1"/>
  <c r="J137" i="8"/>
  <c r="K137" i="8" s="1"/>
  <c r="L137" i="8" s="1"/>
  <c r="R136" i="8"/>
  <c r="N136" i="8"/>
  <c r="O136" i="8" s="1"/>
  <c r="P136" i="8" s="1"/>
  <c r="J136" i="8"/>
  <c r="K136" i="8" s="1"/>
  <c r="L136" i="8" s="1"/>
  <c r="R135" i="8"/>
  <c r="N135" i="8"/>
  <c r="O135" i="8" s="1"/>
  <c r="J135" i="8"/>
  <c r="R134" i="8"/>
  <c r="S134" i="8" s="1"/>
  <c r="N134" i="8"/>
  <c r="O134" i="8" s="1"/>
  <c r="P134" i="8" s="1"/>
  <c r="J134" i="8"/>
  <c r="R133" i="8"/>
  <c r="S133" i="8" s="1"/>
  <c r="N133" i="8"/>
  <c r="J133" i="8"/>
  <c r="R132" i="8"/>
  <c r="S132" i="8" s="1"/>
  <c r="N132" i="8"/>
  <c r="J132" i="8"/>
  <c r="K132" i="8" s="1"/>
  <c r="L132" i="8" s="1"/>
  <c r="R131" i="8"/>
  <c r="S131" i="8" s="1"/>
  <c r="T131" i="8" s="1"/>
  <c r="N131" i="8"/>
  <c r="J131" i="8"/>
  <c r="K131" i="8" s="1"/>
  <c r="L131" i="8" s="1"/>
  <c r="R130" i="8"/>
  <c r="S130" i="8" s="1"/>
  <c r="N130" i="8"/>
  <c r="O130" i="8" s="1"/>
  <c r="J130" i="8"/>
  <c r="K130" i="8" s="1"/>
  <c r="R129" i="8"/>
  <c r="N129" i="8"/>
  <c r="O129" i="8" s="1"/>
  <c r="P129" i="8" s="1"/>
  <c r="J129" i="8"/>
  <c r="K129" i="8" s="1"/>
  <c r="L129" i="8" s="1"/>
  <c r="R147" i="8"/>
  <c r="S147" i="8" s="1"/>
  <c r="N147" i="8"/>
  <c r="K147" i="8"/>
  <c r="J147" i="8"/>
  <c r="Q140" i="8"/>
  <c r="M140" i="8"/>
  <c r="I140" i="8"/>
  <c r="S125" i="8"/>
  <c r="T125" i="8" s="1"/>
  <c r="N125" i="8"/>
  <c r="J125" i="8"/>
  <c r="L125" i="8" s="1"/>
  <c r="S124" i="8"/>
  <c r="T124" i="8" s="1"/>
  <c r="N124" i="8"/>
  <c r="O124" i="8" s="1"/>
  <c r="P124" i="8" s="1"/>
  <c r="J124" i="8"/>
  <c r="L124" i="8" s="1"/>
  <c r="S123" i="8"/>
  <c r="T123" i="8" s="1"/>
  <c r="N123" i="8"/>
  <c r="O123" i="8" s="1"/>
  <c r="P123" i="8" s="1"/>
  <c r="J123" i="8"/>
  <c r="L123" i="8" s="1"/>
  <c r="S122" i="8"/>
  <c r="T122" i="8" s="1"/>
  <c r="N122" i="8"/>
  <c r="O122" i="8" s="1"/>
  <c r="P122" i="8" s="1"/>
  <c r="J122" i="8"/>
  <c r="L122" i="8" s="1"/>
  <c r="S121" i="8"/>
  <c r="T121" i="8" s="1"/>
  <c r="N121" i="8"/>
  <c r="O121" i="8" s="1"/>
  <c r="J121" i="8"/>
  <c r="L121" i="8" s="1"/>
  <c r="S120" i="8"/>
  <c r="T120" i="8" s="1"/>
  <c r="N120" i="8"/>
  <c r="O120" i="8" s="1"/>
  <c r="J120" i="8"/>
  <c r="L120" i="8" s="1"/>
  <c r="S119" i="8"/>
  <c r="T119" i="8" s="1"/>
  <c r="N119" i="8"/>
  <c r="J119" i="8"/>
  <c r="L119" i="8" s="1"/>
  <c r="S118" i="8"/>
  <c r="T118" i="8" s="1"/>
  <c r="N118" i="8"/>
  <c r="O118" i="8" s="1"/>
  <c r="P118" i="8" s="1"/>
  <c r="J118" i="8"/>
  <c r="L118" i="8" s="1"/>
  <c r="R114" i="8"/>
  <c r="S114" i="8" s="1"/>
  <c r="R113" i="8"/>
  <c r="S113" i="8" s="1"/>
  <c r="R112" i="8"/>
  <c r="S112" i="8" s="1"/>
  <c r="R111" i="8"/>
  <c r="S111" i="8" s="1"/>
  <c r="T111" i="8" s="1"/>
  <c r="R110" i="8"/>
  <c r="S110" i="8" s="1"/>
  <c r="R109" i="8"/>
  <c r="S109" i="8" s="1"/>
  <c r="N114" i="8"/>
  <c r="O114" i="8" s="1"/>
  <c r="N113" i="8"/>
  <c r="O113" i="8" s="1"/>
  <c r="N112" i="8"/>
  <c r="O112" i="8" s="1"/>
  <c r="N111" i="8"/>
  <c r="O111" i="8" s="1"/>
  <c r="P111" i="8" s="1"/>
  <c r="N110" i="8"/>
  <c r="O110" i="8" s="1"/>
  <c r="N109" i="8"/>
  <c r="O109" i="8" s="1"/>
  <c r="J114" i="8"/>
  <c r="J113" i="8"/>
  <c r="J112" i="8"/>
  <c r="L112" i="8" s="1"/>
  <c r="J111" i="8"/>
  <c r="L111" i="8" s="1"/>
  <c r="J110" i="8"/>
  <c r="L110" i="8" s="1"/>
  <c r="J109" i="8"/>
  <c r="P107" i="8"/>
  <c r="Q107" i="8" s="1"/>
  <c r="R107" i="8" s="1"/>
  <c r="S107" i="8" s="1"/>
  <c r="L107" i="8"/>
  <c r="R106" i="8"/>
  <c r="S106" i="8" s="1"/>
  <c r="N106" i="8"/>
  <c r="J106" i="8"/>
  <c r="L106" i="8" s="1"/>
  <c r="R105" i="8"/>
  <c r="S105" i="8" s="1"/>
  <c r="N105" i="8"/>
  <c r="O105" i="8" s="1"/>
  <c r="J105" i="8"/>
  <c r="L105" i="8" s="1"/>
  <c r="R104" i="8"/>
  <c r="S104" i="8" s="1"/>
  <c r="N104" i="8"/>
  <c r="O104" i="8" s="1"/>
  <c r="J104" i="8"/>
  <c r="L104" i="8" s="1"/>
  <c r="R103" i="8"/>
  <c r="S103" i="8" s="1"/>
  <c r="N103" i="8"/>
  <c r="O103" i="8" s="1"/>
  <c r="J103" i="8"/>
  <c r="L103" i="8" s="1"/>
  <c r="R102" i="8"/>
  <c r="N102" i="8"/>
  <c r="O102" i="8" s="1"/>
  <c r="J102" i="8"/>
  <c r="L102" i="8" s="1"/>
  <c r="R101" i="8"/>
  <c r="S101" i="8" s="1"/>
  <c r="N101" i="8"/>
  <c r="P101" i="8" s="1"/>
  <c r="J101" i="8"/>
  <c r="L101" i="8" s="1"/>
  <c r="R100" i="8"/>
  <c r="S100" i="8" s="1"/>
  <c r="N100" i="8"/>
  <c r="O100" i="8" s="1"/>
  <c r="J100" i="8"/>
  <c r="L100" i="8" s="1"/>
  <c r="T79" i="8"/>
  <c r="P79" i="8"/>
  <c r="L79" i="8"/>
  <c r="T78" i="8"/>
  <c r="P78" i="8"/>
  <c r="L78" i="8"/>
  <c r="T77" i="8"/>
  <c r="P77" i="8"/>
  <c r="L77" i="8"/>
  <c r="T76" i="8"/>
  <c r="P76" i="8"/>
  <c r="L76" i="8"/>
  <c r="T71" i="8"/>
  <c r="P71" i="8"/>
  <c r="L71" i="8"/>
  <c r="T70" i="8"/>
  <c r="P70" i="8"/>
  <c r="L70" i="8"/>
  <c r="T69" i="8"/>
  <c r="P69" i="8"/>
  <c r="L69" i="8"/>
  <c r="T68" i="8"/>
  <c r="P68" i="8"/>
  <c r="L68" i="8"/>
  <c r="T67" i="8"/>
  <c r="P67" i="8"/>
  <c r="L67" i="8"/>
  <c r="T62" i="8"/>
  <c r="P62" i="8"/>
  <c r="L62" i="8"/>
  <c r="T61" i="8"/>
  <c r="P61" i="8"/>
  <c r="L61" i="8"/>
  <c r="T60" i="8"/>
  <c r="P60" i="8"/>
  <c r="L60" i="8"/>
  <c r="T59" i="8"/>
  <c r="P59" i="8"/>
  <c r="L59" i="8"/>
  <c r="T58" i="8"/>
  <c r="P58" i="8"/>
  <c r="L58" i="8"/>
  <c r="T53" i="8"/>
  <c r="P53" i="8"/>
  <c r="L53" i="8"/>
  <c r="T52" i="8"/>
  <c r="P52" i="8"/>
  <c r="L52" i="8"/>
  <c r="T51" i="8"/>
  <c r="P51" i="8"/>
  <c r="L51" i="8"/>
  <c r="T50" i="8"/>
  <c r="P50" i="8"/>
  <c r="L50" i="8"/>
  <c r="T49" i="8"/>
  <c r="P49" i="8"/>
  <c r="L49" i="8"/>
  <c r="P40" i="8"/>
  <c r="P37" i="8"/>
  <c r="T33" i="8"/>
  <c r="P33" i="8"/>
  <c r="L33" i="8"/>
  <c r="T48" i="8"/>
  <c r="P48" i="8"/>
  <c r="L48" i="8"/>
  <c r="T57" i="8"/>
  <c r="P57" i="8"/>
  <c r="L57" i="8"/>
  <c r="T66" i="8"/>
  <c r="P66" i="8"/>
  <c r="L66" i="8"/>
  <c r="T75" i="8"/>
  <c r="P75" i="8"/>
  <c r="L75" i="8"/>
  <c r="V20" i="8" l="1"/>
  <c r="V15" i="8"/>
  <c r="U87" i="8"/>
  <c r="U89" i="8" s="1"/>
  <c r="U21" i="8"/>
  <c r="U26" i="8"/>
  <c r="W15" i="8"/>
  <c r="W20" i="8"/>
  <c r="U15" i="8"/>
  <c r="L147" i="8"/>
  <c r="O147" i="8"/>
  <c r="P147" i="8" s="1"/>
  <c r="O133" i="8"/>
  <c r="P133" i="8" s="1"/>
  <c r="AI133" i="8" s="1"/>
  <c r="S138" i="8"/>
  <c r="AI134" i="8"/>
  <c r="AM131" i="8"/>
  <c r="AJ131" i="8"/>
  <c r="T133" i="8"/>
  <c r="AM133" i="8" s="1"/>
  <c r="T130" i="8"/>
  <c r="AM130" i="8" s="1"/>
  <c r="AM139" i="8"/>
  <c r="AJ139" i="8"/>
  <c r="N140" i="8"/>
  <c r="L130" i="8"/>
  <c r="T132" i="8"/>
  <c r="AM132" i="8" s="1"/>
  <c r="P135" i="8"/>
  <c r="L138" i="8"/>
  <c r="K133" i="8"/>
  <c r="L133" i="8" s="1"/>
  <c r="T134" i="8"/>
  <c r="AL134" i="8" s="1"/>
  <c r="S135" i="8"/>
  <c r="T135" i="8" s="1"/>
  <c r="AM135" i="8" s="1"/>
  <c r="O138" i="8"/>
  <c r="P138" i="8" s="1"/>
  <c r="AI138" i="8" s="1"/>
  <c r="AK131" i="8"/>
  <c r="AK139" i="8"/>
  <c r="P130" i="8"/>
  <c r="AI130" i="8" s="1"/>
  <c r="O131" i="8"/>
  <c r="P131" i="8" s="1"/>
  <c r="K134" i="8"/>
  <c r="L134" i="8" s="1"/>
  <c r="S136" i="8"/>
  <c r="O139" i="8"/>
  <c r="P139" i="8" s="1"/>
  <c r="AI139" i="8" s="1"/>
  <c r="J140" i="8"/>
  <c r="R140" i="8"/>
  <c r="AL131" i="8"/>
  <c r="AL139" i="8"/>
  <c r="S129" i="8"/>
  <c r="O132" i="8"/>
  <c r="P132" i="8" s="1"/>
  <c r="AI132" i="8" s="1"/>
  <c r="K135" i="8"/>
  <c r="L135" i="8" s="1"/>
  <c r="S137" i="8"/>
  <c r="P121" i="8"/>
  <c r="O119" i="8"/>
  <c r="P119" i="8" s="1"/>
  <c r="P120" i="8"/>
  <c r="O125" i="8"/>
  <c r="P125" i="8" s="1"/>
  <c r="P102" i="8"/>
  <c r="S102" i="8"/>
  <c r="T102" i="8" s="1"/>
  <c r="P104" i="8"/>
  <c r="P105" i="8"/>
  <c r="T101" i="8"/>
  <c r="P103" i="8"/>
  <c r="T103" i="8"/>
  <c r="T104" i="8"/>
  <c r="T105" i="8"/>
  <c r="T106" i="8"/>
  <c r="P100" i="8"/>
  <c r="T100" i="8"/>
  <c r="T112" i="8"/>
  <c r="T110" i="8"/>
  <c r="P110" i="8"/>
  <c r="P112" i="8"/>
  <c r="T107" i="8"/>
  <c r="O106" i="8"/>
  <c r="P106" i="8" s="1"/>
  <c r="W26" i="8" l="1"/>
  <c r="W21" i="8"/>
  <c r="V26" i="8"/>
  <c r="V21" i="8"/>
  <c r="U27" i="8"/>
  <c r="U30" i="8"/>
  <c r="AI135" i="8"/>
  <c r="AK130" i="8"/>
  <c r="L140" i="8"/>
  <c r="AK133" i="8"/>
  <c r="T138" i="8"/>
  <c r="AK138" i="8" s="1"/>
  <c r="AJ133" i="8"/>
  <c r="AI131" i="8"/>
  <c r="P140" i="8"/>
  <c r="K140" i="8"/>
  <c r="AJ135" i="8"/>
  <c r="T137" i="8"/>
  <c r="AM137" i="8" s="1"/>
  <c r="O140" i="8"/>
  <c r="AL132" i="8"/>
  <c r="AI137" i="8"/>
  <c r="AL133" i="8"/>
  <c r="S140" i="8"/>
  <c r="T129" i="8"/>
  <c r="AL135" i="8"/>
  <c r="AJ130" i="8"/>
  <c r="T136" i="8"/>
  <c r="AL136" i="8" s="1"/>
  <c r="AI136" i="8"/>
  <c r="AJ132" i="8"/>
  <c r="AJ134" i="8"/>
  <c r="AM134" i="8"/>
  <c r="AK132" i="8"/>
  <c r="AL130" i="8"/>
  <c r="AK135" i="8"/>
  <c r="AK134" i="8"/>
  <c r="W27" i="8" l="1"/>
  <c r="W30" i="8"/>
  <c r="AK136" i="8"/>
  <c r="U31" i="8"/>
  <c r="U97" i="8"/>
  <c r="U115" i="8" s="1"/>
  <c r="U149" i="8" s="1"/>
  <c r="U38" i="8"/>
  <c r="U34" i="8"/>
  <c r="U35" i="8" s="1"/>
  <c r="U41" i="8"/>
  <c r="V27" i="8"/>
  <c r="V30" i="8"/>
  <c r="AL138" i="8"/>
  <c r="AM138" i="8"/>
  <c r="AJ138" i="8"/>
  <c r="T140" i="8"/>
  <c r="AK137" i="8"/>
  <c r="AL137" i="8"/>
  <c r="AM136" i="8"/>
  <c r="AJ136" i="8"/>
  <c r="AJ137" i="8"/>
  <c r="V31" i="8" l="1"/>
  <c r="V97" i="8"/>
  <c r="V115" i="8" s="1"/>
  <c r="V149" i="8" s="1"/>
  <c r="V38" i="8"/>
  <c r="V34" i="8"/>
  <c r="V35" i="8" s="1"/>
  <c r="V41" i="8"/>
  <c r="W31" i="8"/>
  <c r="W97" i="8"/>
  <c r="W115" i="8" s="1"/>
  <c r="W149" i="8" s="1"/>
  <c r="W38" i="8"/>
  <c r="W34" i="8"/>
  <c r="W35" i="8" s="1"/>
  <c r="W41" i="8"/>
  <c r="L29" i="8" l="1"/>
  <c r="AL37" i="8"/>
  <c r="AK37" i="8"/>
  <c r="AI37" i="8"/>
  <c r="AH37" i="8"/>
  <c r="AG37" i="8"/>
  <c r="AE37" i="8"/>
  <c r="AD37" i="8"/>
  <c r="AC37" i="8"/>
  <c r="AA37" i="8"/>
  <c r="Z37" i="8"/>
  <c r="Y37" i="8"/>
  <c r="AM37" i="8"/>
  <c r="AL40" i="8"/>
  <c r="AK40" i="8"/>
  <c r="AI40" i="8"/>
  <c r="AH40" i="8"/>
  <c r="AG40" i="8"/>
  <c r="AE40" i="8"/>
  <c r="AD40" i="8"/>
  <c r="AC40" i="8"/>
  <c r="AA40" i="8"/>
  <c r="Z40" i="8"/>
  <c r="Y40" i="8"/>
  <c r="AM40" i="8"/>
  <c r="T40" i="8"/>
  <c r="AJ40" i="8" s="1"/>
  <c r="AF40" i="8"/>
  <c r="AF37" i="8"/>
  <c r="L40" i="8"/>
  <c r="AB40" i="8" s="1"/>
  <c r="L37" i="8"/>
  <c r="AB37" i="8" s="1"/>
  <c r="T37" i="8"/>
  <c r="AJ37" i="8" s="1"/>
  <c r="T54" i="9"/>
  <c r="P54" i="9"/>
  <c r="L54" i="9"/>
  <c r="AK69" i="9"/>
  <c r="AJ69" i="9"/>
  <c r="AI69" i="9"/>
  <c r="AG69" i="9"/>
  <c r="AF69" i="9"/>
  <c r="AE69" i="9"/>
  <c r="AC69" i="9"/>
  <c r="AB69" i="9"/>
  <c r="AA69" i="9"/>
  <c r="Y69" i="9"/>
  <c r="T69" i="9"/>
  <c r="AH69" i="9" s="1"/>
  <c r="P69" i="9"/>
  <c r="AD69" i="9" s="1"/>
  <c r="L69" i="9"/>
  <c r="Z69" i="9" s="1"/>
  <c r="L24" i="21"/>
  <c r="L23" i="21"/>
  <c r="L22" i="21"/>
  <c r="L21" i="21"/>
  <c r="L20" i="21"/>
  <c r="L19" i="21"/>
  <c r="L18" i="21"/>
  <c r="L17" i="21"/>
  <c r="Z17" i="21" s="1"/>
  <c r="L16" i="21"/>
  <c r="L15" i="21"/>
  <c r="L14" i="21"/>
  <c r="L13" i="21"/>
  <c r="L12" i="21"/>
  <c r="L11" i="21"/>
  <c r="L10" i="21"/>
  <c r="L9" i="21"/>
  <c r="Z9" i="21" s="1"/>
  <c r="L8" i="21"/>
  <c r="L7" i="21"/>
  <c r="W25" i="21"/>
  <c r="W70" i="9" s="1"/>
  <c r="V25" i="21"/>
  <c r="V70" i="9" s="1"/>
  <c r="U25" i="21"/>
  <c r="U70" i="9" s="1"/>
  <c r="T25" i="21"/>
  <c r="S25" i="21"/>
  <c r="S70" i="9" s="1"/>
  <c r="R25" i="21"/>
  <c r="R70" i="9" s="1"/>
  <c r="Q25" i="21"/>
  <c r="Q70" i="9" s="1"/>
  <c r="P25" i="21"/>
  <c r="O25" i="21"/>
  <c r="O70" i="9" s="1"/>
  <c r="N25" i="21"/>
  <c r="N70" i="9" s="1"/>
  <c r="M25" i="21"/>
  <c r="M70" i="9" s="1"/>
  <c r="K25" i="21"/>
  <c r="K70" i="9" s="1"/>
  <c r="J25" i="21"/>
  <c r="J70" i="9" s="1"/>
  <c r="I25" i="21"/>
  <c r="I70" i="9" s="1"/>
  <c r="G25" i="21"/>
  <c r="F25" i="21"/>
  <c r="F70" i="9" s="1"/>
  <c r="E25" i="21"/>
  <c r="D25" i="21"/>
  <c r="C25" i="21"/>
  <c r="C70" i="9" s="1"/>
  <c r="D70" i="9"/>
  <c r="AK7" i="21"/>
  <c r="AJ7" i="21"/>
  <c r="AI7" i="21"/>
  <c r="AG7" i="21"/>
  <c r="AF7" i="21"/>
  <c r="AE7" i="21"/>
  <c r="AD7" i="21"/>
  <c r="AD25" i="21" s="1"/>
  <c r="AC7" i="21"/>
  <c r="AB7" i="21"/>
  <c r="AA7" i="21"/>
  <c r="Z7" i="21"/>
  <c r="Y7" i="21"/>
  <c r="T7" i="21"/>
  <c r="AH7" i="21" s="1"/>
  <c r="AH25" i="21" s="1"/>
  <c r="P7" i="21"/>
  <c r="G70" i="9"/>
  <c r="E70" i="9"/>
  <c r="AK8" i="21"/>
  <c r="AJ8" i="21"/>
  <c r="AI8" i="21"/>
  <c r="AG8" i="21"/>
  <c r="AF8" i="21"/>
  <c r="AE8" i="21"/>
  <c r="AC8" i="21"/>
  <c r="AB8" i="21"/>
  <c r="AA8" i="21"/>
  <c r="Z8" i="21"/>
  <c r="Y8" i="21"/>
  <c r="T8" i="21"/>
  <c r="AH8" i="21" s="1"/>
  <c r="P8" i="21"/>
  <c r="AD8" i="21" s="1"/>
  <c r="P24" i="21"/>
  <c r="AD24" i="21" s="1"/>
  <c r="P23" i="21"/>
  <c r="AD23" i="21" s="1"/>
  <c r="P22" i="21"/>
  <c r="AD22" i="21" s="1"/>
  <c r="P21" i="21"/>
  <c r="AD21" i="21" s="1"/>
  <c r="P20" i="21"/>
  <c r="AD20" i="21" s="1"/>
  <c r="P19" i="21"/>
  <c r="P18" i="21"/>
  <c r="AD18" i="21" s="1"/>
  <c r="P17" i="21"/>
  <c r="AD17" i="21" s="1"/>
  <c r="P16" i="21"/>
  <c r="AD16" i="21" s="1"/>
  <c r="P15" i="21"/>
  <c r="AD15" i="21" s="1"/>
  <c r="P14" i="21"/>
  <c r="AD14" i="21" s="1"/>
  <c r="P13" i="21"/>
  <c r="P12" i="21"/>
  <c r="AD12" i="21" s="1"/>
  <c r="P11" i="21"/>
  <c r="P10" i="21"/>
  <c r="AD10" i="21" s="1"/>
  <c r="P9" i="21"/>
  <c r="AD9" i="21" s="1"/>
  <c r="T24" i="21"/>
  <c r="AH24" i="21" s="1"/>
  <c r="T23" i="21"/>
  <c r="AH23" i="21" s="1"/>
  <c r="T22" i="21"/>
  <c r="AH22" i="21" s="1"/>
  <c r="T21" i="21"/>
  <c r="T20" i="21"/>
  <c r="T19" i="21"/>
  <c r="T18" i="21"/>
  <c r="T17" i="21"/>
  <c r="AH17" i="21" s="1"/>
  <c r="T16" i="21"/>
  <c r="AH16" i="21" s="1"/>
  <c r="T15" i="21"/>
  <c r="T14" i="21"/>
  <c r="AH14" i="21" s="1"/>
  <c r="T13" i="21"/>
  <c r="T12" i="21"/>
  <c r="AH12" i="21" s="1"/>
  <c r="T11" i="21"/>
  <c r="T10" i="21"/>
  <c r="AH10" i="21" s="1"/>
  <c r="T9" i="21"/>
  <c r="AH9" i="21" s="1"/>
  <c r="AJ24" i="21"/>
  <c r="AI24" i="21"/>
  <c r="AG24" i="21"/>
  <c r="AF24" i="21"/>
  <c r="AE24" i="21"/>
  <c r="AC24" i="21"/>
  <c r="AB24" i="21"/>
  <c r="AA24" i="21"/>
  <c r="Z24" i="21"/>
  <c r="Y24" i="21"/>
  <c r="AJ23" i="21"/>
  <c r="AI23" i="21"/>
  <c r="AG23" i="21"/>
  <c r="AF23" i="21"/>
  <c r="AE23" i="21"/>
  <c r="AC23" i="21"/>
  <c r="AB23" i="21"/>
  <c r="AA23" i="21"/>
  <c r="Z23" i="21"/>
  <c r="Y23" i="21"/>
  <c r="AJ22" i="21"/>
  <c r="AI22" i="21"/>
  <c r="AG22" i="21"/>
  <c r="AF22" i="21"/>
  <c r="AE22" i="21"/>
  <c r="AC22" i="21"/>
  <c r="AB22" i="21"/>
  <c r="AA22" i="21"/>
  <c r="Z22" i="21"/>
  <c r="Y22" i="21"/>
  <c r="AJ21" i="21"/>
  <c r="AI21" i="21"/>
  <c r="AH21" i="21"/>
  <c r="AG21" i="21"/>
  <c r="AF21" i="21"/>
  <c r="AE21" i="21"/>
  <c r="AC21" i="21"/>
  <c r="AB21" i="21"/>
  <c r="AA21" i="21"/>
  <c r="Z21" i="21"/>
  <c r="Y21" i="21"/>
  <c r="AJ20" i="21"/>
  <c r="AI20" i="21"/>
  <c r="AH20" i="21"/>
  <c r="AG20" i="21"/>
  <c r="AF20" i="21"/>
  <c r="AE20" i="21"/>
  <c r="AC20" i="21"/>
  <c r="AB20" i="21"/>
  <c r="AA20" i="21"/>
  <c r="Z20" i="21"/>
  <c r="Y20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AJ18" i="21"/>
  <c r="AI18" i="21"/>
  <c r="AH18" i="21"/>
  <c r="AG18" i="21"/>
  <c r="AF18" i="21"/>
  <c r="AE18" i="21"/>
  <c r="AC18" i="21"/>
  <c r="AB18" i="21"/>
  <c r="AA18" i="21"/>
  <c r="Z18" i="21"/>
  <c r="Y18" i="21"/>
  <c r="AJ17" i="21"/>
  <c r="AI17" i="21"/>
  <c r="AG17" i="21"/>
  <c r="AF17" i="21"/>
  <c r="AE17" i="21"/>
  <c r="AC17" i="21"/>
  <c r="AB17" i="21"/>
  <c r="AA17" i="21"/>
  <c r="Y17" i="21"/>
  <c r="AJ16" i="21"/>
  <c r="AI16" i="21"/>
  <c r="AG16" i="21"/>
  <c r="AF16" i="21"/>
  <c r="AE16" i="21"/>
  <c r="AC16" i="21"/>
  <c r="AB16" i="21"/>
  <c r="AA16" i="21"/>
  <c r="Z16" i="21"/>
  <c r="Y16" i="21"/>
  <c r="AJ15" i="21"/>
  <c r="AI15" i="21"/>
  <c r="AH15" i="21"/>
  <c r="AG15" i="21"/>
  <c r="AF15" i="21"/>
  <c r="AE15" i="21"/>
  <c r="AC15" i="21"/>
  <c r="AB15" i="21"/>
  <c r="AA15" i="21"/>
  <c r="Z15" i="21"/>
  <c r="Y15" i="21"/>
  <c r="AJ14" i="21"/>
  <c r="AI14" i="21"/>
  <c r="AG14" i="21"/>
  <c r="AF14" i="21"/>
  <c r="AE14" i="21"/>
  <c r="AC14" i="21"/>
  <c r="AB14" i="21"/>
  <c r="AA14" i="21"/>
  <c r="Z14" i="21"/>
  <c r="Y14" i="21"/>
  <c r="AJ13" i="21"/>
  <c r="AI13" i="21"/>
  <c r="AH13" i="21"/>
  <c r="AG13" i="21"/>
  <c r="AF13" i="21"/>
  <c r="AE13" i="21"/>
  <c r="AD13" i="21"/>
  <c r="AC13" i="21"/>
  <c r="AB13" i="21"/>
  <c r="AA13" i="21"/>
  <c r="Z13" i="21"/>
  <c r="Y13" i="21"/>
  <c r="AJ12" i="21"/>
  <c r="AI12" i="21"/>
  <c r="AG12" i="21"/>
  <c r="AF12" i="21"/>
  <c r="AE12" i="21"/>
  <c r="AC12" i="21"/>
  <c r="AB12" i="21"/>
  <c r="AA12" i="21"/>
  <c r="Z12" i="21"/>
  <c r="Y12" i="21"/>
  <c r="AJ11" i="21"/>
  <c r="AI11" i="21"/>
  <c r="AH11" i="21"/>
  <c r="AG11" i="21"/>
  <c r="AF11" i="21"/>
  <c r="AE11" i="21"/>
  <c r="AD11" i="21"/>
  <c r="AC11" i="21"/>
  <c r="AB11" i="21"/>
  <c r="AA11" i="21"/>
  <c r="Z11" i="21"/>
  <c r="Y11" i="21"/>
  <c r="AJ10" i="21"/>
  <c r="AI10" i="21"/>
  <c r="AG10" i="21"/>
  <c r="AF10" i="21"/>
  <c r="AE10" i="21"/>
  <c r="AC10" i="21"/>
  <c r="AB10" i="21"/>
  <c r="AA10" i="21"/>
  <c r="Z10" i="21"/>
  <c r="Y10" i="21"/>
  <c r="AJ9" i="21"/>
  <c r="AI9" i="21"/>
  <c r="AG9" i="21"/>
  <c r="AF9" i="21"/>
  <c r="AE9" i="21"/>
  <c r="AC9" i="21"/>
  <c r="AB9" i="21"/>
  <c r="AA9" i="21"/>
  <c r="Y9" i="21"/>
  <c r="AK23" i="21"/>
  <c r="AK22" i="21"/>
  <c r="AK21" i="21"/>
  <c r="AK20" i="21"/>
  <c r="AK19" i="21"/>
  <c r="AK18" i="21"/>
  <c r="AK17" i="21"/>
  <c r="AK16" i="21"/>
  <c r="AK15" i="21"/>
  <c r="AK14" i="21"/>
  <c r="AK13" i="21"/>
  <c r="AK12" i="21"/>
  <c r="AK11" i="21"/>
  <c r="AK10" i="21"/>
  <c r="AK9" i="21"/>
  <c r="AK24" i="21"/>
  <c r="W4" i="21"/>
  <c r="AK4" i="21" s="1"/>
  <c r="V4" i="21"/>
  <c r="AJ4" i="21" s="1"/>
  <c r="U4" i="21"/>
  <c r="AI4" i="21" s="1"/>
  <c r="S4" i="21"/>
  <c r="AG4" i="21" s="1"/>
  <c r="R4" i="21"/>
  <c r="AF4" i="21" s="1"/>
  <c r="Q4" i="21"/>
  <c r="AE4" i="21" s="1"/>
  <c r="O4" i="21"/>
  <c r="AC4" i="21" s="1"/>
  <c r="N4" i="21"/>
  <c r="AB4" i="21" s="1"/>
  <c r="M4" i="21"/>
  <c r="AA4" i="21" s="1"/>
  <c r="K4" i="21"/>
  <c r="Y4" i="21" s="1"/>
  <c r="J4" i="21"/>
  <c r="I4" i="21"/>
  <c r="G4" i="21"/>
  <c r="F4" i="21"/>
  <c r="E4" i="21"/>
  <c r="D4" i="21"/>
  <c r="C4" i="21"/>
  <c r="W3" i="21"/>
  <c r="AK3" i="21" s="1"/>
  <c r="V3" i="21"/>
  <c r="AJ3" i="21" s="1"/>
  <c r="U3" i="21"/>
  <c r="AI3" i="21" s="1"/>
  <c r="T3" i="21"/>
  <c r="AH3" i="21" s="1"/>
  <c r="S3" i="21"/>
  <c r="AG3" i="21" s="1"/>
  <c r="R3" i="21"/>
  <c r="AF3" i="21" s="1"/>
  <c r="Q3" i="21"/>
  <c r="AE3" i="21" s="1"/>
  <c r="P3" i="21"/>
  <c r="AD3" i="21" s="1"/>
  <c r="O3" i="21"/>
  <c r="AC3" i="21" s="1"/>
  <c r="N3" i="21"/>
  <c r="AB3" i="21" s="1"/>
  <c r="M3" i="21"/>
  <c r="AA3" i="21" s="1"/>
  <c r="L3" i="21"/>
  <c r="Z3" i="21" s="1"/>
  <c r="K3" i="21"/>
  <c r="Y3" i="21" s="1"/>
  <c r="J3" i="21"/>
  <c r="I3" i="21"/>
  <c r="G3" i="21"/>
  <c r="F3" i="21"/>
  <c r="E3" i="21"/>
  <c r="D3" i="21"/>
  <c r="C3" i="21"/>
  <c r="B2" i="21"/>
  <c r="AO40" i="8" l="1"/>
  <c r="AG25" i="21"/>
  <c r="AF25" i="21"/>
  <c r="AE25" i="21"/>
  <c r="AA25" i="21"/>
  <c r="AI25" i="21"/>
  <c r="AJ25" i="21"/>
  <c r="AK25" i="21"/>
  <c r="AB25" i="21"/>
  <c r="AC25" i="21"/>
  <c r="Y25" i="21"/>
  <c r="Z25" i="21"/>
  <c r="L25" i="21"/>
  <c r="L70" i="9" s="1"/>
  <c r="P70" i="9"/>
  <c r="T70" i="9"/>
  <c r="W61" i="9" l="1"/>
  <c r="AK61" i="9" s="1"/>
  <c r="V61" i="9"/>
  <c r="AJ61" i="9" s="1"/>
  <c r="U61" i="9"/>
  <c r="AI61" i="9" s="1"/>
  <c r="S61" i="9"/>
  <c r="AG61" i="9" s="1"/>
  <c r="R61" i="9"/>
  <c r="Q61" i="9"/>
  <c r="O61" i="9"/>
  <c r="N61" i="9"/>
  <c r="M61" i="9"/>
  <c r="K61" i="9"/>
  <c r="J61" i="9"/>
  <c r="I61" i="9"/>
  <c r="G61" i="9"/>
  <c r="F61" i="9"/>
  <c r="E61" i="9"/>
  <c r="D61" i="9"/>
  <c r="C61" i="9"/>
  <c r="W67" i="9"/>
  <c r="AK67" i="9" s="1"/>
  <c r="V67" i="9"/>
  <c r="AJ67" i="9" s="1"/>
  <c r="U67" i="9"/>
  <c r="AI67" i="9" s="1"/>
  <c r="S67" i="9"/>
  <c r="AG67" i="9" s="1"/>
  <c r="R67" i="9"/>
  <c r="Q67" i="9"/>
  <c r="O67" i="9"/>
  <c r="N67" i="9"/>
  <c r="M67" i="9"/>
  <c r="K67" i="9"/>
  <c r="J67" i="9"/>
  <c r="W66" i="9"/>
  <c r="AK66" i="9" s="1"/>
  <c r="V66" i="9"/>
  <c r="AJ66" i="9" s="1"/>
  <c r="U66" i="9"/>
  <c r="AI66" i="9" s="1"/>
  <c r="S66" i="9"/>
  <c r="AG66" i="9" s="1"/>
  <c r="R66" i="9"/>
  <c r="Q66" i="9"/>
  <c r="O66" i="9"/>
  <c r="N66" i="9"/>
  <c r="M66" i="9"/>
  <c r="K66" i="9"/>
  <c r="J66" i="9"/>
  <c r="I67" i="9"/>
  <c r="I66" i="9"/>
  <c r="G67" i="9"/>
  <c r="F67" i="9"/>
  <c r="E67" i="9"/>
  <c r="D67" i="9"/>
  <c r="C67" i="9"/>
  <c r="G66" i="9"/>
  <c r="F66" i="9"/>
  <c r="E66" i="9"/>
  <c r="D66" i="9"/>
  <c r="C66" i="9"/>
  <c r="W60" i="9"/>
  <c r="AK60" i="9" s="1"/>
  <c r="V60" i="9"/>
  <c r="AJ60" i="9" s="1"/>
  <c r="U60" i="9"/>
  <c r="AI60" i="9" s="1"/>
  <c r="S60" i="9"/>
  <c r="AG60" i="9" s="1"/>
  <c r="R60" i="9"/>
  <c r="Q60" i="9"/>
  <c r="O60" i="9"/>
  <c r="N60" i="9"/>
  <c r="M60" i="9"/>
  <c r="K60" i="9"/>
  <c r="J60" i="9"/>
  <c r="I60" i="9"/>
  <c r="G60" i="9"/>
  <c r="F60" i="9"/>
  <c r="E60" i="9"/>
  <c r="D60" i="9"/>
  <c r="C60" i="9"/>
  <c r="W59" i="9"/>
  <c r="V59" i="9"/>
  <c r="U59" i="9"/>
  <c r="S59" i="9"/>
  <c r="R59" i="9"/>
  <c r="Q59" i="9"/>
  <c r="O59" i="9"/>
  <c r="N59" i="9"/>
  <c r="M59" i="9"/>
  <c r="K59" i="9"/>
  <c r="J59" i="9"/>
  <c r="W58" i="9"/>
  <c r="V58" i="9"/>
  <c r="U58" i="9"/>
  <c r="S58" i="9"/>
  <c r="R58" i="9"/>
  <c r="Q58" i="9"/>
  <c r="O58" i="9"/>
  <c r="N58" i="9"/>
  <c r="M58" i="9"/>
  <c r="K58" i="9"/>
  <c r="J58" i="9"/>
  <c r="I59" i="9"/>
  <c r="G59" i="9"/>
  <c r="F59" i="9"/>
  <c r="E59" i="9"/>
  <c r="D59" i="9"/>
  <c r="C59" i="9"/>
  <c r="W53" i="9"/>
  <c r="V53" i="9"/>
  <c r="U53" i="9"/>
  <c r="S53" i="9"/>
  <c r="R53" i="9"/>
  <c r="Q53" i="9"/>
  <c r="O53" i="9"/>
  <c r="N53" i="9"/>
  <c r="M53" i="9"/>
  <c r="K53" i="9"/>
  <c r="J53" i="9"/>
  <c r="I53" i="9"/>
  <c r="W52" i="9"/>
  <c r="V52" i="9"/>
  <c r="U52" i="9"/>
  <c r="S52" i="9"/>
  <c r="R52" i="9"/>
  <c r="Q52" i="9"/>
  <c r="O52" i="9"/>
  <c r="N52" i="9"/>
  <c r="M52" i="9"/>
  <c r="K52" i="9"/>
  <c r="J52" i="9"/>
  <c r="I52" i="9"/>
  <c r="I58" i="9"/>
  <c r="G58" i="9"/>
  <c r="F58" i="9"/>
  <c r="E58" i="9"/>
  <c r="D58" i="9"/>
  <c r="C58" i="9"/>
  <c r="C45" i="9"/>
  <c r="D45" i="9"/>
  <c r="E45" i="9"/>
  <c r="F45" i="9"/>
  <c r="G45" i="9"/>
  <c r="I45" i="9"/>
  <c r="J45" i="9"/>
  <c r="K45" i="9"/>
  <c r="M45" i="9"/>
  <c r="N45" i="9"/>
  <c r="O45" i="9"/>
  <c r="Q45" i="9"/>
  <c r="R45" i="9"/>
  <c r="S45" i="9"/>
  <c r="U45" i="9"/>
  <c r="V45" i="9"/>
  <c r="W45" i="9"/>
  <c r="W37" i="9"/>
  <c r="V37" i="9"/>
  <c r="U37" i="9"/>
  <c r="S37" i="9"/>
  <c r="R37" i="9"/>
  <c r="Q37" i="9"/>
  <c r="O37" i="9"/>
  <c r="N37" i="9"/>
  <c r="M37" i="9"/>
  <c r="K37" i="9"/>
  <c r="J37" i="9"/>
  <c r="I37" i="9"/>
  <c r="W36" i="9"/>
  <c r="V36" i="9"/>
  <c r="U36" i="9"/>
  <c r="S36" i="9"/>
  <c r="R36" i="9"/>
  <c r="Q36" i="9"/>
  <c r="O36" i="9"/>
  <c r="N36" i="9"/>
  <c r="M36" i="9"/>
  <c r="K36" i="9"/>
  <c r="J36" i="9"/>
  <c r="I36" i="9"/>
  <c r="W46" i="9"/>
  <c r="V46" i="9"/>
  <c r="U46" i="9"/>
  <c r="S46" i="9"/>
  <c r="R46" i="9"/>
  <c r="Q46" i="9"/>
  <c r="O46" i="9"/>
  <c r="N46" i="9"/>
  <c r="M46" i="9"/>
  <c r="K46" i="9"/>
  <c r="J46" i="9"/>
  <c r="I46" i="9"/>
  <c r="W44" i="9"/>
  <c r="V44" i="9"/>
  <c r="U44" i="9"/>
  <c r="S44" i="9"/>
  <c r="R44" i="9"/>
  <c r="Q44" i="9"/>
  <c r="O44" i="9"/>
  <c r="N44" i="9"/>
  <c r="M44" i="9"/>
  <c r="K44" i="9"/>
  <c r="J44" i="9"/>
  <c r="I44" i="9"/>
  <c r="W43" i="9"/>
  <c r="V43" i="9"/>
  <c r="U43" i="9"/>
  <c r="S43" i="9"/>
  <c r="R43" i="9"/>
  <c r="Q43" i="9"/>
  <c r="O43" i="9"/>
  <c r="N43" i="9"/>
  <c r="M43" i="9"/>
  <c r="K43" i="9"/>
  <c r="J43" i="9"/>
  <c r="I43" i="9"/>
  <c r="W42" i="9"/>
  <c r="V42" i="9"/>
  <c r="U42" i="9"/>
  <c r="S42" i="9"/>
  <c r="R42" i="9"/>
  <c r="Q42" i="9"/>
  <c r="O42" i="9"/>
  <c r="N42" i="9"/>
  <c r="M42" i="9"/>
  <c r="K42" i="9"/>
  <c r="J42" i="9"/>
  <c r="I42" i="9"/>
  <c r="W41" i="9"/>
  <c r="V41" i="9"/>
  <c r="U41" i="9"/>
  <c r="S41" i="9"/>
  <c r="R41" i="9"/>
  <c r="Q41" i="9"/>
  <c r="O41" i="9"/>
  <c r="N41" i="9"/>
  <c r="M41" i="9"/>
  <c r="K41" i="9"/>
  <c r="J41" i="9"/>
  <c r="I41" i="9"/>
  <c r="W38" i="9"/>
  <c r="V38" i="9"/>
  <c r="U38" i="9"/>
  <c r="S38" i="9"/>
  <c r="R38" i="9"/>
  <c r="Q38" i="9"/>
  <c r="O38" i="9"/>
  <c r="N38" i="9"/>
  <c r="M38" i="9"/>
  <c r="K38" i="9"/>
  <c r="J38" i="9"/>
  <c r="W35" i="9"/>
  <c r="V35" i="9"/>
  <c r="U35" i="9"/>
  <c r="S35" i="9"/>
  <c r="R35" i="9"/>
  <c r="Q35" i="9"/>
  <c r="O35" i="9"/>
  <c r="N35" i="9"/>
  <c r="M35" i="9"/>
  <c r="K35" i="9"/>
  <c r="J35" i="9"/>
  <c r="I38" i="9"/>
  <c r="I35" i="9"/>
  <c r="W31" i="9"/>
  <c r="V31" i="9"/>
  <c r="U31" i="9"/>
  <c r="S31" i="9"/>
  <c r="R31" i="9"/>
  <c r="Q31" i="9"/>
  <c r="O31" i="9"/>
  <c r="N31" i="9"/>
  <c r="M31" i="9"/>
  <c r="K31" i="9"/>
  <c r="J31" i="9"/>
  <c r="I31" i="9"/>
  <c r="W26" i="9"/>
  <c r="V26" i="9"/>
  <c r="U26" i="9"/>
  <c r="S26" i="9"/>
  <c r="R26" i="9"/>
  <c r="Q26" i="9"/>
  <c r="O26" i="9"/>
  <c r="N26" i="9"/>
  <c r="M26" i="9"/>
  <c r="K26" i="9"/>
  <c r="J26" i="9"/>
  <c r="I26" i="9"/>
  <c r="W22" i="9"/>
  <c r="V22" i="9"/>
  <c r="U22" i="9"/>
  <c r="S22" i="9"/>
  <c r="R22" i="9"/>
  <c r="Q22" i="9"/>
  <c r="O22" i="9"/>
  <c r="N22" i="9"/>
  <c r="M22" i="9"/>
  <c r="K22" i="9"/>
  <c r="J22" i="9"/>
  <c r="I22" i="9"/>
  <c r="W21" i="9"/>
  <c r="V21" i="9"/>
  <c r="U21" i="9"/>
  <c r="S21" i="9"/>
  <c r="R21" i="9"/>
  <c r="Q21" i="9"/>
  <c r="O21" i="9"/>
  <c r="N21" i="9"/>
  <c r="M21" i="9"/>
  <c r="K21" i="9"/>
  <c r="J21" i="9"/>
  <c r="I21" i="9"/>
  <c r="W20" i="9"/>
  <c r="V20" i="9"/>
  <c r="U20" i="9"/>
  <c r="S20" i="9"/>
  <c r="R20" i="9"/>
  <c r="Q20" i="9"/>
  <c r="O20" i="9"/>
  <c r="N20" i="9"/>
  <c r="M20" i="9"/>
  <c r="K20" i="9"/>
  <c r="J20" i="9"/>
  <c r="I20" i="9"/>
  <c r="W15" i="9"/>
  <c r="W27" i="9" s="1"/>
  <c r="V15" i="9"/>
  <c r="V27" i="9" s="1"/>
  <c r="U15" i="9"/>
  <c r="U27" i="9" s="1"/>
  <c r="S15" i="9"/>
  <c r="S27" i="9" s="1"/>
  <c r="R15" i="9"/>
  <c r="R27" i="9" s="1"/>
  <c r="Q15" i="9"/>
  <c r="Q27" i="9" s="1"/>
  <c r="O15" i="9"/>
  <c r="O27" i="9" s="1"/>
  <c r="N15" i="9"/>
  <c r="N27" i="9" s="1"/>
  <c r="M15" i="9"/>
  <c r="M27" i="9" s="1"/>
  <c r="K15" i="9"/>
  <c r="K27" i="9" s="1"/>
  <c r="J15" i="9"/>
  <c r="J27" i="9" s="1"/>
  <c r="I15" i="9"/>
  <c r="I27" i="9" s="1"/>
  <c r="I6" i="9"/>
  <c r="J6" i="9"/>
  <c r="K6" i="9"/>
  <c r="M6" i="9"/>
  <c r="N6" i="9"/>
  <c r="O6" i="9"/>
  <c r="Q6" i="9"/>
  <c r="R6" i="9"/>
  <c r="S6" i="9"/>
  <c r="U6" i="9"/>
  <c r="V6" i="9"/>
  <c r="W6" i="9"/>
  <c r="I7" i="9"/>
  <c r="J7" i="9"/>
  <c r="K7" i="9"/>
  <c r="M7" i="9"/>
  <c r="N7" i="9"/>
  <c r="O7" i="9"/>
  <c r="Q7" i="9"/>
  <c r="R7" i="9"/>
  <c r="S7" i="9"/>
  <c r="U7" i="9"/>
  <c r="V7" i="9"/>
  <c r="W7" i="9"/>
  <c r="I8" i="9"/>
  <c r="J8" i="9"/>
  <c r="K8" i="9"/>
  <c r="M8" i="9"/>
  <c r="N8" i="9"/>
  <c r="O8" i="9"/>
  <c r="Q8" i="9"/>
  <c r="R8" i="9"/>
  <c r="S8" i="9"/>
  <c r="U8" i="9"/>
  <c r="V8" i="9"/>
  <c r="W8" i="9"/>
  <c r="I9" i="9"/>
  <c r="J9" i="9"/>
  <c r="K9" i="9"/>
  <c r="M9" i="9"/>
  <c r="N9" i="9"/>
  <c r="O9" i="9"/>
  <c r="Q9" i="9"/>
  <c r="R9" i="9"/>
  <c r="S9" i="9"/>
  <c r="U9" i="9"/>
  <c r="V9" i="9"/>
  <c r="W9" i="9"/>
  <c r="G46" i="9"/>
  <c r="F46" i="9"/>
  <c r="E46" i="9"/>
  <c r="D46" i="9"/>
  <c r="C46" i="9"/>
  <c r="G44" i="9"/>
  <c r="F44" i="9"/>
  <c r="E44" i="9"/>
  <c r="D44" i="9"/>
  <c r="C44" i="9"/>
  <c r="G53" i="9"/>
  <c r="F53" i="9"/>
  <c r="E53" i="9"/>
  <c r="D53" i="9"/>
  <c r="C53" i="9"/>
  <c r="G52" i="9"/>
  <c r="F52" i="9"/>
  <c r="E52" i="9"/>
  <c r="D52" i="9"/>
  <c r="C52" i="9"/>
  <c r="G43" i="9"/>
  <c r="F43" i="9"/>
  <c r="E43" i="9"/>
  <c r="D43" i="9"/>
  <c r="C43" i="9"/>
  <c r="G42" i="9"/>
  <c r="F42" i="9"/>
  <c r="E42" i="9"/>
  <c r="D42" i="9"/>
  <c r="C42" i="9"/>
  <c r="G41" i="9"/>
  <c r="F41" i="9"/>
  <c r="E41" i="9"/>
  <c r="D41" i="9"/>
  <c r="C41" i="9"/>
  <c r="G38" i="9"/>
  <c r="F38" i="9"/>
  <c r="E38" i="9"/>
  <c r="D38" i="9"/>
  <c r="C38" i="9"/>
  <c r="G37" i="9"/>
  <c r="F37" i="9"/>
  <c r="E37" i="9"/>
  <c r="D37" i="9"/>
  <c r="C37" i="9"/>
  <c r="G36" i="9"/>
  <c r="F36" i="9"/>
  <c r="E36" i="9"/>
  <c r="D36" i="9"/>
  <c r="C36" i="9"/>
  <c r="G35" i="9"/>
  <c r="F35" i="9"/>
  <c r="E35" i="9"/>
  <c r="D35" i="9"/>
  <c r="C35" i="9"/>
  <c r="G31" i="9"/>
  <c r="F31" i="9"/>
  <c r="E31" i="9"/>
  <c r="D31" i="9"/>
  <c r="C31" i="9"/>
  <c r="G26" i="9"/>
  <c r="F26" i="9"/>
  <c r="E26" i="9"/>
  <c r="D26" i="9"/>
  <c r="C26" i="9"/>
  <c r="G22" i="9"/>
  <c r="F22" i="9"/>
  <c r="E22" i="9"/>
  <c r="D22" i="9"/>
  <c r="C22" i="9"/>
  <c r="G21" i="9"/>
  <c r="F21" i="9"/>
  <c r="E21" i="9"/>
  <c r="D21" i="9"/>
  <c r="C21" i="9"/>
  <c r="G20" i="9"/>
  <c r="F20" i="9"/>
  <c r="E20" i="9"/>
  <c r="D20" i="9"/>
  <c r="C20" i="9"/>
  <c r="G15" i="9"/>
  <c r="G27" i="9" s="1"/>
  <c r="F15" i="9"/>
  <c r="F27" i="9" s="1"/>
  <c r="E15" i="9"/>
  <c r="E27" i="9" s="1"/>
  <c r="D15" i="9"/>
  <c r="D27" i="9" s="1"/>
  <c r="C15" i="9"/>
  <c r="C27" i="9" s="1"/>
  <c r="W10" i="9"/>
  <c r="V10" i="9"/>
  <c r="U10" i="9"/>
  <c r="S10" i="9"/>
  <c r="R10" i="9"/>
  <c r="Q10" i="9"/>
  <c r="O10" i="9"/>
  <c r="N10" i="9"/>
  <c r="M10" i="9"/>
  <c r="K10" i="9"/>
  <c r="J10" i="9"/>
  <c r="I10" i="9"/>
  <c r="G10" i="9"/>
  <c r="F10" i="9"/>
  <c r="E10" i="9"/>
  <c r="D10" i="9"/>
  <c r="C10" i="9"/>
  <c r="G9" i="9"/>
  <c r="F9" i="9"/>
  <c r="E9" i="9"/>
  <c r="D9" i="9"/>
  <c r="C9" i="9"/>
  <c r="G8" i="9"/>
  <c r="F8" i="9"/>
  <c r="E8" i="9"/>
  <c r="D8" i="9"/>
  <c r="C8" i="9"/>
  <c r="G7" i="9"/>
  <c r="F7" i="9"/>
  <c r="E7" i="9"/>
  <c r="D7" i="9"/>
  <c r="C7" i="9"/>
  <c r="G6" i="9"/>
  <c r="F6" i="9"/>
  <c r="E6" i="9"/>
  <c r="D6" i="9"/>
  <c r="C6" i="9"/>
  <c r="B10" i="9"/>
  <c r="B9" i="9"/>
  <c r="B8" i="9"/>
  <c r="B7" i="9"/>
  <c r="B6" i="9"/>
  <c r="T7" i="9"/>
  <c r="T6" i="9"/>
  <c r="P9" i="9"/>
  <c r="P7" i="9"/>
  <c r="P6" i="9"/>
  <c r="L10" i="9"/>
  <c r="L9" i="9"/>
  <c r="L8" i="9"/>
  <c r="L7" i="9"/>
  <c r="L6" i="9"/>
  <c r="AM148" i="8"/>
  <c r="AK148" i="8"/>
  <c r="AM144" i="8"/>
  <c r="S144" i="8"/>
  <c r="R144" i="8"/>
  <c r="P144" i="8"/>
  <c r="O144" i="8"/>
  <c r="AC148" i="8"/>
  <c r="AE144" i="8"/>
  <c r="AD144" i="8"/>
  <c r="J144" i="8"/>
  <c r="AD125" i="8"/>
  <c r="AE124" i="8"/>
  <c r="AC119" i="8"/>
  <c r="AD118" i="8"/>
  <c r="AE129" i="8"/>
  <c r="AE130" i="8"/>
  <c r="AD131" i="8"/>
  <c r="T148" i="8"/>
  <c r="U144" i="8" s="1"/>
  <c r="P148" i="8"/>
  <c r="Q144" i="8" s="1"/>
  <c r="L148" i="8"/>
  <c r="M144" i="8" s="1"/>
  <c r="D144" i="8"/>
  <c r="T13" i="8"/>
  <c r="AK13" i="8" s="1"/>
  <c r="P13" i="8"/>
  <c r="AH13" i="8" s="1"/>
  <c r="L13" i="8"/>
  <c r="AD13" i="8" s="1"/>
  <c r="AA13" i="8"/>
  <c r="W16" i="9"/>
  <c r="V16" i="9"/>
  <c r="U16" i="9"/>
  <c r="S16" i="9"/>
  <c r="R16" i="9"/>
  <c r="Q16" i="9"/>
  <c r="O16" i="9"/>
  <c r="N16" i="9"/>
  <c r="M16" i="9"/>
  <c r="K16" i="9"/>
  <c r="J16" i="9"/>
  <c r="I16" i="9"/>
  <c r="G16" i="9"/>
  <c r="F16" i="9"/>
  <c r="E16" i="9"/>
  <c r="D16" i="9"/>
  <c r="C16" i="9"/>
  <c r="AA131" i="8"/>
  <c r="AH130" i="8"/>
  <c r="AA130" i="8"/>
  <c r="AM129" i="8"/>
  <c r="AM140" i="8" s="1"/>
  <c r="AF129" i="8"/>
  <c r="Y129" i="8"/>
  <c r="AM106" i="8"/>
  <c r="AI106" i="8"/>
  <c r="AE106" i="8"/>
  <c r="Y106" i="8"/>
  <c r="AM105" i="8"/>
  <c r="AG105" i="8"/>
  <c r="AE105" i="8"/>
  <c r="Z105" i="8"/>
  <c r="AL104" i="8"/>
  <c r="AH104" i="8"/>
  <c r="AB104" i="8"/>
  <c r="AA104" i="8"/>
  <c r="AL103" i="8"/>
  <c r="AI103" i="8"/>
  <c r="AB103" i="8"/>
  <c r="AA103" i="8"/>
  <c r="AL102" i="8"/>
  <c r="AI102" i="8"/>
  <c r="AC102" i="8"/>
  <c r="Z102" i="8"/>
  <c r="AK101" i="8"/>
  <c r="AI101" i="8"/>
  <c r="AD101" i="8"/>
  <c r="AA101" i="8"/>
  <c r="T53" i="9"/>
  <c r="P53" i="9"/>
  <c r="L53" i="9"/>
  <c r="T52" i="9"/>
  <c r="P52" i="9"/>
  <c r="L52" i="9"/>
  <c r="T58" i="9"/>
  <c r="P58" i="9"/>
  <c r="L58" i="9"/>
  <c r="T66" i="9"/>
  <c r="AH66" i="9" s="1"/>
  <c r="P66" i="9"/>
  <c r="L66" i="9"/>
  <c r="T61" i="9"/>
  <c r="AH61" i="9" s="1"/>
  <c r="P61" i="9"/>
  <c r="L61" i="9"/>
  <c r="T60" i="9"/>
  <c r="AH60" i="9" s="1"/>
  <c r="P60" i="9"/>
  <c r="L60" i="9"/>
  <c r="T59" i="9"/>
  <c r="P59" i="9"/>
  <c r="L59" i="9"/>
  <c r="T67" i="9"/>
  <c r="AH67" i="9" s="1"/>
  <c r="P67" i="9"/>
  <c r="L67" i="9"/>
  <c r="T84" i="8"/>
  <c r="P84" i="8"/>
  <c r="L84" i="8"/>
  <c r="T83" i="8"/>
  <c r="P83" i="8"/>
  <c r="L83" i="8"/>
  <c r="T82" i="8"/>
  <c r="P82" i="8"/>
  <c r="L82" i="8"/>
  <c r="T114" i="8"/>
  <c r="P114" i="8"/>
  <c r="L114" i="8"/>
  <c r="T113" i="8"/>
  <c r="P113" i="8"/>
  <c r="L113" i="8"/>
  <c r="T109" i="8"/>
  <c r="P109" i="8"/>
  <c r="L109" i="8"/>
  <c r="AM125" i="8"/>
  <c r="AH125" i="8"/>
  <c r="AA125" i="8"/>
  <c r="AM124" i="8"/>
  <c r="AI124" i="8"/>
  <c r="AA124" i="8"/>
  <c r="AJ119" i="8"/>
  <c r="AG119" i="8"/>
  <c r="AA119" i="8"/>
  <c r="AK118" i="8"/>
  <c r="AI118" i="8"/>
  <c r="AA118" i="8"/>
  <c r="T10" i="9" l="1"/>
  <c r="T8" i="9"/>
  <c r="P10" i="9"/>
  <c r="AG10" i="9" s="1"/>
  <c r="T9" i="9"/>
  <c r="P8" i="9"/>
  <c r="P11" i="9" s="1"/>
  <c r="N144" i="8"/>
  <c r="T45" i="9"/>
  <c r="AI45" i="9" s="1"/>
  <c r="L38" i="9"/>
  <c r="L45" i="9"/>
  <c r="Z148" i="8"/>
  <c r="L144" i="8"/>
  <c r="P45" i="9"/>
  <c r="AF45" i="9" s="1"/>
  <c r="P38" i="9"/>
  <c r="AI155" i="8"/>
  <c r="AM103" i="8"/>
  <c r="AO103" i="8" s="1"/>
  <c r="AO106" i="8"/>
  <c r="AH105" i="8"/>
  <c r="AG129" i="8"/>
  <c r="AA148" i="8"/>
  <c r="AI105" i="8"/>
  <c r="AO105" i="8" s="1"/>
  <c r="AH129" i="8"/>
  <c r="L42" i="9"/>
  <c r="P43" i="9"/>
  <c r="T38" i="9"/>
  <c r="AF130" i="8"/>
  <c r="AH144" i="8"/>
  <c r="AD155" i="8"/>
  <c r="AE13" i="8"/>
  <c r="AE131" i="8"/>
  <c r="AE140" i="8" s="1"/>
  <c r="AJ144" i="8"/>
  <c r="AM13" i="8"/>
  <c r="AM118" i="8"/>
  <c r="AD102" i="8"/>
  <c r="AC124" i="8"/>
  <c r="K144" i="8"/>
  <c r="AH103" i="8"/>
  <c r="AE125" i="8"/>
  <c r="Y101" i="8"/>
  <c r="AE102" i="8"/>
  <c r="AI104" i="8"/>
  <c r="AK105" i="8"/>
  <c r="Y119" i="8"/>
  <c r="AK124" i="8"/>
  <c r="AL129" i="8"/>
  <c r="AL140" i="8" s="1"/>
  <c r="AB148" i="8"/>
  <c r="L31" i="9"/>
  <c r="T31" i="9"/>
  <c r="L35" i="9"/>
  <c r="T35" i="9"/>
  <c r="P42" i="9"/>
  <c r="AJ124" i="8"/>
  <c r="Y13" i="8"/>
  <c r="AE101" i="8"/>
  <c r="AK102" i="8"/>
  <c r="AJ104" i="8"/>
  <c r="AG106" i="8"/>
  <c r="AD119" i="8"/>
  <c r="AL124" i="8"/>
  <c r="Y130" i="8"/>
  <c r="AG148" i="8"/>
  <c r="P15" i="9"/>
  <c r="P27" i="9" s="1"/>
  <c r="L26" i="9"/>
  <c r="T26" i="9"/>
  <c r="P41" i="9"/>
  <c r="L46" i="9"/>
  <c r="T46" i="9"/>
  <c r="Z13" i="8"/>
  <c r="AF101" i="8"/>
  <c r="Y103" i="8"/>
  <c r="AH106" i="8"/>
  <c r="AC118" i="8"/>
  <c r="AE119" i="8"/>
  <c r="AB125" i="8"/>
  <c r="Z130" i="8"/>
  <c r="AO131" i="8"/>
  <c r="AH148" i="8"/>
  <c r="L44" i="9"/>
  <c r="T44" i="9"/>
  <c r="AC13" i="8"/>
  <c r="AG101" i="8"/>
  <c r="AC103" i="8"/>
  <c r="AA105" i="8"/>
  <c r="AE118" i="8"/>
  <c r="AK119" i="8"/>
  <c r="AC125" i="8"/>
  <c r="Z129" i="8"/>
  <c r="AB130" i="8"/>
  <c r="AJ148" i="8"/>
  <c r="L43" i="9"/>
  <c r="T43" i="9"/>
  <c r="AJ101" i="8"/>
  <c r="AB105" i="8"/>
  <c r="AF118" i="8"/>
  <c r="AA129" i="8"/>
  <c r="AA140" i="8" s="1"/>
  <c r="P31" i="9"/>
  <c r="P35" i="9"/>
  <c r="T42" i="9"/>
  <c r="AF13" i="8"/>
  <c r="AL101" i="8"/>
  <c r="AJ103" i="8"/>
  <c r="AC105" i="8"/>
  <c r="AH118" i="8"/>
  <c r="AD124" i="8"/>
  <c r="AI125" i="8"/>
  <c r="AC129" i="8"/>
  <c r="AG144" i="8"/>
  <c r="L15" i="9"/>
  <c r="L27" i="9" s="1"/>
  <c r="T15" i="9"/>
  <c r="T27" i="9" s="1"/>
  <c r="P26" i="9"/>
  <c r="L41" i="9"/>
  <c r="T41" i="9"/>
  <c r="P46" i="9"/>
  <c r="AL13" i="8"/>
  <c r="AM101" i="8"/>
  <c r="AO101" i="8" s="1"/>
  <c r="AK103" i="8"/>
  <c r="AL118" i="8"/>
  <c r="AF124" i="8"/>
  <c r="P44" i="9"/>
  <c r="G11" i="9"/>
  <c r="C11" i="9"/>
  <c r="D11" i="9"/>
  <c r="E11" i="9"/>
  <c r="F11" i="9"/>
  <c r="N11" i="9"/>
  <c r="O11" i="9"/>
  <c r="I11" i="9"/>
  <c r="M11" i="9"/>
  <c r="V11" i="9"/>
  <c r="U11" i="9"/>
  <c r="W11" i="9"/>
  <c r="S11" i="9"/>
  <c r="R11" i="9"/>
  <c r="L11" i="9"/>
  <c r="Q11" i="9"/>
  <c r="K11" i="9"/>
  <c r="J11" i="9"/>
  <c r="AH10" i="9"/>
  <c r="AI10" i="9"/>
  <c r="AJ10" i="9"/>
  <c r="AK10" i="9"/>
  <c r="AE155" i="8"/>
  <c r="Y155" i="8"/>
  <c r="AC104" i="8"/>
  <c r="AA106" i="8"/>
  <c r="Y118" i="8"/>
  <c r="AL119" i="8"/>
  <c r="AJ125" i="8"/>
  <c r="AF131" i="8"/>
  <c r="AA144" i="8"/>
  <c r="AF102" i="8"/>
  <c r="AD104" i="8"/>
  <c r="AB106" i="8"/>
  <c r="Z118" i="8"/>
  <c r="AM119" i="8"/>
  <c r="AK125" i="8"/>
  <c r="AI129" i="8"/>
  <c r="AI140" i="8" s="1"/>
  <c r="AG131" i="8"/>
  <c r="AH101" i="8"/>
  <c r="AG102" i="8"/>
  <c r="AF103" i="8"/>
  <c r="AE104" i="8"/>
  <c r="AD105" i="8"/>
  <c r="AC106" i="8"/>
  <c r="Z119" i="8"/>
  <c r="Y124" i="8"/>
  <c r="AL125" i="8"/>
  <c r="AJ129" i="8"/>
  <c r="AJ140" i="8" s="1"/>
  <c r="AH131" i="8"/>
  <c r="AC144" i="8"/>
  <c r="AC155" i="8"/>
  <c r="Z106" i="8"/>
  <c r="Z144" i="8"/>
  <c r="AD103" i="8"/>
  <c r="AG130" i="8"/>
  <c r="AE103" i="8"/>
  <c r="AB144" i="8"/>
  <c r="AB13" i="8"/>
  <c r="AH102" i="8"/>
  <c r="AG103" i="8"/>
  <c r="AF104" i="8"/>
  <c r="AD106" i="8"/>
  <c r="AB118" i="8"/>
  <c r="Z124" i="8"/>
  <c r="Y125" i="8"/>
  <c r="AK129" i="8"/>
  <c r="AK140" i="8" s="1"/>
  <c r="AD148" i="8"/>
  <c r="AG104" i="8"/>
  <c r="AF105" i="8"/>
  <c r="AB119" i="8"/>
  <c r="Z125" i="8"/>
  <c r="AE148" i="8"/>
  <c r="AJ102" i="8"/>
  <c r="AF106" i="8"/>
  <c r="AB124" i="8"/>
  <c r="AF148" i="8"/>
  <c r="AF144" i="8"/>
  <c r="Y131" i="8"/>
  <c r="AG13" i="8"/>
  <c r="Z101" i="8"/>
  <c r="Y102" i="8"/>
  <c r="AM102" i="8"/>
  <c r="AO102" i="8" s="1"/>
  <c r="AK104" i="8"/>
  <c r="AJ105" i="8"/>
  <c r="AG118" i="8"/>
  <c r="AF119" i="8"/>
  <c r="AB129" i="8"/>
  <c r="Z131" i="8"/>
  <c r="AI148" i="8"/>
  <c r="AI144" i="8"/>
  <c r="AI13" i="8"/>
  <c r="AB101" i="8"/>
  <c r="AA102" i="8"/>
  <c r="Z103" i="8"/>
  <c r="Y104" i="8"/>
  <c r="AM104" i="8"/>
  <c r="AL105" i="8"/>
  <c r="AK106" i="8"/>
  <c r="AH119" i="8"/>
  <c r="AG124" i="8"/>
  <c r="AF125" i="8"/>
  <c r="AD129" i="8"/>
  <c r="AC130" i="8"/>
  <c r="AB131" i="8"/>
  <c r="AK144" i="8"/>
  <c r="AJ13" i="8"/>
  <c r="AC101" i="8"/>
  <c r="AB102" i="8"/>
  <c r="Z104" i="8"/>
  <c r="Y105" i="8"/>
  <c r="AL106" i="8"/>
  <c r="AJ118" i="8"/>
  <c r="AI119" i="8"/>
  <c r="AH124" i="8"/>
  <c r="AG125" i="8"/>
  <c r="AD130" i="8"/>
  <c r="AC131" i="8"/>
  <c r="AL148" i="8"/>
  <c r="AL144" i="8"/>
  <c r="AJ106" i="8"/>
  <c r="Y148" i="8"/>
  <c r="Y144" i="8"/>
  <c r="E144" i="8"/>
  <c r="F144" i="8"/>
  <c r="G144" i="8"/>
  <c r="T144" i="8"/>
  <c r="T16" i="9"/>
  <c r="AK16" i="9" s="1"/>
  <c r="Z140" i="8" l="1"/>
  <c r="AB140" i="8"/>
  <c r="AG140" i="8"/>
  <c r="AF140" i="8"/>
  <c r="Y140" i="8"/>
  <c r="AC140" i="8"/>
  <c r="AD140" i="8"/>
  <c r="AH140" i="8"/>
  <c r="AH45" i="9"/>
  <c r="T11" i="9"/>
  <c r="AG45" i="9"/>
  <c r="AG155" i="8"/>
  <c r="AB155" i="8"/>
  <c r="AL155" i="8"/>
  <c r="AH155" i="8"/>
  <c r="AK155" i="8"/>
  <c r="AF155" i="8"/>
  <c r="AO130" i="8"/>
  <c r="AK45" i="9"/>
  <c r="AJ45" i="9"/>
  <c r="AO13" i="8"/>
  <c r="AM155" i="8"/>
  <c r="AJ155" i="8"/>
  <c r="AO104" i="8"/>
  <c r="AH16" i="9"/>
  <c r="AJ16" i="9"/>
  <c r="L16" i="9"/>
  <c r="P16" i="9"/>
  <c r="AG16" i="9" s="1"/>
  <c r="AI16" i="9"/>
  <c r="AM10" i="9"/>
  <c r="Z155" i="8"/>
  <c r="AA155" i="8"/>
  <c r="T29" i="8" l="1"/>
  <c r="P29" i="8"/>
  <c r="L36" i="9"/>
  <c r="T25" i="8"/>
  <c r="P25" i="8"/>
  <c r="L25" i="8"/>
  <c r="T24" i="8"/>
  <c r="T37" i="9" s="1"/>
  <c r="P24" i="8"/>
  <c r="P37" i="9" s="1"/>
  <c r="L24" i="8"/>
  <c r="L37" i="9" s="1"/>
  <c r="T23" i="8"/>
  <c r="P23" i="8"/>
  <c r="L23" i="8"/>
  <c r="T19" i="8"/>
  <c r="T22" i="9" s="1"/>
  <c r="P19" i="8"/>
  <c r="P22" i="9" s="1"/>
  <c r="L19" i="8"/>
  <c r="L22" i="9" s="1"/>
  <c r="T18" i="8"/>
  <c r="T21" i="9" s="1"/>
  <c r="P18" i="8"/>
  <c r="P21" i="9" s="1"/>
  <c r="L18" i="8"/>
  <c r="L21" i="9" s="1"/>
  <c r="T17" i="8"/>
  <c r="T20" i="9" s="1"/>
  <c r="P17" i="8"/>
  <c r="P20" i="9" s="1"/>
  <c r="L17" i="8"/>
  <c r="L20" i="9" s="1"/>
  <c r="P36" i="9" l="1"/>
  <c r="T36" i="9"/>
  <c r="Z29" i="8"/>
  <c r="Z34" i="8" s="1"/>
  <c r="AA29" i="8"/>
  <c r="AA34" i="8" s="1"/>
  <c r="Y29" i="8"/>
  <c r="Y34" i="8" s="1"/>
  <c r="AA24" i="8"/>
  <c r="Z24" i="8"/>
  <c r="Y24" i="8"/>
  <c r="AD24" i="8"/>
  <c r="AB24" i="8"/>
  <c r="AE24" i="8"/>
  <c r="AC24" i="8"/>
  <c r="AG24" i="8"/>
  <c r="AF24" i="8"/>
  <c r="AH24" i="8"/>
  <c r="AI24" i="8"/>
  <c r="AM24" i="8"/>
  <c r="AL24" i="8"/>
  <c r="AK24" i="8"/>
  <c r="AJ24" i="8"/>
  <c r="AC25" i="8"/>
  <c r="AE25" i="8"/>
  <c r="AD25" i="8"/>
  <c r="AB25" i="8"/>
  <c r="AF25" i="8"/>
  <c r="AI25" i="8"/>
  <c r="AH25" i="8"/>
  <c r="AG25" i="8"/>
  <c r="AE29" i="8"/>
  <c r="AE34" i="8" s="1"/>
  <c r="AB29" i="8"/>
  <c r="AB34" i="8" s="1"/>
  <c r="AD29" i="8"/>
  <c r="AD34" i="8" s="1"/>
  <c r="AC29" i="8"/>
  <c r="AC34" i="8" s="1"/>
  <c r="AA25" i="8"/>
  <c r="Y25" i="8"/>
  <c r="Z25" i="8"/>
  <c r="AA23" i="8"/>
  <c r="Z23" i="8"/>
  <c r="Y23" i="8"/>
  <c r="AF29" i="8"/>
  <c r="AF34" i="8" s="1"/>
  <c r="AI29" i="8"/>
  <c r="AI34" i="8" s="1"/>
  <c r="AH29" i="8"/>
  <c r="AH34" i="8" s="1"/>
  <c r="AG29" i="8"/>
  <c r="AG34" i="8" s="1"/>
  <c r="AM25" i="8"/>
  <c r="AK25" i="8"/>
  <c r="AJ25" i="8"/>
  <c r="AL25" i="8"/>
  <c r="AE23" i="8"/>
  <c r="AC23" i="8"/>
  <c r="AD23" i="8"/>
  <c r="AB23" i="8"/>
  <c r="AM29" i="8"/>
  <c r="AM34" i="8" s="1"/>
  <c r="AL29" i="8"/>
  <c r="AL34" i="8" s="1"/>
  <c r="AK29" i="8"/>
  <c r="AK34" i="8" s="1"/>
  <c r="AJ29" i="8"/>
  <c r="AJ34" i="8" s="1"/>
  <c r="AH23" i="8"/>
  <c r="AG23" i="8"/>
  <c r="AF23" i="8"/>
  <c r="AI23" i="8"/>
  <c r="AA10" i="8"/>
  <c r="Y10" i="8"/>
  <c r="Z10" i="8"/>
  <c r="AM23" i="8"/>
  <c r="AK23" i="8"/>
  <c r="AL23" i="8"/>
  <c r="AJ23" i="8"/>
  <c r="AO34" i="8" l="1"/>
  <c r="AH54" i="9"/>
  <c r="AK54" i="9"/>
  <c r="AJ54" i="9"/>
  <c r="AI54" i="9"/>
  <c r="AG54" i="9"/>
  <c r="AK53" i="9"/>
  <c r="AJ53" i="9"/>
  <c r="AI53" i="9"/>
  <c r="AG53" i="9"/>
  <c r="T8" i="8"/>
  <c r="T4" i="21" s="1"/>
  <c r="AH4" i="21" s="1"/>
  <c r="P8" i="8"/>
  <c r="P4" i="21" s="1"/>
  <c r="AD4" i="21" s="1"/>
  <c r="L8" i="8"/>
  <c r="L4" i="21" s="1"/>
  <c r="Z4" i="21" s="1"/>
  <c r="I126" i="8"/>
  <c r="J55" i="9" l="1"/>
  <c r="M126" i="8"/>
  <c r="C55" i="9"/>
  <c r="F55" i="9"/>
  <c r="K55" i="9"/>
  <c r="V55" i="9"/>
  <c r="E55" i="9"/>
  <c r="O55" i="9"/>
  <c r="G55" i="9"/>
  <c r="I55" i="9"/>
  <c r="S55" i="9"/>
  <c r="D55" i="9"/>
  <c r="N55" i="9"/>
  <c r="M55" i="9"/>
  <c r="Q55" i="9"/>
  <c r="R55" i="9"/>
  <c r="U55" i="9"/>
  <c r="W55" i="9"/>
  <c r="Q126" i="8"/>
  <c r="R126" i="8"/>
  <c r="N126" i="8"/>
  <c r="O126" i="8"/>
  <c r="J126" i="8"/>
  <c r="AK44" i="9" l="1"/>
  <c r="S126" i="8"/>
  <c r="K126" i="8"/>
  <c r="AO119" i="8" l="1"/>
  <c r="AO124" i="8"/>
  <c r="AI44" i="9"/>
  <c r="AH44" i="9"/>
  <c r="AG44" i="9"/>
  <c r="AJ44" i="9"/>
  <c r="AI79" i="8" l="1"/>
  <c r="AH79" i="8"/>
  <c r="AG79" i="8"/>
  <c r="AD79" i="8"/>
  <c r="AE79" i="8"/>
  <c r="AA79" i="8"/>
  <c r="Z79" i="8"/>
  <c r="Y79" i="8"/>
  <c r="K72" i="8"/>
  <c r="K62" i="9" s="1"/>
  <c r="J72" i="8"/>
  <c r="J62" i="9" s="1"/>
  <c r="I72" i="8"/>
  <c r="I62" i="9" s="1"/>
  <c r="O54" i="8"/>
  <c r="J54" i="8"/>
  <c r="I54" i="8"/>
  <c r="AG9" i="9"/>
  <c r="AG7" i="9"/>
  <c r="D126" i="8"/>
  <c r="C126" i="8"/>
  <c r="W62" i="9"/>
  <c r="V62" i="9"/>
  <c r="U62" i="9"/>
  <c r="S72" i="8"/>
  <c r="S62" i="9" s="1"/>
  <c r="R72" i="8"/>
  <c r="R62" i="9" s="1"/>
  <c r="Q72" i="8"/>
  <c r="Q62" i="9" s="1"/>
  <c r="O72" i="8"/>
  <c r="O62" i="9" s="1"/>
  <c r="N72" i="8"/>
  <c r="N62" i="9" s="1"/>
  <c r="M72" i="8"/>
  <c r="M62" i="9" s="1"/>
  <c r="G72" i="8"/>
  <c r="G62" i="9" s="1"/>
  <c r="F72" i="8"/>
  <c r="F62" i="9" s="1"/>
  <c r="E72" i="8"/>
  <c r="E62" i="9" s="1"/>
  <c r="D72" i="8"/>
  <c r="D62" i="9" s="1"/>
  <c r="AF10" i="10"/>
  <c r="G126" i="8"/>
  <c r="F126" i="8"/>
  <c r="E126" i="8"/>
  <c r="AG113" i="8"/>
  <c r="AJ112" i="8"/>
  <c r="AC112" i="8"/>
  <c r="L85" i="8"/>
  <c r="AB85" i="8" s="1"/>
  <c r="AB84" i="8"/>
  <c r="AB83" i="8"/>
  <c r="AB82" i="8"/>
  <c r="AK70" i="9"/>
  <c r="W71" i="9"/>
  <c r="AK59" i="9"/>
  <c r="AK58" i="9"/>
  <c r="AK52" i="9"/>
  <c r="AK55" i="9" s="1"/>
  <c r="W4" i="9"/>
  <c r="AK4" i="9" s="1"/>
  <c r="W3" i="9"/>
  <c r="AK3" i="9" s="1"/>
  <c r="AA85" i="8"/>
  <c r="Z85" i="8"/>
  <c r="Y85" i="8"/>
  <c r="AA84" i="8"/>
  <c r="Z84" i="8"/>
  <c r="Y84" i="8"/>
  <c r="AA83" i="8"/>
  <c r="Z83" i="8"/>
  <c r="Y83" i="8"/>
  <c r="AA82" i="8"/>
  <c r="Z82" i="8"/>
  <c r="Y82" i="8"/>
  <c r="AA75" i="8"/>
  <c r="Z75" i="8"/>
  <c r="Y75" i="8"/>
  <c r="AA71" i="8"/>
  <c r="Z71" i="8"/>
  <c r="Y71" i="8"/>
  <c r="AA70" i="8"/>
  <c r="Z70" i="8"/>
  <c r="Y70" i="8"/>
  <c r="AA69" i="8"/>
  <c r="AA66" i="8"/>
  <c r="Z66" i="8"/>
  <c r="Y66" i="8"/>
  <c r="AA57" i="8"/>
  <c r="Z57" i="8"/>
  <c r="Y57" i="8"/>
  <c r="AA48" i="8"/>
  <c r="Z48" i="8"/>
  <c r="Y48" i="8"/>
  <c r="AA8" i="8"/>
  <c r="AA94" i="8" s="1"/>
  <c r="Z8" i="8"/>
  <c r="Z94" i="8" s="1"/>
  <c r="Y8" i="8"/>
  <c r="Y94" i="8" s="1"/>
  <c r="AA7" i="8"/>
  <c r="AA93" i="8" s="1"/>
  <c r="Z7" i="8"/>
  <c r="Z93" i="8" s="1"/>
  <c r="Y7" i="8"/>
  <c r="Y93" i="8" s="1"/>
  <c r="AM79" i="8"/>
  <c r="AL79" i="8"/>
  <c r="AK79" i="8"/>
  <c r="AC79" i="8"/>
  <c r="AM75" i="8"/>
  <c r="AK75" i="8"/>
  <c r="AI75" i="8"/>
  <c r="AH75" i="8"/>
  <c r="AG75" i="8"/>
  <c r="AE75" i="8"/>
  <c r="AD75" i="8"/>
  <c r="AC75" i="8"/>
  <c r="AL75" i="8"/>
  <c r="AJ79" i="8"/>
  <c r="AF79" i="8"/>
  <c r="Z19" i="8"/>
  <c r="AM85" i="8"/>
  <c r="AM84" i="8"/>
  <c r="AM83" i="8"/>
  <c r="AM82" i="8"/>
  <c r="AM71" i="8"/>
  <c r="AM70" i="8"/>
  <c r="AM69" i="8"/>
  <c r="AM68" i="8"/>
  <c r="AM66" i="8"/>
  <c r="AM57" i="8"/>
  <c r="AM48" i="8"/>
  <c r="AM8" i="8"/>
  <c r="AM94" i="8" s="1"/>
  <c r="AM7" i="8"/>
  <c r="AM93" i="8" s="1"/>
  <c r="V4" i="10"/>
  <c r="AH4" i="10" s="1"/>
  <c r="U4" i="10"/>
  <c r="AG4" i="10" s="1"/>
  <c r="T4" i="10"/>
  <c r="AF4" i="10" s="1"/>
  <c r="S4" i="10"/>
  <c r="AE4" i="10" s="1"/>
  <c r="R4" i="10"/>
  <c r="AD4" i="10" s="1"/>
  <c r="Q4" i="10"/>
  <c r="AC4" i="10" s="1"/>
  <c r="P4" i="10"/>
  <c r="AB4" i="10" s="1"/>
  <c r="O4" i="10"/>
  <c r="AA4" i="10" s="1"/>
  <c r="N4" i="10"/>
  <c r="Z4" i="10" s="1"/>
  <c r="M4" i="10"/>
  <c r="Y4" i="10" s="1"/>
  <c r="L4" i="10"/>
  <c r="K4" i="10"/>
  <c r="J4" i="10"/>
  <c r="I4" i="10"/>
  <c r="V3" i="10"/>
  <c r="AH3" i="10" s="1"/>
  <c r="U3" i="10"/>
  <c r="AG3" i="10" s="1"/>
  <c r="T3" i="10"/>
  <c r="AF3" i="10" s="1"/>
  <c r="S3" i="10"/>
  <c r="AE3" i="10" s="1"/>
  <c r="R3" i="10"/>
  <c r="AD3" i="10" s="1"/>
  <c r="Q3" i="10"/>
  <c r="AC3" i="10" s="1"/>
  <c r="P3" i="10"/>
  <c r="AB3" i="10" s="1"/>
  <c r="O3" i="10"/>
  <c r="AA3" i="10" s="1"/>
  <c r="N3" i="10"/>
  <c r="Z3" i="10" s="1"/>
  <c r="M3" i="10"/>
  <c r="Y3" i="10" s="1"/>
  <c r="L3" i="10"/>
  <c r="K3" i="10"/>
  <c r="J3" i="10"/>
  <c r="I3" i="10"/>
  <c r="W4" i="10"/>
  <c r="AI4" i="10" s="1"/>
  <c r="W3" i="10"/>
  <c r="AI3" i="10" s="1"/>
  <c r="W73" i="9"/>
  <c r="S71" i="9"/>
  <c r="K71" i="9"/>
  <c r="J71" i="9"/>
  <c r="I71" i="9"/>
  <c r="G71" i="9"/>
  <c r="F71" i="9"/>
  <c r="E71" i="9"/>
  <c r="D71" i="9"/>
  <c r="C71" i="9"/>
  <c r="AL68" i="8"/>
  <c r="AK68" i="8"/>
  <c r="AI68" i="8"/>
  <c r="AH68" i="8"/>
  <c r="AG68" i="8"/>
  <c r="AL70" i="8"/>
  <c r="AK70" i="8"/>
  <c r="AI70" i="8"/>
  <c r="AH70" i="8"/>
  <c r="AG70" i="8"/>
  <c r="AE70" i="8"/>
  <c r="AD70" i="8"/>
  <c r="AC70" i="8"/>
  <c r="AE68" i="8"/>
  <c r="AD68" i="8"/>
  <c r="AC68" i="8"/>
  <c r="AJ68" i="8"/>
  <c r="AF68" i="8"/>
  <c r="AB68" i="8"/>
  <c r="AD70" i="9"/>
  <c r="Z70" i="9"/>
  <c r="G140" i="8"/>
  <c r="F140" i="8"/>
  <c r="E140" i="8"/>
  <c r="AL57" i="8"/>
  <c r="AK57" i="8"/>
  <c r="AI57" i="8"/>
  <c r="AH57" i="8"/>
  <c r="AG57" i="8"/>
  <c r="AE57" i="8"/>
  <c r="AD57" i="8"/>
  <c r="AC57" i="8"/>
  <c r="AJ57" i="8"/>
  <c r="AF57" i="8"/>
  <c r="AB57" i="8"/>
  <c r="AL71" i="8"/>
  <c r="AK71" i="8"/>
  <c r="AI71" i="8"/>
  <c r="AH71" i="8"/>
  <c r="AG71" i="8"/>
  <c r="AE71" i="8"/>
  <c r="AD71" i="8"/>
  <c r="AC71" i="8"/>
  <c r="AL69" i="8"/>
  <c r="AK69" i="8"/>
  <c r="AI69" i="8"/>
  <c r="AH69" i="8"/>
  <c r="AG69" i="8"/>
  <c r="AE69" i="8"/>
  <c r="AD69" i="8"/>
  <c r="AC69" i="8"/>
  <c r="AJ69" i="8"/>
  <c r="AF69" i="8"/>
  <c r="AB69" i="8"/>
  <c r="Z68" i="8"/>
  <c r="AJ71" i="8"/>
  <c r="AF71" i="8"/>
  <c r="AB71" i="8"/>
  <c r="AJ59" i="9"/>
  <c r="AI59" i="9"/>
  <c r="AG59" i="9"/>
  <c r="AF59" i="9"/>
  <c r="AE59" i="9"/>
  <c r="AC59" i="9"/>
  <c r="AB59" i="9"/>
  <c r="AA59" i="9"/>
  <c r="Y59" i="9"/>
  <c r="AJ58" i="9"/>
  <c r="AI58" i="9"/>
  <c r="AG58" i="9"/>
  <c r="AF58" i="9"/>
  <c r="AE58" i="9"/>
  <c r="AC58" i="9"/>
  <c r="AB58" i="9"/>
  <c r="AA58" i="9"/>
  <c r="Y58" i="9"/>
  <c r="AJ52" i="9"/>
  <c r="AJ55" i="9" s="1"/>
  <c r="AI52" i="9"/>
  <c r="AI55" i="9" s="1"/>
  <c r="AG52" i="9"/>
  <c r="AG55" i="9" s="1"/>
  <c r="AF52" i="9"/>
  <c r="AE52" i="9"/>
  <c r="AC52" i="9"/>
  <c r="AB52" i="9"/>
  <c r="AA52" i="9"/>
  <c r="Y52" i="9"/>
  <c r="AI70" i="9"/>
  <c r="AG70" i="9"/>
  <c r="AF70" i="9"/>
  <c r="AE70" i="9"/>
  <c r="AC70" i="9"/>
  <c r="AB70" i="9"/>
  <c r="AA70" i="9"/>
  <c r="Y70" i="9"/>
  <c r="AJ70" i="9"/>
  <c r="V4" i="9"/>
  <c r="AJ4" i="9" s="1"/>
  <c r="U4" i="9"/>
  <c r="AI4" i="9" s="1"/>
  <c r="T4" i="9"/>
  <c r="AH4" i="9" s="1"/>
  <c r="S4" i="9"/>
  <c r="AG4" i="9" s="1"/>
  <c r="R4" i="9"/>
  <c r="AF4" i="9" s="1"/>
  <c r="Q4" i="9"/>
  <c r="AE4" i="9" s="1"/>
  <c r="P4" i="9"/>
  <c r="AD4" i="9" s="1"/>
  <c r="O4" i="9"/>
  <c r="AC4" i="9" s="1"/>
  <c r="N4" i="9"/>
  <c r="AB4" i="9" s="1"/>
  <c r="M4" i="9"/>
  <c r="AA4" i="9" s="1"/>
  <c r="L4" i="9"/>
  <c r="Z4" i="9" s="1"/>
  <c r="K4" i="9"/>
  <c r="Y4" i="9" s="1"/>
  <c r="J4" i="9"/>
  <c r="V3" i="9"/>
  <c r="AJ3" i="9" s="1"/>
  <c r="U3" i="9"/>
  <c r="AI3" i="9" s="1"/>
  <c r="T3" i="9"/>
  <c r="AH3" i="9" s="1"/>
  <c r="S3" i="9"/>
  <c r="AG3" i="9" s="1"/>
  <c r="R3" i="9"/>
  <c r="AF3" i="9" s="1"/>
  <c r="Q3" i="9"/>
  <c r="AE3" i="9" s="1"/>
  <c r="P3" i="9"/>
  <c r="AD3" i="9" s="1"/>
  <c r="O3" i="9"/>
  <c r="AC3" i="9" s="1"/>
  <c r="N3" i="9"/>
  <c r="AB3" i="9" s="1"/>
  <c r="M3" i="9"/>
  <c r="AA3" i="9" s="1"/>
  <c r="L3" i="9"/>
  <c r="Z3" i="9" s="1"/>
  <c r="K3" i="9"/>
  <c r="Y3" i="9" s="1"/>
  <c r="J3" i="9"/>
  <c r="I4" i="9"/>
  <c r="I3" i="9"/>
  <c r="G4" i="9"/>
  <c r="F4" i="9"/>
  <c r="E4" i="9"/>
  <c r="D4" i="9"/>
  <c r="G3" i="9"/>
  <c r="F3" i="9"/>
  <c r="E3" i="9"/>
  <c r="D3" i="9"/>
  <c r="C4" i="9"/>
  <c r="C3" i="9"/>
  <c r="T10" i="8"/>
  <c r="P10" i="8"/>
  <c r="L10" i="8"/>
  <c r="AA18" i="8"/>
  <c r="AA17" i="8"/>
  <c r="AJ84" i="8"/>
  <c r="AJ83" i="8"/>
  <c r="AJ82" i="8"/>
  <c r="T85" i="8"/>
  <c r="AJ85" i="8" s="1"/>
  <c r="P85" i="8"/>
  <c r="AF85" i="8" s="1"/>
  <c r="AF84" i="8"/>
  <c r="AF83" i="8"/>
  <c r="AF82" i="8"/>
  <c r="AL85" i="8"/>
  <c r="AK85" i="8"/>
  <c r="AI85" i="8"/>
  <c r="AH85" i="8"/>
  <c r="AG85" i="8"/>
  <c r="AE85" i="8"/>
  <c r="AD85" i="8"/>
  <c r="AC85" i="8"/>
  <c r="AL84" i="8"/>
  <c r="AK84" i="8"/>
  <c r="AI84" i="8"/>
  <c r="AH84" i="8"/>
  <c r="AG84" i="8"/>
  <c r="AE84" i="8"/>
  <c r="AD84" i="8"/>
  <c r="AC84" i="8"/>
  <c r="AL83" i="8"/>
  <c r="AK83" i="8"/>
  <c r="AI83" i="8"/>
  <c r="AH83" i="8"/>
  <c r="AG83" i="8"/>
  <c r="AE83" i="8"/>
  <c r="AD83" i="8"/>
  <c r="AC83" i="8"/>
  <c r="AL82" i="8"/>
  <c r="AK82" i="8"/>
  <c r="AI82" i="8"/>
  <c r="AH82" i="8"/>
  <c r="AG82" i="8"/>
  <c r="AE82" i="8"/>
  <c r="AD82" i="8"/>
  <c r="AC82" i="8"/>
  <c r="AL66" i="8"/>
  <c r="AK66" i="8"/>
  <c r="AI66" i="8"/>
  <c r="AH66" i="8"/>
  <c r="AG66" i="8"/>
  <c r="AE66" i="8"/>
  <c r="AD66" i="8"/>
  <c r="AC66" i="8"/>
  <c r="AK48" i="8"/>
  <c r="AI48" i="8"/>
  <c r="AH48" i="8"/>
  <c r="AG48" i="8"/>
  <c r="AE48" i="8"/>
  <c r="AD48" i="8"/>
  <c r="AC48" i="8"/>
  <c r="O86" i="8"/>
  <c r="O73" i="9" s="1"/>
  <c r="T94" i="8"/>
  <c r="S94" i="8"/>
  <c r="R94" i="8"/>
  <c r="Q94" i="8"/>
  <c r="P94" i="8"/>
  <c r="O94" i="8"/>
  <c r="N94" i="8"/>
  <c r="M94" i="8"/>
  <c r="L94" i="8"/>
  <c r="K94" i="8"/>
  <c r="J94" i="8"/>
  <c r="I94" i="8"/>
  <c r="T93" i="8"/>
  <c r="S93" i="8"/>
  <c r="R93" i="8"/>
  <c r="Q93" i="8"/>
  <c r="P93" i="8"/>
  <c r="O93" i="8"/>
  <c r="N93" i="8"/>
  <c r="M93" i="8"/>
  <c r="L93" i="8"/>
  <c r="K93" i="8"/>
  <c r="J93" i="8"/>
  <c r="I93" i="8"/>
  <c r="S86" i="8"/>
  <c r="S73" i="9" s="1"/>
  <c r="R86" i="8"/>
  <c r="R73" i="9" s="1"/>
  <c r="Q86" i="8"/>
  <c r="Q73" i="9" s="1"/>
  <c r="N86" i="8"/>
  <c r="N73" i="9" s="1"/>
  <c r="M86" i="8"/>
  <c r="M73" i="9" s="1"/>
  <c r="K86" i="8"/>
  <c r="K73" i="9" s="1"/>
  <c r="J86" i="8"/>
  <c r="J73" i="9" s="1"/>
  <c r="I86" i="8"/>
  <c r="I73" i="9" s="1"/>
  <c r="T45" i="8"/>
  <c r="S45" i="8"/>
  <c r="R45" i="8"/>
  <c r="Q45" i="8"/>
  <c r="P45" i="8"/>
  <c r="O45" i="8"/>
  <c r="N45" i="8"/>
  <c r="M45" i="8"/>
  <c r="L45" i="8"/>
  <c r="K45" i="8"/>
  <c r="J45" i="8"/>
  <c r="I45" i="8"/>
  <c r="T44" i="8"/>
  <c r="S44" i="8"/>
  <c r="R44" i="8"/>
  <c r="Q44" i="8"/>
  <c r="P44" i="8"/>
  <c r="O44" i="8"/>
  <c r="N44" i="8"/>
  <c r="M44" i="8"/>
  <c r="L44" i="8"/>
  <c r="K44" i="8"/>
  <c r="J44" i="8"/>
  <c r="I44" i="8"/>
  <c r="G45" i="8"/>
  <c r="F45" i="8"/>
  <c r="E45" i="8"/>
  <c r="D45" i="8"/>
  <c r="C45" i="8"/>
  <c r="G44" i="8"/>
  <c r="F44" i="8"/>
  <c r="E44" i="8"/>
  <c r="D44" i="8"/>
  <c r="C44" i="8"/>
  <c r="AL48" i="8"/>
  <c r="R11" i="8"/>
  <c r="Q11" i="8"/>
  <c r="O11" i="8"/>
  <c r="N11" i="8"/>
  <c r="M11" i="8"/>
  <c r="K11" i="8"/>
  <c r="J11" i="8"/>
  <c r="I11" i="8"/>
  <c r="AG8" i="8"/>
  <c r="AF8" i="8"/>
  <c r="AE8" i="8"/>
  <c r="AD8" i="8"/>
  <c r="AC8" i="8"/>
  <c r="AB8" i="8"/>
  <c r="AG7" i="8"/>
  <c r="AF7" i="8"/>
  <c r="AE7" i="8"/>
  <c r="AD7" i="8"/>
  <c r="AC7" i="8"/>
  <c r="AB7" i="8"/>
  <c r="AK8" i="8"/>
  <c r="AJ8" i="8"/>
  <c r="AI8" i="8"/>
  <c r="AH8" i="8"/>
  <c r="AK7" i="8"/>
  <c r="AJ7" i="8"/>
  <c r="AI7" i="8"/>
  <c r="AH7" i="8"/>
  <c r="AL8" i="8"/>
  <c r="AL7" i="8"/>
  <c r="F4" i="10"/>
  <c r="E4" i="10"/>
  <c r="D4" i="10"/>
  <c r="C4" i="10"/>
  <c r="F3" i="10"/>
  <c r="E3" i="10"/>
  <c r="D3" i="10"/>
  <c r="C3" i="10"/>
  <c r="G4" i="10"/>
  <c r="G3" i="10"/>
  <c r="AO79" i="8" l="1"/>
  <c r="AE10" i="10"/>
  <c r="AG8" i="9"/>
  <c r="AG10" i="10"/>
  <c r="AC10" i="8"/>
  <c r="AE10" i="8"/>
  <c r="AD10" i="8"/>
  <c r="AB10" i="8"/>
  <c r="AF10" i="8"/>
  <c r="AH10" i="8"/>
  <c r="AI10" i="8"/>
  <c r="AG10" i="8"/>
  <c r="AL10" i="8"/>
  <c r="AK10" i="8"/>
  <c r="AJ10" i="8"/>
  <c r="I14" i="8"/>
  <c r="K14" i="8"/>
  <c r="K15" i="8" s="1"/>
  <c r="O14" i="8"/>
  <c r="O20" i="8" s="1"/>
  <c r="O26" i="8" s="1"/>
  <c r="O30" i="8" s="1"/>
  <c r="O34" i="8" s="1"/>
  <c r="O35" i="8" s="1"/>
  <c r="Q14" i="8"/>
  <c r="N14" i="8"/>
  <c r="M14" i="8"/>
  <c r="R14" i="8"/>
  <c r="J14" i="8"/>
  <c r="AO48" i="8"/>
  <c r="AO70" i="8"/>
  <c r="AO71" i="8"/>
  <c r="C72" i="8"/>
  <c r="C62" i="9" s="1"/>
  <c r="AO82" i="8"/>
  <c r="AB79" i="8"/>
  <c r="AO57" i="8"/>
  <c r="AO83" i="8"/>
  <c r="AG46" i="9"/>
  <c r="AO84" i="8"/>
  <c r="AO85" i="8"/>
  <c r="AO66" i="8"/>
  <c r="AO68" i="8"/>
  <c r="L54" i="8"/>
  <c r="L63" i="8" s="1"/>
  <c r="AG43" i="9"/>
  <c r="AO69" i="8"/>
  <c r="AO75" i="8"/>
  <c r="AB75" i="8"/>
  <c r="AF75" i="8"/>
  <c r="AJ75" i="8"/>
  <c r="AE18" i="8"/>
  <c r="AA21" i="9"/>
  <c r="Z58" i="9"/>
  <c r="AD58" i="9"/>
  <c r="AC15" i="9"/>
  <c r="AC27" i="9" s="1"/>
  <c r="AH53" i="9"/>
  <c r="AC109" i="8"/>
  <c r="Y73" i="9"/>
  <c r="AA73" i="9"/>
  <c r="AH58" i="9"/>
  <c r="AL17" i="8"/>
  <c r="AE19" i="8"/>
  <c r="AA22" i="9"/>
  <c r="AI19" i="8"/>
  <c r="AE73" i="9"/>
  <c r="AB66" i="8"/>
  <c r="Z59" i="9"/>
  <c r="AG17" i="8"/>
  <c r="AF20" i="9"/>
  <c r="AL19" i="8"/>
  <c r="AH22" i="9"/>
  <c r="AI18" i="8"/>
  <c r="AG21" i="9"/>
  <c r="AK73" i="9"/>
  <c r="AK156" i="8"/>
  <c r="AB73" i="9"/>
  <c r="AC73" i="9"/>
  <c r="AJ66" i="8"/>
  <c r="AH59" i="9"/>
  <c r="AG15" i="9"/>
  <c r="AG27" i="9" s="1"/>
  <c r="AL18" i="8"/>
  <c r="AK21" i="9"/>
  <c r="AF73" i="9"/>
  <c r="AG73" i="9"/>
  <c r="AB48" i="8"/>
  <c r="AF48" i="8"/>
  <c r="P55" i="9"/>
  <c r="AF66" i="8"/>
  <c r="AD59" i="9"/>
  <c r="AE17" i="8"/>
  <c r="Z20" i="9"/>
  <c r="Z54" i="8"/>
  <c r="Z63" i="8" s="1"/>
  <c r="T126" i="8"/>
  <c r="L126" i="8"/>
  <c r="P126" i="8"/>
  <c r="K54" i="8"/>
  <c r="K63" i="8" s="1"/>
  <c r="O63" i="8"/>
  <c r="I63" i="8"/>
  <c r="J63" i="8"/>
  <c r="Y54" i="8"/>
  <c r="Y63" i="8" s="1"/>
  <c r="Z69" i="8"/>
  <c r="Z72" i="8" s="1"/>
  <c r="Z80" i="8" s="1"/>
  <c r="AK72" i="8"/>
  <c r="Y69" i="8"/>
  <c r="K80" i="8"/>
  <c r="K63" i="9" s="1"/>
  <c r="I80" i="8"/>
  <c r="I63" i="9" s="1"/>
  <c r="AH10" i="10"/>
  <c r="AI10" i="10"/>
  <c r="AL72" i="8"/>
  <c r="AM72" i="8"/>
  <c r="AI72" i="8"/>
  <c r="P72" i="8"/>
  <c r="P62" i="9" s="1"/>
  <c r="L72" i="8"/>
  <c r="L62" i="9" s="1"/>
  <c r="T72" i="8"/>
  <c r="T62" i="9" s="1"/>
  <c r="L86" i="8"/>
  <c r="L73" i="9" s="1"/>
  <c r="AA100" i="8"/>
  <c r="AA109" i="8"/>
  <c r="AA156" i="8"/>
  <c r="Y147" i="8"/>
  <c r="Z86" i="8"/>
  <c r="AA19" i="8"/>
  <c r="AK71" i="9"/>
  <c r="AA112" i="8"/>
  <c r="Y86" i="8"/>
  <c r="AA54" i="8"/>
  <c r="AA63" i="8" s="1"/>
  <c r="AA86" i="8"/>
  <c r="Y19" i="8"/>
  <c r="Y22" i="9"/>
  <c r="Y11" i="8"/>
  <c r="Y14" i="8" s="1"/>
  <c r="Y35" i="8" s="1"/>
  <c r="Z11" i="8"/>
  <c r="Z14" i="8" s="1"/>
  <c r="Z35" i="8" s="1"/>
  <c r="Y17" i="8"/>
  <c r="Y18" i="8"/>
  <c r="Y68" i="8"/>
  <c r="Y100" i="8"/>
  <c r="Y109" i="8"/>
  <c r="Y112" i="8"/>
  <c r="Y156" i="8"/>
  <c r="AA11" i="8"/>
  <c r="AA14" i="8" s="1"/>
  <c r="AA35" i="8" s="1"/>
  <c r="Z17" i="8"/>
  <c r="Z18" i="8"/>
  <c r="Z100" i="8"/>
  <c r="Z109" i="8"/>
  <c r="Z112" i="8"/>
  <c r="Z147" i="8"/>
  <c r="Z156" i="8"/>
  <c r="AA68" i="8"/>
  <c r="AA72" i="8" s="1"/>
  <c r="AA80" i="8" s="1"/>
  <c r="Y44" i="8"/>
  <c r="Y45" i="8"/>
  <c r="Z44" i="8"/>
  <c r="Z45" i="8"/>
  <c r="AA44" i="8"/>
  <c r="AA45" i="8"/>
  <c r="AA147" i="8"/>
  <c r="AB114" i="8"/>
  <c r="AE114" i="8"/>
  <c r="AD114" i="8"/>
  <c r="AC114" i="8"/>
  <c r="AG114" i="8"/>
  <c r="Z114" i="8"/>
  <c r="AM114" i="8"/>
  <c r="AF114" i="8"/>
  <c r="AH114" i="8"/>
  <c r="O80" i="8"/>
  <c r="O63" i="9" s="1"/>
  <c r="AM109" i="8"/>
  <c r="AM113" i="8"/>
  <c r="AB19" i="8"/>
  <c r="AM19" i="8"/>
  <c r="AK19" i="8"/>
  <c r="AC19" i="8"/>
  <c r="AD19" i="8"/>
  <c r="AJ19" i="8"/>
  <c r="AF19" i="8"/>
  <c r="AG19" i="8"/>
  <c r="AH19" i="8"/>
  <c r="AM86" i="8"/>
  <c r="AM54" i="8"/>
  <c r="AM10" i="8"/>
  <c r="N80" i="8"/>
  <c r="N63" i="9" s="1"/>
  <c r="AM17" i="8"/>
  <c r="AM18" i="8"/>
  <c r="AM112" i="8"/>
  <c r="AM44" i="8"/>
  <c r="AM45" i="8"/>
  <c r="AF70" i="8"/>
  <c r="AD71" i="9"/>
  <c r="AB70" i="8"/>
  <c r="AJ70" i="8"/>
  <c r="Z71" i="9"/>
  <c r="M80" i="8"/>
  <c r="M63" i="9" s="1"/>
  <c r="N71" i="9"/>
  <c r="M71" i="9"/>
  <c r="U71" i="9"/>
  <c r="O71" i="9"/>
  <c r="Q71" i="9"/>
  <c r="R71" i="9"/>
  <c r="AF71" i="9"/>
  <c r="Y71" i="9"/>
  <c r="AG71" i="9"/>
  <c r="AC71" i="9"/>
  <c r="AI71" i="9"/>
  <c r="AE71" i="9"/>
  <c r="AB71" i="9"/>
  <c r="AA71" i="9"/>
  <c r="AH70" i="9"/>
  <c r="N54" i="8"/>
  <c r="N63" i="8" s="1"/>
  <c r="C140" i="8"/>
  <c r="D140" i="8"/>
  <c r="S54" i="8"/>
  <c r="S63" i="8" s="1"/>
  <c r="M54" i="8"/>
  <c r="M63" i="8" s="1"/>
  <c r="R54" i="8"/>
  <c r="R63" i="8" s="1"/>
  <c r="Q54" i="8"/>
  <c r="Q63" i="8" s="1"/>
  <c r="G80" i="8"/>
  <c r="G63" i="9" s="1"/>
  <c r="AI156" i="8"/>
  <c r="Y15" i="9"/>
  <c r="Y27" i="9" s="1"/>
  <c r="Y21" i="9"/>
  <c r="AF55" i="9"/>
  <c r="AB26" i="9"/>
  <c r="Y55" i="9"/>
  <c r="AC62" i="9"/>
  <c r="AL113" i="8"/>
  <c r="AE55" i="9"/>
  <c r="Y36" i="9"/>
  <c r="Y62" i="9"/>
  <c r="AB55" i="9"/>
  <c r="AA55" i="9"/>
  <c r="AC55" i="9"/>
  <c r="Y20" i="9"/>
  <c r="AL109" i="8"/>
  <c r="AI109" i="8"/>
  <c r="AE100" i="8"/>
  <c r="AJ156" i="8"/>
  <c r="AI112" i="8"/>
  <c r="AG156" i="8"/>
  <c r="AH156" i="8"/>
  <c r="AE113" i="8"/>
  <c r="AF156" i="8"/>
  <c r="AC100" i="8"/>
  <c r="AB100" i="8"/>
  <c r="AB112" i="8"/>
  <c r="AD113" i="8"/>
  <c r="AD100" i="8"/>
  <c r="AE109" i="8"/>
  <c r="AK112" i="8"/>
  <c r="AF109" i="8"/>
  <c r="AH113" i="8"/>
  <c r="AG109" i="8"/>
  <c r="AD112" i="8"/>
  <c r="AL112" i="8"/>
  <c r="AI113" i="8"/>
  <c r="AH109" i="8"/>
  <c r="AE112" i="8"/>
  <c r="AB113" i="8"/>
  <c r="AJ113" i="8"/>
  <c r="AC113" i="8"/>
  <c r="AK113" i="8"/>
  <c r="AB109" i="8"/>
  <c r="AJ109" i="8"/>
  <c r="AK109" i="8"/>
  <c r="AD109" i="8"/>
  <c r="AF113" i="8"/>
  <c r="L11" i="8"/>
  <c r="AB17" i="8"/>
  <c r="P11" i="8"/>
  <c r="P14" i="8" s="1"/>
  <c r="AD18" i="8"/>
  <c r="AB18" i="8"/>
  <c r="AC18" i="8"/>
  <c r="AJ18" i="8"/>
  <c r="AK18" i="8"/>
  <c r="AH17" i="8"/>
  <c r="AI17" i="8"/>
  <c r="AF17" i="8"/>
  <c r="AJ17" i="8"/>
  <c r="AK17" i="8"/>
  <c r="AF18" i="8"/>
  <c r="AG18" i="8"/>
  <c r="AH18" i="8"/>
  <c r="AC17" i="8"/>
  <c r="AD17" i="8"/>
  <c r="P86" i="8"/>
  <c r="P73" i="9" s="1"/>
  <c r="P54" i="8"/>
  <c r="P63" i="8" s="1"/>
  <c r="T54" i="8"/>
  <c r="T63" i="8" s="1"/>
  <c r="AJ48" i="8"/>
  <c r="K20" i="8" l="1"/>
  <c r="K26" i="8" s="1"/>
  <c r="K30" i="8" s="1"/>
  <c r="K34" i="8" s="1"/>
  <c r="K35" i="8" s="1"/>
  <c r="J20" i="8"/>
  <c r="J26" i="8" s="1"/>
  <c r="J30" i="8" s="1"/>
  <c r="J34" i="8" s="1"/>
  <c r="J35" i="8" s="1"/>
  <c r="R20" i="8"/>
  <c r="R26" i="8" s="1"/>
  <c r="M15" i="8"/>
  <c r="I20" i="8"/>
  <c r="I26" i="8" s="1"/>
  <c r="I30" i="8" s="1"/>
  <c r="N15" i="8"/>
  <c r="Q20" i="8"/>
  <c r="Q26" i="8" s="1"/>
  <c r="Q30" i="8" s="1"/>
  <c r="O15" i="8"/>
  <c r="AK10" i="10"/>
  <c r="I15" i="8"/>
  <c r="O97" i="8"/>
  <c r="O38" i="8"/>
  <c r="O41" i="8"/>
  <c r="W63" i="9"/>
  <c r="AK63" i="9" s="1"/>
  <c r="Y6" i="9"/>
  <c r="AI9" i="9"/>
  <c r="AJ9" i="9"/>
  <c r="AH9" i="9"/>
  <c r="AK9" i="9"/>
  <c r="AM9" i="9" s="1"/>
  <c r="AI8" i="9"/>
  <c r="AJ8" i="9"/>
  <c r="AK8" i="9"/>
  <c r="AM8" i="9" s="1"/>
  <c r="AH8" i="9"/>
  <c r="AH7" i="9"/>
  <c r="AI7" i="9"/>
  <c r="AJ7" i="9"/>
  <c r="AK7" i="9"/>
  <c r="AM7" i="9" s="1"/>
  <c r="W11" i="10"/>
  <c r="W12" i="10" s="1"/>
  <c r="N20" i="8"/>
  <c r="N26" i="8" s="1"/>
  <c r="R15" i="8"/>
  <c r="Q15" i="8"/>
  <c r="J15" i="8"/>
  <c r="M20" i="8"/>
  <c r="L14" i="8"/>
  <c r="AJ72" i="8"/>
  <c r="AO118" i="8"/>
  <c r="AO112" i="8"/>
  <c r="AO17" i="8"/>
  <c r="AO129" i="8"/>
  <c r="AJ46" i="9"/>
  <c r="AK46" i="9"/>
  <c r="AH46" i="9"/>
  <c r="AI46" i="9"/>
  <c r="AH43" i="9"/>
  <c r="AJ43" i="9"/>
  <c r="AI43" i="9"/>
  <c r="AK43" i="9"/>
  <c r="AM63" i="8"/>
  <c r="AO113" i="8"/>
  <c r="AM80" i="8"/>
  <c r="AM87" i="8" s="1"/>
  <c r="AO72" i="8"/>
  <c r="AO125" i="8"/>
  <c r="AO109" i="8"/>
  <c r="AO29" i="8"/>
  <c r="AO25" i="8"/>
  <c r="AO23" i="8"/>
  <c r="AO19" i="8"/>
  <c r="AO18" i="8"/>
  <c r="AM11" i="8"/>
  <c r="AM14" i="8" s="1"/>
  <c r="AM35" i="8" s="1"/>
  <c r="AO10" i="8"/>
  <c r="T55" i="9"/>
  <c r="L55" i="9"/>
  <c r="AH52" i="9"/>
  <c r="AH55" i="9" s="1"/>
  <c r="AF74" i="9"/>
  <c r="AF83" i="9" s="1"/>
  <c r="AE74" i="9"/>
  <c r="AE83" i="9" s="1"/>
  <c r="W74" i="9"/>
  <c r="W83" i="9" s="1"/>
  <c r="AK37" i="9"/>
  <c r="AG37" i="9"/>
  <c r="Z73" i="9"/>
  <c r="Z74" i="9" s="1"/>
  <c r="Z83" i="9" s="1"/>
  <c r="AC74" i="9"/>
  <c r="AC83" i="9" s="1"/>
  <c r="AA63" i="9"/>
  <c r="AC63" i="9"/>
  <c r="I87" i="8"/>
  <c r="I89" i="8" s="1"/>
  <c r="AG74" i="9"/>
  <c r="AG83" i="9" s="1"/>
  <c r="N87" i="8"/>
  <c r="N89" i="8" s="1"/>
  <c r="AB63" i="9"/>
  <c r="K87" i="8"/>
  <c r="K89" i="8" s="1"/>
  <c r="Y63" i="9"/>
  <c r="Y74" i="9"/>
  <c r="Y83" i="9" s="1"/>
  <c r="AK74" i="9"/>
  <c r="AK83" i="9" s="1"/>
  <c r="AD73" i="9"/>
  <c r="AD74" i="9" s="1"/>
  <c r="AD83" i="9" s="1"/>
  <c r="L80" i="8"/>
  <c r="Z62" i="9"/>
  <c r="AB74" i="9"/>
  <c r="AB83" i="9" s="1"/>
  <c r="AA74" i="9"/>
  <c r="AA83" i="9" s="1"/>
  <c r="Y72" i="8"/>
  <c r="Y80" i="8" s="1"/>
  <c r="Y87" i="8" s="1"/>
  <c r="Y89" i="8" s="1"/>
  <c r="P20" i="8"/>
  <c r="Z22" i="9"/>
  <c r="AM21" i="9"/>
  <c r="AG22" i="9"/>
  <c r="Y15" i="8"/>
  <c r="AA20" i="8"/>
  <c r="AA26" i="8" s="1"/>
  <c r="AE22" i="9"/>
  <c r="AF22" i="9"/>
  <c r="AD22" i="9"/>
  <c r="Z87" i="8"/>
  <c r="Z89" i="8" s="1"/>
  <c r="AA87" i="8"/>
  <c r="AA89" i="8" s="1"/>
  <c r="AA15" i="8"/>
  <c r="AC22" i="9"/>
  <c r="AB22" i="9"/>
  <c r="AJ15" i="9"/>
  <c r="AJ27" i="9" s="1"/>
  <c r="AK15" i="9"/>
  <c r="AK27" i="9" s="1"/>
  <c r="AJ20" i="9"/>
  <c r="AK20" i="9"/>
  <c r="AK62" i="9"/>
  <c r="AK35" i="9"/>
  <c r="AK22" i="9"/>
  <c r="AI22" i="9"/>
  <c r="AJ22" i="9"/>
  <c r="Y126" i="8"/>
  <c r="AA113" i="8"/>
  <c r="AA114" i="8"/>
  <c r="Y114" i="8"/>
  <c r="AJ147" i="8"/>
  <c r="AL147" i="8"/>
  <c r="AM147" i="8"/>
  <c r="AD147" i="8"/>
  <c r="AK147" i="8"/>
  <c r="O87" i="8"/>
  <c r="O89" i="8" s="1"/>
  <c r="AI114" i="8"/>
  <c r="AO114" i="8" s="1"/>
  <c r="AK114" i="8"/>
  <c r="AJ114" i="8"/>
  <c r="AL114" i="8"/>
  <c r="L71" i="9"/>
  <c r="M87" i="8"/>
  <c r="M89" i="8" s="1"/>
  <c r="P71" i="9"/>
  <c r="AH71" i="9"/>
  <c r="T71" i="9"/>
  <c r="AJ71" i="9"/>
  <c r="V71" i="9"/>
  <c r="AF31" i="9"/>
  <c r="Z41" i="9"/>
  <c r="Y41" i="9"/>
  <c r="AK41" i="9"/>
  <c r="Z52" i="9"/>
  <c r="Z55" i="9" s="1"/>
  <c r="AD52" i="9"/>
  <c r="AD55" i="9" s="1"/>
  <c r="AB62" i="9"/>
  <c r="AJ62" i="9"/>
  <c r="AG62" i="9"/>
  <c r="AF62" i="9"/>
  <c r="AA62" i="9"/>
  <c r="AE62" i="9"/>
  <c r="R80" i="8"/>
  <c r="R63" i="9" s="1"/>
  <c r="J80" i="8"/>
  <c r="J63" i="9" s="1"/>
  <c r="Q80" i="8"/>
  <c r="Q63" i="9" s="1"/>
  <c r="P80" i="8"/>
  <c r="P63" i="9" s="1"/>
  <c r="S80" i="8"/>
  <c r="S63" i="9" s="1"/>
  <c r="AI20" i="9"/>
  <c r="AD21" i="9"/>
  <c r="Y31" i="9"/>
  <c r="AH20" i="9"/>
  <c r="Y26" i="9"/>
  <c r="AE21" i="9"/>
  <c r="AF15" i="9"/>
  <c r="AF27" i="9" s="1"/>
  <c r="AA26" i="9"/>
  <c r="AF21" i="9"/>
  <c r="AE36" i="9"/>
  <c r="AC38" i="9"/>
  <c r="AE15" i="9"/>
  <c r="AE27" i="9" s="1"/>
  <c r="AG20" i="9"/>
  <c r="AH36" i="9"/>
  <c r="AI35" i="9"/>
  <c r="AK38" i="9"/>
  <c r="AC21" i="9"/>
  <c r="AB21" i="9"/>
  <c r="Z21" i="9"/>
  <c r="AI15" i="9"/>
  <c r="AI27" i="9" s="1"/>
  <c r="AD62" i="9"/>
  <c r="Y38" i="9"/>
  <c r="AF36" i="9"/>
  <c r="AC37" i="9"/>
  <c r="AE156" i="8"/>
  <c r="AI21" i="9"/>
  <c r="AH21" i="9"/>
  <c r="AJ21" i="9"/>
  <c r="AB15" i="9"/>
  <c r="AB27" i="9" s="1"/>
  <c r="AA15" i="9"/>
  <c r="AA27" i="9" s="1"/>
  <c r="Z26" i="9"/>
  <c r="AJ35" i="9"/>
  <c r="AH15" i="9"/>
  <c r="AH27" i="9" s="1"/>
  <c r="AD15" i="9"/>
  <c r="AD27" i="9" s="1"/>
  <c r="AH62" i="9"/>
  <c r="AC20" i="9"/>
  <c r="AB20" i="9"/>
  <c r="AE20" i="9"/>
  <c r="AD20" i="9"/>
  <c r="AG36" i="9"/>
  <c r="Z15" i="9"/>
  <c r="Z27" i="9" s="1"/>
  <c r="AH35" i="9"/>
  <c r="AA20" i="9"/>
  <c r="AM100" i="8"/>
  <c r="AD36" i="9"/>
  <c r="AD156" i="8"/>
  <c r="AF112" i="8"/>
  <c r="AH112" i="8"/>
  <c r="AG112" i="8"/>
  <c r="AB156" i="8"/>
  <c r="AC156" i="8"/>
  <c r="AC35" i="9"/>
  <c r="O21" i="8"/>
  <c r="K21" i="8" l="1"/>
  <c r="K38" i="8"/>
  <c r="K41" i="8"/>
  <c r="K97" i="8"/>
  <c r="K115" i="8" s="1"/>
  <c r="K149" i="8" s="1"/>
  <c r="N21" i="8"/>
  <c r="R21" i="8"/>
  <c r="I21" i="8"/>
  <c r="J41" i="8"/>
  <c r="Q38" i="8"/>
  <c r="Q34" i="8"/>
  <c r="Q35" i="8" s="1"/>
  <c r="I97" i="8"/>
  <c r="I115" i="8" s="1"/>
  <c r="I149" i="8" s="1"/>
  <c r="I34" i="8"/>
  <c r="I35" i="8" s="1"/>
  <c r="J21" i="8"/>
  <c r="I41" i="8"/>
  <c r="J38" i="8"/>
  <c r="J97" i="8"/>
  <c r="J115" i="8" s="1"/>
  <c r="J149" i="8" s="1"/>
  <c r="Q97" i="8"/>
  <c r="Q115" i="8" s="1"/>
  <c r="Q149" i="8" s="1"/>
  <c r="Q21" i="8"/>
  <c r="L20" i="8"/>
  <c r="L26" i="8" s="1"/>
  <c r="Q41" i="8"/>
  <c r="I38" i="8"/>
  <c r="L63" i="9"/>
  <c r="Z63" i="9" s="1"/>
  <c r="Y11" i="9"/>
  <c r="Y17" i="9" s="1"/>
  <c r="Y23" i="9" s="1"/>
  <c r="Y28" i="9" s="1"/>
  <c r="W17" i="9"/>
  <c r="W23" i="9" s="1"/>
  <c r="W28" i="9" s="1"/>
  <c r="L15" i="8"/>
  <c r="M26" i="8"/>
  <c r="M21" i="8"/>
  <c r="AO24" i="8"/>
  <c r="AM89" i="8"/>
  <c r="AM20" i="8"/>
  <c r="AM21" i="8" s="1"/>
  <c r="AI37" i="9"/>
  <c r="AJ37" i="9"/>
  <c r="AH37" i="9"/>
  <c r="AM37" i="9"/>
  <c r="AE37" i="9"/>
  <c r="AF37" i="9"/>
  <c r="AD37" i="9"/>
  <c r="L87" i="8"/>
  <c r="L89" i="8" s="1"/>
  <c r="AJ36" i="9"/>
  <c r="AL156" i="8"/>
  <c r="AD63" i="9"/>
  <c r="Q87" i="8"/>
  <c r="Q89" i="8" s="1"/>
  <c r="AE63" i="9"/>
  <c r="AI36" i="9"/>
  <c r="J87" i="8"/>
  <c r="J89" i="8" s="1"/>
  <c r="AG63" i="9"/>
  <c r="R87" i="8"/>
  <c r="R89" i="8" s="1"/>
  <c r="AF63" i="9"/>
  <c r="Z6" i="9"/>
  <c r="Z11" i="9" s="1"/>
  <c r="AF6" i="9"/>
  <c r="P15" i="8"/>
  <c r="AJ126" i="8"/>
  <c r="AL126" i="8"/>
  <c r="AK126" i="8"/>
  <c r="AM126" i="8"/>
  <c r="AM22" i="9"/>
  <c r="AA21" i="8"/>
  <c r="Y20" i="8"/>
  <c r="Y26" i="8" s="1"/>
  <c r="Y30" i="8" s="1"/>
  <c r="Z113" i="8"/>
  <c r="AM20" i="9"/>
  <c r="Z126" i="8"/>
  <c r="Y113" i="8"/>
  <c r="AM15" i="9"/>
  <c r="Z15" i="8"/>
  <c r="Z20" i="8"/>
  <c r="AA126" i="8"/>
  <c r="AA30" i="8"/>
  <c r="AA27" i="8"/>
  <c r="AC147" i="8"/>
  <c r="AH147" i="8"/>
  <c r="AE147" i="8"/>
  <c r="AB147" i="8"/>
  <c r="AJ38" i="9"/>
  <c r="R27" i="8"/>
  <c r="R30" i="8"/>
  <c r="R34" i="8" s="1"/>
  <c r="R35" i="8" s="1"/>
  <c r="N30" i="8"/>
  <c r="N34" i="8" s="1"/>
  <c r="N35" i="8" s="1"/>
  <c r="AM15" i="8"/>
  <c r="AD31" i="9"/>
  <c r="AH126" i="8"/>
  <c r="AE31" i="9"/>
  <c r="AG31" i="9"/>
  <c r="AF42" i="9"/>
  <c r="AE42" i="9"/>
  <c r="AG42" i="9"/>
  <c r="AD42" i="9"/>
  <c r="Y42" i="9"/>
  <c r="AC42" i="9"/>
  <c r="AI41" i="9"/>
  <c r="AJ41" i="9"/>
  <c r="AC41" i="9"/>
  <c r="AH41" i="9"/>
  <c r="AA41" i="9"/>
  <c r="AB41" i="9"/>
  <c r="S87" i="8"/>
  <c r="S89" i="8" s="1"/>
  <c r="P87" i="8"/>
  <c r="P89" i="8" s="1"/>
  <c r="AH100" i="8"/>
  <c r="AI38" i="9"/>
  <c r="AF100" i="8"/>
  <c r="AI100" i="8"/>
  <c r="AO100" i="8" s="1"/>
  <c r="AG100" i="8"/>
  <c r="AH38" i="9"/>
  <c r="AI126" i="8"/>
  <c r="AG126" i="8"/>
  <c r="AF126" i="8"/>
  <c r="AB35" i="9"/>
  <c r="AA35" i="9"/>
  <c r="Y35" i="9"/>
  <c r="Z35" i="9"/>
  <c r="AB37" i="9"/>
  <c r="AA37" i="9"/>
  <c r="Y37" i="9"/>
  <c r="Z37" i="9"/>
  <c r="AB38" i="9"/>
  <c r="Z38" i="9"/>
  <c r="AA38" i="9"/>
  <c r="AC36" i="9"/>
  <c r="AA36" i="9"/>
  <c r="AB36" i="9"/>
  <c r="Z36" i="9"/>
  <c r="AF35" i="9"/>
  <c r="AE35" i="9"/>
  <c r="AG35" i="9"/>
  <c r="AM35" i="9" s="1"/>
  <c r="AD35" i="9"/>
  <c r="AL100" i="8"/>
  <c r="AK100" i="8"/>
  <c r="AJ100" i="8"/>
  <c r="AG38" i="9"/>
  <c r="AM38" i="9" s="1"/>
  <c r="AD38" i="9"/>
  <c r="AE38" i="9"/>
  <c r="AF26" i="9"/>
  <c r="AD26" i="9"/>
  <c r="AE26" i="9"/>
  <c r="AC26" i="9"/>
  <c r="AG26" i="9"/>
  <c r="AF38" i="9"/>
  <c r="AE126" i="8"/>
  <c r="AC126" i="8"/>
  <c r="AD126" i="8"/>
  <c r="AB126" i="8"/>
  <c r="P21" i="8"/>
  <c r="P26" i="8"/>
  <c r="N27" i="8"/>
  <c r="I27" i="8"/>
  <c r="J27" i="8"/>
  <c r="K27" i="8"/>
  <c r="O115" i="8"/>
  <c r="O27" i="8"/>
  <c r="Q27" i="8"/>
  <c r="L21" i="8" l="1"/>
  <c r="AA41" i="8"/>
  <c r="AA38" i="8"/>
  <c r="Y41" i="8"/>
  <c r="Y38" i="8"/>
  <c r="N41" i="8"/>
  <c r="N38" i="8"/>
  <c r="R97" i="8"/>
  <c r="R115" i="8" s="1"/>
  <c r="R149" i="8" s="1"/>
  <c r="R41" i="8"/>
  <c r="R38" i="8"/>
  <c r="AF11" i="9"/>
  <c r="AF17" i="9" s="1"/>
  <c r="W18" i="9"/>
  <c r="W24" i="9"/>
  <c r="Z17" i="9"/>
  <c r="Z23" i="9" s="1"/>
  <c r="Z28" i="9" s="1"/>
  <c r="AC6" i="9"/>
  <c r="AG6" i="9"/>
  <c r="AE6" i="9"/>
  <c r="AD6" i="9"/>
  <c r="AD11" i="9" s="1"/>
  <c r="AB6" i="9"/>
  <c r="AH9" i="10"/>
  <c r="AA6" i="9"/>
  <c r="M30" i="8"/>
  <c r="M34" i="8" s="1"/>
  <c r="M35" i="8" s="1"/>
  <c r="M27" i="8"/>
  <c r="AM26" i="8"/>
  <c r="AM30" i="8" s="1"/>
  <c r="AO37" i="8"/>
  <c r="AO126" i="8"/>
  <c r="AK36" i="9"/>
  <c r="AM36" i="9" s="1"/>
  <c r="AM156" i="8"/>
  <c r="N97" i="8"/>
  <c r="N115" i="8" s="1"/>
  <c r="N149" i="8" s="1"/>
  <c r="AI9" i="10"/>
  <c r="AF9" i="10"/>
  <c r="AG9" i="10"/>
  <c r="AE9" i="10"/>
  <c r="AD9" i="10"/>
  <c r="AC9" i="10"/>
  <c r="AB9" i="10"/>
  <c r="AA9" i="10"/>
  <c r="Z9" i="10"/>
  <c r="Y9" i="10"/>
  <c r="Y27" i="8"/>
  <c r="Y21" i="8"/>
  <c r="AJ31" i="9"/>
  <c r="AK31" i="9"/>
  <c r="AM31" i="9" s="1"/>
  <c r="AJ26" i="9"/>
  <c r="AK26" i="9"/>
  <c r="AJ42" i="9"/>
  <c r="AK42" i="9"/>
  <c r="W32" i="9"/>
  <c r="W29" i="9"/>
  <c r="Z21" i="8"/>
  <c r="Z26" i="8"/>
  <c r="Y31" i="8"/>
  <c r="AA31" i="8"/>
  <c r="AF147" i="8"/>
  <c r="AI147" i="8"/>
  <c r="AG147" i="8"/>
  <c r="AI31" i="9"/>
  <c r="N31" i="8"/>
  <c r="L27" i="8"/>
  <c r="L30" i="8"/>
  <c r="L34" i="8" s="1"/>
  <c r="L35" i="8" s="1"/>
  <c r="P27" i="8"/>
  <c r="P30" i="8"/>
  <c r="P34" i="8" s="1"/>
  <c r="P35" i="8" s="1"/>
  <c r="AH31" i="9"/>
  <c r="AC31" i="9"/>
  <c r="AB31" i="9"/>
  <c r="AA31" i="9"/>
  <c r="Z31" i="9"/>
  <c r="O149" i="8"/>
  <c r="AH42" i="9"/>
  <c r="AI42" i="9"/>
  <c r="Z42" i="9"/>
  <c r="AA42" i="9"/>
  <c r="AO140" i="8"/>
  <c r="AG41" i="9"/>
  <c r="AB42" i="9"/>
  <c r="Y18" i="9"/>
  <c r="AI26" i="9"/>
  <c r="AH26" i="9"/>
  <c r="R31" i="8"/>
  <c r="I31" i="8"/>
  <c r="O31" i="8"/>
  <c r="Q31" i="8"/>
  <c r="K31" i="8"/>
  <c r="J31" i="8"/>
  <c r="AM31" i="8" l="1"/>
  <c r="AM38" i="8"/>
  <c r="AM41" i="8"/>
  <c r="P97" i="8"/>
  <c r="P38" i="8"/>
  <c r="P41" i="8"/>
  <c r="M41" i="8"/>
  <c r="M38" i="8"/>
  <c r="L97" i="8"/>
  <c r="L41" i="8"/>
  <c r="L38" i="8"/>
  <c r="AM27" i="8"/>
  <c r="AA11" i="9"/>
  <c r="AA17" i="9" s="1"/>
  <c r="AB11" i="9"/>
  <c r="AF12" i="9" s="1"/>
  <c r="AG11" i="9"/>
  <c r="AG17" i="9" s="1"/>
  <c r="AC11" i="9"/>
  <c r="AC17" i="9" s="1"/>
  <c r="AE11" i="9"/>
  <c r="AE17" i="9" s="1"/>
  <c r="Z18" i="9"/>
  <c r="AM26" i="9"/>
  <c r="AD17" i="9"/>
  <c r="AD23" i="9" s="1"/>
  <c r="AD28" i="9" s="1"/>
  <c r="AD12" i="9"/>
  <c r="AH6" i="9"/>
  <c r="AJ6" i="9"/>
  <c r="AJ11" i="9" s="1"/>
  <c r="AK6" i="9"/>
  <c r="AK11" i="9" s="1"/>
  <c r="AI6" i="9"/>
  <c r="AI11" i="9" s="1"/>
  <c r="M97" i="8"/>
  <c r="M115" i="8" s="1"/>
  <c r="M149" i="8" s="1"/>
  <c r="M31" i="8"/>
  <c r="AF18" i="9"/>
  <c r="AF23" i="9"/>
  <c r="W33" i="9"/>
  <c r="W39" i="9"/>
  <c r="W47" i="9" s="1"/>
  <c r="Z27" i="8"/>
  <c r="Z30" i="8"/>
  <c r="Z32" i="9"/>
  <c r="Z80" i="9" s="1"/>
  <c r="Z24" i="9"/>
  <c r="Z29" i="9"/>
  <c r="AD41" i="9"/>
  <c r="AE41" i="9"/>
  <c r="AF41" i="9"/>
  <c r="Y32" i="9"/>
  <c r="Y80" i="9" s="1"/>
  <c r="Y24" i="9"/>
  <c r="L31" i="8"/>
  <c r="P31" i="8"/>
  <c r="Z41" i="8" l="1"/>
  <c r="Z38" i="8"/>
  <c r="AE12" i="9"/>
  <c r="AG12" i="9"/>
  <c r="AC12" i="9"/>
  <c r="AB17" i="9"/>
  <c r="AB18" i="9" s="1"/>
  <c r="AE23" i="9"/>
  <c r="AE28" i="9" s="1"/>
  <c r="AE32" i="9" s="1"/>
  <c r="AE81" i="9" s="1" a="1"/>
  <c r="AE81" i="9" s="1"/>
  <c r="AE18" i="9"/>
  <c r="AG23" i="9"/>
  <c r="AG24" i="9" s="1"/>
  <c r="AG18" i="9"/>
  <c r="AC23" i="9"/>
  <c r="AC24" i="9" s="1"/>
  <c r="AC18" i="9"/>
  <c r="AA18" i="9"/>
  <c r="AA23" i="9"/>
  <c r="AA28" i="9" s="1"/>
  <c r="AA32" i="9" s="1"/>
  <c r="AH11" i="9"/>
  <c r="AH17" i="9" s="1"/>
  <c r="AD18" i="9"/>
  <c r="AF24" i="9"/>
  <c r="AF28" i="9"/>
  <c r="AF32" i="9" s="1"/>
  <c r="AF80" i="9" s="1"/>
  <c r="AD24" i="9"/>
  <c r="AI12" i="9"/>
  <c r="AI17" i="9"/>
  <c r="AI23" i="9" s="1"/>
  <c r="AI28" i="9" s="1"/>
  <c r="AM6" i="9"/>
  <c r="AK17" i="9"/>
  <c r="W48" i="9"/>
  <c r="Z31" i="8"/>
  <c r="Z33" i="9"/>
  <c r="Z81" i="9" a="1"/>
  <c r="Z81" i="9" s="1"/>
  <c r="Z82" i="9" a="1"/>
  <c r="Z82" i="9" s="1"/>
  <c r="Z78" i="9"/>
  <c r="Z79" i="9"/>
  <c r="Z39" i="9"/>
  <c r="AD29" i="9"/>
  <c r="AD32" i="9"/>
  <c r="Y29" i="9"/>
  <c r="AF97" i="8"/>
  <c r="P115" i="8"/>
  <c r="P149" i="8" s="1"/>
  <c r="AG97" i="8"/>
  <c r="AH97" i="8"/>
  <c r="AB23" i="9" l="1"/>
  <c r="AB28" i="9" s="1"/>
  <c r="AE24" i="9"/>
  <c r="AG28" i="9"/>
  <c r="AG32" i="9" s="1"/>
  <c r="AG80" i="9" s="1"/>
  <c r="AH12" i="9"/>
  <c r="AA24" i="9"/>
  <c r="AC28" i="9"/>
  <c r="AC32" i="9" s="1"/>
  <c r="AA29" i="9"/>
  <c r="AA80" i="9"/>
  <c r="AA39" i="9"/>
  <c r="AA79" i="9"/>
  <c r="AA82" i="9" a="1"/>
  <c r="AA82" i="9" s="1"/>
  <c r="AA78" i="9"/>
  <c r="AA33" i="9"/>
  <c r="AA81" i="9" a="1"/>
  <c r="AA81" i="9" s="1"/>
  <c r="AI18" i="9"/>
  <c r="AH23" i="9"/>
  <c r="AH28" i="9" s="1"/>
  <c r="AH18" i="9"/>
  <c r="AM11" i="9"/>
  <c r="AK12" i="9"/>
  <c r="AM12" i="9" s="1"/>
  <c r="AE29" i="9"/>
  <c r="AE78" i="9"/>
  <c r="AE82" i="9" a="1"/>
  <c r="AE82" i="9" s="1"/>
  <c r="AE79" i="9"/>
  <c r="AE33" i="9"/>
  <c r="AE80" i="9"/>
  <c r="AE39" i="9"/>
  <c r="AF82" i="9" a="1"/>
  <c r="AF82" i="9" s="1"/>
  <c r="AF29" i="9"/>
  <c r="AI24" i="9"/>
  <c r="AG149" i="8"/>
  <c r="AH149" i="8"/>
  <c r="AF149" i="8"/>
  <c r="AD82" i="9" a="1"/>
  <c r="AD82" i="9" s="1"/>
  <c r="AD80" i="9"/>
  <c r="AD81" i="9" a="1"/>
  <c r="AD81" i="9" s="1"/>
  <c r="AD79" i="9"/>
  <c r="AF79" i="9"/>
  <c r="AF78" i="9"/>
  <c r="AF81" i="9" a="1"/>
  <c r="AF81" i="9" s="1"/>
  <c r="AD33" i="9"/>
  <c r="AF39" i="9"/>
  <c r="AD39" i="9"/>
  <c r="AF33" i="9"/>
  <c r="AD78" i="9"/>
  <c r="Y33" i="9"/>
  <c r="Y78" i="9"/>
  <c r="Y79" i="9"/>
  <c r="Y82" i="9" a="1"/>
  <c r="Y82" i="9" s="1"/>
  <c r="Y39" i="9"/>
  <c r="Y81" i="9" a="1"/>
  <c r="Y81" i="9" s="1"/>
  <c r="B94" i="8"/>
  <c r="B93" i="8"/>
  <c r="G94" i="8"/>
  <c r="F94" i="8"/>
  <c r="E94" i="8"/>
  <c r="D94" i="8"/>
  <c r="C94" i="8"/>
  <c r="G93" i="8"/>
  <c r="F93" i="8"/>
  <c r="E93" i="8"/>
  <c r="D93" i="8"/>
  <c r="C93" i="8"/>
  <c r="B45" i="8"/>
  <c r="B44" i="8"/>
  <c r="AL45" i="8"/>
  <c r="AK45" i="8"/>
  <c r="AJ45" i="8"/>
  <c r="AH45" i="8"/>
  <c r="AG45" i="8"/>
  <c r="AF45" i="8"/>
  <c r="AD45" i="8"/>
  <c r="AC45" i="8"/>
  <c r="AB45" i="8"/>
  <c r="AI45" i="8"/>
  <c r="AE45" i="8"/>
  <c r="AL44" i="8"/>
  <c r="AK44" i="8"/>
  <c r="AJ44" i="8"/>
  <c r="AI44" i="8"/>
  <c r="AH44" i="8"/>
  <c r="AG44" i="8"/>
  <c r="AF44" i="8"/>
  <c r="AE44" i="8"/>
  <c r="AD44" i="8"/>
  <c r="AC44" i="8"/>
  <c r="AB44" i="8"/>
  <c r="AG78" i="9" l="1"/>
  <c r="AG81" i="9" a="1"/>
  <c r="AG81" i="9" s="1"/>
  <c r="AB24" i="9"/>
  <c r="AG33" i="9"/>
  <c r="AG29" i="9"/>
  <c r="AG82" i="9" a="1"/>
  <c r="AG82" i="9" s="1"/>
  <c r="AG79" i="9"/>
  <c r="AG39" i="9"/>
  <c r="AC29" i="9"/>
  <c r="AB32" i="9"/>
  <c r="AB29" i="9"/>
  <c r="AK23" i="9"/>
  <c r="AK28" i="9" s="1"/>
  <c r="AK18" i="9"/>
  <c r="AM18" i="9" s="1"/>
  <c r="AM17" i="9"/>
  <c r="AH24" i="9"/>
  <c r="AC80" i="9"/>
  <c r="AC39" i="9"/>
  <c r="AC78" i="9"/>
  <c r="AC81" i="9" a="1"/>
  <c r="AC81" i="9" s="1"/>
  <c r="AC82" i="9" a="1"/>
  <c r="AC82" i="9" s="1"/>
  <c r="AC33" i="9"/>
  <c r="AC79" i="9"/>
  <c r="AI32" i="9"/>
  <c r="AI29" i="9"/>
  <c r="AB93" i="8"/>
  <c r="AE93" i="8"/>
  <c r="AF93" i="8"/>
  <c r="AF94" i="8"/>
  <c r="AI93" i="8"/>
  <c r="AJ93" i="8"/>
  <c r="AE94" i="8"/>
  <c r="AJ94" i="8"/>
  <c r="AK94" i="8"/>
  <c r="AH93" i="8"/>
  <c r="AC93" i="8"/>
  <c r="AK93" i="8"/>
  <c r="AH94" i="8"/>
  <c r="AG94" i="8"/>
  <c r="AD93" i="8"/>
  <c r="AL93" i="8"/>
  <c r="AI94" i="8"/>
  <c r="AB94" i="8"/>
  <c r="AC94" i="8"/>
  <c r="AG93" i="8"/>
  <c r="AD94" i="8"/>
  <c r="AL94" i="8"/>
  <c r="AB80" i="9" l="1"/>
  <c r="AB78" i="9"/>
  <c r="AB79" i="9"/>
  <c r="AB33" i="9"/>
  <c r="AB82" i="9" a="1"/>
  <c r="AB82" i="9" s="1"/>
  <c r="AB81" i="9" a="1"/>
  <c r="AB81" i="9" s="1"/>
  <c r="AB39" i="9"/>
  <c r="AH32" i="9"/>
  <c r="AH29" i="9"/>
  <c r="AK24" i="9"/>
  <c r="AM24" i="9" s="1"/>
  <c r="AM23" i="9"/>
  <c r="AI80" i="9"/>
  <c r="AI33" i="9"/>
  <c r="AI82" i="9" a="1"/>
  <c r="AI82" i="9" s="1"/>
  <c r="AI39" i="9"/>
  <c r="AI81" i="9" a="1"/>
  <c r="AI81" i="9" s="1"/>
  <c r="AI78" i="9"/>
  <c r="AI79" i="9"/>
  <c r="AM28" i="9" l="1"/>
  <c r="AK29" i="9"/>
  <c r="AM29" i="9" s="1"/>
  <c r="AK32" i="9"/>
  <c r="AH80" i="9"/>
  <c r="AH79" i="9"/>
  <c r="AH39" i="9"/>
  <c r="AH81" i="9" a="1"/>
  <c r="AH81" i="9" s="1"/>
  <c r="AH33" i="9"/>
  <c r="AH82" i="9" a="1"/>
  <c r="AH82" i="9" s="1"/>
  <c r="AH78" i="9"/>
  <c r="AK80" i="9" l="1"/>
  <c r="AM32" i="9"/>
  <c r="AK81" i="9" a="1"/>
  <c r="AK81" i="9" s="1"/>
  <c r="AK33" i="9"/>
  <c r="AM33" i="9" s="1"/>
  <c r="AK79" i="9"/>
  <c r="AK78" i="9"/>
  <c r="AK82" i="9" a="1"/>
  <c r="AK82" i="9" s="1"/>
  <c r="AK39" i="9"/>
  <c r="AM39" i="9" s="1"/>
  <c r="F11" i="10" l="1"/>
  <c r="E11" i="10"/>
  <c r="D11" i="10"/>
  <c r="C11" i="10"/>
  <c r="V11" i="10"/>
  <c r="V12" i="10" s="1"/>
  <c r="U11" i="10"/>
  <c r="T11" i="10"/>
  <c r="S11" i="10"/>
  <c r="R11" i="10"/>
  <c r="R12" i="10" s="1"/>
  <c r="Q11" i="10"/>
  <c r="Q12" i="10" s="1"/>
  <c r="P11" i="10"/>
  <c r="P12" i="10" s="1"/>
  <c r="O11" i="10"/>
  <c r="O12" i="10" s="1"/>
  <c r="N11" i="10"/>
  <c r="N12" i="10" s="1"/>
  <c r="M11" i="10"/>
  <c r="M12" i="10" s="1"/>
  <c r="L11" i="10"/>
  <c r="L12" i="10" s="1"/>
  <c r="K11" i="10"/>
  <c r="K12" i="10" s="1"/>
  <c r="J11" i="10"/>
  <c r="J12" i="10" s="1"/>
  <c r="I11" i="10"/>
  <c r="I12" i="10" s="1"/>
  <c r="G11" i="10"/>
  <c r="T86" i="8"/>
  <c r="T73" i="9" s="1"/>
  <c r="V73" i="9"/>
  <c r="AJ73" i="9" l="1"/>
  <c r="AH73" i="9"/>
  <c r="AH74" i="9" s="1"/>
  <c r="AH83" i="9" s="1"/>
  <c r="F17" i="9"/>
  <c r="Q17" i="9"/>
  <c r="O17" i="9"/>
  <c r="J17" i="9"/>
  <c r="R17" i="9"/>
  <c r="K17" i="9"/>
  <c r="C17" i="9"/>
  <c r="L17" i="9"/>
  <c r="D17" i="9"/>
  <c r="I17" i="9"/>
  <c r="M17" i="9"/>
  <c r="U17" i="9"/>
  <c r="G17" i="9"/>
  <c r="E17" i="9"/>
  <c r="T17" i="9"/>
  <c r="P17" i="9"/>
  <c r="N17" i="9"/>
  <c r="U73" i="9"/>
  <c r="W12" i="9" l="1"/>
  <c r="S17" i="9"/>
  <c r="W13" i="9"/>
  <c r="V17" i="9"/>
  <c r="AI73" i="9"/>
  <c r="AI74" i="9" s="1"/>
  <c r="AI83" i="9" s="1"/>
  <c r="AI62" i="9"/>
  <c r="AJ74" i="9"/>
  <c r="AJ83" i="9" s="1"/>
  <c r="AJ17" i="9"/>
  <c r="C145" i="8" l="1"/>
  <c r="AG11" i="8"/>
  <c r="F54" i="8"/>
  <c r="F63" i="8" s="1"/>
  <c r="E54" i="8"/>
  <c r="E63" i="8" s="1"/>
  <c r="D54" i="8"/>
  <c r="D63" i="8" s="1"/>
  <c r="C54" i="8"/>
  <c r="C63" i="8" s="1"/>
  <c r="G54" i="8"/>
  <c r="G63" i="8" s="1"/>
  <c r="AG14" i="8" l="1"/>
  <c r="AG35" i="8" s="1"/>
  <c r="AB72" i="8"/>
  <c r="AB80" i="8" s="1"/>
  <c r="AB54" i="8"/>
  <c r="AB63" i="8" s="1"/>
  <c r="AB86" i="8"/>
  <c r="AD86" i="8"/>
  <c r="AH11" i="8"/>
  <c r="AH54" i="8"/>
  <c r="AH63" i="8" s="1"/>
  <c r="AH86" i="8"/>
  <c r="AE86" i="8"/>
  <c r="AF54" i="8"/>
  <c r="AF63" i="8" s="1"/>
  <c r="AH72" i="8"/>
  <c r="AH80" i="8" s="1"/>
  <c r="AG72" i="8"/>
  <c r="AG80" i="8" s="1"/>
  <c r="AC72" i="8"/>
  <c r="AC80" i="8" s="1"/>
  <c r="AE11" i="8"/>
  <c r="AC54" i="8"/>
  <c r="AC63" i="8" s="1"/>
  <c r="AG54" i="8"/>
  <c r="AG63" i="8" s="1"/>
  <c r="AF86" i="8"/>
  <c r="AF11" i="8"/>
  <c r="AD54" i="8"/>
  <c r="AD63" i="8" s="1"/>
  <c r="AD72" i="8"/>
  <c r="AD80" i="8" s="1"/>
  <c r="AF72" i="8"/>
  <c r="AF80" i="8" s="1"/>
  <c r="AG86" i="8"/>
  <c r="AC86" i="8"/>
  <c r="AJ86" i="8"/>
  <c r="AJ54" i="8"/>
  <c r="AJ63" i="8" s="1"/>
  <c r="AK86" i="8"/>
  <c r="AJ11" i="8"/>
  <c r="AJ14" i="8" s="1"/>
  <c r="AJ35" i="8" s="1"/>
  <c r="AJ80" i="8"/>
  <c r="AK80" i="8"/>
  <c r="AI11" i="8"/>
  <c r="AI14" i="8" s="1"/>
  <c r="AI35" i="8" s="1"/>
  <c r="AO35" i="8" s="1"/>
  <c r="AK11" i="8"/>
  <c r="AK14" i="8" s="1"/>
  <c r="AK35" i="8" s="1"/>
  <c r="AK54" i="8"/>
  <c r="AK63" i="8" s="1"/>
  <c r="AF14" i="8" l="1"/>
  <c r="AF35" i="8" s="1"/>
  <c r="AE14" i="8"/>
  <c r="AE35" i="8" s="1"/>
  <c r="AH14" i="8"/>
  <c r="AH35" i="8" s="1"/>
  <c r="AO11" i="8"/>
  <c r="AG20" i="8"/>
  <c r="AG26" i="8" s="1"/>
  <c r="AG30" i="8" s="1"/>
  <c r="AJ23" i="9"/>
  <c r="AJ28" i="9" s="1"/>
  <c r="AE11" i="10"/>
  <c r="AE12" i="10" s="1"/>
  <c r="AF11" i="10"/>
  <c r="AF12" i="10" s="1"/>
  <c r="AB87" i="8"/>
  <c r="AB89" i="8" s="1"/>
  <c r="C23" i="9"/>
  <c r="C28" i="9" s="1"/>
  <c r="AH87" i="8"/>
  <c r="AH89" i="8" s="1"/>
  <c r="AF87" i="8"/>
  <c r="AF89" i="8" s="1"/>
  <c r="AD87" i="8"/>
  <c r="AD89" i="8" s="1"/>
  <c r="AG87" i="8"/>
  <c r="AG89" i="8" s="1"/>
  <c r="AC87" i="8"/>
  <c r="AC89" i="8" s="1"/>
  <c r="AG15" i="8"/>
  <c r="AJ87" i="8"/>
  <c r="AJ89" i="8" s="1"/>
  <c r="AO14" i="8"/>
  <c r="AK87" i="8"/>
  <c r="AK89" i="8" s="1"/>
  <c r="AG41" i="8" l="1"/>
  <c r="AG38" i="8"/>
  <c r="AI20" i="8"/>
  <c r="AE20" i="8"/>
  <c r="AE26" i="8" s="1"/>
  <c r="AE30" i="8" s="1"/>
  <c r="AJ20" i="8"/>
  <c r="AJ26" i="8" s="1"/>
  <c r="AJ30" i="8" s="1"/>
  <c r="AF20" i="8"/>
  <c r="AF21" i="8" s="1"/>
  <c r="AH20" i="8"/>
  <c r="AH26" i="8" s="1"/>
  <c r="AH30" i="8" s="1"/>
  <c r="AG21" i="8"/>
  <c r="AK20" i="8"/>
  <c r="AK21" i="8" s="1"/>
  <c r="AJ15" i="8"/>
  <c r="AI15" i="8"/>
  <c r="AO15" i="8" s="1"/>
  <c r="AF15" i="8"/>
  <c r="AK15" i="8"/>
  <c r="AH15" i="8"/>
  <c r="AJ18" i="9"/>
  <c r="AC11" i="10"/>
  <c r="AC12" i="10" s="1"/>
  <c r="AD11" i="10"/>
  <c r="AD12" i="10" s="1"/>
  <c r="AG11" i="10"/>
  <c r="AG12" i="10" s="1"/>
  <c r="AI11" i="10"/>
  <c r="AI12" i="10" s="1"/>
  <c r="AB11" i="10"/>
  <c r="AB12" i="10" s="1"/>
  <c r="C18" i="9"/>
  <c r="AG27" i="8"/>
  <c r="AE15" i="8"/>
  <c r="AH41" i="8" l="1"/>
  <c r="AH38" i="8"/>
  <c r="AJ38" i="8"/>
  <c r="AJ41" i="8"/>
  <c r="AE38" i="8"/>
  <c r="AE41" i="8"/>
  <c r="AI26" i="8"/>
  <c r="AI27" i="8" s="1"/>
  <c r="AO27" i="8" s="1"/>
  <c r="AO20" i="8"/>
  <c r="C24" i="9"/>
  <c r="C32" i="9"/>
  <c r="C80" i="9" s="1"/>
  <c r="C29" i="9"/>
  <c r="AE21" i="8"/>
  <c r="AJ21" i="8"/>
  <c r="AI21" i="8"/>
  <c r="AO21" i="8" s="1"/>
  <c r="AH21" i="8"/>
  <c r="AF26" i="8"/>
  <c r="AF30" i="8" s="1"/>
  <c r="AK26" i="8"/>
  <c r="AK30" i="8" s="1"/>
  <c r="AA11" i="10"/>
  <c r="AA12" i="10" s="1"/>
  <c r="Z11" i="10"/>
  <c r="AE27" i="8"/>
  <c r="AJ27" i="8"/>
  <c r="AJ32" i="9"/>
  <c r="AJ80" i="9" s="1"/>
  <c r="AJ24" i="9"/>
  <c r="Y11" i="10"/>
  <c r="AH11" i="10"/>
  <c r="AK11" i="10"/>
  <c r="AK9" i="10"/>
  <c r="AG31" i="8"/>
  <c r="AE31" i="8"/>
  <c r="AH27" i="8"/>
  <c r="AF31" i="8" l="1"/>
  <c r="AF41" i="8"/>
  <c r="AF38" i="8"/>
  <c r="AK38" i="8"/>
  <c r="AK41" i="8"/>
  <c r="AI30" i="8"/>
  <c r="AO26" i="8"/>
  <c r="C39" i="9"/>
  <c r="C48" i="9" s="1"/>
  <c r="C79" i="9"/>
  <c r="C78" i="9"/>
  <c r="C81" i="9" a="1"/>
  <c r="C81" i="9" s="1"/>
  <c r="C33" i="9"/>
  <c r="C82" i="9" a="1"/>
  <c r="C82" i="9" s="1"/>
  <c r="AF27" i="8"/>
  <c r="AK27" i="8"/>
  <c r="AJ29" i="9"/>
  <c r="AH31" i="8"/>
  <c r="AJ31" i="8"/>
  <c r="AK31" i="8"/>
  <c r="AO30" i="8" l="1"/>
  <c r="AI38" i="8"/>
  <c r="AO38" i="8" s="1"/>
  <c r="AI41" i="8"/>
  <c r="AO41" i="8" s="1"/>
  <c r="AI31" i="8"/>
  <c r="AO31" i="8" s="1"/>
  <c r="AJ82" i="9" a="1"/>
  <c r="AJ82" i="9" s="1"/>
  <c r="AJ33" i="9"/>
  <c r="AJ81" i="9" a="1"/>
  <c r="AJ81" i="9" s="1"/>
  <c r="AJ78" i="9"/>
  <c r="AJ79" i="9"/>
  <c r="AJ39" i="9"/>
  <c r="AE72" i="8" l="1"/>
  <c r="AI80" i="8"/>
  <c r="AO80" i="8" s="1"/>
  <c r="AE80" i="8" l="1"/>
  <c r="AE87" i="8" s="1"/>
  <c r="C86" i="8" l="1"/>
  <c r="C73" i="9" s="1"/>
  <c r="C11" i="8"/>
  <c r="C14" i="8" s="1"/>
  <c r="S11" i="8"/>
  <c r="G11" i="8"/>
  <c r="G14" i="8" s="1"/>
  <c r="F11" i="8"/>
  <c r="F14" i="8" s="1"/>
  <c r="E11" i="8"/>
  <c r="E14" i="8" s="1"/>
  <c r="D11" i="8"/>
  <c r="D14" i="8" s="1"/>
  <c r="G86" i="8"/>
  <c r="G73" i="9" s="1"/>
  <c r="F86" i="8"/>
  <c r="F73" i="9" s="1"/>
  <c r="E86" i="8"/>
  <c r="E73" i="9" s="1"/>
  <c r="D86" i="8"/>
  <c r="D73" i="9" s="1"/>
  <c r="V63" i="9"/>
  <c r="T80" i="8"/>
  <c r="T63" i="9" s="1"/>
  <c r="AL11" i="8"/>
  <c r="AL14" i="8" s="1"/>
  <c r="AL35" i="8" s="1"/>
  <c r="U74" i="9"/>
  <c r="U83" i="9" s="1"/>
  <c r="M74" i="9"/>
  <c r="M83" i="9" s="1"/>
  <c r="D12" i="9"/>
  <c r="S14" i="8" l="1"/>
  <c r="AH12" i="10"/>
  <c r="E12" i="10"/>
  <c r="S12" i="10"/>
  <c r="G12" i="10"/>
  <c r="F12" i="10"/>
  <c r="D12" i="10"/>
  <c r="C12" i="10"/>
  <c r="D80" i="8"/>
  <c r="D63" i="9" s="1"/>
  <c r="F80" i="8"/>
  <c r="F63" i="9" s="1"/>
  <c r="C80" i="8"/>
  <c r="C63" i="9" s="1"/>
  <c r="E80" i="8"/>
  <c r="E63" i="9" s="1"/>
  <c r="C74" i="9"/>
  <c r="C83" i="9" s="1"/>
  <c r="N74" i="9"/>
  <c r="N83" i="9" s="1"/>
  <c r="V74" i="9"/>
  <c r="V83" i="9" s="1"/>
  <c r="E74" i="9"/>
  <c r="E83" i="9" s="1"/>
  <c r="O74" i="9"/>
  <c r="O83" i="9" s="1"/>
  <c r="AH63" i="9"/>
  <c r="AJ63" i="9"/>
  <c r="C20" i="8"/>
  <c r="K74" i="9"/>
  <c r="G74" i="9"/>
  <c r="G83" i="9" s="1"/>
  <c r="J74" i="9"/>
  <c r="O23" i="9"/>
  <c r="O28" i="9" s="1"/>
  <c r="M12" i="9"/>
  <c r="U12" i="9"/>
  <c r="F74" i="9"/>
  <c r="F83" i="9" s="1"/>
  <c r="I74" i="9"/>
  <c r="U13" i="9"/>
  <c r="AI86" i="8"/>
  <c r="F20" i="8"/>
  <c r="E20" i="8"/>
  <c r="G20" i="8"/>
  <c r="D20" i="8"/>
  <c r="U63" i="9"/>
  <c r="AL80" i="8"/>
  <c r="AL86" i="8"/>
  <c r="G23" i="9"/>
  <c r="G28" i="9" s="1"/>
  <c r="G12" i="9"/>
  <c r="E23" i="9"/>
  <c r="E28" i="9" s="1"/>
  <c r="E12" i="9"/>
  <c r="F23" i="9"/>
  <c r="F28" i="9" s="1"/>
  <c r="F12" i="9"/>
  <c r="M13" i="9"/>
  <c r="Q74" i="9"/>
  <c r="Q83" i="9" s="1"/>
  <c r="D23" i="9"/>
  <c r="D28" i="9" s="1"/>
  <c r="R74" i="9"/>
  <c r="R83" i="9" s="1"/>
  <c r="S74" i="9"/>
  <c r="S83" i="9" s="1"/>
  <c r="D74" i="9"/>
  <c r="D83" i="9" s="1"/>
  <c r="S20" i="8" l="1"/>
  <c r="AI87" i="8"/>
  <c r="AO87" i="8" s="1"/>
  <c r="AO86" i="8"/>
  <c r="E87" i="8"/>
  <c r="E89" i="8" s="1"/>
  <c r="G26" i="8"/>
  <c r="G30" i="8" s="1"/>
  <c r="G34" i="8" s="1"/>
  <c r="S21" i="8"/>
  <c r="C26" i="8"/>
  <c r="C30" i="8" s="1"/>
  <c r="D26" i="8"/>
  <c r="D30" i="8" s="1"/>
  <c r="D34" i="8" s="1"/>
  <c r="E26" i="8"/>
  <c r="E30" i="8" s="1"/>
  <c r="E34" i="8" s="1"/>
  <c r="F21" i="8"/>
  <c r="D87" i="8"/>
  <c r="D89" i="8" s="1"/>
  <c r="S15" i="8"/>
  <c r="D15" i="8"/>
  <c r="C15" i="8"/>
  <c r="T74" i="9"/>
  <c r="T83" i="9" s="1"/>
  <c r="T87" i="8"/>
  <c r="T89" i="8" s="1"/>
  <c r="AI54" i="8"/>
  <c r="AO54" i="8" s="1"/>
  <c r="AE54" i="8"/>
  <c r="F87" i="8"/>
  <c r="F89" i="8" s="1"/>
  <c r="G87" i="8"/>
  <c r="G89" i="8" s="1"/>
  <c r="C87" i="8"/>
  <c r="C89" i="8" s="1"/>
  <c r="AI63" i="9"/>
  <c r="P74" i="9"/>
  <c r="P83" i="9" s="1"/>
  <c r="L74" i="9"/>
  <c r="L83" i="9" s="1"/>
  <c r="P13" i="9"/>
  <c r="T12" i="9"/>
  <c r="Q12" i="9"/>
  <c r="R13" i="9"/>
  <c r="T23" i="9"/>
  <c r="T28" i="9" s="1"/>
  <c r="O13" i="9"/>
  <c r="Q13" i="9"/>
  <c r="N13" i="9"/>
  <c r="R23" i="9"/>
  <c r="R28" i="9" s="1"/>
  <c r="P23" i="9"/>
  <c r="P28" i="9" s="1"/>
  <c r="J13" i="9"/>
  <c r="R12" i="9"/>
  <c r="N12" i="9"/>
  <c r="J23" i="9"/>
  <c r="J28" i="9" s="1"/>
  <c r="P12" i="9"/>
  <c r="AL54" i="8"/>
  <c r="AL63" i="8" s="1"/>
  <c r="F15" i="8"/>
  <c r="G15" i="8"/>
  <c r="E15" i="8"/>
  <c r="AL20" i="8"/>
  <c r="O18" i="9"/>
  <c r="F18" i="9"/>
  <c r="S12" i="9"/>
  <c r="S23" i="9"/>
  <c r="S28" i="9" s="1"/>
  <c r="S13" i="9"/>
  <c r="K23" i="9"/>
  <c r="K28" i="9" s="1"/>
  <c r="K13" i="9"/>
  <c r="U23" i="9"/>
  <c r="U28" i="9" s="1"/>
  <c r="AJ12" i="9"/>
  <c r="N23" i="9"/>
  <c r="N28" i="9" s="1"/>
  <c r="T13" i="9"/>
  <c r="D18" i="9"/>
  <c r="V12" i="9"/>
  <c r="V23" i="9"/>
  <c r="V28" i="9" s="1"/>
  <c r="V13" i="9"/>
  <c r="L23" i="9"/>
  <c r="L28" i="9" s="1"/>
  <c r="L13" i="9"/>
  <c r="O12" i="9"/>
  <c r="M23" i="9"/>
  <c r="M28" i="9" s="1"/>
  <c r="G18" i="9"/>
  <c r="Q23" i="9"/>
  <c r="Q28" i="9" s="1"/>
  <c r="E18" i="9"/>
  <c r="I23" i="9"/>
  <c r="I28" i="9" s="1"/>
  <c r="C34" i="8" l="1"/>
  <c r="C41" i="8" s="1"/>
  <c r="G35" i="8"/>
  <c r="G41" i="8"/>
  <c r="E35" i="8"/>
  <c r="E41" i="8"/>
  <c r="D35" i="8"/>
  <c r="D41" i="8"/>
  <c r="G97" i="8"/>
  <c r="G115" i="8" s="1"/>
  <c r="G149" i="8" s="1"/>
  <c r="G38" i="8"/>
  <c r="C38" i="8"/>
  <c r="D38" i="8"/>
  <c r="E38" i="8"/>
  <c r="J18" i="9"/>
  <c r="R18" i="9"/>
  <c r="R24" i="9"/>
  <c r="G21" i="8"/>
  <c r="D21" i="8"/>
  <c r="C21" i="8"/>
  <c r="F26" i="8"/>
  <c r="F30" i="8" s="1"/>
  <c r="F34" i="8" s="1"/>
  <c r="S26" i="8"/>
  <c r="S30" i="8" s="1"/>
  <c r="S34" i="8" s="1"/>
  <c r="S35" i="8" s="1"/>
  <c r="E21" i="8"/>
  <c r="AE63" i="8"/>
  <c r="AE89" i="8" s="1"/>
  <c r="AI63" i="8"/>
  <c r="AL26" i="8"/>
  <c r="AL30" i="8" s="1"/>
  <c r="C97" i="8"/>
  <c r="E27" i="8"/>
  <c r="AL21" i="8"/>
  <c r="G27" i="8"/>
  <c r="C27" i="8"/>
  <c r="AL87" i="8"/>
  <c r="T18" i="9"/>
  <c r="P18" i="9"/>
  <c r="J24" i="9"/>
  <c r="G31" i="8"/>
  <c r="D27" i="8"/>
  <c r="AL15" i="8"/>
  <c r="I18" i="9"/>
  <c r="E32" i="9"/>
  <c r="E80" i="9" s="1"/>
  <c r="E24" i="9"/>
  <c r="D32" i="9"/>
  <c r="D80" i="9" s="1"/>
  <c r="D24" i="9"/>
  <c r="K18" i="9"/>
  <c r="Q18" i="9"/>
  <c r="L18" i="9"/>
  <c r="F32" i="9"/>
  <c r="F80" i="9" s="1"/>
  <c r="F24" i="9"/>
  <c r="O32" i="9"/>
  <c r="O24" i="9"/>
  <c r="V18" i="9"/>
  <c r="S18" i="9"/>
  <c r="T32" i="9"/>
  <c r="T24" i="9"/>
  <c r="P24" i="9"/>
  <c r="P32" i="9"/>
  <c r="G24" i="9"/>
  <c r="G32" i="9"/>
  <c r="G80" i="9" s="1"/>
  <c r="U18" i="9"/>
  <c r="M18" i="9"/>
  <c r="N18" i="9"/>
  <c r="F35" i="8" l="1"/>
  <c r="F41" i="8"/>
  <c r="C35" i="8"/>
  <c r="AL41" i="8"/>
  <c r="AL38" i="8"/>
  <c r="F97" i="8"/>
  <c r="F115" i="8" s="1"/>
  <c r="F149" i="8" s="1"/>
  <c r="F38" i="8"/>
  <c r="S41" i="8"/>
  <c r="S38" i="8"/>
  <c r="AI89" i="8"/>
  <c r="AO63" i="8"/>
  <c r="S97" i="8"/>
  <c r="S115" i="8" s="1"/>
  <c r="S149" i="8" s="1"/>
  <c r="F27" i="8"/>
  <c r="F31" i="8"/>
  <c r="S27" i="8"/>
  <c r="C115" i="8"/>
  <c r="C149" i="8" s="1"/>
  <c r="E31" i="8"/>
  <c r="E97" i="8"/>
  <c r="C31" i="8"/>
  <c r="D97" i="8"/>
  <c r="D31" i="8"/>
  <c r="AL89" i="8"/>
  <c r="R32" i="9"/>
  <c r="J32" i="9"/>
  <c r="AL27" i="8"/>
  <c r="S31" i="8"/>
  <c r="G29" i="9"/>
  <c r="N32" i="9"/>
  <c r="N24" i="9"/>
  <c r="T29" i="9"/>
  <c r="F29" i="9"/>
  <c r="D29" i="9"/>
  <c r="O29" i="9"/>
  <c r="S24" i="9"/>
  <c r="S32" i="9"/>
  <c r="E29" i="9"/>
  <c r="U32" i="9"/>
  <c r="U24" i="9"/>
  <c r="Q24" i="9"/>
  <c r="Q32" i="9"/>
  <c r="M32" i="9"/>
  <c r="M24" i="9"/>
  <c r="P29" i="9"/>
  <c r="L32" i="9"/>
  <c r="L24" i="9"/>
  <c r="K24" i="9"/>
  <c r="K32" i="9"/>
  <c r="V32" i="9"/>
  <c r="V24" i="9"/>
  <c r="I24" i="9"/>
  <c r="I32" i="9"/>
  <c r="AI97" i="8" l="1"/>
  <c r="AI115" i="8" s="1"/>
  <c r="W82" i="9" a="1"/>
  <c r="W82" i="9" s="1"/>
  <c r="W78" i="9"/>
  <c r="W79" i="9"/>
  <c r="W80" i="9" a="1"/>
  <c r="W80" i="9" s="1"/>
  <c r="W81" i="9" a="1"/>
  <c r="W81" i="9" s="1"/>
  <c r="AI149" i="8"/>
  <c r="Q80" i="9" a="1"/>
  <c r="Q80" i="9" s="1"/>
  <c r="P80" i="9" a="1"/>
  <c r="P80" i="9" s="1"/>
  <c r="V80" i="9" a="1"/>
  <c r="V80" i="9" s="1"/>
  <c r="L80" i="9" a="1"/>
  <c r="L80" i="9" s="1"/>
  <c r="N80" i="9" a="1"/>
  <c r="N80" i="9" s="1"/>
  <c r="U80" i="9" a="1"/>
  <c r="U80" i="9" s="1"/>
  <c r="T80" i="9" a="1"/>
  <c r="T80" i="9" s="1"/>
  <c r="M80" i="9" a="1"/>
  <c r="M80" i="9" s="1"/>
  <c r="R80" i="9" a="1"/>
  <c r="R80" i="9" s="1"/>
  <c r="O80" i="9" a="1"/>
  <c r="O80" i="9" s="1"/>
  <c r="S80" i="9" a="1"/>
  <c r="S80" i="9" s="1"/>
  <c r="E115" i="8"/>
  <c r="E149" i="8" s="1"/>
  <c r="D115" i="8"/>
  <c r="D149" i="8" s="1"/>
  <c r="AH115" i="8"/>
  <c r="R29" i="9"/>
  <c r="J29" i="9"/>
  <c r="M29" i="9"/>
  <c r="Q29" i="9"/>
  <c r="R82" i="9" a="1"/>
  <c r="R82" i="9" s="1"/>
  <c r="J39" i="9"/>
  <c r="J47" i="9" s="1"/>
  <c r="J33" i="9"/>
  <c r="N29" i="9"/>
  <c r="D81" i="9" a="1"/>
  <c r="D81" i="9" s="1"/>
  <c r="D82" i="9" a="1"/>
  <c r="D82" i="9" s="1"/>
  <c r="D39" i="9"/>
  <c r="D47" i="9" s="1"/>
  <c r="D33" i="9"/>
  <c r="D79" i="9"/>
  <c r="D78" i="9"/>
  <c r="F82" i="9" a="1"/>
  <c r="F82" i="9" s="1"/>
  <c r="F81" i="9" a="1"/>
  <c r="F81" i="9" s="1"/>
  <c r="F33" i="9"/>
  <c r="F39" i="9"/>
  <c r="F47" i="9" s="1"/>
  <c r="F78" i="9"/>
  <c r="F79" i="9"/>
  <c r="G81" i="9" a="1"/>
  <c r="G81" i="9" s="1"/>
  <c r="G82" i="9" a="1"/>
  <c r="G82" i="9" s="1"/>
  <c r="G33" i="9"/>
  <c r="G79" i="9"/>
  <c r="G39" i="9"/>
  <c r="G47" i="9" s="1"/>
  <c r="G78" i="9"/>
  <c r="R33" i="9"/>
  <c r="R39" i="9"/>
  <c r="R47" i="9" s="1"/>
  <c r="V29" i="9"/>
  <c r="L29" i="9"/>
  <c r="U29" i="9"/>
  <c r="P39" i="9"/>
  <c r="P47" i="9" s="1"/>
  <c r="P33" i="9"/>
  <c r="O39" i="9"/>
  <c r="O47" i="9" s="1"/>
  <c r="O33" i="9"/>
  <c r="S29" i="9"/>
  <c r="I29" i="9"/>
  <c r="K29" i="9"/>
  <c r="E82" i="9" a="1"/>
  <c r="E82" i="9" s="1"/>
  <c r="E39" i="9"/>
  <c r="E47" i="9" s="1"/>
  <c r="E33" i="9"/>
  <c r="E81" i="9" a="1"/>
  <c r="E81" i="9" s="1"/>
  <c r="E79" i="9"/>
  <c r="E78" i="9"/>
  <c r="T33" i="9"/>
  <c r="T39" i="9"/>
  <c r="T47" i="9" s="1"/>
  <c r="AA97" i="8" l="1"/>
  <c r="AA115" i="8" s="1"/>
  <c r="Z97" i="8"/>
  <c r="Z115" i="8" s="1"/>
  <c r="Y97" i="8"/>
  <c r="Y115" i="8" s="1"/>
  <c r="L115" i="8"/>
  <c r="L149" i="8" s="1"/>
  <c r="AC97" i="8"/>
  <c r="AD97" i="8"/>
  <c r="AE97" i="8"/>
  <c r="AE115" i="8" s="1"/>
  <c r="AB97" i="8"/>
  <c r="AF115" i="8"/>
  <c r="AG115" i="8"/>
  <c r="AL31" i="8"/>
  <c r="R81" i="9" a="1"/>
  <c r="R81" i="9" s="1"/>
  <c r="D48" i="9"/>
  <c r="U81" i="9" a="1"/>
  <c r="U81" i="9" s="1"/>
  <c r="S81" i="9" a="1"/>
  <c r="S81" i="9" s="1"/>
  <c r="U79" i="9"/>
  <c r="N82" i="9" a="1"/>
  <c r="N82" i="9" s="1"/>
  <c r="N81" i="9" a="1"/>
  <c r="N81" i="9" s="1"/>
  <c r="N78" i="9"/>
  <c r="K39" i="9"/>
  <c r="K47" i="9" s="1"/>
  <c r="K33" i="9"/>
  <c r="N79" i="9"/>
  <c r="M81" i="9" a="1"/>
  <c r="M81" i="9" s="1"/>
  <c r="Q39" i="9"/>
  <c r="Q47" i="9" s="1"/>
  <c r="T81" i="9" a="1"/>
  <c r="T81" i="9" s="1"/>
  <c r="T82" i="9" a="1"/>
  <c r="T82" i="9" s="1"/>
  <c r="Q33" i="9"/>
  <c r="T78" i="9"/>
  <c r="T79" i="9"/>
  <c r="I39" i="9"/>
  <c r="I47" i="9" s="1"/>
  <c r="L81" i="9" a="1"/>
  <c r="L81" i="9" s="1"/>
  <c r="L82" i="9" a="1"/>
  <c r="L82" i="9" s="1"/>
  <c r="I33" i="9"/>
  <c r="L78" i="9"/>
  <c r="L79" i="9"/>
  <c r="R79" i="9"/>
  <c r="S78" i="9"/>
  <c r="G48" i="9"/>
  <c r="J48" i="9"/>
  <c r="R78" i="9"/>
  <c r="O81" i="9" a="1"/>
  <c r="O81" i="9" s="1"/>
  <c r="L39" i="9"/>
  <c r="L47" i="9" s="1"/>
  <c r="L33" i="9"/>
  <c r="O82" i="9" a="1"/>
  <c r="O82" i="9" s="1"/>
  <c r="O78" i="9"/>
  <c r="O79" i="9"/>
  <c r="F48" i="9"/>
  <c r="M78" i="9"/>
  <c r="U39" i="9"/>
  <c r="U47" i="9" s="1"/>
  <c r="U33" i="9"/>
  <c r="Q82" i="9" a="1"/>
  <c r="Q82" i="9" s="1"/>
  <c r="N39" i="9"/>
  <c r="N47" i="9" s="1"/>
  <c r="N33" i="9"/>
  <c r="Q81" i="9" a="1"/>
  <c r="Q81" i="9" s="1"/>
  <c r="Q78" i="9"/>
  <c r="Q79" i="9"/>
  <c r="S82" i="9" a="1"/>
  <c r="S82" i="9" s="1"/>
  <c r="U78" i="9"/>
  <c r="M82" i="9" a="1"/>
  <c r="M82" i="9" s="1"/>
  <c r="E48" i="9"/>
  <c r="V82" i="9" a="1"/>
  <c r="V82" i="9" s="1"/>
  <c r="V81" i="9" a="1"/>
  <c r="V81" i="9" s="1"/>
  <c r="V78" i="9"/>
  <c r="S33" i="9"/>
  <c r="S39" i="9"/>
  <c r="S47" i="9" s="1"/>
  <c r="V79" i="9"/>
  <c r="T48" i="9"/>
  <c r="U82" i="9" a="1"/>
  <c r="U82" i="9" s="1"/>
  <c r="P81" i="9" a="1"/>
  <c r="P81" i="9" s="1"/>
  <c r="P82" i="9" a="1"/>
  <c r="P82" i="9" s="1"/>
  <c r="M39" i="9"/>
  <c r="M47" i="9" s="1"/>
  <c r="M33" i="9"/>
  <c r="P78" i="9"/>
  <c r="P79" i="9"/>
  <c r="S79" i="9"/>
  <c r="V33" i="9"/>
  <c r="V39" i="9"/>
  <c r="V47" i="9" s="1"/>
  <c r="M79" i="9"/>
  <c r="AK47" i="9" l="1"/>
  <c r="AK48" i="9" s="1"/>
  <c r="AA149" i="8"/>
  <c r="Y149" i="8"/>
  <c r="Z149" i="8"/>
  <c r="AE149" i="8"/>
  <c r="AC149" i="8"/>
  <c r="AD149" i="8"/>
  <c r="AB149" i="8"/>
  <c r="AE47" i="9"/>
  <c r="AE48" i="9" s="1"/>
  <c r="AA47" i="9"/>
  <c r="AA48" i="9" s="1"/>
  <c r="AH47" i="9"/>
  <c r="AH48" i="9" s="1"/>
  <c r="AG47" i="9"/>
  <c r="AG48" i="9" s="1"/>
  <c r="AD47" i="9"/>
  <c r="AD48" i="9" s="1"/>
  <c r="AJ47" i="9"/>
  <c r="AJ48" i="9" s="1"/>
  <c r="AC47" i="9"/>
  <c r="AC48" i="9" s="1"/>
  <c r="AF47" i="9"/>
  <c r="AF48" i="9" s="1"/>
  <c r="AB47" i="9"/>
  <c r="AB48" i="9" s="1"/>
  <c r="AI47" i="9"/>
  <c r="AI48" i="9" s="1"/>
  <c r="U48" i="9"/>
  <c r="V48" i="9"/>
  <c r="S48" i="9"/>
  <c r="K48" i="9"/>
  <c r="R48" i="9"/>
  <c r="M48" i="9"/>
  <c r="O48" i="9"/>
  <c r="P48" i="9"/>
  <c r="I48" i="9" l="1"/>
  <c r="Z47" i="9"/>
  <c r="Z48" i="9" s="1"/>
  <c r="Y47" i="9"/>
  <c r="Y48" i="9" s="1"/>
  <c r="N48" i="9"/>
  <c r="Q48" i="9"/>
  <c r="L48" i="9"/>
  <c r="C150" i="8" l="1"/>
  <c r="C152" i="8" l="1"/>
  <c r="D143" i="8"/>
  <c r="D145" i="8" s="1"/>
  <c r="D150" i="8" s="1"/>
  <c r="D152" i="8" l="1"/>
  <c r="I143" i="8"/>
  <c r="E143" i="8"/>
  <c r="E145" i="8" s="1"/>
  <c r="E150" i="8" s="1"/>
  <c r="E152" i="8" s="1"/>
  <c r="F143" i="8" l="1"/>
  <c r="F145" i="8" s="1"/>
  <c r="F150" i="8" s="1"/>
  <c r="F152" i="8" s="1"/>
  <c r="G143" i="8" l="1"/>
  <c r="G145" i="8" s="1"/>
  <c r="G150" i="8" s="1"/>
  <c r="G152" i="8" s="1"/>
  <c r="Y143" i="8" l="1"/>
  <c r="Y145" i="8" s="1"/>
  <c r="Y150" i="8" s="1"/>
  <c r="Y152" i="8" s="1"/>
  <c r="Z143" i="8" l="1"/>
  <c r="Z145" i="8" s="1"/>
  <c r="Z150" i="8" s="1"/>
  <c r="Z152" i="8" s="1"/>
  <c r="AA143" i="8" l="1"/>
  <c r="AA145" i="8" s="1"/>
  <c r="AA150" i="8" s="1"/>
  <c r="AA152" i="8" s="1"/>
  <c r="AB143" i="8" l="1"/>
  <c r="I145" i="8"/>
  <c r="I150" i="8" s="1"/>
  <c r="I152" i="8" s="1"/>
  <c r="AC143" i="8" l="1"/>
  <c r="J143" i="8"/>
  <c r="J145" i="8" s="1"/>
  <c r="J150" i="8" s="1"/>
  <c r="J152" i="8" s="1"/>
  <c r="AD143" i="8" l="1"/>
  <c r="K143" i="8"/>
  <c r="K145" i="8" s="1"/>
  <c r="K150" i="8" s="1"/>
  <c r="K152" i="8" s="1"/>
  <c r="AE143" i="8" l="1"/>
  <c r="L143" i="8"/>
  <c r="L145" i="8" s="1"/>
  <c r="L150" i="8" s="1"/>
  <c r="L152" i="8" s="1"/>
  <c r="AF143" i="8" l="1"/>
  <c r="AB145" i="8"/>
  <c r="M143" i="8"/>
  <c r="M145" i="8" s="1"/>
  <c r="M150" i="8" s="1"/>
  <c r="M152" i="8" s="1"/>
  <c r="AG143" i="8" l="1"/>
  <c r="N143" i="8"/>
  <c r="N145" i="8" s="1"/>
  <c r="N150" i="8" s="1"/>
  <c r="N152" i="8" s="1"/>
  <c r="AH143" i="8" l="1"/>
  <c r="O143" i="8"/>
  <c r="O145" i="8" s="1"/>
  <c r="O150" i="8" s="1"/>
  <c r="O152" i="8" s="1"/>
  <c r="AI143" i="8" l="1"/>
  <c r="P143" i="8"/>
  <c r="P145" i="8" s="1"/>
  <c r="P150" i="8" s="1"/>
  <c r="P152" i="8" s="1"/>
  <c r="AJ143" i="8" l="1"/>
  <c r="Q143" i="8"/>
  <c r="Q145" i="8" s="1"/>
  <c r="Q150" i="8" s="1"/>
  <c r="Q152" i="8" s="1"/>
  <c r="AK143" i="8" l="1"/>
  <c r="AG145" i="8"/>
  <c r="AG150" i="8" s="1"/>
  <c r="AG152" i="8" s="1"/>
  <c r="R143" i="8"/>
  <c r="R145" i="8" s="1"/>
  <c r="R150" i="8" s="1"/>
  <c r="R152" i="8" s="1"/>
  <c r="AL143" i="8" l="1"/>
  <c r="AH145" i="8"/>
  <c r="AH150" i="8" s="1"/>
  <c r="AH152" i="8" s="1"/>
  <c r="S143" i="8"/>
  <c r="S145" i="8" s="1"/>
  <c r="S150" i="8" s="1"/>
  <c r="S152" i="8" s="1"/>
  <c r="AM143" i="8" l="1"/>
  <c r="AI145" i="8"/>
  <c r="AI150" i="8" s="1"/>
  <c r="AI152" i="8" s="1"/>
  <c r="AC145" i="8"/>
  <c r="T143" i="8"/>
  <c r="T145" i="8" s="1"/>
  <c r="U12" i="10" l="1"/>
  <c r="AD115" i="8" l="1"/>
  <c r="AB11" i="8"/>
  <c r="AB14" i="8" s="1"/>
  <c r="AB35" i="8" s="1"/>
  <c r="AD11" i="8"/>
  <c r="AD14" i="8" s="1"/>
  <c r="AD35" i="8" s="1"/>
  <c r="T11" i="8"/>
  <c r="AC11" i="8"/>
  <c r="AC14" i="8" l="1"/>
  <c r="AC35" i="8" s="1"/>
  <c r="T14" i="8"/>
  <c r="Z12" i="10"/>
  <c r="Y12" i="10"/>
  <c r="T12" i="10"/>
  <c r="AD20" i="8"/>
  <c r="AB20" i="8"/>
  <c r="T20" i="8" l="1"/>
  <c r="T26" i="8" s="1"/>
  <c r="T30" i="8" s="1"/>
  <c r="T34" i="8" s="1"/>
  <c r="T35" i="8" s="1"/>
  <c r="T15" i="8"/>
  <c r="AC20" i="8"/>
  <c r="AC21" i="8" s="1"/>
  <c r="AC15" i="8"/>
  <c r="AD26" i="8"/>
  <c r="AD30" i="8" s="1"/>
  <c r="AD15" i="8"/>
  <c r="AB15" i="8"/>
  <c r="AB26" i="8"/>
  <c r="AB30" i="8" s="1"/>
  <c r="AB41" i="8" l="1"/>
  <c r="AB38" i="8"/>
  <c r="AD41" i="8"/>
  <c r="AD38" i="8"/>
  <c r="T97" i="8"/>
  <c r="T41" i="8"/>
  <c r="T38" i="8"/>
  <c r="AC26" i="8"/>
  <c r="AC30" i="8" s="1"/>
  <c r="T21" i="8"/>
  <c r="T27" i="8"/>
  <c r="AB21" i="8"/>
  <c r="AD21" i="8"/>
  <c r="AC41" i="8" l="1"/>
  <c r="AC38" i="8"/>
  <c r="AC27" i="8"/>
  <c r="T31" i="8"/>
  <c r="AM97" i="8"/>
  <c r="AD27" i="8"/>
  <c r="AB27" i="8"/>
  <c r="AC31" i="8"/>
  <c r="AM115" i="8" l="1"/>
  <c r="AO115" i="8" s="1"/>
  <c r="AO97" i="8"/>
  <c r="AL97" i="8"/>
  <c r="AJ97" i="8"/>
  <c r="AJ115" i="8" s="1"/>
  <c r="AK97" i="8"/>
  <c r="AK115" i="8" s="1"/>
  <c r="AC115" i="8"/>
  <c r="AC150" i="8" s="1"/>
  <c r="AC152" i="8" s="1"/>
  <c r="T115" i="8"/>
  <c r="T149" i="8" s="1"/>
  <c r="AB115" i="8"/>
  <c r="AB31" i="8"/>
  <c r="AD31" i="8"/>
  <c r="T150" i="8" l="1"/>
  <c r="AM149" i="8"/>
  <c r="AL149" i="8"/>
  <c r="AK149" i="8"/>
  <c r="AJ149" i="8"/>
  <c r="AB150" i="8"/>
  <c r="AB152" i="8" s="1"/>
  <c r="AJ145" i="8"/>
  <c r="AL115" i="8"/>
  <c r="AD145" i="8"/>
  <c r="AD150" i="8" s="1"/>
  <c r="AD152" i="8" s="1"/>
  <c r="T152" i="8" l="1"/>
  <c r="U143" i="8"/>
  <c r="U145" i="8" s="1"/>
  <c r="U150" i="8" s="1"/>
  <c r="AJ150" i="8"/>
  <c r="AJ152" i="8" s="1"/>
  <c r="AK145" i="8"/>
  <c r="AK150" i="8" s="1"/>
  <c r="AK152" i="8" s="1"/>
  <c r="AE145" i="8"/>
  <c r="AE150" i="8" s="1"/>
  <c r="AE152" i="8" s="1"/>
  <c r="U152" i="8" l="1"/>
  <c r="V143" i="8"/>
  <c r="V145" i="8" s="1"/>
  <c r="V150" i="8" s="1"/>
  <c r="AL145" i="8"/>
  <c r="AL150" i="8" s="1"/>
  <c r="AL152" i="8" s="1"/>
  <c r="AF145" i="8"/>
  <c r="AF150" i="8" s="1"/>
  <c r="AF152" i="8" s="1"/>
  <c r="V152" i="8" l="1"/>
  <c r="W143" i="8"/>
  <c r="W145" i="8" s="1"/>
  <c r="W150" i="8" s="1"/>
  <c r="W152" i="8" s="1"/>
  <c r="AM145" i="8"/>
  <c r="AM150" i="8" s="1"/>
  <c r="AM152" i="8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<sst xmlns="http://schemas.openxmlformats.org/spreadsheetml/2006/main" count="286" uniqueCount="215">
  <si>
    <t>FYE</t>
  </si>
  <si>
    <t>Quarterly</t>
  </si>
  <si>
    <t>1Q24</t>
  </si>
  <si>
    <t>2Q24</t>
  </si>
  <si>
    <t>3Q24</t>
  </si>
  <si>
    <t>4Q24</t>
  </si>
  <si>
    <t>1Q23</t>
  </si>
  <si>
    <t>2Q23</t>
  </si>
  <si>
    <t>3Q23</t>
  </si>
  <si>
    <t>4Q23</t>
  </si>
  <si>
    <t>LTM</t>
  </si>
  <si>
    <t>EBITDA</t>
  </si>
  <si>
    <t>Total Revenue</t>
  </si>
  <si>
    <t>Changes in assets and liabilities:</t>
  </si>
  <si>
    <t>Cash-Flows Statement</t>
  </si>
  <si>
    <t>Other current assets</t>
  </si>
  <si>
    <t>Total stockholders' equity</t>
  </si>
  <si>
    <t>Total Liabilities</t>
  </si>
  <si>
    <t>X</t>
  </si>
  <si>
    <t>Total Current Liabilities</t>
  </si>
  <si>
    <t>Total Current Assets</t>
  </si>
  <si>
    <t>Total Assets</t>
  </si>
  <si>
    <t>Gross Profit</t>
  </si>
  <si>
    <t>Total Debt</t>
  </si>
  <si>
    <t>Variance</t>
  </si>
  <si>
    <t>FCF Analysis</t>
  </si>
  <si>
    <t>1Q22</t>
  </si>
  <si>
    <t>2Q22</t>
  </si>
  <si>
    <t>3Q22</t>
  </si>
  <si>
    <t>4Q22</t>
  </si>
  <si>
    <t>1Q25</t>
  </si>
  <si>
    <t>2Q25</t>
  </si>
  <si>
    <t>Y/Y Growth (%)</t>
  </si>
  <si>
    <t>Q/Q Growth (%)</t>
  </si>
  <si>
    <t>N/A</t>
  </si>
  <si>
    <t>Gross Margin (%)</t>
  </si>
  <si>
    <t>Earning before Interest &amp; Taxes (EBIT)</t>
  </si>
  <si>
    <t>Operating Margin (%)</t>
  </si>
  <si>
    <t>EBITDA Margin (%)</t>
  </si>
  <si>
    <t xml:space="preserve">(+) Share-based Compensation </t>
  </si>
  <si>
    <t>Adj. EBITDA</t>
  </si>
  <si>
    <t>Adj. EBITDA Margin (%)</t>
  </si>
  <si>
    <t>(-) Capital Expenditures</t>
  </si>
  <si>
    <t>(-) Cash Taxes</t>
  </si>
  <si>
    <t>(+/-) Changes in NWC</t>
  </si>
  <si>
    <t>Discretionary Cash-Flows</t>
  </si>
  <si>
    <t>Free-Cash Flows</t>
  </si>
  <si>
    <t>Capitalization</t>
  </si>
  <si>
    <t>Cash &amp; Cash Equivelants</t>
  </si>
  <si>
    <t>Total Liquidity</t>
  </si>
  <si>
    <t>Balance Sheet Metrics:</t>
  </si>
  <si>
    <t>Accounts Payable</t>
  </si>
  <si>
    <t>Current Liabilities</t>
  </si>
  <si>
    <t>Total Shareholder Equity</t>
  </si>
  <si>
    <t>Total Book Capitalization</t>
  </si>
  <si>
    <t>Debt-to-Book Capitalization</t>
  </si>
  <si>
    <t>Total liabilities and stockholders' equity</t>
  </si>
  <si>
    <t>Cash-Flows From Operating Activities</t>
  </si>
  <si>
    <t>Net income (loss)</t>
  </si>
  <si>
    <t>Net cash used in operating activities</t>
  </si>
  <si>
    <t>Cash flows from investing activities:</t>
  </si>
  <si>
    <t>Net cash used in investing activities</t>
  </si>
  <si>
    <t>Cash flows from financing activities:</t>
  </si>
  <si>
    <t>Net cash provided by financing activities</t>
  </si>
  <si>
    <t>Consolidated Revenue</t>
  </si>
  <si>
    <t>Adjustments to reconcile net income:</t>
  </si>
  <si>
    <t>Balance Check</t>
  </si>
  <si>
    <t>Net Change in Cash</t>
  </si>
  <si>
    <t>Cash paid during the period for:</t>
  </si>
  <si>
    <t xml:space="preserve">Provision for taxes </t>
  </si>
  <si>
    <t>3Q25</t>
  </si>
  <si>
    <t>Net Margin (%)</t>
  </si>
  <si>
    <t>Basic EPS</t>
  </si>
  <si>
    <t>Fully Diluted Shares</t>
  </si>
  <si>
    <t>Segment Anaysis</t>
  </si>
  <si>
    <t>Total Net Revenue</t>
  </si>
  <si>
    <t xml:space="preserve">(+/-) Other </t>
  </si>
  <si>
    <t>Credit Metrics</t>
  </si>
  <si>
    <t>Adjusted Cash Position BOP</t>
  </si>
  <si>
    <t>Adjusted Cash Position EOP</t>
  </si>
  <si>
    <t xml:space="preserve">(-) Cash Interest </t>
  </si>
  <si>
    <t>$ mm except per share</t>
  </si>
  <si>
    <t>Income Statement</t>
  </si>
  <si>
    <t xml:space="preserve">Balance Sheet </t>
  </si>
  <si>
    <t>Historical Financials</t>
  </si>
  <si>
    <t>Fiscal Period</t>
  </si>
  <si>
    <t>Fiscal Period End Date</t>
  </si>
  <si>
    <t>Operating Profit</t>
  </si>
  <si>
    <t>Earning Before Taxes</t>
  </si>
  <si>
    <t>EBT Margin (%)</t>
  </si>
  <si>
    <t>Current Assets</t>
  </si>
  <si>
    <t>Non-Current Assets</t>
  </si>
  <si>
    <t>Non-Current Liabilities</t>
  </si>
  <si>
    <t>Unrestricted Cash BOP</t>
  </si>
  <si>
    <t>EOP FX Adjustment</t>
  </si>
  <si>
    <t>Retained earnings</t>
  </si>
  <si>
    <t>Offerings Drivers</t>
  </si>
  <si>
    <t>Variance Check</t>
  </si>
  <si>
    <t>Fully Diluted EPS</t>
  </si>
  <si>
    <t>Basic Shares</t>
  </si>
  <si>
    <t>Cash Position Variance Check</t>
  </si>
  <si>
    <t>(-) General and Administrative (G&amp;A)</t>
  </si>
  <si>
    <t>Marketable Securities</t>
  </si>
  <si>
    <t>(+/-) Divestiture / Acquisitions</t>
  </si>
  <si>
    <t>LTM Total Leverage</t>
  </si>
  <si>
    <t>LTM Net Leverage</t>
  </si>
  <si>
    <t xml:space="preserve">LTM Interest Coverage </t>
  </si>
  <si>
    <t>LTM Debt Service Coverage</t>
  </si>
  <si>
    <t>LTM Fixed Charge Coverage</t>
  </si>
  <si>
    <t>Cash and cash equivalents</t>
  </si>
  <si>
    <t>Short-term debt</t>
  </si>
  <si>
    <t>Long-term debt</t>
  </si>
  <si>
    <t>Proceeds from issuance of common stock</t>
  </si>
  <si>
    <t>EOP Restricted Cash Adjustment</t>
  </si>
  <si>
    <t>Income taxes paid</t>
  </si>
  <si>
    <t>Interest paid</t>
  </si>
  <si>
    <t>BOP Restricted Cash Adjustment</t>
  </si>
  <si>
    <t>$ in thousands except per share</t>
  </si>
  <si>
    <t>(-) Amortization of content assets</t>
  </si>
  <si>
    <t>(-) Other Cost of Revenues</t>
  </si>
  <si>
    <t>(-) Marketing</t>
  </si>
  <si>
    <t>(-) Technology and Development (T&amp;D)</t>
  </si>
  <si>
    <t>(+) Depreciation and amortization of PP&amp;E and intangibles</t>
  </si>
  <si>
    <t>(+) Amortization of content assets</t>
  </si>
  <si>
    <t>(+/-) Proceeds / (Purchases) of ST Investments</t>
  </si>
  <si>
    <t>(-) Proceeds From Equity Issuances / (Share Repurchases)</t>
  </si>
  <si>
    <t>(-) 'Proceeds from issuance of Debt / (Repayment), net</t>
  </si>
  <si>
    <t>(+/-) Changes in Additions to content assets</t>
  </si>
  <si>
    <t>(+/-) Changes in Other Financing Activities</t>
  </si>
  <si>
    <t>Content Liabilities</t>
  </si>
  <si>
    <t>Deferred Revenue</t>
  </si>
  <si>
    <t>5.750% Senior Notes due March 2024</t>
  </si>
  <si>
    <t>5.875% Senior Notes due February 2025</t>
  </si>
  <si>
    <t>3.625% Senior Notes due June 2025</t>
  </si>
  <si>
    <t>4.375% Senior Notes due November 2026</t>
  </si>
  <si>
    <t>5.400% Senior Notes due August 2054</t>
  </si>
  <si>
    <t>4.900% Senior Notes due August 2034</t>
  </si>
  <si>
    <t>6.375% Senior Notes due May 2029</t>
  </si>
  <si>
    <t>5.875% Senior Notes due November 2028</t>
  </si>
  <si>
    <t>4.875% Senior Notes due April 2028</t>
  </si>
  <si>
    <t>4.875% Senior Notes due June 2030</t>
  </si>
  <si>
    <t>5.375% Senior Notes due November 2029</t>
  </si>
  <si>
    <t>Summary Debt:</t>
  </si>
  <si>
    <t>CPLTD</t>
  </si>
  <si>
    <t>LTD</t>
  </si>
  <si>
    <t>($ in Millions)</t>
  </si>
  <si>
    <t>Total Senior Notes</t>
  </si>
  <si>
    <t xml:space="preserve">Consolidated Sr. Notes </t>
  </si>
  <si>
    <t>Debt Schedule</t>
  </si>
  <si>
    <t xml:space="preserve">5.500% Senior Notes due February 2022	</t>
  </si>
  <si>
    <t>5.375% Senior Notes due February 2021</t>
  </si>
  <si>
    <r>
      <t xml:space="preserve">3.000% Senior Notes due June 2025 </t>
    </r>
    <r>
      <rPr>
        <vertAlign val="superscript"/>
        <sz val="9"/>
        <color theme="1"/>
        <rFont val="Calibri"/>
        <family val="2"/>
      </rPr>
      <t>(1)</t>
    </r>
  </si>
  <si>
    <r>
      <t xml:space="preserve">3.625% Senior Notes due May 2027 </t>
    </r>
    <r>
      <rPr>
        <vertAlign val="superscript"/>
        <sz val="9"/>
        <color theme="1"/>
        <rFont val="Calibri"/>
        <family val="2"/>
      </rPr>
      <t>(1)</t>
    </r>
  </si>
  <si>
    <r>
      <t xml:space="preserve">4.625% Senior Notes due May 2029 </t>
    </r>
    <r>
      <rPr>
        <vertAlign val="superscript"/>
        <sz val="9"/>
        <color theme="1"/>
        <rFont val="Calibri"/>
        <family val="2"/>
      </rPr>
      <t>(1)</t>
    </r>
  </si>
  <si>
    <r>
      <t xml:space="preserve">3.875% Senior Notes due November 2029 </t>
    </r>
    <r>
      <rPr>
        <vertAlign val="superscript"/>
        <sz val="9"/>
        <color theme="1"/>
        <rFont val="Calibri"/>
        <family val="2"/>
      </rPr>
      <t>(1)</t>
    </r>
  </si>
  <si>
    <r>
      <t xml:space="preserve">3.625% Senior Notes due June 2030 </t>
    </r>
    <r>
      <rPr>
        <vertAlign val="superscript"/>
        <sz val="9"/>
        <color theme="1"/>
        <rFont val="Calibri"/>
        <family val="2"/>
      </rPr>
      <t>(1)</t>
    </r>
  </si>
  <si>
    <t>1)  The following Senior Notes have a principal amount denominated in euros: 3.000% Senior Notes for €470 million, 3.625% Senior Notes for €1,300 million, 4.625% Senior Notes for €1,100 million, 3.875% Senior Notes for €1,200 million, and 3.625% Senior Notes for €1,100 million.</t>
  </si>
  <si>
    <t>$3Bn RCF due April 2025, April 2029 (CP Backstop)</t>
  </si>
  <si>
    <t xml:space="preserve">$3Bn Commercial Paper Program </t>
  </si>
  <si>
    <t>Property and Equipment, net</t>
  </si>
  <si>
    <t>Qualcomm (NASDAQ: QCOM)</t>
  </si>
  <si>
    <t>Cost of revenue</t>
  </si>
  <si>
    <t>Research and development</t>
  </si>
  <si>
    <t>Selling, general and administrative</t>
  </si>
  <si>
    <t>Other Expenses</t>
  </si>
  <si>
    <t>Interest expense</t>
  </si>
  <si>
    <t>Interest and dividend income</t>
  </si>
  <si>
    <t>Investment and other income (expense), net</t>
  </si>
  <si>
    <t>Income from continuing operations</t>
  </si>
  <si>
    <t>Discontinued operations, net of income taxes</t>
  </si>
  <si>
    <t xml:space="preserve">Net Income </t>
  </si>
  <si>
    <t>Marketable securities</t>
  </si>
  <si>
    <t>Accounts receivable, net</t>
  </si>
  <si>
    <t>Inventories</t>
  </si>
  <si>
    <t>Held for sale assets</t>
  </si>
  <si>
    <t>Deferred tax assets</t>
  </si>
  <si>
    <t>Property, plant and equipment, net</t>
  </si>
  <si>
    <t>Goodwill</t>
  </si>
  <si>
    <t>Other intangible assets, net</t>
  </si>
  <si>
    <t>Other assets</t>
  </si>
  <si>
    <t>Trade accounts payable</t>
  </si>
  <si>
    <t>Payroll and other benefits related liabilities</t>
  </si>
  <si>
    <t>Unearned revenues</t>
  </si>
  <si>
    <t>Held for sale liabilities</t>
  </si>
  <si>
    <t>Other current liabilities</t>
  </si>
  <si>
    <t>Income taxes payable</t>
  </si>
  <si>
    <t>Other liabilities</t>
  </si>
  <si>
    <t>Preferred stock</t>
  </si>
  <si>
    <t xml:space="preserve">Common stock </t>
  </si>
  <si>
    <t>Accumulated other comprehensive income</t>
  </si>
  <si>
    <t>Depreciation and amortization expense</t>
  </si>
  <si>
    <t>Indefinite and long-lived asset impairment charges</t>
  </si>
  <si>
    <t>Income tax provision less than income tax payments</t>
  </si>
  <si>
    <t>Share-based compensation expense</t>
  </si>
  <si>
    <t>Net (gains) losses on marketable securities and other investments</t>
  </si>
  <si>
    <t>Impairment losses on other investments</t>
  </si>
  <si>
    <t>Other items, net</t>
  </si>
  <si>
    <t>Net cash used by operating activities from discontinued operations</t>
  </si>
  <si>
    <t>Payroll, benefits and other liabilities</t>
  </si>
  <si>
    <t>Capital expenditures</t>
  </si>
  <si>
    <t>Purchases of debt and equity marketable securities</t>
  </si>
  <si>
    <t>Proceeds from sales and maturities of debt and equity marketable securities</t>
  </si>
  <si>
    <t>Acquisitions and other investments, net of cash acquired</t>
  </si>
  <si>
    <t>Proceeds from sales of property, plant and equipment</t>
  </si>
  <si>
    <t>Proceeds from other investments</t>
  </si>
  <si>
    <t>Net cash provided (used) by investing activities from discontinued operations</t>
  </si>
  <si>
    <t>Proceeds from short-term debt</t>
  </si>
  <si>
    <t>Repayment of short-term debt</t>
  </si>
  <si>
    <t>Repayment of debt of acquired company</t>
  </si>
  <si>
    <t>Proceeds from long-term debt</t>
  </si>
  <si>
    <t>Repayment of long-term debt</t>
  </si>
  <si>
    <t>Repurchases and retirements of common stock</t>
  </si>
  <si>
    <t>Dividends paid</t>
  </si>
  <si>
    <t>Payments of tax withholdings related to vesting of share-based awards</t>
  </si>
  <si>
    <t>Net cash provided (used) by financing activities from discontinued operations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</si>
</sst>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5" formatCode="&quot;$&quot;#,##0_);\(&quot;$&quot;#,##0\)"/>
    <numFmt numFmtId="7" formatCode="&quot;$&quot;#,##0.00_);\(&quot;$&quot;#,##0.00\)"/>
    <numFmt numFmtId="41" formatCode="_(* #,##0_);_(* \(#,##0\);_(* &quot;-&quot;_);_(@_)"/>
    <numFmt numFmtId="43" formatCode="_(* #,##0.00_);_(* \(#,##0.00\);_(* &quot;-&quot;??_);_(@_)"/>
    <numFmt numFmtId="164" formatCode="_(* #,##0_);_(* \(#,##0\);_(* &quot;-&quot;??_);_(@_)"/>
    <numFmt numFmtId="165" formatCode="_(&quot;$ &quot;#,##0_);_(&quot;$ &quot;\(#,##0\)"/>
    <numFmt numFmtId="166" formatCode="#,##0.0%;\(#,##0.0%\)"/>
    <numFmt numFmtId="167" formatCode="#,##0.0&quot;bps&quot;_);\(#,##0.0&quot;bps&quot;\)"/>
    <numFmt numFmtId="168" formatCode="#,##0.00&quot;bps&quot;_);\(#,##0.00&quot;bps&quot;\)"/>
    <numFmt numFmtId="169" formatCode="_(* #,##0.00&quot;x&quot;_);_(* \(#,##0.00&quot;x&quot;\);_(* &quot;-&quot;_);_(@_)"/>
  </numFmts>
  <fonts count="33">
    <font>
      <sz val="11"/>
      <color theme="1"/>
      <name val="Tw Cen MT"/>
      <family val="2"/>
      <scheme val="minor"/>
    </font>
    <font>
      <sz val="11"/>
      <color theme="1"/>
      <name val="Tw Cen MT"/>
      <family val="2"/>
      <scheme val="minor"/>
    </font>
    <font>
      <b/>
      <sz val="9"/>
      <color theme="0"/>
      <name val="Calibri"/>
      <family val="2"/>
    </font>
    <font>
      <i/>
      <sz val="9"/>
      <color theme="0"/>
      <name val="Calibri"/>
      <family val="2"/>
    </font>
    <font>
      <sz val="9"/>
      <color theme="1"/>
      <name val="Calibri"/>
      <family val="2"/>
    </font>
    <font>
      <b/>
      <i/>
      <sz val="9"/>
      <color theme="0"/>
      <name val="Calibri"/>
      <family val="2"/>
    </font>
    <font>
      <sz val="9"/>
      <name val="Calibri"/>
      <family val="2"/>
    </font>
    <font>
      <i/>
      <sz val="9"/>
      <name val="Calibri"/>
      <family val="2"/>
    </font>
    <font>
      <b/>
      <sz val="9"/>
      <name val="Calibri"/>
      <family val="2"/>
    </font>
    <font>
      <b/>
      <i/>
      <sz val="9"/>
      <name val="Calibri"/>
      <family val="2"/>
    </font>
    <font>
      <i/>
      <sz val="8"/>
      <name val="Calibri"/>
      <family val="2"/>
    </font>
    <font>
      <sz val="9"/>
      <color rgb="FF0000CC"/>
      <name val="Calibri"/>
      <family val="2"/>
    </font>
    <font>
      <sz val="9"/>
      <color rgb="FF0000FF"/>
      <name val="Calibri"/>
      <family val="2"/>
    </font>
    <font>
      <sz val="8"/>
      <name val="Calibri"/>
      <family val="2"/>
    </font>
    <font>
      <sz val="8"/>
      <color theme="1"/>
      <name val="Calibri"/>
      <family val="2"/>
    </font>
    <font>
      <b/>
      <sz val="9"/>
      <color theme="1"/>
      <name val="Calibri"/>
      <family val="2"/>
    </font>
    <font>
      <i/>
      <sz val="9"/>
      <color theme="1"/>
      <name val="Calibri"/>
      <family val="2"/>
    </font>
    <font>
      <b/>
      <sz val="9"/>
      <color indexed="8"/>
      <name val="Calibri"/>
      <family val="2"/>
    </font>
    <font>
      <sz val="9"/>
      <color rgb="FF0000E1"/>
      <name val="Calibri"/>
      <family val="2"/>
    </font>
    <font>
      <sz val="10"/>
      <name val="Arial"/>
      <family val="2"/>
    </font>
    <font>
      <sz val="9"/>
      <color rgb="FFFF0000"/>
      <name val="Tw Cen MT"/>
      <family val="2"/>
      <scheme val="minor"/>
    </font>
    <font>
      <sz val="8"/>
      <color rgb="FFFF0000"/>
      <name val="Calibri"/>
      <family val="2"/>
    </font>
    <font>
      <b/>
      <sz val="8"/>
      <color theme="1"/>
      <name val="Calibri"/>
      <family val="2"/>
    </font>
    <font>
      <i/>
      <sz val="8"/>
      <color theme="1"/>
      <name val="Calibri"/>
      <family val="2"/>
    </font>
    <font>
      <sz val="7"/>
      <color rgb="FFFF0000"/>
      <name val="Calibri"/>
      <family val="2"/>
    </font>
    <font>
      <sz val="9"/>
      <color rgb="FF00B050"/>
      <name val="Calibri"/>
      <family val="2"/>
    </font>
    <font>
      <sz val="10"/>
      <name val="Arial Narrow MT"/>
      <family val="2"/>
    </font>
    <font>
      <i/>
      <sz val="8"/>
      <color rgb="FFFF0000"/>
      <name val="Calibri"/>
      <family val="2"/>
    </font>
    <font>
      <b/>
      <i/>
      <sz val="8"/>
      <name val="Calibri"/>
      <family val="2"/>
    </font>
    <font>
      <b/>
      <sz val="8"/>
      <color theme="0"/>
      <name val="Calibri"/>
      <family val="2"/>
    </font>
    <font>
      <i/>
      <sz val="7"/>
      <color rgb="FFFF0000"/>
      <name val="Calibri"/>
      <family val="2"/>
    </font>
    <font>
      <i/>
      <sz val="7"/>
      <color theme="1"/>
      <name val="Calibri"/>
      <family val="2"/>
    </font>
    <font>
      <vertAlign val="superscript"/>
      <sz val="9"/>
      <color theme="1"/>
      <name val="Calibri"/>
      <family val="2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lightGray"/>
    </fill>
    <fill>
      <patternFill patternType="solid">
        <fgColor theme="9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E5672"/>
        <bgColor indexed="64"/>
      </patternFill>
    </fill>
    <fill>
      <patternFill patternType="gray0625"/>
    </fill>
  </fills>
  <borders count="1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/>
      <bottom/>
      <diagonal/>
    </border>
    <border>
      <left/>
      <right style="hair">
        <color indexed="64"/>
      </right>
      <top/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9" fillId="0" borderId="0"/>
    <xf numFmtId="0" fontId="26" fillId="0" borderId="0" applyNumberFormat="0" applyFont="0" applyFill="0" applyBorder="0" applyAlignment="0" applyProtection="0"/>
  </cellStyleXfs>
  <cellXfs count="170">
    <xf numFmtId="0" fontId="0" fillId="0" borderId="0" xfId="0"/>
    <xf numFmtId="0" fontId="2" fillId="2" borderId="0" xfId="0" applyFont="1" applyFill="1" applyAlignment="1">
      <alignment vertical="center" wrapText="1"/>
    </xf>
    <xf numFmtId="0" fontId="2" fillId="2" borderId="4" xfId="0" applyFont="1" applyFill="1" applyBorder="1" applyAlignment="1">
      <alignment horizontal="centerContinuous" vertical="center" wrapText="1"/>
    </xf>
    <xf numFmtId="14" fontId="3" fillId="2" borderId="0" xfId="0" applyNumberFormat="1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 applyAlignment="1">
      <alignment wrapText="1"/>
    </xf>
    <xf numFmtId="0" fontId="3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 wrapText="1"/>
    </xf>
    <xf numFmtId="0" fontId="4" fillId="0" borderId="0" xfId="0" applyFont="1"/>
    <xf numFmtId="0" fontId="6" fillId="0" borderId="0" xfId="0" applyFont="1" applyAlignment="1">
      <alignment vertical="top" wrapText="1"/>
    </xf>
    <xf numFmtId="41" fontId="4" fillId="0" borderId="0" xfId="0" applyNumberFormat="1" applyFont="1"/>
    <xf numFmtId="37" fontId="4" fillId="0" borderId="0" xfId="0" applyNumberFormat="1" applyFont="1" applyAlignment="1">
      <alignment wrapText="1"/>
    </xf>
    <xf numFmtId="166" fontId="7" fillId="3" borderId="0" xfId="1" applyNumberFormat="1" applyFont="1" applyFill="1" applyBorder="1" applyAlignment="1">
      <alignment horizontal="right" vertical="center" wrapText="1"/>
    </xf>
    <xf numFmtId="0" fontId="8" fillId="3" borderId="5" xfId="0" applyFont="1" applyFill="1" applyBorder="1" applyAlignment="1">
      <alignment vertical="top" wrapText="1"/>
    </xf>
    <xf numFmtId="5" fontId="8" fillId="3" borderId="2" xfId="0" applyNumberFormat="1" applyFont="1" applyFill="1" applyBorder="1" applyAlignment="1">
      <alignment horizontal="right" vertical="top" wrapText="1"/>
    </xf>
    <xf numFmtId="166" fontId="9" fillId="3" borderId="0" xfId="1" applyNumberFormat="1" applyFont="1" applyFill="1" applyBorder="1" applyAlignment="1">
      <alignment horizontal="right" vertical="center" wrapText="1"/>
    </xf>
    <xf numFmtId="0" fontId="10" fillId="0" borderId="0" xfId="0" applyFont="1" applyAlignment="1">
      <alignment horizontal="left" vertical="center" wrapText="1" indent="1"/>
    </xf>
    <xf numFmtId="5" fontId="8" fillId="4" borderId="0" xfId="0" applyNumberFormat="1" applyFont="1" applyFill="1" applyAlignment="1">
      <alignment horizontal="right" vertical="top" wrapText="1"/>
    </xf>
    <xf numFmtId="166" fontId="10" fillId="0" borderId="0" xfId="1" applyNumberFormat="1" applyFont="1" applyBorder="1" applyAlignment="1">
      <alignment horizontal="right" vertical="center" wrapText="1"/>
    </xf>
    <xf numFmtId="9" fontId="6" fillId="0" borderId="0" xfId="1" applyFont="1" applyAlignment="1">
      <alignment horizontal="left" vertical="top" wrapText="1" indent="1"/>
    </xf>
    <xf numFmtId="9" fontId="11" fillId="0" borderId="0" xfId="1" applyFont="1" applyAlignment="1">
      <alignment horizontal="right" vertical="top" wrapText="1"/>
    </xf>
    <xf numFmtId="9" fontId="4" fillId="0" borderId="0" xfId="1" applyFont="1" applyAlignment="1">
      <alignment wrapText="1"/>
    </xf>
    <xf numFmtId="9" fontId="12" fillId="0" borderId="0" xfId="1" applyFont="1" applyAlignment="1">
      <alignment horizontal="right" vertical="top" wrapText="1"/>
    </xf>
    <xf numFmtId="9" fontId="4" fillId="0" borderId="0" xfId="1" applyFont="1"/>
    <xf numFmtId="0" fontId="6" fillId="0" borderId="0" xfId="0" quotePrefix="1" applyFont="1" applyAlignment="1">
      <alignment vertical="top" wrapText="1"/>
    </xf>
    <xf numFmtId="37" fontId="6" fillId="0" borderId="0" xfId="0" applyNumberFormat="1" applyFont="1" applyAlignment="1">
      <alignment horizontal="right" vertical="top" wrapText="1"/>
    </xf>
    <xf numFmtId="0" fontId="8" fillId="0" borderId="0" xfId="0" applyFont="1" applyAlignment="1">
      <alignment vertical="top" wrapText="1"/>
    </xf>
    <xf numFmtId="5" fontId="8" fillId="0" borderId="2" xfId="0" applyNumberFormat="1" applyFont="1" applyBorder="1" applyAlignment="1">
      <alignment horizontal="right" vertical="top" wrapText="1"/>
    </xf>
    <xf numFmtId="9" fontId="13" fillId="0" borderId="0" xfId="1" applyFont="1" applyBorder="1" applyAlignment="1">
      <alignment horizontal="right" vertical="center" wrapText="1"/>
    </xf>
    <xf numFmtId="0" fontId="14" fillId="0" borderId="0" xfId="0" applyFont="1" applyAlignment="1">
      <alignment wrapText="1"/>
    </xf>
    <xf numFmtId="0" fontId="7" fillId="0" borderId="0" xfId="0" applyFont="1" applyAlignment="1">
      <alignment horizontal="left" vertical="center" wrapText="1" indent="1"/>
    </xf>
    <xf numFmtId="9" fontId="6" fillId="0" borderId="0" xfId="1" applyFont="1" applyBorder="1" applyAlignment="1">
      <alignment horizontal="right" vertical="center" wrapText="1"/>
    </xf>
    <xf numFmtId="0" fontId="4" fillId="0" borderId="0" xfId="0" quotePrefix="1" applyFont="1"/>
    <xf numFmtId="41" fontId="6" fillId="0" borderId="0" xfId="0" applyNumberFormat="1" applyFont="1" applyAlignment="1">
      <alignment horizontal="right" vertical="top" wrapText="1"/>
    </xf>
    <xf numFmtId="0" fontId="2" fillId="2" borderId="0" xfId="0" applyFont="1" applyFill="1" applyAlignment="1">
      <alignment wrapText="1"/>
    </xf>
    <xf numFmtId="41" fontId="8" fillId="3" borderId="2" xfId="0" applyNumberFormat="1" applyFont="1" applyFill="1" applyBorder="1" applyAlignment="1">
      <alignment horizontal="right" vertical="top" wrapText="1"/>
    </xf>
    <xf numFmtId="0" fontId="15" fillId="0" borderId="6" xfId="0" applyFont="1" applyBorder="1"/>
    <xf numFmtId="0" fontId="15" fillId="0" borderId="0" xfId="0" applyFont="1"/>
    <xf numFmtId="0" fontId="4" fillId="4" borderId="0" xfId="0" applyFont="1" applyFill="1"/>
    <xf numFmtId="0" fontId="4" fillId="0" borderId="1" xfId="0" applyFont="1" applyBorder="1"/>
    <xf numFmtId="0" fontId="4" fillId="2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165" fontId="4" fillId="0" borderId="0" xfId="0" applyNumberFormat="1" applyFont="1" applyAlignment="1">
      <alignment wrapText="1"/>
    </xf>
    <xf numFmtId="37" fontId="8" fillId="0" borderId="0" xfId="0" applyNumberFormat="1" applyFont="1" applyAlignment="1">
      <alignment horizontal="right" vertical="top" wrapText="1"/>
    </xf>
    <xf numFmtId="165" fontId="15" fillId="0" borderId="0" xfId="0" applyNumberFormat="1" applyFont="1" applyAlignment="1">
      <alignment wrapText="1"/>
    </xf>
    <xf numFmtId="9" fontId="6" fillId="0" borderId="0" xfId="1" applyFont="1" applyFill="1" applyBorder="1" applyAlignment="1">
      <alignment horizontal="right" vertical="center" wrapText="1"/>
    </xf>
    <xf numFmtId="166" fontId="7" fillId="0" borderId="0" xfId="1" applyNumberFormat="1" applyFont="1" applyBorder="1" applyAlignment="1">
      <alignment horizontal="right" vertical="center" wrapText="1"/>
    </xf>
    <xf numFmtId="0" fontId="6" fillId="0" borderId="0" xfId="0" applyFont="1" applyAlignment="1">
      <alignment horizontal="left" vertical="top" wrapText="1"/>
    </xf>
    <xf numFmtId="10" fontId="16" fillId="0" borderId="0" xfId="1" applyNumberFormat="1" applyFont="1" applyFill="1" applyAlignment="1">
      <alignment horizont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5" fontId="8" fillId="0" borderId="0" xfId="0" applyNumberFormat="1" applyFont="1" applyAlignment="1">
      <alignment horizontal="right" vertical="top" wrapText="1"/>
    </xf>
    <xf numFmtId="37" fontId="15" fillId="0" borderId="0" xfId="0" applyNumberFormat="1" applyFont="1" applyAlignment="1">
      <alignment wrapText="1"/>
    </xf>
    <xf numFmtId="37" fontId="8" fillId="0" borderId="0" xfId="0" applyNumberFormat="1" applyFont="1" applyAlignment="1">
      <alignment wrapText="1"/>
    </xf>
    <xf numFmtId="0" fontId="12" fillId="0" borderId="0" xfId="0" applyFont="1" applyAlignment="1">
      <alignment wrapText="1"/>
    </xf>
    <xf numFmtId="0" fontId="8" fillId="0" borderId="0" xfId="0" applyFont="1" applyAlignment="1">
      <alignment wrapText="1"/>
    </xf>
    <xf numFmtId="0" fontId="15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17" fillId="0" borderId="0" xfId="0" applyFont="1" applyAlignment="1">
      <alignment wrapText="1"/>
    </xf>
    <xf numFmtId="164" fontId="4" fillId="0" borderId="0" xfId="2" applyNumberFormat="1" applyFont="1" applyBorder="1" applyAlignment="1">
      <alignment wrapText="1"/>
    </xf>
    <xf numFmtId="0" fontId="4" fillId="0" borderId="0" xfId="0" applyFont="1" applyAlignment="1">
      <alignment horizontal="left" wrapText="1" indent="1"/>
    </xf>
    <xf numFmtId="37" fontId="11" fillId="0" borderId="0" xfId="2" applyNumberFormat="1" applyFont="1" applyBorder="1" applyAlignment="1">
      <alignment wrapText="1"/>
    </xf>
    <xf numFmtId="37" fontId="11" fillId="0" borderId="0" xfId="2" applyNumberFormat="1" applyFont="1" applyFill="1" applyBorder="1" applyAlignment="1">
      <alignment wrapText="1"/>
    </xf>
    <xf numFmtId="0" fontId="4" fillId="0" borderId="0" xfId="0" applyFont="1" applyAlignment="1">
      <alignment horizontal="left" indent="1"/>
    </xf>
    <xf numFmtId="37" fontId="8" fillId="0" borderId="0" xfId="2" applyNumberFormat="1" applyFont="1" applyBorder="1" applyAlignment="1">
      <alignment wrapText="1"/>
    </xf>
    <xf numFmtId="37" fontId="6" fillId="0" borderId="0" xfId="2" applyNumberFormat="1" applyFont="1" applyBorder="1" applyAlignment="1">
      <alignment wrapText="1"/>
    </xf>
    <xf numFmtId="37" fontId="15" fillId="0" borderId="0" xfId="2" applyNumberFormat="1" applyFont="1" applyBorder="1" applyAlignment="1">
      <alignment wrapText="1"/>
    </xf>
    <xf numFmtId="37" fontId="15" fillId="0" borderId="0" xfId="2" applyNumberFormat="1" applyFont="1" applyFill="1" applyBorder="1" applyAlignment="1">
      <alignment wrapText="1"/>
    </xf>
    <xf numFmtId="37" fontId="18" fillId="0" borderId="0" xfId="2" applyNumberFormat="1" applyFont="1" applyFill="1" applyBorder="1" applyAlignment="1">
      <alignment wrapText="1"/>
    </xf>
    <xf numFmtId="37" fontId="6" fillId="0" borderId="0" xfId="2" applyNumberFormat="1" applyFont="1" applyFill="1" applyBorder="1" applyAlignment="1">
      <alignment wrapText="1"/>
    </xf>
    <xf numFmtId="164" fontId="15" fillId="0" borderId="0" xfId="2" applyNumberFormat="1" applyFont="1" applyBorder="1" applyAlignment="1">
      <alignment wrapText="1"/>
    </xf>
    <xf numFmtId="0" fontId="20" fillId="0" borderId="0" xfId="0" applyFont="1" applyAlignment="1">
      <alignment vertical="top" wrapText="1"/>
    </xf>
    <xf numFmtId="43" fontId="20" fillId="0" borderId="0" xfId="0" applyNumberFormat="1" applyFont="1" applyAlignment="1">
      <alignment wrapText="1"/>
    </xf>
    <xf numFmtId="43" fontId="21" fillId="0" borderId="0" xfId="0" applyNumberFormat="1" applyFont="1" applyAlignment="1">
      <alignment wrapText="1"/>
    </xf>
    <xf numFmtId="0" fontId="22" fillId="0" borderId="0" xfId="0" applyFont="1" applyAlignment="1">
      <alignment wrapText="1"/>
    </xf>
    <xf numFmtId="41" fontId="8" fillId="0" borderId="0" xfId="0" applyNumberFormat="1" applyFont="1" applyAlignment="1">
      <alignment horizontal="right" vertical="top" wrapText="1"/>
    </xf>
    <xf numFmtId="0" fontId="17" fillId="0" borderId="6" xfId="0" applyFont="1" applyBorder="1"/>
    <xf numFmtId="0" fontId="4" fillId="0" borderId="1" xfId="0" applyFont="1" applyBorder="1" applyAlignment="1">
      <alignment wrapText="1"/>
    </xf>
    <xf numFmtId="164" fontId="4" fillId="0" borderId="1" xfId="2" applyNumberFormat="1" applyFont="1" applyBorder="1" applyAlignment="1">
      <alignment wrapText="1"/>
    </xf>
    <xf numFmtId="166" fontId="7" fillId="5" borderId="0" xfId="1" applyNumberFormat="1" applyFont="1" applyFill="1" applyBorder="1" applyAlignment="1">
      <alignment horizontal="right" vertical="center" wrapText="1"/>
    </xf>
    <xf numFmtId="166" fontId="9" fillId="5" borderId="0" xfId="1" applyNumberFormat="1" applyFont="1" applyFill="1" applyBorder="1" applyAlignment="1">
      <alignment horizontal="right" vertical="center" wrapText="1"/>
    </xf>
    <xf numFmtId="168" fontId="9" fillId="5" borderId="0" xfId="1" applyNumberFormat="1" applyFont="1" applyFill="1" applyBorder="1" applyAlignment="1">
      <alignment horizontal="right" vertical="center" wrapText="1"/>
    </xf>
    <xf numFmtId="0" fontId="8" fillId="0" borderId="6" xfId="0" applyFont="1" applyBorder="1" applyAlignment="1">
      <alignment vertical="top" wrapText="1"/>
    </xf>
    <xf numFmtId="41" fontId="24" fillId="0" borderId="0" xfId="0" applyNumberFormat="1" applyFont="1" applyAlignment="1">
      <alignment horizontal="right" vertical="center" wrapText="1"/>
    </xf>
    <xf numFmtId="0" fontId="15" fillId="0" borderId="0" xfId="0" applyFont="1" applyAlignment="1">
      <alignment horizontal="center"/>
    </xf>
    <xf numFmtId="41" fontId="11" fillId="0" borderId="0" xfId="0" applyNumberFormat="1" applyFont="1"/>
    <xf numFmtId="41" fontId="11" fillId="0" borderId="0" xfId="0" applyNumberFormat="1" applyFont="1" applyAlignment="1">
      <alignment horizontal="right" vertical="top" wrapText="1"/>
    </xf>
    <xf numFmtId="169" fontId="4" fillId="0" borderId="0" xfId="0" applyNumberFormat="1" applyFont="1"/>
    <xf numFmtId="0" fontId="4" fillId="0" borderId="0" xfId="0" quotePrefix="1" applyFont="1" applyAlignment="1">
      <alignment horizontal="left" indent="1"/>
    </xf>
    <xf numFmtId="14" fontId="3" fillId="2" borderId="0" xfId="0" quotePrefix="1" applyNumberFormat="1" applyFont="1" applyFill="1" applyAlignment="1">
      <alignment horizontal="center" vertical="center" wrapText="1"/>
    </xf>
    <xf numFmtId="41" fontId="8" fillId="6" borderId="2" xfId="0" applyNumberFormat="1" applyFont="1" applyFill="1" applyBorder="1" applyAlignment="1">
      <alignment horizontal="right" vertical="top" wrapText="1"/>
    </xf>
    <xf numFmtId="3" fontId="4" fillId="0" borderId="0" xfId="0" applyNumberFormat="1" applyFont="1" applyAlignment="1">
      <alignment wrapText="1"/>
    </xf>
    <xf numFmtId="43" fontId="21" fillId="0" borderId="7" xfId="0" applyNumberFormat="1" applyFont="1" applyBorder="1" applyAlignment="1">
      <alignment wrapText="1"/>
    </xf>
    <xf numFmtId="41" fontId="6" fillId="0" borderId="7" xfId="0" applyNumberFormat="1" applyFont="1" applyBorder="1" applyAlignment="1">
      <alignment horizontal="right" vertical="top" wrapText="1"/>
    </xf>
    <xf numFmtId="0" fontId="8" fillId="6" borderId="9" xfId="0" applyFont="1" applyFill="1" applyBorder="1" applyAlignment="1">
      <alignment horizontal="right" vertical="center" wrapText="1"/>
    </xf>
    <xf numFmtId="0" fontId="4" fillId="0" borderId="9" xfId="0" applyFont="1" applyBorder="1"/>
    <xf numFmtId="37" fontId="4" fillId="0" borderId="10" xfId="0" applyNumberFormat="1" applyFont="1" applyBorder="1" applyAlignment="1">
      <alignment wrapText="1"/>
    </xf>
    <xf numFmtId="41" fontId="8" fillId="0" borderId="12" xfId="0" applyNumberFormat="1" applyFont="1" applyBorder="1" applyAlignment="1">
      <alignment horizontal="right" vertical="top" wrapText="1"/>
    </xf>
    <xf numFmtId="41" fontId="6" fillId="0" borderId="13" xfId="0" applyNumberFormat="1" applyFont="1" applyBorder="1" applyAlignment="1">
      <alignment horizontal="right" vertical="top" wrapText="1"/>
    </xf>
    <xf numFmtId="41" fontId="25" fillId="0" borderId="0" xfId="0" applyNumberFormat="1" applyFont="1"/>
    <xf numFmtId="37" fontId="11" fillId="0" borderId="0" xfId="0" applyNumberFormat="1" applyFont="1" applyAlignment="1">
      <alignment horizontal="right" vertical="top" wrapText="1"/>
    </xf>
    <xf numFmtId="41" fontId="6" fillId="0" borderId="0" xfId="0" applyNumberFormat="1" applyFont="1" applyAlignment="1">
      <alignment horizontal="right" vertical="center" wrapText="1"/>
    </xf>
    <xf numFmtId="41" fontId="6" fillId="0" borderId="0" xfId="0" applyNumberFormat="1" applyFont="1" applyAlignment="1">
      <alignment horizontal="right" wrapText="1"/>
    </xf>
    <xf numFmtId="0" fontId="2" fillId="7" borderId="0" xfId="0" applyFont="1" applyFill="1" applyAlignment="1">
      <alignment vertical="center" wrapText="1"/>
    </xf>
    <xf numFmtId="0" fontId="3" fillId="7" borderId="0" xfId="0" applyFont="1" applyFill="1" applyAlignment="1">
      <alignment vertical="center" wrapText="1"/>
    </xf>
    <xf numFmtId="166" fontId="7" fillId="0" borderId="0" xfId="1" applyNumberFormat="1" applyFont="1" applyFill="1" applyBorder="1" applyAlignment="1">
      <alignment horizontal="right" vertical="center" wrapText="1"/>
    </xf>
    <xf numFmtId="0" fontId="2" fillId="2" borderId="0" xfId="0" applyFont="1" applyFill="1" applyAlignment="1">
      <alignment horizontal="centerContinuous" vertical="center" wrapText="1"/>
    </xf>
    <xf numFmtId="0" fontId="2" fillId="7" borderId="4" xfId="0" applyFont="1" applyFill="1" applyBorder="1" applyAlignment="1">
      <alignment horizontal="centerContinuous" vertical="center" wrapText="1"/>
    </xf>
    <xf numFmtId="0" fontId="4" fillId="7" borderId="0" xfId="0" applyFont="1" applyFill="1" applyAlignment="1">
      <alignment wrapText="1"/>
    </xf>
    <xf numFmtId="0" fontId="5" fillId="7" borderId="0" xfId="0" applyFont="1" applyFill="1" applyAlignment="1">
      <alignment horizontal="center" vertical="center" wrapText="1"/>
    </xf>
    <xf numFmtId="14" fontId="3" fillId="7" borderId="0" xfId="0" applyNumberFormat="1" applyFont="1" applyFill="1" applyAlignment="1">
      <alignment horizontal="center" vertical="center" wrapText="1"/>
    </xf>
    <xf numFmtId="0" fontId="2" fillId="8" borderId="0" xfId="0" applyFont="1" applyFill="1" applyAlignment="1">
      <alignment vertical="center" wrapText="1"/>
    </xf>
    <xf numFmtId="0" fontId="2" fillId="8" borderId="4" xfId="0" applyFont="1" applyFill="1" applyBorder="1" applyAlignment="1">
      <alignment horizontal="centerContinuous" vertical="center" wrapText="1"/>
    </xf>
    <xf numFmtId="0" fontId="4" fillId="8" borderId="0" xfId="0" applyFont="1" applyFill="1" applyAlignment="1">
      <alignment wrapText="1"/>
    </xf>
    <xf numFmtId="0" fontId="5" fillId="8" borderId="0" xfId="0" applyFont="1" applyFill="1" applyAlignment="1">
      <alignment horizontal="center" vertical="center" wrapText="1"/>
    </xf>
    <xf numFmtId="0" fontId="3" fillId="8" borderId="0" xfId="0" applyFont="1" applyFill="1" applyAlignment="1">
      <alignment vertical="center" wrapText="1"/>
    </xf>
    <xf numFmtId="0" fontId="5" fillId="8" borderId="0" xfId="0" applyFont="1" applyFill="1" applyAlignment="1">
      <alignment vertical="center" wrapText="1"/>
    </xf>
    <xf numFmtId="14" fontId="3" fillId="8" borderId="0" xfId="0" applyNumberFormat="1" applyFont="1" applyFill="1" applyAlignment="1">
      <alignment horizontal="center" vertical="center" wrapText="1"/>
    </xf>
    <xf numFmtId="14" fontId="3" fillId="8" borderId="0" xfId="0" applyNumberFormat="1" applyFont="1" applyFill="1" applyAlignment="1">
      <alignment vertical="center" wrapText="1"/>
    </xf>
    <xf numFmtId="0" fontId="6" fillId="0" borderId="0" xfId="0" applyFont="1" applyAlignment="1">
      <alignment vertical="center" wrapText="1"/>
    </xf>
    <xf numFmtId="166" fontId="10" fillId="9" borderId="0" xfId="1" applyNumberFormat="1" applyFont="1" applyFill="1" applyBorder="1" applyAlignment="1">
      <alignment horizontal="right" vertical="center" wrapText="1"/>
    </xf>
    <xf numFmtId="0" fontId="21" fillId="0" borderId="1" xfId="0" applyFont="1" applyBorder="1" applyAlignment="1">
      <alignment vertical="top" wrapText="1"/>
    </xf>
    <xf numFmtId="43" fontId="21" fillId="0" borderId="1" xfId="0" applyNumberFormat="1" applyFont="1" applyBorder="1" applyAlignment="1">
      <alignment wrapText="1"/>
    </xf>
    <xf numFmtId="0" fontId="22" fillId="0" borderId="1" xfId="0" applyFont="1" applyBorder="1" applyAlignment="1">
      <alignment wrapText="1"/>
    </xf>
    <xf numFmtId="0" fontId="14" fillId="0" borderId="1" xfId="0" applyFont="1" applyBorder="1" applyAlignment="1">
      <alignment wrapText="1"/>
    </xf>
    <xf numFmtId="0" fontId="6" fillId="0" borderId="0" xfId="0" applyFont="1" applyAlignment="1">
      <alignment wrapText="1"/>
    </xf>
    <xf numFmtId="41" fontId="11" fillId="0" borderId="0" xfId="0" applyNumberFormat="1" applyFont="1" applyAlignment="1">
      <alignment horizontal="right" wrapText="1"/>
    </xf>
    <xf numFmtId="0" fontId="4" fillId="0" borderId="0" xfId="0" applyFont="1" applyAlignment="1">
      <alignment vertical="center" wrapText="1"/>
    </xf>
    <xf numFmtId="41" fontId="11" fillId="0" borderId="0" xfId="0" applyNumberFormat="1" applyFont="1" applyAlignment="1">
      <alignment horizontal="right" vertical="center" wrapText="1"/>
    </xf>
    <xf numFmtId="37" fontId="4" fillId="0" borderId="0" xfId="0" applyNumberFormat="1" applyFont="1" applyAlignment="1">
      <alignment vertical="center" wrapText="1"/>
    </xf>
    <xf numFmtId="41" fontId="6" fillId="0" borderId="0" xfId="0" applyNumberFormat="1" applyFont="1"/>
    <xf numFmtId="0" fontId="14" fillId="3" borderId="0" xfId="0" applyFont="1" applyFill="1"/>
    <xf numFmtId="166" fontId="10" fillId="3" borderId="0" xfId="1" applyNumberFormat="1" applyFont="1" applyFill="1" applyBorder="1" applyAlignment="1">
      <alignment horizontal="right" vertical="center" wrapText="1"/>
    </xf>
    <xf numFmtId="166" fontId="28" fillId="3" borderId="0" xfId="1" applyNumberFormat="1" applyFont="1" applyFill="1" applyBorder="1" applyAlignment="1">
      <alignment horizontal="right" vertical="center" wrapText="1"/>
    </xf>
    <xf numFmtId="167" fontId="28" fillId="3" borderId="0" xfId="1" applyNumberFormat="1" applyFont="1" applyFill="1" applyBorder="1" applyAlignment="1">
      <alignment horizontal="right" vertical="center" wrapText="1"/>
    </xf>
    <xf numFmtId="0" fontId="14" fillId="0" borderId="0" xfId="0" applyFont="1"/>
    <xf numFmtId="0" fontId="23" fillId="0" borderId="0" xfId="0" applyFont="1" applyAlignment="1">
      <alignment horizontal="left" wrapText="1"/>
    </xf>
    <xf numFmtId="41" fontId="7" fillId="0" borderId="9" xfId="0" applyNumberFormat="1" applyFont="1" applyBorder="1" applyAlignment="1">
      <alignment horizontal="right" vertical="top" wrapText="1"/>
    </xf>
    <xf numFmtId="0" fontId="30" fillId="0" borderId="0" xfId="0" applyFont="1" applyAlignment="1">
      <alignment horizontal="right" vertical="center" wrapText="1"/>
    </xf>
    <xf numFmtId="7" fontId="25" fillId="0" borderId="0" xfId="0" applyNumberFormat="1" applyFont="1" applyAlignment="1">
      <alignment horizontal="right"/>
    </xf>
    <xf numFmtId="41" fontId="8" fillId="6" borderId="0" xfId="0" applyNumberFormat="1" applyFont="1" applyFill="1" applyAlignment="1">
      <alignment horizontal="right" vertical="top" wrapText="1"/>
    </xf>
    <xf numFmtId="41" fontId="6" fillId="6" borderId="0" xfId="0" applyNumberFormat="1" applyFont="1" applyFill="1" applyAlignment="1">
      <alignment horizontal="right" vertical="top" wrapText="1"/>
    </xf>
    <xf numFmtId="41" fontId="6" fillId="0" borderId="10" xfId="0" applyNumberFormat="1" applyFont="1" applyBorder="1" applyAlignment="1">
      <alignment horizontal="right" vertical="top" wrapText="1"/>
    </xf>
    <xf numFmtId="41" fontId="8" fillId="6" borderId="10" xfId="0" applyNumberFormat="1" applyFont="1" applyFill="1" applyBorder="1" applyAlignment="1">
      <alignment horizontal="right" vertical="top" wrapText="1"/>
    </xf>
    <xf numFmtId="41" fontId="8" fillId="0" borderId="10" xfId="0" applyNumberFormat="1" applyFont="1" applyBorder="1" applyAlignment="1">
      <alignment horizontal="right" vertical="top" wrapText="1"/>
    </xf>
    <xf numFmtId="41" fontId="6" fillId="6" borderId="10" xfId="0" applyNumberFormat="1" applyFont="1" applyFill="1" applyBorder="1" applyAlignment="1">
      <alignment horizontal="right" vertical="top" wrapText="1"/>
    </xf>
    <xf numFmtId="43" fontId="21" fillId="0" borderId="11" xfId="0" applyNumberFormat="1" applyFont="1" applyBorder="1" applyAlignment="1">
      <alignment wrapText="1"/>
    </xf>
    <xf numFmtId="0" fontId="8" fillId="0" borderId="9" xfId="0" applyFont="1" applyBorder="1" applyAlignment="1">
      <alignment horizontal="right" vertical="center" wrapText="1"/>
    </xf>
    <xf numFmtId="0" fontId="27" fillId="0" borderId="8" xfId="0" applyFont="1" applyBorder="1" applyAlignment="1">
      <alignment horizontal="right" vertical="top" wrapText="1"/>
    </xf>
    <xf numFmtId="0" fontId="27" fillId="0" borderId="0" xfId="0" applyFont="1" applyAlignment="1">
      <alignment vertical="top" wrapText="1"/>
    </xf>
    <xf numFmtId="41" fontId="6" fillId="0" borderId="14" xfId="0" applyNumberFormat="1" applyFont="1" applyBorder="1" applyAlignment="1">
      <alignment horizontal="right" vertical="top" wrapText="1"/>
    </xf>
    <xf numFmtId="41" fontId="25" fillId="0" borderId="0" xfId="0" applyNumberFormat="1" applyFont="1" applyAlignment="1">
      <alignment vertical="center"/>
    </xf>
    <xf numFmtId="41" fontId="4" fillId="0" borderId="0" xfId="0" applyNumberFormat="1" applyFont="1" applyAlignment="1">
      <alignment vertical="center"/>
    </xf>
    <xf numFmtId="0" fontId="2" fillId="2" borderId="4" xfId="0" applyFont="1" applyFill="1" applyBorder="1" applyAlignment="1">
      <alignment horizontal="centerContinuous" vertical="center"/>
    </xf>
    <xf numFmtId="14" fontId="3" fillId="2" borderId="0" xfId="0" applyNumberFormat="1" applyFont="1" applyFill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3" fillId="2" borderId="0" xfId="0" applyFont="1" applyFill="1" applyAlignment="1">
      <alignment vertical="center"/>
    </xf>
    <xf numFmtId="41" fontId="6" fillId="0" borderId="0" xfId="0" applyNumberFormat="1" applyFont="1" applyAlignment="1">
      <alignment vertical="center"/>
    </xf>
    <xf numFmtId="0" fontId="5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41" fontId="11" fillId="0" borderId="0" xfId="0" applyNumberFormat="1" applyFont="1" applyAlignment="1">
      <alignment vertical="center"/>
    </xf>
    <xf numFmtId="0" fontId="4" fillId="0" borderId="0" xfId="0" quotePrefix="1" applyFont="1" applyAlignment="1">
      <alignment vertical="center"/>
    </xf>
    <xf numFmtId="9" fontId="13" fillId="0" borderId="0" xfId="1" applyFont="1" applyFill="1" applyBorder="1" applyAlignment="1">
      <alignment horizontal="right" vertical="center" wrapText="1"/>
    </xf>
    <xf numFmtId="7" fontId="8" fillId="3" borderId="2" xfId="0" applyNumberFormat="1" applyFont="1" applyFill="1" applyBorder="1" applyAlignment="1">
      <alignment horizontal="right" vertical="top" wrapText="1"/>
    </xf>
    <xf numFmtId="0" fontId="23" fillId="0" borderId="3" xfId="0" applyFont="1" applyBorder="1" applyAlignment="1">
      <alignment horizontal="left" wrapText="1"/>
    </xf>
    <xf numFmtId="0" fontId="2" fillId="2" borderId="0" xfId="0" applyFont="1" applyFill="1" applyAlignment="1">
      <alignment horizontal="center" vertical="center" wrapText="1"/>
    </xf>
    <xf numFmtId="0" fontId="5" fillId="8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horizontal="center" vertical="center" wrapText="1"/>
    </xf>
    <xf numFmtId="0" fontId="29" fillId="2" borderId="0" xfId="0" applyFont="1" applyFill="1" applyAlignment="1">
      <alignment horizontal="center" vertical="center" wrapText="1"/>
    </xf>
    <xf numFmtId="0" fontId="31" fillId="0" borderId="0" xfId="0" applyFont="1" applyAlignment="1">
      <alignment horizontal="left" vertical="center" wrapText="1"/>
    </xf>
  </cellXfs>
  <cellStyles count="5">
    <cellStyle name="%" xfId="3" xr:uid="{B2D0E839-0EB6-4A26-A036-4291FCE77A81}"/>
    <cellStyle name="******************************************" xfId="4" xr:uid="{7C8B12D3-B631-462E-992D-9CE2477EE747}"/>
    <cellStyle name="Comma" xfId="2" builtinId="3"/>
    <cellStyle name="Normal" xfId="0" builtinId="0"/>
    <cellStyle name="Percent" xfId="1" builtinId="5"/>
  </cellStyles>
  <dxfs count="0"/>
  <tableStyles count="0" defaultTableStyle="TableStyleMedium2" defaultPivotStyle="PivotStyleLight16"/>
  <colors>
    <mruColors>
      <color rgb="FF0000CC"/>
      <color rgb="FF00B03C"/>
      <color rgb="FF487B79"/>
      <color rgb="FF0E567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Integral">
  <a:themeElements>
    <a:clrScheme name="Integral">
      <a:dk1>
        <a:sysClr val="windowText" lastClr="000000"/>
      </a:dk1>
      <a:lt1>
        <a:sysClr val="window" lastClr="FFFFFF"/>
      </a:lt1>
      <a:dk2>
        <a:srgbClr val="335B74"/>
      </a:dk2>
      <a:lt2>
        <a:srgbClr val="DFE3E5"/>
      </a:lt2>
      <a:accent1>
        <a:srgbClr val="1CADE4"/>
      </a:accent1>
      <a:accent2>
        <a:srgbClr val="2683C6"/>
      </a:accent2>
      <a:accent3>
        <a:srgbClr val="27CED7"/>
      </a:accent3>
      <a:accent4>
        <a:srgbClr val="42BA97"/>
      </a:accent4>
      <a:accent5>
        <a:srgbClr val="3E8853"/>
      </a:accent5>
      <a:accent6>
        <a:srgbClr val="62A39F"/>
      </a:accent6>
      <a:hlink>
        <a:srgbClr val="6B9F25"/>
      </a:hlink>
      <a:folHlink>
        <a:srgbClr val="B26B02"/>
      </a:folHlink>
    </a:clrScheme>
    <a:fontScheme name="Integral">
      <a:majorFont>
        <a:latin typeface="Tw Cen MT Condensed" panose="020B06060201040202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Tw Cen MT" panose="020B0602020104020603"/>
        <a:ea typeface=""/>
        <a:cs typeface=""/>
        <a:font script="Grek" typeface="Calibri"/>
        <a:font script="Cyrl" typeface="Calibri"/>
        <a:font script="Jpan" typeface="メイリオ"/>
        <a:font script="Hang" typeface="HY얕은샘물M"/>
        <a:font script="Hans" typeface="华文仿宋"/>
        <a:font script="Hant" typeface="微軟正黑體"/>
        <a:font script="Arab" typeface="Arial"/>
        <a:font script="Hebr" typeface="Levenim MT"/>
        <a:font script="Thai" typeface="Frees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Integral">
      <a:fillStyleLst>
        <a:solidFill>
          <a:schemeClr val="phClr"/>
        </a:solidFill>
        <a:gradFill rotWithShape="1">
          <a:gsLst>
            <a:gs pos="0">
              <a:schemeClr val="phClr">
                <a:tint val="83000"/>
                <a:satMod val="100000"/>
                <a:lumMod val="100000"/>
              </a:schemeClr>
            </a:gs>
            <a:gs pos="100000">
              <a:schemeClr val="phClr">
                <a:tint val="61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  <a:gradFill rotWithShape="1">
          <a:gsLst>
            <a:gs pos="0">
              <a:schemeClr val="phClr">
                <a:tint val="100000"/>
                <a:shade val="85000"/>
                <a:satMod val="100000"/>
                <a:lumMod val="100000"/>
              </a:schemeClr>
            </a:gs>
            <a:gs pos="100000">
              <a:schemeClr val="phClr">
                <a:tint val="90000"/>
                <a:shade val="100000"/>
                <a:satMod val="150000"/>
                <a:lumMod val="100000"/>
              </a:schemeClr>
            </a:gs>
          </a:gsLst>
          <a:path path="circle">
            <a:fillToRect l="100000" t="100000" r="100000" b="100000"/>
          </a:path>
        </a:grad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12700" dir="5400000" algn="ctr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76200" dist="25400" dir="5400000" algn="ctr" rotWithShape="0">
              <a:srgbClr val="000000">
                <a:alpha val="60000"/>
              </a:srgbClr>
            </a:outerShdw>
          </a:effectLst>
          <a:scene3d>
            <a:camera prst="orthographicFront">
              <a:rot lat="0" lon="0" rev="0"/>
            </a:camera>
            <a:lightRig rig="flat" dir="t">
              <a:rot lat="0" lon="0" rev="3600000"/>
            </a:lightRig>
          </a:scene3d>
          <a:sp3d contourW="12700" prstMaterial="flat">
            <a:bevelT w="38100" h="44450" prst="angle"/>
            <a:contourClr>
              <a:schemeClr val="phClr">
                <a:shade val="35000"/>
                <a:satMod val="160000"/>
              </a:schemeClr>
            </a:contourClr>
          </a:sp3d>
        </a:effectStyle>
      </a:effectStyleLst>
      <a:bgFillStyleLst>
        <a:solidFill>
          <a:schemeClr val="phClr"/>
        </a:solidFill>
        <a:solidFill>
          <a:schemeClr val="phClr">
            <a:tint val="95000"/>
            <a:shade val="85000"/>
            <a:satMod val="125000"/>
          </a:schemeClr>
        </a:solidFill>
        <a:blipFill rotWithShape="1">
          <a:blip xmlns:r="http://schemas.openxmlformats.org/officeDocument/2006/relationships" r:embed="rId1">
            <a:duotone>
              <a:schemeClr val="phClr">
                <a:tint val="95000"/>
                <a:shade val="74000"/>
                <a:satMod val="230000"/>
              </a:schemeClr>
              <a:schemeClr val="phClr">
                <a:tint val="92000"/>
                <a:shade val="69000"/>
                <a:satMod val="250000"/>
              </a:schemeClr>
            </a:duotone>
          </a:blip>
          <a:tile tx="0" ty="0" sx="40000" sy="40000" flip="none" algn="tl"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Integral" id="{3577F8C9-A904-41D8-97D2-FD898F53F20E}" vid="{682D6EBE-8D36-4FF2-9DB3-F3D8D7B6715D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37A1EF-DD86-43F0-AF53-6181CD7220DC}">
  <sheetPr>
    <tabColor rgb="FF002060"/>
  </sheetPr>
  <dimension ref="A2:AO171"/>
  <sheetViews>
    <sheetView showGridLines="0" tabSelected="1" zoomScale="85" zoomScaleNormal="85" workbookViewId="0">
      <selection activeCell="B2" sqref="B2"/>
    </sheetView>
  </sheetViews>
  <sheetFormatPr defaultRowHeight="12" outlineLevelCol="3"/>
  <cols>
    <col min="1" max="1" width="1.625" style="5" bestFit="1" customWidth="1"/>
    <col min="2" max="2" width="36.25" style="5" customWidth="1"/>
    <col min="3" max="4" width="9" style="5" customWidth="1" outlineLevel="1"/>
    <col min="5" max="7" width="9" style="5" bestFit="1" customWidth="1"/>
    <col min="8" max="8" width="1.5" style="5" customWidth="1"/>
    <col min="9" max="12" width="8.875" style="5" customWidth="1" outlineLevel="3"/>
    <col min="13" max="16" width="8.875" style="5" customWidth="1" outlineLevel="2"/>
    <col min="17" max="18" width="8.875" style="5" customWidth="1" outlineLevel="1"/>
    <col min="19" max="23" width="8.875" style="5" bestFit="1" customWidth="1"/>
    <col min="24" max="24" width="1.5" style="5" customWidth="1"/>
    <col min="25" max="34" width="8.75" style="5" hidden="1" customWidth="1" outlineLevel="1"/>
    <col min="35" max="35" width="9" style="5" bestFit="1" customWidth="1" collapsed="1"/>
    <col min="36" max="38" width="9" style="5" hidden="1" customWidth="1" outlineLevel="1"/>
    <col min="39" max="39" width="9" style="5" bestFit="1" customWidth="1" collapsed="1"/>
    <col min="40" max="40" width="1.25" style="5" customWidth="1"/>
    <col min="41" max="41" width="8" style="5" bestFit="1" customWidth="1"/>
    <col min="42" max="42" width="1.375" style="5" customWidth="1"/>
    <col min="43" max="16384" width="9" style="5"/>
  </cols>
  <sheetData>
    <row r="2" spans="1:41" ht="12.75" customHeight="1">
      <c r="B2" s="1" t="s">
        <v>160</v>
      </c>
      <c r="C2" s="106"/>
      <c r="D2" s="106"/>
      <c r="E2" s="106"/>
      <c r="F2" s="106"/>
      <c r="G2" s="106"/>
      <c r="H2" s="3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3"/>
      <c r="Y2" s="106"/>
      <c r="Z2" s="106"/>
      <c r="AA2" s="106"/>
      <c r="AB2" s="106"/>
      <c r="AC2" s="106"/>
      <c r="AD2" s="106"/>
      <c r="AE2" s="106"/>
      <c r="AF2" s="106"/>
      <c r="AG2" s="106"/>
      <c r="AH2" s="106"/>
      <c r="AI2" s="106"/>
      <c r="AJ2" s="106"/>
      <c r="AK2" s="106"/>
      <c r="AL2" s="106"/>
      <c r="AM2" s="106"/>
      <c r="AN2" s="3"/>
      <c r="AO2" s="1"/>
    </row>
    <row r="3" spans="1:41" ht="12.75" customHeight="1">
      <c r="B3" s="6" t="s">
        <v>84</v>
      </c>
      <c r="C3" s="7"/>
      <c r="D3" s="7"/>
      <c r="E3" s="7"/>
      <c r="F3" s="7"/>
      <c r="G3" s="7"/>
      <c r="H3" s="3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3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3"/>
      <c r="AO3" s="1"/>
    </row>
    <row r="4" spans="1:41" ht="12.75" customHeight="1">
      <c r="B4" s="6" t="s">
        <v>117</v>
      </c>
      <c r="C4" s="3"/>
      <c r="D4" s="3"/>
      <c r="E4" s="3"/>
      <c r="F4" s="89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1"/>
    </row>
    <row r="6" spans="1:41" ht="12.75" customHeight="1">
      <c r="A6" s="5" t="s">
        <v>18</v>
      </c>
      <c r="B6" s="1" t="s">
        <v>82</v>
      </c>
      <c r="C6" s="2"/>
      <c r="D6" s="2"/>
      <c r="E6" s="2" t="s">
        <v>0</v>
      </c>
      <c r="F6" s="2"/>
      <c r="G6" s="2"/>
      <c r="H6" s="3"/>
      <c r="I6" s="2" t="s">
        <v>1</v>
      </c>
      <c r="J6" s="2"/>
      <c r="K6" s="2"/>
      <c r="L6" s="2"/>
      <c r="M6" s="2" t="s">
        <v>1</v>
      </c>
      <c r="N6" s="2"/>
      <c r="O6" s="2"/>
      <c r="P6" s="2"/>
      <c r="Q6" s="2"/>
      <c r="R6" s="2"/>
      <c r="S6" s="2" t="s">
        <v>1</v>
      </c>
      <c r="T6" s="2"/>
      <c r="U6" s="2"/>
      <c r="V6" s="2"/>
      <c r="W6" s="2"/>
      <c r="X6" s="3"/>
      <c r="Y6" s="2"/>
      <c r="Z6" s="2"/>
      <c r="AA6" s="2"/>
      <c r="AB6" s="2"/>
      <c r="AC6" s="2"/>
      <c r="AD6" s="2"/>
      <c r="AE6" s="2"/>
      <c r="AF6" s="2"/>
      <c r="AG6" s="2"/>
      <c r="AH6" s="2" t="s">
        <v>10</v>
      </c>
      <c r="AI6" s="2" t="s">
        <v>10</v>
      </c>
      <c r="AJ6" s="2"/>
      <c r="AK6" s="2"/>
      <c r="AL6" s="2"/>
      <c r="AM6" s="2"/>
      <c r="AN6" s="40"/>
      <c r="AO6" s="165" t="s">
        <v>24</v>
      </c>
    </row>
    <row r="7" spans="1:41" ht="12.75" customHeight="1">
      <c r="B7" s="6" t="s">
        <v>85</v>
      </c>
      <c r="C7" s="7">
        <v>2020</v>
      </c>
      <c r="D7" s="7">
        <v>2021</v>
      </c>
      <c r="E7" s="7">
        <v>2022</v>
      </c>
      <c r="F7" s="7">
        <v>2023</v>
      </c>
      <c r="G7" s="7">
        <v>2024</v>
      </c>
      <c r="H7" s="3"/>
      <c r="I7" s="4" t="s">
        <v>26</v>
      </c>
      <c r="J7" s="4" t="s">
        <v>27</v>
      </c>
      <c r="K7" s="4" t="s">
        <v>28</v>
      </c>
      <c r="L7" s="4" t="s">
        <v>29</v>
      </c>
      <c r="M7" s="4" t="s">
        <v>6</v>
      </c>
      <c r="N7" s="4" t="s">
        <v>7</v>
      </c>
      <c r="O7" s="4" t="s">
        <v>8</v>
      </c>
      <c r="P7" s="4" t="s">
        <v>9</v>
      </c>
      <c r="Q7" s="4" t="s">
        <v>2</v>
      </c>
      <c r="R7" s="4" t="s">
        <v>3</v>
      </c>
      <c r="S7" s="4" t="s">
        <v>4</v>
      </c>
      <c r="T7" s="4" t="s">
        <v>5</v>
      </c>
      <c r="U7" s="4" t="s">
        <v>30</v>
      </c>
      <c r="V7" s="4" t="s">
        <v>31</v>
      </c>
      <c r="W7" s="4" t="s">
        <v>70</v>
      </c>
      <c r="X7" s="3"/>
      <c r="Y7" s="4" t="str">
        <f>I7</f>
        <v>1Q22</v>
      </c>
      <c r="Z7" s="4" t="str">
        <f>J7</f>
        <v>2Q22</v>
      </c>
      <c r="AA7" s="4" t="str">
        <f>K7</f>
        <v>3Q22</v>
      </c>
      <c r="AB7" s="4" t="str">
        <f>L7</f>
        <v>4Q22</v>
      </c>
      <c r="AC7" s="4" t="str">
        <f>M7</f>
        <v>1Q23</v>
      </c>
      <c r="AD7" s="4" t="str">
        <f>N7</f>
        <v>2Q23</v>
      </c>
      <c r="AE7" s="4" t="str">
        <f>O7</f>
        <v>3Q23</v>
      </c>
      <c r="AF7" s="4" t="str">
        <f>P7</f>
        <v>4Q23</v>
      </c>
      <c r="AG7" s="4" t="str">
        <f>Q7</f>
        <v>1Q24</v>
      </c>
      <c r="AH7" s="4" t="str">
        <f>R7</f>
        <v>2Q24</v>
      </c>
      <c r="AI7" s="4" t="str">
        <f>S7</f>
        <v>3Q24</v>
      </c>
      <c r="AJ7" s="4" t="str">
        <f>T7</f>
        <v>4Q24</v>
      </c>
      <c r="AK7" s="4" t="str">
        <f>U7</f>
        <v>1Q25</v>
      </c>
      <c r="AL7" s="4" t="str">
        <f>V7</f>
        <v>2Q25</v>
      </c>
      <c r="AM7" s="4" t="str">
        <f>W7</f>
        <v>3Q25</v>
      </c>
      <c r="AN7" s="40"/>
      <c r="AO7" s="165"/>
    </row>
    <row r="8" spans="1:41" ht="12.75" customHeight="1">
      <c r="B8" s="6" t="s">
        <v>86</v>
      </c>
      <c r="C8" s="3">
        <v>44196</v>
      </c>
      <c r="D8" s="3">
        <v>44561</v>
      </c>
      <c r="E8" s="3">
        <v>44926</v>
      </c>
      <c r="F8" s="89">
        <v>45291</v>
      </c>
      <c r="G8" s="3">
        <v>45657</v>
      </c>
      <c r="H8" s="3"/>
      <c r="I8" s="3">
        <v>44651</v>
      </c>
      <c r="J8" s="3">
        <v>44742</v>
      </c>
      <c r="K8" s="3">
        <v>44834</v>
      </c>
      <c r="L8" s="3">
        <f>E8</f>
        <v>44926</v>
      </c>
      <c r="M8" s="3">
        <v>45016</v>
      </c>
      <c r="N8" s="3">
        <v>45107</v>
      </c>
      <c r="O8" s="3">
        <v>45199</v>
      </c>
      <c r="P8" s="3">
        <f>F8</f>
        <v>45291</v>
      </c>
      <c r="Q8" s="3">
        <v>45382</v>
      </c>
      <c r="R8" s="3">
        <v>45473</v>
      </c>
      <c r="S8" s="3">
        <v>45565</v>
      </c>
      <c r="T8" s="3">
        <f>G8</f>
        <v>45657</v>
      </c>
      <c r="U8" s="3">
        <v>45747</v>
      </c>
      <c r="V8" s="3">
        <v>45838</v>
      </c>
      <c r="W8" s="3">
        <v>45930</v>
      </c>
      <c r="X8" s="3"/>
      <c r="Y8" s="3">
        <f>I8</f>
        <v>44651</v>
      </c>
      <c r="Z8" s="3">
        <f>J8</f>
        <v>44742</v>
      </c>
      <c r="AA8" s="3">
        <f>K8</f>
        <v>44834</v>
      </c>
      <c r="AB8" s="3">
        <f>L8</f>
        <v>44926</v>
      </c>
      <c r="AC8" s="3">
        <f>M8</f>
        <v>45016</v>
      </c>
      <c r="AD8" s="3">
        <f>N8</f>
        <v>45107</v>
      </c>
      <c r="AE8" s="3">
        <f>O8</f>
        <v>45199</v>
      </c>
      <c r="AF8" s="3">
        <f>P8</f>
        <v>45291</v>
      </c>
      <c r="AG8" s="3">
        <f>Q8</f>
        <v>45382</v>
      </c>
      <c r="AH8" s="3">
        <f>R8</f>
        <v>45473</v>
      </c>
      <c r="AI8" s="3">
        <f>S8</f>
        <v>45565</v>
      </c>
      <c r="AJ8" s="3">
        <f>T8</f>
        <v>45657</v>
      </c>
      <c r="AK8" s="3">
        <f>U8</f>
        <v>45747</v>
      </c>
      <c r="AL8" s="3">
        <f>V8</f>
        <v>45838</v>
      </c>
      <c r="AM8" s="3">
        <f>W8</f>
        <v>45930</v>
      </c>
      <c r="AN8" s="40"/>
      <c r="AO8" s="165"/>
    </row>
    <row r="9" spans="1:41" ht="5.0999999999999996" customHeight="1">
      <c r="AO9" s="105"/>
    </row>
    <row r="10" spans="1:41" ht="12.75" customHeight="1">
      <c r="B10" s="9" t="s">
        <v>64</v>
      </c>
      <c r="C10" s="100">
        <v>23531</v>
      </c>
      <c r="D10" s="100">
        <v>33566</v>
      </c>
      <c r="E10" s="100">
        <v>44200</v>
      </c>
      <c r="F10" s="100">
        <v>35820</v>
      </c>
      <c r="G10" s="100">
        <v>38962</v>
      </c>
      <c r="H10" s="11"/>
      <c r="I10" s="100">
        <v>10705</v>
      </c>
      <c r="J10" s="100">
        <v>11164</v>
      </c>
      <c r="K10" s="100">
        <v>10936</v>
      </c>
      <c r="L10" s="33">
        <f>SUM(E10-SUM(I10:K10))</f>
        <v>11395</v>
      </c>
      <c r="M10" s="100">
        <v>9463</v>
      </c>
      <c r="N10" s="100">
        <v>9275</v>
      </c>
      <c r="O10" s="100">
        <v>8451</v>
      </c>
      <c r="P10" s="33">
        <f>SUM(F10-SUM(M10:O10))</f>
        <v>8631</v>
      </c>
      <c r="Q10" s="100">
        <v>9935</v>
      </c>
      <c r="R10" s="100">
        <v>9389</v>
      </c>
      <c r="S10" s="100">
        <v>9393</v>
      </c>
      <c r="T10" s="33">
        <f>SUM(G10-SUM(Q10:S10))</f>
        <v>10245</v>
      </c>
      <c r="U10" s="86"/>
      <c r="V10" s="86"/>
      <c r="W10" s="86"/>
      <c r="Y10" s="33">
        <f>SUM(I10:I10)</f>
        <v>10705</v>
      </c>
      <c r="Z10" s="33">
        <f>SUM(I10:J10)</f>
        <v>21869</v>
      </c>
      <c r="AA10" s="33">
        <f>SUM(I10:K10)</f>
        <v>32805</v>
      </c>
      <c r="AB10" s="33">
        <f>SUM(I10:L10)</f>
        <v>44200</v>
      </c>
      <c r="AC10" s="33">
        <f>SUM(J10:M10)</f>
        <v>42958</v>
      </c>
      <c r="AD10" s="33">
        <f>SUM(K10:N10)</f>
        <v>41069</v>
      </c>
      <c r="AE10" s="33">
        <f>SUM(L10:O10)</f>
        <v>38584</v>
      </c>
      <c r="AF10" s="33">
        <f>SUM(M10:P10)</f>
        <v>35820</v>
      </c>
      <c r="AG10" s="33">
        <f>SUM(N10:Q10)</f>
        <v>36292</v>
      </c>
      <c r="AH10" s="33">
        <f>SUM(O10:R10)</f>
        <v>36406</v>
      </c>
      <c r="AI10" s="33">
        <f>SUM(P10:S10)</f>
        <v>37348</v>
      </c>
      <c r="AJ10" s="33">
        <f>SUM(Q10:T10)</f>
        <v>38962</v>
      </c>
      <c r="AK10" s="33">
        <f>SUM(R10:U10)</f>
        <v>29027</v>
      </c>
      <c r="AL10" s="33">
        <f>SUM(S10:V10)</f>
        <v>19638</v>
      </c>
      <c r="AM10" s="33">
        <f>SUM(T10:W10)</f>
        <v>10245</v>
      </c>
      <c r="AN10" s="42"/>
      <c r="AO10" s="12">
        <f>SUM(AM10/AI10)-1</f>
        <v>-0.7256881225232944</v>
      </c>
    </row>
    <row r="11" spans="1:41" ht="12.75" customHeight="1">
      <c r="B11" s="13" t="s">
        <v>12</v>
      </c>
      <c r="C11" s="14">
        <f t="shared" ref="C11:G11" si="0">+SUM(C10:C10)</f>
        <v>23531</v>
      </c>
      <c r="D11" s="14">
        <f t="shared" si="0"/>
        <v>33566</v>
      </c>
      <c r="E11" s="14">
        <f t="shared" si="0"/>
        <v>44200</v>
      </c>
      <c r="F11" s="14">
        <f t="shared" si="0"/>
        <v>35820</v>
      </c>
      <c r="G11" s="14">
        <f t="shared" si="0"/>
        <v>38962</v>
      </c>
      <c r="H11" s="11"/>
      <c r="I11" s="14">
        <f t="shared" ref="I11:V11" si="1">+SUM(I10:I10)</f>
        <v>10705</v>
      </c>
      <c r="J11" s="14">
        <f t="shared" si="1"/>
        <v>11164</v>
      </c>
      <c r="K11" s="14">
        <f t="shared" si="1"/>
        <v>10936</v>
      </c>
      <c r="L11" s="14">
        <f t="shared" si="1"/>
        <v>11395</v>
      </c>
      <c r="M11" s="14">
        <f t="shared" si="1"/>
        <v>9463</v>
      </c>
      <c r="N11" s="14">
        <f t="shared" si="1"/>
        <v>9275</v>
      </c>
      <c r="O11" s="14">
        <f t="shared" si="1"/>
        <v>8451</v>
      </c>
      <c r="P11" s="14">
        <f t="shared" si="1"/>
        <v>8631</v>
      </c>
      <c r="Q11" s="14">
        <f t="shared" si="1"/>
        <v>9935</v>
      </c>
      <c r="R11" s="14">
        <f t="shared" si="1"/>
        <v>9389</v>
      </c>
      <c r="S11" s="14">
        <f t="shared" si="1"/>
        <v>9393</v>
      </c>
      <c r="T11" s="14">
        <f t="shared" si="1"/>
        <v>10245</v>
      </c>
      <c r="U11" s="14">
        <f t="shared" si="1"/>
        <v>0</v>
      </c>
      <c r="V11" s="14">
        <f t="shared" si="1"/>
        <v>0</v>
      </c>
      <c r="W11" s="14">
        <f>+SUM(W10:W10)</f>
        <v>0</v>
      </c>
      <c r="Y11" s="14">
        <f t="shared" ref="Y11:AA11" si="2">+SUM(Y10:Y10)</f>
        <v>10705</v>
      </c>
      <c r="Z11" s="14">
        <f t="shared" si="2"/>
        <v>21869</v>
      </c>
      <c r="AA11" s="14">
        <f t="shared" si="2"/>
        <v>32805</v>
      </c>
      <c r="AB11" s="14">
        <f t="shared" ref="AB11:AL11" si="3">+SUM(AB10:AB10)</f>
        <v>44200</v>
      </c>
      <c r="AC11" s="14">
        <f t="shared" si="3"/>
        <v>42958</v>
      </c>
      <c r="AD11" s="14">
        <f t="shared" si="3"/>
        <v>41069</v>
      </c>
      <c r="AE11" s="14">
        <f t="shared" si="3"/>
        <v>38584</v>
      </c>
      <c r="AF11" s="14">
        <f t="shared" si="3"/>
        <v>35820</v>
      </c>
      <c r="AG11" s="14">
        <f t="shared" si="3"/>
        <v>36292</v>
      </c>
      <c r="AH11" s="14">
        <f t="shared" si="3"/>
        <v>36406</v>
      </c>
      <c r="AI11" s="14">
        <f t="shared" si="3"/>
        <v>37348</v>
      </c>
      <c r="AJ11" s="14">
        <f t="shared" si="3"/>
        <v>38962</v>
      </c>
      <c r="AK11" s="14">
        <f t="shared" si="3"/>
        <v>29027</v>
      </c>
      <c r="AL11" s="14">
        <f t="shared" si="3"/>
        <v>19638</v>
      </c>
      <c r="AM11" s="14">
        <f>+SUM(AM10:AM10)</f>
        <v>10245</v>
      </c>
      <c r="AN11" s="42"/>
      <c r="AO11" s="15">
        <f>SUM(AM11/AI11)-1</f>
        <v>-0.7256881225232944</v>
      </c>
    </row>
    <row r="12" spans="1:41" s="21" customFormat="1" ht="5.0999999999999996" customHeight="1">
      <c r="B12" s="19"/>
      <c r="C12" s="20"/>
      <c r="D12" s="20"/>
      <c r="E12" s="20"/>
      <c r="F12" s="20"/>
      <c r="G12" s="20"/>
      <c r="I12" s="22"/>
      <c r="J12" s="22"/>
      <c r="K12" s="22"/>
      <c r="L12" s="22"/>
      <c r="M12" s="22"/>
      <c r="N12" s="22"/>
      <c r="O12" s="22"/>
      <c r="P12" s="22"/>
      <c r="Q12" s="22"/>
      <c r="R12" s="22"/>
      <c r="S12" s="22"/>
      <c r="T12" s="22"/>
      <c r="U12" s="23"/>
      <c r="V12" s="22"/>
      <c r="W12" s="22"/>
      <c r="AO12" s="79"/>
    </row>
    <row r="13" spans="1:41" ht="12.75" customHeight="1">
      <c r="B13" s="9" t="s">
        <v>161</v>
      </c>
      <c r="C13" s="86">
        <v>-9255</v>
      </c>
      <c r="D13" s="86">
        <v>-14262</v>
      </c>
      <c r="E13" s="86">
        <v>-18635</v>
      </c>
      <c r="F13" s="86">
        <v>-15869</v>
      </c>
      <c r="G13" s="86">
        <v>-17060</v>
      </c>
      <c r="H13" s="25"/>
      <c r="I13" s="86">
        <v>-4303</v>
      </c>
      <c r="J13" s="86">
        <v>-4648</v>
      </c>
      <c r="K13" s="86">
        <v>-4816</v>
      </c>
      <c r="L13" s="33">
        <f>SUM(E13-SUM(I13:K13))</f>
        <v>-4868</v>
      </c>
      <c r="M13" s="86">
        <v>-4044</v>
      </c>
      <c r="N13" s="86">
        <v>-4153</v>
      </c>
      <c r="O13" s="86">
        <v>-3792</v>
      </c>
      <c r="P13" s="33">
        <f>SUM(F13-SUM(M13:O13))</f>
        <v>-3880</v>
      </c>
      <c r="Q13" s="86">
        <v>-4312</v>
      </c>
      <c r="R13" s="86">
        <v>-4106</v>
      </c>
      <c r="S13" s="86">
        <v>-4174</v>
      </c>
      <c r="T13" s="33">
        <f>SUM(G13-SUM(Q13:S13))</f>
        <v>-4468</v>
      </c>
      <c r="U13" s="86"/>
      <c r="V13" s="86"/>
      <c r="W13" s="86"/>
      <c r="Y13" s="33">
        <f>SUM(I13:I13)</f>
        <v>-4303</v>
      </c>
      <c r="Z13" s="33">
        <f>SUM(I13:J13)</f>
        <v>-8951</v>
      </c>
      <c r="AA13" s="33">
        <f>SUM(I13:K13)</f>
        <v>-13767</v>
      </c>
      <c r="AB13" s="33">
        <f>SUM(I13:L13)</f>
        <v>-18635</v>
      </c>
      <c r="AC13" s="33">
        <f>SUM(J13:M13)</f>
        <v>-18376</v>
      </c>
      <c r="AD13" s="33">
        <f>SUM(K13:N13)</f>
        <v>-17881</v>
      </c>
      <c r="AE13" s="33">
        <f>SUM(L13:O13)</f>
        <v>-16857</v>
      </c>
      <c r="AF13" s="33">
        <f>SUM(M13:P13)</f>
        <v>-15869</v>
      </c>
      <c r="AG13" s="33">
        <f>SUM(N13:Q13)</f>
        <v>-16137</v>
      </c>
      <c r="AH13" s="33">
        <f>SUM(O13:R13)</f>
        <v>-16090</v>
      </c>
      <c r="AI13" s="33">
        <f>SUM(P13:S13)</f>
        <v>-16472</v>
      </c>
      <c r="AJ13" s="33">
        <f>SUM(Q13:T13)</f>
        <v>-17060</v>
      </c>
      <c r="AK13" s="33">
        <f>SUM(R13:U13)</f>
        <v>-12748</v>
      </c>
      <c r="AL13" s="33">
        <f>SUM(S13:V13)</f>
        <v>-8642</v>
      </c>
      <c r="AM13" s="33">
        <f>SUM(T13:W13)</f>
        <v>-4468</v>
      </c>
      <c r="AN13" s="11"/>
      <c r="AO13" s="12">
        <f t="shared" ref="AO13" si="4">SUM(AM13/AI13)-1</f>
        <v>-0.72875182127246241</v>
      </c>
    </row>
    <row r="14" spans="1:41" ht="12.75" customHeight="1">
      <c r="B14" s="26" t="s">
        <v>22</v>
      </c>
      <c r="C14" s="27">
        <f>+SUM(C11+SUM(C13:C13))</f>
        <v>14276</v>
      </c>
      <c r="D14" s="27">
        <f>+SUM(D11+SUM(D13:D13))</f>
        <v>19304</v>
      </c>
      <c r="E14" s="27">
        <f>+SUM(E11+SUM(E13:E13))</f>
        <v>25565</v>
      </c>
      <c r="F14" s="27">
        <f>+SUM(F11+SUM(F13:F13))</f>
        <v>19951</v>
      </c>
      <c r="G14" s="27">
        <f>+SUM(G11+SUM(G13:G13))</f>
        <v>21902</v>
      </c>
      <c r="I14" s="27">
        <f>+SUM(I11+SUM(I13:I13))</f>
        <v>6402</v>
      </c>
      <c r="J14" s="27">
        <f>+SUM(J11+SUM(J13:J13))</f>
        <v>6516</v>
      </c>
      <c r="K14" s="27">
        <f>+SUM(K11+SUM(K13:K13))</f>
        <v>6120</v>
      </c>
      <c r="L14" s="27">
        <f>+SUM(L11+SUM(L13:L13))</f>
        <v>6527</v>
      </c>
      <c r="M14" s="27">
        <f>+SUM(M11+SUM(M13:M13))</f>
        <v>5419</v>
      </c>
      <c r="N14" s="27">
        <f>+SUM(N11+SUM(N13:N13))</f>
        <v>5122</v>
      </c>
      <c r="O14" s="27">
        <f>+SUM(O11+SUM(O13:O13))</f>
        <v>4659</v>
      </c>
      <c r="P14" s="27">
        <f>+SUM(P11+SUM(P13:P13))</f>
        <v>4751</v>
      </c>
      <c r="Q14" s="27">
        <f>+SUM(Q11+SUM(Q13:Q13))</f>
        <v>5623</v>
      </c>
      <c r="R14" s="27">
        <f>+SUM(R11+SUM(R13:R13))</f>
        <v>5283</v>
      </c>
      <c r="S14" s="27">
        <f>+SUM(S11+SUM(S13:S13))</f>
        <v>5219</v>
      </c>
      <c r="T14" s="27">
        <f>+SUM(T11+SUM(T13:T13))</f>
        <v>5777</v>
      </c>
      <c r="U14" s="27">
        <f>+SUM(U11+SUM(U13:U13))</f>
        <v>0</v>
      </c>
      <c r="V14" s="27">
        <f>+SUM(V11+SUM(V13:V13))</f>
        <v>0</v>
      </c>
      <c r="W14" s="27">
        <f>+SUM(W11+SUM(W13:W13))</f>
        <v>0</v>
      </c>
      <c r="Y14" s="27">
        <f>+SUM(Y11+SUM(Y13:Y13))</f>
        <v>6402</v>
      </c>
      <c r="Z14" s="27">
        <f>+SUM(Z11+SUM(Z13:Z13))</f>
        <v>12918</v>
      </c>
      <c r="AA14" s="27">
        <f>+SUM(AA11+SUM(AA13:AA13))</f>
        <v>19038</v>
      </c>
      <c r="AB14" s="27">
        <f>+SUM(AB11+SUM(AB13:AB13))</f>
        <v>25565</v>
      </c>
      <c r="AC14" s="27">
        <f>+SUM(AC11+SUM(AC13:AC13))</f>
        <v>24582</v>
      </c>
      <c r="AD14" s="27">
        <f>+SUM(AD11+SUM(AD13:AD13))</f>
        <v>23188</v>
      </c>
      <c r="AE14" s="27">
        <f>+SUM(AE11+SUM(AE13:AE13))</f>
        <v>21727</v>
      </c>
      <c r="AF14" s="27">
        <f>+SUM(AF11+SUM(AF13:AF13))</f>
        <v>19951</v>
      </c>
      <c r="AG14" s="27">
        <f>+SUM(AG11+SUM(AG13:AG13))</f>
        <v>20155</v>
      </c>
      <c r="AH14" s="27">
        <f>+SUM(AH11+SUM(AH13:AH13))</f>
        <v>20316</v>
      </c>
      <c r="AI14" s="27">
        <f>+SUM(AI11+SUM(AI13:AI13))</f>
        <v>20876</v>
      </c>
      <c r="AJ14" s="27">
        <f>+SUM(AJ11+SUM(AJ13:AJ13))</f>
        <v>21902</v>
      </c>
      <c r="AK14" s="27">
        <f>+SUM(AK11+SUM(AK13:AK13))</f>
        <v>16279</v>
      </c>
      <c r="AL14" s="27">
        <f>+SUM(AL11+SUM(AL13:AL13))</f>
        <v>10996</v>
      </c>
      <c r="AM14" s="27">
        <f>+SUM(AM11+SUM(AM13:AM13))</f>
        <v>5777</v>
      </c>
      <c r="AN14" s="44"/>
      <c r="AO14" s="80">
        <f>SUM(AM14/AI14)-1</f>
        <v>-0.72327074152136417</v>
      </c>
    </row>
    <row r="15" spans="1:41" ht="12.75" customHeight="1">
      <c r="B15" s="16" t="s">
        <v>35</v>
      </c>
      <c r="C15" s="18">
        <f>C14/C11</f>
        <v>0.606689048489227</v>
      </c>
      <c r="D15" s="18">
        <f>D14/D11</f>
        <v>0.57510576178275641</v>
      </c>
      <c r="E15" s="18">
        <f>E14/E11</f>
        <v>0.5783936651583711</v>
      </c>
      <c r="F15" s="18">
        <f>F14/F11</f>
        <v>0.55697934115019543</v>
      </c>
      <c r="G15" s="18">
        <f>G14/G11</f>
        <v>0.56213746727580716</v>
      </c>
      <c r="H15" s="28"/>
      <c r="I15" s="18">
        <f>I14/I11</f>
        <v>0.59803829985987855</v>
      </c>
      <c r="J15" s="18">
        <f>J14/J11</f>
        <v>0.58366176997491936</v>
      </c>
      <c r="K15" s="18">
        <f>K14/K11</f>
        <v>0.55961960497439645</v>
      </c>
      <c r="L15" s="18">
        <f>L14/L11</f>
        <v>0.57279508556384384</v>
      </c>
      <c r="M15" s="18">
        <f>M14/M11</f>
        <v>0.57265137905526786</v>
      </c>
      <c r="N15" s="18">
        <f>N14/N11</f>
        <v>0.55223719676549865</v>
      </c>
      <c r="O15" s="18">
        <f>O14/O11</f>
        <v>0.55129570465033728</v>
      </c>
      <c r="P15" s="18">
        <f>P14/P11</f>
        <v>0.55045765264743363</v>
      </c>
      <c r="Q15" s="18">
        <f>Q14/Q11</f>
        <v>0.56597886260694519</v>
      </c>
      <c r="R15" s="18">
        <f>R14/R11</f>
        <v>0.56267973160080942</v>
      </c>
      <c r="S15" s="18">
        <f>S14/S11</f>
        <v>0.555626530394975</v>
      </c>
      <c r="T15" s="18">
        <f>T14/T11</f>
        <v>0.56388482186432409</v>
      </c>
      <c r="U15" s="18" t="e">
        <f>U14/U11</f>
        <v>#DIV/0!</v>
      </c>
      <c r="V15" s="18" t="e">
        <f>V14/V11</f>
        <v>#DIV/0!</v>
      </c>
      <c r="W15" s="18" t="e">
        <f>W14/W11</f>
        <v>#DIV/0!</v>
      </c>
      <c r="X15" s="29"/>
      <c r="Y15" s="18">
        <f>Y14/Y11</f>
        <v>0.59803829985987855</v>
      </c>
      <c r="Z15" s="18">
        <f>Z14/Z11</f>
        <v>0.59069916319904892</v>
      </c>
      <c r="AA15" s="18">
        <f>AA14/AA11</f>
        <v>0.58033836305441244</v>
      </c>
      <c r="AB15" s="18">
        <f>AB14/AB11</f>
        <v>0.5783936651583711</v>
      </c>
      <c r="AC15" s="18">
        <f>AC14/AC11</f>
        <v>0.57223334419665717</v>
      </c>
      <c r="AD15" s="18">
        <f>AD14/AD11</f>
        <v>0.56461077698507389</v>
      </c>
      <c r="AE15" s="18">
        <f>AE14/AE11</f>
        <v>0.56310906075057021</v>
      </c>
      <c r="AF15" s="18">
        <f>AF14/AF11</f>
        <v>0.55697934115019543</v>
      </c>
      <c r="AG15" s="18">
        <f>AG14/AG11</f>
        <v>0.55535655240824422</v>
      </c>
      <c r="AH15" s="18">
        <f>AH14/AH11</f>
        <v>0.5580398835356809</v>
      </c>
      <c r="AI15" s="18">
        <f>AI14/AI11</f>
        <v>0.55895898040055692</v>
      </c>
      <c r="AJ15" s="18">
        <f>AJ14/AJ11</f>
        <v>0.56213746727580716</v>
      </c>
      <c r="AK15" s="18">
        <f>AK14/AK11</f>
        <v>0.56082268233024424</v>
      </c>
      <c r="AL15" s="18">
        <f>AL14/AL11</f>
        <v>0.55993482024646091</v>
      </c>
      <c r="AM15" s="18">
        <f>AM14/AM11</f>
        <v>0.56388482186432409</v>
      </c>
      <c r="AN15" s="44"/>
      <c r="AO15" s="81">
        <f>SUM(AM15-AI15)*1000</f>
        <v>4.9258414637671777</v>
      </c>
    </row>
    <row r="16" spans="1:41" ht="5.0999999999999996" customHeight="1"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1"/>
      <c r="U16" s="31"/>
      <c r="V16" s="31"/>
      <c r="W16" s="31"/>
      <c r="Y16" s="31"/>
      <c r="Z16" s="31"/>
      <c r="AA16" s="31"/>
      <c r="AB16" s="31"/>
      <c r="AC16" s="31"/>
      <c r="AD16" s="31"/>
      <c r="AE16" s="31"/>
      <c r="AF16" s="31"/>
      <c r="AG16" s="31"/>
      <c r="AH16" s="31"/>
      <c r="AI16" s="31"/>
      <c r="AJ16" s="31"/>
      <c r="AK16" s="31"/>
      <c r="AL16" s="31"/>
      <c r="AM16" s="31"/>
      <c r="AN16" s="44"/>
      <c r="AO16" s="79"/>
    </row>
    <row r="17" spans="2:41" ht="12.75" customHeight="1">
      <c r="B17" s="9" t="s">
        <v>162</v>
      </c>
      <c r="C17" s="86">
        <v>-5975</v>
      </c>
      <c r="D17" s="86">
        <v>-7176</v>
      </c>
      <c r="E17" s="86">
        <v>-8194</v>
      </c>
      <c r="F17" s="86">
        <v>-8818</v>
      </c>
      <c r="G17" s="86">
        <v>-8893</v>
      </c>
      <c r="H17" s="33"/>
      <c r="I17" s="86">
        <v>-1930</v>
      </c>
      <c r="J17" s="86">
        <v>-2034</v>
      </c>
      <c r="K17" s="86">
        <v>-2052</v>
      </c>
      <c r="L17" s="33">
        <f>SUM(E17-SUM(I17:K17))</f>
        <v>-2178</v>
      </c>
      <c r="M17" s="86">
        <v>-2251</v>
      </c>
      <c r="N17" s="86">
        <v>-2210</v>
      </c>
      <c r="O17" s="86">
        <v>-2222</v>
      </c>
      <c r="P17" s="33">
        <f>SUM(F17-SUM(M17:O17))</f>
        <v>-2135</v>
      </c>
      <c r="Q17" s="86">
        <v>-2096</v>
      </c>
      <c r="R17" s="86">
        <v>-2236</v>
      </c>
      <c r="S17" s="86">
        <v>-2259</v>
      </c>
      <c r="T17" s="33">
        <f>SUM(G17-SUM(Q17:S17))</f>
        <v>-2302</v>
      </c>
      <c r="U17" s="86"/>
      <c r="V17" s="86"/>
      <c r="W17" s="86"/>
      <c r="Y17" s="33">
        <f>SUM(I17:I17)</f>
        <v>-1930</v>
      </c>
      <c r="Z17" s="33">
        <f>SUM(I17:J17)</f>
        <v>-3964</v>
      </c>
      <c r="AA17" s="33">
        <f>SUM(I17:K17)</f>
        <v>-6016</v>
      </c>
      <c r="AB17" s="33">
        <f>SUM(I17:L17)</f>
        <v>-8194</v>
      </c>
      <c r="AC17" s="33">
        <f>SUM(J17:M17)</f>
        <v>-8515</v>
      </c>
      <c r="AD17" s="33">
        <f>SUM(K17:N17)</f>
        <v>-8691</v>
      </c>
      <c r="AE17" s="33">
        <f>SUM(L17:O17)</f>
        <v>-8861</v>
      </c>
      <c r="AF17" s="33">
        <f>SUM(M17:P17)</f>
        <v>-8818</v>
      </c>
      <c r="AG17" s="33">
        <f>SUM(N17:Q17)</f>
        <v>-8663</v>
      </c>
      <c r="AH17" s="33">
        <f>SUM(O17:R17)</f>
        <v>-8689</v>
      </c>
      <c r="AI17" s="33">
        <f>SUM(P17:S17)</f>
        <v>-8726</v>
      </c>
      <c r="AJ17" s="33">
        <f>SUM(Q17:T17)</f>
        <v>-8893</v>
      </c>
      <c r="AK17" s="33">
        <f>SUM(R17:U17)</f>
        <v>-6797</v>
      </c>
      <c r="AL17" s="33">
        <f>SUM(S17:V17)</f>
        <v>-4561</v>
      </c>
      <c r="AM17" s="33">
        <f>SUM(T17:W17)</f>
        <v>-2302</v>
      </c>
      <c r="AN17" s="11"/>
      <c r="AO17" s="79">
        <f>SUM(AM17/AI17)-1</f>
        <v>-0.73619069447627772</v>
      </c>
    </row>
    <row r="18" spans="2:41" ht="12.75" customHeight="1">
      <c r="B18" s="9" t="s">
        <v>163</v>
      </c>
      <c r="C18" s="86">
        <v>-2074</v>
      </c>
      <c r="D18" s="86">
        <v>-2339</v>
      </c>
      <c r="E18" s="86">
        <v>-2570</v>
      </c>
      <c r="F18" s="86">
        <v>-2483</v>
      </c>
      <c r="G18" s="86">
        <v>-2759</v>
      </c>
      <c r="H18" s="33"/>
      <c r="I18" s="86">
        <v>-608</v>
      </c>
      <c r="J18" s="86">
        <v>-624</v>
      </c>
      <c r="K18" s="86">
        <v>-655</v>
      </c>
      <c r="L18" s="33">
        <f>SUM(E18-SUM(I18:K18))</f>
        <v>-683</v>
      </c>
      <c r="M18" s="86">
        <v>-623</v>
      </c>
      <c r="N18" s="86">
        <v>-614</v>
      </c>
      <c r="O18" s="86">
        <v>-618</v>
      </c>
      <c r="P18" s="33">
        <f>SUM(F18-SUM(M18:O18))</f>
        <v>-628</v>
      </c>
      <c r="Q18" s="86">
        <v>-627</v>
      </c>
      <c r="R18" s="86">
        <v>-707</v>
      </c>
      <c r="S18" s="86">
        <v>-664</v>
      </c>
      <c r="T18" s="33">
        <f>SUM(G18-SUM(Q18:S18))</f>
        <v>-761</v>
      </c>
      <c r="U18" s="86"/>
      <c r="V18" s="86"/>
      <c r="W18" s="86"/>
      <c r="Y18" s="33">
        <f>SUM(I18:I18)</f>
        <v>-608</v>
      </c>
      <c r="Z18" s="33">
        <f>SUM(I18:J18)</f>
        <v>-1232</v>
      </c>
      <c r="AA18" s="33">
        <f>SUM(I18:K18)</f>
        <v>-1887</v>
      </c>
      <c r="AB18" s="33">
        <f>SUM(I18:L18)</f>
        <v>-2570</v>
      </c>
      <c r="AC18" s="33">
        <f>SUM(J18:M18)</f>
        <v>-2585</v>
      </c>
      <c r="AD18" s="33">
        <f>SUM(K18:N18)</f>
        <v>-2575</v>
      </c>
      <c r="AE18" s="33">
        <f>SUM(L18:O18)</f>
        <v>-2538</v>
      </c>
      <c r="AF18" s="33">
        <f>SUM(M18:P18)</f>
        <v>-2483</v>
      </c>
      <c r="AG18" s="33">
        <f>SUM(N18:Q18)</f>
        <v>-2487</v>
      </c>
      <c r="AH18" s="33">
        <f>SUM(O18:R18)</f>
        <v>-2580</v>
      </c>
      <c r="AI18" s="33">
        <f>SUM(P18:S18)</f>
        <v>-2626</v>
      </c>
      <c r="AJ18" s="33">
        <f>SUM(Q18:T18)</f>
        <v>-2759</v>
      </c>
      <c r="AK18" s="33">
        <f>SUM(R18:U18)</f>
        <v>-2132</v>
      </c>
      <c r="AL18" s="33">
        <f>SUM(S18:V18)</f>
        <v>-1425</v>
      </c>
      <c r="AM18" s="33">
        <f>SUM(T18:W18)</f>
        <v>-761</v>
      </c>
      <c r="AN18" s="11"/>
      <c r="AO18" s="79">
        <f>SUM(AM18/AI18)-1</f>
        <v>-0.71020563594821018</v>
      </c>
    </row>
    <row r="19" spans="2:41" ht="12.75" customHeight="1">
      <c r="B19" s="9" t="s">
        <v>164</v>
      </c>
      <c r="C19" s="86">
        <v>28</v>
      </c>
      <c r="D19" s="86">
        <v>0</v>
      </c>
      <c r="E19" s="86">
        <v>1059</v>
      </c>
      <c r="F19" s="86">
        <v>-862</v>
      </c>
      <c r="G19" s="86">
        <v>-179</v>
      </c>
      <c r="H19" s="33"/>
      <c r="I19" s="86">
        <v>0</v>
      </c>
      <c r="J19" s="86">
        <v>0</v>
      </c>
      <c r="K19" s="86">
        <v>1059</v>
      </c>
      <c r="L19" s="33">
        <f>SUM(E19-SUM(I19:K19))</f>
        <v>0</v>
      </c>
      <c r="M19" s="86">
        <v>-80</v>
      </c>
      <c r="N19" s="86">
        <v>-208</v>
      </c>
      <c r="O19" s="86">
        <v>4</v>
      </c>
      <c r="P19" s="33">
        <f>SUM(F19-SUM(M19:O19))</f>
        <v>-578</v>
      </c>
      <c r="Q19" s="86">
        <v>28</v>
      </c>
      <c r="R19" s="86">
        <v>0</v>
      </c>
      <c r="S19" s="86">
        <v>-75</v>
      </c>
      <c r="T19" s="33">
        <f>SUM(G19-SUM(Q19:S19))</f>
        <v>-132</v>
      </c>
      <c r="U19" s="86"/>
      <c r="V19" s="86"/>
      <c r="W19" s="86"/>
      <c r="Y19" s="33">
        <f>SUM(I19:I19)</f>
        <v>0</v>
      </c>
      <c r="Z19" s="33">
        <f>SUM(I19:J19)</f>
        <v>0</v>
      </c>
      <c r="AA19" s="33">
        <f>SUM(I19:K19)</f>
        <v>1059</v>
      </c>
      <c r="AB19" s="33">
        <f>SUM(I19:L19)</f>
        <v>1059</v>
      </c>
      <c r="AC19" s="33">
        <f>SUM(J19:M19)</f>
        <v>979</v>
      </c>
      <c r="AD19" s="33">
        <f>SUM(K19:N19)</f>
        <v>771</v>
      </c>
      <c r="AE19" s="33">
        <f>SUM(L19:O19)</f>
        <v>-284</v>
      </c>
      <c r="AF19" s="33">
        <f>SUM(M19:P19)</f>
        <v>-862</v>
      </c>
      <c r="AG19" s="33">
        <f>SUM(N19:Q19)</f>
        <v>-754</v>
      </c>
      <c r="AH19" s="33">
        <f>SUM(O19:R19)</f>
        <v>-546</v>
      </c>
      <c r="AI19" s="33">
        <f>SUM(P19:S19)</f>
        <v>-625</v>
      </c>
      <c r="AJ19" s="33">
        <f>SUM(Q19:T19)</f>
        <v>-179</v>
      </c>
      <c r="AK19" s="33">
        <f>SUM(R19:U19)</f>
        <v>-207</v>
      </c>
      <c r="AL19" s="33">
        <f>SUM(S19:V19)</f>
        <v>-207</v>
      </c>
      <c r="AM19" s="33">
        <f>SUM(T19:W19)</f>
        <v>-132</v>
      </c>
      <c r="AN19" s="11"/>
      <c r="AO19" s="79">
        <f>SUM(AM19/AI19)-1</f>
        <v>-0.78879999999999995</v>
      </c>
    </row>
    <row r="20" spans="2:41" ht="12.75" customHeight="1">
      <c r="B20" s="26" t="s">
        <v>87</v>
      </c>
      <c r="C20" s="27">
        <f t="shared" ref="C20:G20" si="5">+SUM(C14+SUM(C17:C19))</f>
        <v>6255</v>
      </c>
      <c r="D20" s="27">
        <f t="shared" si="5"/>
        <v>9789</v>
      </c>
      <c r="E20" s="27">
        <f t="shared" si="5"/>
        <v>15860</v>
      </c>
      <c r="F20" s="27">
        <f t="shared" si="5"/>
        <v>7788</v>
      </c>
      <c r="G20" s="27">
        <f t="shared" si="5"/>
        <v>10071</v>
      </c>
      <c r="H20" s="33"/>
      <c r="I20" s="27">
        <f t="shared" ref="I20:W20" si="6">+SUM(I14+SUM(I17:I19))</f>
        <v>3864</v>
      </c>
      <c r="J20" s="27">
        <f t="shared" si="6"/>
        <v>3858</v>
      </c>
      <c r="K20" s="27">
        <f t="shared" si="6"/>
        <v>4472</v>
      </c>
      <c r="L20" s="27">
        <f t="shared" si="6"/>
        <v>3666</v>
      </c>
      <c r="M20" s="27">
        <f t="shared" si="6"/>
        <v>2465</v>
      </c>
      <c r="N20" s="27">
        <f t="shared" si="6"/>
        <v>2090</v>
      </c>
      <c r="O20" s="27">
        <f t="shared" si="6"/>
        <v>1823</v>
      </c>
      <c r="P20" s="27">
        <f t="shared" si="6"/>
        <v>1410</v>
      </c>
      <c r="Q20" s="27">
        <f t="shared" si="6"/>
        <v>2928</v>
      </c>
      <c r="R20" s="27">
        <f t="shared" si="6"/>
        <v>2340</v>
      </c>
      <c r="S20" s="27">
        <f t="shared" si="6"/>
        <v>2221</v>
      </c>
      <c r="T20" s="27">
        <f t="shared" si="6"/>
        <v>2582</v>
      </c>
      <c r="U20" s="27">
        <f t="shared" si="6"/>
        <v>0</v>
      </c>
      <c r="V20" s="27">
        <f t="shared" si="6"/>
        <v>0</v>
      </c>
      <c r="W20" s="27">
        <f t="shared" si="6"/>
        <v>0</v>
      </c>
      <c r="Y20" s="27">
        <f t="shared" ref="Y20:AM20" si="7">+SUM(Y14+SUM(Y17:Y19))</f>
        <v>3864</v>
      </c>
      <c r="Z20" s="27">
        <f t="shared" si="7"/>
        <v>7722</v>
      </c>
      <c r="AA20" s="27">
        <f t="shared" si="7"/>
        <v>12194</v>
      </c>
      <c r="AB20" s="27">
        <f t="shared" si="7"/>
        <v>15860</v>
      </c>
      <c r="AC20" s="27">
        <f t="shared" si="7"/>
        <v>14461</v>
      </c>
      <c r="AD20" s="27">
        <f t="shared" si="7"/>
        <v>12693</v>
      </c>
      <c r="AE20" s="27">
        <f t="shared" si="7"/>
        <v>10044</v>
      </c>
      <c r="AF20" s="27">
        <f t="shared" si="7"/>
        <v>7788</v>
      </c>
      <c r="AG20" s="27">
        <f t="shared" si="7"/>
        <v>8251</v>
      </c>
      <c r="AH20" s="27">
        <f t="shared" si="7"/>
        <v>8501</v>
      </c>
      <c r="AI20" s="27">
        <f t="shared" si="7"/>
        <v>8899</v>
      </c>
      <c r="AJ20" s="27">
        <f t="shared" si="7"/>
        <v>10071</v>
      </c>
      <c r="AK20" s="27">
        <f t="shared" si="7"/>
        <v>7143</v>
      </c>
      <c r="AL20" s="27">
        <f t="shared" si="7"/>
        <v>4803</v>
      </c>
      <c r="AM20" s="27">
        <f t="shared" si="7"/>
        <v>2582</v>
      </c>
      <c r="AN20" s="11"/>
      <c r="AO20" s="80">
        <f>SUM(AM20/AI20)-1</f>
        <v>-0.70985503989212273</v>
      </c>
    </row>
    <row r="21" spans="2:41" ht="12.75" customHeight="1">
      <c r="B21" s="16" t="s">
        <v>37</v>
      </c>
      <c r="C21" s="18">
        <f>C20/C11</f>
        <v>0.26581955717989036</v>
      </c>
      <c r="D21" s="18">
        <f>D20/D11</f>
        <v>0.2916343919442293</v>
      </c>
      <c r="E21" s="18">
        <f>E20/E11</f>
        <v>0.35882352941176471</v>
      </c>
      <c r="F21" s="18">
        <f>F20/F11</f>
        <v>0.21742043551088777</v>
      </c>
      <c r="G21" s="18">
        <f>G20/G11</f>
        <v>0.25848262409527234</v>
      </c>
      <c r="H21" s="33"/>
      <c r="I21" s="18">
        <f>I20/I11</f>
        <v>0.36095282578234472</v>
      </c>
      <c r="J21" s="18">
        <f>J20/J11</f>
        <v>0.34557506270154065</v>
      </c>
      <c r="K21" s="18">
        <f>K20/K11</f>
        <v>0.40892465252377469</v>
      </c>
      <c r="L21" s="18">
        <f>L20/L11</f>
        <v>0.32172005265467313</v>
      </c>
      <c r="M21" s="18">
        <f>M20/M11</f>
        <v>0.26048821726725141</v>
      </c>
      <c r="N21" s="18">
        <f>N20/N11</f>
        <v>0.22533692722371967</v>
      </c>
      <c r="O21" s="18">
        <f>O20/O11</f>
        <v>0.21571411667258314</v>
      </c>
      <c r="P21" s="18">
        <f>P20/P11</f>
        <v>0.16336461591936044</v>
      </c>
      <c r="Q21" s="18">
        <f>Q20/Q11</f>
        <v>0.29471565173628583</v>
      </c>
      <c r="R21" s="18">
        <f>R20/R11</f>
        <v>0.24922781978911493</v>
      </c>
      <c r="S21" s="18">
        <f>S20/S11</f>
        <v>0.23645267752581708</v>
      </c>
      <c r="T21" s="18">
        <f>T20/T11</f>
        <v>0.25202537823328452</v>
      </c>
      <c r="U21" s="18" t="e">
        <f>U20/U11</f>
        <v>#DIV/0!</v>
      </c>
      <c r="V21" s="18" t="e">
        <f>V20/V11</f>
        <v>#DIV/0!</v>
      </c>
      <c r="W21" s="18" t="e">
        <f>W20/W11</f>
        <v>#DIV/0!</v>
      </c>
      <c r="Y21" s="18">
        <f>Y20/Y11</f>
        <v>0.36095282578234472</v>
      </c>
      <c r="Z21" s="18">
        <f>Z20/Z11</f>
        <v>0.35310256527504685</v>
      </c>
      <c r="AA21" s="18">
        <f>AA20/AA11</f>
        <v>0.37171162932479807</v>
      </c>
      <c r="AB21" s="18">
        <f>AB20/AB11</f>
        <v>0.35882352941176471</v>
      </c>
      <c r="AC21" s="18">
        <f>AC20/AC11</f>
        <v>0.33663112807858842</v>
      </c>
      <c r="AD21" s="18">
        <f>AD20/AD11</f>
        <v>0.30906523168326477</v>
      </c>
      <c r="AE21" s="18">
        <f>AE20/AE11</f>
        <v>0.26031515654157161</v>
      </c>
      <c r="AF21" s="18">
        <f>AF20/AF11</f>
        <v>0.21742043551088777</v>
      </c>
      <c r="AG21" s="18">
        <f>AG20/AG11</f>
        <v>0.22735038024909071</v>
      </c>
      <c r="AH21" s="18">
        <f>AH20/AH11</f>
        <v>0.23350546613195627</v>
      </c>
      <c r="AI21" s="18">
        <f>AI20/AI11</f>
        <v>0.23827246438899005</v>
      </c>
      <c r="AJ21" s="18">
        <f>AJ20/AJ11</f>
        <v>0.25848262409527234</v>
      </c>
      <c r="AK21" s="18">
        <f>AK20/AK11</f>
        <v>0.24608123471250903</v>
      </c>
      <c r="AL21" s="18">
        <f>AL20/AL11</f>
        <v>0.24457684081882064</v>
      </c>
      <c r="AM21" s="18">
        <f>AM20/AM11</f>
        <v>0.25202537823328452</v>
      </c>
      <c r="AN21" s="11"/>
      <c r="AO21" s="81">
        <f>SUM(AM21-AI21)*1000</f>
        <v>13.752913844294474</v>
      </c>
    </row>
    <row r="22" spans="2:41" ht="5.0999999999999996" customHeight="1">
      <c r="B22" s="16"/>
      <c r="C22" s="18"/>
      <c r="D22" s="18"/>
      <c r="E22" s="18"/>
      <c r="F22" s="18"/>
      <c r="G22" s="18"/>
      <c r="H22" s="33"/>
      <c r="I22" s="86"/>
      <c r="J22" s="86"/>
      <c r="K22" s="86"/>
      <c r="L22" s="86"/>
      <c r="M22" s="86"/>
      <c r="N22" s="86"/>
      <c r="O22" s="86"/>
      <c r="P22" s="86"/>
      <c r="Q22" s="86"/>
      <c r="R22" s="86"/>
      <c r="S22" s="86"/>
      <c r="T22" s="86"/>
      <c r="U22" s="33"/>
      <c r="V22" s="86"/>
      <c r="W22" s="86"/>
      <c r="Y22" s="33"/>
      <c r="Z22" s="33"/>
      <c r="AA22" s="33"/>
      <c r="AB22" s="33"/>
      <c r="AC22" s="33"/>
      <c r="AD22" s="33"/>
      <c r="AE22" s="33"/>
      <c r="AF22" s="33"/>
      <c r="AG22" s="33"/>
      <c r="AH22" s="33"/>
      <c r="AI22" s="33"/>
      <c r="AJ22" s="33"/>
      <c r="AK22" s="33"/>
      <c r="AL22" s="33"/>
      <c r="AM22" s="33"/>
      <c r="AN22" s="11"/>
      <c r="AO22" s="79"/>
    </row>
    <row r="23" spans="2:41" ht="12.75" customHeight="1">
      <c r="B23" s="9" t="s">
        <v>165</v>
      </c>
      <c r="C23" s="86">
        <v>-602</v>
      </c>
      <c r="D23" s="86">
        <v>-559</v>
      </c>
      <c r="E23" s="86">
        <v>-490</v>
      </c>
      <c r="F23" s="86">
        <v>-694</v>
      </c>
      <c r="G23" s="86">
        <v>-697</v>
      </c>
      <c r="H23" s="33"/>
      <c r="I23" s="86">
        <v>-139</v>
      </c>
      <c r="J23" s="86">
        <v>-137</v>
      </c>
      <c r="K23" s="86">
        <v>-70</v>
      </c>
      <c r="L23" s="33">
        <f>SUM(E23-SUM(I23:K23))</f>
        <v>-144</v>
      </c>
      <c r="M23" s="86">
        <v>-170</v>
      </c>
      <c r="N23" s="86">
        <v>-179</v>
      </c>
      <c r="O23" s="86">
        <v>-172</v>
      </c>
      <c r="P23" s="33">
        <f>SUM(F23-SUM(M23:O23))</f>
        <v>-173</v>
      </c>
      <c r="Q23" s="86">
        <v>-178</v>
      </c>
      <c r="R23" s="86">
        <v>-172</v>
      </c>
      <c r="S23" s="86">
        <v>-168</v>
      </c>
      <c r="T23" s="33">
        <f>SUM(G23-SUM(Q23:S23))</f>
        <v>-179</v>
      </c>
      <c r="U23" s="86"/>
      <c r="V23" s="86"/>
      <c r="W23" s="86"/>
      <c r="Y23" s="33">
        <f>SUM(I23:I23)</f>
        <v>-139</v>
      </c>
      <c r="Z23" s="33">
        <f>SUM(I23:J23)</f>
        <v>-276</v>
      </c>
      <c r="AA23" s="33">
        <f>SUM(I23:K23)</f>
        <v>-346</v>
      </c>
      <c r="AB23" s="33">
        <f>SUM(I23:L23)</f>
        <v>-490</v>
      </c>
      <c r="AC23" s="33">
        <f>SUM(J23:M23)</f>
        <v>-521</v>
      </c>
      <c r="AD23" s="33">
        <f>SUM(K23:N23)</f>
        <v>-563</v>
      </c>
      <c r="AE23" s="33">
        <f>SUM(L23:O23)</f>
        <v>-665</v>
      </c>
      <c r="AF23" s="33">
        <f>SUM(M23:P23)</f>
        <v>-694</v>
      </c>
      <c r="AG23" s="33">
        <f>SUM(N23:Q23)</f>
        <v>-702</v>
      </c>
      <c r="AH23" s="33">
        <f>SUM(O23:R23)</f>
        <v>-695</v>
      </c>
      <c r="AI23" s="33">
        <f>SUM(P23:S23)</f>
        <v>-691</v>
      </c>
      <c r="AJ23" s="33">
        <f>SUM(Q23:T23)</f>
        <v>-697</v>
      </c>
      <c r="AK23" s="33">
        <f>SUM(R23:U23)</f>
        <v>-519</v>
      </c>
      <c r="AL23" s="33">
        <f>SUM(S23:V23)</f>
        <v>-347</v>
      </c>
      <c r="AM23" s="33">
        <f>SUM(T23:W23)</f>
        <v>-179</v>
      </c>
      <c r="AN23" s="11"/>
      <c r="AO23" s="79">
        <f>SUM(AM23/AI23)-1</f>
        <v>-0.74095513748191033</v>
      </c>
    </row>
    <row r="24" spans="2:41" ht="12.75" customHeight="1">
      <c r="B24" s="9" t="s">
        <v>166</v>
      </c>
      <c r="C24" s="86">
        <v>156</v>
      </c>
      <c r="D24" s="86">
        <v>83</v>
      </c>
      <c r="E24" s="86">
        <v>91</v>
      </c>
      <c r="F24" s="86">
        <v>313</v>
      </c>
      <c r="G24" s="86">
        <v>675</v>
      </c>
      <c r="H24" s="33"/>
      <c r="I24" s="86">
        <v>17</v>
      </c>
      <c r="J24" s="86">
        <v>20</v>
      </c>
      <c r="K24" s="86">
        <v>22</v>
      </c>
      <c r="L24" s="33">
        <f>SUM(E24-SUM(I24:K24))</f>
        <v>32</v>
      </c>
      <c r="M24" s="86">
        <v>55</v>
      </c>
      <c r="N24" s="86">
        <v>59</v>
      </c>
      <c r="O24" s="86">
        <v>79</v>
      </c>
      <c r="P24" s="33">
        <f>SUM(F24-SUM(M24:O24))</f>
        <v>120</v>
      </c>
      <c r="Q24" s="86">
        <v>149</v>
      </c>
      <c r="R24" s="86">
        <v>160</v>
      </c>
      <c r="S24" s="86">
        <v>182</v>
      </c>
      <c r="T24" s="33">
        <f>SUM(G24-SUM(Q24:S24))</f>
        <v>184</v>
      </c>
      <c r="U24" s="86"/>
      <c r="V24" s="86"/>
      <c r="W24" s="86"/>
      <c r="Y24" s="33">
        <f>SUM(I24:I24)</f>
        <v>17</v>
      </c>
      <c r="Z24" s="33">
        <f>SUM(I24:J24)</f>
        <v>37</v>
      </c>
      <c r="AA24" s="33">
        <f>SUM(I24:K24)</f>
        <v>59</v>
      </c>
      <c r="AB24" s="33">
        <f>SUM(I24:L24)</f>
        <v>91</v>
      </c>
      <c r="AC24" s="33">
        <f>SUM(J24:M24)</f>
        <v>129</v>
      </c>
      <c r="AD24" s="33">
        <f>SUM(K24:N24)</f>
        <v>168</v>
      </c>
      <c r="AE24" s="33">
        <f>SUM(L24:O24)</f>
        <v>225</v>
      </c>
      <c r="AF24" s="33">
        <f>SUM(M24:P24)</f>
        <v>313</v>
      </c>
      <c r="AG24" s="33">
        <f>SUM(N24:Q24)</f>
        <v>407</v>
      </c>
      <c r="AH24" s="33">
        <f>SUM(O24:R24)</f>
        <v>508</v>
      </c>
      <c r="AI24" s="33">
        <f>SUM(P24:S24)</f>
        <v>611</v>
      </c>
      <c r="AJ24" s="33">
        <f>SUM(Q24:T24)</f>
        <v>675</v>
      </c>
      <c r="AK24" s="33">
        <f>SUM(R24:U24)</f>
        <v>526</v>
      </c>
      <c r="AL24" s="33">
        <f>SUM(S24:V24)</f>
        <v>366</v>
      </c>
      <c r="AM24" s="33">
        <f>SUM(T24:W24)</f>
        <v>184</v>
      </c>
      <c r="AN24" s="11"/>
      <c r="AO24" s="79">
        <f>SUM(AM24/AI24)-1</f>
        <v>-0.69885433715220957</v>
      </c>
    </row>
    <row r="25" spans="2:41" ht="12.75" customHeight="1">
      <c r="B25" s="9" t="s">
        <v>167</v>
      </c>
      <c r="C25" s="86">
        <v>-90</v>
      </c>
      <c r="D25" s="86">
        <v>961</v>
      </c>
      <c r="E25" s="86">
        <v>-463</v>
      </c>
      <c r="F25" s="86">
        <v>36</v>
      </c>
      <c r="G25" s="86">
        <v>287</v>
      </c>
      <c r="H25" s="33"/>
      <c r="I25" s="86">
        <v>123</v>
      </c>
      <c r="J25" s="86">
        <v>-318</v>
      </c>
      <c r="K25" s="86">
        <v>-185</v>
      </c>
      <c r="L25" s="33">
        <f>SUM(E25-SUM(I25:K25))</f>
        <v>-83</v>
      </c>
      <c r="M25" s="86">
        <v>21</v>
      </c>
      <c r="N25" s="86">
        <v>-75</v>
      </c>
      <c r="O25" s="86">
        <v>27</v>
      </c>
      <c r="P25" s="33">
        <f>SUM(F25-SUM(M25:O25))</f>
        <v>63</v>
      </c>
      <c r="Q25" s="86">
        <v>63</v>
      </c>
      <c r="R25" s="86">
        <v>170</v>
      </c>
      <c r="S25" s="86">
        <v>44</v>
      </c>
      <c r="T25" s="33">
        <f>SUM(G25-SUM(Q25:S25))</f>
        <v>10</v>
      </c>
      <c r="U25" s="86"/>
      <c r="V25" s="86"/>
      <c r="W25" s="86"/>
      <c r="Y25" s="33">
        <f>SUM(I25:I25)</f>
        <v>123</v>
      </c>
      <c r="Z25" s="33">
        <f>SUM(I25:J25)</f>
        <v>-195</v>
      </c>
      <c r="AA25" s="33">
        <f>SUM(I25:K25)</f>
        <v>-380</v>
      </c>
      <c r="AB25" s="33">
        <f>SUM(I25:L25)</f>
        <v>-463</v>
      </c>
      <c r="AC25" s="33">
        <f>SUM(J25:M25)</f>
        <v>-565</v>
      </c>
      <c r="AD25" s="33">
        <f>SUM(K25:N25)</f>
        <v>-322</v>
      </c>
      <c r="AE25" s="33">
        <f>SUM(L25:O25)</f>
        <v>-110</v>
      </c>
      <c r="AF25" s="33">
        <f>SUM(M25:P25)</f>
        <v>36</v>
      </c>
      <c r="AG25" s="33">
        <f>SUM(N25:Q25)</f>
        <v>78</v>
      </c>
      <c r="AH25" s="33">
        <f>SUM(O25:R25)</f>
        <v>323</v>
      </c>
      <c r="AI25" s="33">
        <f>SUM(P25:S25)</f>
        <v>340</v>
      </c>
      <c r="AJ25" s="33">
        <f>SUM(Q25:T25)</f>
        <v>287</v>
      </c>
      <c r="AK25" s="33">
        <f>SUM(R25:U25)</f>
        <v>224</v>
      </c>
      <c r="AL25" s="33">
        <f>SUM(S25:V25)</f>
        <v>54</v>
      </c>
      <c r="AM25" s="33">
        <f>SUM(T25:W25)</f>
        <v>10</v>
      </c>
      <c r="AN25" s="11"/>
      <c r="AO25" s="79">
        <f>SUM(AM25/AI25)-1</f>
        <v>-0.97058823529411764</v>
      </c>
    </row>
    <row r="26" spans="2:41" ht="12.75" customHeight="1">
      <c r="B26" s="26" t="s">
        <v>88</v>
      </c>
      <c r="C26" s="27">
        <f t="shared" ref="C26:G26" si="8">SUM(C20+SUM(C23:C25))</f>
        <v>5719</v>
      </c>
      <c r="D26" s="27">
        <f t="shared" si="8"/>
        <v>10274</v>
      </c>
      <c r="E26" s="27">
        <f t="shared" si="8"/>
        <v>14998</v>
      </c>
      <c r="F26" s="27">
        <f t="shared" si="8"/>
        <v>7443</v>
      </c>
      <c r="G26" s="27">
        <f t="shared" si="8"/>
        <v>10336</v>
      </c>
      <c r="I26" s="27">
        <f t="shared" ref="I26:W26" si="9">SUM(I20+SUM(I23:I25))</f>
        <v>3865</v>
      </c>
      <c r="J26" s="27">
        <f t="shared" si="9"/>
        <v>3423</v>
      </c>
      <c r="K26" s="27">
        <f t="shared" si="9"/>
        <v>4239</v>
      </c>
      <c r="L26" s="27">
        <f t="shared" si="9"/>
        <v>3471</v>
      </c>
      <c r="M26" s="27">
        <f t="shared" si="9"/>
        <v>2371</v>
      </c>
      <c r="N26" s="27">
        <f t="shared" si="9"/>
        <v>1895</v>
      </c>
      <c r="O26" s="27">
        <f t="shared" si="9"/>
        <v>1757</v>
      </c>
      <c r="P26" s="27">
        <f t="shared" si="9"/>
        <v>1420</v>
      </c>
      <c r="Q26" s="27">
        <f t="shared" si="9"/>
        <v>2962</v>
      </c>
      <c r="R26" s="27">
        <f t="shared" si="9"/>
        <v>2498</v>
      </c>
      <c r="S26" s="27">
        <f t="shared" si="9"/>
        <v>2279</v>
      </c>
      <c r="T26" s="27">
        <f t="shared" si="9"/>
        <v>2597</v>
      </c>
      <c r="U26" s="27">
        <f t="shared" si="9"/>
        <v>0</v>
      </c>
      <c r="V26" s="27">
        <f t="shared" si="9"/>
        <v>0</v>
      </c>
      <c r="W26" s="27">
        <f t="shared" si="9"/>
        <v>0</v>
      </c>
      <c r="Y26" s="27">
        <f t="shared" ref="Y26:AM26" si="10">SUM(Y20+SUM(Y23:Y25))</f>
        <v>3865</v>
      </c>
      <c r="Z26" s="27">
        <f t="shared" si="10"/>
        <v>7288</v>
      </c>
      <c r="AA26" s="27">
        <f t="shared" si="10"/>
        <v>11527</v>
      </c>
      <c r="AB26" s="27">
        <f t="shared" si="10"/>
        <v>14998</v>
      </c>
      <c r="AC26" s="27">
        <f t="shared" si="10"/>
        <v>13504</v>
      </c>
      <c r="AD26" s="27">
        <f t="shared" si="10"/>
        <v>11976</v>
      </c>
      <c r="AE26" s="27">
        <f t="shared" si="10"/>
        <v>9494</v>
      </c>
      <c r="AF26" s="27">
        <f t="shared" si="10"/>
        <v>7443</v>
      </c>
      <c r="AG26" s="27">
        <f t="shared" si="10"/>
        <v>8034</v>
      </c>
      <c r="AH26" s="27">
        <f t="shared" si="10"/>
        <v>8637</v>
      </c>
      <c r="AI26" s="27">
        <f t="shared" si="10"/>
        <v>9159</v>
      </c>
      <c r="AJ26" s="27">
        <f t="shared" si="10"/>
        <v>10336</v>
      </c>
      <c r="AK26" s="27">
        <f t="shared" si="10"/>
        <v>7374</v>
      </c>
      <c r="AL26" s="27">
        <f t="shared" si="10"/>
        <v>4876</v>
      </c>
      <c r="AM26" s="27">
        <f t="shared" si="10"/>
        <v>2597</v>
      </c>
      <c r="AN26" s="44"/>
      <c r="AO26" s="80">
        <f>SUM(AM26/AI26)-1</f>
        <v>-0.71645376132765581</v>
      </c>
    </row>
    <row r="27" spans="2:41" ht="12.75" customHeight="1">
      <c r="B27" s="16" t="s">
        <v>89</v>
      </c>
      <c r="C27" s="18">
        <f>C26/C11</f>
        <v>0.24304109472610599</v>
      </c>
      <c r="D27" s="18">
        <f>D26/D11</f>
        <v>0.30608353691235179</v>
      </c>
      <c r="E27" s="18">
        <f>E26/E11</f>
        <v>0.33932126696832582</v>
      </c>
      <c r="F27" s="18">
        <f>F26/F11</f>
        <v>0.20778894472361809</v>
      </c>
      <c r="G27" s="18">
        <f>G26/G11</f>
        <v>0.2652841229916329</v>
      </c>
      <c r="H27" s="28"/>
      <c r="I27" s="18">
        <f>I26/I11</f>
        <v>0.36104624007473146</v>
      </c>
      <c r="J27" s="18">
        <f>J26/J11</f>
        <v>0.30661053385883197</v>
      </c>
      <c r="K27" s="18">
        <f>K26/K11</f>
        <v>0.38761887344550111</v>
      </c>
      <c r="L27" s="18">
        <f>L26/L11</f>
        <v>0.30460728389644581</v>
      </c>
      <c r="M27" s="18">
        <f>M26/M11</f>
        <v>0.25055479234914929</v>
      </c>
      <c r="N27" s="18">
        <f>N26/N11</f>
        <v>0.20431266846361185</v>
      </c>
      <c r="O27" s="18">
        <f>O26/O11</f>
        <v>0.20790439001301622</v>
      </c>
      <c r="P27" s="18">
        <f>P26/P11</f>
        <v>0.16452323021666088</v>
      </c>
      <c r="Q27" s="18">
        <f>Q26/Q11</f>
        <v>0.29813789632611976</v>
      </c>
      <c r="R27" s="18">
        <f>R26/R11</f>
        <v>0.2660560230056449</v>
      </c>
      <c r="S27" s="18">
        <f>S26/S11</f>
        <v>0.24262748855530714</v>
      </c>
      <c r="T27" s="18">
        <f>T26/T11</f>
        <v>0.25348950707662277</v>
      </c>
      <c r="U27" s="18" t="e">
        <f>U26/U11</f>
        <v>#DIV/0!</v>
      </c>
      <c r="V27" s="18" t="e">
        <f>V26/V11</f>
        <v>#DIV/0!</v>
      </c>
      <c r="W27" s="18" t="e">
        <f>W26/W11</f>
        <v>#DIV/0!</v>
      </c>
      <c r="X27" s="29"/>
      <c r="Y27" s="18">
        <f>Y26/Y11</f>
        <v>0.36104624007473146</v>
      </c>
      <c r="Z27" s="18">
        <f>Z26/Z11</f>
        <v>0.33325712195345009</v>
      </c>
      <c r="AA27" s="18">
        <f>AA26/AA11</f>
        <v>0.35137936290199667</v>
      </c>
      <c r="AB27" s="18">
        <f>AB26/AB11</f>
        <v>0.33932126696832582</v>
      </c>
      <c r="AC27" s="18">
        <f>AC26/AC11</f>
        <v>0.31435355463475956</v>
      </c>
      <c r="AD27" s="18">
        <f>AD26/AD11</f>
        <v>0.29160680805473715</v>
      </c>
      <c r="AE27" s="18">
        <f>AE26/AE11</f>
        <v>0.24606054323035456</v>
      </c>
      <c r="AF27" s="18">
        <f>AF26/AF11</f>
        <v>0.20778894472361809</v>
      </c>
      <c r="AG27" s="18">
        <f>AG26/AG11</f>
        <v>0.22137110106910615</v>
      </c>
      <c r="AH27" s="18">
        <f>AH26/AH11</f>
        <v>0.23724111410207108</v>
      </c>
      <c r="AI27" s="18">
        <f>AI26/AI11</f>
        <v>0.24523401520831101</v>
      </c>
      <c r="AJ27" s="18">
        <f>AJ26/AJ11</f>
        <v>0.2652841229916329</v>
      </c>
      <c r="AK27" s="18">
        <f>AK26/AK11</f>
        <v>0.25403934268095224</v>
      </c>
      <c r="AL27" s="18">
        <f>AL26/AL11</f>
        <v>0.248294123637845</v>
      </c>
      <c r="AM27" s="18">
        <f>AM26/AM11</f>
        <v>0.25348950707662277</v>
      </c>
      <c r="AN27" s="45"/>
      <c r="AO27" s="81">
        <f>SUM(AM27-AI27)*1000</f>
        <v>8.2554918683117595</v>
      </c>
    </row>
    <row r="28" spans="2:41" ht="5.0999999999999996" customHeight="1">
      <c r="B28" s="30"/>
      <c r="C28" s="46"/>
      <c r="D28" s="46"/>
      <c r="E28" s="46"/>
      <c r="F28" s="46"/>
      <c r="G28" s="46"/>
      <c r="H28" s="31"/>
      <c r="I28" s="46"/>
      <c r="J28" s="46"/>
      <c r="K28" s="46"/>
      <c r="L28" s="46"/>
      <c r="M28" s="46"/>
      <c r="N28" s="46"/>
      <c r="O28" s="46"/>
      <c r="P28" s="46"/>
      <c r="Q28" s="46"/>
      <c r="R28" s="46"/>
      <c r="S28" s="46"/>
      <c r="T28" s="46"/>
      <c r="U28" s="46"/>
      <c r="V28" s="46"/>
      <c r="W28" s="46"/>
      <c r="Y28" s="46"/>
      <c r="Z28" s="46"/>
      <c r="AA28" s="46"/>
      <c r="AB28" s="46"/>
      <c r="AC28" s="46"/>
      <c r="AD28" s="46"/>
      <c r="AE28" s="46"/>
      <c r="AF28" s="46"/>
      <c r="AG28" s="46"/>
      <c r="AH28" s="46"/>
      <c r="AI28" s="46"/>
      <c r="AJ28" s="46"/>
      <c r="AK28" s="46"/>
      <c r="AL28" s="46"/>
      <c r="AM28" s="46"/>
      <c r="AN28" s="45"/>
      <c r="AO28" s="79"/>
    </row>
    <row r="29" spans="2:41" ht="12.75" customHeight="1">
      <c r="B29" s="47" t="s">
        <v>69</v>
      </c>
      <c r="C29" s="86">
        <v>-521</v>
      </c>
      <c r="D29" s="86">
        <v>-1231</v>
      </c>
      <c r="E29" s="86">
        <v>-2012</v>
      </c>
      <c r="F29" s="86">
        <v>-104</v>
      </c>
      <c r="G29" s="86">
        <v>-226</v>
      </c>
      <c r="H29" s="33"/>
      <c r="I29" s="86">
        <v>-466</v>
      </c>
      <c r="J29" s="86">
        <v>-489</v>
      </c>
      <c r="K29" s="86">
        <v>-509</v>
      </c>
      <c r="L29" s="33">
        <f>SUM(E29-SUM(I29:K29))</f>
        <v>-548</v>
      </c>
      <c r="M29" s="86">
        <v>-98</v>
      </c>
      <c r="N29" s="86">
        <v>-193</v>
      </c>
      <c r="O29" s="86">
        <v>-22</v>
      </c>
      <c r="P29" s="33">
        <f>SUM(F29-SUM(M29:O29))</f>
        <v>209</v>
      </c>
      <c r="Q29" s="86">
        <v>-151</v>
      </c>
      <c r="R29" s="86">
        <v>-223</v>
      </c>
      <c r="S29" s="86">
        <v>-171</v>
      </c>
      <c r="T29" s="33">
        <f>SUM(G29-SUM(Q29:S29))</f>
        <v>319</v>
      </c>
      <c r="U29" s="86"/>
      <c r="V29" s="86"/>
      <c r="W29" s="86"/>
      <c r="X29" s="33"/>
      <c r="Y29" s="33">
        <f>SUM(I29:I29)</f>
        <v>-466</v>
      </c>
      <c r="Z29" s="33">
        <f>SUM(I29:J29)</f>
        <v>-955</v>
      </c>
      <c r="AA29" s="33">
        <f>SUM(I29:K29)</f>
        <v>-1464</v>
      </c>
      <c r="AB29" s="33">
        <f>SUM(I29:L29)</f>
        <v>-2012</v>
      </c>
      <c r="AC29" s="33">
        <f>SUM(J29:M29)</f>
        <v>-1644</v>
      </c>
      <c r="AD29" s="33">
        <f>SUM(K29:N29)</f>
        <v>-1348</v>
      </c>
      <c r="AE29" s="33">
        <f>SUM(L29:O29)</f>
        <v>-861</v>
      </c>
      <c r="AF29" s="33">
        <f>SUM(M29:P29)</f>
        <v>-104</v>
      </c>
      <c r="AG29" s="33">
        <f>SUM(N29:Q29)</f>
        <v>-157</v>
      </c>
      <c r="AH29" s="33">
        <f>SUM(O29:R29)</f>
        <v>-187</v>
      </c>
      <c r="AI29" s="33">
        <f>SUM(P29:S29)</f>
        <v>-336</v>
      </c>
      <c r="AJ29" s="33">
        <f>SUM(Q29:T29)</f>
        <v>-226</v>
      </c>
      <c r="AK29" s="33">
        <f>SUM(R29:U29)</f>
        <v>-75</v>
      </c>
      <c r="AL29" s="33">
        <f>SUM(S29:V29)</f>
        <v>148</v>
      </c>
      <c r="AM29" s="33">
        <f>SUM(T29:W29)</f>
        <v>319</v>
      </c>
      <c r="AN29" s="45"/>
      <c r="AO29" s="79">
        <f>SUM(AM29/AI29)-1</f>
        <v>-1.9494047619047619</v>
      </c>
    </row>
    <row r="30" spans="2:41" ht="12.75" customHeight="1">
      <c r="B30" s="13" t="s">
        <v>168</v>
      </c>
      <c r="C30" s="14">
        <f t="shared" ref="C30:G30" si="11">SUM(C26+SUM(C29:C29))</f>
        <v>5198</v>
      </c>
      <c r="D30" s="14">
        <f t="shared" si="11"/>
        <v>9043</v>
      </c>
      <c r="E30" s="14">
        <f t="shared" si="11"/>
        <v>12986</v>
      </c>
      <c r="F30" s="14">
        <f t="shared" si="11"/>
        <v>7339</v>
      </c>
      <c r="G30" s="14">
        <f t="shared" si="11"/>
        <v>10110</v>
      </c>
      <c r="H30" s="11"/>
      <c r="I30" s="14">
        <f t="shared" ref="I30:W30" si="12">SUM(I26+SUM(I29:I29))</f>
        <v>3399</v>
      </c>
      <c r="J30" s="14">
        <f t="shared" si="12"/>
        <v>2934</v>
      </c>
      <c r="K30" s="14">
        <f t="shared" si="12"/>
        <v>3730</v>
      </c>
      <c r="L30" s="14">
        <f t="shared" si="12"/>
        <v>2923</v>
      </c>
      <c r="M30" s="14">
        <f t="shared" si="12"/>
        <v>2273</v>
      </c>
      <c r="N30" s="14">
        <f t="shared" si="12"/>
        <v>1702</v>
      </c>
      <c r="O30" s="14">
        <f t="shared" si="12"/>
        <v>1735</v>
      </c>
      <c r="P30" s="14">
        <f t="shared" si="12"/>
        <v>1629</v>
      </c>
      <c r="Q30" s="14">
        <f t="shared" si="12"/>
        <v>2811</v>
      </c>
      <c r="R30" s="14">
        <f t="shared" si="12"/>
        <v>2275</v>
      </c>
      <c r="S30" s="14">
        <f t="shared" si="12"/>
        <v>2108</v>
      </c>
      <c r="T30" s="14">
        <f t="shared" si="12"/>
        <v>2916</v>
      </c>
      <c r="U30" s="14">
        <f t="shared" si="12"/>
        <v>0</v>
      </c>
      <c r="V30" s="14">
        <f t="shared" si="12"/>
        <v>0</v>
      </c>
      <c r="W30" s="14">
        <f t="shared" si="12"/>
        <v>0</v>
      </c>
      <c r="X30" s="33"/>
      <c r="Y30" s="14">
        <f t="shared" ref="Y30:AM30" si="13">SUM(Y26+SUM(Y29:Y29))</f>
        <v>3399</v>
      </c>
      <c r="Z30" s="14">
        <f t="shared" si="13"/>
        <v>6333</v>
      </c>
      <c r="AA30" s="14">
        <f t="shared" si="13"/>
        <v>10063</v>
      </c>
      <c r="AB30" s="14">
        <f t="shared" si="13"/>
        <v>12986</v>
      </c>
      <c r="AC30" s="14">
        <f t="shared" si="13"/>
        <v>11860</v>
      </c>
      <c r="AD30" s="14">
        <f t="shared" si="13"/>
        <v>10628</v>
      </c>
      <c r="AE30" s="14">
        <f t="shared" si="13"/>
        <v>8633</v>
      </c>
      <c r="AF30" s="14">
        <f t="shared" si="13"/>
        <v>7339</v>
      </c>
      <c r="AG30" s="14">
        <f t="shared" si="13"/>
        <v>7877</v>
      </c>
      <c r="AH30" s="14">
        <f t="shared" si="13"/>
        <v>8450</v>
      </c>
      <c r="AI30" s="14">
        <f t="shared" si="13"/>
        <v>8823</v>
      </c>
      <c r="AJ30" s="14">
        <f t="shared" si="13"/>
        <v>10110</v>
      </c>
      <c r="AK30" s="14">
        <f t="shared" si="13"/>
        <v>7299</v>
      </c>
      <c r="AL30" s="14">
        <f t="shared" si="13"/>
        <v>5024</v>
      </c>
      <c r="AM30" s="14">
        <f t="shared" si="13"/>
        <v>2916</v>
      </c>
      <c r="AN30" s="37"/>
      <c r="AO30" s="80">
        <f>SUM(AM30/AI30)-1</f>
        <v>-0.66950017001020057</v>
      </c>
    </row>
    <row r="31" spans="2:41" ht="12.75" customHeight="1">
      <c r="B31" s="16" t="s">
        <v>71</v>
      </c>
      <c r="C31" s="18">
        <f>C30/C11</f>
        <v>0.22090008924397603</v>
      </c>
      <c r="D31" s="18">
        <f>D30/D11</f>
        <v>0.2694095215396532</v>
      </c>
      <c r="E31" s="18">
        <f>E30/E11</f>
        <v>0.29380090497737554</v>
      </c>
      <c r="F31" s="18">
        <f>F30/F11</f>
        <v>0.2048855388051368</v>
      </c>
      <c r="G31" s="18">
        <f>G30/G11</f>
        <v>0.25948359940454802</v>
      </c>
      <c r="H31" s="28"/>
      <c r="I31" s="18">
        <f>I30/I11</f>
        <v>0.31751517982251287</v>
      </c>
      <c r="J31" s="18">
        <f>J30/J11</f>
        <v>0.26280902902185599</v>
      </c>
      <c r="K31" s="18">
        <f>K30/K11</f>
        <v>0.34107534747622531</v>
      </c>
      <c r="L31" s="18">
        <f>L30/L11</f>
        <v>0.25651601579640193</v>
      </c>
      <c r="M31" s="18">
        <f>M30/M11</f>
        <v>0.24019866849836205</v>
      </c>
      <c r="N31" s="18">
        <f>N30/N11</f>
        <v>0.18350404312668464</v>
      </c>
      <c r="O31" s="18">
        <f>O30/O11</f>
        <v>0.20530114779316058</v>
      </c>
      <c r="P31" s="18">
        <f>P30/P11</f>
        <v>0.18873826903023982</v>
      </c>
      <c r="Q31" s="18">
        <f>Q30/Q11</f>
        <v>0.28293910417715146</v>
      </c>
      <c r="R31" s="18">
        <f>R30/R11</f>
        <v>0.24230482479497284</v>
      </c>
      <c r="S31" s="18">
        <f>S30/S11</f>
        <v>0.22442244224422442</v>
      </c>
      <c r="T31" s="18">
        <f>T30/T11</f>
        <v>0.28462664714494873</v>
      </c>
      <c r="U31" s="18" t="e">
        <f>U30/U11</f>
        <v>#DIV/0!</v>
      </c>
      <c r="V31" s="18" t="e">
        <f>V30/V11</f>
        <v>#DIV/0!</v>
      </c>
      <c r="W31" s="18" t="e">
        <f>W30/W11</f>
        <v>#DIV/0!</v>
      </c>
      <c r="X31" s="29"/>
      <c r="Y31" s="18">
        <f>Y30/Y11</f>
        <v>0.31751517982251287</v>
      </c>
      <c r="Z31" s="18">
        <f>Z30/Z11</f>
        <v>0.28958800128035117</v>
      </c>
      <c r="AA31" s="18">
        <f>AA30/AA11</f>
        <v>0.30675201950922115</v>
      </c>
      <c r="AB31" s="18">
        <f>AB30/AB11</f>
        <v>0.29380090497737554</v>
      </c>
      <c r="AC31" s="18">
        <f>AC30/AC11</f>
        <v>0.27608361655570557</v>
      </c>
      <c r="AD31" s="18">
        <f>AD30/AD11</f>
        <v>0.25878399766247046</v>
      </c>
      <c r="AE31" s="18">
        <f>AE30/AE11</f>
        <v>0.22374559402861291</v>
      </c>
      <c r="AF31" s="18">
        <f>AF30/AF11</f>
        <v>0.2048855388051368</v>
      </c>
      <c r="AG31" s="18">
        <f>AG30/AG11</f>
        <v>0.21704507880524634</v>
      </c>
      <c r="AH31" s="18">
        <f>AH30/AH11</f>
        <v>0.23210459814316323</v>
      </c>
      <c r="AI31" s="18">
        <f>AI30/AI11</f>
        <v>0.23623754953411161</v>
      </c>
      <c r="AJ31" s="18">
        <f>AJ30/AJ11</f>
        <v>0.25948359940454802</v>
      </c>
      <c r="AK31" s="18">
        <f>AK30/AK11</f>
        <v>0.25145554139249665</v>
      </c>
      <c r="AL31" s="18">
        <f>AL30/AL11</f>
        <v>0.25583053264079847</v>
      </c>
      <c r="AM31" s="18">
        <f>AM30/AM11</f>
        <v>0.28462664714494873</v>
      </c>
      <c r="AN31" s="45"/>
      <c r="AO31" s="81">
        <f>SUM(AM31-AI31)*1000</f>
        <v>48.389097610837126</v>
      </c>
    </row>
    <row r="32" spans="2:41" ht="5.0999999999999996" customHeight="1">
      <c r="B32" s="16"/>
      <c r="C32" s="18"/>
      <c r="D32" s="18"/>
      <c r="E32" s="18"/>
      <c r="F32" s="18"/>
      <c r="G32" s="18"/>
      <c r="H32" s="2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29"/>
      <c r="Y32" s="18"/>
      <c r="Z32" s="18"/>
      <c r="AA32" s="18"/>
      <c r="AB32" s="18"/>
      <c r="AC32" s="18"/>
      <c r="AD32" s="18"/>
      <c r="AE32" s="18"/>
      <c r="AF32" s="18"/>
      <c r="AG32" s="18"/>
      <c r="AH32" s="18"/>
      <c r="AI32" s="18"/>
      <c r="AJ32" s="18"/>
      <c r="AK32" s="18"/>
      <c r="AL32" s="18"/>
      <c r="AM32" s="18"/>
      <c r="AN32" s="45"/>
      <c r="AO32" s="81"/>
    </row>
    <row r="33" spans="1:41" ht="12.75" customHeight="1">
      <c r="B33" s="47" t="s">
        <v>169</v>
      </c>
      <c r="C33" s="86">
        <v>0</v>
      </c>
      <c r="D33" s="86">
        <v>0</v>
      </c>
      <c r="E33" s="86">
        <v>-50</v>
      </c>
      <c r="F33" s="86">
        <v>-107</v>
      </c>
      <c r="G33" s="86">
        <v>32</v>
      </c>
      <c r="H33" s="33"/>
      <c r="I33" s="86">
        <v>0</v>
      </c>
      <c r="J33" s="86">
        <v>0</v>
      </c>
      <c r="K33" s="86">
        <v>0</v>
      </c>
      <c r="L33" s="33">
        <f>SUM(E33-SUM(I33:K33))</f>
        <v>-50</v>
      </c>
      <c r="M33" s="86">
        <v>-38</v>
      </c>
      <c r="N33" s="86">
        <v>2</v>
      </c>
      <c r="O33" s="86">
        <v>68</v>
      </c>
      <c r="P33" s="33">
        <f>SUM(F33-SUM(M33:O33))</f>
        <v>-139</v>
      </c>
      <c r="Q33" s="86">
        <v>-44</v>
      </c>
      <c r="R33" s="86">
        <v>51</v>
      </c>
      <c r="S33" s="86">
        <v>21</v>
      </c>
      <c r="T33" s="33">
        <f>SUM(G33-SUM(Q33:S33))</f>
        <v>4</v>
      </c>
      <c r="U33" s="86"/>
      <c r="V33" s="86"/>
      <c r="W33" s="86"/>
      <c r="X33" s="33"/>
      <c r="Y33" s="33"/>
      <c r="Z33" s="33"/>
      <c r="AA33" s="33"/>
      <c r="AB33" s="33"/>
      <c r="AC33" s="33"/>
      <c r="AD33" s="33"/>
      <c r="AE33" s="33"/>
      <c r="AF33" s="33"/>
      <c r="AG33" s="33"/>
      <c r="AH33" s="33"/>
      <c r="AI33" s="33"/>
      <c r="AJ33" s="33"/>
      <c r="AK33" s="33"/>
      <c r="AL33" s="33"/>
      <c r="AM33" s="33"/>
      <c r="AN33" s="45"/>
      <c r="AO33" s="79"/>
    </row>
    <row r="34" spans="1:41" ht="12.75" customHeight="1">
      <c r="B34" s="13" t="s">
        <v>170</v>
      </c>
      <c r="C34" s="14">
        <f>SUM(C30+SUM(C33:C33))</f>
        <v>5198</v>
      </c>
      <c r="D34" s="14">
        <f t="shared" ref="D34:G34" si="14">SUM(D30+SUM(D33:D33))</f>
        <v>9043</v>
      </c>
      <c r="E34" s="14">
        <f t="shared" si="14"/>
        <v>12936</v>
      </c>
      <c r="F34" s="14">
        <f t="shared" si="14"/>
        <v>7232</v>
      </c>
      <c r="G34" s="14">
        <f t="shared" si="14"/>
        <v>10142</v>
      </c>
      <c r="H34" s="11"/>
      <c r="I34" s="14">
        <f t="shared" ref="I34" si="15">SUM(I30+SUM(I33:I33))</f>
        <v>3399</v>
      </c>
      <c r="J34" s="14">
        <f t="shared" ref="J34" si="16">SUM(J30+SUM(J33:J33))</f>
        <v>2934</v>
      </c>
      <c r="K34" s="14">
        <f t="shared" ref="K34" si="17">SUM(K30+SUM(K33:K33))</f>
        <v>3730</v>
      </c>
      <c r="L34" s="14">
        <f t="shared" ref="L34" si="18">SUM(L30+SUM(L33:L33))</f>
        <v>2873</v>
      </c>
      <c r="M34" s="14">
        <f t="shared" ref="M34" si="19">SUM(M30+SUM(M33:M33))</f>
        <v>2235</v>
      </c>
      <c r="N34" s="14">
        <f t="shared" ref="N34" si="20">SUM(N30+SUM(N33:N33))</f>
        <v>1704</v>
      </c>
      <c r="O34" s="14">
        <f t="shared" ref="O34" si="21">SUM(O30+SUM(O33:O33))</f>
        <v>1803</v>
      </c>
      <c r="P34" s="14">
        <f t="shared" ref="P34" si="22">SUM(P30+SUM(P33:P33))</f>
        <v>1490</v>
      </c>
      <c r="Q34" s="14">
        <f t="shared" ref="Q34" si="23">SUM(Q30+SUM(Q33:Q33))</f>
        <v>2767</v>
      </c>
      <c r="R34" s="14">
        <f t="shared" ref="R34" si="24">SUM(R30+SUM(R33:R33))</f>
        <v>2326</v>
      </c>
      <c r="S34" s="14">
        <f t="shared" ref="S34" si="25">SUM(S30+SUM(S33:S33))</f>
        <v>2129</v>
      </c>
      <c r="T34" s="14">
        <f t="shared" ref="T34" si="26">SUM(T30+SUM(T33:T33))</f>
        <v>2920</v>
      </c>
      <c r="U34" s="14">
        <f t="shared" ref="U34" si="27">SUM(U30+SUM(U33:U33))</f>
        <v>0</v>
      </c>
      <c r="V34" s="14">
        <f t="shared" ref="V34" si="28">SUM(V30+SUM(V33:V33))</f>
        <v>0</v>
      </c>
      <c r="W34" s="14">
        <f t="shared" ref="W34" si="29">SUM(W30+SUM(W33:W33))</f>
        <v>0</v>
      </c>
      <c r="X34" s="33"/>
      <c r="Y34" s="14">
        <f t="shared" ref="Y34:AM34" si="30">SUM(Y29+SUM(Y33:Y33))</f>
        <v>-466</v>
      </c>
      <c r="Z34" s="14">
        <f t="shared" si="30"/>
        <v>-955</v>
      </c>
      <c r="AA34" s="14">
        <f t="shared" si="30"/>
        <v>-1464</v>
      </c>
      <c r="AB34" s="14">
        <f t="shared" si="30"/>
        <v>-2012</v>
      </c>
      <c r="AC34" s="14">
        <f t="shared" si="30"/>
        <v>-1644</v>
      </c>
      <c r="AD34" s="14">
        <f t="shared" si="30"/>
        <v>-1348</v>
      </c>
      <c r="AE34" s="14">
        <f t="shared" si="30"/>
        <v>-861</v>
      </c>
      <c r="AF34" s="14">
        <f t="shared" si="30"/>
        <v>-104</v>
      </c>
      <c r="AG34" s="14">
        <f t="shared" si="30"/>
        <v>-157</v>
      </c>
      <c r="AH34" s="14">
        <f t="shared" si="30"/>
        <v>-187</v>
      </c>
      <c r="AI34" s="14">
        <f t="shared" si="30"/>
        <v>-336</v>
      </c>
      <c r="AJ34" s="14">
        <f t="shared" si="30"/>
        <v>-226</v>
      </c>
      <c r="AK34" s="14">
        <f t="shared" si="30"/>
        <v>-75</v>
      </c>
      <c r="AL34" s="14">
        <f t="shared" si="30"/>
        <v>148</v>
      </c>
      <c r="AM34" s="14">
        <f t="shared" si="30"/>
        <v>319</v>
      </c>
      <c r="AN34" s="37"/>
      <c r="AO34" s="80">
        <f>SUM(AM34/AI34)-1</f>
        <v>-1.9494047619047619</v>
      </c>
    </row>
    <row r="35" spans="1:41" ht="12.75" customHeight="1">
      <c r="B35" s="16" t="s">
        <v>71</v>
      </c>
      <c r="C35" s="18">
        <f>C34/C11</f>
        <v>0.22090008924397603</v>
      </c>
      <c r="D35" s="18">
        <f t="shared" ref="D35:G35" si="31">D34/D11</f>
        <v>0.2694095215396532</v>
      </c>
      <c r="E35" s="18">
        <f t="shared" si="31"/>
        <v>0.29266968325791853</v>
      </c>
      <c r="F35" s="18">
        <f t="shared" si="31"/>
        <v>0.20189838079285316</v>
      </c>
      <c r="G35" s="18">
        <f t="shared" si="31"/>
        <v>0.26030491247882553</v>
      </c>
      <c r="H35" s="28"/>
      <c r="I35" s="18">
        <f t="shared" ref="I35" si="32">I34/I11</f>
        <v>0.31751517982251287</v>
      </c>
      <c r="J35" s="18">
        <f t="shared" ref="J35" si="33">J34/J11</f>
        <v>0.26280902902185599</v>
      </c>
      <c r="K35" s="18">
        <f t="shared" ref="K35" si="34">K34/K11</f>
        <v>0.34107534747622531</v>
      </c>
      <c r="L35" s="18">
        <f t="shared" ref="L35" si="35">L34/L11</f>
        <v>0.25212812637121546</v>
      </c>
      <c r="M35" s="18">
        <f t="shared" ref="M35" si="36">M34/M11</f>
        <v>0.23618302863785268</v>
      </c>
      <c r="N35" s="18">
        <f t="shared" ref="N35" si="37">N34/N11</f>
        <v>0.18371967654986524</v>
      </c>
      <c r="O35" s="18">
        <f t="shared" ref="O35" si="38">O34/O11</f>
        <v>0.21334753283635072</v>
      </c>
      <c r="P35" s="18">
        <f t="shared" ref="P35" si="39">P34/P11</f>
        <v>0.17263353029776388</v>
      </c>
      <c r="Q35" s="18">
        <f t="shared" ref="Q35" si="40">Q34/Q11</f>
        <v>0.2785103170608958</v>
      </c>
      <c r="R35" s="18">
        <f t="shared" ref="R35" si="41">R34/R11</f>
        <v>0.24773671317499202</v>
      </c>
      <c r="S35" s="18">
        <f t="shared" ref="S35" si="42">S34/S11</f>
        <v>0.22665814968593634</v>
      </c>
      <c r="T35" s="18">
        <f t="shared" ref="T35" si="43">T34/T11</f>
        <v>0.28501708150317229</v>
      </c>
      <c r="U35" s="18" t="e">
        <f t="shared" ref="U35" si="44">U34/U11</f>
        <v>#DIV/0!</v>
      </c>
      <c r="V35" s="18" t="e">
        <f t="shared" ref="V35" si="45">V34/V11</f>
        <v>#DIV/0!</v>
      </c>
      <c r="W35" s="18" t="e">
        <f t="shared" ref="W35" si="46">W34/W11</f>
        <v>#DIV/0!</v>
      </c>
      <c r="X35" s="29"/>
      <c r="Y35" s="18">
        <f>Y34/Y14</f>
        <v>-7.278975320212433E-2</v>
      </c>
      <c r="Z35" s="18">
        <f>Z34/Z14</f>
        <v>-7.3927852608762973E-2</v>
      </c>
      <c r="AA35" s="18">
        <f>AA34/AA14</f>
        <v>-7.689883391112512E-2</v>
      </c>
      <c r="AB35" s="18">
        <f>AB34/AB14</f>
        <v>-7.8701349501271264E-2</v>
      </c>
      <c r="AC35" s="18">
        <f>AC34/AC14</f>
        <v>-6.6878203563583108E-2</v>
      </c>
      <c r="AD35" s="18">
        <f>AD34/AD14</f>
        <v>-5.8133517336553392E-2</v>
      </c>
      <c r="AE35" s="18">
        <f>AE34/AE14</f>
        <v>-3.9628112486767619E-2</v>
      </c>
      <c r="AF35" s="18">
        <f>AF34/AF14</f>
        <v>-5.2127712896596658E-3</v>
      </c>
      <c r="AG35" s="18">
        <f>AG34/AG14</f>
        <v>-7.7896303646737778E-3</v>
      </c>
      <c r="AH35" s="18">
        <f>AH34/AH14</f>
        <v>-9.2045678283126601E-3</v>
      </c>
      <c r="AI35" s="18">
        <f>AI34/AI14</f>
        <v>-1.6095037363479593E-2</v>
      </c>
      <c r="AJ35" s="18">
        <f>AJ34/AJ14</f>
        <v>-1.0318692356862388E-2</v>
      </c>
      <c r="AK35" s="18">
        <f>AK34/AK14</f>
        <v>-4.6071626021254378E-3</v>
      </c>
      <c r="AL35" s="18">
        <f>AL34/AL14</f>
        <v>1.345943979628956E-2</v>
      </c>
      <c r="AM35" s="18">
        <f>AM34/AM14</f>
        <v>5.5218971784663319E-2</v>
      </c>
      <c r="AN35" s="45"/>
      <c r="AO35" s="81">
        <f>SUM(AM35-AI35)*1000</f>
        <v>71.314009148142915</v>
      </c>
    </row>
    <row r="36" spans="1:41" ht="5.0999999999999996" customHeight="1">
      <c r="B36" s="16"/>
      <c r="C36" s="18"/>
      <c r="D36" s="18"/>
      <c r="E36" s="18"/>
      <c r="F36" s="18"/>
      <c r="G36" s="18"/>
      <c r="H36" s="2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29"/>
      <c r="Y36" s="18"/>
      <c r="Z36" s="18"/>
      <c r="AA36" s="18"/>
      <c r="AB36" s="18"/>
      <c r="AC36" s="18"/>
      <c r="AD36" s="18"/>
      <c r="AE36" s="18"/>
      <c r="AF36" s="18"/>
      <c r="AG36" s="18"/>
      <c r="AH36" s="18"/>
      <c r="AI36" s="18"/>
      <c r="AJ36" s="18"/>
      <c r="AK36" s="18"/>
      <c r="AL36" s="18"/>
      <c r="AM36" s="18"/>
      <c r="AN36" s="45"/>
      <c r="AO36" s="81"/>
    </row>
    <row r="37" spans="1:41" ht="12.75" customHeight="1">
      <c r="B37" s="47" t="s">
        <v>99</v>
      </c>
      <c r="C37" s="86"/>
      <c r="D37" s="86"/>
      <c r="E37" s="86"/>
      <c r="F37" s="86"/>
      <c r="G37" s="86"/>
      <c r="H37" s="28"/>
      <c r="I37" s="86"/>
      <c r="J37" s="86"/>
      <c r="K37" s="86"/>
      <c r="L37" s="33">
        <f>E37</f>
        <v>0</v>
      </c>
      <c r="M37" s="86"/>
      <c r="N37" s="86"/>
      <c r="O37" s="86"/>
      <c r="P37" s="33">
        <f>F37</f>
        <v>0</v>
      </c>
      <c r="Q37" s="86"/>
      <c r="R37" s="86"/>
      <c r="S37" s="86"/>
      <c r="T37" s="33">
        <f>G37</f>
        <v>0</v>
      </c>
      <c r="U37" s="86"/>
      <c r="V37" s="86"/>
      <c r="W37" s="86"/>
      <c r="X37" s="139"/>
      <c r="Y37" s="33">
        <f>I37</f>
        <v>0</v>
      </c>
      <c r="Z37" s="33">
        <f>J37</f>
        <v>0</v>
      </c>
      <c r="AA37" s="33">
        <f>K37</f>
        <v>0</v>
      </c>
      <c r="AB37" s="33">
        <f>L37</f>
        <v>0</v>
      </c>
      <c r="AC37" s="33">
        <f>M37</f>
        <v>0</v>
      </c>
      <c r="AD37" s="33">
        <f>N37</f>
        <v>0</v>
      </c>
      <c r="AE37" s="33">
        <f>O37</f>
        <v>0</v>
      </c>
      <c r="AF37" s="33">
        <f>P37</f>
        <v>0</v>
      </c>
      <c r="AG37" s="33">
        <f>Q37</f>
        <v>0</v>
      </c>
      <c r="AH37" s="33">
        <f>R37</f>
        <v>0</v>
      </c>
      <c r="AI37" s="33">
        <f>S37</f>
        <v>0</v>
      </c>
      <c r="AJ37" s="33">
        <f>T37</f>
        <v>0</v>
      </c>
      <c r="AK37" s="33">
        <f>U37</f>
        <v>0</v>
      </c>
      <c r="AL37" s="33">
        <f>V37</f>
        <v>0</v>
      </c>
      <c r="AM37" s="33">
        <f>W37</f>
        <v>0</v>
      </c>
      <c r="AN37" s="45"/>
      <c r="AO37" s="79" t="e">
        <f>SUM(AM37/AI37)-1</f>
        <v>#DIV/0!</v>
      </c>
    </row>
    <row r="38" spans="1:41" ht="12.75" customHeight="1">
      <c r="B38" s="13" t="s">
        <v>72</v>
      </c>
      <c r="C38" s="163" t="e">
        <f>C30/C37</f>
        <v>#DIV/0!</v>
      </c>
      <c r="D38" s="163" t="e">
        <f>D30/D37</f>
        <v>#DIV/0!</v>
      </c>
      <c r="E38" s="163" t="e">
        <f>E30/E37</f>
        <v>#DIV/0!</v>
      </c>
      <c r="F38" s="163" t="e">
        <f>F30/F37</f>
        <v>#DIV/0!</v>
      </c>
      <c r="G38" s="163" t="e">
        <f>G30/G37</f>
        <v>#DIV/0!</v>
      </c>
      <c r="H38" s="28"/>
      <c r="I38" s="163" t="e">
        <f>I30/I37</f>
        <v>#DIV/0!</v>
      </c>
      <c r="J38" s="163" t="e">
        <f>J30/J37</f>
        <v>#DIV/0!</v>
      </c>
      <c r="K38" s="163" t="e">
        <f>K30/K37</f>
        <v>#DIV/0!</v>
      </c>
      <c r="L38" s="163" t="e">
        <f>L30/L37</f>
        <v>#DIV/0!</v>
      </c>
      <c r="M38" s="163" t="e">
        <f>M30/M37</f>
        <v>#DIV/0!</v>
      </c>
      <c r="N38" s="163" t="e">
        <f>N30/N37</f>
        <v>#DIV/0!</v>
      </c>
      <c r="O38" s="163" t="e">
        <f>O30/O37</f>
        <v>#DIV/0!</v>
      </c>
      <c r="P38" s="163" t="e">
        <f>P30/P37</f>
        <v>#DIV/0!</v>
      </c>
      <c r="Q38" s="163" t="e">
        <f>Q30/Q37</f>
        <v>#DIV/0!</v>
      </c>
      <c r="R38" s="163" t="e">
        <f>R30/R37</f>
        <v>#DIV/0!</v>
      </c>
      <c r="S38" s="163" t="e">
        <f>S30/S37</f>
        <v>#DIV/0!</v>
      </c>
      <c r="T38" s="163" t="e">
        <f>T30/T37</f>
        <v>#DIV/0!</v>
      </c>
      <c r="U38" s="163" t="e">
        <f>U30/U37</f>
        <v>#DIV/0!</v>
      </c>
      <c r="V38" s="163" t="e">
        <f>V30/V37</f>
        <v>#DIV/0!</v>
      </c>
      <c r="W38" s="163" t="e">
        <f>W30/W37</f>
        <v>#DIV/0!</v>
      </c>
      <c r="X38" s="139"/>
      <c r="Y38" s="163" t="e">
        <f>Y30/Y37</f>
        <v>#DIV/0!</v>
      </c>
      <c r="Z38" s="163" t="e">
        <f>Z30/Z37</f>
        <v>#DIV/0!</v>
      </c>
      <c r="AA38" s="163" t="e">
        <f>AA30/AA37</f>
        <v>#DIV/0!</v>
      </c>
      <c r="AB38" s="163" t="e">
        <f>AB30/AB37</f>
        <v>#DIV/0!</v>
      </c>
      <c r="AC38" s="163" t="e">
        <f>AC30/AC37</f>
        <v>#DIV/0!</v>
      </c>
      <c r="AD38" s="163" t="e">
        <f>AD30/AD37</f>
        <v>#DIV/0!</v>
      </c>
      <c r="AE38" s="163" t="e">
        <f>AE30/AE37</f>
        <v>#DIV/0!</v>
      </c>
      <c r="AF38" s="163" t="e">
        <f>AF30/AF37</f>
        <v>#DIV/0!</v>
      </c>
      <c r="AG38" s="163" t="e">
        <f>AG30/AG37</f>
        <v>#DIV/0!</v>
      </c>
      <c r="AH38" s="163" t="e">
        <f>AH30/AH37</f>
        <v>#DIV/0!</v>
      </c>
      <c r="AI38" s="163" t="e">
        <f>AI30/AI37</f>
        <v>#DIV/0!</v>
      </c>
      <c r="AJ38" s="163" t="e">
        <f>AJ30/AJ37</f>
        <v>#DIV/0!</v>
      </c>
      <c r="AK38" s="163" t="e">
        <f>AK30/AK37</f>
        <v>#DIV/0!</v>
      </c>
      <c r="AL38" s="163" t="e">
        <f>AL30/AL37</f>
        <v>#DIV/0!</v>
      </c>
      <c r="AM38" s="163" t="e">
        <f>AM30/AM37</f>
        <v>#DIV/0!</v>
      </c>
      <c r="AN38" s="45"/>
      <c r="AO38" s="80" t="e">
        <f>SUM(AM38/AI38)-1</f>
        <v>#DIV/0!</v>
      </c>
    </row>
    <row r="39" spans="1:41" ht="12.75" customHeight="1">
      <c r="B39" s="26"/>
      <c r="C39" s="51"/>
      <c r="D39" s="51"/>
      <c r="E39" s="51"/>
      <c r="F39" s="51"/>
      <c r="G39" s="51"/>
      <c r="H39" s="162"/>
      <c r="I39" s="139"/>
      <c r="J39" s="139"/>
      <c r="K39" s="139"/>
      <c r="L39" s="139"/>
      <c r="M39" s="139"/>
      <c r="N39" s="139"/>
      <c r="O39" s="139"/>
      <c r="P39" s="139"/>
      <c r="Q39" s="139"/>
      <c r="R39" s="139"/>
      <c r="S39" s="139"/>
      <c r="T39" s="139"/>
      <c r="U39" s="139"/>
      <c r="V39" s="139"/>
      <c r="W39" s="139"/>
      <c r="X39" s="139"/>
      <c r="Y39" s="139"/>
      <c r="Z39" s="139"/>
      <c r="AA39" s="139"/>
      <c r="AB39" s="139"/>
      <c r="AC39" s="139"/>
      <c r="AD39" s="139"/>
      <c r="AE39" s="139"/>
      <c r="AF39" s="139"/>
      <c r="AG39" s="139"/>
      <c r="AH39" s="139"/>
      <c r="AI39" s="139"/>
      <c r="AJ39" s="139"/>
      <c r="AK39" s="139"/>
      <c r="AL39" s="139"/>
      <c r="AM39" s="139"/>
      <c r="AN39" s="45"/>
      <c r="AO39" s="79"/>
    </row>
    <row r="40" spans="1:41" ht="12.75" customHeight="1">
      <c r="B40" s="47" t="s">
        <v>73</v>
      </c>
      <c r="C40" s="86">
        <v>1149</v>
      </c>
      <c r="D40" s="86">
        <v>1149</v>
      </c>
      <c r="E40" s="86">
        <v>1137</v>
      </c>
      <c r="F40" s="86">
        <v>1126</v>
      </c>
      <c r="G40" s="86">
        <v>1130</v>
      </c>
      <c r="H40" s="162"/>
      <c r="I40" s="86">
        <v>1142</v>
      </c>
      <c r="J40" s="86">
        <v>1140</v>
      </c>
      <c r="K40" s="86">
        <v>1134</v>
      </c>
      <c r="L40" s="33">
        <f>E40</f>
        <v>1137</v>
      </c>
      <c r="M40" s="86">
        <v>1131</v>
      </c>
      <c r="N40" s="86">
        <v>1123</v>
      </c>
      <c r="O40" s="86">
        <v>1124</v>
      </c>
      <c r="P40" s="33">
        <f>F40</f>
        <v>1126</v>
      </c>
      <c r="Q40" s="86">
        <v>1127</v>
      </c>
      <c r="R40" s="86">
        <v>1130</v>
      </c>
      <c r="S40" s="86">
        <v>1134</v>
      </c>
      <c r="T40" s="33">
        <f>G40</f>
        <v>1130</v>
      </c>
      <c r="U40" s="86"/>
      <c r="V40" s="86"/>
      <c r="W40" s="86"/>
      <c r="X40" s="139"/>
      <c r="Y40" s="33">
        <f>I40</f>
        <v>1142</v>
      </c>
      <c r="Z40" s="33">
        <f>J40</f>
        <v>1140</v>
      </c>
      <c r="AA40" s="33">
        <f>K40</f>
        <v>1134</v>
      </c>
      <c r="AB40" s="33">
        <f>L40</f>
        <v>1137</v>
      </c>
      <c r="AC40" s="33">
        <f>M40</f>
        <v>1131</v>
      </c>
      <c r="AD40" s="33">
        <f>N40</f>
        <v>1123</v>
      </c>
      <c r="AE40" s="33">
        <f>O40</f>
        <v>1124</v>
      </c>
      <c r="AF40" s="33">
        <f>P40</f>
        <v>1126</v>
      </c>
      <c r="AG40" s="33">
        <f>Q40</f>
        <v>1127</v>
      </c>
      <c r="AH40" s="33">
        <f>R40</f>
        <v>1130</v>
      </c>
      <c r="AI40" s="33">
        <f>S40</f>
        <v>1134</v>
      </c>
      <c r="AJ40" s="33">
        <f>T40</f>
        <v>1130</v>
      </c>
      <c r="AK40" s="33">
        <f>U40</f>
        <v>0</v>
      </c>
      <c r="AL40" s="33">
        <f>V40</f>
        <v>0</v>
      </c>
      <c r="AM40" s="33">
        <f>W40</f>
        <v>0</v>
      </c>
      <c r="AN40" s="45"/>
      <c r="AO40" s="79">
        <f>SUM(AM40/AI40)-1</f>
        <v>-1</v>
      </c>
    </row>
    <row r="41" spans="1:41" ht="12.75" customHeight="1">
      <c r="B41" s="13" t="s">
        <v>98</v>
      </c>
      <c r="C41" s="163">
        <f>C34/C40</f>
        <v>4.5239338555265451</v>
      </c>
      <c r="D41" s="163">
        <f t="shared" ref="D41:G41" si="47">D34/D40</f>
        <v>7.8703220191470846</v>
      </c>
      <c r="E41" s="163">
        <f t="shared" si="47"/>
        <v>11.37730870712401</v>
      </c>
      <c r="F41" s="163">
        <f t="shared" si="47"/>
        <v>6.4227353463587926</v>
      </c>
      <c r="G41" s="163">
        <f t="shared" si="47"/>
        <v>8.9752212389380528</v>
      </c>
      <c r="H41" s="28"/>
      <c r="I41" s="163">
        <f>I30/I40</f>
        <v>2.9763572679509633</v>
      </c>
      <c r="J41" s="163">
        <f>J30/J40</f>
        <v>2.5736842105263156</v>
      </c>
      <c r="K41" s="163">
        <f>K30/K40</f>
        <v>3.2892416225749561</v>
      </c>
      <c r="L41" s="163">
        <f>L30/L40</f>
        <v>2.5708003518029905</v>
      </c>
      <c r="M41" s="163">
        <f>M30/M40</f>
        <v>2.0097259062776303</v>
      </c>
      <c r="N41" s="163">
        <f>N30/N40</f>
        <v>1.5155832591273375</v>
      </c>
      <c r="O41" s="163">
        <f>O30/O40</f>
        <v>1.5435943060498221</v>
      </c>
      <c r="P41" s="163">
        <f>P30/P40</f>
        <v>1.4467140319715808</v>
      </c>
      <c r="Q41" s="163">
        <f>Q30/Q40</f>
        <v>2.4942324755989351</v>
      </c>
      <c r="R41" s="163">
        <f>R30/R40</f>
        <v>2.0132743362831858</v>
      </c>
      <c r="S41" s="163">
        <f>S30/S40</f>
        <v>1.8589065255731922</v>
      </c>
      <c r="T41" s="163">
        <f>T30/T40</f>
        <v>2.5805309734513275</v>
      </c>
      <c r="U41" s="163" t="e">
        <f>U30/U40</f>
        <v>#DIV/0!</v>
      </c>
      <c r="V41" s="163" t="e">
        <f>V30/V40</f>
        <v>#DIV/0!</v>
      </c>
      <c r="W41" s="163" t="e">
        <f>W30/W40</f>
        <v>#DIV/0!</v>
      </c>
      <c r="X41" s="139"/>
      <c r="Y41" s="163">
        <f>Y30/Y40</f>
        <v>2.9763572679509633</v>
      </c>
      <c r="Z41" s="163">
        <f>Z30/Z40</f>
        <v>5.5552631578947365</v>
      </c>
      <c r="AA41" s="163">
        <f>AA30/AA40</f>
        <v>8.8738977072310412</v>
      </c>
      <c r="AB41" s="163">
        <f>AB30/AB40</f>
        <v>11.421284080914688</v>
      </c>
      <c r="AC41" s="163">
        <f>AC30/AC40</f>
        <v>10.48629531388152</v>
      </c>
      <c r="AD41" s="163">
        <f>AD30/AD40</f>
        <v>9.4639358860195912</v>
      </c>
      <c r="AE41" s="163">
        <f>AE30/AE40</f>
        <v>7.6806049822064058</v>
      </c>
      <c r="AF41" s="163">
        <f>AF30/AF40</f>
        <v>6.517761989342806</v>
      </c>
      <c r="AG41" s="163">
        <f>AG30/AG40</f>
        <v>6.9893522626441884</v>
      </c>
      <c r="AH41" s="163">
        <f>AH30/AH40</f>
        <v>7.4778761061946906</v>
      </c>
      <c r="AI41" s="163">
        <f>AI30/AI40</f>
        <v>7.78042328042328</v>
      </c>
      <c r="AJ41" s="163">
        <f>AJ30/AJ40</f>
        <v>8.946902654867257</v>
      </c>
      <c r="AK41" s="163" t="e">
        <f>AK30/AK40</f>
        <v>#DIV/0!</v>
      </c>
      <c r="AL41" s="163" t="e">
        <f>AL30/AL40</f>
        <v>#DIV/0!</v>
      </c>
      <c r="AM41" s="163" t="e">
        <f>AM30/AM40</f>
        <v>#DIV/0!</v>
      </c>
      <c r="AN41" s="45"/>
      <c r="AO41" s="80" t="e">
        <f>SUM(AM41/AI41)-1</f>
        <v>#DIV/0!</v>
      </c>
    </row>
    <row r="42" spans="1:41">
      <c r="B42" s="16"/>
      <c r="C42" s="18"/>
      <c r="D42" s="18"/>
      <c r="E42" s="18"/>
      <c r="F42" s="18"/>
      <c r="G42" s="18"/>
      <c r="H42" s="2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29"/>
      <c r="Y42" s="18"/>
      <c r="Z42" s="18"/>
      <c r="AA42" s="18"/>
      <c r="AB42" s="18"/>
      <c r="AC42" s="18"/>
      <c r="AD42" s="18"/>
      <c r="AE42" s="18"/>
      <c r="AF42" s="18"/>
      <c r="AG42" s="18"/>
      <c r="AH42" s="18"/>
      <c r="AI42" s="18"/>
      <c r="AJ42" s="18"/>
      <c r="AK42" s="18"/>
      <c r="AL42" s="18"/>
      <c r="AM42" s="18"/>
      <c r="AN42" s="45"/>
    </row>
    <row r="43" spans="1:41" ht="12.75" customHeight="1">
      <c r="A43" s="5" t="s">
        <v>18</v>
      </c>
      <c r="B43" s="111" t="s">
        <v>83</v>
      </c>
      <c r="C43" s="112"/>
      <c r="D43" s="112"/>
      <c r="E43" s="112"/>
      <c r="F43" s="112"/>
      <c r="G43" s="112"/>
      <c r="H43" s="113"/>
      <c r="I43" s="112"/>
      <c r="J43" s="112"/>
      <c r="K43" s="112"/>
      <c r="L43" s="112"/>
      <c r="M43" s="112"/>
      <c r="N43" s="112"/>
      <c r="O43" s="112"/>
      <c r="P43" s="112"/>
      <c r="Q43" s="112"/>
      <c r="R43" s="112"/>
      <c r="S43" s="112"/>
      <c r="T43" s="112"/>
      <c r="U43" s="112"/>
      <c r="V43" s="112"/>
      <c r="W43" s="112"/>
      <c r="X43" s="111"/>
      <c r="Y43" s="112"/>
      <c r="Z43" s="112"/>
      <c r="AA43" s="112"/>
      <c r="AB43" s="112"/>
      <c r="AC43" s="112"/>
      <c r="AD43" s="112"/>
      <c r="AE43" s="112"/>
      <c r="AF43" s="112"/>
      <c r="AG43" s="112"/>
      <c r="AH43" s="112" t="s">
        <v>10</v>
      </c>
      <c r="AI43" s="112"/>
      <c r="AJ43" s="112"/>
      <c r="AK43" s="112"/>
      <c r="AL43" s="112"/>
      <c r="AM43" s="112"/>
      <c r="AN43" s="113"/>
      <c r="AO43" s="166" t="s">
        <v>24</v>
      </c>
    </row>
    <row r="44" spans="1:41" ht="12.75" customHeight="1">
      <c r="B44" s="115" t="str">
        <f>B7</f>
        <v>Fiscal Period</v>
      </c>
      <c r="C44" s="114">
        <f>C7</f>
        <v>2020</v>
      </c>
      <c r="D44" s="114">
        <f>D7</f>
        <v>2021</v>
      </c>
      <c r="E44" s="114">
        <f>E7</f>
        <v>2022</v>
      </c>
      <c r="F44" s="114">
        <f>F7</f>
        <v>2023</v>
      </c>
      <c r="G44" s="114">
        <f>G7</f>
        <v>2024</v>
      </c>
      <c r="H44" s="113"/>
      <c r="I44" s="114" t="str">
        <f>I7</f>
        <v>1Q22</v>
      </c>
      <c r="J44" s="114" t="str">
        <f>J7</f>
        <v>2Q22</v>
      </c>
      <c r="K44" s="114" t="str">
        <f>K7</f>
        <v>3Q22</v>
      </c>
      <c r="L44" s="114" t="str">
        <f>L7</f>
        <v>4Q22</v>
      </c>
      <c r="M44" s="114" t="str">
        <f>M7</f>
        <v>1Q23</v>
      </c>
      <c r="N44" s="114" t="str">
        <f>N7</f>
        <v>2Q23</v>
      </c>
      <c r="O44" s="114" t="str">
        <f>O7</f>
        <v>3Q23</v>
      </c>
      <c r="P44" s="114" t="str">
        <f>P7</f>
        <v>4Q23</v>
      </c>
      <c r="Q44" s="114" t="str">
        <f>Q7</f>
        <v>1Q24</v>
      </c>
      <c r="R44" s="114" t="str">
        <f>R7</f>
        <v>2Q24</v>
      </c>
      <c r="S44" s="114" t="str">
        <f>S7</f>
        <v>3Q24</v>
      </c>
      <c r="T44" s="114" t="str">
        <f>T7</f>
        <v>4Q24</v>
      </c>
      <c r="U44" s="114" t="str">
        <f>U7</f>
        <v>1Q25</v>
      </c>
      <c r="V44" s="114" t="str">
        <f>V7</f>
        <v>2Q25</v>
      </c>
      <c r="W44" s="114" t="str">
        <f>W7</f>
        <v>3Q25</v>
      </c>
      <c r="X44" s="116"/>
      <c r="Y44" s="114" t="str">
        <f>Y7</f>
        <v>1Q22</v>
      </c>
      <c r="Z44" s="114" t="str">
        <f>Z7</f>
        <v>2Q22</v>
      </c>
      <c r="AA44" s="114" t="str">
        <f>AA7</f>
        <v>3Q22</v>
      </c>
      <c r="AB44" s="114" t="str">
        <f>AB7</f>
        <v>4Q22</v>
      </c>
      <c r="AC44" s="114" t="str">
        <f>AC7</f>
        <v>1Q23</v>
      </c>
      <c r="AD44" s="114" t="str">
        <f>AD7</f>
        <v>2Q23</v>
      </c>
      <c r="AE44" s="114" t="str">
        <f>AE7</f>
        <v>3Q23</v>
      </c>
      <c r="AF44" s="114" t="str">
        <f>AF7</f>
        <v>4Q23</v>
      </c>
      <c r="AG44" s="114" t="str">
        <f>AG7</f>
        <v>1Q24</v>
      </c>
      <c r="AH44" s="114" t="str">
        <f>AH7</f>
        <v>2Q24</v>
      </c>
      <c r="AI44" s="114" t="str">
        <f>AI7</f>
        <v>3Q24</v>
      </c>
      <c r="AJ44" s="114" t="str">
        <f>AJ7</f>
        <v>4Q24</v>
      </c>
      <c r="AK44" s="114" t="str">
        <f>AK7</f>
        <v>1Q25</v>
      </c>
      <c r="AL44" s="114" t="str">
        <f>AL7</f>
        <v>2Q25</v>
      </c>
      <c r="AM44" s="114" t="str">
        <f>AM7</f>
        <v>3Q25</v>
      </c>
      <c r="AN44" s="113"/>
      <c r="AO44" s="166"/>
    </row>
    <row r="45" spans="1:41" ht="12.75" customHeight="1">
      <c r="B45" s="115" t="str">
        <f>B8</f>
        <v>Fiscal Period End Date</v>
      </c>
      <c r="C45" s="117">
        <f>C8</f>
        <v>44196</v>
      </c>
      <c r="D45" s="117">
        <f>D8</f>
        <v>44561</v>
      </c>
      <c r="E45" s="117">
        <f>E8</f>
        <v>44926</v>
      </c>
      <c r="F45" s="117">
        <f>F8</f>
        <v>45291</v>
      </c>
      <c r="G45" s="117">
        <f>G8</f>
        <v>45657</v>
      </c>
      <c r="H45" s="113"/>
      <c r="I45" s="117">
        <f>I8</f>
        <v>44651</v>
      </c>
      <c r="J45" s="117">
        <f>J8</f>
        <v>44742</v>
      </c>
      <c r="K45" s="117">
        <f>K8</f>
        <v>44834</v>
      </c>
      <c r="L45" s="117">
        <f>L8</f>
        <v>44926</v>
      </c>
      <c r="M45" s="117">
        <f>M8</f>
        <v>45016</v>
      </c>
      <c r="N45" s="117">
        <f>N8</f>
        <v>45107</v>
      </c>
      <c r="O45" s="117">
        <f>O8</f>
        <v>45199</v>
      </c>
      <c r="P45" s="117">
        <f>P8</f>
        <v>45291</v>
      </c>
      <c r="Q45" s="117">
        <f>Q8</f>
        <v>45382</v>
      </c>
      <c r="R45" s="117">
        <f>R8</f>
        <v>45473</v>
      </c>
      <c r="S45" s="117">
        <f>S8</f>
        <v>45565</v>
      </c>
      <c r="T45" s="117">
        <f>T8</f>
        <v>45657</v>
      </c>
      <c r="U45" s="117">
        <f>U8</f>
        <v>45747</v>
      </c>
      <c r="V45" s="117">
        <f>V8</f>
        <v>45838</v>
      </c>
      <c r="W45" s="117">
        <f>W8</f>
        <v>45930</v>
      </c>
      <c r="X45" s="118"/>
      <c r="Y45" s="117">
        <f>Y8</f>
        <v>44651</v>
      </c>
      <c r="Z45" s="117">
        <f>Z8</f>
        <v>44742</v>
      </c>
      <c r="AA45" s="117">
        <f>AA8</f>
        <v>44834</v>
      </c>
      <c r="AB45" s="117">
        <f>AB8</f>
        <v>44926</v>
      </c>
      <c r="AC45" s="117">
        <f>AC8</f>
        <v>45016</v>
      </c>
      <c r="AD45" s="117">
        <f>AD8</f>
        <v>45107</v>
      </c>
      <c r="AE45" s="117">
        <f>AE8</f>
        <v>45199</v>
      </c>
      <c r="AF45" s="117">
        <f>AF8</f>
        <v>45291</v>
      </c>
      <c r="AG45" s="117">
        <f>AG8</f>
        <v>45382</v>
      </c>
      <c r="AH45" s="117">
        <f>AH8</f>
        <v>45473</v>
      </c>
      <c r="AI45" s="117">
        <f>AI8</f>
        <v>45565</v>
      </c>
      <c r="AJ45" s="117">
        <f>AJ8</f>
        <v>45657</v>
      </c>
      <c r="AK45" s="117">
        <f>AK8</f>
        <v>45747</v>
      </c>
      <c r="AL45" s="117">
        <f>AL8</f>
        <v>45838</v>
      </c>
      <c r="AM45" s="117">
        <f>AM8</f>
        <v>45930</v>
      </c>
      <c r="AN45" s="113"/>
      <c r="AO45" s="166"/>
    </row>
    <row r="46" spans="1:41" ht="5.0999999999999996" customHeight="1">
      <c r="B46" s="49"/>
      <c r="C46" s="50"/>
      <c r="D46" s="50"/>
      <c r="E46" s="50"/>
      <c r="F46" s="50"/>
      <c r="G46" s="50"/>
    </row>
    <row r="47" spans="1:41">
      <c r="B47" s="82" t="s">
        <v>90</v>
      </c>
      <c r="C47" s="50"/>
      <c r="D47" s="50"/>
      <c r="E47" s="50"/>
      <c r="F47" s="50"/>
      <c r="G47" s="50"/>
    </row>
    <row r="48" spans="1:41" s="127" customFormat="1" ht="12.75" customHeight="1">
      <c r="B48" s="119" t="s">
        <v>109</v>
      </c>
      <c r="C48" s="128">
        <v>6707</v>
      </c>
      <c r="D48" s="128">
        <v>7116</v>
      </c>
      <c r="E48" s="128">
        <v>2773</v>
      </c>
      <c r="F48" s="128">
        <v>8450</v>
      </c>
      <c r="G48" s="128">
        <v>7849</v>
      </c>
      <c r="I48" s="86">
        <v>6607</v>
      </c>
      <c r="J48" s="86">
        <v>7173</v>
      </c>
      <c r="K48" s="86">
        <v>2676</v>
      </c>
      <c r="L48" s="102">
        <f t="shared" ref="L48" si="48">E48</f>
        <v>2773</v>
      </c>
      <c r="M48" s="86">
        <v>4808</v>
      </c>
      <c r="N48" s="86">
        <v>3488</v>
      </c>
      <c r="O48" s="86">
        <v>6087</v>
      </c>
      <c r="P48" s="33">
        <f t="shared" ref="P48" si="49">F48</f>
        <v>8450</v>
      </c>
      <c r="Q48" s="86">
        <v>8133</v>
      </c>
      <c r="R48" s="86">
        <v>9219</v>
      </c>
      <c r="S48" s="86">
        <v>7770</v>
      </c>
      <c r="T48" s="33">
        <f t="shared" ref="T48" si="50">G48</f>
        <v>7849</v>
      </c>
      <c r="U48" s="86"/>
      <c r="V48" s="86"/>
      <c r="W48" s="86"/>
      <c r="Y48" s="101">
        <f>I48</f>
        <v>6607</v>
      </c>
      <c r="Z48" s="101">
        <f>J48</f>
        <v>7173</v>
      </c>
      <c r="AA48" s="101">
        <f>K48</f>
        <v>2676</v>
      </c>
      <c r="AB48" s="101">
        <f>L48</f>
        <v>2773</v>
      </c>
      <c r="AC48" s="101">
        <f>M48</f>
        <v>4808</v>
      </c>
      <c r="AD48" s="101">
        <f>N48</f>
        <v>3488</v>
      </c>
      <c r="AE48" s="101">
        <f>O48</f>
        <v>6087</v>
      </c>
      <c r="AF48" s="101">
        <f>P48</f>
        <v>8450</v>
      </c>
      <c r="AG48" s="101">
        <f>Q48</f>
        <v>8133</v>
      </c>
      <c r="AH48" s="101">
        <f>R48</f>
        <v>9219</v>
      </c>
      <c r="AI48" s="101">
        <f>S48</f>
        <v>7770</v>
      </c>
      <c r="AJ48" s="101">
        <f>T48</f>
        <v>7849</v>
      </c>
      <c r="AK48" s="101">
        <f>U48</f>
        <v>0</v>
      </c>
      <c r="AL48" s="101">
        <f>V48</f>
        <v>0</v>
      </c>
      <c r="AM48" s="101">
        <f>W48</f>
        <v>0</v>
      </c>
      <c r="AN48" s="129"/>
      <c r="AO48" s="79">
        <f>SUM(AM48/AI48)-1</f>
        <v>-1</v>
      </c>
    </row>
    <row r="49" spans="2:41" s="127" customFormat="1" ht="12.75" customHeight="1">
      <c r="B49" s="119" t="s">
        <v>171</v>
      </c>
      <c r="C49" s="128">
        <v>4507</v>
      </c>
      <c r="D49" s="128">
        <v>5298</v>
      </c>
      <c r="E49" s="128">
        <v>3609</v>
      </c>
      <c r="F49" s="128">
        <v>2874</v>
      </c>
      <c r="G49" s="128">
        <v>5451</v>
      </c>
      <c r="I49" s="86">
        <v>4703</v>
      </c>
      <c r="J49" s="86">
        <v>4373</v>
      </c>
      <c r="K49" s="86">
        <v>4172</v>
      </c>
      <c r="L49" s="102">
        <f t="shared" ref="L49:L53" si="51">E49</f>
        <v>3609</v>
      </c>
      <c r="M49" s="86">
        <v>3430</v>
      </c>
      <c r="N49" s="86">
        <v>3188</v>
      </c>
      <c r="O49" s="86">
        <v>2544</v>
      </c>
      <c r="P49" s="33">
        <f t="shared" ref="P49:P53" si="52">F49</f>
        <v>2874</v>
      </c>
      <c r="Q49" s="86">
        <v>3921</v>
      </c>
      <c r="R49" s="86">
        <v>4632</v>
      </c>
      <c r="S49" s="86">
        <v>5262</v>
      </c>
      <c r="T49" s="33">
        <f t="shared" ref="T49:T53" si="53">G49</f>
        <v>5451</v>
      </c>
      <c r="U49" s="86"/>
      <c r="V49" s="86"/>
      <c r="W49" s="86"/>
      <c r="Y49" s="101"/>
      <c r="Z49" s="101"/>
      <c r="AA49" s="101"/>
      <c r="AB49" s="101"/>
      <c r="AC49" s="101"/>
      <c r="AD49" s="101"/>
      <c r="AE49" s="101"/>
      <c r="AF49" s="101"/>
      <c r="AG49" s="101"/>
      <c r="AH49" s="101"/>
      <c r="AI49" s="101"/>
      <c r="AJ49" s="101"/>
      <c r="AK49" s="101"/>
      <c r="AL49" s="101"/>
      <c r="AM49" s="101"/>
      <c r="AN49" s="129"/>
      <c r="AO49" s="79"/>
    </row>
    <row r="50" spans="2:41" s="127" customFormat="1" ht="12.75" customHeight="1">
      <c r="B50" s="119" t="s">
        <v>172</v>
      </c>
      <c r="C50" s="128">
        <v>4003</v>
      </c>
      <c r="D50" s="128">
        <v>3579</v>
      </c>
      <c r="E50" s="128">
        <v>5643</v>
      </c>
      <c r="F50" s="128">
        <v>3183</v>
      </c>
      <c r="G50" s="128">
        <v>3929</v>
      </c>
      <c r="I50" s="86">
        <v>4032</v>
      </c>
      <c r="J50" s="86">
        <v>4084</v>
      </c>
      <c r="K50" s="86">
        <v>3804</v>
      </c>
      <c r="L50" s="102">
        <f t="shared" si="51"/>
        <v>5643</v>
      </c>
      <c r="M50" s="86">
        <v>3960</v>
      </c>
      <c r="N50" s="86">
        <v>3691</v>
      </c>
      <c r="O50" s="86">
        <v>3850</v>
      </c>
      <c r="P50" s="33">
        <f t="shared" si="52"/>
        <v>3183</v>
      </c>
      <c r="Q50" s="86">
        <v>3513</v>
      </c>
      <c r="R50" s="86">
        <v>3054</v>
      </c>
      <c r="S50" s="86">
        <v>2948</v>
      </c>
      <c r="T50" s="33">
        <f t="shared" si="53"/>
        <v>3929</v>
      </c>
      <c r="U50" s="86"/>
      <c r="V50" s="86"/>
      <c r="W50" s="86"/>
      <c r="Y50" s="101"/>
      <c r="Z50" s="101"/>
      <c r="AA50" s="101"/>
      <c r="AB50" s="101"/>
      <c r="AC50" s="101"/>
      <c r="AD50" s="101"/>
      <c r="AE50" s="101"/>
      <c r="AF50" s="101"/>
      <c r="AG50" s="101"/>
      <c r="AH50" s="101"/>
      <c r="AI50" s="101"/>
      <c r="AJ50" s="101"/>
      <c r="AK50" s="101"/>
      <c r="AL50" s="101"/>
      <c r="AM50" s="101"/>
      <c r="AN50" s="129"/>
      <c r="AO50" s="79"/>
    </row>
    <row r="51" spans="2:41" s="127" customFormat="1" ht="12.75" customHeight="1">
      <c r="B51" s="119" t="s">
        <v>173</v>
      </c>
      <c r="C51" s="128">
        <v>2598</v>
      </c>
      <c r="D51" s="128">
        <v>3228</v>
      </c>
      <c r="E51" s="128">
        <v>6341</v>
      </c>
      <c r="F51" s="128">
        <v>6422</v>
      </c>
      <c r="G51" s="128">
        <v>6423</v>
      </c>
      <c r="I51" s="86">
        <v>3861</v>
      </c>
      <c r="J51" s="86">
        <v>4555</v>
      </c>
      <c r="K51" s="86">
        <v>5418</v>
      </c>
      <c r="L51" s="102">
        <f t="shared" si="51"/>
        <v>6341</v>
      </c>
      <c r="M51" s="86">
        <v>6932</v>
      </c>
      <c r="N51" s="86">
        <v>6858</v>
      </c>
      <c r="O51" s="86">
        <v>6628</v>
      </c>
      <c r="P51" s="33">
        <f t="shared" si="52"/>
        <v>6422</v>
      </c>
      <c r="Q51" s="86">
        <v>6247</v>
      </c>
      <c r="R51" s="86">
        <v>6087</v>
      </c>
      <c r="S51" s="86">
        <v>6020</v>
      </c>
      <c r="T51" s="33">
        <f t="shared" si="53"/>
        <v>6423</v>
      </c>
      <c r="U51" s="86"/>
      <c r="V51" s="86"/>
      <c r="W51" s="86"/>
      <c r="Y51" s="101"/>
      <c r="Z51" s="101"/>
      <c r="AA51" s="101"/>
      <c r="AB51" s="101"/>
      <c r="AC51" s="101"/>
      <c r="AD51" s="101"/>
      <c r="AE51" s="101"/>
      <c r="AF51" s="101"/>
      <c r="AG51" s="101"/>
      <c r="AH51" s="101"/>
      <c r="AI51" s="101"/>
      <c r="AJ51" s="101"/>
      <c r="AK51" s="101"/>
      <c r="AL51" s="101"/>
      <c r="AM51" s="101"/>
      <c r="AN51" s="129"/>
      <c r="AO51" s="79"/>
    </row>
    <row r="52" spans="2:41" s="127" customFormat="1" ht="12.75" customHeight="1">
      <c r="B52" s="119" t="s">
        <v>174</v>
      </c>
      <c r="C52" s="128">
        <v>0</v>
      </c>
      <c r="D52" s="128">
        <v>0</v>
      </c>
      <c r="E52" s="128">
        <v>733</v>
      </c>
      <c r="F52" s="128">
        <v>341</v>
      </c>
      <c r="G52" s="128">
        <v>0</v>
      </c>
      <c r="I52" s="86">
        <v>0</v>
      </c>
      <c r="J52" s="86">
        <v>0</v>
      </c>
      <c r="K52" s="86">
        <v>950</v>
      </c>
      <c r="L52" s="102">
        <f t="shared" si="51"/>
        <v>733</v>
      </c>
      <c r="M52" s="86">
        <v>721</v>
      </c>
      <c r="N52" s="86">
        <v>816</v>
      </c>
      <c r="O52" s="86">
        <v>317</v>
      </c>
      <c r="P52" s="33">
        <f t="shared" si="52"/>
        <v>341</v>
      </c>
      <c r="Q52" s="86">
        <v>337</v>
      </c>
      <c r="R52" s="86">
        <v>0</v>
      </c>
      <c r="S52" s="86">
        <v>0</v>
      </c>
      <c r="T52" s="33">
        <f t="shared" si="53"/>
        <v>0</v>
      </c>
      <c r="U52" s="86"/>
      <c r="V52" s="86"/>
      <c r="W52" s="86"/>
      <c r="Y52" s="101"/>
      <c r="Z52" s="101"/>
      <c r="AA52" s="101"/>
      <c r="AB52" s="101"/>
      <c r="AC52" s="101"/>
      <c r="AD52" s="101"/>
      <c r="AE52" s="101"/>
      <c r="AF52" s="101"/>
      <c r="AG52" s="101"/>
      <c r="AH52" s="101"/>
      <c r="AI52" s="101"/>
      <c r="AJ52" s="101"/>
      <c r="AK52" s="101"/>
      <c r="AL52" s="101"/>
      <c r="AM52" s="101"/>
      <c r="AN52" s="129"/>
      <c r="AO52" s="79"/>
    </row>
    <row r="53" spans="2:41" s="127" customFormat="1" ht="12.75" customHeight="1">
      <c r="B53" s="119" t="s">
        <v>15</v>
      </c>
      <c r="C53" s="128">
        <v>704</v>
      </c>
      <c r="D53" s="128">
        <v>854</v>
      </c>
      <c r="E53" s="128">
        <v>1625</v>
      </c>
      <c r="F53" s="128">
        <v>1194</v>
      </c>
      <c r="G53" s="128">
        <v>1579</v>
      </c>
      <c r="I53" s="86">
        <v>1019</v>
      </c>
      <c r="J53" s="86">
        <v>1425</v>
      </c>
      <c r="K53" s="86">
        <v>1979</v>
      </c>
      <c r="L53" s="102">
        <f t="shared" si="51"/>
        <v>1625</v>
      </c>
      <c r="M53" s="86">
        <v>1247</v>
      </c>
      <c r="N53" s="86">
        <v>1032</v>
      </c>
      <c r="O53" s="86">
        <v>1050</v>
      </c>
      <c r="P53" s="33">
        <f t="shared" si="52"/>
        <v>1194</v>
      </c>
      <c r="Q53" s="86">
        <v>1288</v>
      </c>
      <c r="R53" s="86">
        <v>1240</v>
      </c>
      <c r="S53" s="86">
        <v>1332</v>
      </c>
      <c r="T53" s="33">
        <f t="shared" si="53"/>
        <v>1579</v>
      </c>
      <c r="U53" s="86"/>
      <c r="V53" s="86"/>
      <c r="W53" s="86"/>
      <c r="Y53" s="101"/>
      <c r="Z53" s="101"/>
      <c r="AA53" s="101"/>
      <c r="AB53" s="101"/>
      <c r="AC53" s="101"/>
      <c r="AD53" s="101"/>
      <c r="AE53" s="101"/>
      <c r="AF53" s="101"/>
      <c r="AG53" s="101"/>
      <c r="AH53" s="101"/>
      <c r="AI53" s="101"/>
      <c r="AJ53" s="101"/>
      <c r="AK53" s="101"/>
      <c r="AL53" s="101"/>
      <c r="AM53" s="101"/>
      <c r="AN53" s="129"/>
      <c r="AO53" s="79"/>
    </row>
    <row r="54" spans="2:41" ht="12.75" customHeight="1">
      <c r="B54" s="26" t="s">
        <v>20</v>
      </c>
      <c r="C54" s="27">
        <f>SUM(C48:C53)</f>
        <v>18519</v>
      </c>
      <c r="D54" s="27">
        <f>SUM(D48:D53)</f>
        <v>20075</v>
      </c>
      <c r="E54" s="27">
        <f>SUM(E48:E53)</f>
        <v>20724</v>
      </c>
      <c r="F54" s="27">
        <f>SUM(F48:F53)</f>
        <v>22464</v>
      </c>
      <c r="G54" s="27">
        <f>SUM(G48:G53)</f>
        <v>25231</v>
      </c>
      <c r="H54" s="51"/>
      <c r="I54" s="27">
        <f>SUM(I48:I53)</f>
        <v>20222</v>
      </c>
      <c r="J54" s="27">
        <f>SUM(J48:J53)</f>
        <v>21610</v>
      </c>
      <c r="K54" s="27">
        <f>SUM(K48:K53)</f>
        <v>18999</v>
      </c>
      <c r="L54" s="27">
        <f>SUM(L48:L53)</f>
        <v>20724</v>
      </c>
      <c r="M54" s="27">
        <f>SUM(M48:M53)</f>
        <v>21098</v>
      </c>
      <c r="N54" s="27">
        <f>SUM(N48:N53)</f>
        <v>19073</v>
      </c>
      <c r="O54" s="27">
        <f>SUM(O48:O53)</f>
        <v>20476</v>
      </c>
      <c r="P54" s="27">
        <f>SUM(P48:P53)</f>
        <v>22464</v>
      </c>
      <c r="Q54" s="27">
        <f>SUM(Q48:Q53)</f>
        <v>23439</v>
      </c>
      <c r="R54" s="27">
        <f>SUM(R48:R53)</f>
        <v>24232</v>
      </c>
      <c r="S54" s="27">
        <f>SUM(S48:S53)</f>
        <v>23332</v>
      </c>
      <c r="T54" s="27">
        <f>SUM(T48:T53)</f>
        <v>25231</v>
      </c>
      <c r="U54" s="27">
        <f>SUM(U48:U53)</f>
        <v>0</v>
      </c>
      <c r="V54" s="27">
        <f>SUM(V48:V53)</f>
        <v>0</v>
      </c>
      <c r="W54" s="27">
        <f>SUM(W48:W53)</f>
        <v>0</v>
      </c>
      <c r="X54" s="51"/>
      <c r="Y54" s="27">
        <f>SUM(Y48:Y53)</f>
        <v>6607</v>
      </c>
      <c r="Z54" s="27">
        <f>SUM(Z48:Z53)</f>
        <v>7173</v>
      </c>
      <c r="AA54" s="27">
        <f>SUM(AA48:AA53)</f>
        <v>2676</v>
      </c>
      <c r="AB54" s="27">
        <f>SUM(AB48:AB53)</f>
        <v>2773</v>
      </c>
      <c r="AC54" s="27">
        <f>SUM(AC48:AC53)</f>
        <v>4808</v>
      </c>
      <c r="AD54" s="27">
        <f>SUM(AD48:AD53)</f>
        <v>3488</v>
      </c>
      <c r="AE54" s="27">
        <f>SUM(AE48:AE53)</f>
        <v>6087</v>
      </c>
      <c r="AF54" s="27">
        <f>SUM(AF48:AF53)</f>
        <v>8450</v>
      </c>
      <c r="AG54" s="27">
        <f>SUM(AG48:AG53)</f>
        <v>8133</v>
      </c>
      <c r="AH54" s="27">
        <f>SUM(AH48:AH53)</f>
        <v>9219</v>
      </c>
      <c r="AI54" s="27">
        <f>SUM(AI48:AI53)</f>
        <v>7770</v>
      </c>
      <c r="AJ54" s="27">
        <f>SUM(AJ48:AJ53)</f>
        <v>7849</v>
      </c>
      <c r="AK54" s="27">
        <f>SUM(AK48:AK53)</f>
        <v>0</v>
      </c>
      <c r="AL54" s="27">
        <f>SUM(AL48:AL53)</f>
        <v>0</v>
      </c>
      <c r="AM54" s="27">
        <f>SUM(AM48:AM53)</f>
        <v>0</v>
      </c>
      <c r="AN54" s="44"/>
      <c r="AO54" s="80">
        <f>SUM(AM54/AI54)-1</f>
        <v>-1</v>
      </c>
    </row>
    <row r="55" spans="2:41" ht="5.0999999999999996" customHeight="1">
      <c r="B55" s="26"/>
      <c r="C55" s="52"/>
      <c r="D55" s="52"/>
      <c r="E55" s="52"/>
      <c r="F55" s="43"/>
      <c r="G55" s="43"/>
      <c r="I55" s="43"/>
      <c r="J55" s="43"/>
      <c r="K55" s="43"/>
      <c r="L55" s="43"/>
      <c r="M55" s="43"/>
      <c r="N55" s="43"/>
      <c r="O55" s="43"/>
      <c r="P55" s="43"/>
      <c r="Q55" s="43"/>
      <c r="R55" s="43"/>
      <c r="S55" s="43"/>
      <c r="T55" s="43"/>
      <c r="U55" s="43"/>
      <c r="V55" s="43"/>
      <c r="W55" s="43"/>
      <c r="Y55" s="44"/>
      <c r="Z55" s="44"/>
      <c r="AA55" s="44"/>
      <c r="AB55" s="44"/>
      <c r="AC55" s="44"/>
      <c r="AD55" s="44"/>
      <c r="AE55" s="44"/>
      <c r="AF55" s="44"/>
      <c r="AG55" s="44"/>
      <c r="AH55" s="44"/>
      <c r="AI55" s="44"/>
      <c r="AJ55" s="44"/>
      <c r="AK55" s="44"/>
      <c r="AL55" s="44"/>
      <c r="AM55" s="44"/>
      <c r="AN55" s="44"/>
      <c r="AO55" s="41"/>
    </row>
    <row r="56" spans="2:41" ht="12.75" customHeight="1">
      <c r="B56" s="82" t="s">
        <v>91</v>
      </c>
      <c r="C56" s="86"/>
      <c r="D56" s="86"/>
      <c r="E56" s="86"/>
      <c r="F56" s="86"/>
      <c r="G56" s="86"/>
      <c r="I56" s="86"/>
      <c r="J56" s="86"/>
      <c r="K56" s="86"/>
      <c r="L56" s="86"/>
      <c r="M56" s="86"/>
      <c r="N56" s="86"/>
      <c r="O56" s="86"/>
      <c r="P56" s="86"/>
      <c r="Q56" s="86"/>
      <c r="R56" s="86"/>
      <c r="S56" s="86"/>
      <c r="T56" s="86"/>
      <c r="U56" s="33"/>
      <c r="V56" s="86"/>
      <c r="W56" s="86"/>
      <c r="Y56" s="33"/>
      <c r="Z56" s="33"/>
      <c r="AA56" s="33"/>
      <c r="AB56" s="33"/>
      <c r="AC56" s="33"/>
      <c r="AD56" s="33"/>
      <c r="AE56" s="33"/>
      <c r="AF56" s="33"/>
      <c r="AG56" s="33"/>
      <c r="AH56" s="33"/>
      <c r="AI56" s="33"/>
      <c r="AJ56" s="33"/>
      <c r="AK56" s="33"/>
      <c r="AL56" s="33"/>
      <c r="AM56" s="33"/>
      <c r="AN56" s="11"/>
      <c r="AO56" s="79"/>
    </row>
    <row r="57" spans="2:41" ht="12.75" customHeight="1">
      <c r="B57" s="9" t="s">
        <v>175</v>
      </c>
      <c r="C57" s="86">
        <v>1351</v>
      </c>
      <c r="D57" s="86">
        <v>1591</v>
      </c>
      <c r="E57" s="86">
        <v>1803</v>
      </c>
      <c r="F57" s="86">
        <v>3310</v>
      </c>
      <c r="G57" s="86">
        <v>5162</v>
      </c>
      <c r="I57" s="86">
        <v>1454</v>
      </c>
      <c r="J57" s="86">
        <v>1545</v>
      </c>
      <c r="K57" s="86">
        <v>1778</v>
      </c>
      <c r="L57" s="102">
        <f t="shared" ref="L57" si="54">E57</f>
        <v>1803</v>
      </c>
      <c r="M57" s="86">
        <v>2092</v>
      </c>
      <c r="N57" s="86">
        <v>2477</v>
      </c>
      <c r="O57" s="86">
        <v>2773</v>
      </c>
      <c r="P57" s="33">
        <f t="shared" ref="P57" si="55">F57</f>
        <v>3310</v>
      </c>
      <c r="Q57" s="86">
        <v>3579</v>
      </c>
      <c r="R57" s="86">
        <v>3978</v>
      </c>
      <c r="S57" s="86">
        <v>4420</v>
      </c>
      <c r="T57" s="33">
        <f t="shared" ref="T57" si="56">G57</f>
        <v>5162</v>
      </c>
      <c r="U57" s="86"/>
      <c r="V57" s="86"/>
      <c r="W57" s="86"/>
      <c r="Y57" s="33">
        <f>I57</f>
        <v>1454</v>
      </c>
      <c r="Z57" s="33">
        <f>J57</f>
        <v>1545</v>
      </c>
      <c r="AA57" s="33">
        <f>K57</f>
        <v>1778</v>
      </c>
      <c r="AB57" s="33">
        <f>L57</f>
        <v>1803</v>
      </c>
      <c r="AC57" s="33">
        <f>M57</f>
        <v>2092</v>
      </c>
      <c r="AD57" s="33">
        <f>N57</f>
        <v>2477</v>
      </c>
      <c r="AE57" s="33">
        <f>O57</f>
        <v>2773</v>
      </c>
      <c r="AF57" s="33">
        <f>P57</f>
        <v>3310</v>
      </c>
      <c r="AG57" s="33">
        <f>Q57</f>
        <v>3579</v>
      </c>
      <c r="AH57" s="33">
        <f>R57</f>
        <v>3978</v>
      </c>
      <c r="AI57" s="33">
        <f>S57</f>
        <v>4420</v>
      </c>
      <c r="AJ57" s="33">
        <f>T57</f>
        <v>5162</v>
      </c>
      <c r="AK57" s="33">
        <f>U57</f>
        <v>0</v>
      </c>
      <c r="AL57" s="33">
        <f>V57</f>
        <v>0</v>
      </c>
      <c r="AM57" s="33">
        <f>W57</f>
        <v>0</v>
      </c>
      <c r="AN57" s="11"/>
      <c r="AO57" s="79">
        <f t="shared" ref="AO57:AO63" si="57">SUM(AM57/AI57)-1</f>
        <v>-1</v>
      </c>
    </row>
    <row r="58" spans="2:41" ht="12.75" customHeight="1">
      <c r="B58" s="9" t="s">
        <v>176</v>
      </c>
      <c r="C58" s="86">
        <v>3711</v>
      </c>
      <c r="D58" s="86">
        <v>4559</v>
      </c>
      <c r="E58" s="86">
        <v>5168</v>
      </c>
      <c r="F58" s="86">
        <v>5042</v>
      </c>
      <c r="G58" s="86">
        <v>4665</v>
      </c>
      <c r="I58" s="86">
        <v>4723</v>
      </c>
      <c r="J58" s="86">
        <v>4893</v>
      </c>
      <c r="K58" s="86">
        <v>5038</v>
      </c>
      <c r="L58" s="102">
        <f t="shared" ref="L58:L62" si="58">E58</f>
        <v>5168</v>
      </c>
      <c r="M58" s="86">
        <v>5215</v>
      </c>
      <c r="N58" s="86">
        <v>5281</v>
      </c>
      <c r="O58" s="86">
        <v>5216</v>
      </c>
      <c r="P58" s="33">
        <f t="shared" ref="P58:P62" si="59">F58</f>
        <v>5042</v>
      </c>
      <c r="Q58" s="86">
        <v>4907</v>
      </c>
      <c r="R58" s="86">
        <v>4724</v>
      </c>
      <c r="S58" s="86">
        <v>4744</v>
      </c>
      <c r="T58" s="33">
        <f t="shared" ref="T58:T62" si="60">G58</f>
        <v>4665</v>
      </c>
      <c r="U58" s="86"/>
      <c r="V58" s="86"/>
      <c r="W58" s="86"/>
      <c r="Y58" s="33"/>
      <c r="Z58" s="33"/>
      <c r="AA58" s="33"/>
      <c r="AB58" s="33"/>
      <c r="AC58" s="33"/>
      <c r="AD58" s="33"/>
      <c r="AE58" s="33"/>
      <c r="AF58" s="33"/>
      <c r="AG58" s="33"/>
      <c r="AH58" s="33"/>
      <c r="AI58" s="33"/>
      <c r="AJ58" s="33"/>
      <c r="AK58" s="33"/>
      <c r="AL58" s="33"/>
      <c r="AM58" s="33"/>
      <c r="AN58" s="11"/>
      <c r="AO58" s="79"/>
    </row>
    <row r="59" spans="2:41" ht="12.75" customHeight="1">
      <c r="B59" s="9" t="s">
        <v>177</v>
      </c>
      <c r="C59" s="86">
        <v>6323</v>
      </c>
      <c r="D59" s="86">
        <v>7246</v>
      </c>
      <c r="E59" s="86">
        <v>10508</v>
      </c>
      <c r="F59" s="86">
        <v>10642</v>
      </c>
      <c r="G59" s="86">
        <v>10799</v>
      </c>
      <c r="I59" s="86">
        <v>7264</v>
      </c>
      <c r="J59" s="86">
        <v>7261</v>
      </c>
      <c r="K59" s="86">
        <v>10719</v>
      </c>
      <c r="L59" s="102">
        <f t="shared" si="58"/>
        <v>10508</v>
      </c>
      <c r="M59" s="86">
        <v>10566</v>
      </c>
      <c r="N59" s="86">
        <v>10579</v>
      </c>
      <c r="O59" s="86">
        <v>10591</v>
      </c>
      <c r="P59" s="33">
        <f t="shared" si="59"/>
        <v>10642</v>
      </c>
      <c r="Q59" s="86">
        <v>10722</v>
      </c>
      <c r="R59" s="86">
        <v>10760</v>
      </c>
      <c r="S59" s="86">
        <v>10770</v>
      </c>
      <c r="T59" s="33">
        <f t="shared" si="60"/>
        <v>10799</v>
      </c>
      <c r="U59" s="86"/>
      <c r="V59" s="86"/>
      <c r="W59" s="86"/>
      <c r="Y59" s="33"/>
      <c r="Z59" s="33"/>
      <c r="AA59" s="33"/>
      <c r="AB59" s="33"/>
      <c r="AC59" s="33"/>
      <c r="AD59" s="33"/>
      <c r="AE59" s="33"/>
      <c r="AF59" s="33"/>
      <c r="AG59" s="33"/>
      <c r="AH59" s="33"/>
      <c r="AI59" s="33"/>
      <c r="AJ59" s="33"/>
      <c r="AK59" s="33"/>
      <c r="AL59" s="33"/>
      <c r="AM59" s="33"/>
      <c r="AN59" s="11"/>
      <c r="AO59" s="79"/>
    </row>
    <row r="60" spans="2:41" ht="12.75" customHeight="1">
      <c r="B60" s="9" t="s">
        <v>178</v>
      </c>
      <c r="C60" s="86">
        <v>1653</v>
      </c>
      <c r="D60" s="86">
        <v>1458</v>
      </c>
      <c r="E60" s="86">
        <v>1882</v>
      </c>
      <c r="F60" s="86">
        <v>1408</v>
      </c>
      <c r="G60" s="86">
        <v>1244</v>
      </c>
      <c r="I60" s="86">
        <v>1373</v>
      </c>
      <c r="J60" s="86">
        <v>1258</v>
      </c>
      <c r="K60" s="86">
        <v>1954</v>
      </c>
      <c r="L60" s="102">
        <f t="shared" si="58"/>
        <v>1882</v>
      </c>
      <c r="M60" s="86">
        <v>1796</v>
      </c>
      <c r="N60" s="86">
        <v>1727</v>
      </c>
      <c r="O60" s="86">
        <v>1618</v>
      </c>
      <c r="P60" s="33">
        <f t="shared" si="59"/>
        <v>1408</v>
      </c>
      <c r="Q60" s="86">
        <v>1387</v>
      </c>
      <c r="R60" s="86">
        <v>1331</v>
      </c>
      <c r="S60" s="86">
        <v>1296</v>
      </c>
      <c r="T60" s="33">
        <f t="shared" si="60"/>
        <v>1244</v>
      </c>
      <c r="U60" s="86"/>
      <c r="V60" s="86"/>
      <c r="W60" s="86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11"/>
      <c r="AO60" s="79"/>
    </row>
    <row r="61" spans="2:41" ht="12.75" customHeight="1">
      <c r="B61" s="9" t="s">
        <v>174</v>
      </c>
      <c r="C61" s="86">
        <v>0</v>
      </c>
      <c r="D61" s="86">
        <v>0</v>
      </c>
      <c r="E61" s="86">
        <v>1200</v>
      </c>
      <c r="F61" s="86">
        <v>88</v>
      </c>
      <c r="G61" s="86">
        <v>0</v>
      </c>
      <c r="I61" s="86">
        <v>0</v>
      </c>
      <c r="J61" s="86">
        <v>0</v>
      </c>
      <c r="K61" s="86">
        <v>916</v>
      </c>
      <c r="L61" s="102">
        <f t="shared" si="58"/>
        <v>1200</v>
      </c>
      <c r="M61" s="86">
        <v>1199</v>
      </c>
      <c r="N61" s="86">
        <v>1251</v>
      </c>
      <c r="O61" s="86">
        <v>218</v>
      </c>
      <c r="P61" s="33">
        <f t="shared" si="59"/>
        <v>88</v>
      </c>
      <c r="Q61" s="86">
        <v>69</v>
      </c>
      <c r="R61" s="86">
        <v>0</v>
      </c>
      <c r="S61" s="86">
        <v>0</v>
      </c>
      <c r="T61" s="33">
        <f t="shared" si="60"/>
        <v>0</v>
      </c>
      <c r="U61" s="86"/>
      <c r="V61" s="86"/>
      <c r="W61" s="86"/>
      <c r="Y61" s="33"/>
      <c r="Z61" s="33"/>
      <c r="AA61" s="33"/>
      <c r="AB61" s="33"/>
      <c r="AC61" s="33"/>
      <c r="AD61" s="33"/>
      <c r="AE61" s="33"/>
      <c r="AF61" s="33"/>
      <c r="AG61" s="33"/>
      <c r="AH61" s="33"/>
      <c r="AI61" s="33"/>
      <c r="AJ61" s="33"/>
      <c r="AK61" s="33"/>
      <c r="AL61" s="33"/>
      <c r="AM61" s="33"/>
      <c r="AN61" s="11"/>
      <c r="AO61" s="79"/>
    </row>
    <row r="62" spans="2:41" ht="12.75" customHeight="1">
      <c r="B62" s="9" t="s">
        <v>179</v>
      </c>
      <c r="C62" s="86">
        <v>4037</v>
      </c>
      <c r="D62" s="86">
        <v>6311</v>
      </c>
      <c r="E62" s="86">
        <v>7729</v>
      </c>
      <c r="F62" s="86">
        <v>8086</v>
      </c>
      <c r="G62" s="86">
        <v>8053</v>
      </c>
      <c r="I62" s="86">
        <v>7784</v>
      </c>
      <c r="J62" s="86">
        <v>7735</v>
      </c>
      <c r="K62" s="86">
        <v>7616</v>
      </c>
      <c r="L62" s="102">
        <f t="shared" si="58"/>
        <v>7729</v>
      </c>
      <c r="M62" s="86">
        <v>8048</v>
      </c>
      <c r="N62" s="86">
        <v>7974</v>
      </c>
      <c r="O62" s="86">
        <v>8110</v>
      </c>
      <c r="P62" s="33">
        <f t="shared" si="59"/>
        <v>8086</v>
      </c>
      <c r="Q62" s="86">
        <v>8032</v>
      </c>
      <c r="R62" s="86">
        <v>8142</v>
      </c>
      <c r="S62" s="86">
        <v>8179</v>
      </c>
      <c r="T62" s="33">
        <f t="shared" si="60"/>
        <v>8053</v>
      </c>
      <c r="U62" s="86"/>
      <c r="V62" s="86"/>
      <c r="W62" s="86"/>
      <c r="Y62" s="33"/>
      <c r="Z62" s="33"/>
      <c r="AA62" s="33"/>
      <c r="AB62" s="33"/>
      <c r="AC62" s="33"/>
      <c r="AD62" s="33"/>
      <c r="AE62" s="33"/>
      <c r="AF62" s="33"/>
      <c r="AG62" s="33"/>
      <c r="AH62" s="33"/>
      <c r="AI62" s="33"/>
      <c r="AJ62" s="33"/>
      <c r="AK62" s="33"/>
      <c r="AL62" s="33"/>
      <c r="AM62" s="33"/>
      <c r="AN62" s="11"/>
      <c r="AO62" s="79"/>
    </row>
    <row r="63" spans="2:41" ht="12.75" customHeight="1">
      <c r="B63" s="13" t="s">
        <v>21</v>
      </c>
      <c r="C63" s="14">
        <f>SUM(C57:C62)+C54</f>
        <v>35594</v>
      </c>
      <c r="D63" s="14">
        <f>SUM(D57:D62)+D54</f>
        <v>41240</v>
      </c>
      <c r="E63" s="14">
        <f>SUM(E57:E62)+E54</f>
        <v>49014</v>
      </c>
      <c r="F63" s="14">
        <f>SUM(F57:F62)+F54</f>
        <v>51040</v>
      </c>
      <c r="G63" s="14">
        <f>SUM(G57:G62)+G54</f>
        <v>55154</v>
      </c>
      <c r="I63" s="14">
        <f>SUM(I57:I62)+I54</f>
        <v>42820</v>
      </c>
      <c r="J63" s="14">
        <f>SUM(J57:J62)+J54</f>
        <v>44302</v>
      </c>
      <c r="K63" s="14">
        <f>SUM(K57:K62)+K54</f>
        <v>47020</v>
      </c>
      <c r="L63" s="14">
        <f>SUM(L57:L62)+L54</f>
        <v>49014</v>
      </c>
      <c r="M63" s="14">
        <f>SUM(M57:M62)+M54</f>
        <v>50014</v>
      </c>
      <c r="N63" s="14">
        <f>SUM(N57:N62)+N54</f>
        <v>48362</v>
      </c>
      <c r="O63" s="14">
        <f>SUM(O57:O62)+O54</f>
        <v>49002</v>
      </c>
      <c r="P63" s="14">
        <f>SUM(P57:P62)+P54</f>
        <v>51040</v>
      </c>
      <c r="Q63" s="14">
        <f>SUM(Q57:Q62)+Q54</f>
        <v>52135</v>
      </c>
      <c r="R63" s="14">
        <f>SUM(R57:R62)+R54</f>
        <v>53167</v>
      </c>
      <c r="S63" s="14">
        <f>SUM(S57:S62)+S54</f>
        <v>52741</v>
      </c>
      <c r="T63" s="14">
        <f>SUM(T57:T62)+T54</f>
        <v>55154</v>
      </c>
      <c r="U63" s="14">
        <f>SUM(U57:U62)+U54</f>
        <v>0</v>
      </c>
      <c r="V63" s="14">
        <f>SUM(V57:V62)+V54</f>
        <v>0</v>
      </c>
      <c r="W63" s="14">
        <f>SUM(W57:W62)+W54</f>
        <v>0</v>
      </c>
      <c r="Y63" s="14">
        <f>SUM(Y57:Y62)+Y54</f>
        <v>8061</v>
      </c>
      <c r="Z63" s="14">
        <f>SUM(Z57:Z62)+Z54</f>
        <v>8718</v>
      </c>
      <c r="AA63" s="14">
        <f>SUM(AA57:AA62)+AA54</f>
        <v>4454</v>
      </c>
      <c r="AB63" s="14">
        <f>SUM(AB57:AB62)+AB54</f>
        <v>4576</v>
      </c>
      <c r="AC63" s="14">
        <f>SUM(AC57:AC62)+AC54</f>
        <v>6900</v>
      </c>
      <c r="AD63" s="14">
        <f>SUM(AD57:AD62)+AD54</f>
        <v>5965</v>
      </c>
      <c r="AE63" s="14">
        <f>SUM(AE57:AE62)+AE54</f>
        <v>8860</v>
      </c>
      <c r="AF63" s="14">
        <f>SUM(AF57:AF62)+AF54</f>
        <v>11760</v>
      </c>
      <c r="AG63" s="14">
        <f>SUM(AG57:AG62)+AG54</f>
        <v>11712</v>
      </c>
      <c r="AH63" s="14">
        <f>SUM(AH57:AH62)+AH54</f>
        <v>13197</v>
      </c>
      <c r="AI63" s="14">
        <f>SUM(AI57:AI62)+AI54</f>
        <v>12190</v>
      </c>
      <c r="AJ63" s="14">
        <f>SUM(AJ57:AJ62)+AJ54</f>
        <v>13011</v>
      </c>
      <c r="AK63" s="14">
        <f>SUM(AK57:AK62)+AK54</f>
        <v>0</v>
      </c>
      <c r="AL63" s="14">
        <f>SUM(AL57:AL62)+AL54</f>
        <v>0</v>
      </c>
      <c r="AM63" s="35">
        <f>SUM(AM57:AM62)+AM54</f>
        <v>0</v>
      </c>
      <c r="AN63" s="44"/>
      <c r="AO63" s="80">
        <f t="shared" si="57"/>
        <v>-1</v>
      </c>
    </row>
    <row r="64" spans="2:41" ht="12.75" customHeight="1">
      <c r="B64" s="26"/>
      <c r="C64" s="53"/>
      <c r="D64" s="53"/>
      <c r="E64" s="53"/>
      <c r="F64" s="43"/>
      <c r="G64" s="43"/>
      <c r="I64" s="43"/>
      <c r="J64" s="43"/>
      <c r="K64" s="43"/>
      <c r="L64" s="43"/>
      <c r="M64" s="43"/>
      <c r="N64" s="43"/>
      <c r="O64" s="43"/>
      <c r="P64" s="43"/>
      <c r="Q64" s="43"/>
      <c r="R64" s="43"/>
      <c r="S64" s="43"/>
      <c r="T64" s="43"/>
      <c r="U64" s="43"/>
      <c r="V64" s="43"/>
      <c r="W64" s="43"/>
      <c r="Y64" s="44"/>
      <c r="Z64" s="44"/>
      <c r="AA64" s="44"/>
      <c r="AB64" s="44"/>
      <c r="AC64" s="44"/>
      <c r="AD64" s="44"/>
      <c r="AE64" s="44"/>
      <c r="AF64" s="44"/>
      <c r="AG64" s="44"/>
      <c r="AH64" s="44"/>
      <c r="AI64" s="44"/>
      <c r="AJ64" s="44"/>
      <c r="AK64" s="44"/>
      <c r="AL64" s="44"/>
      <c r="AM64" s="44"/>
      <c r="AN64" s="44"/>
      <c r="AO64" s="41"/>
    </row>
    <row r="65" spans="2:41" ht="12.75" customHeight="1">
      <c r="B65" s="82" t="s">
        <v>52</v>
      </c>
      <c r="C65" s="53"/>
      <c r="D65" s="53"/>
      <c r="E65" s="53"/>
      <c r="F65" s="43"/>
      <c r="G65" s="43"/>
      <c r="I65" s="43"/>
      <c r="J65" s="43"/>
      <c r="K65" s="43"/>
      <c r="L65" s="43"/>
      <c r="M65" s="43"/>
      <c r="N65" s="43"/>
      <c r="O65" s="43"/>
      <c r="P65" s="43"/>
      <c r="Q65" s="43"/>
      <c r="R65" s="43"/>
      <c r="S65" s="43"/>
      <c r="T65" s="43"/>
      <c r="U65" s="43"/>
      <c r="V65" s="43"/>
      <c r="W65" s="43"/>
      <c r="Y65" s="44"/>
      <c r="Z65" s="44"/>
      <c r="AA65" s="44"/>
      <c r="AB65" s="44"/>
      <c r="AC65" s="44"/>
      <c r="AD65" s="44"/>
      <c r="AE65" s="44"/>
      <c r="AF65" s="44"/>
      <c r="AG65" s="44"/>
      <c r="AH65" s="44"/>
      <c r="AI65" s="44"/>
      <c r="AJ65" s="44"/>
      <c r="AK65" s="44"/>
      <c r="AL65" s="44"/>
      <c r="AM65" s="44"/>
      <c r="AN65" s="44"/>
      <c r="AO65" s="41"/>
    </row>
    <row r="66" spans="2:41" ht="12.75" customHeight="1">
      <c r="B66" s="125" t="s">
        <v>180</v>
      </c>
      <c r="C66" s="126">
        <v>2248</v>
      </c>
      <c r="D66" s="126">
        <v>2750</v>
      </c>
      <c r="E66" s="126">
        <v>3796</v>
      </c>
      <c r="F66" s="126">
        <v>1912</v>
      </c>
      <c r="G66" s="126">
        <v>2584</v>
      </c>
      <c r="I66" s="86">
        <v>3526</v>
      </c>
      <c r="J66" s="86">
        <v>3724</v>
      </c>
      <c r="K66" s="86">
        <v>3752</v>
      </c>
      <c r="L66" s="102">
        <f t="shared" ref="L66" si="61">E66</f>
        <v>3796</v>
      </c>
      <c r="M66" s="86">
        <v>2562</v>
      </c>
      <c r="N66" s="86">
        <v>1430</v>
      </c>
      <c r="O66" s="86">
        <v>1744</v>
      </c>
      <c r="P66" s="33">
        <f t="shared" ref="P66" si="62">F66</f>
        <v>1912</v>
      </c>
      <c r="Q66" s="86">
        <v>2147</v>
      </c>
      <c r="R66" s="86">
        <v>2314</v>
      </c>
      <c r="S66" s="86">
        <v>2586</v>
      </c>
      <c r="T66" s="33">
        <f t="shared" ref="T66" si="63">G66</f>
        <v>2584</v>
      </c>
      <c r="U66" s="86"/>
      <c r="V66" s="86"/>
      <c r="W66" s="86"/>
      <c r="Y66" s="102">
        <f>I66</f>
        <v>3526</v>
      </c>
      <c r="Z66" s="102">
        <f>J66</f>
        <v>3724</v>
      </c>
      <c r="AA66" s="102">
        <f>K66</f>
        <v>3752</v>
      </c>
      <c r="AB66" s="102">
        <f>L66</f>
        <v>3796</v>
      </c>
      <c r="AC66" s="102">
        <f>M66</f>
        <v>2562</v>
      </c>
      <c r="AD66" s="102">
        <f>N66</f>
        <v>1430</v>
      </c>
      <c r="AE66" s="102">
        <f>O66</f>
        <v>1744</v>
      </c>
      <c r="AF66" s="102">
        <f>P66</f>
        <v>1912</v>
      </c>
      <c r="AG66" s="102">
        <f>Q66</f>
        <v>2147</v>
      </c>
      <c r="AH66" s="102">
        <f>R66</f>
        <v>2314</v>
      </c>
      <c r="AI66" s="102">
        <f>S66</f>
        <v>2586</v>
      </c>
      <c r="AJ66" s="102">
        <f>T66</f>
        <v>2584</v>
      </c>
      <c r="AK66" s="102">
        <f>U66</f>
        <v>0</v>
      </c>
      <c r="AL66" s="102">
        <f>V66</f>
        <v>0</v>
      </c>
      <c r="AM66" s="102">
        <f>W66</f>
        <v>0</v>
      </c>
      <c r="AN66" s="11"/>
      <c r="AO66" s="79">
        <f t="shared" ref="AO66:AO72" si="64">SUM(AM66/AI66)-1</f>
        <v>-1</v>
      </c>
    </row>
    <row r="67" spans="2:41" ht="12.75" customHeight="1">
      <c r="B67" s="125" t="s">
        <v>181</v>
      </c>
      <c r="C67" s="126">
        <v>1053</v>
      </c>
      <c r="D67" s="126">
        <v>1531</v>
      </c>
      <c r="E67" s="126">
        <v>1486</v>
      </c>
      <c r="F67" s="126">
        <v>1685</v>
      </c>
      <c r="G67" s="126">
        <v>1834</v>
      </c>
      <c r="I67" s="86">
        <v>1440</v>
      </c>
      <c r="J67" s="86">
        <v>1124</v>
      </c>
      <c r="K67" s="86">
        <v>1578</v>
      </c>
      <c r="L67" s="102">
        <f t="shared" ref="L67:L71" si="65">E67</f>
        <v>1486</v>
      </c>
      <c r="M67" s="86">
        <v>1460</v>
      </c>
      <c r="N67" s="86">
        <v>1227</v>
      </c>
      <c r="O67" s="86">
        <v>1546</v>
      </c>
      <c r="P67" s="33">
        <f t="shared" ref="P67:P71" si="66">F67</f>
        <v>1685</v>
      </c>
      <c r="Q67" s="86">
        <v>1757</v>
      </c>
      <c r="R67" s="86">
        <v>1253</v>
      </c>
      <c r="S67" s="86">
        <v>1780</v>
      </c>
      <c r="T67" s="33">
        <f t="shared" ref="T67:T71" si="67">G67</f>
        <v>1834</v>
      </c>
      <c r="U67" s="86"/>
      <c r="V67" s="86"/>
      <c r="W67" s="86"/>
      <c r="Y67" s="102"/>
      <c r="Z67" s="102"/>
      <c r="AA67" s="102"/>
      <c r="AB67" s="102"/>
      <c r="AC67" s="102"/>
      <c r="AD67" s="102"/>
      <c r="AE67" s="102"/>
      <c r="AF67" s="102"/>
      <c r="AG67" s="102"/>
      <c r="AH67" s="102"/>
      <c r="AI67" s="102"/>
      <c r="AJ67" s="102"/>
      <c r="AK67" s="102"/>
      <c r="AL67" s="102"/>
      <c r="AM67" s="102"/>
      <c r="AN67" s="11"/>
      <c r="AO67" s="79"/>
    </row>
    <row r="68" spans="2:41" ht="12.75" customHeight="1">
      <c r="B68" s="125" t="s">
        <v>182</v>
      </c>
      <c r="C68" s="126">
        <v>568</v>
      </c>
      <c r="D68" s="126">
        <v>612</v>
      </c>
      <c r="E68" s="126">
        <v>369</v>
      </c>
      <c r="F68" s="126">
        <v>293</v>
      </c>
      <c r="G68" s="126">
        <v>297</v>
      </c>
      <c r="I68" s="86">
        <v>604</v>
      </c>
      <c r="J68" s="86">
        <v>534</v>
      </c>
      <c r="K68" s="86">
        <v>463</v>
      </c>
      <c r="L68" s="102">
        <f t="shared" si="65"/>
        <v>369</v>
      </c>
      <c r="M68" s="86">
        <v>289</v>
      </c>
      <c r="N68" s="86">
        <v>277</v>
      </c>
      <c r="O68" s="86">
        <v>249</v>
      </c>
      <c r="P68" s="33">
        <f t="shared" si="66"/>
        <v>293</v>
      </c>
      <c r="Q68" s="86">
        <v>210</v>
      </c>
      <c r="R68" s="86">
        <v>253</v>
      </c>
      <c r="S68" s="86">
        <v>263</v>
      </c>
      <c r="T68" s="33">
        <f t="shared" si="67"/>
        <v>297</v>
      </c>
      <c r="U68" s="86"/>
      <c r="V68" s="86"/>
      <c r="W68" s="86"/>
      <c r="Y68" s="102">
        <f>I68</f>
        <v>604</v>
      </c>
      <c r="Z68" s="102">
        <f>J68</f>
        <v>534</v>
      </c>
      <c r="AA68" s="102">
        <f>K68</f>
        <v>463</v>
      </c>
      <c r="AB68" s="102">
        <f>L68</f>
        <v>369</v>
      </c>
      <c r="AC68" s="102">
        <f>M68</f>
        <v>289</v>
      </c>
      <c r="AD68" s="102">
        <f>N68</f>
        <v>277</v>
      </c>
      <c r="AE68" s="102">
        <f>O68</f>
        <v>249</v>
      </c>
      <c r="AF68" s="102">
        <f>P68</f>
        <v>293</v>
      </c>
      <c r="AG68" s="102">
        <f>Q68</f>
        <v>210</v>
      </c>
      <c r="AH68" s="102">
        <f>R68</f>
        <v>253</v>
      </c>
      <c r="AI68" s="102">
        <f>S68</f>
        <v>263</v>
      </c>
      <c r="AJ68" s="102">
        <f>T68</f>
        <v>297</v>
      </c>
      <c r="AK68" s="102">
        <f>U68</f>
        <v>0</v>
      </c>
      <c r="AL68" s="102">
        <f>V68</f>
        <v>0</v>
      </c>
      <c r="AM68" s="102">
        <f>W68</f>
        <v>0</v>
      </c>
      <c r="AN68" s="11"/>
      <c r="AO68" s="79">
        <f t="shared" si="64"/>
        <v>-1</v>
      </c>
    </row>
    <row r="69" spans="2:41" ht="12.75" customHeight="1">
      <c r="B69" s="125" t="s">
        <v>110</v>
      </c>
      <c r="C69" s="126">
        <v>500</v>
      </c>
      <c r="D69" s="126">
        <v>2044</v>
      </c>
      <c r="E69" s="126">
        <v>1945</v>
      </c>
      <c r="F69" s="126">
        <v>914</v>
      </c>
      <c r="G69" s="126">
        <v>1364</v>
      </c>
      <c r="I69" s="86">
        <v>2042</v>
      </c>
      <c r="J69" s="86">
        <v>3485</v>
      </c>
      <c r="K69" s="86">
        <v>1945</v>
      </c>
      <c r="L69" s="102">
        <f t="shared" si="65"/>
        <v>1945</v>
      </c>
      <c r="M69" s="86">
        <v>1446</v>
      </c>
      <c r="N69" s="86">
        <v>499</v>
      </c>
      <c r="O69" s="86">
        <v>914</v>
      </c>
      <c r="P69" s="33">
        <f t="shared" si="66"/>
        <v>914</v>
      </c>
      <c r="Q69" s="86">
        <v>914</v>
      </c>
      <c r="R69" s="86">
        <v>914</v>
      </c>
      <c r="S69" s="86">
        <v>1364</v>
      </c>
      <c r="T69" s="33">
        <f t="shared" si="67"/>
        <v>1364</v>
      </c>
      <c r="U69" s="86"/>
      <c r="V69" s="86"/>
      <c r="W69" s="86"/>
      <c r="Y69" s="102">
        <f>I69</f>
        <v>2042</v>
      </c>
      <c r="Z69" s="102">
        <f>J69</f>
        <v>3485</v>
      </c>
      <c r="AA69" s="102">
        <f>K69</f>
        <v>1945</v>
      </c>
      <c r="AB69" s="102">
        <f>L69</f>
        <v>1945</v>
      </c>
      <c r="AC69" s="102">
        <f>M69</f>
        <v>1446</v>
      </c>
      <c r="AD69" s="102">
        <f>N69</f>
        <v>499</v>
      </c>
      <c r="AE69" s="102">
        <f>O69</f>
        <v>914</v>
      </c>
      <c r="AF69" s="102">
        <f>P69</f>
        <v>914</v>
      </c>
      <c r="AG69" s="102">
        <f>Q69</f>
        <v>914</v>
      </c>
      <c r="AH69" s="102">
        <f>R69</f>
        <v>914</v>
      </c>
      <c r="AI69" s="102">
        <f>S69</f>
        <v>1364</v>
      </c>
      <c r="AJ69" s="102">
        <f>T69</f>
        <v>1364</v>
      </c>
      <c r="AK69" s="102">
        <f>U69</f>
        <v>0</v>
      </c>
      <c r="AL69" s="102">
        <f>V69</f>
        <v>0</v>
      </c>
      <c r="AM69" s="102">
        <f>W69</f>
        <v>0</v>
      </c>
      <c r="AN69" s="11"/>
      <c r="AO69" s="79">
        <f t="shared" si="64"/>
        <v>-1</v>
      </c>
    </row>
    <row r="70" spans="2:41" ht="12.75" customHeight="1">
      <c r="B70" s="125" t="s">
        <v>183</v>
      </c>
      <c r="C70" s="126">
        <v>0</v>
      </c>
      <c r="D70" s="126">
        <v>0</v>
      </c>
      <c r="E70" s="126">
        <v>581</v>
      </c>
      <c r="F70" s="126">
        <v>333</v>
      </c>
      <c r="G70" s="126">
        <v>0</v>
      </c>
      <c r="I70" s="86">
        <v>0</v>
      </c>
      <c r="J70" s="86">
        <v>0</v>
      </c>
      <c r="K70" s="86">
        <v>677</v>
      </c>
      <c r="L70" s="102">
        <f t="shared" si="65"/>
        <v>581</v>
      </c>
      <c r="M70" s="86">
        <v>646</v>
      </c>
      <c r="N70" s="86">
        <v>648</v>
      </c>
      <c r="O70" s="86">
        <v>300</v>
      </c>
      <c r="P70" s="33">
        <f t="shared" si="66"/>
        <v>333</v>
      </c>
      <c r="Q70" s="86">
        <v>336</v>
      </c>
      <c r="R70" s="86">
        <v>0</v>
      </c>
      <c r="S70" s="86">
        <v>0</v>
      </c>
      <c r="T70" s="33">
        <f t="shared" si="67"/>
        <v>0</v>
      </c>
      <c r="U70" s="86"/>
      <c r="V70" s="86"/>
      <c r="W70" s="86"/>
      <c r="Y70" s="102">
        <f>I70</f>
        <v>0</v>
      </c>
      <c r="Z70" s="102">
        <f>J70</f>
        <v>0</v>
      </c>
      <c r="AA70" s="102">
        <f>K70</f>
        <v>677</v>
      </c>
      <c r="AB70" s="102">
        <f>L70</f>
        <v>581</v>
      </c>
      <c r="AC70" s="102">
        <f>M70</f>
        <v>646</v>
      </c>
      <c r="AD70" s="102">
        <f>N70</f>
        <v>648</v>
      </c>
      <c r="AE70" s="102">
        <f>O70</f>
        <v>300</v>
      </c>
      <c r="AF70" s="102">
        <f>P70</f>
        <v>333</v>
      </c>
      <c r="AG70" s="102">
        <f>Q70</f>
        <v>336</v>
      </c>
      <c r="AH70" s="102">
        <f>R70</f>
        <v>0</v>
      </c>
      <c r="AI70" s="102">
        <f>S70</f>
        <v>0</v>
      </c>
      <c r="AJ70" s="102">
        <f>T70</f>
        <v>0</v>
      </c>
      <c r="AK70" s="102">
        <f>U70</f>
        <v>0</v>
      </c>
      <c r="AL70" s="102">
        <f>V70</f>
        <v>0</v>
      </c>
      <c r="AM70" s="102">
        <f>W70</f>
        <v>0</v>
      </c>
      <c r="AN70" s="11"/>
      <c r="AO70" s="79" t="e">
        <f t="shared" si="64"/>
        <v>#DIV/0!</v>
      </c>
    </row>
    <row r="71" spans="2:41" ht="12.75" customHeight="1">
      <c r="B71" s="125" t="s">
        <v>184</v>
      </c>
      <c r="C71" s="126">
        <v>4303</v>
      </c>
      <c r="D71" s="126">
        <v>5014</v>
      </c>
      <c r="E71" s="126">
        <v>3689</v>
      </c>
      <c r="F71" s="126">
        <v>4491</v>
      </c>
      <c r="G71" s="126">
        <v>4425</v>
      </c>
      <c r="I71" s="86">
        <v>4661</v>
      </c>
      <c r="J71" s="86">
        <v>4565</v>
      </c>
      <c r="K71" s="86">
        <v>3414</v>
      </c>
      <c r="L71" s="102">
        <f t="shared" si="65"/>
        <v>3689</v>
      </c>
      <c r="M71" s="86">
        <v>3678</v>
      </c>
      <c r="N71" s="86">
        <v>3785</v>
      </c>
      <c r="O71" s="86">
        <v>3710</v>
      </c>
      <c r="P71" s="33">
        <f t="shared" si="66"/>
        <v>4491</v>
      </c>
      <c r="Q71" s="86">
        <v>3805</v>
      </c>
      <c r="R71" s="86">
        <v>4409</v>
      </c>
      <c r="S71" s="86">
        <v>3754</v>
      </c>
      <c r="T71" s="33">
        <f t="shared" si="67"/>
        <v>4425</v>
      </c>
      <c r="U71" s="86"/>
      <c r="V71" s="86"/>
      <c r="W71" s="86"/>
      <c r="Y71" s="102">
        <f>I71</f>
        <v>4661</v>
      </c>
      <c r="Z71" s="102">
        <f>J71</f>
        <v>4565</v>
      </c>
      <c r="AA71" s="102">
        <f>K71</f>
        <v>3414</v>
      </c>
      <c r="AB71" s="102">
        <f>L71</f>
        <v>3689</v>
      </c>
      <c r="AC71" s="102">
        <f>M71</f>
        <v>3678</v>
      </c>
      <c r="AD71" s="102">
        <f>N71</f>
        <v>3785</v>
      </c>
      <c r="AE71" s="102">
        <f>O71</f>
        <v>3710</v>
      </c>
      <c r="AF71" s="102">
        <f>P71</f>
        <v>4491</v>
      </c>
      <c r="AG71" s="102">
        <f>Q71</f>
        <v>3805</v>
      </c>
      <c r="AH71" s="102">
        <f>R71</f>
        <v>4409</v>
      </c>
      <c r="AI71" s="102">
        <f>S71</f>
        <v>3754</v>
      </c>
      <c r="AJ71" s="102">
        <f>T71</f>
        <v>4425</v>
      </c>
      <c r="AK71" s="102">
        <f>U71</f>
        <v>0</v>
      </c>
      <c r="AL71" s="102">
        <f>V71</f>
        <v>0</v>
      </c>
      <c r="AM71" s="102">
        <f>W71</f>
        <v>0</v>
      </c>
      <c r="AN71" s="11"/>
      <c r="AO71" s="79">
        <f t="shared" si="64"/>
        <v>-1</v>
      </c>
    </row>
    <row r="72" spans="2:41" ht="12.75" customHeight="1">
      <c r="B72" s="26" t="s">
        <v>19</v>
      </c>
      <c r="C72" s="27">
        <f t="shared" ref="C72:G72" si="68">SUM(C66:C71)</f>
        <v>8672</v>
      </c>
      <c r="D72" s="27">
        <f t="shared" si="68"/>
        <v>11951</v>
      </c>
      <c r="E72" s="27">
        <f t="shared" si="68"/>
        <v>11866</v>
      </c>
      <c r="F72" s="27">
        <f t="shared" si="68"/>
        <v>9628</v>
      </c>
      <c r="G72" s="27">
        <f t="shared" si="68"/>
        <v>10504</v>
      </c>
      <c r="I72" s="27">
        <f t="shared" ref="I72:W72" si="69">SUM(I66:I71)</f>
        <v>12273</v>
      </c>
      <c r="J72" s="27">
        <f t="shared" si="69"/>
        <v>13432</v>
      </c>
      <c r="K72" s="27">
        <f t="shared" si="69"/>
        <v>11829</v>
      </c>
      <c r="L72" s="27">
        <f t="shared" si="69"/>
        <v>11866</v>
      </c>
      <c r="M72" s="27">
        <f t="shared" si="69"/>
        <v>10081</v>
      </c>
      <c r="N72" s="27">
        <f t="shared" si="69"/>
        <v>7866</v>
      </c>
      <c r="O72" s="27">
        <f t="shared" si="69"/>
        <v>8463</v>
      </c>
      <c r="P72" s="27">
        <f t="shared" si="69"/>
        <v>9628</v>
      </c>
      <c r="Q72" s="27">
        <f t="shared" si="69"/>
        <v>9169</v>
      </c>
      <c r="R72" s="27">
        <f t="shared" si="69"/>
        <v>9143</v>
      </c>
      <c r="S72" s="27">
        <f t="shared" si="69"/>
        <v>9747</v>
      </c>
      <c r="T72" s="27">
        <f t="shared" si="69"/>
        <v>10504</v>
      </c>
      <c r="U72" s="27">
        <f t="shared" si="69"/>
        <v>0</v>
      </c>
      <c r="V72" s="27">
        <f t="shared" si="69"/>
        <v>0</v>
      </c>
      <c r="W72" s="27">
        <f t="shared" si="69"/>
        <v>0</v>
      </c>
      <c r="X72" s="51"/>
      <c r="Y72" s="27">
        <f t="shared" ref="Y72:AM72" si="70">SUM(Y66:Y71)</f>
        <v>10833</v>
      </c>
      <c r="Z72" s="27">
        <f t="shared" si="70"/>
        <v>12308</v>
      </c>
      <c r="AA72" s="27">
        <f t="shared" si="70"/>
        <v>10251</v>
      </c>
      <c r="AB72" s="27">
        <f t="shared" si="70"/>
        <v>10380</v>
      </c>
      <c r="AC72" s="27">
        <f t="shared" si="70"/>
        <v>8621</v>
      </c>
      <c r="AD72" s="27">
        <f t="shared" si="70"/>
        <v>6639</v>
      </c>
      <c r="AE72" s="27">
        <f t="shared" si="70"/>
        <v>6917</v>
      </c>
      <c r="AF72" s="27">
        <f t="shared" si="70"/>
        <v>7943</v>
      </c>
      <c r="AG72" s="27">
        <f t="shared" si="70"/>
        <v>7412</v>
      </c>
      <c r="AH72" s="27">
        <f t="shared" si="70"/>
        <v>7890</v>
      </c>
      <c r="AI72" s="27">
        <f t="shared" si="70"/>
        <v>7967</v>
      </c>
      <c r="AJ72" s="27">
        <f t="shared" si="70"/>
        <v>8670</v>
      </c>
      <c r="AK72" s="27">
        <f t="shared" si="70"/>
        <v>0</v>
      </c>
      <c r="AL72" s="27">
        <f t="shared" si="70"/>
        <v>0</v>
      </c>
      <c r="AM72" s="27">
        <f t="shared" si="70"/>
        <v>0</v>
      </c>
      <c r="AN72" s="44"/>
      <c r="AO72" s="80">
        <f t="shared" si="64"/>
        <v>-1</v>
      </c>
    </row>
    <row r="73" spans="2:41" ht="5.0999999999999996" customHeight="1">
      <c r="B73" s="26"/>
      <c r="C73" s="53"/>
      <c r="D73" s="53"/>
      <c r="E73" s="53"/>
      <c r="F73" s="43"/>
      <c r="G73" s="43"/>
      <c r="I73" s="43"/>
      <c r="J73" s="43"/>
      <c r="K73" s="43"/>
      <c r="L73" s="43"/>
      <c r="M73" s="43"/>
      <c r="N73" s="43"/>
      <c r="O73" s="43"/>
      <c r="P73" s="43"/>
      <c r="Q73" s="43"/>
      <c r="R73" s="43"/>
      <c r="S73" s="43"/>
      <c r="T73" s="43"/>
      <c r="U73" s="43"/>
      <c r="V73" s="43"/>
      <c r="W73" s="43"/>
      <c r="Y73" s="44"/>
      <c r="Z73" s="44"/>
      <c r="AA73" s="44"/>
      <c r="AB73" s="44"/>
      <c r="AC73" s="44"/>
      <c r="AD73" s="44"/>
      <c r="AE73" s="44"/>
      <c r="AF73" s="44"/>
      <c r="AG73" s="44"/>
      <c r="AH73" s="44"/>
      <c r="AI73" s="44"/>
      <c r="AJ73" s="44"/>
      <c r="AK73" s="44"/>
      <c r="AL73" s="44"/>
      <c r="AM73" s="44"/>
      <c r="AN73" s="44"/>
      <c r="AO73" s="41"/>
    </row>
    <row r="74" spans="2:41">
      <c r="B74" s="82" t="s">
        <v>92</v>
      </c>
      <c r="C74" s="53"/>
      <c r="D74" s="53"/>
      <c r="E74" s="53"/>
      <c r="F74" s="43"/>
      <c r="G74" s="43"/>
      <c r="I74" s="43"/>
      <c r="J74" s="43"/>
      <c r="K74" s="43"/>
      <c r="L74" s="43"/>
      <c r="M74" s="43"/>
      <c r="N74" s="43"/>
      <c r="O74" s="43"/>
      <c r="P74" s="43"/>
      <c r="Q74" s="43"/>
      <c r="R74" s="43"/>
      <c r="S74" s="43"/>
      <c r="T74" s="43"/>
      <c r="U74" s="43"/>
      <c r="V74" s="43"/>
      <c r="W74" s="43"/>
      <c r="Y74" s="44"/>
      <c r="Z74" s="44"/>
      <c r="AA74" s="44"/>
      <c r="AB74" s="44"/>
      <c r="AC74" s="44"/>
      <c r="AD74" s="44"/>
      <c r="AE74" s="44"/>
      <c r="AF74" s="44"/>
      <c r="AG74" s="44"/>
      <c r="AH74" s="44"/>
      <c r="AI74" s="44"/>
      <c r="AJ74" s="44"/>
      <c r="AK74" s="44"/>
      <c r="AL74" s="44"/>
      <c r="AM74" s="44"/>
      <c r="AN74" s="44"/>
      <c r="AO74" s="41"/>
    </row>
    <row r="75" spans="2:41" ht="12.75" customHeight="1">
      <c r="B75" s="125" t="s">
        <v>182</v>
      </c>
      <c r="C75" s="126">
        <v>761</v>
      </c>
      <c r="D75" s="126">
        <v>364</v>
      </c>
      <c r="E75" s="126">
        <v>144</v>
      </c>
      <c r="F75" s="126">
        <v>99</v>
      </c>
      <c r="G75" s="126">
        <v>88</v>
      </c>
      <c r="H75" s="54"/>
      <c r="I75" s="86">
        <v>257</v>
      </c>
      <c r="J75" s="86">
        <v>228</v>
      </c>
      <c r="K75" s="86">
        <v>180</v>
      </c>
      <c r="L75" s="102">
        <f t="shared" ref="L75" si="71">E75</f>
        <v>144</v>
      </c>
      <c r="M75" s="86">
        <v>105</v>
      </c>
      <c r="N75" s="86">
        <v>104</v>
      </c>
      <c r="O75" s="86">
        <v>92</v>
      </c>
      <c r="P75" s="33">
        <f t="shared" ref="P75" si="72">F75</f>
        <v>99</v>
      </c>
      <c r="Q75" s="86">
        <v>93</v>
      </c>
      <c r="R75" s="86">
        <v>135</v>
      </c>
      <c r="S75" s="86">
        <v>108</v>
      </c>
      <c r="T75" s="33">
        <f t="shared" ref="T75" si="73">G75</f>
        <v>88</v>
      </c>
      <c r="U75" s="86"/>
      <c r="V75" s="86"/>
      <c r="W75" s="86"/>
      <c r="X75" s="126"/>
      <c r="Y75" s="102">
        <f>I75</f>
        <v>257</v>
      </c>
      <c r="Z75" s="102">
        <f>J75</f>
        <v>228</v>
      </c>
      <c r="AA75" s="102">
        <f>K75</f>
        <v>180</v>
      </c>
      <c r="AB75" s="102">
        <f>L75</f>
        <v>144</v>
      </c>
      <c r="AC75" s="102">
        <f>M75</f>
        <v>105</v>
      </c>
      <c r="AD75" s="102">
        <f>N75</f>
        <v>104</v>
      </c>
      <c r="AE75" s="102">
        <f>O75</f>
        <v>92</v>
      </c>
      <c r="AF75" s="102">
        <f>P75</f>
        <v>99</v>
      </c>
      <c r="AG75" s="102">
        <f>Q75</f>
        <v>93</v>
      </c>
      <c r="AH75" s="102">
        <f>R75</f>
        <v>135</v>
      </c>
      <c r="AI75" s="102">
        <f>S75</f>
        <v>108</v>
      </c>
      <c r="AJ75" s="102">
        <f>T75</f>
        <v>88</v>
      </c>
      <c r="AK75" s="102">
        <f>U75</f>
        <v>0</v>
      </c>
      <c r="AL75" s="102">
        <f>V75</f>
        <v>0</v>
      </c>
      <c r="AM75" s="102">
        <f>W75</f>
        <v>0</v>
      </c>
      <c r="AN75" s="44"/>
      <c r="AO75" s="79">
        <f t="shared" ref="AO75:AO87" si="74">SUM(AM75/AI75)-1</f>
        <v>-1</v>
      </c>
    </row>
    <row r="76" spans="2:41" ht="12.75" customHeight="1">
      <c r="B76" s="125" t="s">
        <v>185</v>
      </c>
      <c r="C76" s="126">
        <v>1872</v>
      </c>
      <c r="D76" s="126">
        <v>1713</v>
      </c>
      <c r="E76" s="126">
        <v>1472</v>
      </c>
      <c r="F76" s="126">
        <v>0</v>
      </c>
      <c r="G76" s="126">
        <v>0</v>
      </c>
      <c r="H76" s="54"/>
      <c r="I76" s="86">
        <v>1687</v>
      </c>
      <c r="J76" s="86">
        <v>1479</v>
      </c>
      <c r="K76" s="86">
        <v>1480</v>
      </c>
      <c r="L76" s="102">
        <f t="shared" ref="L76:L79" si="75">E76</f>
        <v>1472</v>
      </c>
      <c r="M76" s="86">
        <v>1472</v>
      </c>
      <c r="N76" s="86">
        <v>1084</v>
      </c>
      <c r="O76" s="86">
        <v>1098</v>
      </c>
      <c r="P76" s="33">
        <f t="shared" ref="P76:P79" si="76">F76</f>
        <v>0</v>
      </c>
      <c r="Q76" s="86">
        <v>1056</v>
      </c>
      <c r="R76" s="86">
        <v>526</v>
      </c>
      <c r="S76" s="86">
        <v>526</v>
      </c>
      <c r="T76" s="33">
        <f t="shared" ref="T76:T79" si="77">G76</f>
        <v>0</v>
      </c>
      <c r="U76" s="86"/>
      <c r="V76" s="86"/>
      <c r="W76" s="86"/>
      <c r="X76" s="126"/>
      <c r="Y76" s="102"/>
      <c r="Z76" s="102"/>
      <c r="AA76" s="102"/>
      <c r="AB76" s="102"/>
      <c r="AC76" s="102"/>
      <c r="AD76" s="102"/>
      <c r="AE76" s="102"/>
      <c r="AF76" s="102"/>
      <c r="AG76" s="102"/>
      <c r="AH76" s="102"/>
      <c r="AI76" s="102"/>
      <c r="AJ76" s="102"/>
      <c r="AK76" s="102"/>
      <c r="AL76" s="102"/>
      <c r="AM76" s="102"/>
      <c r="AN76" s="44"/>
      <c r="AO76" s="79"/>
    </row>
    <row r="77" spans="2:41" ht="12.75" customHeight="1">
      <c r="B77" s="125" t="s">
        <v>111</v>
      </c>
      <c r="C77" s="126">
        <v>15226</v>
      </c>
      <c r="D77" s="126">
        <v>13701</v>
      </c>
      <c r="E77" s="126">
        <v>13537</v>
      </c>
      <c r="F77" s="126">
        <v>14484</v>
      </c>
      <c r="G77" s="126">
        <v>13270</v>
      </c>
      <c r="H77" s="54"/>
      <c r="I77" s="86">
        <v>13708</v>
      </c>
      <c r="J77" s="86">
        <v>12195</v>
      </c>
      <c r="K77" s="86">
        <v>13600</v>
      </c>
      <c r="L77" s="102">
        <f t="shared" si="75"/>
        <v>13537</v>
      </c>
      <c r="M77" s="86">
        <v>15431</v>
      </c>
      <c r="N77" s="86">
        <v>15486</v>
      </c>
      <c r="O77" s="86">
        <v>14530</v>
      </c>
      <c r="P77" s="33">
        <f t="shared" si="76"/>
        <v>14484</v>
      </c>
      <c r="Q77" s="86">
        <v>14566</v>
      </c>
      <c r="R77" s="86">
        <v>14543</v>
      </c>
      <c r="S77" s="86">
        <v>13190</v>
      </c>
      <c r="T77" s="33">
        <f t="shared" si="77"/>
        <v>13270</v>
      </c>
      <c r="U77" s="86"/>
      <c r="V77" s="86"/>
      <c r="W77" s="86"/>
      <c r="X77" s="126"/>
      <c r="Y77" s="102"/>
      <c r="Z77" s="102"/>
      <c r="AA77" s="102"/>
      <c r="AB77" s="102"/>
      <c r="AC77" s="102"/>
      <c r="AD77" s="102"/>
      <c r="AE77" s="102"/>
      <c r="AF77" s="102"/>
      <c r="AG77" s="102"/>
      <c r="AH77" s="102"/>
      <c r="AI77" s="102"/>
      <c r="AJ77" s="102"/>
      <c r="AK77" s="102"/>
      <c r="AL77" s="102"/>
      <c r="AM77" s="102"/>
      <c r="AN77" s="44"/>
      <c r="AO77" s="79"/>
    </row>
    <row r="78" spans="2:41" ht="12.75" customHeight="1">
      <c r="B78" s="125" t="s">
        <v>183</v>
      </c>
      <c r="C78" s="126">
        <v>0</v>
      </c>
      <c r="D78" s="126">
        <v>0</v>
      </c>
      <c r="E78" s="126">
        <v>119</v>
      </c>
      <c r="F78" s="126">
        <v>38</v>
      </c>
      <c r="G78" s="126">
        <v>0</v>
      </c>
      <c r="H78" s="54"/>
      <c r="I78" s="86">
        <v>0</v>
      </c>
      <c r="J78" s="86">
        <v>0</v>
      </c>
      <c r="K78" s="86">
        <v>128</v>
      </c>
      <c r="L78" s="102">
        <f t="shared" si="75"/>
        <v>119</v>
      </c>
      <c r="M78" s="86">
        <v>111</v>
      </c>
      <c r="N78" s="86">
        <v>116</v>
      </c>
      <c r="O78" s="86">
        <v>36</v>
      </c>
      <c r="P78" s="33">
        <f t="shared" si="76"/>
        <v>38</v>
      </c>
      <c r="Q78" s="86">
        <v>43</v>
      </c>
      <c r="R78" s="86">
        <v>0</v>
      </c>
      <c r="S78" s="86">
        <v>0</v>
      </c>
      <c r="T78" s="33">
        <f t="shared" si="77"/>
        <v>0</v>
      </c>
      <c r="U78" s="86"/>
      <c r="V78" s="86"/>
      <c r="W78" s="86"/>
      <c r="X78" s="126"/>
      <c r="Y78" s="102"/>
      <c r="Z78" s="102"/>
      <c r="AA78" s="102"/>
      <c r="AB78" s="102"/>
      <c r="AC78" s="102"/>
      <c r="AD78" s="102"/>
      <c r="AE78" s="102"/>
      <c r="AF78" s="102"/>
      <c r="AG78" s="102"/>
      <c r="AH78" s="102"/>
      <c r="AI78" s="102"/>
      <c r="AJ78" s="102"/>
      <c r="AK78" s="102"/>
      <c r="AL78" s="102"/>
      <c r="AM78" s="102"/>
      <c r="AN78" s="44"/>
      <c r="AO78" s="79"/>
    </row>
    <row r="79" spans="2:41" ht="12.75" customHeight="1">
      <c r="B79" s="125" t="s">
        <v>186</v>
      </c>
      <c r="C79" s="126">
        <v>2986</v>
      </c>
      <c r="D79" s="126">
        <v>3561</v>
      </c>
      <c r="E79" s="126">
        <v>3863</v>
      </c>
      <c r="F79" s="126">
        <v>5210</v>
      </c>
      <c r="G79" s="126">
        <v>5018</v>
      </c>
      <c r="H79" s="54"/>
      <c r="I79" s="86">
        <v>3562</v>
      </c>
      <c r="J79" s="86">
        <v>3640</v>
      </c>
      <c r="K79" s="86">
        <v>3755</v>
      </c>
      <c r="L79" s="102">
        <f t="shared" si="75"/>
        <v>3863</v>
      </c>
      <c r="M79" s="86">
        <v>4004</v>
      </c>
      <c r="N79" s="86">
        <v>4008</v>
      </c>
      <c r="O79" s="86">
        <v>4113</v>
      </c>
      <c r="P79" s="33">
        <f t="shared" si="76"/>
        <v>5210</v>
      </c>
      <c r="Q79" s="86">
        <v>4150</v>
      </c>
      <c r="R79" s="86">
        <v>4351</v>
      </c>
      <c r="S79" s="86">
        <v>4500</v>
      </c>
      <c r="T79" s="33">
        <f t="shared" si="77"/>
        <v>5018</v>
      </c>
      <c r="U79" s="86"/>
      <c r="V79" s="86"/>
      <c r="W79" s="86"/>
      <c r="X79" s="126"/>
      <c r="Y79" s="102">
        <f>I79</f>
        <v>3562</v>
      </c>
      <c r="Z79" s="102">
        <f>J79</f>
        <v>3640</v>
      </c>
      <c r="AA79" s="102">
        <f>K79</f>
        <v>3755</v>
      </c>
      <c r="AB79" s="102">
        <f>L79</f>
        <v>3863</v>
      </c>
      <c r="AC79" s="102">
        <f>M79</f>
        <v>4004</v>
      </c>
      <c r="AD79" s="102">
        <f>N79</f>
        <v>4008</v>
      </c>
      <c r="AE79" s="102">
        <f>O79</f>
        <v>4113</v>
      </c>
      <c r="AF79" s="102">
        <f>P79</f>
        <v>5210</v>
      </c>
      <c r="AG79" s="102">
        <f>Q79</f>
        <v>4150</v>
      </c>
      <c r="AH79" s="102">
        <f>R79</f>
        <v>4351</v>
      </c>
      <c r="AI79" s="102">
        <f>S79</f>
        <v>4500</v>
      </c>
      <c r="AJ79" s="102">
        <f>T79</f>
        <v>5018</v>
      </c>
      <c r="AK79" s="102">
        <f>U79</f>
        <v>0</v>
      </c>
      <c r="AL79" s="102">
        <f>V79</f>
        <v>0</v>
      </c>
      <c r="AM79" s="102">
        <f>W79</f>
        <v>0</v>
      </c>
      <c r="AN79" s="44"/>
      <c r="AO79" s="79">
        <f t="shared" si="74"/>
        <v>-1</v>
      </c>
    </row>
    <row r="80" spans="2:41" ht="12.75" customHeight="1">
      <c r="B80" s="13" t="s">
        <v>17</v>
      </c>
      <c r="C80" s="14">
        <f>SUM(C75:C79)+C72</f>
        <v>29517</v>
      </c>
      <c r="D80" s="14">
        <f>SUM(D75:D79)+D72</f>
        <v>31290</v>
      </c>
      <c r="E80" s="14">
        <f>SUM(E75:E79)+E72</f>
        <v>31001</v>
      </c>
      <c r="F80" s="14">
        <f>SUM(F75:F79)+F72</f>
        <v>29459</v>
      </c>
      <c r="G80" s="14">
        <f>SUM(G75:G79)+G72</f>
        <v>28880</v>
      </c>
      <c r="I80" s="14">
        <f>SUM(I75:I79)+I72</f>
        <v>31487</v>
      </c>
      <c r="J80" s="14">
        <f>SUM(J75:J79)+J72</f>
        <v>30974</v>
      </c>
      <c r="K80" s="14">
        <f>SUM(K75:K79)+K72</f>
        <v>30972</v>
      </c>
      <c r="L80" s="14">
        <f>SUM(L75:L79)+L72</f>
        <v>31001</v>
      </c>
      <c r="M80" s="14">
        <f>SUM(M75:M79)+M72</f>
        <v>31204</v>
      </c>
      <c r="N80" s="14">
        <f>SUM(N75:N79)+N72</f>
        <v>28664</v>
      </c>
      <c r="O80" s="14">
        <f>SUM(O75:O79)+O72</f>
        <v>28332</v>
      </c>
      <c r="P80" s="14">
        <f>SUM(P75:P79)+P72</f>
        <v>29459</v>
      </c>
      <c r="Q80" s="14">
        <f>SUM(Q75:Q79)+Q72</f>
        <v>29077</v>
      </c>
      <c r="R80" s="14">
        <f>SUM(R75:R79)+R72</f>
        <v>28698</v>
      </c>
      <c r="S80" s="14">
        <f>SUM(S75:S79)+S72</f>
        <v>28071</v>
      </c>
      <c r="T80" s="14">
        <f>SUM(T75:T79)+T72</f>
        <v>28880</v>
      </c>
      <c r="U80" s="14">
        <f>SUM(U75:U79)+U72</f>
        <v>0</v>
      </c>
      <c r="V80" s="14">
        <f>SUM(V75:V79)+V72</f>
        <v>0</v>
      </c>
      <c r="W80" s="14">
        <f>SUM(W75:W79)+W72</f>
        <v>0</v>
      </c>
      <c r="Y80" s="14">
        <f>SUM(Y75:Y79)+Y72</f>
        <v>14652</v>
      </c>
      <c r="Z80" s="14">
        <f>SUM(Z75:Z79)+Z72</f>
        <v>16176</v>
      </c>
      <c r="AA80" s="14">
        <f>SUM(AA75:AA79)+AA72</f>
        <v>14186</v>
      </c>
      <c r="AB80" s="14">
        <f>SUM(AB75:AB79)+AB72</f>
        <v>14387</v>
      </c>
      <c r="AC80" s="14">
        <f>SUM(AC75:AC79)+AC72</f>
        <v>12730</v>
      </c>
      <c r="AD80" s="14">
        <f>SUM(AD75:AD79)+AD72</f>
        <v>10751</v>
      </c>
      <c r="AE80" s="14">
        <f>SUM(AE75:AE79)+AE72</f>
        <v>11122</v>
      </c>
      <c r="AF80" s="14">
        <f>SUM(AF75:AF79)+AF72</f>
        <v>13252</v>
      </c>
      <c r="AG80" s="14">
        <f>SUM(AG75:AG79)+AG72</f>
        <v>11655</v>
      </c>
      <c r="AH80" s="14">
        <f>SUM(AH75:AH79)+AH72</f>
        <v>12376</v>
      </c>
      <c r="AI80" s="14">
        <f>SUM(AI75:AI79)+AI72</f>
        <v>12575</v>
      </c>
      <c r="AJ80" s="14">
        <f>SUM(AJ75:AJ79)+AJ72</f>
        <v>13776</v>
      </c>
      <c r="AK80" s="14">
        <f>SUM(AK75:AK79)+AK72</f>
        <v>0</v>
      </c>
      <c r="AL80" s="14">
        <f>SUM(AL75:AL79)+AL72</f>
        <v>0</v>
      </c>
      <c r="AM80" s="14">
        <f>SUM(AM75:AM79)+AM72</f>
        <v>0</v>
      </c>
      <c r="AN80" s="44"/>
      <c r="AO80" s="80">
        <f t="shared" si="74"/>
        <v>-1</v>
      </c>
    </row>
    <row r="81" spans="1:41" ht="5.0999999999999996" customHeight="1">
      <c r="B81" s="26"/>
      <c r="C81" s="52"/>
      <c r="D81" s="52"/>
      <c r="E81" s="52"/>
      <c r="F81" s="43"/>
      <c r="G81" s="43"/>
      <c r="I81" s="43"/>
      <c r="J81" s="43"/>
      <c r="K81" s="43"/>
      <c r="L81" s="43"/>
      <c r="M81" s="43"/>
      <c r="N81" s="43"/>
      <c r="O81" s="43"/>
      <c r="P81" s="43"/>
      <c r="Q81" s="43"/>
      <c r="R81" s="43"/>
      <c r="S81" s="43"/>
      <c r="T81" s="43"/>
      <c r="U81" s="43"/>
      <c r="V81" s="43"/>
      <c r="W81" s="43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1"/>
    </row>
    <row r="82" spans="1:41" ht="12.75" customHeight="1">
      <c r="B82" s="9" t="s">
        <v>187</v>
      </c>
      <c r="C82" s="86">
        <v>0</v>
      </c>
      <c r="D82" s="86">
        <v>0</v>
      </c>
      <c r="E82" s="86">
        <v>0</v>
      </c>
      <c r="F82" s="86">
        <v>0</v>
      </c>
      <c r="G82" s="86">
        <v>0</v>
      </c>
      <c r="H82" s="33"/>
      <c r="I82" s="86">
        <v>0</v>
      </c>
      <c r="J82" s="86">
        <v>0</v>
      </c>
      <c r="K82" s="86">
        <v>0</v>
      </c>
      <c r="L82" s="102">
        <f>E82</f>
        <v>0</v>
      </c>
      <c r="M82" s="86">
        <v>0</v>
      </c>
      <c r="N82" s="86">
        <v>0</v>
      </c>
      <c r="O82" s="86">
        <v>0</v>
      </c>
      <c r="P82" s="33">
        <f>F82</f>
        <v>0</v>
      </c>
      <c r="Q82" s="86">
        <v>0</v>
      </c>
      <c r="R82" s="86">
        <v>0</v>
      </c>
      <c r="S82" s="86">
        <v>0</v>
      </c>
      <c r="T82" s="33">
        <f>G82</f>
        <v>0</v>
      </c>
      <c r="U82" s="86"/>
      <c r="V82" s="86"/>
      <c r="W82" s="86"/>
      <c r="Y82" s="33">
        <f>I82</f>
        <v>0</v>
      </c>
      <c r="Z82" s="33">
        <f>J82</f>
        <v>0</v>
      </c>
      <c r="AA82" s="33">
        <f>K82</f>
        <v>0</v>
      </c>
      <c r="AB82" s="33">
        <f>L82</f>
        <v>0</v>
      </c>
      <c r="AC82" s="33">
        <f>M82</f>
        <v>0</v>
      </c>
      <c r="AD82" s="33">
        <f>N82</f>
        <v>0</v>
      </c>
      <c r="AE82" s="33">
        <f>O82</f>
        <v>0</v>
      </c>
      <c r="AF82" s="33">
        <f>P82</f>
        <v>0</v>
      </c>
      <c r="AG82" s="33">
        <f>Q82</f>
        <v>0</v>
      </c>
      <c r="AH82" s="33">
        <f>R82</f>
        <v>0</v>
      </c>
      <c r="AI82" s="33">
        <f>S82</f>
        <v>0</v>
      </c>
      <c r="AJ82" s="33">
        <f>T82</f>
        <v>0</v>
      </c>
      <c r="AK82" s="33">
        <f>U82</f>
        <v>0</v>
      </c>
      <c r="AL82" s="33">
        <f>V82</f>
        <v>0</v>
      </c>
      <c r="AM82" s="33">
        <f>W82</f>
        <v>0</v>
      </c>
      <c r="AN82" s="11"/>
      <c r="AO82" s="79" t="e">
        <f t="shared" si="74"/>
        <v>#DIV/0!</v>
      </c>
    </row>
    <row r="83" spans="1:41" ht="12.75" customHeight="1">
      <c r="B83" s="9" t="s">
        <v>188</v>
      </c>
      <c r="C83" s="86">
        <v>586</v>
      </c>
      <c r="D83" s="86">
        <v>0</v>
      </c>
      <c r="E83" s="86">
        <v>195</v>
      </c>
      <c r="F83" s="86">
        <v>490</v>
      </c>
      <c r="G83" s="86">
        <v>0</v>
      </c>
      <c r="H83" s="33"/>
      <c r="I83" s="86">
        <v>0</v>
      </c>
      <c r="J83" s="86">
        <v>0</v>
      </c>
      <c r="K83" s="86">
        <v>0</v>
      </c>
      <c r="L83" s="102">
        <f>E83</f>
        <v>195</v>
      </c>
      <c r="M83" s="86">
        <v>0</v>
      </c>
      <c r="N83" s="86">
        <v>0</v>
      </c>
      <c r="O83" s="86">
        <v>77</v>
      </c>
      <c r="P83" s="33">
        <f>F83</f>
        <v>490</v>
      </c>
      <c r="Q83" s="86">
        <v>0</v>
      </c>
      <c r="R83" s="86">
        <v>66</v>
      </c>
      <c r="S83" s="86">
        <v>0</v>
      </c>
      <c r="T83" s="33">
        <f>G83</f>
        <v>0</v>
      </c>
      <c r="U83" s="86"/>
      <c r="V83" s="86"/>
      <c r="W83" s="86"/>
      <c r="Y83" s="33">
        <f>I83</f>
        <v>0</v>
      </c>
      <c r="Z83" s="33">
        <f>J83</f>
        <v>0</v>
      </c>
      <c r="AA83" s="33">
        <f>K83</f>
        <v>0</v>
      </c>
      <c r="AB83" s="33">
        <f>L83</f>
        <v>195</v>
      </c>
      <c r="AC83" s="33">
        <f>M83</f>
        <v>0</v>
      </c>
      <c r="AD83" s="33">
        <f>N83</f>
        <v>0</v>
      </c>
      <c r="AE83" s="33">
        <f>O83</f>
        <v>77</v>
      </c>
      <c r="AF83" s="33">
        <f>P83</f>
        <v>490</v>
      </c>
      <c r="AG83" s="33">
        <f>Q83</f>
        <v>0</v>
      </c>
      <c r="AH83" s="33">
        <f>R83</f>
        <v>66</v>
      </c>
      <c r="AI83" s="33">
        <f>S83</f>
        <v>0</v>
      </c>
      <c r="AJ83" s="33">
        <f>T83</f>
        <v>0</v>
      </c>
      <c r="AK83" s="33">
        <f>U83</f>
        <v>0</v>
      </c>
      <c r="AL83" s="33">
        <f>V83</f>
        <v>0</v>
      </c>
      <c r="AM83" s="33">
        <f>W83</f>
        <v>0</v>
      </c>
      <c r="AN83" s="11"/>
      <c r="AO83" s="79" t="e">
        <f t="shared" si="74"/>
        <v>#DIV/0!</v>
      </c>
    </row>
    <row r="84" spans="1:41" ht="12.75" customHeight="1">
      <c r="B84" s="9" t="s">
        <v>95</v>
      </c>
      <c r="C84" s="86">
        <v>5284</v>
      </c>
      <c r="D84" s="86">
        <v>9822</v>
      </c>
      <c r="E84" s="86">
        <v>17840</v>
      </c>
      <c r="F84" s="86">
        <v>20733</v>
      </c>
      <c r="G84" s="86">
        <v>25687</v>
      </c>
      <c r="H84" s="33"/>
      <c r="I84" s="86">
        <v>11275</v>
      </c>
      <c r="J84" s="86">
        <v>13113</v>
      </c>
      <c r="K84" s="86">
        <v>15830</v>
      </c>
      <c r="L84" s="102">
        <f>E84</f>
        <v>17840</v>
      </c>
      <c r="M84" s="86">
        <v>18517</v>
      </c>
      <c r="N84" s="86">
        <v>19280</v>
      </c>
      <c r="O84" s="86">
        <v>20163</v>
      </c>
      <c r="P84" s="33">
        <f>F84</f>
        <v>20733</v>
      </c>
      <c r="Q84" s="86">
        <v>22565</v>
      </c>
      <c r="R84" s="86">
        <v>23965</v>
      </c>
      <c r="S84" s="86">
        <v>24273</v>
      </c>
      <c r="T84" s="33">
        <f>G84</f>
        <v>25687</v>
      </c>
      <c r="U84" s="86"/>
      <c r="V84" s="86"/>
      <c r="W84" s="86"/>
      <c r="Y84" s="33">
        <f>I84</f>
        <v>11275</v>
      </c>
      <c r="Z84" s="33">
        <f>J84</f>
        <v>13113</v>
      </c>
      <c r="AA84" s="33">
        <f>K84</f>
        <v>15830</v>
      </c>
      <c r="AB84" s="33">
        <f>L84</f>
        <v>17840</v>
      </c>
      <c r="AC84" s="33">
        <f>M84</f>
        <v>18517</v>
      </c>
      <c r="AD84" s="33">
        <f>N84</f>
        <v>19280</v>
      </c>
      <c r="AE84" s="33">
        <f>O84</f>
        <v>20163</v>
      </c>
      <c r="AF84" s="33">
        <f>P84</f>
        <v>20733</v>
      </c>
      <c r="AG84" s="33">
        <f>Q84</f>
        <v>22565</v>
      </c>
      <c r="AH84" s="33">
        <f>R84</f>
        <v>23965</v>
      </c>
      <c r="AI84" s="33">
        <f>S84</f>
        <v>24273</v>
      </c>
      <c r="AJ84" s="33">
        <f>T84</f>
        <v>25687</v>
      </c>
      <c r="AK84" s="33">
        <f>U84</f>
        <v>0</v>
      </c>
      <c r="AL84" s="33">
        <f>V84</f>
        <v>0</v>
      </c>
      <c r="AM84" s="33">
        <f>W84</f>
        <v>0</v>
      </c>
      <c r="AN84" s="11"/>
      <c r="AO84" s="79">
        <f t="shared" si="74"/>
        <v>-1</v>
      </c>
    </row>
    <row r="85" spans="1:41" ht="12.75" customHeight="1">
      <c r="B85" s="9" t="s">
        <v>189</v>
      </c>
      <c r="C85" s="86">
        <v>207</v>
      </c>
      <c r="D85" s="86">
        <v>128</v>
      </c>
      <c r="E85" s="86">
        <v>-22</v>
      </c>
      <c r="F85" s="86">
        <v>358</v>
      </c>
      <c r="G85" s="86">
        <v>587</v>
      </c>
      <c r="H85" s="33"/>
      <c r="I85" s="86">
        <v>58</v>
      </c>
      <c r="J85" s="86">
        <v>215</v>
      </c>
      <c r="K85" s="86">
        <v>218</v>
      </c>
      <c r="L85" s="102">
        <f>E85</f>
        <v>-22</v>
      </c>
      <c r="M85" s="86">
        <v>293</v>
      </c>
      <c r="N85" s="86">
        <v>418</v>
      </c>
      <c r="O85" s="86">
        <v>430</v>
      </c>
      <c r="P85" s="33">
        <f>F85</f>
        <v>358</v>
      </c>
      <c r="Q85" s="86">
        <v>493</v>
      </c>
      <c r="R85" s="86">
        <v>438</v>
      </c>
      <c r="S85" s="86">
        <v>397</v>
      </c>
      <c r="T85" s="33">
        <f>G85</f>
        <v>587</v>
      </c>
      <c r="U85" s="86"/>
      <c r="V85" s="86"/>
      <c r="W85" s="86"/>
      <c r="Y85" s="33">
        <f>I85</f>
        <v>58</v>
      </c>
      <c r="Z85" s="33">
        <f>J85</f>
        <v>215</v>
      </c>
      <c r="AA85" s="33">
        <f>K85</f>
        <v>218</v>
      </c>
      <c r="AB85" s="33">
        <f>L85</f>
        <v>-22</v>
      </c>
      <c r="AC85" s="33">
        <f>M85</f>
        <v>293</v>
      </c>
      <c r="AD85" s="33">
        <f>N85</f>
        <v>418</v>
      </c>
      <c r="AE85" s="33">
        <f>O85</f>
        <v>430</v>
      </c>
      <c r="AF85" s="33">
        <f>P85</f>
        <v>358</v>
      </c>
      <c r="AG85" s="33">
        <f>Q85</f>
        <v>493</v>
      </c>
      <c r="AH85" s="33">
        <f>R85</f>
        <v>438</v>
      </c>
      <c r="AI85" s="33">
        <f>S85</f>
        <v>397</v>
      </c>
      <c r="AJ85" s="33">
        <f>T85</f>
        <v>587</v>
      </c>
      <c r="AK85" s="33">
        <f>U85</f>
        <v>0</v>
      </c>
      <c r="AL85" s="33">
        <f>V85</f>
        <v>0</v>
      </c>
      <c r="AM85" s="33">
        <f>W85</f>
        <v>0</v>
      </c>
      <c r="AN85" s="11"/>
      <c r="AO85" s="79">
        <f t="shared" si="74"/>
        <v>-1</v>
      </c>
    </row>
    <row r="86" spans="1:41" ht="12.75" customHeight="1">
      <c r="B86" s="13" t="s">
        <v>16</v>
      </c>
      <c r="C86" s="14">
        <f t="shared" ref="C86:G86" si="78">SUM(C82:C85)</f>
        <v>6077</v>
      </c>
      <c r="D86" s="14">
        <f t="shared" si="78"/>
        <v>9950</v>
      </c>
      <c r="E86" s="14">
        <f t="shared" si="78"/>
        <v>18013</v>
      </c>
      <c r="F86" s="14">
        <f t="shared" si="78"/>
        <v>21581</v>
      </c>
      <c r="G86" s="14">
        <f t="shared" si="78"/>
        <v>26274</v>
      </c>
      <c r="H86" s="55"/>
      <c r="I86" s="14">
        <f t="shared" ref="I86:W86" si="79">SUM(I82:I85)</f>
        <v>11333</v>
      </c>
      <c r="J86" s="14">
        <f t="shared" si="79"/>
        <v>13328</v>
      </c>
      <c r="K86" s="14">
        <f t="shared" si="79"/>
        <v>16048</v>
      </c>
      <c r="L86" s="14">
        <f t="shared" si="79"/>
        <v>18013</v>
      </c>
      <c r="M86" s="14">
        <f t="shared" si="79"/>
        <v>18810</v>
      </c>
      <c r="N86" s="14">
        <f t="shared" si="79"/>
        <v>19698</v>
      </c>
      <c r="O86" s="14">
        <f t="shared" si="79"/>
        <v>20670</v>
      </c>
      <c r="P86" s="14">
        <f t="shared" si="79"/>
        <v>21581</v>
      </c>
      <c r="Q86" s="14">
        <f t="shared" si="79"/>
        <v>23058</v>
      </c>
      <c r="R86" s="14">
        <f t="shared" si="79"/>
        <v>24469</v>
      </c>
      <c r="S86" s="14">
        <f t="shared" si="79"/>
        <v>24670</v>
      </c>
      <c r="T86" s="14">
        <f t="shared" si="79"/>
        <v>26274</v>
      </c>
      <c r="U86" s="14">
        <f t="shared" si="79"/>
        <v>0</v>
      </c>
      <c r="V86" s="14">
        <f t="shared" si="79"/>
        <v>0</v>
      </c>
      <c r="W86" s="14">
        <f t="shared" si="79"/>
        <v>0</v>
      </c>
      <c r="Y86" s="14">
        <f t="shared" ref="Y86:AM86" si="80">SUM(Y82:Y85)</f>
        <v>11333</v>
      </c>
      <c r="Z86" s="14">
        <f t="shared" si="80"/>
        <v>13328</v>
      </c>
      <c r="AA86" s="14">
        <f t="shared" si="80"/>
        <v>16048</v>
      </c>
      <c r="AB86" s="14">
        <f t="shared" si="80"/>
        <v>18013</v>
      </c>
      <c r="AC86" s="14">
        <f t="shared" si="80"/>
        <v>18810</v>
      </c>
      <c r="AD86" s="14">
        <f t="shared" si="80"/>
        <v>19698</v>
      </c>
      <c r="AE86" s="14">
        <f t="shared" si="80"/>
        <v>20670</v>
      </c>
      <c r="AF86" s="14">
        <f t="shared" si="80"/>
        <v>21581</v>
      </c>
      <c r="AG86" s="14">
        <f t="shared" si="80"/>
        <v>23058</v>
      </c>
      <c r="AH86" s="14">
        <f t="shared" si="80"/>
        <v>24469</v>
      </c>
      <c r="AI86" s="14">
        <f t="shared" si="80"/>
        <v>24670</v>
      </c>
      <c r="AJ86" s="14">
        <f t="shared" si="80"/>
        <v>26274</v>
      </c>
      <c r="AK86" s="14">
        <f t="shared" si="80"/>
        <v>0</v>
      </c>
      <c r="AL86" s="14">
        <f t="shared" si="80"/>
        <v>0</v>
      </c>
      <c r="AM86" s="14">
        <f t="shared" si="80"/>
        <v>0</v>
      </c>
      <c r="AN86" s="44"/>
      <c r="AO86" s="79">
        <f t="shared" si="74"/>
        <v>-1</v>
      </c>
    </row>
    <row r="87" spans="1:41" ht="12.75" customHeight="1">
      <c r="B87" s="26" t="s">
        <v>56</v>
      </c>
      <c r="C87" s="33">
        <f t="shared" ref="C87:G87" si="81">SUM(C86+C80)</f>
        <v>35594</v>
      </c>
      <c r="D87" s="33">
        <f t="shared" si="81"/>
        <v>41240</v>
      </c>
      <c r="E87" s="33">
        <f t="shared" si="81"/>
        <v>49014</v>
      </c>
      <c r="F87" s="33">
        <f t="shared" si="81"/>
        <v>51040</v>
      </c>
      <c r="G87" s="33">
        <f t="shared" si="81"/>
        <v>55154</v>
      </c>
      <c r="H87" s="33"/>
      <c r="I87" s="33">
        <f t="shared" ref="I87:W87" si="82">SUM(I86+I80)</f>
        <v>42820</v>
      </c>
      <c r="J87" s="33">
        <f t="shared" si="82"/>
        <v>44302</v>
      </c>
      <c r="K87" s="33">
        <f t="shared" si="82"/>
        <v>47020</v>
      </c>
      <c r="L87" s="33">
        <f t="shared" si="82"/>
        <v>49014</v>
      </c>
      <c r="M87" s="33">
        <f t="shared" si="82"/>
        <v>50014</v>
      </c>
      <c r="N87" s="33">
        <f t="shared" si="82"/>
        <v>48362</v>
      </c>
      <c r="O87" s="33">
        <f t="shared" si="82"/>
        <v>49002</v>
      </c>
      <c r="P87" s="33">
        <f t="shared" si="82"/>
        <v>51040</v>
      </c>
      <c r="Q87" s="33">
        <f t="shared" si="82"/>
        <v>52135</v>
      </c>
      <c r="R87" s="33">
        <f t="shared" si="82"/>
        <v>53167</v>
      </c>
      <c r="S87" s="33">
        <f t="shared" si="82"/>
        <v>52741</v>
      </c>
      <c r="T87" s="33">
        <f t="shared" si="82"/>
        <v>55154</v>
      </c>
      <c r="U87" s="33">
        <f t="shared" si="82"/>
        <v>0</v>
      </c>
      <c r="V87" s="33">
        <f t="shared" si="82"/>
        <v>0</v>
      </c>
      <c r="W87" s="33">
        <f t="shared" si="82"/>
        <v>0</v>
      </c>
      <c r="X87" s="33"/>
      <c r="Y87" s="33">
        <f t="shared" ref="Y87:AM87" si="83">SUM(Y86+Y80)</f>
        <v>25985</v>
      </c>
      <c r="Z87" s="33">
        <f t="shared" si="83"/>
        <v>29504</v>
      </c>
      <c r="AA87" s="33">
        <f t="shared" si="83"/>
        <v>30234</v>
      </c>
      <c r="AB87" s="33">
        <f t="shared" si="83"/>
        <v>32400</v>
      </c>
      <c r="AC87" s="33">
        <f t="shared" si="83"/>
        <v>31540</v>
      </c>
      <c r="AD87" s="33">
        <f t="shared" si="83"/>
        <v>30449</v>
      </c>
      <c r="AE87" s="33">
        <f t="shared" si="83"/>
        <v>31792</v>
      </c>
      <c r="AF87" s="33">
        <f t="shared" si="83"/>
        <v>34833</v>
      </c>
      <c r="AG87" s="33">
        <f t="shared" si="83"/>
        <v>34713</v>
      </c>
      <c r="AH87" s="33">
        <f t="shared" si="83"/>
        <v>36845</v>
      </c>
      <c r="AI87" s="33">
        <f t="shared" si="83"/>
        <v>37245</v>
      </c>
      <c r="AJ87" s="33">
        <f t="shared" si="83"/>
        <v>40050</v>
      </c>
      <c r="AK87" s="33">
        <f t="shared" si="83"/>
        <v>0</v>
      </c>
      <c r="AL87" s="33">
        <f t="shared" si="83"/>
        <v>0</v>
      </c>
      <c r="AM87" s="33">
        <f t="shared" si="83"/>
        <v>0</v>
      </c>
      <c r="AN87" s="11"/>
      <c r="AO87" s="80">
        <f t="shared" si="74"/>
        <v>-1</v>
      </c>
    </row>
    <row r="88" spans="1:41" ht="5.0999999999999996" customHeight="1">
      <c r="B88" s="26"/>
      <c r="C88" s="33"/>
      <c r="D88" s="33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33"/>
      <c r="Y88" s="33"/>
      <c r="Z88" s="33"/>
      <c r="AA88" s="33"/>
      <c r="AB88" s="33"/>
      <c r="AC88" s="33"/>
      <c r="AD88" s="33"/>
      <c r="AE88" s="33"/>
      <c r="AF88" s="33"/>
      <c r="AG88" s="33"/>
      <c r="AH88" s="33"/>
      <c r="AI88" s="33"/>
      <c r="AJ88" s="33"/>
      <c r="AK88" s="33"/>
      <c r="AL88" s="33"/>
      <c r="AM88" s="33"/>
      <c r="AN88" s="11"/>
    </row>
    <row r="89" spans="1:41" ht="12.75" customHeight="1">
      <c r="B89" s="149" t="s">
        <v>66</v>
      </c>
      <c r="C89" s="73">
        <f>C87-C63</f>
        <v>0</v>
      </c>
      <c r="D89" s="73">
        <f>D87-D63</f>
        <v>0</v>
      </c>
      <c r="E89" s="73">
        <f>E87-E63</f>
        <v>0</v>
      </c>
      <c r="F89" s="73">
        <f>F87-F63</f>
        <v>0</v>
      </c>
      <c r="G89" s="73">
        <f>G87-G63</f>
        <v>0</v>
      </c>
      <c r="H89" s="74"/>
      <c r="I89" s="73">
        <f>I87-I63</f>
        <v>0</v>
      </c>
      <c r="J89" s="73">
        <f>J87-J63</f>
        <v>0</v>
      </c>
      <c r="K89" s="73">
        <f>K87-K63</f>
        <v>0</v>
      </c>
      <c r="L89" s="73">
        <f>L87-L63</f>
        <v>0</v>
      </c>
      <c r="M89" s="73">
        <f>M87-M63</f>
        <v>0</v>
      </c>
      <c r="N89" s="73">
        <f>N87-N63</f>
        <v>0</v>
      </c>
      <c r="O89" s="73">
        <f>O87-O63</f>
        <v>0</v>
      </c>
      <c r="P89" s="73">
        <f>P87-P63</f>
        <v>0</v>
      </c>
      <c r="Q89" s="73">
        <f>Q87-Q63</f>
        <v>0</v>
      </c>
      <c r="R89" s="73">
        <f>R87-R63</f>
        <v>0</v>
      </c>
      <c r="S89" s="73">
        <f>S87-S63</f>
        <v>0</v>
      </c>
      <c r="T89" s="73">
        <f>T87-T63</f>
        <v>0</v>
      </c>
      <c r="U89" s="73">
        <f>U87-U63</f>
        <v>0</v>
      </c>
      <c r="V89" s="73">
        <f>V87-V63</f>
        <v>0</v>
      </c>
      <c r="W89" s="73">
        <f>W87-W63</f>
        <v>0</v>
      </c>
      <c r="X89" s="29"/>
      <c r="Y89" s="73">
        <f>Y87-Y63</f>
        <v>17924</v>
      </c>
      <c r="Z89" s="73">
        <f>Z87-Z63</f>
        <v>20786</v>
      </c>
      <c r="AA89" s="73">
        <f>AA87-AA63</f>
        <v>25780</v>
      </c>
      <c r="AB89" s="73">
        <f>AB87-AB63</f>
        <v>27824</v>
      </c>
      <c r="AC89" s="73">
        <f>AC87-AC63</f>
        <v>24640</v>
      </c>
      <c r="AD89" s="73">
        <f>AD87-AD63</f>
        <v>24484</v>
      </c>
      <c r="AE89" s="73">
        <f>AE87-AE63</f>
        <v>22932</v>
      </c>
      <c r="AF89" s="73">
        <f>AF87-AF63</f>
        <v>23073</v>
      </c>
      <c r="AG89" s="73">
        <f>AG87-AG63</f>
        <v>23001</v>
      </c>
      <c r="AH89" s="73">
        <f>AH87-AH63</f>
        <v>23648</v>
      </c>
      <c r="AI89" s="73">
        <f>AI87-AI63</f>
        <v>25055</v>
      </c>
      <c r="AJ89" s="73">
        <f>AJ87-AJ63</f>
        <v>27039</v>
      </c>
      <c r="AK89" s="73">
        <f>AK87-AK63</f>
        <v>0</v>
      </c>
      <c r="AL89" s="73">
        <f>AL87-AL63</f>
        <v>0</v>
      </c>
      <c r="AM89" s="73">
        <f>AM87-AM63</f>
        <v>0</v>
      </c>
    </row>
    <row r="90" spans="1:41" ht="5.0999999999999996" customHeight="1" thickBot="1">
      <c r="B90" s="121"/>
      <c r="C90" s="122"/>
      <c r="D90" s="122"/>
      <c r="E90" s="122"/>
      <c r="F90" s="122"/>
      <c r="G90" s="122"/>
      <c r="H90" s="123"/>
      <c r="I90" s="122"/>
      <c r="J90" s="122"/>
      <c r="K90" s="122"/>
      <c r="L90" s="122"/>
      <c r="M90" s="122"/>
      <c r="N90" s="122"/>
      <c r="O90" s="122"/>
      <c r="P90" s="122"/>
      <c r="Q90" s="122"/>
      <c r="R90" s="122"/>
      <c r="S90" s="122"/>
      <c r="T90" s="122"/>
      <c r="U90" s="122"/>
      <c r="V90" s="122"/>
      <c r="W90" s="122"/>
      <c r="X90" s="124"/>
      <c r="Y90" s="122"/>
      <c r="Z90" s="122"/>
      <c r="AA90" s="122"/>
      <c r="AB90" s="122"/>
      <c r="AC90" s="122"/>
      <c r="AD90" s="122"/>
      <c r="AE90" s="122"/>
      <c r="AF90" s="122"/>
      <c r="AG90" s="122"/>
      <c r="AH90" s="122"/>
      <c r="AI90" s="122"/>
      <c r="AJ90" s="122"/>
      <c r="AK90" s="122"/>
      <c r="AL90" s="122"/>
      <c r="AM90" s="122"/>
      <c r="AN90" s="77"/>
      <c r="AO90" s="77"/>
    </row>
    <row r="91" spans="1:41">
      <c r="B91" s="71"/>
      <c r="C91" s="72"/>
      <c r="D91" s="56"/>
      <c r="E91" s="25"/>
      <c r="F91" s="25"/>
      <c r="G91" s="25"/>
      <c r="H91" s="56"/>
    </row>
    <row r="92" spans="1:41" ht="12.75" customHeight="1">
      <c r="A92" s="5" t="s">
        <v>18</v>
      </c>
      <c r="B92" s="103" t="s">
        <v>14</v>
      </c>
      <c r="C92" s="107"/>
      <c r="D92" s="107"/>
      <c r="E92" s="107"/>
      <c r="F92" s="107"/>
      <c r="G92" s="107"/>
      <c r="H92" s="108"/>
      <c r="I92" s="107"/>
      <c r="J92" s="107"/>
      <c r="K92" s="107"/>
      <c r="L92" s="107"/>
      <c r="M92" s="107"/>
      <c r="N92" s="107"/>
      <c r="O92" s="107"/>
      <c r="P92" s="107"/>
      <c r="Q92" s="107"/>
      <c r="R92" s="107"/>
      <c r="S92" s="107"/>
      <c r="T92" s="107"/>
      <c r="U92" s="107"/>
      <c r="V92" s="107"/>
      <c r="W92" s="107"/>
      <c r="X92" s="103"/>
      <c r="Y92" s="107"/>
      <c r="Z92" s="107"/>
      <c r="AA92" s="107"/>
      <c r="AB92" s="107"/>
      <c r="AC92" s="107"/>
      <c r="AD92" s="107"/>
      <c r="AE92" s="107"/>
      <c r="AF92" s="107"/>
      <c r="AG92" s="107"/>
      <c r="AH92" s="107" t="s">
        <v>10</v>
      </c>
      <c r="AI92" s="107"/>
      <c r="AJ92" s="107"/>
      <c r="AK92" s="107"/>
      <c r="AL92" s="107"/>
      <c r="AM92" s="107"/>
      <c r="AN92" s="108"/>
      <c r="AO92" s="167" t="s">
        <v>24</v>
      </c>
    </row>
    <row r="93" spans="1:41" ht="12.75" customHeight="1">
      <c r="B93" s="104" t="str">
        <f>B7</f>
        <v>Fiscal Period</v>
      </c>
      <c r="C93" s="109">
        <f>C7</f>
        <v>2020</v>
      </c>
      <c r="D93" s="109">
        <f>D7</f>
        <v>2021</v>
      </c>
      <c r="E93" s="109">
        <f>E7</f>
        <v>2022</v>
      </c>
      <c r="F93" s="109">
        <f>F7</f>
        <v>2023</v>
      </c>
      <c r="G93" s="109">
        <f>G7</f>
        <v>2024</v>
      </c>
      <c r="H93" s="108"/>
      <c r="I93" s="109" t="str">
        <f>I7</f>
        <v>1Q22</v>
      </c>
      <c r="J93" s="109" t="str">
        <f>J7</f>
        <v>2Q22</v>
      </c>
      <c r="K93" s="109" t="str">
        <f>K7</f>
        <v>3Q22</v>
      </c>
      <c r="L93" s="109" t="str">
        <f>L7</f>
        <v>4Q22</v>
      </c>
      <c r="M93" s="109" t="str">
        <f>M7</f>
        <v>1Q23</v>
      </c>
      <c r="N93" s="109" t="str">
        <f>N7</f>
        <v>2Q23</v>
      </c>
      <c r="O93" s="109" t="str">
        <f>O7</f>
        <v>3Q23</v>
      </c>
      <c r="P93" s="109" t="str">
        <f>P7</f>
        <v>4Q23</v>
      </c>
      <c r="Q93" s="109" t="str">
        <f>Q7</f>
        <v>1Q24</v>
      </c>
      <c r="R93" s="109" t="str">
        <f>R7</f>
        <v>2Q24</v>
      </c>
      <c r="S93" s="109" t="str">
        <f>S7</f>
        <v>3Q24</v>
      </c>
      <c r="T93" s="109" t="str">
        <f>T7</f>
        <v>4Q24</v>
      </c>
      <c r="U93" s="109" t="str">
        <f>U7</f>
        <v>1Q25</v>
      </c>
      <c r="V93" s="109" t="str">
        <f>V7</f>
        <v>2Q25</v>
      </c>
      <c r="W93" s="109" t="str">
        <f>W7</f>
        <v>3Q25</v>
      </c>
      <c r="X93" s="109"/>
      <c r="Y93" s="109" t="str">
        <f>Y7</f>
        <v>1Q22</v>
      </c>
      <c r="Z93" s="109" t="str">
        <f>Z7</f>
        <v>2Q22</v>
      </c>
      <c r="AA93" s="109" t="str">
        <f>AA7</f>
        <v>3Q22</v>
      </c>
      <c r="AB93" s="109" t="str">
        <f>AB7</f>
        <v>4Q22</v>
      </c>
      <c r="AC93" s="109" t="str">
        <f>AC7</f>
        <v>1Q23</v>
      </c>
      <c r="AD93" s="109" t="str">
        <f>AD7</f>
        <v>2Q23</v>
      </c>
      <c r="AE93" s="109" t="str">
        <f>AE7</f>
        <v>3Q23</v>
      </c>
      <c r="AF93" s="109" t="str">
        <f>AF7</f>
        <v>4Q23</v>
      </c>
      <c r="AG93" s="109" t="str">
        <f>AG7</f>
        <v>1Q24</v>
      </c>
      <c r="AH93" s="109" t="str">
        <f>AH7</f>
        <v>2Q24</v>
      </c>
      <c r="AI93" s="109" t="str">
        <f>AI7</f>
        <v>3Q24</v>
      </c>
      <c r="AJ93" s="109" t="str">
        <f>AJ7</f>
        <v>4Q24</v>
      </c>
      <c r="AK93" s="109" t="str">
        <f>AK7</f>
        <v>1Q25</v>
      </c>
      <c r="AL93" s="109" t="str">
        <f>AL7</f>
        <v>2Q25</v>
      </c>
      <c r="AM93" s="109" t="str">
        <f>AM7</f>
        <v>3Q25</v>
      </c>
      <c r="AN93" s="108"/>
      <c r="AO93" s="167"/>
    </row>
    <row r="94" spans="1:41" ht="12.75" customHeight="1">
      <c r="B94" s="104" t="str">
        <f>B8</f>
        <v>Fiscal Period End Date</v>
      </c>
      <c r="C94" s="110">
        <f>C8</f>
        <v>44196</v>
      </c>
      <c r="D94" s="110">
        <f>D8</f>
        <v>44561</v>
      </c>
      <c r="E94" s="110">
        <f>E8</f>
        <v>44926</v>
      </c>
      <c r="F94" s="110">
        <f>F8</f>
        <v>45291</v>
      </c>
      <c r="G94" s="110">
        <f>G8</f>
        <v>45657</v>
      </c>
      <c r="H94" s="108"/>
      <c r="I94" s="110">
        <f>I8</f>
        <v>44651</v>
      </c>
      <c r="J94" s="110">
        <f>J8</f>
        <v>44742</v>
      </c>
      <c r="K94" s="110">
        <f>K8</f>
        <v>44834</v>
      </c>
      <c r="L94" s="110">
        <f>L8</f>
        <v>44926</v>
      </c>
      <c r="M94" s="110">
        <f>M8</f>
        <v>45016</v>
      </c>
      <c r="N94" s="110">
        <f>N8</f>
        <v>45107</v>
      </c>
      <c r="O94" s="110">
        <f>O8</f>
        <v>45199</v>
      </c>
      <c r="P94" s="110">
        <f>P8</f>
        <v>45291</v>
      </c>
      <c r="Q94" s="110">
        <f>Q8</f>
        <v>45382</v>
      </c>
      <c r="R94" s="110">
        <f>R8</f>
        <v>45473</v>
      </c>
      <c r="S94" s="110">
        <f>S8</f>
        <v>45565</v>
      </c>
      <c r="T94" s="110">
        <f>T8</f>
        <v>45657</v>
      </c>
      <c r="U94" s="110">
        <f>U8</f>
        <v>45747</v>
      </c>
      <c r="V94" s="110">
        <f>V8</f>
        <v>45838</v>
      </c>
      <c r="W94" s="110">
        <f>W8</f>
        <v>45930</v>
      </c>
      <c r="X94" s="110"/>
      <c r="Y94" s="110">
        <f>Y8</f>
        <v>44651</v>
      </c>
      <c r="Z94" s="110">
        <f>Z8</f>
        <v>44742</v>
      </c>
      <c r="AA94" s="110">
        <f>AA8</f>
        <v>44834</v>
      </c>
      <c r="AB94" s="110">
        <f>AB8</f>
        <v>44926</v>
      </c>
      <c r="AC94" s="110">
        <f>AC8</f>
        <v>45016</v>
      </c>
      <c r="AD94" s="110">
        <f>AD8</f>
        <v>45107</v>
      </c>
      <c r="AE94" s="110">
        <f>AE8</f>
        <v>45199</v>
      </c>
      <c r="AF94" s="110">
        <f>AF8</f>
        <v>45291</v>
      </c>
      <c r="AG94" s="110">
        <f>AG8</f>
        <v>45382</v>
      </c>
      <c r="AH94" s="110">
        <f>AH8</f>
        <v>45473</v>
      </c>
      <c r="AI94" s="110">
        <f>AI8</f>
        <v>45565</v>
      </c>
      <c r="AJ94" s="110">
        <f>AJ8</f>
        <v>45657</v>
      </c>
      <c r="AK94" s="110">
        <f>AK8</f>
        <v>45747</v>
      </c>
      <c r="AL94" s="110">
        <f>AL8</f>
        <v>45838</v>
      </c>
      <c r="AM94" s="110">
        <f>AM8</f>
        <v>45930</v>
      </c>
      <c r="AN94" s="108"/>
      <c r="AO94" s="167"/>
    </row>
    <row r="95" spans="1:41" ht="5.0999999999999996" customHeight="1">
      <c r="B95" s="57"/>
      <c r="C95" s="50"/>
      <c r="D95" s="50"/>
      <c r="E95" s="50"/>
      <c r="F95" s="50"/>
      <c r="G95" s="50"/>
    </row>
    <row r="96" spans="1:41" ht="12.75" customHeight="1">
      <c r="B96" s="58" t="s">
        <v>57</v>
      </c>
      <c r="C96" s="59"/>
      <c r="D96" s="59"/>
      <c r="E96" s="59"/>
      <c r="F96" s="59"/>
      <c r="G96" s="59"/>
    </row>
    <row r="97" spans="2:41" ht="12.75" customHeight="1">
      <c r="B97" s="60" t="s">
        <v>58</v>
      </c>
      <c r="C97" s="33">
        <f>C30</f>
        <v>5198</v>
      </c>
      <c r="D97" s="33">
        <f>D30</f>
        <v>9043</v>
      </c>
      <c r="E97" s="33">
        <f>E30</f>
        <v>12986</v>
      </c>
      <c r="F97" s="33">
        <f>F30</f>
        <v>7339</v>
      </c>
      <c r="G97" s="33">
        <f>G30</f>
        <v>10110</v>
      </c>
      <c r="H97" s="33"/>
      <c r="I97" s="33">
        <f>I30</f>
        <v>3399</v>
      </c>
      <c r="J97" s="33">
        <f>J30</f>
        <v>2934</v>
      </c>
      <c r="K97" s="33">
        <f>K30</f>
        <v>3730</v>
      </c>
      <c r="L97" s="33">
        <f>L30</f>
        <v>2923</v>
      </c>
      <c r="M97" s="33">
        <f>M30</f>
        <v>2273</v>
      </c>
      <c r="N97" s="33">
        <f>N30</f>
        <v>1702</v>
      </c>
      <c r="O97" s="33">
        <f>O30</f>
        <v>1735</v>
      </c>
      <c r="P97" s="33">
        <f>P30</f>
        <v>1629</v>
      </c>
      <c r="Q97" s="33">
        <f>Q30</f>
        <v>2811</v>
      </c>
      <c r="R97" s="33">
        <f>R30</f>
        <v>2275</v>
      </c>
      <c r="S97" s="33">
        <f>S30</f>
        <v>2108</v>
      </c>
      <c r="T97" s="33">
        <f>T30</f>
        <v>2916</v>
      </c>
      <c r="U97" s="33">
        <f>U30</f>
        <v>0</v>
      </c>
      <c r="V97" s="33">
        <f>V30</f>
        <v>0</v>
      </c>
      <c r="W97" s="33">
        <f>W30</f>
        <v>0</v>
      </c>
      <c r="Y97" s="33">
        <f>SUM(I97:I97)</f>
        <v>3399</v>
      </c>
      <c r="Z97" s="33">
        <f>SUM(I97:J97)</f>
        <v>6333</v>
      </c>
      <c r="AA97" s="33">
        <f>SUM(I97:K97)</f>
        <v>10063</v>
      </c>
      <c r="AB97" s="33">
        <f>SUM(I97:L97)</f>
        <v>12986</v>
      </c>
      <c r="AC97" s="33">
        <f>SUM(J97:M97)</f>
        <v>11860</v>
      </c>
      <c r="AD97" s="33">
        <f>SUM(K97:N97)</f>
        <v>10628</v>
      </c>
      <c r="AE97" s="33">
        <f>SUM(L97:O97)</f>
        <v>8633</v>
      </c>
      <c r="AF97" s="33">
        <f>SUM(M97:P97)</f>
        <v>7339</v>
      </c>
      <c r="AG97" s="33">
        <f>SUM(N97:Q97)</f>
        <v>7877</v>
      </c>
      <c r="AH97" s="33">
        <f>SUM(O97:R97)</f>
        <v>8450</v>
      </c>
      <c r="AI97" s="33">
        <f>SUM(P97:S97)</f>
        <v>8823</v>
      </c>
      <c r="AJ97" s="33">
        <f>SUM(Q97:T97)</f>
        <v>10110</v>
      </c>
      <c r="AK97" s="33">
        <f>SUM(R97:U97)</f>
        <v>7299</v>
      </c>
      <c r="AL97" s="33">
        <f>SUM(S97:V97)</f>
        <v>5024</v>
      </c>
      <c r="AM97" s="33">
        <f>SUM(T97:W97)</f>
        <v>2916</v>
      </c>
      <c r="AN97" s="11"/>
      <c r="AO97" s="79">
        <f>SUM(AM97/AI97)-1</f>
        <v>-0.66950017001020057</v>
      </c>
    </row>
    <row r="98" spans="2:41" ht="5.0999999999999996" customHeight="1">
      <c r="C98" s="33"/>
      <c r="D98" s="33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Y98" s="33"/>
      <c r="Z98" s="33"/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3"/>
      <c r="AN98" s="11"/>
      <c r="AO98" s="79"/>
    </row>
    <row r="99" spans="2:41" ht="12.75" customHeight="1">
      <c r="B99" s="37" t="s">
        <v>65</v>
      </c>
      <c r="C99" s="33"/>
      <c r="D99" s="33"/>
      <c r="E99" s="33"/>
      <c r="F99" s="33"/>
      <c r="G99" s="33"/>
      <c r="H99" s="33"/>
      <c r="I99" s="86"/>
      <c r="J99" s="86"/>
      <c r="K99" s="86"/>
      <c r="L99" s="33"/>
      <c r="M99" s="86"/>
      <c r="N99" s="86"/>
      <c r="O99" s="86"/>
      <c r="P99" s="33"/>
      <c r="Q99" s="86"/>
      <c r="R99" s="86"/>
      <c r="S99" s="86"/>
      <c r="T99" s="33"/>
      <c r="U99" s="86"/>
      <c r="V99" s="86"/>
      <c r="W99" s="86"/>
      <c r="Y99" s="33"/>
      <c r="Z99" s="33"/>
      <c r="AA99" s="33"/>
      <c r="AB99" s="33"/>
      <c r="AC99" s="33"/>
      <c r="AD99" s="33"/>
      <c r="AE99" s="33"/>
      <c r="AF99" s="33"/>
      <c r="AG99" s="33"/>
      <c r="AH99" s="33"/>
      <c r="AI99" s="33"/>
      <c r="AJ99" s="33"/>
      <c r="AK99" s="33"/>
      <c r="AL99" s="33"/>
      <c r="AM99" s="33"/>
      <c r="AN99" s="62"/>
      <c r="AO99" s="79"/>
    </row>
    <row r="100" spans="2:41" ht="12.75" customHeight="1">
      <c r="B100" s="63" t="s">
        <v>190</v>
      </c>
      <c r="C100" s="86">
        <v>1393</v>
      </c>
      <c r="D100" s="86">
        <v>1582</v>
      </c>
      <c r="E100" s="86">
        <v>1762</v>
      </c>
      <c r="F100" s="86">
        <v>1809</v>
      </c>
      <c r="G100" s="86">
        <v>1706</v>
      </c>
      <c r="H100" s="33"/>
      <c r="I100" s="86">
        <v>406</v>
      </c>
      <c r="J100" s="86">
        <f>834-I100</f>
        <v>428</v>
      </c>
      <c r="K100" s="86">
        <v>1272</v>
      </c>
      <c r="L100" s="33">
        <f t="shared" ref="L100:L107" si="84">SUM(E100-SUM(I100:K100))</f>
        <v>-344</v>
      </c>
      <c r="M100" s="86">
        <v>398</v>
      </c>
      <c r="N100" s="86">
        <f>868-M100</f>
        <v>470</v>
      </c>
      <c r="O100" s="86">
        <f>1347-N100-M100</f>
        <v>479</v>
      </c>
      <c r="P100" s="33">
        <f t="shared" ref="P100:P107" si="85">SUM(F100-SUM(M100:O100))</f>
        <v>462</v>
      </c>
      <c r="Q100" s="86">
        <v>437</v>
      </c>
      <c r="R100" s="86">
        <f>848-Q100</f>
        <v>411</v>
      </c>
      <c r="S100" s="86">
        <f>1267-R100-Q100</f>
        <v>419</v>
      </c>
      <c r="T100" s="33">
        <f t="shared" ref="T100:T107" si="86">SUM(G100-SUM(Q100:S100))</f>
        <v>439</v>
      </c>
      <c r="U100" s="86"/>
      <c r="V100" s="86"/>
      <c r="W100" s="86"/>
      <c r="Y100" s="33">
        <f>SUM(I100:I100)</f>
        <v>406</v>
      </c>
      <c r="Z100" s="33">
        <f>SUM(I100:J100)</f>
        <v>834</v>
      </c>
      <c r="AA100" s="33">
        <f>SUM(I100:K100)</f>
        <v>2106</v>
      </c>
      <c r="AB100" s="33">
        <f>SUM(I100:L100)</f>
        <v>1762</v>
      </c>
      <c r="AC100" s="33">
        <f>SUM(J100:M100)</f>
        <v>1754</v>
      </c>
      <c r="AD100" s="33">
        <f>SUM(K100:N100)</f>
        <v>1796</v>
      </c>
      <c r="AE100" s="33">
        <f>SUM(L100:O100)</f>
        <v>1003</v>
      </c>
      <c r="AF100" s="33">
        <f>SUM(M100:P100)</f>
        <v>1809</v>
      </c>
      <c r="AG100" s="33">
        <f>SUM(N100:Q100)</f>
        <v>1848</v>
      </c>
      <c r="AH100" s="33">
        <f>SUM(O100:R100)</f>
        <v>1789</v>
      </c>
      <c r="AI100" s="33">
        <f>SUM(P100:S100)</f>
        <v>1729</v>
      </c>
      <c r="AJ100" s="33">
        <f>SUM(Q100:T100)</f>
        <v>1706</v>
      </c>
      <c r="AK100" s="33">
        <f>SUM(R100:U100)</f>
        <v>1269</v>
      </c>
      <c r="AL100" s="33">
        <f>SUM(S100:V100)</f>
        <v>858</v>
      </c>
      <c r="AM100" s="33">
        <f>SUM(T100:W100)</f>
        <v>439</v>
      </c>
      <c r="AN100" s="11"/>
      <c r="AO100" s="79">
        <f t="shared" ref="AO100:AO115" si="87">SUM(AM100/AI100)-1</f>
        <v>-0.74609600925390396</v>
      </c>
    </row>
    <row r="101" spans="2:41" ht="12.75" customHeight="1">
      <c r="B101" s="63" t="s">
        <v>191</v>
      </c>
      <c r="C101" s="86">
        <v>0</v>
      </c>
      <c r="D101" s="86">
        <v>0</v>
      </c>
      <c r="E101" s="86">
        <v>2</v>
      </c>
      <c r="F101" s="86">
        <v>182</v>
      </c>
      <c r="G101" s="86">
        <v>7</v>
      </c>
      <c r="H101" s="33"/>
      <c r="I101" s="86">
        <v>0</v>
      </c>
      <c r="J101" s="86">
        <f>0-I101</f>
        <v>0</v>
      </c>
      <c r="K101" s="86">
        <v>0</v>
      </c>
      <c r="L101" s="33">
        <f t="shared" si="84"/>
        <v>2</v>
      </c>
      <c r="M101" s="86">
        <v>0</v>
      </c>
      <c r="N101" s="86">
        <f>0-M101</f>
        <v>0</v>
      </c>
      <c r="O101" s="86">
        <v>0</v>
      </c>
      <c r="P101" s="33">
        <f t="shared" si="85"/>
        <v>182</v>
      </c>
      <c r="Q101" s="86"/>
      <c r="R101" s="86">
        <f>0-Q101</f>
        <v>0</v>
      </c>
      <c r="S101" s="86">
        <f>0-R101-Q101</f>
        <v>0</v>
      </c>
      <c r="T101" s="33">
        <f t="shared" si="86"/>
        <v>7</v>
      </c>
      <c r="U101" s="86"/>
      <c r="V101" s="86"/>
      <c r="W101" s="86"/>
      <c r="Y101" s="33">
        <f>SUM(I101:I101)</f>
        <v>0</v>
      </c>
      <c r="Z101" s="33">
        <f>SUM(I101:J101)</f>
        <v>0</v>
      </c>
      <c r="AA101" s="33">
        <f>SUM(I101:K101)</f>
        <v>0</v>
      </c>
      <c r="AB101" s="33">
        <f>SUM(I101:L101)</f>
        <v>2</v>
      </c>
      <c r="AC101" s="33">
        <f>SUM(J101:M101)</f>
        <v>2</v>
      </c>
      <c r="AD101" s="33">
        <f>SUM(K101:N101)</f>
        <v>2</v>
      </c>
      <c r="AE101" s="33">
        <f>SUM(L101:O101)</f>
        <v>2</v>
      </c>
      <c r="AF101" s="33">
        <f>SUM(M101:P101)</f>
        <v>182</v>
      </c>
      <c r="AG101" s="33">
        <f>SUM(N101:Q101)</f>
        <v>182</v>
      </c>
      <c r="AH101" s="33">
        <f>SUM(O101:R101)</f>
        <v>182</v>
      </c>
      <c r="AI101" s="33">
        <f>SUM(P101:S101)</f>
        <v>182</v>
      </c>
      <c r="AJ101" s="33">
        <f>SUM(Q101:T101)</f>
        <v>7</v>
      </c>
      <c r="AK101" s="33">
        <f>SUM(R101:U101)</f>
        <v>7</v>
      </c>
      <c r="AL101" s="33">
        <f>SUM(S101:V101)</f>
        <v>7</v>
      </c>
      <c r="AM101" s="33">
        <f>SUM(T101:W101)</f>
        <v>7</v>
      </c>
      <c r="AN101" s="11"/>
      <c r="AO101" s="79">
        <f t="shared" si="87"/>
        <v>-0.96153846153846156</v>
      </c>
    </row>
    <row r="102" spans="2:41" ht="12.75" customHeight="1">
      <c r="B102" s="63" t="s">
        <v>192</v>
      </c>
      <c r="C102" s="86">
        <v>-309</v>
      </c>
      <c r="D102" s="86">
        <v>-245</v>
      </c>
      <c r="E102" s="86">
        <v>-138</v>
      </c>
      <c r="F102" s="86">
        <v>-1269</v>
      </c>
      <c r="G102" s="86">
        <v>-3064</v>
      </c>
      <c r="H102" s="33"/>
      <c r="I102" s="86">
        <v>272</v>
      </c>
      <c r="J102" s="86">
        <f>-403-I102</f>
        <v>-675</v>
      </c>
      <c r="K102" s="86">
        <v>-234</v>
      </c>
      <c r="L102" s="33">
        <f t="shared" si="84"/>
        <v>499</v>
      </c>
      <c r="M102" s="86">
        <v>-120</v>
      </c>
      <c r="N102" s="86">
        <f>-631-M102</f>
        <v>-511</v>
      </c>
      <c r="O102" s="86">
        <f>-836-N102-M102</f>
        <v>-205</v>
      </c>
      <c r="P102" s="33">
        <f t="shared" si="85"/>
        <v>-433</v>
      </c>
      <c r="Q102" s="86">
        <v>-1012</v>
      </c>
      <c r="R102" s="86">
        <f>-1764-Q102</f>
        <v>-752</v>
      </c>
      <c r="S102" s="86">
        <f>-2538-R102-Q102</f>
        <v>-774</v>
      </c>
      <c r="T102" s="33">
        <f t="shared" si="86"/>
        <v>-526</v>
      </c>
      <c r="U102" s="86"/>
      <c r="V102" s="86"/>
      <c r="W102" s="86"/>
      <c r="Y102" s="33">
        <f>SUM(I102:I102)</f>
        <v>272</v>
      </c>
      <c r="Z102" s="33">
        <f>SUM(I102:J102)</f>
        <v>-403</v>
      </c>
      <c r="AA102" s="33">
        <f>SUM(I102:K102)</f>
        <v>-637</v>
      </c>
      <c r="AB102" s="33">
        <f>SUM(I102:L102)</f>
        <v>-138</v>
      </c>
      <c r="AC102" s="33">
        <f>SUM(J102:M102)</f>
        <v>-530</v>
      </c>
      <c r="AD102" s="33">
        <f>SUM(K102:N102)</f>
        <v>-366</v>
      </c>
      <c r="AE102" s="33">
        <f>SUM(L102:O102)</f>
        <v>-337</v>
      </c>
      <c r="AF102" s="33">
        <f>SUM(M102:P102)</f>
        <v>-1269</v>
      </c>
      <c r="AG102" s="33">
        <f>SUM(N102:Q102)</f>
        <v>-2161</v>
      </c>
      <c r="AH102" s="33">
        <f>SUM(O102:R102)</f>
        <v>-2402</v>
      </c>
      <c r="AI102" s="33">
        <f>SUM(P102:S102)</f>
        <v>-2971</v>
      </c>
      <c r="AJ102" s="33">
        <f>SUM(Q102:T102)</f>
        <v>-3064</v>
      </c>
      <c r="AK102" s="33">
        <f>SUM(R102:U102)</f>
        <v>-2052</v>
      </c>
      <c r="AL102" s="33">
        <f>SUM(S102:V102)</f>
        <v>-1300</v>
      </c>
      <c r="AM102" s="33">
        <f>SUM(T102:W102)</f>
        <v>-526</v>
      </c>
      <c r="AN102" s="11"/>
      <c r="AO102" s="79">
        <f t="shared" si="87"/>
        <v>-0.82295523392797043</v>
      </c>
    </row>
    <row r="103" spans="2:41" ht="12.75" customHeight="1">
      <c r="B103" s="63" t="s">
        <v>193</v>
      </c>
      <c r="C103" s="86">
        <v>1212</v>
      </c>
      <c r="D103" s="86">
        <v>1663</v>
      </c>
      <c r="E103" s="86">
        <v>2031</v>
      </c>
      <c r="F103" s="86">
        <v>2484</v>
      </c>
      <c r="G103" s="86">
        <v>2648</v>
      </c>
      <c r="H103" s="33"/>
      <c r="I103" s="86">
        <v>496</v>
      </c>
      <c r="J103" s="86">
        <f>994-I103</f>
        <v>498</v>
      </c>
      <c r="K103" s="86">
        <v>1510</v>
      </c>
      <c r="L103" s="33">
        <f t="shared" si="84"/>
        <v>-473</v>
      </c>
      <c r="M103" s="86">
        <v>634</v>
      </c>
      <c r="N103" s="86">
        <f>1262-M103</f>
        <v>628</v>
      </c>
      <c r="O103" s="86">
        <f>1876-N103-M103</f>
        <v>614</v>
      </c>
      <c r="P103" s="33">
        <f t="shared" si="85"/>
        <v>608</v>
      </c>
      <c r="Q103" s="86">
        <v>602</v>
      </c>
      <c r="R103" s="86">
        <f>1307-Q103</f>
        <v>705</v>
      </c>
      <c r="S103" s="86">
        <f>1951-R103-Q103</f>
        <v>644</v>
      </c>
      <c r="T103" s="33">
        <f t="shared" si="86"/>
        <v>697</v>
      </c>
      <c r="U103" s="86"/>
      <c r="V103" s="86"/>
      <c r="W103" s="86"/>
      <c r="Y103" s="33">
        <f>SUM(I103:I103)</f>
        <v>496</v>
      </c>
      <c r="Z103" s="33">
        <f>SUM(I103:J103)</f>
        <v>994</v>
      </c>
      <c r="AA103" s="33">
        <f>SUM(I103:K103)</f>
        <v>2504</v>
      </c>
      <c r="AB103" s="33">
        <f>SUM(I103:L103)</f>
        <v>2031</v>
      </c>
      <c r="AC103" s="33">
        <f>SUM(J103:M103)</f>
        <v>2169</v>
      </c>
      <c r="AD103" s="33">
        <f>SUM(K103:N103)</f>
        <v>2299</v>
      </c>
      <c r="AE103" s="33">
        <f>SUM(L103:O103)</f>
        <v>1403</v>
      </c>
      <c r="AF103" s="33">
        <f>SUM(M103:P103)</f>
        <v>2484</v>
      </c>
      <c r="AG103" s="33">
        <f>SUM(N103:Q103)</f>
        <v>2452</v>
      </c>
      <c r="AH103" s="33">
        <f>SUM(O103:R103)</f>
        <v>2529</v>
      </c>
      <c r="AI103" s="33">
        <f>SUM(P103:S103)</f>
        <v>2559</v>
      </c>
      <c r="AJ103" s="33">
        <f>SUM(Q103:T103)</f>
        <v>2648</v>
      </c>
      <c r="AK103" s="33">
        <f>SUM(R103:U103)</f>
        <v>2046</v>
      </c>
      <c r="AL103" s="33">
        <f>SUM(S103:V103)</f>
        <v>1341</v>
      </c>
      <c r="AM103" s="33">
        <f>SUM(T103:W103)</f>
        <v>697</v>
      </c>
      <c r="AN103" s="11"/>
      <c r="AO103" s="79">
        <f t="shared" si="87"/>
        <v>-0.72762797967956239</v>
      </c>
    </row>
    <row r="104" spans="2:41" ht="12.75" customHeight="1">
      <c r="B104" s="63" t="s">
        <v>194</v>
      </c>
      <c r="C104" s="86">
        <v>-336</v>
      </c>
      <c r="D104" s="86">
        <v>-1002</v>
      </c>
      <c r="E104" s="86">
        <v>432</v>
      </c>
      <c r="F104" s="86">
        <v>-152</v>
      </c>
      <c r="G104" s="86">
        <v>-349</v>
      </c>
      <c r="H104" s="33"/>
      <c r="I104" s="86">
        <v>-103</v>
      </c>
      <c r="J104" s="86">
        <f>213-I104</f>
        <v>316</v>
      </c>
      <c r="K104" s="86">
        <v>374</v>
      </c>
      <c r="L104" s="33">
        <f t="shared" si="84"/>
        <v>-155</v>
      </c>
      <c r="M104" s="86">
        <v>-25</v>
      </c>
      <c r="N104" s="86">
        <f>-45-M104</f>
        <v>-20</v>
      </c>
      <c r="O104" s="86">
        <f>-84-N104-M104</f>
        <v>-39</v>
      </c>
      <c r="P104" s="33">
        <f t="shared" si="85"/>
        <v>-68</v>
      </c>
      <c r="Q104" s="86">
        <v>-71</v>
      </c>
      <c r="R104" s="86">
        <f>-273-Q104</f>
        <v>-202</v>
      </c>
      <c r="S104" s="86">
        <f>-314-R104-Q104</f>
        <v>-41</v>
      </c>
      <c r="T104" s="33">
        <f t="shared" si="86"/>
        <v>-35</v>
      </c>
      <c r="U104" s="86"/>
      <c r="V104" s="86"/>
      <c r="W104" s="86"/>
      <c r="Y104" s="33">
        <f>SUM(I104:I104)</f>
        <v>-103</v>
      </c>
      <c r="Z104" s="33">
        <f>SUM(I104:J104)</f>
        <v>213</v>
      </c>
      <c r="AA104" s="33">
        <f>SUM(I104:K104)</f>
        <v>587</v>
      </c>
      <c r="AB104" s="33">
        <f>SUM(I104:L104)</f>
        <v>432</v>
      </c>
      <c r="AC104" s="33">
        <f>SUM(J104:M104)</f>
        <v>510</v>
      </c>
      <c r="AD104" s="33">
        <f>SUM(K104:N104)</f>
        <v>174</v>
      </c>
      <c r="AE104" s="33">
        <f>SUM(L104:O104)</f>
        <v>-239</v>
      </c>
      <c r="AF104" s="33">
        <f>SUM(M104:P104)</f>
        <v>-152</v>
      </c>
      <c r="AG104" s="33">
        <f>SUM(N104:Q104)</f>
        <v>-198</v>
      </c>
      <c r="AH104" s="33">
        <f>SUM(O104:R104)</f>
        <v>-380</v>
      </c>
      <c r="AI104" s="33">
        <f>SUM(P104:S104)</f>
        <v>-382</v>
      </c>
      <c r="AJ104" s="33">
        <f>SUM(Q104:T104)</f>
        <v>-349</v>
      </c>
      <c r="AK104" s="33">
        <f>SUM(R104:U104)</f>
        <v>-278</v>
      </c>
      <c r="AL104" s="33">
        <f>SUM(S104:V104)</f>
        <v>-76</v>
      </c>
      <c r="AM104" s="33">
        <f>SUM(T104:W104)</f>
        <v>-35</v>
      </c>
      <c r="AN104" s="11"/>
      <c r="AO104" s="79">
        <f t="shared" si="87"/>
        <v>-0.90837696335078533</v>
      </c>
    </row>
    <row r="105" spans="2:41" ht="12.75" customHeight="1">
      <c r="B105" s="63" t="s">
        <v>195</v>
      </c>
      <c r="C105" s="86">
        <v>405</v>
      </c>
      <c r="D105" s="86">
        <v>33</v>
      </c>
      <c r="E105" s="86">
        <v>47</v>
      </c>
      <c r="F105" s="86">
        <v>132</v>
      </c>
      <c r="G105" s="86">
        <v>79</v>
      </c>
      <c r="H105" s="33"/>
      <c r="I105" s="86">
        <v>0</v>
      </c>
      <c r="J105" s="86">
        <f>0-I105</f>
        <v>0</v>
      </c>
      <c r="K105" s="86">
        <v>0</v>
      </c>
      <c r="L105" s="33">
        <f t="shared" si="84"/>
        <v>47</v>
      </c>
      <c r="M105" s="86">
        <v>0</v>
      </c>
      <c r="N105" s="86">
        <f>101-M105</f>
        <v>101</v>
      </c>
      <c r="O105" s="86">
        <f>120-N105-M105</f>
        <v>19</v>
      </c>
      <c r="P105" s="33">
        <f t="shared" si="85"/>
        <v>12</v>
      </c>
      <c r="Q105" s="86"/>
      <c r="R105" s="86">
        <f>62-Q105</f>
        <v>62</v>
      </c>
      <c r="S105" s="86">
        <f>66-R105-Q105</f>
        <v>4</v>
      </c>
      <c r="T105" s="33">
        <f t="shared" si="86"/>
        <v>13</v>
      </c>
      <c r="U105" s="86"/>
      <c r="V105" s="86"/>
      <c r="W105" s="86"/>
      <c r="Y105" s="33">
        <f>SUM(I105:I105)</f>
        <v>0</v>
      </c>
      <c r="Z105" s="33">
        <f>SUM(I105:J105)</f>
        <v>0</v>
      </c>
      <c r="AA105" s="33">
        <f>SUM(I105:K105)</f>
        <v>0</v>
      </c>
      <c r="AB105" s="33">
        <f>SUM(I105:L105)</f>
        <v>47</v>
      </c>
      <c r="AC105" s="33">
        <f>SUM(J105:M105)</f>
        <v>47</v>
      </c>
      <c r="AD105" s="33">
        <f>SUM(K105:N105)</f>
        <v>148</v>
      </c>
      <c r="AE105" s="33">
        <f>SUM(L105:O105)</f>
        <v>167</v>
      </c>
      <c r="AF105" s="33">
        <f>SUM(M105:P105)</f>
        <v>132</v>
      </c>
      <c r="AG105" s="33">
        <f>SUM(N105:Q105)</f>
        <v>132</v>
      </c>
      <c r="AH105" s="33">
        <f>SUM(O105:R105)</f>
        <v>93</v>
      </c>
      <c r="AI105" s="33">
        <f>SUM(P105:S105)</f>
        <v>78</v>
      </c>
      <c r="AJ105" s="33">
        <f>SUM(Q105:T105)</f>
        <v>79</v>
      </c>
      <c r="AK105" s="33">
        <f>SUM(R105:U105)</f>
        <v>79</v>
      </c>
      <c r="AL105" s="33">
        <f>SUM(S105:V105)</f>
        <v>17</v>
      </c>
      <c r="AM105" s="33">
        <f>SUM(T105:W105)</f>
        <v>13</v>
      </c>
      <c r="AN105" s="11"/>
      <c r="AO105" s="79">
        <f t="shared" si="87"/>
        <v>-0.83333333333333337</v>
      </c>
    </row>
    <row r="106" spans="2:41" ht="12.75" customHeight="1">
      <c r="B106" s="63" t="s">
        <v>196</v>
      </c>
      <c r="C106" s="86">
        <v>-142</v>
      </c>
      <c r="D106" s="86">
        <v>-77</v>
      </c>
      <c r="E106" s="86">
        <v>-56</v>
      </c>
      <c r="F106" s="86">
        <v>25</v>
      </c>
      <c r="G106" s="86">
        <v>-67</v>
      </c>
      <c r="H106" s="33"/>
      <c r="I106" s="86">
        <v>-25</v>
      </c>
      <c r="J106" s="86">
        <f>-35-I106</f>
        <v>-10</v>
      </c>
      <c r="K106" s="86">
        <v>0</v>
      </c>
      <c r="L106" s="33">
        <f t="shared" si="84"/>
        <v>-21</v>
      </c>
      <c r="M106" s="86">
        <v>-33</v>
      </c>
      <c r="N106" s="86">
        <f>16-M106</f>
        <v>49</v>
      </c>
      <c r="O106" s="86">
        <f>23-N106-M106</f>
        <v>7</v>
      </c>
      <c r="P106" s="33">
        <f t="shared" si="85"/>
        <v>2</v>
      </c>
      <c r="Q106" s="86">
        <v>9</v>
      </c>
      <c r="R106" s="86">
        <f>-30-Q106</f>
        <v>-39</v>
      </c>
      <c r="S106" s="86">
        <f>-63-R106-Q106</f>
        <v>-33</v>
      </c>
      <c r="T106" s="33">
        <f t="shared" si="86"/>
        <v>-4</v>
      </c>
      <c r="U106" s="86"/>
      <c r="V106" s="86"/>
      <c r="W106" s="86"/>
      <c r="Y106" s="33">
        <f>SUM(I106:I106)</f>
        <v>-25</v>
      </c>
      <c r="Z106" s="33">
        <f>SUM(I106:J106)</f>
        <v>-35</v>
      </c>
      <c r="AA106" s="33">
        <f>SUM(I106:K106)</f>
        <v>-35</v>
      </c>
      <c r="AB106" s="33">
        <f>SUM(I106:L106)</f>
        <v>-56</v>
      </c>
      <c r="AC106" s="33">
        <f>SUM(J106:M106)</f>
        <v>-64</v>
      </c>
      <c r="AD106" s="33">
        <f>SUM(K106:N106)</f>
        <v>-5</v>
      </c>
      <c r="AE106" s="33">
        <f>SUM(L106:O106)</f>
        <v>2</v>
      </c>
      <c r="AF106" s="33">
        <f>SUM(M106:P106)</f>
        <v>25</v>
      </c>
      <c r="AG106" s="33">
        <f>SUM(N106:Q106)</f>
        <v>67</v>
      </c>
      <c r="AH106" s="33">
        <f>SUM(O106:R106)</f>
        <v>-21</v>
      </c>
      <c r="AI106" s="33">
        <f>SUM(P106:S106)</f>
        <v>-61</v>
      </c>
      <c r="AJ106" s="33">
        <f>SUM(Q106:T106)</f>
        <v>-67</v>
      </c>
      <c r="AK106" s="33">
        <f>SUM(R106:U106)</f>
        <v>-76</v>
      </c>
      <c r="AL106" s="33">
        <f>SUM(S106:V106)</f>
        <v>-37</v>
      </c>
      <c r="AM106" s="33">
        <f>SUM(T106:W106)</f>
        <v>-4</v>
      </c>
      <c r="AN106" s="11"/>
      <c r="AO106" s="79">
        <f t="shared" si="87"/>
        <v>-0.93442622950819676</v>
      </c>
    </row>
    <row r="107" spans="2:41" ht="12.75" customHeight="1">
      <c r="B107" s="63" t="s">
        <v>197</v>
      </c>
      <c r="C107" s="86">
        <v>0</v>
      </c>
      <c r="D107" s="86">
        <v>0</v>
      </c>
      <c r="E107" s="86">
        <v>-170</v>
      </c>
      <c r="F107" s="86">
        <v>-399</v>
      </c>
      <c r="G107" s="86">
        <v>-91</v>
      </c>
      <c r="H107" s="33"/>
      <c r="I107" s="86">
        <v>0</v>
      </c>
      <c r="J107" s="86">
        <v>0</v>
      </c>
      <c r="K107" s="86">
        <v>0</v>
      </c>
      <c r="L107" s="33">
        <f t="shared" si="84"/>
        <v>-170</v>
      </c>
      <c r="M107" s="86">
        <v>-28</v>
      </c>
      <c r="N107" s="86">
        <v>-33</v>
      </c>
      <c r="O107" s="86">
        <v>-333</v>
      </c>
      <c r="P107" s="33">
        <f t="shared" si="85"/>
        <v>-5</v>
      </c>
      <c r="Q107" s="86">
        <f>-91-P107</f>
        <v>-86</v>
      </c>
      <c r="R107" s="86">
        <f>-91-Q107-P107</f>
        <v>0</v>
      </c>
      <c r="S107" s="86">
        <f t="shared" ref="S107" si="88">SUM(F107-SUM(P107:R107))</f>
        <v>-308</v>
      </c>
      <c r="T107" s="33">
        <f t="shared" si="86"/>
        <v>303</v>
      </c>
      <c r="U107" s="86"/>
      <c r="V107" s="86"/>
      <c r="W107" s="86"/>
      <c r="Y107" s="33"/>
      <c r="Z107" s="33"/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3"/>
      <c r="AN107" s="11"/>
      <c r="AO107" s="79"/>
    </row>
    <row r="108" spans="2:41" ht="12.75" customHeight="1">
      <c r="B108" s="37" t="s">
        <v>13</v>
      </c>
      <c r="C108" s="86"/>
      <c r="D108" s="86"/>
      <c r="E108" s="86"/>
      <c r="F108" s="86"/>
      <c r="G108" s="86"/>
      <c r="H108" s="33"/>
      <c r="I108" s="86"/>
      <c r="J108" s="86"/>
      <c r="K108" s="86"/>
      <c r="L108" s="33"/>
      <c r="M108" s="86"/>
      <c r="N108" s="86"/>
      <c r="O108" s="86"/>
      <c r="P108" s="33"/>
      <c r="Q108" s="86"/>
      <c r="R108" s="86"/>
      <c r="S108" s="86"/>
      <c r="T108" s="33"/>
      <c r="U108" s="86"/>
      <c r="V108" s="86"/>
      <c r="W108" s="86"/>
      <c r="Y108" s="33"/>
      <c r="Z108" s="33"/>
      <c r="AA108" s="33"/>
      <c r="AB108" s="33"/>
      <c r="AC108" s="33"/>
      <c r="AD108" s="33"/>
      <c r="AE108" s="33"/>
      <c r="AF108" s="33"/>
      <c r="AG108" s="33"/>
      <c r="AH108" s="33"/>
      <c r="AI108" s="33"/>
      <c r="AJ108" s="33"/>
      <c r="AK108" s="33"/>
      <c r="AL108" s="33"/>
      <c r="AM108" s="33"/>
      <c r="AN108" s="62"/>
      <c r="AO108" s="79"/>
    </row>
    <row r="109" spans="2:41" ht="12.75" customHeight="1">
      <c r="B109" s="63" t="s">
        <v>172</v>
      </c>
      <c r="C109" s="86">
        <v>-1529</v>
      </c>
      <c r="D109" s="86">
        <v>426</v>
      </c>
      <c r="E109" s="86">
        <v>-2066</v>
      </c>
      <c r="F109" s="86">
        <v>2472</v>
      </c>
      <c r="G109" s="86">
        <v>-768</v>
      </c>
      <c r="H109" s="33"/>
      <c r="I109" s="86">
        <v>-454</v>
      </c>
      <c r="J109" s="86">
        <f>-501-I109</f>
        <v>-47</v>
      </c>
      <c r="K109" s="86">
        <v>-216</v>
      </c>
      <c r="L109" s="33">
        <f>SUM(E109-SUM(I109:K109))</f>
        <v>-1349</v>
      </c>
      <c r="M109" s="86">
        <v>1694</v>
      </c>
      <c r="N109" s="86">
        <f>1964-M109</f>
        <v>270</v>
      </c>
      <c r="O109" s="86">
        <f>1807-N109-M109</f>
        <v>-157</v>
      </c>
      <c r="P109" s="33">
        <f>SUM(F109-SUM(M109:O109))</f>
        <v>665</v>
      </c>
      <c r="Q109" s="86">
        <v>-325</v>
      </c>
      <c r="R109" s="86">
        <f>92-Q109</f>
        <v>417</v>
      </c>
      <c r="S109" s="86">
        <f>221-R109-Q109</f>
        <v>129</v>
      </c>
      <c r="T109" s="33">
        <f>SUM(G109-SUM(Q109:S109))</f>
        <v>-989</v>
      </c>
      <c r="U109" s="86"/>
      <c r="V109" s="86"/>
      <c r="W109" s="86"/>
      <c r="Y109" s="33">
        <f>SUM(I109:I109)</f>
        <v>-454</v>
      </c>
      <c r="Z109" s="33">
        <f>SUM(I109:J109)</f>
        <v>-501</v>
      </c>
      <c r="AA109" s="33">
        <f>SUM(I109:K109)</f>
        <v>-717</v>
      </c>
      <c r="AB109" s="33">
        <f>SUM(I109:L109)</f>
        <v>-2066</v>
      </c>
      <c r="AC109" s="33">
        <f>SUM(J109:M109)</f>
        <v>82</v>
      </c>
      <c r="AD109" s="33">
        <f>SUM(K109:N109)</f>
        <v>399</v>
      </c>
      <c r="AE109" s="33">
        <f>SUM(L109:O109)</f>
        <v>458</v>
      </c>
      <c r="AF109" s="33">
        <f>SUM(M109:P109)</f>
        <v>2472</v>
      </c>
      <c r="AG109" s="33">
        <f>SUM(N109:Q109)</f>
        <v>453</v>
      </c>
      <c r="AH109" s="33">
        <f>SUM(O109:R109)</f>
        <v>600</v>
      </c>
      <c r="AI109" s="33">
        <f>SUM(P109:S109)</f>
        <v>886</v>
      </c>
      <c r="AJ109" s="33">
        <f>SUM(Q109:T109)</f>
        <v>-768</v>
      </c>
      <c r="AK109" s="33">
        <f>SUM(R109:U109)</f>
        <v>-443</v>
      </c>
      <c r="AL109" s="33">
        <f>SUM(S109:V109)</f>
        <v>-860</v>
      </c>
      <c r="AM109" s="33">
        <f>SUM(T109:W109)</f>
        <v>-989</v>
      </c>
      <c r="AN109" s="62"/>
      <c r="AO109" s="79">
        <f t="shared" si="87"/>
        <v>-2.1162528216704288</v>
      </c>
    </row>
    <row r="110" spans="2:41" ht="12.75" customHeight="1">
      <c r="B110" s="63" t="s">
        <v>173</v>
      </c>
      <c r="C110" s="86">
        <v>-1157</v>
      </c>
      <c r="D110" s="86">
        <v>-622</v>
      </c>
      <c r="E110" s="86">
        <v>-3137</v>
      </c>
      <c r="F110" s="86">
        <v>8</v>
      </c>
      <c r="G110" s="86">
        <v>13</v>
      </c>
      <c r="H110" s="33"/>
      <c r="I110" s="86">
        <v>-638</v>
      </c>
      <c r="J110" s="86">
        <f>-1337-I110</f>
        <v>-699</v>
      </c>
      <c r="K110" s="86">
        <v>-2201</v>
      </c>
      <c r="L110" s="33">
        <f t="shared" ref="L110:L112" si="89">SUM(E110-SUM(I110:K110))</f>
        <v>401</v>
      </c>
      <c r="M110" s="86">
        <v>-476</v>
      </c>
      <c r="N110" s="86">
        <f>-396-M110</f>
        <v>80</v>
      </c>
      <c r="O110" s="86">
        <f>-192-N110-M110</f>
        <v>204</v>
      </c>
      <c r="P110" s="33">
        <f t="shared" ref="P110:P112" si="90">SUM(F110-SUM(M110:O110))</f>
        <v>200</v>
      </c>
      <c r="Q110" s="86">
        <v>165</v>
      </c>
      <c r="R110" s="86">
        <f>328-Q110</f>
        <v>163</v>
      </c>
      <c r="S110" s="86">
        <f>397-R110-Q110</f>
        <v>69</v>
      </c>
      <c r="T110" s="33">
        <f t="shared" ref="T110:T112" si="91">SUM(G110-SUM(Q110:S110))</f>
        <v>-384</v>
      </c>
      <c r="U110" s="86"/>
      <c r="V110" s="86"/>
      <c r="W110" s="86"/>
      <c r="Y110" s="33"/>
      <c r="Z110" s="33"/>
      <c r="AA110" s="33"/>
      <c r="AB110" s="33"/>
      <c r="AC110" s="33"/>
      <c r="AD110" s="33"/>
      <c r="AE110" s="33"/>
      <c r="AF110" s="33"/>
      <c r="AG110" s="33"/>
      <c r="AH110" s="33"/>
      <c r="AI110" s="33"/>
      <c r="AJ110" s="33"/>
      <c r="AK110" s="33"/>
      <c r="AL110" s="33"/>
      <c r="AM110" s="33"/>
      <c r="AN110" s="62"/>
      <c r="AO110" s="79"/>
    </row>
    <row r="111" spans="2:41" ht="12.75" customHeight="1">
      <c r="B111" s="63" t="s">
        <v>179</v>
      </c>
      <c r="C111" s="86">
        <v>-110</v>
      </c>
      <c r="D111" s="86">
        <v>-1649</v>
      </c>
      <c r="E111" s="86">
        <v>-2266</v>
      </c>
      <c r="F111" s="86">
        <v>603</v>
      </c>
      <c r="G111" s="86">
        <v>230</v>
      </c>
      <c r="H111" s="33"/>
      <c r="I111" s="86">
        <v>-1504</v>
      </c>
      <c r="J111" s="86">
        <f>-1812-I111</f>
        <v>-308</v>
      </c>
      <c r="K111" s="86">
        <v>-2360</v>
      </c>
      <c r="L111" s="33">
        <f t="shared" si="89"/>
        <v>1906</v>
      </c>
      <c r="M111" s="86">
        <v>409</v>
      </c>
      <c r="N111" s="86">
        <f>615-M111</f>
        <v>206</v>
      </c>
      <c r="O111" s="86">
        <f>604-N111-M111</f>
        <v>-11</v>
      </c>
      <c r="P111" s="33">
        <f t="shared" si="90"/>
        <v>-1</v>
      </c>
      <c r="Q111" s="86">
        <v>115</v>
      </c>
      <c r="R111" s="86">
        <f>221-Q111</f>
        <v>106</v>
      </c>
      <c r="S111" s="86">
        <f>120-R111-Q111</f>
        <v>-101</v>
      </c>
      <c r="T111" s="33">
        <f t="shared" si="91"/>
        <v>110</v>
      </c>
      <c r="U111" s="86"/>
      <c r="V111" s="86"/>
      <c r="W111" s="86"/>
      <c r="Y111" s="33"/>
      <c r="Z111" s="33"/>
      <c r="AA111" s="33"/>
      <c r="AB111" s="33"/>
      <c r="AC111" s="33"/>
      <c r="AD111" s="33"/>
      <c r="AE111" s="33"/>
      <c r="AF111" s="33"/>
      <c r="AG111" s="33"/>
      <c r="AH111" s="33"/>
      <c r="AI111" s="33"/>
      <c r="AJ111" s="33"/>
      <c r="AK111" s="33"/>
      <c r="AL111" s="33"/>
      <c r="AM111" s="33"/>
      <c r="AN111" s="62"/>
      <c r="AO111" s="79"/>
    </row>
    <row r="112" spans="2:41" ht="12.75" customHeight="1">
      <c r="B112" s="63" t="s">
        <v>180</v>
      </c>
      <c r="C112" s="86">
        <v>907</v>
      </c>
      <c r="D112" s="86">
        <v>495</v>
      </c>
      <c r="E112" s="86">
        <v>1036</v>
      </c>
      <c r="F112" s="86">
        <v>-1880</v>
      </c>
      <c r="G112" s="86">
        <v>682</v>
      </c>
      <c r="H112" s="33"/>
      <c r="I112" s="86">
        <v>781</v>
      </c>
      <c r="J112" s="86">
        <f>979-I112</f>
        <v>198</v>
      </c>
      <c r="K112" s="86">
        <v>948</v>
      </c>
      <c r="L112" s="33">
        <f t="shared" si="89"/>
        <v>-891</v>
      </c>
      <c r="M112" s="86">
        <v>-1264</v>
      </c>
      <c r="N112" s="86">
        <f>-2358-M112</f>
        <v>-1094</v>
      </c>
      <c r="O112" s="86">
        <f>-2052-N112-M112</f>
        <v>306</v>
      </c>
      <c r="P112" s="33">
        <f t="shared" si="90"/>
        <v>172</v>
      </c>
      <c r="Q112" s="86">
        <v>241</v>
      </c>
      <c r="R112" s="86">
        <f>420-Q112</f>
        <v>179</v>
      </c>
      <c r="S112" s="86">
        <f>691-R112-Q112</f>
        <v>271</v>
      </c>
      <c r="T112" s="33">
        <f t="shared" si="91"/>
        <v>-9</v>
      </c>
      <c r="U112" s="86"/>
      <c r="V112" s="86"/>
      <c r="W112" s="86"/>
      <c r="Y112" s="33">
        <f>SUM(I112:I112)</f>
        <v>781</v>
      </c>
      <c r="Z112" s="33">
        <f>SUM(I112:J112)</f>
        <v>979</v>
      </c>
      <c r="AA112" s="33">
        <f>SUM(I112:K112)</f>
        <v>1927</v>
      </c>
      <c r="AB112" s="33">
        <f>SUM(I112:L112)</f>
        <v>1036</v>
      </c>
      <c r="AC112" s="33">
        <f>SUM(J112:M112)</f>
        <v>-1009</v>
      </c>
      <c r="AD112" s="33">
        <f>SUM(K112:N112)</f>
        <v>-2301</v>
      </c>
      <c r="AE112" s="33">
        <f>SUM(L112:O112)</f>
        <v>-2943</v>
      </c>
      <c r="AF112" s="33">
        <f>SUM(M112:P112)</f>
        <v>-1880</v>
      </c>
      <c r="AG112" s="33">
        <f>SUM(N112:Q112)</f>
        <v>-375</v>
      </c>
      <c r="AH112" s="33">
        <f>SUM(O112:R112)</f>
        <v>898</v>
      </c>
      <c r="AI112" s="33">
        <f>SUM(P112:S112)</f>
        <v>863</v>
      </c>
      <c r="AJ112" s="33">
        <f>SUM(Q112:T112)</f>
        <v>682</v>
      </c>
      <c r="AK112" s="33">
        <f>SUM(R112:U112)</f>
        <v>441</v>
      </c>
      <c r="AL112" s="33">
        <f>SUM(S112:V112)</f>
        <v>262</v>
      </c>
      <c r="AM112" s="33">
        <f>SUM(T112:W112)</f>
        <v>-9</v>
      </c>
      <c r="AN112" s="62"/>
      <c r="AO112" s="79">
        <f t="shared" si="87"/>
        <v>-1.0104287369640788</v>
      </c>
    </row>
    <row r="113" spans="2:41" ht="12.75" customHeight="1">
      <c r="B113" s="63" t="s">
        <v>198</v>
      </c>
      <c r="C113" s="86">
        <v>528</v>
      </c>
      <c r="D113" s="86">
        <v>1091</v>
      </c>
      <c r="E113" s="86">
        <v>-1043</v>
      </c>
      <c r="F113" s="86">
        <v>1</v>
      </c>
      <c r="G113" s="86">
        <v>1046</v>
      </c>
      <c r="H113" s="33"/>
      <c r="I113" s="86">
        <v>-495</v>
      </c>
      <c r="J113" s="86">
        <f>-371-I113</f>
        <v>124</v>
      </c>
      <c r="K113" s="86">
        <v>-1274</v>
      </c>
      <c r="L113" s="33">
        <f>SUM(E113-SUM(I113:K113))</f>
        <v>602</v>
      </c>
      <c r="M113" s="86">
        <v>-286</v>
      </c>
      <c r="N113" s="86">
        <f>-672-M113</f>
        <v>-386</v>
      </c>
      <c r="O113" s="86">
        <f>-604-N113-M113</f>
        <v>68</v>
      </c>
      <c r="P113" s="33">
        <f>SUM(F113-SUM(M113:O113))</f>
        <v>605</v>
      </c>
      <c r="Q113" s="86">
        <v>74</v>
      </c>
      <c r="R113" s="86">
        <f>286-Q113</f>
        <v>212</v>
      </c>
      <c r="S113" s="86">
        <f>654-R113-Q113</f>
        <v>368</v>
      </c>
      <c r="T113" s="33">
        <f>SUM(G113-SUM(Q113:S113))</f>
        <v>392</v>
      </c>
      <c r="U113" s="86"/>
      <c r="V113" s="86"/>
      <c r="W113" s="86"/>
      <c r="Y113" s="33">
        <f>SUM(I113:I113)</f>
        <v>-495</v>
      </c>
      <c r="Z113" s="33">
        <f>SUM(I113:J113)</f>
        <v>-371</v>
      </c>
      <c r="AA113" s="33">
        <f>SUM(I113:K113)</f>
        <v>-1645</v>
      </c>
      <c r="AB113" s="33">
        <f>SUM(I113:L113)</f>
        <v>-1043</v>
      </c>
      <c r="AC113" s="33">
        <f>SUM(J113:M113)</f>
        <v>-834</v>
      </c>
      <c r="AD113" s="33">
        <f>SUM(K113:N113)</f>
        <v>-1344</v>
      </c>
      <c r="AE113" s="33">
        <f>SUM(L113:O113)</f>
        <v>-2</v>
      </c>
      <c r="AF113" s="33">
        <f>SUM(M113:P113)</f>
        <v>1</v>
      </c>
      <c r="AG113" s="33">
        <f>SUM(N113:Q113)</f>
        <v>361</v>
      </c>
      <c r="AH113" s="33">
        <f>SUM(O113:R113)</f>
        <v>959</v>
      </c>
      <c r="AI113" s="33">
        <f>SUM(P113:S113)</f>
        <v>1259</v>
      </c>
      <c r="AJ113" s="33">
        <f>SUM(Q113:T113)</f>
        <v>1046</v>
      </c>
      <c r="AK113" s="33">
        <f>SUM(R113:U113)</f>
        <v>972</v>
      </c>
      <c r="AL113" s="33">
        <f>SUM(S113:V113)</f>
        <v>760</v>
      </c>
      <c r="AM113" s="33">
        <f>SUM(T113:W113)</f>
        <v>392</v>
      </c>
      <c r="AN113" s="62"/>
      <c r="AO113" s="79">
        <f t="shared" si="87"/>
        <v>-0.68864177918983316</v>
      </c>
    </row>
    <row r="114" spans="2:41" ht="12.75" customHeight="1">
      <c r="B114" s="63" t="s">
        <v>182</v>
      </c>
      <c r="C114" s="86">
        <v>-246</v>
      </c>
      <c r="D114" s="86">
        <v>-202</v>
      </c>
      <c r="E114" s="86">
        <v>-324</v>
      </c>
      <c r="F114" s="86">
        <v>-56</v>
      </c>
      <c r="G114" s="86">
        <v>20</v>
      </c>
      <c r="H114" s="33"/>
      <c r="I114" s="86">
        <v>-78</v>
      </c>
      <c r="J114" s="86">
        <f>-139-I114</f>
        <v>-61</v>
      </c>
      <c r="K114" s="86">
        <v>-232</v>
      </c>
      <c r="L114" s="33">
        <f>SUM(E114-SUM(I114:K114))</f>
        <v>47</v>
      </c>
      <c r="M114" s="86">
        <v>-81</v>
      </c>
      <c r="N114" s="86">
        <f>-86-M114</f>
        <v>-5</v>
      </c>
      <c r="O114" s="86">
        <f>-116-N114-M114</f>
        <v>-30</v>
      </c>
      <c r="P114" s="33">
        <f>SUM(F114-SUM(M114:O114))</f>
        <v>60</v>
      </c>
      <c r="Q114" s="86">
        <v>-81</v>
      </c>
      <c r="R114" s="86">
        <f>10-Q114</f>
        <v>91</v>
      </c>
      <c r="S114" s="86">
        <f>-1-R114-Q114</f>
        <v>-11</v>
      </c>
      <c r="T114" s="33">
        <f>SUM(G114-SUM(Q114:S114))</f>
        <v>21</v>
      </c>
      <c r="U114" s="86"/>
      <c r="V114" s="86"/>
      <c r="W114" s="86"/>
      <c r="Y114" s="33">
        <f>SUM(I114:I114)</f>
        <v>-78</v>
      </c>
      <c r="Z114" s="33">
        <f>SUM(I114:J114)</f>
        <v>-139</v>
      </c>
      <c r="AA114" s="33">
        <f>SUM(I114:K114)</f>
        <v>-371</v>
      </c>
      <c r="AB114" s="33">
        <f>SUM(I114:L114)</f>
        <v>-324</v>
      </c>
      <c r="AC114" s="33">
        <f>SUM(J114:M114)</f>
        <v>-327</v>
      </c>
      <c r="AD114" s="33">
        <f>SUM(K114:N114)</f>
        <v>-271</v>
      </c>
      <c r="AE114" s="33">
        <f>SUM(L114:O114)</f>
        <v>-69</v>
      </c>
      <c r="AF114" s="33">
        <f>SUM(M114:P114)</f>
        <v>-56</v>
      </c>
      <c r="AG114" s="33">
        <f>SUM(N114:Q114)</f>
        <v>-56</v>
      </c>
      <c r="AH114" s="33">
        <f>SUM(O114:R114)</f>
        <v>40</v>
      </c>
      <c r="AI114" s="33">
        <f>SUM(P114:S114)</f>
        <v>59</v>
      </c>
      <c r="AJ114" s="33">
        <f>SUM(Q114:T114)</f>
        <v>20</v>
      </c>
      <c r="AK114" s="33">
        <f>SUM(R114:U114)</f>
        <v>101</v>
      </c>
      <c r="AL114" s="33">
        <f>SUM(S114:V114)</f>
        <v>10</v>
      </c>
      <c r="AM114" s="33">
        <f>SUM(T114:W114)</f>
        <v>21</v>
      </c>
      <c r="AN114" s="62"/>
      <c r="AO114" s="79">
        <f t="shared" si="87"/>
        <v>-0.64406779661016955</v>
      </c>
    </row>
    <row r="115" spans="2:41" ht="12.75" customHeight="1">
      <c r="B115" s="13" t="s">
        <v>59</v>
      </c>
      <c r="C115" s="35">
        <f>SUM(C97:C114)</f>
        <v>5814</v>
      </c>
      <c r="D115" s="14">
        <f>SUM(D97:D114)</f>
        <v>10536</v>
      </c>
      <c r="E115" s="14">
        <f>SUM(E97:E114)</f>
        <v>9096</v>
      </c>
      <c r="F115" s="14">
        <f>SUM(F97:F114)</f>
        <v>11299</v>
      </c>
      <c r="G115" s="14">
        <f>SUM(G97:G114)</f>
        <v>12202</v>
      </c>
      <c r="I115" s="14">
        <f>SUM(I97:I114)</f>
        <v>2057</v>
      </c>
      <c r="J115" s="14">
        <f>SUM(J97:J114)</f>
        <v>2698</v>
      </c>
      <c r="K115" s="14">
        <f>SUM(K97:K114)</f>
        <v>1317</v>
      </c>
      <c r="L115" s="14">
        <f>SUM(L97:L114)</f>
        <v>3024</v>
      </c>
      <c r="M115" s="14">
        <f>SUM(M97:M114)</f>
        <v>3095</v>
      </c>
      <c r="N115" s="14">
        <f>SUM(N97:N114)</f>
        <v>1457</v>
      </c>
      <c r="O115" s="14">
        <f>SUM(O97:O114)</f>
        <v>2657</v>
      </c>
      <c r="P115" s="14">
        <f>SUM(P97:P114)</f>
        <v>4090</v>
      </c>
      <c r="Q115" s="14">
        <f>SUM(Q97:Q114)</f>
        <v>2879</v>
      </c>
      <c r="R115" s="14">
        <f>SUM(R97:R114)</f>
        <v>3628</v>
      </c>
      <c r="S115" s="14">
        <f>SUM(S97:S114)</f>
        <v>2744</v>
      </c>
      <c r="T115" s="14">
        <f>SUM(T97:T114)</f>
        <v>2951</v>
      </c>
      <c r="U115" s="14">
        <f>SUM(U97:U114)</f>
        <v>0</v>
      </c>
      <c r="V115" s="14">
        <f>SUM(V97:V114)</f>
        <v>0</v>
      </c>
      <c r="W115" s="14">
        <f>SUM(W97:W114)</f>
        <v>0</v>
      </c>
      <c r="Y115" s="14">
        <f>SUM(Y97:Y114)</f>
        <v>4199</v>
      </c>
      <c r="Z115" s="14">
        <f>SUM(Z97:Z114)</f>
        <v>7904</v>
      </c>
      <c r="AA115" s="14">
        <f>SUM(AA97:AA114)</f>
        <v>13782</v>
      </c>
      <c r="AB115" s="14">
        <f>SUM(AB97:AB114)</f>
        <v>14669</v>
      </c>
      <c r="AC115" s="14">
        <f>SUM(AC97:AC114)</f>
        <v>13660</v>
      </c>
      <c r="AD115" s="14">
        <f>SUM(AD97:AD114)</f>
        <v>11159</v>
      </c>
      <c r="AE115" s="14">
        <f>SUM(AE97:AE114)</f>
        <v>8078</v>
      </c>
      <c r="AF115" s="14">
        <f>SUM(AF97:AF114)</f>
        <v>11087</v>
      </c>
      <c r="AG115" s="14">
        <f>SUM(AG97:AG114)</f>
        <v>10582</v>
      </c>
      <c r="AH115" s="14">
        <f>SUM(AH97:AH114)</f>
        <v>12737</v>
      </c>
      <c r="AI115" s="14">
        <f>SUM(AI97:AI114)</f>
        <v>13024</v>
      </c>
      <c r="AJ115" s="14">
        <f>SUM(AJ97:AJ114)</f>
        <v>12050</v>
      </c>
      <c r="AK115" s="14">
        <f>SUM(AK97:AK114)</f>
        <v>9365</v>
      </c>
      <c r="AL115" s="14">
        <f>SUM(AL97:AL114)</f>
        <v>6006</v>
      </c>
      <c r="AM115" s="14">
        <f>SUM(AM97:AM114)</f>
        <v>2922</v>
      </c>
      <c r="AN115" s="44"/>
      <c r="AO115" s="80">
        <f t="shared" si="87"/>
        <v>-0.77564496314496312</v>
      </c>
    </row>
    <row r="116" spans="2:41" ht="12.75" customHeight="1">
      <c r="B116" s="56"/>
      <c r="C116" s="64"/>
      <c r="D116" s="64"/>
      <c r="E116" s="64"/>
      <c r="F116" s="64"/>
      <c r="G116" s="64"/>
      <c r="I116" s="64"/>
      <c r="J116" s="64"/>
      <c r="K116" s="64"/>
      <c r="L116" s="64"/>
      <c r="M116" s="64"/>
      <c r="N116" s="64"/>
      <c r="O116" s="64"/>
      <c r="P116" s="64"/>
      <c r="Q116" s="64"/>
      <c r="R116" s="64"/>
      <c r="S116" s="64"/>
      <c r="T116" s="64"/>
      <c r="U116" s="64"/>
      <c r="V116" s="64"/>
      <c r="W116" s="6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  <c r="AI116" s="44"/>
      <c r="AJ116" s="44"/>
      <c r="AK116" s="44"/>
      <c r="AL116" s="44"/>
      <c r="AM116" s="44"/>
      <c r="AN116" s="44"/>
      <c r="AO116" s="41"/>
    </row>
    <row r="117" spans="2:41" ht="12.75" customHeight="1">
      <c r="B117" s="56" t="s">
        <v>60</v>
      </c>
      <c r="C117" s="61"/>
      <c r="D117" s="61"/>
      <c r="E117" s="61"/>
      <c r="F117" s="61"/>
      <c r="G117" s="61"/>
      <c r="I117" s="86"/>
      <c r="J117" s="86"/>
      <c r="K117" s="86"/>
      <c r="L117" s="33"/>
      <c r="M117" s="86"/>
      <c r="N117" s="86"/>
      <c r="O117" s="86"/>
      <c r="P117" s="33"/>
      <c r="Q117" s="86"/>
      <c r="R117" s="86"/>
      <c r="S117" s="86"/>
      <c r="T117" s="33"/>
      <c r="U117" s="61"/>
      <c r="V117" s="61"/>
      <c r="W117" s="61"/>
      <c r="Y117" s="61"/>
      <c r="Z117" s="61"/>
      <c r="AA117" s="61"/>
      <c r="AB117" s="61"/>
      <c r="AC117" s="61"/>
      <c r="AD117" s="61"/>
      <c r="AE117" s="61"/>
      <c r="AF117" s="61"/>
      <c r="AG117" s="61"/>
      <c r="AH117" s="61"/>
      <c r="AI117" s="61"/>
      <c r="AJ117" s="61"/>
      <c r="AK117" s="61"/>
      <c r="AL117" s="61"/>
      <c r="AM117" s="61"/>
      <c r="AN117" s="62"/>
      <c r="AO117" s="41"/>
    </row>
    <row r="118" spans="2:41" ht="12.75" customHeight="1">
      <c r="B118" s="63" t="s">
        <v>199</v>
      </c>
      <c r="C118" s="86">
        <v>-1407</v>
      </c>
      <c r="D118" s="86">
        <v>-1888</v>
      </c>
      <c r="E118" s="86">
        <v>-2262</v>
      </c>
      <c r="F118" s="86">
        <v>-1450</v>
      </c>
      <c r="G118" s="86">
        <v>-1041</v>
      </c>
      <c r="H118" s="33"/>
      <c r="I118" s="86">
        <v>-583</v>
      </c>
      <c r="J118" s="86">
        <f>-1074-I118</f>
        <v>-491</v>
      </c>
      <c r="K118" s="86">
        <v>-1628</v>
      </c>
      <c r="L118" s="33">
        <f t="shared" ref="L118:L125" si="92">SUM(E118-SUM(I118:K118))</f>
        <v>440</v>
      </c>
      <c r="M118" s="86">
        <v>-398</v>
      </c>
      <c r="N118" s="86">
        <f>-851-M118</f>
        <v>-453</v>
      </c>
      <c r="O118" s="86">
        <f>-1157-N118-M118</f>
        <v>-306</v>
      </c>
      <c r="P118" s="33">
        <f t="shared" ref="P118:P125" si="93">SUM(F118-SUM(M118:O118))</f>
        <v>-293</v>
      </c>
      <c r="Q118" s="86">
        <v>-214</v>
      </c>
      <c r="R118" s="86">
        <v>-398</v>
      </c>
      <c r="S118" s="86">
        <f>-785-R118-Q118</f>
        <v>-173</v>
      </c>
      <c r="T118" s="33">
        <f t="shared" ref="T118:T125" si="94">SUM(G118-SUM(Q118:S118))</f>
        <v>-256</v>
      </c>
      <c r="U118" s="86"/>
      <c r="V118" s="86"/>
      <c r="W118" s="86"/>
      <c r="X118" s="33"/>
      <c r="Y118" s="33">
        <f>SUM(I118:I118)</f>
        <v>-583</v>
      </c>
      <c r="Z118" s="33">
        <f>SUM(I118:J118)</f>
        <v>-1074</v>
      </c>
      <c r="AA118" s="33">
        <f>SUM(I118:K118)</f>
        <v>-2702</v>
      </c>
      <c r="AB118" s="33">
        <f>SUM(I118:L118)</f>
        <v>-2262</v>
      </c>
      <c r="AC118" s="33">
        <f>SUM(J118:M118)</f>
        <v>-2077</v>
      </c>
      <c r="AD118" s="33">
        <f>SUM(K118:N118)</f>
        <v>-2039</v>
      </c>
      <c r="AE118" s="33">
        <f>SUM(L118:O118)</f>
        <v>-717</v>
      </c>
      <c r="AF118" s="33">
        <f>SUM(M118:P118)</f>
        <v>-1450</v>
      </c>
      <c r="AG118" s="33">
        <f>SUM(N118:Q118)</f>
        <v>-1266</v>
      </c>
      <c r="AH118" s="33">
        <f>SUM(O118:R118)</f>
        <v>-1211</v>
      </c>
      <c r="AI118" s="33">
        <f>SUM(P118:S118)</f>
        <v>-1078</v>
      </c>
      <c r="AJ118" s="33">
        <f>SUM(Q118:T118)</f>
        <v>-1041</v>
      </c>
      <c r="AK118" s="33">
        <f>SUM(R118:U118)</f>
        <v>-827</v>
      </c>
      <c r="AL118" s="33">
        <f>SUM(S118:V118)</f>
        <v>-429</v>
      </c>
      <c r="AM118" s="33">
        <f>SUM(T118:W118)</f>
        <v>-256</v>
      </c>
      <c r="AN118" s="62"/>
      <c r="AO118" s="79">
        <f t="shared" ref="AO118:AO140" si="95">SUM(AM118/AI118)-1</f>
        <v>-0.76252319109461963</v>
      </c>
    </row>
    <row r="119" spans="2:41" ht="12.75" customHeight="1">
      <c r="B119" s="63" t="s">
        <v>200</v>
      </c>
      <c r="C119" s="86">
        <v>-6213</v>
      </c>
      <c r="D119" s="86">
        <v>-5907</v>
      </c>
      <c r="E119" s="86">
        <v>-1414</v>
      </c>
      <c r="F119" s="86">
        <v>-668</v>
      </c>
      <c r="G119" s="86">
        <v>-5069</v>
      </c>
      <c r="H119" s="33"/>
      <c r="I119" s="86">
        <v>-517</v>
      </c>
      <c r="J119" s="86">
        <f>-936-I119</f>
        <v>-419</v>
      </c>
      <c r="K119" s="86">
        <v>-1269</v>
      </c>
      <c r="L119" s="33">
        <f t="shared" si="92"/>
        <v>791</v>
      </c>
      <c r="M119" s="86">
        <v>-22</v>
      </c>
      <c r="N119" s="86">
        <f>-22-M119</f>
        <v>0</v>
      </c>
      <c r="O119" s="86">
        <f>-22-N119-M119</f>
        <v>0</v>
      </c>
      <c r="P119" s="33">
        <f t="shared" si="93"/>
        <v>-646</v>
      </c>
      <c r="Q119" s="86">
        <v>-1452</v>
      </c>
      <c r="R119" s="86">
        <v>-2842</v>
      </c>
      <c r="S119" s="86">
        <f>-4156-R119-Q119</f>
        <v>138</v>
      </c>
      <c r="T119" s="33">
        <f t="shared" si="94"/>
        <v>-913</v>
      </c>
      <c r="U119" s="86"/>
      <c r="V119" s="86"/>
      <c r="W119" s="86"/>
      <c r="X119" s="33"/>
      <c r="Y119" s="33">
        <f>SUM(I119:I119)</f>
        <v>-517</v>
      </c>
      <c r="Z119" s="33">
        <f>SUM(I119:J119)</f>
        <v>-936</v>
      </c>
      <c r="AA119" s="33">
        <f>SUM(I119:K119)</f>
        <v>-2205</v>
      </c>
      <c r="AB119" s="33">
        <f>SUM(I119:L119)</f>
        <v>-1414</v>
      </c>
      <c r="AC119" s="33">
        <f>SUM(J119:M119)</f>
        <v>-919</v>
      </c>
      <c r="AD119" s="33">
        <f>SUM(K119:N119)</f>
        <v>-500</v>
      </c>
      <c r="AE119" s="33">
        <f>SUM(L119:O119)</f>
        <v>769</v>
      </c>
      <c r="AF119" s="33">
        <f>SUM(M119:P119)</f>
        <v>-668</v>
      </c>
      <c r="AG119" s="33">
        <f>SUM(N119:Q119)</f>
        <v>-2098</v>
      </c>
      <c r="AH119" s="33">
        <f>SUM(O119:R119)</f>
        <v>-4940</v>
      </c>
      <c r="AI119" s="33">
        <f>SUM(P119:S119)</f>
        <v>-4802</v>
      </c>
      <c r="AJ119" s="33">
        <f>SUM(Q119:T119)</f>
        <v>-5069</v>
      </c>
      <c r="AK119" s="33">
        <f>SUM(R119:U119)</f>
        <v>-3617</v>
      </c>
      <c r="AL119" s="33">
        <f>SUM(S119:V119)</f>
        <v>-775</v>
      </c>
      <c r="AM119" s="33">
        <f>SUM(T119:W119)</f>
        <v>-913</v>
      </c>
      <c r="AN119" s="62"/>
      <c r="AO119" s="79">
        <f t="shared" si="95"/>
        <v>-0.80987088713036237</v>
      </c>
    </row>
    <row r="120" spans="2:41" ht="12.75" customHeight="1">
      <c r="B120" s="63" t="s">
        <v>201</v>
      </c>
      <c r="C120" s="86">
        <v>2399</v>
      </c>
      <c r="D120" s="86">
        <v>5555</v>
      </c>
      <c r="E120" s="86">
        <v>2622</v>
      </c>
      <c r="F120" s="86">
        <v>1566</v>
      </c>
      <c r="G120" s="86">
        <v>2677</v>
      </c>
      <c r="H120" s="33"/>
      <c r="I120" s="86">
        <v>1133</v>
      </c>
      <c r="J120" s="86">
        <f>1563-I120</f>
        <v>430</v>
      </c>
      <c r="K120" s="86">
        <v>1960</v>
      </c>
      <c r="L120" s="33">
        <f t="shared" si="92"/>
        <v>-901</v>
      </c>
      <c r="M120" s="86">
        <v>219</v>
      </c>
      <c r="N120" s="86">
        <f>491-M120</f>
        <v>272</v>
      </c>
      <c r="O120" s="86">
        <f>1119-N120-M120</f>
        <v>628</v>
      </c>
      <c r="P120" s="33">
        <f t="shared" si="93"/>
        <v>447</v>
      </c>
      <c r="Q120" s="86">
        <v>463</v>
      </c>
      <c r="R120" s="86">
        <v>1178</v>
      </c>
      <c r="S120" s="86">
        <f>1895-R120-Q120</f>
        <v>254</v>
      </c>
      <c r="T120" s="33">
        <f t="shared" si="94"/>
        <v>782</v>
      </c>
      <c r="U120" s="86"/>
      <c r="V120" s="86"/>
      <c r="W120" s="86"/>
      <c r="X120" s="33"/>
      <c r="Y120" s="33"/>
      <c r="Z120" s="33"/>
      <c r="AA120" s="33"/>
      <c r="AB120" s="33"/>
      <c r="AC120" s="33"/>
      <c r="AD120" s="33"/>
      <c r="AE120" s="33"/>
      <c r="AF120" s="33"/>
      <c r="AG120" s="33"/>
      <c r="AH120" s="33"/>
      <c r="AI120" s="33"/>
      <c r="AJ120" s="33"/>
      <c r="AK120" s="33"/>
      <c r="AL120" s="33"/>
      <c r="AM120" s="33"/>
      <c r="AN120" s="62"/>
      <c r="AO120" s="79"/>
    </row>
    <row r="121" spans="2:41" ht="12.75" customHeight="1">
      <c r="B121" s="63" t="s">
        <v>202</v>
      </c>
      <c r="C121" s="86">
        <v>-185</v>
      </c>
      <c r="D121" s="86">
        <v>-1377</v>
      </c>
      <c r="E121" s="86">
        <v>-4912</v>
      </c>
      <c r="F121" s="86">
        <v>-235</v>
      </c>
      <c r="G121" s="86">
        <v>-254</v>
      </c>
      <c r="H121" s="33"/>
      <c r="I121" s="86">
        <v>-238</v>
      </c>
      <c r="J121" s="86">
        <f>-288-I121</f>
        <v>-50</v>
      </c>
      <c r="K121" s="86">
        <v>-4743</v>
      </c>
      <c r="L121" s="33">
        <f t="shared" si="92"/>
        <v>119</v>
      </c>
      <c r="M121" s="86">
        <v>-29</v>
      </c>
      <c r="N121" s="86">
        <f>-61-M121</f>
        <v>-32</v>
      </c>
      <c r="O121" s="86">
        <f>-107-N121-M121</f>
        <v>-46</v>
      </c>
      <c r="P121" s="33">
        <f t="shared" si="93"/>
        <v>-128</v>
      </c>
      <c r="Q121" s="86">
        <v>-60</v>
      </c>
      <c r="R121" s="86">
        <v>-165</v>
      </c>
      <c r="S121" s="86">
        <f>-234-R121-Q121</f>
        <v>-9</v>
      </c>
      <c r="T121" s="33">
        <f t="shared" si="94"/>
        <v>-20</v>
      </c>
      <c r="U121" s="86"/>
      <c r="V121" s="86"/>
      <c r="W121" s="86"/>
      <c r="X121" s="33"/>
      <c r="Y121" s="33"/>
      <c r="Z121" s="33"/>
      <c r="AA121" s="33"/>
      <c r="AB121" s="33"/>
      <c r="AC121" s="33"/>
      <c r="AD121" s="33"/>
      <c r="AE121" s="33"/>
      <c r="AF121" s="33"/>
      <c r="AG121" s="33"/>
      <c r="AH121" s="33"/>
      <c r="AI121" s="33"/>
      <c r="AJ121" s="33"/>
      <c r="AK121" s="33"/>
      <c r="AL121" s="33"/>
      <c r="AM121" s="33"/>
      <c r="AN121" s="62"/>
      <c r="AO121" s="79"/>
    </row>
    <row r="122" spans="2:41" ht="12.75" customHeight="1">
      <c r="B122" s="63" t="s">
        <v>203</v>
      </c>
      <c r="C122" s="86">
        <v>0</v>
      </c>
      <c r="D122" s="86">
        <v>0</v>
      </c>
      <c r="E122" s="86">
        <v>5</v>
      </c>
      <c r="F122" s="86">
        <v>127</v>
      </c>
      <c r="G122" s="86">
        <v>10</v>
      </c>
      <c r="H122" s="33"/>
      <c r="I122" s="86">
        <v>0</v>
      </c>
      <c r="J122" s="86">
        <f>0-I122</f>
        <v>0</v>
      </c>
      <c r="K122" s="86">
        <v>0</v>
      </c>
      <c r="L122" s="33">
        <f t="shared" si="92"/>
        <v>5</v>
      </c>
      <c r="M122" s="86">
        <v>111</v>
      </c>
      <c r="N122" s="86">
        <f>121-M122</f>
        <v>10</v>
      </c>
      <c r="O122" s="86">
        <f>121-N122-M122</f>
        <v>0</v>
      </c>
      <c r="P122" s="33">
        <f t="shared" si="93"/>
        <v>6</v>
      </c>
      <c r="Q122" s="86">
        <v>5</v>
      </c>
      <c r="R122" s="86">
        <v>8</v>
      </c>
      <c r="S122" s="86">
        <f>10-R122-Q122</f>
        <v>-3</v>
      </c>
      <c r="T122" s="33">
        <f t="shared" si="94"/>
        <v>0</v>
      </c>
      <c r="U122" s="86"/>
      <c r="V122" s="86"/>
      <c r="W122" s="86"/>
      <c r="X122" s="33"/>
      <c r="Y122" s="33"/>
      <c r="Z122" s="33"/>
      <c r="AA122" s="33"/>
      <c r="AB122" s="33"/>
      <c r="AC122" s="33"/>
      <c r="AD122" s="33"/>
      <c r="AE122" s="33"/>
      <c r="AF122" s="33"/>
      <c r="AG122" s="33"/>
      <c r="AH122" s="33"/>
      <c r="AI122" s="33"/>
      <c r="AJ122" s="33"/>
      <c r="AK122" s="33"/>
      <c r="AL122" s="33"/>
      <c r="AM122" s="33"/>
      <c r="AN122" s="62"/>
      <c r="AO122" s="79"/>
    </row>
    <row r="123" spans="2:41" ht="12.75" customHeight="1">
      <c r="B123" s="63" t="s">
        <v>204</v>
      </c>
      <c r="C123" s="86">
        <v>100</v>
      </c>
      <c r="D123" s="86">
        <v>320</v>
      </c>
      <c r="E123" s="86">
        <v>132</v>
      </c>
      <c r="F123" s="86">
        <v>20</v>
      </c>
      <c r="G123" s="86">
        <v>88</v>
      </c>
      <c r="H123" s="33"/>
      <c r="I123" s="86">
        <v>93</v>
      </c>
      <c r="J123" s="86">
        <f>97-I123</f>
        <v>4</v>
      </c>
      <c r="K123" s="86">
        <v>125</v>
      </c>
      <c r="L123" s="33">
        <f t="shared" si="92"/>
        <v>-90</v>
      </c>
      <c r="M123" s="86">
        <v>4</v>
      </c>
      <c r="N123" s="86">
        <f>11-M123</f>
        <v>7</v>
      </c>
      <c r="O123" s="86">
        <f>13-N123-M123</f>
        <v>2</v>
      </c>
      <c r="P123" s="33">
        <f t="shared" si="93"/>
        <v>7</v>
      </c>
      <c r="Q123" s="86">
        <v>0</v>
      </c>
      <c r="R123" s="86">
        <v>62</v>
      </c>
      <c r="S123" s="86">
        <f>70-R123-Q123</f>
        <v>8</v>
      </c>
      <c r="T123" s="33">
        <f t="shared" si="94"/>
        <v>18</v>
      </c>
      <c r="U123" s="86"/>
      <c r="V123" s="86"/>
      <c r="W123" s="86"/>
      <c r="X123" s="33"/>
      <c r="Y123" s="33"/>
      <c r="Z123" s="33"/>
      <c r="AA123" s="33"/>
      <c r="AB123" s="33"/>
      <c r="AC123" s="33"/>
      <c r="AD123" s="33"/>
      <c r="AE123" s="33"/>
      <c r="AF123" s="33"/>
      <c r="AG123" s="33"/>
      <c r="AH123" s="33"/>
      <c r="AI123" s="33"/>
      <c r="AJ123" s="33"/>
      <c r="AK123" s="33"/>
      <c r="AL123" s="33"/>
      <c r="AM123" s="33"/>
      <c r="AN123" s="62"/>
      <c r="AO123" s="79"/>
    </row>
    <row r="124" spans="2:41" ht="12.75" customHeight="1">
      <c r="B124" s="63" t="s">
        <v>196</v>
      </c>
      <c r="C124" s="86">
        <v>43</v>
      </c>
      <c r="D124" s="86">
        <v>-59</v>
      </c>
      <c r="E124" s="86">
        <v>41</v>
      </c>
      <c r="F124" s="86">
        <v>19</v>
      </c>
      <c r="G124" s="86">
        <v>-36</v>
      </c>
      <c r="H124" s="33"/>
      <c r="I124" s="86">
        <v>0</v>
      </c>
      <c r="J124" s="86">
        <f>0-I124</f>
        <v>0</v>
      </c>
      <c r="K124" s="86">
        <v>41</v>
      </c>
      <c r="L124" s="33">
        <f t="shared" si="92"/>
        <v>0</v>
      </c>
      <c r="M124" s="86">
        <v>-18</v>
      </c>
      <c r="N124" s="86">
        <f>-4-M124</f>
        <v>14</v>
      </c>
      <c r="O124" s="86">
        <f>18-N124-M124</f>
        <v>22</v>
      </c>
      <c r="P124" s="33">
        <f t="shared" si="93"/>
        <v>1</v>
      </c>
      <c r="Q124" s="86">
        <v>2</v>
      </c>
      <c r="R124" s="86">
        <v>-38</v>
      </c>
      <c r="S124" s="86">
        <f>-36-R124-Q124</f>
        <v>0</v>
      </c>
      <c r="T124" s="33">
        <f t="shared" si="94"/>
        <v>0</v>
      </c>
      <c r="U124" s="86"/>
      <c r="V124" s="86"/>
      <c r="W124" s="86"/>
      <c r="X124" s="33"/>
      <c r="Y124" s="33">
        <f>SUM(I124:I124)</f>
        <v>0</v>
      </c>
      <c r="Z124" s="33">
        <f>SUM(I124:J124)</f>
        <v>0</v>
      </c>
      <c r="AA124" s="33">
        <f>SUM(I124:K124)</f>
        <v>41</v>
      </c>
      <c r="AB124" s="33">
        <f>SUM(I124:L124)</f>
        <v>41</v>
      </c>
      <c r="AC124" s="33">
        <f>SUM(J124:M124)</f>
        <v>23</v>
      </c>
      <c r="AD124" s="33">
        <f>SUM(K124:N124)</f>
        <v>37</v>
      </c>
      <c r="AE124" s="33">
        <f>SUM(L124:O124)</f>
        <v>18</v>
      </c>
      <c r="AF124" s="33">
        <f>SUM(M124:P124)</f>
        <v>19</v>
      </c>
      <c r="AG124" s="33">
        <f>SUM(N124:Q124)</f>
        <v>39</v>
      </c>
      <c r="AH124" s="33">
        <f>SUM(O124:R124)</f>
        <v>-13</v>
      </c>
      <c r="AI124" s="33">
        <f>SUM(P124:S124)</f>
        <v>-35</v>
      </c>
      <c r="AJ124" s="33">
        <f>SUM(Q124:T124)</f>
        <v>-36</v>
      </c>
      <c r="AK124" s="33">
        <f>SUM(R124:U124)</f>
        <v>-38</v>
      </c>
      <c r="AL124" s="33">
        <f>SUM(S124:V124)</f>
        <v>0</v>
      </c>
      <c r="AM124" s="33">
        <f>SUM(T124:W124)</f>
        <v>0</v>
      </c>
      <c r="AN124" s="62"/>
      <c r="AO124" s="79">
        <f t="shared" si="95"/>
        <v>-1</v>
      </c>
    </row>
    <row r="125" spans="2:41" ht="12.75" customHeight="1">
      <c r="B125" s="63" t="s">
        <v>205</v>
      </c>
      <c r="C125" s="86">
        <v>0</v>
      </c>
      <c r="D125" s="86">
        <v>0</v>
      </c>
      <c r="E125" s="86">
        <v>-16</v>
      </c>
      <c r="F125" s="86">
        <v>1383</v>
      </c>
      <c r="G125" s="86">
        <v>2</v>
      </c>
      <c r="H125" s="33"/>
      <c r="I125" s="86">
        <v>0</v>
      </c>
      <c r="J125" s="86">
        <f>0-I125</f>
        <v>0</v>
      </c>
      <c r="K125" s="86">
        <v>0</v>
      </c>
      <c r="L125" s="33">
        <f t="shared" si="92"/>
        <v>-16</v>
      </c>
      <c r="M125" s="86">
        <v>0</v>
      </c>
      <c r="N125" s="86">
        <f>-42-M125</f>
        <v>-42</v>
      </c>
      <c r="O125" s="86">
        <f>1395-N125-M125</f>
        <v>1437</v>
      </c>
      <c r="P125" s="33">
        <f t="shared" si="93"/>
        <v>-12</v>
      </c>
      <c r="Q125" s="86">
        <v>0</v>
      </c>
      <c r="R125" s="86">
        <v>0</v>
      </c>
      <c r="S125" s="86">
        <f>-2-R125-Q125</f>
        <v>-2</v>
      </c>
      <c r="T125" s="33">
        <f t="shared" si="94"/>
        <v>4</v>
      </c>
      <c r="U125" s="86"/>
      <c r="V125" s="86"/>
      <c r="W125" s="86"/>
      <c r="X125" s="33"/>
      <c r="Y125" s="33">
        <f>SUM(I125:I125)</f>
        <v>0</v>
      </c>
      <c r="Z125" s="33">
        <f>SUM(I125:J125)</f>
        <v>0</v>
      </c>
      <c r="AA125" s="33">
        <f>SUM(I125:K125)</f>
        <v>0</v>
      </c>
      <c r="AB125" s="33">
        <f>SUM(I125:L125)</f>
        <v>-16</v>
      </c>
      <c r="AC125" s="33">
        <f>SUM(J125:M125)</f>
        <v>-16</v>
      </c>
      <c r="AD125" s="33">
        <f>SUM(K125:N125)</f>
        <v>-58</v>
      </c>
      <c r="AE125" s="33">
        <f>SUM(L125:O125)</f>
        <v>1379</v>
      </c>
      <c r="AF125" s="33">
        <f>SUM(M125:P125)</f>
        <v>1383</v>
      </c>
      <c r="AG125" s="33">
        <f>SUM(N125:Q125)</f>
        <v>1383</v>
      </c>
      <c r="AH125" s="33">
        <f>SUM(O125:R125)</f>
        <v>1425</v>
      </c>
      <c r="AI125" s="33">
        <f>SUM(P125:S125)</f>
        <v>-14</v>
      </c>
      <c r="AJ125" s="33">
        <f>SUM(Q125:T125)</f>
        <v>2</v>
      </c>
      <c r="AK125" s="33">
        <f>SUM(R125:U125)</f>
        <v>2</v>
      </c>
      <c r="AL125" s="33">
        <f>SUM(S125:V125)</f>
        <v>2</v>
      </c>
      <c r="AM125" s="33">
        <f>SUM(T125:W125)</f>
        <v>4</v>
      </c>
      <c r="AN125" s="62"/>
      <c r="AO125" s="79">
        <f t="shared" si="95"/>
        <v>-1.2857142857142856</v>
      </c>
    </row>
    <row r="126" spans="2:41" ht="12.75" customHeight="1">
      <c r="B126" s="13" t="s">
        <v>61</v>
      </c>
      <c r="C126" s="14">
        <f>SUM(C118:C125)</f>
        <v>-5263</v>
      </c>
      <c r="D126" s="14">
        <f>SUM(D118:D125)</f>
        <v>-3356</v>
      </c>
      <c r="E126" s="14">
        <f>SUM(E118:E125)</f>
        <v>-5804</v>
      </c>
      <c r="F126" s="14">
        <f>SUM(F118:F125)</f>
        <v>762</v>
      </c>
      <c r="G126" s="14">
        <f>SUM(G118:G125)</f>
        <v>-3623</v>
      </c>
      <c r="I126" s="14">
        <f>SUM(I118:I125)</f>
        <v>-112</v>
      </c>
      <c r="J126" s="14">
        <f>SUM(J118:J125)</f>
        <v>-526</v>
      </c>
      <c r="K126" s="14">
        <f>SUM(K118:K125)</f>
        <v>-5514</v>
      </c>
      <c r="L126" s="14">
        <f>SUM(L118:L125)</f>
        <v>348</v>
      </c>
      <c r="M126" s="14">
        <f>SUM(M118:M125)</f>
        <v>-133</v>
      </c>
      <c r="N126" s="14">
        <f>SUM(N118:N125)</f>
        <v>-224</v>
      </c>
      <c r="O126" s="14">
        <f>SUM(O118:O125)</f>
        <v>1737</v>
      </c>
      <c r="P126" s="14">
        <f>SUM(P118:P125)</f>
        <v>-618</v>
      </c>
      <c r="Q126" s="14">
        <f>SUM(Q118:Q125)</f>
        <v>-1256</v>
      </c>
      <c r="R126" s="14">
        <f>SUM(R118:R125)</f>
        <v>-2195</v>
      </c>
      <c r="S126" s="14">
        <f>SUM(S118:S125)</f>
        <v>213</v>
      </c>
      <c r="T126" s="14">
        <f>SUM(T118:T125)</f>
        <v>-385</v>
      </c>
      <c r="U126" s="14">
        <f>SUM(U118:U125)</f>
        <v>0</v>
      </c>
      <c r="V126" s="14">
        <f>SUM(V118:V125)</f>
        <v>0</v>
      </c>
      <c r="W126" s="14">
        <f>SUM(W118:W125)</f>
        <v>0</v>
      </c>
      <c r="Y126" s="14">
        <f>SUM(Y118:Y125)</f>
        <v>-1100</v>
      </c>
      <c r="Z126" s="14">
        <f>SUM(Z118:Z125)</f>
        <v>-2010</v>
      </c>
      <c r="AA126" s="14">
        <f>SUM(AA118:AA125)</f>
        <v>-4866</v>
      </c>
      <c r="AB126" s="14">
        <f>SUM(AB118:AB125)</f>
        <v>-3651</v>
      </c>
      <c r="AC126" s="14">
        <f>SUM(AC118:AC125)</f>
        <v>-2989</v>
      </c>
      <c r="AD126" s="14">
        <f>SUM(AD118:AD125)</f>
        <v>-2560</v>
      </c>
      <c r="AE126" s="14">
        <f>SUM(AE118:AE125)</f>
        <v>1449</v>
      </c>
      <c r="AF126" s="14">
        <f>SUM(AF118:AF125)</f>
        <v>-716</v>
      </c>
      <c r="AG126" s="14">
        <f>SUM(AG118:AG125)</f>
        <v>-1942</v>
      </c>
      <c r="AH126" s="14">
        <f>SUM(AH118:AH125)</f>
        <v>-4739</v>
      </c>
      <c r="AI126" s="14">
        <f>SUM(AI118:AI125)</f>
        <v>-5929</v>
      </c>
      <c r="AJ126" s="14">
        <f>SUM(AJ118:AJ125)</f>
        <v>-6144</v>
      </c>
      <c r="AK126" s="14">
        <f>SUM(AK118:AK125)</f>
        <v>-4480</v>
      </c>
      <c r="AL126" s="14">
        <f>SUM(AL118:AL125)</f>
        <v>-1202</v>
      </c>
      <c r="AM126" s="14">
        <f>SUM(AM118:AM125)</f>
        <v>-1165</v>
      </c>
      <c r="AN126" s="44"/>
      <c r="AO126" s="80">
        <f t="shared" si="95"/>
        <v>-0.80350818013155678</v>
      </c>
    </row>
    <row r="127" spans="2:41" ht="5.0999999999999996" customHeight="1">
      <c r="B127" s="55"/>
      <c r="C127" s="64"/>
      <c r="D127" s="64"/>
      <c r="E127" s="64"/>
      <c r="F127" s="64"/>
      <c r="G127" s="64"/>
      <c r="I127" s="64"/>
      <c r="J127" s="64"/>
      <c r="K127" s="64"/>
      <c r="L127" s="64"/>
      <c r="M127" s="64"/>
      <c r="N127" s="64"/>
      <c r="O127" s="64"/>
      <c r="P127" s="64"/>
      <c r="Q127" s="64"/>
      <c r="R127" s="64"/>
      <c r="S127" s="64"/>
      <c r="T127" s="64"/>
      <c r="U127" s="64"/>
      <c r="V127" s="64"/>
      <c r="W127" s="6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  <c r="AI127" s="44"/>
      <c r="AJ127" s="44"/>
      <c r="AK127" s="44"/>
      <c r="AL127" s="44"/>
      <c r="AM127" s="44"/>
      <c r="AN127" s="44"/>
      <c r="AO127" s="41"/>
    </row>
    <row r="128" spans="2:41" ht="12.75" customHeight="1">
      <c r="B128" s="56" t="s">
        <v>62</v>
      </c>
      <c r="C128" s="66"/>
      <c r="D128" s="66"/>
      <c r="E128" s="66"/>
      <c r="F128" s="66"/>
      <c r="G128" s="66"/>
      <c r="I128" s="66"/>
      <c r="J128" s="66"/>
      <c r="K128" s="66"/>
      <c r="L128" s="66"/>
      <c r="M128" s="66"/>
      <c r="N128" s="66"/>
      <c r="O128" s="66"/>
      <c r="P128" s="66"/>
      <c r="Q128" s="66"/>
      <c r="R128" s="66"/>
      <c r="S128" s="66"/>
      <c r="T128" s="66"/>
      <c r="U128" s="66"/>
      <c r="V128" s="66"/>
      <c r="W128" s="66"/>
      <c r="X128" s="33"/>
      <c r="Y128" s="33"/>
      <c r="Z128" s="33"/>
      <c r="AA128" s="33"/>
      <c r="AB128" s="33"/>
      <c r="AC128" s="33"/>
      <c r="AD128" s="33"/>
      <c r="AE128" s="33"/>
      <c r="AF128" s="33"/>
      <c r="AG128" s="33"/>
      <c r="AH128" s="33"/>
      <c r="AI128" s="33"/>
      <c r="AJ128" s="33"/>
      <c r="AK128" s="33"/>
      <c r="AL128" s="33"/>
      <c r="AM128" s="33"/>
      <c r="AN128" s="67"/>
      <c r="AO128" s="79"/>
    </row>
    <row r="129" spans="2:41" ht="12.75" customHeight="1">
      <c r="B129" s="88" t="s">
        <v>206</v>
      </c>
      <c r="C129" s="86">
        <v>2848</v>
      </c>
      <c r="D129" s="86">
        <v>2886</v>
      </c>
      <c r="E129" s="86">
        <v>7000</v>
      </c>
      <c r="F129" s="86">
        <v>5068</v>
      </c>
      <c r="G129" s="86">
        <v>799</v>
      </c>
      <c r="I129" s="86">
        <v>710</v>
      </c>
      <c r="J129" s="86">
        <f>1462-I129</f>
        <v>752</v>
      </c>
      <c r="K129" s="86">
        <f>3065-J129-I129</f>
        <v>1603</v>
      </c>
      <c r="L129" s="33">
        <f t="shared" ref="L129:L139" si="96">SUM(E129-SUM(I129:K129))</f>
        <v>3935</v>
      </c>
      <c r="M129" s="86">
        <v>1458</v>
      </c>
      <c r="N129" s="86">
        <f>4668-M129</f>
        <v>3210</v>
      </c>
      <c r="O129" s="86">
        <f>4668-N129-M129</f>
        <v>0</v>
      </c>
      <c r="P129" s="33">
        <f t="shared" ref="P129:P139" si="97">SUM(F129-SUM(M129:O129))</f>
        <v>400</v>
      </c>
      <c r="Q129" s="86">
        <v>400</v>
      </c>
      <c r="R129" s="86">
        <f>799-Q129</f>
        <v>399</v>
      </c>
      <c r="S129" s="86">
        <f>799-R129-Q129</f>
        <v>0</v>
      </c>
      <c r="T129" s="33">
        <f t="shared" ref="T129:T139" si="98">SUM(G129-SUM(Q129:S129))</f>
        <v>0</v>
      </c>
      <c r="U129" s="86"/>
      <c r="V129" s="86"/>
      <c r="W129" s="86"/>
      <c r="X129" s="33"/>
      <c r="Y129" s="33">
        <f>SUM(I129:I129)</f>
        <v>710</v>
      </c>
      <c r="Z129" s="33">
        <f>SUM(I129:J129)</f>
        <v>1462</v>
      </c>
      <c r="AA129" s="33">
        <f>SUM(I129:K129)</f>
        <v>3065</v>
      </c>
      <c r="AB129" s="33">
        <f>SUM(I129:L129)</f>
        <v>7000</v>
      </c>
      <c r="AC129" s="33">
        <f>SUM(J129:M129)</f>
        <v>7748</v>
      </c>
      <c r="AD129" s="33">
        <f>SUM(K129:N129)</f>
        <v>10206</v>
      </c>
      <c r="AE129" s="33">
        <f>SUM(L129:O129)</f>
        <v>8603</v>
      </c>
      <c r="AF129" s="33">
        <f>SUM(M129:P129)</f>
        <v>5068</v>
      </c>
      <c r="AG129" s="33">
        <f>SUM(N129:Q129)</f>
        <v>4010</v>
      </c>
      <c r="AH129" s="33">
        <f>SUM(O129:R129)</f>
        <v>1199</v>
      </c>
      <c r="AI129" s="33">
        <f>SUM(P129:S129)</f>
        <v>1199</v>
      </c>
      <c r="AJ129" s="33">
        <f>SUM(Q129:T129)</f>
        <v>799</v>
      </c>
      <c r="AK129" s="33">
        <f>SUM(R129:U129)</f>
        <v>399</v>
      </c>
      <c r="AL129" s="33">
        <f>SUM(S129:V129)</f>
        <v>0</v>
      </c>
      <c r="AM129" s="33">
        <f>SUM(T129:W129)</f>
        <v>0</v>
      </c>
      <c r="AN129" s="67"/>
      <c r="AO129" s="79">
        <f t="shared" si="95"/>
        <v>-1</v>
      </c>
    </row>
    <row r="130" spans="2:41" ht="12.75" customHeight="1">
      <c r="B130" s="88" t="s">
        <v>207</v>
      </c>
      <c r="C130" s="86">
        <v>-2846</v>
      </c>
      <c r="D130" s="86">
        <v>-2885</v>
      </c>
      <c r="E130" s="86">
        <v>-7003</v>
      </c>
      <c r="F130" s="86">
        <v>-5566</v>
      </c>
      <c r="G130" s="86">
        <v>-799</v>
      </c>
      <c r="I130" s="86">
        <v>-710</v>
      </c>
      <c r="J130" s="86">
        <f>-1462-I130</f>
        <v>-752</v>
      </c>
      <c r="K130" s="86">
        <f>-3066-J130-I130</f>
        <v>-1604</v>
      </c>
      <c r="L130" s="33">
        <f t="shared" si="96"/>
        <v>-3937</v>
      </c>
      <c r="M130" s="86">
        <v>-1955</v>
      </c>
      <c r="N130" s="86">
        <f>-4668-M130</f>
        <v>-2713</v>
      </c>
      <c r="O130" s="86">
        <f>-5166-N130-M130</f>
        <v>-498</v>
      </c>
      <c r="P130" s="33">
        <f t="shared" si="97"/>
        <v>-400</v>
      </c>
      <c r="Q130" s="86">
        <v>-400</v>
      </c>
      <c r="R130" s="86">
        <f>-799-Q130</f>
        <v>-399</v>
      </c>
      <c r="S130" s="86">
        <f>-799-R130-Q130</f>
        <v>0</v>
      </c>
      <c r="T130" s="33">
        <f t="shared" si="98"/>
        <v>0</v>
      </c>
      <c r="U130" s="86"/>
      <c r="V130" s="86"/>
      <c r="W130" s="86"/>
      <c r="X130" s="33"/>
      <c r="Y130" s="33">
        <f>SUM(I130:I130)</f>
        <v>-710</v>
      </c>
      <c r="Z130" s="33">
        <f>SUM(I130:J130)</f>
        <v>-1462</v>
      </c>
      <c r="AA130" s="33">
        <f>SUM(I130:K130)</f>
        <v>-3066</v>
      </c>
      <c r="AB130" s="33">
        <f>SUM(I130:L130)</f>
        <v>-7003</v>
      </c>
      <c r="AC130" s="33">
        <f>SUM(J130:M130)</f>
        <v>-8248</v>
      </c>
      <c r="AD130" s="33">
        <f>SUM(K130:N130)</f>
        <v>-10209</v>
      </c>
      <c r="AE130" s="33">
        <f>SUM(L130:O130)</f>
        <v>-9103</v>
      </c>
      <c r="AF130" s="33">
        <f>SUM(M130:P130)</f>
        <v>-5566</v>
      </c>
      <c r="AG130" s="33">
        <f>SUM(N130:Q130)</f>
        <v>-4011</v>
      </c>
      <c r="AH130" s="33">
        <f>SUM(O130:R130)</f>
        <v>-1697</v>
      </c>
      <c r="AI130" s="33">
        <f>SUM(P130:S130)</f>
        <v>-1199</v>
      </c>
      <c r="AJ130" s="33">
        <f>SUM(Q130:T130)</f>
        <v>-799</v>
      </c>
      <c r="AK130" s="33">
        <f>SUM(R130:U130)</f>
        <v>-399</v>
      </c>
      <c r="AL130" s="33">
        <f>SUM(S130:V130)</f>
        <v>0</v>
      </c>
      <c r="AM130" s="33">
        <f>SUM(T130:W130)</f>
        <v>0</v>
      </c>
      <c r="AN130" s="67"/>
      <c r="AO130" s="79">
        <f t="shared" si="95"/>
        <v>-1</v>
      </c>
    </row>
    <row r="131" spans="2:41" ht="12.75" customHeight="1">
      <c r="B131" s="88" t="s">
        <v>208</v>
      </c>
      <c r="C131" s="86">
        <v>0</v>
      </c>
      <c r="D131" s="86">
        <v>0</v>
      </c>
      <c r="E131" s="86">
        <v>-349</v>
      </c>
      <c r="F131" s="86">
        <v>0</v>
      </c>
      <c r="G131" s="86">
        <v>0</v>
      </c>
      <c r="I131" s="86">
        <v>0</v>
      </c>
      <c r="J131" s="86">
        <f>0-I131</f>
        <v>0</v>
      </c>
      <c r="K131" s="86">
        <f>-349-J131-I131</f>
        <v>-349</v>
      </c>
      <c r="L131" s="33">
        <f t="shared" si="96"/>
        <v>0</v>
      </c>
      <c r="M131" s="86">
        <v>0</v>
      </c>
      <c r="N131" s="86">
        <f>0-M131</f>
        <v>0</v>
      </c>
      <c r="O131" s="86">
        <f>0-N131-M131</f>
        <v>0</v>
      </c>
      <c r="P131" s="33">
        <f t="shared" si="97"/>
        <v>0</v>
      </c>
      <c r="Q131" s="86">
        <v>0</v>
      </c>
      <c r="R131" s="86">
        <f>0-Q131</f>
        <v>0</v>
      </c>
      <c r="S131" s="86">
        <f>0-R131-Q131</f>
        <v>0</v>
      </c>
      <c r="T131" s="33">
        <f t="shared" si="98"/>
        <v>0</v>
      </c>
      <c r="U131" s="86"/>
      <c r="V131" s="86"/>
      <c r="W131" s="86"/>
      <c r="X131" s="33"/>
      <c r="Y131" s="33">
        <f>SUM(I131:I131)</f>
        <v>0</v>
      </c>
      <c r="Z131" s="33">
        <f>SUM(I131:J131)</f>
        <v>0</v>
      </c>
      <c r="AA131" s="33">
        <f>SUM(I131:K131)</f>
        <v>-349</v>
      </c>
      <c r="AB131" s="33">
        <f>SUM(I131:L131)</f>
        <v>-349</v>
      </c>
      <c r="AC131" s="33">
        <f>SUM(J131:M131)</f>
        <v>-349</v>
      </c>
      <c r="AD131" s="33">
        <f>SUM(K131:N131)</f>
        <v>-349</v>
      </c>
      <c r="AE131" s="33">
        <f>SUM(L131:O131)</f>
        <v>0</v>
      </c>
      <c r="AF131" s="33">
        <f>SUM(M131:P131)</f>
        <v>0</v>
      </c>
      <c r="AG131" s="33">
        <f>SUM(N131:Q131)</f>
        <v>0</v>
      </c>
      <c r="AH131" s="33">
        <f>SUM(O131:R131)</f>
        <v>0</v>
      </c>
      <c r="AI131" s="33">
        <f>SUM(P131:S131)</f>
        <v>0</v>
      </c>
      <c r="AJ131" s="33">
        <f>SUM(Q131:T131)</f>
        <v>0</v>
      </c>
      <c r="AK131" s="33">
        <f>SUM(R131:U131)</f>
        <v>0</v>
      </c>
      <c r="AL131" s="33">
        <f>SUM(S131:V131)</f>
        <v>0</v>
      </c>
      <c r="AM131" s="33">
        <f>SUM(T131:W131)</f>
        <v>0</v>
      </c>
      <c r="AN131" s="67"/>
      <c r="AO131" s="79" t="e">
        <f t="shared" si="95"/>
        <v>#DIV/0!</v>
      </c>
    </row>
    <row r="132" spans="2:41" ht="12.75" customHeight="1">
      <c r="B132" s="88" t="s">
        <v>209</v>
      </c>
      <c r="C132" s="86">
        <v>1988</v>
      </c>
      <c r="D132" s="86">
        <v>0</v>
      </c>
      <c r="E132" s="86">
        <v>1477</v>
      </c>
      <c r="F132" s="86">
        <v>1880</v>
      </c>
      <c r="G132" s="86">
        <v>0</v>
      </c>
      <c r="I132" s="86">
        <v>0</v>
      </c>
      <c r="J132" s="86">
        <f>0-I132</f>
        <v>0</v>
      </c>
      <c r="K132" s="86">
        <f>1477-J132-I132</f>
        <v>1477</v>
      </c>
      <c r="L132" s="33">
        <f t="shared" si="96"/>
        <v>0</v>
      </c>
      <c r="M132" s="86">
        <v>1880</v>
      </c>
      <c r="N132" s="86">
        <f>1880-M132</f>
        <v>0</v>
      </c>
      <c r="O132" s="86">
        <f>1880-N132-M132</f>
        <v>0</v>
      </c>
      <c r="P132" s="33">
        <f t="shared" si="97"/>
        <v>0</v>
      </c>
      <c r="Q132" s="86">
        <v>0</v>
      </c>
      <c r="R132" s="86">
        <f>0-Q132</f>
        <v>0</v>
      </c>
      <c r="S132" s="86">
        <f>0-R132-Q132</f>
        <v>0</v>
      </c>
      <c r="T132" s="33">
        <f t="shared" si="98"/>
        <v>0</v>
      </c>
      <c r="U132" s="86"/>
      <c r="V132" s="86"/>
      <c r="W132" s="86"/>
      <c r="X132" s="33"/>
      <c r="Y132" s="33"/>
      <c r="Z132" s="33"/>
      <c r="AA132" s="33"/>
      <c r="AB132" s="33"/>
      <c r="AC132" s="33"/>
      <c r="AD132" s="33"/>
      <c r="AE132" s="33"/>
      <c r="AF132" s="33"/>
      <c r="AG132" s="33"/>
      <c r="AH132" s="33"/>
      <c r="AI132" s="33">
        <f>SUM(P132:S132)</f>
        <v>0</v>
      </c>
      <c r="AJ132" s="33">
        <f>SUM(Q132:T132)</f>
        <v>0</v>
      </c>
      <c r="AK132" s="33">
        <f>SUM(R132:U132)</f>
        <v>0</v>
      </c>
      <c r="AL132" s="33">
        <f>SUM(S132:V132)</f>
        <v>0</v>
      </c>
      <c r="AM132" s="33">
        <f>SUM(T132:W132)</f>
        <v>0</v>
      </c>
      <c r="AN132" s="67"/>
      <c r="AO132" s="79"/>
    </row>
    <row r="133" spans="2:41" ht="12.75" customHeight="1">
      <c r="B133" s="88" t="s">
        <v>210</v>
      </c>
      <c r="C133" s="86">
        <v>-2219</v>
      </c>
      <c r="D133" s="86">
        <v>0</v>
      </c>
      <c r="E133" s="86">
        <v>-1540</v>
      </c>
      <c r="F133" s="86">
        <v>-1446</v>
      </c>
      <c r="G133" s="86">
        <v>-914</v>
      </c>
      <c r="I133" s="86">
        <v>0</v>
      </c>
      <c r="J133" s="86">
        <f>0-I133</f>
        <v>0</v>
      </c>
      <c r="K133" s="86">
        <f>-1540-J133-I133</f>
        <v>-1540</v>
      </c>
      <c r="L133" s="33">
        <f t="shared" si="96"/>
        <v>0</v>
      </c>
      <c r="M133" s="86">
        <v>0</v>
      </c>
      <c r="N133" s="86">
        <f>-1446-M133</f>
        <v>-1446</v>
      </c>
      <c r="O133" s="86">
        <f>-1446-N133-M133</f>
        <v>0</v>
      </c>
      <c r="P133" s="33">
        <f t="shared" si="97"/>
        <v>0</v>
      </c>
      <c r="Q133" s="86">
        <v>0</v>
      </c>
      <c r="R133" s="86">
        <f>0-Q133</f>
        <v>0</v>
      </c>
      <c r="S133" s="86">
        <f>-914-R133-Q133</f>
        <v>-914</v>
      </c>
      <c r="T133" s="33">
        <f t="shared" si="98"/>
        <v>0</v>
      </c>
      <c r="U133" s="86"/>
      <c r="V133" s="86"/>
      <c r="W133" s="86"/>
      <c r="X133" s="33"/>
      <c r="Y133" s="33"/>
      <c r="Z133" s="33"/>
      <c r="AA133" s="33"/>
      <c r="AB133" s="33"/>
      <c r="AC133" s="33"/>
      <c r="AD133" s="33"/>
      <c r="AE133" s="33"/>
      <c r="AF133" s="33"/>
      <c r="AG133" s="33"/>
      <c r="AH133" s="33"/>
      <c r="AI133" s="33">
        <f>SUM(P133:S133)</f>
        <v>-914</v>
      </c>
      <c r="AJ133" s="33">
        <f>SUM(Q133:T133)</f>
        <v>-914</v>
      </c>
      <c r="AK133" s="33">
        <f>SUM(R133:U133)</f>
        <v>-914</v>
      </c>
      <c r="AL133" s="33">
        <f>SUM(S133:V133)</f>
        <v>-914</v>
      </c>
      <c r="AM133" s="33">
        <f>SUM(T133:W133)</f>
        <v>0</v>
      </c>
      <c r="AN133" s="67"/>
      <c r="AO133" s="79"/>
    </row>
    <row r="134" spans="2:41" ht="12.75" customHeight="1">
      <c r="B134" s="88" t="s">
        <v>112</v>
      </c>
      <c r="C134" s="86">
        <v>329</v>
      </c>
      <c r="D134" s="86">
        <v>347</v>
      </c>
      <c r="E134" s="86">
        <v>356</v>
      </c>
      <c r="F134" s="86">
        <v>434</v>
      </c>
      <c r="G134" s="86">
        <v>383</v>
      </c>
      <c r="I134" s="86">
        <v>0</v>
      </c>
      <c r="J134" s="86">
        <f>187-I134</f>
        <v>187</v>
      </c>
      <c r="K134" s="86">
        <f>188-J134-I134</f>
        <v>1</v>
      </c>
      <c r="L134" s="33">
        <f t="shared" si="96"/>
        <v>168</v>
      </c>
      <c r="M134" s="86">
        <v>0</v>
      </c>
      <c r="N134" s="86">
        <f>232-M134</f>
        <v>232</v>
      </c>
      <c r="O134" s="86">
        <f>233-N134-M134</f>
        <v>1</v>
      </c>
      <c r="P134" s="33">
        <f t="shared" si="97"/>
        <v>201</v>
      </c>
      <c r="Q134" s="86">
        <v>0</v>
      </c>
      <c r="R134" s="86">
        <f>195-Q134</f>
        <v>195</v>
      </c>
      <c r="S134" s="86">
        <f>196-R134-Q134</f>
        <v>1</v>
      </c>
      <c r="T134" s="33">
        <f t="shared" si="98"/>
        <v>187</v>
      </c>
      <c r="U134" s="86"/>
      <c r="V134" s="86"/>
      <c r="W134" s="86"/>
      <c r="X134" s="33"/>
      <c r="Y134" s="33"/>
      <c r="Z134" s="33"/>
      <c r="AA134" s="33"/>
      <c r="AB134" s="33"/>
      <c r="AC134" s="33"/>
      <c r="AD134" s="33"/>
      <c r="AE134" s="33"/>
      <c r="AF134" s="33"/>
      <c r="AG134" s="33"/>
      <c r="AH134" s="33"/>
      <c r="AI134" s="33">
        <f>SUM(P134:S134)</f>
        <v>397</v>
      </c>
      <c r="AJ134" s="33">
        <f>SUM(Q134:T134)</f>
        <v>383</v>
      </c>
      <c r="AK134" s="33">
        <f>SUM(R134:U134)</f>
        <v>383</v>
      </c>
      <c r="AL134" s="33">
        <f>SUM(S134:V134)</f>
        <v>188</v>
      </c>
      <c r="AM134" s="33">
        <f>SUM(T134:W134)</f>
        <v>187</v>
      </c>
      <c r="AN134" s="67"/>
      <c r="AO134" s="79"/>
    </row>
    <row r="135" spans="2:41" ht="12.75" customHeight="1">
      <c r="B135" s="88" t="s">
        <v>211</v>
      </c>
      <c r="C135" s="86">
        <v>-2450</v>
      </c>
      <c r="D135" s="86">
        <v>-3366</v>
      </c>
      <c r="E135" s="86">
        <v>-3129</v>
      </c>
      <c r="F135" s="86">
        <v>-2973</v>
      </c>
      <c r="G135" s="86">
        <v>-4121</v>
      </c>
      <c r="I135" s="86">
        <v>-1178</v>
      </c>
      <c r="J135" s="86">
        <f>-2129-I135</f>
        <v>-951</v>
      </c>
      <c r="K135" s="86">
        <f>-2629-J135-I135</f>
        <v>-500</v>
      </c>
      <c r="L135" s="33">
        <f t="shared" si="96"/>
        <v>-500</v>
      </c>
      <c r="M135" s="86">
        <v>-1270</v>
      </c>
      <c r="N135" s="86">
        <f>-2173-M135</f>
        <v>-903</v>
      </c>
      <c r="O135" s="86">
        <f>-2573-N135-M135</f>
        <v>-400</v>
      </c>
      <c r="P135" s="33">
        <f t="shared" si="97"/>
        <v>-400</v>
      </c>
      <c r="Q135" s="86">
        <v>-784</v>
      </c>
      <c r="R135" s="86">
        <f>-1515-Q135</f>
        <v>-731</v>
      </c>
      <c r="S135" s="86">
        <f>-2818-R135-Q135</f>
        <v>-1303</v>
      </c>
      <c r="T135" s="33">
        <f t="shared" si="98"/>
        <v>-1303</v>
      </c>
      <c r="U135" s="86"/>
      <c r="V135" s="86"/>
      <c r="W135" s="86"/>
      <c r="X135" s="33"/>
      <c r="Y135" s="33"/>
      <c r="Z135" s="33"/>
      <c r="AA135" s="33"/>
      <c r="AB135" s="33"/>
      <c r="AC135" s="33"/>
      <c r="AD135" s="33"/>
      <c r="AE135" s="33"/>
      <c r="AF135" s="33"/>
      <c r="AG135" s="33"/>
      <c r="AH135" s="33"/>
      <c r="AI135" s="33">
        <f>SUM(P135:S135)</f>
        <v>-3218</v>
      </c>
      <c r="AJ135" s="33">
        <f>SUM(Q135:T135)</f>
        <v>-4121</v>
      </c>
      <c r="AK135" s="33">
        <f>SUM(R135:U135)</f>
        <v>-3337</v>
      </c>
      <c r="AL135" s="33">
        <f>SUM(S135:V135)</f>
        <v>-2606</v>
      </c>
      <c r="AM135" s="33">
        <f>SUM(T135:W135)</f>
        <v>-1303</v>
      </c>
      <c r="AN135" s="67"/>
      <c r="AO135" s="79"/>
    </row>
    <row r="136" spans="2:41" ht="12.75" customHeight="1">
      <c r="B136" s="88" t="s">
        <v>212</v>
      </c>
      <c r="C136" s="86">
        <v>-2882</v>
      </c>
      <c r="D136" s="86">
        <v>-3008</v>
      </c>
      <c r="E136" s="86">
        <v>-3212</v>
      </c>
      <c r="F136" s="86">
        <v>-3462</v>
      </c>
      <c r="G136" s="86">
        <v>-3687</v>
      </c>
      <c r="I136" s="86">
        <v>-765</v>
      </c>
      <c r="J136" s="86">
        <f>-1529-I136</f>
        <v>-764</v>
      </c>
      <c r="K136" s="86">
        <f>-2371-J136-I136</f>
        <v>-842</v>
      </c>
      <c r="L136" s="33">
        <f t="shared" si="96"/>
        <v>-841</v>
      </c>
      <c r="M136" s="86">
        <v>-842</v>
      </c>
      <c r="N136" s="86">
        <f>-1676-M136</f>
        <v>-834</v>
      </c>
      <c r="O136" s="86">
        <f>-2569-N136-M136</f>
        <v>-893</v>
      </c>
      <c r="P136" s="33">
        <f t="shared" si="97"/>
        <v>-893</v>
      </c>
      <c r="Q136" s="86">
        <v>-895</v>
      </c>
      <c r="R136" s="86">
        <f>-1790-Q136</f>
        <v>-895</v>
      </c>
      <c r="S136" s="86">
        <f>-2739-R136-Q136</f>
        <v>-949</v>
      </c>
      <c r="T136" s="33">
        <f t="shared" si="98"/>
        <v>-948</v>
      </c>
      <c r="U136" s="86"/>
      <c r="V136" s="86"/>
      <c r="W136" s="86"/>
      <c r="X136" s="33"/>
      <c r="Y136" s="33"/>
      <c r="Z136" s="33"/>
      <c r="AA136" s="33"/>
      <c r="AB136" s="33"/>
      <c r="AC136" s="33"/>
      <c r="AD136" s="33"/>
      <c r="AE136" s="33"/>
      <c r="AF136" s="33"/>
      <c r="AG136" s="33"/>
      <c r="AH136" s="33"/>
      <c r="AI136" s="33">
        <f>SUM(P136:S136)</f>
        <v>-3632</v>
      </c>
      <c r="AJ136" s="33">
        <f>SUM(Q136:T136)</f>
        <v>-3687</v>
      </c>
      <c r="AK136" s="33">
        <f>SUM(R136:U136)</f>
        <v>-2792</v>
      </c>
      <c r="AL136" s="33">
        <f>SUM(S136:V136)</f>
        <v>-1897</v>
      </c>
      <c r="AM136" s="33">
        <f>SUM(T136:W136)</f>
        <v>-948</v>
      </c>
      <c r="AN136" s="67"/>
      <c r="AO136" s="79"/>
    </row>
    <row r="137" spans="2:41" ht="12.75" customHeight="1">
      <c r="B137" s="88" t="s">
        <v>213</v>
      </c>
      <c r="C137" s="86">
        <v>-347</v>
      </c>
      <c r="D137" s="86">
        <v>-737</v>
      </c>
      <c r="E137" s="86">
        <v>-766</v>
      </c>
      <c r="F137" s="86">
        <v>-521</v>
      </c>
      <c r="G137" s="86">
        <v>-932</v>
      </c>
      <c r="I137" s="86">
        <v>-500</v>
      </c>
      <c r="J137" s="86">
        <f>-562-I137</f>
        <v>-62</v>
      </c>
      <c r="K137" s="86">
        <f>-751-J137-I137</f>
        <v>-189</v>
      </c>
      <c r="L137" s="33">
        <f t="shared" si="96"/>
        <v>-15</v>
      </c>
      <c r="M137" s="86">
        <v>-309</v>
      </c>
      <c r="N137" s="86">
        <f>-332-M137</f>
        <v>-23</v>
      </c>
      <c r="O137" s="86">
        <f>-499-N137-M137</f>
        <v>-167</v>
      </c>
      <c r="P137" s="33">
        <f t="shared" si="97"/>
        <v>-22</v>
      </c>
      <c r="Q137" s="86">
        <v>-370</v>
      </c>
      <c r="R137" s="86">
        <f>-515-Q137</f>
        <v>-145</v>
      </c>
      <c r="S137" s="86">
        <f>-797-R137-Q137</f>
        <v>-282</v>
      </c>
      <c r="T137" s="33">
        <f t="shared" si="98"/>
        <v>-135</v>
      </c>
      <c r="U137" s="86"/>
      <c r="V137" s="86"/>
      <c r="W137" s="86"/>
      <c r="X137" s="33"/>
      <c r="Y137" s="33"/>
      <c r="Z137" s="33"/>
      <c r="AA137" s="33"/>
      <c r="AB137" s="33"/>
      <c r="AC137" s="33"/>
      <c r="AD137" s="33"/>
      <c r="AE137" s="33"/>
      <c r="AF137" s="33"/>
      <c r="AG137" s="33"/>
      <c r="AH137" s="33"/>
      <c r="AI137" s="33">
        <f>SUM(P137:S137)</f>
        <v>-819</v>
      </c>
      <c r="AJ137" s="33">
        <f>SUM(Q137:T137)</f>
        <v>-932</v>
      </c>
      <c r="AK137" s="33">
        <f>SUM(R137:U137)</f>
        <v>-562</v>
      </c>
      <c r="AL137" s="33">
        <f>SUM(S137:V137)</f>
        <v>-417</v>
      </c>
      <c r="AM137" s="33">
        <f>SUM(T137:W137)</f>
        <v>-135</v>
      </c>
      <c r="AN137" s="67"/>
      <c r="AO137" s="79"/>
    </row>
    <row r="138" spans="2:41" ht="12.75" customHeight="1">
      <c r="B138" s="88" t="s">
        <v>196</v>
      </c>
      <c r="C138" s="86">
        <v>-128</v>
      </c>
      <c r="D138" s="86">
        <v>-35</v>
      </c>
      <c r="E138" s="86">
        <v>-34</v>
      </c>
      <c r="F138" s="86">
        <v>-19</v>
      </c>
      <c r="G138" s="86">
        <v>-17</v>
      </c>
      <c r="I138" s="86">
        <v>-3</v>
      </c>
      <c r="J138" s="86">
        <f>-11-I138</f>
        <v>-8</v>
      </c>
      <c r="K138" s="86">
        <f>-28-J138-I138</f>
        <v>-17</v>
      </c>
      <c r="L138" s="33">
        <f t="shared" si="96"/>
        <v>-6</v>
      </c>
      <c r="M138" s="86">
        <v>23</v>
      </c>
      <c r="N138" s="86">
        <f>-43-M138</f>
        <v>-66</v>
      </c>
      <c r="O138" s="86">
        <f>-16-N138-M138</f>
        <v>27</v>
      </c>
      <c r="P138" s="33">
        <f t="shared" si="97"/>
        <v>-3</v>
      </c>
      <c r="Q138" s="86">
        <v>8</v>
      </c>
      <c r="R138" s="86">
        <f>4-Q138</f>
        <v>-4</v>
      </c>
      <c r="S138" s="86">
        <f>-17-R138-Q138</f>
        <v>-21</v>
      </c>
      <c r="T138" s="33">
        <f t="shared" si="98"/>
        <v>0</v>
      </c>
      <c r="U138" s="86"/>
      <c r="V138" s="86"/>
      <c r="W138" s="86"/>
      <c r="X138" s="33"/>
      <c r="Y138" s="33"/>
      <c r="Z138" s="33"/>
      <c r="AA138" s="33"/>
      <c r="AB138" s="33"/>
      <c r="AC138" s="33"/>
      <c r="AD138" s="33"/>
      <c r="AE138" s="33"/>
      <c r="AF138" s="33"/>
      <c r="AG138" s="33"/>
      <c r="AH138" s="33"/>
      <c r="AI138" s="33">
        <f>SUM(P138:S138)</f>
        <v>-20</v>
      </c>
      <c r="AJ138" s="33">
        <f>SUM(Q138:T138)</f>
        <v>-17</v>
      </c>
      <c r="AK138" s="33">
        <f>SUM(R138:U138)</f>
        <v>-25</v>
      </c>
      <c r="AL138" s="33">
        <f>SUM(S138:V138)</f>
        <v>-21</v>
      </c>
      <c r="AM138" s="33">
        <f>SUM(T138:W138)</f>
        <v>0</v>
      </c>
      <c r="AN138" s="67"/>
      <c r="AO138" s="79"/>
    </row>
    <row r="139" spans="2:41" ht="12.75" customHeight="1">
      <c r="B139" s="88" t="s">
        <v>214</v>
      </c>
      <c r="C139" s="86">
        <v>0</v>
      </c>
      <c r="D139" s="86">
        <v>0</v>
      </c>
      <c r="E139" s="86">
        <v>4</v>
      </c>
      <c r="F139" s="86">
        <v>-58</v>
      </c>
      <c r="G139" s="86">
        <v>19</v>
      </c>
      <c r="I139" s="86">
        <v>0</v>
      </c>
      <c r="J139" s="86">
        <f>0-I139</f>
        <v>0</v>
      </c>
      <c r="K139" s="86">
        <f>0-J139-I139</f>
        <v>0</v>
      </c>
      <c r="L139" s="33">
        <f t="shared" si="96"/>
        <v>4</v>
      </c>
      <c r="M139" s="86">
        <v>0</v>
      </c>
      <c r="N139" s="86">
        <f>0-M139</f>
        <v>0</v>
      </c>
      <c r="O139" s="86">
        <f>-58-N139-M139</f>
        <v>-58</v>
      </c>
      <c r="P139" s="33">
        <f t="shared" si="97"/>
        <v>0</v>
      </c>
      <c r="Q139" s="86">
        <v>0</v>
      </c>
      <c r="R139" s="86">
        <f>0-Q139</f>
        <v>0</v>
      </c>
      <c r="S139" s="86">
        <f>19-R139-Q139</f>
        <v>19</v>
      </c>
      <c r="T139" s="33">
        <f t="shared" si="98"/>
        <v>0</v>
      </c>
      <c r="U139" s="86"/>
      <c r="V139" s="86"/>
      <c r="W139" s="86"/>
      <c r="X139" s="33"/>
      <c r="Y139" s="33"/>
      <c r="Z139" s="33"/>
      <c r="AA139" s="33"/>
      <c r="AB139" s="33"/>
      <c r="AC139" s="33"/>
      <c r="AD139" s="33"/>
      <c r="AE139" s="33"/>
      <c r="AF139" s="33"/>
      <c r="AG139" s="33"/>
      <c r="AH139" s="33"/>
      <c r="AI139" s="33">
        <f>SUM(P139:S139)</f>
        <v>19</v>
      </c>
      <c r="AJ139" s="33">
        <f>SUM(Q139:T139)</f>
        <v>19</v>
      </c>
      <c r="AK139" s="33">
        <f>SUM(R139:U139)</f>
        <v>19</v>
      </c>
      <c r="AL139" s="33">
        <f>SUM(S139:V139)</f>
        <v>19</v>
      </c>
      <c r="AM139" s="33">
        <f>SUM(T139:W139)</f>
        <v>0</v>
      </c>
      <c r="AN139" s="67"/>
      <c r="AO139" s="79"/>
    </row>
    <row r="140" spans="2:41" ht="12.75" customHeight="1">
      <c r="B140" s="13" t="s">
        <v>63</v>
      </c>
      <c r="C140" s="14">
        <f>SUM(C129:C139)</f>
        <v>-5707</v>
      </c>
      <c r="D140" s="14">
        <f>SUM(D129:D139)</f>
        <v>-6798</v>
      </c>
      <c r="E140" s="14">
        <f>SUM(E129:E139)</f>
        <v>-7196</v>
      </c>
      <c r="F140" s="14">
        <f>SUM(F129:F139)</f>
        <v>-6663</v>
      </c>
      <c r="G140" s="14">
        <f>SUM(G129:G139)</f>
        <v>-9269</v>
      </c>
      <c r="H140" s="33"/>
      <c r="I140" s="14">
        <f t="shared" ref="I140:W140" si="99">SUM(I129:I139)</f>
        <v>-2446</v>
      </c>
      <c r="J140" s="14">
        <f t="shared" si="99"/>
        <v>-1598</v>
      </c>
      <c r="K140" s="14">
        <f t="shared" si="99"/>
        <v>-1960</v>
      </c>
      <c r="L140" s="14">
        <f t="shared" si="99"/>
        <v>-1192</v>
      </c>
      <c r="M140" s="14">
        <f t="shared" si="99"/>
        <v>-1015</v>
      </c>
      <c r="N140" s="14">
        <f t="shared" si="99"/>
        <v>-2543</v>
      </c>
      <c r="O140" s="14">
        <f t="shared" si="99"/>
        <v>-1988</v>
      </c>
      <c r="P140" s="14">
        <f t="shared" si="99"/>
        <v>-1117</v>
      </c>
      <c r="Q140" s="14">
        <f t="shared" si="99"/>
        <v>-2041</v>
      </c>
      <c r="R140" s="14">
        <f t="shared" si="99"/>
        <v>-1580</v>
      </c>
      <c r="S140" s="14">
        <f t="shared" si="99"/>
        <v>-3449</v>
      </c>
      <c r="T140" s="14">
        <f t="shared" si="99"/>
        <v>-2199</v>
      </c>
      <c r="U140" s="14">
        <f t="shared" si="99"/>
        <v>0</v>
      </c>
      <c r="V140" s="14">
        <f t="shared" si="99"/>
        <v>0</v>
      </c>
      <c r="W140" s="14">
        <f t="shared" si="99"/>
        <v>0</v>
      </c>
      <c r="X140" s="33"/>
      <c r="Y140" s="14">
        <f t="shared" ref="Y140" si="100">SUM(Y129:Y139)</f>
        <v>0</v>
      </c>
      <c r="Z140" s="14">
        <f t="shared" ref="Z140" si="101">SUM(Z129:Z139)</f>
        <v>0</v>
      </c>
      <c r="AA140" s="14">
        <f t="shared" ref="AA140" si="102">SUM(AA129:AA139)</f>
        <v>-350</v>
      </c>
      <c r="AB140" s="14">
        <f t="shared" ref="AB140" si="103">SUM(AB129:AB139)</f>
        <v>-352</v>
      </c>
      <c r="AC140" s="14">
        <f t="shared" ref="AC140" si="104">SUM(AC129:AC139)</f>
        <v>-849</v>
      </c>
      <c r="AD140" s="14">
        <f t="shared" ref="AD140" si="105">SUM(AD129:AD139)</f>
        <v>-352</v>
      </c>
      <c r="AE140" s="14">
        <f t="shared" ref="AE140" si="106">SUM(AE129:AE139)</f>
        <v>-500</v>
      </c>
      <c r="AF140" s="14">
        <f t="shared" ref="AF140" si="107">SUM(AF129:AF139)</f>
        <v>-498</v>
      </c>
      <c r="AG140" s="14">
        <f t="shared" ref="AG140" si="108">SUM(AG129:AG139)</f>
        <v>-1</v>
      </c>
      <c r="AH140" s="14">
        <f t="shared" ref="AH140" si="109">SUM(AH129:AH139)</f>
        <v>-498</v>
      </c>
      <c r="AI140" s="14">
        <f t="shared" ref="AI140" si="110">SUM(AI129:AI139)</f>
        <v>-8187</v>
      </c>
      <c r="AJ140" s="14">
        <f t="shared" ref="AJ140" si="111">SUM(AJ129:AJ139)</f>
        <v>-9269</v>
      </c>
      <c r="AK140" s="14">
        <f t="shared" ref="AK140" si="112">SUM(AK129:AK139)</f>
        <v>-7228</v>
      </c>
      <c r="AL140" s="14">
        <f t="shared" ref="AL140" si="113">SUM(AL129:AL139)</f>
        <v>-5648</v>
      </c>
      <c r="AM140" s="14">
        <f t="shared" ref="AM140" si="114">SUM(AM129:AM139)</f>
        <v>-2199</v>
      </c>
      <c r="AN140" s="44"/>
      <c r="AO140" s="80">
        <f t="shared" si="95"/>
        <v>-0.73140344448515937</v>
      </c>
    </row>
    <row r="141" spans="2:41" ht="5.0999999999999996" customHeight="1">
      <c r="B141" s="8"/>
      <c r="C141" s="68"/>
      <c r="D141" s="68"/>
      <c r="E141" s="68"/>
      <c r="F141" s="68"/>
      <c r="G141" s="68"/>
      <c r="H141" s="33"/>
      <c r="I141" s="68"/>
      <c r="J141" s="68"/>
      <c r="K141" s="68"/>
      <c r="L141" s="68"/>
      <c r="M141" s="68"/>
      <c r="N141" s="68"/>
      <c r="O141" s="68"/>
      <c r="P141" s="68"/>
      <c r="Q141" s="68"/>
      <c r="R141" s="68"/>
      <c r="S141" s="68"/>
      <c r="T141" s="68"/>
      <c r="U141" s="68"/>
      <c r="V141" s="68"/>
      <c r="W141" s="68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48"/>
    </row>
    <row r="142" spans="2:41" ht="5.0999999999999996" customHeight="1">
      <c r="B142" s="75"/>
      <c r="C142" s="33"/>
      <c r="D142" s="33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33"/>
      <c r="Y142" s="33"/>
      <c r="Z142" s="33"/>
      <c r="AA142" s="33"/>
      <c r="AB142" s="33"/>
      <c r="AC142" s="33"/>
      <c r="AD142" s="33"/>
      <c r="AE142" s="33"/>
      <c r="AF142" s="33"/>
      <c r="AG142" s="33"/>
      <c r="AH142" s="33"/>
      <c r="AI142" s="33"/>
      <c r="AJ142" s="33"/>
      <c r="AK142" s="33"/>
      <c r="AL142" s="33"/>
      <c r="AM142" s="33"/>
      <c r="AN142" s="11"/>
      <c r="AO142" s="48"/>
    </row>
    <row r="143" spans="2:41">
      <c r="B143" s="97" t="s">
        <v>93</v>
      </c>
      <c r="C143" s="98">
        <v>11839</v>
      </c>
      <c r="D143" s="98">
        <f t="shared" ref="D143:G143" si="115">C150</f>
        <v>6707</v>
      </c>
      <c r="E143" s="98">
        <f t="shared" si="115"/>
        <v>7116</v>
      </c>
      <c r="F143" s="98">
        <f t="shared" si="115"/>
        <v>2773</v>
      </c>
      <c r="G143" s="98">
        <f t="shared" si="115"/>
        <v>8450</v>
      </c>
      <c r="H143" s="98"/>
      <c r="I143" s="98">
        <f>D150</f>
        <v>7116</v>
      </c>
      <c r="J143" s="98">
        <f t="shared" ref="J143:W143" si="116">I150</f>
        <v>6607</v>
      </c>
      <c r="K143" s="98">
        <f t="shared" si="116"/>
        <v>7173</v>
      </c>
      <c r="L143" s="98">
        <f t="shared" si="116"/>
        <v>982</v>
      </c>
      <c r="M143" s="98">
        <f t="shared" si="116"/>
        <v>2773</v>
      </c>
      <c r="N143" s="98">
        <f t="shared" si="116"/>
        <v>5073</v>
      </c>
      <c r="O143" s="98">
        <f t="shared" si="116"/>
        <v>3782</v>
      </c>
      <c r="P143" s="98">
        <f t="shared" si="116"/>
        <v>6177</v>
      </c>
      <c r="Q143" s="98">
        <f t="shared" si="116"/>
        <v>8450</v>
      </c>
      <c r="R143" s="98">
        <f t="shared" si="116"/>
        <v>8124</v>
      </c>
      <c r="S143" s="98">
        <f t="shared" si="116"/>
        <v>7967</v>
      </c>
      <c r="T143" s="98">
        <f t="shared" si="116"/>
        <v>7466</v>
      </c>
      <c r="U143" s="98">
        <f t="shared" si="116"/>
        <v>7829</v>
      </c>
      <c r="V143" s="98">
        <f t="shared" si="116"/>
        <v>7829</v>
      </c>
      <c r="W143" s="98">
        <f t="shared" si="116"/>
        <v>7829</v>
      </c>
      <c r="X143" s="98"/>
      <c r="Y143" s="98" t="e">
        <f>#REF!</f>
        <v>#REF!</v>
      </c>
      <c r="Z143" s="98" t="e">
        <f>#REF!</f>
        <v>#REF!</v>
      </c>
      <c r="AA143" s="98" t="e">
        <f>#REF!</f>
        <v>#REF!</v>
      </c>
      <c r="AB143" s="98" t="e">
        <f>#REF!</f>
        <v>#REF!</v>
      </c>
      <c r="AC143" s="98">
        <f>I150</f>
        <v>6607</v>
      </c>
      <c r="AD143" s="98">
        <f>J150</f>
        <v>7173</v>
      </c>
      <c r="AE143" s="98">
        <f>K150</f>
        <v>982</v>
      </c>
      <c r="AF143" s="98">
        <f>L150</f>
        <v>2773</v>
      </c>
      <c r="AG143" s="98">
        <f>M150</f>
        <v>5073</v>
      </c>
      <c r="AH143" s="98">
        <f>N150</f>
        <v>3782</v>
      </c>
      <c r="AI143" s="98">
        <f>O150</f>
        <v>6177</v>
      </c>
      <c r="AJ143" s="98">
        <f>P150</f>
        <v>8450</v>
      </c>
      <c r="AK143" s="98">
        <f>Q150</f>
        <v>8124</v>
      </c>
      <c r="AL143" s="98">
        <f>R150</f>
        <v>7967</v>
      </c>
      <c r="AM143" s="150">
        <f>S150</f>
        <v>7466</v>
      </c>
      <c r="AN143" s="11"/>
      <c r="AO143" s="48"/>
    </row>
    <row r="144" spans="2:41">
      <c r="B144" s="137" t="s">
        <v>116</v>
      </c>
      <c r="C144" s="33"/>
      <c r="D144" s="33">
        <f>-C148</f>
        <v>0</v>
      </c>
      <c r="E144" s="33">
        <f t="shared" ref="E144:G144" si="117">-D148</f>
        <v>0</v>
      </c>
      <c r="F144" s="33">
        <f t="shared" si="117"/>
        <v>326</v>
      </c>
      <c r="G144" s="33">
        <f t="shared" si="117"/>
        <v>77</v>
      </c>
      <c r="H144" s="33"/>
      <c r="I144" s="33"/>
      <c r="J144" s="33">
        <f t="shared" ref="J144:W144" si="118">-I148</f>
        <v>0</v>
      </c>
      <c r="K144" s="33">
        <f t="shared" si="118"/>
        <v>0</v>
      </c>
      <c r="L144" s="33">
        <f t="shared" si="118"/>
        <v>0</v>
      </c>
      <c r="M144" s="33">
        <f t="shared" si="118"/>
        <v>326</v>
      </c>
      <c r="N144" s="33">
        <f t="shared" si="118"/>
        <v>0</v>
      </c>
      <c r="O144" s="33">
        <f t="shared" si="118"/>
        <v>0</v>
      </c>
      <c r="P144" s="33">
        <f t="shared" si="118"/>
        <v>0</v>
      </c>
      <c r="Q144" s="33">
        <f t="shared" si="118"/>
        <v>77</v>
      </c>
      <c r="R144" s="33">
        <f t="shared" si="118"/>
        <v>0</v>
      </c>
      <c r="S144" s="33">
        <f t="shared" si="118"/>
        <v>0</v>
      </c>
      <c r="T144" s="33">
        <f t="shared" si="118"/>
        <v>0</v>
      </c>
      <c r="U144" s="33">
        <f t="shared" si="118"/>
        <v>0</v>
      </c>
      <c r="V144" s="33">
        <f t="shared" si="118"/>
        <v>0</v>
      </c>
      <c r="W144" s="33">
        <f t="shared" si="118"/>
        <v>0</v>
      </c>
      <c r="X144" s="33"/>
      <c r="Y144" s="33" t="e">
        <f>-#REF!</f>
        <v>#REF!</v>
      </c>
      <c r="Z144" s="33" t="e">
        <f>-#REF!</f>
        <v>#REF!</v>
      </c>
      <c r="AA144" s="33" t="e">
        <f>-#REF!</f>
        <v>#REF!</v>
      </c>
      <c r="AB144" s="33" t="e">
        <f>-#REF!</f>
        <v>#REF!</v>
      </c>
      <c r="AC144" s="33">
        <f>-I148</f>
        <v>0</v>
      </c>
      <c r="AD144" s="33">
        <f>-J148</f>
        <v>0</v>
      </c>
      <c r="AE144" s="33">
        <f>-K148</f>
        <v>0</v>
      </c>
      <c r="AF144" s="33">
        <f>-L148</f>
        <v>326</v>
      </c>
      <c r="AG144" s="33">
        <f>-M148</f>
        <v>0</v>
      </c>
      <c r="AH144" s="33">
        <f>-N148</f>
        <v>0</v>
      </c>
      <c r="AI144" s="33">
        <f>-O148</f>
        <v>0</v>
      </c>
      <c r="AJ144" s="33">
        <f>-P148</f>
        <v>77</v>
      </c>
      <c r="AK144" s="33">
        <f>-Q148</f>
        <v>0</v>
      </c>
      <c r="AL144" s="33">
        <f>-R148</f>
        <v>0</v>
      </c>
      <c r="AM144" s="142">
        <f>-S148</f>
        <v>0</v>
      </c>
      <c r="AN144" s="11"/>
      <c r="AO144" s="48"/>
    </row>
    <row r="145" spans="2:41">
      <c r="B145" s="94" t="s">
        <v>78</v>
      </c>
      <c r="C145" s="90">
        <f t="shared" ref="C145:G145" si="119">SUM(C143:C144)</f>
        <v>11839</v>
      </c>
      <c r="D145" s="90">
        <f t="shared" si="119"/>
        <v>6707</v>
      </c>
      <c r="E145" s="90">
        <f t="shared" si="119"/>
        <v>7116</v>
      </c>
      <c r="F145" s="90">
        <f t="shared" si="119"/>
        <v>3099</v>
      </c>
      <c r="G145" s="90">
        <f t="shared" si="119"/>
        <v>8527</v>
      </c>
      <c r="H145" s="33"/>
      <c r="I145" s="90">
        <f t="shared" ref="I145:W145" si="120">SUM(I143:I144)</f>
        <v>7116</v>
      </c>
      <c r="J145" s="90">
        <f t="shared" si="120"/>
        <v>6607</v>
      </c>
      <c r="K145" s="90">
        <f t="shared" si="120"/>
        <v>7173</v>
      </c>
      <c r="L145" s="90">
        <f t="shared" si="120"/>
        <v>982</v>
      </c>
      <c r="M145" s="90">
        <f t="shared" si="120"/>
        <v>3099</v>
      </c>
      <c r="N145" s="90">
        <f t="shared" si="120"/>
        <v>5073</v>
      </c>
      <c r="O145" s="90">
        <f t="shared" si="120"/>
        <v>3782</v>
      </c>
      <c r="P145" s="90">
        <f t="shared" si="120"/>
        <v>6177</v>
      </c>
      <c r="Q145" s="90">
        <f t="shared" si="120"/>
        <v>8527</v>
      </c>
      <c r="R145" s="90">
        <f t="shared" si="120"/>
        <v>8124</v>
      </c>
      <c r="S145" s="90">
        <f t="shared" si="120"/>
        <v>7967</v>
      </c>
      <c r="T145" s="90">
        <f t="shared" si="120"/>
        <v>7466</v>
      </c>
      <c r="U145" s="90">
        <f t="shared" si="120"/>
        <v>7829</v>
      </c>
      <c r="V145" s="90">
        <f t="shared" si="120"/>
        <v>7829</v>
      </c>
      <c r="W145" s="90">
        <f t="shared" si="120"/>
        <v>7829</v>
      </c>
      <c r="X145" s="33"/>
      <c r="Y145" s="140" t="e">
        <f t="shared" ref="Y145:AM145" si="121">SUM(Y143:Y144)</f>
        <v>#REF!</v>
      </c>
      <c r="Z145" s="140" t="e">
        <f t="shared" si="121"/>
        <v>#REF!</v>
      </c>
      <c r="AA145" s="140" t="e">
        <f t="shared" si="121"/>
        <v>#REF!</v>
      </c>
      <c r="AB145" s="140" t="e">
        <f t="shared" si="121"/>
        <v>#REF!</v>
      </c>
      <c r="AC145" s="140">
        <f t="shared" si="121"/>
        <v>6607</v>
      </c>
      <c r="AD145" s="140">
        <f t="shared" si="121"/>
        <v>7173</v>
      </c>
      <c r="AE145" s="140">
        <f t="shared" si="121"/>
        <v>982</v>
      </c>
      <c r="AF145" s="140">
        <f t="shared" si="121"/>
        <v>3099</v>
      </c>
      <c r="AG145" s="140">
        <f t="shared" si="121"/>
        <v>5073</v>
      </c>
      <c r="AH145" s="140">
        <f t="shared" si="121"/>
        <v>3782</v>
      </c>
      <c r="AI145" s="140">
        <f t="shared" si="121"/>
        <v>6177</v>
      </c>
      <c r="AJ145" s="140">
        <f t="shared" si="121"/>
        <v>8527</v>
      </c>
      <c r="AK145" s="140">
        <f t="shared" si="121"/>
        <v>8124</v>
      </c>
      <c r="AL145" s="140">
        <f t="shared" si="121"/>
        <v>7967</v>
      </c>
      <c r="AM145" s="143">
        <f t="shared" si="121"/>
        <v>7466</v>
      </c>
      <c r="AN145" s="11"/>
      <c r="AO145" s="48"/>
    </row>
    <row r="146" spans="2:41" ht="5.0999999999999996" customHeight="1">
      <c r="B146" s="147"/>
      <c r="C146" s="75"/>
      <c r="D146" s="75"/>
      <c r="E146" s="75"/>
      <c r="F146" s="75"/>
      <c r="G146" s="75"/>
      <c r="H146" s="33"/>
      <c r="I146" s="75"/>
      <c r="J146" s="75"/>
      <c r="K146" s="75"/>
      <c r="L146" s="75"/>
      <c r="M146" s="75"/>
      <c r="N146" s="75"/>
      <c r="O146" s="75"/>
      <c r="P146" s="75"/>
      <c r="Q146" s="75"/>
      <c r="R146" s="75"/>
      <c r="S146" s="75"/>
      <c r="T146" s="75"/>
      <c r="U146" s="75"/>
      <c r="V146" s="75"/>
      <c r="W146" s="75"/>
      <c r="X146" s="33"/>
      <c r="Y146" s="75"/>
      <c r="Z146" s="75"/>
      <c r="AA146" s="75"/>
      <c r="AB146" s="75"/>
      <c r="AC146" s="75"/>
      <c r="AD146" s="75"/>
      <c r="AE146" s="75"/>
      <c r="AF146" s="75"/>
      <c r="AG146" s="75"/>
      <c r="AH146" s="75"/>
      <c r="AI146" s="75"/>
      <c r="AJ146" s="75"/>
      <c r="AK146" s="75"/>
      <c r="AL146" s="75"/>
      <c r="AM146" s="144"/>
      <c r="AN146" s="11"/>
      <c r="AO146" s="48"/>
    </row>
    <row r="147" spans="2:41">
      <c r="B147" s="137" t="s">
        <v>94</v>
      </c>
      <c r="C147" s="86">
        <v>24</v>
      </c>
      <c r="D147" s="86">
        <v>27</v>
      </c>
      <c r="E147" s="86">
        <v>-113</v>
      </c>
      <c r="F147" s="86">
        <v>30</v>
      </c>
      <c r="G147" s="86">
        <v>12</v>
      </c>
      <c r="H147" s="33"/>
      <c r="I147" s="86">
        <v>-8</v>
      </c>
      <c r="J147" s="86">
        <f>-16-I147</f>
        <v>-8</v>
      </c>
      <c r="K147" s="86">
        <f>-50-J147-I147</f>
        <v>-34</v>
      </c>
      <c r="L147" s="33">
        <f>SUM(E147-SUM(I147:K147))</f>
        <v>-63</v>
      </c>
      <c r="M147" s="86">
        <v>27</v>
      </c>
      <c r="N147" s="86">
        <f>46-M147</f>
        <v>19</v>
      </c>
      <c r="O147" s="86">
        <f>35-N147-M147</f>
        <v>-11</v>
      </c>
      <c r="P147" s="33">
        <f>SUM(F147-SUM(M147:O147))</f>
        <v>-5</v>
      </c>
      <c r="Q147" s="86">
        <v>15</v>
      </c>
      <c r="R147" s="86">
        <f>5-Q147</f>
        <v>-10</v>
      </c>
      <c r="S147" s="86">
        <f>-4-R147-Q147</f>
        <v>-9</v>
      </c>
      <c r="T147" s="33">
        <v>-4</v>
      </c>
      <c r="U147" s="86"/>
      <c r="V147" s="86"/>
      <c r="W147" s="86"/>
      <c r="X147" s="33"/>
      <c r="Y147" s="33">
        <f>SUM(I147:I147)</f>
        <v>-8</v>
      </c>
      <c r="Z147" s="33">
        <f>SUM(I147:J147)</f>
        <v>-16</v>
      </c>
      <c r="AA147" s="33">
        <f>SUM(I147:K147)</f>
        <v>-50</v>
      </c>
      <c r="AB147" s="33">
        <f>SUM(I147:L147)</f>
        <v>-113</v>
      </c>
      <c r="AC147" s="33">
        <f>SUM(J147:M147)</f>
        <v>-78</v>
      </c>
      <c r="AD147" s="33">
        <f>SUM(K147:N147)</f>
        <v>-51</v>
      </c>
      <c r="AE147" s="33">
        <f>SUM(L147:O147)</f>
        <v>-28</v>
      </c>
      <c r="AF147" s="33">
        <f>SUM(M147:P147)</f>
        <v>30</v>
      </c>
      <c r="AG147" s="33">
        <f>SUM(N147:Q147)</f>
        <v>18</v>
      </c>
      <c r="AH147" s="33">
        <f>SUM(O147:R147)</f>
        <v>-11</v>
      </c>
      <c r="AI147" s="33">
        <f>SUM(P147:S147)</f>
        <v>-9</v>
      </c>
      <c r="AJ147" s="33">
        <f>SUM(Q147:T147)</f>
        <v>-8</v>
      </c>
      <c r="AK147" s="33">
        <f>SUM(R147:U147)</f>
        <v>-23</v>
      </c>
      <c r="AL147" s="33">
        <f>SUM(S147:V147)</f>
        <v>-13</v>
      </c>
      <c r="AM147" s="142">
        <f>SUM(T147:W147)</f>
        <v>-4</v>
      </c>
      <c r="AN147" s="11"/>
      <c r="AO147" s="48"/>
    </row>
    <row r="148" spans="2:41">
      <c r="B148" s="137" t="s">
        <v>113</v>
      </c>
      <c r="C148" s="86">
        <v>0</v>
      </c>
      <c r="D148" s="86">
        <v>0</v>
      </c>
      <c r="E148" s="86">
        <v>-326</v>
      </c>
      <c r="F148" s="86">
        <v>-77</v>
      </c>
      <c r="G148" s="86">
        <v>0</v>
      </c>
      <c r="H148" s="33"/>
      <c r="I148" s="86"/>
      <c r="J148" s="86"/>
      <c r="K148" s="86"/>
      <c r="L148" s="102">
        <f>E148</f>
        <v>-326</v>
      </c>
      <c r="M148" s="86"/>
      <c r="N148" s="86"/>
      <c r="O148" s="86"/>
      <c r="P148" s="33">
        <f>F148</f>
        <v>-77</v>
      </c>
      <c r="Q148" s="86"/>
      <c r="R148" s="86"/>
      <c r="S148" s="86"/>
      <c r="T148" s="33">
        <f>G148</f>
        <v>0</v>
      </c>
      <c r="U148" s="86"/>
      <c r="V148" s="86"/>
      <c r="W148" s="86"/>
      <c r="X148" s="33"/>
      <c r="Y148" s="33">
        <f>I148</f>
        <v>0</v>
      </c>
      <c r="Z148" s="33">
        <f>J148</f>
        <v>0</v>
      </c>
      <c r="AA148" s="33">
        <f>K148</f>
        <v>0</v>
      </c>
      <c r="AB148" s="33">
        <f>L148</f>
        <v>-326</v>
      </c>
      <c r="AC148" s="33">
        <f>M148</f>
        <v>0</v>
      </c>
      <c r="AD148" s="33">
        <f>N148</f>
        <v>0</v>
      </c>
      <c r="AE148" s="33">
        <f>O148</f>
        <v>0</v>
      </c>
      <c r="AF148" s="33">
        <f>P148</f>
        <v>-77</v>
      </c>
      <c r="AG148" s="33">
        <f>Q148</f>
        <v>0</v>
      </c>
      <c r="AH148" s="33">
        <f>R148</f>
        <v>0</v>
      </c>
      <c r="AI148" s="33">
        <f>S148</f>
        <v>0</v>
      </c>
      <c r="AJ148" s="33">
        <f>T148</f>
        <v>0</v>
      </c>
      <c r="AK148" s="33">
        <f>U148</f>
        <v>0</v>
      </c>
      <c r="AL148" s="33">
        <f>V148</f>
        <v>0</v>
      </c>
      <c r="AM148" s="142">
        <f>W148</f>
        <v>0</v>
      </c>
      <c r="AN148" s="11"/>
      <c r="AO148" s="48"/>
    </row>
    <row r="149" spans="2:41">
      <c r="B149" s="137" t="s">
        <v>67</v>
      </c>
      <c r="C149" s="33">
        <f>+C140+C126+C115</f>
        <v>-5156</v>
      </c>
      <c r="D149" s="33">
        <f>+D140+D126+D115</f>
        <v>382</v>
      </c>
      <c r="E149" s="33">
        <f>+E140+E126+E115</f>
        <v>-3904</v>
      </c>
      <c r="F149" s="33">
        <f>+F140+F126+F115</f>
        <v>5398</v>
      </c>
      <c r="G149" s="33">
        <f>+G140+G126+G115</f>
        <v>-690</v>
      </c>
      <c r="H149" s="33"/>
      <c r="I149" s="33">
        <f>+I140+I126+I115</f>
        <v>-501</v>
      </c>
      <c r="J149" s="33">
        <f>+J140+J126+J115</f>
        <v>574</v>
      </c>
      <c r="K149" s="33">
        <f>+K140+K126+K115</f>
        <v>-6157</v>
      </c>
      <c r="L149" s="33">
        <f>+L140+L126+L115</f>
        <v>2180</v>
      </c>
      <c r="M149" s="33">
        <f>+M140+M126+M115</f>
        <v>1947</v>
      </c>
      <c r="N149" s="33">
        <f>+N140+N126+N115</f>
        <v>-1310</v>
      </c>
      <c r="O149" s="33">
        <f>+O140+O126+O115</f>
        <v>2406</v>
      </c>
      <c r="P149" s="33">
        <f>+P140+P126+P115</f>
        <v>2355</v>
      </c>
      <c r="Q149" s="33">
        <f>+Q140+Q126+Q115</f>
        <v>-418</v>
      </c>
      <c r="R149" s="33">
        <f>+R140+R126+R115</f>
        <v>-147</v>
      </c>
      <c r="S149" s="33">
        <f>+S140+S126+S115</f>
        <v>-492</v>
      </c>
      <c r="T149" s="33">
        <f>+T140+T126+T115</f>
        <v>367</v>
      </c>
      <c r="U149" s="33">
        <f>+U140+U126+U115</f>
        <v>0</v>
      </c>
      <c r="V149" s="33">
        <f>+V140+V126+V115</f>
        <v>0</v>
      </c>
      <c r="W149" s="33">
        <f>+W140+W126+W115</f>
        <v>0</v>
      </c>
      <c r="X149" s="33"/>
      <c r="Y149" s="33">
        <f>SUM(I149:I149)</f>
        <v>-501</v>
      </c>
      <c r="Z149" s="33">
        <f>SUM(I149:J149)</f>
        <v>73</v>
      </c>
      <c r="AA149" s="33">
        <f>SUM(I149:K149)</f>
        <v>-6084</v>
      </c>
      <c r="AB149" s="33">
        <f>SUM(I149:L149)</f>
        <v>-3904</v>
      </c>
      <c r="AC149" s="33">
        <f>SUM(J149:M149)</f>
        <v>-1456</v>
      </c>
      <c r="AD149" s="33">
        <f>SUM(K149:N149)</f>
        <v>-3340</v>
      </c>
      <c r="AE149" s="33">
        <f>SUM(L149:O149)</f>
        <v>5223</v>
      </c>
      <c r="AF149" s="33">
        <f>SUM(M149:P149)</f>
        <v>5398</v>
      </c>
      <c r="AG149" s="33">
        <f>SUM(N149:Q149)</f>
        <v>3033</v>
      </c>
      <c r="AH149" s="33">
        <f>SUM(O149:R149)</f>
        <v>4196</v>
      </c>
      <c r="AI149" s="33">
        <f>SUM(P149:S149)</f>
        <v>1298</v>
      </c>
      <c r="AJ149" s="33">
        <f>SUM(Q149:T149)</f>
        <v>-690</v>
      </c>
      <c r="AK149" s="33">
        <f>SUM(R149:U149)</f>
        <v>-272</v>
      </c>
      <c r="AL149" s="33">
        <f>SUM(S149:V149)</f>
        <v>-125</v>
      </c>
      <c r="AM149" s="142">
        <f>SUM(T149:W149)</f>
        <v>367</v>
      </c>
      <c r="AN149" s="11"/>
      <c r="AO149" s="48"/>
    </row>
    <row r="150" spans="2:41">
      <c r="B150" s="94" t="s">
        <v>79</v>
      </c>
      <c r="C150" s="90">
        <f t="shared" ref="C150:G150" si="122">SUM(C145:C149)</f>
        <v>6707</v>
      </c>
      <c r="D150" s="90">
        <f t="shared" si="122"/>
        <v>7116</v>
      </c>
      <c r="E150" s="90">
        <f t="shared" si="122"/>
        <v>2773</v>
      </c>
      <c r="F150" s="90">
        <f t="shared" si="122"/>
        <v>8450</v>
      </c>
      <c r="G150" s="90">
        <f t="shared" si="122"/>
        <v>7849</v>
      </c>
      <c r="H150" s="33"/>
      <c r="I150" s="90">
        <f t="shared" ref="I150:W150" si="123">SUM(I145:I149)</f>
        <v>6607</v>
      </c>
      <c r="J150" s="90">
        <f t="shared" si="123"/>
        <v>7173</v>
      </c>
      <c r="K150" s="90">
        <f t="shared" si="123"/>
        <v>982</v>
      </c>
      <c r="L150" s="90">
        <f t="shared" si="123"/>
        <v>2773</v>
      </c>
      <c r="M150" s="90">
        <f t="shared" si="123"/>
        <v>5073</v>
      </c>
      <c r="N150" s="90">
        <f t="shared" si="123"/>
        <v>3782</v>
      </c>
      <c r="O150" s="90">
        <f t="shared" si="123"/>
        <v>6177</v>
      </c>
      <c r="P150" s="90">
        <f t="shared" si="123"/>
        <v>8450</v>
      </c>
      <c r="Q150" s="90">
        <f t="shared" si="123"/>
        <v>8124</v>
      </c>
      <c r="R150" s="90">
        <f t="shared" si="123"/>
        <v>7967</v>
      </c>
      <c r="S150" s="90">
        <f t="shared" si="123"/>
        <v>7466</v>
      </c>
      <c r="T150" s="90">
        <f t="shared" si="123"/>
        <v>7829</v>
      </c>
      <c r="U150" s="90">
        <f t="shared" si="123"/>
        <v>7829</v>
      </c>
      <c r="V150" s="90">
        <f t="shared" si="123"/>
        <v>7829</v>
      </c>
      <c r="W150" s="90">
        <f t="shared" si="123"/>
        <v>7829</v>
      </c>
      <c r="X150" s="33"/>
      <c r="Y150" s="141" t="e">
        <f t="shared" ref="Y150:AA150" si="124">SUM(Y145:Y149)</f>
        <v>#REF!</v>
      </c>
      <c r="Z150" s="141" t="e">
        <f t="shared" si="124"/>
        <v>#REF!</v>
      </c>
      <c r="AA150" s="141" t="e">
        <f t="shared" si="124"/>
        <v>#REF!</v>
      </c>
      <c r="AB150" s="141" t="e">
        <f t="shared" ref="AB150:AM150" si="125">SUM(AB145:AB149)</f>
        <v>#REF!</v>
      </c>
      <c r="AC150" s="141">
        <f t="shared" si="125"/>
        <v>5073</v>
      </c>
      <c r="AD150" s="141">
        <f t="shared" si="125"/>
        <v>3782</v>
      </c>
      <c r="AE150" s="141">
        <f t="shared" si="125"/>
        <v>6177</v>
      </c>
      <c r="AF150" s="141">
        <f t="shared" si="125"/>
        <v>8450</v>
      </c>
      <c r="AG150" s="141">
        <f t="shared" si="125"/>
        <v>8124</v>
      </c>
      <c r="AH150" s="141">
        <f t="shared" si="125"/>
        <v>7967</v>
      </c>
      <c r="AI150" s="141">
        <f t="shared" si="125"/>
        <v>7466</v>
      </c>
      <c r="AJ150" s="141">
        <f t="shared" si="125"/>
        <v>7829</v>
      </c>
      <c r="AK150" s="141">
        <f t="shared" si="125"/>
        <v>7829</v>
      </c>
      <c r="AL150" s="141">
        <f t="shared" si="125"/>
        <v>7829</v>
      </c>
      <c r="AM150" s="145">
        <f t="shared" si="125"/>
        <v>7829</v>
      </c>
      <c r="AN150" s="11"/>
      <c r="AO150" s="48"/>
    </row>
    <row r="151" spans="2:41" ht="5.0999999999999996" customHeight="1">
      <c r="B151" s="95"/>
      <c r="C151" s="68"/>
      <c r="D151" s="68"/>
      <c r="E151" s="68"/>
      <c r="F151" s="68"/>
      <c r="G151" s="68"/>
      <c r="H151" s="33"/>
      <c r="I151" s="68"/>
      <c r="J151" s="68"/>
      <c r="K151" s="68"/>
      <c r="L151" s="68"/>
      <c r="M151" s="68"/>
      <c r="N151" s="68"/>
      <c r="O151" s="68"/>
      <c r="P151" s="68"/>
      <c r="Q151" s="68"/>
      <c r="R151" s="68"/>
      <c r="S151" s="68"/>
      <c r="T151" s="68"/>
      <c r="U151" s="68"/>
      <c r="V151" s="68"/>
      <c r="W151" s="68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96"/>
      <c r="AN151" s="11"/>
      <c r="AO151" s="48"/>
    </row>
    <row r="152" spans="2:41">
      <c r="B152" s="148" t="s">
        <v>100</v>
      </c>
      <c r="C152" s="92">
        <f>C150-C48</f>
        <v>0</v>
      </c>
      <c r="D152" s="92">
        <f>D150-D48</f>
        <v>0</v>
      </c>
      <c r="E152" s="92">
        <f>E150-E48</f>
        <v>0</v>
      </c>
      <c r="F152" s="92">
        <f>F150-F48</f>
        <v>0</v>
      </c>
      <c r="G152" s="92">
        <f>G150-G48</f>
        <v>0</v>
      </c>
      <c r="H152" s="93"/>
      <c r="I152" s="92">
        <f>I150-I48</f>
        <v>0</v>
      </c>
      <c r="J152" s="92">
        <f>J150-J48</f>
        <v>0</v>
      </c>
      <c r="K152" s="92">
        <f>K150-K48</f>
        <v>-1694</v>
      </c>
      <c r="L152" s="92">
        <f>L150-L48</f>
        <v>0</v>
      </c>
      <c r="M152" s="92">
        <f>M150-M48</f>
        <v>265</v>
      </c>
      <c r="N152" s="92">
        <f>N150-N48</f>
        <v>294</v>
      </c>
      <c r="O152" s="92">
        <f>O150-O48</f>
        <v>90</v>
      </c>
      <c r="P152" s="92">
        <f>P150-P48</f>
        <v>0</v>
      </c>
      <c r="Q152" s="92">
        <f>Q150-Q48</f>
        <v>-9</v>
      </c>
      <c r="R152" s="92">
        <f>R150-R48</f>
        <v>-1252</v>
      </c>
      <c r="S152" s="92">
        <f>S150-S48</f>
        <v>-304</v>
      </c>
      <c r="T152" s="92">
        <f>T150-T48</f>
        <v>-20</v>
      </c>
      <c r="U152" s="92">
        <f>U150-U48</f>
        <v>7829</v>
      </c>
      <c r="V152" s="92">
        <f>V150-V48</f>
        <v>7829</v>
      </c>
      <c r="W152" s="92">
        <f>W150-W48</f>
        <v>7829</v>
      </c>
      <c r="X152" s="92"/>
      <c r="Y152" s="92" t="e">
        <f>Y150-Y48</f>
        <v>#REF!</v>
      </c>
      <c r="Z152" s="92" t="e">
        <f>Z150-Z48</f>
        <v>#REF!</v>
      </c>
      <c r="AA152" s="92" t="e">
        <f>AA150-AA48</f>
        <v>#REF!</v>
      </c>
      <c r="AB152" s="92" t="e">
        <f>AB150-AB48</f>
        <v>#REF!</v>
      </c>
      <c r="AC152" s="92">
        <f>AC150-AC48</f>
        <v>265</v>
      </c>
      <c r="AD152" s="92">
        <f>AD150-AD48</f>
        <v>294</v>
      </c>
      <c r="AE152" s="92">
        <f>AE150-AE48</f>
        <v>90</v>
      </c>
      <c r="AF152" s="92">
        <f>AF150-AF48</f>
        <v>0</v>
      </c>
      <c r="AG152" s="92">
        <f>AG150-AG48</f>
        <v>-9</v>
      </c>
      <c r="AH152" s="92">
        <f>AH150-AH48</f>
        <v>-1252</v>
      </c>
      <c r="AI152" s="92">
        <f>AI150-AI48</f>
        <v>-304</v>
      </c>
      <c r="AJ152" s="92">
        <f>AJ150-AJ48</f>
        <v>-20</v>
      </c>
      <c r="AK152" s="92">
        <f>AK150-AK48</f>
        <v>7829</v>
      </c>
      <c r="AL152" s="92">
        <f>AL150-AL48</f>
        <v>7829</v>
      </c>
      <c r="AM152" s="146">
        <f>AM150-AM48</f>
        <v>7829</v>
      </c>
      <c r="AN152" s="11"/>
      <c r="AO152" s="48"/>
    </row>
    <row r="153" spans="2:41" ht="5.0999999999999996" customHeight="1">
      <c r="B153" s="8"/>
      <c r="C153" s="68"/>
      <c r="D153" s="68"/>
      <c r="E153" s="68"/>
      <c r="F153" s="68"/>
      <c r="G153" s="68"/>
      <c r="H153" s="33"/>
      <c r="I153" s="68"/>
      <c r="J153" s="68"/>
      <c r="K153" s="68"/>
      <c r="L153" s="68"/>
      <c r="M153" s="68"/>
      <c r="N153" s="68"/>
      <c r="O153" s="68"/>
      <c r="P153" s="68"/>
      <c r="Q153" s="68"/>
      <c r="R153" s="68"/>
      <c r="S153" s="68"/>
      <c r="T153" s="68"/>
      <c r="U153" s="68"/>
      <c r="V153" s="68"/>
      <c r="W153" s="68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48"/>
    </row>
    <row r="154" spans="2:41" ht="12.75" customHeight="1">
      <c r="B154" s="76" t="s">
        <v>68</v>
      </c>
      <c r="C154" s="65"/>
      <c r="D154" s="65"/>
      <c r="E154" s="65"/>
      <c r="F154" s="65"/>
      <c r="G154" s="65"/>
      <c r="H154" s="11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86"/>
      <c r="V154" s="65"/>
      <c r="W154" s="65"/>
      <c r="Y154" s="65"/>
      <c r="Z154" s="65"/>
      <c r="AA154" s="65"/>
      <c r="AB154" s="65"/>
      <c r="AC154" s="65"/>
      <c r="AD154" s="65"/>
      <c r="AE154" s="65"/>
      <c r="AF154" s="65"/>
      <c r="AG154" s="65"/>
      <c r="AH154" s="65"/>
      <c r="AI154" s="65"/>
      <c r="AJ154" s="65"/>
      <c r="AK154" s="65"/>
      <c r="AL154" s="65"/>
      <c r="AM154" s="65"/>
      <c r="AN154" s="69"/>
      <c r="AO154" s="48"/>
    </row>
    <row r="155" spans="2:41" ht="12.75" customHeight="1">
      <c r="B155" s="8" t="s">
        <v>114</v>
      </c>
      <c r="C155" s="86"/>
      <c r="D155" s="86"/>
      <c r="E155" s="86"/>
      <c r="F155" s="86"/>
      <c r="G155" s="86"/>
      <c r="H155" s="11"/>
      <c r="I155" s="86"/>
      <c r="J155" s="86"/>
      <c r="K155" s="86"/>
      <c r="L155" s="86"/>
      <c r="M155" s="86"/>
      <c r="N155" s="86"/>
      <c r="O155" s="86"/>
      <c r="P155" s="86"/>
      <c r="Q155" s="86"/>
      <c r="R155" s="86"/>
      <c r="S155" s="86"/>
      <c r="T155" s="86"/>
      <c r="U155" s="86"/>
      <c r="V155" s="86"/>
      <c r="W155" s="86"/>
      <c r="Y155" s="33">
        <f>SUM(I155:I155)</f>
        <v>0</v>
      </c>
      <c r="Z155" s="33">
        <f>SUM(I155:J155)</f>
        <v>0</v>
      </c>
      <c r="AA155" s="33">
        <f>SUM(I155:K155)</f>
        <v>0</v>
      </c>
      <c r="AB155" s="33">
        <f>SUM(I155:L155)</f>
        <v>0</v>
      </c>
      <c r="AC155" s="33">
        <f>SUM(J155:M155)</f>
        <v>0</v>
      </c>
      <c r="AD155" s="33">
        <f>SUM(K155:N155)</f>
        <v>0</v>
      </c>
      <c r="AE155" s="33">
        <f>SUM(L155:O155)</f>
        <v>0</v>
      </c>
      <c r="AF155" s="33">
        <f>SUM(M155:P155)</f>
        <v>0</v>
      </c>
      <c r="AG155" s="33">
        <f>SUM(N155:Q155)</f>
        <v>0</v>
      </c>
      <c r="AH155" s="33">
        <f>SUM(O155:R155)</f>
        <v>0</v>
      </c>
      <c r="AI155" s="33">
        <f>SUM(P155:S155)</f>
        <v>0</v>
      </c>
      <c r="AJ155" s="33">
        <f>SUM(Q155:T155)</f>
        <v>0</v>
      </c>
      <c r="AK155" s="33">
        <f>SUM(R155:U155)</f>
        <v>0</v>
      </c>
      <c r="AL155" s="33">
        <f>SUM(S155:V155)</f>
        <v>0</v>
      </c>
      <c r="AM155" s="33">
        <f>SUM(T155:W155)</f>
        <v>0</v>
      </c>
      <c r="AN155" s="69"/>
      <c r="AO155" s="48"/>
    </row>
    <row r="156" spans="2:41" ht="12.75" customHeight="1">
      <c r="B156" s="8" t="s">
        <v>115</v>
      </c>
      <c r="C156" s="86"/>
      <c r="D156" s="86"/>
      <c r="E156" s="86"/>
      <c r="F156" s="86"/>
      <c r="G156" s="86"/>
      <c r="H156" s="33"/>
      <c r="I156" s="86"/>
      <c r="J156" s="86"/>
      <c r="K156" s="86"/>
      <c r="L156" s="86"/>
      <c r="M156" s="86"/>
      <c r="N156" s="86"/>
      <c r="O156" s="86"/>
      <c r="P156" s="86"/>
      <c r="Q156" s="86"/>
      <c r="R156" s="86"/>
      <c r="S156" s="86"/>
      <c r="T156" s="86"/>
      <c r="U156" s="86"/>
      <c r="V156" s="86"/>
      <c r="W156" s="86"/>
      <c r="X156" s="33"/>
      <c r="Y156" s="33">
        <f>SUM(I156:I156)</f>
        <v>0</v>
      </c>
      <c r="Z156" s="33">
        <f>SUM(I156:J156)</f>
        <v>0</v>
      </c>
      <c r="AA156" s="33">
        <f>SUM(I156:K156)</f>
        <v>0</v>
      </c>
      <c r="AB156" s="33">
        <f>SUM(I156:L156)</f>
        <v>0</v>
      </c>
      <c r="AC156" s="33">
        <f>SUM(J156:M156)</f>
        <v>0</v>
      </c>
      <c r="AD156" s="33">
        <f>SUM(K156:N156)</f>
        <v>0</v>
      </c>
      <c r="AE156" s="33">
        <f>SUM(L156:O156)</f>
        <v>0</v>
      </c>
      <c r="AF156" s="33">
        <f>SUM(M156:P156)</f>
        <v>0</v>
      </c>
      <c r="AG156" s="33">
        <f>SUM(N156:Q156)</f>
        <v>0</v>
      </c>
      <c r="AH156" s="33">
        <f>SUM(O156:R156)</f>
        <v>0</v>
      </c>
      <c r="AI156" s="33">
        <f>SUM(P156:S156)</f>
        <v>0</v>
      </c>
      <c r="AJ156" s="33">
        <f>SUM(Q156:T156)</f>
        <v>0</v>
      </c>
      <c r="AK156" s="33">
        <f>SUM(R156:U156)</f>
        <v>0</v>
      </c>
      <c r="AL156" s="33">
        <f>SUM(S156:V156)</f>
        <v>0</v>
      </c>
      <c r="AM156" s="33">
        <f>SUM(T156:W156)</f>
        <v>0</v>
      </c>
      <c r="AN156" s="11"/>
      <c r="AO156" s="48"/>
    </row>
    <row r="157" spans="2:41" ht="5.0999999999999996" customHeight="1" thickBot="1">
      <c r="B157" s="77"/>
      <c r="C157" s="78"/>
      <c r="D157" s="78"/>
      <c r="E157" s="78"/>
      <c r="F157" s="78"/>
      <c r="G157" s="78"/>
      <c r="H157" s="77"/>
      <c r="I157" s="77"/>
      <c r="J157" s="77"/>
      <c r="K157" s="77"/>
      <c r="L157" s="77"/>
      <c r="M157" s="77"/>
      <c r="N157" s="77"/>
      <c r="O157" s="77"/>
      <c r="P157" s="77"/>
      <c r="Q157" s="77"/>
      <c r="R157" s="77"/>
      <c r="S157" s="77"/>
      <c r="T157" s="77"/>
      <c r="U157" s="77"/>
      <c r="V157" s="77"/>
      <c r="W157" s="77"/>
      <c r="X157" s="77"/>
      <c r="Y157" s="77"/>
      <c r="Z157" s="77"/>
      <c r="AA157" s="77"/>
      <c r="AB157" s="77"/>
      <c r="AC157" s="77"/>
      <c r="AD157" s="77"/>
      <c r="AE157" s="77"/>
      <c r="AF157" s="77"/>
      <c r="AG157" s="77"/>
      <c r="AH157" s="77"/>
      <c r="AI157" s="77"/>
      <c r="AJ157" s="77"/>
      <c r="AK157" s="77"/>
      <c r="AL157" s="77"/>
      <c r="AM157" s="77"/>
      <c r="AO157" s="48"/>
    </row>
    <row r="158" spans="2:41" ht="12.75" customHeight="1">
      <c r="B158" s="164"/>
      <c r="C158" s="164"/>
      <c r="D158" s="164"/>
      <c r="E158" s="164"/>
      <c r="F158" s="164"/>
      <c r="G158" s="164"/>
      <c r="H158" s="164"/>
      <c r="I158" s="164"/>
      <c r="J158" s="164"/>
      <c r="K158" s="164"/>
      <c r="L158" s="164"/>
      <c r="M158" s="164"/>
      <c r="N158" s="164"/>
      <c r="O158" s="164"/>
      <c r="P158" s="164"/>
      <c r="Q158" s="164"/>
      <c r="R158" s="164"/>
      <c r="S158" s="164"/>
      <c r="T158" s="164"/>
      <c r="U158" s="164"/>
      <c r="V158" s="164"/>
      <c r="W158" s="164"/>
      <c r="X158" s="164"/>
      <c r="Y158" s="164"/>
      <c r="Z158" s="164"/>
      <c r="AA158" s="164"/>
      <c r="AB158" s="164"/>
      <c r="AC158" s="164"/>
      <c r="AD158" s="164"/>
      <c r="AE158" s="164"/>
      <c r="AF158" s="164"/>
      <c r="AG158" s="164"/>
      <c r="AH158" s="164"/>
      <c r="AI158" s="164"/>
      <c r="AJ158" s="164"/>
      <c r="AK158" s="164"/>
      <c r="AL158" s="164"/>
      <c r="AM158" s="136"/>
      <c r="AO158" s="48"/>
    </row>
    <row r="159" spans="2:41" ht="12.75" customHeight="1">
      <c r="B159" s="56"/>
      <c r="C159" s="70"/>
      <c r="D159" s="70"/>
      <c r="E159" s="70"/>
      <c r="F159" s="70"/>
      <c r="G159" s="70"/>
    </row>
    <row r="160" spans="2:41" ht="12.75" customHeight="1">
      <c r="C160" s="59"/>
      <c r="D160" s="59"/>
      <c r="E160" s="59"/>
      <c r="F160" s="59"/>
      <c r="G160" s="59"/>
    </row>
    <row r="161" spans="3:18" ht="12.75" customHeight="1">
      <c r="C161" s="59"/>
      <c r="D161" s="59"/>
      <c r="E161" s="59"/>
      <c r="F161" s="59"/>
      <c r="G161" s="59"/>
    </row>
    <row r="162" spans="3:18" ht="12.75" customHeight="1">
      <c r="C162" s="59"/>
      <c r="D162" s="59"/>
      <c r="E162" s="59"/>
      <c r="F162" s="59"/>
      <c r="G162" s="59"/>
    </row>
    <row r="163" spans="3:18" ht="12.75" customHeight="1">
      <c r="C163" s="59"/>
      <c r="D163" s="59"/>
      <c r="E163" s="59"/>
      <c r="F163" s="59"/>
      <c r="G163" s="59"/>
    </row>
    <row r="164" spans="3:18" ht="12.75" customHeight="1">
      <c r="C164" s="59"/>
      <c r="D164" s="59"/>
      <c r="E164" s="59"/>
      <c r="F164" s="59"/>
      <c r="G164" s="59"/>
      <c r="I164" s="91"/>
      <c r="J164" s="91"/>
      <c r="K164" s="91"/>
      <c r="L164" s="91"/>
      <c r="M164" s="91"/>
      <c r="N164" s="91"/>
      <c r="O164" s="91"/>
      <c r="P164" s="91"/>
      <c r="Q164" s="91"/>
      <c r="R164" s="91"/>
    </row>
    <row r="165" spans="3:18" ht="12.75" customHeight="1">
      <c r="C165" s="59"/>
      <c r="D165" s="59"/>
      <c r="E165" s="59"/>
      <c r="F165" s="59"/>
      <c r="G165" s="59"/>
    </row>
    <row r="166" spans="3:18" ht="12.75" customHeight="1">
      <c r="C166" s="59"/>
      <c r="D166" s="59"/>
      <c r="E166" s="59"/>
      <c r="F166" s="59"/>
      <c r="G166" s="59"/>
      <c r="I166" s="91"/>
      <c r="J166" s="91"/>
      <c r="K166" s="91"/>
      <c r="L166" s="91"/>
      <c r="M166" s="91"/>
      <c r="N166" s="91"/>
      <c r="O166" s="91"/>
      <c r="P166" s="91"/>
      <c r="Q166" s="91"/>
      <c r="R166" s="91"/>
    </row>
    <row r="167" spans="3:18">
      <c r="I167" s="91"/>
      <c r="J167" s="91"/>
      <c r="K167" s="91"/>
      <c r="L167" s="91"/>
      <c r="M167" s="91"/>
      <c r="N167" s="91"/>
      <c r="O167" s="91"/>
      <c r="P167" s="91"/>
      <c r="Q167" s="91"/>
      <c r="R167" s="91"/>
    </row>
    <row r="168" spans="3:18">
      <c r="I168" s="91"/>
      <c r="J168" s="91"/>
      <c r="K168" s="91"/>
      <c r="L168" s="91"/>
      <c r="M168" s="91"/>
      <c r="N168" s="91"/>
      <c r="O168" s="91"/>
      <c r="P168" s="91"/>
      <c r="Q168" s="91"/>
      <c r="R168" s="91"/>
    </row>
    <row r="170" spans="3:18">
      <c r="I170" s="91"/>
      <c r="J170" s="91"/>
      <c r="K170" s="91"/>
      <c r="L170" s="91"/>
      <c r="M170" s="91"/>
      <c r="N170" s="91"/>
      <c r="O170" s="91"/>
      <c r="P170" s="91"/>
      <c r="Q170" s="91"/>
      <c r="R170" s="91"/>
    </row>
    <row r="171" spans="3:18">
      <c r="I171" s="91"/>
      <c r="J171" s="91"/>
      <c r="K171" s="91"/>
      <c r="L171" s="91"/>
      <c r="M171" s="91"/>
      <c r="N171" s="91"/>
      <c r="O171" s="91"/>
      <c r="P171" s="91"/>
      <c r="Q171" s="91"/>
      <c r="R171" s="91"/>
    </row>
  </sheetData>
  <mergeCells count="4">
    <mergeCell ref="B158:AL158"/>
    <mergeCell ref="AO6:AO8"/>
    <mergeCell ref="AO43:AO45"/>
    <mergeCell ref="AO92:AO94"/>
  </mergeCells>
  <dataValidations disablePrompts="1" count="1">
    <dataValidation type="list" allowBlank="1" showInputMessage="1" showErrorMessage="1" sqref="B4" xr:uid="{95A5AB56-0215-4703-953B-CB353CAB6883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L15:AL16 AL31 H54 Y21:AJ22 Y26:AJ28" formulaRange="1"/>
    <ignoredError sqref="C15:G16 C21:G22 C26:G28 C36:G36 I15:W16 I20:W22 I36:W36 I26:W28 AM124:AO125 I30:W31 C30:G31 AM115:AO119 AM126:AO128 AN129:AO130" evalError="1"/>
    <ignoredError sqref="I98:L99 Y147:AM148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177D2-8829-42BE-A7B1-460B1A987ED3}">
  <sheetPr>
    <tabColor rgb="FFC00000"/>
  </sheetPr>
  <dimension ref="A2:AK13"/>
  <sheetViews>
    <sheetView showGridLines="0" zoomScaleNormal="100" workbookViewId="0">
      <selection activeCell="B3" sqref="B3"/>
    </sheetView>
  </sheetViews>
  <sheetFormatPr defaultRowHeight="12" outlineLevelCol="2"/>
  <cols>
    <col min="1" max="1" width="1.5" style="8" customWidth="1"/>
    <col min="2" max="2" width="46.5" style="8" bestFit="1" customWidth="1"/>
    <col min="3" max="3" width="8.625" style="8" customWidth="1" outlineLevel="2"/>
    <col min="4" max="4" width="8.625" style="8" customWidth="1" outlineLevel="1"/>
    <col min="5" max="7" width="8.625" style="8" bestFit="1" customWidth="1"/>
    <col min="8" max="8" width="1.5" style="8" customWidth="1"/>
    <col min="9" max="11" width="7.875" style="8" customWidth="1" outlineLevel="1"/>
    <col min="12" max="12" width="8.75" style="8" customWidth="1" outlineLevel="1"/>
    <col min="13" max="15" width="8" style="8" customWidth="1" outlineLevel="1"/>
    <col min="16" max="16" width="8.75" style="8" customWidth="1" outlineLevel="1"/>
    <col min="17" max="17" width="8.5" style="8" customWidth="1"/>
    <col min="18" max="18" width="8.25" style="8" bestFit="1" customWidth="1"/>
    <col min="19" max="19" width="8.5" style="8" bestFit="1" customWidth="1"/>
    <col min="20" max="23" width="9.125" style="8" bestFit="1" customWidth="1"/>
    <col min="24" max="24" width="1.5" style="8" customWidth="1"/>
    <col min="25" max="30" width="8.75" style="8" hidden="1" customWidth="1" outlineLevel="1"/>
    <col min="31" max="31" width="8.75" style="8" bestFit="1" customWidth="1" collapsed="1"/>
    <col min="32" max="34" width="8.75" style="8" hidden="1" customWidth="1" outlineLevel="1"/>
    <col min="35" max="35" width="8.75" style="8" bestFit="1" customWidth="1" collapsed="1"/>
    <col min="36" max="36" width="1.5" style="8" customWidth="1"/>
    <col min="37" max="37" width="9.875" style="8" bestFit="1" customWidth="1"/>
    <col min="38" max="16384" width="9" style="8"/>
  </cols>
  <sheetData>
    <row r="2" spans="1:37" s="5" customFormat="1" ht="12.75" customHeight="1">
      <c r="B2" s="1" t="str">
        <f>'Historical Financials'!B2</f>
        <v>Qualcomm (NASDAQ: QCOM)</v>
      </c>
      <c r="C2" s="2"/>
      <c r="D2" s="2"/>
      <c r="E2" s="2" t="s">
        <v>0</v>
      </c>
      <c r="F2" s="2"/>
      <c r="G2" s="2"/>
      <c r="H2" s="3"/>
      <c r="I2" s="2" t="s">
        <v>1</v>
      </c>
      <c r="J2" s="2"/>
      <c r="K2" s="2"/>
      <c r="L2" s="2"/>
      <c r="M2" s="2"/>
      <c r="N2" s="2"/>
      <c r="O2" s="2"/>
      <c r="P2" s="2"/>
      <c r="Q2" s="2" t="s">
        <v>1</v>
      </c>
      <c r="R2" s="2" t="s">
        <v>1</v>
      </c>
      <c r="S2" s="2"/>
      <c r="T2" s="2"/>
      <c r="U2" s="2"/>
      <c r="V2" s="2"/>
      <c r="W2" s="2"/>
      <c r="X2" s="3"/>
      <c r="Y2" s="2" t="s">
        <v>10</v>
      </c>
      <c r="Z2" s="2"/>
      <c r="AA2" s="2"/>
      <c r="AB2" s="2"/>
      <c r="AC2" s="2" t="s">
        <v>10</v>
      </c>
      <c r="AD2" s="2"/>
      <c r="AE2" s="2" t="s">
        <v>10</v>
      </c>
      <c r="AF2" s="2"/>
      <c r="AG2" s="2"/>
      <c r="AH2" s="2"/>
      <c r="AI2" s="2"/>
      <c r="AJ2" s="3"/>
      <c r="AK2" s="165" t="s">
        <v>24</v>
      </c>
    </row>
    <row r="3" spans="1:37" s="5" customFormat="1" ht="12.75" customHeight="1">
      <c r="B3" s="6" t="s">
        <v>74</v>
      </c>
      <c r="C3" s="7">
        <f>'Historical Financials'!C7</f>
        <v>2020</v>
      </c>
      <c r="D3" s="7">
        <f>'Historical Financials'!D7</f>
        <v>2021</v>
      </c>
      <c r="E3" s="7">
        <f>'Historical Financials'!E7</f>
        <v>2022</v>
      </c>
      <c r="F3" s="7">
        <f>'Historical Financials'!F7</f>
        <v>2023</v>
      </c>
      <c r="G3" s="7">
        <f>'Historical Financials'!G7</f>
        <v>2024</v>
      </c>
      <c r="H3" s="3"/>
      <c r="I3" s="7" t="str">
        <f>'Historical Financials'!I7</f>
        <v>1Q22</v>
      </c>
      <c r="J3" s="7" t="str">
        <f>'Historical Financials'!J7</f>
        <v>2Q22</v>
      </c>
      <c r="K3" s="7" t="str">
        <f>'Historical Financials'!K7</f>
        <v>3Q22</v>
      </c>
      <c r="L3" s="7" t="str">
        <f>'Historical Financials'!L7</f>
        <v>4Q22</v>
      </c>
      <c r="M3" s="7" t="str">
        <f>'Historical Financials'!M7</f>
        <v>1Q23</v>
      </c>
      <c r="N3" s="7" t="str">
        <f>'Historical Financials'!N7</f>
        <v>2Q23</v>
      </c>
      <c r="O3" s="7" t="str">
        <f>'Historical Financials'!O7</f>
        <v>3Q23</v>
      </c>
      <c r="P3" s="7" t="str">
        <f>'Historical Financials'!P7</f>
        <v>4Q23</v>
      </c>
      <c r="Q3" s="7" t="str">
        <f>'Historical Financials'!Q7</f>
        <v>1Q24</v>
      </c>
      <c r="R3" s="7" t="str">
        <f>'Historical Financials'!R7</f>
        <v>2Q24</v>
      </c>
      <c r="S3" s="7" t="str">
        <f>'Historical Financials'!S7</f>
        <v>3Q24</v>
      </c>
      <c r="T3" s="7" t="str">
        <f>'Historical Financials'!T7</f>
        <v>4Q24</v>
      </c>
      <c r="U3" s="7" t="str">
        <f>'Historical Financials'!U7</f>
        <v>1Q25</v>
      </c>
      <c r="V3" s="7" t="str">
        <f>'Historical Financials'!V7</f>
        <v>2Q25</v>
      </c>
      <c r="W3" s="7" t="str">
        <f>'Historical Financials'!W7</f>
        <v>3Q25</v>
      </c>
      <c r="X3" s="4"/>
      <c r="Y3" s="4" t="str">
        <f t="shared" ref="Y3:AH4" si="0">M3</f>
        <v>1Q23</v>
      </c>
      <c r="Z3" s="4" t="str">
        <f t="shared" si="0"/>
        <v>2Q23</v>
      </c>
      <c r="AA3" s="4" t="str">
        <f t="shared" si="0"/>
        <v>3Q23</v>
      </c>
      <c r="AB3" s="4" t="str">
        <f t="shared" si="0"/>
        <v>4Q23</v>
      </c>
      <c r="AC3" s="4" t="str">
        <f t="shared" si="0"/>
        <v>1Q24</v>
      </c>
      <c r="AD3" s="4" t="str">
        <f t="shared" si="0"/>
        <v>2Q24</v>
      </c>
      <c r="AE3" s="4" t="str">
        <f t="shared" si="0"/>
        <v>3Q24</v>
      </c>
      <c r="AF3" s="4" t="str">
        <f t="shared" si="0"/>
        <v>4Q24</v>
      </c>
      <c r="AG3" s="4" t="str">
        <f t="shared" si="0"/>
        <v>1Q25</v>
      </c>
      <c r="AH3" s="4" t="str">
        <f t="shared" si="0"/>
        <v>2Q25</v>
      </c>
      <c r="AI3" s="4" t="str">
        <f>W3</f>
        <v>3Q25</v>
      </c>
      <c r="AJ3" s="3"/>
      <c r="AK3" s="165"/>
    </row>
    <row r="4" spans="1:37" s="5" customFormat="1" ht="12.75" customHeight="1">
      <c r="B4" s="6" t="s">
        <v>117</v>
      </c>
      <c r="C4" s="3">
        <f>'Historical Financials'!C8</f>
        <v>44196</v>
      </c>
      <c r="D4" s="3">
        <f>'Historical Financials'!D8</f>
        <v>44561</v>
      </c>
      <c r="E4" s="3">
        <f>'Historical Financials'!E8</f>
        <v>44926</v>
      </c>
      <c r="F4" s="3">
        <f>'Historical Financials'!F8</f>
        <v>45291</v>
      </c>
      <c r="G4" s="3">
        <f>'Historical Financials'!G8</f>
        <v>45657</v>
      </c>
      <c r="H4" s="3"/>
      <c r="I4" s="3">
        <f>'Historical Financials'!I8</f>
        <v>44651</v>
      </c>
      <c r="J4" s="3">
        <f>'Historical Financials'!J8</f>
        <v>44742</v>
      </c>
      <c r="K4" s="3">
        <f>'Historical Financials'!K8</f>
        <v>44834</v>
      </c>
      <c r="L4" s="3">
        <f>'Historical Financials'!L8</f>
        <v>44926</v>
      </c>
      <c r="M4" s="3">
        <f>'Historical Financials'!M8</f>
        <v>45016</v>
      </c>
      <c r="N4" s="3">
        <f>'Historical Financials'!N8</f>
        <v>45107</v>
      </c>
      <c r="O4" s="3">
        <f>'Historical Financials'!O8</f>
        <v>45199</v>
      </c>
      <c r="P4" s="3">
        <f>'Historical Financials'!P8</f>
        <v>45291</v>
      </c>
      <c r="Q4" s="3">
        <f>'Historical Financials'!Q8</f>
        <v>45382</v>
      </c>
      <c r="R4" s="3">
        <f>'Historical Financials'!R8</f>
        <v>45473</v>
      </c>
      <c r="S4" s="3">
        <f>'Historical Financials'!S8</f>
        <v>45565</v>
      </c>
      <c r="T4" s="3">
        <f>'Historical Financials'!T8</f>
        <v>45657</v>
      </c>
      <c r="U4" s="3">
        <f>'Historical Financials'!U8</f>
        <v>45747</v>
      </c>
      <c r="V4" s="3">
        <f>'Historical Financials'!V8</f>
        <v>45838</v>
      </c>
      <c r="W4" s="3">
        <f>'Historical Financials'!W8</f>
        <v>45930</v>
      </c>
      <c r="X4" s="3"/>
      <c r="Y4" s="3">
        <f t="shared" si="0"/>
        <v>45016</v>
      </c>
      <c r="Z4" s="3">
        <f t="shared" si="0"/>
        <v>45107</v>
      </c>
      <c r="AA4" s="3">
        <f t="shared" si="0"/>
        <v>45199</v>
      </c>
      <c r="AB4" s="3">
        <f t="shared" si="0"/>
        <v>45291</v>
      </c>
      <c r="AC4" s="3">
        <f t="shared" si="0"/>
        <v>45382</v>
      </c>
      <c r="AD4" s="3">
        <f t="shared" si="0"/>
        <v>45473</v>
      </c>
      <c r="AE4" s="3">
        <f t="shared" si="0"/>
        <v>45565</v>
      </c>
      <c r="AF4" s="3">
        <f t="shared" si="0"/>
        <v>45657</v>
      </c>
      <c r="AG4" s="3">
        <f t="shared" si="0"/>
        <v>45747</v>
      </c>
      <c r="AH4" s="3">
        <f t="shared" si="0"/>
        <v>45838</v>
      </c>
      <c r="AI4" s="3">
        <f>W4</f>
        <v>45930</v>
      </c>
      <c r="AJ4" s="3"/>
      <c r="AK4" s="165"/>
    </row>
    <row r="5" spans="1:37" ht="5.0999999999999996" customHeight="1"/>
    <row r="6" spans="1:37">
      <c r="A6" s="37" t="s">
        <v>18</v>
      </c>
      <c r="B6" s="1" t="s">
        <v>96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37" ht="5.0999999999999996" customHeight="1"/>
    <row r="8" spans="1:37" ht="12.75" customHeight="1">
      <c r="A8" s="84"/>
      <c r="B8" s="82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5"/>
      <c r="Y8" s="11"/>
      <c r="Z8" s="11"/>
      <c r="AA8" s="11"/>
      <c r="AB8" s="11"/>
      <c r="AC8" s="11"/>
      <c r="AD8" s="11"/>
      <c r="AE8" s="11"/>
      <c r="AF8" s="11"/>
      <c r="AG8" s="11"/>
      <c r="AH8" s="11"/>
      <c r="AK8" s="12"/>
    </row>
    <row r="9" spans="1:37" ht="12.75" customHeight="1">
      <c r="B9" s="9"/>
      <c r="C9" s="85"/>
      <c r="D9" s="85"/>
      <c r="E9" s="85"/>
      <c r="F9" s="85"/>
      <c r="G9" s="85"/>
      <c r="H9" s="85"/>
      <c r="I9" s="85"/>
      <c r="J9" s="85"/>
      <c r="K9" s="85"/>
      <c r="L9" s="130"/>
      <c r="M9" s="85"/>
      <c r="N9" s="85"/>
      <c r="O9" s="85"/>
      <c r="P9" s="130"/>
      <c r="Q9" s="85"/>
      <c r="R9" s="85"/>
      <c r="S9" s="85"/>
      <c r="T9" s="130"/>
      <c r="U9" s="85"/>
      <c r="V9" s="85"/>
      <c r="W9" s="85"/>
      <c r="X9" s="11"/>
      <c r="Y9" s="11">
        <f t="shared" ref="Y9:AD9" si="1">SUM(J9:M9)</f>
        <v>0</v>
      </c>
      <c r="Z9" s="11">
        <f t="shared" si="1"/>
        <v>0</v>
      </c>
      <c r="AA9" s="11">
        <f t="shared" si="1"/>
        <v>0</v>
      </c>
      <c r="AB9" s="11">
        <f t="shared" si="1"/>
        <v>0</v>
      </c>
      <c r="AC9" s="11">
        <f t="shared" si="1"/>
        <v>0</v>
      </c>
      <c r="AD9" s="11">
        <f t="shared" si="1"/>
        <v>0</v>
      </c>
      <c r="AE9" s="130">
        <f t="shared" ref="AE9:AI10" si="2">SUM(P9:S9)</f>
        <v>0</v>
      </c>
      <c r="AF9" s="130">
        <f t="shared" si="2"/>
        <v>0</v>
      </c>
      <c r="AG9" s="130">
        <f t="shared" si="2"/>
        <v>0</v>
      </c>
      <c r="AH9" s="130">
        <f t="shared" si="2"/>
        <v>0</v>
      </c>
      <c r="AI9" s="130">
        <f t="shared" si="2"/>
        <v>0</v>
      </c>
      <c r="AK9" s="12" t="e">
        <f>SUM(AI9/AE9)-1</f>
        <v>#DIV/0!</v>
      </c>
    </row>
    <row r="10" spans="1:37" ht="12.75" customHeight="1">
      <c r="B10" s="9"/>
      <c r="C10" s="85"/>
      <c r="D10" s="85"/>
      <c r="E10" s="85"/>
      <c r="F10" s="85"/>
      <c r="G10" s="85"/>
      <c r="H10" s="85"/>
      <c r="I10" s="85"/>
      <c r="J10" s="85"/>
      <c r="K10" s="85"/>
      <c r="L10" s="130"/>
      <c r="M10" s="85"/>
      <c r="N10" s="85"/>
      <c r="O10" s="85"/>
      <c r="P10" s="130"/>
      <c r="Q10" s="85"/>
      <c r="R10" s="85"/>
      <c r="S10" s="85"/>
      <c r="T10" s="130"/>
      <c r="U10" s="85"/>
      <c r="V10" s="85"/>
      <c r="W10" s="85"/>
      <c r="X10" s="11"/>
      <c r="Y10" s="11"/>
      <c r="Z10" s="11"/>
      <c r="AA10" s="11"/>
      <c r="AB10" s="11"/>
      <c r="AC10" s="11"/>
      <c r="AD10" s="11"/>
      <c r="AE10" s="130">
        <f t="shared" si="2"/>
        <v>0</v>
      </c>
      <c r="AF10" s="130">
        <f t="shared" si="2"/>
        <v>0</v>
      </c>
      <c r="AG10" s="130">
        <f t="shared" si="2"/>
        <v>0</v>
      </c>
      <c r="AH10" s="130">
        <f t="shared" si="2"/>
        <v>0</v>
      </c>
      <c r="AI10" s="130">
        <f t="shared" si="2"/>
        <v>0</v>
      </c>
      <c r="AK10" s="12" t="e">
        <f>SUM(AI10/AE10)-1</f>
        <v>#DIV/0!</v>
      </c>
    </row>
    <row r="11" spans="1:37" ht="12.75" customHeight="1">
      <c r="B11" s="13" t="s">
        <v>75</v>
      </c>
      <c r="C11" s="35">
        <f>SUM(C9:C10)</f>
        <v>0</v>
      </c>
      <c r="D11" s="35">
        <f>SUM(D9:D10)</f>
        <v>0</v>
      </c>
      <c r="E11" s="35">
        <f>SUM(E9:E10)</f>
        <v>0</v>
      </c>
      <c r="F11" s="35">
        <f>SUM(F9:F10)</f>
        <v>0</v>
      </c>
      <c r="G11" s="35">
        <f>SUM(G9:G10)</f>
        <v>0</v>
      </c>
      <c r="H11" s="11"/>
      <c r="I11" s="35">
        <f>SUM(I9:I10)</f>
        <v>0</v>
      </c>
      <c r="J11" s="35">
        <f>SUM(J9:J10)</f>
        <v>0</v>
      </c>
      <c r="K11" s="35">
        <f>SUM(K9:K10)</f>
        <v>0</v>
      </c>
      <c r="L11" s="35">
        <f>SUM(L9:L10)</f>
        <v>0</v>
      </c>
      <c r="M11" s="35">
        <f>SUM(M9:M10)</f>
        <v>0</v>
      </c>
      <c r="N11" s="35">
        <f>SUM(N9:N10)</f>
        <v>0</v>
      </c>
      <c r="O11" s="35">
        <f>SUM(O9:O10)</f>
        <v>0</v>
      </c>
      <c r="P11" s="35">
        <f>SUM(P9:P10)</f>
        <v>0</v>
      </c>
      <c r="Q11" s="35">
        <f>SUM(Q9:Q10)</f>
        <v>0</v>
      </c>
      <c r="R11" s="35">
        <f>SUM(R9:R10)</f>
        <v>0</v>
      </c>
      <c r="S11" s="35">
        <f>SUM(S9:S10)</f>
        <v>0</v>
      </c>
      <c r="T11" s="35">
        <f>SUM(T9:T10)</f>
        <v>0</v>
      </c>
      <c r="U11" s="35">
        <f>SUM(U9:U10)</f>
        <v>0</v>
      </c>
      <c r="V11" s="35">
        <f>SUM(V9:V10)</f>
        <v>0</v>
      </c>
      <c r="W11" s="35">
        <f>SUM(W9:W10)</f>
        <v>0</v>
      </c>
      <c r="X11" s="5"/>
      <c r="Y11" s="35">
        <f>SUM(Y9:Y10)</f>
        <v>0</v>
      </c>
      <c r="Z11" s="35">
        <f>SUM(Z9:Z10)</f>
        <v>0</v>
      </c>
      <c r="AA11" s="35">
        <f>SUM(AA9:AA10)</f>
        <v>0</v>
      </c>
      <c r="AB11" s="35">
        <f>SUM(AB9:AB10)</f>
        <v>0</v>
      </c>
      <c r="AC11" s="35">
        <f>SUM(AC9:AC10)</f>
        <v>0</v>
      </c>
      <c r="AD11" s="35">
        <f>SUM(AD9:AD10)</f>
        <v>0</v>
      </c>
      <c r="AE11" s="35">
        <f>SUM(AE9:AE10)</f>
        <v>0</v>
      </c>
      <c r="AF11" s="35">
        <f>SUM(AF9:AF10)</f>
        <v>0</v>
      </c>
      <c r="AG11" s="35">
        <f>SUM(AG9:AG10)</f>
        <v>0</v>
      </c>
      <c r="AH11" s="35">
        <f>SUM(AH9:AH10)</f>
        <v>0</v>
      </c>
      <c r="AI11" s="35">
        <f>SUM(AI9:AI10)</f>
        <v>0</v>
      </c>
      <c r="AK11" s="15" t="e">
        <f>SUM(AI11/AE11)-1</f>
        <v>#DIV/0!</v>
      </c>
    </row>
    <row r="12" spans="1:37">
      <c r="B12" s="138" t="s">
        <v>97</v>
      </c>
      <c r="C12" s="83">
        <f>+C11-'Historical Financials'!C11</f>
        <v>-23531</v>
      </c>
      <c r="D12" s="83">
        <f>+D11-'Historical Financials'!D11</f>
        <v>-33566</v>
      </c>
      <c r="E12" s="83">
        <f>+E11-'Historical Financials'!E11</f>
        <v>-44200</v>
      </c>
      <c r="F12" s="83">
        <f>+F11-'Historical Financials'!F11</f>
        <v>-35820</v>
      </c>
      <c r="G12" s="83">
        <f>+G11-'Historical Financials'!G11</f>
        <v>-38962</v>
      </c>
      <c r="H12" s="11"/>
      <c r="I12" s="83">
        <f>I11-'Historical Financials'!I11</f>
        <v>-10705</v>
      </c>
      <c r="J12" s="83">
        <f>J11-'Historical Financials'!J11</f>
        <v>-11164</v>
      </c>
      <c r="K12" s="83">
        <f>K11-'Historical Financials'!K11</f>
        <v>-10936</v>
      </c>
      <c r="L12" s="83">
        <f>L11-'Historical Financials'!L11</f>
        <v>-11395</v>
      </c>
      <c r="M12" s="83">
        <f>M11-'Historical Financials'!M11</f>
        <v>-9463</v>
      </c>
      <c r="N12" s="83">
        <f>N11-'Historical Financials'!N11</f>
        <v>-9275</v>
      </c>
      <c r="O12" s="83">
        <f>O11-'Historical Financials'!O11</f>
        <v>-8451</v>
      </c>
      <c r="P12" s="83">
        <f>P11-'Historical Financials'!P11</f>
        <v>-8631</v>
      </c>
      <c r="Q12" s="83">
        <f>Q11-'Historical Financials'!Q11</f>
        <v>-9935</v>
      </c>
      <c r="R12" s="83">
        <f>R11-'Historical Financials'!R11</f>
        <v>-9389</v>
      </c>
      <c r="S12" s="83">
        <f>S11-'Historical Financials'!S11</f>
        <v>-9393</v>
      </c>
      <c r="T12" s="83">
        <f>T11-'Historical Financials'!T11</f>
        <v>-10245</v>
      </c>
      <c r="U12" s="83">
        <f>U11-'Historical Financials'!U11</f>
        <v>0</v>
      </c>
      <c r="V12" s="83">
        <f>V11-'Historical Financials'!V11</f>
        <v>0</v>
      </c>
      <c r="W12" s="83">
        <f>W11-'Historical Financials'!W11</f>
        <v>0</v>
      </c>
      <c r="X12" s="83"/>
      <c r="Y12" s="83">
        <f>+Y11-'Historical Financials'!AC11</f>
        <v>-42958</v>
      </c>
      <c r="Z12" s="83">
        <f>+Z11-'Historical Financials'!AD11</f>
        <v>-41069</v>
      </c>
      <c r="AA12" s="83">
        <f>+AA11-'Historical Financials'!AE11</f>
        <v>-38584</v>
      </c>
      <c r="AB12" s="83">
        <f>+AB11-'Historical Financials'!AF11</f>
        <v>-35820</v>
      </c>
      <c r="AC12" s="83">
        <f>+AC11-'Historical Financials'!AG11</f>
        <v>-36292</v>
      </c>
      <c r="AD12" s="83">
        <f>+AD11-'Historical Financials'!AH11</f>
        <v>-36406</v>
      </c>
      <c r="AE12" s="83">
        <f>+AE11-'Historical Financials'!AI11</f>
        <v>-37348</v>
      </c>
      <c r="AF12" s="83">
        <f>+AF11-'Historical Financials'!AJ11</f>
        <v>-38962</v>
      </c>
      <c r="AG12" s="83">
        <f>+AG11-'Historical Financials'!AK11</f>
        <v>-29027</v>
      </c>
      <c r="AH12" s="83">
        <f>+AH11-'Historical Financials'!AL11</f>
        <v>-19638</v>
      </c>
      <c r="AI12" s="83">
        <f>AI11-'Historical Financials'!AM11</f>
        <v>-10245</v>
      </c>
    </row>
    <row r="13" spans="1:37" ht="5.0999999999999996" customHeight="1">
      <c r="B13" s="19"/>
      <c r="C13" s="20"/>
      <c r="D13" s="20"/>
      <c r="E13" s="20"/>
      <c r="F13" s="20"/>
      <c r="G13" s="20"/>
      <c r="H13" s="21"/>
      <c r="I13" s="22"/>
      <c r="J13" s="22"/>
      <c r="K13" s="22"/>
      <c r="L13" s="23"/>
      <c r="M13" s="22"/>
      <c r="N13" s="22"/>
      <c r="O13" s="22"/>
      <c r="P13" s="23"/>
      <c r="Q13" s="22"/>
      <c r="R13" s="22"/>
      <c r="S13" s="22"/>
      <c r="T13" s="22"/>
      <c r="U13" s="22"/>
      <c r="V13" s="22"/>
      <c r="W13" s="22"/>
      <c r="X13" s="21"/>
      <c r="Y13" s="21"/>
      <c r="Z13" s="21"/>
      <c r="AA13" s="21"/>
      <c r="AB13" s="21"/>
      <c r="AC13" s="21"/>
      <c r="AD13" s="21"/>
      <c r="AE13" s="21"/>
      <c r="AF13" s="21"/>
      <c r="AG13" s="21"/>
      <c r="AH13" s="21"/>
      <c r="AI13" s="21"/>
    </row>
  </sheetData>
  <mergeCells count="1">
    <mergeCell ref="AK2:AK4"/>
  </mergeCells>
  <dataValidations disablePrompts="1" count="1">
    <dataValidation type="list" allowBlank="1" showInputMessage="1" showErrorMessage="1" sqref="B4" xr:uid="{62176FD9-E514-4BEC-85E1-6C6963572068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AK9:AK10" evalErro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26C0D2-A617-43BF-9493-F1D2AA08251E}">
  <sheetPr>
    <tabColor theme="6" tint="-0.249977111117893"/>
  </sheetPr>
  <dimension ref="A2:AM84"/>
  <sheetViews>
    <sheetView showGridLines="0" zoomScaleNormal="100" workbookViewId="0">
      <selection activeCell="B2" sqref="B2"/>
    </sheetView>
  </sheetViews>
  <sheetFormatPr defaultRowHeight="12" outlineLevelCol="2"/>
  <cols>
    <col min="1" max="1" width="1.5" style="8" customWidth="1"/>
    <col min="2" max="2" width="41.625" style="8" customWidth="1"/>
    <col min="3" max="4" width="8.625" style="8" hidden="1" customWidth="1" outlineLevel="1"/>
    <col min="5" max="5" width="9" style="8" bestFit="1" customWidth="1" collapsed="1"/>
    <col min="6" max="6" width="9.25" style="8" bestFit="1" customWidth="1"/>
    <col min="7" max="7" width="9" style="8"/>
    <col min="8" max="8" width="1.5" style="8" customWidth="1"/>
    <col min="9" max="11" width="8" style="8" hidden="1" customWidth="1" outlineLevel="2"/>
    <col min="12" max="12" width="8.625" style="8" hidden="1" customWidth="1" outlineLevel="2"/>
    <col min="13" max="13" width="8" style="8" customWidth="1" outlineLevel="1" collapsed="1"/>
    <col min="14" max="14" width="8" style="8" customWidth="1" outlineLevel="1"/>
    <col min="15" max="18" width="8.875" style="8" customWidth="1" outlineLevel="1"/>
    <col min="19" max="23" width="8.875" style="8" bestFit="1" customWidth="1"/>
    <col min="24" max="24" width="1.625" style="8" customWidth="1"/>
    <col min="25" max="25" width="9" style="8" hidden="1" customWidth="1" outlineLevel="1"/>
    <col min="26" max="26" width="8.625" style="8" hidden="1" customWidth="1" outlineLevel="1"/>
    <col min="27" max="27" width="8.5" style="8" hidden="1" customWidth="1" outlineLevel="1"/>
    <col min="28" max="29" width="8.25" style="8" hidden="1" customWidth="1" outlineLevel="1"/>
    <col min="30" max="30" width="9.25" style="8" hidden="1" customWidth="1" outlineLevel="1"/>
    <col min="31" max="31" width="9.75" style="8" hidden="1" customWidth="1" outlineLevel="1"/>
    <col min="32" max="32" width="9" style="8" hidden="1" customWidth="1" outlineLevel="1"/>
    <col min="33" max="33" width="9" style="8" customWidth="1" collapsed="1"/>
    <col min="34" max="35" width="9" style="8" hidden="1" customWidth="1" outlineLevel="1"/>
    <col min="36" max="36" width="8.5" style="8" hidden="1" customWidth="1" outlineLevel="1"/>
    <col min="37" max="37" width="8.5" style="8" bestFit="1" customWidth="1" collapsed="1"/>
    <col min="38" max="38" width="1.5" style="8" customWidth="1"/>
    <col min="39" max="39" width="9.375" style="135" bestFit="1" customWidth="1"/>
    <col min="40" max="16384" width="9" style="8"/>
  </cols>
  <sheetData>
    <row r="2" spans="2:39" s="5" customFormat="1" ht="12.75" customHeight="1">
      <c r="B2" s="1" t="str">
        <f>'Historical Financials'!B2</f>
        <v>Qualcomm (NASDAQ: QCOM)</v>
      </c>
      <c r="C2" s="2" t="s">
        <v>0</v>
      </c>
      <c r="D2" s="2"/>
      <c r="E2" s="2" t="s">
        <v>0</v>
      </c>
      <c r="F2" s="2"/>
      <c r="G2" s="2"/>
      <c r="H2" s="3"/>
      <c r="I2" s="2" t="s">
        <v>1</v>
      </c>
      <c r="J2" s="2"/>
      <c r="K2" s="2"/>
      <c r="L2" s="2"/>
      <c r="M2" s="2" t="s">
        <v>1</v>
      </c>
      <c r="N2" s="2"/>
      <c r="O2" s="2"/>
      <c r="P2" s="2"/>
      <c r="Q2" s="2"/>
      <c r="R2" s="2"/>
      <c r="S2" s="2" t="s">
        <v>1</v>
      </c>
      <c r="T2" s="2"/>
      <c r="U2" s="2"/>
      <c r="V2" s="2"/>
      <c r="W2" s="2"/>
      <c r="X2" s="3"/>
      <c r="Y2" s="2" t="s">
        <v>10</v>
      </c>
      <c r="Z2" s="2"/>
      <c r="AA2" s="2"/>
      <c r="AB2" s="2"/>
      <c r="AC2" s="2"/>
      <c r="AD2" s="2"/>
      <c r="AE2" s="2"/>
      <c r="AF2" s="2" t="s">
        <v>10</v>
      </c>
      <c r="AG2" s="2" t="s">
        <v>10</v>
      </c>
      <c r="AH2" s="2"/>
      <c r="AI2" s="2"/>
      <c r="AJ2" s="2"/>
      <c r="AK2" s="2"/>
      <c r="AL2" s="3"/>
      <c r="AM2" s="168" t="s">
        <v>24</v>
      </c>
    </row>
    <row r="3" spans="2:39" s="5" customFormat="1" ht="12.75" customHeight="1">
      <c r="B3" s="6" t="s">
        <v>25</v>
      </c>
      <c r="C3" s="7">
        <f>'Historical Financials'!C7</f>
        <v>2020</v>
      </c>
      <c r="D3" s="7">
        <f>'Historical Financials'!D7</f>
        <v>2021</v>
      </c>
      <c r="E3" s="7">
        <f>'Historical Financials'!E7</f>
        <v>2022</v>
      </c>
      <c r="F3" s="7">
        <f>'Historical Financials'!F7</f>
        <v>2023</v>
      </c>
      <c r="G3" s="7">
        <f>'Historical Financials'!G7</f>
        <v>2024</v>
      </c>
      <c r="H3" s="3"/>
      <c r="I3" s="7" t="str">
        <f>'Historical Financials'!I7</f>
        <v>1Q22</v>
      </c>
      <c r="J3" s="7" t="str">
        <f>'Historical Financials'!J7</f>
        <v>2Q22</v>
      </c>
      <c r="K3" s="7" t="str">
        <f>'Historical Financials'!K7</f>
        <v>3Q22</v>
      </c>
      <c r="L3" s="7" t="str">
        <f>'Historical Financials'!L7</f>
        <v>4Q22</v>
      </c>
      <c r="M3" s="7" t="str">
        <f>'Historical Financials'!M7</f>
        <v>1Q23</v>
      </c>
      <c r="N3" s="7" t="str">
        <f>'Historical Financials'!N7</f>
        <v>2Q23</v>
      </c>
      <c r="O3" s="7" t="str">
        <f>'Historical Financials'!O7</f>
        <v>3Q23</v>
      </c>
      <c r="P3" s="7" t="str">
        <f>'Historical Financials'!P7</f>
        <v>4Q23</v>
      </c>
      <c r="Q3" s="7" t="str">
        <f>'Historical Financials'!Q7</f>
        <v>1Q24</v>
      </c>
      <c r="R3" s="7" t="str">
        <f>'Historical Financials'!R7</f>
        <v>2Q24</v>
      </c>
      <c r="S3" s="7" t="str">
        <f>'Historical Financials'!S7</f>
        <v>3Q24</v>
      </c>
      <c r="T3" s="7" t="str">
        <f>'Historical Financials'!T7</f>
        <v>4Q24</v>
      </c>
      <c r="U3" s="7" t="str">
        <f>'Historical Financials'!U7</f>
        <v>1Q25</v>
      </c>
      <c r="V3" s="7" t="str">
        <f>'Historical Financials'!V7</f>
        <v>2Q25</v>
      </c>
      <c r="W3" s="7" t="str">
        <f>'Historical Financials'!W7</f>
        <v>3Q25</v>
      </c>
      <c r="X3" s="3"/>
      <c r="Y3" s="4" t="str">
        <f t="shared" ref="Y3:AK4" si="0">K3</f>
        <v>3Q22</v>
      </c>
      <c r="Z3" s="4" t="str">
        <f t="shared" si="0"/>
        <v>4Q22</v>
      </c>
      <c r="AA3" s="4" t="str">
        <f t="shared" si="0"/>
        <v>1Q23</v>
      </c>
      <c r="AB3" s="4" t="str">
        <f t="shared" si="0"/>
        <v>2Q23</v>
      </c>
      <c r="AC3" s="4" t="str">
        <f t="shared" si="0"/>
        <v>3Q23</v>
      </c>
      <c r="AD3" s="4" t="str">
        <f t="shared" si="0"/>
        <v>4Q23</v>
      </c>
      <c r="AE3" s="4" t="str">
        <f t="shared" si="0"/>
        <v>1Q24</v>
      </c>
      <c r="AF3" s="4" t="str">
        <f t="shared" si="0"/>
        <v>2Q24</v>
      </c>
      <c r="AG3" s="4" t="str">
        <f t="shared" si="0"/>
        <v>3Q24</v>
      </c>
      <c r="AH3" s="4" t="str">
        <f t="shared" si="0"/>
        <v>4Q24</v>
      </c>
      <c r="AI3" s="4" t="str">
        <f t="shared" si="0"/>
        <v>1Q25</v>
      </c>
      <c r="AJ3" s="4" t="str">
        <f t="shared" si="0"/>
        <v>2Q25</v>
      </c>
      <c r="AK3" s="4" t="str">
        <f t="shared" si="0"/>
        <v>3Q25</v>
      </c>
      <c r="AL3" s="3"/>
      <c r="AM3" s="168"/>
    </row>
    <row r="4" spans="2:39" s="5" customFormat="1" ht="12.75" customHeight="1">
      <c r="B4" s="6" t="s">
        <v>81</v>
      </c>
      <c r="C4" s="3">
        <f>'Historical Financials'!C8</f>
        <v>44196</v>
      </c>
      <c r="D4" s="3">
        <f>'Historical Financials'!D8</f>
        <v>44561</v>
      </c>
      <c r="E4" s="3">
        <f>'Historical Financials'!E8</f>
        <v>44926</v>
      </c>
      <c r="F4" s="3">
        <f>'Historical Financials'!F8</f>
        <v>45291</v>
      </c>
      <c r="G4" s="3">
        <f>'Historical Financials'!G8</f>
        <v>45657</v>
      </c>
      <c r="H4" s="3"/>
      <c r="I4" s="3">
        <f>'Historical Financials'!I8</f>
        <v>44651</v>
      </c>
      <c r="J4" s="3">
        <f>'Historical Financials'!J8</f>
        <v>44742</v>
      </c>
      <c r="K4" s="3">
        <f>'Historical Financials'!K8</f>
        <v>44834</v>
      </c>
      <c r="L4" s="3">
        <f>'Historical Financials'!L8</f>
        <v>44926</v>
      </c>
      <c r="M4" s="3">
        <f>'Historical Financials'!M8</f>
        <v>45016</v>
      </c>
      <c r="N4" s="3">
        <f>'Historical Financials'!N8</f>
        <v>45107</v>
      </c>
      <c r="O4" s="3">
        <f>'Historical Financials'!O8</f>
        <v>45199</v>
      </c>
      <c r="P4" s="3">
        <f>'Historical Financials'!P8</f>
        <v>45291</v>
      </c>
      <c r="Q4" s="3">
        <f>'Historical Financials'!Q8</f>
        <v>45382</v>
      </c>
      <c r="R4" s="3">
        <f>'Historical Financials'!R8</f>
        <v>45473</v>
      </c>
      <c r="S4" s="3">
        <f>'Historical Financials'!S8</f>
        <v>45565</v>
      </c>
      <c r="T4" s="3">
        <f>'Historical Financials'!T8</f>
        <v>45657</v>
      </c>
      <c r="U4" s="3">
        <f>'Historical Financials'!U8</f>
        <v>45747</v>
      </c>
      <c r="V4" s="3">
        <f>'Historical Financials'!V8</f>
        <v>45838</v>
      </c>
      <c r="W4" s="3">
        <f>'Historical Financials'!W8</f>
        <v>45930</v>
      </c>
      <c r="X4" s="3"/>
      <c r="Y4" s="3">
        <f t="shared" si="0"/>
        <v>44834</v>
      </c>
      <c r="Z4" s="3">
        <f t="shared" si="0"/>
        <v>44926</v>
      </c>
      <c r="AA4" s="3">
        <f t="shared" si="0"/>
        <v>45016</v>
      </c>
      <c r="AB4" s="3">
        <f t="shared" si="0"/>
        <v>45107</v>
      </c>
      <c r="AC4" s="3">
        <f t="shared" si="0"/>
        <v>45199</v>
      </c>
      <c r="AD4" s="3">
        <f t="shared" si="0"/>
        <v>45291</v>
      </c>
      <c r="AE4" s="3">
        <f t="shared" si="0"/>
        <v>45382</v>
      </c>
      <c r="AF4" s="3">
        <f t="shared" si="0"/>
        <v>45473</v>
      </c>
      <c r="AG4" s="3">
        <f t="shared" si="0"/>
        <v>45565</v>
      </c>
      <c r="AH4" s="3">
        <f t="shared" si="0"/>
        <v>45657</v>
      </c>
      <c r="AI4" s="3">
        <f t="shared" si="0"/>
        <v>45747</v>
      </c>
      <c r="AJ4" s="3">
        <f t="shared" si="0"/>
        <v>45838</v>
      </c>
      <c r="AK4" s="3">
        <f t="shared" si="0"/>
        <v>45930</v>
      </c>
      <c r="AL4" s="3"/>
      <c r="AM4" s="168"/>
    </row>
    <row r="5" spans="2:39" ht="5.0999999999999996" customHeight="1">
      <c r="AM5" s="131"/>
    </row>
    <row r="6" spans="2:39" ht="12.75" customHeight="1">
      <c r="B6" s="9">
        <f>'Revenue Drivers'!B9</f>
        <v>0</v>
      </c>
      <c r="C6" s="99">
        <f>('Revenue Drivers'!C9)/1000</f>
        <v>0</v>
      </c>
      <c r="D6" s="99">
        <f>('Revenue Drivers'!D9)/1000</f>
        <v>0</v>
      </c>
      <c r="E6" s="99">
        <f>('Revenue Drivers'!E9)/1000</f>
        <v>0</v>
      </c>
      <c r="F6" s="99">
        <f>('Revenue Drivers'!F9)/1000</f>
        <v>0</v>
      </c>
      <c r="G6" s="99">
        <f>('Revenue Drivers'!G9)/1000</f>
        <v>0</v>
      </c>
      <c r="H6" s="10"/>
      <c r="I6" s="99">
        <f>('Revenue Drivers'!I9)/1000</f>
        <v>0</v>
      </c>
      <c r="J6" s="99">
        <f>('Revenue Drivers'!J9)/1000</f>
        <v>0</v>
      </c>
      <c r="K6" s="99">
        <f>('Revenue Drivers'!K9)/1000</f>
        <v>0</v>
      </c>
      <c r="L6" s="99">
        <f>('Revenue Drivers'!L9)/1000</f>
        <v>0</v>
      </c>
      <c r="M6" s="99">
        <f>('Revenue Drivers'!M9)/1000</f>
        <v>0</v>
      </c>
      <c r="N6" s="99">
        <f>('Revenue Drivers'!N9)/1000</f>
        <v>0</v>
      </c>
      <c r="O6" s="99">
        <f>('Revenue Drivers'!O9)/1000</f>
        <v>0</v>
      </c>
      <c r="P6" s="99">
        <f>('Revenue Drivers'!P9)/1000</f>
        <v>0</v>
      </c>
      <c r="Q6" s="99">
        <f>('Revenue Drivers'!Q9)/1000</f>
        <v>0</v>
      </c>
      <c r="R6" s="99">
        <f>('Revenue Drivers'!R9)/1000</f>
        <v>0</v>
      </c>
      <c r="S6" s="99">
        <f>('Revenue Drivers'!S9)/1000</f>
        <v>0</v>
      </c>
      <c r="T6" s="99">
        <f>('Revenue Drivers'!T9)/1000</f>
        <v>0</v>
      </c>
      <c r="U6" s="99">
        <f>('Revenue Drivers'!U9)/1000</f>
        <v>0</v>
      </c>
      <c r="V6" s="99">
        <f>('Revenue Drivers'!V9)/1000</f>
        <v>0</v>
      </c>
      <c r="W6" s="99">
        <f>('Revenue Drivers'!W9)/1000</f>
        <v>0</v>
      </c>
      <c r="X6" s="5"/>
      <c r="Y6" s="10">
        <f t="shared" ref="Y6:AK6" si="1">SUM(H6:K6)</f>
        <v>0</v>
      </c>
      <c r="Z6" s="10">
        <f t="shared" si="1"/>
        <v>0</v>
      </c>
      <c r="AA6" s="10">
        <f t="shared" si="1"/>
        <v>0</v>
      </c>
      <c r="AB6" s="10">
        <f t="shared" si="1"/>
        <v>0</v>
      </c>
      <c r="AC6" s="10">
        <f t="shared" si="1"/>
        <v>0</v>
      </c>
      <c r="AD6" s="10">
        <f t="shared" si="1"/>
        <v>0</v>
      </c>
      <c r="AE6" s="10">
        <f t="shared" si="1"/>
        <v>0</v>
      </c>
      <c r="AF6" s="10">
        <f t="shared" si="1"/>
        <v>0</v>
      </c>
      <c r="AG6" s="152">
        <f t="shared" si="1"/>
        <v>0</v>
      </c>
      <c r="AH6" s="152">
        <f t="shared" si="1"/>
        <v>0</v>
      </c>
      <c r="AI6" s="152">
        <f t="shared" si="1"/>
        <v>0</v>
      </c>
      <c r="AJ6" s="152">
        <f t="shared" si="1"/>
        <v>0</v>
      </c>
      <c r="AK6" s="152">
        <f t="shared" si="1"/>
        <v>0</v>
      </c>
      <c r="AM6" s="132" t="e">
        <f t="shared" ref="AM6:AM11" si="2">SUM(AK6/AG6)-1</f>
        <v>#DIV/0!</v>
      </c>
    </row>
    <row r="7" spans="2:39" ht="12.75" customHeight="1">
      <c r="B7" s="9">
        <f>'Revenue Drivers'!B10</f>
        <v>0</v>
      </c>
      <c r="C7" s="99">
        <f>('Revenue Drivers'!C10)/1000</f>
        <v>0</v>
      </c>
      <c r="D7" s="99">
        <f>('Revenue Drivers'!D10)/1000</f>
        <v>0</v>
      </c>
      <c r="E7" s="99">
        <f>('Revenue Drivers'!E10)/1000</f>
        <v>0</v>
      </c>
      <c r="F7" s="99">
        <f>('Revenue Drivers'!F10)/1000</f>
        <v>0</v>
      </c>
      <c r="G7" s="99">
        <f>('Revenue Drivers'!G10)/1000</f>
        <v>0</v>
      </c>
      <c r="H7" s="10"/>
      <c r="I7" s="99">
        <f>('Revenue Drivers'!I10)/1000</f>
        <v>0</v>
      </c>
      <c r="J7" s="99">
        <f>('Revenue Drivers'!J10)/1000</f>
        <v>0</v>
      </c>
      <c r="K7" s="99">
        <f>('Revenue Drivers'!K10)/1000</f>
        <v>0</v>
      </c>
      <c r="L7" s="99">
        <f>('Revenue Drivers'!L10)/1000</f>
        <v>0</v>
      </c>
      <c r="M7" s="99">
        <f>('Revenue Drivers'!M10)/1000</f>
        <v>0</v>
      </c>
      <c r="N7" s="99">
        <f>('Revenue Drivers'!N10)/1000</f>
        <v>0</v>
      </c>
      <c r="O7" s="99">
        <f>('Revenue Drivers'!O10)/1000</f>
        <v>0</v>
      </c>
      <c r="P7" s="99">
        <f>('Revenue Drivers'!P10)/1000</f>
        <v>0</v>
      </c>
      <c r="Q7" s="99">
        <f>('Revenue Drivers'!Q10)/1000</f>
        <v>0</v>
      </c>
      <c r="R7" s="99">
        <f>('Revenue Drivers'!R10)/1000</f>
        <v>0</v>
      </c>
      <c r="S7" s="99">
        <f>('Revenue Drivers'!S10)/1000</f>
        <v>0</v>
      </c>
      <c r="T7" s="99">
        <f>('Revenue Drivers'!T10)/1000</f>
        <v>0</v>
      </c>
      <c r="U7" s="99">
        <f>('Revenue Drivers'!U10)/1000</f>
        <v>0</v>
      </c>
      <c r="V7" s="99">
        <f>('Revenue Drivers'!V10)/1000</f>
        <v>0</v>
      </c>
      <c r="W7" s="99">
        <f>('Revenue Drivers'!W10)/1000</f>
        <v>0</v>
      </c>
      <c r="X7" s="5"/>
      <c r="Y7" s="10"/>
      <c r="Z7" s="10"/>
      <c r="AA7" s="10"/>
      <c r="AB7" s="10"/>
      <c r="AC7" s="10"/>
      <c r="AD7" s="10"/>
      <c r="AE7" s="10"/>
      <c r="AF7" s="10"/>
      <c r="AG7" s="152">
        <f t="shared" ref="AG7:AK9" si="3">SUM(P7:S7)</f>
        <v>0</v>
      </c>
      <c r="AH7" s="152">
        <f t="shared" si="3"/>
        <v>0</v>
      </c>
      <c r="AI7" s="152">
        <f t="shared" si="3"/>
        <v>0</v>
      </c>
      <c r="AJ7" s="152">
        <f t="shared" si="3"/>
        <v>0</v>
      </c>
      <c r="AK7" s="152">
        <f t="shared" si="3"/>
        <v>0</v>
      </c>
      <c r="AM7" s="132" t="e">
        <f t="shared" si="2"/>
        <v>#DIV/0!</v>
      </c>
    </row>
    <row r="8" spans="2:39" ht="12.75" customHeight="1">
      <c r="B8" s="9" t="e">
        <f>'Revenue Drivers'!#REF!</f>
        <v>#REF!</v>
      </c>
      <c r="C8" s="99" t="e">
        <f>('Revenue Drivers'!#REF!)/1000</f>
        <v>#REF!</v>
      </c>
      <c r="D8" s="99" t="e">
        <f>('Revenue Drivers'!#REF!)/1000</f>
        <v>#REF!</v>
      </c>
      <c r="E8" s="99" t="e">
        <f>('Revenue Drivers'!#REF!)/1000</f>
        <v>#REF!</v>
      </c>
      <c r="F8" s="99" t="e">
        <f>('Revenue Drivers'!#REF!)/1000</f>
        <v>#REF!</v>
      </c>
      <c r="G8" s="99" t="e">
        <f>('Revenue Drivers'!#REF!)/1000</f>
        <v>#REF!</v>
      </c>
      <c r="H8" s="10"/>
      <c r="I8" s="99" t="e">
        <f>('Revenue Drivers'!#REF!)/1000</f>
        <v>#REF!</v>
      </c>
      <c r="J8" s="99" t="e">
        <f>('Revenue Drivers'!#REF!)/1000</f>
        <v>#REF!</v>
      </c>
      <c r="K8" s="99" t="e">
        <f>('Revenue Drivers'!#REF!)/1000</f>
        <v>#REF!</v>
      </c>
      <c r="L8" s="99" t="e">
        <f>('Revenue Drivers'!#REF!)/1000</f>
        <v>#REF!</v>
      </c>
      <c r="M8" s="99" t="e">
        <f>('Revenue Drivers'!#REF!)/1000</f>
        <v>#REF!</v>
      </c>
      <c r="N8" s="99" t="e">
        <f>('Revenue Drivers'!#REF!)/1000</f>
        <v>#REF!</v>
      </c>
      <c r="O8" s="99" t="e">
        <f>('Revenue Drivers'!#REF!)/1000</f>
        <v>#REF!</v>
      </c>
      <c r="P8" s="99" t="e">
        <f>('Revenue Drivers'!#REF!)/1000</f>
        <v>#REF!</v>
      </c>
      <c r="Q8" s="99" t="e">
        <f>('Revenue Drivers'!#REF!)/1000</f>
        <v>#REF!</v>
      </c>
      <c r="R8" s="99" t="e">
        <f>('Revenue Drivers'!#REF!)/1000</f>
        <v>#REF!</v>
      </c>
      <c r="S8" s="99" t="e">
        <f>('Revenue Drivers'!#REF!)/1000</f>
        <v>#REF!</v>
      </c>
      <c r="T8" s="99" t="e">
        <f>('Revenue Drivers'!#REF!)/1000</f>
        <v>#REF!</v>
      </c>
      <c r="U8" s="99" t="e">
        <f>('Revenue Drivers'!#REF!)/1000</f>
        <v>#REF!</v>
      </c>
      <c r="V8" s="99" t="e">
        <f>('Revenue Drivers'!#REF!)/1000</f>
        <v>#REF!</v>
      </c>
      <c r="W8" s="99" t="e">
        <f>('Revenue Drivers'!#REF!)/1000</f>
        <v>#REF!</v>
      </c>
      <c r="X8" s="5"/>
      <c r="Y8" s="10"/>
      <c r="Z8" s="10"/>
      <c r="AA8" s="10"/>
      <c r="AB8" s="10"/>
      <c r="AC8" s="10"/>
      <c r="AD8" s="10"/>
      <c r="AE8" s="10"/>
      <c r="AF8" s="10"/>
      <c r="AG8" s="152" t="e">
        <f t="shared" si="3"/>
        <v>#REF!</v>
      </c>
      <c r="AH8" s="152" t="e">
        <f t="shared" si="3"/>
        <v>#REF!</v>
      </c>
      <c r="AI8" s="152" t="e">
        <f t="shared" si="3"/>
        <v>#REF!</v>
      </c>
      <c r="AJ8" s="152" t="e">
        <f t="shared" si="3"/>
        <v>#REF!</v>
      </c>
      <c r="AK8" s="152" t="e">
        <f t="shared" si="3"/>
        <v>#REF!</v>
      </c>
      <c r="AM8" s="132" t="e">
        <f t="shared" si="2"/>
        <v>#REF!</v>
      </c>
    </row>
    <row r="9" spans="2:39" ht="12.75" customHeight="1">
      <c r="B9" s="9" t="e">
        <f>'Revenue Drivers'!#REF!</f>
        <v>#REF!</v>
      </c>
      <c r="C9" s="99" t="e">
        <f>('Revenue Drivers'!#REF!)/1000</f>
        <v>#REF!</v>
      </c>
      <c r="D9" s="99" t="e">
        <f>('Revenue Drivers'!#REF!)/1000</f>
        <v>#REF!</v>
      </c>
      <c r="E9" s="99" t="e">
        <f>('Revenue Drivers'!#REF!)/1000</f>
        <v>#REF!</v>
      </c>
      <c r="F9" s="99" t="e">
        <f>('Revenue Drivers'!#REF!)/1000</f>
        <v>#REF!</v>
      </c>
      <c r="G9" s="99" t="e">
        <f>('Revenue Drivers'!#REF!)/1000</f>
        <v>#REF!</v>
      </c>
      <c r="H9" s="10"/>
      <c r="I9" s="99" t="e">
        <f>('Revenue Drivers'!#REF!)/1000</f>
        <v>#REF!</v>
      </c>
      <c r="J9" s="99" t="e">
        <f>('Revenue Drivers'!#REF!)/1000</f>
        <v>#REF!</v>
      </c>
      <c r="K9" s="99" t="e">
        <f>('Revenue Drivers'!#REF!)/1000</f>
        <v>#REF!</v>
      </c>
      <c r="L9" s="99" t="e">
        <f>('Revenue Drivers'!#REF!)/1000</f>
        <v>#REF!</v>
      </c>
      <c r="M9" s="99" t="e">
        <f>('Revenue Drivers'!#REF!)/1000</f>
        <v>#REF!</v>
      </c>
      <c r="N9" s="99" t="e">
        <f>('Revenue Drivers'!#REF!)/1000</f>
        <v>#REF!</v>
      </c>
      <c r="O9" s="99" t="e">
        <f>('Revenue Drivers'!#REF!)/1000</f>
        <v>#REF!</v>
      </c>
      <c r="P9" s="99" t="e">
        <f>('Revenue Drivers'!#REF!)/1000</f>
        <v>#REF!</v>
      </c>
      <c r="Q9" s="99" t="e">
        <f>('Revenue Drivers'!#REF!)/1000</f>
        <v>#REF!</v>
      </c>
      <c r="R9" s="99" t="e">
        <f>('Revenue Drivers'!#REF!)/1000</f>
        <v>#REF!</v>
      </c>
      <c r="S9" s="99" t="e">
        <f>('Revenue Drivers'!#REF!)/1000</f>
        <v>#REF!</v>
      </c>
      <c r="T9" s="99" t="e">
        <f>('Revenue Drivers'!#REF!)/1000</f>
        <v>#REF!</v>
      </c>
      <c r="U9" s="99" t="e">
        <f>('Revenue Drivers'!#REF!)/1000</f>
        <v>#REF!</v>
      </c>
      <c r="V9" s="99" t="e">
        <f>('Revenue Drivers'!#REF!)/1000</f>
        <v>#REF!</v>
      </c>
      <c r="W9" s="99" t="e">
        <f>('Revenue Drivers'!#REF!)/1000</f>
        <v>#REF!</v>
      </c>
      <c r="X9" s="5"/>
      <c r="Y9" s="10"/>
      <c r="Z9" s="10"/>
      <c r="AA9" s="10"/>
      <c r="AB9" s="10"/>
      <c r="AC9" s="10"/>
      <c r="AD9" s="10"/>
      <c r="AE9" s="10"/>
      <c r="AF9" s="10"/>
      <c r="AG9" s="152" t="e">
        <f t="shared" si="3"/>
        <v>#REF!</v>
      </c>
      <c r="AH9" s="152" t="e">
        <f t="shared" si="3"/>
        <v>#REF!</v>
      </c>
      <c r="AI9" s="152" t="e">
        <f t="shared" si="3"/>
        <v>#REF!</v>
      </c>
      <c r="AJ9" s="152" t="e">
        <f t="shared" si="3"/>
        <v>#REF!</v>
      </c>
      <c r="AK9" s="152" t="e">
        <f t="shared" si="3"/>
        <v>#REF!</v>
      </c>
      <c r="AM9" s="132" t="e">
        <f t="shared" si="2"/>
        <v>#REF!</v>
      </c>
    </row>
    <row r="10" spans="2:39" ht="12.75" customHeight="1">
      <c r="B10" s="9" t="e">
        <f>'Revenue Drivers'!#REF!</f>
        <v>#REF!</v>
      </c>
      <c r="C10" s="99" t="e">
        <f>('Revenue Drivers'!#REF!)/1000</f>
        <v>#REF!</v>
      </c>
      <c r="D10" s="99" t="e">
        <f>('Revenue Drivers'!#REF!)/1000</f>
        <v>#REF!</v>
      </c>
      <c r="E10" s="99" t="e">
        <f>('Revenue Drivers'!#REF!)/1000</f>
        <v>#REF!</v>
      </c>
      <c r="F10" s="99" t="e">
        <f>('Revenue Drivers'!#REF!)/1000</f>
        <v>#REF!</v>
      </c>
      <c r="G10" s="99" t="e">
        <f>('Revenue Drivers'!#REF!)/1000</f>
        <v>#REF!</v>
      </c>
      <c r="H10" s="10"/>
      <c r="I10" s="99" t="e">
        <f>('Revenue Drivers'!#REF!)/1000</f>
        <v>#REF!</v>
      </c>
      <c r="J10" s="99" t="e">
        <f>('Revenue Drivers'!#REF!)/1000</f>
        <v>#REF!</v>
      </c>
      <c r="K10" s="99" t="e">
        <f>('Revenue Drivers'!#REF!)/1000</f>
        <v>#REF!</v>
      </c>
      <c r="L10" s="99" t="e">
        <f>('Revenue Drivers'!#REF!)/1000</f>
        <v>#REF!</v>
      </c>
      <c r="M10" s="99" t="e">
        <f>('Revenue Drivers'!#REF!)/1000</f>
        <v>#REF!</v>
      </c>
      <c r="N10" s="99" t="e">
        <f>('Revenue Drivers'!#REF!)/1000</f>
        <v>#REF!</v>
      </c>
      <c r="O10" s="99" t="e">
        <f>('Revenue Drivers'!#REF!)/1000</f>
        <v>#REF!</v>
      </c>
      <c r="P10" s="99" t="e">
        <f>('Revenue Drivers'!#REF!)/1000</f>
        <v>#REF!</v>
      </c>
      <c r="Q10" s="99" t="e">
        <f>('Revenue Drivers'!#REF!)/1000</f>
        <v>#REF!</v>
      </c>
      <c r="R10" s="99" t="e">
        <f>('Revenue Drivers'!#REF!)/1000</f>
        <v>#REF!</v>
      </c>
      <c r="S10" s="99" t="e">
        <f>('Revenue Drivers'!#REF!)/1000</f>
        <v>#REF!</v>
      </c>
      <c r="T10" s="99" t="e">
        <f>('Revenue Drivers'!#REF!)/1000</f>
        <v>#REF!</v>
      </c>
      <c r="U10" s="99" t="e">
        <f>('Revenue Drivers'!#REF!)/1000</f>
        <v>#REF!</v>
      </c>
      <c r="V10" s="99" t="e">
        <f>('Revenue Drivers'!#REF!)/1000</f>
        <v>#REF!</v>
      </c>
      <c r="W10" s="99" t="e">
        <f>('Revenue Drivers'!#REF!)/1000</f>
        <v>#REF!</v>
      </c>
      <c r="X10" s="5"/>
      <c r="Y10" s="10"/>
      <c r="Z10" s="10"/>
      <c r="AA10" s="10"/>
      <c r="AB10" s="10"/>
      <c r="AC10" s="10"/>
      <c r="AD10" s="10"/>
      <c r="AE10" s="10"/>
      <c r="AF10" s="10"/>
      <c r="AG10" s="152" t="e">
        <f t="shared" ref="AG10" si="4">SUM(P10:S10)</f>
        <v>#REF!</v>
      </c>
      <c r="AH10" s="152" t="e">
        <f t="shared" ref="AH10" si="5">SUM(Q10:T10)</f>
        <v>#REF!</v>
      </c>
      <c r="AI10" s="152" t="e">
        <f t="shared" ref="AI10" si="6">SUM(R10:U10)</f>
        <v>#REF!</v>
      </c>
      <c r="AJ10" s="152" t="e">
        <f t="shared" ref="AJ10" si="7">SUM(S10:V10)</f>
        <v>#REF!</v>
      </c>
      <c r="AK10" s="152" t="e">
        <f t="shared" ref="AK10" si="8">SUM(T10:W10)</f>
        <v>#REF!</v>
      </c>
      <c r="AM10" s="132" t="e">
        <f t="shared" si="2"/>
        <v>#REF!</v>
      </c>
    </row>
    <row r="11" spans="2:39" ht="12.75" customHeight="1">
      <c r="B11" s="13" t="s">
        <v>12</v>
      </c>
      <c r="C11" s="14" t="e">
        <f>SUM(C6:C10)</f>
        <v>#REF!</v>
      </c>
      <c r="D11" s="14" t="e">
        <f t="shared" ref="D11:G11" si="9">SUM(D6:D10)</f>
        <v>#REF!</v>
      </c>
      <c r="E11" s="14" t="e">
        <f t="shared" si="9"/>
        <v>#REF!</v>
      </c>
      <c r="F11" s="14" t="e">
        <f t="shared" si="9"/>
        <v>#REF!</v>
      </c>
      <c r="G11" s="14" t="e">
        <f t="shared" si="9"/>
        <v>#REF!</v>
      </c>
      <c r="H11" s="10"/>
      <c r="I11" s="14" t="e">
        <f t="shared" ref="I11" si="10">SUM(I6:I10)</f>
        <v>#REF!</v>
      </c>
      <c r="J11" s="14" t="e">
        <f t="shared" ref="J11" si="11">SUM(J6:J10)</f>
        <v>#REF!</v>
      </c>
      <c r="K11" s="14" t="e">
        <f t="shared" ref="K11" si="12">SUM(K6:K10)</f>
        <v>#REF!</v>
      </c>
      <c r="L11" s="14" t="e">
        <f t="shared" ref="L11" si="13">SUM(L6:L10)</f>
        <v>#REF!</v>
      </c>
      <c r="M11" s="14" t="e">
        <f t="shared" ref="M11" si="14">SUM(M6:M10)</f>
        <v>#REF!</v>
      </c>
      <c r="N11" s="14" t="e">
        <f t="shared" ref="N11" si="15">SUM(N6:N10)</f>
        <v>#REF!</v>
      </c>
      <c r="O11" s="14" t="e">
        <f t="shared" ref="O11" si="16">SUM(O6:O10)</f>
        <v>#REF!</v>
      </c>
      <c r="P11" s="14" t="e">
        <f t="shared" ref="P11" si="17">SUM(P6:P10)</f>
        <v>#REF!</v>
      </c>
      <c r="Q11" s="14" t="e">
        <f t="shared" ref="Q11" si="18">SUM(Q6:Q10)</f>
        <v>#REF!</v>
      </c>
      <c r="R11" s="14" t="e">
        <f t="shared" ref="R11" si="19">SUM(R6:R10)</f>
        <v>#REF!</v>
      </c>
      <c r="S11" s="14" t="e">
        <f t="shared" ref="S11" si="20">SUM(S6:S10)</f>
        <v>#REF!</v>
      </c>
      <c r="T11" s="14" t="e">
        <f t="shared" ref="T11" si="21">SUM(T6:T10)</f>
        <v>#REF!</v>
      </c>
      <c r="U11" s="14" t="e">
        <f t="shared" ref="U11" si="22">SUM(U6:U10)</f>
        <v>#REF!</v>
      </c>
      <c r="V11" s="14" t="e">
        <f t="shared" ref="V11" si="23">SUM(V6:V10)</f>
        <v>#REF!</v>
      </c>
      <c r="W11" s="14" t="e">
        <f t="shared" ref="W11" si="24">SUM(W6:W10)</f>
        <v>#REF!</v>
      </c>
      <c r="X11" s="5"/>
      <c r="Y11" s="14">
        <f t="shared" ref="Y11" si="25">SUM(Y6:Y10)</f>
        <v>0</v>
      </c>
      <c r="Z11" s="14">
        <f t="shared" ref="Z11" si="26">SUM(Z6:Z10)</f>
        <v>0</v>
      </c>
      <c r="AA11" s="14">
        <f t="shared" ref="AA11" si="27">SUM(AA6:AA10)</f>
        <v>0</v>
      </c>
      <c r="AB11" s="14">
        <f t="shared" ref="AB11" si="28">SUM(AB6:AB10)</f>
        <v>0</v>
      </c>
      <c r="AC11" s="14">
        <f t="shared" ref="AC11" si="29">SUM(AC6:AC10)</f>
        <v>0</v>
      </c>
      <c r="AD11" s="14">
        <f t="shared" ref="AD11" si="30">SUM(AD6:AD10)</f>
        <v>0</v>
      </c>
      <c r="AE11" s="14">
        <f t="shared" ref="AE11" si="31">SUM(AE6:AE10)</f>
        <v>0</v>
      </c>
      <c r="AF11" s="14">
        <f t="shared" ref="AF11" si="32">SUM(AF6:AF10)</f>
        <v>0</v>
      </c>
      <c r="AG11" s="14" t="e">
        <f t="shared" ref="AG11" si="33">SUM(AG6:AG10)</f>
        <v>#REF!</v>
      </c>
      <c r="AH11" s="14" t="e">
        <f t="shared" ref="AH11" si="34">SUM(AH6:AH10)</f>
        <v>#REF!</v>
      </c>
      <c r="AI11" s="14" t="e">
        <f t="shared" ref="AI11" si="35">SUM(AI6:AI10)</f>
        <v>#REF!</v>
      </c>
      <c r="AJ11" s="14" t="e">
        <f t="shared" ref="AJ11" si="36">SUM(AJ6:AJ10)</f>
        <v>#REF!</v>
      </c>
      <c r="AK11" s="14" t="e">
        <f t="shared" ref="AK11" si="37">SUM(AK6:AK10)</f>
        <v>#REF!</v>
      </c>
      <c r="AM11" s="133" t="e">
        <f t="shared" si="2"/>
        <v>#REF!</v>
      </c>
    </row>
    <row r="12" spans="2:39" ht="12.75" customHeight="1">
      <c r="B12" s="16" t="s">
        <v>32</v>
      </c>
      <c r="C12" s="17"/>
      <c r="D12" s="18" t="e">
        <f>SUM(D11/C11)-1</f>
        <v>#REF!</v>
      </c>
      <c r="E12" s="18" t="e">
        <f>SUM(E11/D11)-1</f>
        <v>#REF!</v>
      </c>
      <c r="F12" s="18" t="e">
        <f>SUM(F11/E11)-1</f>
        <v>#REF!</v>
      </c>
      <c r="G12" s="18" t="e">
        <f>SUM(G11/F11)-1</f>
        <v>#REF!</v>
      </c>
      <c r="H12" s="11"/>
      <c r="I12" s="17"/>
      <c r="J12" s="17"/>
      <c r="K12" s="17"/>
      <c r="L12" s="17"/>
      <c r="M12" s="18" t="e">
        <f>SUM(M11/I11)-1</f>
        <v>#REF!</v>
      </c>
      <c r="N12" s="18" t="e">
        <f t="shared" ref="N12:W12" si="38">SUM(N11/J11)-1</f>
        <v>#REF!</v>
      </c>
      <c r="O12" s="18" t="e">
        <f t="shared" si="38"/>
        <v>#REF!</v>
      </c>
      <c r="P12" s="18" t="e">
        <f t="shared" si="38"/>
        <v>#REF!</v>
      </c>
      <c r="Q12" s="18" t="e">
        <f t="shared" si="38"/>
        <v>#REF!</v>
      </c>
      <c r="R12" s="18" t="e">
        <f t="shared" si="38"/>
        <v>#REF!</v>
      </c>
      <c r="S12" s="18" t="e">
        <f t="shared" si="38"/>
        <v>#REF!</v>
      </c>
      <c r="T12" s="18" t="e">
        <f t="shared" si="38"/>
        <v>#REF!</v>
      </c>
      <c r="U12" s="18" t="e">
        <f t="shared" si="38"/>
        <v>#REF!</v>
      </c>
      <c r="V12" s="18" t="e">
        <f t="shared" si="38"/>
        <v>#REF!</v>
      </c>
      <c r="W12" s="18" t="e">
        <f t="shared" si="38"/>
        <v>#REF!</v>
      </c>
      <c r="X12" s="5"/>
      <c r="Y12" s="120"/>
      <c r="Z12" s="120"/>
      <c r="AA12" s="120"/>
      <c r="AB12" s="120"/>
      <c r="AC12" s="18" t="e">
        <f t="shared" ref="AC12:AK12" si="39">SUM(AC11/Y11)-1</f>
        <v>#DIV/0!</v>
      </c>
      <c r="AD12" s="18" t="e">
        <f t="shared" si="39"/>
        <v>#DIV/0!</v>
      </c>
      <c r="AE12" s="18" t="e">
        <f t="shared" si="39"/>
        <v>#DIV/0!</v>
      </c>
      <c r="AF12" s="18" t="e">
        <f t="shared" si="39"/>
        <v>#DIV/0!</v>
      </c>
      <c r="AG12" s="18" t="e">
        <f t="shared" si="39"/>
        <v>#REF!</v>
      </c>
      <c r="AH12" s="18" t="e">
        <f t="shared" si="39"/>
        <v>#REF!</v>
      </c>
      <c r="AI12" s="18" t="e">
        <f t="shared" si="39"/>
        <v>#REF!</v>
      </c>
      <c r="AJ12" s="18" t="e">
        <f t="shared" si="39"/>
        <v>#REF!</v>
      </c>
      <c r="AK12" s="18" t="e">
        <f t="shared" si="39"/>
        <v>#REF!</v>
      </c>
      <c r="AM12" s="134" t="e">
        <f>SUM(AK12-AG12)*10000</f>
        <v>#REF!</v>
      </c>
    </row>
    <row r="13" spans="2:39" ht="12.75" customHeight="1">
      <c r="B13" s="16" t="s">
        <v>33</v>
      </c>
      <c r="C13" s="18" t="s">
        <v>34</v>
      </c>
      <c r="D13" s="18" t="s">
        <v>34</v>
      </c>
      <c r="E13" s="18" t="s">
        <v>34</v>
      </c>
      <c r="F13" s="18" t="s">
        <v>34</v>
      </c>
      <c r="G13" s="18" t="s">
        <v>34</v>
      </c>
      <c r="H13" s="11"/>
      <c r="I13" s="17"/>
      <c r="J13" s="18" t="e">
        <f>SUM(J11/I11)-1</f>
        <v>#REF!</v>
      </c>
      <c r="K13" s="18" t="e">
        <f t="shared" ref="K13:W13" si="40">SUM(K11/J11)-1</f>
        <v>#REF!</v>
      </c>
      <c r="L13" s="18" t="e">
        <f t="shared" si="40"/>
        <v>#REF!</v>
      </c>
      <c r="M13" s="18" t="e">
        <f t="shared" si="40"/>
        <v>#REF!</v>
      </c>
      <c r="N13" s="18" t="e">
        <f t="shared" si="40"/>
        <v>#REF!</v>
      </c>
      <c r="O13" s="18" t="e">
        <f t="shared" si="40"/>
        <v>#REF!</v>
      </c>
      <c r="P13" s="18" t="e">
        <f t="shared" si="40"/>
        <v>#REF!</v>
      </c>
      <c r="Q13" s="18" t="e">
        <f t="shared" si="40"/>
        <v>#REF!</v>
      </c>
      <c r="R13" s="18" t="e">
        <f t="shared" si="40"/>
        <v>#REF!</v>
      </c>
      <c r="S13" s="18" t="e">
        <f t="shared" si="40"/>
        <v>#REF!</v>
      </c>
      <c r="T13" s="18" t="e">
        <f t="shared" si="40"/>
        <v>#REF!</v>
      </c>
      <c r="U13" s="18" t="e">
        <f t="shared" si="40"/>
        <v>#REF!</v>
      </c>
      <c r="V13" s="18" t="e">
        <f t="shared" si="40"/>
        <v>#REF!</v>
      </c>
      <c r="W13" s="18" t="e">
        <f t="shared" si="40"/>
        <v>#REF!</v>
      </c>
      <c r="X13" s="5"/>
      <c r="Y13" s="18" t="s">
        <v>34</v>
      </c>
      <c r="Z13" s="18" t="s">
        <v>34</v>
      </c>
      <c r="AA13" s="18" t="s">
        <v>34</v>
      </c>
      <c r="AB13" s="18" t="s">
        <v>34</v>
      </c>
      <c r="AC13" s="18" t="s">
        <v>34</v>
      </c>
      <c r="AD13" s="18" t="s">
        <v>34</v>
      </c>
      <c r="AE13" s="18" t="s">
        <v>34</v>
      </c>
      <c r="AF13" s="18" t="s">
        <v>34</v>
      </c>
      <c r="AG13" s="18" t="s">
        <v>34</v>
      </c>
      <c r="AH13" s="18" t="s">
        <v>34</v>
      </c>
      <c r="AI13" s="18" t="s">
        <v>34</v>
      </c>
      <c r="AJ13" s="18" t="s">
        <v>34</v>
      </c>
      <c r="AK13" s="18" t="s">
        <v>34</v>
      </c>
      <c r="AM13" s="131"/>
    </row>
    <row r="14" spans="2:39" ht="5.0999999999999996" customHeight="1">
      <c r="B14" s="19"/>
      <c r="C14" s="99"/>
      <c r="D14" s="20"/>
      <c r="E14" s="20"/>
      <c r="F14" s="20"/>
      <c r="G14" s="20"/>
      <c r="H14" s="21"/>
      <c r="I14" s="22"/>
      <c r="J14" s="22"/>
      <c r="K14" s="22"/>
      <c r="L14" s="23"/>
      <c r="M14" s="22"/>
      <c r="N14" s="22"/>
      <c r="O14" s="22"/>
      <c r="P14" s="23"/>
      <c r="Q14" s="22"/>
      <c r="R14" s="22"/>
      <c r="S14" s="22"/>
      <c r="T14" s="22"/>
      <c r="U14" s="22"/>
      <c r="V14" s="22"/>
      <c r="W14" s="22"/>
      <c r="X14" s="21"/>
      <c r="Y14" s="21"/>
      <c r="Z14" s="21"/>
      <c r="AA14" s="21"/>
      <c r="AB14" s="21"/>
      <c r="AC14" s="21"/>
      <c r="AD14" s="21"/>
      <c r="AE14" s="21"/>
      <c r="AF14" s="21"/>
      <c r="AG14" s="21"/>
      <c r="AH14" s="21"/>
      <c r="AI14" s="21"/>
      <c r="AJ14" s="21"/>
      <c r="AK14" s="21"/>
      <c r="AM14" s="131"/>
    </row>
    <row r="15" spans="2:39" ht="12.75" customHeight="1">
      <c r="B15" s="24" t="s">
        <v>118</v>
      </c>
      <c r="C15" s="99">
        <f>('Historical Financials'!C13)/1000</f>
        <v>-9.2550000000000008</v>
      </c>
      <c r="D15" s="99">
        <f>('Historical Financials'!D13)/1000</f>
        <v>-14.262</v>
      </c>
      <c r="E15" s="99">
        <f>('Historical Financials'!E13)/1000</f>
        <v>-18.635000000000002</v>
      </c>
      <c r="F15" s="99">
        <f>('Historical Financials'!F13)/1000</f>
        <v>-15.869</v>
      </c>
      <c r="G15" s="99">
        <f>('Historical Financials'!G13)/1000</f>
        <v>-17.059999999999999</v>
      </c>
      <c r="H15" s="10"/>
      <c r="I15" s="99">
        <f>('Historical Financials'!I13)/1000</f>
        <v>-4.3029999999999999</v>
      </c>
      <c r="J15" s="99">
        <f>('Historical Financials'!J13)/1000</f>
        <v>-4.6479999999999997</v>
      </c>
      <c r="K15" s="99">
        <f>('Historical Financials'!K13)/1000</f>
        <v>-4.8159999999999998</v>
      </c>
      <c r="L15" s="99">
        <f>('Historical Financials'!L13)/1000</f>
        <v>-4.8680000000000003</v>
      </c>
      <c r="M15" s="99">
        <f>('Historical Financials'!M13)/1000</f>
        <v>-4.0439999999999996</v>
      </c>
      <c r="N15" s="99">
        <f>('Historical Financials'!N13)/1000</f>
        <v>-4.1529999999999996</v>
      </c>
      <c r="O15" s="99">
        <f>('Historical Financials'!O13)/1000</f>
        <v>-3.7919999999999998</v>
      </c>
      <c r="P15" s="99">
        <f>('Historical Financials'!P13)/1000</f>
        <v>-3.88</v>
      </c>
      <c r="Q15" s="99">
        <f>('Historical Financials'!Q13)/1000</f>
        <v>-4.3120000000000003</v>
      </c>
      <c r="R15" s="99">
        <f>('Historical Financials'!R13)/1000</f>
        <v>-4.1059999999999999</v>
      </c>
      <c r="S15" s="99">
        <f>('Historical Financials'!S13)/1000</f>
        <v>-4.1740000000000004</v>
      </c>
      <c r="T15" s="99">
        <f>('Historical Financials'!T13)/1000</f>
        <v>-4.468</v>
      </c>
      <c r="U15" s="99">
        <f>('Historical Financials'!U13)/1000</f>
        <v>0</v>
      </c>
      <c r="V15" s="99">
        <f>('Historical Financials'!V13)/1000</f>
        <v>0</v>
      </c>
      <c r="W15" s="99">
        <f>('Historical Financials'!W13)/1000</f>
        <v>0</v>
      </c>
      <c r="X15" s="5"/>
      <c r="Y15" s="10">
        <f t="shared" ref="Y15:AK15" si="41">SUM(H15:K15)</f>
        <v>-13.766999999999999</v>
      </c>
      <c r="Z15" s="10">
        <f t="shared" si="41"/>
        <v>-18.634999999999998</v>
      </c>
      <c r="AA15" s="10">
        <f t="shared" si="41"/>
        <v>-18.375999999999998</v>
      </c>
      <c r="AB15" s="10">
        <f t="shared" si="41"/>
        <v>-17.881</v>
      </c>
      <c r="AC15" s="10">
        <f t="shared" si="41"/>
        <v>-16.856999999999999</v>
      </c>
      <c r="AD15" s="10">
        <f t="shared" si="41"/>
        <v>-15.869</v>
      </c>
      <c r="AE15" s="10">
        <f t="shared" si="41"/>
        <v>-16.137</v>
      </c>
      <c r="AF15" s="10">
        <f t="shared" si="41"/>
        <v>-16.09</v>
      </c>
      <c r="AG15" s="152">
        <f t="shared" si="41"/>
        <v>-16.472000000000001</v>
      </c>
      <c r="AH15" s="152">
        <f t="shared" si="41"/>
        <v>-17.059999999999999</v>
      </c>
      <c r="AI15" s="152">
        <f t="shared" si="41"/>
        <v>-12.748000000000001</v>
      </c>
      <c r="AJ15" s="152">
        <f t="shared" si="41"/>
        <v>-8.6419999999999995</v>
      </c>
      <c r="AK15" s="152">
        <f t="shared" si="41"/>
        <v>-4.468</v>
      </c>
      <c r="AM15" s="132">
        <f>SUM(AK15/AG15)-1</f>
        <v>-0.72875182127246241</v>
      </c>
    </row>
    <row r="16" spans="2:39" ht="12.75" customHeight="1">
      <c r="B16" s="24" t="s">
        <v>119</v>
      </c>
      <c r="C16" s="99" t="e">
        <f>('Historical Financials'!#REF!)/1000</f>
        <v>#REF!</v>
      </c>
      <c r="D16" s="99" t="e">
        <f>('Historical Financials'!#REF!)/1000</f>
        <v>#REF!</v>
      </c>
      <c r="E16" s="99" t="e">
        <f>('Historical Financials'!#REF!)/1000</f>
        <v>#REF!</v>
      </c>
      <c r="F16" s="99" t="e">
        <f>('Historical Financials'!#REF!)/1000</f>
        <v>#REF!</v>
      </c>
      <c r="G16" s="99" t="e">
        <f>('Historical Financials'!#REF!)/1000</f>
        <v>#REF!</v>
      </c>
      <c r="H16" s="10"/>
      <c r="I16" s="99" t="e">
        <f>('Historical Financials'!#REF!)/1000</f>
        <v>#REF!</v>
      </c>
      <c r="J16" s="99" t="e">
        <f>('Historical Financials'!#REF!)/1000</f>
        <v>#REF!</v>
      </c>
      <c r="K16" s="99" t="e">
        <f>('Historical Financials'!#REF!)/1000</f>
        <v>#REF!</v>
      </c>
      <c r="L16" s="99" t="e">
        <f>('Historical Financials'!#REF!)/1000</f>
        <v>#REF!</v>
      </c>
      <c r="M16" s="99" t="e">
        <f>('Historical Financials'!#REF!)/1000</f>
        <v>#REF!</v>
      </c>
      <c r="N16" s="99" t="e">
        <f>('Historical Financials'!#REF!)/1000</f>
        <v>#REF!</v>
      </c>
      <c r="O16" s="99" t="e">
        <f>('Historical Financials'!#REF!)/1000</f>
        <v>#REF!</v>
      </c>
      <c r="P16" s="99" t="e">
        <f>('Historical Financials'!#REF!)/1000</f>
        <v>#REF!</v>
      </c>
      <c r="Q16" s="99" t="e">
        <f>('Historical Financials'!#REF!)/1000</f>
        <v>#REF!</v>
      </c>
      <c r="R16" s="99" t="e">
        <f>('Historical Financials'!#REF!)/1000</f>
        <v>#REF!</v>
      </c>
      <c r="S16" s="99" t="e">
        <f>('Historical Financials'!#REF!)/1000</f>
        <v>#REF!</v>
      </c>
      <c r="T16" s="99" t="e">
        <f>('Historical Financials'!#REF!)/1000</f>
        <v>#REF!</v>
      </c>
      <c r="U16" s="99" t="e">
        <f>('Historical Financials'!#REF!)/1000</f>
        <v>#REF!</v>
      </c>
      <c r="V16" s="99" t="e">
        <f>('Historical Financials'!#REF!)/1000</f>
        <v>#REF!</v>
      </c>
      <c r="W16" s="99" t="e">
        <f>('Historical Financials'!#REF!)/1000</f>
        <v>#REF!</v>
      </c>
      <c r="X16" s="5"/>
      <c r="Y16" s="10"/>
      <c r="Z16" s="10"/>
      <c r="AA16" s="10"/>
      <c r="AB16" s="10"/>
      <c r="AC16" s="10"/>
      <c r="AD16" s="10"/>
      <c r="AE16" s="10"/>
      <c r="AF16" s="10"/>
      <c r="AG16" s="152" t="e">
        <f t="shared" ref="AG16" si="42">SUM(P16:S16)</f>
        <v>#REF!</v>
      </c>
      <c r="AH16" s="152" t="e">
        <f t="shared" ref="AH16" si="43">SUM(Q16:T16)</f>
        <v>#REF!</v>
      </c>
      <c r="AI16" s="152" t="e">
        <f t="shared" ref="AI16" si="44">SUM(R16:U16)</f>
        <v>#REF!</v>
      </c>
      <c r="AJ16" s="152" t="e">
        <f t="shared" ref="AJ16" si="45">SUM(S16:V16)</f>
        <v>#REF!</v>
      </c>
      <c r="AK16" s="152" t="e">
        <f t="shared" ref="AK16" si="46">SUM(T16:W16)</f>
        <v>#REF!</v>
      </c>
      <c r="AM16" s="132"/>
    </row>
    <row r="17" spans="2:39" ht="12.75" customHeight="1">
      <c r="B17" s="26" t="s">
        <v>22</v>
      </c>
      <c r="C17" s="27" t="e">
        <f>SUM(C11+SUM(C15:C16))</f>
        <v>#REF!</v>
      </c>
      <c r="D17" s="27" t="e">
        <f t="shared" ref="D17:G17" si="47">SUM(D11+SUM(D15:D16))</f>
        <v>#REF!</v>
      </c>
      <c r="E17" s="27" t="e">
        <f t="shared" si="47"/>
        <v>#REF!</v>
      </c>
      <c r="F17" s="27" t="e">
        <f t="shared" si="47"/>
        <v>#REF!</v>
      </c>
      <c r="G17" s="27" t="e">
        <f t="shared" si="47"/>
        <v>#REF!</v>
      </c>
      <c r="H17" s="5"/>
      <c r="I17" s="27" t="e">
        <f t="shared" ref="I17" si="48">SUM(I11+SUM(I15:I16))</f>
        <v>#REF!</v>
      </c>
      <c r="J17" s="27" t="e">
        <f t="shared" ref="J17" si="49">SUM(J11+SUM(J15:J16))</f>
        <v>#REF!</v>
      </c>
      <c r="K17" s="27" t="e">
        <f t="shared" ref="K17" si="50">SUM(K11+SUM(K15:K16))</f>
        <v>#REF!</v>
      </c>
      <c r="L17" s="27" t="e">
        <f t="shared" ref="L17" si="51">SUM(L11+SUM(L15:L16))</f>
        <v>#REF!</v>
      </c>
      <c r="M17" s="27" t="e">
        <f t="shared" ref="M17" si="52">SUM(M11+SUM(M15:M16))</f>
        <v>#REF!</v>
      </c>
      <c r="N17" s="27" t="e">
        <f t="shared" ref="N17" si="53">SUM(N11+SUM(N15:N16))</f>
        <v>#REF!</v>
      </c>
      <c r="O17" s="27" t="e">
        <f t="shared" ref="O17" si="54">SUM(O11+SUM(O15:O16))</f>
        <v>#REF!</v>
      </c>
      <c r="P17" s="27" t="e">
        <f t="shared" ref="P17" si="55">SUM(P11+SUM(P15:P16))</f>
        <v>#REF!</v>
      </c>
      <c r="Q17" s="27" t="e">
        <f t="shared" ref="Q17" si="56">SUM(Q11+SUM(Q15:Q16))</f>
        <v>#REF!</v>
      </c>
      <c r="R17" s="27" t="e">
        <f t="shared" ref="R17" si="57">SUM(R11+SUM(R15:R16))</f>
        <v>#REF!</v>
      </c>
      <c r="S17" s="27" t="e">
        <f t="shared" ref="S17" si="58">SUM(S11+SUM(S15:S16))</f>
        <v>#REF!</v>
      </c>
      <c r="T17" s="27" t="e">
        <f t="shared" ref="T17" si="59">SUM(T11+SUM(T15:T16))</f>
        <v>#REF!</v>
      </c>
      <c r="U17" s="27" t="e">
        <f t="shared" ref="U17" si="60">SUM(U11+SUM(U15:U16))</f>
        <v>#REF!</v>
      </c>
      <c r="V17" s="27" t="e">
        <f t="shared" ref="V17" si="61">SUM(V11+SUM(V15:V16))</f>
        <v>#REF!</v>
      </c>
      <c r="W17" s="27" t="e">
        <f t="shared" ref="W17" si="62">SUM(W11+SUM(W15:W16))</f>
        <v>#REF!</v>
      </c>
      <c r="X17" s="5"/>
      <c r="Y17" s="27">
        <f t="shared" ref="Y17" si="63">SUM(Y11+SUM(Y15:Y16))</f>
        <v>-13.766999999999999</v>
      </c>
      <c r="Z17" s="27">
        <f t="shared" ref="Z17" si="64">SUM(Z11+SUM(Z15:Z16))</f>
        <v>-18.634999999999998</v>
      </c>
      <c r="AA17" s="27">
        <f t="shared" ref="AA17" si="65">SUM(AA11+SUM(AA15:AA16))</f>
        <v>-18.375999999999998</v>
      </c>
      <c r="AB17" s="27">
        <f t="shared" ref="AB17" si="66">SUM(AB11+SUM(AB15:AB16))</f>
        <v>-17.881</v>
      </c>
      <c r="AC17" s="27">
        <f t="shared" ref="AC17" si="67">SUM(AC11+SUM(AC15:AC16))</f>
        <v>-16.856999999999999</v>
      </c>
      <c r="AD17" s="27">
        <f t="shared" ref="AD17" si="68">SUM(AD11+SUM(AD15:AD16))</f>
        <v>-15.869</v>
      </c>
      <c r="AE17" s="27">
        <f t="shared" ref="AE17" si="69">SUM(AE11+SUM(AE15:AE16))</f>
        <v>-16.137</v>
      </c>
      <c r="AF17" s="27">
        <f t="shared" ref="AF17" si="70">SUM(AF11+SUM(AF15:AF16))</f>
        <v>-16.09</v>
      </c>
      <c r="AG17" s="27" t="e">
        <f t="shared" ref="AG17" si="71">SUM(AG11+SUM(AG15:AG16))</f>
        <v>#REF!</v>
      </c>
      <c r="AH17" s="27" t="e">
        <f t="shared" ref="AH17" si="72">SUM(AH11+SUM(AH15:AH16))</f>
        <v>#REF!</v>
      </c>
      <c r="AI17" s="27" t="e">
        <f t="shared" ref="AI17" si="73">SUM(AI11+SUM(AI15:AI16))</f>
        <v>#REF!</v>
      </c>
      <c r="AJ17" s="27" t="e">
        <f t="shared" ref="AJ17" si="74">SUM(AJ11+SUM(AJ15:AJ16))</f>
        <v>#REF!</v>
      </c>
      <c r="AK17" s="27" t="e">
        <f t="shared" ref="AK17" si="75">SUM(AK11+SUM(AK15:AK16))</f>
        <v>#REF!</v>
      </c>
      <c r="AM17" s="133" t="e">
        <f>SUM(AK17/AG17)-1</f>
        <v>#REF!</v>
      </c>
    </row>
    <row r="18" spans="2:39" ht="12.75" customHeight="1">
      <c r="B18" s="16" t="s">
        <v>35</v>
      </c>
      <c r="C18" s="18" t="e">
        <f>C17/C11</f>
        <v>#REF!</v>
      </c>
      <c r="D18" s="18" t="e">
        <f>D17/D11</f>
        <v>#REF!</v>
      </c>
      <c r="E18" s="18" t="e">
        <f>E17/E11</f>
        <v>#REF!</v>
      </c>
      <c r="F18" s="18" t="e">
        <f>F17/F11</f>
        <v>#REF!</v>
      </c>
      <c r="G18" s="18" t="e">
        <f>G17/G11</f>
        <v>#REF!</v>
      </c>
      <c r="H18" s="28"/>
      <c r="I18" s="18" t="e">
        <f t="shared" ref="I18:V18" si="76">I17/I11</f>
        <v>#REF!</v>
      </c>
      <c r="J18" s="18" t="e">
        <f t="shared" si="76"/>
        <v>#REF!</v>
      </c>
      <c r="K18" s="18" t="e">
        <f t="shared" si="76"/>
        <v>#REF!</v>
      </c>
      <c r="L18" s="18" t="e">
        <f t="shared" si="76"/>
        <v>#REF!</v>
      </c>
      <c r="M18" s="18" t="e">
        <f t="shared" si="76"/>
        <v>#REF!</v>
      </c>
      <c r="N18" s="18" t="e">
        <f t="shared" si="76"/>
        <v>#REF!</v>
      </c>
      <c r="O18" s="18" t="e">
        <f t="shared" si="76"/>
        <v>#REF!</v>
      </c>
      <c r="P18" s="18" t="e">
        <f t="shared" si="76"/>
        <v>#REF!</v>
      </c>
      <c r="Q18" s="18" t="e">
        <f t="shared" si="76"/>
        <v>#REF!</v>
      </c>
      <c r="R18" s="18" t="e">
        <f t="shared" si="76"/>
        <v>#REF!</v>
      </c>
      <c r="S18" s="18" t="e">
        <f t="shared" si="76"/>
        <v>#REF!</v>
      </c>
      <c r="T18" s="18" t="e">
        <f t="shared" si="76"/>
        <v>#REF!</v>
      </c>
      <c r="U18" s="18" t="e">
        <f t="shared" si="76"/>
        <v>#REF!</v>
      </c>
      <c r="V18" s="18" t="e">
        <f t="shared" si="76"/>
        <v>#REF!</v>
      </c>
      <c r="W18" s="18" t="e">
        <f>W17/W11</f>
        <v>#REF!</v>
      </c>
      <c r="X18" s="29"/>
      <c r="Y18" s="18" t="e">
        <f t="shared" ref="Y18:AI18" si="77">Y17/Y11</f>
        <v>#DIV/0!</v>
      </c>
      <c r="Z18" s="18" t="e">
        <f t="shared" si="77"/>
        <v>#DIV/0!</v>
      </c>
      <c r="AA18" s="18" t="e">
        <f t="shared" si="77"/>
        <v>#DIV/0!</v>
      </c>
      <c r="AB18" s="18" t="e">
        <f t="shared" si="77"/>
        <v>#DIV/0!</v>
      </c>
      <c r="AC18" s="18" t="e">
        <f t="shared" si="77"/>
        <v>#DIV/0!</v>
      </c>
      <c r="AD18" s="18" t="e">
        <f t="shared" si="77"/>
        <v>#DIV/0!</v>
      </c>
      <c r="AE18" s="18" t="e">
        <f t="shared" si="77"/>
        <v>#DIV/0!</v>
      </c>
      <c r="AF18" s="18" t="e">
        <f t="shared" si="77"/>
        <v>#DIV/0!</v>
      </c>
      <c r="AG18" s="18" t="e">
        <f t="shared" si="77"/>
        <v>#REF!</v>
      </c>
      <c r="AH18" s="18" t="e">
        <f t="shared" si="77"/>
        <v>#REF!</v>
      </c>
      <c r="AI18" s="18" t="e">
        <f t="shared" si="77"/>
        <v>#REF!</v>
      </c>
      <c r="AJ18" s="18" t="e">
        <f>AJ17/AJ11</f>
        <v>#REF!</v>
      </c>
      <c r="AK18" s="18" t="e">
        <f>AK17/AK11</f>
        <v>#REF!</v>
      </c>
      <c r="AM18" s="134" t="e">
        <f>SUM(AK18-AG18)*10000</f>
        <v>#REF!</v>
      </c>
    </row>
    <row r="19" spans="2:39" ht="5.0999999999999996" customHeight="1"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1"/>
      <c r="U19" s="31"/>
      <c r="V19" s="31"/>
      <c r="W19" s="31"/>
      <c r="X19" s="5"/>
      <c r="Y19" s="31"/>
      <c r="Z19" s="31"/>
      <c r="AA19" s="31"/>
      <c r="AB19" s="31"/>
      <c r="AC19" s="31"/>
      <c r="AD19" s="31"/>
      <c r="AE19" s="31"/>
      <c r="AF19" s="31"/>
      <c r="AG19" s="31"/>
      <c r="AH19" s="31"/>
      <c r="AI19" s="31"/>
      <c r="AJ19" s="31"/>
      <c r="AK19" s="31"/>
      <c r="AM19" s="131"/>
    </row>
    <row r="20" spans="2:39" ht="12.75" customHeight="1">
      <c r="B20" s="24" t="s">
        <v>120</v>
      </c>
      <c r="C20" s="151">
        <f>('Historical Financials'!C17)/1000</f>
        <v>-5.9749999999999996</v>
      </c>
      <c r="D20" s="151">
        <f>('Historical Financials'!D17)/1000</f>
        <v>-7.1760000000000002</v>
      </c>
      <c r="E20" s="151">
        <f>('Historical Financials'!E17)/1000</f>
        <v>-8.1940000000000008</v>
      </c>
      <c r="F20" s="151">
        <f>('Historical Financials'!F17)/1000</f>
        <v>-8.8179999999999996</v>
      </c>
      <c r="G20" s="151">
        <f>('Historical Financials'!G17)/1000</f>
        <v>-8.8930000000000007</v>
      </c>
      <c r="H20" s="99"/>
      <c r="I20" s="151">
        <f>('Historical Financials'!I17)/1000</f>
        <v>-1.93</v>
      </c>
      <c r="J20" s="151">
        <f>('Historical Financials'!J17)/1000</f>
        <v>-2.0339999999999998</v>
      </c>
      <c r="K20" s="151">
        <f>('Historical Financials'!K17)/1000</f>
        <v>-2.052</v>
      </c>
      <c r="L20" s="151">
        <f>('Historical Financials'!L17)/1000</f>
        <v>-2.1779999999999999</v>
      </c>
      <c r="M20" s="151">
        <f>('Historical Financials'!M17)/1000</f>
        <v>-2.2509999999999999</v>
      </c>
      <c r="N20" s="151">
        <f>('Historical Financials'!N17)/1000</f>
        <v>-2.21</v>
      </c>
      <c r="O20" s="151">
        <f>('Historical Financials'!O17)/1000</f>
        <v>-2.222</v>
      </c>
      <c r="P20" s="151">
        <f>('Historical Financials'!P17)/1000</f>
        <v>-2.1349999999999998</v>
      </c>
      <c r="Q20" s="151">
        <f>('Historical Financials'!Q17)/1000</f>
        <v>-2.0960000000000001</v>
      </c>
      <c r="R20" s="151">
        <f>('Historical Financials'!R17)/1000</f>
        <v>-2.2360000000000002</v>
      </c>
      <c r="S20" s="151">
        <f>('Historical Financials'!S17)/1000</f>
        <v>-2.2589999999999999</v>
      </c>
      <c r="T20" s="151">
        <f>('Historical Financials'!T17)/1000</f>
        <v>-2.302</v>
      </c>
      <c r="U20" s="151">
        <f>('Historical Financials'!U17)/1000</f>
        <v>0</v>
      </c>
      <c r="V20" s="151">
        <f>('Historical Financials'!V17)/1000</f>
        <v>0</v>
      </c>
      <c r="W20" s="151">
        <f>('Historical Financials'!W17)/1000</f>
        <v>0</v>
      </c>
      <c r="X20" s="5"/>
      <c r="Y20" s="10">
        <f t="shared" ref="Y20:AK22" si="78">SUM(H20:K20)</f>
        <v>-6.016</v>
      </c>
      <c r="Z20" s="10">
        <f t="shared" si="78"/>
        <v>-8.1939999999999991</v>
      </c>
      <c r="AA20" s="10">
        <f t="shared" si="78"/>
        <v>-8.5150000000000006</v>
      </c>
      <c r="AB20" s="10">
        <f t="shared" si="78"/>
        <v>-8.6909999999999989</v>
      </c>
      <c r="AC20" s="10">
        <f t="shared" si="78"/>
        <v>-8.8610000000000007</v>
      </c>
      <c r="AD20" s="10">
        <f t="shared" si="78"/>
        <v>-8.8179999999999996</v>
      </c>
      <c r="AE20" s="10">
        <f t="shared" si="78"/>
        <v>-8.6630000000000003</v>
      </c>
      <c r="AF20" s="10">
        <f t="shared" si="78"/>
        <v>-8.6890000000000001</v>
      </c>
      <c r="AG20" s="152">
        <f t="shared" si="78"/>
        <v>-8.7260000000000009</v>
      </c>
      <c r="AH20" s="152">
        <f t="shared" si="78"/>
        <v>-8.8930000000000007</v>
      </c>
      <c r="AI20" s="152">
        <f t="shared" si="78"/>
        <v>-6.7970000000000006</v>
      </c>
      <c r="AJ20" s="152">
        <f t="shared" si="78"/>
        <v>-4.5609999999999999</v>
      </c>
      <c r="AK20" s="152">
        <f t="shared" si="78"/>
        <v>-2.302</v>
      </c>
      <c r="AM20" s="132">
        <f>SUM(AK20/AG20)-1</f>
        <v>-0.73619069447627783</v>
      </c>
    </row>
    <row r="21" spans="2:39" ht="12.75" customHeight="1">
      <c r="B21" s="24" t="s">
        <v>121</v>
      </c>
      <c r="C21" s="151">
        <f>('Historical Financials'!C18)/1000</f>
        <v>-2.0739999999999998</v>
      </c>
      <c r="D21" s="151">
        <f>('Historical Financials'!D18)/1000</f>
        <v>-2.339</v>
      </c>
      <c r="E21" s="151">
        <f>('Historical Financials'!E18)/1000</f>
        <v>-2.57</v>
      </c>
      <c r="F21" s="151">
        <f>('Historical Financials'!F18)/1000</f>
        <v>-2.4830000000000001</v>
      </c>
      <c r="G21" s="151">
        <f>('Historical Financials'!G18)/1000</f>
        <v>-2.7589999999999999</v>
      </c>
      <c r="H21" s="99"/>
      <c r="I21" s="151">
        <f>('Historical Financials'!I18)/1000</f>
        <v>-0.60799999999999998</v>
      </c>
      <c r="J21" s="151">
        <f>('Historical Financials'!J18)/1000</f>
        <v>-0.624</v>
      </c>
      <c r="K21" s="151">
        <f>('Historical Financials'!K18)/1000</f>
        <v>-0.65500000000000003</v>
      </c>
      <c r="L21" s="151">
        <f>('Historical Financials'!L18)/1000</f>
        <v>-0.68300000000000005</v>
      </c>
      <c r="M21" s="151">
        <f>('Historical Financials'!M18)/1000</f>
        <v>-0.623</v>
      </c>
      <c r="N21" s="151">
        <f>('Historical Financials'!N18)/1000</f>
        <v>-0.61399999999999999</v>
      </c>
      <c r="O21" s="151">
        <f>('Historical Financials'!O18)/1000</f>
        <v>-0.61799999999999999</v>
      </c>
      <c r="P21" s="151">
        <f>('Historical Financials'!P18)/1000</f>
        <v>-0.628</v>
      </c>
      <c r="Q21" s="151">
        <f>('Historical Financials'!Q18)/1000</f>
        <v>-0.627</v>
      </c>
      <c r="R21" s="151">
        <f>('Historical Financials'!R18)/1000</f>
        <v>-0.70699999999999996</v>
      </c>
      <c r="S21" s="151">
        <f>('Historical Financials'!S18)/1000</f>
        <v>-0.66400000000000003</v>
      </c>
      <c r="T21" s="151">
        <f>('Historical Financials'!T18)/1000</f>
        <v>-0.76100000000000001</v>
      </c>
      <c r="U21" s="151">
        <f>('Historical Financials'!U18)/1000</f>
        <v>0</v>
      </c>
      <c r="V21" s="151">
        <f>('Historical Financials'!V18)/1000</f>
        <v>0</v>
      </c>
      <c r="W21" s="151">
        <f>('Historical Financials'!W18)/1000</f>
        <v>0</v>
      </c>
      <c r="X21" s="5"/>
      <c r="Y21" s="10">
        <f t="shared" si="78"/>
        <v>-1.887</v>
      </c>
      <c r="Z21" s="10">
        <f t="shared" si="78"/>
        <v>-2.5700000000000003</v>
      </c>
      <c r="AA21" s="10">
        <f t="shared" si="78"/>
        <v>-2.585</v>
      </c>
      <c r="AB21" s="10">
        <f t="shared" si="78"/>
        <v>-2.5750000000000002</v>
      </c>
      <c r="AC21" s="10">
        <f t="shared" si="78"/>
        <v>-2.5379999999999998</v>
      </c>
      <c r="AD21" s="10">
        <f t="shared" si="78"/>
        <v>-2.4830000000000001</v>
      </c>
      <c r="AE21" s="10">
        <f t="shared" si="78"/>
        <v>-2.4870000000000001</v>
      </c>
      <c r="AF21" s="10">
        <f t="shared" si="78"/>
        <v>-2.58</v>
      </c>
      <c r="AG21" s="152">
        <f t="shared" si="78"/>
        <v>-2.6259999999999999</v>
      </c>
      <c r="AH21" s="152">
        <f t="shared" si="78"/>
        <v>-2.7590000000000003</v>
      </c>
      <c r="AI21" s="152">
        <f t="shared" si="78"/>
        <v>-2.1320000000000001</v>
      </c>
      <c r="AJ21" s="152">
        <f t="shared" si="78"/>
        <v>-1.425</v>
      </c>
      <c r="AK21" s="152">
        <f t="shared" si="78"/>
        <v>-0.76100000000000001</v>
      </c>
      <c r="AM21" s="132">
        <f>SUM(AK21/AG21)-1</f>
        <v>-0.71020563594821018</v>
      </c>
    </row>
    <row r="22" spans="2:39" ht="12.75" customHeight="1">
      <c r="B22" s="24" t="s">
        <v>101</v>
      </c>
      <c r="C22" s="151">
        <f>('Historical Financials'!C19)/1000</f>
        <v>2.8000000000000001E-2</v>
      </c>
      <c r="D22" s="151">
        <f>('Historical Financials'!D19)/1000</f>
        <v>0</v>
      </c>
      <c r="E22" s="151">
        <f>('Historical Financials'!E19)/1000</f>
        <v>1.0589999999999999</v>
      </c>
      <c r="F22" s="151">
        <f>('Historical Financials'!F19)/1000</f>
        <v>-0.86199999999999999</v>
      </c>
      <c r="G22" s="151">
        <f>('Historical Financials'!G19)/1000</f>
        <v>-0.17899999999999999</v>
      </c>
      <c r="H22" s="99"/>
      <c r="I22" s="151">
        <f>('Historical Financials'!I19)/1000</f>
        <v>0</v>
      </c>
      <c r="J22" s="151">
        <f>('Historical Financials'!J19)/1000</f>
        <v>0</v>
      </c>
      <c r="K22" s="151">
        <f>('Historical Financials'!K19)/1000</f>
        <v>1.0589999999999999</v>
      </c>
      <c r="L22" s="151">
        <f>('Historical Financials'!L19)/1000</f>
        <v>0</v>
      </c>
      <c r="M22" s="151">
        <f>('Historical Financials'!M19)/1000</f>
        <v>-0.08</v>
      </c>
      <c r="N22" s="151">
        <f>('Historical Financials'!N19)/1000</f>
        <v>-0.20799999999999999</v>
      </c>
      <c r="O22" s="151">
        <f>('Historical Financials'!O19)/1000</f>
        <v>4.0000000000000001E-3</v>
      </c>
      <c r="P22" s="151">
        <f>('Historical Financials'!P19)/1000</f>
        <v>-0.57799999999999996</v>
      </c>
      <c r="Q22" s="151">
        <f>('Historical Financials'!Q19)/1000</f>
        <v>2.8000000000000001E-2</v>
      </c>
      <c r="R22" s="151">
        <f>('Historical Financials'!R19)/1000</f>
        <v>0</v>
      </c>
      <c r="S22" s="151">
        <f>('Historical Financials'!S19)/1000</f>
        <v>-7.4999999999999997E-2</v>
      </c>
      <c r="T22" s="151">
        <f>('Historical Financials'!T19)/1000</f>
        <v>-0.13200000000000001</v>
      </c>
      <c r="U22" s="151">
        <f>('Historical Financials'!U19)/1000</f>
        <v>0</v>
      </c>
      <c r="V22" s="151">
        <f>('Historical Financials'!V19)/1000</f>
        <v>0</v>
      </c>
      <c r="W22" s="151">
        <f>('Historical Financials'!W19)/1000</f>
        <v>0</v>
      </c>
      <c r="X22" s="5"/>
      <c r="Y22" s="10">
        <f t="shared" si="78"/>
        <v>1.0589999999999999</v>
      </c>
      <c r="Z22" s="10">
        <f t="shared" si="78"/>
        <v>1.0589999999999999</v>
      </c>
      <c r="AA22" s="10">
        <f t="shared" si="78"/>
        <v>0.97899999999999998</v>
      </c>
      <c r="AB22" s="10">
        <f t="shared" si="78"/>
        <v>0.77100000000000002</v>
      </c>
      <c r="AC22" s="10">
        <f t="shared" si="78"/>
        <v>-0.28399999999999997</v>
      </c>
      <c r="AD22" s="10">
        <f t="shared" si="78"/>
        <v>-0.86199999999999988</v>
      </c>
      <c r="AE22" s="10">
        <f t="shared" si="78"/>
        <v>-0.75399999999999989</v>
      </c>
      <c r="AF22" s="10">
        <f t="shared" si="78"/>
        <v>-0.54599999999999993</v>
      </c>
      <c r="AG22" s="152">
        <f t="shared" si="78"/>
        <v>-0.62499999999999989</v>
      </c>
      <c r="AH22" s="152">
        <f t="shared" si="78"/>
        <v>-0.17899999999999999</v>
      </c>
      <c r="AI22" s="152">
        <f t="shared" si="78"/>
        <v>-0.20700000000000002</v>
      </c>
      <c r="AJ22" s="152">
        <f t="shared" si="78"/>
        <v>-0.20700000000000002</v>
      </c>
      <c r="AK22" s="152">
        <f t="shared" si="78"/>
        <v>-0.13200000000000001</v>
      </c>
      <c r="AM22" s="132">
        <f>SUM(AK22/AG22)-1</f>
        <v>-0.78879999999999995</v>
      </c>
    </row>
    <row r="23" spans="2:39" ht="12.75" customHeight="1">
      <c r="B23" s="13" t="s">
        <v>36</v>
      </c>
      <c r="C23" s="14" t="e">
        <f>SUM(C17+SUM(C20:C22))</f>
        <v>#REF!</v>
      </c>
      <c r="D23" s="14" t="e">
        <f>SUM(D17+SUM(D20:D22))</f>
        <v>#REF!</v>
      </c>
      <c r="E23" s="14" t="e">
        <f>SUM(E17+SUM(E20:E22))</f>
        <v>#REF!</v>
      </c>
      <c r="F23" s="14" t="e">
        <f>SUM(F17+SUM(F20:F22))</f>
        <v>#REF!</v>
      </c>
      <c r="G23" s="14" t="e">
        <f>SUM(G17+SUM(G20:G22))</f>
        <v>#REF!</v>
      </c>
      <c r="H23" s="11"/>
      <c r="I23" s="14" t="e">
        <f t="shared" ref="I23:W23" si="79">SUM(I17+SUM(I20:I22))</f>
        <v>#REF!</v>
      </c>
      <c r="J23" s="14" t="e">
        <f t="shared" si="79"/>
        <v>#REF!</v>
      </c>
      <c r="K23" s="14" t="e">
        <f t="shared" si="79"/>
        <v>#REF!</v>
      </c>
      <c r="L23" s="14" t="e">
        <f t="shared" si="79"/>
        <v>#REF!</v>
      </c>
      <c r="M23" s="14" t="e">
        <f t="shared" si="79"/>
        <v>#REF!</v>
      </c>
      <c r="N23" s="14" t="e">
        <f t="shared" si="79"/>
        <v>#REF!</v>
      </c>
      <c r="O23" s="14" t="e">
        <f t="shared" si="79"/>
        <v>#REF!</v>
      </c>
      <c r="P23" s="14" t="e">
        <f t="shared" si="79"/>
        <v>#REF!</v>
      </c>
      <c r="Q23" s="14" t="e">
        <f t="shared" si="79"/>
        <v>#REF!</v>
      </c>
      <c r="R23" s="14" t="e">
        <f t="shared" si="79"/>
        <v>#REF!</v>
      </c>
      <c r="S23" s="14" t="e">
        <f t="shared" si="79"/>
        <v>#REF!</v>
      </c>
      <c r="T23" s="14" t="e">
        <f t="shared" si="79"/>
        <v>#REF!</v>
      </c>
      <c r="U23" s="14" t="e">
        <f t="shared" si="79"/>
        <v>#REF!</v>
      </c>
      <c r="V23" s="14" t="e">
        <f t="shared" si="79"/>
        <v>#REF!</v>
      </c>
      <c r="W23" s="14" t="e">
        <f t="shared" si="79"/>
        <v>#REF!</v>
      </c>
      <c r="X23" s="5"/>
      <c r="Y23" s="14">
        <f t="shared" ref="Y23:AK23" si="80">SUM(Y17+SUM(Y20:Y22))</f>
        <v>-20.611000000000001</v>
      </c>
      <c r="Z23" s="14">
        <f t="shared" si="80"/>
        <v>-28.339999999999996</v>
      </c>
      <c r="AA23" s="14">
        <f t="shared" si="80"/>
        <v>-28.497</v>
      </c>
      <c r="AB23" s="14">
        <f t="shared" si="80"/>
        <v>-28.375999999999998</v>
      </c>
      <c r="AC23" s="14">
        <f t="shared" si="80"/>
        <v>-28.54</v>
      </c>
      <c r="AD23" s="14">
        <f t="shared" si="80"/>
        <v>-28.032</v>
      </c>
      <c r="AE23" s="14">
        <f t="shared" si="80"/>
        <v>-28.041</v>
      </c>
      <c r="AF23" s="14">
        <f t="shared" si="80"/>
        <v>-27.905000000000001</v>
      </c>
      <c r="AG23" s="14" t="e">
        <f t="shared" si="80"/>
        <v>#REF!</v>
      </c>
      <c r="AH23" s="14" t="e">
        <f t="shared" si="80"/>
        <v>#REF!</v>
      </c>
      <c r="AI23" s="14" t="e">
        <f t="shared" si="80"/>
        <v>#REF!</v>
      </c>
      <c r="AJ23" s="14" t="e">
        <f t="shared" si="80"/>
        <v>#REF!</v>
      </c>
      <c r="AK23" s="14" t="e">
        <f t="shared" si="80"/>
        <v>#REF!</v>
      </c>
      <c r="AM23" s="133" t="e">
        <f>SUM(AK23/AG23)-1</f>
        <v>#REF!</v>
      </c>
    </row>
    <row r="24" spans="2:39" ht="12.75" customHeight="1">
      <c r="B24" s="16" t="s">
        <v>37</v>
      </c>
      <c r="C24" s="18" t="e">
        <f>C23/C11</f>
        <v>#REF!</v>
      </c>
      <c r="D24" s="18" t="e">
        <f>D23/D11</f>
        <v>#REF!</v>
      </c>
      <c r="E24" s="18" t="e">
        <f>E23/E11</f>
        <v>#REF!</v>
      </c>
      <c r="F24" s="18" t="e">
        <f>F23/F11</f>
        <v>#REF!</v>
      </c>
      <c r="G24" s="18" t="e">
        <f>G23/G11</f>
        <v>#REF!</v>
      </c>
      <c r="H24" s="28"/>
      <c r="I24" s="18" t="e">
        <f t="shared" ref="I24:W24" si="81">I23/I11</f>
        <v>#REF!</v>
      </c>
      <c r="J24" s="18" t="e">
        <f t="shared" si="81"/>
        <v>#REF!</v>
      </c>
      <c r="K24" s="18" t="e">
        <f t="shared" si="81"/>
        <v>#REF!</v>
      </c>
      <c r="L24" s="18" t="e">
        <f t="shared" si="81"/>
        <v>#REF!</v>
      </c>
      <c r="M24" s="18" t="e">
        <f t="shared" si="81"/>
        <v>#REF!</v>
      </c>
      <c r="N24" s="18" t="e">
        <f t="shared" si="81"/>
        <v>#REF!</v>
      </c>
      <c r="O24" s="18" t="e">
        <f t="shared" si="81"/>
        <v>#REF!</v>
      </c>
      <c r="P24" s="18" t="e">
        <f t="shared" si="81"/>
        <v>#REF!</v>
      </c>
      <c r="Q24" s="18" t="e">
        <f t="shared" si="81"/>
        <v>#REF!</v>
      </c>
      <c r="R24" s="18" t="e">
        <f t="shared" si="81"/>
        <v>#REF!</v>
      </c>
      <c r="S24" s="18" t="e">
        <f t="shared" si="81"/>
        <v>#REF!</v>
      </c>
      <c r="T24" s="18" t="e">
        <f t="shared" si="81"/>
        <v>#REF!</v>
      </c>
      <c r="U24" s="18" t="e">
        <f t="shared" si="81"/>
        <v>#REF!</v>
      </c>
      <c r="V24" s="18" t="e">
        <f t="shared" si="81"/>
        <v>#REF!</v>
      </c>
      <c r="W24" s="18" t="e">
        <f t="shared" si="81"/>
        <v>#REF!</v>
      </c>
      <c r="X24" s="29"/>
      <c r="Y24" s="18" t="e">
        <f t="shared" ref="Y24:AK24" si="82">Y23/Y11</f>
        <v>#DIV/0!</v>
      </c>
      <c r="Z24" s="18" t="e">
        <f t="shared" si="82"/>
        <v>#DIV/0!</v>
      </c>
      <c r="AA24" s="18" t="e">
        <f t="shared" si="82"/>
        <v>#DIV/0!</v>
      </c>
      <c r="AB24" s="18" t="e">
        <f t="shared" si="82"/>
        <v>#DIV/0!</v>
      </c>
      <c r="AC24" s="18" t="e">
        <f t="shared" si="82"/>
        <v>#DIV/0!</v>
      </c>
      <c r="AD24" s="18" t="e">
        <f t="shared" si="82"/>
        <v>#DIV/0!</v>
      </c>
      <c r="AE24" s="18" t="e">
        <f t="shared" si="82"/>
        <v>#DIV/0!</v>
      </c>
      <c r="AF24" s="18" t="e">
        <f t="shared" si="82"/>
        <v>#DIV/0!</v>
      </c>
      <c r="AG24" s="18" t="e">
        <f t="shared" si="82"/>
        <v>#REF!</v>
      </c>
      <c r="AH24" s="18" t="e">
        <f t="shared" si="82"/>
        <v>#REF!</v>
      </c>
      <c r="AI24" s="18" t="e">
        <f t="shared" si="82"/>
        <v>#REF!</v>
      </c>
      <c r="AJ24" s="18" t="e">
        <f t="shared" si="82"/>
        <v>#REF!</v>
      </c>
      <c r="AK24" s="18" t="e">
        <f t="shared" si="82"/>
        <v>#REF!</v>
      </c>
      <c r="AM24" s="134" t="e">
        <f>SUM(AK24-AG24)*10000</f>
        <v>#REF!</v>
      </c>
    </row>
    <row r="25" spans="2:39" ht="5.0999999999999996" customHeight="1">
      <c r="AM25" s="131"/>
    </row>
    <row r="26" spans="2:39" ht="12.75" customHeight="1">
      <c r="B26" s="32" t="s">
        <v>122</v>
      </c>
      <c r="C26" s="151">
        <f>('Historical Financials'!C103)/1000</f>
        <v>1.212</v>
      </c>
      <c r="D26" s="151">
        <f>('Historical Financials'!D103)/1000</f>
        <v>1.663</v>
      </c>
      <c r="E26" s="151">
        <f>('Historical Financials'!E103)/1000</f>
        <v>2.0310000000000001</v>
      </c>
      <c r="F26" s="151">
        <f>('Historical Financials'!F103)/1000</f>
        <v>2.484</v>
      </c>
      <c r="G26" s="151">
        <f>('Historical Financials'!G103)/1000</f>
        <v>2.6480000000000001</v>
      </c>
      <c r="I26" s="151">
        <f>('Historical Financials'!I103)/1000</f>
        <v>0.496</v>
      </c>
      <c r="J26" s="151">
        <f>('Historical Financials'!J103)/1000</f>
        <v>0.498</v>
      </c>
      <c r="K26" s="151">
        <f>('Historical Financials'!K103)/1000</f>
        <v>1.51</v>
      </c>
      <c r="L26" s="151">
        <f>('Historical Financials'!L103)/1000</f>
        <v>-0.47299999999999998</v>
      </c>
      <c r="M26" s="151">
        <f>('Historical Financials'!M103)/1000</f>
        <v>0.63400000000000001</v>
      </c>
      <c r="N26" s="151">
        <f>('Historical Financials'!N103)/1000</f>
        <v>0.628</v>
      </c>
      <c r="O26" s="151">
        <f>('Historical Financials'!O103)/1000</f>
        <v>0.61399999999999999</v>
      </c>
      <c r="P26" s="151">
        <f>('Historical Financials'!P103)/1000</f>
        <v>0.60799999999999998</v>
      </c>
      <c r="Q26" s="151">
        <f>('Historical Financials'!Q103)/1000</f>
        <v>0.60199999999999998</v>
      </c>
      <c r="R26" s="151">
        <f>('Historical Financials'!R103)/1000</f>
        <v>0.70499999999999996</v>
      </c>
      <c r="S26" s="151">
        <f>('Historical Financials'!S103)/1000</f>
        <v>0.64400000000000002</v>
      </c>
      <c r="T26" s="151">
        <f>('Historical Financials'!T103)/1000</f>
        <v>0.69699999999999995</v>
      </c>
      <c r="U26" s="151">
        <f>('Historical Financials'!U103)/1000</f>
        <v>0</v>
      </c>
      <c r="V26" s="151">
        <f>('Historical Financials'!V103)/1000</f>
        <v>0</v>
      </c>
      <c r="W26" s="151">
        <f>('Historical Financials'!W103)/1000</f>
        <v>0</v>
      </c>
      <c r="Y26" s="10">
        <f t="shared" ref="Y26:AK26" si="83">SUM(H26:K26)</f>
        <v>2.504</v>
      </c>
      <c r="Z26" s="10">
        <f t="shared" si="83"/>
        <v>2.0310000000000001</v>
      </c>
      <c r="AA26" s="10">
        <f t="shared" si="83"/>
        <v>2.169</v>
      </c>
      <c r="AB26" s="10">
        <f t="shared" si="83"/>
        <v>2.2989999999999999</v>
      </c>
      <c r="AC26" s="10">
        <f t="shared" si="83"/>
        <v>1.403</v>
      </c>
      <c r="AD26" s="10">
        <f t="shared" si="83"/>
        <v>2.484</v>
      </c>
      <c r="AE26" s="10">
        <f t="shared" si="83"/>
        <v>2.452</v>
      </c>
      <c r="AF26" s="10">
        <f t="shared" si="83"/>
        <v>2.5289999999999999</v>
      </c>
      <c r="AG26" s="10">
        <f t="shared" si="83"/>
        <v>2.5590000000000002</v>
      </c>
      <c r="AH26" s="10">
        <f t="shared" si="83"/>
        <v>2.6480000000000001</v>
      </c>
      <c r="AI26" s="10">
        <f t="shared" si="83"/>
        <v>2.0459999999999998</v>
      </c>
      <c r="AJ26" s="10">
        <f t="shared" si="83"/>
        <v>1.341</v>
      </c>
      <c r="AK26" s="10">
        <f t="shared" si="83"/>
        <v>0.69699999999999995</v>
      </c>
      <c r="AM26" s="132">
        <f>SUM(AK26/AG26)-1</f>
        <v>-0.72762797967956239</v>
      </c>
    </row>
    <row r="27" spans="2:39" ht="12.75" customHeight="1">
      <c r="B27" s="32" t="s">
        <v>123</v>
      </c>
      <c r="C27" s="157">
        <f>-C15</f>
        <v>9.2550000000000008</v>
      </c>
      <c r="D27" s="157">
        <f t="shared" ref="D27:AK27" si="84">-D15</f>
        <v>14.262</v>
      </c>
      <c r="E27" s="157">
        <f t="shared" si="84"/>
        <v>18.635000000000002</v>
      </c>
      <c r="F27" s="157">
        <f t="shared" si="84"/>
        <v>15.869</v>
      </c>
      <c r="G27" s="157">
        <f t="shared" si="84"/>
        <v>17.059999999999999</v>
      </c>
      <c r="I27" s="157">
        <f t="shared" si="84"/>
        <v>4.3029999999999999</v>
      </c>
      <c r="J27" s="157">
        <f t="shared" si="84"/>
        <v>4.6479999999999997</v>
      </c>
      <c r="K27" s="157">
        <f t="shared" si="84"/>
        <v>4.8159999999999998</v>
      </c>
      <c r="L27" s="157">
        <f t="shared" si="84"/>
        <v>4.8680000000000003</v>
      </c>
      <c r="M27" s="157">
        <f t="shared" si="84"/>
        <v>4.0439999999999996</v>
      </c>
      <c r="N27" s="157">
        <f t="shared" si="84"/>
        <v>4.1529999999999996</v>
      </c>
      <c r="O27" s="157">
        <f t="shared" si="84"/>
        <v>3.7919999999999998</v>
      </c>
      <c r="P27" s="157">
        <f t="shared" si="84"/>
        <v>3.88</v>
      </c>
      <c r="Q27" s="157">
        <f t="shared" si="84"/>
        <v>4.3120000000000003</v>
      </c>
      <c r="R27" s="157">
        <f t="shared" si="84"/>
        <v>4.1059999999999999</v>
      </c>
      <c r="S27" s="157">
        <f t="shared" si="84"/>
        <v>4.1740000000000004</v>
      </c>
      <c r="T27" s="157">
        <f t="shared" si="84"/>
        <v>4.468</v>
      </c>
      <c r="U27" s="157">
        <f t="shared" si="84"/>
        <v>0</v>
      </c>
      <c r="V27" s="157">
        <f t="shared" si="84"/>
        <v>0</v>
      </c>
      <c r="W27" s="157">
        <f t="shared" si="84"/>
        <v>0</v>
      </c>
      <c r="X27" s="157"/>
      <c r="Y27" s="157">
        <f t="shared" si="84"/>
        <v>13.766999999999999</v>
      </c>
      <c r="Z27" s="157">
        <f t="shared" si="84"/>
        <v>18.634999999999998</v>
      </c>
      <c r="AA27" s="157">
        <f t="shared" si="84"/>
        <v>18.375999999999998</v>
      </c>
      <c r="AB27" s="157">
        <f t="shared" si="84"/>
        <v>17.881</v>
      </c>
      <c r="AC27" s="157">
        <f t="shared" si="84"/>
        <v>16.856999999999999</v>
      </c>
      <c r="AD27" s="157">
        <f t="shared" si="84"/>
        <v>15.869</v>
      </c>
      <c r="AE27" s="157">
        <f t="shared" si="84"/>
        <v>16.137</v>
      </c>
      <c r="AF27" s="157">
        <f t="shared" si="84"/>
        <v>16.09</v>
      </c>
      <c r="AG27" s="157">
        <f t="shared" si="84"/>
        <v>16.472000000000001</v>
      </c>
      <c r="AH27" s="157">
        <f t="shared" si="84"/>
        <v>17.059999999999999</v>
      </c>
      <c r="AI27" s="157">
        <f t="shared" si="84"/>
        <v>12.748000000000001</v>
      </c>
      <c r="AJ27" s="157">
        <f t="shared" si="84"/>
        <v>8.6419999999999995</v>
      </c>
      <c r="AK27" s="157">
        <f t="shared" si="84"/>
        <v>4.468</v>
      </c>
      <c r="AM27" s="132"/>
    </row>
    <row r="28" spans="2:39" ht="12.75" customHeight="1">
      <c r="B28" s="26" t="s">
        <v>11</v>
      </c>
      <c r="C28" s="27" t="e">
        <f>SUM(C23+SUM(C26:C27))</f>
        <v>#REF!</v>
      </c>
      <c r="D28" s="27" t="e">
        <f t="shared" ref="D28:G28" si="85">SUM(D23+SUM(D26:D27))</f>
        <v>#REF!</v>
      </c>
      <c r="E28" s="27" t="e">
        <f t="shared" si="85"/>
        <v>#REF!</v>
      </c>
      <c r="F28" s="27" t="e">
        <f t="shared" si="85"/>
        <v>#REF!</v>
      </c>
      <c r="G28" s="27" t="e">
        <f t="shared" si="85"/>
        <v>#REF!</v>
      </c>
      <c r="I28" s="27" t="e">
        <f t="shared" ref="I28" si="86">SUM(I23+SUM(I26:I27))</f>
        <v>#REF!</v>
      </c>
      <c r="J28" s="27" t="e">
        <f t="shared" ref="J28" si="87">SUM(J23+SUM(J26:J27))</f>
        <v>#REF!</v>
      </c>
      <c r="K28" s="27" t="e">
        <f t="shared" ref="K28" si="88">SUM(K23+SUM(K26:K27))</f>
        <v>#REF!</v>
      </c>
      <c r="L28" s="27" t="e">
        <f t="shared" ref="L28" si="89">SUM(L23+SUM(L26:L27))</f>
        <v>#REF!</v>
      </c>
      <c r="M28" s="27" t="e">
        <f t="shared" ref="M28" si="90">SUM(M23+SUM(M26:M27))</f>
        <v>#REF!</v>
      </c>
      <c r="N28" s="27" t="e">
        <f t="shared" ref="N28" si="91">SUM(N23+SUM(N26:N27))</f>
        <v>#REF!</v>
      </c>
      <c r="O28" s="27" t="e">
        <f t="shared" ref="O28" si="92">SUM(O23+SUM(O26:O27))</f>
        <v>#REF!</v>
      </c>
      <c r="P28" s="27" t="e">
        <f t="shared" ref="P28" si="93">SUM(P23+SUM(P26:P27))</f>
        <v>#REF!</v>
      </c>
      <c r="Q28" s="27" t="e">
        <f t="shared" ref="Q28" si="94">SUM(Q23+SUM(Q26:Q27))</f>
        <v>#REF!</v>
      </c>
      <c r="R28" s="27" t="e">
        <f t="shared" ref="R28" si="95">SUM(R23+SUM(R26:R27))</f>
        <v>#REF!</v>
      </c>
      <c r="S28" s="27" t="e">
        <f t="shared" ref="S28" si="96">SUM(S23+SUM(S26:S27))</f>
        <v>#REF!</v>
      </c>
      <c r="T28" s="27" t="e">
        <f t="shared" ref="T28" si="97">SUM(T23+SUM(T26:T27))</f>
        <v>#REF!</v>
      </c>
      <c r="U28" s="27" t="e">
        <f t="shared" ref="U28" si="98">SUM(U23+SUM(U26:U27))</f>
        <v>#REF!</v>
      </c>
      <c r="V28" s="27" t="e">
        <f t="shared" ref="V28" si="99">SUM(V23+SUM(V26:V27))</f>
        <v>#REF!</v>
      </c>
      <c r="W28" s="27" t="e">
        <f t="shared" ref="W28" si="100">SUM(W23+SUM(W26:W27))</f>
        <v>#REF!</v>
      </c>
      <c r="Y28" s="27">
        <f t="shared" ref="Y28" si="101">SUM(Y23+SUM(Y26:Y27))</f>
        <v>-4.34</v>
      </c>
      <c r="Z28" s="27">
        <f t="shared" ref="Z28" si="102">SUM(Z23+SUM(Z26:Z27))</f>
        <v>-7.6739999999999995</v>
      </c>
      <c r="AA28" s="27">
        <f t="shared" ref="AA28" si="103">SUM(AA23+SUM(AA26:AA27))</f>
        <v>-7.9520000000000017</v>
      </c>
      <c r="AB28" s="27">
        <f t="shared" ref="AB28" si="104">SUM(AB23+SUM(AB26:AB27))</f>
        <v>-8.195999999999998</v>
      </c>
      <c r="AC28" s="27">
        <f t="shared" ref="AC28" si="105">SUM(AC23+SUM(AC26:AC27))</f>
        <v>-10.280000000000001</v>
      </c>
      <c r="AD28" s="27">
        <f t="shared" ref="AD28" si="106">SUM(AD23+SUM(AD26:AD27))</f>
        <v>-9.6789999999999985</v>
      </c>
      <c r="AE28" s="27">
        <f t="shared" ref="AE28" si="107">SUM(AE23+SUM(AE26:AE27))</f>
        <v>-9.4520000000000017</v>
      </c>
      <c r="AF28" s="27">
        <f t="shared" ref="AF28" si="108">SUM(AF23+SUM(AF26:AF27))</f>
        <v>-9.2860000000000014</v>
      </c>
      <c r="AG28" s="27" t="e">
        <f t="shared" ref="AG28" si="109">SUM(AG23+SUM(AG26:AG27))</f>
        <v>#REF!</v>
      </c>
      <c r="AH28" s="27" t="e">
        <f t="shared" ref="AH28" si="110">SUM(AH23+SUM(AH26:AH27))</f>
        <v>#REF!</v>
      </c>
      <c r="AI28" s="27" t="e">
        <f t="shared" ref="AI28" si="111">SUM(AI23+SUM(AI26:AI27))</f>
        <v>#REF!</v>
      </c>
      <c r="AJ28" s="27" t="e">
        <f t="shared" ref="AJ28" si="112">SUM(AJ23+SUM(AJ26:AJ27))</f>
        <v>#REF!</v>
      </c>
      <c r="AK28" s="27" t="e">
        <f t="shared" ref="AK28" si="113">SUM(AK23+SUM(AK26:AK27))</f>
        <v>#REF!</v>
      </c>
      <c r="AM28" s="133" t="e">
        <f>SUM(AK28/AG28)-1</f>
        <v>#REF!</v>
      </c>
    </row>
    <row r="29" spans="2:39" ht="12.75" customHeight="1">
      <c r="B29" s="16" t="s">
        <v>38</v>
      </c>
      <c r="C29" s="18" t="e">
        <f>C28/C11</f>
        <v>#REF!</v>
      </c>
      <c r="D29" s="18" t="e">
        <f>D28/D11</f>
        <v>#REF!</v>
      </c>
      <c r="E29" s="18" t="e">
        <f>E28/E11</f>
        <v>#REF!</v>
      </c>
      <c r="F29" s="18" t="e">
        <f>F28/F11</f>
        <v>#REF!</v>
      </c>
      <c r="G29" s="18" t="e">
        <f>G28/G11</f>
        <v>#REF!</v>
      </c>
      <c r="I29" s="18" t="e">
        <f t="shared" ref="I29:W29" si="114">I28/I11</f>
        <v>#REF!</v>
      </c>
      <c r="J29" s="18" t="e">
        <f t="shared" si="114"/>
        <v>#REF!</v>
      </c>
      <c r="K29" s="18" t="e">
        <f t="shared" si="114"/>
        <v>#REF!</v>
      </c>
      <c r="L29" s="18" t="e">
        <f t="shared" si="114"/>
        <v>#REF!</v>
      </c>
      <c r="M29" s="18" t="e">
        <f t="shared" si="114"/>
        <v>#REF!</v>
      </c>
      <c r="N29" s="18" t="e">
        <f t="shared" si="114"/>
        <v>#REF!</v>
      </c>
      <c r="O29" s="18" t="e">
        <f t="shared" si="114"/>
        <v>#REF!</v>
      </c>
      <c r="P29" s="18" t="e">
        <f t="shared" si="114"/>
        <v>#REF!</v>
      </c>
      <c r="Q29" s="18" t="e">
        <f t="shared" si="114"/>
        <v>#REF!</v>
      </c>
      <c r="R29" s="18" t="e">
        <f t="shared" si="114"/>
        <v>#REF!</v>
      </c>
      <c r="S29" s="18" t="e">
        <f t="shared" si="114"/>
        <v>#REF!</v>
      </c>
      <c r="T29" s="18" t="e">
        <f t="shared" si="114"/>
        <v>#REF!</v>
      </c>
      <c r="U29" s="18" t="e">
        <f t="shared" si="114"/>
        <v>#REF!</v>
      </c>
      <c r="V29" s="18" t="e">
        <f t="shared" si="114"/>
        <v>#REF!</v>
      </c>
      <c r="W29" s="18" t="e">
        <f t="shared" si="114"/>
        <v>#REF!</v>
      </c>
      <c r="Y29" s="18" t="e">
        <f t="shared" ref="Y29:AK29" si="115">Y28/Y11</f>
        <v>#DIV/0!</v>
      </c>
      <c r="Z29" s="18" t="e">
        <f t="shared" si="115"/>
        <v>#DIV/0!</v>
      </c>
      <c r="AA29" s="18" t="e">
        <f t="shared" si="115"/>
        <v>#DIV/0!</v>
      </c>
      <c r="AB29" s="18" t="e">
        <f t="shared" si="115"/>
        <v>#DIV/0!</v>
      </c>
      <c r="AC29" s="18" t="e">
        <f t="shared" si="115"/>
        <v>#DIV/0!</v>
      </c>
      <c r="AD29" s="18" t="e">
        <f t="shared" si="115"/>
        <v>#DIV/0!</v>
      </c>
      <c r="AE29" s="18" t="e">
        <f t="shared" si="115"/>
        <v>#DIV/0!</v>
      </c>
      <c r="AF29" s="18" t="e">
        <f t="shared" si="115"/>
        <v>#DIV/0!</v>
      </c>
      <c r="AG29" s="18" t="e">
        <f t="shared" si="115"/>
        <v>#REF!</v>
      </c>
      <c r="AH29" s="18" t="e">
        <f t="shared" si="115"/>
        <v>#REF!</v>
      </c>
      <c r="AI29" s="18" t="e">
        <f t="shared" si="115"/>
        <v>#REF!</v>
      </c>
      <c r="AJ29" s="18" t="e">
        <f t="shared" si="115"/>
        <v>#REF!</v>
      </c>
      <c r="AK29" s="18" t="e">
        <f t="shared" si="115"/>
        <v>#REF!</v>
      </c>
      <c r="AM29" s="134" t="e">
        <f>SUM(AK29-AG29)*10000</f>
        <v>#REF!</v>
      </c>
    </row>
    <row r="30" spans="2:39" ht="5.0999999999999996" customHeight="1">
      <c r="AM30" s="131"/>
    </row>
    <row r="31" spans="2:39" ht="12.75" customHeight="1">
      <c r="B31" s="32" t="s">
        <v>39</v>
      </c>
      <c r="C31" s="151">
        <f>('Historical Financials'!C104)/1000</f>
        <v>-0.33600000000000002</v>
      </c>
      <c r="D31" s="151">
        <f>('Historical Financials'!D104)/1000</f>
        <v>-1.002</v>
      </c>
      <c r="E31" s="151">
        <f>('Historical Financials'!E104)/1000</f>
        <v>0.432</v>
      </c>
      <c r="F31" s="151">
        <f>('Historical Financials'!F104)/1000</f>
        <v>-0.152</v>
      </c>
      <c r="G31" s="151">
        <f>('Historical Financials'!G104)/1000</f>
        <v>-0.34899999999999998</v>
      </c>
      <c r="I31" s="151">
        <f>('Historical Financials'!I104)/1000</f>
        <v>-0.10299999999999999</v>
      </c>
      <c r="J31" s="151">
        <f>('Historical Financials'!J104)/1000</f>
        <v>0.316</v>
      </c>
      <c r="K31" s="151">
        <f>('Historical Financials'!K104)/1000</f>
        <v>0.374</v>
      </c>
      <c r="L31" s="151">
        <f>('Historical Financials'!L104)/1000</f>
        <v>-0.155</v>
      </c>
      <c r="M31" s="151">
        <f>('Historical Financials'!M104)/1000</f>
        <v>-2.5000000000000001E-2</v>
      </c>
      <c r="N31" s="151">
        <f>('Historical Financials'!N104)/1000</f>
        <v>-0.02</v>
      </c>
      <c r="O31" s="151">
        <f>('Historical Financials'!O104)/1000</f>
        <v>-3.9E-2</v>
      </c>
      <c r="P31" s="151">
        <f>('Historical Financials'!P104)/1000</f>
        <v>-6.8000000000000005E-2</v>
      </c>
      <c r="Q31" s="151">
        <f>('Historical Financials'!Q104)/1000</f>
        <v>-7.0999999999999994E-2</v>
      </c>
      <c r="R31" s="151">
        <f>('Historical Financials'!R104)/1000</f>
        <v>-0.20200000000000001</v>
      </c>
      <c r="S31" s="151">
        <f>('Historical Financials'!S104)/1000</f>
        <v>-4.1000000000000002E-2</v>
      </c>
      <c r="T31" s="151">
        <f>('Historical Financials'!T104)/1000</f>
        <v>-3.5000000000000003E-2</v>
      </c>
      <c r="U31" s="151">
        <f>('Historical Financials'!U104)/1000</f>
        <v>0</v>
      </c>
      <c r="V31" s="151">
        <f>('Historical Financials'!V104)/1000</f>
        <v>0</v>
      </c>
      <c r="W31" s="151">
        <f>('Historical Financials'!W104)/1000</f>
        <v>0</v>
      </c>
      <c r="Y31" s="10">
        <f t="shared" ref="Y31:AK31" si="116">SUM(H31:K31)</f>
        <v>0.58699999999999997</v>
      </c>
      <c r="Z31" s="10">
        <f t="shared" si="116"/>
        <v>0.43199999999999994</v>
      </c>
      <c r="AA31" s="10">
        <f t="shared" si="116"/>
        <v>0.5099999999999999</v>
      </c>
      <c r="AB31" s="10">
        <f t="shared" si="116"/>
        <v>0.17400000000000002</v>
      </c>
      <c r="AC31" s="10">
        <f t="shared" si="116"/>
        <v>-0.23899999999999999</v>
      </c>
      <c r="AD31" s="10">
        <f t="shared" si="116"/>
        <v>-0.152</v>
      </c>
      <c r="AE31" s="10">
        <f t="shared" si="116"/>
        <v>-0.19800000000000001</v>
      </c>
      <c r="AF31" s="10">
        <f t="shared" si="116"/>
        <v>-0.38</v>
      </c>
      <c r="AG31" s="152">
        <f t="shared" si="116"/>
        <v>-0.38200000000000001</v>
      </c>
      <c r="AH31" s="152">
        <f t="shared" si="116"/>
        <v>-0.34899999999999998</v>
      </c>
      <c r="AI31" s="152">
        <f t="shared" si="116"/>
        <v>-0.27800000000000002</v>
      </c>
      <c r="AJ31" s="152">
        <f t="shared" si="116"/>
        <v>-7.6000000000000012E-2</v>
      </c>
      <c r="AK31" s="152">
        <f t="shared" si="116"/>
        <v>-3.5000000000000003E-2</v>
      </c>
      <c r="AM31" s="132">
        <f>SUM(AK31/AG31)-1</f>
        <v>-0.90837696335078533</v>
      </c>
    </row>
    <row r="32" spans="2:39" ht="12.75" customHeight="1">
      <c r="B32" s="13" t="s">
        <v>40</v>
      </c>
      <c r="C32" s="14" t="e">
        <f>+SUM(C28+SUM(C31:C31))</f>
        <v>#REF!</v>
      </c>
      <c r="D32" s="14" t="e">
        <f>+SUM(D28+SUM(D31:D31))</f>
        <v>#REF!</v>
      </c>
      <c r="E32" s="14" t="e">
        <f>+SUM(E28+SUM(E31:E31))</f>
        <v>#REF!</v>
      </c>
      <c r="F32" s="14" t="e">
        <f>+SUM(F28+SUM(F31:F31))</f>
        <v>#REF!</v>
      </c>
      <c r="G32" s="14" t="e">
        <f>+SUM(G28+SUM(G31:G31))</f>
        <v>#REF!</v>
      </c>
      <c r="H32" s="11"/>
      <c r="I32" s="14" t="e">
        <f t="shared" ref="I32:W32" si="117">+SUM(I28+SUM(I31:I31))</f>
        <v>#REF!</v>
      </c>
      <c r="J32" s="14" t="e">
        <f t="shared" si="117"/>
        <v>#REF!</v>
      </c>
      <c r="K32" s="14" t="e">
        <f t="shared" si="117"/>
        <v>#REF!</v>
      </c>
      <c r="L32" s="14" t="e">
        <f t="shared" si="117"/>
        <v>#REF!</v>
      </c>
      <c r="M32" s="14" t="e">
        <f t="shared" si="117"/>
        <v>#REF!</v>
      </c>
      <c r="N32" s="14" t="e">
        <f t="shared" si="117"/>
        <v>#REF!</v>
      </c>
      <c r="O32" s="14" t="e">
        <f t="shared" si="117"/>
        <v>#REF!</v>
      </c>
      <c r="P32" s="14" t="e">
        <f t="shared" si="117"/>
        <v>#REF!</v>
      </c>
      <c r="Q32" s="14" t="e">
        <f t="shared" si="117"/>
        <v>#REF!</v>
      </c>
      <c r="R32" s="14" t="e">
        <f t="shared" si="117"/>
        <v>#REF!</v>
      </c>
      <c r="S32" s="14" t="e">
        <f t="shared" si="117"/>
        <v>#REF!</v>
      </c>
      <c r="T32" s="14" t="e">
        <f t="shared" si="117"/>
        <v>#REF!</v>
      </c>
      <c r="U32" s="14" t="e">
        <f t="shared" si="117"/>
        <v>#REF!</v>
      </c>
      <c r="V32" s="14" t="e">
        <f t="shared" si="117"/>
        <v>#REF!</v>
      </c>
      <c r="W32" s="14" t="e">
        <f t="shared" si="117"/>
        <v>#REF!</v>
      </c>
      <c r="Y32" s="14">
        <f t="shared" ref="Y32:AK32" si="118">+SUM(Y28+SUM(Y31:Y31))</f>
        <v>-3.7530000000000001</v>
      </c>
      <c r="Z32" s="14">
        <f t="shared" si="118"/>
        <v>-7.2419999999999991</v>
      </c>
      <c r="AA32" s="14">
        <f t="shared" si="118"/>
        <v>-7.4420000000000019</v>
      </c>
      <c r="AB32" s="14">
        <f t="shared" si="118"/>
        <v>-8.0219999999999985</v>
      </c>
      <c r="AC32" s="14">
        <f t="shared" si="118"/>
        <v>-10.519000000000002</v>
      </c>
      <c r="AD32" s="14">
        <f t="shared" si="118"/>
        <v>-9.8309999999999977</v>
      </c>
      <c r="AE32" s="14">
        <f t="shared" si="118"/>
        <v>-9.6500000000000021</v>
      </c>
      <c r="AF32" s="14">
        <f t="shared" si="118"/>
        <v>-9.6660000000000021</v>
      </c>
      <c r="AG32" s="14" t="e">
        <f t="shared" si="118"/>
        <v>#REF!</v>
      </c>
      <c r="AH32" s="14" t="e">
        <f t="shared" si="118"/>
        <v>#REF!</v>
      </c>
      <c r="AI32" s="14" t="e">
        <f t="shared" si="118"/>
        <v>#REF!</v>
      </c>
      <c r="AJ32" s="14" t="e">
        <f t="shared" si="118"/>
        <v>#REF!</v>
      </c>
      <c r="AK32" s="14" t="e">
        <f t="shared" si="118"/>
        <v>#REF!</v>
      </c>
      <c r="AM32" s="133" t="e">
        <f>SUM(AK32/AG32)-1</f>
        <v>#REF!</v>
      </c>
    </row>
    <row r="33" spans="2:39" ht="12.75" customHeight="1">
      <c r="B33" s="16" t="s">
        <v>41</v>
      </c>
      <c r="C33" s="18" t="e">
        <f>C32/C11</f>
        <v>#REF!</v>
      </c>
      <c r="D33" s="18" t="e">
        <f>D32/D11</f>
        <v>#REF!</v>
      </c>
      <c r="E33" s="18" t="e">
        <f>E32/E11</f>
        <v>#REF!</v>
      </c>
      <c r="F33" s="18" t="e">
        <f>F32/F11</f>
        <v>#REF!</v>
      </c>
      <c r="G33" s="18" t="e">
        <f>G32/G11</f>
        <v>#REF!</v>
      </c>
      <c r="I33" s="18" t="e">
        <f t="shared" ref="I33:W33" si="119">I32/I11</f>
        <v>#REF!</v>
      </c>
      <c r="J33" s="18" t="e">
        <f t="shared" si="119"/>
        <v>#REF!</v>
      </c>
      <c r="K33" s="18" t="e">
        <f t="shared" si="119"/>
        <v>#REF!</v>
      </c>
      <c r="L33" s="18" t="e">
        <f t="shared" si="119"/>
        <v>#REF!</v>
      </c>
      <c r="M33" s="18" t="e">
        <f t="shared" si="119"/>
        <v>#REF!</v>
      </c>
      <c r="N33" s="18" t="e">
        <f t="shared" si="119"/>
        <v>#REF!</v>
      </c>
      <c r="O33" s="18" t="e">
        <f t="shared" si="119"/>
        <v>#REF!</v>
      </c>
      <c r="P33" s="18" t="e">
        <f t="shared" si="119"/>
        <v>#REF!</v>
      </c>
      <c r="Q33" s="18" t="e">
        <f t="shared" si="119"/>
        <v>#REF!</v>
      </c>
      <c r="R33" s="18" t="e">
        <f t="shared" si="119"/>
        <v>#REF!</v>
      </c>
      <c r="S33" s="18" t="e">
        <f t="shared" si="119"/>
        <v>#REF!</v>
      </c>
      <c r="T33" s="18" t="e">
        <f t="shared" si="119"/>
        <v>#REF!</v>
      </c>
      <c r="U33" s="18" t="e">
        <f t="shared" si="119"/>
        <v>#REF!</v>
      </c>
      <c r="V33" s="18" t="e">
        <f t="shared" si="119"/>
        <v>#REF!</v>
      </c>
      <c r="W33" s="18" t="e">
        <f t="shared" si="119"/>
        <v>#REF!</v>
      </c>
      <c r="Y33" s="18" t="e">
        <f t="shared" ref="Y33:AK33" si="120">Y32/Y11</f>
        <v>#DIV/0!</v>
      </c>
      <c r="Z33" s="18" t="e">
        <f t="shared" si="120"/>
        <v>#DIV/0!</v>
      </c>
      <c r="AA33" s="18" t="e">
        <f t="shared" si="120"/>
        <v>#DIV/0!</v>
      </c>
      <c r="AB33" s="18" t="e">
        <f t="shared" si="120"/>
        <v>#DIV/0!</v>
      </c>
      <c r="AC33" s="18" t="e">
        <f t="shared" si="120"/>
        <v>#DIV/0!</v>
      </c>
      <c r="AD33" s="18" t="e">
        <f t="shared" si="120"/>
        <v>#DIV/0!</v>
      </c>
      <c r="AE33" s="18" t="e">
        <f t="shared" si="120"/>
        <v>#DIV/0!</v>
      </c>
      <c r="AF33" s="18" t="e">
        <f t="shared" si="120"/>
        <v>#DIV/0!</v>
      </c>
      <c r="AG33" s="18" t="e">
        <f t="shared" si="120"/>
        <v>#REF!</v>
      </c>
      <c r="AH33" s="18" t="e">
        <f t="shared" si="120"/>
        <v>#REF!</v>
      </c>
      <c r="AI33" s="18" t="e">
        <f t="shared" si="120"/>
        <v>#REF!</v>
      </c>
      <c r="AJ33" s="18" t="e">
        <f t="shared" si="120"/>
        <v>#REF!</v>
      </c>
      <c r="AK33" s="18" t="e">
        <f t="shared" si="120"/>
        <v>#REF!</v>
      </c>
      <c r="AM33" s="134" t="e">
        <f>SUM(AK33-AG33)*10000</f>
        <v>#REF!</v>
      </c>
    </row>
    <row r="34" spans="2:39" ht="5.0999999999999996" customHeight="1">
      <c r="AM34" s="131"/>
    </row>
    <row r="35" spans="2:39" ht="12.75" customHeight="1">
      <c r="B35" s="24" t="s">
        <v>42</v>
      </c>
      <c r="C35" s="151">
        <f>('Historical Financials'!C118)/1000</f>
        <v>-1.407</v>
      </c>
      <c r="D35" s="151">
        <f>('Historical Financials'!D118)/1000</f>
        <v>-1.8879999999999999</v>
      </c>
      <c r="E35" s="151">
        <f>('Historical Financials'!E118)/1000</f>
        <v>-2.262</v>
      </c>
      <c r="F35" s="151">
        <f>('Historical Financials'!F118)/1000</f>
        <v>-1.45</v>
      </c>
      <c r="G35" s="151">
        <f>('Historical Financials'!G118)/1000</f>
        <v>-1.0409999999999999</v>
      </c>
      <c r="I35" s="151">
        <f>('Historical Financials'!I118)/1000</f>
        <v>-0.58299999999999996</v>
      </c>
      <c r="J35" s="151">
        <f>('Historical Financials'!J118)/1000</f>
        <v>-0.49099999999999999</v>
      </c>
      <c r="K35" s="151">
        <f>('Historical Financials'!K118)/1000</f>
        <v>-1.6279999999999999</v>
      </c>
      <c r="L35" s="151">
        <f>('Historical Financials'!L118)/1000</f>
        <v>0.44</v>
      </c>
      <c r="M35" s="151">
        <f>('Historical Financials'!M118)/1000</f>
        <v>-0.39800000000000002</v>
      </c>
      <c r="N35" s="151">
        <f>('Historical Financials'!N118)/1000</f>
        <v>-0.45300000000000001</v>
      </c>
      <c r="O35" s="151">
        <f>('Historical Financials'!O118)/1000</f>
        <v>-0.30599999999999999</v>
      </c>
      <c r="P35" s="151">
        <f>('Historical Financials'!P118)/1000</f>
        <v>-0.29299999999999998</v>
      </c>
      <c r="Q35" s="151">
        <f>('Historical Financials'!Q118)/1000</f>
        <v>-0.214</v>
      </c>
      <c r="R35" s="151">
        <f>('Historical Financials'!R118)/1000</f>
        <v>-0.39800000000000002</v>
      </c>
      <c r="S35" s="151">
        <f>('Historical Financials'!S118)/1000</f>
        <v>-0.17299999999999999</v>
      </c>
      <c r="T35" s="151">
        <f>('Historical Financials'!T118)/1000</f>
        <v>-0.25600000000000001</v>
      </c>
      <c r="U35" s="151">
        <f>('Historical Financials'!U118)/1000</f>
        <v>0</v>
      </c>
      <c r="V35" s="151">
        <f>('Historical Financials'!V118)/1000</f>
        <v>0</v>
      </c>
      <c r="W35" s="151">
        <f>('Historical Financials'!W118)/1000</f>
        <v>0</v>
      </c>
      <c r="Y35" s="10">
        <f t="shared" ref="Y35:AK38" si="121">SUM(H35:K35)</f>
        <v>-2.702</v>
      </c>
      <c r="Z35" s="10">
        <f t="shared" si="121"/>
        <v>-2.262</v>
      </c>
      <c r="AA35" s="10">
        <f t="shared" si="121"/>
        <v>-2.077</v>
      </c>
      <c r="AB35" s="10">
        <f t="shared" si="121"/>
        <v>-2.0389999999999997</v>
      </c>
      <c r="AC35" s="10">
        <f t="shared" si="121"/>
        <v>-0.71700000000000008</v>
      </c>
      <c r="AD35" s="10">
        <f t="shared" si="121"/>
        <v>-1.45</v>
      </c>
      <c r="AE35" s="10">
        <f t="shared" si="121"/>
        <v>-1.266</v>
      </c>
      <c r="AF35" s="10">
        <f t="shared" si="121"/>
        <v>-1.2109999999999999</v>
      </c>
      <c r="AG35" s="152">
        <f t="shared" si="121"/>
        <v>-1.0780000000000001</v>
      </c>
      <c r="AH35" s="152">
        <f t="shared" si="121"/>
        <v>-1.0409999999999999</v>
      </c>
      <c r="AI35" s="152">
        <f t="shared" si="121"/>
        <v>-0.82699999999999996</v>
      </c>
      <c r="AJ35" s="152">
        <f t="shared" si="121"/>
        <v>-0.42899999999999999</v>
      </c>
      <c r="AK35" s="152">
        <f t="shared" si="121"/>
        <v>-0.25600000000000001</v>
      </c>
      <c r="AM35" s="132">
        <f>SUM(AK35/AG35)-1</f>
        <v>-0.76252319109461975</v>
      </c>
    </row>
    <row r="36" spans="2:39" ht="12.75" customHeight="1">
      <c r="B36" s="24" t="s">
        <v>43</v>
      </c>
      <c r="C36" s="151">
        <f>-('Historical Financials'!C155)/1000</f>
        <v>0</v>
      </c>
      <c r="D36" s="151">
        <f>-('Historical Financials'!D155)/1000</f>
        <v>0</v>
      </c>
      <c r="E36" s="151">
        <f>-('Historical Financials'!E155)/1000</f>
        <v>0</v>
      </c>
      <c r="F36" s="151">
        <f>-('Historical Financials'!F155)/1000</f>
        <v>0</v>
      </c>
      <c r="G36" s="151">
        <f>-('Historical Financials'!G155)/1000</f>
        <v>0</v>
      </c>
      <c r="I36" s="151">
        <f>('Historical Financials'!I29)/1000</f>
        <v>-0.46600000000000003</v>
      </c>
      <c r="J36" s="151">
        <f>('Historical Financials'!J29)/1000</f>
        <v>-0.48899999999999999</v>
      </c>
      <c r="K36" s="151">
        <f>('Historical Financials'!K29)/1000</f>
        <v>-0.50900000000000001</v>
      </c>
      <c r="L36" s="151">
        <f>('Historical Financials'!L29)/1000</f>
        <v>-0.54800000000000004</v>
      </c>
      <c r="M36" s="151">
        <f>('Historical Financials'!M29)/1000</f>
        <v>-9.8000000000000004E-2</v>
      </c>
      <c r="N36" s="151">
        <f>('Historical Financials'!N29)/1000</f>
        <v>-0.193</v>
      </c>
      <c r="O36" s="151">
        <f>('Historical Financials'!O29)/1000</f>
        <v>-2.1999999999999999E-2</v>
      </c>
      <c r="P36" s="151">
        <f>('Historical Financials'!P29)/1000</f>
        <v>0.20899999999999999</v>
      </c>
      <c r="Q36" s="151">
        <f>('Historical Financials'!Q29)/1000</f>
        <v>-0.151</v>
      </c>
      <c r="R36" s="151">
        <f>('Historical Financials'!R29)/1000</f>
        <v>-0.223</v>
      </c>
      <c r="S36" s="151">
        <f>('Historical Financials'!S29)/1000</f>
        <v>-0.17100000000000001</v>
      </c>
      <c r="T36" s="151">
        <f>('Historical Financials'!T29)/1000</f>
        <v>0.31900000000000001</v>
      </c>
      <c r="U36" s="151">
        <f>('Historical Financials'!U29)/1000</f>
        <v>0</v>
      </c>
      <c r="V36" s="151">
        <f>('Historical Financials'!V29)/1000</f>
        <v>0</v>
      </c>
      <c r="W36" s="151">
        <f>('Historical Financials'!W29)/1000</f>
        <v>0</v>
      </c>
      <c r="Y36" s="10">
        <f t="shared" si="121"/>
        <v>-1.464</v>
      </c>
      <c r="Z36" s="10">
        <f t="shared" si="121"/>
        <v>-2.012</v>
      </c>
      <c r="AA36" s="10">
        <f t="shared" si="121"/>
        <v>-1.6440000000000001</v>
      </c>
      <c r="AB36" s="10">
        <f t="shared" si="121"/>
        <v>-1.3480000000000001</v>
      </c>
      <c r="AC36" s="10">
        <f t="shared" si="121"/>
        <v>-0.86099999999999999</v>
      </c>
      <c r="AD36" s="10">
        <f t="shared" si="121"/>
        <v>-0.10400000000000006</v>
      </c>
      <c r="AE36" s="10">
        <f t="shared" si="121"/>
        <v>-0.157</v>
      </c>
      <c r="AF36" s="10">
        <f t="shared" si="121"/>
        <v>-0.187</v>
      </c>
      <c r="AG36" s="152">
        <f t="shared" si="121"/>
        <v>-0.33600000000000002</v>
      </c>
      <c r="AH36" s="152">
        <f t="shared" si="121"/>
        <v>-0.22600000000000003</v>
      </c>
      <c r="AI36" s="152">
        <f t="shared" si="121"/>
        <v>-7.5000000000000011E-2</v>
      </c>
      <c r="AJ36" s="152">
        <f t="shared" si="121"/>
        <v>0.14799999999999999</v>
      </c>
      <c r="AK36" s="152">
        <f t="shared" si="121"/>
        <v>0.31900000000000001</v>
      </c>
      <c r="AM36" s="132">
        <f>SUM(AK36/AG36)-1</f>
        <v>-1.9494047619047619</v>
      </c>
    </row>
    <row r="37" spans="2:39" ht="12.75" customHeight="1">
      <c r="B37" s="24" t="s">
        <v>80</v>
      </c>
      <c r="C37" s="151">
        <f>-('Historical Financials'!C156)/1000</f>
        <v>0</v>
      </c>
      <c r="D37" s="151">
        <f>-('Historical Financials'!D156)/1000</f>
        <v>0</v>
      </c>
      <c r="E37" s="151">
        <f>-('Historical Financials'!E156)/1000</f>
        <v>0</v>
      </c>
      <c r="F37" s="151">
        <f>-('Historical Financials'!F156)/1000</f>
        <v>0</v>
      </c>
      <c r="G37" s="151">
        <f>-('Historical Financials'!G156)/1000</f>
        <v>0</v>
      </c>
      <c r="I37" s="151">
        <f>('Historical Financials'!I24)/1000</f>
        <v>1.7000000000000001E-2</v>
      </c>
      <c r="J37" s="151">
        <f>('Historical Financials'!J24)/1000</f>
        <v>0.02</v>
      </c>
      <c r="K37" s="151">
        <f>('Historical Financials'!K24)/1000</f>
        <v>2.1999999999999999E-2</v>
      </c>
      <c r="L37" s="151">
        <f>('Historical Financials'!L24)/1000</f>
        <v>3.2000000000000001E-2</v>
      </c>
      <c r="M37" s="151">
        <f>('Historical Financials'!M24)/1000</f>
        <v>5.5E-2</v>
      </c>
      <c r="N37" s="151">
        <f>('Historical Financials'!N24)/1000</f>
        <v>5.8999999999999997E-2</v>
      </c>
      <c r="O37" s="151">
        <f>('Historical Financials'!O24)/1000</f>
        <v>7.9000000000000001E-2</v>
      </c>
      <c r="P37" s="151">
        <f>('Historical Financials'!P24)/1000</f>
        <v>0.12</v>
      </c>
      <c r="Q37" s="151">
        <f>('Historical Financials'!Q24)/1000</f>
        <v>0.14899999999999999</v>
      </c>
      <c r="R37" s="151">
        <f>('Historical Financials'!R24)/1000</f>
        <v>0.16</v>
      </c>
      <c r="S37" s="151">
        <f>('Historical Financials'!S24)/1000</f>
        <v>0.182</v>
      </c>
      <c r="T37" s="151">
        <f>('Historical Financials'!T24)/1000</f>
        <v>0.184</v>
      </c>
      <c r="U37" s="151">
        <f>('Historical Financials'!U24)/1000</f>
        <v>0</v>
      </c>
      <c r="V37" s="151">
        <f>('Historical Financials'!V24)/1000</f>
        <v>0</v>
      </c>
      <c r="W37" s="151">
        <f>('Historical Financials'!W24)/1000</f>
        <v>0</v>
      </c>
      <c r="Y37" s="10">
        <f t="shared" si="121"/>
        <v>5.9000000000000004E-2</v>
      </c>
      <c r="Z37" s="10">
        <f t="shared" si="121"/>
        <v>9.0999999999999998E-2</v>
      </c>
      <c r="AA37" s="10">
        <f t="shared" si="121"/>
        <v>0.129</v>
      </c>
      <c r="AB37" s="10">
        <f t="shared" si="121"/>
        <v>0.16799999999999998</v>
      </c>
      <c r="AC37" s="10">
        <f t="shared" si="121"/>
        <v>0.22499999999999998</v>
      </c>
      <c r="AD37" s="10">
        <f t="shared" si="121"/>
        <v>0.313</v>
      </c>
      <c r="AE37" s="10">
        <f t="shared" si="121"/>
        <v>0.40700000000000003</v>
      </c>
      <c r="AF37" s="10">
        <f t="shared" si="121"/>
        <v>0.50800000000000001</v>
      </c>
      <c r="AG37" s="152">
        <f t="shared" si="121"/>
        <v>0.61099999999999999</v>
      </c>
      <c r="AH37" s="152">
        <f t="shared" si="121"/>
        <v>0.67500000000000004</v>
      </c>
      <c r="AI37" s="152">
        <f t="shared" si="121"/>
        <v>0.52600000000000002</v>
      </c>
      <c r="AJ37" s="152">
        <f t="shared" si="121"/>
        <v>0.36599999999999999</v>
      </c>
      <c r="AK37" s="152">
        <f t="shared" si="121"/>
        <v>0.184</v>
      </c>
      <c r="AM37" s="132">
        <f>SUM(AK37/AG37)-1</f>
        <v>-0.69885433715220957</v>
      </c>
    </row>
    <row r="38" spans="2:39" ht="12.75" customHeight="1">
      <c r="B38" s="24" t="s">
        <v>44</v>
      </c>
      <c r="C38" s="151">
        <f>SUM('Historical Financials'!C109:C114)/1000</f>
        <v>-1.607</v>
      </c>
      <c r="D38" s="151">
        <f>SUM('Historical Financials'!D109:D114)/1000</f>
        <v>-0.46100000000000002</v>
      </c>
      <c r="E38" s="151">
        <f>SUM('Historical Financials'!E109:E114)/1000</f>
        <v>-7.8</v>
      </c>
      <c r="F38" s="151">
        <f>SUM('Historical Financials'!F109:F114)/1000</f>
        <v>1.1479999999999999</v>
      </c>
      <c r="G38" s="151">
        <f>SUM('Historical Financials'!G109:G114)/1000</f>
        <v>1.2230000000000001</v>
      </c>
      <c r="I38" s="151">
        <f>SUM('Historical Financials'!I109:I114)/1000</f>
        <v>-2.3879999999999999</v>
      </c>
      <c r="J38" s="151">
        <f>SUM('Historical Financials'!J109:J114)/1000</f>
        <v>-0.79300000000000004</v>
      </c>
      <c r="K38" s="151">
        <f>SUM('Historical Financials'!K109:K114)/1000</f>
        <v>-5.335</v>
      </c>
      <c r="L38" s="151">
        <f>SUM('Historical Financials'!L109:L114)/1000</f>
        <v>0.71599999999999997</v>
      </c>
      <c r="M38" s="151">
        <f>SUM('Historical Financials'!M109:M114)/1000</f>
        <v>-4.0000000000000001E-3</v>
      </c>
      <c r="N38" s="151">
        <f>SUM('Historical Financials'!N109:N114)/1000</f>
        <v>-0.92900000000000005</v>
      </c>
      <c r="O38" s="151">
        <f>SUM('Historical Financials'!O109:O114)/1000</f>
        <v>0.38</v>
      </c>
      <c r="P38" s="151">
        <f>SUM('Historical Financials'!P109:P114)/1000</f>
        <v>1.7010000000000001</v>
      </c>
      <c r="Q38" s="151">
        <f>SUM('Historical Financials'!Q109:Q114)/1000</f>
        <v>0.189</v>
      </c>
      <c r="R38" s="151">
        <f>SUM('Historical Financials'!R109:R114)/1000</f>
        <v>1.1679999999999999</v>
      </c>
      <c r="S38" s="151">
        <f>SUM('Historical Financials'!S109:S114)/1000</f>
        <v>0.72499999999999998</v>
      </c>
      <c r="T38" s="151">
        <f>SUM('Historical Financials'!T109:T114)/1000</f>
        <v>-0.85899999999999999</v>
      </c>
      <c r="U38" s="151">
        <f>SUM('Historical Financials'!U109:U114)/1000</f>
        <v>0</v>
      </c>
      <c r="V38" s="151">
        <f>SUM('Historical Financials'!V109:V114)/1000</f>
        <v>0</v>
      </c>
      <c r="W38" s="151">
        <f>SUM('Historical Financials'!W109:W114)/1000</f>
        <v>0</v>
      </c>
      <c r="Y38" s="10">
        <f t="shared" si="121"/>
        <v>-8.516</v>
      </c>
      <c r="Z38" s="10">
        <f t="shared" si="121"/>
        <v>-7.8</v>
      </c>
      <c r="AA38" s="10">
        <f t="shared" si="121"/>
        <v>-5.4159999999999995</v>
      </c>
      <c r="AB38" s="10">
        <f t="shared" si="121"/>
        <v>-5.5519999999999996</v>
      </c>
      <c r="AC38" s="10">
        <f t="shared" si="121"/>
        <v>0.16299999999999992</v>
      </c>
      <c r="AD38" s="10">
        <f t="shared" si="121"/>
        <v>1.1480000000000001</v>
      </c>
      <c r="AE38" s="10">
        <f t="shared" si="121"/>
        <v>1.3410000000000002</v>
      </c>
      <c r="AF38" s="10">
        <f t="shared" si="121"/>
        <v>3.4379999999999997</v>
      </c>
      <c r="AG38" s="152">
        <f t="shared" si="121"/>
        <v>3.7829999999999999</v>
      </c>
      <c r="AH38" s="152">
        <f t="shared" si="121"/>
        <v>1.2229999999999999</v>
      </c>
      <c r="AI38" s="152">
        <f t="shared" si="121"/>
        <v>1.0339999999999998</v>
      </c>
      <c r="AJ38" s="152">
        <f t="shared" si="121"/>
        <v>-0.13400000000000001</v>
      </c>
      <c r="AK38" s="152">
        <f t="shared" si="121"/>
        <v>-0.85899999999999999</v>
      </c>
      <c r="AM38" s="132">
        <f>SUM(AK38/AG38)-1</f>
        <v>-1.2270684641818663</v>
      </c>
    </row>
    <row r="39" spans="2:39" ht="12.75" customHeight="1">
      <c r="B39" s="13" t="s">
        <v>45</v>
      </c>
      <c r="C39" s="14" t="e">
        <f>SUM(C32+SUM(C35:C38))</f>
        <v>#REF!</v>
      </c>
      <c r="D39" s="14" t="e">
        <f>SUM(D32+SUM(D35:D38))</f>
        <v>#REF!</v>
      </c>
      <c r="E39" s="14" t="e">
        <f>SUM(E32+SUM(E35:E38))</f>
        <v>#REF!</v>
      </c>
      <c r="F39" s="14" t="e">
        <f>SUM(F32+SUM(F35:F38))</f>
        <v>#REF!</v>
      </c>
      <c r="G39" s="14" t="e">
        <f>SUM(G32+SUM(G35:G38))</f>
        <v>#REF!</v>
      </c>
      <c r="I39" s="14" t="e">
        <f t="shared" ref="I39:V39" si="122">SUM(I32+SUM(I35:I38))</f>
        <v>#REF!</v>
      </c>
      <c r="J39" s="14" t="e">
        <f t="shared" si="122"/>
        <v>#REF!</v>
      </c>
      <c r="K39" s="14" t="e">
        <f t="shared" si="122"/>
        <v>#REF!</v>
      </c>
      <c r="L39" s="14" t="e">
        <f t="shared" si="122"/>
        <v>#REF!</v>
      </c>
      <c r="M39" s="14" t="e">
        <f t="shared" si="122"/>
        <v>#REF!</v>
      </c>
      <c r="N39" s="14" t="e">
        <f t="shared" si="122"/>
        <v>#REF!</v>
      </c>
      <c r="O39" s="14" t="e">
        <f t="shared" si="122"/>
        <v>#REF!</v>
      </c>
      <c r="P39" s="14" t="e">
        <f t="shared" si="122"/>
        <v>#REF!</v>
      </c>
      <c r="Q39" s="14" t="e">
        <f t="shared" si="122"/>
        <v>#REF!</v>
      </c>
      <c r="R39" s="14" t="e">
        <f t="shared" si="122"/>
        <v>#REF!</v>
      </c>
      <c r="S39" s="14" t="e">
        <f t="shared" si="122"/>
        <v>#REF!</v>
      </c>
      <c r="T39" s="14" t="e">
        <f t="shared" si="122"/>
        <v>#REF!</v>
      </c>
      <c r="U39" s="14" t="e">
        <f t="shared" si="122"/>
        <v>#REF!</v>
      </c>
      <c r="V39" s="14" t="e">
        <f t="shared" si="122"/>
        <v>#REF!</v>
      </c>
      <c r="W39" s="14" t="e">
        <f>SUM(W32+SUM(W35:W38))</f>
        <v>#REF!</v>
      </c>
      <c r="Y39" s="14">
        <f t="shared" ref="Y39:AI39" si="123">SUM(Y32+SUM(Y35:Y38))</f>
        <v>-16.376000000000001</v>
      </c>
      <c r="Z39" s="14">
        <f t="shared" si="123"/>
        <v>-19.225000000000001</v>
      </c>
      <c r="AA39" s="14">
        <f t="shared" si="123"/>
        <v>-16.450000000000003</v>
      </c>
      <c r="AB39" s="14">
        <f t="shared" si="123"/>
        <v>-16.792999999999999</v>
      </c>
      <c r="AC39" s="14">
        <f t="shared" si="123"/>
        <v>-11.709000000000003</v>
      </c>
      <c r="AD39" s="14">
        <f t="shared" si="123"/>
        <v>-9.9239999999999977</v>
      </c>
      <c r="AE39" s="14">
        <f t="shared" si="123"/>
        <v>-9.3250000000000028</v>
      </c>
      <c r="AF39" s="14">
        <f t="shared" si="123"/>
        <v>-7.1180000000000021</v>
      </c>
      <c r="AG39" s="14" t="e">
        <f t="shared" si="123"/>
        <v>#REF!</v>
      </c>
      <c r="AH39" s="14" t="e">
        <f t="shared" si="123"/>
        <v>#REF!</v>
      </c>
      <c r="AI39" s="14" t="e">
        <f t="shared" si="123"/>
        <v>#REF!</v>
      </c>
      <c r="AJ39" s="14" t="e">
        <f>SUM(AJ32+SUM(AJ35:AJ38))</f>
        <v>#REF!</v>
      </c>
      <c r="AK39" s="14" t="e">
        <f>SUM(AK32+SUM(AK35:AK38))</f>
        <v>#REF!</v>
      </c>
      <c r="AM39" s="133" t="e">
        <f>SUM(AK39/AG39)-1</f>
        <v>#REF!</v>
      </c>
    </row>
    <row r="40" spans="2:39" ht="5.0999999999999996" customHeight="1"/>
    <row r="41" spans="2:39" ht="12.75" customHeight="1">
      <c r="B41" s="32" t="s">
        <v>124</v>
      </c>
      <c r="C41" s="151">
        <f>SUM('Historical Financials'!C125:C125)/1000</f>
        <v>0</v>
      </c>
      <c r="D41" s="151">
        <f>SUM('Historical Financials'!D125:D125)/1000</f>
        <v>0</v>
      </c>
      <c r="E41" s="151">
        <f>SUM('Historical Financials'!E125:E125)/1000</f>
        <v>-1.6E-2</v>
      </c>
      <c r="F41" s="151">
        <f>SUM('Historical Financials'!F125:F125)/1000</f>
        <v>1.383</v>
      </c>
      <c r="G41" s="151">
        <f>SUM('Historical Financials'!G125:G125)/1000</f>
        <v>2E-3</v>
      </c>
      <c r="H41" s="33"/>
      <c r="I41" s="151">
        <f>SUM('Historical Financials'!I125:I125)/1000</f>
        <v>0</v>
      </c>
      <c r="J41" s="151">
        <f>SUM('Historical Financials'!J125:J125)/1000</f>
        <v>0</v>
      </c>
      <c r="K41" s="151">
        <f>SUM('Historical Financials'!K125:K125)/1000</f>
        <v>0</v>
      </c>
      <c r="L41" s="151">
        <f>SUM('Historical Financials'!L125:L125)/1000</f>
        <v>-1.6E-2</v>
      </c>
      <c r="M41" s="151">
        <f>SUM('Historical Financials'!M125:M125)/1000</f>
        <v>0</v>
      </c>
      <c r="N41" s="151">
        <f>SUM('Historical Financials'!N125:N125)/1000</f>
        <v>-4.2000000000000003E-2</v>
      </c>
      <c r="O41" s="151">
        <f>SUM('Historical Financials'!O125:O125)/1000</f>
        <v>1.4370000000000001</v>
      </c>
      <c r="P41" s="151">
        <f>SUM('Historical Financials'!P125:P125)/1000</f>
        <v>-1.2E-2</v>
      </c>
      <c r="Q41" s="151">
        <f>SUM('Historical Financials'!Q125:Q125)/1000</f>
        <v>0</v>
      </c>
      <c r="R41" s="151">
        <f>SUM('Historical Financials'!R125:R125)/1000</f>
        <v>0</v>
      </c>
      <c r="S41" s="151">
        <f>SUM('Historical Financials'!S125:S125)/1000</f>
        <v>-2E-3</v>
      </c>
      <c r="T41" s="151">
        <f>SUM('Historical Financials'!T125:T125)/1000</f>
        <v>4.0000000000000001E-3</v>
      </c>
      <c r="U41" s="151">
        <f>SUM('Historical Financials'!U125:U125)/1000</f>
        <v>0</v>
      </c>
      <c r="V41" s="151">
        <f>SUM('Historical Financials'!V125:V125)/1000</f>
        <v>0</v>
      </c>
      <c r="W41" s="151">
        <f>SUM('Historical Financials'!W125:W125)/1000</f>
        <v>0</v>
      </c>
      <c r="Y41" s="10">
        <f t="shared" ref="Y41:AK42" si="124">SUM(H41:K41)</f>
        <v>0</v>
      </c>
      <c r="Z41" s="10">
        <f t="shared" si="124"/>
        <v>-1.6E-2</v>
      </c>
      <c r="AA41" s="10">
        <f t="shared" si="124"/>
        <v>-1.6E-2</v>
      </c>
      <c r="AB41" s="10">
        <f t="shared" si="124"/>
        <v>-5.8000000000000003E-2</v>
      </c>
      <c r="AC41" s="10">
        <f t="shared" si="124"/>
        <v>1.379</v>
      </c>
      <c r="AD41" s="10">
        <f t="shared" si="124"/>
        <v>1.383</v>
      </c>
      <c r="AE41" s="10">
        <f t="shared" si="124"/>
        <v>1.383</v>
      </c>
      <c r="AF41" s="10">
        <f t="shared" si="124"/>
        <v>1.425</v>
      </c>
      <c r="AG41" s="152">
        <f t="shared" si="124"/>
        <v>-1.4E-2</v>
      </c>
      <c r="AH41" s="152">
        <f t="shared" si="124"/>
        <v>2E-3</v>
      </c>
      <c r="AI41" s="152">
        <f t="shared" si="124"/>
        <v>2E-3</v>
      </c>
      <c r="AJ41" s="152">
        <f t="shared" si="124"/>
        <v>2E-3</v>
      </c>
      <c r="AK41" s="152">
        <f t="shared" si="124"/>
        <v>4.0000000000000001E-3</v>
      </c>
    </row>
    <row r="42" spans="2:39" ht="12.75" customHeight="1">
      <c r="B42" s="32" t="s">
        <v>103</v>
      </c>
      <c r="C42" s="151">
        <f>('Historical Financials'!C124)/1000</f>
        <v>4.2999999999999997E-2</v>
      </c>
      <c r="D42" s="151">
        <f>('Historical Financials'!D124)/1000</f>
        <v>-5.8999999999999997E-2</v>
      </c>
      <c r="E42" s="151">
        <f>('Historical Financials'!E124)/1000</f>
        <v>4.1000000000000002E-2</v>
      </c>
      <c r="F42" s="151">
        <f>('Historical Financials'!F124)/1000</f>
        <v>1.9E-2</v>
      </c>
      <c r="G42" s="151">
        <f>('Historical Financials'!G124)/1000</f>
        <v>-3.5999999999999997E-2</v>
      </c>
      <c r="H42" s="33"/>
      <c r="I42" s="151">
        <f>('Historical Financials'!I124)/1000</f>
        <v>0</v>
      </c>
      <c r="J42" s="151">
        <f>('Historical Financials'!J124)/1000</f>
        <v>0</v>
      </c>
      <c r="K42" s="151">
        <f>('Historical Financials'!K124)/1000</f>
        <v>4.1000000000000002E-2</v>
      </c>
      <c r="L42" s="151">
        <f>('Historical Financials'!L124)/1000</f>
        <v>0</v>
      </c>
      <c r="M42" s="151">
        <f>('Historical Financials'!M124)/1000</f>
        <v>-1.7999999999999999E-2</v>
      </c>
      <c r="N42" s="151">
        <f>('Historical Financials'!N124)/1000</f>
        <v>1.4E-2</v>
      </c>
      <c r="O42" s="151">
        <f>('Historical Financials'!O124)/1000</f>
        <v>2.1999999999999999E-2</v>
      </c>
      <c r="P42" s="151">
        <f>('Historical Financials'!P124)/1000</f>
        <v>1E-3</v>
      </c>
      <c r="Q42" s="151">
        <f>('Historical Financials'!Q124)/1000</f>
        <v>2E-3</v>
      </c>
      <c r="R42" s="151">
        <f>('Historical Financials'!R124)/1000</f>
        <v>-3.7999999999999999E-2</v>
      </c>
      <c r="S42" s="151">
        <f>('Historical Financials'!S124)/1000</f>
        <v>0</v>
      </c>
      <c r="T42" s="151">
        <f>('Historical Financials'!T124)/1000</f>
        <v>0</v>
      </c>
      <c r="U42" s="151">
        <f>('Historical Financials'!U124)/1000</f>
        <v>0</v>
      </c>
      <c r="V42" s="151">
        <f>('Historical Financials'!V124)/1000</f>
        <v>0</v>
      </c>
      <c r="W42" s="151">
        <f>('Historical Financials'!W124)/1000</f>
        <v>0</v>
      </c>
      <c r="Y42" s="10">
        <f t="shared" si="124"/>
        <v>4.1000000000000002E-2</v>
      </c>
      <c r="Z42" s="10">
        <f t="shared" si="124"/>
        <v>4.1000000000000002E-2</v>
      </c>
      <c r="AA42" s="10">
        <f t="shared" si="124"/>
        <v>2.3000000000000003E-2</v>
      </c>
      <c r="AB42" s="10">
        <f t="shared" si="124"/>
        <v>3.7000000000000005E-2</v>
      </c>
      <c r="AC42" s="10">
        <f t="shared" si="124"/>
        <v>1.8000000000000002E-2</v>
      </c>
      <c r="AD42" s="10">
        <f t="shared" si="124"/>
        <v>1.9000000000000003E-2</v>
      </c>
      <c r="AE42" s="10">
        <f t="shared" si="124"/>
        <v>3.9E-2</v>
      </c>
      <c r="AF42" s="10">
        <f t="shared" si="124"/>
        <v>-1.2999999999999998E-2</v>
      </c>
      <c r="AG42" s="152">
        <f t="shared" si="124"/>
        <v>-3.4999999999999996E-2</v>
      </c>
      <c r="AH42" s="152">
        <f t="shared" si="124"/>
        <v>-3.5999999999999997E-2</v>
      </c>
      <c r="AI42" s="152">
        <f t="shared" si="124"/>
        <v>-3.7999999999999999E-2</v>
      </c>
      <c r="AJ42" s="152">
        <f t="shared" si="124"/>
        <v>0</v>
      </c>
      <c r="AK42" s="152">
        <f t="shared" si="124"/>
        <v>0</v>
      </c>
    </row>
    <row r="43" spans="2:39" ht="12.75" customHeight="1">
      <c r="B43" s="32" t="s">
        <v>125</v>
      </c>
      <c r="C43" s="151" t="e">
        <f>SUM('Historical Financials'!#REF!)/1000</f>
        <v>#REF!</v>
      </c>
      <c r="D43" s="151" t="e">
        <f>SUM('Historical Financials'!#REF!)/1000</f>
        <v>#REF!</v>
      </c>
      <c r="E43" s="151" t="e">
        <f>SUM('Historical Financials'!#REF!)/1000</f>
        <v>#REF!</v>
      </c>
      <c r="F43" s="151" t="e">
        <f>SUM('Historical Financials'!#REF!)/1000</f>
        <v>#REF!</v>
      </c>
      <c r="G43" s="151" t="e">
        <f>SUM('Historical Financials'!#REF!)/1000</f>
        <v>#REF!</v>
      </c>
      <c r="H43" s="33"/>
      <c r="I43" s="151" t="e">
        <f>SUM('Historical Financials'!#REF!)/1000</f>
        <v>#REF!</v>
      </c>
      <c r="J43" s="151" t="e">
        <f>SUM('Historical Financials'!#REF!)/1000</f>
        <v>#REF!</v>
      </c>
      <c r="K43" s="151" t="e">
        <f>SUM('Historical Financials'!#REF!)/1000</f>
        <v>#REF!</v>
      </c>
      <c r="L43" s="151" t="e">
        <f>SUM('Historical Financials'!#REF!)/1000</f>
        <v>#REF!</v>
      </c>
      <c r="M43" s="151" t="e">
        <f>SUM('Historical Financials'!#REF!)/1000</f>
        <v>#REF!</v>
      </c>
      <c r="N43" s="151" t="e">
        <f>SUM('Historical Financials'!#REF!)/1000</f>
        <v>#REF!</v>
      </c>
      <c r="O43" s="151" t="e">
        <f>SUM('Historical Financials'!#REF!)/1000</f>
        <v>#REF!</v>
      </c>
      <c r="P43" s="151" t="e">
        <f>SUM('Historical Financials'!#REF!)/1000</f>
        <v>#REF!</v>
      </c>
      <c r="Q43" s="151" t="e">
        <f>SUM('Historical Financials'!#REF!)/1000</f>
        <v>#REF!</v>
      </c>
      <c r="R43" s="151" t="e">
        <f>SUM('Historical Financials'!#REF!)/1000</f>
        <v>#REF!</v>
      </c>
      <c r="S43" s="151" t="e">
        <f>SUM('Historical Financials'!#REF!)/1000</f>
        <v>#REF!</v>
      </c>
      <c r="T43" s="151" t="e">
        <f>SUM('Historical Financials'!#REF!)/1000</f>
        <v>#REF!</v>
      </c>
      <c r="U43" s="151" t="e">
        <f>SUM('Historical Financials'!#REF!)/1000</f>
        <v>#REF!</v>
      </c>
      <c r="V43" s="151" t="e">
        <f>SUM('Historical Financials'!#REF!)/1000</f>
        <v>#REF!</v>
      </c>
      <c r="W43" s="151" t="e">
        <f>SUM('Historical Financials'!#REF!)/1000</f>
        <v>#REF!</v>
      </c>
      <c r="Y43" s="10"/>
      <c r="Z43" s="10"/>
      <c r="AA43" s="10"/>
      <c r="AB43" s="10"/>
      <c r="AC43" s="10"/>
      <c r="AD43" s="10"/>
      <c r="AE43" s="10"/>
      <c r="AF43" s="10"/>
      <c r="AG43" s="152" t="e">
        <f t="shared" ref="AG43:AK44" si="125">SUM(P43:S43)</f>
        <v>#REF!</v>
      </c>
      <c r="AH43" s="152" t="e">
        <f t="shared" si="125"/>
        <v>#REF!</v>
      </c>
      <c r="AI43" s="152" t="e">
        <f t="shared" si="125"/>
        <v>#REF!</v>
      </c>
      <c r="AJ43" s="152" t="e">
        <f t="shared" si="125"/>
        <v>#REF!</v>
      </c>
      <c r="AK43" s="152" t="e">
        <f t="shared" si="125"/>
        <v>#REF!</v>
      </c>
    </row>
    <row r="44" spans="2:39" ht="12.75" customHeight="1">
      <c r="B44" s="32" t="s">
        <v>126</v>
      </c>
      <c r="C44" s="151">
        <f>SUM('Historical Financials'!C129:C131)/1000</f>
        <v>2E-3</v>
      </c>
      <c r="D44" s="151">
        <f>SUM('Historical Financials'!D129:D131)/1000</f>
        <v>1E-3</v>
      </c>
      <c r="E44" s="151">
        <f>SUM('Historical Financials'!E129:E131)/1000</f>
        <v>-0.35199999999999998</v>
      </c>
      <c r="F44" s="151">
        <f>SUM('Historical Financials'!F129:F131)/1000</f>
        <v>-0.498</v>
      </c>
      <c r="G44" s="151">
        <f>SUM('Historical Financials'!G129:G131)/1000</f>
        <v>0</v>
      </c>
      <c r="H44" s="33"/>
      <c r="I44" s="151">
        <f>SUM('Historical Financials'!I129:I131)/1000</f>
        <v>0</v>
      </c>
      <c r="J44" s="151">
        <f>SUM('Historical Financials'!J129:J131)/1000</f>
        <v>0</v>
      </c>
      <c r="K44" s="151">
        <f>SUM('Historical Financials'!K129:K131)/1000</f>
        <v>-0.35</v>
      </c>
      <c r="L44" s="151">
        <f>SUM('Historical Financials'!L129:L131)/1000</f>
        <v>-2E-3</v>
      </c>
      <c r="M44" s="151">
        <f>SUM('Historical Financials'!M129:M131)/1000</f>
        <v>-0.497</v>
      </c>
      <c r="N44" s="151">
        <f>SUM('Historical Financials'!N129:N131)/1000</f>
        <v>0.497</v>
      </c>
      <c r="O44" s="151">
        <f>SUM('Historical Financials'!O129:O131)/1000</f>
        <v>-0.498</v>
      </c>
      <c r="P44" s="151">
        <f>SUM('Historical Financials'!P129:P131)/1000</f>
        <v>0</v>
      </c>
      <c r="Q44" s="151">
        <f>SUM('Historical Financials'!Q129:Q131)/1000</f>
        <v>0</v>
      </c>
      <c r="R44" s="151">
        <f>SUM('Historical Financials'!R129:R131)/1000</f>
        <v>0</v>
      </c>
      <c r="S44" s="151">
        <f>SUM('Historical Financials'!S129:S131)/1000</f>
        <v>0</v>
      </c>
      <c r="T44" s="151">
        <f>SUM('Historical Financials'!T129:T131)/1000</f>
        <v>0</v>
      </c>
      <c r="U44" s="151">
        <f>SUM('Historical Financials'!U129:U131)/1000</f>
        <v>0</v>
      </c>
      <c r="V44" s="151">
        <f>SUM('Historical Financials'!V129:V131)/1000</f>
        <v>0</v>
      </c>
      <c r="W44" s="151">
        <f>SUM('Historical Financials'!W129:W131)/1000</f>
        <v>0</v>
      </c>
      <c r="Y44" s="10"/>
      <c r="Z44" s="10"/>
      <c r="AA44" s="10"/>
      <c r="AB44" s="10"/>
      <c r="AC44" s="10"/>
      <c r="AD44" s="10"/>
      <c r="AE44" s="10"/>
      <c r="AF44" s="10"/>
      <c r="AG44" s="152">
        <f t="shared" si="125"/>
        <v>0</v>
      </c>
      <c r="AH44" s="152">
        <f t="shared" si="125"/>
        <v>0</v>
      </c>
      <c r="AI44" s="152">
        <f t="shared" si="125"/>
        <v>0</v>
      </c>
      <c r="AJ44" s="152">
        <f t="shared" si="125"/>
        <v>0</v>
      </c>
      <c r="AK44" s="152">
        <f t="shared" si="125"/>
        <v>0</v>
      </c>
    </row>
    <row r="45" spans="2:39" ht="12.75" customHeight="1">
      <c r="B45" s="32" t="s">
        <v>127</v>
      </c>
      <c r="C45" s="151">
        <f>SUM('Historical Financials'!C100:C101)/1000</f>
        <v>1.393</v>
      </c>
      <c r="D45" s="151">
        <f>SUM('Historical Financials'!D100:D101)/1000</f>
        <v>1.5820000000000001</v>
      </c>
      <c r="E45" s="151">
        <f>SUM('Historical Financials'!E100:E101)/1000</f>
        <v>1.764</v>
      </c>
      <c r="F45" s="151">
        <f>SUM('Historical Financials'!F100:F101)/1000</f>
        <v>1.9910000000000001</v>
      </c>
      <c r="G45" s="151">
        <f>SUM('Historical Financials'!G100:G101)/1000</f>
        <v>1.7130000000000001</v>
      </c>
      <c r="H45" s="33"/>
      <c r="I45" s="151">
        <f>SUM('Historical Financials'!I100:I101)/1000</f>
        <v>0.40600000000000003</v>
      </c>
      <c r="J45" s="151">
        <f>SUM('Historical Financials'!J100:J101)/1000</f>
        <v>0.42799999999999999</v>
      </c>
      <c r="K45" s="151">
        <f>SUM('Historical Financials'!K100:K101)/1000</f>
        <v>1.272</v>
      </c>
      <c r="L45" s="151">
        <f>SUM('Historical Financials'!L100:L101)/1000</f>
        <v>-0.34200000000000003</v>
      </c>
      <c r="M45" s="151">
        <f>SUM('Historical Financials'!M100:M101)/1000</f>
        <v>0.39800000000000002</v>
      </c>
      <c r="N45" s="151">
        <f>SUM('Historical Financials'!N100:N101)/1000</f>
        <v>0.47</v>
      </c>
      <c r="O45" s="151">
        <f>SUM('Historical Financials'!O100:O101)/1000</f>
        <v>0.47899999999999998</v>
      </c>
      <c r="P45" s="151">
        <f>SUM('Historical Financials'!P100:P101)/1000</f>
        <v>0.64400000000000002</v>
      </c>
      <c r="Q45" s="151">
        <f>SUM('Historical Financials'!Q100:Q101)/1000</f>
        <v>0.437</v>
      </c>
      <c r="R45" s="151">
        <f>SUM('Historical Financials'!R100:R101)/1000</f>
        <v>0.41099999999999998</v>
      </c>
      <c r="S45" s="151">
        <f>SUM('Historical Financials'!S100:S101)/1000</f>
        <v>0.41899999999999998</v>
      </c>
      <c r="T45" s="151">
        <f>SUM('Historical Financials'!T100:T101)/1000</f>
        <v>0.44600000000000001</v>
      </c>
      <c r="U45" s="151">
        <f>SUM('Historical Financials'!U100:U101)/1000</f>
        <v>0</v>
      </c>
      <c r="V45" s="151">
        <f>SUM('Historical Financials'!V100:V101)/1000</f>
        <v>0</v>
      </c>
      <c r="W45" s="151">
        <f>SUM('Historical Financials'!W100:W101)/1000</f>
        <v>0</v>
      </c>
      <c r="Y45" s="10"/>
      <c r="Z45" s="10"/>
      <c r="AA45" s="10"/>
      <c r="AB45" s="10"/>
      <c r="AC45" s="10"/>
      <c r="AD45" s="10"/>
      <c r="AE45" s="10"/>
      <c r="AF45" s="10">
        <f t="shared" ref="AF45:AK47" si="126">SUM(O45:R45)</f>
        <v>1.9710000000000001</v>
      </c>
      <c r="AG45" s="152">
        <f t="shared" si="126"/>
        <v>1.911</v>
      </c>
      <c r="AH45" s="152">
        <f t="shared" si="126"/>
        <v>1.7129999999999999</v>
      </c>
      <c r="AI45" s="152">
        <f t="shared" si="126"/>
        <v>1.276</v>
      </c>
      <c r="AJ45" s="152">
        <f t="shared" si="126"/>
        <v>0.86499999999999999</v>
      </c>
      <c r="AK45" s="152">
        <f t="shared" si="126"/>
        <v>0.44600000000000001</v>
      </c>
    </row>
    <row r="46" spans="2:39" ht="12.75" customHeight="1">
      <c r="B46" s="32" t="s">
        <v>128</v>
      </c>
      <c r="C46" s="151" t="e">
        <f>SUM('Historical Financials'!#REF!)/1000</f>
        <v>#REF!</v>
      </c>
      <c r="D46" s="151" t="e">
        <f>SUM('Historical Financials'!#REF!)/1000</f>
        <v>#REF!</v>
      </c>
      <c r="E46" s="151" t="e">
        <f>SUM('Historical Financials'!#REF!)/1000</f>
        <v>#REF!</v>
      </c>
      <c r="F46" s="151" t="e">
        <f>SUM('Historical Financials'!#REF!)/1000</f>
        <v>#REF!</v>
      </c>
      <c r="G46" s="151" t="e">
        <f>SUM('Historical Financials'!#REF!)/1000</f>
        <v>#REF!</v>
      </c>
      <c r="H46" s="33"/>
      <c r="I46" s="151" t="e">
        <f>SUM('Historical Financials'!#REF!)/1000</f>
        <v>#REF!</v>
      </c>
      <c r="J46" s="151" t="e">
        <f>SUM('Historical Financials'!#REF!)/1000</f>
        <v>#REF!</v>
      </c>
      <c r="K46" s="151" t="e">
        <f>SUM('Historical Financials'!#REF!)/1000</f>
        <v>#REF!</v>
      </c>
      <c r="L46" s="151" t="e">
        <f>SUM('Historical Financials'!#REF!)/1000</f>
        <v>#REF!</v>
      </c>
      <c r="M46" s="151" t="e">
        <f>SUM('Historical Financials'!#REF!)/1000</f>
        <v>#REF!</v>
      </c>
      <c r="N46" s="151" t="e">
        <f>SUM('Historical Financials'!#REF!)/1000</f>
        <v>#REF!</v>
      </c>
      <c r="O46" s="151" t="e">
        <f>SUM('Historical Financials'!#REF!)/1000</f>
        <v>#REF!</v>
      </c>
      <c r="P46" s="151" t="e">
        <f>SUM('Historical Financials'!#REF!)/1000</f>
        <v>#REF!</v>
      </c>
      <c r="Q46" s="151" t="e">
        <f>SUM('Historical Financials'!#REF!)/1000</f>
        <v>#REF!</v>
      </c>
      <c r="R46" s="151" t="e">
        <f>SUM('Historical Financials'!#REF!)/1000</f>
        <v>#REF!</v>
      </c>
      <c r="S46" s="151" t="e">
        <f>SUM('Historical Financials'!#REF!)/1000</f>
        <v>#REF!</v>
      </c>
      <c r="T46" s="151" t="e">
        <f>SUM('Historical Financials'!#REF!)/1000</f>
        <v>#REF!</v>
      </c>
      <c r="U46" s="151" t="e">
        <f>SUM('Historical Financials'!#REF!)/1000</f>
        <v>#REF!</v>
      </c>
      <c r="V46" s="151" t="e">
        <f>SUM('Historical Financials'!#REF!)/1000</f>
        <v>#REF!</v>
      </c>
      <c r="W46" s="151" t="e">
        <f>SUM('Historical Financials'!#REF!)/1000</f>
        <v>#REF!</v>
      </c>
      <c r="Y46" s="10"/>
      <c r="Z46" s="10"/>
      <c r="AA46" s="10"/>
      <c r="AB46" s="10"/>
      <c r="AC46" s="10"/>
      <c r="AD46" s="10"/>
      <c r="AE46" s="10"/>
      <c r="AF46" s="10"/>
      <c r="AG46" s="152" t="e">
        <f>SUM(P46:S46)</f>
        <v>#REF!</v>
      </c>
      <c r="AH46" s="152" t="e">
        <f>SUM(Q46:T46)</f>
        <v>#REF!</v>
      </c>
      <c r="AI46" s="152" t="e">
        <f>SUM(R46:U46)</f>
        <v>#REF!</v>
      </c>
      <c r="AJ46" s="152" t="e">
        <f>SUM(S46:V46)</f>
        <v>#REF!</v>
      </c>
      <c r="AK46" s="152" t="e">
        <f>SUM(T46:W46)</f>
        <v>#REF!</v>
      </c>
    </row>
    <row r="47" spans="2:39" ht="12.75" customHeight="1">
      <c r="B47" s="32" t="s">
        <v>76</v>
      </c>
      <c r="C47" s="101"/>
      <c r="D47" s="101" t="e">
        <f>SUM(D52-C52)-SUM(D39:D45)</f>
        <v>#REF!</v>
      </c>
      <c r="E47" s="101" t="e">
        <f>SUM(E52-D52)-SUM(E39:E45)</f>
        <v>#REF!</v>
      </c>
      <c r="F47" s="101" t="e">
        <f>SUM(F52-E52)-SUM(F39:F45)</f>
        <v>#REF!</v>
      </c>
      <c r="G47" s="101" t="e">
        <f>SUM(G52-F52)-SUM(G39:G46)</f>
        <v>#REF!</v>
      </c>
      <c r="H47" s="33"/>
      <c r="I47" s="101" t="e">
        <f>SUM(I52-D52)-SUM(I39:I46)</f>
        <v>#REF!</v>
      </c>
      <c r="J47" s="101" t="e">
        <f t="shared" ref="J47:W47" si="127">SUM(J52-I52)-SUM(J39:J46)</f>
        <v>#REF!</v>
      </c>
      <c r="K47" s="101" t="e">
        <f t="shared" si="127"/>
        <v>#REF!</v>
      </c>
      <c r="L47" s="101" t="e">
        <f t="shared" si="127"/>
        <v>#REF!</v>
      </c>
      <c r="M47" s="101" t="e">
        <f t="shared" si="127"/>
        <v>#REF!</v>
      </c>
      <c r="N47" s="101" t="e">
        <f t="shared" si="127"/>
        <v>#REF!</v>
      </c>
      <c r="O47" s="101" t="e">
        <f t="shared" si="127"/>
        <v>#REF!</v>
      </c>
      <c r="P47" s="101" t="e">
        <f t="shared" si="127"/>
        <v>#REF!</v>
      </c>
      <c r="Q47" s="101" t="e">
        <f t="shared" si="127"/>
        <v>#REF!</v>
      </c>
      <c r="R47" s="101" t="e">
        <f t="shared" si="127"/>
        <v>#REF!</v>
      </c>
      <c r="S47" s="101" t="e">
        <f t="shared" si="127"/>
        <v>#REF!</v>
      </c>
      <c r="T47" s="101" t="e">
        <f t="shared" si="127"/>
        <v>#REF!</v>
      </c>
      <c r="U47" s="101" t="e">
        <f t="shared" si="127"/>
        <v>#REF!</v>
      </c>
      <c r="V47" s="101" t="e">
        <f t="shared" si="127"/>
        <v>#REF!</v>
      </c>
      <c r="W47" s="101" t="e">
        <f t="shared" si="127"/>
        <v>#REF!</v>
      </c>
      <c r="Y47" s="10" t="e">
        <f t="shared" ref="Y47:AE47" si="128">SUM(H47:K47)</f>
        <v>#REF!</v>
      </c>
      <c r="Z47" s="10" t="e">
        <f t="shared" si="128"/>
        <v>#REF!</v>
      </c>
      <c r="AA47" s="10" t="e">
        <f t="shared" si="128"/>
        <v>#REF!</v>
      </c>
      <c r="AB47" s="10" t="e">
        <f t="shared" si="128"/>
        <v>#REF!</v>
      </c>
      <c r="AC47" s="10" t="e">
        <f t="shared" si="128"/>
        <v>#REF!</v>
      </c>
      <c r="AD47" s="10" t="e">
        <f t="shared" si="128"/>
        <v>#REF!</v>
      </c>
      <c r="AE47" s="10" t="e">
        <f t="shared" si="128"/>
        <v>#REF!</v>
      </c>
      <c r="AF47" s="10" t="e">
        <f t="shared" si="126"/>
        <v>#REF!</v>
      </c>
      <c r="AG47" s="152" t="e">
        <f t="shared" si="126"/>
        <v>#REF!</v>
      </c>
      <c r="AH47" s="152" t="e">
        <f t="shared" si="126"/>
        <v>#REF!</v>
      </c>
      <c r="AI47" s="152" t="e">
        <f t="shared" si="126"/>
        <v>#REF!</v>
      </c>
      <c r="AJ47" s="152" t="e">
        <f t="shared" si="126"/>
        <v>#REF!</v>
      </c>
      <c r="AK47" s="152" t="e">
        <f t="shared" si="126"/>
        <v>#REF!</v>
      </c>
    </row>
    <row r="48" spans="2:39" ht="12.75" customHeight="1">
      <c r="B48" s="13" t="s">
        <v>46</v>
      </c>
      <c r="C48" s="14" t="e">
        <f>SUM(C39+SUM(C41:C47))</f>
        <v>#REF!</v>
      </c>
      <c r="D48" s="14" t="e">
        <f>SUM(D39+SUM(D41:D47))</f>
        <v>#REF!</v>
      </c>
      <c r="E48" s="14" t="e">
        <f>SUM(E39+SUM(E41:E47))</f>
        <v>#REF!</v>
      </c>
      <c r="F48" s="14" t="e">
        <f>SUM(F39+SUM(F41:F47))</f>
        <v>#REF!</v>
      </c>
      <c r="G48" s="14" t="e">
        <f>SUM(G39+SUM(G41:G47))</f>
        <v>#REF!</v>
      </c>
      <c r="I48" s="14" t="e">
        <f t="shared" ref="I48:W48" si="129">SUM(I39+SUM(I41:I47))</f>
        <v>#REF!</v>
      </c>
      <c r="J48" s="14" t="e">
        <f t="shared" si="129"/>
        <v>#REF!</v>
      </c>
      <c r="K48" s="14" t="e">
        <f t="shared" si="129"/>
        <v>#REF!</v>
      </c>
      <c r="L48" s="14" t="e">
        <f t="shared" si="129"/>
        <v>#REF!</v>
      </c>
      <c r="M48" s="14" t="e">
        <f t="shared" si="129"/>
        <v>#REF!</v>
      </c>
      <c r="N48" s="14" t="e">
        <f t="shared" si="129"/>
        <v>#REF!</v>
      </c>
      <c r="O48" s="14" t="e">
        <f t="shared" si="129"/>
        <v>#REF!</v>
      </c>
      <c r="P48" s="14" t="e">
        <f t="shared" si="129"/>
        <v>#REF!</v>
      </c>
      <c r="Q48" s="14" t="e">
        <f t="shared" si="129"/>
        <v>#REF!</v>
      </c>
      <c r="R48" s="14" t="e">
        <f t="shared" si="129"/>
        <v>#REF!</v>
      </c>
      <c r="S48" s="14" t="e">
        <f t="shared" si="129"/>
        <v>#REF!</v>
      </c>
      <c r="T48" s="14" t="e">
        <f t="shared" si="129"/>
        <v>#REF!</v>
      </c>
      <c r="U48" s="14" t="e">
        <f t="shared" si="129"/>
        <v>#REF!</v>
      </c>
      <c r="V48" s="14" t="e">
        <f t="shared" si="129"/>
        <v>#REF!</v>
      </c>
      <c r="W48" s="14" t="e">
        <f t="shared" si="129"/>
        <v>#REF!</v>
      </c>
      <c r="Y48" s="14" t="e">
        <f t="shared" ref="Y48:AK48" si="130">SUM(Y39+SUM(Y41:Y47))</f>
        <v>#REF!</v>
      </c>
      <c r="Z48" s="14" t="e">
        <f t="shared" si="130"/>
        <v>#REF!</v>
      </c>
      <c r="AA48" s="14" t="e">
        <f t="shared" si="130"/>
        <v>#REF!</v>
      </c>
      <c r="AB48" s="14" t="e">
        <f t="shared" si="130"/>
        <v>#REF!</v>
      </c>
      <c r="AC48" s="14" t="e">
        <f t="shared" si="130"/>
        <v>#REF!</v>
      </c>
      <c r="AD48" s="14" t="e">
        <f t="shared" si="130"/>
        <v>#REF!</v>
      </c>
      <c r="AE48" s="14" t="e">
        <f t="shared" si="130"/>
        <v>#REF!</v>
      </c>
      <c r="AF48" s="14" t="e">
        <f t="shared" si="130"/>
        <v>#REF!</v>
      </c>
      <c r="AG48" s="14" t="e">
        <f t="shared" si="130"/>
        <v>#REF!</v>
      </c>
      <c r="AH48" s="14" t="e">
        <f t="shared" si="130"/>
        <v>#REF!</v>
      </c>
      <c r="AI48" s="14" t="e">
        <f t="shared" si="130"/>
        <v>#REF!</v>
      </c>
      <c r="AJ48" s="14" t="e">
        <f t="shared" si="130"/>
        <v>#REF!</v>
      </c>
      <c r="AK48" s="14" t="e">
        <f t="shared" si="130"/>
        <v>#REF!</v>
      </c>
    </row>
    <row r="49" spans="1:37" ht="5.0999999999999996" customHeight="1"/>
    <row r="50" spans="1:37" ht="12.75" customHeight="1">
      <c r="A50" s="5"/>
      <c r="B50" s="34" t="s">
        <v>47</v>
      </c>
      <c r="C50" s="34"/>
      <c r="D50" s="34"/>
      <c r="E50" s="34"/>
      <c r="F50" s="34"/>
      <c r="G50" s="34"/>
      <c r="H50" s="34"/>
      <c r="I50" s="34"/>
      <c r="J50" s="34"/>
      <c r="K50" s="34"/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/>
      <c r="Y50" s="34"/>
      <c r="Z50" s="34"/>
      <c r="AA50" s="34"/>
      <c r="AB50" s="34"/>
      <c r="AC50" s="34"/>
      <c r="AD50" s="34"/>
      <c r="AE50" s="34"/>
      <c r="AF50" s="34"/>
      <c r="AG50" s="34"/>
      <c r="AH50" s="34"/>
      <c r="AI50" s="34"/>
      <c r="AJ50" s="34"/>
      <c r="AK50" s="34"/>
    </row>
    <row r="51" spans="1:37" ht="5.0999999999999996" customHeight="1"/>
    <row r="52" spans="1:37" ht="12.75" customHeight="1">
      <c r="B52" s="8" t="s">
        <v>48</v>
      </c>
      <c r="C52" s="99">
        <f>('Historical Financials'!C48)/1000</f>
        <v>6.7069999999999999</v>
      </c>
      <c r="D52" s="99">
        <f>('Historical Financials'!D48)/1000</f>
        <v>7.1159999999999997</v>
      </c>
      <c r="E52" s="99">
        <f>('Historical Financials'!E48)/1000</f>
        <v>2.7730000000000001</v>
      </c>
      <c r="F52" s="99">
        <f>('Historical Financials'!F48)/1000</f>
        <v>8.4499999999999993</v>
      </c>
      <c r="G52" s="99">
        <f>('Historical Financials'!G48)/1000</f>
        <v>7.8490000000000002</v>
      </c>
      <c r="H52" s="33"/>
      <c r="I52" s="99">
        <f>('Historical Financials'!I48)/1000</f>
        <v>6.6070000000000002</v>
      </c>
      <c r="J52" s="99">
        <f>('Historical Financials'!J48)/1000</f>
        <v>7.173</v>
      </c>
      <c r="K52" s="99">
        <f>('Historical Financials'!K48)/1000</f>
        <v>2.6760000000000002</v>
      </c>
      <c r="L52" s="99">
        <f>('Historical Financials'!L48)/1000</f>
        <v>2.7730000000000001</v>
      </c>
      <c r="M52" s="99">
        <f>('Historical Financials'!M48)/1000</f>
        <v>4.8079999999999998</v>
      </c>
      <c r="N52" s="99">
        <f>('Historical Financials'!N48)/1000</f>
        <v>3.488</v>
      </c>
      <c r="O52" s="99">
        <f>('Historical Financials'!O48)/1000</f>
        <v>6.0869999999999997</v>
      </c>
      <c r="P52" s="99">
        <f>('Historical Financials'!P48)/1000</f>
        <v>8.4499999999999993</v>
      </c>
      <c r="Q52" s="99">
        <f>('Historical Financials'!Q48)/1000</f>
        <v>8.1329999999999991</v>
      </c>
      <c r="R52" s="99">
        <f>('Historical Financials'!R48)/1000</f>
        <v>9.2189999999999994</v>
      </c>
      <c r="S52" s="99">
        <f>('Historical Financials'!S48)/1000</f>
        <v>7.77</v>
      </c>
      <c r="T52" s="99">
        <f>('Historical Financials'!T48)/1000</f>
        <v>7.8490000000000002</v>
      </c>
      <c r="U52" s="99">
        <f>('Historical Financials'!U48)/1000</f>
        <v>0</v>
      </c>
      <c r="V52" s="99">
        <f>('Historical Financials'!V48)/1000</f>
        <v>0</v>
      </c>
      <c r="W52" s="99">
        <f>('Historical Financials'!W48)/1000</f>
        <v>0</v>
      </c>
      <c r="Y52" s="10">
        <f t="shared" ref="Y52:AK52" si="131">K52</f>
        <v>2.6760000000000002</v>
      </c>
      <c r="Z52" s="10">
        <f t="shared" si="131"/>
        <v>2.7730000000000001</v>
      </c>
      <c r="AA52" s="10">
        <f t="shared" si="131"/>
        <v>4.8079999999999998</v>
      </c>
      <c r="AB52" s="10">
        <f t="shared" si="131"/>
        <v>3.488</v>
      </c>
      <c r="AC52" s="10">
        <f t="shared" si="131"/>
        <v>6.0869999999999997</v>
      </c>
      <c r="AD52" s="10">
        <f t="shared" si="131"/>
        <v>8.4499999999999993</v>
      </c>
      <c r="AE52" s="10">
        <f t="shared" si="131"/>
        <v>8.1329999999999991</v>
      </c>
      <c r="AF52" s="10">
        <f t="shared" si="131"/>
        <v>9.2189999999999994</v>
      </c>
      <c r="AG52" s="10">
        <f t="shared" si="131"/>
        <v>7.77</v>
      </c>
      <c r="AH52" s="10">
        <f t="shared" si="131"/>
        <v>7.8490000000000002</v>
      </c>
      <c r="AI52" s="10">
        <f t="shared" si="131"/>
        <v>0</v>
      </c>
      <c r="AJ52" s="10">
        <f t="shared" si="131"/>
        <v>0</v>
      </c>
      <c r="AK52" s="10">
        <f t="shared" si="131"/>
        <v>0</v>
      </c>
    </row>
    <row r="53" spans="1:37" ht="12.75" customHeight="1">
      <c r="B53" s="8" t="s">
        <v>102</v>
      </c>
      <c r="C53" s="99" t="e">
        <f>('Historical Financials'!#REF!)/1000</f>
        <v>#REF!</v>
      </c>
      <c r="D53" s="99" t="e">
        <f>('Historical Financials'!#REF!)/1000</f>
        <v>#REF!</v>
      </c>
      <c r="E53" s="99" t="e">
        <f>('Historical Financials'!#REF!)/1000</f>
        <v>#REF!</v>
      </c>
      <c r="F53" s="99" t="e">
        <f>('Historical Financials'!#REF!)/1000</f>
        <v>#REF!</v>
      </c>
      <c r="G53" s="99" t="e">
        <f>('Historical Financials'!#REF!)/1000</f>
        <v>#REF!</v>
      </c>
      <c r="H53" s="33"/>
      <c r="I53" s="99" t="e">
        <f>('Historical Financials'!#REF!)/1000</f>
        <v>#REF!</v>
      </c>
      <c r="J53" s="99" t="e">
        <f>('Historical Financials'!#REF!)/1000</f>
        <v>#REF!</v>
      </c>
      <c r="K53" s="99" t="e">
        <f>('Historical Financials'!#REF!)/1000</f>
        <v>#REF!</v>
      </c>
      <c r="L53" s="99" t="e">
        <f>('Historical Financials'!#REF!)/1000</f>
        <v>#REF!</v>
      </c>
      <c r="M53" s="99" t="e">
        <f>('Historical Financials'!#REF!)/1000</f>
        <v>#REF!</v>
      </c>
      <c r="N53" s="99" t="e">
        <f>('Historical Financials'!#REF!)/1000</f>
        <v>#REF!</v>
      </c>
      <c r="O53" s="99" t="e">
        <f>('Historical Financials'!#REF!)/1000</f>
        <v>#REF!</v>
      </c>
      <c r="P53" s="99" t="e">
        <f>('Historical Financials'!#REF!)/1000</f>
        <v>#REF!</v>
      </c>
      <c r="Q53" s="99" t="e">
        <f>('Historical Financials'!#REF!)/1000</f>
        <v>#REF!</v>
      </c>
      <c r="R53" s="99" t="e">
        <f>('Historical Financials'!#REF!)/1000</f>
        <v>#REF!</v>
      </c>
      <c r="S53" s="99" t="e">
        <f>('Historical Financials'!#REF!)/1000</f>
        <v>#REF!</v>
      </c>
      <c r="T53" s="99" t="e">
        <f>('Historical Financials'!#REF!)/1000</f>
        <v>#REF!</v>
      </c>
      <c r="U53" s="99" t="e">
        <f>('Historical Financials'!#REF!)/1000</f>
        <v>#REF!</v>
      </c>
      <c r="V53" s="99" t="e">
        <f>('Historical Financials'!#REF!)/1000</f>
        <v>#REF!</v>
      </c>
      <c r="W53" s="99" t="e">
        <f>('Historical Financials'!#REF!)/1000</f>
        <v>#REF!</v>
      </c>
      <c r="Y53" s="10"/>
      <c r="Z53" s="10"/>
      <c r="AA53" s="10"/>
      <c r="AB53" s="10"/>
      <c r="AC53" s="10"/>
      <c r="AD53" s="10"/>
      <c r="AE53" s="10"/>
      <c r="AF53" s="10"/>
      <c r="AG53" s="10" t="e">
        <f t="shared" ref="AG53:AK54" si="132">S53</f>
        <v>#REF!</v>
      </c>
      <c r="AH53" s="10" t="e">
        <f t="shared" si="132"/>
        <v>#REF!</v>
      </c>
      <c r="AI53" s="10" t="e">
        <f t="shared" si="132"/>
        <v>#REF!</v>
      </c>
      <c r="AJ53" s="10" t="e">
        <f t="shared" si="132"/>
        <v>#REF!</v>
      </c>
      <c r="AK53" s="10" t="e">
        <f t="shared" si="132"/>
        <v>#REF!</v>
      </c>
    </row>
    <row r="54" spans="1:37" ht="12.75" customHeight="1">
      <c r="B54" s="32" t="s">
        <v>157</v>
      </c>
      <c r="C54" s="85">
        <v>750</v>
      </c>
      <c r="D54" s="85">
        <v>1000</v>
      </c>
      <c r="E54" s="85">
        <v>1000</v>
      </c>
      <c r="F54" s="85">
        <v>1000</v>
      </c>
      <c r="G54" s="85">
        <v>3000</v>
      </c>
      <c r="H54" s="99"/>
      <c r="I54" s="85">
        <v>1000</v>
      </c>
      <c r="J54" s="85">
        <v>1000</v>
      </c>
      <c r="K54" s="85">
        <v>1000</v>
      </c>
      <c r="L54" s="10">
        <f>E54</f>
        <v>1000</v>
      </c>
      <c r="M54" s="85">
        <v>1000</v>
      </c>
      <c r="N54" s="85">
        <v>1000</v>
      </c>
      <c r="O54" s="85">
        <v>1000</v>
      </c>
      <c r="P54" s="10">
        <f>F54</f>
        <v>1000</v>
      </c>
      <c r="Q54" s="85">
        <v>3000</v>
      </c>
      <c r="R54" s="85">
        <v>3000</v>
      </c>
      <c r="S54" s="85">
        <v>3000</v>
      </c>
      <c r="T54" s="10">
        <f>G54</f>
        <v>3000</v>
      </c>
      <c r="U54" s="85">
        <v>3000</v>
      </c>
      <c r="V54" s="85">
        <v>3000</v>
      </c>
      <c r="W54" s="85">
        <v>3000</v>
      </c>
      <c r="Y54" s="10"/>
      <c r="Z54" s="10"/>
      <c r="AA54" s="10"/>
      <c r="AB54" s="10"/>
      <c r="AC54" s="10"/>
      <c r="AD54" s="10"/>
      <c r="AE54" s="10"/>
      <c r="AF54" s="10"/>
      <c r="AG54" s="10">
        <f t="shared" si="132"/>
        <v>3000</v>
      </c>
      <c r="AH54" s="10">
        <f t="shared" si="132"/>
        <v>3000</v>
      </c>
      <c r="AI54" s="10">
        <f t="shared" si="132"/>
        <v>3000</v>
      </c>
      <c r="AJ54" s="10">
        <f t="shared" si="132"/>
        <v>3000</v>
      </c>
      <c r="AK54" s="10">
        <f t="shared" si="132"/>
        <v>3000</v>
      </c>
    </row>
    <row r="55" spans="1:37" ht="12.75" customHeight="1">
      <c r="B55" s="13" t="s">
        <v>49</v>
      </c>
      <c r="C55" s="14" t="e">
        <f>SUM(C52:C54)</f>
        <v>#REF!</v>
      </c>
      <c r="D55" s="14" t="e">
        <f>SUM(D52:D54)</f>
        <v>#REF!</v>
      </c>
      <c r="E55" s="14" t="e">
        <f>SUM(E52:E54)</f>
        <v>#REF!</v>
      </c>
      <c r="F55" s="14" t="e">
        <f>SUM(F52:F54)</f>
        <v>#REF!</v>
      </c>
      <c r="G55" s="14" t="e">
        <f>SUM(G52:G54)</f>
        <v>#REF!</v>
      </c>
      <c r="H55" s="33"/>
      <c r="I55" s="14" t="e">
        <f t="shared" ref="I55:W55" si="133">SUM(I52:I54)</f>
        <v>#REF!</v>
      </c>
      <c r="J55" s="14" t="e">
        <f t="shared" si="133"/>
        <v>#REF!</v>
      </c>
      <c r="K55" s="14" t="e">
        <f t="shared" si="133"/>
        <v>#REF!</v>
      </c>
      <c r="L55" s="14" t="e">
        <f t="shared" si="133"/>
        <v>#REF!</v>
      </c>
      <c r="M55" s="14" t="e">
        <f t="shared" si="133"/>
        <v>#REF!</v>
      </c>
      <c r="N55" s="14" t="e">
        <f t="shared" si="133"/>
        <v>#REF!</v>
      </c>
      <c r="O55" s="14" t="e">
        <f t="shared" si="133"/>
        <v>#REF!</v>
      </c>
      <c r="P55" s="14" t="e">
        <f t="shared" si="133"/>
        <v>#REF!</v>
      </c>
      <c r="Q55" s="14" t="e">
        <f t="shared" si="133"/>
        <v>#REF!</v>
      </c>
      <c r="R55" s="14" t="e">
        <f t="shared" si="133"/>
        <v>#REF!</v>
      </c>
      <c r="S55" s="14" t="e">
        <f t="shared" si="133"/>
        <v>#REF!</v>
      </c>
      <c r="T55" s="14" t="e">
        <f t="shared" si="133"/>
        <v>#REF!</v>
      </c>
      <c r="U55" s="14" t="e">
        <f t="shared" si="133"/>
        <v>#REF!</v>
      </c>
      <c r="V55" s="14" t="e">
        <f t="shared" si="133"/>
        <v>#REF!</v>
      </c>
      <c r="W55" s="14" t="e">
        <f t="shared" si="133"/>
        <v>#REF!</v>
      </c>
      <c r="Y55" s="14">
        <f t="shared" ref="Y55:AF55" si="134">SUM(Y52:Y52)</f>
        <v>2.6760000000000002</v>
      </c>
      <c r="Z55" s="14">
        <f t="shared" si="134"/>
        <v>2.7730000000000001</v>
      </c>
      <c r="AA55" s="14">
        <f t="shared" si="134"/>
        <v>4.8079999999999998</v>
      </c>
      <c r="AB55" s="14">
        <f t="shared" si="134"/>
        <v>3.488</v>
      </c>
      <c r="AC55" s="14">
        <f t="shared" si="134"/>
        <v>6.0869999999999997</v>
      </c>
      <c r="AD55" s="14">
        <f t="shared" si="134"/>
        <v>8.4499999999999993</v>
      </c>
      <c r="AE55" s="14">
        <f t="shared" si="134"/>
        <v>8.1329999999999991</v>
      </c>
      <c r="AF55" s="14">
        <f t="shared" si="134"/>
        <v>9.2189999999999994</v>
      </c>
      <c r="AG55" s="14" t="e">
        <f>SUM(AG52:AG54)</f>
        <v>#REF!</v>
      </c>
      <c r="AH55" s="14" t="e">
        <f>SUM(AH52:AH54)</f>
        <v>#REF!</v>
      </c>
      <c r="AI55" s="14" t="e">
        <f>SUM(AI52:AI54)</f>
        <v>#REF!</v>
      </c>
      <c r="AJ55" s="14" t="e">
        <f>SUM(AJ52:AJ54)</f>
        <v>#REF!</v>
      </c>
      <c r="AK55" s="14" t="e">
        <f>SUM(AK52:AK54)</f>
        <v>#REF!</v>
      </c>
    </row>
    <row r="56" spans="1:37" ht="5.0999999999999996" customHeight="1"/>
    <row r="57" spans="1:37" ht="12.75" customHeight="1">
      <c r="B57" s="36" t="s">
        <v>50</v>
      </c>
    </row>
    <row r="58" spans="1:37" ht="12.75" customHeight="1">
      <c r="B58" s="8" t="s">
        <v>159</v>
      </c>
      <c r="C58" s="99" t="e">
        <f>('Historical Financials'!#REF!)/1000</f>
        <v>#REF!</v>
      </c>
      <c r="D58" s="99" t="e">
        <f>('Historical Financials'!#REF!)/1000</f>
        <v>#REF!</v>
      </c>
      <c r="E58" s="99" t="e">
        <f>('Historical Financials'!#REF!)/1000</f>
        <v>#REF!</v>
      </c>
      <c r="F58" s="99" t="e">
        <f>('Historical Financials'!#REF!)/1000</f>
        <v>#REF!</v>
      </c>
      <c r="G58" s="99" t="e">
        <f>('Historical Financials'!#REF!)/1000</f>
        <v>#REF!</v>
      </c>
      <c r="I58" s="99" t="e">
        <f>('Historical Financials'!#REF!)/1000</f>
        <v>#REF!</v>
      </c>
      <c r="J58" s="99" t="e">
        <f>('Historical Financials'!#REF!)/1000</f>
        <v>#REF!</v>
      </c>
      <c r="K58" s="99" t="e">
        <f>('Historical Financials'!#REF!)/1000</f>
        <v>#REF!</v>
      </c>
      <c r="L58" s="99" t="e">
        <f>('Historical Financials'!#REF!)/1000</f>
        <v>#REF!</v>
      </c>
      <c r="M58" s="99" t="e">
        <f>('Historical Financials'!#REF!)/1000</f>
        <v>#REF!</v>
      </c>
      <c r="N58" s="99" t="e">
        <f>('Historical Financials'!#REF!)/1000</f>
        <v>#REF!</v>
      </c>
      <c r="O58" s="99" t="e">
        <f>('Historical Financials'!#REF!)/1000</f>
        <v>#REF!</v>
      </c>
      <c r="P58" s="99" t="e">
        <f>('Historical Financials'!#REF!)/1000</f>
        <v>#REF!</v>
      </c>
      <c r="Q58" s="99" t="e">
        <f>('Historical Financials'!#REF!)/1000</f>
        <v>#REF!</v>
      </c>
      <c r="R58" s="99" t="e">
        <f>('Historical Financials'!#REF!)/1000</f>
        <v>#REF!</v>
      </c>
      <c r="S58" s="99" t="e">
        <f>('Historical Financials'!#REF!)/1000</f>
        <v>#REF!</v>
      </c>
      <c r="T58" s="99" t="e">
        <f>('Historical Financials'!#REF!)/1000</f>
        <v>#REF!</v>
      </c>
      <c r="U58" s="99" t="e">
        <f>('Historical Financials'!#REF!)/1000</f>
        <v>#REF!</v>
      </c>
      <c r="V58" s="99" t="e">
        <f>('Historical Financials'!#REF!)/1000</f>
        <v>#REF!</v>
      </c>
      <c r="W58" s="99" t="e">
        <f>('Historical Financials'!#REF!)/1000</f>
        <v>#REF!</v>
      </c>
      <c r="X58" s="10"/>
      <c r="Y58" s="10" t="e">
        <f t="shared" ref="Y58:AI63" si="135">K58</f>
        <v>#REF!</v>
      </c>
      <c r="Z58" s="10" t="e">
        <f t="shared" si="135"/>
        <v>#REF!</v>
      </c>
      <c r="AA58" s="10" t="e">
        <f t="shared" si="135"/>
        <v>#REF!</v>
      </c>
      <c r="AB58" s="10" t="e">
        <f t="shared" si="135"/>
        <v>#REF!</v>
      </c>
      <c r="AC58" s="10" t="e">
        <f t="shared" si="135"/>
        <v>#REF!</v>
      </c>
      <c r="AD58" s="10" t="e">
        <f t="shared" si="135"/>
        <v>#REF!</v>
      </c>
      <c r="AE58" s="10" t="e">
        <f t="shared" si="135"/>
        <v>#REF!</v>
      </c>
      <c r="AF58" s="10" t="e">
        <f t="shared" si="135"/>
        <v>#REF!</v>
      </c>
      <c r="AG58" s="10" t="e">
        <f t="shared" si="135"/>
        <v>#REF!</v>
      </c>
      <c r="AH58" s="10" t="e">
        <f t="shared" si="135"/>
        <v>#REF!</v>
      </c>
      <c r="AI58" s="10" t="e">
        <f t="shared" si="135"/>
        <v>#REF!</v>
      </c>
      <c r="AJ58" s="10" t="e">
        <f t="shared" ref="AJ58:AK63" si="136">V58</f>
        <v>#REF!</v>
      </c>
      <c r="AK58" s="10" t="e">
        <f t="shared" si="136"/>
        <v>#REF!</v>
      </c>
    </row>
    <row r="59" spans="1:37" ht="12.75" customHeight="1">
      <c r="B59" s="8" t="s">
        <v>129</v>
      </c>
      <c r="C59" s="99">
        <f>('Historical Financials'!C66)/1000</f>
        <v>2.2480000000000002</v>
      </c>
      <c r="D59" s="99">
        <f>('Historical Financials'!D66)/1000</f>
        <v>2.75</v>
      </c>
      <c r="E59" s="99">
        <f>('Historical Financials'!E66)/1000</f>
        <v>3.7959999999999998</v>
      </c>
      <c r="F59" s="99">
        <f>('Historical Financials'!F66)/1000</f>
        <v>1.9119999999999999</v>
      </c>
      <c r="G59" s="99">
        <f>('Historical Financials'!G66)/1000</f>
        <v>2.5840000000000001</v>
      </c>
      <c r="H59" s="99"/>
      <c r="I59" s="99">
        <f>('Historical Financials'!I66)/1000</f>
        <v>3.5259999999999998</v>
      </c>
      <c r="J59" s="99">
        <f>('Historical Financials'!J66)/1000</f>
        <v>3.7240000000000002</v>
      </c>
      <c r="K59" s="99">
        <f>('Historical Financials'!K66)/1000</f>
        <v>3.7519999999999998</v>
      </c>
      <c r="L59" s="99">
        <f>('Historical Financials'!L66)/1000</f>
        <v>3.7959999999999998</v>
      </c>
      <c r="M59" s="99">
        <f>('Historical Financials'!M66)/1000</f>
        <v>2.5619999999999998</v>
      </c>
      <c r="N59" s="99">
        <f>('Historical Financials'!N66)/1000</f>
        <v>1.43</v>
      </c>
      <c r="O59" s="99">
        <f>('Historical Financials'!O66)/1000</f>
        <v>1.744</v>
      </c>
      <c r="P59" s="99">
        <f>('Historical Financials'!P66)/1000</f>
        <v>1.9119999999999999</v>
      </c>
      <c r="Q59" s="99">
        <f>('Historical Financials'!Q66)/1000</f>
        <v>2.1469999999999998</v>
      </c>
      <c r="R59" s="99">
        <f>('Historical Financials'!R66)/1000</f>
        <v>2.3140000000000001</v>
      </c>
      <c r="S59" s="99">
        <f>('Historical Financials'!S66)/1000</f>
        <v>2.5859999999999999</v>
      </c>
      <c r="T59" s="99">
        <f>('Historical Financials'!T66)/1000</f>
        <v>2.5840000000000001</v>
      </c>
      <c r="U59" s="99">
        <f>('Historical Financials'!U66)/1000</f>
        <v>0</v>
      </c>
      <c r="V59" s="99">
        <f>('Historical Financials'!V66)/1000</f>
        <v>0</v>
      </c>
      <c r="W59" s="99">
        <f>('Historical Financials'!W66)/1000</f>
        <v>0</v>
      </c>
      <c r="Y59" s="10">
        <f t="shared" si="135"/>
        <v>3.7519999999999998</v>
      </c>
      <c r="Z59" s="10">
        <f t="shared" si="135"/>
        <v>3.7959999999999998</v>
      </c>
      <c r="AA59" s="10">
        <f t="shared" si="135"/>
        <v>2.5619999999999998</v>
      </c>
      <c r="AB59" s="10">
        <f t="shared" si="135"/>
        <v>1.43</v>
      </c>
      <c r="AC59" s="10">
        <f t="shared" si="135"/>
        <v>1.744</v>
      </c>
      <c r="AD59" s="10">
        <f t="shared" si="135"/>
        <v>1.9119999999999999</v>
      </c>
      <c r="AE59" s="10">
        <f t="shared" si="135"/>
        <v>2.1469999999999998</v>
      </c>
      <c r="AF59" s="10">
        <f t="shared" si="135"/>
        <v>2.3140000000000001</v>
      </c>
      <c r="AG59" s="10">
        <f t="shared" si="135"/>
        <v>2.5859999999999999</v>
      </c>
      <c r="AH59" s="10">
        <f t="shared" si="135"/>
        <v>2.5840000000000001</v>
      </c>
      <c r="AI59" s="10">
        <f t="shared" si="135"/>
        <v>0</v>
      </c>
      <c r="AJ59" s="10">
        <f t="shared" si="136"/>
        <v>0</v>
      </c>
      <c r="AK59" s="10">
        <f t="shared" si="136"/>
        <v>0</v>
      </c>
    </row>
    <row r="60" spans="1:37" ht="12.75" customHeight="1">
      <c r="B60" s="8" t="s">
        <v>51</v>
      </c>
      <c r="C60" s="99">
        <f>('Historical Financials'!C68)/1000</f>
        <v>0.56799999999999995</v>
      </c>
      <c r="D60" s="99">
        <f>('Historical Financials'!D68)/1000</f>
        <v>0.61199999999999999</v>
      </c>
      <c r="E60" s="99">
        <f>('Historical Financials'!E68)/1000</f>
        <v>0.36899999999999999</v>
      </c>
      <c r="F60" s="99">
        <f>('Historical Financials'!F68)/1000</f>
        <v>0.29299999999999998</v>
      </c>
      <c r="G60" s="99">
        <f>('Historical Financials'!G68)/1000</f>
        <v>0.29699999999999999</v>
      </c>
      <c r="H60" s="99"/>
      <c r="I60" s="99">
        <f>('Historical Financials'!I68)/1000</f>
        <v>0.60399999999999998</v>
      </c>
      <c r="J60" s="99">
        <f>('Historical Financials'!J68)/1000</f>
        <v>0.53400000000000003</v>
      </c>
      <c r="K60" s="99">
        <f>('Historical Financials'!K68)/1000</f>
        <v>0.46300000000000002</v>
      </c>
      <c r="L60" s="99">
        <f>('Historical Financials'!L68)/1000</f>
        <v>0.36899999999999999</v>
      </c>
      <c r="M60" s="99">
        <f>('Historical Financials'!M68)/1000</f>
        <v>0.28899999999999998</v>
      </c>
      <c r="N60" s="99">
        <f>('Historical Financials'!N68)/1000</f>
        <v>0.27700000000000002</v>
      </c>
      <c r="O60" s="99">
        <f>('Historical Financials'!O68)/1000</f>
        <v>0.249</v>
      </c>
      <c r="P60" s="99">
        <f>('Historical Financials'!P68)/1000</f>
        <v>0.29299999999999998</v>
      </c>
      <c r="Q60" s="99">
        <f>('Historical Financials'!Q68)/1000</f>
        <v>0.21</v>
      </c>
      <c r="R60" s="99">
        <f>('Historical Financials'!R68)/1000</f>
        <v>0.253</v>
      </c>
      <c r="S60" s="99">
        <f>('Historical Financials'!S68)/1000</f>
        <v>0.26300000000000001</v>
      </c>
      <c r="T60" s="99">
        <f>('Historical Financials'!T68)/1000</f>
        <v>0.29699999999999999</v>
      </c>
      <c r="U60" s="99">
        <f>('Historical Financials'!U68)/1000</f>
        <v>0</v>
      </c>
      <c r="V60" s="99">
        <f>('Historical Financials'!V68)/1000</f>
        <v>0</v>
      </c>
      <c r="W60" s="99">
        <f>('Historical Financials'!W68)/1000</f>
        <v>0</v>
      </c>
      <c r="Y60" s="10"/>
      <c r="Z60" s="10"/>
      <c r="AA60" s="10"/>
      <c r="AB60" s="10"/>
      <c r="AC60" s="10"/>
      <c r="AD60" s="10"/>
      <c r="AE60" s="10"/>
      <c r="AF60" s="10"/>
      <c r="AG60" s="10">
        <f t="shared" ref="AG60:AG61" si="137">S60</f>
        <v>0.26300000000000001</v>
      </c>
      <c r="AH60" s="10">
        <f t="shared" ref="AH60:AH61" si="138">T60</f>
        <v>0.29699999999999999</v>
      </c>
      <c r="AI60" s="10">
        <f t="shared" ref="AI60:AI61" si="139">U60</f>
        <v>0</v>
      </c>
      <c r="AJ60" s="10">
        <f t="shared" ref="AJ60:AJ61" si="140">V60</f>
        <v>0</v>
      </c>
      <c r="AK60" s="10">
        <f t="shared" ref="AK60:AK61" si="141">W60</f>
        <v>0</v>
      </c>
    </row>
    <row r="61" spans="1:37" ht="12.75" customHeight="1">
      <c r="B61" s="8" t="s">
        <v>130</v>
      </c>
      <c r="C61" s="99">
        <f>('Historical Financials'!C70)/1000</f>
        <v>0</v>
      </c>
      <c r="D61" s="99">
        <f>('Historical Financials'!D70)/1000</f>
        <v>0</v>
      </c>
      <c r="E61" s="99">
        <f>('Historical Financials'!E70)/1000</f>
        <v>0.58099999999999996</v>
      </c>
      <c r="F61" s="99">
        <f>('Historical Financials'!F70)/1000</f>
        <v>0.33300000000000002</v>
      </c>
      <c r="G61" s="99">
        <f>('Historical Financials'!G70)/1000</f>
        <v>0</v>
      </c>
      <c r="H61" s="99"/>
      <c r="I61" s="99">
        <f>('Historical Financials'!I70)/1000</f>
        <v>0</v>
      </c>
      <c r="J61" s="99">
        <f>('Historical Financials'!J70)/1000</f>
        <v>0</v>
      </c>
      <c r="K61" s="99">
        <f>('Historical Financials'!K70)/1000</f>
        <v>0.67700000000000005</v>
      </c>
      <c r="L61" s="99">
        <f>('Historical Financials'!L70)/1000</f>
        <v>0.58099999999999996</v>
      </c>
      <c r="M61" s="99">
        <f>('Historical Financials'!M70)/1000</f>
        <v>0.64600000000000002</v>
      </c>
      <c r="N61" s="99">
        <f>('Historical Financials'!N70)/1000</f>
        <v>0.64800000000000002</v>
      </c>
      <c r="O61" s="99">
        <f>('Historical Financials'!O70)/1000</f>
        <v>0.3</v>
      </c>
      <c r="P61" s="99">
        <f>('Historical Financials'!P70)/1000</f>
        <v>0.33300000000000002</v>
      </c>
      <c r="Q61" s="99">
        <f>('Historical Financials'!Q70)/1000</f>
        <v>0.33600000000000002</v>
      </c>
      <c r="R61" s="99">
        <f>('Historical Financials'!R70)/1000</f>
        <v>0</v>
      </c>
      <c r="S61" s="99">
        <f>('Historical Financials'!S70)/1000</f>
        <v>0</v>
      </c>
      <c r="T61" s="99">
        <f>('Historical Financials'!T70)/1000</f>
        <v>0</v>
      </c>
      <c r="U61" s="99">
        <f>('Historical Financials'!U70)/1000</f>
        <v>0</v>
      </c>
      <c r="V61" s="99">
        <f>('Historical Financials'!V70)/1000</f>
        <v>0</v>
      </c>
      <c r="W61" s="99">
        <f>('Historical Financials'!W70)/1000</f>
        <v>0</v>
      </c>
      <c r="Y61" s="10"/>
      <c r="Z61" s="10"/>
      <c r="AA61" s="10"/>
      <c r="AB61" s="10"/>
      <c r="AC61" s="10"/>
      <c r="AD61" s="10"/>
      <c r="AE61" s="10"/>
      <c r="AF61" s="10"/>
      <c r="AG61" s="10">
        <f t="shared" si="137"/>
        <v>0</v>
      </c>
      <c r="AH61" s="10">
        <f t="shared" si="138"/>
        <v>0</v>
      </c>
      <c r="AI61" s="10">
        <f t="shared" si="139"/>
        <v>0</v>
      </c>
      <c r="AJ61" s="10">
        <f t="shared" si="140"/>
        <v>0</v>
      </c>
      <c r="AK61" s="10">
        <f t="shared" si="141"/>
        <v>0</v>
      </c>
    </row>
    <row r="62" spans="1:37" ht="12.75" customHeight="1">
      <c r="B62" s="8" t="s">
        <v>52</v>
      </c>
      <c r="C62" s="99">
        <f>('Historical Financials'!C72)/1000</f>
        <v>8.6720000000000006</v>
      </c>
      <c r="D62" s="99">
        <f>('Historical Financials'!D72)/1000</f>
        <v>11.951000000000001</v>
      </c>
      <c r="E62" s="99">
        <f>('Historical Financials'!E72)/1000</f>
        <v>11.866</v>
      </c>
      <c r="F62" s="99">
        <f>('Historical Financials'!F72)/1000</f>
        <v>9.6280000000000001</v>
      </c>
      <c r="G62" s="99">
        <f>('Historical Financials'!G72)/1000</f>
        <v>10.504</v>
      </c>
      <c r="H62" s="99"/>
      <c r="I62" s="99">
        <f>('Historical Financials'!I72)/1000</f>
        <v>12.273</v>
      </c>
      <c r="J62" s="99">
        <f>('Historical Financials'!J72)/1000</f>
        <v>13.432</v>
      </c>
      <c r="K62" s="99">
        <f>('Historical Financials'!K72)/1000</f>
        <v>11.829000000000001</v>
      </c>
      <c r="L62" s="99">
        <f>('Historical Financials'!L72)/1000</f>
        <v>11.866</v>
      </c>
      <c r="M62" s="99">
        <f>('Historical Financials'!M72)/1000</f>
        <v>10.081</v>
      </c>
      <c r="N62" s="99">
        <f>('Historical Financials'!N72)/1000</f>
        <v>7.8659999999999997</v>
      </c>
      <c r="O62" s="99">
        <f>('Historical Financials'!O72)/1000</f>
        <v>8.4629999999999992</v>
      </c>
      <c r="P62" s="99">
        <f>('Historical Financials'!P72)/1000</f>
        <v>9.6280000000000001</v>
      </c>
      <c r="Q62" s="99">
        <f>('Historical Financials'!Q72)/1000</f>
        <v>9.1690000000000005</v>
      </c>
      <c r="R62" s="99">
        <f>('Historical Financials'!R72)/1000</f>
        <v>9.1430000000000007</v>
      </c>
      <c r="S62" s="99">
        <f>('Historical Financials'!S72)/1000</f>
        <v>9.7469999999999999</v>
      </c>
      <c r="T62" s="99">
        <f>('Historical Financials'!T72)/1000</f>
        <v>10.504</v>
      </c>
      <c r="U62" s="99">
        <f>('Historical Financials'!U72)/1000</f>
        <v>0</v>
      </c>
      <c r="V62" s="99">
        <f>('Historical Financials'!V72)/1000</f>
        <v>0</v>
      </c>
      <c r="W62" s="99">
        <f>('Historical Financials'!W72)/1000</f>
        <v>0</v>
      </c>
      <c r="Y62" s="10">
        <f t="shared" si="135"/>
        <v>11.829000000000001</v>
      </c>
      <c r="Z62" s="10">
        <f t="shared" si="135"/>
        <v>11.866</v>
      </c>
      <c r="AA62" s="10">
        <f t="shared" si="135"/>
        <v>10.081</v>
      </c>
      <c r="AB62" s="10">
        <f t="shared" si="135"/>
        <v>7.8659999999999997</v>
      </c>
      <c r="AC62" s="10">
        <f t="shared" si="135"/>
        <v>8.4629999999999992</v>
      </c>
      <c r="AD62" s="10">
        <f t="shared" si="135"/>
        <v>9.6280000000000001</v>
      </c>
      <c r="AE62" s="10">
        <f t="shared" si="135"/>
        <v>9.1690000000000005</v>
      </c>
      <c r="AF62" s="10">
        <f t="shared" si="135"/>
        <v>9.1430000000000007</v>
      </c>
      <c r="AG62" s="10">
        <f t="shared" si="135"/>
        <v>9.7469999999999999</v>
      </c>
      <c r="AH62" s="10">
        <f t="shared" si="135"/>
        <v>10.504</v>
      </c>
      <c r="AI62" s="10">
        <f t="shared" si="135"/>
        <v>0</v>
      </c>
      <c r="AJ62" s="10">
        <f t="shared" si="136"/>
        <v>0</v>
      </c>
      <c r="AK62" s="10">
        <f t="shared" si="136"/>
        <v>0</v>
      </c>
    </row>
    <row r="63" spans="1:37" ht="12.75" customHeight="1">
      <c r="B63" s="8" t="s">
        <v>17</v>
      </c>
      <c r="C63" s="99">
        <f>('Historical Financials'!C80)/1000</f>
        <v>29.516999999999999</v>
      </c>
      <c r="D63" s="99">
        <f>('Historical Financials'!D80)/1000</f>
        <v>31.29</v>
      </c>
      <c r="E63" s="99">
        <f>('Historical Financials'!E80)/1000</f>
        <v>31.001000000000001</v>
      </c>
      <c r="F63" s="99">
        <f>('Historical Financials'!F80)/1000</f>
        <v>29.459</v>
      </c>
      <c r="G63" s="99">
        <f>('Historical Financials'!G80)/1000</f>
        <v>28.88</v>
      </c>
      <c r="H63" s="99"/>
      <c r="I63" s="99">
        <f>('Historical Financials'!I80)/1000</f>
        <v>31.486999999999998</v>
      </c>
      <c r="J63" s="99">
        <f>('Historical Financials'!J80)/1000</f>
        <v>30.974</v>
      </c>
      <c r="K63" s="99">
        <f>('Historical Financials'!K80)/1000</f>
        <v>30.972000000000001</v>
      </c>
      <c r="L63" s="99">
        <f>('Historical Financials'!L80)/1000</f>
        <v>31.001000000000001</v>
      </c>
      <c r="M63" s="99">
        <f>('Historical Financials'!M80)/1000</f>
        <v>31.204000000000001</v>
      </c>
      <c r="N63" s="99">
        <f>('Historical Financials'!N80)/1000</f>
        <v>28.664000000000001</v>
      </c>
      <c r="O63" s="99">
        <f>('Historical Financials'!O80)/1000</f>
        <v>28.332000000000001</v>
      </c>
      <c r="P63" s="99">
        <f>('Historical Financials'!P80)/1000</f>
        <v>29.459</v>
      </c>
      <c r="Q63" s="99">
        <f>('Historical Financials'!Q80)/1000</f>
        <v>29.077000000000002</v>
      </c>
      <c r="R63" s="99">
        <f>('Historical Financials'!R80)/1000</f>
        <v>28.698</v>
      </c>
      <c r="S63" s="99">
        <f>('Historical Financials'!S80)/1000</f>
        <v>28.071000000000002</v>
      </c>
      <c r="T63" s="99">
        <f>('Historical Financials'!T80)/1000</f>
        <v>28.88</v>
      </c>
      <c r="U63" s="99">
        <f>('Historical Financials'!U80)/1000</f>
        <v>0</v>
      </c>
      <c r="V63" s="99">
        <f>('Historical Financials'!V80)/1000</f>
        <v>0</v>
      </c>
      <c r="W63" s="99">
        <f>('Historical Financials'!W80)/1000</f>
        <v>0</v>
      </c>
      <c r="Y63" s="10">
        <f t="shared" si="135"/>
        <v>30.972000000000001</v>
      </c>
      <c r="Z63" s="10">
        <f t="shared" si="135"/>
        <v>31.001000000000001</v>
      </c>
      <c r="AA63" s="10">
        <f t="shared" si="135"/>
        <v>31.204000000000001</v>
      </c>
      <c r="AB63" s="10">
        <f t="shared" si="135"/>
        <v>28.664000000000001</v>
      </c>
      <c r="AC63" s="10">
        <f t="shared" si="135"/>
        <v>28.332000000000001</v>
      </c>
      <c r="AD63" s="10">
        <f t="shared" si="135"/>
        <v>29.459</v>
      </c>
      <c r="AE63" s="10">
        <f t="shared" si="135"/>
        <v>29.077000000000002</v>
      </c>
      <c r="AF63" s="10">
        <f t="shared" si="135"/>
        <v>28.698</v>
      </c>
      <c r="AG63" s="10">
        <f t="shared" si="135"/>
        <v>28.071000000000002</v>
      </c>
      <c r="AH63" s="10">
        <f t="shared" si="135"/>
        <v>28.88</v>
      </c>
      <c r="AI63" s="10">
        <f t="shared" si="135"/>
        <v>0</v>
      </c>
      <c r="AJ63" s="10">
        <f t="shared" si="136"/>
        <v>0</v>
      </c>
      <c r="AK63" s="10">
        <f t="shared" si="136"/>
        <v>0</v>
      </c>
    </row>
    <row r="64" spans="1:37" ht="5.0999999999999996" customHeight="1">
      <c r="G64" s="10"/>
    </row>
    <row r="65" spans="1:37">
      <c r="B65" s="36" t="s">
        <v>142</v>
      </c>
      <c r="G65" s="10"/>
    </row>
    <row r="66" spans="1:37">
      <c r="B66" s="8" t="s">
        <v>143</v>
      </c>
      <c r="C66" s="99">
        <f>('Historical Financials'!C71)/1000</f>
        <v>4.3029999999999999</v>
      </c>
      <c r="D66" s="99">
        <f>('Historical Financials'!D71)/1000</f>
        <v>5.0140000000000002</v>
      </c>
      <c r="E66" s="99">
        <f>('Historical Financials'!E71)/1000</f>
        <v>3.6890000000000001</v>
      </c>
      <c r="F66" s="99">
        <f>('Historical Financials'!F71)/1000</f>
        <v>4.4909999999999997</v>
      </c>
      <c r="G66" s="99">
        <f>('Historical Financials'!G71)/1000</f>
        <v>4.4249999999999998</v>
      </c>
      <c r="I66" s="99">
        <f>('Historical Financials'!I71)/1000</f>
        <v>4.6609999999999996</v>
      </c>
      <c r="J66" s="99">
        <f>('Historical Financials'!J71)/1000</f>
        <v>4.5650000000000004</v>
      </c>
      <c r="K66" s="99">
        <f>('Historical Financials'!K71)/1000</f>
        <v>3.4140000000000001</v>
      </c>
      <c r="L66" s="99">
        <f>('Historical Financials'!L71)/1000</f>
        <v>3.6890000000000001</v>
      </c>
      <c r="M66" s="99">
        <f>('Historical Financials'!M71)/1000</f>
        <v>3.6779999999999999</v>
      </c>
      <c r="N66" s="99">
        <f>('Historical Financials'!N71)/1000</f>
        <v>3.7850000000000001</v>
      </c>
      <c r="O66" s="99">
        <f>('Historical Financials'!O71)/1000</f>
        <v>3.71</v>
      </c>
      <c r="P66" s="99">
        <f>('Historical Financials'!P71)/1000</f>
        <v>4.4909999999999997</v>
      </c>
      <c r="Q66" s="99">
        <f>('Historical Financials'!Q71)/1000</f>
        <v>3.8050000000000002</v>
      </c>
      <c r="R66" s="99">
        <f>('Historical Financials'!R71)/1000</f>
        <v>4.4089999999999998</v>
      </c>
      <c r="S66" s="99">
        <f>('Historical Financials'!S71)/1000</f>
        <v>3.754</v>
      </c>
      <c r="T66" s="99">
        <f>('Historical Financials'!T71)/1000</f>
        <v>4.4249999999999998</v>
      </c>
      <c r="U66" s="99">
        <f>('Historical Financials'!U71)/1000</f>
        <v>0</v>
      </c>
      <c r="V66" s="99">
        <f>('Historical Financials'!V71)/1000</f>
        <v>0</v>
      </c>
      <c r="W66" s="99">
        <f>('Historical Financials'!W71)/1000</f>
        <v>0</v>
      </c>
      <c r="AG66" s="10">
        <f t="shared" ref="AG66:AG67" si="142">S66</f>
        <v>3.754</v>
      </c>
      <c r="AH66" s="10">
        <f t="shared" ref="AH66:AH67" si="143">T66</f>
        <v>4.4249999999999998</v>
      </c>
      <c r="AI66" s="10">
        <f t="shared" ref="AI66:AI67" si="144">U66</f>
        <v>0</v>
      </c>
      <c r="AJ66" s="10">
        <f t="shared" ref="AJ66:AJ67" si="145">V66</f>
        <v>0</v>
      </c>
      <c r="AK66" s="10">
        <f t="shared" ref="AK66:AK67" si="146">W66</f>
        <v>0</v>
      </c>
    </row>
    <row r="67" spans="1:37">
      <c r="B67" s="8" t="s">
        <v>144</v>
      </c>
      <c r="C67" s="99">
        <f>('Historical Financials'!C79)/1000</f>
        <v>2.9860000000000002</v>
      </c>
      <c r="D67" s="99">
        <f>('Historical Financials'!D79)/1000</f>
        <v>3.5609999999999999</v>
      </c>
      <c r="E67" s="99">
        <f>('Historical Financials'!E79)/1000</f>
        <v>3.863</v>
      </c>
      <c r="F67" s="99">
        <f>('Historical Financials'!F79)/1000</f>
        <v>5.21</v>
      </c>
      <c r="G67" s="99">
        <f>('Historical Financials'!G79)/1000</f>
        <v>5.0179999999999998</v>
      </c>
      <c r="I67" s="99">
        <f>('Historical Financials'!I79)/1000</f>
        <v>3.5619999999999998</v>
      </c>
      <c r="J67" s="99">
        <f>('Historical Financials'!J79)/1000</f>
        <v>3.64</v>
      </c>
      <c r="K67" s="99">
        <f>('Historical Financials'!K79)/1000</f>
        <v>3.7549999999999999</v>
      </c>
      <c r="L67" s="99">
        <f>('Historical Financials'!L79)/1000</f>
        <v>3.863</v>
      </c>
      <c r="M67" s="99">
        <f>('Historical Financials'!M79)/1000</f>
        <v>4.0039999999999996</v>
      </c>
      <c r="N67" s="99">
        <f>('Historical Financials'!N79)/1000</f>
        <v>4.008</v>
      </c>
      <c r="O67" s="99">
        <f>('Historical Financials'!O79)/1000</f>
        <v>4.1130000000000004</v>
      </c>
      <c r="P67" s="99">
        <f>('Historical Financials'!P79)/1000</f>
        <v>5.21</v>
      </c>
      <c r="Q67" s="99">
        <f>('Historical Financials'!Q79)/1000</f>
        <v>4.1500000000000004</v>
      </c>
      <c r="R67" s="99">
        <f>('Historical Financials'!R79)/1000</f>
        <v>4.351</v>
      </c>
      <c r="S67" s="99">
        <f>('Historical Financials'!S79)/1000</f>
        <v>4.5</v>
      </c>
      <c r="T67" s="99">
        <f>('Historical Financials'!T79)/1000</f>
        <v>5.0179999999999998</v>
      </c>
      <c r="U67" s="99">
        <f>('Historical Financials'!U79)/1000</f>
        <v>0</v>
      </c>
      <c r="V67" s="99">
        <f>('Historical Financials'!V79)/1000</f>
        <v>0</v>
      </c>
      <c r="W67" s="99">
        <f>('Historical Financials'!W79)/1000</f>
        <v>0</v>
      </c>
      <c r="AG67" s="10">
        <f t="shared" si="142"/>
        <v>4.5</v>
      </c>
      <c r="AH67" s="10">
        <f t="shared" si="143"/>
        <v>5.0179999999999998</v>
      </c>
      <c r="AI67" s="10">
        <f t="shared" si="144"/>
        <v>0</v>
      </c>
      <c r="AJ67" s="10">
        <f t="shared" si="145"/>
        <v>0</v>
      </c>
      <c r="AK67" s="10">
        <f t="shared" si="146"/>
        <v>0</v>
      </c>
    </row>
    <row r="68" spans="1:37">
      <c r="G68" s="10"/>
    </row>
    <row r="69" spans="1:37">
      <c r="B69" s="32" t="s">
        <v>158</v>
      </c>
      <c r="C69" s="85">
        <v>0</v>
      </c>
      <c r="D69" s="85">
        <v>0</v>
      </c>
      <c r="E69" s="85">
        <v>0</v>
      </c>
      <c r="F69" s="85">
        <v>0</v>
      </c>
      <c r="G69" s="85">
        <v>0</v>
      </c>
      <c r="I69" s="85">
        <v>0</v>
      </c>
      <c r="J69" s="85">
        <v>0</v>
      </c>
      <c r="K69" s="85">
        <v>0</v>
      </c>
      <c r="L69" s="10">
        <f>E69</f>
        <v>0</v>
      </c>
      <c r="M69" s="85">
        <v>0</v>
      </c>
      <c r="N69" s="85">
        <v>0</v>
      </c>
      <c r="O69" s="85">
        <v>0</v>
      </c>
      <c r="P69" s="10">
        <f>F69</f>
        <v>0</v>
      </c>
      <c r="Q69" s="85">
        <v>0</v>
      </c>
      <c r="R69" s="85">
        <v>0</v>
      </c>
      <c r="S69" s="85">
        <v>0</v>
      </c>
      <c r="T69" s="10">
        <f>G69</f>
        <v>0</v>
      </c>
      <c r="U69" s="85">
        <v>0</v>
      </c>
      <c r="V69" s="85">
        <v>0</v>
      </c>
      <c r="W69" s="85">
        <v>0</v>
      </c>
      <c r="Y69" s="10">
        <f t="shared" ref="Y69" si="147">K69</f>
        <v>0</v>
      </c>
      <c r="Z69" s="10">
        <f t="shared" ref="Z69" si="148">L69</f>
        <v>0</v>
      </c>
      <c r="AA69" s="10">
        <f t="shared" ref="AA69" si="149">M69</f>
        <v>0</v>
      </c>
      <c r="AB69" s="10">
        <f t="shared" ref="AB69" si="150">N69</f>
        <v>0</v>
      </c>
      <c r="AC69" s="10">
        <f t="shared" ref="AC69" si="151">O69</f>
        <v>0</v>
      </c>
      <c r="AD69" s="10">
        <f t="shared" ref="AD69" si="152">P69</f>
        <v>0</v>
      </c>
      <c r="AE69" s="10">
        <f t="shared" ref="AE69" si="153">Q69</f>
        <v>0</v>
      </c>
      <c r="AF69" s="10">
        <f t="shared" ref="AF69" si="154">R69</f>
        <v>0</v>
      </c>
      <c r="AG69" s="10">
        <f t="shared" ref="AG69" si="155">S69</f>
        <v>0</v>
      </c>
      <c r="AH69" s="10">
        <f t="shared" ref="AH69" si="156">T69</f>
        <v>0</v>
      </c>
      <c r="AI69" s="10">
        <f t="shared" ref="AI69" si="157">U69</f>
        <v>0</v>
      </c>
      <c r="AJ69" s="10">
        <f t="shared" ref="AJ69" si="158">V69</f>
        <v>0</v>
      </c>
      <c r="AK69" s="10">
        <f t="shared" ref="AK69" si="159">W69</f>
        <v>0</v>
      </c>
    </row>
    <row r="70" spans="1:37" ht="12.75" customHeight="1">
      <c r="B70" s="32" t="s">
        <v>147</v>
      </c>
      <c r="C70" s="99">
        <f>'Debt Schedule'!C25</f>
        <v>16416</v>
      </c>
      <c r="D70" s="99">
        <f>'Debt Schedule'!D25</f>
        <v>15485</v>
      </c>
      <c r="E70" s="99">
        <f>'Debt Schedule'!E25</f>
        <v>14432</v>
      </c>
      <c r="F70" s="99">
        <f>'Debt Schedule'!F25</f>
        <v>14608</v>
      </c>
      <c r="G70" s="99">
        <f>'Debt Schedule'!G25</f>
        <v>15653</v>
      </c>
      <c r="I70" s="99">
        <f>'Debt Schedule'!I25</f>
        <v>14623</v>
      </c>
      <c r="J70" s="99">
        <f>'Debt Schedule'!J25</f>
        <v>14318</v>
      </c>
      <c r="K70" s="99">
        <f>'Debt Schedule'!K25</f>
        <v>13970</v>
      </c>
      <c r="L70" s="99">
        <f>'Debt Schedule'!L25</f>
        <v>14432</v>
      </c>
      <c r="M70" s="99">
        <f>'Debt Schedule'!M25</f>
        <v>14513</v>
      </c>
      <c r="N70" s="99">
        <f>'Debt Schedule'!N25</f>
        <v>14542</v>
      </c>
      <c r="O70" s="99">
        <f>'Debt Schedule'!O25</f>
        <v>14368</v>
      </c>
      <c r="P70" s="99">
        <f>'Debt Schedule'!P25</f>
        <v>14608</v>
      </c>
      <c r="Q70" s="99">
        <f>'Debt Schedule'!Q25</f>
        <v>14077</v>
      </c>
      <c r="R70" s="99">
        <f>'Debt Schedule'!R25</f>
        <v>14038</v>
      </c>
      <c r="S70" s="99">
        <f>'Debt Schedule'!S25</f>
        <v>16055</v>
      </c>
      <c r="T70" s="99">
        <f>'Debt Schedule'!T25</f>
        <v>15653</v>
      </c>
      <c r="U70" s="99">
        <f>'Debt Schedule'!U25</f>
        <v>15084</v>
      </c>
      <c r="V70" s="99">
        <f>'Debt Schedule'!V25</f>
        <v>14515</v>
      </c>
      <c r="W70" s="99">
        <f>'Debt Schedule'!W25</f>
        <v>14523</v>
      </c>
      <c r="Y70" s="10">
        <f t="shared" ref="Y70:AK70" si="160">K70</f>
        <v>13970</v>
      </c>
      <c r="Z70" s="10">
        <f t="shared" si="160"/>
        <v>14432</v>
      </c>
      <c r="AA70" s="10">
        <f t="shared" si="160"/>
        <v>14513</v>
      </c>
      <c r="AB70" s="10">
        <f t="shared" si="160"/>
        <v>14542</v>
      </c>
      <c r="AC70" s="10">
        <f t="shared" si="160"/>
        <v>14368</v>
      </c>
      <c r="AD70" s="10">
        <f t="shared" si="160"/>
        <v>14608</v>
      </c>
      <c r="AE70" s="10">
        <f t="shared" si="160"/>
        <v>14077</v>
      </c>
      <c r="AF70" s="10">
        <f t="shared" si="160"/>
        <v>14038</v>
      </c>
      <c r="AG70" s="10">
        <f t="shared" si="160"/>
        <v>16055</v>
      </c>
      <c r="AH70" s="10">
        <f t="shared" si="160"/>
        <v>15653</v>
      </c>
      <c r="AI70" s="10">
        <f t="shared" si="160"/>
        <v>15084</v>
      </c>
      <c r="AJ70" s="10">
        <f t="shared" si="160"/>
        <v>14515</v>
      </c>
      <c r="AK70" s="10">
        <f t="shared" si="160"/>
        <v>14523</v>
      </c>
    </row>
    <row r="71" spans="1:37" ht="12.75" customHeight="1">
      <c r="B71" s="13" t="s">
        <v>23</v>
      </c>
      <c r="C71" s="14">
        <f>SUM(C70:C70)</f>
        <v>16416</v>
      </c>
      <c r="D71" s="14">
        <f>SUM(D70:D70)</f>
        <v>15485</v>
      </c>
      <c r="E71" s="14">
        <f>SUM(E70:E70)</f>
        <v>14432</v>
      </c>
      <c r="F71" s="14">
        <f>SUM(F70:F70)</f>
        <v>14608</v>
      </c>
      <c r="G71" s="14">
        <f>SUM(G70:G70)</f>
        <v>15653</v>
      </c>
      <c r="I71" s="14">
        <f t="shared" ref="I71:W71" si="161">SUM(I70:I70)</f>
        <v>14623</v>
      </c>
      <c r="J71" s="14">
        <f t="shared" si="161"/>
        <v>14318</v>
      </c>
      <c r="K71" s="14">
        <f t="shared" si="161"/>
        <v>13970</v>
      </c>
      <c r="L71" s="14">
        <f t="shared" si="161"/>
        <v>14432</v>
      </c>
      <c r="M71" s="14">
        <f t="shared" si="161"/>
        <v>14513</v>
      </c>
      <c r="N71" s="14">
        <f t="shared" si="161"/>
        <v>14542</v>
      </c>
      <c r="O71" s="14">
        <f t="shared" si="161"/>
        <v>14368</v>
      </c>
      <c r="P71" s="14">
        <f t="shared" si="161"/>
        <v>14608</v>
      </c>
      <c r="Q71" s="14">
        <f t="shared" si="161"/>
        <v>14077</v>
      </c>
      <c r="R71" s="14">
        <f t="shared" si="161"/>
        <v>14038</v>
      </c>
      <c r="S71" s="14">
        <f t="shared" si="161"/>
        <v>16055</v>
      </c>
      <c r="T71" s="14">
        <f t="shared" si="161"/>
        <v>15653</v>
      </c>
      <c r="U71" s="14">
        <f t="shared" si="161"/>
        <v>15084</v>
      </c>
      <c r="V71" s="14">
        <f t="shared" si="161"/>
        <v>14515</v>
      </c>
      <c r="W71" s="14">
        <f t="shared" si="161"/>
        <v>14523</v>
      </c>
      <c r="Y71" s="14">
        <f t="shared" ref="Y71:AK71" si="162">SUM(Y70:Y70)</f>
        <v>13970</v>
      </c>
      <c r="Z71" s="14">
        <f t="shared" si="162"/>
        <v>14432</v>
      </c>
      <c r="AA71" s="14">
        <f t="shared" si="162"/>
        <v>14513</v>
      </c>
      <c r="AB71" s="14">
        <f t="shared" si="162"/>
        <v>14542</v>
      </c>
      <c r="AC71" s="14">
        <f t="shared" si="162"/>
        <v>14368</v>
      </c>
      <c r="AD71" s="14">
        <f t="shared" si="162"/>
        <v>14608</v>
      </c>
      <c r="AE71" s="14">
        <f t="shared" si="162"/>
        <v>14077</v>
      </c>
      <c r="AF71" s="14">
        <f t="shared" si="162"/>
        <v>14038</v>
      </c>
      <c r="AG71" s="14">
        <f t="shared" si="162"/>
        <v>16055</v>
      </c>
      <c r="AH71" s="14">
        <f t="shared" si="162"/>
        <v>15653</v>
      </c>
      <c r="AI71" s="14">
        <f t="shared" si="162"/>
        <v>15084</v>
      </c>
      <c r="AJ71" s="14">
        <f t="shared" si="162"/>
        <v>14515</v>
      </c>
      <c r="AK71" s="14">
        <f t="shared" si="162"/>
        <v>14523</v>
      </c>
    </row>
    <row r="72" spans="1:37" ht="5.0999999999999996" customHeight="1"/>
    <row r="73" spans="1:37" ht="12.75" customHeight="1">
      <c r="B73" s="8" t="s">
        <v>53</v>
      </c>
      <c r="C73" s="151">
        <f>('Historical Financials'!C86)/1000</f>
        <v>6.077</v>
      </c>
      <c r="D73" s="151">
        <f>('Historical Financials'!D86)/1000</f>
        <v>9.9499999999999993</v>
      </c>
      <c r="E73" s="151">
        <f>('Historical Financials'!E86)/1000</f>
        <v>18.013000000000002</v>
      </c>
      <c r="F73" s="151">
        <f>('Historical Financials'!F86)/1000</f>
        <v>21.581</v>
      </c>
      <c r="G73" s="151">
        <f>('Historical Financials'!G86)/1000</f>
        <v>26.274000000000001</v>
      </c>
      <c r="I73" s="151">
        <f>('Historical Financials'!I86)/1000</f>
        <v>11.333</v>
      </c>
      <c r="J73" s="151">
        <f>('Historical Financials'!J86)/1000</f>
        <v>13.327999999999999</v>
      </c>
      <c r="K73" s="151">
        <f>('Historical Financials'!K86)/1000</f>
        <v>16.047999999999998</v>
      </c>
      <c r="L73" s="151">
        <f>('Historical Financials'!L86)/1000</f>
        <v>18.013000000000002</v>
      </c>
      <c r="M73" s="151">
        <f>('Historical Financials'!M86)/1000</f>
        <v>18.809999999999999</v>
      </c>
      <c r="N73" s="151">
        <f>('Historical Financials'!N86)/1000</f>
        <v>19.698</v>
      </c>
      <c r="O73" s="151">
        <f>('Historical Financials'!O86)/1000</f>
        <v>20.67</v>
      </c>
      <c r="P73" s="151">
        <f>('Historical Financials'!P86)/1000</f>
        <v>21.581</v>
      </c>
      <c r="Q73" s="151">
        <f>('Historical Financials'!Q86)/1000</f>
        <v>23.058</v>
      </c>
      <c r="R73" s="151">
        <f>('Historical Financials'!R86)/1000</f>
        <v>24.469000000000001</v>
      </c>
      <c r="S73" s="151">
        <f>('Historical Financials'!S86)/1000</f>
        <v>24.67</v>
      </c>
      <c r="T73" s="151">
        <f>('Historical Financials'!T86)/1000</f>
        <v>26.274000000000001</v>
      </c>
      <c r="U73" s="151">
        <f>('Historical Financials'!U86)/1000</f>
        <v>0</v>
      </c>
      <c r="V73" s="151">
        <f>('Historical Financials'!V86)/1000</f>
        <v>0</v>
      </c>
      <c r="W73" s="151">
        <f>('Historical Financials'!W86)/1000</f>
        <v>0</v>
      </c>
      <c r="Y73" s="10">
        <f t="shared" ref="Y73:AK73" si="163">K73</f>
        <v>16.047999999999998</v>
      </c>
      <c r="Z73" s="10">
        <f t="shared" si="163"/>
        <v>18.013000000000002</v>
      </c>
      <c r="AA73" s="10">
        <f t="shared" si="163"/>
        <v>18.809999999999999</v>
      </c>
      <c r="AB73" s="10">
        <f t="shared" si="163"/>
        <v>19.698</v>
      </c>
      <c r="AC73" s="10">
        <f t="shared" si="163"/>
        <v>20.67</v>
      </c>
      <c r="AD73" s="10">
        <f t="shared" si="163"/>
        <v>21.581</v>
      </c>
      <c r="AE73" s="10">
        <f t="shared" si="163"/>
        <v>23.058</v>
      </c>
      <c r="AF73" s="10">
        <f t="shared" si="163"/>
        <v>24.469000000000001</v>
      </c>
      <c r="AG73" s="152">
        <f t="shared" si="163"/>
        <v>24.67</v>
      </c>
      <c r="AH73" s="152">
        <f t="shared" si="163"/>
        <v>26.274000000000001</v>
      </c>
      <c r="AI73" s="152">
        <f t="shared" si="163"/>
        <v>0</v>
      </c>
      <c r="AJ73" s="152">
        <f t="shared" si="163"/>
        <v>0</v>
      </c>
      <c r="AK73" s="152">
        <f t="shared" si="163"/>
        <v>0</v>
      </c>
    </row>
    <row r="74" spans="1:37" ht="12.75" customHeight="1">
      <c r="B74" s="13" t="s">
        <v>54</v>
      </c>
      <c r="C74" s="14">
        <f>SUM(C71:C73)</f>
        <v>16422.077000000001</v>
      </c>
      <c r="D74" s="14">
        <f>SUM(D71:D73)</f>
        <v>15494.95</v>
      </c>
      <c r="E74" s="14">
        <f>SUM(E71:E73)</f>
        <v>14450.013000000001</v>
      </c>
      <c r="F74" s="14">
        <f>SUM(F71:F73)</f>
        <v>14629.581</v>
      </c>
      <c r="G74" s="14">
        <f>SUM(G71:G73)</f>
        <v>15679.273999999999</v>
      </c>
      <c r="I74" s="14">
        <f t="shared" ref="I74:R74" si="164">SUM(I71:I73)</f>
        <v>14634.333000000001</v>
      </c>
      <c r="J74" s="14">
        <f t="shared" si="164"/>
        <v>14331.328</v>
      </c>
      <c r="K74" s="14">
        <f t="shared" si="164"/>
        <v>13986.048000000001</v>
      </c>
      <c r="L74" s="14">
        <f t="shared" si="164"/>
        <v>14450.013000000001</v>
      </c>
      <c r="M74" s="14">
        <f t="shared" si="164"/>
        <v>14531.81</v>
      </c>
      <c r="N74" s="14">
        <f t="shared" si="164"/>
        <v>14561.698</v>
      </c>
      <c r="O74" s="14">
        <f t="shared" si="164"/>
        <v>14388.67</v>
      </c>
      <c r="P74" s="14">
        <f t="shared" si="164"/>
        <v>14629.581</v>
      </c>
      <c r="Q74" s="14">
        <f t="shared" si="164"/>
        <v>14100.058000000001</v>
      </c>
      <c r="R74" s="14">
        <f t="shared" si="164"/>
        <v>14062.468999999999</v>
      </c>
      <c r="S74" s="14">
        <f>SUM(S71:S73)</f>
        <v>16079.67</v>
      </c>
      <c r="T74" s="14">
        <f>SUM(T71:T73)</f>
        <v>15679.273999999999</v>
      </c>
      <c r="U74" s="14">
        <f>SUM(U71:U73)</f>
        <v>15084</v>
      </c>
      <c r="V74" s="14">
        <f>SUM(V71:V73)</f>
        <v>14515</v>
      </c>
      <c r="W74" s="14">
        <f>SUM(W71:W73)</f>
        <v>14523</v>
      </c>
      <c r="Y74" s="14">
        <f t="shared" ref="Y74:AI74" si="165">SUM(Y71:Y73)</f>
        <v>13986.048000000001</v>
      </c>
      <c r="Z74" s="14">
        <f t="shared" si="165"/>
        <v>14450.013000000001</v>
      </c>
      <c r="AA74" s="14">
        <f t="shared" si="165"/>
        <v>14531.81</v>
      </c>
      <c r="AB74" s="14">
        <f t="shared" si="165"/>
        <v>14561.698</v>
      </c>
      <c r="AC74" s="14">
        <f t="shared" si="165"/>
        <v>14388.67</v>
      </c>
      <c r="AD74" s="14">
        <f t="shared" si="165"/>
        <v>14629.581</v>
      </c>
      <c r="AE74" s="14">
        <f t="shared" si="165"/>
        <v>14100.058000000001</v>
      </c>
      <c r="AF74" s="14">
        <f t="shared" si="165"/>
        <v>14062.468999999999</v>
      </c>
      <c r="AG74" s="14">
        <f t="shared" si="165"/>
        <v>16079.67</v>
      </c>
      <c r="AH74" s="14">
        <f t="shared" si="165"/>
        <v>15679.273999999999</v>
      </c>
      <c r="AI74" s="14">
        <f t="shared" si="165"/>
        <v>15084</v>
      </c>
      <c r="AJ74" s="14">
        <f>SUM(AJ71:AJ73)</f>
        <v>14515</v>
      </c>
      <c r="AK74" s="14">
        <f>SUM(AK71:AK73)</f>
        <v>14523</v>
      </c>
    </row>
    <row r="75" spans="1:37" ht="5.0999999999999996" customHeight="1"/>
    <row r="76" spans="1:37" ht="12.75" customHeight="1">
      <c r="A76" s="5"/>
      <c r="B76" s="34" t="s">
        <v>77</v>
      </c>
      <c r="C76" s="34"/>
      <c r="D76" s="34"/>
      <c r="E76" s="34"/>
      <c r="F76" s="34"/>
      <c r="G76" s="34"/>
      <c r="H76" s="34"/>
      <c r="I76" s="34"/>
      <c r="J76" s="34"/>
      <c r="K76" s="34"/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/>
      <c r="Y76" s="34"/>
      <c r="Z76" s="34"/>
      <c r="AA76" s="34"/>
      <c r="AB76" s="34"/>
      <c r="AC76" s="34"/>
      <c r="AD76" s="34"/>
      <c r="AE76" s="34"/>
      <c r="AF76" s="34"/>
      <c r="AG76" s="34"/>
      <c r="AH76" s="34"/>
      <c r="AI76" s="34"/>
      <c r="AJ76" s="34"/>
      <c r="AK76" s="34"/>
    </row>
    <row r="77" spans="1:37" ht="5.0999999999999996" customHeight="1"/>
    <row r="78" spans="1:37" ht="12.75" customHeight="1">
      <c r="B78" s="32" t="s">
        <v>104</v>
      </c>
      <c r="C78" s="87" t="e">
        <f>C71/C32</f>
        <v>#REF!</v>
      </c>
      <c r="D78" s="87" t="e">
        <f>D71/D32</f>
        <v>#REF!</v>
      </c>
      <c r="E78" s="87" t="e">
        <f>E71/E32</f>
        <v>#REF!</v>
      </c>
      <c r="F78" s="87" t="e">
        <f>F71/F32</f>
        <v>#REF!</v>
      </c>
      <c r="G78" s="87" t="e">
        <f>G71/G32</f>
        <v>#REF!</v>
      </c>
      <c r="I78" s="38"/>
      <c r="J78" s="38"/>
      <c r="K78" s="38"/>
      <c r="L78" s="87" t="e">
        <f t="shared" ref="L78:W78" si="166">SUM(L71/SUM(I32:L32))</f>
        <v>#REF!</v>
      </c>
      <c r="M78" s="87" t="e">
        <f t="shared" si="166"/>
        <v>#REF!</v>
      </c>
      <c r="N78" s="87" t="e">
        <f t="shared" si="166"/>
        <v>#REF!</v>
      </c>
      <c r="O78" s="87" t="e">
        <f t="shared" si="166"/>
        <v>#REF!</v>
      </c>
      <c r="P78" s="87" t="e">
        <f t="shared" si="166"/>
        <v>#REF!</v>
      </c>
      <c r="Q78" s="87" t="e">
        <f t="shared" si="166"/>
        <v>#REF!</v>
      </c>
      <c r="R78" s="87" t="e">
        <f t="shared" si="166"/>
        <v>#REF!</v>
      </c>
      <c r="S78" s="87" t="e">
        <f t="shared" si="166"/>
        <v>#REF!</v>
      </c>
      <c r="T78" s="87" t="e">
        <f t="shared" si="166"/>
        <v>#REF!</v>
      </c>
      <c r="U78" s="87" t="e">
        <f t="shared" si="166"/>
        <v>#REF!</v>
      </c>
      <c r="V78" s="87" t="e">
        <f t="shared" si="166"/>
        <v>#REF!</v>
      </c>
      <c r="W78" s="87" t="e">
        <f t="shared" si="166"/>
        <v>#REF!</v>
      </c>
      <c r="X78" s="87"/>
      <c r="Y78" s="87">
        <f t="shared" ref="Y78:AK78" si="167">Y71/Y32</f>
        <v>-3722.3554489741541</v>
      </c>
      <c r="Z78" s="87">
        <f t="shared" si="167"/>
        <v>-1992.8196630764985</v>
      </c>
      <c r="AA78" s="87">
        <f t="shared" si="167"/>
        <v>-1950.1478097285672</v>
      </c>
      <c r="AB78" s="87">
        <f t="shared" si="167"/>
        <v>-1812.7648965345304</v>
      </c>
      <c r="AC78" s="87">
        <f t="shared" si="167"/>
        <v>-1365.9093069683427</v>
      </c>
      <c r="AD78" s="87">
        <f t="shared" si="167"/>
        <v>-1485.911911300987</v>
      </c>
      <c r="AE78" s="87">
        <f t="shared" si="167"/>
        <v>-1458.7564766839375</v>
      </c>
      <c r="AF78" s="87">
        <f t="shared" si="167"/>
        <v>-1452.3070556590108</v>
      </c>
      <c r="AG78" s="87" t="e">
        <f t="shared" si="167"/>
        <v>#REF!</v>
      </c>
      <c r="AH78" s="87" t="e">
        <f t="shared" si="167"/>
        <v>#REF!</v>
      </c>
      <c r="AI78" s="87" t="e">
        <f t="shared" si="167"/>
        <v>#REF!</v>
      </c>
      <c r="AJ78" s="87" t="e">
        <f t="shared" si="167"/>
        <v>#REF!</v>
      </c>
      <c r="AK78" s="87" t="e">
        <f t="shared" si="167"/>
        <v>#REF!</v>
      </c>
    </row>
    <row r="79" spans="1:37" ht="12.75" customHeight="1">
      <c r="B79" s="32" t="s">
        <v>105</v>
      </c>
      <c r="C79" s="87" t="e">
        <f>SUM(C71-C52)/C32</f>
        <v>#REF!</v>
      </c>
      <c r="D79" s="87" t="e">
        <f>SUM(D71-D52)/D32</f>
        <v>#REF!</v>
      </c>
      <c r="E79" s="87" t="e">
        <f>SUM(E71-E52)/E32</f>
        <v>#REF!</v>
      </c>
      <c r="F79" s="87" t="e">
        <f>SUM(F71-F52)/F32</f>
        <v>#REF!</v>
      </c>
      <c r="G79" s="87" t="e">
        <f>SUM(G71-G52)/G32</f>
        <v>#REF!</v>
      </c>
      <c r="I79" s="38"/>
      <c r="J79" s="38"/>
      <c r="K79" s="38"/>
      <c r="L79" s="87" t="e">
        <f t="shared" ref="L79:W79" si="168">SUM(L71-L52)/SUM(I32:L32)</f>
        <v>#REF!</v>
      </c>
      <c r="M79" s="87" t="e">
        <f t="shared" si="168"/>
        <v>#REF!</v>
      </c>
      <c r="N79" s="87" t="e">
        <f t="shared" si="168"/>
        <v>#REF!</v>
      </c>
      <c r="O79" s="87" t="e">
        <f t="shared" si="168"/>
        <v>#REF!</v>
      </c>
      <c r="P79" s="87" t="e">
        <f t="shared" si="168"/>
        <v>#REF!</v>
      </c>
      <c r="Q79" s="87" t="e">
        <f t="shared" si="168"/>
        <v>#REF!</v>
      </c>
      <c r="R79" s="87" t="e">
        <f t="shared" si="168"/>
        <v>#REF!</v>
      </c>
      <c r="S79" s="87" t="e">
        <f t="shared" si="168"/>
        <v>#REF!</v>
      </c>
      <c r="T79" s="87" t="e">
        <f t="shared" si="168"/>
        <v>#REF!</v>
      </c>
      <c r="U79" s="87" t="e">
        <f t="shared" si="168"/>
        <v>#REF!</v>
      </c>
      <c r="V79" s="87" t="e">
        <f t="shared" si="168"/>
        <v>#REF!</v>
      </c>
      <c r="W79" s="87" t="e">
        <f t="shared" si="168"/>
        <v>#REF!</v>
      </c>
      <c r="X79" s="87"/>
      <c r="Y79" s="87">
        <f t="shared" ref="Y79:AK79" si="169">SUM(Y71-Y52)/Y32</f>
        <v>-3721.642419397815</v>
      </c>
      <c r="Z79" s="87">
        <f t="shared" si="169"/>
        <v>-1992.4367578017125</v>
      </c>
      <c r="AA79" s="87">
        <f t="shared" si="169"/>
        <v>-1949.5017468422461</v>
      </c>
      <c r="AB79" s="87">
        <f t="shared" si="169"/>
        <v>-1812.3300922463231</v>
      </c>
      <c r="AC79" s="87">
        <f t="shared" si="169"/>
        <v>-1365.3306397946571</v>
      </c>
      <c r="AD79" s="87">
        <f t="shared" si="169"/>
        <v>-1485.0523853117691</v>
      </c>
      <c r="AE79" s="87">
        <f t="shared" si="169"/>
        <v>-1457.9136787564764</v>
      </c>
      <c r="AF79" s="87">
        <f t="shared" si="169"/>
        <v>-1451.3533002276017</v>
      </c>
      <c r="AG79" s="87" t="e">
        <f t="shared" si="169"/>
        <v>#REF!</v>
      </c>
      <c r="AH79" s="87" t="e">
        <f t="shared" si="169"/>
        <v>#REF!</v>
      </c>
      <c r="AI79" s="87" t="e">
        <f t="shared" si="169"/>
        <v>#REF!</v>
      </c>
      <c r="AJ79" s="87" t="e">
        <f t="shared" si="169"/>
        <v>#REF!</v>
      </c>
      <c r="AK79" s="87" t="e">
        <f t="shared" si="169"/>
        <v>#REF!</v>
      </c>
    </row>
    <row r="80" spans="1:37" ht="12.75" customHeight="1">
      <c r="B80" s="32" t="s">
        <v>106</v>
      </c>
      <c r="C80" s="87" t="e">
        <f>C32/-C37</f>
        <v>#REF!</v>
      </c>
      <c r="D80" s="87" t="e">
        <f>D32/-D37</f>
        <v>#REF!</v>
      </c>
      <c r="E80" s="87" t="e">
        <f>E32/-E37</f>
        <v>#REF!</v>
      </c>
      <c r="F80" s="87" t="e">
        <f>F32/-F37</f>
        <v>#REF!</v>
      </c>
      <c r="G80" s="87" t="e">
        <f>G32/-G37</f>
        <v>#REF!</v>
      </c>
      <c r="I80" s="38"/>
      <c r="J80" s="38"/>
      <c r="K80" s="38"/>
      <c r="L80" s="87" t="e" cm="1">
        <f t="array" ref="L80">SUM(I32:L32)/SUM(-I37:L37)</f>
        <v>#REF!</v>
      </c>
      <c r="M80" s="87" t="e" cm="1">
        <f t="array" ref="M80">SUM(J32:M32)/SUM(-J37:M37)</f>
        <v>#REF!</v>
      </c>
      <c r="N80" s="87" t="e" cm="1">
        <f t="array" ref="N80">SUM(K32:N32)/SUM(-K37:N37)</f>
        <v>#REF!</v>
      </c>
      <c r="O80" s="87" t="e" cm="1">
        <f t="array" ref="O80">SUM(L32:O32)/SUM(-L37:O37)</f>
        <v>#REF!</v>
      </c>
      <c r="P80" s="87" t="e" cm="1">
        <f t="array" ref="P80">SUM(M32:P32)/SUM(-M37:P37)</f>
        <v>#REF!</v>
      </c>
      <c r="Q80" s="87" t="e" cm="1">
        <f t="array" ref="Q80">SUM(N32:Q32)/SUM(-N37:Q37)</f>
        <v>#REF!</v>
      </c>
      <c r="R80" s="87" t="e" cm="1">
        <f t="array" ref="R80">SUM(O32:R32)/SUM(-O37:R37)</f>
        <v>#REF!</v>
      </c>
      <c r="S80" s="87" t="e" cm="1">
        <f t="array" ref="S80">SUM(P32:S32)/SUM(-P37:S37)</f>
        <v>#REF!</v>
      </c>
      <c r="T80" s="87" t="e" cm="1">
        <f t="array" ref="T80">SUM(Q32:T32)/SUM(-Q37:T37)</f>
        <v>#REF!</v>
      </c>
      <c r="U80" s="87" t="e" cm="1">
        <f t="array" ref="U80">SUM(R32:U32)/SUM(-R37:U37)</f>
        <v>#REF!</v>
      </c>
      <c r="V80" s="87" t="e" cm="1">
        <f t="array" ref="V80">SUM(S32:V32)/SUM(-S37:V37)</f>
        <v>#REF!</v>
      </c>
      <c r="W80" s="87" t="e" cm="1">
        <f t="array" ref="W80">SUM(T32:W32)/SUM(-T37:W37)</f>
        <v>#REF!</v>
      </c>
      <c r="X80" s="87"/>
      <c r="Y80" s="87">
        <f t="shared" ref="Y80:AK80" si="170">Y32/-Y37</f>
        <v>63.610169491525419</v>
      </c>
      <c r="Z80" s="87">
        <f t="shared" si="170"/>
        <v>79.582417582417577</v>
      </c>
      <c r="AA80" s="87">
        <f t="shared" si="170"/>
        <v>57.689922480620169</v>
      </c>
      <c r="AB80" s="87">
        <f t="shared" si="170"/>
        <v>47.749999999999993</v>
      </c>
      <c r="AC80" s="87">
        <f t="shared" si="170"/>
        <v>46.751111111111122</v>
      </c>
      <c r="AD80" s="87">
        <f t="shared" si="170"/>
        <v>31.40894568690095</v>
      </c>
      <c r="AE80" s="87">
        <f t="shared" si="170"/>
        <v>23.710073710073715</v>
      </c>
      <c r="AF80" s="87">
        <f t="shared" si="170"/>
        <v>19.027559055118115</v>
      </c>
      <c r="AG80" s="87" t="e">
        <f t="shared" si="170"/>
        <v>#REF!</v>
      </c>
      <c r="AH80" s="87" t="e">
        <f t="shared" si="170"/>
        <v>#REF!</v>
      </c>
      <c r="AI80" s="87" t="e">
        <f t="shared" si="170"/>
        <v>#REF!</v>
      </c>
      <c r="AJ80" s="87" t="e">
        <f t="shared" si="170"/>
        <v>#REF!</v>
      </c>
      <c r="AK80" s="87" t="e">
        <f t="shared" si="170"/>
        <v>#REF!</v>
      </c>
    </row>
    <row r="81" spans="2:37" ht="12.75" customHeight="1">
      <c r="B81" s="32" t="s">
        <v>107</v>
      </c>
      <c r="C81" s="87" t="e" cm="1">
        <f t="array" ref="C81">SUM(C32+C35)/SUM(-C36:C37)</f>
        <v>#REF!</v>
      </c>
      <c r="D81" s="87" t="e" cm="1">
        <f t="array" ref="D81">SUM(D32+D35)/SUM(-D36:D37)</f>
        <v>#REF!</v>
      </c>
      <c r="E81" s="87" t="e" cm="1">
        <f t="array" ref="E81">SUM(E32+E35)/SUM(-E36:E37)</f>
        <v>#REF!</v>
      </c>
      <c r="F81" s="87" t="e" cm="1">
        <f t="array" ref="F81">SUM(F32+F35)/SUM(-F36:F37)</f>
        <v>#REF!</v>
      </c>
      <c r="G81" s="87" t="e" cm="1">
        <f t="array" ref="G81">SUM(G32+G35)/SUM(-G36:G37)</f>
        <v>#REF!</v>
      </c>
      <c r="I81" s="38"/>
      <c r="J81" s="38"/>
      <c r="K81" s="38"/>
      <c r="L81" s="87" t="e" cm="1">
        <f t="array" ref="L81">SUM(I32:L32+I35:L35)/SUM(-I36:L37)</f>
        <v>#REF!</v>
      </c>
      <c r="M81" s="87" t="e" cm="1">
        <f t="array" ref="M81">SUM(J32:M32+J35:M35)/SUM(-J36:M37)</f>
        <v>#REF!</v>
      </c>
      <c r="N81" s="87" t="e" cm="1">
        <f t="array" ref="N81">SUM(K32:N32+K35:N35)/SUM(-K36:N37)</f>
        <v>#REF!</v>
      </c>
      <c r="O81" s="87" t="e" cm="1">
        <f t="array" ref="O81">SUM(L32:O32+L35:O35)/SUM(-L36:O37)</f>
        <v>#REF!</v>
      </c>
      <c r="P81" s="87" t="e" cm="1">
        <f t="array" ref="P81">SUM(M32:P32+M35:P35)/SUM(-M36:P37)</f>
        <v>#REF!</v>
      </c>
      <c r="Q81" s="87" t="e" cm="1">
        <f t="array" ref="Q81">SUM(N32:Q32+N35:Q35)/SUM(-N36:Q37)</f>
        <v>#REF!</v>
      </c>
      <c r="R81" s="87" t="e" cm="1">
        <f t="array" ref="R81">SUM(O32:R32+O35:R35)/SUM(-O36:R37)</f>
        <v>#REF!</v>
      </c>
      <c r="S81" s="87" t="e" cm="1">
        <f t="array" ref="S81">SUM(P32:S32+P35:S35)/SUM(-P36:S37)</f>
        <v>#REF!</v>
      </c>
      <c r="T81" s="87" t="e" cm="1">
        <f t="array" ref="T81">SUM(Q32:T32+Q35:T35)/SUM(-Q36:T37)</f>
        <v>#REF!</v>
      </c>
      <c r="U81" s="87" t="e" cm="1">
        <f t="array" ref="U81">SUM(R32:U32+R35:U35)/SUM(-R36:U37)</f>
        <v>#REF!</v>
      </c>
      <c r="V81" s="87" t="e" cm="1">
        <f t="array" ref="V81">SUM(S32:V32+S35:V35)/SUM(-S36:V37)</f>
        <v>#REF!</v>
      </c>
      <c r="W81" s="87" t="e" cm="1">
        <f t="array" ref="W81">SUM(T32:W32+T35:W35)/SUM(-T36:W37)</f>
        <v>#REF!</v>
      </c>
      <c r="X81" s="87"/>
      <c r="Y81" s="87" cm="1">
        <f t="array" ref="Y81">SUM(Y32+Y35)/SUM(-Y36:Y37)</f>
        <v>-4.5943060498220643</v>
      </c>
      <c r="Z81" s="87" cm="1">
        <f t="array" ref="Z81">SUM(Z32+Z35)/SUM(-Z36:Z37)</f>
        <v>-4.9474232170744399</v>
      </c>
      <c r="AA81" s="87" cm="1">
        <f t="array" ref="AA81">SUM(AA32+AA35)/SUM(-AA36:AA37)</f>
        <v>-6.2831683168316843</v>
      </c>
      <c r="AB81" s="87" cm="1">
        <f t="array" ref="AB81">SUM(AB32+AB35)/SUM(-AB36:AB37)</f>
        <v>-8.5262711864406757</v>
      </c>
      <c r="AC81" s="87" cm="1">
        <f t="array" ref="AC81">SUM(AC32+AC35)/SUM(-AC36:AC37)</f>
        <v>-17.666666666666671</v>
      </c>
      <c r="AD81" s="87" cm="1">
        <f t="array" ref="AD81">SUM(AD32+AD35)/SUM(-AD36:AD37)</f>
        <v>53.976076555023923</v>
      </c>
      <c r="AE81" s="87" cm="1">
        <f t="array" ref="AE81">SUM(AE32+AE35)/SUM(-AE36:AE37)</f>
        <v>43.664000000000009</v>
      </c>
      <c r="AF81" s="87" cm="1">
        <f t="array" ref="AF81">SUM(AF32+AF35)/SUM(-AF36:AF37)</f>
        <v>33.884735202492216</v>
      </c>
      <c r="AG81" s="87" t="e" cm="1">
        <f t="array" ref="AG81">SUM(AG32+AG35)/SUM(-AG36:AG37)</f>
        <v>#REF!</v>
      </c>
      <c r="AH81" s="87" t="e" cm="1">
        <f t="array" ref="AH81">SUM(AH32+AH35)/SUM(-AH36:AH37)</f>
        <v>#REF!</v>
      </c>
      <c r="AI81" s="87" t="e" cm="1">
        <f t="array" ref="AI81">SUM(AI32+AI35)/SUM(-AI36:AI37)</f>
        <v>#REF!</v>
      </c>
      <c r="AJ81" s="87" t="e" cm="1">
        <f t="array" ref="AJ81">SUM(AJ32+AJ35)/SUM(-AJ36:AJ37)</f>
        <v>#REF!</v>
      </c>
      <c r="AK81" s="87" t="e" cm="1">
        <f t="array" ref="AK81">SUM(AK32+AK35)/SUM(-AK36:AK37)</f>
        <v>#REF!</v>
      </c>
    </row>
    <row r="82" spans="2:37" ht="12.75" customHeight="1">
      <c r="B82" s="32" t="s">
        <v>108</v>
      </c>
      <c r="C82" s="87" t="e" cm="1">
        <f t="array" ref="C82">SUM(C32)/SUM(-C35:C37)</f>
        <v>#REF!</v>
      </c>
      <c r="D82" s="87" t="e" cm="1">
        <f t="array" ref="D82">SUM(D32)/SUM(-D35:D37)</f>
        <v>#REF!</v>
      </c>
      <c r="E82" s="87" t="e" cm="1">
        <f t="array" ref="E82">SUM(E32)/SUM(-E35:E37)</f>
        <v>#REF!</v>
      </c>
      <c r="F82" s="87" t="e" cm="1">
        <f t="array" ref="F82">SUM(F32)/SUM(-F35:F37)</f>
        <v>#REF!</v>
      </c>
      <c r="G82" s="87" t="e" cm="1">
        <f t="array" ref="G82">SUM(G32)/SUM(-G35:G37)</f>
        <v>#REF!</v>
      </c>
      <c r="I82" s="38"/>
      <c r="J82" s="38"/>
      <c r="K82" s="38"/>
      <c r="L82" s="87" t="e" cm="1">
        <f t="array" ref="L82">SUM(I32:L32)/SUM(-I35:L37)</f>
        <v>#REF!</v>
      </c>
      <c r="M82" s="87" t="e" cm="1">
        <f t="array" ref="M82">SUM(J32:M32)/SUM(-J35:M37)</f>
        <v>#REF!</v>
      </c>
      <c r="N82" s="87" t="e" cm="1">
        <f t="array" ref="N82">SUM(K32:N32)/SUM(-K35:N37)</f>
        <v>#REF!</v>
      </c>
      <c r="O82" s="87" t="e" cm="1">
        <f t="array" ref="O82">SUM(L32:O32)/SUM(-L35:O37)</f>
        <v>#REF!</v>
      </c>
      <c r="P82" s="87" t="e" cm="1">
        <f t="array" ref="P82">SUM(M32:P32)/SUM(-M35:P37)</f>
        <v>#REF!</v>
      </c>
      <c r="Q82" s="87" t="e" cm="1">
        <f t="array" ref="Q82">SUM(N32:Q32)/SUM(-N35:Q37)</f>
        <v>#REF!</v>
      </c>
      <c r="R82" s="87" t="e" cm="1">
        <f t="array" ref="R82">SUM(O32:R32)/SUM(-O35:R37)</f>
        <v>#REF!</v>
      </c>
      <c r="S82" s="87" t="e" cm="1">
        <f t="array" ref="S82">SUM(P32:S32)/SUM(-P35:S37)</f>
        <v>#REF!</v>
      </c>
      <c r="T82" s="87" t="e" cm="1">
        <f t="array" ref="T82">SUM(Q32:T32)/SUM(-Q35:T37)</f>
        <v>#REF!</v>
      </c>
      <c r="U82" s="87" t="e" cm="1">
        <f t="array" ref="U82">SUM(R32:U32)/SUM(-R35:U37)</f>
        <v>#REF!</v>
      </c>
      <c r="V82" s="87" t="e" cm="1">
        <f t="array" ref="V82">SUM(S32:V32)/SUM(-S35:V37)</f>
        <v>#REF!</v>
      </c>
      <c r="W82" s="87" t="e" cm="1">
        <f t="array" ref="W82">SUM(T32:W32)/SUM(-T35:W37)</f>
        <v>#REF!</v>
      </c>
      <c r="X82" s="87"/>
      <c r="Y82" s="87" cm="1">
        <f t="array" ref="Y82">SUM(Y32)/SUM(-Y35:Y37)</f>
        <v>-0.91380569758948138</v>
      </c>
      <c r="Z82" s="87" cm="1">
        <f t="array" ref="Z82">SUM(Z32)/SUM(-Z35:Z37)</f>
        <v>-1.7312933301458282</v>
      </c>
      <c r="AA82" s="87" cm="1">
        <f t="array" ref="AA82">SUM(AA32)/SUM(-AA35:AA37)</f>
        <v>-2.0718262806236085</v>
      </c>
      <c r="AB82" s="87" cm="1">
        <f t="array" ref="AB82">SUM(AB32)/SUM(-AB35:AB37)</f>
        <v>-2.4920782851817336</v>
      </c>
      <c r="AC82" s="87" cm="1">
        <f t="array" ref="AC82">SUM(AC32)/SUM(-AC35:AC37)</f>
        <v>-7.7745750184774574</v>
      </c>
      <c r="AD82" s="87" cm="1">
        <f t="array" ref="AD82">SUM(AD32)/SUM(-AD35:AD37)</f>
        <v>-7.9218372280418992</v>
      </c>
      <c r="AE82" s="87" cm="1">
        <f t="array" ref="AE82">SUM(AE32)/SUM(-AE35:AE37)</f>
        <v>-9.4980314960629943</v>
      </c>
      <c r="AF82" s="87" cm="1">
        <f t="array" ref="AF82">SUM(AF32)/SUM(-AF35:AF37)</f>
        <v>-10.860674157303375</v>
      </c>
      <c r="AG82" s="87" t="e" cm="1">
        <f t="array" ref="AG82">SUM(AG32)/SUM(-AG35:AG37)</f>
        <v>#REF!</v>
      </c>
      <c r="AH82" s="87" t="e" cm="1">
        <f t="array" ref="AH82">SUM(AH32)/SUM(-AH35:AH37)</f>
        <v>#REF!</v>
      </c>
      <c r="AI82" s="87" t="e" cm="1">
        <f t="array" ref="AI82">SUM(AI32)/SUM(-AI35:AI37)</f>
        <v>#REF!</v>
      </c>
      <c r="AJ82" s="87" t="e" cm="1">
        <f t="array" ref="AJ82">SUM(AJ32)/SUM(-AJ35:AJ37)</f>
        <v>#REF!</v>
      </c>
      <c r="AK82" s="87" t="e" cm="1">
        <f t="array" ref="AK82">SUM(AK32)/SUM(-AK35:AK37)</f>
        <v>#REF!</v>
      </c>
    </row>
    <row r="83" spans="2:37" ht="12.75" customHeight="1">
      <c r="B83" s="8" t="s">
        <v>55</v>
      </c>
      <c r="C83" s="87">
        <f>C74/C71</f>
        <v>1.0003701876218325</v>
      </c>
      <c r="D83" s="87">
        <f>D74/D71</f>
        <v>1.0006425573135294</v>
      </c>
      <c r="E83" s="87">
        <f>E74/E71</f>
        <v>1.001248129157428</v>
      </c>
      <c r="F83" s="87">
        <f>F74/F71</f>
        <v>1.0014773411829134</v>
      </c>
      <c r="G83" s="87">
        <f>G74/G71</f>
        <v>1.0016785280776848</v>
      </c>
      <c r="I83" s="38"/>
      <c r="J83" s="38"/>
      <c r="K83" s="38"/>
      <c r="L83" s="87">
        <f t="shared" ref="L83:V83" si="171">L74/L71</f>
        <v>1.001248129157428</v>
      </c>
      <c r="M83" s="87">
        <f t="shared" si="171"/>
        <v>1.0012960793771102</v>
      </c>
      <c r="N83" s="87">
        <f t="shared" si="171"/>
        <v>1.0013545592078119</v>
      </c>
      <c r="O83" s="87">
        <f t="shared" si="171"/>
        <v>1.001438613585746</v>
      </c>
      <c r="P83" s="87">
        <f t="shared" si="171"/>
        <v>1.0014773411829134</v>
      </c>
      <c r="Q83" s="87">
        <f t="shared" si="171"/>
        <v>1.0016379910492292</v>
      </c>
      <c r="R83" s="87">
        <f t="shared" si="171"/>
        <v>1.0017430545661774</v>
      </c>
      <c r="S83" s="87">
        <f t="shared" si="171"/>
        <v>1.0015365929616942</v>
      </c>
      <c r="T83" s="87">
        <f t="shared" si="171"/>
        <v>1.0016785280776848</v>
      </c>
      <c r="U83" s="87">
        <f t="shared" si="171"/>
        <v>1</v>
      </c>
      <c r="V83" s="87">
        <f t="shared" si="171"/>
        <v>1</v>
      </c>
      <c r="W83" s="87">
        <f>W74/W71</f>
        <v>1</v>
      </c>
      <c r="X83" s="87"/>
      <c r="Y83" s="87">
        <f t="shared" ref="Y83:AI83" si="172">Y74/Y71</f>
        <v>1.0011487473156766</v>
      </c>
      <c r="Z83" s="87">
        <f t="shared" si="172"/>
        <v>1.001248129157428</v>
      </c>
      <c r="AA83" s="87">
        <f t="shared" si="172"/>
        <v>1.0012960793771102</v>
      </c>
      <c r="AB83" s="87">
        <f t="shared" si="172"/>
        <v>1.0013545592078119</v>
      </c>
      <c r="AC83" s="87">
        <f t="shared" si="172"/>
        <v>1.001438613585746</v>
      </c>
      <c r="AD83" s="87">
        <f t="shared" si="172"/>
        <v>1.0014773411829134</v>
      </c>
      <c r="AE83" s="87">
        <f t="shared" si="172"/>
        <v>1.0016379910492292</v>
      </c>
      <c r="AF83" s="87">
        <f t="shared" si="172"/>
        <v>1.0017430545661774</v>
      </c>
      <c r="AG83" s="87">
        <f t="shared" si="172"/>
        <v>1.0015365929616942</v>
      </c>
      <c r="AH83" s="87">
        <f t="shared" si="172"/>
        <v>1.0016785280776848</v>
      </c>
      <c r="AI83" s="87">
        <f t="shared" si="172"/>
        <v>1</v>
      </c>
      <c r="AJ83" s="87">
        <f>AJ74/AJ71</f>
        <v>1</v>
      </c>
      <c r="AK83" s="87">
        <f>AK74/AK71</f>
        <v>1</v>
      </c>
    </row>
    <row r="84" spans="2:37" ht="5.0999999999999996" customHeight="1" thickBot="1">
      <c r="B84" s="39"/>
      <c r="C84" s="39"/>
      <c r="D84" s="39"/>
      <c r="E84" s="39"/>
      <c r="F84" s="39"/>
      <c r="G84" s="39"/>
      <c r="H84" s="39"/>
      <c r="I84" s="39"/>
      <c r="J84" s="39"/>
      <c r="K84" s="39"/>
      <c r="L84" s="39"/>
      <c r="M84" s="39"/>
      <c r="N84" s="39"/>
      <c r="O84" s="39"/>
      <c r="P84" s="39"/>
      <c r="Q84" s="39"/>
      <c r="R84" s="39"/>
      <c r="S84" s="39"/>
      <c r="T84" s="39"/>
      <c r="U84" s="39"/>
      <c r="V84" s="39"/>
      <c r="W84" s="39"/>
      <c r="X84" s="39"/>
      <c r="Y84" s="39"/>
      <c r="Z84" s="39"/>
      <c r="AA84" s="39"/>
      <c r="AB84" s="39"/>
      <c r="AC84" s="39"/>
      <c r="AD84" s="39"/>
      <c r="AE84" s="39"/>
      <c r="AF84" s="39"/>
      <c r="AG84" s="39"/>
      <c r="AH84" s="39"/>
      <c r="AI84" s="39"/>
      <c r="AJ84" s="39"/>
      <c r="AK84" s="39"/>
    </row>
  </sheetData>
  <mergeCells count="1">
    <mergeCell ref="AM2:AM4"/>
  </mergeCells>
  <dataValidations disablePrompts="1" count="1">
    <dataValidation type="list" allowBlank="1" showInputMessage="1" showErrorMessage="1" sqref="B4" xr:uid="{060857CB-86CD-4220-87C0-9A83C6E53284}">
      <formula1>"$ bns except per share, $ mm except per share,$ in thousands except per share"</formula1>
    </dataValidation>
  </dataValidations>
  <pageMargins left="0.7" right="0.7" top="0.75" bottom="0.75" header="0.3" footer="0.3"/>
  <ignoredErrors>
    <ignoredError sqref="C39:V40 AL40:AM40 H35:H37 H42 AL42:AM42 AL38 AL39 H38 AL41:AM41 H41 C45:G45 C44:G44 C41:G41 C42:G43 C46:G46 I41:W46" formulaRange="1"/>
    <ignoredError sqref="C78:AK83 D12:AK14 C24:AK25 H15 X15:AK15 C18:AK19 H20:H23 X20:AK22 C29:AK30 H26 X26:AK26 C32:AK33 H31 AM28:AM39 X31:AK31 AM10:AM15 H17 AM17:AM26 H28" evalError="1"/>
    <ignoredError sqref="AG45:AK45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A0B09-DABA-4E42-BC67-93960B9C5A6B}">
  <sheetPr>
    <tabColor theme="4" tint="-0.249977111117893"/>
  </sheetPr>
  <dimension ref="B2:AK27"/>
  <sheetViews>
    <sheetView showGridLines="0" zoomScale="115" zoomScaleNormal="115" workbookViewId="0">
      <selection activeCell="S31" sqref="S31"/>
    </sheetView>
  </sheetViews>
  <sheetFormatPr defaultRowHeight="12" outlineLevelCol="2"/>
  <cols>
    <col min="1" max="1" width="1.625" style="8" customWidth="1"/>
    <col min="2" max="2" width="28.625" style="8" bestFit="1" customWidth="1"/>
    <col min="3" max="4" width="8.625" style="8" customWidth="1" outlineLevel="1"/>
    <col min="5" max="7" width="8.625" style="8" bestFit="1" customWidth="1"/>
    <col min="8" max="8" width="1.625" style="8" customWidth="1"/>
    <col min="9" max="11" width="7.875" style="8" hidden="1" customWidth="1" outlineLevel="2"/>
    <col min="12" max="12" width="8.625" style="8" hidden="1" customWidth="1" outlineLevel="2"/>
    <col min="13" max="13" width="7.875" style="8" customWidth="1" outlineLevel="1" collapsed="1"/>
    <col min="14" max="15" width="7.875" style="8" customWidth="1" outlineLevel="1"/>
    <col min="16" max="16" width="8.625" style="8" customWidth="1" outlineLevel="1"/>
    <col min="17" max="18" width="7.875" style="8" customWidth="1" outlineLevel="1"/>
    <col min="19" max="19" width="7.875" style="8" bestFit="1" customWidth="1"/>
    <col min="20" max="20" width="8.625" style="8" bestFit="1" customWidth="1"/>
    <col min="21" max="23" width="7.875" style="8" bestFit="1" customWidth="1"/>
    <col min="24" max="24" width="1.625" style="8" customWidth="1"/>
    <col min="25" max="25" width="7.875" style="8" hidden="1" customWidth="1" outlineLevel="1"/>
    <col min="26" max="26" width="8.625" style="8" hidden="1" customWidth="1" outlineLevel="1"/>
    <col min="27" max="29" width="7.875" style="8" hidden="1" customWidth="1" outlineLevel="1"/>
    <col min="30" max="30" width="8.625" style="8" hidden="1" customWidth="1" outlineLevel="1"/>
    <col min="31" max="32" width="7.875" style="8" hidden="1" customWidth="1" outlineLevel="1"/>
    <col min="33" max="33" width="7.875" style="8" bestFit="1" customWidth="1" collapsed="1"/>
    <col min="34" max="34" width="8.625" style="8" hidden="1" customWidth="1" outlineLevel="1"/>
    <col min="35" max="36" width="7.875" style="8" hidden="1" customWidth="1" outlineLevel="1"/>
    <col min="37" max="37" width="7.875" style="8" bestFit="1" customWidth="1" collapsed="1"/>
    <col min="38" max="16384" width="9" style="8"/>
  </cols>
  <sheetData>
    <row r="2" spans="2:37">
      <c r="B2" s="155" t="str">
        <f>'Historical Financials'!B2</f>
        <v>Qualcomm (NASDAQ: QCOM)</v>
      </c>
      <c r="C2" s="153" t="s">
        <v>0</v>
      </c>
      <c r="D2" s="153"/>
      <c r="E2" s="153" t="s">
        <v>0</v>
      </c>
      <c r="F2" s="153"/>
      <c r="G2" s="153"/>
      <c r="H2" s="154"/>
      <c r="I2" s="153" t="s">
        <v>1</v>
      </c>
      <c r="J2" s="153"/>
      <c r="K2" s="153"/>
      <c r="L2" s="153"/>
      <c r="M2" s="153" t="s">
        <v>1</v>
      </c>
      <c r="N2" s="153"/>
      <c r="O2" s="153"/>
      <c r="P2" s="153"/>
      <c r="Q2" s="153"/>
      <c r="R2" s="153"/>
      <c r="S2" s="153" t="s">
        <v>1</v>
      </c>
      <c r="T2" s="153"/>
      <c r="U2" s="153"/>
      <c r="V2" s="153"/>
      <c r="W2" s="153"/>
      <c r="X2" s="154"/>
      <c r="Y2" s="153" t="s">
        <v>10</v>
      </c>
      <c r="Z2" s="153"/>
      <c r="AA2" s="153"/>
      <c r="AB2" s="153"/>
      <c r="AC2" s="153"/>
      <c r="AD2" s="153"/>
      <c r="AE2" s="153"/>
      <c r="AF2" s="153" t="s">
        <v>10</v>
      </c>
      <c r="AG2" s="153" t="s">
        <v>10</v>
      </c>
      <c r="AH2" s="153"/>
      <c r="AI2" s="153"/>
      <c r="AJ2" s="153"/>
      <c r="AK2" s="153"/>
    </row>
    <row r="3" spans="2:37">
      <c r="B3" s="156" t="s">
        <v>148</v>
      </c>
      <c r="C3" s="158">
        <f>'Historical Financials'!C7</f>
        <v>2020</v>
      </c>
      <c r="D3" s="158">
        <f>'Historical Financials'!D7</f>
        <v>2021</v>
      </c>
      <c r="E3" s="158">
        <f>'Historical Financials'!E7</f>
        <v>2022</v>
      </c>
      <c r="F3" s="158">
        <f>'Historical Financials'!F7</f>
        <v>2023</v>
      </c>
      <c r="G3" s="158">
        <f>'Historical Financials'!G7</f>
        <v>2024</v>
      </c>
      <c r="H3" s="154"/>
      <c r="I3" s="158" t="str">
        <f>'Historical Financials'!I7</f>
        <v>1Q22</v>
      </c>
      <c r="J3" s="158" t="str">
        <f>'Historical Financials'!J7</f>
        <v>2Q22</v>
      </c>
      <c r="K3" s="158" t="str">
        <f>'Historical Financials'!K7</f>
        <v>3Q22</v>
      </c>
      <c r="L3" s="158" t="str">
        <f>'Historical Financials'!L7</f>
        <v>4Q22</v>
      </c>
      <c r="M3" s="158" t="str">
        <f>'Historical Financials'!M7</f>
        <v>1Q23</v>
      </c>
      <c r="N3" s="158" t="str">
        <f>'Historical Financials'!N7</f>
        <v>2Q23</v>
      </c>
      <c r="O3" s="158" t="str">
        <f>'Historical Financials'!O7</f>
        <v>3Q23</v>
      </c>
      <c r="P3" s="158" t="str">
        <f>'Historical Financials'!P7</f>
        <v>4Q23</v>
      </c>
      <c r="Q3" s="158" t="str">
        <f>'Historical Financials'!Q7</f>
        <v>1Q24</v>
      </c>
      <c r="R3" s="158" t="str">
        <f>'Historical Financials'!R7</f>
        <v>2Q24</v>
      </c>
      <c r="S3" s="158" t="str">
        <f>'Historical Financials'!S7</f>
        <v>3Q24</v>
      </c>
      <c r="T3" s="158" t="str">
        <f>'Historical Financials'!T7</f>
        <v>4Q24</v>
      </c>
      <c r="U3" s="158" t="str">
        <f>'Historical Financials'!U7</f>
        <v>1Q25</v>
      </c>
      <c r="V3" s="158" t="str">
        <f>'Historical Financials'!V7</f>
        <v>2Q25</v>
      </c>
      <c r="W3" s="158" t="str">
        <f>'Historical Financials'!W7</f>
        <v>3Q25</v>
      </c>
      <c r="X3" s="154"/>
      <c r="Y3" s="159" t="str">
        <f t="shared" ref="Y3:AK4" si="0">K3</f>
        <v>3Q22</v>
      </c>
      <c r="Z3" s="159" t="str">
        <f t="shared" si="0"/>
        <v>4Q22</v>
      </c>
      <c r="AA3" s="159" t="str">
        <f t="shared" si="0"/>
        <v>1Q23</v>
      </c>
      <c r="AB3" s="159" t="str">
        <f t="shared" si="0"/>
        <v>2Q23</v>
      </c>
      <c r="AC3" s="159" t="str">
        <f t="shared" si="0"/>
        <v>3Q23</v>
      </c>
      <c r="AD3" s="159" t="str">
        <f t="shared" si="0"/>
        <v>4Q23</v>
      </c>
      <c r="AE3" s="159" t="str">
        <f t="shared" si="0"/>
        <v>1Q24</v>
      </c>
      <c r="AF3" s="159" t="str">
        <f t="shared" si="0"/>
        <v>2Q24</v>
      </c>
      <c r="AG3" s="159" t="str">
        <f t="shared" si="0"/>
        <v>3Q24</v>
      </c>
      <c r="AH3" s="159" t="str">
        <f t="shared" si="0"/>
        <v>4Q24</v>
      </c>
      <c r="AI3" s="159" t="str">
        <f t="shared" si="0"/>
        <v>1Q25</v>
      </c>
      <c r="AJ3" s="159" t="str">
        <f t="shared" si="0"/>
        <v>2Q25</v>
      </c>
      <c r="AK3" s="159" t="str">
        <f t="shared" si="0"/>
        <v>3Q25</v>
      </c>
    </row>
    <row r="4" spans="2:37">
      <c r="B4" s="156" t="s">
        <v>145</v>
      </c>
      <c r="C4" s="154">
        <f>'Historical Financials'!C8</f>
        <v>44196</v>
      </c>
      <c r="D4" s="154">
        <f>'Historical Financials'!D8</f>
        <v>44561</v>
      </c>
      <c r="E4" s="154">
        <f>'Historical Financials'!E8</f>
        <v>44926</v>
      </c>
      <c r="F4" s="154">
        <f>'Historical Financials'!F8</f>
        <v>45291</v>
      </c>
      <c r="G4" s="154">
        <f>'Historical Financials'!G8</f>
        <v>45657</v>
      </c>
      <c r="H4" s="154"/>
      <c r="I4" s="154">
        <f>'Historical Financials'!I8</f>
        <v>44651</v>
      </c>
      <c r="J4" s="154">
        <f>'Historical Financials'!J8</f>
        <v>44742</v>
      </c>
      <c r="K4" s="154">
        <f>'Historical Financials'!K8</f>
        <v>44834</v>
      </c>
      <c r="L4" s="154">
        <f>'Historical Financials'!L8</f>
        <v>44926</v>
      </c>
      <c r="M4" s="154">
        <f>'Historical Financials'!M8</f>
        <v>45016</v>
      </c>
      <c r="N4" s="154">
        <f>'Historical Financials'!N8</f>
        <v>45107</v>
      </c>
      <c r="O4" s="154">
        <f>'Historical Financials'!O8</f>
        <v>45199</v>
      </c>
      <c r="P4" s="154">
        <f>'Historical Financials'!P8</f>
        <v>45291</v>
      </c>
      <c r="Q4" s="154">
        <f>'Historical Financials'!Q8</f>
        <v>45382</v>
      </c>
      <c r="R4" s="154">
        <f>'Historical Financials'!R8</f>
        <v>45473</v>
      </c>
      <c r="S4" s="154">
        <f>'Historical Financials'!S8</f>
        <v>45565</v>
      </c>
      <c r="T4" s="154">
        <f>'Historical Financials'!T8</f>
        <v>45657</v>
      </c>
      <c r="U4" s="154">
        <f>'Historical Financials'!U8</f>
        <v>45747</v>
      </c>
      <c r="V4" s="154">
        <f>'Historical Financials'!V8</f>
        <v>45838</v>
      </c>
      <c r="W4" s="154">
        <f>'Historical Financials'!W8</f>
        <v>45930</v>
      </c>
      <c r="X4" s="154"/>
      <c r="Y4" s="154">
        <f t="shared" si="0"/>
        <v>44834</v>
      </c>
      <c r="Z4" s="154">
        <f t="shared" si="0"/>
        <v>44926</v>
      </c>
      <c r="AA4" s="154">
        <f t="shared" si="0"/>
        <v>45016</v>
      </c>
      <c r="AB4" s="154">
        <f t="shared" si="0"/>
        <v>45107</v>
      </c>
      <c r="AC4" s="154">
        <f t="shared" si="0"/>
        <v>45199</v>
      </c>
      <c r="AD4" s="154">
        <f t="shared" si="0"/>
        <v>45291</v>
      </c>
      <c r="AE4" s="154">
        <f t="shared" si="0"/>
        <v>45382</v>
      </c>
      <c r="AF4" s="154">
        <f t="shared" si="0"/>
        <v>45473</v>
      </c>
      <c r="AG4" s="154">
        <f t="shared" si="0"/>
        <v>45565</v>
      </c>
      <c r="AH4" s="154">
        <f t="shared" si="0"/>
        <v>45657</v>
      </c>
      <c r="AI4" s="154">
        <f t="shared" si="0"/>
        <v>45747</v>
      </c>
      <c r="AJ4" s="154">
        <f t="shared" si="0"/>
        <v>45838</v>
      </c>
      <c r="AK4" s="154">
        <f t="shared" si="0"/>
        <v>45930</v>
      </c>
    </row>
    <row r="5" spans="2:37" ht="5.0999999999999996" customHeight="1"/>
    <row r="6" spans="2:37">
      <c r="B6" s="36" t="s">
        <v>146</v>
      </c>
    </row>
    <row r="7" spans="2:37">
      <c r="B7" s="161" t="s">
        <v>150</v>
      </c>
      <c r="C7" s="160">
        <v>500</v>
      </c>
      <c r="D7" s="160">
        <v>0</v>
      </c>
      <c r="E7" s="160">
        <v>0</v>
      </c>
      <c r="F7" s="160">
        <v>0</v>
      </c>
      <c r="G7" s="160">
        <v>0</v>
      </c>
      <c r="I7" s="160">
        <v>0</v>
      </c>
      <c r="J7" s="160">
        <v>0</v>
      </c>
      <c r="K7" s="160">
        <v>0</v>
      </c>
      <c r="L7" s="152">
        <f>E7</f>
        <v>0</v>
      </c>
      <c r="M7" s="160">
        <v>0</v>
      </c>
      <c r="N7" s="160">
        <v>0</v>
      </c>
      <c r="O7" s="160">
        <v>0</v>
      </c>
      <c r="P7" s="152">
        <f>F7</f>
        <v>0</v>
      </c>
      <c r="Q7" s="160">
        <v>0</v>
      </c>
      <c r="R7" s="160">
        <v>0</v>
      </c>
      <c r="S7" s="160">
        <v>0</v>
      </c>
      <c r="T7" s="152">
        <f>G7</f>
        <v>0</v>
      </c>
      <c r="U7" s="160">
        <v>0</v>
      </c>
      <c r="V7" s="160">
        <v>0</v>
      </c>
      <c r="W7" s="160">
        <v>0</v>
      </c>
      <c r="Y7" s="152">
        <f t="shared" ref="Y7" si="1">K7</f>
        <v>0</v>
      </c>
      <c r="Z7" s="152">
        <f t="shared" ref="Z7" si="2">L7</f>
        <v>0</v>
      </c>
      <c r="AA7" s="152">
        <f t="shared" ref="AA7" si="3">M7</f>
        <v>0</v>
      </c>
      <c r="AB7" s="152">
        <f t="shared" ref="AB7" si="4">N7</f>
        <v>0</v>
      </c>
      <c r="AC7" s="152">
        <f t="shared" ref="AC7" si="5">O7</f>
        <v>0</v>
      </c>
      <c r="AD7" s="152">
        <f t="shared" ref="AD7" si="6">P7</f>
        <v>0</v>
      </c>
      <c r="AE7" s="152">
        <f t="shared" ref="AE7" si="7">Q7</f>
        <v>0</v>
      </c>
      <c r="AF7" s="152">
        <f t="shared" ref="AF7" si="8">R7</f>
        <v>0</v>
      </c>
      <c r="AG7" s="152">
        <f t="shared" ref="AG7" si="9">S7</f>
        <v>0</v>
      </c>
      <c r="AH7" s="152">
        <f t="shared" ref="AH7" si="10">T7</f>
        <v>0</v>
      </c>
      <c r="AI7" s="152">
        <f t="shared" ref="AI7" si="11">U7</f>
        <v>0</v>
      </c>
      <c r="AJ7" s="152">
        <f t="shared" ref="AJ7" si="12">V7</f>
        <v>0</v>
      </c>
      <c r="AK7" s="152">
        <f t="shared" ref="AK7" si="13">W7</f>
        <v>0</v>
      </c>
    </row>
    <row r="8" spans="2:37">
      <c r="B8" s="161" t="s">
        <v>149</v>
      </c>
      <c r="C8" s="160">
        <v>700</v>
      </c>
      <c r="D8" s="160">
        <v>700</v>
      </c>
      <c r="E8" s="160">
        <v>0</v>
      </c>
      <c r="F8" s="160">
        <v>0</v>
      </c>
      <c r="G8" s="160">
        <v>0</v>
      </c>
      <c r="I8" s="160">
        <v>0</v>
      </c>
      <c r="J8" s="160">
        <v>0</v>
      </c>
      <c r="K8" s="160">
        <v>0</v>
      </c>
      <c r="L8" s="152">
        <f t="shared" ref="L8:L24" si="14">E8</f>
        <v>0</v>
      </c>
      <c r="M8" s="160">
        <v>0</v>
      </c>
      <c r="N8" s="160">
        <v>0</v>
      </c>
      <c r="O8" s="160">
        <v>0</v>
      </c>
      <c r="P8" s="152">
        <f>F8</f>
        <v>0</v>
      </c>
      <c r="Q8" s="160">
        <v>0</v>
      </c>
      <c r="R8" s="160">
        <v>0</v>
      </c>
      <c r="S8" s="160">
        <v>0</v>
      </c>
      <c r="T8" s="152">
        <f>G8</f>
        <v>0</v>
      </c>
      <c r="U8" s="160">
        <v>0</v>
      </c>
      <c r="V8" s="160">
        <v>0</v>
      </c>
      <c r="W8" s="160">
        <v>0</v>
      </c>
      <c r="Y8" s="152">
        <f t="shared" ref="Y8" si="15">K8</f>
        <v>0</v>
      </c>
      <c r="Z8" s="152">
        <f t="shared" ref="Z8" si="16">L8</f>
        <v>0</v>
      </c>
      <c r="AA8" s="152">
        <f t="shared" ref="AA8" si="17">M8</f>
        <v>0</v>
      </c>
      <c r="AB8" s="152">
        <f t="shared" ref="AB8" si="18">N8</f>
        <v>0</v>
      </c>
      <c r="AC8" s="152">
        <f t="shared" ref="AC8" si="19">O8</f>
        <v>0</v>
      </c>
      <c r="AD8" s="152">
        <f t="shared" ref="AD8" si="20">P8</f>
        <v>0</v>
      </c>
      <c r="AE8" s="152">
        <f t="shared" ref="AE8" si="21">Q8</f>
        <v>0</v>
      </c>
      <c r="AF8" s="152">
        <f t="shared" ref="AF8" si="22">R8</f>
        <v>0</v>
      </c>
      <c r="AG8" s="152">
        <f t="shared" ref="AG8" si="23">S8</f>
        <v>0</v>
      </c>
      <c r="AH8" s="152">
        <f t="shared" ref="AH8" si="24">T8</f>
        <v>0</v>
      </c>
      <c r="AI8" s="152">
        <f t="shared" ref="AI8" si="25">U8</f>
        <v>0</v>
      </c>
      <c r="AJ8" s="152">
        <f t="shared" ref="AJ8" si="26">V8</f>
        <v>0</v>
      </c>
      <c r="AK8" s="152">
        <f t="shared" ref="AK8" si="27">W8</f>
        <v>0</v>
      </c>
    </row>
    <row r="9" spans="2:37">
      <c r="B9" s="161" t="s">
        <v>131</v>
      </c>
      <c r="C9" s="160">
        <v>400</v>
      </c>
      <c r="D9" s="160">
        <v>400</v>
      </c>
      <c r="E9" s="160">
        <v>400</v>
      </c>
      <c r="F9" s="160">
        <v>400</v>
      </c>
      <c r="G9" s="160">
        <v>0</v>
      </c>
      <c r="I9" s="160">
        <v>400</v>
      </c>
      <c r="J9" s="160">
        <v>400</v>
      </c>
      <c r="K9" s="160">
        <v>400</v>
      </c>
      <c r="L9" s="152">
        <f t="shared" si="14"/>
        <v>400</v>
      </c>
      <c r="M9" s="160">
        <v>400</v>
      </c>
      <c r="N9" s="160">
        <v>400</v>
      </c>
      <c r="O9" s="160">
        <v>400</v>
      </c>
      <c r="P9" s="152">
        <f>F9</f>
        <v>400</v>
      </c>
      <c r="Q9" s="160">
        <v>0</v>
      </c>
      <c r="R9" s="160">
        <v>0</v>
      </c>
      <c r="S9" s="160">
        <v>0</v>
      </c>
      <c r="T9" s="152">
        <f>G9</f>
        <v>0</v>
      </c>
      <c r="U9" s="160">
        <v>0</v>
      </c>
      <c r="V9" s="160">
        <v>0</v>
      </c>
      <c r="W9" s="160">
        <v>0</v>
      </c>
      <c r="Y9" s="152">
        <f t="shared" ref="Y9:Y24" si="28">K9</f>
        <v>400</v>
      </c>
      <c r="Z9" s="152">
        <f t="shared" ref="Z9:Z24" si="29">L9</f>
        <v>400</v>
      </c>
      <c r="AA9" s="152">
        <f t="shared" ref="AA9:AA24" si="30">M9</f>
        <v>400</v>
      </c>
      <c r="AB9" s="152">
        <f t="shared" ref="AB9:AB24" si="31">N9</f>
        <v>400</v>
      </c>
      <c r="AC9" s="152">
        <f t="shared" ref="AC9:AC24" si="32">O9</f>
        <v>400</v>
      </c>
      <c r="AD9" s="152">
        <f t="shared" ref="AD9:AD24" si="33">P9</f>
        <v>400</v>
      </c>
      <c r="AE9" s="152">
        <f t="shared" ref="AE9:AE24" si="34">Q9</f>
        <v>0</v>
      </c>
      <c r="AF9" s="152">
        <f t="shared" ref="AF9:AF24" si="35">R9</f>
        <v>0</v>
      </c>
      <c r="AG9" s="152">
        <f t="shared" ref="AG9:AG24" si="36">S9</f>
        <v>0</v>
      </c>
      <c r="AH9" s="152">
        <f t="shared" ref="AH9:AH24" si="37">T9</f>
        <v>0</v>
      </c>
      <c r="AI9" s="152">
        <f t="shared" ref="AI9:AI24" si="38">U9</f>
        <v>0</v>
      </c>
      <c r="AJ9" s="152">
        <f t="shared" ref="AJ9:AJ24" si="39">V9</f>
        <v>0</v>
      </c>
      <c r="AK9" s="152">
        <f t="shared" ref="AK9:AK23" si="40">W9</f>
        <v>0</v>
      </c>
    </row>
    <row r="10" spans="2:37">
      <c r="B10" s="161" t="s">
        <v>132</v>
      </c>
      <c r="C10" s="160">
        <v>800</v>
      </c>
      <c r="D10" s="160">
        <v>800</v>
      </c>
      <c r="E10" s="160">
        <v>800</v>
      </c>
      <c r="F10" s="160">
        <v>800</v>
      </c>
      <c r="G10" s="160">
        <v>800</v>
      </c>
      <c r="I10" s="160">
        <v>800</v>
      </c>
      <c r="J10" s="160">
        <v>800</v>
      </c>
      <c r="K10" s="160">
        <v>800</v>
      </c>
      <c r="L10" s="152">
        <f t="shared" si="14"/>
        <v>800</v>
      </c>
      <c r="M10" s="160">
        <v>800</v>
      </c>
      <c r="N10" s="160">
        <v>800</v>
      </c>
      <c r="O10" s="160">
        <v>800</v>
      </c>
      <c r="P10" s="152">
        <f t="shared" ref="P10:P24" si="41">F10</f>
        <v>800</v>
      </c>
      <c r="Q10" s="160">
        <v>800</v>
      </c>
      <c r="R10" s="160">
        <v>800</v>
      </c>
      <c r="S10" s="160">
        <v>800</v>
      </c>
      <c r="T10" s="152">
        <f t="shared" ref="T10:T24" si="42">G10</f>
        <v>800</v>
      </c>
      <c r="U10" s="160">
        <v>0</v>
      </c>
      <c r="V10" s="160">
        <v>0</v>
      </c>
      <c r="W10" s="160">
        <v>0</v>
      </c>
      <c r="Y10" s="152">
        <f t="shared" si="28"/>
        <v>800</v>
      </c>
      <c r="Z10" s="152">
        <f t="shared" si="29"/>
        <v>800</v>
      </c>
      <c r="AA10" s="152">
        <f t="shared" si="30"/>
        <v>800</v>
      </c>
      <c r="AB10" s="152">
        <f t="shared" si="31"/>
        <v>800</v>
      </c>
      <c r="AC10" s="152">
        <f t="shared" si="32"/>
        <v>800</v>
      </c>
      <c r="AD10" s="152">
        <f t="shared" si="33"/>
        <v>800</v>
      </c>
      <c r="AE10" s="152">
        <f t="shared" si="34"/>
        <v>800</v>
      </c>
      <c r="AF10" s="152">
        <f t="shared" si="35"/>
        <v>800</v>
      </c>
      <c r="AG10" s="152">
        <f t="shared" si="36"/>
        <v>800</v>
      </c>
      <c r="AH10" s="152">
        <f t="shared" si="37"/>
        <v>800</v>
      </c>
      <c r="AI10" s="152">
        <f t="shared" si="38"/>
        <v>0</v>
      </c>
      <c r="AJ10" s="152">
        <f t="shared" si="39"/>
        <v>0</v>
      </c>
      <c r="AK10" s="152">
        <f t="shared" si="40"/>
        <v>0</v>
      </c>
    </row>
    <row r="11" spans="2:37" ht="14.25">
      <c r="B11" s="161" t="s">
        <v>151</v>
      </c>
      <c r="C11" s="160">
        <v>574</v>
      </c>
      <c r="D11" s="160">
        <v>535</v>
      </c>
      <c r="E11" s="160">
        <v>503</v>
      </c>
      <c r="F11" s="160">
        <v>519</v>
      </c>
      <c r="G11" s="160">
        <v>487</v>
      </c>
      <c r="I11" s="160">
        <v>520</v>
      </c>
      <c r="J11" s="160">
        <v>492</v>
      </c>
      <c r="K11" s="160">
        <v>460</v>
      </c>
      <c r="L11" s="152">
        <f t="shared" si="14"/>
        <v>503</v>
      </c>
      <c r="M11" s="160">
        <v>510</v>
      </c>
      <c r="N11" s="160">
        <v>513</v>
      </c>
      <c r="O11" s="160">
        <v>497</v>
      </c>
      <c r="P11" s="152">
        <f t="shared" si="41"/>
        <v>519</v>
      </c>
      <c r="Q11" s="160">
        <v>507</v>
      </c>
      <c r="R11" s="160">
        <v>503</v>
      </c>
      <c r="S11" s="160">
        <v>523</v>
      </c>
      <c r="T11" s="152">
        <f t="shared" si="42"/>
        <v>487</v>
      </c>
      <c r="U11" s="160">
        <v>508</v>
      </c>
      <c r="V11" s="160">
        <v>0</v>
      </c>
      <c r="W11" s="160">
        <v>0</v>
      </c>
      <c r="Y11" s="152">
        <f t="shared" si="28"/>
        <v>460</v>
      </c>
      <c r="Z11" s="152">
        <f t="shared" si="29"/>
        <v>503</v>
      </c>
      <c r="AA11" s="152">
        <f t="shared" si="30"/>
        <v>510</v>
      </c>
      <c r="AB11" s="152">
        <f t="shared" si="31"/>
        <v>513</v>
      </c>
      <c r="AC11" s="152">
        <f t="shared" si="32"/>
        <v>497</v>
      </c>
      <c r="AD11" s="152">
        <f t="shared" si="33"/>
        <v>519</v>
      </c>
      <c r="AE11" s="152">
        <f t="shared" si="34"/>
        <v>507</v>
      </c>
      <c r="AF11" s="152">
        <f t="shared" si="35"/>
        <v>503</v>
      </c>
      <c r="AG11" s="152">
        <f t="shared" si="36"/>
        <v>523</v>
      </c>
      <c r="AH11" s="152">
        <f t="shared" si="37"/>
        <v>487</v>
      </c>
      <c r="AI11" s="152">
        <f t="shared" si="38"/>
        <v>508</v>
      </c>
      <c r="AJ11" s="152">
        <f t="shared" si="39"/>
        <v>0</v>
      </c>
      <c r="AK11" s="152">
        <f t="shared" si="40"/>
        <v>0</v>
      </c>
    </row>
    <row r="12" spans="2:37">
      <c r="B12" s="161" t="s">
        <v>133</v>
      </c>
      <c r="C12" s="160">
        <v>500</v>
      </c>
      <c r="D12" s="160">
        <v>500</v>
      </c>
      <c r="E12" s="160">
        <v>500</v>
      </c>
      <c r="F12" s="160">
        <v>500</v>
      </c>
      <c r="G12" s="160">
        <v>500</v>
      </c>
      <c r="I12" s="160">
        <v>500</v>
      </c>
      <c r="J12" s="160">
        <v>500</v>
      </c>
      <c r="K12" s="160">
        <v>500</v>
      </c>
      <c r="L12" s="152">
        <f t="shared" si="14"/>
        <v>500</v>
      </c>
      <c r="M12" s="160">
        <v>500</v>
      </c>
      <c r="N12" s="160">
        <v>500</v>
      </c>
      <c r="O12" s="160">
        <v>500</v>
      </c>
      <c r="P12" s="152">
        <f t="shared" si="41"/>
        <v>500</v>
      </c>
      <c r="Q12" s="160">
        <v>500</v>
      </c>
      <c r="R12" s="160">
        <v>500</v>
      </c>
      <c r="S12" s="160">
        <v>500</v>
      </c>
      <c r="T12" s="152">
        <f t="shared" si="42"/>
        <v>500</v>
      </c>
      <c r="U12" s="160">
        <v>500</v>
      </c>
      <c r="V12" s="160">
        <v>0</v>
      </c>
      <c r="W12" s="160">
        <v>0</v>
      </c>
      <c r="Y12" s="152">
        <f t="shared" si="28"/>
        <v>500</v>
      </c>
      <c r="Z12" s="152">
        <f t="shared" si="29"/>
        <v>500</v>
      </c>
      <c r="AA12" s="152">
        <f t="shared" si="30"/>
        <v>500</v>
      </c>
      <c r="AB12" s="152">
        <f t="shared" si="31"/>
        <v>500</v>
      </c>
      <c r="AC12" s="152">
        <f t="shared" si="32"/>
        <v>500</v>
      </c>
      <c r="AD12" s="152">
        <f t="shared" si="33"/>
        <v>500</v>
      </c>
      <c r="AE12" s="152">
        <f t="shared" si="34"/>
        <v>500</v>
      </c>
      <c r="AF12" s="152">
        <f t="shared" si="35"/>
        <v>500</v>
      </c>
      <c r="AG12" s="152">
        <f t="shared" si="36"/>
        <v>500</v>
      </c>
      <c r="AH12" s="152">
        <f t="shared" si="37"/>
        <v>500</v>
      </c>
      <c r="AI12" s="152">
        <f t="shared" si="38"/>
        <v>500</v>
      </c>
      <c r="AJ12" s="152">
        <f t="shared" si="39"/>
        <v>0</v>
      </c>
      <c r="AK12" s="152">
        <f t="shared" si="40"/>
        <v>0</v>
      </c>
    </row>
    <row r="13" spans="2:37">
      <c r="B13" s="161" t="s">
        <v>134</v>
      </c>
      <c r="C13" s="160">
        <v>1000</v>
      </c>
      <c r="D13" s="160">
        <v>1000</v>
      </c>
      <c r="E13" s="160">
        <v>1000</v>
      </c>
      <c r="F13" s="160">
        <v>1000</v>
      </c>
      <c r="G13" s="160">
        <v>1000</v>
      </c>
      <c r="I13" s="160">
        <v>1000</v>
      </c>
      <c r="J13" s="160">
        <v>1000</v>
      </c>
      <c r="K13" s="160">
        <v>1000</v>
      </c>
      <c r="L13" s="152">
        <f t="shared" si="14"/>
        <v>1000</v>
      </c>
      <c r="M13" s="160">
        <v>1000</v>
      </c>
      <c r="N13" s="160">
        <v>1000</v>
      </c>
      <c r="O13" s="160">
        <v>1000</v>
      </c>
      <c r="P13" s="152">
        <f t="shared" si="41"/>
        <v>1000</v>
      </c>
      <c r="Q13" s="160">
        <v>1000</v>
      </c>
      <c r="R13" s="160">
        <v>1000</v>
      </c>
      <c r="S13" s="160">
        <v>1000</v>
      </c>
      <c r="T13" s="152">
        <f t="shared" si="42"/>
        <v>1000</v>
      </c>
      <c r="U13" s="160">
        <v>1000</v>
      </c>
      <c r="V13" s="160">
        <v>1000</v>
      </c>
      <c r="W13" s="160">
        <v>1000</v>
      </c>
      <c r="Y13" s="152">
        <f t="shared" si="28"/>
        <v>1000</v>
      </c>
      <c r="Z13" s="152">
        <f t="shared" si="29"/>
        <v>1000</v>
      </c>
      <c r="AA13" s="152">
        <f t="shared" si="30"/>
        <v>1000</v>
      </c>
      <c r="AB13" s="152">
        <f t="shared" si="31"/>
        <v>1000</v>
      </c>
      <c r="AC13" s="152">
        <f t="shared" si="32"/>
        <v>1000</v>
      </c>
      <c r="AD13" s="152">
        <f t="shared" si="33"/>
        <v>1000</v>
      </c>
      <c r="AE13" s="152">
        <f t="shared" si="34"/>
        <v>1000</v>
      </c>
      <c r="AF13" s="152">
        <f t="shared" si="35"/>
        <v>1000</v>
      </c>
      <c r="AG13" s="152">
        <f t="shared" si="36"/>
        <v>1000</v>
      </c>
      <c r="AH13" s="152">
        <f t="shared" si="37"/>
        <v>1000</v>
      </c>
      <c r="AI13" s="152">
        <f t="shared" si="38"/>
        <v>1000</v>
      </c>
      <c r="AJ13" s="152">
        <f t="shared" si="39"/>
        <v>1000</v>
      </c>
      <c r="AK13" s="152">
        <f t="shared" si="40"/>
        <v>1000</v>
      </c>
    </row>
    <row r="14" spans="2:37" ht="14.25">
      <c r="B14" s="161" t="s">
        <v>152</v>
      </c>
      <c r="C14" s="160">
        <v>1588</v>
      </c>
      <c r="D14" s="160">
        <v>1480</v>
      </c>
      <c r="E14" s="160">
        <v>1391</v>
      </c>
      <c r="F14" s="160">
        <v>1434</v>
      </c>
      <c r="G14" s="160">
        <v>1346</v>
      </c>
      <c r="I14" s="160">
        <v>1439</v>
      </c>
      <c r="J14" s="160">
        <v>1362</v>
      </c>
      <c r="K14" s="160">
        <v>1275</v>
      </c>
      <c r="L14" s="152">
        <f t="shared" si="14"/>
        <v>1391</v>
      </c>
      <c r="M14" s="160">
        <v>1412</v>
      </c>
      <c r="N14" s="160">
        <v>1419</v>
      </c>
      <c r="O14" s="160">
        <v>1375</v>
      </c>
      <c r="P14" s="152">
        <f t="shared" si="41"/>
        <v>1434</v>
      </c>
      <c r="Q14" s="160">
        <v>1401</v>
      </c>
      <c r="R14" s="160">
        <v>1394</v>
      </c>
      <c r="S14" s="160">
        <v>1446</v>
      </c>
      <c r="T14" s="152">
        <f t="shared" si="42"/>
        <v>1346</v>
      </c>
      <c r="U14" s="160">
        <v>1404</v>
      </c>
      <c r="V14" s="160">
        <v>1525</v>
      </c>
      <c r="W14" s="160">
        <v>1528</v>
      </c>
      <c r="Y14" s="152">
        <f t="shared" si="28"/>
        <v>1275</v>
      </c>
      <c r="Z14" s="152">
        <f t="shared" si="29"/>
        <v>1391</v>
      </c>
      <c r="AA14" s="152">
        <f t="shared" si="30"/>
        <v>1412</v>
      </c>
      <c r="AB14" s="152">
        <f t="shared" si="31"/>
        <v>1419</v>
      </c>
      <c r="AC14" s="152">
        <f t="shared" si="32"/>
        <v>1375</v>
      </c>
      <c r="AD14" s="152">
        <f t="shared" si="33"/>
        <v>1434</v>
      </c>
      <c r="AE14" s="152">
        <f t="shared" si="34"/>
        <v>1401</v>
      </c>
      <c r="AF14" s="152">
        <f t="shared" si="35"/>
        <v>1394</v>
      </c>
      <c r="AG14" s="152">
        <f t="shared" si="36"/>
        <v>1446</v>
      </c>
      <c r="AH14" s="152">
        <f t="shared" si="37"/>
        <v>1346</v>
      </c>
      <c r="AI14" s="152">
        <f t="shared" si="38"/>
        <v>1404</v>
      </c>
      <c r="AJ14" s="152">
        <f t="shared" si="39"/>
        <v>1525</v>
      </c>
      <c r="AK14" s="152">
        <f t="shared" si="40"/>
        <v>1528</v>
      </c>
    </row>
    <row r="15" spans="2:37">
      <c r="B15" s="161" t="s">
        <v>139</v>
      </c>
      <c r="C15" s="160">
        <v>1600</v>
      </c>
      <c r="D15" s="160">
        <v>1600</v>
      </c>
      <c r="E15" s="160">
        <v>1600</v>
      </c>
      <c r="F15" s="160">
        <v>1600</v>
      </c>
      <c r="G15" s="160">
        <v>1600</v>
      </c>
      <c r="I15" s="160">
        <v>1600</v>
      </c>
      <c r="J15" s="160">
        <v>1600</v>
      </c>
      <c r="K15" s="160">
        <v>1600</v>
      </c>
      <c r="L15" s="152">
        <f t="shared" si="14"/>
        <v>1600</v>
      </c>
      <c r="M15" s="160">
        <v>1600</v>
      </c>
      <c r="N15" s="160">
        <v>1600</v>
      </c>
      <c r="O15" s="160">
        <v>1600</v>
      </c>
      <c r="P15" s="152">
        <f t="shared" si="41"/>
        <v>1600</v>
      </c>
      <c r="Q15" s="160">
        <v>1600</v>
      </c>
      <c r="R15" s="160">
        <v>1600</v>
      </c>
      <c r="S15" s="160">
        <v>1600</v>
      </c>
      <c r="T15" s="152">
        <f t="shared" si="42"/>
        <v>1600</v>
      </c>
      <c r="U15" s="160">
        <v>1600</v>
      </c>
      <c r="V15" s="160">
        <v>1600</v>
      </c>
      <c r="W15" s="160">
        <v>1600</v>
      </c>
      <c r="Y15" s="152">
        <f t="shared" si="28"/>
        <v>1600</v>
      </c>
      <c r="Z15" s="152">
        <f t="shared" si="29"/>
        <v>1600</v>
      </c>
      <c r="AA15" s="152">
        <f t="shared" si="30"/>
        <v>1600</v>
      </c>
      <c r="AB15" s="152">
        <f t="shared" si="31"/>
        <v>1600</v>
      </c>
      <c r="AC15" s="152">
        <f t="shared" si="32"/>
        <v>1600</v>
      </c>
      <c r="AD15" s="152">
        <f t="shared" si="33"/>
        <v>1600</v>
      </c>
      <c r="AE15" s="152">
        <f t="shared" si="34"/>
        <v>1600</v>
      </c>
      <c r="AF15" s="152">
        <f t="shared" si="35"/>
        <v>1600</v>
      </c>
      <c r="AG15" s="152">
        <f t="shared" si="36"/>
        <v>1600</v>
      </c>
      <c r="AH15" s="152">
        <f t="shared" si="37"/>
        <v>1600</v>
      </c>
      <c r="AI15" s="152">
        <f t="shared" si="38"/>
        <v>1600</v>
      </c>
      <c r="AJ15" s="152">
        <f t="shared" si="39"/>
        <v>1600</v>
      </c>
      <c r="AK15" s="152">
        <f t="shared" si="40"/>
        <v>1600</v>
      </c>
    </row>
    <row r="16" spans="2:37">
      <c r="B16" s="161" t="s">
        <v>138</v>
      </c>
      <c r="C16" s="160">
        <v>1900</v>
      </c>
      <c r="D16" s="160">
        <v>1900</v>
      </c>
      <c r="E16" s="160">
        <v>1900</v>
      </c>
      <c r="F16" s="160">
        <v>1900</v>
      </c>
      <c r="G16" s="160">
        <v>1900</v>
      </c>
      <c r="I16" s="160">
        <v>1900</v>
      </c>
      <c r="J16" s="160">
        <v>1900</v>
      </c>
      <c r="K16" s="160">
        <v>1900</v>
      </c>
      <c r="L16" s="152">
        <f t="shared" si="14"/>
        <v>1900</v>
      </c>
      <c r="M16" s="160">
        <v>1900</v>
      </c>
      <c r="N16" s="160">
        <v>1900</v>
      </c>
      <c r="O16" s="160">
        <v>1900</v>
      </c>
      <c r="P16" s="152">
        <f t="shared" si="41"/>
        <v>1900</v>
      </c>
      <c r="Q16" s="160">
        <v>1900</v>
      </c>
      <c r="R16" s="160">
        <v>1900</v>
      </c>
      <c r="S16" s="160">
        <v>1900</v>
      </c>
      <c r="T16" s="152">
        <f t="shared" si="42"/>
        <v>1900</v>
      </c>
      <c r="U16" s="160">
        <v>1900</v>
      </c>
      <c r="V16" s="160">
        <v>1900</v>
      </c>
      <c r="W16" s="160">
        <v>1900</v>
      </c>
      <c r="Y16" s="152">
        <f t="shared" si="28"/>
        <v>1900</v>
      </c>
      <c r="Z16" s="152">
        <f t="shared" si="29"/>
        <v>1900</v>
      </c>
      <c r="AA16" s="152">
        <f t="shared" si="30"/>
        <v>1900</v>
      </c>
      <c r="AB16" s="152">
        <f t="shared" si="31"/>
        <v>1900</v>
      </c>
      <c r="AC16" s="152">
        <f t="shared" si="32"/>
        <v>1900</v>
      </c>
      <c r="AD16" s="152">
        <f t="shared" si="33"/>
        <v>1900</v>
      </c>
      <c r="AE16" s="152">
        <f t="shared" si="34"/>
        <v>1900</v>
      </c>
      <c r="AF16" s="152">
        <f t="shared" si="35"/>
        <v>1900</v>
      </c>
      <c r="AG16" s="152">
        <f t="shared" si="36"/>
        <v>1900</v>
      </c>
      <c r="AH16" s="152">
        <f t="shared" si="37"/>
        <v>1900</v>
      </c>
      <c r="AI16" s="152">
        <f t="shared" si="38"/>
        <v>1900</v>
      </c>
      <c r="AJ16" s="152">
        <f t="shared" si="39"/>
        <v>1900</v>
      </c>
      <c r="AK16" s="152">
        <f t="shared" si="40"/>
        <v>1900</v>
      </c>
    </row>
    <row r="17" spans="2:37" ht="14.25">
      <c r="B17" s="161" t="s">
        <v>153</v>
      </c>
      <c r="C17" s="160">
        <v>1344</v>
      </c>
      <c r="D17" s="160">
        <v>1252</v>
      </c>
      <c r="E17" s="160">
        <v>1177</v>
      </c>
      <c r="F17" s="160">
        <v>1215</v>
      </c>
      <c r="G17" s="160">
        <v>1139</v>
      </c>
      <c r="I17" s="160">
        <v>1218</v>
      </c>
      <c r="J17" s="160">
        <v>1153</v>
      </c>
      <c r="K17" s="160">
        <v>1079</v>
      </c>
      <c r="L17" s="152">
        <f t="shared" si="14"/>
        <v>1177</v>
      </c>
      <c r="M17" s="160">
        <v>1194</v>
      </c>
      <c r="N17" s="160">
        <v>1200</v>
      </c>
      <c r="O17" s="160">
        <v>1163</v>
      </c>
      <c r="P17" s="152">
        <f t="shared" si="41"/>
        <v>1215</v>
      </c>
      <c r="Q17" s="160">
        <v>1187</v>
      </c>
      <c r="R17" s="160">
        <v>1178</v>
      </c>
      <c r="S17" s="160">
        <v>1225</v>
      </c>
      <c r="T17" s="152">
        <f t="shared" si="42"/>
        <v>1139</v>
      </c>
      <c r="U17" s="160">
        <v>1188</v>
      </c>
      <c r="V17" s="160">
        <v>1291</v>
      </c>
      <c r="W17" s="160">
        <v>1293</v>
      </c>
      <c r="Y17" s="152">
        <f t="shared" si="28"/>
        <v>1079</v>
      </c>
      <c r="Z17" s="152">
        <f t="shared" si="29"/>
        <v>1177</v>
      </c>
      <c r="AA17" s="152">
        <f t="shared" si="30"/>
        <v>1194</v>
      </c>
      <c r="AB17" s="152">
        <f t="shared" si="31"/>
        <v>1200</v>
      </c>
      <c r="AC17" s="152">
        <f t="shared" si="32"/>
        <v>1163</v>
      </c>
      <c r="AD17" s="152">
        <f t="shared" si="33"/>
        <v>1215</v>
      </c>
      <c r="AE17" s="152">
        <f t="shared" si="34"/>
        <v>1187</v>
      </c>
      <c r="AF17" s="152">
        <f t="shared" si="35"/>
        <v>1178</v>
      </c>
      <c r="AG17" s="152">
        <f t="shared" si="36"/>
        <v>1225</v>
      </c>
      <c r="AH17" s="152">
        <f t="shared" si="37"/>
        <v>1139</v>
      </c>
      <c r="AI17" s="152">
        <f t="shared" si="38"/>
        <v>1188</v>
      </c>
      <c r="AJ17" s="152">
        <f t="shared" si="39"/>
        <v>1291</v>
      </c>
      <c r="AK17" s="152">
        <f t="shared" si="40"/>
        <v>1293</v>
      </c>
    </row>
    <row r="18" spans="2:37">
      <c r="B18" s="161" t="s">
        <v>137</v>
      </c>
      <c r="C18" s="160">
        <v>800</v>
      </c>
      <c r="D18" s="160">
        <v>800</v>
      </c>
      <c r="E18" s="160">
        <v>800</v>
      </c>
      <c r="F18" s="160">
        <v>800</v>
      </c>
      <c r="G18" s="160">
        <v>800</v>
      </c>
      <c r="I18" s="160">
        <v>800</v>
      </c>
      <c r="J18" s="160">
        <v>800</v>
      </c>
      <c r="K18" s="160">
        <v>800</v>
      </c>
      <c r="L18" s="152">
        <f t="shared" si="14"/>
        <v>800</v>
      </c>
      <c r="M18" s="160">
        <v>800</v>
      </c>
      <c r="N18" s="160">
        <v>800</v>
      </c>
      <c r="O18" s="160">
        <v>800</v>
      </c>
      <c r="P18" s="152">
        <f t="shared" si="41"/>
        <v>800</v>
      </c>
      <c r="Q18" s="160">
        <v>800</v>
      </c>
      <c r="R18" s="160">
        <v>800</v>
      </c>
      <c r="S18" s="160">
        <v>800</v>
      </c>
      <c r="T18" s="152">
        <f t="shared" si="42"/>
        <v>800</v>
      </c>
      <c r="U18" s="160">
        <v>800</v>
      </c>
      <c r="V18" s="160">
        <v>800</v>
      </c>
      <c r="W18" s="160">
        <v>800</v>
      </c>
      <c r="Y18" s="152">
        <f t="shared" si="28"/>
        <v>800</v>
      </c>
      <c r="Z18" s="152">
        <f t="shared" si="29"/>
        <v>800</v>
      </c>
      <c r="AA18" s="152">
        <f t="shared" si="30"/>
        <v>800</v>
      </c>
      <c r="AB18" s="152">
        <f t="shared" si="31"/>
        <v>800</v>
      </c>
      <c r="AC18" s="152">
        <f t="shared" si="32"/>
        <v>800</v>
      </c>
      <c r="AD18" s="152">
        <f t="shared" si="33"/>
        <v>800</v>
      </c>
      <c r="AE18" s="152">
        <f t="shared" si="34"/>
        <v>800</v>
      </c>
      <c r="AF18" s="152">
        <f t="shared" si="35"/>
        <v>800</v>
      </c>
      <c r="AG18" s="152">
        <f t="shared" si="36"/>
        <v>800</v>
      </c>
      <c r="AH18" s="152">
        <f t="shared" si="37"/>
        <v>800</v>
      </c>
      <c r="AI18" s="152">
        <f t="shared" si="38"/>
        <v>800</v>
      </c>
      <c r="AJ18" s="152">
        <f t="shared" si="39"/>
        <v>800</v>
      </c>
      <c r="AK18" s="152">
        <f t="shared" si="40"/>
        <v>800</v>
      </c>
    </row>
    <row r="19" spans="2:37" ht="14.25">
      <c r="B19" s="161" t="s">
        <v>154</v>
      </c>
      <c r="C19" s="160">
        <v>1466</v>
      </c>
      <c r="D19" s="160">
        <v>1366</v>
      </c>
      <c r="E19" s="160">
        <v>1284</v>
      </c>
      <c r="F19" s="160">
        <v>1325</v>
      </c>
      <c r="G19" s="160">
        <v>1242</v>
      </c>
      <c r="I19" s="160">
        <v>1328</v>
      </c>
      <c r="J19" s="160">
        <v>1258</v>
      </c>
      <c r="K19" s="160">
        <v>1177</v>
      </c>
      <c r="L19" s="152">
        <f t="shared" si="14"/>
        <v>1284</v>
      </c>
      <c r="M19" s="160">
        <v>1303</v>
      </c>
      <c r="N19" s="160">
        <v>1310</v>
      </c>
      <c r="O19" s="160">
        <v>1269</v>
      </c>
      <c r="P19" s="152">
        <f t="shared" si="41"/>
        <v>1325</v>
      </c>
      <c r="Q19" s="160">
        <v>1295</v>
      </c>
      <c r="R19" s="160">
        <v>1285</v>
      </c>
      <c r="S19" s="160">
        <v>1336</v>
      </c>
      <c r="T19" s="152">
        <f t="shared" si="42"/>
        <v>1242</v>
      </c>
      <c r="U19" s="160">
        <v>1296</v>
      </c>
      <c r="V19" s="160">
        <v>1408</v>
      </c>
      <c r="W19" s="160">
        <v>1410</v>
      </c>
      <c r="Y19" s="152">
        <f t="shared" si="28"/>
        <v>1177</v>
      </c>
      <c r="Z19" s="152">
        <f t="shared" si="29"/>
        <v>1284</v>
      </c>
      <c r="AA19" s="152">
        <f t="shared" si="30"/>
        <v>1303</v>
      </c>
      <c r="AB19" s="152">
        <f t="shared" si="31"/>
        <v>1310</v>
      </c>
      <c r="AC19" s="152">
        <f t="shared" si="32"/>
        <v>1269</v>
      </c>
      <c r="AD19" s="152">
        <f t="shared" si="33"/>
        <v>1325</v>
      </c>
      <c r="AE19" s="152">
        <f t="shared" si="34"/>
        <v>1295</v>
      </c>
      <c r="AF19" s="152">
        <f t="shared" si="35"/>
        <v>1285</v>
      </c>
      <c r="AG19" s="152">
        <f t="shared" si="36"/>
        <v>1336</v>
      </c>
      <c r="AH19" s="152">
        <f t="shared" si="37"/>
        <v>1242</v>
      </c>
      <c r="AI19" s="152">
        <f t="shared" si="38"/>
        <v>1296</v>
      </c>
      <c r="AJ19" s="152">
        <f t="shared" si="39"/>
        <v>1408</v>
      </c>
      <c r="AK19" s="152">
        <f t="shared" si="40"/>
        <v>1410</v>
      </c>
    </row>
    <row r="20" spans="2:37">
      <c r="B20" s="161" t="s">
        <v>141</v>
      </c>
      <c r="C20" s="160">
        <v>900</v>
      </c>
      <c r="D20" s="160">
        <v>900</v>
      </c>
      <c r="E20" s="160">
        <v>900</v>
      </c>
      <c r="F20" s="160">
        <v>900</v>
      </c>
      <c r="G20" s="160">
        <v>900</v>
      </c>
      <c r="I20" s="160">
        <v>900</v>
      </c>
      <c r="J20" s="160">
        <v>900</v>
      </c>
      <c r="K20" s="160">
        <v>900</v>
      </c>
      <c r="L20" s="152">
        <f t="shared" si="14"/>
        <v>900</v>
      </c>
      <c r="M20" s="160">
        <v>900</v>
      </c>
      <c r="N20" s="160">
        <v>900</v>
      </c>
      <c r="O20" s="160">
        <v>900</v>
      </c>
      <c r="P20" s="152">
        <f t="shared" si="41"/>
        <v>900</v>
      </c>
      <c r="Q20" s="160">
        <v>900</v>
      </c>
      <c r="R20" s="160">
        <v>900</v>
      </c>
      <c r="S20" s="160">
        <v>900</v>
      </c>
      <c r="T20" s="152">
        <f t="shared" si="42"/>
        <v>900</v>
      </c>
      <c r="U20" s="160">
        <v>900</v>
      </c>
      <c r="V20" s="160">
        <v>900</v>
      </c>
      <c r="W20" s="160">
        <v>900</v>
      </c>
      <c r="Y20" s="152">
        <f t="shared" si="28"/>
        <v>900</v>
      </c>
      <c r="Z20" s="152">
        <f t="shared" si="29"/>
        <v>900</v>
      </c>
      <c r="AA20" s="152">
        <f t="shared" si="30"/>
        <v>900</v>
      </c>
      <c r="AB20" s="152">
        <f t="shared" si="31"/>
        <v>900</v>
      </c>
      <c r="AC20" s="152">
        <f t="shared" si="32"/>
        <v>900</v>
      </c>
      <c r="AD20" s="152">
        <f t="shared" si="33"/>
        <v>900</v>
      </c>
      <c r="AE20" s="152">
        <f t="shared" si="34"/>
        <v>900</v>
      </c>
      <c r="AF20" s="152">
        <f t="shared" si="35"/>
        <v>900</v>
      </c>
      <c r="AG20" s="152">
        <f t="shared" si="36"/>
        <v>900</v>
      </c>
      <c r="AH20" s="152">
        <f t="shared" si="37"/>
        <v>900</v>
      </c>
      <c r="AI20" s="152">
        <f t="shared" si="38"/>
        <v>900</v>
      </c>
      <c r="AJ20" s="152">
        <f t="shared" si="39"/>
        <v>900</v>
      </c>
      <c r="AK20" s="152">
        <f t="shared" si="40"/>
        <v>900</v>
      </c>
    </row>
    <row r="21" spans="2:37" ht="14.25">
      <c r="B21" s="161" t="s">
        <v>155</v>
      </c>
      <c r="C21" s="160">
        <v>1344</v>
      </c>
      <c r="D21" s="160">
        <v>1252</v>
      </c>
      <c r="E21" s="160">
        <v>1177</v>
      </c>
      <c r="F21" s="160">
        <v>1215</v>
      </c>
      <c r="G21" s="160">
        <v>1139</v>
      </c>
      <c r="I21" s="160">
        <v>1218</v>
      </c>
      <c r="J21" s="160">
        <v>1153</v>
      </c>
      <c r="K21" s="160">
        <v>1079</v>
      </c>
      <c r="L21" s="152">
        <f t="shared" si="14"/>
        <v>1177</v>
      </c>
      <c r="M21" s="160">
        <v>1194</v>
      </c>
      <c r="N21" s="160">
        <v>1200</v>
      </c>
      <c r="O21" s="160">
        <v>1164</v>
      </c>
      <c r="P21" s="152">
        <f t="shared" si="41"/>
        <v>1215</v>
      </c>
      <c r="Q21" s="160">
        <v>1187</v>
      </c>
      <c r="R21" s="160">
        <v>1178</v>
      </c>
      <c r="S21" s="160">
        <v>1225</v>
      </c>
      <c r="T21" s="152">
        <f t="shared" si="42"/>
        <v>1139</v>
      </c>
      <c r="U21" s="160">
        <v>1188</v>
      </c>
      <c r="V21" s="160">
        <v>1291</v>
      </c>
      <c r="W21" s="160">
        <v>1292</v>
      </c>
      <c r="Y21" s="152">
        <f t="shared" si="28"/>
        <v>1079</v>
      </c>
      <c r="Z21" s="152">
        <f t="shared" si="29"/>
        <v>1177</v>
      </c>
      <c r="AA21" s="152">
        <f t="shared" si="30"/>
        <v>1194</v>
      </c>
      <c r="AB21" s="152">
        <f t="shared" si="31"/>
        <v>1200</v>
      </c>
      <c r="AC21" s="152">
        <f t="shared" si="32"/>
        <v>1164</v>
      </c>
      <c r="AD21" s="152">
        <f t="shared" si="33"/>
        <v>1215</v>
      </c>
      <c r="AE21" s="152">
        <f t="shared" si="34"/>
        <v>1187</v>
      </c>
      <c r="AF21" s="152">
        <f t="shared" si="35"/>
        <v>1178</v>
      </c>
      <c r="AG21" s="152">
        <f t="shared" si="36"/>
        <v>1225</v>
      </c>
      <c r="AH21" s="152">
        <f t="shared" si="37"/>
        <v>1139</v>
      </c>
      <c r="AI21" s="152">
        <f t="shared" si="38"/>
        <v>1188</v>
      </c>
      <c r="AJ21" s="152">
        <f t="shared" si="39"/>
        <v>1291</v>
      </c>
      <c r="AK21" s="152">
        <f t="shared" si="40"/>
        <v>1292</v>
      </c>
    </row>
    <row r="22" spans="2:37">
      <c r="B22" s="161" t="s">
        <v>140</v>
      </c>
      <c r="C22" s="160">
        <v>1000</v>
      </c>
      <c r="D22" s="160">
        <v>1000</v>
      </c>
      <c r="E22" s="160">
        <v>1000</v>
      </c>
      <c r="F22" s="160">
        <v>1000</v>
      </c>
      <c r="G22" s="160">
        <v>1000</v>
      </c>
      <c r="I22" s="160">
        <v>1000</v>
      </c>
      <c r="J22" s="160">
        <v>1000</v>
      </c>
      <c r="K22" s="160">
        <v>1000</v>
      </c>
      <c r="L22" s="152">
        <f t="shared" si="14"/>
        <v>1000</v>
      </c>
      <c r="M22" s="160">
        <v>1000</v>
      </c>
      <c r="N22" s="160">
        <v>1000</v>
      </c>
      <c r="O22" s="160">
        <v>1000</v>
      </c>
      <c r="P22" s="152">
        <f t="shared" si="41"/>
        <v>1000</v>
      </c>
      <c r="Q22" s="160">
        <v>1000</v>
      </c>
      <c r="R22" s="160">
        <v>1000</v>
      </c>
      <c r="S22" s="160">
        <v>1000</v>
      </c>
      <c r="T22" s="152">
        <f t="shared" si="42"/>
        <v>1000</v>
      </c>
      <c r="U22" s="160">
        <v>1000</v>
      </c>
      <c r="V22" s="160">
        <v>1000</v>
      </c>
      <c r="W22" s="160">
        <v>1000</v>
      </c>
      <c r="Y22" s="152">
        <f t="shared" si="28"/>
        <v>1000</v>
      </c>
      <c r="Z22" s="152">
        <f t="shared" si="29"/>
        <v>1000</v>
      </c>
      <c r="AA22" s="152">
        <f t="shared" si="30"/>
        <v>1000</v>
      </c>
      <c r="AB22" s="152">
        <f t="shared" si="31"/>
        <v>1000</v>
      </c>
      <c r="AC22" s="152">
        <f t="shared" si="32"/>
        <v>1000</v>
      </c>
      <c r="AD22" s="152">
        <f t="shared" si="33"/>
        <v>1000</v>
      </c>
      <c r="AE22" s="152">
        <f t="shared" si="34"/>
        <v>1000</v>
      </c>
      <c r="AF22" s="152">
        <f t="shared" si="35"/>
        <v>1000</v>
      </c>
      <c r="AG22" s="152">
        <f t="shared" si="36"/>
        <v>1000</v>
      </c>
      <c r="AH22" s="152">
        <f t="shared" si="37"/>
        <v>1000</v>
      </c>
      <c r="AI22" s="152">
        <f t="shared" si="38"/>
        <v>1000</v>
      </c>
      <c r="AJ22" s="152">
        <f t="shared" si="39"/>
        <v>1000</v>
      </c>
      <c r="AK22" s="152">
        <f t="shared" si="40"/>
        <v>1000</v>
      </c>
    </row>
    <row r="23" spans="2:37">
      <c r="B23" s="161" t="s">
        <v>136</v>
      </c>
      <c r="C23" s="160">
        <v>0</v>
      </c>
      <c r="D23" s="160">
        <v>0</v>
      </c>
      <c r="E23" s="160">
        <v>0</v>
      </c>
      <c r="F23" s="160">
        <v>0</v>
      </c>
      <c r="G23" s="160">
        <v>1000</v>
      </c>
      <c r="I23" s="160">
        <v>0</v>
      </c>
      <c r="J23" s="160">
        <v>0</v>
      </c>
      <c r="K23" s="160">
        <v>0</v>
      </c>
      <c r="L23" s="152">
        <f t="shared" si="14"/>
        <v>0</v>
      </c>
      <c r="M23" s="160">
        <v>0</v>
      </c>
      <c r="N23" s="160">
        <v>0</v>
      </c>
      <c r="O23" s="160">
        <v>0</v>
      </c>
      <c r="P23" s="152">
        <f t="shared" si="41"/>
        <v>0</v>
      </c>
      <c r="Q23" s="160">
        <v>0</v>
      </c>
      <c r="R23" s="160">
        <v>0</v>
      </c>
      <c r="S23" s="160">
        <v>1000</v>
      </c>
      <c r="T23" s="152">
        <f t="shared" si="42"/>
        <v>1000</v>
      </c>
      <c r="U23" s="160">
        <v>1000</v>
      </c>
      <c r="V23" s="160">
        <v>1000</v>
      </c>
      <c r="W23" s="160">
        <v>1000</v>
      </c>
      <c r="Y23" s="152">
        <f t="shared" si="28"/>
        <v>0</v>
      </c>
      <c r="Z23" s="152">
        <f t="shared" si="29"/>
        <v>0</v>
      </c>
      <c r="AA23" s="152">
        <f t="shared" si="30"/>
        <v>0</v>
      </c>
      <c r="AB23" s="152">
        <f t="shared" si="31"/>
        <v>0</v>
      </c>
      <c r="AC23" s="152">
        <f t="shared" si="32"/>
        <v>0</v>
      </c>
      <c r="AD23" s="152">
        <f t="shared" si="33"/>
        <v>0</v>
      </c>
      <c r="AE23" s="152">
        <f t="shared" si="34"/>
        <v>0</v>
      </c>
      <c r="AF23" s="152">
        <f t="shared" si="35"/>
        <v>0</v>
      </c>
      <c r="AG23" s="152">
        <f t="shared" si="36"/>
        <v>1000</v>
      </c>
      <c r="AH23" s="152">
        <f t="shared" si="37"/>
        <v>1000</v>
      </c>
      <c r="AI23" s="152">
        <f t="shared" si="38"/>
        <v>1000</v>
      </c>
      <c r="AJ23" s="152">
        <f t="shared" si="39"/>
        <v>1000</v>
      </c>
      <c r="AK23" s="152">
        <f t="shared" si="40"/>
        <v>1000</v>
      </c>
    </row>
    <row r="24" spans="2:37">
      <c r="B24" s="161" t="s">
        <v>135</v>
      </c>
      <c r="C24" s="160">
        <v>0</v>
      </c>
      <c r="D24" s="160">
        <v>0</v>
      </c>
      <c r="E24" s="160">
        <v>0</v>
      </c>
      <c r="F24" s="160">
        <v>0</v>
      </c>
      <c r="G24" s="160">
        <v>800</v>
      </c>
      <c r="I24" s="160">
        <v>0</v>
      </c>
      <c r="J24" s="160">
        <v>0</v>
      </c>
      <c r="K24" s="160">
        <v>0</v>
      </c>
      <c r="L24" s="152">
        <f t="shared" si="14"/>
        <v>0</v>
      </c>
      <c r="M24" s="160">
        <v>0</v>
      </c>
      <c r="N24" s="160">
        <v>0</v>
      </c>
      <c r="O24" s="160">
        <v>0</v>
      </c>
      <c r="P24" s="152">
        <f t="shared" si="41"/>
        <v>0</v>
      </c>
      <c r="Q24" s="160">
        <v>0</v>
      </c>
      <c r="R24" s="160">
        <v>0</v>
      </c>
      <c r="S24" s="160">
        <v>800</v>
      </c>
      <c r="T24" s="152">
        <f t="shared" si="42"/>
        <v>800</v>
      </c>
      <c r="U24" s="160">
        <v>800</v>
      </c>
      <c r="V24" s="160">
        <v>800</v>
      </c>
      <c r="W24" s="160">
        <v>800</v>
      </c>
      <c r="Y24" s="152">
        <f t="shared" si="28"/>
        <v>0</v>
      </c>
      <c r="Z24" s="152">
        <f t="shared" si="29"/>
        <v>0</v>
      </c>
      <c r="AA24" s="152">
        <f t="shared" si="30"/>
        <v>0</v>
      </c>
      <c r="AB24" s="152">
        <f t="shared" si="31"/>
        <v>0</v>
      </c>
      <c r="AC24" s="152">
        <f t="shared" si="32"/>
        <v>0</v>
      </c>
      <c r="AD24" s="152">
        <f t="shared" si="33"/>
        <v>0</v>
      </c>
      <c r="AE24" s="152">
        <f t="shared" si="34"/>
        <v>0</v>
      </c>
      <c r="AF24" s="152">
        <f t="shared" si="35"/>
        <v>0</v>
      </c>
      <c r="AG24" s="152">
        <f t="shared" si="36"/>
        <v>800</v>
      </c>
      <c r="AH24" s="152">
        <f t="shared" si="37"/>
        <v>800</v>
      </c>
      <c r="AI24" s="152">
        <f t="shared" si="38"/>
        <v>800</v>
      </c>
      <c r="AJ24" s="152">
        <f t="shared" si="39"/>
        <v>800</v>
      </c>
      <c r="AK24" s="152">
        <f>W24</f>
        <v>800</v>
      </c>
    </row>
    <row r="25" spans="2:37">
      <c r="B25" s="13" t="s">
        <v>23</v>
      </c>
      <c r="C25" s="14">
        <f>SUM(C7:C24)</f>
        <v>16416</v>
      </c>
      <c r="D25" s="14">
        <f t="shared" ref="D25:G25" si="43">SUM(D7:D24)</f>
        <v>15485</v>
      </c>
      <c r="E25" s="14">
        <f t="shared" si="43"/>
        <v>14432</v>
      </c>
      <c r="F25" s="14">
        <f t="shared" si="43"/>
        <v>14608</v>
      </c>
      <c r="G25" s="14">
        <f t="shared" si="43"/>
        <v>15653</v>
      </c>
      <c r="I25" s="14">
        <f t="shared" ref="I25" si="44">SUM(I7:I24)</f>
        <v>14623</v>
      </c>
      <c r="J25" s="14">
        <f t="shared" ref="J25" si="45">SUM(J7:J24)</f>
        <v>14318</v>
      </c>
      <c r="K25" s="14">
        <f t="shared" ref="K25" si="46">SUM(K7:K24)</f>
        <v>13970</v>
      </c>
      <c r="L25" s="14">
        <f t="shared" ref="L25" si="47">SUM(L7:L24)</f>
        <v>14432</v>
      </c>
      <c r="M25" s="14">
        <f t="shared" ref="M25" si="48">SUM(M7:M24)</f>
        <v>14513</v>
      </c>
      <c r="N25" s="14">
        <f t="shared" ref="N25" si="49">SUM(N7:N24)</f>
        <v>14542</v>
      </c>
      <c r="O25" s="14">
        <f t="shared" ref="O25" si="50">SUM(O7:O24)</f>
        <v>14368</v>
      </c>
      <c r="P25" s="14">
        <f t="shared" ref="P25" si="51">SUM(P7:P24)</f>
        <v>14608</v>
      </c>
      <c r="Q25" s="14">
        <f t="shared" ref="Q25" si="52">SUM(Q7:Q24)</f>
        <v>14077</v>
      </c>
      <c r="R25" s="14">
        <f t="shared" ref="R25" si="53">SUM(R7:R24)</f>
        <v>14038</v>
      </c>
      <c r="S25" s="14">
        <f t="shared" ref="S25" si="54">SUM(S7:S24)</f>
        <v>16055</v>
      </c>
      <c r="T25" s="14">
        <f t="shared" ref="T25" si="55">SUM(T7:T24)</f>
        <v>15653</v>
      </c>
      <c r="U25" s="14">
        <f t="shared" ref="U25" si="56">SUM(U7:U24)</f>
        <v>15084</v>
      </c>
      <c r="V25" s="14">
        <f t="shared" ref="V25" si="57">SUM(V7:V24)</f>
        <v>14515</v>
      </c>
      <c r="W25" s="14">
        <f t="shared" ref="W25" si="58">SUM(W7:W24)</f>
        <v>14523</v>
      </c>
      <c r="Y25" s="14">
        <f t="shared" ref="Y25" si="59">SUM(Y7:Y24)</f>
        <v>13970</v>
      </c>
      <c r="Z25" s="14">
        <f t="shared" ref="Z25" si="60">SUM(Z7:Z24)</f>
        <v>14432</v>
      </c>
      <c r="AA25" s="14">
        <f t="shared" ref="AA25" si="61">SUM(AA7:AA24)</f>
        <v>14513</v>
      </c>
      <c r="AB25" s="14">
        <f t="shared" ref="AB25" si="62">SUM(AB7:AB24)</f>
        <v>14542</v>
      </c>
      <c r="AC25" s="14">
        <f t="shared" ref="AC25" si="63">SUM(AC7:AC24)</f>
        <v>14368</v>
      </c>
      <c r="AD25" s="14">
        <f t="shared" ref="AD25" si="64">SUM(AD7:AD24)</f>
        <v>14608</v>
      </c>
      <c r="AE25" s="14">
        <f t="shared" ref="AE25" si="65">SUM(AE7:AE24)</f>
        <v>14077</v>
      </c>
      <c r="AF25" s="14">
        <f t="shared" ref="AF25" si="66">SUM(AF7:AF24)</f>
        <v>14038</v>
      </c>
      <c r="AG25" s="14">
        <f t="shared" ref="AG25" si="67">SUM(AG7:AG24)</f>
        <v>16055</v>
      </c>
      <c r="AH25" s="14">
        <f t="shared" ref="AH25" si="68">SUM(AH7:AH24)</f>
        <v>15653</v>
      </c>
      <c r="AI25" s="14">
        <f t="shared" ref="AI25" si="69">SUM(AI7:AI24)</f>
        <v>15084</v>
      </c>
      <c r="AJ25" s="14">
        <f t="shared" ref="AJ25" si="70">SUM(AJ7:AJ24)</f>
        <v>14515</v>
      </c>
      <c r="AK25" s="14">
        <f t="shared" ref="AK25" si="71">SUM(AK7:AK24)</f>
        <v>14523</v>
      </c>
    </row>
    <row r="26" spans="2:37" ht="5.0999999999999996" customHeight="1" thickBot="1"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  <c r="M26" s="39"/>
      <c r="N26" s="39"/>
      <c r="O26" s="39"/>
      <c r="P26" s="39"/>
      <c r="Q26" s="39"/>
      <c r="R26" s="39"/>
      <c r="S26" s="39"/>
      <c r="T26" s="39"/>
      <c r="U26" s="39"/>
      <c r="V26" s="39"/>
      <c r="W26" s="39"/>
      <c r="X26" s="39"/>
      <c r="Y26" s="39"/>
      <c r="Z26" s="39"/>
      <c r="AA26" s="39"/>
      <c r="AB26" s="39"/>
      <c r="AC26" s="39"/>
      <c r="AD26" s="39"/>
      <c r="AE26" s="39"/>
      <c r="AF26" s="39"/>
      <c r="AG26" s="39"/>
      <c r="AH26" s="39"/>
      <c r="AI26" s="39"/>
      <c r="AJ26" s="39"/>
      <c r="AK26" s="39"/>
    </row>
    <row r="27" spans="2:37" ht="19.5" customHeight="1">
      <c r="B27" s="169" t="s">
        <v>156</v>
      </c>
      <c r="C27" s="169"/>
      <c r="D27" s="169"/>
      <c r="E27" s="169"/>
      <c r="F27" s="169"/>
      <c r="G27" s="169"/>
      <c r="H27" s="169"/>
      <c r="I27" s="169"/>
      <c r="J27" s="169"/>
      <c r="K27" s="169"/>
      <c r="L27" s="169"/>
      <c r="M27" s="169"/>
      <c r="N27" s="169"/>
      <c r="O27" s="169"/>
      <c r="P27" s="169"/>
      <c r="Q27" s="169"/>
      <c r="R27" s="169"/>
      <c r="S27" s="169"/>
      <c r="T27" s="169"/>
      <c r="U27" s="169"/>
      <c r="V27" s="169"/>
      <c r="W27" s="169"/>
      <c r="X27" s="169"/>
      <c r="Y27" s="169"/>
      <c r="Z27" s="169"/>
      <c r="AA27" s="169"/>
      <c r="AB27" s="169"/>
      <c r="AC27" s="169"/>
      <c r="AD27" s="169"/>
      <c r="AE27" s="169"/>
      <c r="AF27" s="169"/>
      <c r="AG27" s="169"/>
      <c r="AH27" s="169"/>
      <c r="AI27" s="169"/>
      <c r="AJ27" s="169"/>
      <c r="AK27" s="169"/>
    </row>
  </sheetData>
  <mergeCells count="1">
    <mergeCell ref="B27:AK27"/>
  </mergeCells>
  <pageMargins left="0.7" right="0.7" top="0.75" bottom="0.75" header="0.3" footer="0.3"/>
  <ignoredErrors>
    <ignoredError sqref="E8:G24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titus xmlns="http://schemas.titus.com/TitusProperties/">
  <TitusGUID xmlns="">b07cb572-0833-4348-88b4-a0fa7ea20e4a</TitusGUID>
  <TitusMetadata xmlns="">eyJucyI6Imh0dHA6XC9cL3d3dy50aXR1cy5jb21cL25zXC9CYW5rIG9mIEFtZXJpY2EiLCJwcm9wcyI6W3sibiI6IkNsYXNzaWZpY2F0aW9uIiwidmFscyI6W3sidmFsdWUiOiJVbmNsYXNzaWZpZWQifV19LHsibiI6IkF1ZGllbmNlIiwidmFscyI6W119LHsibiI6IkNvbmZpZGVudGlhbFR5cGUiLCJ2YWxzIjpbXX1dfQ==</TitusMetadata>
</titus>
</file>

<file path=customXml/itemProps1.xml><?xml version="1.0" encoding="utf-8"?>
<ds:datastoreItem xmlns:ds="http://schemas.openxmlformats.org/officeDocument/2006/customXml" ds:itemID="{AC203626-EEC5-451D-B6D3-0C3E06066648}">
  <ds:schemaRefs>
    <ds:schemaRef ds:uri="http://schemas.titus.com/TitusProperties/"/>
    <ds:schemaRef ds:uri="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Historical Financials</vt:lpstr>
      <vt:lpstr>Revenue Drivers</vt:lpstr>
      <vt:lpstr>FCF</vt:lpstr>
      <vt:lpstr>Debt Schedule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Garcia</dc:creator>
  <cp:lastModifiedBy>Felix Garcia</cp:lastModifiedBy>
  <dcterms:created xsi:type="dcterms:W3CDTF">2024-08-10T06:01:52Z</dcterms:created>
  <dcterms:modified xsi:type="dcterms:W3CDTF">2025-12-13T07:52:20Z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b07cb572-0833-4348-88b4-a0fa7ea20e4a</vt:lpwstr>
  </property>
  <property fmtid="{D5CDD505-2E9C-101B-9397-08002B2CF9AE}" pid="3" name="Classification">
    <vt:lpwstr>Unclassified</vt:lpwstr>
  </property>
  <property fmtid="{D5CDD505-2E9C-101B-9397-08002B2CF9AE}" pid="4" name="BAC">
    <vt:lpwstr>B!bac@C</vt:lpwstr>
  </property>
</Properties>
</file>