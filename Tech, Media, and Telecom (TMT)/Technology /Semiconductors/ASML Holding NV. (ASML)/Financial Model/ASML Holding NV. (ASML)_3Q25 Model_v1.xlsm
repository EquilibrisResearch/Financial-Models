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C021D77D-0C97-4B93-820F-B0A979A4E3F0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31" i="8" l="1"/>
  <c r="M143" i="8"/>
  <c r="M142" i="8"/>
  <c r="W31" i="10"/>
  <c r="V31" i="10"/>
  <c r="U31" i="10"/>
  <c r="T31" i="10"/>
  <c r="S31" i="10"/>
  <c r="R31" i="10"/>
  <c r="Q31" i="10"/>
  <c r="P31" i="10"/>
  <c r="O31" i="10"/>
  <c r="N31" i="10"/>
  <c r="M31" i="10"/>
  <c r="K31" i="10"/>
  <c r="J31" i="10"/>
  <c r="I31" i="10"/>
  <c r="H31" i="10"/>
  <c r="G31" i="10"/>
  <c r="F31" i="10"/>
  <c r="E31" i="10"/>
  <c r="D31" i="10"/>
  <c r="C31" i="10"/>
  <c r="AE30" i="10"/>
  <c r="AE31" i="10" s="1"/>
  <c r="AG31" i="10" s="1"/>
  <c r="AD30" i="10"/>
  <c r="AD31" i="10" s="1"/>
  <c r="AC30" i="10"/>
  <c r="AC31" i="10" s="1"/>
  <c r="AB30" i="10"/>
  <c r="AB31" i="10" s="1"/>
  <c r="AA30" i="10"/>
  <c r="AA31" i="10" s="1"/>
  <c r="Z30" i="10"/>
  <c r="Z31" i="10" s="1"/>
  <c r="Y30" i="10"/>
  <c r="Y31" i="10" s="1"/>
  <c r="W27" i="10"/>
  <c r="V27" i="10"/>
  <c r="U27" i="10"/>
  <c r="T27" i="10"/>
  <c r="S27" i="10"/>
  <c r="R27" i="10"/>
  <c r="Q27" i="10"/>
  <c r="P27" i="10"/>
  <c r="O27" i="10"/>
  <c r="N27" i="10"/>
  <c r="M27" i="10"/>
  <c r="K27" i="10"/>
  <c r="J27" i="10"/>
  <c r="I27" i="10"/>
  <c r="H27" i="10"/>
  <c r="G27" i="10"/>
  <c r="F27" i="10"/>
  <c r="E27" i="10"/>
  <c r="D27" i="10"/>
  <c r="C27" i="10"/>
  <c r="AE26" i="10"/>
  <c r="AE27" i="10" s="1"/>
  <c r="AD26" i="10"/>
  <c r="AD27" i="10" s="1"/>
  <c r="AC26" i="10"/>
  <c r="AC27" i="10" s="1"/>
  <c r="AB26" i="10"/>
  <c r="AB27" i="10" s="1"/>
  <c r="AA26" i="10"/>
  <c r="AA27" i="10" s="1"/>
  <c r="Z26" i="10"/>
  <c r="Y26" i="10"/>
  <c r="W23" i="10"/>
  <c r="V23" i="10"/>
  <c r="U23" i="10"/>
  <c r="T23" i="10"/>
  <c r="S23" i="10"/>
  <c r="R23" i="10"/>
  <c r="Q23" i="10"/>
  <c r="P23" i="10"/>
  <c r="O23" i="10"/>
  <c r="N23" i="10"/>
  <c r="M23" i="10"/>
  <c r="K23" i="10"/>
  <c r="J23" i="10"/>
  <c r="I23" i="10"/>
  <c r="H23" i="10"/>
  <c r="G23" i="10"/>
  <c r="F23" i="10"/>
  <c r="E23" i="10"/>
  <c r="D23" i="10"/>
  <c r="C23" i="10"/>
  <c r="AE22" i="10"/>
  <c r="AD22" i="10"/>
  <c r="AD23" i="10" s="1"/>
  <c r="AC22" i="10"/>
  <c r="AC23" i="10" s="1"/>
  <c r="AB22" i="10"/>
  <c r="AB23" i="10" s="1"/>
  <c r="AA22" i="10"/>
  <c r="AA23" i="10" s="1"/>
  <c r="Z22" i="10"/>
  <c r="Z23" i="10" s="1"/>
  <c r="Y22" i="10"/>
  <c r="Y23" i="10" s="1"/>
  <c r="W19" i="10"/>
  <c r="V19" i="10"/>
  <c r="U19" i="10"/>
  <c r="T19" i="10"/>
  <c r="S19" i="10"/>
  <c r="R19" i="10"/>
  <c r="Q19" i="10"/>
  <c r="P19" i="10"/>
  <c r="O19" i="10"/>
  <c r="N19" i="10"/>
  <c r="M19" i="10"/>
  <c r="K19" i="10"/>
  <c r="J19" i="10"/>
  <c r="I19" i="10"/>
  <c r="H19" i="10"/>
  <c r="G19" i="10"/>
  <c r="F19" i="10"/>
  <c r="E19" i="10"/>
  <c r="D19" i="10"/>
  <c r="C19" i="10"/>
  <c r="AE18" i="10"/>
  <c r="AD18" i="10"/>
  <c r="AC18" i="10"/>
  <c r="AB18" i="10"/>
  <c r="AA18" i="10"/>
  <c r="Z18" i="10"/>
  <c r="Y18" i="10"/>
  <c r="AE17" i="10"/>
  <c r="AD17" i="10"/>
  <c r="AC17" i="10"/>
  <c r="AB17" i="10"/>
  <c r="AA17" i="10"/>
  <c r="Z17" i="10"/>
  <c r="Y17" i="10"/>
  <c r="Y9" i="10"/>
  <c r="Z9" i="10"/>
  <c r="AA9" i="10"/>
  <c r="Y10" i="10"/>
  <c r="Z10" i="10"/>
  <c r="AA10" i="10"/>
  <c r="C119" i="8"/>
  <c r="H140" i="8"/>
  <c r="G140" i="8"/>
  <c r="F140" i="8"/>
  <c r="E140" i="8"/>
  <c r="D140" i="8"/>
  <c r="C140" i="8"/>
  <c r="H131" i="8"/>
  <c r="G131" i="8"/>
  <c r="F131" i="8"/>
  <c r="E131" i="8"/>
  <c r="D131" i="8"/>
  <c r="C131" i="8"/>
  <c r="D119" i="8"/>
  <c r="C80" i="8"/>
  <c r="C70" i="8"/>
  <c r="E143" i="8"/>
  <c r="D143" i="8"/>
  <c r="AF138" i="8"/>
  <c r="AH138" i="8" s="1"/>
  <c r="AE138" i="8"/>
  <c r="AD138" i="8"/>
  <c r="AC138" i="8"/>
  <c r="AB138" i="8"/>
  <c r="AA138" i="8"/>
  <c r="Z138" i="8"/>
  <c r="Y138" i="8"/>
  <c r="AF129" i="8"/>
  <c r="AE129" i="8"/>
  <c r="AD129" i="8"/>
  <c r="AC129" i="8"/>
  <c r="Y129" i="8"/>
  <c r="P129" i="8"/>
  <c r="AB129" i="8" s="1"/>
  <c r="AH129" i="8" s="1"/>
  <c r="E126" i="8"/>
  <c r="D126" i="8"/>
  <c r="AF109" i="8"/>
  <c r="AE109" i="8"/>
  <c r="AD109" i="8"/>
  <c r="AC109" i="8"/>
  <c r="AB109" i="8"/>
  <c r="AA109" i="8"/>
  <c r="Z109" i="8"/>
  <c r="Y109" i="8"/>
  <c r="E109" i="8"/>
  <c r="D109" i="8"/>
  <c r="C109" i="8"/>
  <c r="C11" i="10"/>
  <c r="C4" i="10"/>
  <c r="C3" i="10"/>
  <c r="D11" i="10"/>
  <c r="D4" i="10"/>
  <c r="D3" i="10"/>
  <c r="E11" i="10"/>
  <c r="E4" i="10"/>
  <c r="E3" i="10"/>
  <c r="F11" i="10"/>
  <c r="F4" i="10"/>
  <c r="F3" i="10"/>
  <c r="G11" i="10"/>
  <c r="G4" i="10"/>
  <c r="G3" i="10"/>
  <c r="C144" i="8"/>
  <c r="C110" i="8"/>
  <c r="C96" i="8"/>
  <c r="C95" i="8"/>
  <c r="C88" i="8"/>
  <c r="C74" i="8"/>
  <c r="C81" i="8" s="1"/>
  <c r="C54" i="8"/>
  <c r="C66" i="8" s="1"/>
  <c r="C43" i="8"/>
  <c r="C42" i="8"/>
  <c r="C11" i="8"/>
  <c r="C14" i="8" s="1"/>
  <c r="D110" i="8"/>
  <c r="D96" i="8"/>
  <c r="D95" i="8"/>
  <c r="D88" i="8"/>
  <c r="D74" i="8"/>
  <c r="D81" i="8" s="1"/>
  <c r="D54" i="8"/>
  <c r="D66" i="8" s="1"/>
  <c r="D43" i="8"/>
  <c r="D42" i="8"/>
  <c r="D11" i="8"/>
  <c r="D14" i="8" s="1"/>
  <c r="F143" i="8"/>
  <c r="E110" i="8"/>
  <c r="E96" i="8"/>
  <c r="E95" i="8"/>
  <c r="E88" i="8"/>
  <c r="E74" i="8"/>
  <c r="E81" i="8" s="1"/>
  <c r="E54" i="8"/>
  <c r="E66" i="8" s="1"/>
  <c r="E43" i="8"/>
  <c r="E42" i="8"/>
  <c r="E11" i="8"/>
  <c r="E14" i="8" s="1"/>
  <c r="K110" i="8"/>
  <c r="J110" i="8"/>
  <c r="I110" i="8"/>
  <c r="H110" i="8"/>
  <c r="G110" i="8"/>
  <c r="F110" i="8"/>
  <c r="K13" i="8"/>
  <c r="J13" i="8"/>
  <c r="I13" i="8"/>
  <c r="H13" i="8"/>
  <c r="G13" i="8"/>
  <c r="F13" i="8"/>
  <c r="AG30" i="10" l="1"/>
  <c r="AG22" i="10"/>
  <c r="AE23" i="10"/>
  <c r="AG23" i="10" s="1"/>
  <c r="AG26" i="10"/>
  <c r="Y27" i="10"/>
  <c r="Z27" i="10"/>
  <c r="AG27" i="10"/>
  <c r="AB19" i="10"/>
  <c r="Y19" i="10"/>
  <c r="AA19" i="10"/>
  <c r="AC19" i="10"/>
  <c r="Z19" i="10"/>
  <c r="AG18" i="10"/>
  <c r="AE19" i="10"/>
  <c r="AD19" i="10"/>
  <c r="AG17" i="10"/>
  <c r="C89" i="8"/>
  <c r="C91" i="8" s="1"/>
  <c r="Z129" i="8"/>
  <c r="AA129" i="8"/>
  <c r="D12" i="10"/>
  <c r="E12" i="10"/>
  <c r="C12" i="10"/>
  <c r="D89" i="8"/>
  <c r="D91" i="8" s="1"/>
  <c r="C20" i="8"/>
  <c r="C15" i="8"/>
  <c r="D20" i="8"/>
  <c r="D15" i="8"/>
  <c r="E89" i="8"/>
  <c r="E91" i="8" s="1"/>
  <c r="E20" i="8"/>
  <c r="E15" i="8"/>
  <c r="AG19" i="10" l="1"/>
  <c r="C21" i="8"/>
  <c r="C24" i="8"/>
  <c r="D21" i="8"/>
  <c r="D24" i="8"/>
  <c r="E24" i="8"/>
  <c r="E21" i="8"/>
  <c r="C25" i="8" l="1"/>
  <c r="C28" i="8"/>
  <c r="D25" i="8"/>
  <c r="D28" i="8"/>
  <c r="E28" i="8"/>
  <c r="E25" i="8"/>
  <c r="C32" i="8" l="1"/>
  <c r="C29" i="8"/>
  <c r="D32" i="8"/>
  <c r="D29" i="8"/>
  <c r="E29" i="8"/>
  <c r="E32" i="8"/>
  <c r="C39" i="8" l="1"/>
  <c r="C36" i="8"/>
  <c r="C33" i="8"/>
  <c r="C99" i="8"/>
  <c r="D39" i="8"/>
  <c r="D99" i="8"/>
  <c r="D36" i="8"/>
  <c r="D33" i="8"/>
  <c r="E39" i="8"/>
  <c r="E36" i="8"/>
  <c r="E33" i="8"/>
  <c r="E99" i="8"/>
  <c r="D148" i="8" l="1"/>
  <c r="E119" i="8"/>
  <c r="E148" i="8" s="1"/>
  <c r="C148" i="8"/>
  <c r="C149" i="8" s="1"/>
  <c r="C151" i="8" s="1"/>
  <c r="D142" i="8" l="1"/>
  <c r="D144" i="8" s="1"/>
  <c r="D149" i="8" s="1"/>
  <c r="D151" i="8" s="1"/>
  <c r="E142" i="8" l="1"/>
  <c r="E144" i="8" s="1"/>
  <c r="E149" i="8" s="1"/>
  <c r="E151" i="8" s="1"/>
  <c r="F142" i="8" l="1"/>
  <c r="P130" i="8" l="1"/>
  <c r="Z130" i="8" s="1"/>
  <c r="Y10" i="8"/>
  <c r="AB128" i="8"/>
  <c r="Z128" i="8"/>
  <c r="Y128" i="8"/>
  <c r="AE128" i="8"/>
  <c r="AA128" i="8"/>
  <c r="AB103" i="8"/>
  <c r="AF104" i="8"/>
  <c r="AB105" i="8"/>
  <c r="AA107" i="8"/>
  <c r="AB108" i="8"/>
  <c r="AF108" i="8"/>
  <c r="F65" i="8"/>
  <c r="F144" i="8"/>
  <c r="H143" i="8"/>
  <c r="G143" i="8"/>
  <c r="H65" i="8"/>
  <c r="G65" i="8"/>
  <c r="T19" i="8"/>
  <c r="AF19" i="8" s="1"/>
  <c r="P19" i="8"/>
  <c r="Y19" i="8" s="1"/>
  <c r="AF136" i="8"/>
  <c r="Y136" i="8"/>
  <c r="AF135" i="8"/>
  <c r="AB135" i="8"/>
  <c r="AF125" i="8"/>
  <c r="AB125" i="8"/>
  <c r="AF124" i="8"/>
  <c r="AB124" i="8"/>
  <c r="AF123" i="8"/>
  <c r="AA123" i="8"/>
  <c r="AD114" i="8"/>
  <c r="Y114" i="8"/>
  <c r="AF113" i="8"/>
  <c r="AB113" i="8"/>
  <c r="AF107" i="8"/>
  <c r="AF106" i="8"/>
  <c r="Z106" i="8"/>
  <c r="AF105" i="8"/>
  <c r="AB104" i="8"/>
  <c r="AF103" i="8"/>
  <c r="AD102" i="8"/>
  <c r="AB102" i="8"/>
  <c r="T101" i="8"/>
  <c r="AE101" i="8" s="1"/>
  <c r="P101" i="8"/>
  <c r="Y101" i="8" s="1"/>
  <c r="AC83" i="8"/>
  <c r="Y83" i="8"/>
  <c r="AF71" i="8"/>
  <c r="AE71" i="8"/>
  <c r="AD71" i="8"/>
  <c r="AB71" i="8"/>
  <c r="AA71" i="8"/>
  <c r="Z71" i="8"/>
  <c r="AC71" i="8"/>
  <c r="Y71" i="8"/>
  <c r="AF78" i="8"/>
  <c r="AE78" i="8"/>
  <c r="AD78" i="8"/>
  <c r="AB78" i="8"/>
  <c r="AA78" i="8"/>
  <c r="Z78" i="8"/>
  <c r="AC78" i="8"/>
  <c r="Y78" i="8"/>
  <c r="W61" i="8"/>
  <c r="AF61" i="8" s="1"/>
  <c r="W53" i="8"/>
  <c r="W54" i="8" s="1"/>
  <c r="V53" i="8"/>
  <c r="AE53" i="8" s="1"/>
  <c r="U53" i="8"/>
  <c r="U54" i="8" s="1"/>
  <c r="S54" i="8"/>
  <c r="T54" i="8"/>
  <c r="AF62" i="8"/>
  <c r="AE62" i="8"/>
  <c r="AD62" i="8"/>
  <c r="AB62" i="8"/>
  <c r="AA62" i="8"/>
  <c r="Z62" i="8"/>
  <c r="AC62" i="8"/>
  <c r="Y62" i="8"/>
  <c r="AE61" i="8"/>
  <c r="AD61" i="8"/>
  <c r="AB61" i="8"/>
  <c r="AA61" i="8"/>
  <c r="Z61" i="8"/>
  <c r="AC61" i="8"/>
  <c r="Y61" i="8"/>
  <c r="AF60" i="8"/>
  <c r="AE60" i="8"/>
  <c r="AD60" i="8"/>
  <c r="AB60" i="8"/>
  <c r="AA60" i="8"/>
  <c r="Z60" i="8"/>
  <c r="AC60" i="8"/>
  <c r="Y60" i="8"/>
  <c r="AF47" i="8"/>
  <c r="AE47" i="8"/>
  <c r="AD47" i="8"/>
  <c r="AB47" i="8"/>
  <c r="AC47" i="8"/>
  <c r="AF50" i="8"/>
  <c r="AE50" i="8"/>
  <c r="AD50" i="8"/>
  <c r="AC50" i="8"/>
  <c r="AB50" i="8"/>
  <c r="AF49" i="8"/>
  <c r="AE49" i="8"/>
  <c r="AD49" i="8"/>
  <c r="AB49" i="8"/>
  <c r="AC49" i="8"/>
  <c r="V8" i="8"/>
  <c r="U8" i="8" s="1"/>
  <c r="T8" i="8" s="1"/>
  <c r="S8" i="8" s="1"/>
  <c r="R8" i="8" s="1"/>
  <c r="Q8" i="8" s="1"/>
  <c r="P8" i="8" s="1"/>
  <c r="O8" i="8" s="1"/>
  <c r="N8" i="8" s="1"/>
  <c r="M8" i="8" s="1"/>
  <c r="K47" i="9"/>
  <c r="O45" i="9"/>
  <c r="K46" i="9"/>
  <c r="AF63" i="8"/>
  <c r="AE63" i="8"/>
  <c r="AD63" i="8"/>
  <c r="AB63" i="8"/>
  <c r="AA63" i="8"/>
  <c r="Z63" i="8"/>
  <c r="AC63" i="8"/>
  <c r="Y63" i="8"/>
  <c r="AF59" i="8"/>
  <c r="AE59" i="8"/>
  <c r="AD59" i="8"/>
  <c r="AB59" i="8"/>
  <c r="AA59" i="8"/>
  <c r="Z59" i="8"/>
  <c r="AC59" i="8"/>
  <c r="Y59" i="8"/>
  <c r="AF51" i="8"/>
  <c r="AE51" i="8"/>
  <c r="AD51" i="8"/>
  <c r="AB51" i="8"/>
  <c r="AC51" i="8"/>
  <c r="AF80" i="8"/>
  <c r="AE80" i="8"/>
  <c r="AD80" i="8"/>
  <c r="AB80" i="8"/>
  <c r="AA80" i="8"/>
  <c r="Z80" i="8"/>
  <c r="AC80" i="8"/>
  <c r="Y80" i="8"/>
  <c r="AF72" i="8"/>
  <c r="AE72" i="8"/>
  <c r="AD72" i="8"/>
  <c r="AB72" i="8"/>
  <c r="AA72" i="8"/>
  <c r="Z72" i="8"/>
  <c r="AC72" i="8"/>
  <c r="Y72" i="8"/>
  <c r="G96" i="8"/>
  <c r="F96" i="8"/>
  <c r="G95" i="8"/>
  <c r="F95" i="8"/>
  <c r="G88" i="8"/>
  <c r="F88" i="8"/>
  <c r="G74" i="8"/>
  <c r="G81" i="8" s="1"/>
  <c r="F74" i="8"/>
  <c r="F81" i="8" s="1"/>
  <c r="G54" i="8"/>
  <c r="F54" i="8"/>
  <c r="G43" i="8"/>
  <c r="F43" i="8"/>
  <c r="G42" i="8"/>
  <c r="F42" i="8"/>
  <c r="G11" i="8"/>
  <c r="F1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E87" i="8"/>
  <c r="AD87" i="8"/>
  <c r="AB87" i="8"/>
  <c r="AA87" i="8"/>
  <c r="Z87" i="8"/>
  <c r="AE83" i="8"/>
  <c r="AE88" i="8" s="1"/>
  <c r="AD83" i="8"/>
  <c r="AB83" i="8"/>
  <c r="AA83" i="8"/>
  <c r="Z83" i="8"/>
  <c r="AE79" i="8"/>
  <c r="AD79" i="8"/>
  <c r="AB79" i="8"/>
  <c r="AA79" i="8"/>
  <c r="Z79" i="8"/>
  <c r="AE77" i="8"/>
  <c r="AD77" i="8"/>
  <c r="AB77" i="8"/>
  <c r="AA77" i="8"/>
  <c r="Z77" i="8"/>
  <c r="AE73" i="8"/>
  <c r="AD73" i="8"/>
  <c r="AB73" i="8"/>
  <c r="AA73" i="8"/>
  <c r="Z73" i="8"/>
  <c r="AE70" i="8"/>
  <c r="AD70" i="8"/>
  <c r="AB70" i="8"/>
  <c r="AA70" i="8"/>
  <c r="Z70" i="8"/>
  <c r="AE69" i="8"/>
  <c r="AD69" i="8"/>
  <c r="AE65" i="8"/>
  <c r="AD65" i="8"/>
  <c r="AB65" i="8"/>
  <c r="AA65" i="8"/>
  <c r="Z65" i="8"/>
  <c r="AE64" i="8"/>
  <c r="AD64" i="8"/>
  <c r="AB64" i="8"/>
  <c r="AA64" i="8"/>
  <c r="Z64" i="8"/>
  <c r="AE58" i="8"/>
  <c r="AD58" i="8"/>
  <c r="AB58" i="8"/>
  <c r="AA58" i="8"/>
  <c r="Z58" i="8"/>
  <c r="AE57" i="8"/>
  <c r="AD57" i="8"/>
  <c r="AB57" i="8"/>
  <c r="AA57" i="8"/>
  <c r="Z57" i="8"/>
  <c r="AE52" i="8"/>
  <c r="AD52" i="8"/>
  <c r="AB52" i="8"/>
  <c r="AE48" i="8"/>
  <c r="AD48" i="8"/>
  <c r="AB48" i="8"/>
  <c r="AE46" i="8"/>
  <c r="AD46" i="8"/>
  <c r="AB46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J9" i="9"/>
  <c r="I9" i="9"/>
  <c r="H9" i="9"/>
  <c r="Q8" i="9"/>
  <c r="P8" i="9"/>
  <c r="N8" i="9"/>
  <c r="M8" i="9"/>
  <c r="L8" i="9"/>
  <c r="J8" i="9"/>
  <c r="I8" i="9"/>
  <c r="H8" i="9"/>
  <c r="Q7" i="9"/>
  <c r="P7" i="9"/>
  <c r="N7" i="9"/>
  <c r="Z7" i="9" s="1"/>
  <c r="M7" i="9"/>
  <c r="Y7" i="9" s="1"/>
  <c r="L7" i="9"/>
  <c r="X7" i="9" s="1"/>
  <c r="K7" i="9"/>
  <c r="W7" i="9" s="1"/>
  <c r="J7" i="9"/>
  <c r="V7" i="9" s="1"/>
  <c r="I7" i="9"/>
  <c r="U7" i="9" s="1"/>
  <c r="H7" i="9"/>
  <c r="T7" i="9" s="1"/>
  <c r="Q6" i="9"/>
  <c r="P6" i="9"/>
  <c r="N6" i="9"/>
  <c r="Z6" i="9" s="1"/>
  <c r="Z10" i="9" s="1"/>
  <c r="M6" i="9"/>
  <c r="Y6" i="9" s="1"/>
  <c r="Y10" i="9" s="1"/>
  <c r="L6" i="9"/>
  <c r="X6" i="9" s="1"/>
  <c r="X10" i="9" s="1"/>
  <c r="K6" i="9"/>
  <c r="W6" i="9" s="1"/>
  <c r="W10" i="9" s="1"/>
  <c r="J6" i="9"/>
  <c r="V6" i="9" s="1"/>
  <c r="V10" i="9" s="1"/>
  <c r="I6" i="9"/>
  <c r="U6" i="9" s="1"/>
  <c r="U10" i="9" s="1"/>
  <c r="H6" i="9"/>
  <c r="T6" i="9" s="1"/>
  <c r="T10" i="9" s="1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AA117" i="8"/>
  <c r="P154" i="8"/>
  <c r="K32" i="9"/>
  <c r="J27" i="9"/>
  <c r="J38" i="9"/>
  <c r="R45" i="9"/>
  <c r="R46" i="9"/>
  <c r="R38" i="9"/>
  <c r="R32" i="9"/>
  <c r="R27" i="9"/>
  <c r="M46" i="9"/>
  <c r="N38" i="9"/>
  <c r="N32" i="9"/>
  <c r="N27" i="9"/>
  <c r="AE31" i="8"/>
  <c r="Z31" i="8"/>
  <c r="P47" i="9"/>
  <c r="AB69" i="8"/>
  <c r="M67" i="9"/>
  <c r="V67" i="9" s="1"/>
  <c r="L67" i="9"/>
  <c r="U67" i="9" s="1"/>
  <c r="J67" i="9"/>
  <c r="I67" i="9"/>
  <c r="H67" i="9"/>
  <c r="C67" i="9"/>
  <c r="D67" i="9"/>
  <c r="K67" i="9"/>
  <c r="T67" i="9" s="1"/>
  <c r="AC69" i="8"/>
  <c r="AB53" i="8"/>
  <c r="O14" i="9"/>
  <c r="O78" i="9"/>
  <c r="K78" i="9"/>
  <c r="O82" i="9"/>
  <c r="O81" i="9"/>
  <c r="O80" i="9"/>
  <c r="O79" i="9"/>
  <c r="K82" i="9"/>
  <c r="K81" i="9"/>
  <c r="K80" i="9"/>
  <c r="K79" i="9"/>
  <c r="P155" i="8"/>
  <c r="K39" i="9" s="1"/>
  <c r="T155" i="8"/>
  <c r="O39" i="9" s="1"/>
  <c r="T154" i="8"/>
  <c r="AC146" i="8"/>
  <c r="AB146" i="8"/>
  <c r="AF87" i="8"/>
  <c r="AF83" i="8"/>
  <c r="AF79" i="8"/>
  <c r="AF77" i="8"/>
  <c r="AF69" i="8"/>
  <c r="AF65" i="8"/>
  <c r="AF64" i="8"/>
  <c r="AF58" i="8"/>
  <c r="AF57" i="8"/>
  <c r="AF52" i="8"/>
  <c r="AF48" i="8"/>
  <c r="AF46" i="8"/>
  <c r="K14" i="9"/>
  <c r="D45" i="9"/>
  <c r="AC18" i="8"/>
  <c r="AB18" i="8"/>
  <c r="AF17" i="8"/>
  <c r="AB17" i="8"/>
  <c r="K64" i="9"/>
  <c r="T64" i="9" s="1"/>
  <c r="AC52" i="8"/>
  <c r="K63" i="9"/>
  <c r="T63" i="9" s="1"/>
  <c r="AC48" i="8"/>
  <c r="K56" i="9"/>
  <c r="T56" i="9" s="1"/>
  <c r="AC46" i="8"/>
  <c r="K55" i="9"/>
  <c r="T55" i="9" s="1"/>
  <c r="AC65" i="8"/>
  <c r="Y65" i="8"/>
  <c r="AC64" i="8"/>
  <c r="K66" i="9"/>
  <c r="T66" i="9" s="1"/>
  <c r="AC58" i="8"/>
  <c r="Y58" i="8"/>
  <c r="AC57" i="8"/>
  <c r="K65" i="9"/>
  <c r="T65" i="9" s="1"/>
  <c r="AC79" i="8"/>
  <c r="Y79" i="8"/>
  <c r="AC77" i="8"/>
  <c r="K73" i="9"/>
  <c r="T73" i="9" s="1"/>
  <c r="AC87" i="8"/>
  <c r="Y87" i="8"/>
  <c r="AE27" i="8"/>
  <c r="Y27" i="8"/>
  <c r="B2" i="10"/>
  <c r="AC38" i="8"/>
  <c r="Y38" i="8"/>
  <c r="Y35" i="8"/>
  <c r="O23" i="9"/>
  <c r="O34" i="9" s="1"/>
  <c r="K23" i="9"/>
  <c r="K34" i="9" s="1"/>
  <c r="O21" i="9"/>
  <c r="K21" i="9"/>
  <c r="O72" i="9"/>
  <c r="X72" i="9" s="1"/>
  <c r="K72" i="9"/>
  <c r="T72" i="9" s="1"/>
  <c r="AC70" i="8"/>
  <c r="Y70" i="8"/>
  <c r="AE35" i="8"/>
  <c r="AD35" i="8"/>
  <c r="AB35" i="8"/>
  <c r="AA35" i="8"/>
  <c r="Z35" i="8"/>
  <c r="AF35" i="8"/>
  <c r="AE38" i="8"/>
  <c r="AD38" i="8"/>
  <c r="AB38" i="8"/>
  <c r="AA38" i="8"/>
  <c r="Z38" i="8"/>
  <c r="AF38" i="8"/>
  <c r="AC35" i="8"/>
  <c r="F14" i="8" l="1"/>
  <c r="F20" i="8" s="1"/>
  <c r="F12" i="10"/>
  <c r="G14" i="8"/>
  <c r="G20" i="8" s="1"/>
  <c r="G12" i="10"/>
  <c r="AB88" i="8"/>
  <c r="AF88" i="8"/>
  <c r="AC88" i="8"/>
  <c r="AD88" i="8"/>
  <c r="G66" i="8"/>
  <c r="AA10" i="8"/>
  <c r="Z10" i="8"/>
  <c r="AE19" i="8"/>
  <c r="AF128" i="8"/>
  <c r="AH128" i="8" s="1"/>
  <c r="AC128" i="8"/>
  <c r="AD128" i="8"/>
  <c r="F66" i="8"/>
  <c r="Z19" i="8"/>
  <c r="AA19" i="8"/>
  <c r="AB19" i="8"/>
  <c r="AC19" i="8"/>
  <c r="AD19" i="8"/>
  <c r="AH113" i="8"/>
  <c r="AD135" i="8"/>
  <c r="AA136" i="8"/>
  <c r="Z135" i="8"/>
  <c r="AA135" i="8"/>
  <c r="AH135" i="8"/>
  <c r="AC135" i="8"/>
  <c r="Z136" i="8"/>
  <c r="AE135" i="8"/>
  <c r="AB136" i="8"/>
  <c r="AH136" i="8" s="1"/>
  <c r="AC136" i="8"/>
  <c r="Y135" i="8"/>
  <c r="AD136" i="8"/>
  <c r="AE136" i="8"/>
  <c r="AH124" i="8"/>
  <c r="Z125" i="8"/>
  <c r="Y125" i="8"/>
  <c r="AE123" i="8"/>
  <c r="AD123" i="8"/>
  <c r="AD125" i="8"/>
  <c r="AH125" i="8"/>
  <c r="AA125" i="8"/>
  <c r="AC125" i="8"/>
  <c r="AE125" i="8"/>
  <c r="AB123" i="8"/>
  <c r="AH123" i="8" s="1"/>
  <c r="AA124" i="8"/>
  <c r="Y123" i="8"/>
  <c r="AD124" i="8"/>
  <c r="Z123" i="8"/>
  <c r="AE124" i="8"/>
  <c r="Y124" i="8"/>
  <c r="AC123" i="8"/>
  <c r="Z124" i="8"/>
  <c r="AC124" i="8"/>
  <c r="Z113" i="8"/>
  <c r="AA113" i="8"/>
  <c r="AD113" i="8"/>
  <c r="AE114" i="8"/>
  <c r="AF114" i="8"/>
  <c r="AC113" i="8"/>
  <c r="Z114" i="8"/>
  <c r="AA114" i="8"/>
  <c r="AE113" i="8"/>
  <c r="AB114" i="8"/>
  <c r="AC114" i="8"/>
  <c r="Y113" i="8"/>
  <c r="Y103" i="8"/>
  <c r="AA103" i="8"/>
  <c r="AH104" i="8"/>
  <c r="Y107" i="8"/>
  <c r="AB107" i="8"/>
  <c r="AH107" i="8" s="1"/>
  <c r="AC105" i="8"/>
  <c r="Z108" i="8"/>
  <c r="Y102" i="8"/>
  <c r="AA102" i="8"/>
  <c r="Z105" i="8"/>
  <c r="AD107" i="8"/>
  <c r="AD101" i="8"/>
  <c r="Z103" i="8"/>
  <c r="AA108" i="8"/>
  <c r="AH105" i="8"/>
  <c r="Y108" i="8"/>
  <c r="Z102" i="8"/>
  <c r="AE105" i="8"/>
  <c r="AC107" i="8"/>
  <c r="AD108" i="8"/>
  <c r="AC104" i="8"/>
  <c r="AE107" i="8"/>
  <c r="AA101" i="8"/>
  <c r="AE104" i="8"/>
  <c r="AE106" i="8"/>
  <c r="AH108" i="8"/>
  <c r="AH103" i="8"/>
  <c r="AF101" i="8"/>
  <c r="Y106" i="8"/>
  <c r="Z101" i="8"/>
  <c r="AE102" i="8"/>
  <c r="Y104" i="8"/>
  <c r="AD105" i="8"/>
  <c r="AA106" i="8"/>
  <c r="AC108" i="8"/>
  <c r="AF102" i="8"/>
  <c r="AH102" i="8" s="1"/>
  <c r="AB106" i="8"/>
  <c r="AH106" i="8" s="1"/>
  <c r="AB101" i="8"/>
  <c r="AD103" i="8"/>
  <c r="AA104" i="8"/>
  <c r="AC106" i="8"/>
  <c r="Z107" i="8"/>
  <c r="AE108" i="8"/>
  <c r="AC103" i="8"/>
  <c r="Z104" i="8"/>
  <c r="AC101" i="8"/>
  <c r="AE103" i="8"/>
  <c r="Y105" i="8"/>
  <c r="AD106" i="8"/>
  <c r="AD104" i="8"/>
  <c r="AA105" i="8"/>
  <c r="AC102" i="8"/>
  <c r="AH71" i="8"/>
  <c r="AH78" i="8"/>
  <c r="AH62" i="8"/>
  <c r="AD53" i="8"/>
  <c r="AH61" i="8"/>
  <c r="V54" i="8"/>
  <c r="AH50" i="8"/>
  <c r="AH60" i="8"/>
  <c r="AH47" i="8"/>
  <c r="AH49" i="8"/>
  <c r="AF112" i="8"/>
  <c r="AH59" i="8"/>
  <c r="AH63" i="8"/>
  <c r="AH51" i="8"/>
  <c r="AH72" i="8"/>
  <c r="AH80" i="8"/>
  <c r="W14" i="9"/>
  <c r="F15" i="8"/>
  <c r="F89" i="8"/>
  <c r="G15" i="8"/>
  <c r="G89" i="8"/>
  <c r="G91" i="8" s="1"/>
  <c r="V21" i="9"/>
  <c r="U14" i="9"/>
  <c r="X34" i="9"/>
  <c r="V14" i="9"/>
  <c r="Y117" i="8"/>
  <c r="AB117" i="8"/>
  <c r="AE117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Y134" i="8"/>
  <c r="Z127" i="8"/>
  <c r="AA130" i="8"/>
  <c r="Z23" i="9"/>
  <c r="W34" i="9"/>
  <c r="Y69" i="8"/>
  <c r="Z117" i="8"/>
  <c r="AA127" i="8"/>
  <c r="AB130" i="8"/>
  <c r="Y31" i="8"/>
  <c r="Z69" i="8"/>
  <c r="Z74" i="8" s="1"/>
  <c r="Y115" i="8"/>
  <c r="AC130" i="8"/>
  <c r="T23" i="9"/>
  <c r="AA69" i="8"/>
  <c r="AA74" i="8" s="1"/>
  <c r="AC73" i="8"/>
  <c r="Z115" i="8"/>
  <c r="AD130" i="8"/>
  <c r="U23" i="9"/>
  <c r="Y64" i="8"/>
  <c r="AA115" i="8"/>
  <c r="AC117" i="8"/>
  <c r="AE130" i="8"/>
  <c r="Z134" i="8"/>
  <c r="V23" i="9"/>
  <c r="Y77" i="8"/>
  <c r="AB115" i="8"/>
  <c r="AC116" i="8"/>
  <c r="AD117" i="8"/>
  <c r="AA134" i="8"/>
  <c r="U21" i="9"/>
  <c r="W23" i="9"/>
  <c r="Y57" i="8"/>
  <c r="AD116" i="8"/>
  <c r="Y130" i="8"/>
  <c r="AB134" i="8"/>
  <c r="X23" i="9"/>
  <c r="Y73" i="8"/>
  <c r="AE116" i="8"/>
  <c r="Y127" i="8"/>
  <c r="Y23" i="9"/>
  <c r="AA31" i="8"/>
  <c r="N49" i="9"/>
  <c r="AD18" i="8"/>
  <c r="AB31" i="8"/>
  <c r="AC31" i="8"/>
  <c r="Z27" i="8"/>
  <c r="AD31" i="8"/>
  <c r="AA27" i="8"/>
  <c r="AB27" i="8"/>
  <c r="AC27" i="8"/>
  <c r="AH52" i="8"/>
  <c r="AH64" i="8"/>
  <c r="AD27" i="8"/>
  <c r="J49" i="9"/>
  <c r="Y17" i="8"/>
  <c r="AE18" i="8"/>
  <c r="AH87" i="8"/>
  <c r="Z17" i="8"/>
  <c r="AH48" i="8"/>
  <c r="AH58" i="8"/>
  <c r="AH65" i="8"/>
  <c r="AH79" i="8"/>
  <c r="AA17" i="8"/>
  <c r="Y18" i="8"/>
  <c r="Z18" i="8"/>
  <c r="AC17" i="8"/>
  <c r="AA18" i="8"/>
  <c r="AD17" i="8"/>
  <c r="R49" i="9"/>
  <c r="AE17" i="8"/>
  <c r="M49" i="9"/>
  <c r="U131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K131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AC53" i="8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Q131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I131" i="8"/>
  <c r="M131" i="8"/>
  <c r="J131" i="8"/>
  <c r="AE118" i="8"/>
  <c r="AF117" i="8"/>
  <c r="Y116" i="8"/>
  <c r="AB122" i="8"/>
  <c r="Y111" i="8"/>
  <c r="AC122" i="8"/>
  <c r="AD126" i="8"/>
  <c r="AC111" i="8"/>
  <c r="AF31" i="8"/>
  <c r="Z146" i="8"/>
  <c r="AF116" i="8"/>
  <c r="AF18" i="8"/>
  <c r="AH18" i="8" s="1"/>
  <c r="AF146" i="8"/>
  <c r="AE146" i="8"/>
  <c r="AD146" i="8"/>
  <c r="AA146" i="8"/>
  <c r="Y146" i="8"/>
  <c r="AF130" i="8"/>
  <c r="AF27" i="8"/>
  <c r="AH38" i="8"/>
  <c r="F91" i="8" l="1"/>
  <c r="Y74" i="8"/>
  <c r="AH19" i="8"/>
  <c r="AH114" i="8"/>
  <c r="AH101" i="8"/>
  <c r="AC112" i="8"/>
  <c r="AE112" i="8"/>
  <c r="AB112" i="8"/>
  <c r="AH112" i="8" s="1"/>
  <c r="AD112" i="8"/>
  <c r="AH31" i="8"/>
  <c r="AH117" i="8"/>
  <c r="V32" i="9"/>
  <c r="Z45" i="9"/>
  <c r="Z16" i="9"/>
  <c r="X22" i="9"/>
  <c r="F24" i="8"/>
  <c r="F21" i="8"/>
  <c r="G24" i="8"/>
  <c r="G21" i="8"/>
  <c r="V47" i="9"/>
  <c r="Z22" i="9"/>
  <c r="AD118" i="8"/>
  <c r="Y137" i="8"/>
  <c r="U20" i="9"/>
  <c r="Z116" i="8"/>
  <c r="AE126" i="8"/>
  <c r="Z137" i="8"/>
  <c r="AD122" i="8"/>
  <c r="AD115" i="8"/>
  <c r="AE115" i="8"/>
  <c r="K33" i="9"/>
  <c r="W22" i="9"/>
  <c r="AC22" i="9" s="1"/>
  <c r="V22" i="9"/>
  <c r="U47" i="9"/>
  <c r="N48" i="9"/>
  <c r="AC126" i="8"/>
  <c r="AE111" i="8"/>
  <c r="Y22" i="9"/>
  <c r="Y20" i="9"/>
  <c r="X19" i="9"/>
  <c r="J44" i="9"/>
  <c r="W45" i="9"/>
  <c r="V45" i="9"/>
  <c r="K48" i="9"/>
  <c r="AB137" i="8"/>
  <c r="U22" i="9"/>
  <c r="T45" i="9"/>
  <c r="AB127" i="8"/>
  <c r="AC118" i="8"/>
  <c r="X20" i="9"/>
  <c r="T32" i="9"/>
  <c r="U32" i="9"/>
  <c r="J48" i="9"/>
  <c r="AA137" i="8"/>
  <c r="AE122" i="8"/>
  <c r="Z122" i="8"/>
  <c r="AD111" i="8"/>
  <c r="AB111" i="8"/>
  <c r="Z111" i="8"/>
  <c r="Y118" i="8"/>
  <c r="AB118" i="8"/>
  <c r="Z118" i="8"/>
  <c r="U19" i="9"/>
  <c r="W19" i="9"/>
  <c r="V19" i="9"/>
  <c r="AB116" i="8"/>
  <c r="AH116" i="8" s="1"/>
  <c r="AA116" i="8"/>
  <c r="V20" i="9"/>
  <c r="W20" i="9"/>
  <c r="AC115" i="8"/>
  <c r="AA122" i="8"/>
  <c r="AA111" i="8"/>
  <c r="Y15" i="9"/>
  <c r="Y16" i="9" s="1"/>
  <c r="K28" i="9"/>
  <c r="W28" i="9" s="1"/>
  <c r="W15" i="9"/>
  <c r="W16" i="9" s="1"/>
  <c r="U15" i="9"/>
  <c r="U16" i="9" s="1"/>
  <c r="Y19" i="9"/>
  <c r="V15" i="9"/>
  <c r="V16" i="9" s="1"/>
  <c r="Y122" i="8"/>
  <c r="X45" i="9"/>
  <c r="T15" i="9"/>
  <c r="T16" i="9" s="1"/>
  <c r="T24" i="9" s="1"/>
  <c r="AA118" i="8"/>
  <c r="T47" i="9"/>
  <c r="Y45" i="9"/>
  <c r="X15" i="9"/>
  <c r="X16" i="9" s="1"/>
  <c r="W47" i="9"/>
  <c r="Q47" i="9"/>
  <c r="AC23" i="9"/>
  <c r="AC21" i="9"/>
  <c r="AH130" i="8"/>
  <c r="AC34" i="9"/>
  <c r="K41" i="9"/>
  <c r="O48" i="9"/>
  <c r="N41" i="9"/>
  <c r="AA20" i="9"/>
  <c r="O33" i="9"/>
  <c r="AE127" i="8"/>
  <c r="N46" i="9"/>
  <c r="AF111" i="8"/>
  <c r="O27" i="9"/>
  <c r="Z27" i="9" s="1"/>
  <c r="O32" i="9"/>
  <c r="K38" i="9"/>
  <c r="O131" i="8"/>
  <c r="AA126" i="8"/>
  <c r="O28" i="9"/>
  <c r="Z28" i="9" s="1"/>
  <c r="O44" i="9"/>
  <c r="Z44" i="9" s="1"/>
  <c r="K27" i="9"/>
  <c r="T27" i="9" s="1"/>
  <c r="AA15" i="9"/>
  <c r="O38" i="9"/>
  <c r="N131" i="8"/>
  <c r="AF115" i="8"/>
  <c r="AH115" i="8" s="1"/>
  <c r="V131" i="8"/>
  <c r="AF126" i="8"/>
  <c r="S131" i="8"/>
  <c r="AF122" i="8"/>
  <c r="R131" i="8"/>
  <c r="AH27" i="8"/>
  <c r="AA73" i="9"/>
  <c r="AA72" i="9"/>
  <c r="O7" i="9"/>
  <c r="O6" i="9"/>
  <c r="K9" i="9"/>
  <c r="K8" i="9"/>
  <c r="AF147" i="8"/>
  <c r="W143" i="8"/>
  <c r="AD147" i="8"/>
  <c r="AF143" i="8"/>
  <c r="S143" i="8"/>
  <c r="R143" i="8"/>
  <c r="P143" i="8"/>
  <c r="O143" i="8"/>
  <c r="M140" i="8"/>
  <c r="N140" i="8"/>
  <c r="O140" i="8"/>
  <c r="N143" i="8"/>
  <c r="U143" i="8"/>
  <c r="Q143" i="8"/>
  <c r="AF118" i="8"/>
  <c r="W8" i="9" l="1"/>
  <c r="T8" i="9"/>
  <c r="U8" i="9"/>
  <c r="V8" i="9"/>
  <c r="W9" i="9"/>
  <c r="T9" i="9"/>
  <c r="U9" i="9"/>
  <c r="V9" i="9"/>
  <c r="Y112" i="8"/>
  <c r="Z112" i="8"/>
  <c r="AA112" i="8"/>
  <c r="W48" i="9"/>
  <c r="Z24" i="9"/>
  <c r="Z29" i="9" s="1"/>
  <c r="G28" i="8"/>
  <c r="G25" i="8"/>
  <c r="F28" i="8"/>
  <c r="F25" i="8"/>
  <c r="O41" i="9"/>
  <c r="U27" i="9"/>
  <c r="AC127" i="8"/>
  <c r="V24" i="9"/>
  <c r="Y27" i="9"/>
  <c r="AC20" i="9"/>
  <c r="U24" i="9"/>
  <c r="X28" i="9"/>
  <c r="V28" i="9"/>
  <c r="X27" i="9"/>
  <c r="AC137" i="8"/>
  <c r="P131" i="8"/>
  <c r="AB126" i="8"/>
  <c r="AH126" i="8" s="1"/>
  <c r="Z126" i="8"/>
  <c r="X44" i="9"/>
  <c r="X32" i="9"/>
  <c r="Z32" i="9"/>
  <c r="T28" i="9"/>
  <c r="T29" i="9" s="1"/>
  <c r="AE137" i="8"/>
  <c r="Y28" i="9"/>
  <c r="AD134" i="8"/>
  <c r="AE134" i="8"/>
  <c r="AC134" i="8"/>
  <c r="Y24" i="9"/>
  <c r="Y44" i="9"/>
  <c r="AD137" i="8"/>
  <c r="AB139" i="8"/>
  <c r="Z139" i="8"/>
  <c r="AA139" i="8"/>
  <c r="Y139" i="8"/>
  <c r="W27" i="9"/>
  <c r="V27" i="9"/>
  <c r="Y32" i="9"/>
  <c r="V48" i="9"/>
  <c r="U48" i="9"/>
  <c r="T48" i="9"/>
  <c r="Z48" i="9"/>
  <c r="Y48" i="9"/>
  <c r="X48" i="9"/>
  <c r="AE139" i="8"/>
  <c r="AC139" i="8"/>
  <c r="AD139" i="8"/>
  <c r="W46" i="9"/>
  <c r="Y126" i="8"/>
  <c r="O46" i="9"/>
  <c r="AA46" i="9" s="1"/>
  <c r="AD127" i="8"/>
  <c r="X24" i="9"/>
  <c r="W24" i="9"/>
  <c r="U33" i="9"/>
  <c r="W33" i="9"/>
  <c r="V33" i="9"/>
  <c r="T33" i="9"/>
  <c r="AA33" i="9"/>
  <c r="X33" i="9"/>
  <c r="Y33" i="9"/>
  <c r="Z33" i="9"/>
  <c r="U28" i="9"/>
  <c r="AC15" i="9"/>
  <c r="K49" i="9"/>
  <c r="O49" i="9"/>
  <c r="AH122" i="8"/>
  <c r="AF137" i="8"/>
  <c r="AH137" i="8" s="1"/>
  <c r="AF127" i="8"/>
  <c r="AH127" i="8" s="1"/>
  <c r="AE10" i="10"/>
  <c r="O9" i="9"/>
  <c r="AE9" i="10"/>
  <c r="O8" i="9"/>
  <c r="AF134" i="8"/>
  <c r="O47" i="9"/>
  <c r="AA28" i="9"/>
  <c r="AC28" i="9" s="1"/>
  <c r="K44" i="9"/>
  <c r="W44" i="9" s="1"/>
  <c r="T131" i="8"/>
  <c r="V143" i="8"/>
  <c r="Y154" i="8"/>
  <c r="AH118" i="8"/>
  <c r="AA143" i="8"/>
  <c r="AC143" i="8"/>
  <c r="Z147" i="8"/>
  <c r="AF139" i="8"/>
  <c r="AA147" i="8"/>
  <c r="AC147" i="8"/>
  <c r="Z143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0" i="10"/>
  <c r="AB10" i="10"/>
  <c r="AD10" i="10"/>
  <c r="AB9" i="10"/>
  <c r="AC9" i="10"/>
  <c r="AD9" i="10"/>
  <c r="Y147" i="8"/>
  <c r="AB147" i="8"/>
  <c r="AB143" i="8"/>
  <c r="AD143" i="8"/>
  <c r="AE147" i="8"/>
  <c r="AE143" i="8"/>
  <c r="I143" i="8"/>
  <c r="J143" i="8"/>
  <c r="Y143" i="8" s="1"/>
  <c r="K143" i="8"/>
  <c r="T143" i="8"/>
  <c r="AA14" i="9"/>
  <c r="AA13" i="8"/>
  <c r="X8" i="9" l="1"/>
  <c r="Y8" i="9"/>
  <c r="Z8" i="9"/>
  <c r="Z9" i="9"/>
  <c r="X9" i="9"/>
  <c r="Y9" i="9"/>
  <c r="U29" i="9"/>
  <c r="U35" i="9" s="1"/>
  <c r="F32" i="8"/>
  <c r="F99" i="8" s="1"/>
  <c r="F119" i="8" s="1"/>
  <c r="F29" i="8"/>
  <c r="G32" i="8"/>
  <c r="G99" i="8" s="1"/>
  <c r="G119" i="8" s="1"/>
  <c r="G29" i="8"/>
  <c r="AC33" i="9"/>
  <c r="X29" i="9"/>
  <c r="X35" i="9" s="1"/>
  <c r="W29" i="9"/>
  <c r="W35" i="9" s="1"/>
  <c r="V29" i="9"/>
  <c r="V35" i="9" s="1"/>
  <c r="X46" i="9"/>
  <c r="T44" i="9"/>
  <c r="T35" i="9"/>
  <c r="V44" i="9"/>
  <c r="Y46" i="9"/>
  <c r="Z35" i="9"/>
  <c r="Y29" i="9"/>
  <c r="Y35" i="9" s="1"/>
  <c r="AH139" i="8"/>
  <c r="X49" i="9"/>
  <c r="Y49" i="9"/>
  <c r="Z49" i="9"/>
  <c r="Z47" i="9"/>
  <c r="Y47" i="9"/>
  <c r="X47" i="9"/>
  <c r="W49" i="9"/>
  <c r="V49" i="9"/>
  <c r="T49" i="9"/>
  <c r="U49" i="9"/>
  <c r="Z46" i="9"/>
  <c r="U44" i="9"/>
  <c r="AG9" i="10"/>
  <c r="O10" i="9"/>
  <c r="O16" i="9" s="1"/>
  <c r="AG10" i="10"/>
  <c r="AA47" i="9"/>
  <c r="AD154" i="8"/>
  <c r="AE154" i="8"/>
  <c r="AB154" i="8"/>
  <c r="AA154" i="8"/>
  <c r="Z154" i="8"/>
  <c r="AF154" i="8"/>
  <c r="AC154" i="8"/>
  <c r="AC13" i="8"/>
  <c r="Y13" i="8"/>
  <c r="Z13" i="8"/>
  <c r="AB13" i="8"/>
  <c r="AC14" i="9"/>
  <c r="AD13" i="8"/>
  <c r="AF13" i="8"/>
  <c r="AE13" i="8"/>
  <c r="G148" i="8" l="1"/>
  <c r="F148" i="8"/>
  <c r="F149" i="8" s="1"/>
  <c r="F151" i="8" s="1"/>
  <c r="G36" i="8"/>
  <c r="G33" i="8"/>
  <c r="G39" i="8"/>
  <c r="F36" i="8"/>
  <c r="F33" i="8"/>
  <c r="F39" i="8"/>
  <c r="AH13" i="8"/>
  <c r="AA23" i="8"/>
  <c r="Z23" i="8"/>
  <c r="Y23" i="8"/>
  <c r="AB23" i="8"/>
  <c r="AF23" i="8"/>
  <c r="AD23" i="8"/>
  <c r="AE23" i="8"/>
  <c r="AC23" i="8"/>
  <c r="G142" i="8" l="1"/>
  <c r="G144" i="8" s="1"/>
  <c r="G149" i="8" s="1"/>
  <c r="AA57" i="9"/>
  <c r="AA56" i="9"/>
  <c r="H142" i="8" l="1"/>
  <c r="G151" i="8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O54" i="8" l="1"/>
  <c r="B2" i="9"/>
  <c r="R68" i="9"/>
  <c r="Q68" i="9"/>
  <c r="Z68" i="9" s="1"/>
  <c r="P68" i="9"/>
  <c r="Y68" i="9" s="1"/>
  <c r="N68" i="9"/>
  <c r="W68" i="9" s="1"/>
  <c r="M68" i="9"/>
  <c r="V68" i="9" s="1"/>
  <c r="L68" i="9"/>
  <c r="U68" i="9" s="1"/>
  <c r="J68" i="9"/>
  <c r="I68" i="9"/>
  <c r="H68" i="9"/>
  <c r="K74" i="8"/>
  <c r="F68" i="9" s="1"/>
  <c r="J74" i="8"/>
  <c r="E68" i="9" s="1"/>
  <c r="I74" i="8"/>
  <c r="D68" i="9" s="1"/>
  <c r="H74" i="8"/>
  <c r="C68" i="9" s="1"/>
  <c r="AA55" i="9"/>
  <c r="AA58" i="9" s="1"/>
  <c r="R4" i="9"/>
  <c r="AA4" i="9" s="1"/>
  <c r="R3" i="9"/>
  <c r="AA3" i="9" s="1"/>
  <c r="AF73" i="8"/>
  <c r="AF70" i="8"/>
  <c r="AF53" i="8"/>
  <c r="AF8" i="8"/>
  <c r="AF96" i="8" s="1"/>
  <c r="AF7" i="8"/>
  <c r="AF95" i="8" s="1"/>
  <c r="V4" i="10"/>
  <c r="AD4" i="10" s="1"/>
  <c r="U4" i="10"/>
  <c r="AC4" i="10" s="1"/>
  <c r="T4" i="10"/>
  <c r="AB4" i="10" s="1"/>
  <c r="S4" i="10"/>
  <c r="AA4" i="10" s="1"/>
  <c r="R4" i="10"/>
  <c r="Z4" i="10" s="1"/>
  <c r="Q4" i="10"/>
  <c r="Y4" i="10" s="1"/>
  <c r="P4" i="10"/>
  <c r="O4" i="10"/>
  <c r="N4" i="10"/>
  <c r="M4" i="10"/>
  <c r="V3" i="10"/>
  <c r="AD3" i="10" s="1"/>
  <c r="U3" i="10"/>
  <c r="AC3" i="10" s="1"/>
  <c r="T3" i="10"/>
  <c r="AB3" i="10" s="1"/>
  <c r="S3" i="10"/>
  <c r="AA3" i="10" s="1"/>
  <c r="R3" i="10"/>
  <c r="Z3" i="10" s="1"/>
  <c r="Q3" i="10"/>
  <c r="Y3" i="10" s="1"/>
  <c r="P3" i="10"/>
  <c r="O3" i="10"/>
  <c r="N3" i="10"/>
  <c r="M3" i="10"/>
  <c r="W4" i="10"/>
  <c r="AE4" i="10" s="1"/>
  <c r="W3" i="10"/>
  <c r="AE3" i="10" s="1"/>
  <c r="W96" i="8"/>
  <c r="W95" i="8"/>
  <c r="R87" i="9"/>
  <c r="W43" i="8"/>
  <c r="W42" i="8"/>
  <c r="W11" i="8"/>
  <c r="W14" i="8" s="1"/>
  <c r="W20" i="8" s="1"/>
  <c r="U140" i="8"/>
  <c r="K140" i="8"/>
  <c r="J140" i="8"/>
  <c r="I140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J87" i="9"/>
  <c r="V96" i="8"/>
  <c r="U96" i="8"/>
  <c r="T96" i="8"/>
  <c r="S96" i="8"/>
  <c r="R96" i="8"/>
  <c r="Q96" i="8"/>
  <c r="P96" i="8"/>
  <c r="O96" i="8"/>
  <c r="N96" i="8"/>
  <c r="M96" i="8"/>
  <c r="V95" i="8"/>
  <c r="U95" i="8"/>
  <c r="T95" i="8"/>
  <c r="S95" i="8"/>
  <c r="R95" i="8"/>
  <c r="Q95" i="8"/>
  <c r="P95" i="8"/>
  <c r="O95" i="8"/>
  <c r="N95" i="8"/>
  <c r="M95" i="8"/>
  <c r="N87" i="9"/>
  <c r="M87" i="9"/>
  <c r="L87" i="9"/>
  <c r="I87" i="9"/>
  <c r="H87" i="9"/>
  <c r="V43" i="8"/>
  <c r="U43" i="8"/>
  <c r="T43" i="8"/>
  <c r="S43" i="8"/>
  <c r="R43" i="8"/>
  <c r="Q43" i="8"/>
  <c r="P43" i="8"/>
  <c r="O43" i="8"/>
  <c r="N43" i="8"/>
  <c r="M43" i="8"/>
  <c r="V42" i="8"/>
  <c r="U42" i="8"/>
  <c r="T42" i="8"/>
  <c r="S42" i="8"/>
  <c r="R42" i="8"/>
  <c r="Q42" i="8"/>
  <c r="P42" i="8"/>
  <c r="O42" i="8"/>
  <c r="N42" i="8"/>
  <c r="M42" i="8"/>
  <c r="K43" i="8"/>
  <c r="J43" i="8"/>
  <c r="I43" i="8"/>
  <c r="H43" i="8"/>
  <c r="K42" i="8"/>
  <c r="J42" i="8"/>
  <c r="I42" i="8"/>
  <c r="H42" i="8"/>
  <c r="R11" i="8"/>
  <c r="R14" i="8" s="1"/>
  <c r="R20" i="8" s="1"/>
  <c r="Q11" i="8"/>
  <c r="Q14" i="8" s="1"/>
  <c r="Q20" i="8" s="1"/>
  <c r="O11" i="8"/>
  <c r="O14" i="8" s="1"/>
  <c r="O20" i="8" s="1"/>
  <c r="N11" i="8"/>
  <c r="N14" i="8" s="1"/>
  <c r="N20" i="8" s="1"/>
  <c r="M11" i="8"/>
  <c r="M14" i="8" s="1"/>
  <c r="M20" i="8" s="1"/>
  <c r="V11" i="8"/>
  <c r="V14" i="8" s="1"/>
  <c r="V20" i="8" s="1"/>
  <c r="Z8" i="8"/>
  <c r="Y8" i="8"/>
  <c r="Z7" i="8"/>
  <c r="Y7" i="8"/>
  <c r="AD8" i="8"/>
  <c r="AC8" i="8"/>
  <c r="AB8" i="8"/>
  <c r="AA8" i="8"/>
  <c r="AD7" i="8"/>
  <c r="AC7" i="8"/>
  <c r="AB7" i="8"/>
  <c r="AA7" i="8"/>
  <c r="AE8" i="8"/>
  <c r="AE7" i="8"/>
  <c r="J4" i="10"/>
  <c r="I4" i="10"/>
  <c r="H4" i="10"/>
  <c r="J3" i="10"/>
  <c r="I3" i="10"/>
  <c r="H3" i="10"/>
  <c r="K4" i="10"/>
  <c r="K3" i="10"/>
  <c r="AH53" i="8" l="1"/>
  <c r="AB10" i="8"/>
  <c r="AE10" i="8"/>
  <c r="AD10" i="8"/>
  <c r="AC10" i="8"/>
  <c r="O15" i="8"/>
  <c r="N15" i="8"/>
  <c r="M15" i="8"/>
  <c r="AH46" i="8"/>
  <c r="AH73" i="8"/>
  <c r="AH83" i="8"/>
  <c r="AH57" i="8"/>
  <c r="AH69" i="8"/>
  <c r="AH70" i="8"/>
  <c r="AH77" i="8"/>
  <c r="W81" i="8"/>
  <c r="R69" i="9" s="1"/>
  <c r="U87" i="9"/>
  <c r="AA87" i="9"/>
  <c r="AD155" i="8"/>
  <c r="V87" i="9"/>
  <c r="W87" i="9"/>
  <c r="K58" i="9"/>
  <c r="O66" i="8"/>
  <c r="AD74" i="8"/>
  <c r="AE74" i="8"/>
  <c r="AF74" i="8"/>
  <c r="AB74" i="8"/>
  <c r="K68" i="9"/>
  <c r="T68" i="9" s="1"/>
  <c r="O68" i="9"/>
  <c r="X68" i="9" s="1"/>
  <c r="O81" i="8"/>
  <c r="J69" i="9" s="1"/>
  <c r="AF54" i="8"/>
  <c r="AF10" i="8"/>
  <c r="N81" i="8"/>
  <c r="I69" i="9" s="1"/>
  <c r="AF42" i="8"/>
  <c r="AF43" i="8"/>
  <c r="M81" i="8"/>
  <c r="H69" i="9" s="1"/>
  <c r="N54" i="8"/>
  <c r="N66" i="8" s="1"/>
  <c r="V140" i="8"/>
  <c r="Q140" i="8"/>
  <c r="R140" i="8"/>
  <c r="V66" i="8"/>
  <c r="S66" i="8"/>
  <c r="M54" i="8"/>
  <c r="M66" i="8" s="1"/>
  <c r="R54" i="8"/>
  <c r="R66" i="8" s="1"/>
  <c r="Q54" i="8"/>
  <c r="Q66" i="8" s="1"/>
  <c r="K81" i="8"/>
  <c r="F69" i="9" s="1"/>
  <c r="AB155" i="8"/>
  <c r="V58" i="9"/>
  <c r="U58" i="9"/>
  <c r="AC155" i="8"/>
  <c r="Z155" i="8"/>
  <c r="AA155" i="8"/>
  <c r="Y155" i="8"/>
  <c r="P11" i="8"/>
  <c r="P14" i="8" s="1"/>
  <c r="P20" i="8" s="1"/>
  <c r="K87" i="9"/>
  <c r="P54" i="8"/>
  <c r="P66" i="8" s="1"/>
  <c r="T66" i="8"/>
  <c r="Q24" i="8" l="1"/>
  <c r="W89" i="8"/>
  <c r="AA69" i="9"/>
  <c r="AA9" i="9"/>
  <c r="AC9" i="9" s="1"/>
  <c r="AA8" i="9"/>
  <c r="AC8" i="9" s="1"/>
  <c r="AA7" i="9"/>
  <c r="AC7" i="9" s="1"/>
  <c r="W11" i="10"/>
  <c r="W12" i="10" s="1"/>
  <c r="W15" i="8"/>
  <c r="R15" i="8"/>
  <c r="Q15" i="8"/>
  <c r="W21" i="8"/>
  <c r="W24" i="8"/>
  <c r="W28" i="8" s="1"/>
  <c r="AC74" i="8"/>
  <c r="AH17" i="8"/>
  <c r="AH134" i="8"/>
  <c r="AA48" i="9"/>
  <c r="AF66" i="8"/>
  <c r="AF81" i="8"/>
  <c r="AF89" i="8" s="1"/>
  <c r="AH74" i="8"/>
  <c r="AH23" i="8"/>
  <c r="AF11" i="8"/>
  <c r="AF14" i="8" s="1"/>
  <c r="AF20" i="8" s="1"/>
  <c r="AH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N89" i="8"/>
  <c r="N91" i="8" s="1"/>
  <c r="AA88" i="9"/>
  <c r="AA97" i="9" s="1"/>
  <c r="T87" i="9"/>
  <c r="T88" i="9" s="1"/>
  <c r="T97" i="9" s="1"/>
  <c r="AA19" i="9"/>
  <c r="W66" i="8"/>
  <c r="AA68" i="9"/>
  <c r="AA38" i="9"/>
  <c r="O89" i="8"/>
  <c r="O91" i="8" s="1"/>
  <c r="W140" i="8"/>
  <c r="M89" i="8"/>
  <c r="M91" i="8" s="1"/>
  <c r="S140" i="8"/>
  <c r="AA44" i="9"/>
  <c r="T58" i="9"/>
  <c r="R81" i="8"/>
  <c r="M69" i="9" s="1"/>
  <c r="V69" i="9" s="1"/>
  <c r="Q81" i="8"/>
  <c r="L69" i="9" s="1"/>
  <c r="U69" i="9" s="1"/>
  <c r="P81" i="8"/>
  <c r="K69" i="9" s="1"/>
  <c r="T69" i="9" s="1"/>
  <c r="S81" i="8"/>
  <c r="N69" i="9" s="1"/>
  <c r="W69" i="9" s="1"/>
  <c r="U39" i="9"/>
  <c r="X39" i="9"/>
  <c r="Y38" i="9"/>
  <c r="AA41" i="9"/>
  <c r="V39" i="9"/>
  <c r="Z38" i="9"/>
  <c r="W39" i="9"/>
  <c r="X38" i="9"/>
  <c r="T39" i="9"/>
  <c r="R21" i="8"/>
  <c r="R24" i="8"/>
  <c r="R28" i="8" s="1"/>
  <c r="Q21" i="8"/>
  <c r="AC19" i="9" l="1"/>
  <c r="R32" i="8"/>
  <c r="W32" i="8"/>
  <c r="Q28" i="8"/>
  <c r="N24" i="8"/>
  <c r="N28" i="8" s="1"/>
  <c r="O24" i="8"/>
  <c r="O25" i="8" s="1"/>
  <c r="O21" i="8"/>
  <c r="AF15" i="8"/>
  <c r="N21" i="8"/>
  <c r="W91" i="8"/>
  <c r="R24" i="9"/>
  <c r="R29" i="9" s="1"/>
  <c r="R35" i="9" s="1"/>
  <c r="W25" i="8"/>
  <c r="M24" i="8"/>
  <c r="M28" i="8" s="1"/>
  <c r="M21" i="8"/>
  <c r="AF91" i="8"/>
  <c r="Y40" i="9"/>
  <c r="Z40" i="9"/>
  <c r="X40" i="9"/>
  <c r="AC40" i="9"/>
  <c r="U40" i="9"/>
  <c r="V40" i="9"/>
  <c r="T40" i="9"/>
  <c r="Z39" i="9"/>
  <c r="AE155" i="8"/>
  <c r="Q89" i="8"/>
  <c r="Q91" i="8" s="1"/>
  <c r="Y39" i="9"/>
  <c r="R89" i="8"/>
  <c r="R91" i="8" s="1"/>
  <c r="P15" i="8"/>
  <c r="AC131" i="8"/>
  <c r="AE131" i="8"/>
  <c r="AD131" i="8"/>
  <c r="AF131" i="8"/>
  <c r="Z41" i="9"/>
  <c r="R25" i="8"/>
  <c r="AE140" i="8"/>
  <c r="AF140" i="8"/>
  <c r="AA131" i="8"/>
  <c r="AC140" i="8"/>
  <c r="AA140" i="8"/>
  <c r="AD140" i="8"/>
  <c r="T140" i="8"/>
  <c r="S89" i="8"/>
  <c r="S91" i="8" s="1"/>
  <c r="P89" i="8"/>
  <c r="P91" i="8" s="1"/>
  <c r="Y41" i="9"/>
  <c r="AH111" i="8"/>
  <c r="X41" i="9"/>
  <c r="AB131" i="8"/>
  <c r="Z131" i="8"/>
  <c r="Y131" i="8"/>
  <c r="V38" i="9"/>
  <c r="U38" i="9"/>
  <c r="W38" i="9"/>
  <c r="T38" i="9"/>
  <c r="W41" i="9"/>
  <c r="AC41" i="9" s="1"/>
  <c r="T41" i="9"/>
  <c r="U41" i="9"/>
  <c r="V41" i="9"/>
  <c r="P21" i="8"/>
  <c r="P24" i="8"/>
  <c r="P28" i="8" s="1"/>
  <c r="Q25" i="8"/>
  <c r="R33" i="8" l="1"/>
  <c r="R99" i="8"/>
  <c r="R119" i="8" s="1"/>
  <c r="W39" i="8"/>
  <c r="W99" i="8"/>
  <c r="W119" i="8" s="1"/>
  <c r="X42" i="9"/>
  <c r="Y42" i="9"/>
  <c r="Z42" i="9"/>
  <c r="T42" i="9"/>
  <c r="AC38" i="9"/>
  <c r="W42" i="9"/>
  <c r="U42" i="9"/>
  <c r="V42" i="9"/>
  <c r="R39" i="8"/>
  <c r="R36" i="8"/>
  <c r="W36" i="8"/>
  <c r="W33" i="8"/>
  <c r="M32" i="8"/>
  <c r="P32" i="8"/>
  <c r="N32" i="8"/>
  <c r="Q32" i="8"/>
  <c r="O28" i="8"/>
  <c r="N25" i="8"/>
  <c r="W29" i="8"/>
  <c r="R17" i="9"/>
  <c r="R25" i="9"/>
  <c r="M25" i="8"/>
  <c r="AH35" i="8"/>
  <c r="AH131" i="8"/>
  <c r="AA39" i="9"/>
  <c r="AC39" i="9" s="1"/>
  <c r="AF155" i="8"/>
  <c r="AA32" i="9"/>
  <c r="AC32" i="9" s="1"/>
  <c r="AA27" i="9"/>
  <c r="AA45" i="9"/>
  <c r="R30" i="9"/>
  <c r="N29" i="8"/>
  <c r="P25" i="8"/>
  <c r="Y140" i="8"/>
  <c r="P140" i="8"/>
  <c r="AB140" i="8"/>
  <c r="AH140" i="8" s="1"/>
  <c r="Z140" i="8"/>
  <c r="R29" i="8"/>
  <c r="Q29" i="8"/>
  <c r="W148" i="8" l="1"/>
  <c r="R148" i="8"/>
  <c r="N33" i="8"/>
  <c r="N99" i="8"/>
  <c r="N119" i="8" s="1"/>
  <c r="Q99" i="8"/>
  <c r="Q119" i="8" s="1"/>
  <c r="M36" i="8"/>
  <c r="M99" i="8"/>
  <c r="P33" i="8"/>
  <c r="P99" i="8"/>
  <c r="P119" i="8" s="1"/>
  <c r="M39" i="8"/>
  <c r="M33" i="8"/>
  <c r="N39" i="8"/>
  <c r="P39" i="8"/>
  <c r="P36" i="8"/>
  <c r="N36" i="8"/>
  <c r="O32" i="8"/>
  <c r="Q33" i="8"/>
  <c r="Q36" i="8"/>
  <c r="Q39" i="8"/>
  <c r="O29" i="8"/>
  <c r="AF21" i="8"/>
  <c r="AF24" i="8"/>
  <c r="AF28" i="8" s="1"/>
  <c r="AF99" i="8" s="1"/>
  <c r="AF119" i="8" s="1"/>
  <c r="AC27" i="9"/>
  <c r="AA6" i="9"/>
  <c r="AA10" i="9" s="1"/>
  <c r="AA16" i="9" s="1"/>
  <c r="AA24" i="9" s="1"/>
  <c r="AA29" i="9" s="1"/>
  <c r="AA35" i="9" s="1"/>
  <c r="AA42" i="9" s="1"/>
  <c r="M29" i="8"/>
  <c r="V17" i="9"/>
  <c r="R36" i="9"/>
  <c r="R42" i="9"/>
  <c r="R50" i="9" s="1"/>
  <c r="P29" i="8"/>
  <c r="M119" i="8" l="1"/>
  <c r="M148" i="8" s="1"/>
  <c r="N148" i="8"/>
  <c r="Q148" i="8"/>
  <c r="O99" i="8"/>
  <c r="O119" i="8" s="1"/>
  <c r="AF29" i="8"/>
  <c r="AF32" i="8"/>
  <c r="O33" i="8"/>
  <c r="O39" i="8"/>
  <c r="O36" i="8"/>
  <c r="AF25" i="8"/>
  <c r="U17" i="9"/>
  <c r="W25" i="9"/>
  <c r="W17" i="9"/>
  <c r="T17" i="9"/>
  <c r="V25" i="9"/>
  <c r="T25" i="9"/>
  <c r="Y11" i="9"/>
  <c r="AC6" i="9"/>
  <c r="R51" i="9"/>
  <c r="T30" i="9"/>
  <c r="P148" i="8"/>
  <c r="O148" i="8" l="1"/>
  <c r="U95" i="9" a="1"/>
  <c r="U95" i="9" s="1"/>
  <c r="V94" i="9"/>
  <c r="AF33" i="8"/>
  <c r="AF39" i="8"/>
  <c r="AF36" i="8"/>
  <c r="U25" i="9"/>
  <c r="X11" i="9"/>
  <c r="Y17" i="9"/>
  <c r="X17" i="9"/>
  <c r="AC10" i="9"/>
  <c r="AA11" i="9"/>
  <c r="AC11" i="9" s="1"/>
  <c r="U30" i="9"/>
  <c r="V30" i="9"/>
  <c r="Y25" i="9"/>
  <c r="T96" i="9" a="1"/>
  <c r="T96" i="9" s="1"/>
  <c r="T94" i="9"/>
  <c r="T95" i="9" a="1"/>
  <c r="T95" i="9" s="1"/>
  <c r="T93" i="9"/>
  <c r="T36" i="9"/>
  <c r="T92" i="9"/>
  <c r="B96" i="8"/>
  <c r="B95" i="8"/>
  <c r="K96" i="8"/>
  <c r="J96" i="8"/>
  <c r="I96" i="8"/>
  <c r="H96" i="8"/>
  <c r="K95" i="8"/>
  <c r="J95" i="8"/>
  <c r="I95" i="8"/>
  <c r="H95" i="8"/>
  <c r="B43" i="8"/>
  <c r="B42" i="8"/>
  <c r="AE43" i="8"/>
  <c r="AD43" i="8"/>
  <c r="AC43" i="8"/>
  <c r="AA43" i="8"/>
  <c r="Z43" i="8"/>
  <c r="Y43" i="8"/>
  <c r="AB43" i="8"/>
  <c r="AE42" i="8"/>
  <c r="AD42" i="8"/>
  <c r="AC42" i="8"/>
  <c r="AB42" i="8"/>
  <c r="AA42" i="8"/>
  <c r="Z42" i="8"/>
  <c r="Y42" i="8"/>
  <c r="Z148" i="8" l="1"/>
  <c r="Y148" i="8"/>
  <c r="AA148" i="8"/>
  <c r="V96" i="9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Y95" i="8"/>
  <c r="Y96" i="8"/>
  <c r="AB95" i="8"/>
  <c r="AC95" i="8"/>
  <c r="AC96" i="8"/>
  <c r="AD96" i="8"/>
  <c r="AA95" i="8"/>
  <c r="AD95" i="8"/>
  <c r="AA96" i="8"/>
  <c r="Z96" i="8"/>
  <c r="AE95" i="8"/>
  <c r="AB96" i="8"/>
  <c r="Z95" i="8"/>
  <c r="AE96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J11" i="10" l="1"/>
  <c r="I11" i="10"/>
  <c r="H11" i="10"/>
  <c r="V11" i="10"/>
  <c r="V12" i="10" s="1"/>
  <c r="U11" i="10"/>
  <c r="T11" i="10"/>
  <c r="S11" i="10"/>
  <c r="R11" i="10"/>
  <c r="R12" i="10" s="1"/>
  <c r="Q11" i="10"/>
  <c r="Q12" i="10" s="1"/>
  <c r="P11" i="10"/>
  <c r="P12" i="10" s="1"/>
  <c r="O11" i="10"/>
  <c r="O12" i="10" s="1"/>
  <c r="N11" i="10"/>
  <c r="N12" i="10" s="1"/>
  <c r="M11" i="10"/>
  <c r="M12" i="10" s="1"/>
  <c r="K11" i="10"/>
  <c r="O87" i="9"/>
  <c r="Q87" i="9"/>
  <c r="Z87" i="9" l="1"/>
  <c r="X87" i="9"/>
  <c r="X88" i="9" s="1"/>
  <c r="X97" i="9" s="1"/>
  <c r="U66" i="8"/>
  <c r="P87" i="9"/>
  <c r="R11" i="9" l="1"/>
  <c r="R12" i="9"/>
  <c r="Y87" i="9"/>
  <c r="Y88" i="9" s="1"/>
  <c r="Y97" i="9" s="1"/>
  <c r="Z88" i="9"/>
  <c r="Z97" i="9" s="1"/>
  <c r="Z11" i="8" l="1"/>
  <c r="Z14" i="8" s="1"/>
  <c r="J54" i="8"/>
  <c r="J66" i="8" s="1"/>
  <c r="I54" i="8"/>
  <c r="I66" i="8" s="1"/>
  <c r="H54" i="8"/>
  <c r="H66" i="8" s="1"/>
  <c r="K54" i="8"/>
  <c r="K66" i="8" s="1"/>
  <c r="AA11" i="8" l="1"/>
  <c r="AA14" i="8" s="1"/>
  <c r="AA54" i="8"/>
  <c r="AA66" i="8" s="1"/>
  <c r="AA88" i="8"/>
  <c r="Y54" i="8"/>
  <c r="Y66" i="8" s="1"/>
  <c r="AA81" i="8"/>
  <c r="Z81" i="8"/>
  <c r="Z54" i="8"/>
  <c r="Z66" i="8" s="1"/>
  <c r="Y88" i="8"/>
  <c r="Y11" i="8"/>
  <c r="Y14" i="8" s="1"/>
  <c r="Y81" i="8"/>
  <c r="Z88" i="8"/>
  <c r="AC54" i="8"/>
  <c r="AC66" i="8" s="1"/>
  <c r="AC11" i="8"/>
  <c r="AC14" i="8" s="1"/>
  <c r="AC20" i="8" s="1"/>
  <c r="AC81" i="8"/>
  <c r="AD81" i="8"/>
  <c r="AB11" i="8"/>
  <c r="AB14" i="8" s="1"/>
  <c r="AB20" i="8" s="1"/>
  <c r="AD11" i="8"/>
  <c r="AD14" i="8" s="1"/>
  <c r="AD20" i="8" s="1"/>
  <c r="AD54" i="8"/>
  <c r="AD66" i="8" s="1"/>
  <c r="AH14" i="8" l="1"/>
  <c r="AH11" i="8"/>
  <c r="Z20" i="8"/>
  <c r="AA11" i="10"/>
  <c r="AA12" i="10" s="1"/>
  <c r="AB11" i="10"/>
  <c r="AB12" i="10" s="1"/>
  <c r="AA89" i="8"/>
  <c r="AA91" i="8" s="1"/>
  <c r="Y89" i="8"/>
  <c r="Y91" i="8" s="1"/>
  <c r="Z89" i="8"/>
  <c r="Z91" i="8" s="1"/>
  <c r="Z15" i="8"/>
  <c r="AC89" i="8"/>
  <c r="AC91" i="8" s="1"/>
  <c r="AD89" i="8"/>
  <c r="AD91" i="8" s="1"/>
  <c r="Z24" i="8" l="1"/>
  <c r="Y20" i="8"/>
  <c r="Y21" i="8" s="1"/>
  <c r="AA20" i="8"/>
  <c r="Z21" i="8"/>
  <c r="AC15" i="8"/>
  <c r="AB15" i="8"/>
  <c r="AH15" i="8" s="1"/>
  <c r="Y15" i="8"/>
  <c r="AD15" i="8"/>
  <c r="AA15" i="8"/>
  <c r="Z17" i="9"/>
  <c r="Y11" i="10"/>
  <c r="Y12" i="10" s="1"/>
  <c r="Z11" i="10"/>
  <c r="Z12" i="10" s="1"/>
  <c r="AC11" i="10"/>
  <c r="AC12" i="10" s="1"/>
  <c r="AE11" i="10"/>
  <c r="AE12" i="10" s="1"/>
  <c r="Z28" i="8" l="1"/>
  <c r="Z32" i="8" s="1"/>
  <c r="Z99" i="8" s="1"/>
  <c r="Z25" i="8"/>
  <c r="AD21" i="8"/>
  <c r="AC24" i="8"/>
  <c r="AC28" i="8" s="1"/>
  <c r="AC32" i="8" s="1"/>
  <c r="AA24" i="8"/>
  <c r="AB24" i="8"/>
  <c r="AB28" i="8" s="1"/>
  <c r="AB32" i="8" s="1"/>
  <c r="AH20" i="8"/>
  <c r="AC21" i="8"/>
  <c r="AB21" i="8"/>
  <c r="AH21" i="8" s="1"/>
  <c r="AA21" i="8"/>
  <c r="Y24" i="8"/>
  <c r="AD24" i="8"/>
  <c r="AD28" i="8" s="1"/>
  <c r="AD32" i="8" s="1"/>
  <c r="Z94" i="9"/>
  <c r="Z25" i="9"/>
  <c r="AD11" i="10"/>
  <c r="AG11" i="10"/>
  <c r="Z39" i="8" l="1"/>
  <c r="Z33" i="8"/>
  <c r="Z29" i="8"/>
  <c r="Z36" i="8"/>
  <c r="Y28" i="8"/>
  <c r="Y32" i="8" s="1"/>
  <c r="Y99" i="8" s="1"/>
  <c r="AA28" i="8"/>
  <c r="AA32" i="8" s="1"/>
  <c r="AA36" i="8" s="1"/>
  <c r="AB99" i="8"/>
  <c r="AB119" i="8" s="1"/>
  <c r="AD33" i="8"/>
  <c r="AD99" i="8"/>
  <c r="AD119" i="8" s="1"/>
  <c r="AC33" i="8"/>
  <c r="AC99" i="8"/>
  <c r="AC119" i="8" s="1"/>
  <c r="AC25" i="8"/>
  <c r="AA25" i="8"/>
  <c r="AB25" i="8"/>
  <c r="AH25" i="8" s="1"/>
  <c r="AH24" i="8"/>
  <c r="Y25" i="8"/>
  <c r="AD25" i="8"/>
  <c r="Z30" i="9"/>
  <c r="AC29" i="8"/>
  <c r="AD29" i="8"/>
  <c r="Y33" i="8" l="1"/>
  <c r="Y36" i="8"/>
  <c r="AA29" i="8"/>
  <c r="Y39" i="8"/>
  <c r="Y29" i="8"/>
  <c r="AA39" i="8"/>
  <c r="AA33" i="8"/>
  <c r="AA99" i="8"/>
  <c r="AB33" i="8"/>
  <c r="AH33" i="8" s="1"/>
  <c r="AH32" i="8"/>
  <c r="AD39" i="8"/>
  <c r="AD36" i="8"/>
  <c r="AB39" i="8"/>
  <c r="AH39" i="8" s="1"/>
  <c r="AB36" i="8"/>
  <c r="AH36" i="8" s="1"/>
  <c r="AC39" i="8"/>
  <c r="AC36" i="8"/>
  <c r="AH28" i="8"/>
  <c r="AB29" i="8"/>
  <c r="AH29" i="8" s="1"/>
  <c r="Z96" i="9" a="1"/>
  <c r="Z96" i="9" s="1"/>
  <c r="Z36" i="9"/>
  <c r="Z95" i="9" a="1"/>
  <c r="Z95" i="9" s="1"/>
  <c r="Z92" i="9"/>
  <c r="Z93" i="9"/>
  <c r="AB81" i="8" l="1"/>
  <c r="AH81" i="8" s="1"/>
  <c r="S11" i="8" l="1"/>
  <c r="S14" i="8" s="1"/>
  <c r="S20" i="8" s="1"/>
  <c r="K11" i="8"/>
  <c r="K14" i="8" s="1"/>
  <c r="K20" i="8" s="1"/>
  <c r="J11" i="8"/>
  <c r="J14" i="8" s="1"/>
  <c r="J20" i="8" s="1"/>
  <c r="I11" i="8"/>
  <c r="I14" i="8" s="1"/>
  <c r="I20" i="8" s="1"/>
  <c r="H11" i="8"/>
  <c r="H14" i="8" s="1"/>
  <c r="H20" i="8" s="1"/>
  <c r="K88" i="8"/>
  <c r="F87" i="9" s="1"/>
  <c r="J88" i="8"/>
  <c r="E87" i="9" s="1"/>
  <c r="I88" i="8"/>
  <c r="D87" i="9" s="1"/>
  <c r="H88" i="8"/>
  <c r="C87" i="9" s="1"/>
  <c r="V81" i="8"/>
  <c r="Q69" i="9" s="1"/>
  <c r="Z69" i="9" s="1"/>
  <c r="T81" i="8"/>
  <c r="O69" i="9" s="1"/>
  <c r="X69" i="9" s="1"/>
  <c r="AE11" i="8"/>
  <c r="AE14" i="8" s="1"/>
  <c r="AE20" i="8" s="1"/>
  <c r="P88" i="9"/>
  <c r="P97" i="9" s="1"/>
  <c r="H88" i="9"/>
  <c r="H97" i="9" s="1"/>
  <c r="AD12" i="10" l="1"/>
  <c r="I12" i="10"/>
  <c r="S12" i="10"/>
  <c r="K12" i="10"/>
  <c r="J12" i="10"/>
  <c r="H12" i="10"/>
  <c r="H81" i="8"/>
  <c r="C69" i="9" s="1"/>
  <c r="J81" i="8"/>
  <c r="E69" i="9" s="1"/>
  <c r="I81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U81" i="8"/>
  <c r="P69" i="9" s="1"/>
  <c r="Y69" i="9" s="1"/>
  <c r="AE81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B89" i="8" l="1"/>
  <c r="AH89" i="8" s="1"/>
  <c r="AH88" i="8"/>
  <c r="I89" i="8"/>
  <c r="I91" i="8" s="1"/>
  <c r="V24" i="8"/>
  <c r="V28" i="8" s="1"/>
  <c r="K24" i="8"/>
  <c r="K28" i="8" s="1"/>
  <c r="S21" i="8"/>
  <c r="H24" i="8"/>
  <c r="H28" i="8" s="1"/>
  <c r="I24" i="8"/>
  <c r="I28" i="8" s="1"/>
  <c r="J21" i="8"/>
  <c r="H89" i="8"/>
  <c r="H91" i="8" s="1"/>
  <c r="S15" i="8"/>
  <c r="H15" i="8"/>
  <c r="O88" i="9"/>
  <c r="O97" i="9" s="1"/>
  <c r="T89" i="8"/>
  <c r="T91" i="8" s="1"/>
  <c r="AB54" i="8"/>
  <c r="AH54" i="8" s="1"/>
  <c r="V89" i="8"/>
  <c r="V91" i="8" s="1"/>
  <c r="J89" i="8"/>
  <c r="J91" i="8" s="1"/>
  <c r="K89" i="8"/>
  <c r="K91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E54" i="8"/>
  <c r="AE66" i="8" s="1"/>
  <c r="J15" i="8"/>
  <c r="K15" i="8"/>
  <c r="I15" i="8"/>
  <c r="V1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R92" i="9" l="1"/>
  <c r="I32" i="8"/>
  <c r="K32" i="8"/>
  <c r="H32" i="8"/>
  <c r="V32" i="8"/>
  <c r="M17" i="9"/>
  <c r="M25" i="9"/>
  <c r="V21" i="8"/>
  <c r="K21" i="8"/>
  <c r="H21" i="8"/>
  <c r="J24" i="8"/>
  <c r="J28" i="8" s="1"/>
  <c r="S24" i="8"/>
  <c r="S28" i="8" s="1"/>
  <c r="I21" i="8"/>
  <c r="AB66" i="8"/>
  <c r="AE24" i="8"/>
  <c r="AE28" i="8" s="1"/>
  <c r="AE32" i="8" s="1"/>
  <c r="I25" i="8"/>
  <c r="V25" i="8"/>
  <c r="AE21" i="8"/>
  <c r="K25" i="8"/>
  <c r="AE89" i="8"/>
  <c r="U89" i="8"/>
  <c r="U91" i="8" s="1"/>
  <c r="O17" i="9"/>
  <c r="K17" i="9"/>
  <c r="K29" i="8"/>
  <c r="H25" i="8"/>
  <c r="AE1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V36" i="8" l="1"/>
  <c r="V99" i="8"/>
  <c r="V119" i="8" s="1"/>
  <c r="K36" i="8"/>
  <c r="K99" i="8"/>
  <c r="K119" i="8" s="1"/>
  <c r="H33" i="8"/>
  <c r="H99" i="8"/>
  <c r="H119" i="8" s="1"/>
  <c r="I33" i="8"/>
  <c r="I99" i="8"/>
  <c r="I119" i="8" s="1"/>
  <c r="K39" i="8"/>
  <c r="K33" i="8"/>
  <c r="I36" i="8"/>
  <c r="I39" i="8"/>
  <c r="V39" i="8"/>
  <c r="H39" i="8"/>
  <c r="V33" i="8"/>
  <c r="AE36" i="8"/>
  <c r="AE99" i="8"/>
  <c r="AE119" i="8" s="1"/>
  <c r="H36" i="8"/>
  <c r="J32" i="8"/>
  <c r="S32" i="8"/>
  <c r="AB91" i="8"/>
  <c r="AH66" i="8"/>
  <c r="J25" i="8"/>
  <c r="J29" i="8"/>
  <c r="S25" i="8"/>
  <c r="I29" i="8"/>
  <c r="V29" i="8"/>
  <c r="H29" i="8"/>
  <c r="AE91" i="8"/>
  <c r="AE25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K148" i="8" l="1"/>
  <c r="V148" i="8"/>
  <c r="S33" i="8"/>
  <c r="S99" i="8"/>
  <c r="S119" i="8" s="1"/>
  <c r="J36" i="8"/>
  <c r="J99" i="8"/>
  <c r="J119" i="8" s="1"/>
  <c r="AE39" i="8"/>
  <c r="AE33" i="8"/>
  <c r="J39" i="8"/>
  <c r="S39" i="8"/>
  <c r="J33" i="8"/>
  <c r="S36" i="8"/>
  <c r="S29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I148" i="8"/>
  <c r="H148" i="8"/>
  <c r="AA119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S148" i="8" l="1"/>
  <c r="AB148" i="8" s="1"/>
  <c r="J148" i="8"/>
  <c r="Y119" i="8"/>
  <c r="Z119" i="8"/>
  <c r="AE29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H144" i="8" l="1"/>
  <c r="H149" i="8" s="1"/>
  <c r="H151" i="8" s="1"/>
  <c r="I142" i="8" l="1"/>
  <c r="I144" i="8" s="1"/>
  <c r="I149" i="8" s="1"/>
  <c r="I151" i="8" s="1"/>
  <c r="J142" i="8" l="1"/>
  <c r="J144" i="8" l="1"/>
  <c r="Y142" i="8"/>
  <c r="J149" i="8" l="1"/>
  <c r="J151" i="8" s="1"/>
  <c r="K142" i="8" l="1"/>
  <c r="K144" i="8" s="1"/>
  <c r="K149" i="8" s="1"/>
  <c r="K151" i="8" s="1"/>
  <c r="M144" i="8"/>
  <c r="M149" i="8" s="1"/>
  <c r="M151" i="8" s="1"/>
  <c r="N142" i="8" l="1"/>
  <c r="N144" i="8" s="1"/>
  <c r="N149" i="8" s="1"/>
  <c r="N151" i="8" s="1"/>
  <c r="Z142" i="8"/>
  <c r="O142" i="8" l="1"/>
  <c r="O144" i="8" s="1"/>
  <c r="O149" i="8" s="1"/>
  <c r="O151" i="8" s="1"/>
  <c r="AA142" i="8"/>
  <c r="AB142" i="8" l="1"/>
  <c r="P142" i="8"/>
  <c r="P144" i="8" s="1"/>
  <c r="P149" i="8" s="1"/>
  <c r="P151" i="8" s="1"/>
  <c r="AC142" i="8" l="1"/>
  <c r="Q142" i="8"/>
  <c r="Q144" i="8" s="1"/>
  <c r="Q149" i="8" s="1"/>
  <c r="Q151" i="8" s="1"/>
  <c r="AD142" i="8" l="1"/>
  <c r="Z144" i="8"/>
  <c r="Z149" i="8" s="1"/>
  <c r="Z151" i="8" s="1"/>
  <c r="R142" i="8"/>
  <c r="R144" i="8" s="1"/>
  <c r="R149" i="8" s="1"/>
  <c r="R151" i="8" s="1"/>
  <c r="AE142" i="8" l="1"/>
  <c r="AA144" i="8"/>
  <c r="AA149" i="8" s="1"/>
  <c r="AA151" i="8" s="1"/>
  <c r="S142" i="8"/>
  <c r="S144" i="8" s="1"/>
  <c r="S149" i="8" s="1"/>
  <c r="S151" i="8" s="1"/>
  <c r="AF142" i="8" l="1"/>
  <c r="AB144" i="8"/>
  <c r="AB149" i="8" s="1"/>
  <c r="AB151" i="8" s="1"/>
  <c r="T142" i="8"/>
  <c r="T144" i="8" s="1"/>
  <c r="U11" i="8" l="1"/>
  <c r="U14" i="8" s="1"/>
  <c r="U20" i="8" s="1"/>
  <c r="U12" i="10" l="1"/>
  <c r="U24" i="8" l="1"/>
  <c r="U28" i="8" s="1"/>
  <c r="U15" i="8"/>
  <c r="U32" i="8" l="1"/>
  <c r="U21" i="8"/>
  <c r="U25" i="8"/>
  <c r="U33" i="8" l="1"/>
  <c r="U99" i="8"/>
  <c r="U119" i="8" s="1"/>
  <c r="U36" i="8"/>
  <c r="U39" i="8"/>
  <c r="U29" i="8"/>
  <c r="U148" i="8" l="1"/>
  <c r="T11" i="8"/>
  <c r="T14" i="8" s="1"/>
  <c r="T20" i="8" s="1"/>
  <c r="T12" i="10" l="1"/>
  <c r="T15" i="8" l="1"/>
  <c r="T24" i="8"/>
  <c r="T28" i="8" s="1"/>
  <c r="T32" i="8" l="1"/>
  <c r="T21" i="8"/>
  <c r="T25" i="8"/>
  <c r="T36" i="8" l="1"/>
  <c r="T99" i="8"/>
  <c r="T119" i="8" s="1"/>
  <c r="T39" i="8"/>
  <c r="T33" i="8"/>
  <c r="T29" i="8"/>
  <c r="AH119" i="8" l="1"/>
  <c r="AH99" i="8"/>
  <c r="T148" i="8"/>
  <c r="T149" i="8" l="1"/>
  <c r="T151" i="8" s="1"/>
  <c r="AF148" i="8"/>
  <c r="AE148" i="8"/>
  <c r="AD148" i="8"/>
  <c r="AC148" i="8"/>
  <c r="AC144" i="8"/>
  <c r="U142" i="8" l="1"/>
  <c r="U144" i="8" s="1"/>
  <c r="U149" i="8" s="1"/>
  <c r="U151" i="8" s="1"/>
  <c r="AC149" i="8"/>
  <c r="AC151" i="8" s="1"/>
  <c r="AD144" i="8"/>
  <c r="AD149" i="8" s="1"/>
  <c r="AD151" i="8" s="1"/>
  <c r="V142" i="8" l="1"/>
  <c r="V144" i="8" s="1"/>
  <c r="V149" i="8" s="1"/>
  <c r="V151" i="8" s="1"/>
  <c r="AE144" i="8"/>
  <c r="AE149" i="8" s="1"/>
  <c r="AE151" i="8" s="1"/>
  <c r="Y144" i="8"/>
  <c r="Y149" i="8" s="1"/>
  <c r="Y151" i="8" s="1"/>
  <c r="W142" i="8" l="1"/>
  <c r="W144" i="8" s="1"/>
  <c r="W149" i="8" s="1"/>
  <c r="W151" i="8" s="1"/>
  <c r="AF144" i="8"/>
  <c r="AF149" i="8" s="1"/>
  <c r="AF151" i="8" s="1"/>
  <c r="C88" i="9" l="1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<sst xmlns="http://schemas.openxmlformats.org/spreadsheetml/2006/main" count="280" uniqueCount="221">
  <si>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</si>
  <si>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</si>
  <si>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</si>
  <si>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</si>
  <si>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</si>
  <si>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</si>
  <si>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</si>
  <si>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</si>
  <si>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</si>
  <si>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</si>
  <si>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</si>
  <si>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</si>
  <si>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</si>
  <si>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</si>
  <si>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</si>
  <si>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</si>
  <si>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</si>
  <si>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</si>
  <si>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</si>
  <si>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</si>
  <si>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</si>
  <si>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</si>
  <si>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</si>
  <si>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</si>
  <si>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</si>
  <si>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</si>
  <si>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</si>
  <si>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</si>
  <si>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</si>
  <si>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</si>
  <si>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</si>
  <si>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</si>
  <si>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</si>
  <si>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</si>
  <si>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</si>
  <si>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</si>
  <si>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</si>
  <si>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</si>
  <si>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</si>
  <si>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</si>
  <si>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</si>
  <si>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</si>
  <si>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</si>
  <si>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</si>
  <si>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</si>
  <si>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</si>
  <si>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</si>
  <si>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</si>
  <si>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</si>
  <si>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</si>
  <si>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</si>
  <si>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</si>
  <si>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</si>
  <si>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</si>
  <si>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</si>
  <si>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</si>
  <si>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</si>
  <si>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</si>
  <si>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</si>
  <si>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</si>
  <si>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</si>
  <si>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</si>
  <si>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</si>
  <si>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</si>
  <si>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</si>
  <si>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</si>
  <si>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</si>
  <si>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</si>
  <si>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</si>
  <si>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</si>
  <si>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</si>
  <si>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</si>
  <si>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</si>
  <si>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</si>
  <si>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</si>
  <si>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</si>
  <si>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</si>
  <si>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</si>
  <si>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</si>
  <si>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</si>
  <si>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</si>
  <si>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</si>
  <si>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</si>
  <si>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</si>
  <si>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</si>
  <si>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</si>
  <si>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</si>
  <si>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</si>
  <si>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</si>
  <si>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</si>
  <si>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</si>
  <si>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</si>
  <si>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</si>
  <si>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</si>
  <si>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</si>
  <si>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</si>
  <si>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</si>
  <si>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</si>
  <si>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$ in thousands except per share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</si>
  <si>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</si>
  <si>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</si>
  <si>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</si>
  <si>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</si>
  <si>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</si>
  <si>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</si>
  <si>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</si>
  <si>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</si>
  <si>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Income before income taxes and equity income</t>
  </si>
  <si>
    <t>Margin (%)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</si>
  <si>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</si>
  <si>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</si>
  <si>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</si>
  <si>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</si>
  <si>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</si>
  <si>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</si>
  <si>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</si>
  <si>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</si>
  <si>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</si>
  <si>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</si>
  <si>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</si>
  <si>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</si>
  <si>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</si>
  <si>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</si>
  <si>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</si>
  <si>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</si>
  <si>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</si>
  <si>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</si>
  <si>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</si>
  <si>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</si>
  <si>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</si>
  <si>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</si>
  <si>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</si>
  <si>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</si>
  <si>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</si>
  <si>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</si>
  <si>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</si>
  <si>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</si>
  <si>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</si>
  <si>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</si>
  <si>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</si>
  <si>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</si>
  <si>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</si>
  <si>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Interest Income / (expense)</t>
  </si>
  <si>
    <t>Profit from investments in associates</t>
  </si>
  <si>
    <t>Common Equity</t>
  </si>
  <si>
    <t>ASML Holding NV. (NASDAQ: ASML)</t>
  </si>
  <si>
    <t>Cash and cash equivalents</t>
  </si>
  <si>
    <t>Short-term investments</t>
  </si>
  <si>
    <t>Accounts receivable, net</t>
  </si>
  <si>
    <t>Finance receivables, net</t>
  </si>
  <si>
    <t>Current tax assets</t>
  </si>
  <si>
    <t>Contract assets</t>
  </si>
  <si>
    <t>Inventories, net</t>
  </si>
  <si>
    <t>Loans receivable</t>
  </si>
  <si>
    <t>Other assets</t>
  </si>
  <si>
    <t>Deferred tax assets</t>
  </si>
  <si>
    <t>Equity method investments</t>
  </si>
  <si>
    <t>Other intangible assets, net</t>
  </si>
  <si>
    <t>Property, plant and equipment, net</t>
  </si>
  <si>
    <t>Right-of-use assets</t>
  </si>
  <si>
    <t>Long-term debt</t>
  </si>
  <si>
    <t>Contract liabilities</t>
  </si>
  <si>
    <t>Accrued and other liabilities</t>
  </si>
  <si>
    <t>Deferred and other income tax liabilities</t>
  </si>
  <si>
    <t>Accounts payable</t>
  </si>
  <si>
    <t>Current tax liabilities</t>
  </si>
  <si>
    <t>Current portion of long-term debt</t>
  </si>
  <si>
    <t>Share premium</t>
  </si>
  <si>
    <t>Treasury shares at cost</t>
  </si>
  <si>
    <t>Retained earnings</t>
  </si>
  <si>
    <t>Accumulated other comprehensive income</t>
  </si>
  <si>
    <t>12/31/2022</t>
  </si>
  <si>
    <t>Research and development (R&amp;D) costs</t>
  </si>
  <si>
    <t>Selling, general and administrative (SG&amp;A) costs</t>
  </si>
  <si>
    <t xml:space="preserve">Income tax provision </t>
  </si>
  <si>
    <t>Depreciation and amortization</t>
  </si>
  <si>
    <t>Impairment and loss on disposal</t>
  </si>
  <si>
    <t>Share-based compensation expense</t>
  </si>
  <si>
    <t>Gain on sale of subsidiaries</t>
  </si>
  <si>
    <t>Inventory reserves</t>
  </si>
  <si>
    <t>Deferred tax expense (benefit)</t>
  </si>
  <si>
    <t xml:space="preserve">Inventories </t>
  </si>
  <si>
    <t>Current tax assets and liabilities</t>
  </si>
  <si>
    <t>Contract assets and liabilities</t>
  </si>
  <si>
    <t>Purchase of property, plant and equipment</t>
  </si>
  <si>
    <t>Purchase of intangible assets</t>
  </si>
  <si>
    <t xml:space="preserve">Purchase of short-term investments </t>
  </si>
  <si>
    <t>Maturity of short-term investments</t>
  </si>
  <si>
    <t>Proceeds from sale of subsidiaries (net of cash disposed of)</t>
  </si>
  <si>
    <t>Acquisition of subsidiaries (net of cash acquired)</t>
  </si>
  <si>
    <t>Dividend paid</t>
  </si>
  <si>
    <t>Purchase of treasury shares</t>
  </si>
  <si>
    <t>Net proceeds from issuance of shares</t>
  </si>
  <si>
    <t>Net proceeds from issuance of notes, net of issuance costs</t>
  </si>
  <si>
    <t>Repayment of debt and finance lease obligations</t>
  </si>
  <si>
    <t>12/31/2021</t>
  </si>
  <si>
    <t>12/31/2020</t>
  </si>
  <si>
    <t>Other Income &amp; Expenses</t>
  </si>
  <si>
    <t xml:space="preserve">Purchase of equity investment </t>
  </si>
  <si>
    <t>Cost of Sales</t>
  </si>
  <si>
    <t>Changes in assets and liabilities</t>
  </si>
  <si>
    <t>12/31/2018</t>
  </si>
  <si>
    <t>12/31/2017</t>
  </si>
  <si>
    <t>12/31/2016</t>
  </si>
  <si>
    <t>Net system sales</t>
  </si>
  <si>
    <t>Net service and field option sales</t>
  </si>
  <si>
    <t>12/31/2019</t>
  </si>
  <si>
    <t xml:space="preserve">Other </t>
  </si>
  <si>
    <t>Loans issued and other investments / (Repayment on loans)</t>
  </si>
  <si>
    <t>Other</t>
  </si>
  <si>
    <t>KPIs</t>
  </si>
  <si>
    <t>Human Capital</t>
  </si>
  <si>
    <t xml:space="preserve">Number of payroll employees in FTEs  </t>
  </si>
  <si>
    <t>Number of temporary employees in FTEs</t>
  </si>
  <si>
    <t>Sales of lithography systems (in units)</t>
  </si>
  <si>
    <t>Value of booked systems</t>
  </si>
  <si>
    <t xml:space="preserve">Total payroll employees in FTEs  </t>
  </si>
  <si>
    <t>Total Value of booked systems</t>
  </si>
  <si>
    <t>Total Sales of lithography systems (in units)</t>
  </si>
  <si>
    <t>Net bookings</t>
  </si>
  <si>
    <t>Total Net bookings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</si>
</sst>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  <font>
      <b/>
      <sz val="9"/>
      <color rgb="FF0000CC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7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5" fontId="21" fillId="0" borderId="6" xfId="0" applyNumberFormat="1" applyFont="1" applyBorder="1" applyAlignment="1">
      <alignment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12" xfId="0" applyNumberFormat="1" applyFont="1" applyBorder="1" applyAlignment="1">
      <alignment horizontal="right" vertical="top" wrapText="1"/>
    </xf>
    <xf numFmtId="5" fontId="32" fillId="0" borderId="2" xfId="0" applyNumberFormat="1" applyFont="1" applyBorder="1" applyAlignment="1">
      <alignment horizontal="right" vertical="top" wrapText="1"/>
    </xf>
    <xf numFmtId="41" fontId="11" fillId="8" borderId="0" xfId="0" applyNumberFormat="1" applyFont="1" applyFill="1" applyAlignment="1">
      <alignment horizontal="right" vertical="top" wrapText="1"/>
    </xf>
    <xf numFmtId="41" fontId="6" fillId="8" borderId="0" xfId="0" applyNumberFormat="1" applyFont="1" applyFill="1" applyAlignment="1">
      <alignment horizontal="right" vertical="top" wrapText="1"/>
    </xf>
    <xf numFmtId="5" fontId="32" fillId="3" borderId="2" xfId="0" applyNumberFormat="1" applyFont="1" applyFill="1" applyBorder="1" applyAlignment="1">
      <alignment horizontal="right" vertical="top" wrapText="1"/>
    </xf>
    <xf numFmtId="0" fontId="23" fillId="0" borderId="0" xfId="0" applyFont="1" applyAlignment="1">
      <alignment horizontal="left" indent="2"/>
    </xf>
    <xf numFmtId="41" fontId="31" fillId="0" borderId="0" xfId="0" applyNumberFormat="1" applyFont="1" applyAlignment="1">
      <alignment horizontal="right" vertical="top" wrapText="1"/>
    </xf>
    <xf numFmtId="41" fontId="11" fillId="8" borderId="0" xfId="0" applyNumberFormat="1" applyFont="1" applyFill="1"/>
    <xf numFmtId="41" fontId="6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H172"/>
  <sheetViews>
    <sheetView showGridLines="0" tabSelected="1" topLeftCell="E48" zoomScale="115" zoomScaleNormal="115" workbookViewId="0">
      <selection activeCell="H175" sqref="H175"/>
    </sheetView>
  </sheetViews>
  <sheetFormatPr defaultRowHeight="12" outlineLevelRow="1" outlineLevelCol="2"/>
  <cols>
    <col min="1" max="1" width="1.625" style="5" bestFit="1" customWidth="1"/>
    <col min="2" max="2" width="36.25" style="5" customWidth="1"/>
    <col min="3" max="8" width="9" style="5" customWidth="1" outlineLevel="1"/>
    <col min="9" max="11" width="9" style="5" bestFit="1" customWidth="1"/>
    <col min="12" max="12" width="1.5" style="5" customWidth="1"/>
    <col min="13" max="16" width="8.875" style="5" customWidth="1" outlineLevel="2"/>
    <col min="17" max="18" width="8.875" style="5" customWidth="1" outlineLevel="1"/>
    <col min="19" max="23" width="8.875" style="5" bestFit="1" customWidth="1"/>
    <col min="24" max="24" width="1.5" style="5" customWidth="1"/>
    <col min="25" max="27" width="8.75" style="5" hidden="1" customWidth="1" outlineLevel="1"/>
    <col min="28" max="28" width="9" style="5" bestFit="1" customWidth="1" collapsed="1"/>
    <col min="29" max="31" width="9" style="5" hidden="1" customWidth="1" outlineLevel="1"/>
    <col min="32" max="32" width="9" style="5" bestFit="1" customWidth="1" collapsed="1"/>
    <col min="33" max="33" width="1.25" style="5" customWidth="1"/>
    <col min="34" max="34" width="8" style="5" bestFit="1" customWidth="1"/>
    <col min="35" max="35" width="1.375" style="5" customWidth="1"/>
    <col min="36" max="16384" width="9" style="5"/>
  </cols>
  <sheetData>
    <row r="2" spans="1:34" ht="12.75" customHeight="1">
      <c r="B2" s="1" t="s">
        <v>145</v>
      </c>
      <c r="C2" s="101"/>
      <c r="D2" s="101"/>
      <c r="E2" s="101"/>
      <c r="F2" s="101"/>
      <c r="G2" s="101"/>
      <c r="H2" s="101"/>
      <c r="I2" s="101"/>
      <c r="J2" s="101"/>
      <c r="K2" s="101"/>
      <c r="L2" s="3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3"/>
      <c r="Y2" s="101"/>
      <c r="Z2" s="101"/>
      <c r="AA2" s="101"/>
      <c r="AB2" s="101"/>
      <c r="AC2" s="101"/>
      <c r="AD2" s="101"/>
      <c r="AE2" s="101"/>
      <c r="AF2" s="101"/>
      <c r="AG2" s="3"/>
      <c r="AH2" s="1"/>
    </row>
    <row r="3" spans="1:34" ht="12.75" customHeight="1">
      <c r="B3" s="6" t="s">
        <v>74</v>
      </c>
      <c r="C3" s="7"/>
      <c r="D3" s="7"/>
      <c r="E3" s="7"/>
      <c r="F3" s="7"/>
      <c r="G3" s="7"/>
      <c r="H3" s="7"/>
      <c r="I3" s="7"/>
      <c r="J3" s="7"/>
      <c r="K3" s="7"/>
      <c r="L3" s="3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3"/>
      <c r="Y3" s="4"/>
      <c r="Z3" s="4"/>
      <c r="AA3" s="4"/>
      <c r="AB3" s="4"/>
      <c r="AC3" s="4"/>
      <c r="AD3" s="4"/>
      <c r="AE3" s="4"/>
      <c r="AF3" s="4"/>
      <c r="AG3" s="3"/>
      <c r="AH3" s="1"/>
    </row>
    <row r="4" spans="1:34" ht="12.75" customHeight="1">
      <c r="B4" s="6" t="s">
        <v>98</v>
      </c>
      <c r="C4" s="3"/>
      <c r="D4" s="3"/>
      <c r="E4" s="3"/>
      <c r="F4" s="3"/>
      <c r="G4" s="3"/>
      <c r="H4" s="3"/>
      <c r="I4" s="3"/>
      <c r="J4" s="85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1"/>
    </row>
    <row r="6" spans="1:34" ht="12.75" customHeight="1">
      <c r="A6" s="5" t="s">
        <v>16</v>
      </c>
      <c r="B6" s="1" t="s">
        <v>72</v>
      </c>
      <c r="C6" s="2" t="s">
        <v>0</v>
      </c>
      <c r="D6" s="2"/>
      <c r="E6" s="2"/>
      <c r="F6" s="2"/>
      <c r="G6" s="2"/>
      <c r="H6" s="2" t="s">
        <v>0</v>
      </c>
      <c r="I6" s="2"/>
      <c r="J6" s="2"/>
      <c r="K6" s="2"/>
      <c r="L6" s="3"/>
      <c r="M6" s="2" t="s">
        <v>1</v>
      </c>
      <c r="N6" s="2"/>
      <c r="O6" s="2"/>
      <c r="P6" s="2"/>
      <c r="Q6" s="2"/>
      <c r="R6" s="2"/>
      <c r="S6" s="2" t="s">
        <v>1</v>
      </c>
      <c r="T6" s="2"/>
      <c r="U6" s="2"/>
      <c r="V6" s="2"/>
      <c r="W6" s="2"/>
      <c r="X6" s="3"/>
      <c r="Y6" s="2"/>
      <c r="Z6" s="2"/>
      <c r="AA6" s="2" t="s">
        <v>10</v>
      </c>
      <c r="AB6" s="2" t="s">
        <v>10</v>
      </c>
      <c r="AC6" s="2"/>
      <c r="AD6" s="2"/>
      <c r="AE6" s="2"/>
      <c r="AF6" s="2"/>
      <c r="AG6" s="38"/>
      <c r="AH6" s="154" t="s">
        <v>22</v>
      </c>
    </row>
    <row r="7" spans="1:34" ht="12.75" customHeight="1">
      <c r="B7" s="6" t="s">
        <v>75</v>
      </c>
      <c r="C7" s="7">
        <v>2016</v>
      </c>
      <c r="D7" s="7">
        <v>2017</v>
      </c>
      <c r="E7" s="7">
        <v>2018</v>
      </c>
      <c r="F7" s="7">
        <v>2019</v>
      </c>
      <c r="G7" s="7">
        <v>2020</v>
      </c>
      <c r="H7" s="7">
        <v>2021</v>
      </c>
      <c r="I7" s="7">
        <v>2022</v>
      </c>
      <c r="J7" s="7">
        <v>2023</v>
      </c>
      <c r="K7" s="7">
        <v>2024</v>
      </c>
      <c r="L7" s="3"/>
      <c r="M7" s="4" t="s">
        <v>6</v>
      </c>
      <c r="N7" s="4" t="s">
        <v>7</v>
      </c>
      <c r="O7" s="4" t="s">
        <v>8</v>
      </c>
      <c r="P7" s="4" t="s">
        <v>9</v>
      </c>
      <c r="Q7" s="4" t="s">
        <v>2</v>
      </c>
      <c r="R7" s="4" t="s">
        <v>3</v>
      </c>
      <c r="S7" s="4" t="s">
        <v>4</v>
      </c>
      <c r="T7" s="4" t="s">
        <v>5</v>
      </c>
      <c r="U7" s="4" t="s">
        <v>24</v>
      </c>
      <c r="V7" s="4" t="s">
        <v>25</v>
      </c>
      <c r="W7" s="4" t="s">
        <v>61</v>
      </c>
      <c r="X7" s="3"/>
      <c r="Y7" s="4" t="str">
        <f t="shared" ref="Y7:AF8" si="0">P7</f>
        <v>4Q23</v>
      </c>
      <c r="Z7" s="4" t="str">
        <f t="shared" si="0"/>
        <v>1Q24</v>
      </c>
      <c r="AA7" s="4" t="str">
        <f t="shared" si="0"/>
        <v>2Q24</v>
      </c>
      <c r="AB7" s="4" t="str">
        <f t="shared" si="0"/>
        <v>3Q24</v>
      </c>
      <c r="AC7" s="4" t="str">
        <f t="shared" si="0"/>
        <v>4Q24</v>
      </c>
      <c r="AD7" s="4" t="str">
        <f t="shared" si="0"/>
        <v>1Q25</v>
      </c>
      <c r="AE7" s="4" t="str">
        <f t="shared" si="0"/>
        <v>2Q25</v>
      </c>
      <c r="AF7" s="4" t="str">
        <f t="shared" si="0"/>
        <v>3Q25</v>
      </c>
      <c r="AG7" s="38"/>
      <c r="AH7" s="154"/>
    </row>
    <row r="8" spans="1:34" ht="12.75" customHeight="1">
      <c r="B8" s="6" t="s">
        <v>76</v>
      </c>
      <c r="C8" s="85" t="s">
        <v>203</v>
      </c>
      <c r="D8" s="85" t="s">
        <v>202</v>
      </c>
      <c r="E8" s="85" t="s">
        <v>201</v>
      </c>
      <c r="F8" s="85" t="s">
        <v>206</v>
      </c>
      <c r="G8" s="85" t="s">
        <v>196</v>
      </c>
      <c r="H8" s="85" t="s">
        <v>195</v>
      </c>
      <c r="I8" s="85" t="s">
        <v>171</v>
      </c>
      <c r="J8" s="85">
        <v>45291</v>
      </c>
      <c r="K8" s="85">
        <v>45657</v>
      </c>
      <c r="L8" s="3"/>
      <c r="M8" s="3">
        <f t="shared" ref="M8:U8" si="1">N8-91</f>
        <v>45018</v>
      </c>
      <c r="N8" s="3">
        <f t="shared" si="1"/>
        <v>45109</v>
      </c>
      <c r="O8" s="3">
        <f t="shared" si="1"/>
        <v>45200</v>
      </c>
      <c r="P8" s="3">
        <f t="shared" si="1"/>
        <v>45291</v>
      </c>
      <c r="Q8" s="3">
        <f t="shared" si="1"/>
        <v>45382</v>
      </c>
      <c r="R8" s="3">
        <f t="shared" si="1"/>
        <v>45473</v>
      </c>
      <c r="S8" s="3">
        <f t="shared" si="1"/>
        <v>45564</v>
      </c>
      <c r="T8" s="3">
        <f t="shared" si="1"/>
        <v>45655</v>
      </c>
      <c r="U8" s="3">
        <f t="shared" si="1"/>
        <v>45746</v>
      </c>
      <c r="V8" s="3">
        <f>W8-91</f>
        <v>45837</v>
      </c>
      <c r="W8" s="3">
        <v>45928</v>
      </c>
      <c r="X8" s="3"/>
      <c r="Y8" s="3">
        <f t="shared" si="0"/>
        <v>45291</v>
      </c>
      <c r="Z8" s="3">
        <f t="shared" si="0"/>
        <v>45382</v>
      </c>
      <c r="AA8" s="3">
        <f t="shared" si="0"/>
        <v>45473</v>
      </c>
      <c r="AB8" s="3">
        <f t="shared" si="0"/>
        <v>45564</v>
      </c>
      <c r="AC8" s="3">
        <f t="shared" si="0"/>
        <v>45655</v>
      </c>
      <c r="AD8" s="3">
        <f t="shared" si="0"/>
        <v>45746</v>
      </c>
      <c r="AE8" s="3">
        <f t="shared" si="0"/>
        <v>45837</v>
      </c>
      <c r="AF8" s="3">
        <f t="shared" si="0"/>
        <v>45928</v>
      </c>
      <c r="AG8" s="38"/>
      <c r="AH8" s="154"/>
    </row>
    <row r="9" spans="1:34" ht="5.0999999999999996" customHeight="1">
      <c r="AH9" s="100"/>
    </row>
    <row r="10" spans="1:34" ht="12.75" customHeight="1">
      <c r="B10" s="9" t="s">
        <v>56</v>
      </c>
      <c r="C10" s="95">
        <v>6875.1</v>
      </c>
      <c r="D10" s="95">
        <v>8962.7000000000007</v>
      </c>
      <c r="E10" s="95">
        <v>10944</v>
      </c>
      <c r="F10" s="95">
        <v>11820</v>
      </c>
      <c r="G10" s="95">
        <v>13978.5</v>
      </c>
      <c r="H10" s="95">
        <v>18611</v>
      </c>
      <c r="I10" s="95">
        <v>21173.4</v>
      </c>
      <c r="J10" s="95">
        <v>27558.5</v>
      </c>
      <c r="K10" s="95">
        <v>28262.9</v>
      </c>
      <c r="L10" s="11"/>
      <c r="M10" s="95">
        <v>6746.2</v>
      </c>
      <c r="N10" s="95">
        <v>6902.3</v>
      </c>
      <c r="O10" s="95">
        <v>6673</v>
      </c>
      <c r="P10" s="32">
        <v>7237</v>
      </c>
      <c r="Q10" s="95">
        <v>5290</v>
      </c>
      <c r="R10" s="95">
        <v>6242.8</v>
      </c>
      <c r="S10" s="95">
        <v>7467.3</v>
      </c>
      <c r="T10" s="32">
        <v>9262.7999999999993</v>
      </c>
      <c r="U10" s="82">
        <v>7741.5</v>
      </c>
      <c r="V10" s="82">
        <v>7691.7</v>
      </c>
      <c r="W10" s="82">
        <v>7516</v>
      </c>
      <c r="Y10" s="32">
        <f t="shared" ref="Y10:AF10" si="2">SUM(M10:P10)</f>
        <v>27558.5</v>
      </c>
      <c r="Z10" s="32">
        <f t="shared" si="2"/>
        <v>26102.3</v>
      </c>
      <c r="AA10" s="32">
        <f t="shared" si="2"/>
        <v>25442.799999999999</v>
      </c>
      <c r="AB10" s="32">
        <f t="shared" si="2"/>
        <v>26237.1</v>
      </c>
      <c r="AC10" s="32">
        <f t="shared" si="2"/>
        <v>28262.899999999998</v>
      </c>
      <c r="AD10" s="32">
        <f t="shared" si="2"/>
        <v>30714.400000000001</v>
      </c>
      <c r="AE10" s="32">
        <f t="shared" si="2"/>
        <v>32163.3</v>
      </c>
      <c r="AF10" s="32">
        <f t="shared" si="2"/>
        <v>32212</v>
      </c>
      <c r="AG10" s="40"/>
      <c r="AH10" s="12">
        <f>SUM(AF10/AB10)-1</f>
        <v>0.22772714972310215</v>
      </c>
    </row>
    <row r="11" spans="1:34" ht="12.75" customHeight="1">
      <c r="B11" s="13" t="s">
        <v>12</v>
      </c>
      <c r="C11" s="14">
        <f t="shared" ref="C11" si="3">+SUM(C10:C10)</f>
        <v>6875.1</v>
      </c>
      <c r="D11" s="14">
        <f t="shared" ref="D11:E11" si="4">+SUM(D10:D10)</f>
        <v>8962.7000000000007</v>
      </c>
      <c r="E11" s="14">
        <f t="shared" si="4"/>
        <v>10944</v>
      </c>
      <c r="F11" s="14">
        <f t="shared" ref="F11:G11" si="5">+SUM(F10:F10)</f>
        <v>11820</v>
      </c>
      <c r="G11" s="14">
        <f t="shared" si="5"/>
        <v>13978.5</v>
      </c>
      <c r="H11" s="14">
        <f t="shared" ref="H11:K11" si="6">+SUM(H10:H10)</f>
        <v>18611</v>
      </c>
      <c r="I11" s="14">
        <f t="shared" si="6"/>
        <v>21173.4</v>
      </c>
      <c r="J11" s="14">
        <f t="shared" si="6"/>
        <v>27558.5</v>
      </c>
      <c r="K11" s="14">
        <f t="shared" si="6"/>
        <v>28262.9</v>
      </c>
      <c r="L11" s="11"/>
      <c r="M11" s="14">
        <f t="shared" ref="M11:V11" si="7">+SUM(M10:M10)</f>
        <v>6746.2</v>
      </c>
      <c r="N11" s="14">
        <f t="shared" si="7"/>
        <v>6902.3</v>
      </c>
      <c r="O11" s="14">
        <f t="shared" si="7"/>
        <v>6673</v>
      </c>
      <c r="P11" s="14">
        <f t="shared" si="7"/>
        <v>7237</v>
      </c>
      <c r="Q11" s="14">
        <f t="shared" si="7"/>
        <v>5290</v>
      </c>
      <c r="R11" s="14">
        <f t="shared" si="7"/>
        <v>6242.8</v>
      </c>
      <c r="S11" s="14">
        <f t="shared" si="7"/>
        <v>7467.3</v>
      </c>
      <c r="T11" s="14">
        <f t="shared" si="7"/>
        <v>9262.7999999999993</v>
      </c>
      <c r="U11" s="14">
        <f t="shared" si="7"/>
        <v>7741.5</v>
      </c>
      <c r="V11" s="14">
        <f t="shared" si="7"/>
        <v>7691.7</v>
      </c>
      <c r="W11" s="14">
        <f>+SUM(W10:W10)</f>
        <v>7516</v>
      </c>
      <c r="Y11" s="14">
        <f t="shared" ref="Y11:AE11" si="8">+SUM(Y10:Y10)</f>
        <v>27558.5</v>
      </c>
      <c r="Z11" s="14">
        <f t="shared" si="8"/>
        <v>26102.3</v>
      </c>
      <c r="AA11" s="14">
        <f t="shared" si="8"/>
        <v>25442.799999999999</v>
      </c>
      <c r="AB11" s="14">
        <f t="shared" si="8"/>
        <v>26237.1</v>
      </c>
      <c r="AC11" s="14">
        <f t="shared" si="8"/>
        <v>28262.899999999998</v>
      </c>
      <c r="AD11" s="14">
        <f t="shared" si="8"/>
        <v>30714.400000000001</v>
      </c>
      <c r="AE11" s="14">
        <f t="shared" si="8"/>
        <v>32163.3</v>
      </c>
      <c r="AF11" s="14">
        <f>+SUM(AF10:AF10)</f>
        <v>32212</v>
      </c>
      <c r="AG11" s="40"/>
      <c r="AH11" s="15">
        <f>SUM(AF11/AB11)-1</f>
        <v>0.22772714972310215</v>
      </c>
    </row>
    <row r="12" spans="1:34" s="20" customFormat="1" ht="5.0999999999999996" customHeight="1">
      <c r="B12" s="18"/>
      <c r="C12" s="19"/>
      <c r="D12" s="19"/>
      <c r="E12" s="19"/>
      <c r="F12" s="19"/>
      <c r="G12" s="19"/>
      <c r="H12" s="19"/>
      <c r="I12" s="19"/>
      <c r="J12" s="19"/>
      <c r="K12" s="19"/>
      <c r="M12" s="21"/>
      <c r="N12" s="21"/>
      <c r="O12" s="21"/>
      <c r="P12" s="21"/>
      <c r="Q12" s="21"/>
      <c r="R12" s="21"/>
      <c r="S12" s="21"/>
      <c r="T12" s="21"/>
      <c r="U12" s="22"/>
      <c r="V12" s="21"/>
      <c r="W12" s="21"/>
      <c r="AH12" s="75"/>
    </row>
    <row r="13" spans="1:34" ht="12.75" customHeight="1">
      <c r="B13" s="9" t="s">
        <v>199</v>
      </c>
      <c r="C13" s="82">
        <v>-3729.8</v>
      </c>
      <c r="D13" s="82">
        <v>-4942.5</v>
      </c>
      <c r="E13" s="82">
        <v>-5914.8</v>
      </c>
      <c r="F13" s="82">
        <f>-4676.2-1864</f>
        <v>-6540.2</v>
      </c>
      <c r="G13" s="82">
        <f>-5169.3-2012</f>
        <v>-7181.3</v>
      </c>
      <c r="H13" s="82">
        <f>-6482.9-2319.1</f>
        <v>-8802</v>
      </c>
      <c r="I13" s="82">
        <f>-7582.3-2891</f>
        <v>-10473.299999999999</v>
      </c>
      <c r="J13" s="82">
        <f>-10151-3271.4</f>
        <v>-13422.4</v>
      </c>
      <c r="K13" s="82">
        <f>-10406.9-3364</f>
        <v>-13770.9</v>
      </c>
      <c r="L13" s="24"/>
      <c r="M13" s="82">
        <v>-3333</v>
      </c>
      <c r="N13" s="82">
        <v>-3358.3</v>
      </c>
      <c r="O13" s="82">
        <v>-3211.4</v>
      </c>
      <c r="P13" s="32">
        <v>-3519.7</v>
      </c>
      <c r="Q13" s="82">
        <v>-2593.4</v>
      </c>
      <c r="R13" s="82">
        <v>-3030.6</v>
      </c>
      <c r="S13" s="82">
        <v>-3673.9</v>
      </c>
      <c r="T13" s="32">
        <v>-4473</v>
      </c>
      <c r="U13" s="82">
        <v>-3561.8</v>
      </c>
      <c r="V13" s="82">
        <v>-3562.2</v>
      </c>
      <c r="W13" s="82">
        <v>-3635.7</v>
      </c>
      <c r="Y13" s="32">
        <f t="shared" ref="Y13:AF13" si="9">SUM(M13:P13)</f>
        <v>-13422.400000000001</v>
      </c>
      <c r="Z13" s="32">
        <f t="shared" si="9"/>
        <v>-12682.800000000001</v>
      </c>
      <c r="AA13" s="32">
        <f t="shared" si="9"/>
        <v>-12355.1</v>
      </c>
      <c r="AB13" s="32">
        <f t="shared" si="9"/>
        <v>-12817.6</v>
      </c>
      <c r="AC13" s="32">
        <f t="shared" si="9"/>
        <v>-13770.9</v>
      </c>
      <c r="AD13" s="32">
        <f t="shared" si="9"/>
        <v>-14739.3</v>
      </c>
      <c r="AE13" s="32">
        <f t="shared" si="9"/>
        <v>-15270.900000000001</v>
      </c>
      <c r="AF13" s="32">
        <f t="shared" si="9"/>
        <v>-15232.7</v>
      </c>
      <c r="AG13" s="11"/>
      <c r="AH13" s="12">
        <f t="shared" ref="AH13" si="10">SUM(AF13/AB13)-1</f>
        <v>0.18842060916240166</v>
      </c>
    </row>
    <row r="14" spans="1:34" ht="12.75" customHeight="1">
      <c r="B14" s="25" t="s">
        <v>20</v>
      </c>
      <c r="C14" s="26">
        <f>+SUM(C11+SUM(C13:C13))</f>
        <v>3145.3</v>
      </c>
      <c r="D14" s="26">
        <f>+SUM(D11+SUM(D13:D13))</f>
        <v>4020.2000000000007</v>
      </c>
      <c r="E14" s="26">
        <f>+SUM(E11+SUM(E13:E13))</f>
        <v>5029.2</v>
      </c>
      <c r="F14" s="26">
        <f>+SUM(F11+SUM(F13:F13))</f>
        <v>5279.8</v>
      </c>
      <c r="G14" s="26">
        <f>+SUM(G11+SUM(G13:G13))</f>
        <v>6797.2</v>
      </c>
      <c r="H14" s="26">
        <f>+SUM(H11+SUM(H13:H13))</f>
        <v>9809</v>
      </c>
      <c r="I14" s="26">
        <f>+SUM(I11+SUM(I13:I13))</f>
        <v>10700.100000000002</v>
      </c>
      <c r="J14" s="26">
        <f>+SUM(J11+SUM(J13:J13))</f>
        <v>14136.1</v>
      </c>
      <c r="K14" s="26">
        <f>+SUM(K11+SUM(K13:K13))</f>
        <v>14492.000000000002</v>
      </c>
      <c r="M14" s="26">
        <f>+SUM(M11+SUM(M13:M13))</f>
        <v>3413.2</v>
      </c>
      <c r="N14" s="26">
        <f>+SUM(N11+SUM(N13:N13))</f>
        <v>3544</v>
      </c>
      <c r="O14" s="26">
        <f>+SUM(O11+SUM(O13:O13))</f>
        <v>3461.6</v>
      </c>
      <c r="P14" s="26">
        <f>+SUM(P11+SUM(P13:P13))</f>
        <v>3717.3</v>
      </c>
      <c r="Q14" s="26">
        <f>+SUM(Q11+SUM(Q13:Q13))</f>
        <v>2696.6</v>
      </c>
      <c r="R14" s="26">
        <f>+SUM(R11+SUM(R13:R13))</f>
        <v>3212.2000000000003</v>
      </c>
      <c r="S14" s="26">
        <f>+SUM(S11+SUM(S13:S13))</f>
        <v>3793.4</v>
      </c>
      <c r="T14" s="26">
        <f>+SUM(T11+SUM(T13:T13))</f>
        <v>4789.7999999999993</v>
      </c>
      <c r="U14" s="26">
        <f>+SUM(U11+SUM(U13:U13))</f>
        <v>4179.7</v>
      </c>
      <c r="V14" s="26">
        <f>+SUM(V11+SUM(V13:V13))</f>
        <v>4129.5</v>
      </c>
      <c r="W14" s="26">
        <f>+SUM(W11+SUM(W13:W13))</f>
        <v>3880.3</v>
      </c>
      <c r="Y14" s="26">
        <f>+SUM(Y11+SUM(Y13:Y13))</f>
        <v>14136.099999999999</v>
      </c>
      <c r="Z14" s="26">
        <f>+SUM(Z11+SUM(Z13:Z13))</f>
        <v>13419.499999999998</v>
      </c>
      <c r="AA14" s="26">
        <f>+SUM(AA11+SUM(AA13:AA13))</f>
        <v>13087.699999999999</v>
      </c>
      <c r="AB14" s="26">
        <f>+SUM(AB11+SUM(AB13:AB13))</f>
        <v>13419.499999999998</v>
      </c>
      <c r="AC14" s="26">
        <f>+SUM(AC11+SUM(AC13:AC13))</f>
        <v>14491.999999999998</v>
      </c>
      <c r="AD14" s="26">
        <f>+SUM(AD11+SUM(AD13:AD13))</f>
        <v>15975.100000000002</v>
      </c>
      <c r="AE14" s="26">
        <f>+SUM(AE11+SUM(AE13:AE13))</f>
        <v>16892.399999999998</v>
      </c>
      <c r="AF14" s="26">
        <f>+SUM(AF11+SUM(AF13:AF13))</f>
        <v>16979.3</v>
      </c>
      <c r="AG14" s="42"/>
      <c r="AH14" s="76">
        <f>SUM(AF14/AB14)-1</f>
        <v>0.26527068817765209</v>
      </c>
    </row>
    <row r="15" spans="1:34" ht="12.75" customHeight="1">
      <c r="B15" s="16" t="s">
        <v>29</v>
      </c>
      <c r="C15" s="17">
        <f>C14/C11</f>
        <v>0.45749152739596516</v>
      </c>
      <c r="D15" s="17">
        <f>D14/D11</f>
        <v>0.44854787061934465</v>
      </c>
      <c r="E15" s="17">
        <f>E14/E11</f>
        <v>0.4595394736842105</v>
      </c>
      <c r="F15" s="17">
        <f>F14/F11</f>
        <v>0.44668358714043993</v>
      </c>
      <c r="G15" s="17">
        <f>G14/G11</f>
        <v>0.48626104374575241</v>
      </c>
      <c r="H15" s="17">
        <f>H14/H11</f>
        <v>0.52705389285906179</v>
      </c>
      <c r="I15" s="17">
        <f>I14/I11</f>
        <v>0.50535577658760522</v>
      </c>
      <c r="J15" s="17">
        <f>J14/J11</f>
        <v>0.51294881796904768</v>
      </c>
      <c r="K15" s="17">
        <f>K14/K11</f>
        <v>0.51275700653506895</v>
      </c>
      <c r="L15" s="27"/>
      <c r="M15" s="17">
        <f>M14/M11</f>
        <v>0.50594408704159377</v>
      </c>
      <c r="N15" s="17">
        <f>N14/N11</f>
        <v>0.5134520377265549</v>
      </c>
      <c r="O15" s="17">
        <f>O14/O11</f>
        <v>0.51874719016933912</v>
      </c>
      <c r="P15" s="17">
        <f>P14/P11</f>
        <v>0.5136520657731104</v>
      </c>
      <c r="Q15" s="17">
        <f>Q14/Q11</f>
        <v>0.50975425330812851</v>
      </c>
      <c r="R15" s="17">
        <f>R14/R11</f>
        <v>0.51454475555840329</v>
      </c>
      <c r="S15" s="17">
        <f>S14/S11</f>
        <v>0.50800155343966358</v>
      </c>
      <c r="T15" s="17">
        <f>T14/T11</f>
        <v>0.51710066070734551</v>
      </c>
      <c r="U15" s="17">
        <f>U14/U11</f>
        <v>0.53990828650778266</v>
      </c>
      <c r="V15" s="17">
        <f>V14/V11</f>
        <v>0.53687741331565197</v>
      </c>
      <c r="W15" s="17">
        <f>W14/W11</f>
        <v>0.51627195316657803</v>
      </c>
      <c r="X15" s="28"/>
      <c r="Y15" s="17">
        <f>Y14/Y11</f>
        <v>0.51294881796904757</v>
      </c>
      <c r="Z15" s="17">
        <f>Z14/Z11</f>
        <v>0.5141117832528167</v>
      </c>
      <c r="AA15" s="17">
        <f>AA14/AA11</f>
        <v>0.51439700033015234</v>
      </c>
      <c r="AB15" s="17">
        <f>AB14/AB11</f>
        <v>0.51147039878645117</v>
      </c>
      <c r="AC15" s="17">
        <f>AC14/AC11</f>
        <v>0.51275700653506895</v>
      </c>
      <c r="AD15" s="17">
        <f>AD14/AD11</f>
        <v>0.52011759956242032</v>
      </c>
      <c r="AE15" s="17">
        <f>AE14/AE11</f>
        <v>0.52520730148958594</v>
      </c>
      <c r="AF15" s="17">
        <f>AF14/AF11</f>
        <v>0.52711101452874698</v>
      </c>
      <c r="AG15" s="42"/>
      <c r="AH15" s="77">
        <f>SUM(AF15-AB15)*1000</f>
        <v>15.640615742295804</v>
      </c>
    </row>
    <row r="16" spans="1:34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  <c r="Z16" s="30"/>
      <c r="AA16" s="30"/>
      <c r="AB16" s="30"/>
      <c r="AC16" s="30"/>
      <c r="AD16" s="30"/>
      <c r="AE16" s="30"/>
      <c r="AF16" s="30"/>
      <c r="AG16" s="42"/>
      <c r="AH16" s="75"/>
    </row>
    <row r="17" spans="2:34" ht="12.75" customHeight="1">
      <c r="B17" s="9" t="s">
        <v>172</v>
      </c>
      <c r="C17" s="82">
        <v>-1105.8</v>
      </c>
      <c r="D17" s="82">
        <v>-1259.7</v>
      </c>
      <c r="E17" s="82">
        <v>-1575.9</v>
      </c>
      <c r="F17" s="82">
        <v>-1968.5</v>
      </c>
      <c r="G17" s="82">
        <v>-2200.8000000000002</v>
      </c>
      <c r="H17" s="82">
        <v>-2547</v>
      </c>
      <c r="I17" s="82">
        <v>-3253.5</v>
      </c>
      <c r="J17" s="82">
        <v>-3980.6</v>
      </c>
      <c r="K17" s="82">
        <v>-4303.7</v>
      </c>
      <c r="L17" s="32"/>
      <c r="M17" s="82">
        <v>-947.9</v>
      </c>
      <c r="N17" s="82">
        <v>-999.9</v>
      </c>
      <c r="O17" s="82">
        <v>-991.4</v>
      </c>
      <c r="P17" s="32">
        <v>-1041.3</v>
      </c>
      <c r="Q17" s="82">
        <v>-1031.9000000000001</v>
      </c>
      <c r="R17" s="82">
        <v>-1100.5999999999999</v>
      </c>
      <c r="S17" s="82">
        <v>-1055.2</v>
      </c>
      <c r="T17" s="32">
        <v>-1116</v>
      </c>
      <c r="U17" s="82">
        <v>-1161.0999999999999</v>
      </c>
      <c r="V17" s="82">
        <v>-1166.7</v>
      </c>
      <c r="W17" s="82">
        <v>-1108.7</v>
      </c>
      <c r="Y17" s="32">
        <f t="shared" ref="Y17:AF18" si="11">SUM(M17:P17)</f>
        <v>-3980.5</v>
      </c>
      <c r="Z17" s="32">
        <f t="shared" si="11"/>
        <v>-4064.5</v>
      </c>
      <c r="AA17" s="32">
        <f t="shared" si="11"/>
        <v>-4165.2</v>
      </c>
      <c r="AB17" s="32">
        <f t="shared" si="11"/>
        <v>-4229</v>
      </c>
      <c r="AC17" s="32">
        <f t="shared" si="11"/>
        <v>-4303.7</v>
      </c>
      <c r="AD17" s="32">
        <f t="shared" si="11"/>
        <v>-4432.8999999999996</v>
      </c>
      <c r="AE17" s="32">
        <f t="shared" si="11"/>
        <v>-4499</v>
      </c>
      <c r="AF17" s="32">
        <f t="shared" si="11"/>
        <v>-4552.5</v>
      </c>
      <c r="AG17" s="11"/>
      <c r="AH17" s="75">
        <f>SUM(AF17/AB17)-1</f>
        <v>7.6495625443367299E-2</v>
      </c>
    </row>
    <row r="18" spans="2:34" ht="12.75" customHeight="1">
      <c r="B18" s="9" t="s">
        <v>173</v>
      </c>
      <c r="C18" s="82">
        <v>-374.8</v>
      </c>
      <c r="D18" s="82">
        <v>-416.6</v>
      </c>
      <c r="E18" s="82">
        <v>-488</v>
      </c>
      <c r="F18" s="82">
        <v>-520.5</v>
      </c>
      <c r="G18" s="82">
        <v>-544.9</v>
      </c>
      <c r="H18" s="82">
        <v>-725.6</v>
      </c>
      <c r="I18" s="82">
        <v>-945.9</v>
      </c>
      <c r="J18" s="82">
        <v>-1113.2</v>
      </c>
      <c r="K18" s="82">
        <v>-1165.7</v>
      </c>
      <c r="L18" s="32"/>
      <c r="M18" s="82">
        <v>-260.3</v>
      </c>
      <c r="N18" s="82">
        <v>-281.10000000000002</v>
      </c>
      <c r="O18" s="82">
        <v>-287.8</v>
      </c>
      <c r="P18" s="32">
        <v>-284.10000000000002</v>
      </c>
      <c r="Q18" s="82">
        <v>-273.3</v>
      </c>
      <c r="R18" s="82">
        <v>-277</v>
      </c>
      <c r="S18" s="82">
        <v>-297</v>
      </c>
      <c r="T18" s="32">
        <v>-318.39999999999998</v>
      </c>
      <c r="U18" s="82">
        <v>-280.7</v>
      </c>
      <c r="V18" s="82">
        <v>-298.7</v>
      </c>
      <c r="W18" s="82">
        <v>-303.2</v>
      </c>
      <c r="Y18" s="32">
        <f t="shared" si="11"/>
        <v>-1113.3000000000002</v>
      </c>
      <c r="Z18" s="32">
        <f t="shared" si="11"/>
        <v>-1126.3000000000002</v>
      </c>
      <c r="AA18" s="32">
        <f t="shared" si="11"/>
        <v>-1122.2</v>
      </c>
      <c r="AB18" s="32">
        <f t="shared" si="11"/>
        <v>-1131.4000000000001</v>
      </c>
      <c r="AC18" s="32">
        <f t="shared" si="11"/>
        <v>-1165.6999999999998</v>
      </c>
      <c r="AD18" s="32">
        <f t="shared" si="11"/>
        <v>-1173.0999999999999</v>
      </c>
      <c r="AE18" s="32">
        <f t="shared" si="11"/>
        <v>-1194.8</v>
      </c>
      <c r="AF18" s="32">
        <f t="shared" si="11"/>
        <v>-1201</v>
      </c>
      <c r="AG18" s="11"/>
      <c r="AH18" s="75">
        <f t="shared" ref="AH18" si="12">SUM(AF18/AB18)-1</f>
        <v>6.1516704967297109E-2</v>
      </c>
    </row>
    <row r="19" spans="2:34" ht="12.75" customHeight="1">
      <c r="B19" s="9" t="s">
        <v>197</v>
      </c>
      <c r="C19" s="82">
        <v>93.8</v>
      </c>
      <c r="D19" s="82">
        <v>95.8</v>
      </c>
      <c r="E19" s="82">
        <v>0</v>
      </c>
      <c r="F19" s="82">
        <v>0</v>
      </c>
      <c r="G19" s="82">
        <v>0</v>
      </c>
      <c r="H19" s="82">
        <v>213.7</v>
      </c>
      <c r="I19" s="82">
        <v>0</v>
      </c>
      <c r="J19" s="82">
        <v>0</v>
      </c>
      <c r="K19" s="82">
        <v>0</v>
      </c>
      <c r="L19" s="32"/>
      <c r="M19" s="82">
        <v>0</v>
      </c>
      <c r="N19" s="82">
        <v>0</v>
      </c>
      <c r="O19" s="82">
        <v>0</v>
      </c>
      <c r="P19" s="32">
        <f t="shared" ref="P19" si="13">SUM(J19-SUM(M19:O19))</f>
        <v>0</v>
      </c>
      <c r="Q19" s="82">
        <v>0</v>
      </c>
      <c r="R19" s="82">
        <v>0</v>
      </c>
      <c r="S19" s="82">
        <v>0</v>
      </c>
      <c r="T19" s="32">
        <f t="shared" ref="T19" si="14">SUM(K19-SUM(Q19:S19))</f>
        <v>0</v>
      </c>
      <c r="U19" s="82">
        <v>0</v>
      </c>
      <c r="V19" s="82">
        <v>0</v>
      </c>
      <c r="W19" s="82">
        <v>0</v>
      </c>
      <c r="Y19" s="32">
        <f t="shared" ref="Y19" si="15">SUM(M19:P19)</f>
        <v>0</v>
      </c>
      <c r="Z19" s="32">
        <f t="shared" ref="Z19" si="16">SUM(N19:Q19)</f>
        <v>0</v>
      </c>
      <c r="AA19" s="32">
        <f t="shared" ref="AA19" si="17">SUM(O19:R19)</f>
        <v>0</v>
      </c>
      <c r="AB19" s="32">
        <f t="shared" ref="AB19" si="18">SUM(P19:S19)</f>
        <v>0</v>
      </c>
      <c r="AC19" s="32">
        <f t="shared" ref="AC19" si="19">SUM(Q19:T19)</f>
        <v>0</v>
      </c>
      <c r="AD19" s="32">
        <f t="shared" ref="AD19" si="20">SUM(R19:U19)</f>
        <v>0</v>
      </c>
      <c r="AE19" s="32">
        <f t="shared" ref="AE19" si="21">SUM(S19:V19)</f>
        <v>0</v>
      </c>
      <c r="AF19" s="32">
        <f t="shared" ref="AF19" si="22">SUM(T19:W19)</f>
        <v>0</v>
      </c>
      <c r="AG19" s="11"/>
      <c r="AH19" s="75" t="e">
        <f t="shared" ref="AH19" si="23">SUM(AF19/AB19)-1</f>
        <v>#DIV/0!</v>
      </c>
    </row>
    <row r="20" spans="2:34" ht="12.75" customHeight="1">
      <c r="B20" s="25" t="s">
        <v>77</v>
      </c>
      <c r="C20" s="26">
        <f>+SUM(C14+SUM(C17:C19))</f>
        <v>1758.5000000000002</v>
      </c>
      <c r="D20" s="26">
        <f>+SUM(D14+SUM(D17:D19))</f>
        <v>2439.7000000000007</v>
      </c>
      <c r="E20" s="26">
        <f>+SUM(E14+SUM(E17:E19))</f>
        <v>2965.2999999999997</v>
      </c>
      <c r="F20" s="26">
        <f>+SUM(F14+SUM(F17:F19))</f>
        <v>2790.8</v>
      </c>
      <c r="G20" s="26">
        <f t="shared" ref="G20:K20" si="24">+SUM(G14+SUM(G17:G19))</f>
        <v>4051.4999999999995</v>
      </c>
      <c r="H20" s="26">
        <f t="shared" si="24"/>
        <v>6750.1</v>
      </c>
      <c r="I20" s="26">
        <f t="shared" si="24"/>
        <v>6500.7000000000025</v>
      </c>
      <c r="J20" s="26">
        <f t="shared" si="24"/>
        <v>9042.2999999999993</v>
      </c>
      <c r="K20" s="26">
        <f t="shared" si="24"/>
        <v>9022.6000000000022</v>
      </c>
      <c r="L20" s="32"/>
      <c r="M20" s="26">
        <f t="shared" ref="M20" si="25">+SUM(M14+SUM(M17:M19))</f>
        <v>2205</v>
      </c>
      <c r="N20" s="26">
        <f t="shared" ref="N20" si="26">+SUM(N14+SUM(N17:N19))</f>
        <v>2263</v>
      </c>
      <c r="O20" s="26">
        <f t="shared" ref="O20" si="27">+SUM(O14+SUM(O17:O19))</f>
        <v>2182.3999999999996</v>
      </c>
      <c r="P20" s="26">
        <f t="shared" ref="P20" si="28">+SUM(P14+SUM(P17:P19))</f>
        <v>2391.9</v>
      </c>
      <c r="Q20" s="26">
        <f t="shared" ref="Q20" si="29">+SUM(Q14+SUM(Q17:Q19))</f>
        <v>1391.3999999999999</v>
      </c>
      <c r="R20" s="26">
        <f t="shared" ref="R20" si="30">+SUM(R14+SUM(R17:R19))</f>
        <v>1834.6000000000004</v>
      </c>
      <c r="S20" s="26">
        <f t="shared" ref="S20" si="31">+SUM(S14+SUM(S17:S19))</f>
        <v>2441.1999999999998</v>
      </c>
      <c r="T20" s="26">
        <f t="shared" ref="T20" si="32">+SUM(T14+SUM(T17:T19))</f>
        <v>3355.3999999999992</v>
      </c>
      <c r="U20" s="26">
        <f t="shared" ref="U20" si="33">+SUM(U14+SUM(U17:U19))</f>
        <v>2737.8999999999996</v>
      </c>
      <c r="V20" s="26">
        <f t="shared" ref="V20" si="34">+SUM(V14+SUM(V17:V19))</f>
        <v>2664.1</v>
      </c>
      <c r="W20" s="26">
        <f t="shared" ref="W20" si="35">+SUM(W14+SUM(W17:W19))</f>
        <v>2468.4</v>
      </c>
      <c r="Y20" s="26">
        <f>+SUM(Y14+SUM(Y17:Y18))</f>
        <v>9042.2999999999993</v>
      </c>
      <c r="Z20" s="26">
        <f>+SUM(Z14+SUM(Z17:Z18))</f>
        <v>8228.6999999999971</v>
      </c>
      <c r="AA20" s="26">
        <f>+SUM(AA14+SUM(AA17:AA18))</f>
        <v>7800.2999999999993</v>
      </c>
      <c r="AB20" s="26">
        <f t="shared" ref="AB20" si="36">+SUM(AB14+SUM(AB17:AB19))</f>
        <v>8059.0999999999985</v>
      </c>
      <c r="AC20" s="26">
        <f t="shared" ref="AC20" si="37">+SUM(AC14+SUM(AC17:AC19))</f>
        <v>9022.5999999999985</v>
      </c>
      <c r="AD20" s="26">
        <f t="shared" ref="AD20" si="38">+SUM(AD14+SUM(AD17:AD19))</f>
        <v>10369.100000000002</v>
      </c>
      <c r="AE20" s="26">
        <f t="shared" ref="AE20" si="39">+SUM(AE14+SUM(AE17:AE19))</f>
        <v>11198.599999999999</v>
      </c>
      <c r="AF20" s="26">
        <f t="shared" ref="AF20" si="40">+SUM(AF14+SUM(AF17:AF19))</f>
        <v>11225.8</v>
      </c>
      <c r="AG20" s="11"/>
      <c r="AH20" s="76">
        <f>SUM(AF20/AB20)-1</f>
        <v>0.39293469494112254</v>
      </c>
    </row>
    <row r="21" spans="2:34" ht="12.75" customHeight="1">
      <c r="B21" s="16" t="s">
        <v>31</v>
      </c>
      <c r="C21" s="17">
        <f>C20/C11</f>
        <v>0.25577809777312333</v>
      </c>
      <c r="D21" s="17">
        <f>D20/D11</f>
        <v>0.27220592009104405</v>
      </c>
      <c r="E21" s="17">
        <f>E20/E11</f>
        <v>0.27095211988304091</v>
      </c>
      <c r="F21" s="17">
        <f>F20/F11</f>
        <v>0.23610829103214892</v>
      </c>
      <c r="G21" s="17">
        <f>G20/G11</f>
        <v>0.28983796544693635</v>
      </c>
      <c r="H21" s="17">
        <f>H20/H11</f>
        <v>0.3626941056364516</v>
      </c>
      <c r="I21" s="17">
        <f>I20/I11</f>
        <v>0.30702201819263802</v>
      </c>
      <c r="J21" s="17">
        <f>J20/J11</f>
        <v>0.3281129234174574</v>
      </c>
      <c r="K21" s="17">
        <f>K20/K11</f>
        <v>0.3192382947255944</v>
      </c>
      <c r="L21" s="32"/>
      <c r="M21" s="17">
        <f>M20/M11</f>
        <v>0.32685067148913466</v>
      </c>
      <c r="N21" s="17">
        <f>N20/N11</f>
        <v>0.32786172725033685</v>
      </c>
      <c r="O21" s="17">
        <f>O20/O11</f>
        <v>0.32704930316199604</v>
      </c>
      <c r="P21" s="17">
        <f>P20/P11</f>
        <v>0.33050987978444107</v>
      </c>
      <c r="Q21" s="17">
        <f>Q20/Q11</f>
        <v>0.26302457466918711</v>
      </c>
      <c r="R21" s="17">
        <f>R20/R11</f>
        <v>0.29387454347408221</v>
      </c>
      <c r="S21" s="17">
        <f>S20/S11</f>
        <v>0.32691869886036451</v>
      </c>
      <c r="T21" s="17">
        <f>T20/T11</f>
        <v>0.36224467763527224</v>
      </c>
      <c r="U21" s="17">
        <f>U20/U11</f>
        <v>0.35366531034037324</v>
      </c>
      <c r="V21" s="17">
        <f>V20/V11</f>
        <v>0.346360362468635</v>
      </c>
      <c r="W21" s="17">
        <f>W20/W11</f>
        <v>0.32841937200638638</v>
      </c>
      <c r="Y21" s="17">
        <f>Y20/Y11</f>
        <v>0.3281129234174574</v>
      </c>
      <c r="Z21" s="17">
        <f>Z20/Z11</f>
        <v>0.31524808158668</v>
      </c>
      <c r="AA21" s="17">
        <f>AA20/AA11</f>
        <v>0.30658182275535711</v>
      </c>
      <c r="AB21" s="17">
        <f>AB20/AB11</f>
        <v>0.30716428263794393</v>
      </c>
      <c r="AC21" s="17">
        <f>AC20/AC11</f>
        <v>0.31923829472559428</v>
      </c>
      <c r="AD21" s="17">
        <f>AD20/AD11</f>
        <v>0.33759734847498246</v>
      </c>
      <c r="AE21" s="17">
        <f>AE20/AE11</f>
        <v>0.34817944676074902</v>
      </c>
      <c r="AF21" s="17">
        <f>AF20/AF11</f>
        <v>0.34849745436483298</v>
      </c>
      <c r="AG21" s="11"/>
      <c r="AH21" s="77">
        <f>SUM(AF21-AB21)*1000</f>
        <v>41.333171726889049</v>
      </c>
    </row>
    <row r="22" spans="2:34" ht="5.0999999999999996" customHeight="1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32"/>
      <c r="M22" s="82"/>
      <c r="N22" s="82"/>
      <c r="O22" s="82"/>
      <c r="P22" s="82"/>
      <c r="Q22" s="82"/>
      <c r="R22" s="82"/>
      <c r="S22" s="82"/>
      <c r="T22" s="82"/>
      <c r="U22" s="32"/>
      <c r="V22" s="82"/>
      <c r="W22" s="82"/>
      <c r="Y22" s="32"/>
      <c r="Z22" s="32"/>
      <c r="AA22" s="32"/>
      <c r="AB22" s="32"/>
      <c r="AC22" s="32"/>
      <c r="AD22" s="32"/>
      <c r="AE22" s="32"/>
      <c r="AF22" s="32"/>
      <c r="AG22" s="11"/>
      <c r="AH22" s="75"/>
    </row>
    <row r="23" spans="2:34" ht="12.75" customHeight="1">
      <c r="B23" s="9" t="s">
        <v>142</v>
      </c>
      <c r="C23" s="82">
        <v>33.700000000000003</v>
      </c>
      <c r="D23" s="82">
        <v>-50.3</v>
      </c>
      <c r="E23" s="82">
        <v>-28.3</v>
      </c>
      <c r="F23" s="82">
        <v>-25</v>
      </c>
      <c r="G23" s="82">
        <v>-34.9</v>
      </c>
      <c r="H23" s="82">
        <v>-44.6</v>
      </c>
      <c r="I23" s="82">
        <v>-44.6</v>
      </c>
      <c r="J23" s="82">
        <v>41.2</v>
      </c>
      <c r="K23" s="82">
        <v>19.8</v>
      </c>
      <c r="L23" s="32"/>
      <c r="M23" s="95">
        <v>12.2</v>
      </c>
      <c r="N23" s="95">
        <v>16.7</v>
      </c>
      <c r="O23" s="95">
        <v>7.1</v>
      </c>
      <c r="P23" s="32">
        <v>5.2</v>
      </c>
      <c r="Q23" s="95">
        <v>26.2</v>
      </c>
      <c r="R23" s="95">
        <v>-11.9</v>
      </c>
      <c r="S23" s="95">
        <v>-0.8</v>
      </c>
      <c r="T23" s="32">
        <v>6.3</v>
      </c>
      <c r="U23" s="82">
        <v>49.2</v>
      </c>
      <c r="V23" s="82">
        <v>24.8</v>
      </c>
      <c r="W23" s="82">
        <v>19.399999999999999</v>
      </c>
      <c r="Y23" s="32">
        <f t="shared" ref="Y23:AF23" si="41">SUM(M23:P23)</f>
        <v>41.2</v>
      </c>
      <c r="Z23" s="32">
        <f t="shared" si="41"/>
        <v>55.199999999999996</v>
      </c>
      <c r="AA23" s="32">
        <f t="shared" si="41"/>
        <v>26.6</v>
      </c>
      <c r="AB23" s="32">
        <f t="shared" si="41"/>
        <v>18.7</v>
      </c>
      <c r="AC23" s="32">
        <f t="shared" si="41"/>
        <v>19.799999999999997</v>
      </c>
      <c r="AD23" s="32">
        <f t="shared" si="41"/>
        <v>42.800000000000004</v>
      </c>
      <c r="AE23" s="32">
        <f t="shared" si="41"/>
        <v>79.5</v>
      </c>
      <c r="AF23" s="32">
        <f t="shared" si="41"/>
        <v>99.699999999999989</v>
      </c>
      <c r="AG23" s="11"/>
      <c r="AH23" s="75">
        <f>SUM(AF23/AB23)-1</f>
        <v>4.331550802139037</v>
      </c>
    </row>
    <row r="24" spans="2:34" ht="12.75" customHeight="1">
      <c r="B24" s="25" t="s">
        <v>107</v>
      </c>
      <c r="C24" s="26">
        <f t="shared" ref="C24:K24" si="42">SUM(C20+SUM(C23:C23))</f>
        <v>1792.2000000000003</v>
      </c>
      <c r="D24" s="26">
        <f t="shared" si="42"/>
        <v>2389.4000000000005</v>
      </c>
      <c r="E24" s="26">
        <f t="shared" si="42"/>
        <v>2936.9999999999995</v>
      </c>
      <c r="F24" s="26">
        <f t="shared" si="42"/>
        <v>2765.8</v>
      </c>
      <c r="G24" s="26">
        <f t="shared" si="42"/>
        <v>4016.5999999999995</v>
      </c>
      <c r="H24" s="26">
        <f t="shared" si="42"/>
        <v>6705.5</v>
      </c>
      <c r="I24" s="26">
        <f t="shared" si="42"/>
        <v>6456.1000000000022</v>
      </c>
      <c r="J24" s="26">
        <f t="shared" si="42"/>
        <v>9083.5</v>
      </c>
      <c r="K24" s="26">
        <f t="shared" si="42"/>
        <v>9042.4000000000015</v>
      </c>
      <c r="M24" s="26">
        <f t="shared" ref="M24:W24" si="43">SUM(M20+SUM(M23:M23))</f>
        <v>2217.1999999999998</v>
      </c>
      <c r="N24" s="26">
        <f t="shared" si="43"/>
        <v>2279.6999999999998</v>
      </c>
      <c r="O24" s="26">
        <f t="shared" si="43"/>
        <v>2189.4999999999995</v>
      </c>
      <c r="P24" s="26">
        <f t="shared" si="43"/>
        <v>2397.1</v>
      </c>
      <c r="Q24" s="26">
        <f t="shared" si="43"/>
        <v>1417.6</v>
      </c>
      <c r="R24" s="26">
        <f t="shared" si="43"/>
        <v>1822.7000000000003</v>
      </c>
      <c r="S24" s="26">
        <f t="shared" si="43"/>
        <v>2440.3999999999996</v>
      </c>
      <c r="T24" s="26">
        <f t="shared" si="43"/>
        <v>3361.6999999999994</v>
      </c>
      <c r="U24" s="26">
        <f t="shared" si="43"/>
        <v>2787.0999999999995</v>
      </c>
      <c r="V24" s="26">
        <f t="shared" si="43"/>
        <v>2688.9</v>
      </c>
      <c r="W24" s="26">
        <f t="shared" si="43"/>
        <v>2487.8000000000002</v>
      </c>
      <c r="Y24" s="26">
        <f t="shared" ref="Y24:AF24" si="44">SUM(Y20+SUM(Y23:Y23))</f>
        <v>9083.5</v>
      </c>
      <c r="Z24" s="26">
        <f t="shared" si="44"/>
        <v>8283.8999999999978</v>
      </c>
      <c r="AA24" s="26">
        <f t="shared" si="44"/>
        <v>7826.9</v>
      </c>
      <c r="AB24" s="26">
        <f t="shared" si="44"/>
        <v>8077.7999999999984</v>
      </c>
      <c r="AC24" s="26">
        <f t="shared" si="44"/>
        <v>9042.3999999999978</v>
      </c>
      <c r="AD24" s="26">
        <f t="shared" si="44"/>
        <v>10411.900000000001</v>
      </c>
      <c r="AE24" s="26">
        <f t="shared" si="44"/>
        <v>11278.099999999999</v>
      </c>
      <c r="AF24" s="26">
        <f t="shared" si="44"/>
        <v>11325.5</v>
      </c>
      <c r="AG24" s="42"/>
      <c r="AH24" s="76">
        <f>SUM(AF24/AB24)-1</f>
        <v>0.40205253905766458</v>
      </c>
    </row>
    <row r="25" spans="2:34" ht="12.75" customHeight="1">
      <c r="B25" s="16" t="s">
        <v>108</v>
      </c>
      <c r="C25" s="17">
        <f>C24/C11</f>
        <v>0.26067984465680499</v>
      </c>
      <c r="D25" s="17">
        <f>D24/D11</f>
        <v>0.26659377196603706</v>
      </c>
      <c r="E25" s="17">
        <f>E24/E11</f>
        <v>0.26836622807017541</v>
      </c>
      <c r="F25" s="17">
        <f>F24/F11</f>
        <v>0.2339932318104907</v>
      </c>
      <c r="G25" s="17">
        <f>G24/G11</f>
        <v>0.28734127409950994</v>
      </c>
      <c r="H25" s="17">
        <f>H24/H11</f>
        <v>0.36029767341894581</v>
      </c>
      <c r="I25" s="17">
        <f>I24/I11</f>
        <v>0.30491560165112841</v>
      </c>
      <c r="J25" s="17">
        <f>J24/J11</f>
        <v>0.32960792495963132</v>
      </c>
      <c r="K25" s="17">
        <f>K24/K11</f>
        <v>0.31993885977730524</v>
      </c>
      <c r="L25" s="27"/>
      <c r="M25" s="17">
        <f>M24/M11</f>
        <v>0.32865909697311074</v>
      </c>
      <c r="N25" s="17">
        <f>N24/N11</f>
        <v>0.33028121061095572</v>
      </c>
      <c r="O25" s="17">
        <f>O24/O11</f>
        <v>0.32811329237224629</v>
      </c>
      <c r="P25" s="17">
        <f>P24/P11</f>
        <v>0.33122840956197319</v>
      </c>
      <c r="Q25" s="17">
        <f>Q24/Q11</f>
        <v>0.26797731568998107</v>
      </c>
      <c r="R25" s="17">
        <f>R24/R11</f>
        <v>0.29196834753636192</v>
      </c>
      <c r="S25" s="17">
        <f>S24/S11</f>
        <v>0.326811565090461</v>
      </c>
      <c r="T25" s="17">
        <f>T24/T11</f>
        <v>0.36292481754976891</v>
      </c>
      <c r="U25" s="17">
        <f>U24/U11</f>
        <v>0.36002066782923198</v>
      </c>
      <c r="V25" s="17">
        <f>V24/V11</f>
        <v>0.34958461718475764</v>
      </c>
      <c r="W25" s="17">
        <f>W24/W11</f>
        <v>0.33100053219797765</v>
      </c>
      <c r="X25" s="28"/>
      <c r="Y25" s="17">
        <f>Y24/Y11</f>
        <v>0.32960792495963132</v>
      </c>
      <c r="Z25" s="17">
        <f>Z24/Z11</f>
        <v>0.31736283775759216</v>
      </c>
      <c r="AA25" s="17">
        <f>AA24/AA11</f>
        <v>0.30762730517081455</v>
      </c>
      <c r="AB25" s="17">
        <f>AB24/AB11</f>
        <v>0.30787701384680466</v>
      </c>
      <c r="AC25" s="17">
        <f>AC24/AC11</f>
        <v>0.31993885977730518</v>
      </c>
      <c r="AD25" s="17">
        <f>AD24/AD11</f>
        <v>0.33899083166202176</v>
      </c>
      <c r="AE25" s="17">
        <f>AE24/AE11</f>
        <v>0.35065120805389993</v>
      </c>
      <c r="AF25" s="17">
        <f>AF24/AF11</f>
        <v>0.3515925741959518</v>
      </c>
      <c r="AG25" s="43"/>
      <c r="AH25" s="77">
        <f>SUM(AF25-AB25)*1000</f>
        <v>43.71556034914714</v>
      </c>
    </row>
    <row r="26" spans="2:34" ht="5.0999999999999996" customHeight="1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2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28"/>
      <c r="Y26" s="17"/>
      <c r="Z26" s="17"/>
      <c r="AA26" s="17"/>
      <c r="AB26" s="17"/>
      <c r="AC26" s="17"/>
      <c r="AD26" s="17"/>
      <c r="AE26" s="17"/>
      <c r="AF26" s="17"/>
      <c r="AG26" s="43"/>
      <c r="AH26" s="77"/>
    </row>
    <row r="27" spans="2:34" ht="12.75" customHeight="1">
      <c r="B27" s="9" t="s">
        <v>174</v>
      </c>
      <c r="C27" s="82">
        <v>-234.4</v>
      </c>
      <c r="D27" s="82">
        <v>-306</v>
      </c>
      <c r="E27" s="82">
        <v>-351.6</v>
      </c>
      <c r="F27" s="82">
        <v>-191.7</v>
      </c>
      <c r="G27" s="82">
        <v>-551.5</v>
      </c>
      <c r="H27" s="82">
        <v>-1021.4</v>
      </c>
      <c r="I27" s="82">
        <v>-969.9</v>
      </c>
      <c r="J27" s="82">
        <v>-1435.8</v>
      </c>
      <c r="K27" s="82">
        <v>-1680.6</v>
      </c>
      <c r="L27" s="32"/>
      <c r="M27" s="95">
        <v>-302.60000000000002</v>
      </c>
      <c r="N27" s="95">
        <v>-403.9</v>
      </c>
      <c r="O27" s="95">
        <v>-343.7</v>
      </c>
      <c r="P27" s="32">
        <v>-385.6</v>
      </c>
      <c r="Q27" s="95">
        <v>-224</v>
      </c>
      <c r="R27" s="95">
        <v>-291.60000000000002</v>
      </c>
      <c r="S27" s="95">
        <v>-441.2</v>
      </c>
      <c r="T27" s="32">
        <v>-723.8</v>
      </c>
      <c r="U27" s="82">
        <v>-465.1</v>
      </c>
      <c r="V27" s="82">
        <v>-487.4</v>
      </c>
      <c r="W27" s="82">
        <v>-442.2</v>
      </c>
      <c r="Y27" s="32">
        <f t="shared" ref="Y27:AF27" si="45">SUM(M27:P27)</f>
        <v>-1435.8000000000002</v>
      </c>
      <c r="Z27" s="32">
        <f t="shared" si="45"/>
        <v>-1357.1999999999998</v>
      </c>
      <c r="AA27" s="32">
        <f t="shared" si="45"/>
        <v>-1244.9000000000001</v>
      </c>
      <c r="AB27" s="32">
        <f t="shared" si="45"/>
        <v>-1342.4</v>
      </c>
      <c r="AC27" s="32">
        <f t="shared" si="45"/>
        <v>-1680.6</v>
      </c>
      <c r="AD27" s="32">
        <f t="shared" si="45"/>
        <v>-1921.6999999999998</v>
      </c>
      <c r="AE27" s="32">
        <f t="shared" si="45"/>
        <v>-2117.5</v>
      </c>
      <c r="AF27" s="32">
        <f t="shared" si="45"/>
        <v>-2118.5</v>
      </c>
      <c r="AG27" s="11"/>
      <c r="AH27" s="75">
        <f>SUM(AF27/AB27)-1</f>
        <v>0.57814362336114411</v>
      </c>
    </row>
    <row r="28" spans="2:34" ht="12.75" customHeight="1">
      <c r="B28" s="13" t="s">
        <v>119</v>
      </c>
      <c r="C28" s="14">
        <f t="shared" ref="C28:K28" si="46">SUM(C24+SUM(C27:C27))</f>
        <v>1557.8000000000002</v>
      </c>
      <c r="D28" s="14">
        <f t="shared" si="46"/>
        <v>2083.4000000000005</v>
      </c>
      <c r="E28" s="14">
        <f t="shared" si="46"/>
        <v>2585.3999999999996</v>
      </c>
      <c r="F28" s="14">
        <f t="shared" si="46"/>
        <v>2574.1000000000004</v>
      </c>
      <c r="G28" s="14">
        <f t="shared" si="46"/>
        <v>3465.0999999999995</v>
      </c>
      <c r="H28" s="14">
        <f t="shared" si="46"/>
        <v>5684.1</v>
      </c>
      <c r="I28" s="14">
        <f t="shared" si="46"/>
        <v>5486.2000000000025</v>
      </c>
      <c r="J28" s="14">
        <f t="shared" si="46"/>
        <v>7647.7</v>
      </c>
      <c r="K28" s="14">
        <f t="shared" si="46"/>
        <v>7361.8000000000011</v>
      </c>
      <c r="L28" s="11"/>
      <c r="M28" s="14">
        <f t="shared" ref="M28:W28" si="47">SUM(M24+SUM(M27:M27))</f>
        <v>1914.6</v>
      </c>
      <c r="N28" s="14">
        <f t="shared" si="47"/>
        <v>1875.7999999999997</v>
      </c>
      <c r="O28" s="14">
        <f t="shared" si="47"/>
        <v>1845.7999999999995</v>
      </c>
      <c r="P28" s="14">
        <f t="shared" si="47"/>
        <v>2011.5</v>
      </c>
      <c r="Q28" s="14">
        <f t="shared" si="47"/>
        <v>1193.5999999999999</v>
      </c>
      <c r="R28" s="14">
        <f t="shared" si="47"/>
        <v>1531.1000000000004</v>
      </c>
      <c r="S28" s="14">
        <f t="shared" si="47"/>
        <v>1999.1999999999996</v>
      </c>
      <c r="T28" s="14">
        <f t="shared" si="47"/>
        <v>2637.8999999999996</v>
      </c>
      <c r="U28" s="14">
        <f t="shared" si="47"/>
        <v>2321.9999999999995</v>
      </c>
      <c r="V28" s="14">
        <f t="shared" si="47"/>
        <v>2201.5</v>
      </c>
      <c r="W28" s="14">
        <f t="shared" si="47"/>
        <v>2045.6000000000001</v>
      </c>
      <c r="X28" s="32"/>
      <c r="Y28" s="14">
        <f t="shared" ref="Y28:AF28" si="48">SUM(Y24+SUM(Y27:Y27))</f>
        <v>7647.7</v>
      </c>
      <c r="Z28" s="14">
        <f t="shared" si="48"/>
        <v>6926.699999999998</v>
      </c>
      <c r="AA28" s="14">
        <f t="shared" si="48"/>
        <v>6582</v>
      </c>
      <c r="AB28" s="14">
        <f t="shared" si="48"/>
        <v>6735.3999999999978</v>
      </c>
      <c r="AC28" s="14">
        <f t="shared" si="48"/>
        <v>7361.7999999999975</v>
      </c>
      <c r="AD28" s="14">
        <f t="shared" si="48"/>
        <v>8490.2000000000007</v>
      </c>
      <c r="AE28" s="14">
        <f t="shared" si="48"/>
        <v>9160.5999999999985</v>
      </c>
      <c r="AF28" s="14">
        <f t="shared" si="48"/>
        <v>9207</v>
      </c>
      <c r="AG28" s="36"/>
      <c r="AH28" s="76">
        <f>SUM(AF28/AB28)-1</f>
        <v>0.36695667666359877</v>
      </c>
    </row>
    <row r="29" spans="2:34" ht="12.75" customHeight="1">
      <c r="B29" s="16" t="s">
        <v>108</v>
      </c>
      <c r="C29" s="17">
        <f>C28/C11</f>
        <v>0.22658579511570742</v>
      </c>
      <c r="D29" s="17">
        <f>D28/D11</f>
        <v>0.2324522744262332</v>
      </c>
      <c r="E29" s="17">
        <f>E28/E11</f>
        <v>0.23623903508771926</v>
      </c>
      <c r="F29" s="17">
        <f>F28/F11</f>
        <v>0.21777495769881561</v>
      </c>
      <c r="G29" s="17">
        <f>G28/G11</f>
        <v>0.24788782773545084</v>
      </c>
      <c r="H29" s="17">
        <f>H28/H11</f>
        <v>0.30541615173821934</v>
      </c>
      <c r="I29" s="17">
        <f>I28/I11</f>
        <v>0.25910812623385959</v>
      </c>
      <c r="J29" s="17">
        <f>J28/J11</f>
        <v>0.27750784694377417</v>
      </c>
      <c r="K29" s="17">
        <f>K28/K11</f>
        <v>0.26047574735784368</v>
      </c>
      <c r="L29" s="27"/>
      <c r="M29" s="17">
        <f>M28/M11</f>
        <v>0.28380421570662001</v>
      </c>
      <c r="N29" s="17">
        <f>N28/N11</f>
        <v>0.27176448430233396</v>
      </c>
      <c r="O29" s="17">
        <f>O28/O11</f>
        <v>0.27660722313801883</v>
      </c>
      <c r="P29" s="17">
        <f>P28/P11</f>
        <v>0.27794666298189857</v>
      </c>
      <c r="Q29" s="17">
        <f>Q28/Q11</f>
        <v>0.22563327032136105</v>
      </c>
      <c r="R29" s="17">
        <f>R28/R11</f>
        <v>0.24525853783558665</v>
      </c>
      <c r="S29" s="17">
        <f>S28/S11</f>
        <v>0.26772729098871073</v>
      </c>
      <c r="T29" s="17">
        <f>T28/T11</f>
        <v>0.28478429848425962</v>
      </c>
      <c r="U29" s="17">
        <f>U28/U11</f>
        <v>0.29994187173028475</v>
      </c>
      <c r="V29" s="17">
        <f>V28/V11</f>
        <v>0.28621761119128414</v>
      </c>
      <c r="W29" s="17">
        <f>W28/W11</f>
        <v>0.27216604576902609</v>
      </c>
      <c r="X29" s="28"/>
      <c r="Y29" s="17">
        <f>Y28/Y11</f>
        <v>0.27750784694377417</v>
      </c>
      <c r="Z29" s="17">
        <f>Z28/Z11</f>
        <v>0.26536741972929584</v>
      </c>
      <c r="AA29" s="17">
        <f>AA28/AA11</f>
        <v>0.25869794205040325</v>
      </c>
      <c r="AB29" s="17">
        <f>AB28/AB11</f>
        <v>0.25671282268238482</v>
      </c>
      <c r="AC29" s="17">
        <f>AC28/AC11</f>
        <v>0.26047574735784362</v>
      </c>
      <c r="AD29" s="17">
        <f>AD28/AD11</f>
        <v>0.27642408772432475</v>
      </c>
      <c r="AE29" s="17">
        <f>AE28/AE11</f>
        <v>0.2848153019124281</v>
      </c>
      <c r="AF29" s="17">
        <f>AF28/AF11</f>
        <v>0.28582515832608968</v>
      </c>
      <c r="AG29" s="43"/>
      <c r="AH29" s="77">
        <f>SUM(AF29-AB29)*1000</f>
        <v>29.112335643704856</v>
      </c>
    </row>
    <row r="30" spans="2:34" ht="5.0999999999999996" customHeight="1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2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28"/>
      <c r="Y30" s="17"/>
      <c r="Z30" s="17"/>
      <c r="AA30" s="17"/>
      <c r="AB30" s="17"/>
      <c r="AC30" s="17"/>
      <c r="AD30" s="17"/>
      <c r="AE30" s="17"/>
      <c r="AF30" s="17"/>
      <c r="AG30" s="43"/>
      <c r="AH30" s="77"/>
    </row>
    <row r="31" spans="2:34" ht="12.75" customHeight="1">
      <c r="B31" s="9" t="s">
        <v>143</v>
      </c>
      <c r="C31" s="82">
        <v>0</v>
      </c>
      <c r="D31" s="82">
        <v>-16.7</v>
      </c>
      <c r="E31" s="82">
        <v>6.2</v>
      </c>
      <c r="F31" s="82">
        <v>18.2</v>
      </c>
      <c r="G31" s="82">
        <v>88.6</v>
      </c>
      <c r="H31" s="82">
        <v>199.1</v>
      </c>
      <c r="I31" s="82">
        <v>138</v>
      </c>
      <c r="J31" s="82">
        <v>191.3</v>
      </c>
      <c r="K31" s="82">
        <v>209.8</v>
      </c>
      <c r="L31" s="32"/>
      <c r="M31" s="82">
        <v>41.2</v>
      </c>
      <c r="N31" s="82">
        <v>65.900000000000006</v>
      </c>
      <c r="O31" s="82">
        <v>47.6</v>
      </c>
      <c r="P31" s="32">
        <v>36.6</v>
      </c>
      <c r="Q31" s="82">
        <v>30.2</v>
      </c>
      <c r="R31" s="82">
        <v>46.8</v>
      </c>
      <c r="S31" s="82">
        <v>77.3</v>
      </c>
      <c r="T31" s="32">
        <v>55.5</v>
      </c>
      <c r="U31" s="82">
        <v>33</v>
      </c>
      <c r="V31" s="82">
        <v>88.8</v>
      </c>
      <c r="W31" s="82">
        <v>78.900000000000006</v>
      </c>
      <c r="Y31" s="32">
        <f t="shared" ref="Y31:AF31" si="49">SUM(M31:P31)</f>
        <v>191.3</v>
      </c>
      <c r="Z31" s="32">
        <f t="shared" si="49"/>
        <v>180.29999999999998</v>
      </c>
      <c r="AA31" s="32">
        <f t="shared" si="49"/>
        <v>161.19999999999999</v>
      </c>
      <c r="AB31" s="32">
        <f t="shared" si="49"/>
        <v>190.89999999999998</v>
      </c>
      <c r="AC31" s="32">
        <f t="shared" si="49"/>
        <v>209.8</v>
      </c>
      <c r="AD31" s="32">
        <f t="shared" si="49"/>
        <v>212.6</v>
      </c>
      <c r="AE31" s="32">
        <f t="shared" si="49"/>
        <v>254.60000000000002</v>
      </c>
      <c r="AF31" s="32">
        <f t="shared" si="49"/>
        <v>256.20000000000005</v>
      </c>
      <c r="AG31" s="11"/>
      <c r="AH31" s="75">
        <f>SUM(AF31/AB31)-1</f>
        <v>0.34206390780513396</v>
      </c>
    </row>
    <row r="32" spans="2:34" ht="12.75" customHeight="1">
      <c r="B32" s="13" t="s">
        <v>109</v>
      </c>
      <c r="C32" s="14">
        <f t="shared" ref="C32" si="50">SUM(C28+C31)</f>
        <v>1557.8000000000002</v>
      </c>
      <c r="D32" s="14">
        <f t="shared" ref="D32:E32" si="51">SUM(D28+D31)</f>
        <v>2066.7000000000007</v>
      </c>
      <c r="E32" s="14">
        <f t="shared" si="51"/>
        <v>2591.5999999999995</v>
      </c>
      <c r="F32" s="14">
        <f t="shared" ref="F32:G32" si="52">SUM(F28+F31)</f>
        <v>2592.3000000000002</v>
      </c>
      <c r="G32" s="14">
        <f t="shared" si="52"/>
        <v>3553.6999999999994</v>
      </c>
      <c r="H32" s="14">
        <f>SUM(H28+H31)</f>
        <v>5883.2000000000007</v>
      </c>
      <c r="I32" s="14">
        <f t="shared" ref="I32:K32" si="53">SUM(I28+I31)</f>
        <v>5624.2000000000025</v>
      </c>
      <c r="J32" s="14">
        <f t="shared" si="53"/>
        <v>7839</v>
      </c>
      <c r="K32" s="14">
        <f t="shared" si="53"/>
        <v>7571.6000000000013</v>
      </c>
      <c r="L32" s="11"/>
      <c r="M32" s="14">
        <f t="shared" ref="M32" si="54">SUM(M28+M31)</f>
        <v>1955.8</v>
      </c>
      <c r="N32" s="14">
        <f t="shared" ref="N32" si="55">SUM(N28+N31)</f>
        <v>1941.6999999999998</v>
      </c>
      <c r="O32" s="14">
        <f t="shared" ref="O32" si="56">SUM(O28+O31)</f>
        <v>1893.3999999999994</v>
      </c>
      <c r="P32" s="14">
        <f t="shared" ref="P32" si="57">SUM(P28+P31)</f>
        <v>2048.1</v>
      </c>
      <c r="Q32" s="14">
        <f t="shared" ref="Q32" si="58">SUM(Q28+Q31)</f>
        <v>1223.8</v>
      </c>
      <c r="R32" s="14">
        <f t="shared" ref="R32" si="59">SUM(R28+R31)</f>
        <v>1577.9000000000003</v>
      </c>
      <c r="S32" s="14">
        <f t="shared" ref="S32" si="60">SUM(S28+S31)</f>
        <v>2076.4999999999995</v>
      </c>
      <c r="T32" s="14">
        <f t="shared" ref="T32" si="61">SUM(T28+T31)</f>
        <v>2693.3999999999996</v>
      </c>
      <c r="U32" s="14">
        <f t="shared" ref="U32" si="62">SUM(U28+U31)</f>
        <v>2354.9999999999995</v>
      </c>
      <c r="V32" s="14">
        <f t="shared" ref="V32" si="63">SUM(V28+V31)</f>
        <v>2290.3000000000002</v>
      </c>
      <c r="W32" s="14">
        <f t="shared" ref="W32" si="64">SUM(W28+W31)</f>
        <v>2124.5</v>
      </c>
      <c r="Y32" s="14">
        <f t="shared" ref="Y32" si="65">SUM(Y28+Y31)</f>
        <v>7839</v>
      </c>
      <c r="Z32" s="14">
        <f t="shared" ref="Z32" si="66">SUM(Z28+Z31)</f>
        <v>7106.9999999999982</v>
      </c>
      <c r="AA32" s="14">
        <f t="shared" ref="AA32" si="67">SUM(AA28+AA31)</f>
        <v>6743.2</v>
      </c>
      <c r="AB32" s="14">
        <f t="shared" ref="AB32" si="68">SUM(AB28+AB31)</f>
        <v>6926.2999999999975</v>
      </c>
      <c r="AC32" s="14">
        <f t="shared" ref="AC32" si="69">SUM(AC28+AC31)</f>
        <v>7571.5999999999976</v>
      </c>
      <c r="AD32" s="14">
        <f t="shared" ref="AD32" si="70">SUM(AD28+AD31)</f>
        <v>8702.8000000000011</v>
      </c>
      <c r="AE32" s="14">
        <f t="shared" ref="AE32" si="71">SUM(AE28+AE31)</f>
        <v>9415.1999999999989</v>
      </c>
      <c r="AF32" s="14">
        <f t="shared" ref="AF32" si="72">SUM(AF28+AF31)</f>
        <v>9463.2000000000007</v>
      </c>
      <c r="AG32" s="43"/>
      <c r="AH32" s="76">
        <f>SUM(AF32/AB32)-1</f>
        <v>0.36627059180226151</v>
      </c>
    </row>
    <row r="33" spans="1:34" ht="12.75" customHeight="1">
      <c r="B33" s="16" t="s">
        <v>108</v>
      </c>
      <c r="C33" s="17">
        <f>C32/C11</f>
        <v>0.22658579511570742</v>
      </c>
      <c r="D33" s="17">
        <f>D32/D11</f>
        <v>0.23058899661932236</v>
      </c>
      <c r="E33" s="17">
        <f>E32/E11</f>
        <v>0.23680555555555552</v>
      </c>
      <c r="F33" s="17">
        <f>F32/F11</f>
        <v>0.21931472081218276</v>
      </c>
      <c r="G33" s="17">
        <f>G32/G11</f>
        <v>0.25422613298994878</v>
      </c>
      <c r="H33" s="17">
        <f>H32/H11</f>
        <v>0.31611412605448397</v>
      </c>
      <c r="I33" s="17">
        <f>I32/I11</f>
        <v>0.26562573795422567</v>
      </c>
      <c r="J33" s="17">
        <f>J32/J11</f>
        <v>0.28444944391022736</v>
      </c>
      <c r="K33" s="17">
        <f>K32/K11</f>
        <v>0.26789890634011376</v>
      </c>
      <c r="L33" s="27"/>
      <c r="M33" s="17">
        <f>M32/M11</f>
        <v>0.28991135750496577</v>
      </c>
      <c r="N33" s="17">
        <f>N32/N11</f>
        <v>0.28131202642597392</v>
      </c>
      <c r="O33" s="17">
        <f>O32/O11</f>
        <v>0.28374044657575292</v>
      </c>
      <c r="P33" s="17">
        <f>P32/P11</f>
        <v>0.28300400718529778</v>
      </c>
      <c r="Q33" s="17">
        <f>Q32/Q11</f>
        <v>0.23134215500945179</v>
      </c>
      <c r="R33" s="17">
        <f>R32/R11</f>
        <v>0.25275517396040242</v>
      </c>
      <c r="S33" s="17">
        <f>S32/S11</f>
        <v>0.27807909150563115</v>
      </c>
      <c r="T33" s="17">
        <f>T32/T11</f>
        <v>0.29077600725482572</v>
      </c>
      <c r="U33" s="17">
        <f>U32/U11</f>
        <v>0.30420461150939737</v>
      </c>
      <c r="V33" s="17">
        <f>V32/V11</f>
        <v>0.29776252323933594</v>
      </c>
      <c r="W33" s="17">
        <f>W32/W11</f>
        <v>0.28266365087812667</v>
      </c>
      <c r="Y33" s="17">
        <f>Y32/Y11</f>
        <v>0.28444944391022736</v>
      </c>
      <c r="Z33" s="17">
        <f>Z32/Z11</f>
        <v>0.2722748570049382</v>
      </c>
      <c r="AA33" s="17">
        <f>AA32/AA11</f>
        <v>0.26503372270347603</v>
      </c>
      <c r="AB33" s="17">
        <f>AB32/AB11</f>
        <v>0.26398877924770642</v>
      </c>
      <c r="AC33" s="17">
        <f>AC32/AC11</f>
        <v>0.26789890634011365</v>
      </c>
      <c r="AD33" s="17">
        <f>AD32/AD11</f>
        <v>0.28334592243377699</v>
      </c>
      <c r="AE33" s="17">
        <f>AE32/AE11</f>
        <v>0.29273115631791513</v>
      </c>
      <c r="AF33" s="17">
        <f>AF32/AF11</f>
        <v>0.29377871600645722</v>
      </c>
      <c r="AG33" s="43"/>
      <c r="AH33" s="77">
        <f>SUM(AF33-AB33)*1000</f>
        <v>29.789936758750802</v>
      </c>
    </row>
    <row r="34" spans="1:34" ht="5.0999999999999996" customHeight="1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2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28"/>
      <c r="Y34" s="17"/>
      <c r="Z34" s="17"/>
      <c r="AA34" s="17"/>
      <c r="AB34" s="17"/>
      <c r="AC34" s="17"/>
      <c r="AD34" s="17"/>
      <c r="AE34" s="17"/>
      <c r="AF34" s="17"/>
      <c r="AG34" s="43"/>
      <c r="AH34" s="77"/>
    </row>
    <row r="35" spans="1:34" ht="12.75" customHeight="1">
      <c r="B35" s="44" t="s">
        <v>87</v>
      </c>
      <c r="C35" s="82">
        <v>425.6</v>
      </c>
      <c r="D35" s="82">
        <v>429.8</v>
      </c>
      <c r="E35" s="82">
        <v>424.9</v>
      </c>
      <c r="F35" s="82">
        <v>420.8</v>
      </c>
      <c r="G35" s="82">
        <v>418.3</v>
      </c>
      <c r="H35" s="82">
        <v>409.8</v>
      </c>
      <c r="I35" s="82">
        <v>397.7</v>
      </c>
      <c r="J35" s="82">
        <v>393.8</v>
      </c>
      <c r="K35" s="82">
        <v>393.3</v>
      </c>
      <c r="L35" s="27"/>
      <c r="M35" s="82">
        <v>394.5</v>
      </c>
      <c r="N35" s="82">
        <v>393.8</v>
      </c>
      <c r="O35" s="82">
        <v>393.4</v>
      </c>
      <c r="P35" s="32">
        <v>393.4</v>
      </c>
      <c r="Q35" s="82">
        <v>393.4</v>
      </c>
      <c r="R35" s="82">
        <v>393.2</v>
      </c>
      <c r="S35" s="82">
        <v>393.2</v>
      </c>
      <c r="T35" s="32">
        <v>393.3</v>
      </c>
      <c r="U35" s="82">
        <v>392.3</v>
      </c>
      <c r="V35" s="82">
        <v>388.2</v>
      </c>
      <c r="W35" s="82">
        <v>387.3</v>
      </c>
      <c r="X35" s="133"/>
      <c r="Y35" s="32">
        <f t="shared" ref="Y35:AF35" si="73">P35</f>
        <v>393.4</v>
      </c>
      <c r="Z35" s="32">
        <f t="shared" si="73"/>
        <v>393.4</v>
      </c>
      <c r="AA35" s="32">
        <f t="shared" si="73"/>
        <v>393.2</v>
      </c>
      <c r="AB35" s="32">
        <f t="shared" si="73"/>
        <v>393.2</v>
      </c>
      <c r="AC35" s="32">
        <f t="shared" si="73"/>
        <v>393.3</v>
      </c>
      <c r="AD35" s="32">
        <f t="shared" si="73"/>
        <v>392.3</v>
      </c>
      <c r="AE35" s="32">
        <f t="shared" si="73"/>
        <v>388.2</v>
      </c>
      <c r="AF35" s="32">
        <f t="shared" si="73"/>
        <v>387.3</v>
      </c>
      <c r="AG35" s="43"/>
      <c r="AH35" s="75">
        <f>SUM(AF35/AB35)-1</f>
        <v>-1.500508646998977E-2</v>
      </c>
    </row>
    <row r="36" spans="1:34" ht="12.75" customHeight="1">
      <c r="B36" s="13" t="s">
        <v>62</v>
      </c>
      <c r="C36" s="145">
        <f t="shared" ref="C36" si="74">C32/C35</f>
        <v>3.6602443609022557</v>
      </c>
      <c r="D36" s="145">
        <f t="shared" ref="D36:E36" si="75">D32/D35</f>
        <v>4.808515588645883</v>
      </c>
      <c r="E36" s="145">
        <f t="shared" si="75"/>
        <v>6.0993174864674033</v>
      </c>
      <c r="F36" s="145">
        <f t="shared" ref="F36:G36" si="76">F32/F35</f>
        <v>6.1604087452471488</v>
      </c>
      <c r="G36" s="145">
        <f t="shared" si="76"/>
        <v>8.4955773368395864</v>
      </c>
      <c r="H36" s="145">
        <f>H32/H35</f>
        <v>14.356271351878966</v>
      </c>
      <c r="I36" s="145">
        <f>I32/I35</f>
        <v>14.141815438772952</v>
      </c>
      <c r="J36" s="145">
        <f>J32/J35</f>
        <v>19.906043676993399</v>
      </c>
      <c r="K36" s="145">
        <f>K32/K35</f>
        <v>19.251461988304097</v>
      </c>
      <c r="L36" s="27"/>
      <c r="M36" s="145">
        <f t="shared" ref="M36:W36" si="77">M32/M35</f>
        <v>4.9576679340937897</v>
      </c>
      <c r="N36" s="145">
        <f t="shared" si="77"/>
        <v>4.9306754697816144</v>
      </c>
      <c r="O36" s="145">
        <f t="shared" si="77"/>
        <v>4.8129130655821033</v>
      </c>
      <c r="P36" s="145">
        <f t="shared" si="77"/>
        <v>5.2061514997458058</v>
      </c>
      <c r="Q36" s="145">
        <f t="shared" si="77"/>
        <v>3.1108286731062531</v>
      </c>
      <c r="R36" s="145">
        <f t="shared" si="77"/>
        <v>4.0129704984740595</v>
      </c>
      <c r="S36" s="145">
        <f t="shared" si="77"/>
        <v>5.2810274669379442</v>
      </c>
      <c r="T36" s="145">
        <f t="shared" si="77"/>
        <v>6.8482074752097626</v>
      </c>
      <c r="U36" s="145">
        <f t="shared" si="77"/>
        <v>6.003058883507518</v>
      </c>
      <c r="V36" s="145">
        <f t="shared" si="77"/>
        <v>5.8997939206594543</v>
      </c>
      <c r="W36" s="145">
        <f t="shared" si="77"/>
        <v>5.4854118254583009</v>
      </c>
      <c r="X36" s="133"/>
      <c r="Y36" s="145">
        <f t="shared" ref="Y36:AF36" si="78">Y32/Y35</f>
        <v>19.92628368073208</v>
      </c>
      <c r="Z36" s="145">
        <f t="shared" si="78"/>
        <v>18.065582104728009</v>
      </c>
      <c r="AA36" s="145">
        <f t="shared" si="78"/>
        <v>17.149542217700915</v>
      </c>
      <c r="AB36" s="145">
        <f t="shared" si="78"/>
        <v>17.615208545269578</v>
      </c>
      <c r="AC36" s="145">
        <f t="shared" si="78"/>
        <v>19.251461988304087</v>
      </c>
      <c r="AD36" s="145">
        <f t="shared" si="78"/>
        <v>22.184042824369108</v>
      </c>
      <c r="AE36" s="145">
        <f t="shared" si="78"/>
        <v>24.253477588871714</v>
      </c>
      <c r="AF36" s="145">
        <f t="shared" si="78"/>
        <v>24.433772269558482</v>
      </c>
      <c r="AG36" s="43"/>
      <c r="AH36" s="76">
        <f>SUM(AF36/AB36)-1</f>
        <v>0.38708390574915863</v>
      </c>
    </row>
    <row r="37" spans="1:34" ht="5.0999999999999996" customHeight="1">
      <c r="B37" s="25"/>
      <c r="C37" s="48"/>
      <c r="D37" s="48"/>
      <c r="E37" s="48"/>
      <c r="F37" s="48"/>
      <c r="G37" s="48"/>
      <c r="H37" s="48"/>
      <c r="I37" s="48"/>
      <c r="J37" s="48"/>
      <c r="K37" s="48"/>
      <c r="L37" s="144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43"/>
      <c r="AH37" s="75"/>
    </row>
    <row r="38" spans="1:34" ht="12.75" customHeight="1">
      <c r="B38" s="44" t="s">
        <v>63</v>
      </c>
      <c r="C38" s="82">
        <v>427.7</v>
      </c>
      <c r="D38" s="82">
        <v>431.6</v>
      </c>
      <c r="E38" s="82">
        <v>426.4</v>
      </c>
      <c r="F38" s="82">
        <v>421.6</v>
      </c>
      <c r="G38" s="82">
        <v>419.1</v>
      </c>
      <c r="H38" s="82">
        <v>410.4</v>
      </c>
      <c r="I38" s="82">
        <v>398</v>
      </c>
      <c r="J38" s="82">
        <v>394.1</v>
      </c>
      <c r="K38" s="82">
        <v>393.6</v>
      </c>
      <c r="L38" s="144"/>
      <c r="M38" s="82">
        <v>394.8</v>
      </c>
      <c r="N38" s="82">
        <v>394</v>
      </c>
      <c r="O38" s="82">
        <v>393.7</v>
      </c>
      <c r="P38" s="32">
        <v>393.8</v>
      </c>
      <c r="Q38" s="82">
        <v>393.7</v>
      </c>
      <c r="R38" s="82">
        <v>393.5</v>
      </c>
      <c r="S38" s="82">
        <v>393.6</v>
      </c>
      <c r="T38" s="32">
        <v>393.6</v>
      </c>
      <c r="U38" s="82">
        <v>392.5</v>
      </c>
      <c r="V38" s="82">
        <v>388.4</v>
      </c>
      <c r="W38" s="82">
        <v>387.6</v>
      </c>
      <c r="X38" s="133"/>
      <c r="Y38" s="32">
        <f t="shared" ref="Y38:AF38" si="79">P38</f>
        <v>393.8</v>
      </c>
      <c r="Z38" s="32">
        <f t="shared" si="79"/>
        <v>393.7</v>
      </c>
      <c r="AA38" s="32">
        <f t="shared" si="79"/>
        <v>393.5</v>
      </c>
      <c r="AB38" s="32">
        <f t="shared" si="79"/>
        <v>393.6</v>
      </c>
      <c r="AC38" s="32">
        <f t="shared" si="79"/>
        <v>393.6</v>
      </c>
      <c r="AD38" s="32">
        <f t="shared" si="79"/>
        <v>392.5</v>
      </c>
      <c r="AE38" s="32">
        <f t="shared" si="79"/>
        <v>388.4</v>
      </c>
      <c r="AF38" s="32">
        <f t="shared" si="79"/>
        <v>387.6</v>
      </c>
      <c r="AG38" s="43"/>
      <c r="AH38" s="75">
        <f>SUM(AF38/AB38)-1</f>
        <v>-1.5243902439024404E-2</v>
      </c>
    </row>
    <row r="39" spans="1:34" ht="12.75" customHeight="1">
      <c r="B39" s="13" t="s">
        <v>86</v>
      </c>
      <c r="C39" s="145">
        <f t="shared" ref="C39" si="80">C32/C38</f>
        <v>3.6422726209960259</v>
      </c>
      <c r="D39" s="145">
        <f t="shared" ref="D39:E39" si="81">D32/D38</f>
        <v>4.7884615384615401</v>
      </c>
      <c r="E39" s="145">
        <f t="shared" si="81"/>
        <v>6.0778611632270163</v>
      </c>
      <c r="F39" s="145">
        <f t="shared" ref="F39:G39" si="82">F32/F38</f>
        <v>6.1487191650853887</v>
      </c>
      <c r="G39" s="145">
        <f t="shared" si="82"/>
        <v>8.4793605344786425</v>
      </c>
      <c r="H39" s="145">
        <f>H32/H38</f>
        <v>14.335282651072127</v>
      </c>
      <c r="I39" s="145">
        <f>I32/I38</f>
        <v>14.131155778894479</v>
      </c>
      <c r="J39" s="145">
        <f>J32/J38</f>
        <v>19.890890636894188</v>
      </c>
      <c r="K39" s="145">
        <f>K32/K38</f>
        <v>19.23678861788618</v>
      </c>
      <c r="L39" s="27"/>
      <c r="M39" s="145">
        <f t="shared" ref="M39:W39" si="83">M32/M38</f>
        <v>4.9539007092198579</v>
      </c>
      <c r="N39" s="145">
        <f t="shared" si="83"/>
        <v>4.9281725888324868</v>
      </c>
      <c r="O39" s="145">
        <f t="shared" si="83"/>
        <v>4.8092456184912358</v>
      </c>
      <c r="P39" s="145">
        <f t="shared" si="83"/>
        <v>5.2008633824276282</v>
      </c>
      <c r="Q39" s="145">
        <f t="shared" si="83"/>
        <v>3.1084582169164339</v>
      </c>
      <c r="R39" s="145">
        <f t="shared" si="83"/>
        <v>4.0099110546378665</v>
      </c>
      <c r="S39" s="145">
        <f t="shared" si="83"/>
        <v>5.2756605691056899</v>
      </c>
      <c r="T39" s="145">
        <f t="shared" si="83"/>
        <v>6.8429878048780477</v>
      </c>
      <c r="U39" s="145">
        <f t="shared" si="83"/>
        <v>5.9999999999999991</v>
      </c>
      <c r="V39" s="145">
        <f t="shared" si="83"/>
        <v>5.8967559217301755</v>
      </c>
      <c r="W39" s="145">
        <f t="shared" si="83"/>
        <v>5.481166150670794</v>
      </c>
      <c r="X39" s="133"/>
      <c r="Y39" s="145">
        <f t="shared" ref="Y39:AF39" si="84">Y32/Y38</f>
        <v>19.906043676993399</v>
      </c>
      <c r="Z39" s="145">
        <f t="shared" si="84"/>
        <v>18.051816103632202</v>
      </c>
      <c r="AA39" s="145">
        <f t="shared" si="84"/>
        <v>17.136467598475221</v>
      </c>
      <c r="AB39" s="145">
        <f t="shared" si="84"/>
        <v>17.597306910569099</v>
      </c>
      <c r="AC39" s="145">
        <f t="shared" si="84"/>
        <v>19.236788617886173</v>
      </c>
      <c r="AD39" s="145">
        <f t="shared" si="84"/>
        <v>22.172738853503187</v>
      </c>
      <c r="AE39" s="145">
        <f t="shared" si="84"/>
        <v>24.240988671472707</v>
      </c>
      <c r="AF39" s="145">
        <f t="shared" si="84"/>
        <v>24.414860681114551</v>
      </c>
      <c r="AG39" s="43"/>
      <c r="AH39" s="76">
        <f>SUM(AF39/AB39)-1</f>
        <v>0.38742029136576384</v>
      </c>
    </row>
    <row r="40" spans="1:34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2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28"/>
      <c r="Y40" s="17"/>
      <c r="Z40" s="17"/>
      <c r="AA40" s="17"/>
      <c r="AB40" s="17"/>
      <c r="AC40" s="17"/>
      <c r="AD40" s="17"/>
      <c r="AE40" s="17"/>
      <c r="AF40" s="17"/>
      <c r="AG40" s="43"/>
    </row>
    <row r="41" spans="1:34" ht="12.75" customHeight="1">
      <c r="A41" s="5" t="s">
        <v>16</v>
      </c>
      <c r="B41" s="106" t="s">
        <v>73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8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6"/>
      <c r="Y41" s="107"/>
      <c r="Z41" s="107"/>
      <c r="AA41" s="107" t="s">
        <v>10</v>
      </c>
      <c r="AB41" s="107"/>
      <c r="AC41" s="107"/>
      <c r="AD41" s="107"/>
      <c r="AE41" s="107"/>
      <c r="AF41" s="107"/>
      <c r="AG41" s="108"/>
      <c r="AH41" s="155" t="s">
        <v>22</v>
      </c>
    </row>
    <row r="42" spans="1:34" ht="12.75" customHeight="1">
      <c r="B42" s="110" t="str">
        <f>B7</f>
        <v>Fiscal Period</v>
      </c>
      <c r="C42" s="109">
        <f>C7</f>
        <v>2016</v>
      </c>
      <c r="D42" s="109">
        <f>D7</f>
        <v>2017</v>
      </c>
      <c r="E42" s="109">
        <f>E7</f>
        <v>2018</v>
      </c>
      <c r="F42" s="109">
        <f>F7</f>
        <v>2019</v>
      </c>
      <c r="G42" s="109">
        <f>G7</f>
        <v>2020</v>
      </c>
      <c r="H42" s="109">
        <f>H7</f>
        <v>2021</v>
      </c>
      <c r="I42" s="109">
        <f>I7</f>
        <v>2022</v>
      </c>
      <c r="J42" s="109">
        <f>J7</f>
        <v>2023</v>
      </c>
      <c r="K42" s="109">
        <f>K7</f>
        <v>2024</v>
      </c>
      <c r="L42" s="108"/>
      <c r="M42" s="109" t="str">
        <f>M7</f>
        <v>1Q23</v>
      </c>
      <c r="N42" s="109" t="str">
        <f>N7</f>
        <v>2Q23</v>
      </c>
      <c r="O42" s="109" t="str">
        <f>O7</f>
        <v>3Q23</v>
      </c>
      <c r="P42" s="109" t="str">
        <f>P7</f>
        <v>4Q23</v>
      </c>
      <c r="Q42" s="109" t="str">
        <f>Q7</f>
        <v>1Q24</v>
      </c>
      <c r="R42" s="109" t="str">
        <f>R7</f>
        <v>2Q24</v>
      </c>
      <c r="S42" s="109" t="str">
        <f>S7</f>
        <v>3Q24</v>
      </c>
      <c r="T42" s="109" t="str">
        <f>T7</f>
        <v>4Q24</v>
      </c>
      <c r="U42" s="109" t="str">
        <f>U7</f>
        <v>1Q25</v>
      </c>
      <c r="V42" s="109" t="str">
        <f>V7</f>
        <v>2Q25</v>
      </c>
      <c r="W42" s="109" t="str">
        <f>W7</f>
        <v>3Q25</v>
      </c>
      <c r="X42" s="111"/>
      <c r="Y42" s="109" t="str">
        <f>Y7</f>
        <v>4Q23</v>
      </c>
      <c r="Z42" s="109" t="str">
        <f>Z7</f>
        <v>1Q24</v>
      </c>
      <c r="AA42" s="109" t="str">
        <f>AA7</f>
        <v>2Q24</v>
      </c>
      <c r="AB42" s="109" t="str">
        <f>AB7</f>
        <v>3Q24</v>
      </c>
      <c r="AC42" s="109" t="str">
        <f>AC7</f>
        <v>4Q24</v>
      </c>
      <c r="AD42" s="109" t="str">
        <f>AD7</f>
        <v>1Q25</v>
      </c>
      <c r="AE42" s="109" t="str">
        <f>AE7</f>
        <v>2Q25</v>
      </c>
      <c r="AF42" s="109" t="str">
        <f>AF7</f>
        <v>3Q25</v>
      </c>
      <c r="AG42" s="108"/>
      <c r="AH42" s="155"/>
    </row>
    <row r="43" spans="1:34" ht="12.75" customHeight="1">
      <c r="B43" s="110" t="str">
        <f>B8</f>
        <v>Fiscal Period End Date</v>
      </c>
      <c r="C43" s="112" t="str">
        <f>C8</f>
        <v>12/31/2016</v>
      </c>
      <c r="D43" s="112" t="str">
        <f>D8</f>
        <v>12/31/2017</v>
      </c>
      <c r="E43" s="112" t="str">
        <f>E8</f>
        <v>12/31/2018</v>
      </c>
      <c r="F43" s="112" t="str">
        <f>F8</f>
        <v>12/31/2019</v>
      </c>
      <c r="G43" s="112" t="str">
        <f>G8</f>
        <v>12/31/2020</v>
      </c>
      <c r="H43" s="112" t="str">
        <f>H8</f>
        <v>12/31/2021</v>
      </c>
      <c r="I43" s="112" t="str">
        <f>I8</f>
        <v>12/31/2022</v>
      </c>
      <c r="J43" s="112">
        <f>J8</f>
        <v>45291</v>
      </c>
      <c r="K43" s="112">
        <f>K8</f>
        <v>45657</v>
      </c>
      <c r="L43" s="108"/>
      <c r="M43" s="112">
        <f>M8</f>
        <v>45018</v>
      </c>
      <c r="N43" s="112">
        <f>N8</f>
        <v>45109</v>
      </c>
      <c r="O43" s="112">
        <f>O8</f>
        <v>45200</v>
      </c>
      <c r="P43" s="112">
        <f>P8</f>
        <v>45291</v>
      </c>
      <c r="Q43" s="112">
        <f>Q8</f>
        <v>45382</v>
      </c>
      <c r="R43" s="112">
        <f>R8</f>
        <v>45473</v>
      </c>
      <c r="S43" s="112">
        <f>S8</f>
        <v>45564</v>
      </c>
      <c r="T43" s="112">
        <f>T8</f>
        <v>45655</v>
      </c>
      <c r="U43" s="112">
        <f>U8</f>
        <v>45746</v>
      </c>
      <c r="V43" s="112">
        <f>V8</f>
        <v>45837</v>
      </c>
      <c r="W43" s="112">
        <f>W8</f>
        <v>45928</v>
      </c>
      <c r="X43" s="113"/>
      <c r="Y43" s="112">
        <f>Y8</f>
        <v>45291</v>
      </c>
      <c r="Z43" s="112">
        <f>Z8</f>
        <v>45382</v>
      </c>
      <c r="AA43" s="112">
        <f>AA8</f>
        <v>45473</v>
      </c>
      <c r="AB43" s="112">
        <f>AB8</f>
        <v>45564</v>
      </c>
      <c r="AC43" s="112">
        <f>AC8</f>
        <v>45655</v>
      </c>
      <c r="AD43" s="112">
        <f>AD8</f>
        <v>45746</v>
      </c>
      <c r="AE43" s="112">
        <f>AE8</f>
        <v>45837</v>
      </c>
      <c r="AF43" s="112">
        <f>AF8</f>
        <v>45928</v>
      </c>
      <c r="AG43" s="108"/>
      <c r="AH43" s="155"/>
    </row>
    <row r="44" spans="1:34" ht="5.0999999999999996" customHeight="1">
      <c r="B44" s="46"/>
      <c r="C44" s="47"/>
      <c r="D44" s="47"/>
      <c r="E44" s="47"/>
      <c r="F44" s="47"/>
      <c r="G44" s="47"/>
      <c r="H44" s="47"/>
      <c r="I44" s="47"/>
      <c r="J44" s="47"/>
      <c r="K44" s="47"/>
    </row>
    <row r="45" spans="1:34">
      <c r="B45" s="78" t="s">
        <v>78</v>
      </c>
      <c r="C45" s="47"/>
      <c r="D45" s="47"/>
      <c r="E45" s="47"/>
      <c r="F45" s="47"/>
      <c r="G45" s="47"/>
      <c r="H45" s="47"/>
      <c r="I45" s="47"/>
      <c r="J45" s="47"/>
      <c r="K45" s="47"/>
    </row>
    <row r="46" spans="1:34" s="122" customFormat="1" ht="12.75" customHeight="1">
      <c r="B46" s="114" t="s">
        <v>146</v>
      </c>
      <c r="C46" s="123">
        <v>2906.8679999999999</v>
      </c>
      <c r="D46" s="123">
        <v>2259</v>
      </c>
      <c r="E46" s="123">
        <v>3121.1</v>
      </c>
      <c r="F46" s="123">
        <v>3532.3</v>
      </c>
      <c r="G46" s="123">
        <v>6049.4</v>
      </c>
      <c r="H46" s="123">
        <v>6951.8</v>
      </c>
      <c r="I46" s="123">
        <v>7268.3</v>
      </c>
      <c r="J46" s="123">
        <v>7004.7</v>
      </c>
      <c r="K46" s="123">
        <v>12735.9</v>
      </c>
      <c r="M46" s="82">
        <v>6647.7</v>
      </c>
      <c r="N46" s="82">
        <v>6341.3</v>
      </c>
      <c r="O46" s="82">
        <v>4975.5</v>
      </c>
      <c r="P46" s="32">
        <v>7004.7</v>
      </c>
      <c r="Q46" s="82">
        <v>5100.8</v>
      </c>
      <c r="R46" s="82">
        <v>4813.6000000000004</v>
      </c>
      <c r="S46" s="82">
        <v>4979.3</v>
      </c>
      <c r="T46" s="32">
        <v>12735.9</v>
      </c>
      <c r="U46" s="82">
        <v>9098.4</v>
      </c>
      <c r="V46" s="82">
        <v>7243.5</v>
      </c>
      <c r="W46" s="82">
        <v>5126.5</v>
      </c>
      <c r="Y46" s="96">
        <v>7243.5</v>
      </c>
      <c r="Z46" s="96"/>
      <c r="AA46" s="96">
        <v>5126.5</v>
      </c>
      <c r="AB46" s="96">
        <f t="shared" ref="AB46:AE53" si="85">S46</f>
        <v>4979.3</v>
      </c>
      <c r="AC46" s="96">
        <f t="shared" si="85"/>
        <v>12735.9</v>
      </c>
      <c r="AD46" s="96">
        <f t="shared" si="85"/>
        <v>9098.4</v>
      </c>
      <c r="AE46" s="96">
        <f t="shared" si="85"/>
        <v>7243.5</v>
      </c>
      <c r="AF46" s="96">
        <f t="shared" ref="AF46:AF53" si="86">W46</f>
        <v>5126.5</v>
      </c>
      <c r="AG46" s="124"/>
      <c r="AH46" s="75">
        <f>SUM(AF46/AB46)-1</f>
        <v>2.9562388287510233E-2</v>
      </c>
    </row>
    <row r="47" spans="1:34" s="122" customFormat="1" ht="12.75" customHeight="1">
      <c r="B47" s="114" t="s">
        <v>147</v>
      </c>
      <c r="C47" s="123">
        <v>1150</v>
      </c>
      <c r="D47" s="123">
        <v>1029.3</v>
      </c>
      <c r="E47" s="123">
        <v>913.3</v>
      </c>
      <c r="F47" s="123">
        <v>1185.8</v>
      </c>
      <c r="G47" s="123">
        <v>1302.2</v>
      </c>
      <c r="H47" s="123">
        <v>638.5</v>
      </c>
      <c r="I47" s="123">
        <v>107.7</v>
      </c>
      <c r="J47" s="123">
        <v>5.4</v>
      </c>
      <c r="K47" s="123">
        <v>5.4</v>
      </c>
      <c r="M47" s="82">
        <v>4.8</v>
      </c>
      <c r="N47" s="82">
        <v>5.0999999999999996</v>
      </c>
      <c r="O47" s="82">
        <v>5.4</v>
      </c>
      <c r="P47" s="32">
        <v>5.4</v>
      </c>
      <c r="Q47" s="82">
        <v>305.3</v>
      </c>
      <c r="R47" s="82">
        <v>205.3</v>
      </c>
      <c r="S47" s="82">
        <v>5.2</v>
      </c>
      <c r="T47" s="32">
        <v>5.4</v>
      </c>
      <c r="U47" s="82">
        <v>5.2</v>
      </c>
      <c r="V47" s="82">
        <v>5.4</v>
      </c>
      <c r="W47" s="82">
        <v>1.7</v>
      </c>
      <c r="Y47" s="96">
        <v>5.4</v>
      </c>
      <c r="Z47" s="96"/>
      <c r="AA47" s="96">
        <v>1.7</v>
      </c>
      <c r="AB47" s="96">
        <f t="shared" ref="AB47" si="87">S47</f>
        <v>5.2</v>
      </c>
      <c r="AC47" s="96">
        <f t="shared" ref="AC47" si="88">T47</f>
        <v>5.4</v>
      </c>
      <c r="AD47" s="96">
        <f t="shared" ref="AD47" si="89">U47</f>
        <v>5.2</v>
      </c>
      <c r="AE47" s="96">
        <f t="shared" ref="AE47" si="90">V47</f>
        <v>5.4</v>
      </c>
      <c r="AF47" s="96">
        <f t="shared" ref="AF47" si="91">W47</f>
        <v>1.7</v>
      </c>
      <c r="AG47" s="124"/>
      <c r="AH47" s="75">
        <f t="shared" ref="AH47" si="92">SUM(AF47/AB47)-1</f>
        <v>-0.67307692307692313</v>
      </c>
    </row>
    <row r="48" spans="1:34" s="122" customFormat="1" ht="12.75" customHeight="1">
      <c r="B48" s="114" t="s">
        <v>148</v>
      </c>
      <c r="C48" s="123">
        <v>700.20600000000002</v>
      </c>
      <c r="D48" s="123">
        <v>1740.3</v>
      </c>
      <c r="E48" s="123">
        <v>1498.2</v>
      </c>
      <c r="F48" s="123">
        <v>1786.8</v>
      </c>
      <c r="G48" s="123">
        <v>1310.3</v>
      </c>
      <c r="H48" s="123">
        <v>3028</v>
      </c>
      <c r="I48" s="123">
        <v>5323.8</v>
      </c>
      <c r="J48" s="123">
        <v>4334.1000000000004</v>
      </c>
      <c r="K48" s="123">
        <v>4477.5</v>
      </c>
      <c r="M48" s="82">
        <v>3454.7</v>
      </c>
      <c r="N48" s="82">
        <v>3963.6</v>
      </c>
      <c r="O48" s="82">
        <v>3910.5</v>
      </c>
      <c r="P48" s="32">
        <v>4334.1000000000004</v>
      </c>
      <c r="Q48" s="82">
        <v>3585.5</v>
      </c>
      <c r="R48" s="82">
        <v>4475.8</v>
      </c>
      <c r="S48" s="82">
        <v>5160.6000000000004</v>
      </c>
      <c r="T48" s="32">
        <v>4477.5</v>
      </c>
      <c r="U48" s="82">
        <v>4597.5</v>
      </c>
      <c r="V48" s="82">
        <v>4996.8999999999996</v>
      </c>
      <c r="W48" s="82">
        <v>5364.3</v>
      </c>
      <c r="Y48" s="96">
        <v>4996.8999999999996</v>
      </c>
      <c r="Z48" s="96"/>
      <c r="AA48" s="96">
        <v>5364.3</v>
      </c>
      <c r="AB48" s="96">
        <f t="shared" si="85"/>
        <v>5160.6000000000004</v>
      </c>
      <c r="AC48" s="96">
        <f t="shared" si="85"/>
        <v>4477.5</v>
      </c>
      <c r="AD48" s="96">
        <f t="shared" si="85"/>
        <v>4597.5</v>
      </c>
      <c r="AE48" s="96">
        <f t="shared" si="85"/>
        <v>4996.8999999999996</v>
      </c>
      <c r="AF48" s="96">
        <f t="shared" si="86"/>
        <v>5364.3</v>
      </c>
      <c r="AG48" s="124"/>
      <c r="AH48" s="75">
        <f t="shared" ref="AH48:AH53" si="93">SUM(AF48/AB48)-1</f>
        <v>3.9472154400651105E-2</v>
      </c>
    </row>
    <row r="49" spans="2:34" s="122" customFormat="1" ht="12.75" customHeight="1">
      <c r="B49" s="114" t="s">
        <v>149</v>
      </c>
      <c r="C49" s="123">
        <v>447.38400000000001</v>
      </c>
      <c r="D49" s="123">
        <v>59.1</v>
      </c>
      <c r="E49" s="123">
        <v>611.1</v>
      </c>
      <c r="F49" s="123">
        <v>564.5</v>
      </c>
      <c r="G49" s="123">
        <v>1710.5</v>
      </c>
      <c r="H49" s="123">
        <v>1185.5999999999999</v>
      </c>
      <c r="I49" s="123">
        <v>1356.7</v>
      </c>
      <c r="J49" s="123">
        <v>1379.2</v>
      </c>
      <c r="K49" s="123">
        <v>82.6</v>
      </c>
      <c r="M49" s="82">
        <v>1349.2</v>
      </c>
      <c r="N49" s="82">
        <v>1650.8</v>
      </c>
      <c r="O49" s="82">
        <v>1348.2</v>
      </c>
      <c r="P49" s="32">
        <v>1379.2</v>
      </c>
      <c r="Q49" s="82">
        <v>1441.2</v>
      </c>
      <c r="R49" s="82">
        <v>977</v>
      </c>
      <c r="S49" s="82">
        <v>640.70000000000005</v>
      </c>
      <c r="T49" s="32">
        <v>82.6</v>
      </c>
      <c r="U49" s="82">
        <v>381.7</v>
      </c>
      <c r="V49" s="82">
        <v>531.1</v>
      </c>
      <c r="W49" s="82">
        <v>666.2</v>
      </c>
      <c r="Y49" s="96">
        <v>531.1</v>
      </c>
      <c r="Z49" s="96"/>
      <c r="AA49" s="96">
        <v>666.2</v>
      </c>
      <c r="AB49" s="96">
        <f t="shared" si="85"/>
        <v>640.70000000000005</v>
      </c>
      <c r="AC49" s="96">
        <f t="shared" si="85"/>
        <v>82.6</v>
      </c>
      <c r="AD49" s="96">
        <f t="shared" si="85"/>
        <v>381.7</v>
      </c>
      <c r="AE49" s="96">
        <f t="shared" si="85"/>
        <v>531.1</v>
      </c>
      <c r="AF49" s="96">
        <f t="shared" ref="AF49:AF50" si="94">W49</f>
        <v>666.2</v>
      </c>
      <c r="AG49" s="124"/>
      <c r="AH49" s="75">
        <f t="shared" si="93"/>
        <v>3.9800218511003571E-2</v>
      </c>
    </row>
    <row r="50" spans="2:34" s="122" customFormat="1" ht="12.75" customHeight="1">
      <c r="B50" s="114" t="s">
        <v>150</v>
      </c>
      <c r="C50" s="123">
        <v>11.622</v>
      </c>
      <c r="D50" s="123">
        <v>61.6</v>
      </c>
      <c r="E50" s="123">
        <v>79.7</v>
      </c>
      <c r="F50" s="123">
        <v>178.7</v>
      </c>
      <c r="G50" s="123">
        <v>67.3</v>
      </c>
      <c r="H50" s="123">
        <v>42</v>
      </c>
      <c r="I50" s="123">
        <v>33.4</v>
      </c>
      <c r="J50" s="123">
        <v>1001.2</v>
      </c>
      <c r="K50" s="123">
        <v>283.60000000000002</v>
      </c>
      <c r="M50" s="82">
        <v>253.6</v>
      </c>
      <c r="N50" s="82">
        <v>595.79999999999995</v>
      </c>
      <c r="O50" s="82">
        <v>854.3</v>
      </c>
      <c r="P50" s="32">
        <v>1001.2</v>
      </c>
      <c r="Q50" s="82">
        <v>649.29999999999995</v>
      </c>
      <c r="R50" s="82">
        <v>684.8</v>
      </c>
      <c r="S50" s="82">
        <v>324.39999999999998</v>
      </c>
      <c r="T50" s="32">
        <v>283.60000000000002</v>
      </c>
      <c r="U50" s="82">
        <v>143.19999999999999</v>
      </c>
      <c r="V50" s="82">
        <v>98.5</v>
      </c>
      <c r="W50" s="82">
        <v>93</v>
      </c>
      <c r="Y50" s="96">
        <v>98.5</v>
      </c>
      <c r="Z50" s="96"/>
      <c r="AA50" s="96">
        <v>93</v>
      </c>
      <c r="AB50" s="96">
        <f t="shared" si="85"/>
        <v>324.39999999999998</v>
      </c>
      <c r="AC50" s="96">
        <f t="shared" si="85"/>
        <v>283.60000000000002</v>
      </c>
      <c r="AD50" s="96">
        <f t="shared" si="85"/>
        <v>143.19999999999999</v>
      </c>
      <c r="AE50" s="96">
        <f t="shared" si="85"/>
        <v>98.5</v>
      </c>
      <c r="AF50" s="96">
        <f t="shared" si="94"/>
        <v>93</v>
      </c>
      <c r="AG50" s="124"/>
      <c r="AH50" s="75">
        <f t="shared" si="93"/>
        <v>-0.71331689272503085</v>
      </c>
    </row>
    <row r="51" spans="2:34" s="122" customFormat="1" ht="12.75" customHeight="1">
      <c r="B51" s="114" t="s">
        <v>151</v>
      </c>
      <c r="C51" s="123">
        <v>0</v>
      </c>
      <c r="D51" s="123">
        <v>270.39999999999998</v>
      </c>
      <c r="E51" s="123">
        <v>95.9</v>
      </c>
      <c r="F51" s="123">
        <v>231</v>
      </c>
      <c r="G51" s="123">
        <v>119.2</v>
      </c>
      <c r="H51" s="123">
        <v>164.6</v>
      </c>
      <c r="I51" s="123">
        <v>131.9</v>
      </c>
      <c r="J51" s="123">
        <v>240.1</v>
      </c>
      <c r="K51" s="123">
        <v>320.60000000000002</v>
      </c>
      <c r="M51" s="82">
        <v>236.4</v>
      </c>
      <c r="N51" s="82">
        <v>191.9</v>
      </c>
      <c r="O51" s="82">
        <v>266.5</v>
      </c>
      <c r="P51" s="32">
        <v>240.1</v>
      </c>
      <c r="Q51" s="82">
        <v>302.60000000000002</v>
      </c>
      <c r="R51" s="82">
        <v>435</v>
      </c>
      <c r="S51" s="82">
        <v>553.6</v>
      </c>
      <c r="T51" s="32">
        <v>320.60000000000002</v>
      </c>
      <c r="U51" s="82">
        <v>407.3</v>
      </c>
      <c r="V51" s="82">
        <v>275.3</v>
      </c>
      <c r="W51" s="82">
        <v>366.7</v>
      </c>
      <c r="Y51" s="96">
        <v>275.3</v>
      </c>
      <c r="Z51" s="96"/>
      <c r="AA51" s="96">
        <v>366.7</v>
      </c>
      <c r="AB51" s="96">
        <f t="shared" ref="AB51" si="95">S51</f>
        <v>553.6</v>
      </c>
      <c r="AC51" s="96">
        <f t="shared" ref="AC51" si="96">T51</f>
        <v>320.60000000000002</v>
      </c>
      <c r="AD51" s="96">
        <f t="shared" ref="AD51" si="97">U51</f>
        <v>407.3</v>
      </c>
      <c r="AE51" s="96">
        <f t="shared" ref="AE51" si="98">V51</f>
        <v>275.3</v>
      </c>
      <c r="AF51" s="96">
        <f t="shared" si="86"/>
        <v>366.7</v>
      </c>
      <c r="AG51" s="124"/>
      <c r="AH51" s="75">
        <f t="shared" ref="AH51" si="99">SUM(AF51/AB51)-1</f>
        <v>-0.33760838150289019</v>
      </c>
    </row>
    <row r="52" spans="2:34" s="122" customFormat="1" ht="12.75" customHeight="1">
      <c r="B52" s="114" t="s">
        <v>152</v>
      </c>
      <c r="C52" s="123">
        <v>2780.8780000000002</v>
      </c>
      <c r="D52" s="123">
        <v>2955.6</v>
      </c>
      <c r="E52" s="123">
        <v>3439.5</v>
      </c>
      <c r="F52" s="123">
        <v>3809.2</v>
      </c>
      <c r="G52" s="123">
        <v>4569.3999999999996</v>
      </c>
      <c r="H52" s="123">
        <v>5179.2</v>
      </c>
      <c r="I52" s="123">
        <v>7199.7</v>
      </c>
      <c r="J52" s="123">
        <v>8850.7000000000007</v>
      </c>
      <c r="K52" s="123">
        <v>10891.5</v>
      </c>
      <c r="M52" s="82">
        <v>7392</v>
      </c>
      <c r="N52" s="82">
        <v>7734.4</v>
      </c>
      <c r="O52" s="82">
        <v>8378.5</v>
      </c>
      <c r="P52" s="32">
        <v>8850.7000000000007</v>
      </c>
      <c r="Q52" s="82">
        <v>9864.5</v>
      </c>
      <c r="R52" s="82">
        <v>10972.3</v>
      </c>
      <c r="S52" s="82">
        <v>11414.5</v>
      </c>
      <c r="T52" s="32">
        <v>10891.5</v>
      </c>
      <c r="U52" s="82">
        <v>11024.7</v>
      </c>
      <c r="V52" s="82">
        <v>11575.8</v>
      </c>
      <c r="W52" s="82">
        <v>11762.8</v>
      </c>
      <c r="Y52" s="96">
        <v>11575.8</v>
      </c>
      <c r="Z52" s="96"/>
      <c r="AA52" s="96">
        <v>11762.8</v>
      </c>
      <c r="AB52" s="96">
        <f t="shared" si="85"/>
        <v>11414.5</v>
      </c>
      <c r="AC52" s="96">
        <f t="shared" si="85"/>
        <v>10891.5</v>
      </c>
      <c r="AD52" s="96">
        <f t="shared" si="85"/>
        <v>11024.7</v>
      </c>
      <c r="AE52" s="96">
        <f t="shared" si="85"/>
        <v>11575.8</v>
      </c>
      <c r="AF52" s="96">
        <f t="shared" si="86"/>
        <v>11762.8</v>
      </c>
      <c r="AG52" s="124"/>
      <c r="AH52" s="75">
        <f t="shared" si="93"/>
        <v>3.0513820141048642E-2</v>
      </c>
    </row>
    <row r="53" spans="2:34" s="122" customFormat="1" ht="12.75" customHeight="1">
      <c r="B53" s="114" t="s">
        <v>154</v>
      </c>
      <c r="C53" s="123">
        <v>560.471</v>
      </c>
      <c r="D53" s="123">
        <v>510.5</v>
      </c>
      <c r="E53" s="123">
        <v>772.6</v>
      </c>
      <c r="F53" s="123">
        <v>842.8</v>
      </c>
      <c r="G53" s="123">
        <v>801.7</v>
      </c>
      <c r="H53" s="123">
        <v>1000.5</v>
      </c>
      <c r="I53" s="123">
        <v>1643.4</v>
      </c>
      <c r="J53" s="123">
        <v>1578.5</v>
      </c>
      <c r="K53" s="123">
        <v>1940.3</v>
      </c>
      <c r="M53" s="82">
        <v>1722.4</v>
      </c>
      <c r="N53" s="82">
        <v>1915.3</v>
      </c>
      <c r="O53" s="82">
        <v>1916.8</v>
      </c>
      <c r="P53" s="32">
        <v>1578.5</v>
      </c>
      <c r="Q53" s="82">
        <v>1890.5</v>
      </c>
      <c r="R53" s="82">
        <v>1889.4</v>
      </c>
      <c r="S53" s="82">
        <v>1785.7</v>
      </c>
      <c r="T53" s="32">
        <v>1940.3</v>
      </c>
      <c r="U53" s="82">
        <f>1848.6+17.8</f>
        <v>1866.3999999999999</v>
      </c>
      <c r="V53" s="82">
        <f>1966.2+17.8</f>
        <v>1984</v>
      </c>
      <c r="W53" s="82">
        <f>1575.1+190</f>
        <v>1765.1</v>
      </c>
      <c r="Y53" s="96">
        <v>1966.2</v>
      </c>
      <c r="Z53" s="96"/>
      <c r="AA53" s="96">
        <v>1575.1</v>
      </c>
      <c r="AB53" s="96">
        <f t="shared" si="85"/>
        <v>1785.7</v>
      </c>
      <c r="AC53" s="96">
        <f t="shared" si="85"/>
        <v>1940.3</v>
      </c>
      <c r="AD53" s="96">
        <f t="shared" si="85"/>
        <v>1866.3999999999999</v>
      </c>
      <c r="AE53" s="96">
        <f t="shared" si="85"/>
        <v>1984</v>
      </c>
      <c r="AF53" s="96">
        <f t="shared" si="86"/>
        <v>1765.1</v>
      </c>
      <c r="AG53" s="124"/>
      <c r="AH53" s="75">
        <f t="shared" si="93"/>
        <v>-1.153609228873842E-2</v>
      </c>
    </row>
    <row r="54" spans="2:34" ht="12.75" customHeight="1">
      <c r="B54" s="25" t="s">
        <v>18</v>
      </c>
      <c r="C54" s="26">
        <f>SUM(C46:C53)</f>
        <v>8557.4290000000001</v>
      </c>
      <c r="D54" s="26">
        <f>SUM(D46:D53)</f>
        <v>8885.8000000000011</v>
      </c>
      <c r="E54" s="26">
        <f>SUM(E46:E53)</f>
        <v>10531.4</v>
      </c>
      <c r="F54" s="26">
        <f>SUM(F46:F53)</f>
        <v>12131.099999999999</v>
      </c>
      <c r="G54" s="26">
        <f>SUM(G46:G53)</f>
        <v>15930</v>
      </c>
      <c r="H54" s="26">
        <f>SUM(H46:H53)</f>
        <v>18190.2</v>
      </c>
      <c r="I54" s="26">
        <f>SUM(I46:I53)</f>
        <v>23064.9</v>
      </c>
      <c r="J54" s="26">
        <f>SUM(J46:J53)</f>
        <v>24393.9</v>
      </c>
      <c r="K54" s="26">
        <f>SUM(K46:K53)</f>
        <v>30737.399999999994</v>
      </c>
      <c r="L54" s="48"/>
      <c r="M54" s="26">
        <f>SUM(M46:M53)</f>
        <v>21060.800000000003</v>
      </c>
      <c r="N54" s="26">
        <f>SUM(N46:N53)</f>
        <v>22398.199999999997</v>
      </c>
      <c r="O54" s="26">
        <f>SUM(O46:O53)</f>
        <v>21655.7</v>
      </c>
      <c r="P54" s="26">
        <f>SUM(P46:P53)</f>
        <v>24393.9</v>
      </c>
      <c r="Q54" s="26">
        <f>SUM(Q46:Q53)</f>
        <v>23139.7</v>
      </c>
      <c r="R54" s="26">
        <f>SUM(R46:R53)</f>
        <v>24453.200000000001</v>
      </c>
      <c r="S54" s="26">
        <f>SUM(S46:S53)</f>
        <v>24864.000000000004</v>
      </c>
      <c r="T54" s="26">
        <f>SUM(T46:T53)</f>
        <v>30737.399999999994</v>
      </c>
      <c r="U54" s="26">
        <f>SUM(U46:U53)</f>
        <v>27524.400000000001</v>
      </c>
      <c r="V54" s="26">
        <f>SUM(V46:V53)</f>
        <v>26710.5</v>
      </c>
      <c r="W54" s="26">
        <f>SUM(W46:W53)</f>
        <v>25146.3</v>
      </c>
      <c r="X54" s="48"/>
      <c r="Y54" s="26">
        <f>SUM(Y46:Y53)</f>
        <v>26692.7</v>
      </c>
      <c r="Z54" s="26">
        <f>SUM(Z46:Z53)</f>
        <v>0</v>
      </c>
      <c r="AA54" s="26">
        <f>SUM(AA46:AA53)</f>
        <v>24956.3</v>
      </c>
      <c r="AB54" s="26">
        <f>SUM(AB46:AB53)</f>
        <v>24864.000000000004</v>
      </c>
      <c r="AC54" s="26">
        <f>SUM(AC46:AC53)</f>
        <v>30737.399999999994</v>
      </c>
      <c r="AD54" s="26">
        <f>SUM(AD46:AD53)</f>
        <v>27524.400000000001</v>
      </c>
      <c r="AE54" s="26">
        <f>SUM(AE46:AE53)</f>
        <v>26710.5</v>
      </c>
      <c r="AF54" s="26">
        <f>SUM(AF46:AF53)</f>
        <v>25146.3</v>
      </c>
      <c r="AG54" s="42"/>
      <c r="AH54" s="76">
        <f>SUM(AF54/AB54)-1</f>
        <v>1.1353764478764239E-2</v>
      </c>
    </row>
    <row r="55" spans="2:34" ht="5.0999999999999996" customHeight="1">
      <c r="B55" s="25"/>
      <c r="C55" s="49"/>
      <c r="D55" s="49"/>
      <c r="E55" s="49"/>
      <c r="F55" s="49"/>
      <c r="G55" s="49"/>
      <c r="H55" s="49"/>
      <c r="I55" s="49"/>
      <c r="J55" s="41"/>
      <c r="K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Y55" s="42"/>
      <c r="Z55" s="42"/>
      <c r="AA55" s="42"/>
      <c r="AB55" s="42"/>
      <c r="AC55" s="42"/>
      <c r="AD55" s="42"/>
      <c r="AE55" s="42"/>
      <c r="AF55" s="42"/>
      <c r="AG55" s="42"/>
      <c r="AH55" s="39"/>
    </row>
    <row r="56" spans="2:34" ht="12.75" customHeight="1">
      <c r="B56" s="78" t="s">
        <v>79</v>
      </c>
      <c r="C56" s="82"/>
      <c r="D56" s="82"/>
      <c r="E56" s="82"/>
      <c r="F56" s="82"/>
      <c r="G56" s="82"/>
      <c r="H56" s="82"/>
      <c r="I56" s="82"/>
      <c r="J56" s="82"/>
      <c r="K56" s="82"/>
      <c r="M56" s="82"/>
      <c r="N56" s="82"/>
      <c r="O56" s="82"/>
      <c r="P56" s="82"/>
      <c r="Q56" s="82"/>
      <c r="R56" s="82"/>
      <c r="S56" s="82"/>
      <c r="T56" s="82"/>
      <c r="U56" s="32"/>
      <c r="V56" s="82"/>
      <c r="W56" s="82"/>
      <c r="Y56" s="32"/>
      <c r="Z56" s="32"/>
      <c r="AA56" s="32"/>
      <c r="AB56" s="32"/>
      <c r="AC56" s="32"/>
      <c r="AD56" s="32"/>
      <c r="AE56" s="32"/>
      <c r="AF56" s="32"/>
      <c r="AG56" s="11"/>
      <c r="AH56" s="75"/>
    </row>
    <row r="57" spans="2:34" ht="12.75" customHeight="1">
      <c r="B57" s="9" t="s">
        <v>149</v>
      </c>
      <c r="C57" s="82">
        <v>117.232</v>
      </c>
      <c r="D57" s="82">
        <v>159.4</v>
      </c>
      <c r="E57" s="82">
        <v>275.10000000000002</v>
      </c>
      <c r="F57" s="82">
        <v>421.1</v>
      </c>
      <c r="G57" s="82">
        <v>400.5</v>
      </c>
      <c r="H57" s="82">
        <v>383</v>
      </c>
      <c r="I57" s="82">
        <v>0</v>
      </c>
      <c r="J57" s="82">
        <v>60.6</v>
      </c>
      <c r="K57" s="82">
        <v>317.2</v>
      </c>
      <c r="M57" s="82">
        <v>58.3</v>
      </c>
      <c r="N57" s="82">
        <v>71.7</v>
      </c>
      <c r="O57" s="82">
        <v>423.4</v>
      </c>
      <c r="P57" s="32">
        <v>60.6</v>
      </c>
      <c r="Q57" s="82">
        <v>13.8</v>
      </c>
      <c r="R57" s="82">
        <v>64</v>
      </c>
      <c r="S57" s="82">
        <v>370.5</v>
      </c>
      <c r="T57" s="32">
        <v>317.2</v>
      </c>
      <c r="U57" s="82">
        <v>153.4</v>
      </c>
      <c r="V57" s="82">
        <v>175.1</v>
      </c>
      <c r="W57" s="82">
        <v>0</v>
      </c>
      <c r="Y57" s="32">
        <f t="shared" ref="Y57:AE65" si="100">P57</f>
        <v>60.6</v>
      </c>
      <c r="Z57" s="32">
        <f t="shared" si="100"/>
        <v>13.8</v>
      </c>
      <c r="AA57" s="32">
        <f t="shared" si="100"/>
        <v>64</v>
      </c>
      <c r="AB57" s="32">
        <f t="shared" si="100"/>
        <v>370.5</v>
      </c>
      <c r="AC57" s="32">
        <f t="shared" si="100"/>
        <v>317.2</v>
      </c>
      <c r="AD57" s="32">
        <f t="shared" si="100"/>
        <v>153.4</v>
      </c>
      <c r="AE57" s="32">
        <f t="shared" si="100"/>
        <v>175.1</v>
      </c>
      <c r="AF57" s="32">
        <f>W57</f>
        <v>0</v>
      </c>
      <c r="AG57" s="11"/>
      <c r="AH57" s="75">
        <f t="shared" ref="AH57:AH66" si="101">SUM(AF57/AB57)-1</f>
        <v>-1</v>
      </c>
    </row>
    <row r="58" spans="2:34" ht="12.75" customHeight="1">
      <c r="B58" s="9" t="s">
        <v>155</v>
      </c>
      <c r="C58" s="82">
        <v>34.94</v>
      </c>
      <c r="D58" s="82">
        <v>31.7</v>
      </c>
      <c r="E58" s="82">
        <v>236.3</v>
      </c>
      <c r="F58" s="82">
        <v>445.3</v>
      </c>
      <c r="G58" s="82">
        <v>671.5</v>
      </c>
      <c r="H58" s="82">
        <v>1098.7</v>
      </c>
      <c r="I58" s="82">
        <v>1672.8</v>
      </c>
      <c r="J58" s="82">
        <v>1872.3</v>
      </c>
      <c r="K58" s="82">
        <v>1940.7</v>
      </c>
      <c r="M58" s="82">
        <v>1667.4</v>
      </c>
      <c r="N58" s="82">
        <v>1679.1</v>
      </c>
      <c r="O58" s="82">
        <v>1827.4</v>
      </c>
      <c r="P58" s="32">
        <v>1872.3</v>
      </c>
      <c r="Q58" s="82">
        <v>1875.2</v>
      </c>
      <c r="R58" s="82">
        <v>1872.4</v>
      </c>
      <c r="S58" s="82">
        <v>1939</v>
      </c>
      <c r="T58" s="32">
        <v>1940.7</v>
      </c>
      <c r="U58" s="82">
        <v>1861</v>
      </c>
      <c r="V58" s="82">
        <v>1830.4</v>
      </c>
      <c r="W58" s="82">
        <v>1838.6</v>
      </c>
      <c r="Y58" s="32">
        <f t="shared" si="100"/>
        <v>1872.3</v>
      </c>
      <c r="Z58" s="32">
        <f t="shared" si="100"/>
        <v>1875.2</v>
      </c>
      <c r="AA58" s="32">
        <f t="shared" si="100"/>
        <v>1872.4</v>
      </c>
      <c r="AB58" s="32">
        <f t="shared" si="100"/>
        <v>1939</v>
      </c>
      <c r="AC58" s="32">
        <f t="shared" si="100"/>
        <v>1940.7</v>
      </c>
      <c r="AD58" s="32">
        <f t="shared" si="100"/>
        <v>1861</v>
      </c>
      <c r="AE58" s="32">
        <f t="shared" si="100"/>
        <v>1830.4</v>
      </c>
      <c r="AF58" s="32">
        <f>W58</f>
        <v>1838.6</v>
      </c>
      <c r="AG58" s="11"/>
      <c r="AH58" s="75">
        <f t="shared" si="101"/>
        <v>-5.1779267663744299E-2</v>
      </c>
    </row>
    <row r="59" spans="2:34" ht="12.75" customHeight="1">
      <c r="B59" s="9" t="s">
        <v>153</v>
      </c>
      <c r="C59" s="82">
        <v>0</v>
      </c>
      <c r="D59" s="82">
        <v>0</v>
      </c>
      <c r="E59" s="82">
        <v>0</v>
      </c>
      <c r="F59" s="82">
        <v>0</v>
      </c>
      <c r="G59" s="82">
        <v>0</v>
      </c>
      <c r="H59" s="82">
        <v>0</v>
      </c>
      <c r="I59" s="82">
        <v>364.4</v>
      </c>
      <c r="J59" s="82">
        <v>929.2</v>
      </c>
      <c r="K59" s="82">
        <v>1456.6</v>
      </c>
      <c r="M59" s="82">
        <v>364.4</v>
      </c>
      <c r="N59" s="82">
        <v>364.4</v>
      </c>
      <c r="O59" s="82">
        <v>920.7</v>
      </c>
      <c r="P59" s="32">
        <v>929.2</v>
      </c>
      <c r="Q59" s="82">
        <v>929.5</v>
      </c>
      <c r="R59" s="82">
        <v>929.3</v>
      </c>
      <c r="S59" s="82">
        <v>928.6</v>
      </c>
      <c r="T59" s="32">
        <v>1456.6</v>
      </c>
      <c r="U59" s="82">
        <v>1443.4</v>
      </c>
      <c r="V59" s="82">
        <v>1444.9</v>
      </c>
      <c r="W59" s="82">
        <v>1686</v>
      </c>
      <c r="Y59" s="32">
        <f t="shared" ref="Y59:Y63" si="102">P59</f>
        <v>929.2</v>
      </c>
      <c r="Z59" s="32">
        <f t="shared" ref="Z59:Z63" si="103">Q59</f>
        <v>929.5</v>
      </c>
      <c r="AA59" s="32">
        <f t="shared" ref="AA59:AA63" si="104">R59</f>
        <v>929.3</v>
      </c>
      <c r="AB59" s="32">
        <f t="shared" ref="AB59:AB63" si="105">S59</f>
        <v>928.6</v>
      </c>
      <c r="AC59" s="32">
        <f t="shared" ref="AC59:AC63" si="106">T59</f>
        <v>1456.6</v>
      </c>
      <c r="AD59" s="32">
        <f t="shared" ref="AD59:AD63" si="107">U59</f>
        <v>1443.4</v>
      </c>
      <c r="AE59" s="32">
        <f t="shared" ref="AE59:AE63" si="108">V59</f>
        <v>1444.9</v>
      </c>
      <c r="AF59" s="32">
        <f t="shared" ref="AF59:AF63" si="109">W59</f>
        <v>1686</v>
      </c>
      <c r="AG59" s="11"/>
      <c r="AH59" s="75">
        <f t="shared" ref="AH59:AH63" si="110">SUM(AF59/AB59)-1</f>
        <v>0.81563644195563212</v>
      </c>
    </row>
    <row r="60" spans="2:34" ht="12.75" customHeight="1">
      <c r="B60" s="9" t="s">
        <v>154</v>
      </c>
      <c r="C60" s="82">
        <v>612.30499999999995</v>
      </c>
      <c r="D60" s="82">
        <v>708.2</v>
      </c>
      <c r="E60" s="82">
        <v>806.1</v>
      </c>
      <c r="F60" s="82">
        <v>830.4</v>
      </c>
      <c r="G60" s="82">
        <v>951.5</v>
      </c>
      <c r="H60" s="82">
        <v>1011.4</v>
      </c>
      <c r="I60" s="82">
        <v>739.8</v>
      </c>
      <c r="J60" s="82">
        <v>651.79999999999995</v>
      </c>
      <c r="K60" s="82">
        <v>790.8</v>
      </c>
      <c r="M60" s="82">
        <v>1012.8</v>
      </c>
      <c r="N60" s="82">
        <v>996.3</v>
      </c>
      <c r="O60" s="82">
        <v>859.2</v>
      </c>
      <c r="P60" s="32">
        <v>651.79999999999995</v>
      </c>
      <c r="Q60" s="82">
        <v>648.5</v>
      </c>
      <c r="R60" s="82">
        <v>702.8</v>
      </c>
      <c r="S60" s="82">
        <v>733.5</v>
      </c>
      <c r="T60" s="32">
        <v>790.8</v>
      </c>
      <c r="U60" s="82">
        <v>859.2</v>
      </c>
      <c r="V60" s="82">
        <v>843.7</v>
      </c>
      <c r="W60" s="82">
        <v>918.5</v>
      </c>
      <c r="Y60" s="32">
        <f t="shared" ref="Y60:Y62" si="111">P60</f>
        <v>651.79999999999995</v>
      </c>
      <c r="Z60" s="32">
        <f t="shared" ref="Z60:Z62" si="112">Q60</f>
        <v>648.5</v>
      </c>
      <c r="AA60" s="32">
        <f t="shared" ref="AA60:AA62" si="113">R60</f>
        <v>702.8</v>
      </c>
      <c r="AB60" s="32">
        <f t="shared" ref="AB60:AB62" si="114">S60</f>
        <v>733.5</v>
      </c>
      <c r="AC60" s="32">
        <f t="shared" ref="AC60:AC62" si="115">T60</f>
        <v>790.8</v>
      </c>
      <c r="AD60" s="32">
        <f t="shared" ref="AD60:AD62" si="116">U60</f>
        <v>859.2</v>
      </c>
      <c r="AE60" s="32">
        <f t="shared" ref="AE60:AE62" si="117">V60</f>
        <v>843.7</v>
      </c>
      <c r="AF60" s="32">
        <f t="shared" ref="AF60:AF62" si="118">W60</f>
        <v>918.5</v>
      </c>
      <c r="AG60" s="11"/>
      <c r="AH60" s="75">
        <f t="shared" ref="AH60:AH62" si="119">SUM(AF60/AB60)-1</f>
        <v>0.25221540558963862</v>
      </c>
    </row>
    <row r="61" spans="2:34" ht="12.75" customHeight="1">
      <c r="B61" s="9" t="s">
        <v>156</v>
      </c>
      <c r="C61" s="82">
        <v>0</v>
      </c>
      <c r="D61" s="82">
        <v>982.2</v>
      </c>
      <c r="E61" s="82">
        <v>915.8</v>
      </c>
      <c r="F61" s="82">
        <v>833</v>
      </c>
      <c r="G61" s="82">
        <v>820.7</v>
      </c>
      <c r="H61" s="82">
        <v>892.5</v>
      </c>
      <c r="I61" s="82">
        <v>923.6</v>
      </c>
      <c r="J61" s="82">
        <v>919.6</v>
      </c>
      <c r="K61" s="82">
        <v>903</v>
      </c>
      <c r="M61" s="82">
        <v>969.6</v>
      </c>
      <c r="N61" s="82">
        <v>1040.4000000000001</v>
      </c>
      <c r="O61" s="82">
        <v>1094.3</v>
      </c>
      <c r="P61" s="32">
        <v>919.6</v>
      </c>
      <c r="Q61" s="82">
        <v>951.5</v>
      </c>
      <c r="R61" s="82">
        <v>1002.3</v>
      </c>
      <c r="S61" s="82">
        <v>1083.4000000000001</v>
      </c>
      <c r="T61" s="32">
        <v>903</v>
      </c>
      <c r="U61" s="82">
        <v>938.9</v>
      </c>
      <c r="V61" s="82">
        <v>1029.2</v>
      </c>
      <c r="W61" s="82">
        <f>1109.3+1226.9</f>
        <v>2336.1999999999998</v>
      </c>
      <c r="Y61" s="32">
        <f t="shared" si="111"/>
        <v>919.6</v>
      </c>
      <c r="Z61" s="32">
        <f t="shared" si="112"/>
        <v>951.5</v>
      </c>
      <c r="AA61" s="32">
        <f t="shared" si="113"/>
        <v>1002.3</v>
      </c>
      <c r="AB61" s="32">
        <f t="shared" si="114"/>
        <v>1083.4000000000001</v>
      </c>
      <c r="AC61" s="32">
        <f t="shared" si="115"/>
        <v>903</v>
      </c>
      <c r="AD61" s="32">
        <f t="shared" si="116"/>
        <v>938.9</v>
      </c>
      <c r="AE61" s="32">
        <f t="shared" si="117"/>
        <v>1029.2</v>
      </c>
      <c r="AF61" s="32">
        <f t="shared" si="118"/>
        <v>2336.1999999999998</v>
      </c>
      <c r="AG61" s="11"/>
      <c r="AH61" s="75">
        <f t="shared" si="119"/>
        <v>1.1563596086394679</v>
      </c>
    </row>
    <row r="62" spans="2:34" ht="12.75" customHeight="1">
      <c r="B62" s="9" t="s">
        <v>111</v>
      </c>
      <c r="C62" s="82">
        <v>4873.8940000000002</v>
      </c>
      <c r="D62" s="82">
        <v>4541.1000000000004</v>
      </c>
      <c r="E62" s="82">
        <v>4541.1000000000004</v>
      </c>
      <c r="F62" s="82">
        <v>4541.1000000000004</v>
      </c>
      <c r="G62" s="82">
        <v>4629.1000000000004</v>
      </c>
      <c r="H62" s="82">
        <v>4555.6000000000004</v>
      </c>
      <c r="I62" s="82">
        <v>4555.6000000000004</v>
      </c>
      <c r="J62" s="82">
        <v>4588.6000000000004</v>
      </c>
      <c r="K62" s="82">
        <v>4588.6000000000004</v>
      </c>
      <c r="M62" s="82">
        <v>4555.6000000000004</v>
      </c>
      <c r="N62" s="82">
        <v>4555.6000000000004</v>
      </c>
      <c r="O62" s="82">
        <v>4582.6000000000004</v>
      </c>
      <c r="P62" s="32">
        <v>4588.6000000000004</v>
      </c>
      <c r="Q62" s="82">
        <v>4588.6000000000004</v>
      </c>
      <c r="R62" s="82">
        <v>4588.6000000000004</v>
      </c>
      <c r="S62" s="82">
        <v>4588.6000000000004</v>
      </c>
      <c r="T62" s="32">
        <v>4588.6000000000004</v>
      </c>
      <c r="U62" s="82">
        <v>4588.6000000000004</v>
      </c>
      <c r="V62" s="82">
        <v>4588.6000000000004</v>
      </c>
      <c r="W62" s="82">
        <v>4588.6000000000004</v>
      </c>
      <c r="Y62" s="32">
        <f t="shared" si="111"/>
        <v>4588.6000000000004</v>
      </c>
      <c r="Z62" s="32">
        <f t="shared" si="112"/>
        <v>4588.6000000000004</v>
      </c>
      <c r="AA62" s="32">
        <f t="shared" si="113"/>
        <v>4588.6000000000004</v>
      </c>
      <c r="AB62" s="32">
        <f t="shared" si="114"/>
        <v>4588.6000000000004</v>
      </c>
      <c r="AC62" s="32">
        <f t="shared" si="115"/>
        <v>4588.6000000000004</v>
      </c>
      <c r="AD62" s="32">
        <f t="shared" si="116"/>
        <v>4588.6000000000004</v>
      </c>
      <c r="AE62" s="32">
        <f t="shared" si="117"/>
        <v>4588.6000000000004</v>
      </c>
      <c r="AF62" s="32">
        <f t="shared" si="118"/>
        <v>4588.6000000000004</v>
      </c>
      <c r="AG62" s="11"/>
      <c r="AH62" s="75">
        <f t="shared" si="119"/>
        <v>0</v>
      </c>
    </row>
    <row r="63" spans="2:34" ht="12.75" customHeight="1">
      <c r="B63" s="9" t="s">
        <v>157</v>
      </c>
      <c r="C63" s="82">
        <v>1322.924</v>
      </c>
      <c r="D63" s="82">
        <v>1166</v>
      </c>
      <c r="E63" s="82">
        <v>1104</v>
      </c>
      <c r="F63" s="82">
        <v>1104.4000000000001</v>
      </c>
      <c r="G63" s="82">
        <v>1048.9000000000001</v>
      </c>
      <c r="H63" s="82">
        <v>952.1</v>
      </c>
      <c r="I63" s="82">
        <v>842.4</v>
      </c>
      <c r="J63" s="82">
        <v>741.7</v>
      </c>
      <c r="K63" s="82">
        <v>621.29999999999995</v>
      </c>
      <c r="M63" s="82">
        <v>813.7</v>
      </c>
      <c r="N63" s="82">
        <v>789.2</v>
      </c>
      <c r="O63" s="82">
        <v>756.6</v>
      </c>
      <c r="P63" s="32">
        <v>741.7</v>
      </c>
      <c r="Q63" s="82">
        <v>711.1</v>
      </c>
      <c r="R63" s="82">
        <v>686.4</v>
      </c>
      <c r="S63" s="82">
        <v>652.9</v>
      </c>
      <c r="T63" s="32">
        <v>621.29999999999995</v>
      </c>
      <c r="U63" s="82">
        <v>591.6</v>
      </c>
      <c r="V63" s="82">
        <v>565.70000000000005</v>
      </c>
      <c r="W63" s="82">
        <v>555.70000000000005</v>
      </c>
      <c r="Y63" s="32">
        <f t="shared" si="102"/>
        <v>741.7</v>
      </c>
      <c r="Z63" s="32">
        <f t="shared" si="103"/>
        <v>711.1</v>
      </c>
      <c r="AA63" s="32">
        <f t="shared" si="104"/>
        <v>686.4</v>
      </c>
      <c r="AB63" s="32">
        <f t="shared" si="105"/>
        <v>652.9</v>
      </c>
      <c r="AC63" s="32">
        <f t="shared" si="106"/>
        <v>621.29999999999995</v>
      </c>
      <c r="AD63" s="32">
        <f t="shared" si="107"/>
        <v>591.6</v>
      </c>
      <c r="AE63" s="32">
        <f t="shared" si="108"/>
        <v>565.70000000000005</v>
      </c>
      <c r="AF63" s="32">
        <f t="shared" si="109"/>
        <v>555.70000000000005</v>
      </c>
      <c r="AG63" s="11"/>
      <c r="AH63" s="75">
        <f t="shared" si="110"/>
        <v>-0.14887425333129112</v>
      </c>
    </row>
    <row r="64" spans="2:34" ht="12.75" customHeight="1">
      <c r="B64" s="9" t="s">
        <v>158</v>
      </c>
      <c r="C64" s="82">
        <v>1687.2370000000001</v>
      </c>
      <c r="D64" s="82">
        <v>1600.8</v>
      </c>
      <c r="E64" s="82">
        <v>1589.5</v>
      </c>
      <c r="F64" s="82">
        <v>1999.3</v>
      </c>
      <c r="G64" s="82">
        <v>2470.3000000000002</v>
      </c>
      <c r="H64" s="82">
        <v>2982.7</v>
      </c>
      <c r="I64" s="82">
        <v>3944.2</v>
      </c>
      <c r="J64" s="82">
        <v>5493.2</v>
      </c>
      <c r="K64" s="82">
        <v>6846.8</v>
      </c>
      <c r="M64" s="82">
        <v>4354.8</v>
      </c>
      <c r="N64" s="82">
        <v>4727.8999999999996</v>
      </c>
      <c r="O64" s="82">
        <v>5093.2</v>
      </c>
      <c r="P64" s="32">
        <v>5493.2</v>
      </c>
      <c r="Q64" s="82">
        <v>5841.4</v>
      </c>
      <c r="R64" s="82">
        <v>6084</v>
      </c>
      <c r="S64" s="82">
        <v>6211.9</v>
      </c>
      <c r="T64" s="32">
        <v>6846.8</v>
      </c>
      <c r="U64" s="82">
        <v>7152.9</v>
      </c>
      <c r="V64" s="82">
        <v>7296</v>
      </c>
      <c r="W64" s="82">
        <v>7681.2</v>
      </c>
      <c r="Y64" s="32">
        <f t="shared" si="100"/>
        <v>5493.2</v>
      </c>
      <c r="Z64" s="32">
        <f t="shared" si="100"/>
        <v>5841.4</v>
      </c>
      <c r="AA64" s="32">
        <f t="shared" si="100"/>
        <v>6084</v>
      </c>
      <c r="AB64" s="32">
        <f t="shared" si="100"/>
        <v>6211.9</v>
      </c>
      <c r="AC64" s="32">
        <f t="shared" si="100"/>
        <v>6846.8</v>
      </c>
      <c r="AD64" s="32">
        <f t="shared" si="100"/>
        <v>7152.9</v>
      </c>
      <c r="AE64" s="32">
        <f t="shared" si="100"/>
        <v>7296</v>
      </c>
      <c r="AF64" s="32">
        <f>W64</f>
        <v>7681.2</v>
      </c>
      <c r="AG64" s="11"/>
      <c r="AH64" s="75">
        <f t="shared" si="101"/>
        <v>0.23652988618619109</v>
      </c>
    </row>
    <row r="65" spans="2:34" ht="12.75" customHeight="1">
      <c r="B65" s="9" t="s">
        <v>159</v>
      </c>
      <c r="C65" s="82">
        <v>0</v>
      </c>
      <c r="D65" s="82">
        <v>113.7</v>
      </c>
      <c r="E65" s="82">
        <v>137.6</v>
      </c>
      <c r="F65" s="82">
        <f>205.4+118.5</f>
        <v>323.89999999999998</v>
      </c>
      <c r="G65" s="82">
        <f>180.1+164.8</f>
        <v>344.9</v>
      </c>
      <c r="H65" s="82">
        <f>159.5+5.3</f>
        <v>164.8</v>
      </c>
      <c r="I65" s="82">
        <v>192.7</v>
      </c>
      <c r="J65" s="82">
        <v>306.60000000000002</v>
      </c>
      <c r="K65" s="82">
        <v>387.2</v>
      </c>
      <c r="M65" s="82">
        <v>290.2</v>
      </c>
      <c r="N65" s="82">
        <v>305.7</v>
      </c>
      <c r="O65" s="82">
        <v>300.39999999999998</v>
      </c>
      <c r="P65" s="32">
        <v>306.60000000000002</v>
      </c>
      <c r="Q65" s="82">
        <v>343.3</v>
      </c>
      <c r="R65" s="82">
        <v>358</v>
      </c>
      <c r="S65" s="82">
        <v>393.7</v>
      </c>
      <c r="T65" s="32">
        <v>387.2</v>
      </c>
      <c r="U65" s="82">
        <v>365.4</v>
      </c>
      <c r="V65" s="82">
        <v>365</v>
      </c>
      <c r="W65" s="82">
        <v>346</v>
      </c>
      <c r="Y65" s="32">
        <f t="shared" si="100"/>
        <v>306.60000000000002</v>
      </c>
      <c r="Z65" s="32">
        <f t="shared" si="100"/>
        <v>343.3</v>
      </c>
      <c r="AA65" s="32">
        <f t="shared" si="100"/>
        <v>358</v>
      </c>
      <c r="AB65" s="32">
        <f t="shared" si="100"/>
        <v>393.7</v>
      </c>
      <c r="AC65" s="32">
        <f t="shared" si="100"/>
        <v>387.2</v>
      </c>
      <c r="AD65" s="32">
        <f t="shared" si="100"/>
        <v>365.4</v>
      </c>
      <c r="AE65" s="32">
        <f t="shared" si="100"/>
        <v>365</v>
      </c>
      <c r="AF65" s="32">
        <f>W65</f>
        <v>346</v>
      </c>
      <c r="AG65" s="11"/>
      <c r="AH65" s="75">
        <f t="shared" si="101"/>
        <v>-0.12115824231648464</v>
      </c>
    </row>
    <row r="66" spans="2:34" ht="12.75" customHeight="1">
      <c r="B66" s="13" t="s">
        <v>19</v>
      </c>
      <c r="C66" s="14">
        <f>SUM(C57:C65)+C54</f>
        <v>17205.960999999999</v>
      </c>
      <c r="D66" s="14">
        <f>SUM(D57:D65)+D54</f>
        <v>18188.900000000001</v>
      </c>
      <c r="E66" s="14">
        <f>SUM(E57:E65)+E54</f>
        <v>20136.900000000001</v>
      </c>
      <c r="F66" s="14">
        <f>SUM(F57:F65)+F54</f>
        <v>22629.599999999999</v>
      </c>
      <c r="G66" s="14">
        <f>SUM(G57:G65)+G54</f>
        <v>27267.4</v>
      </c>
      <c r="H66" s="14">
        <f>SUM(H57:H65)+H54</f>
        <v>30231</v>
      </c>
      <c r="I66" s="14">
        <f>SUM(I57:I65)+I54</f>
        <v>36300.400000000001</v>
      </c>
      <c r="J66" s="14">
        <f>SUM(J57:J65)+J54</f>
        <v>39957.5</v>
      </c>
      <c r="K66" s="14">
        <f>SUM(K57:K65)+K54</f>
        <v>48589.599999999991</v>
      </c>
      <c r="M66" s="14">
        <f>SUM(M57:M65)+M54</f>
        <v>35147.600000000006</v>
      </c>
      <c r="N66" s="14">
        <f>SUM(N57:N65)+N54</f>
        <v>36928.5</v>
      </c>
      <c r="O66" s="14">
        <f>SUM(O57:O65)+O54</f>
        <v>37513.5</v>
      </c>
      <c r="P66" s="14">
        <f>SUM(P57:P65)+P54</f>
        <v>39957.5</v>
      </c>
      <c r="Q66" s="14">
        <f>SUM(Q57:Q65)+Q54</f>
        <v>39042.6</v>
      </c>
      <c r="R66" s="14">
        <f>SUM(R57:R65)+R54</f>
        <v>40741</v>
      </c>
      <c r="S66" s="14">
        <f>SUM(S57:S65)+S54</f>
        <v>41766.100000000006</v>
      </c>
      <c r="T66" s="14">
        <f>SUM(T57:T65)+T54</f>
        <v>48589.599999999991</v>
      </c>
      <c r="U66" s="14">
        <f>SUM(U57:U65)+U54</f>
        <v>45478.8</v>
      </c>
      <c r="V66" s="14">
        <f>SUM(V57:V65)+V54</f>
        <v>44849.100000000006</v>
      </c>
      <c r="W66" s="14">
        <f>SUM(W57:W65)+W54</f>
        <v>45097.100000000006</v>
      </c>
      <c r="Y66" s="14">
        <f>SUM(Y57:Y65)+Y54</f>
        <v>42256.3</v>
      </c>
      <c r="Z66" s="14">
        <f>SUM(Z57:Z65)+Z54</f>
        <v>15902.9</v>
      </c>
      <c r="AA66" s="14">
        <f>SUM(AA57:AA65)+AA54</f>
        <v>41244.1</v>
      </c>
      <c r="AB66" s="14">
        <f>SUM(AB57:AB65)+AB54</f>
        <v>41766.100000000006</v>
      </c>
      <c r="AC66" s="14">
        <f>SUM(AC57:AC65)+AC54</f>
        <v>48589.599999999991</v>
      </c>
      <c r="AD66" s="14">
        <f>SUM(AD57:AD65)+AD54</f>
        <v>45478.8</v>
      </c>
      <c r="AE66" s="14">
        <f>SUM(AE57:AE65)+AE54</f>
        <v>44849.100000000006</v>
      </c>
      <c r="AF66" s="34">
        <f>SUM(AF57:AF65)+AF54</f>
        <v>45097.100000000006</v>
      </c>
      <c r="AG66" s="42"/>
      <c r="AH66" s="76">
        <f t="shared" si="101"/>
        <v>7.9753675828003967E-2</v>
      </c>
    </row>
    <row r="67" spans="2:34" ht="12.75" customHeight="1">
      <c r="B67" s="25"/>
      <c r="C67" s="50"/>
      <c r="D67" s="50"/>
      <c r="E67" s="50"/>
      <c r="F67" s="50"/>
      <c r="G67" s="50"/>
      <c r="H67" s="50"/>
      <c r="I67" s="50"/>
      <c r="J67" s="41"/>
      <c r="K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Y67" s="42"/>
      <c r="Z67" s="42"/>
      <c r="AA67" s="42"/>
      <c r="AB67" s="42"/>
      <c r="AC67" s="42"/>
      <c r="AD67" s="42"/>
      <c r="AE67" s="42"/>
      <c r="AF67" s="42"/>
      <c r="AG67" s="42"/>
      <c r="AH67" s="39"/>
    </row>
    <row r="68" spans="2:34" ht="12.75" customHeight="1">
      <c r="B68" s="78" t="s">
        <v>45</v>
      </c>
      <c r="C68" s="50"/>
      <c r="D68" s="50"/>
      <c r="E68" s="50"/>
      <c r="F68" s="50"/>
      <c r="G68" s="50"/>
      <c r="H68" s="50"/>
      <c r="I68" s="50"/>
      <c r="J68" s="41"/>
      <c r="K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Y68" s="42"/>
      <c r="Z68" s="42"/>
      <c r="AA68" s="42"/>
      <c r="AB68" s="42"/>
      <c r="AC68" s="42"/>
      <c r="AD68" s="42"/>
      <c r="AE68" s="42"/>
      <c r="AF68" s="42"/>
      <c r="AG68" s="42"/>
      <c r="AH68" s="39"/>
    </row>
    <row r="69" spans="2:34" ht="12.75" customHeight="1">
      <c r="B69" s="120" t="s">
        <v>164</v>
      </c>
      <c r="C69" s="121">
        <v>593.197</v>
      </c>
      <c r="D69" s="121">
        <v>837.3</v>
      </c>
      <c r="E69" s="121">
        <v>964</v>
      </c>
      <c r="F69" s="121">
        <v>1062.2</v>
      </c>
      <c r="G69" s="121">
        <v>1377.9</v>
      </c>
      <c r="H69" s="121">
        <v>2116.3000000000002</v>
      </c>
      <c r="I69" s="121">
        <v>2565.1999999999998</v>
      </c>
      <c r="J69" s="121">
        <v>2347.3000000000002</v>
      </c>
      <c r="K69" s="121">
        <v>3500.4</v>
      </c>
      <c r="M69" s="160"/>
      <c r="N69" s="160"/>
      <c r="O69" s="160"/>
      <c r="P69" s="161"/>
      <c r="Q69" s="160"/>
      <c r="R69" s="160"/>
      <c r="S69" s="160"/>
      <c r="T69" s="161"/>
      <c r="U69" s="160"/>
      <c r="V69" s="160"/>
      <c r="W69" s="160"/>
      <c r="Y69" s="97">
        <f t="shared" ref="Y69:AE73" si="120">P69</f>
        <v>0</v>
      </c>
      <c r="Z69" s="97">
        <f t="shared" si="120"/>
        <v>0</v>
      </c>
      <c r="AA69" s="97">
        <f t="shared" si="120"/>
        <v>0</v>
      </c>
      <c r="AB69" s="97">
        <f t="shared" si="120"/>
        <v>0</v>
      </c>
      <c r="AC69" s="97">
        <f t="shared" si="120"/>
        <v>0</v>
      </c>
      <c r="AD69" s="97">
        <f t="shared" si="120"/>
        <v>0</v>
      </c>
      <c r="AE69" s="97">
        <f t="shared" si="120"/>
        <v>0</v>
      </c>
      <c r="AF69" s="97">
        <f>W69</f>
        <v>0</v>
      </c>
      <c r="AG69" s="11"/>
      <c r="AH69" s="75" t="e">
        <f t="shared" ref="AH69:AH74" si="121">SUM(AF69/AB69)-1</f>
        <v>#DIV/0!</v>
      </c>
    </row>
    <row r="70" spans="2:34" ht="12.75" customHeight="1">
      <c r="B70" s="120" t="s">
        <v>162</v>
      </c>
      <c r="C70" s="121">
        <f>2236.012+1.785</f>
        <v>2237.797</v>
      </c>
      <c r="D70" s="121">
        <v>625.5</v>
      </c>
      <c r="E70" s="121">
        <v>911.4</v>
      </c>
      <c r="F70" s="121">
        <v>1039.9000000000001</v>
      </c>
      <c r="G70" s="121">
        <v>1146</v>
      </c>
      <c r="H70" s="121">
        <v>1435.5</v>
      </c>
      <c r="I70" s="121">
        <v>1875.9</v>
      </c>
      <c r="J70" s="121">
        <v>2177.4</v>
      </c>
      <c r="K70" s="121">
        <v>2686.6</v>
      </c>
      <c r="M70" s="160"/>
      <c r="N70" s="160"/>
      <c r="O70" s="160"/>
      <c r="P70" s="161"/>
      <c r="Q70" s="160"/>
      <c r="R70" s="160"/>
      <c r="S70" s="160"/>
      <c r="T70" s="161"/>
      <c r="U70" s="160"/>
      <c r="V70" s="160"/>
      <c r="W70" s="160"/>
      <c r="Y70" s="97">
        <f t="shared" si="120"/>
        <v>0</v>
      </c>
      <c r="Z70" s="97">
        <f t="shared" si="120"/>
        <v>0</v>
      </c>
      <c r="AA70" s="97">
        <f t="shared" si="120"/>
        <v>0</v>
      </c>
      <c r="AB70" s="97">
        <f t="shared" si="120"/>
        <v>0</v>
      </c>
      <c r="AC70" s="97">
        <f t="shared" si="120"/>
        <v>0</v>
      </c>
      <c r="AD70" s="97">
        <f t="shared" si="120"/>
        <v>0</v>
      </c>
      <c r="AE70" s="97">
        <f t="shared" si="120"/>
        <v>0</v>
      </c>
      <c r="AF70" s="97">
        <f>W70</f>
        <v>0</v>
      </c>
      <c r="AG70" s="11"/>
      <c r="AH70" s="75" t="e">
        <f t="shared" si="121"/>
        <v>#DIV/0!</v>
      </c>
    </row>
    <row r="71" spans="2:34" ht="12.75" customHeight="1">
      <c r="B71" s="120" t="s">
        <v>165</v>
      </c>
      <c r="C71" s="121">
        <v>201.93</v>
      </c>
      <c r="D71" s="121">
        <v>152</v>
      </c>
      <c r="E71" s="121">
        <v>187.9</v>
      </c>
      <c r="F71" s="121">
        <v>65.599999999999994</v>
      </c>
      <c r="G71" s="121">
        <v>110</v>
      </c>
      <c r="H71" s="121">
        <v>301.89999999999998</v>
      </c>
      <c r="I71" s="121">
        <v>315.3</v>
      </c>
      <c r="J71" s="121">
        <v>308.89999999999998</v>
      </c>
      <c r="K71" s="121">
        <v>283.3</v>
      </c>
      <c r="M71" s="160"/>
      <c r="N71" s="160"/>
      <c r="O71" s="160"/>
      <c r="P71" s="161"/>
      <c r="Q71" s="160"/>
      <c r="R71" s="160"/>
      <c r="S71" s="160"/>
      <c r="T71" s="161"/>
      <c r="U71" s="160"/>
      <c r="V71" s="160"/>
      <c r="W71" s="160"/>
      <c r="Y71" s="97">
        <f t="shared" si="120"/>
        <v>0</v>
      </c>
      <c r="Z71" s="97">
        <f t="shared" si="120"/>
        <v>0</v>
      </c>
      <c r="AA71" s="97">
        <f t="shared" si="120"/>
        <v>0</v>
      </c>
      <c r="AB71" s="97">
        <f t="shared" si="120"/>
        <v>0</v>
      </c>
      <c r="AC71" s="97">
        <f t="shared" si="120"/>
        <v>0</v>
      </c>
      <c r="AD71" s="97">
        <f t="shared" si="120"/>
        <v>0</v>
      </c>
      <c r="AE71" s="97">
        <f t="shared" si="120"/>
        <v>0</v>
      </c>
      <c r="AF71" s="97">
        <f t="shared" ref="AF71:AF72" si="122">W71</f>
        <v>0</v>
      </c>
      <c r="AG71" s="11"/>
      <c r="AH71" s="75" t="e">
        <f t="shared" ref="AH71" si="123">SUM(AF71/AB71)-1</f>
        <v>#DIV/0!</v>
      </c>
    </row>
    <row r="72" spans="2:34" ht="12.75" customHeight="1">
      <c r="B72" s="120" t="s">
        <v>166</v>
      </c>
      <c r="C72" s="121">
        <v>247.672</v>
      </c>
      <c r="D72" s="121">
        <v>25.2</v>
      </c>
      <c r="E72" s="121">
        <v>0</v>
      </c>
      <c r="F72" s="121">
        <v>0</v>
      </c>
      <c r="G72" s="121">
        <v>15.4</v>
      </c>
      <c r="H72" s="121">
        <v>509.1</v>
      </c>
      <c r="I72" s="121">
        <v>746.2</v>
      </c>
      <c r="J72" s="121">
        <v>0.1</v>
      </c>
      <c r="K72" s="121">
        <v>1010.3</v>
      </c>
      <c r="M72" s="160"/>
      <c r="N72" s="160"/>
      <c r="O72" s="160"/>
      <c r="P72" s="161"/>
      <c r="Q72" s="160"/>
      <c r="R72" s="160"/>
      <c r="S72" s="160"/>
      <c r="T72" s="161"/>
      <c r="U72" s="160"/>
      <c r="V72" s="160"/>
      <c r="W72" s="160"/>
      <c r="Y72" s="97">
        <f t="shared" ref="Y72" si="124">P72</f>
        <v>0</v>
      </c>
      <c r="Z72" s="97">
        <f t="shared" ref="Z72" si="125">Q72</f>
        <v>0</v>
      </c>
      <c r="AA72" s="97">
        <f t="shared" ref="AA72" si="126">R72</f>
        <v>0</v>
      </c>
      <c r="AB72" s="97">
        <f t="shared" ref="AB72" si="127">S72</f>
        <v>0</v>
      </c>
      <c r="AC72" s="97">
        <f t="shared" ref="AC72" si="128">T72</f>
        <v>0</v>
      </c>
      <c r="AD72" s="97">
        <f t="shared" ref="AD72" si="129">U72</f>
        <v>0</v>
      </c>
      <c r="AE72" s="97">
        <f t="shared" ref="AE72" si="130">V72</f>
        <v>0</v>
      </c>
      <c r="AF72" s="97">
        <f>W72</f>
        <v>0</v>
      </c>
      <c r="AG72" s="11"/>
      <c r="AH72" s="75" t="e">
        <f t="shared" ref="AH72" si="131">SUM(AF72/AB72)-1</f>
        <v>#DIV/0!</v>
      </c>
    </row>
    <row r="73" spans="2:34" ht="12.75" customHeight="1">
      <c r="B73" s="120" t="s">
        <v>161</v>
      </c>
      <c r="C73" s="121">
        <v>0</v>
      </c>
      <c r="D73" s="121">
        <v>1530</v>
      </c>
      <c r="E73" s="121">
        <v>1728.6</v>
      </c>
      <c r="F73" s="121">
        <v>2526.4</v>
      </c>
      <c r="G73" s="121">
        <v>3954.2</v>
      </c>
      <c r="H73" s="121">
        <v>7935.2</v>
      </c>
      <c r="I73" s="121">
        <v>12481</v>
      </c>
      <c r="J73" s="121">
        <v>11441</v>
      </c>
      <c r="K73" s="121">
        <v>12570.8</v>
      </c>
      <c r="M73" s="160"/>
      <c r="N73" s="160"/>
      <c r="O73" s="160"/>
      <c r="P73" s="161"/>
      <c r="Q73" s="160"/>
      <c r="R73" s="160"/>
      <c r="S73" s="160"/>
      <c r="T73" s="161"/>
      <c r="U73" s="160"/>
      <c r="V73" s="160"/>
      <c r="W73" s="160"/>
      <c r="Y73" s="97">
        <f t="shared" si="120"/>
        <v>0</v>
      </c>
      <c r="Z73" s="97">
        <f t="shared" si="120"/>
        <v>0</v>
      </c>
      <c r="AA73" s="97">
        <f t="shared" si="120"/>
        <v>0</v>
      </c>
      <c r="AB73" s="97">
        <f t="shared" si="120"/>
        <v>0</v>
      </c>
      <c r="AC73" s="97">
        <f t="shared" si="120"/>
        <v>0</v>
      </c>
      <c r="AD73" s="97">
        <f t="shared" si="120"/>
        <v>0</v>
      </c>
      <c r="AE73" s="97">
        <f t="shared" si="120"/>
        <v>0</v>
      </c>
      <c r="AF73" s="97">
        <f>W73</f>
        <v>0</v>
      </c>
      <c r="AG73" s="11"/>
      <c r="AH73" s="75" t="e">
        <f t="shared" si="121"/>
        <v>#DIV/0!</v>
      </c>
    </row>
    <row r="74" spans="2:34" ht="12.75" customHeight="1">
      <c r="B74" s="25" t="s">
        <v>17</v>
      </c>
      <c r="C74" s="26">
        <f t="shared" ref="C74:K74" si="132">SUM(C69:C73)</f>
        <v>3280.596</v>
      </c>
      <c r="D74" s="26">
        <f t="shared" si="132"/>
        <v>3170</v>
      </c>
      <c r="E74" s="26">
        <f t="shared" si="132"/>
        <v>3791.9</v>
      </c>
      <c r="F74" s="26">
        <f t="shared" si="132"/>
        <v>4694.1000000000004</v>
      </c>
      <c r="G74" s="26">
        <f t="shared" si="132"/>
        <v>6603.5</v>
      </c>
      <c r="H74" s="26">
        <f t="shared" si="132"/>
        <v>12298</v>
      </c>
      <c r="I74" s="26">
        <f t="shared" si="132"/>
        <v>17983.599999999999</v>
      </c>
      <c r="J74" s="26">
        <f t="shared" si="132"/>
        <v>16274.7</v>
      </c>
      <c r="K74" s="26">
        <f t="shared" si="132"/>
        <v>20051.400000000001</v>
      </c>
      <c r="M74" s="159">
        <v>16948.099999999999</v>
      </c>
      <c r="N74" s="159">
        <v>16754.3</v>
      </c>
      <c r="O74" s="159">
        <v>16309.5</v>
      </c>
      <c r="P74" s="159">
        <v>16274.7</v>
      </c>
      <c r="Q74" s="159">
        <v>15048.7</v>
      </c>
      <c r="R74" s="159">
        <v>16132.3</v>
      </c>
      <c r="S74" s="159">
        <v>16025.8</v>
      </c>
      <c r="T74" s="159">
        <v>20051.400000000001</v>
      </c>
      <c r="U74" s="159">
        <v>18123.900000000001</v>
      </c>
      <c r="V74" s="159">
        <v>18616</v>
      </c>
      <c r="W74" s="159">
        <v>19224.900000000001</v>
      </c>
      <c r="X74" s="48"/>
      <c r="Y74" s="26">
        <f t="shared" ref="Y74:AF74" si="133">SUM(Y69:Y73)</f>
        <v>0</v>
      </c>
      <c r="Z74" s="26">
        <f t="shared" si="133"/>
        <v>0</v>
      </c>
      <c r="AA74" s="26">
        <f t="shared" si="133"/>
        <v>0</v>
      </c>
      <c r="AB74" s="26">
        <f t="shared" si="133"/>
        <v>0</v>
      </c>
      <c r="AC74" s="26">
        <f t="shared" si="133"/>
        <v>0</v>
      </c>
      <c r="AD74" s="26">
        <f t="shared" si="133"/>
        <v>0</v>
      </c>
      <c r="AE74" s="26">
        <f t="shared" si="133"/>
        <v>0</v>
      </c>
      <c r="AF74" s="26">
        <f t="shared" si="133"/>
        <v>0</v>
      </c>
      <c r="AG74" s="42"/>
      <c r="AH74" s="76" t="e">
        <f t="shared" si="121"/>
        <v>#DIV/0!</v>
      </c>
    </row>
    <row r="75" spans="2:34" ht="5.0999999999999996" customHeight="1">
      <c r="B75" s="25"/>
      <c r="C75" s="50"/>
      <c r="D75" s="50"/>
      <c r="E75" s="50"/>
      <c r="F75" s="50"/>
      <c r="G75" s="50"/>
      <c r="H75" s="50"/>
      <c r="I75" s="50"/>
      <c r="J75" s="41"/>
      <c r="K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Y75" s="42"/>
      <c r="Z75" s="42"/>
      <c r="AA75" s="42"/>
      <c r="AB75" s="42"/>
      <c r="AC75" s="42"/>
      <c r="AD75" s="42"/>
      <c r="AE75" s="42"/>
      <c r="AF75" s="42"/>
      <c r="AG75" s="42"/>
      <c r="AH75" s="39"/>
    </row>
    <row r="76" spans="2:34">
      <c r="B76" s="78" t="s">
        <v>80</v>
      </c>
      <c r="C76" s="50"/>
      <c r="D76" s="121"/>
      <c r="E76" s="50"/>
      <c r="F76" s="50"/>
      <c r="G76" s="50"/>
      <c r="H76" s="50"/>
      <c r="I76" s="50"/>
      <c r="J76" s="41"/>
      <c r="K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Y76" s="42"/>
      <c r="Z76" s="42"/>
      <c r="AA76" s="42"/>
      <c r="AB76" s="42"/>
      <c r="AC76" s="42"/>
      <c r="AD76" s="42"/>
      <c r="AE76" s="42"/>
      <c r="AF76" s="42"/>
      <c r="AG76" s="42"/>
      <c r="AH76" s="39"/>
    </row>
    <row r="77" spans="2:34" ht="12.75" customHeight="1">
      <c r="B77" s="120" t="s">
        <v>160</v>
      </c>
      <c r="C77" s="121">
        <v>3071.7930000000001</v>
      </c>
      <c r="D77" s="121">
        <v>3000.1</v>
      </c>
      <c r="E77" s="121">
        <v>3026.5</v>
      </c>
      <c r="F77" s="121">
        <v>3108.3</v>
      </c>
      <c r="G77" s="121">
        <v>4662.8</v>
      </c>
      <c r="H77" s="121">
        <v>4075</v>
      </c>
      <c r="I77" s="121">
        <v>3514.2</v>
      </c>
      <c r="J77" s="121">
        <v>4631.5</v>
      </c>
      <c r="K77" s="121">
        <v>3677.3</v>
      </c>
      <c r="L77" s="51"/>
      <c r="M77" s="82">
        <v>3536</v>
      </c>
      <c r="N77" s="82">
        <v>4517.8</v>
      </c>
      <c r="O77" s="82">
        <v>4522.3</v>
      </c>
      <c r="P77" s="32">
        <v>4631.5</v>
      </c>
      <c r="Q77" s="82">
        <v>4612</v>
      </c>
      <c r="R77" s="82">
        <v>4608.2</v>
      </c>
      <c r="S77" s="82">
        <v>4692.2</v>
      </c>
      <c r="T77" s="32">
        <v>3677.3</v>
      </c>
      <c r="U77" s="82">
        <v>3681</v>
      </c>
      <c r="V77" s="82">
        <v>3698.9</v>
      </c>
      <c r="W77" s="82">
        <v>2704.7</v>
      </c>
      <c r="X77" s="121"/>
      <c r="Y77" s="97">
        <f t="shared" ref="Y77:AE79" si="134">P77</f>
        <v>4631.5</v>
      </c>
      <c r="Z77" s="97">
        <f t="shared" si="134"/>
        <v>4612</v>
      </c>
      <c r="AA77" s="97">
        <f t="shared" si="134"/>
        <v>4608.2</v>
      </c>
      <c r="AB77" s="97">
        <f t="shared" si="134"/>
        <v>4692.2</v>
      </c>
      <c r="AC77" s="97">
        <f t="shared" si="134"/>
        <v>3677.3</v>
      </c>
      <c r="AD77" s="97">
        <f t="shared" si="134"/>
        <v>3681</v>
      </c>
      <c r="AE77" s="97">
        <f t="shared" si="134"/>
        <v>3698.9</v>
      </c>
      <c r="AF77" s="97">
        <f>W77</f>
        <v>2704.7</v>
      </c>
      <c r="AG77" s="42"/>
      <c r="AH77" s="75">
        <f t="shared" ref="AH77:AH89" si="135">SUM(AF77/AB77)-1</f>
        <v>-0.4235752951707088</v>
      </c>
    </row>
    <row r="78" spans="2:34" ht="12.75" customHeight="1">
      <c r="B78" s="120" t="s">
        <v>163</v>
      </c>
      <c r="C78" s="121">
        <v>396.83699999999999</v>
      </c>
      <c r="D78" s="121">
        <v>341.1</v>
      </c>
      <c r="E78" s="121">
        <v>251.2</v>
      </c>
      <c r="F78" s="121">
        <v>234.4</v>
      </c>
      <c r="G78" s="121">
        <v>238.3</v>
      </c>
      <c r="H78" s="121">
        <v>240.6</v>
      </c>
      <c r="I78" s="121">
        <v>267</v>
      </c>
      <c r="J78" s="121">
        <v>372.2</v>
      </c>
      <c r="K78" s="121">
        <v>299.2</v>
      </c>
      <c r="L78" s="51"/>
      <c r="M78" s="82">
        <v>293</v>
      </c>
      <c r="N78" s="82">
        <v>372.8</v>
      </c>
      <c r="O78" s="82">
        <v>380.4</v>
      </c>
      <c r="P78" s="32">
        <v>372.2</v>
      </c>
      <c r="Q78" s="82">
        <v>400.4</v>
      </c>
      <c r="R78" s="82">
        <v>351.9</v>
      </c>
      <c r="S78" s="82">
        <v>346.9</v>
      </c>
      <c r="T78" s="32">
        <v>299.2</v>
      </c>
      <c r="U78" s="82">
        <v>335.9</v>
      </c>
      <c r="V78" s="82">
        <v>294.8</v>
      </c>
      <c r="W78" s="82">
        <v>187.2</v>
      </c>
      <c r="X78" s="121"/>
      <c r="Y78" s="97">
        <f t="shared" ref="Y78" si="136">P78</f>
        <v>372.2</v>
      </c>
      <c r="Z78" s="97">
        <f t="shared" ref="Z78" si="137">Q78</f>
        <v>400.4</v>
      </c>
      <c r="AA78" s="97">
        <f t="shared" ref="AA78" si="138">R78</f>
        <v>351.9</v>
      </c>
      <c r="AB78" s="97">
        <f t="shared" ref="AB78" si="139">S78</f>
        <v>346.9</v>
      </c>
      <c r="AC78" s="97">
        <f t="shared" ref="AC78" si="140">T78</f>
        <v>299.2</v>
      </c>
      <c r="AD78" s="97">
        <f t="shared" ref="AD78" si="141">U78</f>
        <v>335.9</v>
      </c>
      <c r="AE78" s="97">
        <f t="shared" ref="AE78" si="142">V78</f>
        <v>294.8</v>
      </c>
      <c r="AF78" s="97">
        <f t="shared" ref="AF78:AF79" si="143">W78</f>
        <v>187.2</v>
      </c>
      <c r="AG78" s="42"/>
      <c r="AH78" s="75">
        <f t="shared" ref="AH78" si="144">SUM(AF78/AB78)-1</f>
        <v>-0.4603632170654367</v>
      </c>
    </row>
    <row r="79" spans="2:34" ht="12.75" customHeight="1">
      <c r="B79" s="120" t="s">
        <v>161</v>
      </c>
      <c r="C79" s="121">
        <v>0</v>
      </c>
      <c r="D79" s="121">
        <v>622</v>
      </c>
      <c r="E79" s="121">
        <v>1224.5999999999999</v>
      </c>
      <c r="F79" s="121">
        <v>1759.6</v>
      </c>
      <c r="G79" s="121">
        <v>1639.9</v>
      </c>
      <c r="H79" s="121">
        <v>3225.7</v>
      </c>
      <c r="I79" s="121">
        <v>5269.9</v>
      </c>
      <c r="J79" s="121">
        <v>4825.5</v>
      </c>
      <c r="K79" s="121">
        <v>5625.4</v>
      </c>
      <c r="L79" s="51"/>
      <c r="M79" s="82">
        <v>4147.3999999999996</v>
      </c>
      <c r="N79" s="82">
        <v>4205.3</v>
      </c>
      <c r="O79" s="82">
        <v>3826</v>
      </c>
      <c r="P79" s="32">
        <v>4825.5</v>
      </c>
      <c r="Q79" s="82">
        <v>4744.7</v>
      </c>
      <c r="R79" s="82">
        <v>4463</v>
      </c>
      <c r="S79" s="82">
        <v>4103.8999999999996</v>
      </c>
      <c r="T79" s="32">
        <v>5625.4</v>
      </c>
      <c r="U79" s="82">
        <v>5400.6</v>
      </c>
      <c r="V79" s="82">
        <v>4187.1000000000004</v>
      </c>
      <c r="W79" s="82">
        <v>3572.3</v>
      </c>
      <c r="X79" s="121"/>
      <c r="Y79" s="97">
        <f t="shared" si="134"/>
        <v>4825.5</v>
      </c>
      <c r="Z79" s="97">
        <f t="shared" si="134"/>
        <v>4744.7</v>
      </c>
      <c r="AA79" s="97">
        <f t="shared" si="134"/>
        <v>4463</v>
      </c>
      <c r="AB79" s="97">
        <f t="shared" si="134"/>
        <v>4103.8999999999996</v>
      </c>
      <c r="AC79" s="97">
        <f t="shared" si="134"/>
        <v>5625.4</v>
      </c>
      <c r="AD79" s="97">
        <f t="shared" si="134"/>
        <v>5400.6</v>
      </c>
      <c r="AE79" s="97">
        <f t="shared" si="134"/>
        <v>4187.1000000000004</v>
      </c>
      <c r="AF79" s="97">
        <f>W79</f>
        <v>3572.3</v>
      </c>
      <c r="AG79" s="42"/>
      <c r="AH79" s="75">
        <f t="shared" si="135"/>
        <v>-0.12953532006140489</v>
      </c>
    </row>
    <row r="80" spans="2:34" ht="12.75" customHeight="1">
      <c r="B80" s="120" t="s">
        <v>162</v>
      </c>
      <c r="C80" s="121">
        <f>615.73+20.524</f>
        <v>636.25400000000002</v>
      </c>
      <c r="D80" s="121">
        <v>279.3</v>
      </c>
      <c r="E80" s="121">
        <v>201.7</v>
      </c>
      <c r="F80" s="121">
        <v>241</v>
      </c>
      <c r="G80" s="121">
        <v>257.5</v>
      </c>
      <c r="H80" s="121">
        <v>251.1</v>
      </c>
      <c r="I80" s="121">
        <v>454.9</v>
      </c>
      <c r="J80" s="121">
        <v>401.2</v>
      </c>
      <c r="K80" s="121">
        <v>459.5</v>
      </c>
      <c r="L80" s="51"/>
      <c r="M80" s="82">
        <v>436.8</v>
      </c>
      <c r="N80" s="82">
        <v>473.4</v>
      </c>
      <c r="O80" s="82">
        <v>480.4</v>
      </c>
      <c r="P80" s="32">
        <v>401.2</v>
      </c>
      <c r="Q80" s="82">
        <v>442.7</v>
      </c>
      <c r="R80" s="82">
        <v>474.4</v>
      </c>
      <c r="S80" s="82">
        <v>445.7</v>
      </c>
      <c r="T80" s="32">
        <v>459.5</v>
      </c>
      <c r="U80" s="82">
        <v>436.7</v>
      </c>
      <c r="V80" s="82">
        <v>434.1</v>
      </c>
      <c r="W80" s="82">
        <v>414.5</v>
      </c>
      <c r="X80" s="121"/>
      <c r="Y80" s="97">
        <f t="shared" ref="Y80" si="145">P80</f>
        <v>401.2</v>
      </c>
      <c r="Z80" s="97">
        <f t="shared" ref="Z80" si="146">Q80</f>
        <v>442.7</v>
      </c>
      <c r="AA80" s="97">
        <f t="shared" ref="AA80" si="147">R80</f>
        <v>474.4</v>
      </c>
      <c r="AB80" s="97">
        <f t="shared" ref="AB80" si="148">S80</f>
        <v>445.7</v>
      </c>
      <c r="AC80" s="97">
        <f t="shared" ref="AC80" si="149">T80</f>
        <v>459.5</v>
      </c>
      <c r="AD80" s="97">
        <f t="shared" ref="AD80" si="150">U80</f>
        <v>436.7</v>
      </c>
      <c r="AE80" s="97">
        <f t="shared" ref="AE80" si="151">V80</f>
        <v>434.1</v>
      </c>
      <c r="AF80" s="97">
        <f>W80</f>
        <v>414.5</v>
      </c>
      <c r="AG80" s="42"/>
      <c r="AH80" s="75">
        <f t="shared" ref="AH80" si="152">SUM(AF80/AB80)-1</f>
        <v>-7.000224366165575E-2</v>
      </c>
    </row>
    <row r="81" spans="1:34" ht="12.75" customHeight="1">
      <c r="B81" s="13" t="s">
        <v>15</v>
      </c>
      <c r="C81" s="14">
        <f t="shared" ref="C81:K81" si="153">SUM(C77:C80)+C74</f>
        <v>7385.48</v>
      </c>
      <c r="D81" s="14">
        <f t="shared" si="153"/>
        <v>7412.5</v>
      </c>
      <c r="E81" s="14">
        <f t="shared" si="153"/>
        <v>8495.9</v>
      </c>
      <c r="F81" s="14">
        <f t="shared" si="153"/>
        <v>10037.400000000001</v>
      </c>
      <c r="G81" s="14">
        <f t="shared" si="153"/>
        <v>13402</v>
      </c>
      <c r="H81" s="14">
        <f t="shared" si="153"/>
        <v>20090.400000000001</v>
      </c>
      <c r="I81" s="14">
        <f t="shared" si="153"/>
        <v>27489.599999999999</v>
      </c>
      <c r="J81" s="14">
        <f t="shared" si="153"/>
        <v>26505.100000000002</v>
      </c>
      <c r="K81" s="14">
        <f t="shared" si="153"/>
        <v>30112.800000000003</v>
      </c>
      <c r="M81" s="14">
        <f t="shared" ref="M81:W81" si="154">SUM(M77:M80)+M74</f>
        <v>25361.299999999996</v>
      </c>
      <c r="N81" s="14">
        <f t="shared" si="154"/>
        <v>26323.599999999999</v>
      </c>
      <c r="O81" s="14">
        <f t="shared" si="154"/>
        <v>25518.6</v>
      </c>
      <c r="P81" s="14">
        <f t="shared" si="154"/>
        <v>26505.100000000002</v>
      </c>
      <c r="Q81" s="14">
        <f t="shared" si="154"/>
        <v>25248.5</v>
      </c>
      <c r="R81" s="14">
        <f t="shared" si="154"/>
        <v>26029.799999999996</v>
      </c>
      <c r="S81" s="14">
        <f t="shared" si="154"/>
        <v>25614.5</v>
      </c>
      <c r="T81" s="14">
        <f t="shared" si="154"/>
        <v>30112.800000000003</v>
      </c>
      <c r="U81" s="14">
        <f t="shared" si="154"/>
        <v>27978.100000000002</v>
      </c>
      <c r="V81" s="14">
        <f t="shared" si="154"/>
        <v>27230.9</v>
      </c>
      <c r="W81" s="14">
        <f t="shared" si="154"/>
        <v>26103.600000000002</v>
      </c>
      <c r="Y81" s="14">
        <f t="shared" ref="Y81:AF81" si="155">SUM(Y77:Y80)+Y74</f>
        <v>10230.400000000001</v>
      </c>
      <c r="Z81" s="14">
        <f t="shared" si="155"/>
        <v>10199.799999999999</v>
      </c>
      <c r="AA81" s="14">
        <f t="shared" si="155"/>
        <v>9897.4999999999982</v>
      </c>
      <c r="AB81" s="14">
        <f t="shared" si="155"/>
        <v>9588.7000000000007</v>
      </c>
      <c r="AC81" s="14">
        <f t="shared" si="155"/>
        <v>10061.4</v>
      </c>
      <c r="AD81" s="14">
        <f t="shared" si="155"/>
        <v>9854.2000000000007</v>
      </c>
      <c r="AE81" s="14">
        <f t="shared" si="155"/>
        <v>8614.9000000000015</v>
      </c>
      <c r="AF81" s="14">
        <f t="shared" si="155"/>
        <v>6878.7</v>
      </c>
      <c r="AG81" s="42"/>
      <c r="AH81" s="76">
        <f t="shared" si="135"/>
        <v>-0.28262433906577544</v>
      </c>
    </row>
    <row r="82" spans="1:34" ht="5.0999999999999996" customHeight="1">
      <c r="B82" s="25"/>
      <c r="C82" s="49"/>
      <c r="D82" s="49"/>
      <c r="E82" s="49"/>
      <c r="F82" s="49"/>
      <c r="G82" s="49"/>
      <c r="H82" s="49"/>
      <c r="I82" s="49"/>
      <c r="J82" s="41"/>
      <c r="K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Y82" s="42"/>
      <c r="Z82" s="42"/>
      <c r="AA82" s="42"/>
      <c r="AB82" s="42"/>
      <c r="AC82" s="42"/>
      <c r="AD82" s="42"/>
      <c r="AE82" s="42"/>
      <c r="AF82" s="42"/>
      <c r="AG82" s="42"/>
      <c r="AH82" s="39"/>
    </row>
    <row r="83" spans="1:34" ht="12.75" customHeight="1">
      <c r="B83" s="9" t="s">
        <v>144</v>
      </c>
      <c r="C83" s="121">
        <v>39.390999999999998</v>
      </c>
      <c r="D83" s="82">
        <v>38.799999999999997</v>
      </c>
      <c r="E83" s="82">
        <v>38.6</v>
      </c>
      <c r="F83" s="82">
        <v>38.200000000000003</v>
      </c>
      <c r="G83" s="82">
        <v>37.6</v>
      </c>
      <c r="H83" s="82">
        <v>36.5</v>
      </c>
      <c r="I83" s="82">
        <v>36.299999999999997</v>
      </c>
      <c r="J83" s="82">
        <v>36</v>
      </c>
      <c r="K83" s="82">
        <v>35.4</v>
      </c>
      <c r="L83" s="32"/>
      <c r="M83" s="160"/>
      <c r="N83" s="160"/>
      <c r="O83" s="160"/>
      <c r="P83" s="161"/>
      <c r="Q83" s="160"/>
      <c r="R83" s="160"/>
      <c r="S83" s="160"/>
      <c r="T83" s="161"/>
      <c r="U83" s="160"/>
      <c r="V83" s="160"/>
      <c r="W83" s="160"/>
      <c r="Y83" s="32">
        <f t="shared" ref="Y83:AE87" si="156">P83</f>
        <v>0</v>
      </c>
      <c r="Z83" s="32">
        <f t="shared" si="156"/>
        <v>0</v>
      </c>
      <c r="AA83" s="32">
        <f t="shared" si="156"/>
        <v>0</v>
      </c>
      <c r="AB83" s="32">
        <f t="shared" si="156"/>
        <v>0</v>
      </c>
      <c r="AC83" s="32">
        <f t="shared" si="156"/>
        <v>0</v>
      </c>
      <c r="AD83" s="32">
        <f t="shared" si="156"/>
        <v>0</v>
      </c>
      <c r="AE83" s="32">
        <f t="shared" si="156"/>
        <v>0</v>
      </c>
      <c r="AF83" s="32">
        <f>W83</f>
        <v>0</v>
      </c>
      <c r="AG83" s="11"/>
      <c r="AH83" s="75" t="e">
        <f t="shared" si="135"/>
        <v>#DIV/0!</v>
      </c>
    </row>
    <row r="84" spans="1:34" ht="12.75" customHeight="1">
      <c r="B84" s="9" t="s">
        <v>167</v>
      </c>
      <c r="C84" s="121">
        <v>3693.587</v>
      </c>
      <c r="D84" s="82">
        <v>3732.5</v>
      </c>
      <c r="E84" s="82">
        <v>3741.3</v>
      </c>
      <c r="F84" s="82">
        <v>3772</v>
      </c>
      <c r="G84" s="82">
        <v>3780.1</v>
      </c>
      <c r="H84" s="82">
        <v>3876.1</v>
      </c>
      <c r="I84" s="82">
        <v>3940.8</v>
      </c>
      <c r="J84" s="82">
        <v>3998.1</v>
      </c>
      <c r="K84" s="82">
        <v>4049</v>
      </c>
      <c r="L84" s="32"/>
      <c r="M84" s="160"/>
      <c r="N84" s="160"/>
      <c r="O84" s="160"/>
      <c r="P84" s="161"/>
      <c r="Q84" s="160"/>
      <c r="R84" s="160"/>
      <c r="S84" s="160"/>
      <c r="T84" s="161"/>
      <c r="U84" s="160"/>
      <c r="V84" s="160"/>
      <c r="W84" s="160"/>
      <c r="Y84" s="32"/>
      <c r="Z84" s="32"/>
      <c r="AA84" s="32"/>
      <c r="AB84" s="32"/>
      <c r="AC84" s="32"/>
      <c r="AD84" s="32"/>
      <c r="AE84" s="32"/>
      <c r="AF84" s="32"/>
      <c r="AG84" s="11"/>
      <c r="AH84" s="75"/>
    </row>
    <row r="85" spans="1:34" ht="12.75" customHeight="1">
      <c r="B85" s="9" t="s">
        <v>168</v>
      </c>
      <c r="C85" s="121">
        <v>-796.173</v>
      </c>
      <c r="D85" s="82">
        <v>-557.9</v>
      </c>
      <c r="E85" s="82">
        <v>-1621.8</v>
      </c>
      <c r="F85" s="82">
        <v>-1019.6</v>
      </c>
      <c r="G85" s="82">
        <v>-863.2</v>
      </c>
      <c r="H85" s="82">
        <v>-2422.8000000000002</v>
      </c>
      <c r="I85" s="82">
        <v>-4641.3</v>
      </c>
      <c r="J85" s="82">
        <v>-3306.2</v>
      </c>
      <c r="K85" s="82">
        <v>-476</v>
      </c>
      <c r="L85" s="32"/>
      <c r="M85" s="160"/>
      <c r="N85" s="160"/>
      <c r="O85" s="160"/>
      <c r="P85" s="161"/>
      <c r="Q85" s="160"/>
      <c r="R85" s="160"/>
      <c r="S85" s="160"/>
      <c r="T85" s="161"/>
      <c r="U85" s="160"/>
      <c r="V85" s="160"/>
      <c r="W85" s="160"/>
      <c r="Y85" s="32"/>
      <c r="Z85" s="32"/>
      <c r="AA85" s="32"/>
      <c r="AB85" s="32"/>
      <c r="AC85" s="32"/>
      <c r="AD85" s="32"/>
      <c r="AE85" s="32"/>
      <c r="AF85" s="32"/>
      <c r="AG85" s="11"/>
      <c r="AH85" s="75"/>
    </row>
    <row r="86" spans="1:34" ht="12.75" customHeight="1">
      <c r="B86" s="9" t="s">
        <v>169</v>
      </c>
      <c r="C86" s="121">
        <v>6282.5039999999999</v>
      </c>
      <c r="D86" s="82">
        <v>7311.5</v>
      </c>
      <c r="E86" s="82">
        <v>9197.9</v>
      </c>
      <c r="F86" s="82">
        <v>9523.7999999999993</v>
      </c>
      <c r="G86" s="82">
        <v>10731.5</v>
      </c>
      <c r="H86" s="82">
        <v>8317.2999999999993</v>
      </c>
      <c r="I86" s="82">
        <v>9046.7000000000007</v>
      </c>
      <c r="J86" s="82">
        <v>12379.5</v>
      </c>
      <c r="K86" s="82">
        <v>14414.3</v>
      </c>
      <c r="L86" s="32"/>
      <c r="M86" s="160"/>
      <c r="N86" s="160"/>
      <c r="O86" s="160"/>
      <c r="P86" s="161"/>
      <c r="Q86" s="160"/>
      <c r="R86" s="160"/>
      <c r="S86" s="160"/>
      <c r="T86" s="161"/>
      <c r="U86" s="160"/>
      <c r="V86" s="160"/>
      <c r="W86" s="160"/>
      <c r="Y86" s="32"/>
      <c r="Z86" s="32"/>
      <c r="AA86" s="32"/>
      <c r="AB86" s="32"/>
      <c r="AC86" s="32"/>
      <c r="AD86" s="32"/>
      <c r="AE86" s="32"/>
      <c r="AF86" s="32"/>
      <c r="AG86" s="11"/>
      <c r="AH86" s="75"/>
    </row>
    <row r="87" spans="1:34" ht="12.75" customHeight="1">
      <c r="B87" s="9" t="s">
        <v>170</v>
      </c>
      <c r="C87" s="121">
        <v>601.17200000000003</v>
      </c>
      <c r="D87" s="82">
        <v>251.5</v>
      </c>
      <c r="E87" s="82">
        <v>285</v>
      </c>
      <c r="F87" s="82">
        <v>277.8</v>
      </c>
      <c r="G87" s="82">
        <v>179.4</v>
      </c>
      <c r="H87" s="82">
        <v>333.5</v>
      </c>
      <c r="I87" s="82">
        <v>428.3</v>
      </c>
      <c r="J87" s="82">
        <v>345</v>
      </c>
      <c r="K87" s="82">
        <v>454.1</v>
      </c>
      <c r="L87" s="32"/>
      <c r="M87" s="160"/>
      <c r="N87" s="160"/>
      <c r="O87" s="160"/>
      <c r="P87" s="161"/>
      <c r="Q87" s="160"/>
      <c r="R87" s="160"/>
      <c r="S87" s="160"/>
      <c r="T87" s="161"/>
      <c r="U87" s="160"/>
      <c r="V87" s="160"/>
      <c r="W87" s="160"/>
      <c r="Y87" s="32">
        <f t="shared" si="156"/>
        <v>0</v>
      </c>
      <c r="Z87" s="32">
        <f t="shared" si="156"/>
        <v>0</v>
      </c>
      <c r="AA87" s="32">
        <f t="shared" si="156"/>
        <v>0</v>
      </c>
      <c r="AB87" s="32">
        <f t="shared" si="156"/>
        <v>0</v>
      </c>
      <c r="AC87" s="32">
        <f t="shared" si="156"/>
        <v>0</v>
      </c>
      <c r="AD87" s="32">
        <f t="shared" si="156"/>
        <v>0</v>
      </c>
      <c r="AE87" s="32">
        <f t="shared" si="156"/>
        <v>0</v>
      </c>
      <c r="AF87" s="32">
        <f>W87</f>
        <v>0</v>
      </c>
      <c r="AG87" s="11"/>
      <c r="AH87" s="75" t="e">
        <f t="shared" si="135"/>
        <v>#DIV/0!</v>
      </c>
    </row>
    <row r="88" spans="1:34" ht="12.75" customHeight="1">
      <c r="B88" s="13" t="s">
        <v>14</v>
      </c>
      <c r="C88" s="14">
        <f t="shared" ref="C88:K88" si="157">SUM(C83:C87)</f>
        <v>9820.4810000000016</v>
      </c>
      <c r="D88" s="14">
        <f t="shared" si="157"/>
        <v>10776.4</v>
      </c>
      <c r="E88" s="14">
        <f t="shared" si="157"/>
        <v>11641</v>
      </c>
      <c r="F88" s="14">
        <f t="shared" si="157"/>
        <v>12592.199999999999</v>
      </c>
      <c r="G88" s="14">
        <f t="shared" si="157"/>
        <v>13865.4</v>
      </c>
      <c r="H88" s="14">
        <f t="shared" si="157"/>
        <v>10140.599999999999</v>
      </c>
      <c r="I88" s="14">
        <f t="shared" si="157"/>
        <v>8810.7999999999993</v>
      </c>
      <c r="J88" s="14">
        <f t="shared" si="157"/>
        <v>13452.4</v>
      </c>
      <c r="K88" s="14">
        <f t="shared" si="157"/>
        <v>18476.8</v>
      </c>
      <c r="L88" s="52"/>
      <c r="M88" s="162">
        <v>9786.2999999999993</v>
      </c>
      <c r="N88" s="162">
        <v>10604.9</v>
      </c>
      <c r="O88" s="162">
        <v>11994.9</v>
      </c>
      <c r="P88" s="162">
        <v>13452.4</v>
      </c>
      <c r="Q88" s="162">
        <v>13794.1</v>
      </c>
      <c r="R88" s="162">
        <v>14711.2</v>
      </c>
      <c r="S88" s="162">
        <v>16151.6</v>
      </c>
      <c r="T88" s="162">
        <v>18476.8</v>
      </c>
      <c r="U88" s="162">
        <v>17500.7</v>
      </c>
      <c r="V88" s="162">
        <v>17618.2</v>
      </c>
      <c r="W88" s="162">
        <v>18993.5</v>
      </c>
      <c r="Y88" s="14">
        <f t="shared" ref="Y88:AA88" si="158">SUM(Y83:Y87)</f>
        <v>0</v>
      </c>
      <c r="Z88" s="14">
        <f t="shared" si="158"/>
        <v>0</v>
      </c>
      <c r="AA88" s="14">
        <f t="shared" si="158"/>
        <v>0</v>
      </c>
      <c r="AB88" s="162">
        <f t="shared" ref="AB88" si="159">SUM(AB83:AB87)</f>
        <v>0</v>
      </c>
      <c r="AC88" s="162">
        <f t="shared" ref="AC88" si="160">SUM(AC83:AC87)</f>
        <v>0</v>
      </c>
      <c r="AD88" s="162">
        <f t="shared" ref="AD88" si="161">SUM(AD83:AD87)</f>
        <v>0</v>
      </c>
      <c r="AE88" s="162">
        <f t="shared" ref="AE88" si="162">SUM(AE83:AE87)</f>
        <v>0</v>
      </c>
      <c r="AF88" s="162">
        <f t="shared" ref="AF88" si="163">SUM(AF83:AF87)</f>
        <v>0</v>
      </c>
      <c r="AG88" s="42"/>
      <c r="AH88" s="75" t="e">
        <f t="shared" si="135"/>
        <v>#DIV/0!</v>
      </c>
    </row>
    <row r="89" spans="1:34" ht="12.75" customHeight="1">
      <c r="B89" s="25" t="s">
        <v>49</v>
      </c>
      <c r="C89" s="32">
        <f t="shared" ref="C89:K89" si="164">SUM(C88+C81)</f>
        <v>17205.961000000003</v>
      </c>
      <c r="D89" s="32">
        <f t="shared" si="164"/>
        <v>18188.900000000001</v>
      </c>
      <c r="E89" s="32">
        <f t="shared" si="164"/>
        <v>20136.900000000001</v>
      </c>
      <c r="F89" s="32">
        <f t="shared" si="164"/>
        <v>22629.599999999999</v>
      </c>
      <c r="G89" s="32">
        <f t="shared" si="164"/>
        <v>27267.4</v>
      </c>
      <c r="H89" s="32">
        <f t="shared" si="164"/>
        <v>30231</v>
      </c>
      <c r="I89" s="32">
        <f t="shared" si="164"/>
        <v>36300.399999999994</v>
      </c>
      <c r="J89" s="32">
        <f t="shared" si="164"/>
        <v>39957.5</v>
      </c>
      <c r="K89" s="32">
        <f t="shared" si="164"/>
        <v>48589.600000000006</v>
      </c>
      <c r="L89" s="32"/>
      <c r="M89" s="32">
        <f t="shared" ref="M89:W89" si="165">SUM(M88+M81)</f>
        <v>35147.599999999991</v>
      </c>
      <c r="N89" s="32">
        <f t="shared" si="165"/>
        <v>36928.5</v>
      </c>
      <c r="O89" s="32">
        <f t="shared" si="165"/>
        <v>37513.5</v>
      </c>
      <c r="P89" s="32">
        <f t="shared" si="165"/>
        <v>39957.5</v>
      </c>
      <c r="Q89" s="32">
        <f t="shared" si="165"/>
        <v>39042.6</v>
      </c>
      <c r="R89" s="32">
        <f t="shared" si="165"/>
        <v>40741</v>
      </c>
      <c r="S89" s="32">
        <f t="shared" si="165"/>
        <v>41766.1</v>
      </c>
      <c r="T89" s="32">
        <f t="shared" si="165"/>
        <v>48589.600000000006</v>
      </c>
      <c r="U89" s="32">
        <f t="shared" si="165"/>
        <v>45478.8</v>
      </c>
      <c r="V89" s="32">
        <f t="shared" si="165"/>
        <v>44849.100000000006</v>
      </c>
      <c r="W89" s="32">
        <f t="shared" si="165"/>
        <v>45097.100000000006</v>
      </c>
      <c r="X89" s="32"/>
      <c r="Y89" s="32">
        <f t="shared" ref="Y89:AF89" si="166">SUM(Y88+Y81)</f>
        <v>10230.400000000001</v>
      </c>
      <c r="Z89" s="32">
        <f t="shared" si="166"/>
        <v>10199.799999999999</v>
      </c>
      <c r="AA89" s="32">
        <f t="shared" si="166"/>
        <v>9897.4999999999982</v>
      </c>
      <c r="AB89" s="32">
        <f t="shared" si="166"/>
        <v>9588.7000000000007</v>
      </c>
      <c r="AC89" s="32">
        <f t="shared" si="166"/>
        <v>10061.4</v>
      </c>
      <c r="AD89" s="32">
        <f t="shared" si="166"/>
        <v>9854.2000000000007</v>
      </c>
      <c r="AE89" s="32">
        <f t="shared" si="166"/>
        <v>8614.9000000000015</v>
      </c>
      <c r="AF89" s="32">
        <f t="shared" si="166"/>
        <v>6878.7</v>
      </c>
      <c r="AG89" s="11"/>
      <c r="AH89" s="76">
        <f t="shared" si="135"/>
        <v>-0.28262433906577544</v>
      </c>
    </row>
    <row r="90" spans="1:34" ht="5.0999999999999996" customHeight="1">
      <c r="B90" s="25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11"/>
    </row>
    <row r="91" spans="1:34" ht="12.75" customHeight="1">
      <c r="B91" s="140" t="s">
        <v>58</v>
      </c>
      <c r="C91" s="69">
        <f t="shared" ref="C91" si="167">C89-C66</f>
        <v>0</v>
      </c>
      <c r="D91" s="69">
        <f t="shared" ref="D91:E91" si="168">D89-D66</f>
        <v>0</v>
      </c>
      <c r="E91" s="69">
        <f t="shared" si="168"/>
        <v>0</v>
      </c>
      <c r="F91" s="69">
        <f t="shared" ref="F91:K91" si="169">F89-F66</f>
        <v>0</v>
      </c>
      <c r="G91" s="69">
        <f t="shared" si="169"/>
        <v>0</v>
      </c>
      <c r="H91" s="69">
        <f t="shared" si="169"/>
        <v>0</v>
      </c>
      <c r="I91" s="69">
        <f t="shared" si="169"/>
        <v>0</v>
      </c>
      <c r="J91" s="69">
        <f t="shared" si="169"/>
        <v>0</v>
      </c>
      <c r="K91" s="69">
        <f t="shared" si="169"/>
        <v>0</v>
      </c>
      <c r="L91" s="70"/>
      <c r="M91" s="69">
        <f t="shared" ref="M91:W91" si="170">M89-M66</f>
        <v>0</v>
      </c>
      <c r="N91" s="69">
        <f t="shared" si="170"/>
        <v>0</v>
      </c>
      <c r="O91" s="69">
        <f t="shared" si="170"/>
        <v>0</v>
      </c>
      <c r="P91" s="69">
        <f t="shared" si="170"/>
        <v>0</v>
      </c>
      <c r="Q91" s="69">
        <f t="shared" si="170"/>
        <v>0</v>
      </c>
      <c r="R91" s="69">
        <f t="shared" si="170"/>
        <v>0</v>
      </c>
      <c r="S91" s="69">
        <f t="shared" si="170"/>
        <v>0</v>
      </c>
      <c r="T91" s="69">
        <f t="shared" si="170"/>
        <v>0</v>
      </c>
      <c r="U91" s="69">
        <f t="shared" si="170"/>
        <v>0</v>
      </c>
      <c r="V91" s="69">
        <f t="shared" si="170"/>
        <v>0</v>
      </c>
      <c r="W91" s="69">
        <f t="shared" si="170"/>
        <v>0</v>
      </c>
      <c r="X91" s="28"/>
      <c r="Y91" s="69">
        <f t="shared" ref="Y91:AF91" si="171">Y89-Y66</f>
        <v>-32025.9</v>
      </c>
      <c r="Z91" s="69">
        <f t="shared" si="171"/>
        <v>-5703.1</v>
      </c>
      <c r="AA91" s="69">
        <f t="shared" si="171"/>
        <v>-31346.6</v>
      </c>
      <c r="AB91" s="69">
        <f t="shared" si="171"/>
        <v>-32177.400000000005</v>
      </c>
      <c r="AC91" s="69">
        <f t="shared" si="171"/>
        <v>-38528.19999999999</v>
      </c>
      <c r="AD91" s="69">
        <f t="shared" si="171"/>
        <v>-35624.600000000006</v>
      </c>
      <c r="AE91" s="69">
        <f t="shared" si="171"/>
        <v>-36234.200000000004</v>
      </c>
      <c r="AF91" s="69">
        <f t="shared" si="171"/>
        <v>-38218.400000000009</v>
      </c>
    </row>
    <row r="92" spans="1:34" ht="5.0999999999999996" customHeight="1" thickBot="1">
      <c r="B92" s="116"/>
      <c r="C92" s="117"/>
      <c r="D92" s="117"/>
      <c r="E92" s="117"/>
      <c r="F92" s="117"/>
      <c r="G92" s="117"/>
      <c r="H92" s="117"/>
      <c r="I92" s="117"/>
      <c r="J92" s="117"/>
      <c r="K92" s="117"/>
      <c r="L92" s="118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9"/>
      <c r="Y92" s="117"/>
      <c r="Z92" s="117"/>
      <c r="AA92" s="117"/>
      <c r="AB92" s="117"/>
      <c r="AC92" s="117"/>
      <c r="AD92" s="117"/>
      <c r="AE92" s="117"/>
      <c r="AF92" s="117"/>
      <c r="AG92" s="73"/>
      <c r="AH92" s="73"/>
    </row>
    <row r="93" spans="1:34">
      <c r="B93" s="68"/>
      <c r="C93" s="53"/>
      <c r="D93" s="53"/>
      <c r="E93" s="53"/>
      <c r="F93" s="53"/>
      <c r="G93" s="53"/>
      <c r="H93" s="53"/>
      <c r="I93" s="24"/>
      <c r="J93" s="24"/>
      <c r="K93" s="24"/>
      <c r="L93" s="53"/>
    </row>
    <row r="94" spans="1:34" ht="12.75" customHeight="1">
      <c r="A94" s="5" t="s">
        <v>16</v>
      </c>
      <c r="B94" s="98" t="s">
        <v>13</v>
      </c>
      <c r="C94" s="102"/>
      <c r="D94" s="102"/>
      <c r="E94" s="102"/>
      <c r="F94" s="102"/>
      <c r="G94" s="102"/>
      <c r="H94" s="102"/>
      <c r="I94" s="102"/>
      <c r="J94" s="102"/>
      <c r="K94" s="102"/>
      <c r="L94" s="103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98"/>
      <c r="Y94" s="102"/>
      <c r="Z94" s="102"/>
      <c r="AA94" s="102" t="s">
        <v>10</v>
      </c>
      <c r="AB94" s="102"/>
      <c r="AC94" s="102"/>
      <c r="AD94" s="102"/>
      <c r="AE94" s="102"/>
      <c r="AF94" s="102"/>
      <c r="AG94" s="103"/>
      <c r="AH94" s="156" t="s">
        <v>22</v>
      </c>
    </row>
    <row r="95" spans="1:34" ht="12.75" customHeight="1">
      <c r="B95" s="99" t="str">
        <f>B7</f>
        <v>Fiscal Period</v>
      </c>
      <c r="C95" s="104">
        <f>C7</f>
        <v>2016</v>
      </c>
      <c r="D95" s="104">
        <f>D7</f>
        <v>2017</v>
      </c>
      <c r="E95" s="104">
        <f>E7</f>
        <v>2018</v>
      </c>
      <c r="F95" s="104">
        <f>F7</f>
        <v>2019</v>
      </c>
      <c r="G95" s="104">
        <f>G7</f>
        <v>2020</v>
      </c>
      <c r="H95" s="104">
        <f>H7</f>
        <v>2021</v>
      </c>
      <c r="I95" s="104">
        <f>I7</f>
        <v>2022</v>
      </c>
      <c r="J95" s="104">
        <f>J7</f>
        <v>2023</v>
      </c>
      <c r="K95" s="104">
        <f>K7</f>
        <v>2024</v>
      </c>
      <c r="L95" s="103"/>
      <c r="M95" s="104" t="str">
        <f>M7</f>
        <v>1Q23</v>
      </c>
      <c r="N95" s="104" t="str">
        <f>N7</f>
        <v>2Q23</v>
      </c>
      <c r="O95" s="104" t="str">
        <f>O7</f>
        <v>3Q23</v>
      </c>
      <c r="P95" s="104" t="str">
        <f>P7</f>
        <v>4Q23</v>
      </c>
      <c r="Q95" s="104" t="str">
        <f>Q7</f>
        <v>1Q24</v>
      </c>
      <c r="R95" s="104" t="str">
        <f>R7</f>
        <v>2Q24</v>
      </c>
      <c r="S95" s="104" t="str">
        <f>S7</f>
        <v>3Q24</v>
      </c>
      <c r="T95" s="104" t="str">
        <f>T7</f>
        <v>4Q24</v>
      </c>
      <c r="U95" s="104" t="str">
        <f>U7</f>
        <v>1Q25</v>
      </c>
      <c r="V95" s="104" t="str">
        <f>V7</f>
        <v>2Q25</v>
      </c>
      <c r="W95" s="104" t="str">
        <f>W7</f>
        <v>3Q25</v>
      </c>
      <c r="X95" s="104"/>
      <c r="Y95" s="104" t="str">
        <f>Y7</f>
        <v>4Q23</v>
      </c>
      <c r="Z95" s="104" t="str">
        <f>Z7</f>
        <v>1Q24</v>
      </c>
      <c r="AA95" s="104" t="str">
        <f>AA7</f>
        <v>2Q24</v>
      </c>
      <c r="AB95" s="104" t="str">
        <f>AB7</f>
        <v>3Q24</v>
      </c>
      <c r="AC95" s="104" t="str">
        <f>AC7</f>
        <v>4Q24</v>
      </c>
      <c r="AD95" s="104" t="str">
        <f>AD7</f>
        <v>1Q25</v>
      </c>
      <c r="AE95" s="104" t="str">
        <f>AE7</f>
        <v>2Q25</v>
      </c>
      <c r="AF95" s="104" t="str">
        <f>AF7</f>
        <v>3Q25</v>
      </c>
      <c r="AG95" s="103"/>
      <c r="AH95" s="156"/>
    </row>
    <row r="96" spans="1:34" ht="12.75" customHeight="1">
      <c r="B96" s="99" t="str">
        <f>B8</f>
        <v>Fiscal Period End Date</v>
      </c>
      <c r="C96" s="105" t="str">
        <f>C8</f>
        <v>12/31/2016</v>
      </c>
      <c r="D96" s="105" t="str">
        <f>D8</f>
        <v>12/31/2017</v>
      </c>
      <c r="E96" s="105" t="str">
        <f>E8</f>
        <v>12/31/2018</v>
      </c>
      <c r="F96" s="105" t="str">
        <f>F8</f>
        <v>12/31/2019</v>
      </c>
      <c r="G96" s="105" t="str">
        <f>G8</f>
        <v>12/31/2020</v>
      </c>
      <c r="H96" s="105" t="str">
        <f>H8</f>
        <v>12/31/2021</v>
      </c>
      <c r="I96" s="105" t="str">
        <f>I8</f>
        <v>12/31/2022</v>
      </c>
      <c r="J96" s="105">
        <f>J8</f>
        <v>45291</v>
      </c>
      <c r="K96" s="105">
        <f>K8</f>
        <v>45657</v>
      </c>
      <c r="L96" s="103"/>
      <c r="M96" s="105">
        <f>M8</f>
        <v>45018</v>
      </c>
      <c r="N96" s="105">
        <f>N8</f>
        <v>45109</v>
      </c>
      <c r="O96" s="105">
        <f>O8</f>
        <v>45200</v>
      </c>
      <c r="P96" s="105">
        <f>P8</f>
        <v>45291</v>
      </c>
      <c r="Q96" s="105">
        <f>Q8</f>
        <v>45382</v>
      </c>
      <c r="R96" s="105">
        <f>R8</f>
        <v>45473</v>
      </c>
      <c r="S96" s="105">
        <f>S8</f>
        <v>45564</v>
      </c>
      <c r="T96" s="105">
        <f>T8</f>
        <v>45655</v>
      </c>
      <c r="U96" s="105">
        <f>U8</f>
        <v>45746</v>
      </c>
      <c r="V96" s="105">
        <f>V8</f>
        <v>45837</v>
      </c>
      <c r="W96" s="105">
        <f>W8</f>
        <v>45928</v>
      </c>
      <c r="X96" s="105"/>
      <c r="Y96" s="105">
        <f>Y8</f>
        <v>45291</v>
      </c>
      <c r="Z96" s="105">
        <f>Z8</f>
        <v>45382</v>
      </c>
      <c r="AA96" s="105">
        <f>AA8</f>
        <v>45473</v>
      </c>
      <c r="AB96" s="105">
        <f>AB8</f>
        <v>45564</v>
      </c>
      <c r="AC96" s="105">
        <f>AC8</f>
        <v>45655</v>
      </c>
      <c r="AD96" s="105">
        <f>AD8</f>
        <v>45746</v>
      </c>
      <c r="AE96" s="105">
        <f>AE8</f>
        <v>45837</v>
      </c>
      <c r="AF96" s="105">
        <f>AF8</f>
        <v>45928</v>
      </c>
      <c r="AG96" s="103"/>
      <c r="AH96" s="156"/>
    </row>
    <row r="97" spans="2:34" ht="5.0999999999999996" customHeight="1">
      <c r="B97" s="54"/>
      <c r="C97" s="47"/>
      <c r="D97" s="47"/>
      <c r="E97" s="47"/>
      <c r="F97" s="47"/>
      <c r="G97" s="47"/>
      <c r="H97" s="47"/>
      <c r="I97" s="47"/>
      <c r="J97" s="47"/>
      <c r="K97" s="47"/>
    </row>
    <row r="98" spans="2:34" ht="12.75" customHeight="1">
      <c r="B98" s="55" t="s">
        <v>50</v>
      </c>
      <c r="C98" s="56"/>
      <c r="D98" s="56"/>
      <c r="E98" s="56"/>
      <c r="F98" s="56"/>
      <c r="G98" s="56"/>
      <c r="H98" s="56"/>
      <c r="I98" s="56"/>
      <c r="J98" s="56"/>
      <c r="K98" s="56"/>
    </row>
    <row r="99" spans="2:34" ht="12.75" customHeight="1">
      <c r="B99" s="57" t="s">
        <v>119</v>
      </c>
      <c r="C99" s="32">
        <f>C32</f>
        <v>1557.8000000000002</v>
      </c>
      <c r="D99" s="32">
        <f>D32</f>
        <v>2066.7000000000007</v>
      </c>
      <c r="E99" s="32">
        <f>E32</f>
        <v>2591.5999999999995</v>
      </c>
      <c r="F99" s="32">
        <f>F32</f>
        <v>2592.3000000000002</v>
      </c>
      <c r="G99" s="32">
        <f>G32</f>
        <v>3553.6999999999994</v>
      </c>
      <c r="H99" s="32">
        <f>H32</f>
        <v>5883.2000000000007</v>
      </c>
      <c r="I99" s="32">
        <f>I32</f>
        <v>5624.2000000000025</v>
      </c>
      <c r="J99" s="32">
        <f>J32</f>
        <v>7839</v>
      </c>
      <c r="K99" s="32">
        <f>K32</f>
        <v>7571.6000000000013</v>
      </c>
      <c r="L99" s="32"/>
      <c r="M99" s="32">
        <f>M32</f>
        <v>1955.8</v>
      </c>
      <c r="N99" s="32">
        <f>N32</f>
        <v>1941.6999999999998</v>
      </c>
      <c r="O99" s="32">
        <f>O32</f>
        <v>1893.3999999999994</v>
      </c>
      <c r="P99" s="32">
        <f>P32</f>
        <v>2048.1</v>
      </c>
      <c r="Q99" s="32">
        <f>Q32</f>
        <v>1223.8</v>
      </c>
      <c r="R99" s="32">
        <f>R32</f>
        <v>1577.9000000000003</v>
      </c>
      <c r="S99" s="32">
        <f>S32</f>
        <v>2076.4999999999995</v>
      </c>
      <c r="T99" s="32">
        <f>T32</f>
        <v>2693.3999999999996</v>
      </c>
      <c r="U99" s="32">
        <f>U32</f>
        <v>2354.9999999999995</v>
      </c>
      <c r="V99" s="32">
        <f>V32</f>
        <v>2290.3000000000002</v>
      </c>
      <c r="W99" s="32">
        <f>W32</f>
        <v>2124.5</v>
      </c>
      <c r="Y99" s="32">
        <f>Y32</f>
        <v>7839</v>
      </c>
      <c r="Z99" s="32">
        <f>Z32</f>
        <v>7106.9999999999982</v>
      </c>
      <c r="AA99" s="32">
        <f>AA32</f>
        <v>6743.2</v>
      </c>
      <c r="AB99" s="32">
        <f>AB28</f>
        <v>6735.3999999999978</v>
      </c>
      <c r="AC99" s="32">
        <f>AC28</f>
        <v>7361.7999999999975</v>
      </c>
      <c r="AD99" s="32">
        <f>AD28</f>
        <v>8490.2000000000007</v>
      </c>
      <c r="AE99" s="32">
        <f>AE28</f>
        <v>9160.5999999999985</v>
      </c>
      <c r="AF99" s="32">
        <f>AF28</f>
        <v>9207</v>
      </c>
      <c r="AG99" s="11"/>
      <c r="AH99" s="75">
        <f>SUM(AF99/AB99)-1</f>
        <v>0.36695667666359877</v>
      </c>
    </row>
    <row r="100" spans="2:34" ht="12.75" customHeight="1">
      <c r="B100" s="57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Y100" s="32"/>
      <c r="Z100" s="32"/>
      <c r="AA100" s="32"/>
      <c r="AB100" s="32"/>
      <c r="AC100" s="32"/>
      <c r="AD100" s="32"/>
      <c r="AE100" s="32"/>
      <c r="AF100" s="32"/>
      <c r="AG100" s="11"/>
      <c r="AH100" s="75"/>
    </row>
    <row r="101" spans="2:34" ht="12.75" customHeight="1">
      <c r="B101" s="36" t="s">
        <v>57</v>
      </c>
      <c r="C101" s="82"/>
      <c r="D101" s="82"/>
      <c r="E101" s="82"/>
      <c r="F101" s="82"/>
      <c r="G101" s="82"/>
      <c r="H101" s="82"/>
      <c r="I101" s="82"/>
      <c r="J101" s="82"/>
      <c r="K101" s="82"/>
      <c r="L101" s="32"/>
      <c r="M101" s="82"/>
      <c r="N101" s="82"/>
      <c r="O101" s="82"/>
      <c r="P101" s="32">
        <f t="shared" ref="P101" si="172">SUM(J101-SUM(M101:O101))</f>
        <v>0</v>
      </c>
      <c r="Q101" s="82"/>
      <c r="R101" s="82"/>
      <c r="S101" s="82"/>
      <c r="T101" s="32">
        <f t="shared" ref="T101" si="173">SUM(K101-SUM(Q101:S101))</f>
        <v>0</v>
      </c>
      <c r="U101" s="82"/>
      <c r="V101" s="82"/>
      <c r="W101" s="82"/>
      <c r="Y101" s="32">
        <f t="shared" ref="Y101:Y108" si="174">SUM(M101:P101)</f>
        <v>0</v>
      </c>
      <c r="Z101" s="32">
        <f t="shared" ref="Z101:Z108" si="175">SUM(N101:Q101)</f>
        <v>0</v>
      </c>
      <c r="AA101" s="32">
        <f t="shared" ref="AA101:AA108" si="176">SUM(O101:R101)</f>
        <v>0</v>
      </c>
      <c r="AB101" s="32">
        <f t="shared" ref="AB101:AB108" si="177">SUM(P101:S101)</f>
        <v>0</v>
      </c>
      <c r="AC101" s="32">
        <f t="shared" ref="AC101:AC108" si="178">SUM(Q101:T101)</f>
        <v>0</v>
      </c>
      <c r="AD101" s="32">
        <f t="shared" ref="AD101:AD108" si="179">SUM(R101:U101)</f>
        <v>0</v>
      </c>
      <c r="AE101" s="32">
        <f t="shared" ref="AE101:AE108" si="180">SUM(S101:V101)</f>
        <v>0</v>
      </c>
      <c r="AF101" s="32">
        <f t="shared" ref="AF101:AF108" si="181">SUM(T101:W101)</f>
        <v>0</v>
      </c>
      <c r="AG101" s="11"/>
      <c r="AH101" s="75" t="e">
        <f t="shared" ref="AH101:AH108" si="182">SUM(AF101/AB101)-1</f>
        <v>#DIV/0!</v>
      </c>
    </row>
    <row r="102" spans="2:34" ht="12.75" customHeight="1">
      <c r="B102" s="60" t="s">
        <v>175</v>
      </c>
      <c r="C102" s="82">
        <v>356.9</v>
      </c>
      <c r="D102" s="82">
        <v>417.5</v>
      </c>
      <c r="E102" s="82">
        <v>422.7</v>
      </c>
      <c r="F102" s="82">
        <v>448.5</v>
      </c>
      <c r="G102" s="82">
        <v>490.8</v>
      </c>
      <c r="H102" s="82">
        <v>471</v>
      </c>
      <c r="I102" s="82">
        <v>583.6</v>
      </c>
      <c r="J102" s="82">
        <v>739.8</v>
      </c>
      <c r="K102" s="82">
        <v>918.6</v>
      </c>
      <c r="L102" s="32"/>
      <c r="M102" s="82">
        <v>170.3</v>
      </c>
      <c r="N102" s="82">
        <v>181.2</v>
      </c>
      <c r="O102" s="82">
        <v>176.2</v>
      </c>
      <c r="P102" s="32">
        <v>212.1</v>
      </c>
      <c r="Q102" s="82">
        <v>214.4</v>
      </c>
      <c r="R102" s="82">
        <v>227.5</v>
      </c>
      <c r="S102" s="82">
        <v>235.7</v>
      </c>
      <c r="T102" s="32">
        <v>241</v>
      </c>
      <c r="U102" s="82">
        <v>241.3</v>
      </c>
      <c r="V102" s="82">
        <v>254.9</v>
      </c>
      <c r="W102" s="82">
        <v>274.60000000000002</v>
      </c>
      <c r="Y102" s="32">
        <f t="shared" si="174"/>
        <v>739.80000000000007</v>
      </c>
      <c r="Z102" s="32">
        <f t="shared" si="175"/>
        <v>783.9</v>
      </c>
      <c r="AA102" s="32">
        <f t="shared" si="176"/>
        <v>830.19999999999993</v>
      </c>
      <c r="AB102" s="32">
        <f t="shared" si="177"/>
        <v>889.7</v>
      </c>
      <c r="AC102" s="32">
        <f t="shared" si="178"/>
        <v>918.59999999999991</v>
      </c>
      <c r="AD102" s="32">
        <f t="shared" si="179"/>
        <v>945.5</v>
      </c>
      <c r="AE102" s="32">
        <f t="shared" si="180"/>
        <v>972.9</v>
      </c>
      <c r="AF102" s="32">
        <f t="shared" si="181"/>
        <v>1011.8000000000001</v>
      </c>
      <c r="AG102" s="11"/>
      <c r="AH102" s="75">
        <f t="shared" si="182"/>
        <v>0.13723727099022143</v>
      </c>
    </row>
    <row r="103" spans="2:34" ht="12.75" customHeight="1">
      <c r="B103" s="60" t="s">
        <v>176</v>
      </c>
      <c r="C103" s="82">
        <v>3.5</v>
      </c>
      <c r="D103" s="82">
        <v>9</v>
      </c>
      <c r="E103" s="82">
        <v>15.4</v>
      </c>
      <c r="F103" s="82">
        <v>7.8</v>
      </c>
      <c r="G103" s="82">
        <v>5.5</v>
      </c>
      <c r="H103" s="82">
        <v>-15.9</v>
      </c>
      <c r="I103" s="82">
        <v>39.299999999999997</v>
      </c>
      <c r="J103" s="82">
        <v>37.5</v>
      </c>
      <c r="K103" s="82">
        <v>35.799999999999997</v>
      </c>
      <c r="L103" s="32"/>
      <c r="M103" s="82">
        <v>3.2</v>
      </c>
      <c r="N103" s="82">
        <v>3.9</v>
      </c>
      <c r="O103" s="82">
        <v>20.399999999999999</v>
      </c>
      <c r="P103" s="32">
        <v>10</v>
      </c>
      <c r="Q103" s="82">
        <v>4.2</v>
      </c>
      <c r="R103" s="82">
        <v>13.7</v>
      </c>
      <c r="S103" s="82">
        <v>6.8</v>
      </c>
      <c r="T103" s="32">
        <v>11.1</v>
      </c>
      <c r="U103" s="82">
        <v>2.1</v>
      </c>
      <c r="V103" s="82">
        <v>16.5</v>
      </c>
      <c r="W103" s="82">
        <v>3.1</v>
      </c>
      <c r="Y103" s="32">
        <f t="shared" si="174"/>
        <v>37.5</v>
      </c>
      <c r="Z103" s="32">
        <f t="shared" si="175"/>
        <v>38.5</v>
      </c>
      <c r="AA103" s="32">
        <f t="shared" si="176"/>
        <v>48.3</v>
      </c>
      <c r="AB103" s="32">
        <f t="shared" si="177"/>
        <v>34.699999999999996</v>
      </c>
      <c r="AC103" s="32">
        <f t="shared" si="178"/>
        <v>35.799999999999997</v>
      </c>
      <c r="AD103" s="32">
        <f t="shared" si="179"/>
        <v>33.700000000000003</v>
      </c>
      <c r="AE103" s="32">
        <f t="shared" si="180"/>
        <v>36.5</v>
      </c>
      <c r="AF103" s="32">
        <f t="shared" si="181"/>
        <v>32.799999999999997</v>
      </c>
      <c r="AG103" s="11"/>
      <c r="AH103" s="75">
        <f t="shared" si="182"/>
        <v>-5.4755043227665667E-2</v>
      </c>
    </row>
    <row r="104" spans="2:34" ht="12.75" customHeight="1">
      <c r="B104" s="60" t="s">
        <v>177</v>
      </c>
      <c r="C104" s="82">
        <v>47.7</v>
      </c>
      <c r="D104" s="82">
        <v>53.1</v>
      </c>
      <c r="E104" s="82">
        <v>46.3</v>
      </c>
      <c r="F104" s="82">
        <v>74.599999999999994</v>
      </c>
      <c r="G104" s="82">
        <v>53.9</v>
      </c>
      <c r="H104" s="82">
        <v>117.5</v>
      </c>
      <c r="I104" s="82">
        <v>68.900000000000006</v>
      </c>
      <c r="J104" s="82">
        <v>134.80000000000001</v>
      </c>
      <c r="K104" s="82">
        <v>172.6</v>
      </c>
      <c r="L104" s="32"/>
      <c r="M104" s="82">
        <v>18.3</v>
      </c>
      <c r="N104" s="82">
        <v>33.4</v>
      </c>
      <c r="O104" s="82">
        <v>41.5</v>
      </c>
      <c r="P104" s="32">
        <v>41.6</v>
      </c>
      <c r="Q104" s="82">
        <v>19.8</v>
      </c>
      <c r="R104" s="82">
        <v>46.5</v>
      </c>
      <c r="S104" s="82">
        <v>53.3</v>
      </c>
      <c r="T104" s="32">
        <v>53</v>
      </c>
      <c r="U104" s="82">
        <v>40</v>
      </c>
      <c r="V104" s="82">
        <v>49</v>
      </c>
      <c r="W104" s="82">
        <v>57.7</v>
      </c>
      <c r="Y104" s="32">
        <f t="shared" si="174"/>
        <v>134.80000000000001</v>
      </c>
      <c r="Z104" s="32">
        <f t="shared" si="175"/>
        <v>136.30000000000001</v>
      </c>
      <c r="AA104" s="32">
        <f t="shared" si="176"/>
        <v>149.39999999999998</v>
      </c>
      <c r="AB104" s="32">
        <f t="shared" si="177"/>
        <v>161.19999999999999</v>
      </c>
      <c r="AC104" s="32">
        <f t="shared" si="178"/>
        <v>172.6</v>
      </c>
      <c r="AD104" s="32">
        <f t="shared" si="179"/>
        <v>192.8</v>
      </c>
      <c r="AE104" s="32">
        <f t="shared" si="180"/>
        <v>195.3</v>
      </c>
      <c r="AF104" s="32">
        <f t="shared" si="181"/>
        <v>199.7</v>
      </c>
      <c r="AG104" s="11"/>
      <c r="AH104" s="75">
        <f t="shared" si="182"/>
        <v>0.23883374689826309</v>
      </c>
    </row>
    <row r="105" spans="2:34" ht="12.75" customHeight="1">
      <c r="B105" s="60" t="s">
        <v>178</v>
      </c>
      <c r="C105" s="82"/>
      <c r="D105" s="82"/>
      <c r="E105" s="82"/>
      <c r="F105" s="82">
        <v>0</v>
      </c>
      <c r="G105" s="82">
        <v>0</v>
      </c>
      <c r="H105" s="82">
        <v>-213.7</v>
      </c>
      <c r="I105" s="82">
        <v>0</v>
      </c>
      <c r="J105" s="82">
        <v>0</v>
      </c>
      <c r="K105" s="82">
        <v>0</v>
      </c>
      <c r="L105" s="32"/>
      <c r="M105" s="82">
        <v>0</v>
      </c>
      <c r="N105" s="82">
        <v>0</v>
      </c>
      <c r="O105" s="82">
        <v>0</v>
      </c>
      <c r="P105" s="32">
        <v>0</v>
      </c>
      <c r="Q105" s="82">
        <v>0</v>
      </c>
      <c r="R105" s="82">
        <v>0</v>
      </c>
      <c r="S105" s="82">
        <v>0</v>
      </c>
      <c r="T105" s="32">
        <v>0</v>
      </c>
      <c r="U105" s="82">
        <v>0</v>
      </c>
      <c r="V105" s="82">
        <v>0</v>
      </c>
      <c r="W105" s="82">
        <v>6.5</v>
      </c>
      <c r="Y105" s="32">
        <f t="shared" si="174"/>
        <v>0</v>
      </c>
      <c r="Z105" s="32">
        <f t="shared" si="175"/>
        <v>0</v>
      </c>
      <c r="AA105" s="32">
        <f t="shared" si="176"/>
        <v>0</v>
      </c>
      <c r="AB105" s="32">
        <f t="shared" si="177"/>
        <v>0</v>
      </c>
      <c r="AC105" s="32">
        <f t="shared" si="178"/>
        <v>0</v>
      </c>
      <c r="AD105" s="32">
        <f t="shared" si="179"/>
        <v>0</v>
      </c>
      <c r="AE105" s="32">
        <f t="shared" si="180"/>
        <v>0</v>
      </c>
      <c r="AF105" s="32">
        <f t="shared" si="181"/>
        <v>6.5</v>
      </c>
      <c r="AG105" s="11"/>
      <c r="AH105" s="75" t="e">
        <f t="shared" si="182"/>
        <v>#DIV/0!</v>
      </c>
    </row>
    <row r="106" spans="2:34" ht="12.75" customHeight="1">
      <c r="B106" s="60" t="s">
        <v>179</v>
      </c>
      <c r="C106" s="82">
        <v>73</v>
      </c>
      <c r="D106" s="82">
        <v>120.1</v>
      </c>
      <c r="E106" s="82">
        <v>218.2</v>
      </c>
      <c r="F106" s="82">
        <v>221.5</v>
      </c>
      <c r="G106" s="82">
        <v>192.4</v>
      </c>
      <c r="H106" s="82">
        <v>180.7</v>
      </c>
      <c r="I106" s="82">
        <v>278.5</v>
      </c>
      <c r="J106" s="82">
        <v>485.3</v>
      </c>
      <c r="K106" s="82">
        <v>554.70000000000005</v>
      </c>
      <c r="L106" s="32"/>
      <c r="M106" s="82">
        <v>81.7</v>
      </c>
      <c r="N106" s="82">
        <v>90.6</v>
      </c>
      <c r="O106" s="82">
        <v>102.3</v>
      </c>
      <c r="P106" s="32">
        <v>210.7</v>
      </c>
      <c r="Q106" s="82">
        <v>121.5</v>
      </c>
      <c r="R106" s="82">
        <v>110.7</v>
      </c>
      <c r="S106" s="82">
        <v>154.80000000000001</v>
      </c>
      <c r="T106" s="32">
        <v>167.7</v>
      </c>
      <c r="U106" s="82">
        <v>59.6</v>
      </c>
      <c r="V106" s="82">
        <v>99.7</v>
      </c>
      <c r="W106" s="82">
        <v>138.6</v>
      </c>
      <c r="Y106" s="32">
        <f t="shared" si="174"/>
        <v>485.3</v>
      </c>
      <c r="Z106" s="32">
        <f t="shared" si="175"/>
        <v>525.09999999999991</v>
      </c>
      <c r="AA106" s="32">
        <f t="shared" si="176"/>
        <v>545.20000000000005</v>
      </c>
      <c r="AB106" s="32">
        <f t="shared" si="177"/>
        <v>597.70000000000005</v>
      </c>
      <c r="AC106" s="32">
        <f t="shared" si="178"/>
        <v>554.70000000000005</v>
      </c>
      <c r="AD106" s="32">
        <f t="shared" si="179"/>
        <v>492.8</v>
      </c>
      <c r="AE106" s="32">
        <f t="shared" si="180"/>
        <v>481.8</v>
      </c>
      <c r="AF106" s="32">
        <f t="shared" si="181"/>
        <v>465.6</v>
      </c>
      <c r="AG106" s="11"/>
      <c r="AH106" s="75">
        <f t="shared" si="182"/>
        <v>-0.22101388656516652</v>
      </c>
    </row>
    <row r="107" spans="2:34" ht="12.75" customHeight="1">
      <c r="B107" s="60" t="s">
        <v>180</v>
      </c>
      <c r="C107" s="82">
        <v>13.4</v>
      </c>
      <c r="D107" s="82">
        <v>-8.4</v>
      </c>
      <c r="E107" s="82">
        <v>-238.5</v>
      </c>
      <c r="F107" s="82">
        <v>-236.8</v>
      </c>
      <c r="G107" s="82">
        <v>-211.3</v>
      </c>
      <c r="H107" s="82">
        <v>-419.6</v>
      </c>
      <c r="I107" s="82">
        <v>-564.20000000000005</v>
      </c>
      <c r="J107" s="82">
        <v>-133.6</v>
      </c>
      <c r="K107" s="82">
        <v>-144.80000000000001</v>
      </c>
      <c r="L107" s="32"/>
      <c r="M107" s="82">
        <v>12.7</v>
      </c>
      <c r="N107" s="82">
        <v>41.5</v>
      </c>
      <c r="O107" s="82">
        <v>-138.9</v>
      </c>
      <c r="P107" s="32">
        <v>-48.9</v>
      </c>
      <c r="Q107" s="82">
        <v>-2.7</v>
      </c>
      <c r="R107" s="82">
        <v>0.8</v>
      </c>
      <c r="S107" s="82">
        <v>-114.6</v>
      </c>
      <c r="T107" s="32">
        <v>-28.3</v>
      </c>
      <c r="U107" s="82">
        <v>79.099999999999994</v>
      </c>
      <c r="V107" s="82">
        <v>38.1</v>
      </c>
      <c r="W107" s="82">
        <v>-55.3</v>
      </c>
      <c r="Y107" s="32">
        <f t="shared" si="174"/>
        <v>-133.6</v>
      </c>
      <c r="Z107" s="32">
        <f t="shared" si="175"/>
        <v>-149</v>
      </c>
      <c r="AA107" s="32">
        <f t="shared" si="176"/>
        <v>-189.7</v>
      </c>
      <c r="AB107" s="32">
        <f t="shared" si="177"/>
        <v>-165.4</v>
      </c>
      <c r="AC107" s="32">
        <f t="shared" si="178"/>
        <v>-144.80000000000001</v>
      </c>
      <c r="AD107" s="32">
        <f t="shared" si="179"/>
        <v>-63</v>
      </c>
      <c r="AE107" s="32">
        <f t="shared" si="180"/>
        <v>-25.70000000000001</v>
      </c>
      <c r="AF107" s="32">
        <f t="shared" si="181"/>
        <v>33.600000000000009</v>
      </c>
      <c r="AG107" s="11"/>
      <c r="AH107" s="75">
        <f t="shared" si="182"/>
        <v>-1.2031438935912939</v>
      </c>
    </row>
    <row r="108" spans="2:34" ht="12.75" customHeight="1">
      <c r="B108" s="60" t="s">
        <v>156</v>
      </c>
      <c r="C108" s="82">
        <v>0</v>
      </c>
      <c r="D108" s="82">
        <v>36.4</v>
      </c>
      <c r="E108" s="82">
        <v>61.6</v>
      </c>
      <c r="F108" s="82">
        <v>56.9</v>
      </c>
      <c r="G108" s="82">
        <v>11</v>
      </c>
      <c r="H108" s="82">
        <v>-49.8</v>
      </c>
      <c r="I108" s="82">
        <v>15.3</v>
      </c>
      <c r="J108" s="82">
        <v>4.2</v>
      </c>
      <c r="K108" s="82">
        <v>4.4000000000000004</v>
      </c>
      <c r="L108" s="32"/>
      <c r="M108" s="82">
        <v>-46.8</v>
      </c>
      <c r="N108" s="82">
        <v>-70.900000000000006</v>
      </c>
      <c r="O108" s="82">
        <v>-53.8</v>
      </c>
      <c r="P108" s="32">
        <v>175.7</v>
      </c>
      <c r="Q108" s="82">
        <v>-33.9</v>
      </c>
      <c r="R108" s="82">
        <v>-50.6</v>
      </c>
      <c r="S108" s="82">
        <v>-81</v>
      </c>
      <c r="T108" s="32">
        <v>169.9</v>
      </c>
      <c r="U108" s="82">
        <v>-34.9</v>
      </c>
      <c r="V108" s="82">
        <v>-90.7</v>
      </c>
      <c r="W108" s="82">
        <v>-80.8</v>
      </c>
      <c r="Y108" s="32">
        <f t="shared" si="174"/>
        <v>4.1999999999999886</v>
      </c>
      <c r="Z108" s="32">
        <f t="shared" si="175"/>
        <v>17.099999999999987</v>
      </c>
      <c r="AA108" s="32">
        <f t="shared" si="176"/>
        <v>37.4</v>
      </c>
      <c r="AB108" s="32">
        <f t="shared" si="177"/>
        <v>10.199999999999989</v>
      </c>
      <c r="AC108" s="32">
        <f t="shared" si="178"/>
        <v>4.4000000000000057</v>
      </c>
      <c r="AD108" s="32">
        <f t="shared" si="179"/>
        <v>3.4000000000000128</v>
      </c>
      <c r="AE108" s="32">
        <f t="shared" si="180"/>
        <v>-36.699999999999996</v>
      </c>
      <c r="AF108" s="32">
        <f t="shared" si="181"/>
        <v>-36.5</v>
      </c>
      <c r="AG108" s="11"/>
      <c r="AH108" s="75">
        <f t="shared" si="182"/>
        <v>-4.5784313725490238</v>
      </c>
    </row>
    <row r="109" spans="2:34" ht="12.75" customHeight="1">
      <c r="B109" s="60" t="s">
        <v>207</v>
      </c>
      <c r="C109" s="82">
        <f>5.2+3.2</f>
        <v>8.4</v>
      </c>
      <c r="D109" s="82">
        <f>2.8+7.8</f>
        <v>10.6</v>
      </c>
      <c r="E109" s="82">
        <f>3.6+11.2</f>
        <v>14.799999999999999</v>
      </c>
      <c r="F109" s="82">
        <v>0</v>
      </c>
      <c r="G109" s="82">
        <v>0</v>
      </c>
      <c r="H109" s="82">
        <v>0</v>
      </c>
      <c r="I109" s="82">
        <v>0</v>
      </c>
      <c r="J109" s="82">
        <v>0</v>
      </c>
      <c r="K109" s="82">
        <v>0</v>
      </c>
      <c r="L109" s="32"/>
      <c r="M109" s="82">
        <v>0</v>
      </c>
      <c r="N109" s="82">
        <v>0</v>
      </c>
      <c r="O109" s="82">
        <v>0</v>
      </c>
      <c r="P109" s="82">
        <v>0</v>
      </c>
      <c r="Q109" s="82">
        <v>0</v>
      </c>
      <c r="R109" s="82">
        <v>0</v>
      </c>
      <c r="S109" s="82">
        <v>0</v>
      </c>
      <c r="T109" s="82">
        <v>0</v>
      </c>
      <c r="U109" s="82">
        <v>0</v>
      </c>
      <c r="V109" s="82">
        <v>0</v>
      </c>
      <c r="W109" s="82">
        <v>0</v>
      </c>
      <c r="Y109" s="32">
        <f t="shared" ref="Y109" si="183">SUM(M109:P109)</f>
        <v>0</v>
      </c>
      <c r="Z109" s="32">
        <f t="shared" ref="Z109" si="184">SUM(N109:Q109)</f>
        <v>0</v>
      </c>
      <c r="AA109" s="32">
        <f t="shared" ref="AA109" si="185">SUM(O109:R109)</f>
        <v>0</v>
      </c>
      <c r="AB109" s="32">
        <f t="shared" ref="AB109" si="186">SUM(P109:S109)</f>
        <v>0</v>
      </c>
      <c r="AC109" s="32">
        <f t="shared" ref="AC109" si="187">SUM(Q109:T109)</f>
        <v>0</v>
      </c>
      <c r="AD109" s="32">
        <f t="shared" ref="AD109" si="188">SUM(R109:U109)</f>
        <v>0</v>
      </c>
      <c r="AE109" s="32">
        <f t="shared" ref="AE109" si="189">SUM(S109:V109)</f>
        <v>0</v>
      </c>
      <c r="AF109" s="32">
        <f t="shared" ref="AF109" si="190">SUM(T109:W109)</f>
        <v>0</v>
      </c>
      <c r="AG109" s="11"/>
      <c r="AH109" s="75"/>
    </row>
    <row r="110" spans="2:34" ht="12.75" customHeight="1">
      <c r="B110" s="60" t="s">
        <v>200</v>
      </c>
      <c r="C110" s="32">
        <f>SUM(C111:C118)</f>
        <v>-394.9</v>
      </c>
      <c r="D110" s="32">
        <f>SUM(D111:D118)</f>
        <v>-886.7</v>
      </c>
      <c r="E110" s="32">
        <f>SUM(E111:E118)</f>
        <v>-59.400000000000091</v>
      </c>
      <c r="F110" s="32">
        <f>SUM(F111:F118)</f>
        <v>111.59999999999991</v>
      </c>
      <c r="G110" s="32">
        <f t="shared" ref="G110:K110" si="191">SUM(G111:G118)</f>
        <v>531.59999999999991</v>
      </c>
      <c r="H110" s="32">
        <f t="shared" si="191"/>
        <v>4892.3999999999996</v>
      </c>
      <c r="I110" s="32">
        <f t="shared" si="191"/>
        <v>2441.1999999999989</v>
      </c>
      <c r="J110" s="32">
        <f t="shared" si="191"/>
        <v>-3663.6</v>
      </c>
      <c r="K110" s="32">
        <f t="shared" si="191"/>
        <v>2053.3000000000002</v>
      </c>
      <c r="L110" s="32"/>
      <c r="M110" s="82">
        <v>-1461.6</v>
      </c>
      <c r="N110" s="82">
        <v>-1836.7</v>
      </c>
      <c r="O110" s="82">
        <v>-913</v>
      </c>
      <c r="P110" s="32">
        <v>547.70000000000005</v>
      </c>
      <c r="Q110" s="82">
        <v>-1799</v>
      </c>
      <c r="R110" s="82">
        <v>-1003.1</v>
      </c>
      <c r="S110" s="82">
        <v>-1381.6</v>
      </c>
      <c r="T110" s="32">
        <v>6237</v>
      </c>
      <c r="U110" s="82">
        <v>-2800.8</v>
      </c>
      <c r="V110" s="82">
        <v>-1910.1</v>
      </c>
      <c r="W110" s="82">
        <v>-1903.3</v>
      </c>
      <c r="Y110" s="32"/>
      <c r="Z110" s="32"/>
      <c r="AA110" s="32"/>
      <c r="AB110" s="32"/>
      <c r="AC110" s="32"/>
      <c r="AD110" s="32"/>
      <c r="AE110" s="32"/>
      <c r="AF110" s="32"/>
      <c r="AG110" s="11"/>
      <c r="AH110" s="75"/>
    </row>
    <row r="111" spans="2:34" ht="12.75" customHeight="1" outlineLevel="1">
      <c r="B111" s="163" t="s">
        <v>148</v>
      </c>
      <c r="C111" s="164">
        <v>213.4</v>
      </c>
      <c r="D111" s="164">
        <v>-1136.4000000000001</v>
      </c>
      <c r="E111" s="164">
        <v>201.2</v>
      </c>
      <c r="F111" s="164">
        <v>-255</v>
      </c>
      <c r="G111" s="164">
        <v>507.5</v>
      </c>
      <c r="H111" s="164">
        <v>-1754.9</v>
      </c>
      <c r="I111" s="164">
        <v>-2338</v>
      </c>
      <c r="J111" s="164">
        <v>959.9</v>
      </c>
      <c r="K111" s="164">
        <v>-139.9</v>
      </c>
      <c r="L111" s="32"/>
      <c r="M111" s="160"/>
      <c r="N111" s="160"/>
      <c r="O111" s="160"/>
      <c r="P111" s="161"/>
      <c r="Q111" s="160"/>
      <c r="R111" s="160"/>
      <c r="S111" s="160"/>
      <c r="T111" s="161"/>
      <c r="U111" s="160"/>
      <c r="V111" s="160"/>
      <c r="W111" s="160"/>
      <c r="Y111" s="32">
        <f t="shared" ref="Y111:AE118" si="192">SUM(M111:P111)</f>
        <v>0</v>
      </c>
      <c r="Z111" s="32">
        <f t="shared" si="192"/>
        <v>0</v>
      </c>
      <c r="AA111" s="32">
        <f t="shared" si="192"/>
        <v>0</v>
      </c>
      <c r="AB111" s="32">
        <f t="shared" si="192"/>
        <v>0</v>
      </c>
      <c r="AC111" s="32">
        <f t="shared" si="192"/>
        <v>0</v>
      </c>
      <c r="AD111" s="32">
        <f t="shared" si="192"/>
        <v>0</v>
      </c>
      <c r="AE111" s="32">
        <f t="shared" si="192"/>
        <v>0</v>
      </c>
      <c r="AF111" s="32">
        <f t="shared" ref="AF111:AF118" si="193">SUM(T111:W111)</f>
        <v>0</v>
      </c>
      <c r="AG111" s="11"/>
      <c r="AH111" s="75" t="e">
        <f t="shared" ref="AH111:AH119" si="194">SUM(AF111/AB111)-1</f>
        <v>#DIV/0!</v>
      </c>
    </row>
    <row r="112" spans="2:34" ht="12.75" customHeight="1" outlineLevel="1">
      <c r="B112" s="163" t="s">
        <v>149</v>
      </c>
      <c r="C112" s="164">
        <v>-62.9</v>
      </c>
      <c r="D112" s="164">
        <v>237</v>
      </c>
      <c r="E112" s="164">
        <v>-664.9</v>
      </c>
      <c r="F112" s="164">
        <v>-95.3</v>
      </c>
      <c r="G112" s="164">
        <v>-1125.4000000000001</v>
      </c>
      <c r="H112" s="164">
        <v>542.29999999999995</v>
      </c>
      <c r="I112" s="164">
        <v>212.2</v>
      </c>
      <c r="J112" s="164">
        <v>-88.6</v>
      </c>
      <c r="K112" s="164">
        <v>1038.7</v>
      </c>
      <c r="L112" s="32"/>
      <c r="M112" s="160"/>
      <c r="N112" s="160"/>
      <c r="O112" s="160"/>
      <c r="P112" s="161"/>
      <c r="Q112" s="160"/>
      <c r="R112" s="160"/>
      <c r="S112" s="160"/>
      <c r="T112" s="161"/>
      <c r="U112" s="160"/>
      <c r="V112" s="160"/>
      <c r="W112" s="160"/>
      <c r="Y112" s="32">
        <f t="shared" ref="Y112:Y114" si="195">SUM(M112:P112)</f>
        <v>0</v>
      </c>
      <c r="Z112" s="32">
        <f t="shared" ref="Z112" si="196">SUM(N112:Q112)</f>
        <v>0</v>
      </c>
      <c r="AA112" s="32">
        <f t="shared" ref="AA112" si="197">SUM(O112:R112)</f>
        <v>0</v>
      </c>
      <c r="AB112" s="32">
        <f t="shared" ref="AB112" si="198">SUM(P112:S112)</f>
        <v>0</v>
      </c>
      <c r="AC112" s="32">
        <f t="shared" ref="AC112" si="199">SUM(Q112:T112)</f>
        <v>0</v>
      </c>
      <c r="AD112" s="32">
        <f t="shared" ref="AD112" si="200">SUM(R112:U112)</f>
        <v>0</v>
      </c>
      <c r="AE112" s="32">
        <f t="shared" ref="AE112" si="201">SUM(S112:V112)</f>
        <v>0</v>
      </c>
      <c r="AF112" s="32">
        <f t="shared" ref="AF112:AF114" si="202">SUM(T112:W112)</f>
        <v>0</v>
      </c>
      <c r="AG112" s="11"/>
      <c r="AH112" s="75" t="e">
        <f t="shared" ref="AH112:AH114" si="203">SUM(AF112/AB112)-1</f>
        <v>#DIV/0!</v>
      </c>
    </row>
    <row r="113" spans="2:34" ht="12.75" customHeight="1" outlineLevel="1">
      <c r="B113" s="163" t="s">
        <v>181</v>
      </c>
      <c r="C113" s="164">
        <v>5.4</v>
      </c>
      <c r="D113" s="164">
        <v>-284.10000000000002</v>
      </c>
      <c r="E113" s="164">
        <v>-515.70000000000005</v>
      </c>
      <c r="F113" s="164">
        <v>-404.7</v>
      </c>
      <c r="G113" s="164">
        <v>-706.7</v>
      </c>
      <c r="H113" s="164">
        <v>-483.2</v>
      </c>
      <c r="I113" s="164">
        <v>-2080.9</v>
      </c>
      <c r="J113" s="164">
        <v>-1646.9</v>
      </c>
      <c r="K113" s="164">
        <v>-1860.9</v>
      </c>
      <c r="L113" s="32"/>
      <c r="M113" s="160"/>
      <c r="N113" s="160"/>
      <c r="O113" s="160"/>
      <c r="P113" s="161"/>
      <c r="Q113" s="160"/>
      <c r="R113" s="160"/>
      <c r="S113" s="160"/>
      <c r="T113" s="161"/>
      <c r="U113" s="160"/>
      <c r="V113" s="160"/>
      <c r="W113" s="160"/>
      <c r="Y113" s="32">
        <f t="shared" si="195"/>
        <v>0</v>
      </c>
      <c r="Z113" s="32">
        <f t="shared" ref="Z113:Z114" si="204">SUM(N113:Q113)</f>
        <v>0</v>
      </c>
      <c r="AA113" s="32">
        <f t="shared" ref="AA113:AA114" si="205">SUM(O113:R113)</f>
        <v>0</v>
      </c>
      <c r="AB113" s="32">
        <f t="shared" ref="AB113:AB114" si="206">SUM(P113:S113)</f>
        <v>0</v>
      </c>
      <c r="AC113" s="32">
        <f t="shared" ref="AC113:AC114" si="207">SUM(Q113:T113)</f>
        <v>0</v>
      </c>
      <c r="AD113" s="32">
        <f t="shared" ref="AD113:AD114" si="208">SUM(R113:U113)</f>
        <v>0</v>
      </c>
      <c r="AE113" s="32">
        <f t="shared" ref="AE113:AE114" si="209">SUM(S113:V113)</f>
        <v>0</v>
      </c>
      <c r="AF113" s="32">
        <f t="shared" si="202"/>
        <v>0</v>
      </c>
      <c r="AG113" s="11"/>
      <c r="AH113" s="75" t="e">
        <f t="shared" si="203"/>
        <v>#DIV/0!</v>
      </c>
    </row>
    <row r="114" spans="2:34" ht="12.75" customHeight="1" outlineLevel="1">
      <c r="B114" s="163" t="s">
        <v>154</v>
      </c>
      <c r="C114" s="164">
        <v>-122.1</v>
      </c>
      <c r="D114" s="164">
        <v>-169.4</v>
      </c>
      <c r="E114" s="164">
        <v>-404</v>
      </c>
      <c r="F114" s="164">
        <v>-199.1</v>
      </c>
      <c r="G114" s="164">
        <v>-75.099999999999994</v>
      </c>
      <c r="H114" s="164">
        <v>-222.2</v>
      </c>
      <c r="I114" s="164">
        <v>-864.3</v>
      </c>
      <c r="J114" s="164">
        <v>-344.3</v>
      </c>
      <c r="K114" s="164">
        <v>-1299</v>
      </c>
      <c r="L114" s="32"/>
      <c r="M114" s="160"/>
      <c r="N114" s="160"/>
      <c r="O114" s="160"/>
      <c r="P114" s="161"/>
      <c r="Q114" s="160"/>
      <c r="R114" s="160"/>
      <c r="S114" s="160"/>
      <c r="T114" s="161"/>
      <c r="U114" s="160"/>
      <c r="V114" s="160"/>
      <c r="W114" s="160"/>
      <c r="Y114" s="32">
        <f t="shared" si="195"/>
        <v>0</v>
      </c>
      <c r="Z114" s="32">
        <f t="shared" si="204"/>
        <v>0</v>
      </c>
      <c r="AA114" s="32">
        <f t="shared" si="205"/>
        <v>0</v>
      </c>
      <c r="AB114" s="32">
        <f t="shared" si="206"/>
        <v>0</v>
      </c>
      <c r="AC114" s="32">
        <f t="shared" si="207"/>
        <v>0</v>
      </c>
      <c r="AD114" s="32">
        <f t="shared" si="208"/>
        <v>0</v>
      </c>
      <c r="AE114" s="32">
        <f t="shared" si="209"/>
        <v>0</v>
      </c>
      <c r="AF114" s="32">
        <f t="shared" si="202"/>
        <v>0</v>
      </c>
      <c r="AG114" s="11"/>
      <c r="AH114" s="75" t="e">
        <f t="shared" si="203"/>
        <v>#DIV/0!</v>
      </c>
    </row>
    <row r="115" spans="2:34" ht="12.75" customHeight="1" outlineLevel="1">
      <c r="B115" s="163" t="s">
        <v>162</v>
      </c>
      <c r="C115" s="164">
        <v>-27</v>
      </c>
      <c r="D115" s="164">
        <v>90.9</v>
      </c>
      <c r="E115" s="164">
        <v>237.7</v>
      </c>
      <c r="F115" s="164">
        <v>82.1</v>
      </c>
      <c r="G115" s="164">
        <v>47.5</v>
      </c>
      <c r="H115" s="164">
        <v>347.6</v>
      </c>
      <c r="I115" s="164">
        <v>439.7</v>
      </c>
      <c r="J115" s="164">
        <v>222</v>
      </c>
      <c r="K115" s="164">
        <v>625.5</v>
      </c>
      <c r="L115" s="32"/>
      <c r="M115" s="160"/>
      <c r="N115" s="160"/>
      <c r="O115" s="160"/>
      <c r="P115" s="161"/>
      <c r="Q115" s="160"/>
      <c r="R115" s="160"/>
      <c r="S115" s="160"/>
      <c r="T115" s="161"/>
      <c r="U115" s="160"/>
      <c r="V115" s="160"/>
      <c r="W115" s="160"/>
      <c r="Y115" s="32">
        <f t="shared" si="192"/>
        <v>0</v>
      </c>
      <c r="Z115" s="32">
        <f t="shared" si="192"/>
        <v>0</v>
      </c>
      <c r="AA115" s="32">
        <f t="shared" si="192"/>
        <v>0</v>
      </c>
      <c r="AB115" s="32">
        <f t="shared" si="192"/>
        <v>0</v>
      </c>
      <c r="AC115" s="32">
        <f t="shared" si="192"/>
        <v>0</v>
      </c>
      <c r="AD115" s="32">
        <f t="shared" si="192"/>
        <v>0</v>
      </c>
      <c r="AE115" s="32">
        <f t="shared" si="192"/>
        <v>0</v>
      </c>
      <c r="AF115" s="32">
        <f t="shared" si="193"/>
        <v>0</v>
      </c>
      <c r="AG115" s="11"/>
      <c r="AH115" s="75" t="e">
        <f t="shared" si="194"/>
        <v>#DIV/0!</v>
      </c>
    </row>
    <row r="116" spans="2:34" ht="12.75" customHeight="1" outlineLevel="1">
      <c r="B116" s="163" t="s">
        <v>164</v>
      </c>
      <c r="C116" s="164">
        <v>50.9</v>
      </c>
      <c r="D116" s="164">
        <v>266.60000000000002</v>
      </c>
      <c r="E116" s="164">
        <v>97.9</v>
      </c>
      <c r="F116" s="164">
        <v>-12.1</v>
      </c>
      <c r="G116" s="164">
        <v>334.3</v>
      </c>
      <c r="H116" s="164">
        <v>718.6</v>
      </c>
      <c r="I116" s="164">
        <v>406.2</v>
      </c>
      <c r="J116" s="164">
        <v>-261.7</v>
      </c>
      <c r="K116" s="164">
        <v>1127.5999999999999</v>
      </c>
      <c r="L116" s="32"/>
      <c r="M116" s="160"/>
      <c r="N116" s="160"/>
      <c r="O116" s="160"/>
      <c r="P116" s="161"/>
      <c r="Q116" s="160"/>
      <c r="R116" s="160"/>
      <c r="S116" s="160"/>
      <c r="T116" s="161"/>
      <c r="U116" s="160"/>
      <c r="V116" s="160"/>
      <c r="W116" s="160"/>
      <c r="Y116" s="32">
        <f t="shared" si="192"/>
        <v>0</v>
      </c>
      <c r="Z116" s="32">
        <f t="shared" si="192"/>
        <v>0</v>
      </c>
      <c r="AA116" s="32">
        <f t="shared" si="192"/>
        <v>0</v>
      </c>
      <c r="AB116" s="32">
        <f t="shared" si="192"/>
        <v>0</v>
      </c>
      <c r="AC116" s="32">
        <f t="shared" si="192"/>
        <v>0</v>
      </c>
      <c r="AD116" s="32">
        <f t="shared" si="192"/>
        <v>0</v>
      </c>
      <c r="AE116" s="32">
        <f t="shared" si="192"/>
        <v>0</v>
      </c>
      <c r="AF116" s="32">
        <f t="shared" si="193"/>
        <v>0</v>
      </c>
      <c r="AG116" s="11"/>
      <c r="AH116" s="75" t="e">
        <f t="shared" si="194"/>
        <v>#DIV/0!</v>
      </c>
    </row>
    <row r="117" spans="2:34" ht="12.75" customHeight="1" outlineLevel="1">
      <c r="B117" s="163" t="s">
        <v>182</v>
      </c>
      <c r="C117" s="164">
        <v>93.4</v>
      </c>
      <c r="D117" s="164">
        <v>-151.80000000000001</v>
      </c>
      <c r="E117" s="164">
        <v>13.1</v>
      </c>
      <c r="F117" s="164">
        <v>-202.6</v>
      </c>
      <c r="G117" s="164">
        <v>131.5</v>
      </c>
      <c r="H117" s="164">
        <v>214.4</v>
      </c>
      <c r="I117" s="164">
        <v>33.6</v>
      </c>
      <c r="J117" s="164">
        <v>-939.4</v>
      </c>
      <c r="K117" s="164">
        <v>689.5</v>
      </c>
      <c r="L117" s="32"/>
      <c r="M117" s="160"/>
      <c r="N117" s="160"/>
      <c r="O117" s="160"/>
      <c r="P117" s="161"/>
      <c r="Q117" s="160"/>
      <c r="R117" s="160"/>
      <c r="S117" s="160"/>
      <c r="T117" s="161"/>
      <c r="U117" s="160"/>
      <c r="V117" s="160"/>
      <c r="W117" s="160"/>
      <c r="Y117" s="32">
        <f t="shared" si="192"/>
        <v>0</v>
      </c>
      <c r="Z117" s="32">
        <f t="shared" si="192"/>
        <v>0</v>
      </c>
      <c r="AA117" s="32">
        <f t="shared" si="192"/>
        <v>0</v>
      </c>
      <c r="AB117" s="32">
        <f t="shared" si="192"/>
        <v>0</v>
      </c>
      <c r="AC117" s="32">
        <f t="shared" si="192"/>
        <v>0</v>
      </c>
      <c r="AD117" s="32">
        <f t="shared" si="192"/>
        <v>0</v>
      </c>
      <c r="AE117" s="32">
        <f t="shared" si="192"/>
        <v>0</v>
      </c>
      <c r="AF117" s="32">
        <f t="shared" si="193"/>
        <v>0</v>
      </c>
      <c r="AG117" s="11"/>
      <c r="AH117" s="75" t="e">
        <f t="shared" si="194"/>
        <v>#DIV/0!</v>
      </c>
    </row>
    <row r="118" spans="2:34" ht="12.75" customHeight="1" outlineLevel="1">
      <c r="B118" s="163" t="s">
        <v>183</v>
      </c>
      <c r="C118" s="164">
        <v>-546</v>
      </c>
      <c r="D118" s="164">
        <v>260.5</v>
      </c>
      <c r="E118" s="164">
        <v>975.3</v>
      </c>
      <c r="F118" s="164">
        <v>1198.3</v>
      </c>
      <c r="G118" s="164">
        <v>1418</v>
      </c>
      <c r="H118" s="164">
        <v>5529.8</v>
      </c>
      <c r="I118" s="164">
        <v>6632.7</v>
      </c>
      <c r="J118" s="164">
        <v>-1564.6</v>
      </c>
      <c r="K118" s="164">
        <v>1871.8</v>
      </c>
      <c r="L118" s="32"/>
      <c r="M118" s="160"/>
      <c r="N118" s="160"/>
      <c r="O118" s="160"/>
      <c r="P118" s="161"/>
      <c r="Q118" s="160"/>
      <c r="R118" s="160"/>
      <c r="S118" s="160"/>
      <c r="T118" s="161"/>
      <c r="U118" s="160"/>
      <c r="V118" s="160"/>
      <c r="W118" s="160"/>
      <c r="Y118" s="32">
        <f t="shared" si="192"/>
        <v>0</v>
      </c>
      <c r="Z118" s="32">
        <f t="shared" si="192"/>
        <v>0</v>
      </c>
      <c r="AA118" s="32">
        <f t="shared" si="192"/>
        <v>0</v>
      </c>
      <c r="AB118" s="32">
        <f t="shared" si="192"/>
        <v>0</v>
      </c>
      <c r="AC118" s="32">
        <f t="shared" si="192"/>
        <v>0</v>
      </c>
      <c r="AD118" s="32">
        <f t="shared" si="192"/>
        <v>0</v>
      </c>
      <c r="AE118" s="32">
        <f t="shared" si="192"/>
        <v>0</v>
      </c>
      <c r="AF118" s="32">
        <f t="shared" si="193"/>
        <v>0</v>
      </c>
      <c r="AG118" s="11"/>
      <c r="AH118" s="75" t="e">
        <f t="shared" si="194"/>
        <v>#DIV/0!</v>
      </c>
    </row>
    <row r="119" spans="2:34" ht="12.75" customHeight="1">
      <c r="B119" s="13" t="s">
        <v>51</v>
      </c>
      <c r="C119" s="34">
        <f>SUM(C99:C109,C110)</f>
        <v>1665.8000000000002</v>
      </c>
      <c r="D119" s="34">
        <f>SUM(D99:D109,D110)</f>
        <v>1818.3000000000004</v>
      </c>
      <c r="E119" s="14">
        <f t="shared" ref="D119:W119" si="210">SUM(E99:E109,E110)</f>
        <v>3072.6999999999994</v>
      </c>
      <c r="F119" s="14">
        <f t="shared" si="210"/>
        <v>3276.4</v>
      </c>
      <c r="G119" s="14">
        <f t="shared" si="210"/>
        <v>4627.5999999999985</v>
      </c>
      <c r="H119" s="14">
        <f t="shared" si="210"/>
        <v>10845.8</v>
      </c>
      <c r="I119" s="14">
        <f t="shared" si="210"/>
        <v>8486.8000000000029</v>
      </c>
      <c r="J119" s="14">
        <f t="shared" si="210"/>
        <v>5443.3999999999978</v>
      </c>
      <c r="K119" s="14">
        <f t="shared" si="210"/>
        <v>11166.2</v>
      </c>
      <c r="M119" s="14">
        <f t="shared" si="210"/>
        <v>733.59999999999945</v>
      </c>
      <c r="N119" s="14">
        <f t="shared" si="210"/>
        <v>384.69999999999959</v>
      </c>
      <c r="O119" s="14">
        <f t="shared" si="210"/>
        <v>1128.0999999999997</v>
      </c>
      <c r="P119" s="14">
        <f t="shared" si="210"/>
        <v>3196.9999999999991</v>
      </c>
      <c r="Q119" s="14">
        <f t="shared" si="210"/>
        <v>-251.90000000000009</v>
      </c>
      <c r="R119" s="14">
        <f t="shared" si="210"/>
        <v>923.40000000000043</v>
      </c>
      <c r="S119" s="14">
        <f t="shared" si="210"/>
        <v>949.90000000000009</v>
      </c>
      <c r="T119" s="14">
        <f t="shared" si="210"/>
        <v>9544.7999999999993</v>
      </c>
      <c r="U119" s="14">
        <f t="shared" si="210"/>
        <v>-58.600000000000819</v>
      </c>
      <c r="V119" s="14">
        <f t="shared" si="210"/>
        <v>747.70000000000027</v>
      </c>
      <c r="W119" s="14">
        <f t="shared" si="210"/>
        <v>565.59999999999923</v>
      </c>
      <c r="Y119" s="14">
        <f>SUM(Y99:Y118)</f>
        <v>9106.9999999999982</v>
      </c>
      <c r="Z119" s="14">
        <f>SUM(Z99:Z118)</f>
        <v>8458.8999999999978</v>
      </c>
      <c r="AA119" s="14">
        <f>SUM(AA99:AA118)</f>
        <v>8163.9999999999991</v>
      </c>
      <c r="AB119" s="14">
        <f t="shared" ref="AB119:AF119" si="211">SUM(AB99:AB109,AB110)</f>
        <v>8263.4999999999982</v>
      </c>
      <c r="AC119" s="14">
        <f t="shared" si="211"/>
        <v>8903.0999999999985</v>
      </c>
      <c r="AD119" s="14">
        <f t="shared" si="211"/>
        <v>10095.4</v>
      </c>
      <c r="AE119" s="14">
        <f t="shared" si="211"/>
        <v>10784.699999999995</v>
      </c>
      <c r="AF119" s="14">
        <f t="shared" si="211"/>
        <v>10920.5</v>
      </c>
      <c r="AG119" s="42"/>
      <c r="AH119" s="76">
        <f t="shared" si="194"/>
        <v>0.32153445876444642</v>
      </c>
    </row>
    <row r="120" spans="2:34" ht="12.75" customHeight="1">
      <c r="B120" s="53"/>
      <c r="C120" s="61"/>
      <c r="D120" s="61"/>
      <c r="E120" s="61"/>
      <c r="F120" s="61"/>
      <c r="G120" s="61"/>
      <c r="H120" s="61"/>
      <c r="I120" s="61"/>
      <c r="J120" s="61"/>
      <c r="K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Y120" s="42"/>
      <c r="Z120" s="42"/>
      <c r="AA120" s="42"/>
      <c r="AB120" s="42"/>
      <c r="AC120" s="42"/>
      <c r="AD120" s="42"/>
      <c r="AE120" s="42"/>
      <c r="AF120" s="42"/>
      <c r="AG120" s="42"/>
      <c r="AH120" s="39"/>
    </row>
    <row r="121" spans="2:34" ht="12.75" customHeight="1">
      <c r="B121" s="53" t="s">
        <v>52</v>
      </c>
      <c r="C121" s="58"/>
      <c r="D121" s="58"/>
      <c r="E121" s="58"/>
      <c r="F121" s="58"/>
      <c r="G121" s="58"/>
      <c r="H121" s="58"/>
      <c r="I121" s="58"/>
      <c r="J121" s="58"/>
      <c r="K121" s="58"/>
      <c r="M121" s="82"/>
      <c r="N121" s="82"/>
      <c r="O121" s="82"/>
      <c r="P121" s="32"/>
      <c r="Q121" s="82"/>
      <c r="R121" s="82"/>
      <c r="S121" s="82"/>
      <c r="T121" s="32"/>
      <c r="U121" s="58"/>
      <c r="V121" s="58"/>
      <c r="W121" s="58"/>
      <c r="Y121" s="58"/>
      <c r="Z121" s="58"/>
      <c r="AA121" s="58"/>
      <c r="AB121" s="58"/>
      <c r="AC121" s="58"/>
      <c r="AD121" s="58"/>
      <c r="AE121" s="58"/>
      <c r="AF121" s="58"/>
      <c r="AG121" s="59"/>
      <c r="AH121" s="75"/>
    </row>
    <row r="122" spans="2:34" ht="12.75" customHeight="1">
      <c r="B122" s="60" t="s">
        <v>184</v>
      </c>
      <c r="C122" s="82">
        <v>-316.3</v>
      </c>
      <c r="D122" s="82">
        <v>-338.9</v>
      </c>
      <c r="E122" s="82">
        <v>-574</v>
      </c>
      <c r="F122" s="82">
        <v>-766.6</v>
      </c>
      <c r="G122" s="82">
        <v>-962</v>
      </c>
      <c r="H122" s="82">
        <v>-900.7</v>
      </c>
      <c r="I122" s="82">
        <v>-1281.8</v>
      </c>
      <c r="J122" s="82">
        <v>-2155.6</v>
      </c>
      <c r="K122" s="82">
        <v>-2067.1999999999998</v>
      </c>
      <c r="L122" s="32"/>
      <c r="M122" s="82">
        <v>-532</v>
      </c>
      <c r="N122" s="82">
        <v>-537.79999999999995</v>
      </c>
      <c r="O122" s="82">
        <v>-501.8</v>
      </c>
      <c r="P122" s="32">
        <v>-584</v>
      </c>
      <c r="Q122" s="82">
        <v>-417.3</v>
      </c>
      <c r="R122" s="82">
        <v>-531</v>
      </c>
      <c r="S122" s="82">
        <v>-414.9</v>
      </c>
      <c r="T122" s="32">
        <v>-704</v>
      </c>
      <c r="U122" s="82">
        <v>-415</v>
      </c>
      <c r="V122" s="82">
        <v>-414.8</v>
      </c>
      <c r="W122" s="82">
        <v>-295.89999999999998</v>
      </c>
      <c r="X122" s="32"/>
      <c r="Y122" s="32">
        <f t="shared" ref="Y122:AE130" si="212">SUM(M122:P122)</f>
        <v>-2155.6</v>
      </c>
      <c r="Z122" s="32">
        <f t="shared" si="212"/>
        <v>-2040.8999999999999</v>
      </c>
      <c r="AA122" s="32">
        <f t="shared" si="212"/>
        <v>-2034.1</v>
      </c>
      <c r="AB122" s="32">
        <f t="shared" si="212"/>
        <v>-1947.1999999999998</v>
      </c>
      <c r="AC122" s="32">
        <f t="shared" si="212"/>
        <v>-2067.1999999999998</v>
      </c>
      <c r="AD122" s="32">
        <f t="shared" si="212"/>
        <v>-2064.9</v>
      </c>
      <c r="AE122" s="32">
        <f t="shared" si="212"/>
        <v>-1948.7</v>
      </c>
      <c r="AF122" s="32">
        <f t="shared" ref="AF122:AF130" si="213">SUM(T122:W122)</f>
        <v>-1829.6999999999998</v>
      </c>
      <c r="AG122" s="59"/>
      <c r="AH122" s="75">
        <f t="shared" ref="AH122:AH130" si="214">SUM(AF122/AB122)-1</f>
        <v>-6.0343056696795405E-2</v>
      </c>
    </row>
    <row r="123" spans="2:34" ht="12.75" customHeight="1">
      <c r="B123" s="60" t="s">
        <v>185</v>
      </c>
      <c r="C123" s="82">
        <v>-8.4</v>
      </c>
      <c r="D123" s="82">
        <v>-19.100000000000001</v>
      </c>
      <c r="E123" s="82">
        <v>-35.5</v>
      </c>
      <c r="F123" s="82">
        <v>-119.3</v>
      </c>
      <c r="G123" s="82">
        <v>-38.799999999999997</v>
      </c>
      <c r="H123" s="82">
        <v>-39.6</v>
      </c>
      <c r="I123" s="82">
        <v>-37.5</v>
      </c>
      <c r="J123" s="82">
        <v>-40.6</v>
      </c>
      <c r="K123" s="82">
        <v>-15.9</v>
      </c>
      <c r="L123" s="32"/>
      <c r="M123" s="82">
        <v>-7.4</v>
      </c>
      <c r="N123" s="82">
        <v>-6.6</v>
      </c>
      <c r="O123" s="82">
        <v>-8.3000000000000007</v>
      </c>
      <c r="P123" s="32">
        <v>-18.3</v>
      </c>
      <c r="Q123" s="82">
        <v>-6.5</v>
      </c>
      <c r="R123" s="82">
        <v>-7</v>
      </c>
      <c r="S123" s="82">
        <v>-0.9</v>
      </c>
      <c r="T123" s="32">
        <v>-1.5</v>
      </c>
      <c r="U123" s="82">
        <v>-1.5</v>
      </c>
      <c r="V123" s="82">
        <v>-14.1</v>
      </c>
      <c r="W123" s="82">
        <v>-19.5</v>
      </c>
      <c r="X123" s="32"/>
      <c r="Y123" s="32">
        <f t="shared" ref="Y123:Y125" si="215">SUM(M123:P123)</f>
        <v>-40.6</v>
      </c>
      <c r="Z123" s="32">
        <f t="shared" ref="Z123:Z125" si="216">SUM(N123:Q123)</f>
        <v>-39.700000000000003</v>
      </c>
      <c r="AA123" s="32">
        <f t="shared" ref="AA123:AA125" si="217">SUM(O123:R123)</f>
        <v>-40.1</v>
      </c>
      <c r="AB123" s="32">
        <f t="shared" ref="AB123:AB125" si="218">SUM(P123:S123)</f>
        <v>-32.700000000000003</v>
      </c>
      <c r="AC123" s="32">
        <f t="shared" ref="AC123:AC125" si="219">SUM(Q123:T123)</f>
        <v>-15.9</v>
      </c>
      <c r="AD123" s="32">
        <f t="shared" ref="AD123:AD125" si="220">SUM(R123:U123)</f>
        <v>-10.9</v>
      </c>
      <c r="AE123" s="32">
        <f t="shared" ref="AE123:AE125" si="221">SUM(S123:V123)</f>
        <v>-18</v>
      </c>
      <c r="AF123" s="32">
        <f t="shared" ref="AF123:AF125" si="222">SUM(T123:W123)</f>
        <v>-36.6</v>
      </c>
      <c r="AG123" s="59"/>
      <c r="AH123" s="75">
        <f t="shared" ref="AH123:AH125" si="223">SUM(AF123/AB123)-1</f>
        <v>0.11926605504587151</v>
      </c>
    </row>
    <row r="124" spans="2:34" ht="12.75" customHeight="1">
      <c r="B124" s="60" t="s">
        <v>186</v>
      </c>
      <c r="C124" s="82">
        <v>-2520</v>
      </c>
      <c r="D124" s="82">
        <v>-1129.3</v>
      </c>
      <c r="E124" s="82">
        <v>-918.1</v>
      </c>
      <c r="F124" s="82">
        <v>-1291.5</v>
      </c>
      <c r="G124" s="82">
        <v>-1475.5</v>
      </c>
      <c r="H124" s="82">
        <v>-1162.7</v>
      </c>
      <c r="I124" s="82">
        <v>-334.3</v>
      </c>
      <c r="J124" s="82">
        <v>-23.6</v>
      </c>
      <c r="K124" s="82">
        <v>-305.2</v>
      </c>
      <c r="L124" s="32"/>
      <c r="M124" s="82">
        <v>-18.2</v>
      </c>
      <c r="N124" s="82">
        <v>-0.5</v>
      </c>
      <c r="O124" s="82">
        <v>-3.9</v>
      </c>
      <c r="P124" s="32">
        <v>-1</v>
      </c>
      <c r="Q124" s="82">
        <v>-300</v>
      </c>
      <c r="R124" s="82">
        <v>-0.5</v>
      </c>
      <c r="S124" s="82">
        <v>-3.8</v>
      </c>
      <c r="T124" s="32">
        <v>-0.9</v>
      </c>
      <c r="U124" s="82">
        <v>0</v>
      </c>
      <c r="V124" s="82">
        <v>0</v>
      </c>
      <c r="W124" s="82">
        <v>3.5</v>
      </c>
      <c r="X124" s="32"/>
      <c r="Y124" s="32">
        <f t="shared" si="215"/>
        <v>-23.599999999999998</v>
      </c>
      <c r="Z124" s="32">
        <f t="shared" si="216"/>
        <v>-305.39999999999998</v>
      </c>
      <c r="AA124" s="32">
        <f t="shared" si="217"/>
        <v>-305.39999999999998</v>
      </c>
      <c r="AB124" s="32">
        <f t="shared" si="218"/>
        <v>-305.3</v>
      </c>
      <c r="AC124" s="32">
        <f t="shared" si="219"/>
        <v>-305.2</v>
      </c>
      <c r="AD124" s="32">
        <f t="shared" si="220"/>
        <v>-5.2</v>
      </c>
      <c r="AE124" s="32">
        <f t="shared" si="221"/>
        <v>-4.7</v>
      </c>
      <c r="AF124" s="32">
        <f t="shared" si="222"/>
        <v>2.6</v>
      </c>
      <c r="AG124" s="59"/>
      <c r="AH124" s="75">
        <f t="shared" si="223"/>
        <v>-1.0085162135604324</v>
      </c>
    </row>
    <row r="125" spans="2:34" ht="12.75" customHeight="1">
      <c r="B125" s="60" t="s">
        <v>187</v>
      </c>
      <c r="C125" s="82">
        <v>2320</v>
      </c>
      <c r="D125" s="82">
        <v>1250</v>
      </c>
      <c r="E125" s="82">
        <v>1034.0999999999999</v>
      </c>
      <c r="F125" s="82">
        <v>1019</v>
      </c>
      <c r="G125" s="82">
        <v>1359.1</v>
      </c>
      <c r="H125" s="82">
        <v>1826.4</v>
      </c>
      <c r="I125" s="82">
        <v>864.7</v>
      </c>
      <c r="J125" s="82">
        <v>125.6</v>
      </c>
      <c r="K125" s="82">
        <v>305.2</v>
      </c>
      <c r="L125" s="32"/>
      <c r="M125" s="82">
        <v>121.1</v>
      </c>
      <c r="N125" s="82">
        <v>0</v>
      </c>
      <c r="O125" s="82">
        <v>3.6</v>
      </c>
      <c r="P125" s="32">
        <v>0.9</v>
      </c>
      <c r="Q125" s="82">
        <v>0</v>
      </c>
      <c r="R125" s="82">
        <v>100.4</v>
      </c>
      <c r="S125" s="82">
        <v>203.9</v>
      </c>
      <c r="T125" s="32">
        <v>0.9</v>
      </c>
      <c r="U125" s="82">
        <v>0</v>
      </c>
      <c r="V125" s="82">
        <v>0</v>
      </c>
      <c r="W125" s="82">
        <v>0</v>
      </c>
      <c r="X125" s="32"/>
      <c r="Y125" s="32">
        <f t="shared" si="215"/>
        <v>125.6</v>
      </c>
      <c r="Z125" s="32">
        <f t="shared" si="216"/>
        <v>4.5</v>
      </c>
      <c r="AA125" s="32">
        <f t="shared" si="217"/>
        <v>104.9</v>
      </c>
      <c r="AB125" s="32">
        <f t="shared" si="218"/>
        <v>305.20000000000005</v>
      </c>
      <c r="AC125" s="32">
        <f t="shared" si="219"/>
        <v>305.2</v>
      </c>
      <c r="AD125" s="32">
        <f t="shared" si="220"/>
        <v>305.2</v>
      </c>
      <c r="AE125" s="32">
        <f t="shared" si="221"/>
        <v>204.8</v>
      </c>
      <c r="AF125" s="32">
        <f t="shared" si="222"/>
        <v>0.9</v>
      </c>
      <c r="AG125" s="59"/>
      <c r="AH125" s="75">
        <f t="shared" si="223"/>
        <v>-0.99705111402359103</v>
      </c>
    </row>
    <row r="126" spans="2:34" ht="12.75" customHeight="1">
      <c r="B126" s="60" t="s">
        <v>208</v>
      </c>
      <c r="C126" s="82">
        <v>-7.4</v>
      </c>
      <c r="D126" s="82">
        <f>-0.6+1.6</f>
        <v>1</v>
      </c>
      <c r="E126" s="82">
        <f>-1+5.4</f>
        <v>4.4000000000000004</v>
      </c>
      <c r="F126" s="82">
        <v>0.9</v>
      </c>
      <c r="G126" s="82">
        <v>-12.2</v>
      </c>
      <c r="H126" s="82">
        <v>-124.4</v>
      </c>
      <c r="I126" s="82">
        <v>-240</v>
      </c>
      <c r="J126" s="82">
        <v>-561.5</v>
      </c>
      <c r="K126" s="82">
        <v>-526.20000000000005</v>
      </c>
      <c r="L126" s="32"/>
      <c r="M126" s="82">
        <v>0</v>
      </c>
      <c r="N126" s="82">
        <v>0</v>
      </c>
      <c r="O126" s="82">
        <v>-553</v>
      </c>
      <c r="P126" s="32">
        <v>-8.5</v>
      </c>
      <c r="Q126" s="82">
        <v>0.2</v>
      </c>
      <c r="R126" s="82">
        <v>0.3</v>
      </c>
      <c r="S126" s="82">
        <v>0.7</v>
      </c>
      <c r="T126" s="32">
        <v>-527.4</v>
      </c>
      <c r="U126" s="82">
        <v>0.8</v>
      </c>
      <c r="V126" s="82">
        <v>0.9</v>
      </c>
      <c r="W126" s="82">
        <v>-405.9</v>
      </c>
      <c r="X126" s="32"/>
      <c r="Y126" s="32">
        <f t="shared" si="212"/>
        <v>-561.5</v>
      </c>
      <c r="Z126" s="32">
        <f t="shared" si="212"/>
        <v>-561.29999999999995</v>
      </c>
      <c r="AA126" s="32">
        <f t="shared" si="212"/>
        <v>-561</v>
      </c>
      <c r="AB126" s="32">
        <f t="shared" si="212"/>
        <v>-7.3</v>
      </c>
      <c r="AC126" s="32">
        <f t="shared" si="212"/>
        <v>-526.19999999999993</v>
      </c>
      <c r="AD126" s="32">
        <f t="shared" si="212"/>
        <v>-525.6</v>
      </c>
      <c r="AE126" s="32">
        <f t="shared" si="212"/>
        <v>-525</v>
      </c>
      <c r="AF126" s="32">
        <f t="shared" si="213"/>
        <v>-931.6</v>
      </c>
      <c r="AG126" s="59"/>
      <c r="AH126" s="75">
        <f t="shared" si="214"/>
        <v>126.61643835616439</v>
      </c>
    </row>
    <row r="127" spans="2:34" ht="12.75" customHeight="1">
      <c r="B127" s="60" t="s">
        <v>188</v>
      </c>
      <c r="C127" s="82">
        <v>0</v>
      </c>
      <c r="D127" s="82">
        <v>0</v>
      </c>
      <c r="E127" s="82">
        <v>0</v>
      </c>
      <c r="F127" s="82">
        <v>0</v>
      </c>
      <c r="G127" s="82">
        <v>0</v>
      </c>
      <c r="H127" s="82">
        <v>329</v>
      </c>
      <c r="I127" s="82">
        <v>0</v>
      </c>
      <c r="J127" s="82">
        <v>0</v>
      </c>
      <c r="K127" s="82">
        <v>0</v>
      </c>
      <c r="L127" s="32"/>
      <c r="M127" s="82">
        <v>0</v>
      </c>
      <c r="N127" s="82">
        <v>0</v>
      </c>
      <c r="O127" s="82">
        <v>0</v>
      </c>
      <c r="P127" s="32">
        <v>0</v>
      </c>
      <c r="Q127" s="82">
        <v>0</v>
      </c>
      <c r="R127" s="82">
        <v>0</v>
      </c>
      <c r="S127" s="82">
        <v>0</v>
      </c>
      <c r="T127" s="32">
        <v>0</v>
      </c>
      <c r="U127" s="82">
        <v>0</v>
      </c>
      <c r="V127" s="82">
        <v>0</v>
      </c>
      <c r="W127" s="82">
        <v>-2771.5</v>
      </c>
      <c r="X127" s="32"/>
      <c r="Y127" s="32">
        <f t="shared" si="212"/>
        <v>0</v>
      </c>
      <c r="Z127" s="32">
        <f t="shared" si="212"/>
        <v>0</v>
      </c>
      <c r="AA127" s="32">
        <f t="shared" si="212"/>
        <v>0</v>
      </c>
      <c r="AB127" s="32">
        <f t="shared" si="212"/>
        <v>0</v>
      </c>
      <c r="AC127" s="32">
        <f t="shared" si="212"/>
        <v>0</v>
      </c>
      <c r="AD127" s="32">
        <f t="shared" si="212"/>
        <v>0</v>
      </c>
      <c r="AE127" s="32">
        <f t="shared" si="212"/>
        <v>0</v>
      </c>
      <c r="AF127" s="32">
        <f t="shared" si="213"/>
        <v>-2771.5</v>
      </c>
      <c r="AG127" s="59"/>
      <c r="AH127" s="75" t="e">
        <f t="shared" si="214"/>
        <v>#DIV/0!</v>
      </c>
    </row>
    <row r="128" spans="2:34" ht="12.75" customHeight="1">
      <c r="B128" s="60" t="s">
        <v>189</v>
      </c>
      <c r="C128" s="82">
        <v>-2641.3</v>
      </c>
      <c r="D128" s="82">
        <v>-1019.7</v>
      </c>
      <c r="E128" s="82">
        <v>0</v>
      </c>
      <c r="F128" s="82">
        <v>0</v>
      </c>
      <c r="G128" s="82">
        <v>-222.8</v>
      </c>
      <c r="H128" s="82">
        <v>0</v>
      </c>
      <c r="I128" s="82">
        <v>0</v>
      </c>
      <c r="J128" s="82">
        <v>-33.6</v>
      </c>
      <c r="K128" s="82">
        <v>0</v>
      </c>
      <c r="L128" s="32"/>
      <c r="M128" s="82">
        <v>0</v>
      </c>
      <c r="N128" s="82">
        <v>0</v>
      </c>
      <c r="O128" s="82">
        <v>-27.6</v>
      </c>
      <c r="P128" s="32">
        <v>-6</v>
      </c>
      <c r="Q128" s="82">
        <v>0</v>
      </c>
      <c r="R128" s="82">
        <v>0</v>
      </c>
      <c r="S128" s="82">
        <v>0</v>
      </c>
      <c r="T128" s="32">
        <v>0</v>
      </c>
      <c r="U128" s="82">
        <v>0</v>
      </c>
      <c r="V128" s="82">
        <v>0</v>
      </c>
      <c r="W128" s="82">
        <v>0</v>
      </c>
      <c r="X128" s="32"/>
      <c r="Y128" s="32">
        <f t="shared" ref="Y128:Y129" si="224">SUM(M128:P128)</f>
        <v>-33.6</v>
      </c>
      <c r="Z128" s="32">
        <f t="shared" ref="Z128:Z129" si="225">SUM(N128:Q128)</f>
        <v>-33.6</v>
      </c>
      <c r="AA128" s="32">
        <f t="shared" ref="AA128:AA129" si="226">SUM(O128:R128)</f>
        <v>-33.6</v>
      </c>
      <c r="AB128" s="32">
        <f t="shared" ref="AB128:AB129" si="227">SUM(P128:S128)</f>
        <v>-6</v>
      </c>
      <c r="AC128" s="32">
        <f t="shared" ref="AC128:AC129" si="228">SUM(Q128:T128)</f>
        <v>0</v>
      </c>
      <c r="AD128" s="32">
        <f t="shared" ref="AD128:AD129" si="229">SUM(R128:U128)</f>
        <v>0</v>
      </c>
      <c r="AE128" s="32">
        <f t="shared" ref="AE128:AE129" si="230">SUM(S128:V128)</f>
        <v>0</v>
      </c>
      <c r="AF128" s="32">
        <f t="shared" ref="AF128:AF129" si="231">SUM(T128:W128)</f>
        <v>0</v>
      </c>
      <c r="AG128" s="59"/>
      <c r="AH128" s="75">
        <f t="shared" ref="AH128:AH129" si="232">SUM(AF128/AB128)-1</f>
        <v>-1</v>
      </c>
    </row>
    <row r="129" spans="2:34" ht="12.75" customHeight="1">
      <c r="B129" s="60" t="s">
        <v>198</v>
      </c>
      <c r="C129" s="82">
        <v>0</v>
      </c>
      <c r="D129" s="82">
        <v>0</v>
      </c>
      <c r="E129" s="82">
        <v>0</v>
      </c>
      <c r="F129" s="82">
        <v>0</v>
      </c>
      <c r="G129" s="82">
        <v>0</v>
      </c>
      <c r="H129" s="82">
        <v>0</v>
      </c>
      <c r="I129" s="82">
        <v>0</v>
      </c>
      <c r="J129" s="82">
        <v>0</v>
      </c>
      <c r="K129" s="82">
        <v>0</v>
      </c>
      <c r="L129" s="32"/>
      <c r="M129" s="82">
        <v>0</v>
      </c>
      <c r="N129" s="82">
        <v>0</v>
      </c>
      <c r="O129" s="82">
        <v>0</v>
      </c>
      <c r="P129" s="32">
        <f t="shared" ref="P129" si="233">SUM(J129-SUM(M129:O129))</f>
        <v>0</v>
      </c>
      <c r="Q129" s="82">
        <v>0</v>
      </c>
      <c r="R129" s="82">
        <v>0</v>
      </c>
      <c r="S129" s="82">
        <v>0</v>
      </c>
      <c r="T129" s="32">
        <v>0</v>
      </c>
      <c r="U129" s="82">
        <v>0</v>
      </c>
      <c r="V129" s="82">
        <v>0</v>
      </c>
      <c r="W129" s="82">
        <v>0</v>
      </c>
      <c r="X129" s="32"/>
      <c r="Y129" s="32">
        <f t="shared" si="224"/>
        <v>0</v>
      </c>
      <c r="Z129" s="32">
        <f t="shared" si="225"/>
        <v>0</v>
      </c>
      <c r="AA129" s="32">
        <f t="shared" si="226"/>
        <v>0</v>
      </c>
      <c r="AB129" s="32">
        <f t="shared" si="227"/>
        <v>0</v>
      </c>
      <c r="AC129" s="32">
        <f t="shared" si="228"/>
        <v>0</v>
      </c>
      <c r="AD129" s="32">
        <f t="shared" si="229"/>
        <v>0</v>
      </c>
      <c r="AE129" s="32">
        <f t="shared" si="230"/>
        <v>0</v>
      </c>
      <c r="AF129" s="32">
        <f t="shared" si="231"/>
        <v>0</v>
      </c>
      <c r="AG129" s="59"/>
      <c r="AH129" s="75" t="e">
        <f t="shared" si="232"/>
        <v>#DIV/0!</v>
      </c>
    </row>
    <row r="130" spans="2:34" ht="12.75" customHeight="1">
      <c r="B130" s="60" t="s">
        <v>209</v>
      </c>
      <c r="C130" s="82">
        <v>-15</v>
      </c>
      <c r="D130" s="82">
        <v>27</v>
      </c>
      <c r="E130" s="82">
        <v>-2.4</v>
      </c>
      <c r="F130" s="82">
        <v>0</v>
      </c>
      <c r="G130" s="82">
        <v>0</v>
      </c>
      <c r="H130" s="82">
        <v>0</v>
      </c>
      <c r="I130" s="82">
        <v>0</v>
      </c>
      <c r="J130" s="82">
        <v>0</v>
      </c>
      <c r="K130" s="82">
        <v>0</v>
      </c>
      <c r="L130" s="32"/>
      <c r="M130" s="82">
        <v>0</v>
      </c>
      <c r="N130" s="82">
        <v>0</v>
      </c>
      <c r="O130" s="82">
        <v>0</v>
      </c>
      <c r="P130" s="32">
        <f t="shared" ref="P130" si="234">SUM(J130-SUM(M130:O130))</f>
        <v>0</v>
      </c>
      <c r="Q130" s="82">
        <v>0</v>
      </c>
      <c r="R130" s="82">
        <v>0</v>
      </c>
      <c r="S130" s="82">
        <v>0</v>
      </c>
      <c r="T130" s="32">
        <v>0</v>
      </c>
      <c r="U130" s="82">
        <v>0</v>
      </c>
      <c r="V130" s="82">
        <v>0</v>
      </c>
      <c r="W130" s="82">
        <v>0</v>
      </c>
      <c r="X130" s="32"/>
      <c r="Y130" s="32">
        <f t="shared" si="212"/>
        <v>0</v>
      </c>
      <c r="Z130" s="32">
        <f t="shared" si="212"/>
        <v>0</v>
      </c>
      <c r="AA130" s="32">
        <f t="shared" si="212"/>
        <v>0</v>
      </c>
      <c r="AB130" s="32">
        <f t="shared" si="212"/>
        <v>0</v>
      </c>
      <c r="AC130" s="32">
        <f t="shared" si="212"/>
        <v>0</v>
      </c>
      <c r="AD130" s="32">
        <f t="shared" si="212"/>
        <v>0</v>
      </c>
      <c r="AE130" s="32">
        <f t="shared" si="212"/>
        <v>0</v>
      </c>
      <c r="AF130" s="32">
        <f t="shared" si="213"/>
        <v>0</v>
      </c>
      <c r="AG130" s="59"/>
      <c r="AH130" s="75" t="e">
        <f t="shared" si="214"/>
        <v>#DIV/0!</v>
      </c>
    </row>
    <row r="131" spans="2:34" ht="12.75" customHeight="1">
      <c r="B131" s="13" t="s">
        <v>53</v>
      </c>
      <c r="C131" s="14">
        <f t="shared" ref="C131" si="235">SUM(C122:C130)</f>
        <v>-3188.4</v>
      </c>
      <c r="D131" s="14">
        <f t="shared" ref="D131" si="236">SUM(D122:D130)</f>
        <v>-1229</v>
      </c>
      <c r="E131" s="14">
        <f t="shared" ref="E131" si="237">SUM(E122:E130)</f>
        <v>-491.5</v>
      </c>
      <c r="F131" s="14">
        <f t="shared" ref="F131" si="238">SUM(F122:F130)</f>
        <v>-1157.5</v>
      </c>
      <c r="G131" s="14">
        <f t="shared" ref="G131" si="239">SUM(G122:G130)</f>
        <v>-1352.2000000000003</v>
      </c>
      <c r="H131" s="14">
        <f t="shared" ref="H131" si="240">SUM(H122:H130)</f>
        <v>-71.999999999999886</v>
      </c>
      <c r="I131" s="14">
        <f t="shared" ref="C131:K131" si="241">SUM(I122:I130)</f>
        <v>-1028.8999999999999</v>
      </c>
      <c r="J131" s="14">
        <f t="shared" si="241"/>
        <v>-2689.2999999999997</v>
      </c>
      <c r="K131" s="14">
        <f t="shared" si="241"/>
        <v>-2609.3000000000002</v>
      </c>
      <c r="M131" s="14">
        <f t="shared" ref="M131:W131" si="242">SUM(M122:M130)</f>
        <v>-436.5</v>
      </c>
      <c r="N131" s="14">
        <f t="shared" si="242"/>
        <v>-544.9</v>
      </c>
      <c r="O131" s="14">
        <f t="shared" si="242"/>
        <v>-1091</v>
      </c>
      <c r="P131" s="14">
        <f t="shared" si="242"/>
        <v>-616.9</v>
      </c>
      <c r="Q131" s="14">
        <f t="shared" si="242"/>
        <v>-723.59999999999991</v>
      </c>
      <c r="R131" s="14">
        <f t="shared" si="242"/>
        <v>-437.8</v>
      </c>
      <c r="S131" s="14">
        <f t="shared" si="242"/>
        <v>-214.99999999999997</v>
      </c>
      <c r="T131" s="14">
        <f t="shared" si="242"/>
        <v>-1232.9000000000001</v>
      </c>
      <c r="U131" s="14">
        <f t="shared" si="242"/>
        <v>-415.7</v>
      </c>
      <c r="V131" s="14">
        <f t="shared" si="242"/>
        <v>-428.00000000000006</v>
      </c>
      <c r="W131" s="34">
        <f>SUM(W122:W130)</f>
        <v>-3489.3</v>
      </c>
      <c r="Y131" s="14">
        <f t="shared" ref="Y131:AF131" si="243">SUM(Y130:Y130)</f>
        <v>0</v>
      </c>
      <c r="Z131" s="14">
        <f t="shared" si="243"/>
        <v>0</v>
      </c>
      <c r="AA131" s="14">
        <f t="shared" si="243"/>
        <v>0</v>
      </c>
      <c r="AB131" s="14">
        <f t="shared" si="243"/>
        <v>0</v>
      </c>
      <c r="AC131" s="14">
        <f t="shared" si="243"/>
        <v>0</v>
      </c>
      <c r="AD131" s="14">
        <f t="shared" si="243"/>
        <v>0</v>
      </c>
      <c r="AE131" s="14">
        <f t="shared" si="243"/>
        <v>0</v>
      </c>
      <c r="AF131" s="14">
        <f t="shared" si="243"/>
        <v>0</v>
      </c>
      <c r="AG131" s="42"/>
      <c r="AH131" s="76" t="e">
        <f t="shared" ref="AH131:AH140" si="244">SUM(AF131/AB131)-1</f>
        <v>#DIV/0!</v>
      </c>
    </row>
    <row r="132" spans="2:34" ht="5.0999999999999996" customHeight="1">
      <c r="B132" s="52"/>
      <c r="C132" s="61"/>
      <c r="D132" s="61"/>
      <c r="E132" s="61"/>
      <c r="F132" s="61"/>
      <c r="G132" s="61"/>
      <c r="H132" s="61"/>
      <c r="I132" s="61"/>
      <c r="J132" s="61"/>
      <c r="K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Y132" s="42"/>
      <c r="Z132" s="42"/>
      <c r="AA132" s="42"/>
      <c r="AB132" s="42"/>
      <c r="AC132" s="42"/>
      <c r="AD132" s="42"/>
      <c r="AE132" s="42"/>
      <c r="AF132" s="42"/>
      <c r="AG132" s="42"/>
      <c r="AH132" s="39"/>
    </row>
    <row r="133" spans="2:34" ht="12.75" customHeight="1">
      <c r="B133" s="53" t="s">
        <v>54</v>
      </c>
      <c r="C133" s="63"/>
      <c r="D133" s="63"/>
      <c r="E133" s="63"/>
      <c r="F133" s="63"/>
      <c r="G133" s="63"/>
      <c r="H133" s="63"/>
      <c r="I133" s="63"/>
      <c r="J133" s="63"/>
      <c r="K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32"/>
      <c r="Y133" s="32"/>
      <c r="Z133" s="32"/>
      <c r="AA133" s="32"/>
      <c r="AB133" s="32"/>
      <c r="AC133" s="32"/>
      <c r="AD133" s="32"/>
      <c r="AE133" s="32"/>
      <c r="AF133" s="32"/>
      <c r="AG133" s="64"/>
      <c r="AH133" s="75"/>
    </row>
    <row r="134" spans="2:34" ht="12.75" customHeight="1">
      <c r="B134" s="84" t="s">
        <v>190</v>
      </c>
      <c r="C134" s="82">
        <v>-445.9</v>
      </c>
      <c r="D134" s="82">
        <v>-516.70000000000005</v>
      </c>
      <c r="E134" s="82">
        <v>-597.1</v>
      </c>
      <c r="F134" s="82">
        <v>-1325.7</v>
      </c>
      <c r="G134" s="82">
        <v>-1066.4000000000001</v>
      </c>
      <c r="H134" s="82">
        <v>-1368.3</v>
      </c>
      <c r="I134" s="82">
        <v>-2559.8000000000002</v>
      </c>
      <c r="J134" s="82">
        <v>-2348.3000000000002</v>
      </c>
      <c r="K134" s="82">
        <v>-2452.9</v>
      </c>
      <c r="M134" s="82">
        <v>-541.1</v>
      </c>
      <c r="N134" s="82">
        <v>-666.1</v>
      </c>
      <c r="O134" s="82">
        <v>-570.4</v>
      </c>
      <c r="P134" s="32">
        <v>-570.79999999999995</v>
      </c>
      <c r="Q134" s="82">
        <v>-571</v>
      </c>
      <c r="R134" s="82">
        <v>-688.3</v>
      </c>
      <c r="S134" s="82">
        <v>-595.79999999999995</v>
      </c>
      <c r="T134" s="32">
        <v>-597.79999999999995</v>
      </c>
      <c r="U134" s="82">
        <v>-597.20000000000005</v>
      </c>
      <c r="V134" s="82">
        <v>-714.4</v>
      </c>
      <c r="W134" s="82">
        <v>-619.6</v>
      </c>
      <c r="X134" s="32"/>
      <c r="Y134" s="32">
        <f t="shared" ref="Y134:AE139" si="245">SUM(M134:P134)</f>
        <v>-2348.3999999999996</v>
      </c>
      <c r="Z134" s="32">
        <f t="shared" si="245"/>
        <v>-2378.3000000000002</v>
      </c>
      <c r="AA134" s="32">
        <f t="shared" si="245"/>
        <v>-2400.5</v>
      </c>
      <c r="AB134" s="32">
        <f t="shared" si="245"/>
        <v>-2425.8999999999996</v>
      </c>
      <c r="AC134" s="32">
        <f t="shared" si="245"/>
        <v>-2452.8999999999996</v>
      </c>
      <c r="AD134" s="32">
        <f t="shared" si="245"/>
        <v>-2479.1</v>
      </c>
      <c r="AE134" s="32">
        <f t="shared" si="245"/>
        <v>-2505.1999999999998</v>
      </c>
      <c r="AF134" s="32">
        <f>SUM(T134:W134)</f>
        <v>-2529</v>
      </c>
      <c r="AG134" s="64"/>
      <c r="AH134" s="75">
        <f t="shared" si="244"/>
        <v>4.2499690836390824E-2</v>
      </c>
    </row>
    <row r="135" spans="2:34" ht="12.75" customHeight="1">
      <c r="B135" s="84" t="s">
        <v>191</v>
      </c>
      <c r="C135" s="82">
        <v>-400</v>
      </c>
      <c r="D135" s="82">
        <v>-500</v>
      </c>
      <c r="E135" s="82">
        <v>-1146.2</v>
      </c>
      <c r="F135" s="82">
        <v>-410</v>
      </c>
      <c r="G135" s="82">
        <v>-1207.5</v>
      </c>
      <c r="H135" s="82">
        <v>-8560.2999999999993</v>
      </c>
      <c r="I135" s="82">
        <v>-4639.7</v>
      </c>
      <c r="J135" s="82">
        <v>-1000</v>
      </c>
      <c r="K135" s="82">
        <v>-500</v>
      </c>
      <c r="M135" s="82">
        <v>-396.2</v>
      </c>
      <c r="N135" s="82">
        <v>-492.6</v>
      </c>
      <c r="O135" s="82">
        <v>-111.1</v>
      </c>
      <c r="P135" s="32">
        <v>0</v>
      </c>
      <c r="Q135" s="82">
        <v>-385.1</v>
      </c>
      <c r="R135" s="82">
        <v>-114.9</v>
      </c>
      <c r="S135" s="82">
        <v>0</v>
      </c>
      <c r="T135" s="32">
        <v>0</v>
      </c>
      <c r="U135" s="82">
        <v>-2592.6</v>
      </c>
      <c r="V135" s="82">
        <v>-1485.2</v>
      </c>
      <c r="W135" s="82">
        <v>-172.2</v>
      </c>
      <c r="X135" s="32"/>
      <c r="Y135" s="32">
        <f t="shared" ref="Y135:Y136" si="246">SUM(M135:P135)</f>
        <v>-999.9</v>
      </c>
      <c r="Z135" s="32">
        <f t="shared" ref="Z135:Z136" si="247">SUM(N135:Q135)</f>
        <v>-988.80000000000007</v>
      </c>
      <c r="AA135" s="32">
        <f t="shared" ref="AA135:AA136" si="248">SUM(O135:R135)</f>
        <v>-611.1</v>
      </c>
      <c r="AB135" s="32">
        <f t="shared" ref="AB135:AB136" si="249">SUM(P135:S135)</f>
        <v>-500</v>
      </c>
      <c r="AC135" s="32">
        <f t="shared" ref="AC135:AC136" si="250">SUM(Q135:T135)</f>
        <v>-500</v>
      </c>
      <c r="AD135" s="32">
        <f t="shared" ref="AD135:AD136" si="251">SUM(R135:U135)</f>
        <v>-2707.5</v>
      </c>
      <c r="AE135" s="32">
        <f t="shared" ref="AE135:AE136" si="252">SUM(S135:V135)</f>
        <v>-4077.8</v>
      </c>
      <c r="AF135" s="32">
        <f t="shared" ref="AF135:AF136" si="253">SUM(T135:W135)</f>
        <v>-4250</v>
      </c>
      <c r="AG135" s="64"/>
      <c r="AH135" s="75">
        <f t="shared" ref="AH135:AH136" si="254">SUM(AF135/AB135)-1</f>
        <v>7.5</v>
      </c>
    </row>
    <row r="136" spans="2:34" ht="12.75" customHeight="1">
      <c r="B136" s="84" t="s">
        <v>192</v>
      </c>
      <c r="C136" s="82">
        <v>582.70000000000005</v>
      </c>
      <c r="D136" s="82">
        <v>50.6</v>
      </c>
      <c r="E136" s="82">
        <v>21.8</v>
      </c>
      <c r="F136" s="82">
        <v>27.2</v>
      </c>
      <c r="G136" s="82">
        <v>37.9</v>
      </c>
      <c r="H136" s="82">
        <v>49</v>
      </c>
      <c r="I136" s="82">
        <v>81.8</v>
      </c>
      <c r="J136" s="82">
        <v>99.4</v>
      </c>
      <c r="K136" s="82">
        <v>124</v>
      </c>
      <c r="M136" s="82">
        <v>22.7</v>
      </c>
      <c r="N136" s="82">
        <v>25.1</v>
      </c>
      <c r="O136" s="82">
        <v>25.7</v>
      </c>
      <c r="P136" s="32">
        <v>25.9</v>
      </c>
      <c r="Q136" s="82">
        <v>29.3</v>
      </c>
      <c r="R136" s="82">
        <v>31.2</v>
      </c>
      <c r="S136" s="82">
        <v>31.5</v>
      </c>
      <c r="T136" s="32">
        <v>32</v>
      </c>
      <c r="U136" s="82">
        <v>38</v>
      </c>
      <c r="V136" s="82">
        <v>36.4</v>
      </c>
      <c r="W136" s="82">
        <v>35.299999999999997</v>
      </c>
      <c r="X136" s="32"/>
      <c r="Y136" s="32">
        <f t="shared" si="246"/>
        <v>99.4</v>
      </c>
      <c r="Z136" s="32">
        <f t="shared" si="247"/>
        <v>105.99999999999999</v>
      </c>
      <c r="AA136" s="32">
        <f t="shared" si="248"/>
        <v>112.1</v>
      </c>
      <c r="AB136" s="32">
        <f t="shared" si="249"/>
        <v>117.9</v>
      </c>
      <c r="AC136" s="32">
        <f t="shared" si="250"/>
        <v>124</v>
      </c>
      <c r="AD136" s="32">
        <f t="shared" si="251"/>
        <v>132.69999999999999</v>
      </c>
      <c r="AE136" s="32">
        <f t="shared" si="252"/>
        <v>137.9</v>
      </c>
      <c r="AF136" s="32">
        <f t="shared" si="253"/>
        <v>141.69999999999999</v>
      </c>
      <c r="AG136" s="64"/>
      <c r="AH136" s="75">
        <f t="shared" si="254"/>
        <v>0.20186598812553003</v>
      </c>
    </row>
    <row r="137" spans="2:34" ht="12.75" customHeight="1">
      <c r="B137" s="84" t="s">
        <v>193</v>
      </c>
      <c r="C137" s="82">
        <v>2230.6</v>
      </c>
      <c r="D137" s="82">
        <v>0</v>
      </c>
      <c r="E137" s="82">
        <v>0</v>
      </c>
      <c r="F137" s="82">
        <v>0</v>
      </c>
      <c r="G137" s="82">
        <v>1486.3</v>
      </c>
      <c r="H137" s="82">
        <v>0</v>
      </c>
      <c r="I137" s="82">
        <v>495.6</v>
      </c>
      <c r="J137" s="82">
        <v>997.8</v>
      </c>
      <c r="K137" s="82">
        <v>22.5</v>
      </c>
      <c r="M137" s="82">
        <v>0</v>
      </c>
      <c r="N137" s="82">
        <v>997.8</v>
      </c>
      <c r="O137" s="82">
        <v>0</v>
      </c>
      <c r="P137" s="32">
        <v>0</v>
      </c>
      <c r="Q137" s="82">
        <v>0</v>
      </c>
      <c r="R137" s="82">
        <v>0</v>
      </c>
      <c r="S137" s="82">
        <v>0</v>
      </c>
      <c r="T137" s="32">
        <v>22.5</v>
      </c>
      <c r="U137" s="82">
        <v>0</v>
      </c>
      <c r="V137" s="82">
        <v>0</v>
      </c>
      <c r="W137" s="82">
        <v>15</v>
      </c>
      <c r="X137" s="32"/>
      <c r="Y137" s="32">
        <f t="shared" si="245"/>
        <v>997.8</v>
      </c>
      <c r="Z137" s="32">
        <f t="shared" si="245"/>
        <v>997.8</v>
      </c>
      <c r="AA137" s="32">
        <f t="shared" si="245"/>
        <v>0</v>
      </c>
      <c r="AB137" s="32">
        <f t="shared" si="245"/>
        <v>0</v>
      </c>
      <c r="AC137" s="32">
        <f t="shared" si="245"/>
        <v>22.5</v>
      </c>
      <c r="AD137" s="32">
        <f t="shared" si="245"/>
        <v>22.5</v>
      </c>
      <c r="AE137" s="32">
        <f t="shared" si="245"/>
        <v>22.5</v>
      </c>
      <c r="AF137" s="32">
        <f>SUM(T137:W137)</f>
        <v>37.5</v>
      </c>
      <c r="AG137" s="64"/>
      <c r="AH137" s="75" t="e">
        <f t="shared" ref="AH137" si="255">SUM(AF137/AB137)-1</f>
        <v>#DIV/0!</v>
      </c>
    </row>
    <row r="138" spans="2:34" ht="12.75" customHeight="1">
      <c r="B138" s="84" t="s">
        <v>194</v>
      </c>
      <c r="C138" s="82">
        <v>-4.7</v>
      </c>
      <c r="D138" s="82">
        <v>-243</v>
      </c>
      <c r="E138" s="82">
        <v>-2.8</v>
      </c>
      <c r="F138" s="82">
        <v>-3.8</v>
      </c>
      <c r="G138" s="82">
        <v>-3.3</v>
      </c>
      <c r="H138" s="82">
        <v>-12.1</v>
      </c>
      <c r="I138" s="82">
        <v>-516.20000000000005</v>
      </c>
      <c r="J138" s="82">
        <v>-752.8</v>
      </c>
      <c r="K138" s="82">
        <v>-25.7</v>
      </c>
      <c r="M138" s="82">
        <v>-1.5</v>
      </c>
      <c r="N138" s="82">
        <v>-0.7</v>
      </c>
      <c r="O138" s="82">
        <v>-750.4</v>
      </c>
      <c r="P138" s="32">
        <v>-0.2</v>
      </c>
      <c r="Q138" s="82">
        <v>-0.6</v>
      </c>
      <c r="R138" s="82">
        <v>-0.3</v>
      </c>
      <c r="S138" s="82">
        <v>-0.7</v>
      </c>
      <c r="T138" s="32">
        <v>-24.1</v>
      </c>
      <c r="U138" s="82">
        <v>0.4</v>
      </c>
      <c r="V138" s="82">
        <v>-0.6</v>
      </c>
      <c r="W138" s="82">
        <v>-0.5</v>
      </c>
      <c r="X138" s="32"/>
      <c r="Y138" s="32">
        <f t="shared" ref="Y138" si="256">SUM(M138:P138)</f>
        <v>-752.80000000000007</v>
      </c>
      <c r="Z138" s="32">
        <f t="shared" ref="Z138" si="257">SUM(N138:Q138)</f>
        <v>-751.90000000000009</v>
      </c>
      <c r="AA138" s="32">
        <f t="shared" ref="AA138" si="258">SUM(O138:R138)</f>
        <v>-751.5</v>
      </c>
      <c r="AB138" s="32">
        <f t="shared" ref="AB138" si="259">SUM(P138:S138)</f>
        <v>-1.8</v>
      </c>
      <c r="AC138" s="32">
        <f t="shared" ref="AC138" si="260">SUM(Q138:T138)</f>
        <v>-25.700000000000003</v>
      </c>
      <c r="AD138" s="32">
        <f t="shared" ref="AD138" si="261">SUM(R138:U138)</f>
        <v>-24.700000000000003</v>
      </c>
      <c r="AE138" s="32">
        <f t="shared" ref="AE138" si="262">SUM(S138:V138)</f>
        <v>-25.000000000000004</v>
      </c>
      <c r="AF138" s="32">
        <f>SUM(T138:W138)</f>
        <v>-24.800000000000004</v>
      </c>
      <c r="AG138" s="64"/>
      <c r="AH138" s="75">
        <f t="shared" ref="AH138" si="263">SUM(AF138/AB138)-1</f>
        <v>12.77777777777778</v>
      </c>
    </row>
    <row r="139" spans="2:34" ht="12.75" customHeight="1">
      <c r="B139" s="84" t="s">
        <v>209</v>
      </c>
      <c r="C139" s="82">
        <v>0.9</v>
      </c>
      <c r="D139" s="82">
        <v>0</v>
      </c>
      <c r="E139" s="82">
        <v>0</v>
      </c>
      <c r="F139" s="82">
        <v>0</v>
      </c>
      <c r="G139" s="82">
        <v>0</v>
      </c>
      <c r="H139" s="82">
        <v>0</v>
      </c>
      <c r="I139" s="82">
        <v>0</v>
      </c>
      <c r="J139" s="82">
        <v>0</v>
      </c>
      <c r="K139" s="82">
        <v>0</v>
      </c>
      <c r="M139" s="82">
        <v>0</v>
      </c>
      <c r="N139" s="82">
        <v>0</v>
      </c>
      <c r="O139" s="82">
        <v>0</v>
      </c>
      <c r="P139" s="82">
        <v>0</v>
      </c>
      <c r="Q139" s="82">
        <v>0</v>
      </c>
      <c r="R139" s="82">
        <v>0</v>
      </c>
      <c r="S139" s="82">
        <v>0</v>
      </c>
      <c r="T139" s="82">
        <v>0</v>
      </c>
      <c r="U139" s="82">
        <v>0</v>
      </c>
      <c r="V139" s="82">
        <v>0</v>
      </c>
      <c r="W139" s="82">
        <v>0</v>
      </c>
      <c r="X139" s="32"/>
      <c r="Y139" s="32">
        <f t="shared" si="245"/>
        <v>0</v>
      </c>
      <c r="Z139" s="32">
        <f t="shared" si="245"/>
        <v>0</v>
      </c>
      <c r="AA139" s="32">
        <f t="shared" si="245"/>
        <v>0</v>
      </c>
      <c r="AB139" s="32">
        <f t="shared" si="245"/>
        <v>0</v>
      </c>
      <c r="AC139" s="32">
        <f t="shared" si="245"/>
        <v>0</v>
      </c>
      <c r="AD139" s="32">
        <f t="shared" si="245"/>
        <v>0</v>
      </c>
      <c r="AE139" s="32">
        <f t="shared" si="245"/>
        <v>0</v>
      </c>
      <c r="AF139" s="32">
        <f>SUM(T139:W139)</f>
        <v>0</v>
      </c>
      <c r="AG139" s="64"/>
      <c r="AH139" s="75" t="e">
        <f t="shared" si="244"/>
        <v>#DIV/0!</v>
      </c>
    </row>
    <row r="140" spans="2:34" ht="12.75" customHeight="1">
      <c r="B140" s="13" t="s">
        <v>55</v>
      </c>
      <c r="C140" s="14">
        <f t="shared" ref="C140:H140" si="264">SUM(C134:C139)</f>
        <v>1963.6000000000001</v>
      </c>
      <c r="D140" s="14">
        <f t="shared" si="264"/>
        <v>-1209.0999999999999</v>
      </c>
      <c r="E140" s="14">
        <f t="shared" si="264"/>
        <v>-1724.3000000000002</v>
      </c>
      <c r="F140" s="14">
        <f t="shared" si="264"/>
        <v>-1712.3</v>
      </c>
      <c r="G140" s="14">
        <f t="shared" si="264"/>
        <v>-753</v>
      </c>
      <c r="H140" s="14">
        <f t="shared" si="264"/>
        <v>-9891.6999999999989</v>
      </c>
      <c r="I140" s="14">
        <f>SUM(I134:I139)</f>
        <v>-7138.2999999999993</v>
      </c>
      <c r="J140" s="14">
        <f>SUM(J134:J139)</f>
        <v>-3003.9000000000005</v>
      </c>
      <c r="K140" s="14">
        <f>SUM(K134:K139)</f>
        <v>-2832.1</v>
      </c>
      <c r="M140" s="14">
        <f t="shared" ref="M140:W140" si="265">SUM(M134:M139)</f>
        <v>-916.09999999999991</v>
      </c>
      <c r="N140" s="14">
        <f t="shared" si="265"/>
        <v>-136.50000000000017</v>
      </c>
      <c r="O140" s="14">
        <f t="shared" si="265"/>
        <v>-1406.1999999999998</v>
      </c>
      <c r="P140" s="14">
        <f t="shared" si="265"/>
        <v>-545.1</v>
      </c>
      <c r="Q140" s="14">
        <f t="shared" si="265"/>
        <v>-927.40000000000009</v>
      </c>
      <c r="R140" s="14">
        <f t="shared" si="265"/>
        <v>-772.29999999999984</v>
      </c>
      <c r="S140" s="14">
        <f t="shared" si="265"/>
        <v>-565</v>
      </c>
      <c r="T140" s="14">
        <f t="shared" si="265"/>
        <v>-567.4</v>
      </c>
      <c r="U140" s="14">
        <f t="shared" si="265"/>
        <v>-3151.4</v>
      </c>
      <c r="V140" s="14">
        <f t="shared" si="265"/>
        <v>-2163.7999999999997</v>
      </c>
      <c r="W140" s="14">
        <f t="shared" si="265"/>
        <v>-742</v>
      </c>
      <c r="Y140" s="14">
        <f t="shared" ref="Y140:AF140" si="266">SUM(Y134:Y139)</f>
        <v>-3003.8999999999996</v>
      </c>
      <c r="Z140" s="14">
        <f t="shared" si="266"/>
        <v>-3015.2000000000003</v>
      </c>
      <c r="AA140" s="14">
        <f t="shared" si="266"/>
        <v>-3651</v>
      </c>
      <c r="AB140" s="14">
        <f t="shared" si="266"/>
        <v>-2809.7999999999997</v>
      </c>
      <c r="AC140" s="14">
        <f t="shared" si="266"/>
        <v>-2832.0999999999995</v>
      </c>
      <c r="AD140" s="14">
        <f t="shared" si="266"/>
        <v>-5056.1000000000004</v>
      </c>
      <c r="AE140" s="14">
        <f t="shared" si="266"/>
        <v>-6447.6</v>
      </c>
      <c r="AF140" s="14">
        <f t="shared" si="266"/>
        <v>-6624.6</v>
      </c>
      <c r="AG140" s="42"/>
      <c r="AH140" s="76">
        <f t="shared" si="244"/>
        <v>1.3576767029681833</v>
      </c>
    </row>
    <row r="141" spans="2:34" ht="5.0999999999999996" customHeight="1">
      <c r="B141" s="71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11"/>
      <c r="AH141" s="45"/>
    </row>
    <row r="142" spans="2:34">
      <c r="B142" s="92" t="s">
        <v>81</v>
      </c>
      <c r="C142" s="158">
        <v>2458.7170000000001</v>
      </c>
      <c r="D142" s="93">
        <f t="shared" ref="D142" si="267">C149</f>
        <v>2906.817</v>
      </c>
      <c r="E142" s="93">
        <f t="shared" ref="E142" si="268">D149</f>
        <v>2258.9170000000004</v>
      </c>
      <c r="F142" s="93">
        <f t="shared" ref="F142:K142" si="269">E149</f>
        <v>3121.0169999999994</v>
      </c>
      <c r="G142" s="93">
        <f t="shared" si="269"/>
        <v>3532.2169999999992</v>
      </c>
      <c r="H142" s="93">
        <f t="shared" si="269"/>
        <v>6049.3169999999973</v>
      </c>
      <c r="I142" s="93">
        <f t="shared" si="269"/>
        <v>6951.7169999999978</v>
      </c>
      <c r="J142" s="93">
        <f t="shared" si="269"/>
        <v>7268.2170000000015</v>
      </c>
      <c r="K142" s="93">
        <f t="shared" si="269"/>
        <v>7004.6169999999984</v>
      </c>
      <c r="L142" s="93"/>
      <c r="M142" s="93">
        <f>J142</f>
        <v>7268.2170000000015</v>
      </c>
      <c r="N142" s="93">
        <f t="shared" ref="N142:W142" si="270">M149</f>
        <v>6647.6170000000002</v>
      </c>
      <c r="O142" s="93">
        <f t="shared" si="270"/>
        <v>6341.2169999999996</v>
      </c>
      <c r="P142" s="93">
        <f t="shared" si="270"/>
        <v>4975.4169999999995</v>
      </c>
      <c r="Q142" s="93">
        <f t="shared" si="270"/>
        <v>7004.6169999999984</v>
      </c>
      <c r="R142" s="93">
        <f t="shared" si="270"/>
        <v>5100.7169999999987</v>
      </c>
      <c r="S142" s="93">
        <f t="shared" si="270"/>
        <v>4813.5169999999989</v>
      </c>
      <c r="T142" s="93">
        <f t="shared" si="270"/>
        <v>4979.2169999999987</v>
      </c>
      <c r="U142" s="93">
        <f t="shared" si="270"/>
        <v>12735.816999999999</v>
      </c>
      <c r="V142" s="93">
        <f t="shared" si="270"/>
        <v>9098.3169999999991</v>
      </c>
      <c r="W142" s="93">
        <f t="shared" si="270"/>
        <v>7243.4170000000004</v>
      </c>
      <c r="X142" s="93"/>
      <c r="Y142" s="93">
        <f>J142</f>
        <v>7268.2170000000015</v>
      </c>
      <c r="Z142" s="93">
        <f t="shared" ref="Z142:AF142" si="271">M149</f>
        <v>6647.6170000000002</v>
      </c>
      <c r="AA142" s="93">
        <f t="shared" si="271"/>
        <v>6341.2169999999996</v>
      </c>
      <c r="AB142" s="93">
        <f t="shared" si="271"/>
        <v>4975.4169999999995</v>
      </c>
      <c r="AC142" s="93">
        <f t="shared" si="271"/>
        <v>7004.6169999999984</v>
      </c>
      <c r="AD142" s="93">
        <f t="shared" si="271"/>
        <v>5100.7169999999987</v>
      </c>
      <c r="AE142" s="93">
        <f t="shared" si="271"/>
        <v>4813.5169999999989</v>
      </c>
      <c r="AF142" s="141">
        <f t="shared" si="271"/>
        <v>4979.2169999999987</v>
      </c>
      <c r="AG142" s="11"/>
      <c r="AH142" s="45"/>
    </row>
    <row r="143" spans="2:34">
      <c r="B143" s="131" t="s">
        <v>97</v>
      </c>
      <c r="C143" s="82">
        <v>0</v>
      </c>
      <c r="D143" s="32">
        <f t="shared" ref="D143" si="272">-C147</f>
        <v>0</v>
      </c>
      <c r="E143" s="32">
        <f t="shared" ref="E143" si="273">-D147</f>
        <v>0</v>
      </c>
      <c r="F143" s="32">
        <f t="shared" ref="F143:G143" si="274">-E147</f>
        <v>0</v>
      </c>
      <c r="G143" s="32">
        <f t="shared" si="274"/>
        <v>0</v>
      </c>
      <c r="H143" s="32">
        <f t="shared" ref="H143" si="275">-G147</f>
        <v>0</v>
      </c>
      <c r="I143" s="32">
        <f t="shared" ref="I143:K143" si="276">-H147</f>
        <v>0</v>
      </c>
      <c r="J143" s="32">
        <f t="shared" si="276"/>
        <v>0</v>
      </c>
      <c r="K143" s="32">
        <f t="shared" si="276"/>
        <v>0</v>
      </c>
      <c r="L143" s="32"/>
      <c r="M143" s="32">
        <f>J143</f>
        <v>0</v>
      </c>
      <c r="N143" s="32">
        <f t="shared" ref="N143:W143" si="277">-M147</f>
        <v>0</v>
      </c>
      <c r="O143" s="32">
        <f t="shared" si="277"/>
        <v>0</v>
      </c>
      <c r="P143" s="32">
        <f t="shared" si="277"/>
        <v>0</v>
      </c>
      <c r="Q143" s="32">
        <f t="shared" si="277"/>
        <v>0</v>
      </c>
      <c r="R143" s="32">
        <f t="shared" si="277"/>
        <v>0</v>
      </c>
      <c r="S143" s="32">
        <f t="shared" si="277"/>
        <v>0</v>
      </c>
      <c r="T143" s="32">
        <f t="shared" si="277"/>
        <v>0</v>
      </c>
      <c r="U143" s="32">
        <f t="shared" si="277"/>
        <v>0</v>
      </c>
      <c r="V143" s="32">
        <f t="shared" si="277"/>
        <v>0</v>
      </c>
      <c r="W143" s="32">
        <f t="shared" si="277"/>
        <v>0</v>
      </c>
      <c r="X143" s="32"/>
      <c r="Y143" s="32">
        <f>J143</f>
        <v>0</v>
      </c>
      <c r="Z143" s="32">
        <f t="shared" ref="Z143:AF143" si="278">-M147</f>
        <v>0</v>
      </c>
      <c r="AA143" s="32">
        <f t="shared" si="278"/>
        <v>0</v>
      </c>
      <c r="AB143" s="32">
        <f t="shared" si="278"/>
        <v>0</v>
      </c>
      <c r="AC143" s="32">
        <f t="shared" si="278"/>
        <v>0</v>
      </c>
      <c r="AD143" s="32">
        <f t="shared" si="278"/>
        <v>0</v>
      </c>
      <c r="AE143" s="32">
        <f t="shared" si="278"/>
        <v>0</v>
      </c>
      <c r="AF143" s="135">
        <f t="shared" si="278"/>
        <v>0</v>
      </c>
      <c r="AG143" s="11"/>
      <c r="AH143" s="45"/>
    </row>
    <row r="144" spans="2:34">
      <c r="B144" s="146" t="s">
        <v>68</v>
      </c>
      <c r="C144" s="147">
        <f t="shared" ref="C144" si="279">SUM(C142:C143)</f>
        <v>2458.7170000000001</v>
      </c>
      <c r="D144" s="147">
        <f t="shared" ref="D144:E144" si="280">SUM(D142:D143)</f>
        <v>2906.817</v>
      </c>
      <c r="E144" s="147">
        <f t="shared" si="280"/>
        <v>2258.9170000000004</v>
      </c>
      <c r="F144" s="147">
        <f t="shared" ref="F144:G144" si="281">SUM(F142:F143)</f>
        <v>3121.0169999999994</v>
      </c>
      <c r="G144" s="147">
        <f t="shared" si="281"/>
        <v>3532.2169999999992</v>
      </c>
      <c r="H144" s="147">
        <f t="shared" ref="H144:K144" si="282">SUM(H142:H143)</f>
        <v>6049.3169999999973</v>
      </c>
      <c r="I144" s="147">
        <f t="shared" si="282"/>
        <v>6951.7169999999978</v>
      </c>
      <c r="J144" s="147">
        <f t="shared" si="282"/>
        <v>7268.2170000000015</v>
      </c>
      <c r="K144" s="147">
        <f t="shared" si="282"/>
        <v>7004.6169999999984</v>
      </c>
      <c r="L144" s="32"/>
      <c r="M144" s="147">
        <f t="shared" ref="M144:W144" si="283">SUM(M142:M143)</f>
        <v>7268.2170000000015</v>
      </c>
      <c r="N144" s="147">
        <f t="shared" si="283"/>
        <v>6647.6170000000002</v>
      </c>
      <c r="O144" s="147">
        <f t="shared" si="283"/>
        <v>6341.2169999999996</v>
      </c>
      <c r="P144" s="147">
        <f t="shared" si="283"/>
        <v>4975.4169999999995</v>
      </c>
      <c r="Q144" s="147">
        <f t="shared" si="283"/>
        <v>7004.6169999999984</v>
      </c>
      <c r="R144" s="147">
        <f t="shared" si="283"/>
        <v>5100.7169999999987</v>
      </c>
      <c r="S144" s="147">
        <f t="shared" si="283"/>
        <v>4813.5169999999989</v>
      </c>
      <c r="T144" s="147">
        <f t="shared" si="283"/>
        <v>4979.2169999999987</v>
      </c>
      <c r="U144" s="147">
        <f t="shared" si="283"/>
        <v>12735.816999999999</v>
      </c>
      <c r="V144" s="147">
        <f t="shared" si="283"/>
        <v>9098.3169999999991</v>
      </c>
      <c r="W144" s="147">
        <f t="shared" si="283"/>
        <v>7243.4170000000004</v>
      </c>
      <c r="X144" s="32"/>
      <c r="Y144" s="134">
        <f t="shared" ref="Y144:AF144" si="284">SUM(Y142:Y143)</f>
        <v>7268.2170000000015</v>
      </c>
      <c r="Z144" s="134">
        <f t="shared" si="284"/>
        <v>6647.6170000000002</v>
      </c>
      <c r="AA144" s="134">
        <f t="shared" si="284"/>
        <v>6341.2169999999996</v>
      </c>
      <c r="AB144" s="147">
        <f t="shared" si="284"/>
        <v>4975.4169999999995</v>
      </c>
      <c r="AC144" s="147">
        <f t="shared" si="284"/>
        <v>7004.6169999999984</v>
      </c>
      <c r="AD144" s="147">
        <f t="shared" si="284"/>
        <v>5100.7169999999987</v>
      </c>
      <c r="AE144" s="147">
        <f t="shared" si="284"/>
        <v>4813.5169999999989</v>
      </c>
      <c r="AF144" s="148">
        <f t="shared" si="284"/>
        <v>4979.2169999999987</v>
      </c>
      <c r="AG144" s="11"/>
      <c r="AH144" s="45"/>
    </row>
    <row r="145" spans="2:34" ht="5.0999999999999996" customHeight="1">
      <c r="B145" s="138"/>
      <c r="C145" s="71"/>
      <c r="D145" s="71"/>
      <c r="E145" s="71"/>
      <c r="F145" s="71"/>
      <c r="G145" s="71"/>
      <c r="H145" s="71"/>
      <c r="I145" s="71"/>
      <c r="J145" s="71"/>
      <c r="K145" s="71"/>
      <c r="L145" s="32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32"/>
      <c r="Y145" s="71"/>
      <c r="Z145" s="71"/>
      <c r="AA145" s="71"/>
      <c r="AB145" s="71"/>
      <c r="AC145" s="71"/>
      <c r="AD145" s="71"/>
      <c r="AE145" s="71"/>
      <c r="AF145" s="136"/>
      <c r="AG145" s="11"/>
      <c r="AH145" s="45"/>
    </row>
    <row r="146" spans="2:34">
      <c r="B146" s="131" t="s">
        <v>82</v>
      </c>
      <c r="C146" s="82">
        <v>7.1</v>
      </c>
      <c r="D146" s="82">
        <v>-28.1</v>
      </c>
      <c r="E146" s="82">
        <v>5.2</v>
      </c>
      <c r="F146" s="82">
        <v>4.5999999999999996</v>
      </c>
      <c r="G146" s="82">
        <v>-5.3</v>
      </c>
      <c r="H146" s="82">
        <v>20.3</v>
      </c>
      <c r="I146" s="82">
        <v>-3.1</v>
      </c>
      <c r="J146" s="82">
        <v>-13.8</v>
      </c>
      <c r="K146" s="82">
        <v>6.4</v>
      </c>
      <c r="L146" s="32"/>
      <c r="M146" s="82">
        <v>-1.6</v>
      </c>
      <c r="N146" s="82">
        <v>-9.6999999999999993</v>
      </c>
      <c r="O146" s="82">
        <v>3.3</v>
      </c>
      <c r="P146" s="32">
        <v>-5.8</v>
      </c>
      <c r="Q146" s="82">
        <v>-1</v>
      </c>
      <c r="R146" s="82">
        <v>-0.5</v>
      </c>
      <c r="S146" s="82">
        <v>-4.2</v>
      </c>
      <c r="T146" s="32">
        <v>12.1</v>
      </c>
      <c r="U146" s="82">
        <v>-11.8</v>
      </c>
      <c r="V146" s="82">
        <v>-10.8</v>
      </c>
      <c r="W146" s="82">
        <v>-6.3</v>
      </c>
      <c r="X146" s="32"/>
      <c r="Y146" s="32">
        <f t="shared" ref="Y146:AF146" si="285">SUM(M146:P146)</f>
        <v>-13.799999999999999</v>
      </c>
      <c r="Z146" s="32">
        <f t="shared" si="285"/>
        <v>-13.2</v>
      </c>
      <c r="AA146" s="32">
        <f t="shared" si="285"/>
        <v>-4</v>
      </c>
      <c r="AB146" s="32">
        <f t="shared" si="285"/>
        <v>-11.5</v>
      </c>
      <c r="AC146" s="32">
        <f t="shared" si="285"/>
        <v>6.3999999999999995</v>
      </c>
      <c r="AD146" s="32">
        <f t="shared" si="285"/>
        <v>-4.4000000000000012</v>
      </c>
      <c r="AE146" s="32">
        <f t="shared" si="285"/>
        <v>-14.700000000000003</v>
      </c>
      <c r="AF146" s="135">
        <f t="shared" si="285"/>
        <v>-16.8</v>
      </c>
      <c r="AG146" s="11"/>
      <c r="AH146" s="45"/>
    </row>
    <row r="147" spans="2:34">
      <c r="B147" s="131" t="s">
        <v>95</v>
      </c>
      <c r="C147" s="82"/>
      <c r="D147" s="82"/>
      <c r="E147" s="82"/>
      <c r="F147" s="82">
        <v>0</v>
      </c>
      <c r="G147" s="82">
        <v>0</v>
      </c>
      <c r="H147" s="82">
        <v>0</v>
      </c>
      <c r="I147" s="82">
        <v>0</v>
      </c>
      <c r="J147" s="82">
        <v>0</v>
      </c>
      <c r="K147" s="82">
        <v>0</v>
      </c>
      <c r="L147" s="32"/>
      <c r="M147" s="82">
        <v>0</v>
      </c>
      <c r="N147" s="82">
        <v>0</v>
      </c>
      <c r="O147" s="82">
        <v>0</v>
      </c>
      <c r="P147" s="82">
        <v>0</v>
      </c>
      <c r="Q147" s="82">
        <v>0</v>
      </c>
      <c r="R147" s="82">
        <v>0</v>
      </c>
      <c r="S147" s="82">
        <v>0</v>
      </c>
      <c r="T147" s="82">
        <v>0</v>
      </c>
      <c r="U147" s="82">
        <v>0</v>
      </c>
      <c r="V147" s="82">
        <v>0</v>
      </c>
      <c r="W147" s="82">
        <v>0</v>
      </c>
      <c r="X147" s="32"/>
      <c r="Y147" s="32">
        <f t="shared" ref="Y147:AF147" si="286">P147</f>
        <v>0</v>
      </c>
      <c r="Z147" s="32">
        <f t="shared" si="286"/>
        <v>0</v>
      </c>
      <c r="AA147" s="32">
        <f t="shared" si="286"/>
        <v>0</v>
      </c>
      <c r="AB147" s="32">
        <f t="shared" si="286"/>
        <v>0</v>
      </c>
      <c r="AC147" s="32">
        <f t="shared" si="286"/>
        <v>0</v>
      </c>
      <c r="AD147" s="32">
        <f t="shared" si="286"/>
        <v>0</v>
      </c>
      <c r="AE147" s="32">
        <f t="shared" si="286"/>
        <v>0</v>
      </c>
      <c r="AF147" s="135">
        <f t="shared" si="286"/>
        <v>0</v>
      </c>
      <c r="AG147" s="11"/>
      <c r="AH147" s="45"/>
    </row>
    <row r="148" spans="2:34">
      <c r="B148" s="131" t="s">
        <v>59</v>
      </c>
      <c r="C148" s="32">
        <f t="shared" ref="C148" si="287">+C140+C131+C119</f>
        <v>441.00000000000023</v>
      </c>
      <c r="D148" s="32">
        <f t="shared" ref="D148:E148" si="288">+D140+D131+D119</f>
        <v>-619.7999999999995</v>
      </c>
      <c r="E148" s="32">
        <f t="shared" si="288"/>
        <v>856.89999999999918</v>
      </c>
      <c r="F148" s="32">
        <f t="shared" ref="F148:K148" si="289">+F140+F131+F119</f>
        <v>406.59999999999991</v>
      </c>
      <c r="G148" s="32">
        <f t="shared" si="289"/>
        <v>2522.3999999999983</v>
      </c>
      <c r="H148" s="32">
        <f t="shared" si="289"/>
        <v>882.10000000000036</v>
      </c>
      <c r="I148" s="32">
        <f t="shared" si="289"/>
        <v>319.600000000004</v>
      </c>
      <c r="J148" s="32">
        <f t="shared" si="289"/>
        <v>-249.80000000000291</v>
      </c>
      <c r="K148" s="32">
        <f t="shared" si="289"/>
        <v>5724.8000000000011</v>
      </c>
      <c r="L148" s="32"/>
      <c r="M148" s="32">
        <f t="shared" ref="M148:W148" si="290">+M140+M131+M119</f>
        <v>-619.00000000000045</v>
      </c>
      <c r="N148" s="32">
        <f t="shared" si="290"/>
        <v>-296.7000000000005</v>
      </c>
      <c r="O148" s="32">
        <f t="shared" si="290"/>
        <v>-1369.1000000000001</v>
      </c>
      <c r="P148" s="32">
        <f t="shared" si="290"/>
        <v>2034.9999999999991</v>
      </c>
      <c r="Q148" s="32">
        <f t="shared" si="290"/>
        <v>-1902.9</v>
      </c>
      <c r="R148" s="32">
        <f t="shared" si="290"/>
        <v>-286.69999999999948</v>
      </c>
      <c r="S148" s="32">
        <f t="shared" si="290"/>
        <v>169.90000000000009</v>
      </c>
      <c r="T148" s="32">
        <f t="shared" si="290"/>
        <v>7744.4999999999991</v>
      </c>
      <c r="U148" s="32">
        <f t="shared" si="290"/>
        <v>-3625.7000000000007</v>
      </c>
      <c r="V148" s="32">
        <f t="shared" si="290"/>
        <v>-1844.0999999999995</v>
      </c>
      <c r="W148" s="32">
        <f t="shared" si="290"/>
        <v>-3665.7000000000007</v>
      </c>
      <c r="X148" s="32"/>
      <c r="Y148" s="32">
        <f t="shared" ref="Y148:AF148" si="291">SUM(M148:P148)</f>
        <v>-249.800000000002</v>
      </c>
      <c r="Z148" s="32">
        <f t="shared" si="291"/>
        <v>-1533.7000000000016</v>
      </c>
      <c r="AA148" s="32">
        <f t="shared" si="291"/>
        <v>-1523.7000000000007</v>
      </c>
      <c r="AB148" s="32">
        <f t="shared" si="291"/>
        <v>15.299999999999613</v>
      </c>
      <c r="AC148" s="32">
        <f t="shared" si="291"/>
        <v>5724.7999999999993</v>
      </c>
      <c r="AD148" s="32">
        <f t="shared" si="291"/>
        <v>4001.9999999999991</v>
      </c>
      <c r="AE148" s="32">
        <f t="shared" si="291"/>
        <v>2444.5999999999995</v>
      </c>
      <c r="AF148" s="135">
        <f t="shared" si="291"/>
        <v>-1391.0000000000018</v>
      </c>
      <c r="AG148" s="11"/>
      <c r="AH148" s="45"/>
    </row>
    <row r="149" spans="2:34">
      <c r="B149" s="89" t="s">
        <v>69</v>
      </c>
      <c r="C149" s="147">
        <f t="shared" ref="C149:K149" si="292">SUM(C144:C148)</f>
        <v>2906.817</v>
      </c>
      <c r="D149" s="147">
        <f>SUM(D144:D148)</f>
        <v>2258.9170000000004</v>
      </c>
      <c r="E149" s="147">
        <f t="shared" si="292"/>
        <v>3121.0169999999994</v>
      </c>
      <c r="F149" s="147">
        <f t="shared" si="292"/>
        <v>3532.2169999999992</v>
      </c>
      <c r="G149" s="147">
        <f t="shared" si="292"/>
        <v>6049.3169999999973</v>
      </c>
      <c r="H149" s="147">
        <f t="shared" si="292"/>
        <v>6951.7169999999978</v>
      </c>
      <c r="I149" s="147">
        <f t="shared" si="292"/>
        <v>7268.2170000000015</v>
      </c>
      <c r="J149" s="147">
        <f t="shared" si="292"/>
        <v>7004.6169999999984</v>
      </c>
      <c r="K149" s="147">
        <f t="shared" si="292"/>
        <v>12735.816999999999</v>
      </c>
      <c r="L149" s="32"/>
      <c r="M149" s="147">
        <f t="shared" ref="M149:W149" si="293">SUM(M144:M148)</f>
        <v>6647.6170000000002</v>
      </c>
      <c r="N149" s="147">
        <f t="shared" si="293"/>
        <v>6341.2169999999996</v>
      </c>
      <c r="O149" s="147">
        <f t="shared" si="293"/>
        <v>4975.4169999999995</v>
      </c>
      <c r="P149" s="147">
        <f t="shared" si="293"/>
        <v>7004.6169999999984</v>
      </c>
      <c r="Q149" s="147">
        <f t="shared" si="293"/>
        <v>5100.7169999999987</v>
      </c>
      <c r="R149" s="147">
        <f t="shared" si="293"/>
        <v>4813.5169999999989</v>
      </c>
      <c r="S149" s="147">
        <f t="shared" si="293"/>
        <v>4979.2169999999987</v>
      </c>
      <c r="T149" s="147">
        <f t="shared" si="293"/>
        <v>12735.816999999999</v>
      </c>
      <c r="U149" s="147">
        <f t="shared" si="293"/>
        <v>9098.3169999999991</v>
      </c>
      <c r="V149" s="147">
        <f t="shared" si="293"/>
        <v>7243.4170000000004</v>
      </c>
      <c r="W149" s="147">
        <f t="shared" si="293"/>
        <v>3571.4169999999995</v>
      </c>
      <c r="X149" s="32"/>
      <c r="Y149" s="134">
        <f t="shared" ref="Y149:AF149" si="294">SUM(Y144:Y148)</f>
        <v>7004.6169999999993</v>
      </c>
      <c r="Z149" s="134">
        <f t="shared" si="294"/>
        <v>5100.7169999999987</v>
      </c>
      <c r="AA149" s="134">
        <f t="shared" si="294"/>
        <v>4813.5169999999989</v>
      </c>
      <c r="AB149" s="147">
        <f t="shared" si="294"/>
        <v>4979.2169999999987</v>
      </c>
      <c r="AC149" s="147">
        <f t="shared" si="294"/>
        <v>12735.816999999997</v>
      </c>
      <c r="AD149" s="147">
        <f t="shared" si="294"/>
        <v>9098.3169999999991</v>
      </c>
      <c r="AE149" s="147">
        <f t="shared" si="294"/>
        <v>7243.4169999999986</v>
      </c>
      <c r="AF149" s="148">
        <f t="shared" si="294"/>
        <v>3571.4169999999967</v>
      </c>
      <c r="AG149" s="11"/>
      <c r="AH149" s="45"/>
    </row>
    <row r="150" spans="2:34" ht="5.0999999999999996" customHeight="1">
      <c r="B150" s="90"/>
      <c r="C150" s="65"/>
      <c r="D150" s="65"/>
      <c r="E150" s="65"/>
      <c r="F150" s="65"/>
      <c r="G150" s="65"/>
      <c r="H150" s="65"/>
      <c r="I150" s="65"/>
      <c r="J150" s="65"/>
      <c r="K150" s="65"/>
      <c r="L150" s="32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Y150" s="11"/>
      <c r="Z150" s="11"/>
      <c r="AA150" s="11"/>
      <c r="AB150" s="11"/>
      <c r="AC150" s="11"/>
      <c r="AD150" s="11"/>
      <c r="AE150" s="11"/>
      <c r="AF150" s="91"/>
      <c r="AG150" s="11"/>
      <c r="AH150" s="45"/>
    </row>
    <row r="151" spans="2:34">
      <c r="B151" s="139" t="s">
        <v>88</v>
      </c>
      <c r="C151" s="87">
        <f>ROUND(C149-C46,-1)</f>
        <v>0</v>
      </c>
      <c r="D151" s="87">
        <f t="shared" ref="D151:W151" si="295">ROUND(D149-D46,-1)</f>
        <v>0</v>
      </c>
      <c r="E151" s="87">
        <f t="shared" si="295"/>
        <v>0</v>
      </c>
      <c r="F151" s="87">
        <f t="shared" si="295"/>
        <v>0</v>
      </c>
      <c r="G151" s="87">
        <f t="shared" si="295"/>
        <v>0</v>
      </c>
      <c r="H151" s="87">
        <f t="shared" si="295"/>
        <v>0</v>
      </c>
      <c r="I151" s="87">
        <f t="shared" si="295"/>
        <v>0</v>
      </c>
      <c r="J151" s="87">
        <f t="shared" si="295"/>
        <v>0</v>
      </c>
      <c r="K151" s="87">
        <f t="shared" si="295"/>
        <v>0</v>
      </c>
      <c r="L151" s="88"/>
      <c r="M151" s="87">
        <f t="shared" si="295"/>
        <v>0</v>
      </c>
      <c r="N151" s="87">
        <f t="shared" si="295"/>
        <v>0</v>
      </c>
      <c r="O151" s="87">
        <f t="shared" si="295"/>
        <v>0</v>
      </c>
      <c r="P151" s="87">
        <f t="shared" si="295"/>
        <v>0</v>
      </c>
      <c r="Q151" s="87">
        <f t="shared" si="295"/>
        <v>0</v>
      </c>
      <c r="R151" s="87">
        <f t="shared" si="295"/>
        <v>0</v>
      </c>
      <c r="S151" s="87">
        <f t="shared" si="295"/>
        <v>0</v>
      </c>
      <c r="T151" s="87">
        <f t="shared" si="295"/>
        <v>0</v>
      </c>
      <c r="U151" s="87">
        <f t="shared" si="295"/>
        <v>0</v>
      </c>
      <c r="V151" s="87">
        <f t="shared" si="295"/>
        <v>0</v>
      </c>
      <c r="W151" s="153">
        <f>ROUND(W149-W46,-1)</f>
        <v>-1560</v>
      </c>
      <c r="X151" s="87"/>
      <c r="Y151" s="87">
        <f>Y149-Y46</f>
        <v>-238.88300000000072</v>
      </c>
      <c r="Z151" s="87">
        <f>Z149-Z46</f>
        <v>5100.7169999999987</v>
      </c>
      <c r="AA151" s="87">
        <f>AA149-AA46</f>
        <v>-312.98300000000108</v>
      </c>
      <c r="AB151" s="87">
        <f>AB149-AB46</f>
        <v>-8.3000000001447916E-2</v>
      </c>
      <c r="AC151" s="87">
        <f>AC149-AC46</f>
        <v>-8.300000000235741E-2</v>
      </c>
      <c r="AD151" s="87">
        <f>AD149-AD46</f>
        <v>-8.3000000000538421E-2</v>
      </c>
      <c r="AE151" s="87">
        <f>AE149-AE46</f>
        <v>-8.3000000001447916E-2</v>
      </c>
      <c r="AF151" s="137">
        <f>AF149-AF46</f>
        <v>-1555.0830000000033</v>
      </c>
      <c r="AG151" s="11"/>
      <c r="AH151" s="45"/>
    </row>
    <row r="152" spans="2:34" ht="5.0999999999999996" customHeight="1">
      <c r="B152" s="8"/>
      <c r="C152" s="65"/>
      <c r="D152" s="65"/>
      <c r="E152" s="65"/>
      <c r="F152" s="65"/>
      <c r="G152" s="65"/>
      <c r="H152" s="65"/>
      <c r="I152" s="65"/>
      <c r="J152" s="65"/>
      <c r="K152" s="65"/>
      <c r="L152" s="32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Y152" s="11"/>
      <c r="Z152" s="11"/>
      <c r="AA152" s="11"/>
      <c r="AB152" s="11"/>
      <c r="AC152" s="11"/>
      <c r="AD152" s="11"/>
      <c r="AE152" s="11"/>
      <c r="AF152" s="11"/>
      <c r="AG152" s="11"/>
      <c r="AH152" s="45"/>
    </row>
    <row r="153" spans="2:34" ht="12.75" customHeight="1">
      <c r="B153" s="72" t="s">
        <v>60</v>
      </c>
      <c r="C153" s="62"/>
      <c r="D153" s="62"/>
      <c r="E153" s="62"/>
      <c r="F153" s="62"/>
      <c r="G153" s="62"/>
      <c r="H153" s="62"/>
      <c r="I153" s="62"/>
      <c r="J153" s="62"/>
      <c r="K153" s="62"/>
      <c r="L153" s="11"/>
      <c r="M153" s="62"/>
      <c r="N153" s="62"/>
      <c r="O153" s="62"/>
      <c r="P153" s="62"/>
      <c r="Q153" s="62"/>
      <c r="R153" s="62"/>
      <c r="S153" s="62"/>
      <c r="T153" s="62"/>
      <c r="U153" s="82"/>
      <c r="V153" s="62"/>
      <c r="W153" s="62"/>
      <c r="Y153" s="62"/>
      <c r="Z153" s="62"/>
      <c r="AA153" s="62"/>
      <c r="AB153" s="62"/>
      <c r="AC153" s="62"/>
      <c r="AD153" s="62"/>
      <c r="AE153" s="62"/>
      <c r="AF153" s="62"/>
      <c r="AG153" s="66"/>
      <c r="AH153" s="45"/>
    </row>
    <row r="154" spans="2:34" ht="12.75" customHeight="1">
      <c r="B154" s="8" t="s">
        <v>96</v>
      </c>
      <c r="C154" s="82">
        <v>-55.7</v>
      </c>
      <c r="D154" s="82">
        <v>-91.4</v>
      </c>
      <c r="E154" s="82">
        <v>-61</v>
      </c>
      <c r="F154" s="82">
        <v>-59.9</v>
      </c>
      <c r="G154" s="82">
        <v>-64.099999999999994</v>
      </c>
      <c r="H154" s="82">
        <v>-83</v>
      </c>
      <c r="I154" s="82">
        <v>-82.2</v>
      </c>
      <c r="J154" s="82">
        <v>-137.80000000000001</v>
      </c>
      <c r="K154" s="82">
        <v>-160</v>
      </c>
      <c r="L154" s="11"/>
      <c r="M154" s="82"/>
      <c r="N154" s="82"/>
      <c r="O154" s="82"/>
      <c r="P154" s="32">
        <f t="shared" ref="P154:P155" si="296">SUM(J154-SUM(M154:O154))</f>
        <v>-137.80000000000001</v>
      </c>
      <c r="Q154" s="82"/>
      <c r="R154" s="82"/>
      <c r="S154" s="82"/>
      <c r="T154" s="32">
        <f t="shared" ref="T154:T155" si="297">SUM(K154-SUM(Q154:S154))</f>
        <v>-160</v>
      </c>
      <c r="U154" s="82"/>
      <c r="V154" s="82"/>
      <c r="W154" s="82"/>
      <c r="Y154" s="32">
        <f t="shared" ref="Y154:AF155" si="298">SUM(M154:P154)</f>
        <v>-137.80000000000001</v>
      </c>
      <c r="Z154" s="32">
        <f t="shared" si="298"/>
        <v>-137.80000000000001</v>
      </c>
      <c r="AA154" s="32">
        <f t="shared" si="298"/>
        <v>-137.80000000000001</v>
      </c>
      <c r="AB154" s="32">
        <f t="shared" si="298"/>
        <v>-137.80000000000001</v>
      </c>
      <c r="AC154" s="32">
        <f t="shared" si="298"/>
        <v>-160</v>
      </c>
      <c r="AD154" s="32">
        <f t="shared" si="298"/>
        <v>-160</v>
      </c>
      <c r="AE154" s="32">
        <f t="shared" si="298"/>
        <v>-160</v>
      </c>
      <c r="AF154" s="32">
        <f t="shared" si="298"/>
        <v>-160</v>
      </c>
      <c r="AG154" s="66"/>
      <c r="AH154" s="45"/>
    </row>
    <row r="155" spans="2:34" ht="12.75" customHeight="1">
      <c r="B155" s="8" t="s">
        <v>113</v>
      </c>
      <c r="C155" s="82">
        <v>-115.9</v>
      </c>
      <c r="D155" s="82">
        <v>-475</v>
      </c>
      <c r="E155" s="82">
        <v>-554.4</v>
      </c>
      <c r="F155" s="82">
        <v>-678.7</v>
      </c>
      <c r="G155" s="82">
        <v>-650.20000000000005</v>
      </c>
      <c r="H155" s="82">
        <v>-1235</v>
      </c>
      <c r="I155" s="82">
        <v>-1734.6</v>
      </c>
      <c r="J155" s="82">
        <v>-2568.3000000000002</v>
      </c>
      <c r="K155" s="82">
        <v>-1098</v>
      </c>
      <c r="L155" s="32"/>
      <c r="M155" s="82"/>
      <c r="N155" s="82"/>
      <c r="O155" s="82"/>
      <c r="P155" s="32">
        <f t="shared" si="296"/>
        <v>-2568.3000000000002</v>
      </c>
      <c r="Q155" s="82"/>
      <c r="R155" s="82"/>
      <c r="S155" s="82"/>
      <c r="T155" s="32">
        <f t="shared" si="297"/>
        <v>-1098</v>
      </c>
      <c r="U155" s="82"/>
      <c r="V155" s="82"/>
      <c r="W155" s="82"/>
      <c r="X155" s="32"/>
      <c r="Y155" s="32">
        <f t="shared" si="298"/>
        <v>-2568.3000000000002</v>
      </c>
      <c r="Z155" s="32">
        <f t="shared" si="298"/>
        <v>-2568.3000000000002</v>
      </c>
      <c r="AA155" s="32">
        <f t="shared" si="298"/>
        <v>-2568.3000000000002</v>
      </c>
      <c r="AB155" s="32">
        <f t="shared" si="298"/>
        <v>-2568.3000000000002</v>
      </c>
      <c r="AC155" s="32">
        <f t="shared" si="298"/>
        <v>-1098</v>
      </c>
      <c r="AD155" s="32">
        <f t="shared" si="298"/>
        <v>-1098</v>
      </c>
      <c r="AE155" s="32">
        <f t="shared" si="298"/>
        <v>-1098</v>
      </c>
      <c r="AF155" s="32">
        <f t="shared" si="298"/>
        <v>-1098</v>
      </c>
      <c r="AG155" s="11"/>
      <c r="AH155" s="45"/>
    </row>
    <row r="156" spans="2:34" ht="5.0999999999999996" customHeight="1" thickBot="1">
      <c r="B156" s="73"/>
      <c r="C156" s="74"/>
      <c r="D156" s="74"/>
      <c r="E156" s="74"/>
      <c r="F156" s="74"/>
      <c r="G156" s="74"/>
      <c r="H156" s="74"/>
      <c r="I156" s="74"/>
      <c r="J156" s="74"/>
      <c r="K156" s="74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H156" s="45"/>
    </row>
    <row r="157" spans="2:34" ht="12.75" customHeight="1">
      <c r="B157" s="53"/>
      <c r="C157" s="67"/>
      <c r="D157" s="67"/>
      <c r="E157" s="67"/>
      <c r="F157" s="67"/>
      <c r="G157" s="67"/>
      <c r="H157" s="67"/>
      <c r="I157" s="67"/>
      <c r="J157" s="67"/>
      <c r="K157" s="67"/>
    </row>
    <row r="158" spans="2:34" ht="12.75" customHeight="1">
      <c r="C158" s="56"/>
      <c r="D158" s="56"/>
      <c r="E158" s="56"/>
      <c r="F158" s="56"/>
      <c r="G158" s="56"/>
      <c r="H158" s="56"/>
      <c r="I158" s="56"/>
      <c r="J158" s="56"/>
      <c r="K158" s="56"/>
    </row>
    <row r="159" spans="2:34" ht="12.75" customHeight="1"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</row>
    <row r="160" spans="2:34" ht="12.75" customHeight="1"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</row>
    <row r="161" spans="3:18" ht="12.75" customHeight="1"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</row>
    <row r="162" spans="3:18" ht="12.75" customHeight="1"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</row>
    <row r="163" spans="3:18" ht="12.75" customHeight="1"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86"/>
    </row>
    <row r="164" spans="3:18" ht="12.75" customHeight="1"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</row>
    <row r="165" spans="3:18" ht="12.75" customHeight="1"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86"/>
    </row>
    <row r="166" spans="3:18">
      <c r="I166" s="56"/>
      <c r="J166" s="56"/>
      <c r="K166" s="56"/>
      <c r="L166" s="56"/>
      <c r="M166" s="56"/>
      <c r="N166" s="56"/>
      <c r="O166" s="56"/>
      <c r="P166" s="56"/>
      <c r="Q166" s="56"/>
      <c r="R166" s="86"/>
    </row>
    <row r="167" spans="3:18">
      <c r="I167" s="56"/>
      <c r="J167" s="56"/>
      <c r="K167" s="56"/>
      <c r="L167" s="56"/>
      <c r="M167" s="56"/>
      <c r="N167" s="56"/>
      <c r="O167" s="56"/>
      <c r="P167" s="56"/>
      <c r="Q167" s="56"/>
      <c r="R167" s="86"/>
    </row>
    <row r="168" spans="3:18">
      <c r="I168" s="56"/>
      <c r="J168" s="56"/>
      <c r="K168" s="56"/>
      <c r="L168" s="56"/>
      <c r="M168" s="56"/>
      <c r="N168" s="56"/>
      <c r="O168" s="56"/>
      <c r="P168" s="56"/>
      <c r="Q168" s="56"/>
    </row>
    <row r="169" spans="3:18">
      <c r="I169" s="56"/>
      <c r="J169" s="56"/>
      <c r="K169" s="56"/>
      <c r="L169" s="56"/>
      <c r="M169" s="56"/>
      <c r="N169" s="56"/>
      <c r="O169" s="56"/>
      <c r="P169" s="56"/>
      <c r="Q169" s="56"/>
      <c r="R169" s="86"/>
    </row>
    <row r="170" spans="3:18">
      <c r="I170" s="56"/>
      <c r="J170" s="56"/>
      <c r="K170" s="56"/>
      <c r="L170" s="56"/>
      <c r="M170" s="56"/>
      <c r="N170" s="56"/>
      <c r="O170" s="56"/>
      <c r="P170" s="56"/>
      <c r="Q170" s="56"/>
      <c r="R170" s="86"/>
    </row>
    <row r="171" spans="3:18">
      <c r="I171" s="56"/>
      <c r="J171" s="56"/>
      <c r="K171" s="56"/>
      <c r="L171" s="56"/>
      <c r="M171" s="56"/>
      <c r="N171" s="56"/>
      <c r="O171" s="56"/>
      <c r="P171" s="56"/>
      <c r="Q171" s="56"/>
    </row>
    <row r="172" spans="3:18">
      <c r="I172" s="56"/>
      <c r="J172" s="56"/>
      <c r="K172" s="56"/>
      <c r="L172" s="56"/>
      <c r="M172" s="56"/>
      <c r="N172" s="56"/>
      <c r="O172" s="56"/>
      <c r="P172" s="56"/>
      <c r="Q172" s="56"/>
    </row>
  </sheetData>
  <mergeCells count="3">
    <mergeCell ref="AH6:AH8"/>
    <mergeCell ref="AH41:AH43"/>
    <mergeCell ref="AH94:AH96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L54 Y22:AA22 Y24:AA25 Y21:AA21 AD21:AF21 AB17:AF20 AB21:AC21 AB24:AC25 AB22:AC22 AE29 AE15:AE16 AB10:AG14 AG17:AG20 AB15:AD16 AF15:AG16 AB30:AG36 AB29:AD29 AF29:AG29 AB23:AG23 AD22:AG22 AB26:AG28 AD24:AG25 AG21" formulaRange="1"/>
    <ignoredError sqref="H15:K16 H21:K22 H34:K34 M15:W16 M21:W22 M34:W34 M24:W25 H24:K25 AF131:AH133 AF120:AH120 AG130 M29:W29 H29:K29 AF121:AG121 AG134:AH134 AG119:AH119" evalError="1"/>
    <ignoredError sqref="Y147:AF147 Y146:AF14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G31"/>
  <sheetViews>
    <sheetView showGridLines="0" zoomScale="115" zoomScaleNormal="115" workbookViewId="0">
      <selection activeCell="S30" sqref="S30"/>
    </sheetView>
  </sheetViews>
  <sheetFormatPr defaultRowHeight="12" outlineLevelCol="1"/>
  <cols>
    <col min="1" max="1" width="1.5" style="8" customWidth="1"/>
    <col min="2" max="2" width="46.5" style="8" bestFit="1" customWidth="1"/>
    <col min="3" max="8" width="8.625" style="8" customWidth="1" outlineLevel="1"/>
    <col min="9" max="11" width="8.625" style="8" bestFit="1" customWidth="1"/>
    <col min="12" max="12" width="1.5" style="8" customWidth="1"/>
    <col min="13" max="15" width="8" style="8" customWidth="1" outlineLevel="1"/>
    <col min="16" max="16" width="8.75" style="8" customWidth="1" outlineLevel="1"/>
    <col min="17" max="17" width="8.5" style="8" customWidth="1"/>
    <col min="18" max="18" width="8.25" style="8" bestFit="1" customWidth="1"/>
    <col min="19" max="19" width="8.5" style="8" bestFit="1" customWidth="1"/>
    <col min="20" max="23" width="9.125" style="8" bestFit="1" customWidth="1"/>
    <col min="24" max="24" width="1.5" style="8" customWidth="1"/>
    <col min="25" max="26" width="8.75" style="8" hidden="1" customWidth="1" outlineLevel="1"/>
    <col min="27" max="27" width="8.75" style="8" bestFit="1" customWidth="1" collapsed="1"/>
    <col min="28" max="30" width="8.75" style="8" hidden="1" customWidth="1" outlineLevel="1"/>
    <col min="31" max="31" width="8.75" style="8" bestFit="1" customWidth="1" collapsed="1"/>
    <col min="32" max="32" width="1.5" style="8" customWidth="1"/>
    <col min="33" max="33" width="9.875" style="8" bestFit="1" customWidth="1"/>
    <col min="34" max="16384" width="9" style="8"/>
  </cols>
  <sheetData>
    <row r="2" spans="1:33" s="5" customFormat="1" ht="12.75" customHeight="1">
      <c r="B2" s="1" t="str">
        <f>'Historical Financials'!B2</f>
        <v>ASML Holding NV. (NASDAQ: ASML)</v>
      </c>
      <c r="C2" s="2"/>
      <c r="D2" s="2"/>
      <c r="E2" s="2"/>
      <c r="F2" s="2"/>
      <c r="G2" s="2"/>
      <c r="H2" s="2"/>
      <c r="I2" s="2" t="s">
        <v>0</v>
      </c>
      <c r="J2" s="2"/>
      <c r="K2" s="2"/>
      <c r="L2" s="3"/>
      <c r="M2" s="2"/>
      <c r="N2" s="2"/>
      <c r="O2" s="2"/>
      <c r="P2" s="2"/>
      <c r="Q2" s="2" t="s">
        <v>1</v>
      </c>
      <c r="R2" s="2" t="s">
        <v>1</v>
      </c>
      <c r="S2" s="2"/>
      <c r="T2" s="2"/>
      <c r="U2" s="2"/>
      <c r="V2" s="2"/>
      <c r="W2" s="2"/>
      <c r="X2" s="3"/>
      <c r="Y2" s="2" t="s">
        <v>10</v>
      </c>
      <c r="Z2" s="2"/>
      <c r="AA2" s="2" t="s">
        <v>10</v>
      </c>
      <c r="AB2" s="2"/>
      <c r="AC2" s="2"/>
      <c r="AD2" s="2"/>
      <c r="AE2" s="2"/>
      <c r="AF2" s="3"/>
      <c r="AG2" s="154" t="s">
        <v>22</v>
      </c>
    </row>
    <row r="3" spans="1:33" s="5" customFormat="1" ht="12.75" customHeight="1">
      <c r="B3" s="6" t="s">
        <v>64</v>
      </c>
      <c r="C3" s="7">
        <f>'Historical Financials'!C7</f>
        <v>2016</v>
      </c>
      <c r="D3" s="7">
        <f>'Historical Financials'!D7</f>
        <v>2017</v>
      </c>
      <c r="E3" s="7">
        <f>'Historical Financials'!E7</f>
        <v>2018</v>
      </c>
      <c r="F3" s="7">
        <f>'Historical Financials'!F7</f>
        <v>2019</v>
      </c>
      <c r="G3" s="7">
        <f>'Historical Financials'!G7</f>
        <v>2020</v>
      </c>
      <c r="H3" s="7">
        <f>'Historical Financials'!H7</f>
        <v>2021</v>
      </c>
      <c r="I3" s="7">
        <f>'Historical Financials'!I7</f>
        <v>2022</v>
      </c>
      <c r="J3" s="7">
        <f>'Historical Financials'!J7</f>
        <v>2023</v>
      </c>
      <c r="K3" s="7">
        <f>'Historical Financials'!K7</f>
        <v>2024</v>
      </c>
      <c r="L3" s="3"/>
      <c r="M3" s="7" t="str">
        <f>'Historical Financials'!M7</f>
        <v>1Q23</v>
      </c>
      <c r="N3" s="7" t="str">
        <f>'Historical Financials'!N7</f>
        <v>2Q23</v>
      </c>
      <c r="O3" s="7" t="str">
        <f>'Historical Financials'!O7</f>
        <v>3Q23</v>
      </c>
      <c r="P3" s="7" t="str">
        <f>'Historical Financials'!P7</f>
        <v>4Q23</v>
      </c>
      <c r="Q3" s="7" t="str">
        <f>'Historical Financials'!Q7</f>
        <v>1Q24</v>
      </c>
      <c r="R3" s="7" t="str">
        <f>'Historical Financials'!R7</f>
        <v>2Q24</v>
      </c>
      <c r="S3" s="7" t="str">
        <f>'Historical Financials'!S7</f>
        <v>3Q24</v>
      </c>
      <c r="T3" s="7" t="str">
        <f>'Historical Financials'!T7</f>
        <v>4Q24</v>
      </c>
      <c r="U3" s="7" t="str">
        <f>'Historical Financials'!U7</f>
        <v>1Q25</v>
      </c>
      <c r="V3" s="7" t="str">
        <f>'Historical Financials'!V7</f>
        <v>2Q25</v>
      </c>
      <c r="W3" s="7" t="str">
        <f>'Historical Financials'!W7</f>
        <v>3Q25</v>
      </c>
      <c r="X3" s="4"/>
      <c r="Y3" s="4" t="str">
        <f t="shared" ref="Y3:AE4" si="0">Q3</f>
        <v>1Q24</v>
      </c>
      <c r="Z3" s="4" t="str">
        <f t="shared" si="0"/>
        <v>2Q24</v>
      </c>
      <c r="AA3" s="4" t="str">
        <f t="shared" si="0"/>
        <v>3Q24</v>
      </c>
      <c r="AB3" s="4" t="str">
        <f t="shared" si="0"/>
        <v>4Q24</v>
      </c>
      <c r="AC3" s="4" t="str">
        <f t="shared" si="0"/>
        <v>1Q25</v>
      </c>
      <c r="AD3" s="4" t="str">
        <f t="shared" si="0"/>
        <v>2Q25</v>
      </c>
      <c r="AE3" s="4" t="str">
        <f t="shared" si="0"/>
        <v>3Q25</v>
      </c>
      <c r="AF3" s="3"/>
      <c r="AG3" s="154"/>
    </row>
    <row r="4" spans="1:33" s="5" customFormat="1" ht="12.75" customHeight="1">
      <c r="B4" s="6" t="s">
        <v>98</v>
      </c>
      <c r="C4" s="3" t="str">
        <f>'Historical Financials'!C8</f>
        <v>12/31/2016</v>
      </c>
      <c r="D4" s="3" t="str">
        <f>'Historical Financials'!D8</f>
        <v>12/31/2017</v>
      </c>
      <c r="E4" s="3" t="str">
        <f>'Historical Financials'!E8</f>
        <v>12/31/2018</v>
      </c>
      <c r="F4" s="3" t="str">
        <f>'Historical Financials'!F8</f>
        <v>12/31/2019</v>
      </c>
      <c r="G4" s="3" t="str">
        <f>'Historical Financials'!G8</f>
        <v>12/31/2020</v>
      </c>
      <c r="H4" s="3" t="str">
        <f>'Historical Financials'!H8</f>
        <v>12/31/2021</v>
      </c>
      <c r="I4" s="3" t="str">
        <f>'Historical Financials'!I8</f>
        <v>12/31/2022</v>
      </c>
      <c r="J4" s="3">
        <f>'Historical Financials'!J8</f>
        <v>45291</v>
      </c>
      <c r="K4" s="3">
        <f>'Historical Financials'!K8</f>
        <v>45657</v>
      </c>
      <c r="L4" s="3"/>
      <c r="M4" s="3">
        <f>'Historical Financials'!M8</f>
        <v>45018</v>
      </c>
      <c r="N4" s="3">
        <f>'Historical Financials'!N8</f>
        <v>45109</v>
      </c>
      <c r="O4" s="3">
        <f>'Historical Financials'!O8</f>
        <v>45200</v>
      </c>
      <c r="P4" s="3">
        <f>'Historical Financials'!P8</f>
        <v>45291</v>
      </c>
      <c r="Q4" s="3">
        <f>'Historical Financials'!Q8</f>
        <v>45382</v>
      </c>
      <c r="R4" s="3">
        <f>'Historical Financials'!R8</f>
        <v>45473</v>
      </c>
      <c r="S4" s="3">
        <f>'Historical Financials'!S8</f>
        <v>45564</v>
      </c>
      <c r="T4" s="3">
        <f>'Historical Financials'!T8</f>
        <v>45655</v>
      </c>
      <c r="U4" s="3">
        <f>'Historical Financials'!U8</f>
        <v>45746</v>
      </c>
      <c r="V4" s="3">
        <f>'Historical Financials'!V8</f>
        <v>45837</v>
      </c>
      <c r="W4" s="3">
        <f>'Historical Financials'!W8</f>
        <v>45928</v>
      </c>
      <c r="X4" s="3"/>
      <c r="Y4" s="3">
        <f t="shared" si="0"/>
        <v>45382</v>
      </c>
      <c r="Z4" s="3">
        <f t="shared" si="0"/>
        <v>45473</v>
      </c>
      <c r="AA4" s="3">
        <f t="shared" si="0"/>
        <v>45564</v>
      </c>
      <c r="AB4" s="3">
        <f t="shared" si="0"/>
        <v>45655</v>
      </c>
      <c r="AC4" s="3">
        <f t="shared" si="0"/>
        <v>45746</v>
      </c>
      <c r="AD4" s="3">
        <f t="shared" si="0"/>
        <v>45837</v>
      </c>
      <c r="AE4" s="3">
        <f t="shared" si="0"/>
        <v>45928</v>
      </c>
      <c r="AF4" s="3"/>
      <c r="AG4" s="154"/>
    </row>
    <row r="5" spans="1:33" ht="5.0999999999999996" customHeight="1"/>
    <row r="6" spans="1:33">
      <c r="A6" s="36" t="s">
        <v>16</v>
      </c>
      <c r="B6" s="1" t="s">
        <v>84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5.0999999999999996" customHeight="1"/>
    <row r="8" spans="1:33" ht="12.75" customHeight="1">
      <c r="A8" s="80"/>
      <c r="B8" s="78" t="s">
        <v>83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5"/>
      <c r="Y8" s="11"/>
      <c r="Z8" s="11"/>
      <c r="AA8" s="11"/>
      <c r="AB8" s="11"/>
      <c r="AC8" s="11"/>
      <c r="AD8" s="11"/>
      <c r="AG8" s="12"/>
    </row>
    <row r="9" spans="1:33" ht="12.75" customHeight="1">
      <c r="B9" s="9" t="s">
        <v>204</v>
      </c>
      <c r="C9" s="81">
        <v>4718.8999999999996</v>
      </c>
      <c r="D9" s="81">
        <v>6424.4</v>
      </c>
      <c r="E9" s="81">
        <v>8259.1</v>
      </c>
      <c r="F9" s="81">
        <v>8996.2000000000007</v>
      </c>
      <c r="G9" s="81">
        <v>10316.6</v>
      </c>
      <c r="H9" s="81">
        <v>13652.8</v>
      </c>
      <c r="I9" s="81">
        <v>15430.3</v>
      </c>
      <c r="J9" s="81">
        <v>21938.6</v>
      </c>
      <c r="K9" s="81">
        <v>21768.7</v>
      </c>
      <c r="L9" s="81"/>
      <c r="M9" s="81"/>
      <c r="N9" s="81">
        <v>5606.1</v>
      </c>
      <c r="O9" s="81">
        <v>5308.2</v>
      </c>
      <c r="P9" s="125">
        <v>5682.5</v>
      </c>
      <c r="Q9" s="81">
        <v>3965.9</v>
      </c>
      <c r="R9" s="81">
        <v>4760.8999999999996</v>
      </c>
      <c r="S9" s="81">
        <v>5926</v>
      </c>
      <c r="T9" s="125">
        <v>7115.9</v>
      </c>
      <c r="U9" s="81">
        <v>5740.4</v>
      </c>
      <c r="V9" s="81">
        <v>5596.1</v>
      </c>
      <c r="W9" s="81">
        <v>5553.8</v>
      </c>
      <c r="X9" s="11"/>
      <c r="Y9" s="125">
        <f t="shared" ref="Y9:AE10" si="1">SUM(N9:Q9)</f>
        <v>20562.7</v>
      </c>
      <c r="Z9" s="125">
        <f t="shared" si="1"/>
        <v>19717.5</v>
      </c>
      <c r="AA9" s="125">
        <f t="shared" si="1"/>
        <v>20335.3</v>
      </c>
      <c r="AB9" s="125">
        <f t="shared" si="1"/>
        <v>21768.699999999997</v>
      </c>
      <c r="AC9" s="125">
        <f t="shared" si="1"/>
        <v>23543.199999999997</v>
      </c>
      <c r="AD9" s="125">
        <f t="shared" si="1"/>
        <v>24378.400000000001</v>
      </c>
      <c r="AE9" s="125">
        <f t="shared" si="1"/>
        <v>24006.2</v>
      </c>
      <c r="AG9" s="12">
        <f t="shared" ref="AG9:AG11" si="2">SUM(AE9/AA9)-1</f>
        <v>0.18051860557749344</v>
      </c>
    </row>
    <row r="10" spans="1:33" ht="12.75" customHeight="1">
      <c r="B10" s="9" t="s">
        <v>205</v>
      </c>
      <c r="C10" s="81">
        <v>2156.1999999999998</v>
      </c>
      <c r="D10" s="81">
        <v>2538.3000000000002</v>
      </c>
      <c r="E10" s="81">
        <v>2684.9</v>
      </c>
      <c r="F10" s="81">
        <v>2823.8</v>
      </c>
      <c r="G10" s="81">
        <v>3661.9</v>
      </c>
      <c r="H10" s="81">
        <v>4958.2</v>
      </c>
      <c r="I10" s="81">
        <v>5743.1</v>
      </c>
      <c r="J10" s="81">
        <v>5619.9</v>
      </c>
      <c r="K10" s="81">
        <v>6494.2</v>
      </c>
      <c r="L10" s="81"/>
      <c r="M10" s="81"/>
      <c r="N10" s="81">
        <v>1296.2</v>
      </c>
      <c r="O10" s="81">
        <v>1364.8</v>
      </c>
      <c r="P10" s="125">
        <v>1554.5</v>
      </c>
      <c r="Q10" s="81">
        <v>1324.1</v>
      </c>
      <c r="R10" s="81">
        <v>1481.9</v>
      </c>
      <c r="S10" s="81">
        <v>1541.3</v>
      </c>
      <c r="T10" s="125">
        <v>2146.9</v>
      </c>
      <c r="U10" s="81">
        <v>2001.1</v>
      </c>
      <c r="V10" s="81">
        <v>2095.6</v>
      </c>
      <c r="W10" s="81">
        <v>1962.2</v>
      </c>
      <c r="X10" s="11"/>
      <c r="Y10" s="125">
        <f t="shared" si="1"/>
        <v>5539.6</v>
      </c>
      <c r="Z10" s="125">
        <f t="shared" si="1"/>
        <v>5725.2999999999993</v>
      </c>
      <c r="AA10" s="125">
        <f t="shared" si="1"/>
        <v>5901.8</v>
      </c>
      <c r="AB10" s="125">
        <f t="shared" si="1"/>
        <v>6494.2000000000007</v>
      </c>
      <c r="AC10" s="125">
        <f t="shared" si="1"/>
        <v>7171.2000000000007</v>
      </c>
      <c r="AD10" s="125">
        <f t="shared" si="1"/>
        <v>7784.9</v>
      </c>
      <c r="AE10" s="125">
        <f t="shared" si="1"/>
        <v>8205.8000000000011</v>
      </c>
      <c r="AG10" s="12">
        <f t="shared" si="2"/>
        <v>0.39038937273374241</v>
      </c>
    </row>
    <row r="11" spans="1:33" ht="12.75" customHeight="1">
      <c r="B11" s="13" t="s">
        <v>65</v>
      </c>
      <c r="C11" s="34">
        <f>SUM(C9:C10)</f>
        <v>6875.0999999999995</v>
      </c>
      <c r="D11" s="34">
        <f>SUM(D9:D10)</f>
        <v>8962.7000000000007</v>
      </c>
      <c r="E11" s="34">
        <f>SUM(E9:E10)</f>
        <v>10944</v>
      </c>
      <c r="F11" s="34">
        <f>SUM(F9:F10)</f>
        <v>11820</v>
      </c>
      <c r="G11" s="34">
        <f>SUM(G9:G10)</f>
        <v>13978.5</v>
      </c>
      <c r="H11" s="34">
        <f>SUM(H9:H10)</f>
        <v>18611</v>
      </c>
      <c r="I11" s="34">
        <f>SUM(I9:I10)</f>
        <v>21173.4</v>
      </c>
      <c r="J11" s="34">
        <f>SUM(J9:J10)</f>
        <v>27558.5</v>
      </c>
      <c r="K11" s="34">
        <f>SUM(K9:K10)</f>
        <v>28262.9</v>
      </c>
      <c r="L11" s="11"/>
      <c r="M11" s="34">
        <f>SUM(M9:M10)</f>
        <v>0</v>
      </c>
      <c r="N11" s="34">
        <f>SUM(N9:N10)</f>
        <v>6902.3</v>
      </c>
      <c r="O11" s="34">
        <f>SUM(O9:O10)</f>
        <v>6673</v>
      </c>
      <c r="P11" s="34">
        <f>SUM(P9:P10)</f>
        <v>7237</v>
      </c>
      <c r="Q11" s="34">
        <f>SUM(Q9:Q10)</f>
        <v>5290</v>
      </c>
      <c r="R11" s="34">
        <f>SUM(R9:R10)</f>
        <v>6242.7999999999993</v>
      </c>
      <c r="S11" s="34">
        <f>SUM(S9:S10)</f>
        <v>7467.3</v>
      </c>
      <c r="T11" s="34">
        <f>SUM(T9:T10)</f>
        <v>9262.7999999999993</v>
      </c>
      <c r="U11" s="34">
        <f>SUM(U9:U10)</f>
        <v>7741.5</v>
      </c>
      <c r="V11" s="34">
        <f>SUM(V9:V10)</f>
        <v>7691.7000000000007</v>
      </c>
      <c r="W11" s="34">
        <f>SUM(W9:W10)</f>
        <v>7516</v>
      </c>
      <c r="X11" s="5"/>
      <c r="Y11" s="34">
        <f>SUM(Y9:Y10)</f>
        <v>26102.300000000003</v>
      </c>
      <c r="Z11" s="34">
        <f>SUM(Z9:Z10)</f>
        <v>25442.799999999999</v>
      </c>
      <c r="AA11" s="34">
        <f>SUM(AA9:AA10)</f>
        <v>26237.1</v>
      </c>
      <c r="AB11" s="34">
        <f>SUM(AB9:AB10)</f>
        <v>28262.899999999998</v>
      </c>
      <c r="AC11" s="34">
        <f>SUM(AC9:AC10)</f>
        <v>30714.399999999998</v>
      </c>
      <c r="AD11" s="34">
        <f>SUM(AD9:AD10)</f>
        <v>32163.300000000003</v>
      </c>
      <c r="AE11" s="34">
        <f>SUM(AE9:AE10)</f>
        <v>32212</v>
      </c>
      <c r="AG11" s="15">
        <f t="shared" si="2"/>
        <v>0.22772714972310215</v>
      </c>
    </row>
    <row r="12" spans="1:33">
      <c r="B12" s="132" t="s">
        <v>85</v>
      </c>
      <c r="C12" s="79">
        <f>+C11-'Historical Financials'!C11</f>
        <v>0</v>
      </c>
      <c r="D12" s="79">
        <f>+D11-'Historical Financials'!D11</f>
        <v>0</v>
      </c>
      <c r="E12" s="79">
        <f>+E11-'Historical Financials'!E11</f>
        <v>0</v>
      </c>
      <c r="F12" s="79">
        <f>+F11-'Historical Financials'!F11</f>
        <v>0</v>
      </c>
      <c r="G12" s="79">
        <f>+G11-'Historical Financials'!G11</f>
        <v>0</v>
      </c>
      <c r="H12" s="79">
        <f>+H11-'Historical Financials'!H11</f>
        <v>0</v>
      </c>
      <c r="I12" s="79">
        <f>+I11-'Historical Financials'!I11</f>
        <v>0</v>
      </c>
      <c r="J12" s="79">
        <f>+J11-'Historical Financials'!J11</f>
        <v>0</v>
      </c>
      <c r="K12" s="79">
        <f>+K11-'Historical Financials'!K11</f>
        <v>0</v>
      </c>
      <c r="L12" s="11"/>
      <c r="M12" s="79">
        <f>M11-'Historical Financials'!M11</f>
        <v>-6746.2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/>
      <c r="Y12" s="79">
        <f>+Y11-'Historical Financials'!Z11</f>
        <v>0</v>
      </c>
      <c r="Z12" s="79">
        <f>+Z11-'Historical Financials'!AA11</f>
        <v>0</v>
      </c>
      <c r="AA12" s="79">
        <f>+AA11-'Historical Financials'!AB11</f>
        <v>0</v>
      </c>
      <c r="AB12" s="79">
        <f>+AB11-'Historical Financials'!AC11</f>
        <v>0</v>
      </c>
      <c r="AC12" s="79">
        <f>+AC11-'Historical Financials'!AD11</f>
        <v>0</v>
      </c>
      <c r="AD12" s="79">
        <f>+AD11-'Historical Financials'!AE11</f>
        <v>0</v>
      </c>
      <c r="AE12" s="79">
        <f>AE11-'Historical Financials'!AF11</f>
        <v>0</v>
      </c>
    </row>
    <row r="13" spans="1:33" ht="5.0999999999999996" customHeight="1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20"/>
      <c r="M13" s="21"/>
      <c r="N13" s="21"/>
      <c r="O13" s="21"/>
      <c r="P13" s="22"/>
      <c r="Q13" s="21"/>
      <c r="R13" s="21"/>
      <c r="S13" s="21"/>
      <c r="T13" s="21"/>
      <c r="U13" s="21"/>
      <c r="V13" s="21"/>
      <c r="W13" s="21"/>
      <c r="X13" s="20"/>
      <c r="Y13" s="20"/>
      <c r="Z13" s="20"/>
      <c r="AA13" s="20"/>
      <c r="AB13" s="20"/>
      <c r="AC13" s="20"/>
      <c r="AD13" s="20"/>
      <c r="AE13" s="20"/>
    </row>
    <row r="14" spans="1:33">
      <c r="A14" s="36" t="s">
        <v>16</v>
      </c>
      <c r="B14" s="1" t="s">
        <v>210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5.0999999999999996" customHeight="1"/>
    <row r="16" spans="1:33" ht="12.75" customHeight="1">
      <c r="A16" s="80"/>
      <c r="B16" s="78" t="s">
        <v>211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5"/>
      <c r="Y16" s="11"/>
      <c r="Z16" s="11"/>
      <c r="AA16" s="11"/>
      <c r="AB16" s="11"/>
      <c r="AC16" s="11"/>
      <c r="AD16" s="11"/>
      <c r="AG16" s="12"/>
    </row>
    <row r="17" spans="1:33" ht="12.75" customHeight="1">
      <c r="B17" s="9" t="s">
        <v>212</v>
      </c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>
        <v>38866</v>
      </c>
      <c r="O17" s="81">
        <v>39850</v>
      </c>
      <c r="P17" s="125">
        <v>40310</v>
      </c>
      <c r="Q17" s="81">
        <v>40940</v>
      </c>
      <c r="R17" s="81">
        <v>41505</v>
      </c>
      <c r="S17" s="81">
        <v>42372</v>
      </c>
      <c r="T17" s="125">
        <v>42786</v>
      </c>
      <c r="U17" s="81">
        <v>43129</v>
      </c>
      <c r="V17" s="81">
        <v>43193</v>
      </c>
      <c r="W17" s="81">
        <v>43461</v>
      </c>
      <c r="X17" s="11"/>
      <c r="Y17" s="125">
        <f t="shared" ref="Y17:Y18" si="3">SUM(N17:Q17)</f>
        <v>159966</v>
      </c>
      <c r="Z17" s="125">
        <f t="shared" ref="Z17:Z18" si="4">SUM(O17:R17)</f>
        <v>162605</v>
      </c>
      <c r="AA17" s="125">
        <f t="shared" ref="AA17:AA18" si="5">SUM(P17:S17)</f>
        <v>165127</v>
      </c>
      <c r="AB17" s="125">
        <f t="shared" ref="AB17:AB18" si="6">SUM(Q17:T17)</f>
        <v>167603</v>
      </c>
      <c r="AC17" s="125">
        <f t="shared" ref="AC17:AC18" si="7">SUM(R17:U17)</f>
        <v>169792</v>
      </c>
      <c r="AD17" s="125">
        <f t="shared" ref="AD17:AD18" si="8">SUM(S17:V17)</f>
        <v>171480</v>
      </c>
      <c r="AE17" s="125">
        <f t="shared" ref="AE17:AE18" si="9">SUM(T17:W17)</f>
        <v>172569</v>
      </c>
      <c r="AG17" s="12">
        <f t="shared" ref="AG17:AG19" si="10">SUM(AE17/AA17)-1</f>
        <v>4.5068341337273665E-2</v>
      </c>
    </row>
    <row r="18" spans="1:33" ht="12.75" customHeight="1">
      <c r="B18" s="9" t="s">
        <v>213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>
        <v>2676</v>
      </c>
      <c r="O18" s="81">
        <v>2416</v>
      </c>
      <c r="P18" s="125">
        <v>2107</v>
      </c>
      <c r="Q18" s="81">
        <v>1773</v>
      </c>
      <c r="R18" s="81">
        <v>1584</v>
      </c>
      <c r="S18" s="81">
        <v>1417</v>
      </c>
      <c r="T18" s="125">
        <v>1241</v>
      </c>
      <c r="U18" s="81">
        <v>998</v>
      </c>
      <c r="V18" s="81">
        <v>870</v>
      </c>
      <c r="W18" s="81">
        <v>789</v>
      </c>
      <c r="X18" s="11"/>
      <c r="Y18" s="125">
        <f t="shared" si="3"/>
        <v>8972</v>
      </c>
      <c r="Z18" s="125">
        <f t="shared" si="4"/>
        <v>7880</v>
      </c>
      <c r="AA18" s="125">
        <f t="shared" si="5"/>
        <v>6881</v>
      </c>
      <c r="AB18" s="125">
        <f t="shared" si="6"/>
        <v>6015</v>
      </c>
      <c r="AC18" s="125">
        <f t="shared" si="7"/>
        <v>5240</v>
      </c>
      <c r="AD18" s="125">
        <f t="shared" si="8"/>
        <v>4526</v>
      </c>
      <c r="AE18" s="125">
        <f t="shared" si="9"/>
        <v>3898</v>
      </c>
      <c r="AG18" s="12">
        <f t="shared" si="10"/>
        <v>-0.43351257084726058</v>
      </c>
    </row>
    <row r="19" spans="1:33" ht="12.75" customHeight="1">
      <c r="B19" s="13" t="s">
        <v>216</v>
      </c>
      <c r="C19" s="34">
        <f>SUM(C17:C18)</f>
        <v>0</v>
      </c>
      <c r="D19" s="34">
        <f>SUM(D17:D18)</f>
        <v>0</v>
      </c>
      <c r="E19" s="34">
        <f>SUM(E17:E18)</f>
        <v>0</v>
      </c>
      <c r="F19" s="34">
        <f>SUM(F17:F18)</f>
        <v>0</v>
      </c>
      <c r="G19" s="34">
        <f>SUM(G17:G18)</f>
        <v>0</v>
      </c>
      <c r="H19" s="34">
        <f>SUM(H17:H18)</f>
        <v>0</v>
      </c>
      <c r="I19" s="34">
        <f>SUM(I17:I18)</f>
        <v>0</v>
      </c>
      <c r="J19" s="34">
        <f>SUM(J17:J18)</f>
        <v>0</v>
      </c>
      <c r="K19" s="34">
        <f>SUM(K17:K18)</f>
        <v>0</v>
      </c>
      <c r="L19" s="11"/>
      <c r="M19" s="34">
        <f>SUM(M17:M18)</f>
        <v>0</v>
      </c>
      <c r="N19" s="34">
        <f>SUM(N17:N18)</f>
        <v>41542</v>
      </c>
      <c r="O19" s="34">
        <f>SUM(O17:O18)</f>
        <v>42266</v>
      </c>
      <c r="P19" s="34">
        <f>SUM(P17:P18)</f>
        <v>42417</v>
      </c>
      <c r="Q19" s="34">
        <f>SUM(Q17:Q18)</f>
        <v>42713</v>
      </c>
      <c r="R19" s="34">
        <f>SUM(R17:R18)</f>
        <v>43089</v>
      </c>
      <c r="S19" s="34">
        <f>SUM(S17:S18)</f>
        <v>43789</v>
      </c>
      <c r="T19" s="34">
        <f>SUM(T17:T18)</f>
        <v>44027</v>
      </c>
      <c r="U19" s="34">
        <f>SUM(U17:U18)</f>
        <v>44127</v>
      </c>
      <c r="V19" s="34">
        <f>SUM(V17:V18)</f>
        <v>44063</v>
      </c>
      <c r="W19" s="34">
        <f>SUM(W17:W18)</f>
        <v>44250</v>
      </c>
      <c r="X19" s="5"/>
      <c r="Y19" s="34">
        <f>SUM(Y17:Y18)</f>
        <v>168938</v>
      </c>
      <c r="Z19" s="34">
        <f>SUM(Z17:Z18)</f>
        <v>170485</v>
      </c>
      <c r="AA19" s="34">
        <f>SUM(AA17:AA18)</f>
        <v>172008</v>
      </c>
      <c r="AB19" s="34">
        <f>SUM(AB17:AB18)</f>
        <v>173618</v>
      </c>
      <c r="AC19" s="34">
        <f>SUM(AC17:AC18)</f>
        <v>175032</v>
      </c>
      <c r="AD19" s="34">
        <f>SUM(AD17:AD18)</f>
        <v>176006</v>
      </c>
      <c r="AE19" s="34">
        <f>SUM(AE17:AE18)</f>
        <v>176467</v>
      </c>
      <c r="AG19" s="15">
        <f t="shared" si="10"/>
        <v>2.5923212873819823E-2</v>
      </c>
    </row>
    <row r="21" spans="1:33" ht="12.75" customHeight="1">
      <c r="A21" s="80"/>
      <c r="B21" s="78" t="s">
        <v>214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5"/>
      <c r="Y21" s="11"/>
      <c r="Z21" s="11"/>
      <c r="AA21" s="11"/>
      <c r="AB21" s="11"/>
      <c r="AC21" s="11"/>
      <c r="AD21" s="11"/>
      <c r="AG21" s="12"/>
    </row>
    <row r="22" spans="1:33" ht="12.75" customHeight="1">
      <c r="B22" s="9" t="s">
        <v>214</v>
      </c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>
        <v>113</v>
      </c>
      <c r="O22" s="81">
        <v>112</v>
      </c>
      <c r="P22" s="125">
        <v>124</v>
      </c>
      <c r="Q22" s="81">
        <v>70</v>
      </c>
      <c r="R22" s="81">
        <v>100</v>
      </c>
      <c r="S22" s="81">
        <v>116</v>
      </c>
      <c r="T22" s="125">
        <v>132</v>
      </c>
      <c r="U22" s="81">
        <v>77</v>
      </c>
      <c r="V22" s="81">
        <v>76</v>
      </c>
      <c r="W22" s="81">
        <v>72</v>
      </c>
      <c r="X22" s="11"/>
      <c r="Y22" s="125">
        <f t="shared" ref="Y22" si="11">SUM(N22:Q22)</f>
        <v>419</v>
      </c>
      <c r="Z22" s="125">
        <f t="shared" ref="Z22" si="12">SUM(O22:R22)</f>
        <v>406</v>
      </c>
      <c r="AA22" s="125">
        <f t="shared" ref="AA22" si="13">SUM(P22:S22)</f>
        <v>410</v>
      </c>
      <c r="AB22" s="125">
        <f t="shared" ref="AB22" si="14">SUM(Q22:T22)</f>
        <v>418</v>
      </c>
      <c r="AC22" s="125">
        <f t="shared" ref="AC22" si="15">SUM(R22:U22)</f>
        <v>425</v>
      </c>
      <c r="AD22" s="125">
        <f t="shared" ref="AD22" si="16">SUM(S22:V22)</f>
        <v>401</v>
      </c>
      <c r="AE22" s="125">
        <f t="shared" ref="AE22" si="17">SUM(T22:W22)</f>
        <v>357</v>
      </c>
      <c r="AG22" s="12">
        <f t="shared" ref="AG22:AG23" si="18">SUM(AE22/AA22)-1</f>
        <v>-0.12926829268292683</v>
      </c>
    </row>
    <row r="23" spans="1:33" ht="12.75" customHeight="1">
      <c r="B23" s="13" t="s">
        <v>218</v>
      </c>
      <c r="C23" s="34">
        <f>SUM(C22:C22)</f>
        <v>0</v>
      </c>
      <c r="D23" s="34">
        <f>SUM(D22:D22)</f>
        <v>0</v>
      </c>
      <c r="E23" s="34">
        <f>SUM(E22:E22)</f>
        <v>0</v>
      </c>
      <c r="F23" s="34">
        <f>SUM(F22:F22)</f>
        <v>0</v>
      </c>
      <c r="G23" s="34">
        <f>SUM(G22:G22)</f>
        <v>0</v>
      </c>
      <c r="H23" s="34">
        <f>SUM(H22:H22)</f>
        <v>0</v>
      </c>
      <c r="I23" s="34">
        <f>SUM(I22:I22)</f>
        <v>0</v>
      </c>
      <c r="J23" s="34">
        <f>SUM(J22:J22)</f>
        <v>0</v>
      </c>
      <c r="K23" s="34">
        <f>SUM(K22:K22)</f>
        <v>0</v>
      </c>
      <c r="L23" s="11"/>
      <c r="M23" s="34">
        <f>SUM(M22:M22)</f>
        <v>0</v>
      </c>
      <c r="N23" s="34">
        <f>SUM(N22:N22)</f>
        <v>113</v>
      </c>
      <c r="O23" s="34">
        <f>SUM(O22:O22)</f>
        <v>112</v>
      </c>
      <c r="P23" s="34">
        <f>SUM(P22:P22)</f>
        <v>124</v>
      </c>
      <c r="Q23" s="34">
        <f>SUM(Q22:Q22)</f>
        <v>70</v>
      </c>
      <c r="R23" s="34">
        <f>SUM(R22:R22)</f>
        <v>100</v>
      </c>
      <c r="S23" s="34">
        <f>SUM(S22:S22)</f>
        <v>116</v>
      </c>
      <c r="T23" s="34">
        <f>SUM(T22:T22)</f>
        <v>132</v>
      </c>
      <c r="U23" s="34">
        <f>SUM(U22:U22)</f>
        <v>77</v>
      </c>
      <c r="V23" s="34">
        <f>SUM(V22:V22)</f>
        <v>76</v>
      </c>
      <c r="W23" s="34">
        <f>SUM(W22:W22)</f>
        <v>72</v>
      </c>
      <c r="X23" s="5"/>
      <c r="Y23" s="34">
        <f>SUM(Y22:Y22)</f>
        <v>419</v>
      </c>
      <c r="Z23" s="34">
        <f>SUM(Z22:Z22)</f>
        <v>406</v>
      </c>
      <c r="AA23" s="34">
        <f>SUM(AA22:AA22)</f>
        <v>410</v>
      </c>
      <c r="AB23" s="34">
        <f>SUM(AB22:AB22)</f>
        <v>418</v>
      </c>
      <c r="AC23" s="34">
        <f>SUM(AC22:AC22)</f>
        <v>425</v>
      </c>
      <c r="AD23" s="34">
        <f>SUM(AD22:AD22)</f>
        <v>401</v>
      </c>
      <c r="AE23" s="34">
        <f>SUM(AE22:AE22)</f>
        <v>357</v>
      </c>
      <c r="AG23" s="15">
        <f t="shared" si="18"/>
        <v>-0.12926829268292683</v>
      </c>
    </row>
    <row r="25" spans="1:33" ht="12.75" customHeight="1">
      <c r="A25" s="80"/>
      <c r="B25" s="78" t="s">
        <v>215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5"/>
      <c r="Y25" s="11"/>
      <c r="Z25" s="11"/>
      <c r="AA25" s="11"/>
      <c r="AB25" s="11"/>
      <c r="AC25" s="11"/>
      <c r="AD25" s="11"/>
      <c r="AG25" s="12"/>
    </row>
    <row r="26" spans="1:33" ht="12.75" customHeight="1">
      <c r="B26" s="9" t="s">
        <v>215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>
        <v>4500</v>
      </c>
      <c r="O26" s="81">
        <v>2602</v>
      </c>
      <c r="P26" s="125">
        <v>9186</v>
      </c>
      <c r="Q26" s="81">
        <v>3611</v>
      </c>
      <c r="R26" s="81">
        <v>5567</v>
      </c>
      <c r="S26" s="81"/>
      <c r="T26" s="125"/>
      <c r="U26" s="81"/>
      <c r="V26" s="81"/>
      <c r="W26" s="81"/>
      <c r="X26" s="11"/>
      <c r="Y26" s="125">
        <f t="shared" ref="Y26" si="19">SUM(N26:Q26)</f>
        <v>19899</v>
      </c>
      <c r="Z26" s="125">
        <f t="shared" ref="Z26" si="20">SUM(O26:R26)</f>
        <v>20966</v>
      </c>
      <c r="AA26" s="125">
        <f t="shared" ref="AA26" si="21">SUM(P26:S26)</f>
        <v>18364</v>
      </c>
      <c r="AB26" s="125">
        <f t="shared" ref="AB26" si="22">SUM(Q26:T26)</f>
        <v>9178</v>
      </c>
      <c r="AC26" s="125">
        <f t="shared" ref="AC26" si="23">SUM(R26:U26)</f>
        <v>5567</v>
      </c>
      <c r="AD26" s="125">
        <f t="shared" ref="AD26" si="24">SUM(S26:V26)</f>
        <v>0</v>
      </c>
      <c r="AE26" s="125">
        <f t="shared" ref="AE26" si="25">SUM(T26:W26)</f>
        <v>0</v>
      </c>
      <c r="AG26" s="12">
        <f t="shared" ref="AG26:AG27" si="26">SUM(AE26/AA26)-1</f>
        <v>-1</v>
      </c>
    </row>
    <row r="27" spans="1:33" ht="12.75" customHeight="1">
      <c r="B27" s="13" t="s">
        <v>217</v>
      </c>
      <c r="C27" s="34">
        <f>SUM(C26:C26)</f>
        <v>0</v>
      </c>
      <c r="D27" s="34">
        <f>SUM(D26:D26)</f>
        <v>0</v>
      </c>
      <c r="E27" s="34">
        <f>SUM(E26:E26)</f>
        <v>0</v>
      </c>
      <c r="F27" s="34">
        <f>SUM(F26:F26)</f>
        <v>0</v>
      </c>
      <c r="G27" s="34">
        <f>SUM(G26:G26)</f>
        <v>0</v>
      </c>
      <c r="H27" s="34">
        <f>SUM(H26:H26)</f>
        <v>0</v>
      </c>
      <c r="I27" s="34">
        <f>SUM(I26:I26)</f>
        <v>0</v>
      </c>
      <c r="J27" s="34">
        <f>SUM(J26:J26)</f>
        <v>0</v>
      </c>
      <c r="K27" s="34">
        <f>SUM(K26:K26)</f>
        <v>0</v>
      </c>
      <c r="L27" s="11"/>
      <c r="M27" s="34">
        <f>SUM(M26:M26)</f>
        <v>0</v>
      </c>
      <c r="N27" s="34">
        <f>SUM(N26:N26)</f>
        <v>4500</v>
      </c>
      <c r="O27" s="34">
        <f>SUM(O26:O26)</f>
        <v>2602</v>
      </c>
      <c r="P27" s="34">
        <f>SUM(P26:P26)</f>
        <v>9186</v>
      </c>
      <c r="Q27" s="34">
        <f>SUM(Q26:Q26)</f>
        <v>3611</v>
      </c>
      <c r="R27" s="34">
        <f>SUM(R26:R26)</f>
        <v>5567</v>
      </c>
      <c r="S27" s="34">
        <f>SUM(S26:S26)</f>
        <v>0</v>
      </c>
      <c r="T27" s="34">
        <f>SUM(T26:T26)</f>
        <v>0</v>
      </c>
      <c r="U27" s="34">
        <f>SUM(U26:U26)</f>
        <v>0</v>
      </c>
      <c r="V27" s="34">
        <f>SUM(V26:V26)</f>
        <v>0</v>
      </c>
      <c r="W27" s="34">
        <f>SUM(W26:W26)</f>
        <v>0</v>
      </c>
      <c r="X27" s="5"/>
      <c r="Y27" s="34">
        <f>SUM(Y26:Y26)</f>
        <v>19899</v>
      </c>
      <c r="Z27" s="34">
        <f>SUM(Z26:Z26)</f>
        <v>20966</v>
      </c>
      <c r="AA27" s="34">
        <f>SUM(AA26:AA26)</f>
        <v>18364</v>
      </c>
      <c r="AB27" s="34">
        <f>SUM(AB26:AB26)</f>
        <v>9178</v>
      </c>
      <c r="AC27" s="34">
        <f>SUM(AC26:AC26)</f>
        <v>5567</v>
      </c>
      <c r="AD27" s="34">
        <f>SUM(AD26:AD26)</f>
        <v>0</v>
      </c>
      <c r="AE27" s="34">
        <f>SUM(AE26:AE26)</f>
        <v>0</v>
      </c>
      <c r="AG27" s="15">
        <f t="shared" si="26"/>
        <v>-1</v>
      </c>
    </row>
    <row r="29" spans="1:33" ht="12.75" customHeight="1">
      <c r="A29" s="80"/>
      <c r="B29" s="78" t="s">
        <v>219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5"/>
      <c r="Y29" s="11"/>
      <c r="Z29" s="11"/>
      <c r="AA29" s="11"/>
      <c r="AB29" s="11"/>
      <c r="AC29" s="11"/>
      <c r="AD29" s="11"/>
      <c r="AG29" s="12"/>
    </row>
    <row r="30" spans="1:33" ht="12.75" customHeight="1">
      <c r="B30" s="9" t="s">
        <v>219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65"/>
      <c r="N30" s="165"/>
      <c r="O30" s="165"/>
      <c r="P30" s="166"/>
      <c r="Q30" s="165"/>
      <c r="R30" s="165"/>
      <c r="S30" s="81">
        <v>2633</v>
      </c>
      <c r="T30" s="125">
        <v>7088</v>
      </c>
      <c r="U30" s="81">
        <v>3936</v>
      </c>
      <c r="V30" s="81">
        <v>5541</v>
      </c>
      <c r="W30" s="81">
        <v>5399</v>
      </c>
      <c r="X30" s="11"/>
      <c r="Y30" s="125">
        <f t="shared" ref="Y30" si="27">SUM(N30:Q30)</f>
        <v>0</v>
      </c>
      <c r="Z30" s="125">
        <f t="shared" ref="Z30" si="28">SUM(O30:R30)</f>
        <v>0</v>
      </c>
      <c r="AA30" s="125">
        <f t="shared" ref="AA30" si="29">SUM(P30:S30)</f>
        <v>2633</v>
      </c>
      <c r="AB30" s="125">
        <f t="shared" ref="AB30" si="30">SUM(Q30:T30)</f>
        <v>9721</v>
      </c>
      <c r="AC30" s="125">
        <f t="shared" ref="AC30" si="31">SUM(R30:U30)</f>
        <v>13657</v>
      </c>
      <c r="AD30" s="125">
        <f t="shared" ref="AD30" si="32">SUM(S30:V30)</f>
        <v>19198</v>
      </c>
      <c r="AE30" s="125">
        <f t="shared" ref="AE30" si="33">SUM(T30:W30)</f>
        <v>21964</v>
      </c>
      <c r="AG30" s="12">
        <f t="shared" ref="AG30:AG31" si="34">SUM(AE30/AA30)-1</f>
        <v>7.3418154196733756</v>
      </c>
    </row>
    <row r="31" spans="1:33" ht="12.75" customHeight="1">
      <c r="B31" s="13" t="s">
        <v>220</v>
      </c>
      <c r="C31" s="34">
        <f>SUM(C30:C30)</f>
        <v>0</v>
      </c>
      <c r="D31" s="34">
        <f>SUM(D30:D30)</f>
        <v>0</v>
      </c>
      <c r="E31" s="34">
        <f>SUM(E30:E30)</f>
        <v>0</v>
      </c>
      <c r="F31" s="34">
        <f>SUM(F30:F30)</f>
        <v>0</v>
      </c>
      <c r="G31" s="34">
        <f>SUM(G30:G30)</f>
        <v>0</v>
      </c>
      <c r="H31" s="34">
        <f>SUM(H30:H30)</f>
        <v>0</v>
      </c>
      <c r="I31" s="34">
        <f>SUM(I30:I30)</f>
        <v>0</v>
      </c>
      <c r="J31" s="34">
        <f>SUM(J30:J30)</f>
        <v>0</v>
      </c>
      <c r="K31" s="34">
        <f>SUM(K30:K30)</f>
        <v>0</v>
      </c>
      <c r="L31" s="11"/>
      <c r="M31" s="34">
        <f>SUM(M30:M30)</f>
        <v>0</v>
      </c>
      <c r="N31" s="34">
        <f>SUM(N30:N30)</f>
        <v>0</v>
      </c>
      <c r="O31" s="34">
        <f>SUM(O30:O30)</f>
        <v>0</v>
      </c>
      <c r="P31" s="34">
        <f>SUM(P30:P30)</f>
        <v>0</v>
      </c>
      <c r="Q31" s="34">
        <f>SUM(Q30:Q30)</f>
        <v>0</v>
      </c>
      <c r="R31" s="34">
        <f>SUM(R30:R30)</f>
        <v>0</v>
      </c>
      <c r="S31" s="34">
        <f>SUM(S30:S30)</f>
        <v>2633</v>
      </c>
      <c r="T31" s="34">
        <f>SUM(T30:T30)</f>
        <v>7088</v>
      </c>
      <c r="U31" s="34">
        <f>SUM(U30:U30)</f>
        <v>3936</v>
      </c>
      <c r="V31" s="34">
        <f>SUM(V30:V30)</f>
        <v>5541</v>
      </c>
      <c r="W31" s="34">
        <f>SUM(W30:W30)</f>
        <v>5399</v>
      </c>
      <c r="X31" s="5"/>
      <c r="Y31" s="34">
        <f>SUM(Y30:Y30)</f>
        <v>0</v>
      </c>
      <c r="Z31" s="34">
        <f>SUM(Z30:Z30)</f>
        <v>0</v>
      </c>
      <c r="AA31" s="34">
        <f>SUM(AA30:AA30)</f>
        <v>2633</v>
      </c>
      <c r="AB31" s="34">
        <f>SUM(AB30:AB30)</f>
        <v>9721</v>
      </c>
      <c r="AC31" s="34">
        <f>SUM(AC30:AC30)</f>
        <v>13657</v>
      </c>
      <c r="AD31" s="34">
        <f>SUM(AD30:AD30)</f>
        <v>19198</v>
      </c>
      <c r="AE31" s="34">
        <f>SUM(AE30:AE30)</f>
        <v>21964</v>
      </c>
      <c r="AG31" s="15">
        <f t="shared" si="34"/>
        <v>7.3418154196733756</v>
      </c>
    </row>
  </sheetData>
  <mergeCells count="1">
    <mergeCell ref="AG2:AG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G9:AG10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2" sqref="B2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30" bestFit="1" customWidth="1"/>
    <col min="30" max="16384" width="9" style="8"/>
  </cols>
  <sheetData>
    <row r="2" spans="2:29" s="5" customFormat="1" ht="12.75" customHeight="1">
      <c r="B2" s="1" t="str">
        <f>'Historical Financials'!B2</f>
        <v>ASML Holding NV. (NASDAQ: ASML)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7" t="s">
        <v>22</v>
      </c>
    </row>
    <row r="3" spans="2:29" s="5" customFormat="1" ht="12.75" customHeight="1">
      <c r="B3" s="6" t="s">
        <v>23</v>
      </c>
      <c r="C3" s="7">
        <f>'Historical Financials'!H7</f>
        <v>2021</v>
      </c>
      <c r="D3" s="7">
        <f>'Historical Financials'!I7</f>
        <v>2022</v>
      </c>
      <c r="E3" s="7">
        <f>'Historical Financials'!J7</f>
        <v>2023</v>
      </c>
      <c r="F3" s="7">
        <f>'Historical Financials'!K7</f>
        <v>2024</v>
      </c>
      <c r="G3" s="3"/>
      <c r="H3" s="7" t="str">
        <f>'Historical Financials'!M7</f>
        <v>1Q23</v>
      </c>
      <c r="I3" s="7" t="str">
        <f>'Historical Financials'!N7</f>
        <v>2Q23</v>
      </c>
      <c r="J3" s="7" t="str">
        <f>'Historical Financials'!O7</f>
        <v>3Q23</v>
      </c>
      <c r="K3" s="7" t="str">
        <f>'Historical Financials'!P7</f>
        <v>4Q23</v>
      </c>
      <c r="L3" s="7" t="str">
        <f>'Historical Financials'!Q7</f>
        <v>1Q24</v>
      </c>
      <c r="M3" s="7" t="str">
        <f>'Historical Financials'!R7</f>
        <v>2Q24</v>
      </c>
      <c r="N3" s="7" t="str">
        <f>'Historical Financials'!S7</f>
        <v>3Q24</v>
      </c>
      <c r="O3" s="7" t="str">
        <f>'Historical Financials'!T7</f>
        <v>4Q24</v>
      </c>
      <c r="P3" s="7" t="str">
        <f>'Historical Financials'!U7</f>
        <v>1Q25</v>
      </c>
      <c r="Q3" s="7" t="str">
        <f>'Historical Financials'!V7</f>
        <v>2Q25</v>
      </c>
      <c r="R3" s="7" t="str">
        <f>'Historical Financials'!W7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7"/>
    </row>
    <row r="4" spans="2:29" s="5" customFormat="1" ht="12.75" customHeight="1">
      <c r="B4" s="6" t="s">
        <v>71</v>
      </c>
      <c r="C4" s="3" t="str">
        <f>'Historical Financials'!H8</f>
        <v>12/31/2021</v>
      </c>
      <c r="D4" s="3" t="str">
        <f>'Historical Financials'!I8</f>
        <v>12/31/2022</v>
      </c>
      <c r="E4" s="3">
        <f>'Historical Financials'!J8</f>
        <v>45291</v>
      </c>
      <c r="F4" s="3">
        <f>'Historical Financials'!K8</f>
        <v>45657</v>
      </c>
      <c r="G4" s="3"/>
      <c r="H4" s="3">
        <f>'Historical Financials'!M8</f>
        <v>45018</v>
      </c>
      <c r="I4" s="3">
        <f>'Historical Financials'!N8</f>
        <v>45109</v>
      </c>
      <c r="J4" s="3">
        <f>'Historical Financials'!O8</f>
        <v>45200</v>
      </c>
      <c r="K4" s="3">
        <f>'Historical Financials'!P8</f>
        <v>45291</v>
      </c>
      <c r="L4" s="3">
        <f>'Historical Financials'!Q8</f>
        <v>45382</v>
      </c>
      <c r="M4" s="3">
        <f>'Historical Financials'!R8</f>
        <v>45473</v>
      </c>
      <c r="N4" s="3">
        <f>'Historical Financials'!S8</f>
        <v>45564</v>
      </c>
      <c r="O4" s="3">
        <f>'Historical Financials'!T8</f>
        <v>45655</v>
      </c>
      <c r="P4" s="3">
        <f>'Historical Financials'!U8</f>
        <v>45746</v>
      </c>
      <c r="Q4" s="3">
        <f>'Historical Financials'!V8</f>
        <v>45837</v>
      </c>
      <c r="R4" s="3">
        <f>'Historical Financials'!W8</f>
        <v>45928</v>
      </c>
      <c r="S4" s="3"/>
      <c r="T4" s="3">
        <f t="shared" si="0"/>
        <v>45291</v>
      </c>
      <c r="U4" s="3">
        <f t="shared" si="0"/>
        <v>45382</v>
      </c>
      <c r="V4" s="3">
        <f t="shared" si="0"/>
        <v>45473</v>
      </c>
      <c r="W4" s="3">
        <f t="shared" si="0"/>
        <v>45564</v>
      </c>
      <c r="X4" s="3">
        <f t="shared" si="0"/>
        <v>45655</v>
      </c>
      <c r="Y4" s="3">
        <f t="shared" si="0"/>
        <v>45746</v>
      </c>
      <c r="Z4" s="3">
        <f t="shared" si="0"/>
        <v>45837</v>
      </c>
      <c r="AA4" s="3">
        <f t="shared" si="0"/>
        <v>45928</v>
      </c>
      <c r="AB4" s="3"/>
      <c r="AC4" s="157"/>
    </row>
    <row r="5" spans="2:29" ht="5.0999999999999996" customHeight="1">
      <c r="AC5" s="126"/>
    </row>
    <row r="6" spans="2:29" ht="12.75" customHeight="1">
      <c r="B6" s="9" t="e">
        <f>'Revenue Drivers'!#REF!</f>
        <v>#REF!</v>
      </c>
      <c r="C6" s="94" t="e">
        <f>'Revenue Drivers'!#REF!</f>
        <v>#REF!</v>
      </c>
      <c r="D6" s="94" t="e">
        <f>'Revenue Drivers'!#REF!</f>
        <v>#REF!</v>
      </c>
      <c r="E6" s="94" t="e">
        <f>'Revenue Drivers'!#REF!</f>
        <v>#REF!</v>
      </c>
      <c r="F6" s="94" t="e">
        <f>'Revenue Drivers'!#REF!</f>
        <v>#REF!</v>
      </c>
      <c r="G6" s="10"/>
      <c r="H6" s="94" t="e">
        <f>'Revenue Drivers'!#REF!</f>
        <v>#REF!</v>
      </c>
      <c r="I6" s="94" t="e">
        <f>'Revenue Drivers'!#REF!</f>
        <v>#REF!</v>
      </c>
      <c r="J6" s="94" t="e">
        <f>'Revenue Drivers'!#REF!</f>
        <v>#REF!</v>
      </c>
      <c r="K6" s="94" t="e">
        <f>'Revenue Drivers'!#REF!</f>
        <v>#REF!</v>
      </c>
      <c r="L6" s="94" t="e">
        <f>'Revenue Drivers'!#REF!</f>
        <v>#REF!</v>
      </c>
      <c r="M6" s="94" t="e">
        <f>'Revenue Drivers'!#REF!</f>
        <v>#REF!</v>
      </c>
      <c r="N6" s="94" t="e">
        <f>'Revenue Drivers'!#REF!</f>
        <v>#REF!</v>
      </c>
      <c r="O6" s="94" t="e">
        <f>'Revenue Drivers'!#REF!</f>
        <v>#REF!</v>
      </c>
      <c r="P6" s="94" t="e">
        <f>'Revenue Drivers'!#REF!</f>
        <v>#REF!</v>
      </c>
      <c r="Q6" s="94" t="e">
        <f>'Revenue Drivers'!#REF!</f>
        <v>#REF!</v>
      </c>
      <c r="R6" s="94" t="e">
        <f>'Revenue Drivers'!#REF!</f>
        <v>#REF!</v>
      </c>
      <c r="S6" s="5"/>
      <c r="T6" s="143" t="e">
        <f t="shared" ref="T6:Z9" si="1">SUM(H6:K6)</f>
        <v>#REF!</v>
      </c>
      <c r="U6" s="143" t="e">
        <f t="shared" si="1"/>
        <v>#REF!</v>
      </c>
      <c r="V6" s="143" t="e">
        <f t="shared" si="1"/>
        <v>#REF!</v>
      </c>
      <c r="W6" s="143" t="e">
        <f t="shared" si="1"/>
        <v>#REF!</v>
      </c>
      <c r="X6" s="143" t="e">
        <f t="shared" si="1"/>
        <v>#REF!</v>
      </c>
      <c r="Y6" s="143" t="e">
        <f t="shared" si="1"/>
        <v>#REF!</v>
      </c>
      <c r="Z6" s="143" t="e">
        <f t="shared" si="1"/>
        <v>#REF!</v>
      </c>
      <c r="AA6" s="143" t="e">
        <f>SUM(O6:R6)</f>
        <v>#REF!</v>
      </c>
      <c r="AC6" s="127" t="e">
        <f t="shared" ref="AC6:AC10" si="2">SUM(AA6/W6)-1</f>
        <v>#REF!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3" t="e">
        <f t="shared" si="1"/>
        <v>#REF!</v>
      </c>
      <c r="U7" s="143" t="e">
        <f t="shared" si="1"/>
        <v>#REF!</v>
      </c>
      <c r="V7" s="143" t="e">
        <f t="shared" si="1"/>
        <v>#REF!</v>
      </c>
      <c r="W7" s="143" t="e">
        <f t="shared" si="1"/>
        <v>#REF!</v>
      </c>
      <c r="X7" s="143" t="e">
        <f t="shared" si="1"/>
        <v>#REF!</v>
      </c>
      <c r="Y7" s="143" t="e">
        <f t="shared" si="1"/>
        <v>#REF!</v>
      </c>
      <c r="Z7" s="143" t="e">
        <f t="shared" si="1"/>
        <v>#REF!</v>
      </c>
      <c r="AA7" s="143" t="e">
        <f>SUM(O7:R7)</f>
        <v>#REF!</v>
      </c>
      <c r="AC7" s="127" t="e">
        <f t="shared" si="2"/>
        <v>#REF!</v>
      </c>
    </row>
    <row r="8" spans="2:29" ht="12.75" customHeight="1">
      <c r="B8" s="9" t="str">
        <f>'Revenue Drivers'!B9</f>
        <v>Net system sales</v>
      </c>
      <c r="C8" s="94">
        <f>'Revenue Drivers'!H9</f>
        <v>13652.8</v>
      </c>
      <c r="D8" s="94">
        <f>'Revenue Drivers'!I9</f>
        <v>15430.3</v>
      </c>
      <c r="E8" s="94">
        <f>'Revenue Drivers'!J9</f>
        <v>21938.6</v>
      </c>
      <c r="F8" s="94">
        <f>'Revenue Drivers'!K9</f>
        <v>21768.7</v>
      </c>
      <c r="G8" s="10"/>
      <c r="H8" s="94">
        <f>'Revenue Drivers'!M9</f>
        <v>0</v>
      </c>
      <c r="I8" s="94">
        <f>'Revenue Drivers'!N9</f>
        <v>5606.1</v>
      </c>
      <c r="J8" s="94">
        <f>'Revenue Drivers'!O9</f>
        <v>5308.2</v>
      </c>
      <c r="K8" s="94">
        <f>'Revenue Drivers'!P9</f>
        <v>5682.5</v>
      </c>
      <c r="L8" s="94">
        <f>'Revenue Drivers'!Q9</f>
        <v>3965.9</v>
      </c>
      <c r="M8" s="94">
        <f>'Revenue Drivers'!R9</f>
        <v>4760.8999999999996</v>
      </c>
      <c r="N8" s="94">
        <f>'Revenue Drivers'!S9</f>
        <v>5926</v>
      </c>
      <c r="O8" s="94">
        <f>'Revenue Drivers'!T9</f>
        <v>7115.9</v>
      </c>
      <c r="P8" s="94">
        <f>'Revenue Drivers'!U9</f>
        <v>5740.4</v>
      </c>
      <c r="Q8" s="94">
        <f>'Revenue Drivers'!V9</f>
        <v>5596.1</v>
      </c>
      <c r="R8" s="94">
        <f>'Revenue Drivers'!W9</f>
        <v>5553.8</v>
      </c>
      <c r="S8" s="5"/>
      <c r="T8" s="143">
        <f t="shared" si="1"/>
        <v>16596.8</v>
      </c>
      <c r="U8" s="143">
        <f t="shared" si="1"/>
        <v>20562.7</v>
      </c>
      <c r="V8" s="143">
        <f t="shared" si="1"/>
        <v>19717.5</v>
      </c>
      <c r="W8" s="143">
        <f t="shared" si="1"/>
        <v>20335.3</v>
      </c>
      <c r="X8" s="143">
        <f t="shared" si="1"/>
        <v>21768.699999999997</v>
      </c>
      <c r="Y8" s="143">
        <f t="shared" si="1"/>
        <v>23543.199999999997</v>
      </c>
      <c r="Z8" s="143">
        <f t="shared" si="1"/>
        <v>24378.400000000001</v>
      </c>
      <c r="AA8" s="143">
        <f>SUM(O8:R8)</f>
        <v>24006.2</v>
      </c>
      <c r="AC8" s="127">
        <f t="shared" si="2"/>
        <v>0.18051860557749344</v>
      </c>
    </row>
    <row r="9" spans="2:29" ht="12.75" customHeight="1">
      <c r="B9" s="9" t="str">
        <f>'Revenue Drivers'!B10</f>
        <v>Net service and field option sales</v>
      </c>
      <c r="C9" s="94">
        <f>'Revenue Drivers'!H10</f>
        <v>4958.2</v>
      </c>
      <c r="D9" s="94">
        <f>'Revenue Drivers'!I10</f>
        <v>5743.1</v>
      </c>
      <c r="E9" s="94">
        <f>'Revenue Drivers'!J10</f>
        <v>5619.9</v>
      </c>
      <c r="F9" s="94">
        <f>'Revenue Drivers'!K10</f>
        <v>6494.2</v>
      </c>
      <c r="G9" s="10"/>
      <c r="H9" s="94">
        <f>'Revenue Drivers'!M10</f>
        <v>0</v>
      </c>
      <c r="I9" s="94">
        <f>'Revenue Drivers'!N10</f>
        <v>1296.2</v>
      </c>
      <c r="J9" s="94">
        <f>'Revenue Drivers'!O10</f>
        <v>1364.8</v>
      </c>
      <c r="K9" s="94">
        <f>'Revenue Drivers'!P10</f>
        <v>1554.5</v>
      </c>
      <c r="L9" s="94">
        <f>'Revenue Drivers'!Q10</f>
        <v>1324.1</v>
      </c>
      <c r="M9" s="94">
        <f>'Revenue Drivers'!R10</f>
        <v>1481.9</v>
      </c>
      <c r="N9" s="94">
        <f>'Revenue Drivers'!S10</f>
        <v>1541.3</v>
      </c>
      <c r="O9" s="94">
        <f>'Revenue Drivers'!T10</f>
        <v>2146.9</v>
      </c>
      <c r="P9" s="94">
        <f>'Revenue Drivers'!U10</f>
        <v>2001.1</v>
      </c>
      <c r="Q9" s="94">
        <f>'Revenue Drivers'!V10</f>
        <v>2095.6</v>
      </c>
      <c r="R9" s="94">
        <f>'Revenue Drivers'!W10</f>
        <v>1962.2</v>
      </c>
      <c r="S9" s="5"/>
      <c r="T9" s="143">
        <f t="shared" si="1"/>
        <v>4215.5</v>
      </c>
      <c r="U9" s="143">
        <f t="shared" si="1"/>
        <v>5539.6</v>
      </c>
      <c r="V9" s="143">
        <f t="shared" si="1"/>
        <v>5725.2999999999993</v>
      </c>
      <c r="W9" s="143">
        <f t="shared" si="1"/>
        <v>5901.8</v>
      </c>
      <c r="X9" s="143">
        <f t="shared" si="1"/>
        <v>6494.2000000000007</v>
      </c>
      <c r="Y9" s="143">
        <f t="shared" si="1"/>
        <v>7171.2000000000007</v>
      </c>
      <c r="Z9" s="143">
        <f t="shared" si="1"/>
        <v>7784.9</v>
      </c>
      <c r="AA9" s="143">
        <f>SUM(O9:R9)</f>
        <v>8205.8000000000011</v>
      </c>
      <c r="AC9" s="127">
        <f t="shared" si="2"/>
        <v>0.39038937273374241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8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9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6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6"/>
    </row>
    <row r="14" spans="2:29" ht="12.75" customHeight="1">
      <c r="B14" s="23" t="s">
        <v>120</v>
      </c>
      <c r="C14" s="94">
        <f>'Historical Financials'!H13</f>
        <v>-8802</v>
      </c>
      <c r="D14" s="94">
        <f>'Historical Financials'!I13</f>
        <v>-10473.299999999999</v>
      </c>
      <c r="E14" s="94">
        <f>'Historical Financials'!J13</f>
        <v>-13422.4</v>
      </c>
      <c r="F14" s="94">
        <f>'Historical Financials'!K13</f>
        <v>-13770.9</v>
      </c>
      <c r="G14" s="10"/>
      <c r="H14" s="94">
        <f>'Historical Financials'!M13</f>
        <v>-3333</v>
      </c>
      <c r="I14" s="94">
        <f>'Historical Financials'!N13</f>
        <v>-3358.3</v>
      </c>
      <c r="J14" s="94">
        <f>'Historical Financials'!O13</f>
        <v>-3211.4</v>
      </c>
      <c r="K14" s="94">
        <f>'Historical Financials'!P13</f>
        <v>-3519.7</v>
      </c>
      <c r="L14" s="94">
        <f>'Historical Financials'!Q13</f>
        <v>-2593.4</v>
      </c>
      <c r="M14" s="94">
        <f>'Historical Financials'!R13</f>
        <v>-3030.6</v>
      </c>
      <c r="N14" s="94">
        <f>'Historical Financials'!S13</f>
        <v>-3673.9</v>
      </c>
      <c r="O14" s="94">
        <f>'Historical Financials'!T13</f>
        <v>-4473</v>
      </c>
      <c r="P14" s="94">
        <f>'Historical Financials'!U13</f>
        <v>-3561.8</v>
      </c>
      <c r="Q14" s="94">
        <f>'Historical Financials'!V13</f>
        <v>-3562.2</v>
      </c>
      <c r="R14" s="94">
        <f>'Historical Financials'!W13</f>
        <v>-3635.7</v>
      </c>
      <c r="S14" s="5"/>
      <c r="T14" s="143">
        <f t="shared" ref="T14:Z15" si="8">SUM(H14:K14)</f>
        <v>-13422.400000000001</v>
      </c>
      <c r="U14" s="143">
        <f t="shared" si="8"/>
        <v>-12682.800000000001</v>
      </c>
      <c r="V14" s="143">
        <f t="shared" si="8"/>
        <v>-12355.1</v>
      </c>
      <c r="W14" s="143">
        <f t="shared" si="8"/>
        <v>-12817.6</v>
      </c>
      <c r="X14" s="143">
        <f t="shared" si="8"/>
        <v>-13770.9</v>
      </c>
      <c r="Y14" s="143">
        <f t="shared" si="8"/>
        <v>-14739.3</v>
      </c>
      <c r="Z14" s="143">
        <f t="shared" si="8"/>
        <v>-15270.900000000001</v>
      </c>
      <c r="AA14" s="143">
        <f>SUM(O14:R14)</f>
        <v>-15232.7</v>
      </c>
      <c r="AC14" s="127">
        <f t="shared" ref="AC14:AC15" si="9">SUM(AA14/W14)-1</f>
        <v>0.18842060916240166</v>
      </c>
    </row>
    <row r="15" spans="2:29" ht="12.75" customHeight="1">
      <c r="B15" s="23" t="s">
        <v>121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3" t="e">
        <f t="shared" si="8"/>
        <v>#REF!</v>
      </c>
      <c r="U15" s="143" t="e">
        <f t="shared" si="8"/>
        <v>#REF!</v>
      </c>
      <c r="V15" s="143" t="e">
        <f t="shared" si="8"/>
        <v>#REF!</v>
      </c>
      <c r="W15" s="143" t="e">
        <f t="shared" si="8"/>
        <v>#REF!</v>
      </c>
      <c r="X15" s="143" t="e">
        <f t="shared" si="8"/>
        <v>#REF!</v>
      </c>
      <c r="Y15" s="143" t="e">
        <f t="shared" si="8"/>
        <v>#REF!</v>
      </c>
      <c r="Z15" s="143" t="e">
        <f t="shared" si="8"/>
        <v>#REF!</v>
      </c>
      <c r="AA15" s="143" t="e">
        <f>SUM(O15:R15)</f>
        <v>#REF!</v>
      </c>
      <c r="AC15" s="127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8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9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6"/>
    </row>
    <row r="19" spans="2:29" ht="12.75" customHeight="1">
      <c r="B19" s="23" t="s">
        <v>124</v>
      </c>
      <c r="C19" s="142">
        <f>'Historical Financials'!H17</f>
        <v>-2547</v>
      </c>
      <c r="D19" s="142">
        <f>'Historical Financials'!I17</f>
        <v>-3253.5</v>
      </c>
      <c r="E19" s="142">
        <f>'Historical Financials'!J17</f>
        <v>-3980.6</v>
      </c>
      <c r="F19" s="142">
        <f>'Historical Financials'!K17</f>
        <v>-4303.7</v>
      </c>
      <c r="G19" s="94"/>
      <c r="H19" s="142">
        <f>'Historical Financials'!M17</f>
        <v>-947.9</v>
      </c>
      <c r="I19" s="142">
        <f>'Historical Financials'!N17</f>
        <v>-999.9</v>
      </c>
      <c r="J19" s="142">
        <f>'Historical Financials'!O17</f>
        <v>-991.4</v>
      </c>
      <c r="K19" s="142">
        <f>'Historical Financials'!P17</f>
        <v>-1041.3</v>
      </c>
      <c r="L19" s="142">
        <f>'Historical Financials'!Q17</f>
        <v>-1031.9000000000001</v>
      </c>
      <c r="M19" s="142">
        <f>'Historical Financials'!R17</f>
        <v>-1100.5999999999999</v>
      </c>
      <c r="N19" s="142">
        <f>'Historical Financials'!S17</f>
        <v>-1055.2</v>
      </c>
      <c r="O19" s="142">
        <f>'Historical Financials'!T17</f>
        <v>-1116</v>
      </c>
      <c r="P19" s="142">
        <f>'Historical Financials'!U17</f>
        <v>-1161.0999999999999</v>
      </c>
      <c r="Q19" s="142">
        <f>'Historical Financials'!V17</f>
        <v>-1166.7</v>
      </c>
      <c r="R19" s="142">
        <f>'Historical Financials'!W17</f>
        <v>-1108.7</v>
      </c>
      <c r="S19" s="5"/>
      <c r="T19" s="143">
        <f t="shared" ref="T19:Z23" si="32">SUM(H19:K19)</f>
        <v>-3980.5</v>
      </c>
      <c r="U19" s="143">
        <f t="shared" si="32"/>
        <v>-4064.5</v>
      </c>
      <c r="V19" s="143">
        <f t="shared" si="32"/>
        <v>-4165.2</v>
      </c>
      <c r="W19" s="143">
        <f t="shared" si="32"/>
        <v>-4229</v>
      </c>
      <c r="X19" s="143">
        <f t="shared" si="32"/>
        <v>-4303.7</v>
      </c>
      <c r="Y19" s="143">
        <f t="shared" si="32"/>
        <v>-4432.8999999999996</v>
      </c>
      <c r="Z19" s="143">
        <f t="shared" si="32"/>
        <v>-4499</v>
      </c>
      <c r="AA19" s="143">
        <f>SUM(O19:R19)</f>
        <v>-4552.5</v>
      </c>
      <c r="AC19" s="127">
        <f t="shared" ref="AC19:AC23" si="33">SUM(AA19/W19)-1</f>
        <v>7.6495625443367299E-2</v>
      </c>
    </row>
    <row r="20" spans="2:29" ht="12.75" customHeight="1">
      <c r="B20" s="23" t="s">
        <v>125</v>
      </c>
      <c r="C20" s="142">
        <f>'Historical Financials'!H18</f>
        <v>-725.6</v>
      </c>
      <c r="D20" s="142">
        <f>'Historical Financials'!I18</f>
        <v>-945.9</v>
      </c>
      <c r="E20" s="142">
        <f>'Historical Financials'!J18</f>
        <v>-1113.2</v>
      </c>
      <c r="F20" s="142">
        <f>'Historical Financials'!K18</f>
        <v>-1165.7</v>
      </c>
      <c r="G20" s="94"/>
      <c r="H20" s="142">
        <f>'Historical Financials'!M18</f>
        <v>-260.3</v>
      </c>
      <c r="I20" s="142">
        <f>'Historical Financials'!N18</f>
        <v>-281.10000000000002</v>
      </c>
      <c r="J20" s="142">
        <f>'Historical Financials'!O18</f>
        <v>-287.8</v>
      </c>
      <c r="K20" s="142">
        <f>'Historical Financials'!P18</f>
        <v>-284.10000000000002</v>
      </c>
      <c r="L20" s="142">
        <f>'Historical Financials'!Q18</f>
        <v>-273.3</v>
      </c>
      <c r="M20" s="142">
        <f>'Historical Financials'!R18</f>
        <v>-277</v>
      </c>
      <c r="N20" s="142">
        <f>'Historical Financials'!S18</f>
        <v>-297</v>
      </c>
      <c r="O20" s="142">
        <f>'Historical Financials'!T18</f>
        <v>-318.39999999999998</v>
      </c>
      <c r="P20" s="142">
        <f>'Historical Financials'!U18</f>
        <v>-280.7</v>
      </c>
      <c r="Q20" s="142">
        <f>'Historical Financials'!V18</f>
        <v>-298.7</v>
      </c>
      <c r="R20" s="142">
        <f>'Historical Financials'!W18</f>
        <v>-303.2</v>
      </c>
      <c r="S20" s="5"/>
      <c r="T20" s="143">
        <f t="shared" si="32"/>
        <v>-1113.3000000000002</v>
      </c>
      <c r="U20" s="143">
        <f t="shared" si="32"/>
        <v>-1126.3000000000002</v>
      </c>
      <c r="V20" s="143">
        <f t="shared" si="32"/>
        <v>-1122.2</v>
      </c>
      <c r="W20" s="143">
        <f t="shared" si="32"/>
        <v>-1131.4000000000001</v>
      </c>
      <c r="X20" s="143">
        <f t="shared" si="32"/>
        <v>-1165.6999999999998</v>
      </c>
      <c r="Y20" s="143">
        <f t="shared" si="32"/>
        <v>-1173.0999999999999</v>
      </c>
      <c r="Z20" s="143">
        <f t="shared" si="32"/>
        <v>-1194.8</v>
      </c>
      <c r="AA20" s="143">
        <f>SUM(O20:R20)</f>
        <v>-1201</v>
      </c>
      <c r="AC20" s="127">
        <f t="shared" si="33"/>
        <v>6.1516704967297109E-2</v>
      </c>
    </row>
    <row r="21" spans="2:29" ht="12.75" customHeight="1">
      <c r="B21" s="23" t="s">
        <v>121</v>
      </c>
      <c r="C21" s="142" t="e">
        <f>'Historical Financials'!#REF!</f>
        <v>#REF!</v>
      </c>
      <c r="D21" s="142" t="e">
        <f>'Historical Financials'!#REF!</f>
        <v>#REF!</v>
      </c>
      <c r="E21" s="142" t="e">
        <f>'Historical Financials'!#REF!</f>
        <v>#REF!</v>
      </c>
      <c r="F21" s="142" t="e">
        <f>'Historical Financials'!#REF!</f>
        <v>#REF!</v>
      </c>
      <c r="G21" s="94"/>
      <c r="H21" s="142" t="e">
        <f>'Historical Financials'!#REF!</f>
        <v>#REF!</v>
      </c>
      <c r="I21" s="142" t="e">
        <f>'Historical Financials'!#REF!</f>
        <v>#REF!</v>
      </c>
      <c r="J21" s="142" t="e">
        <f>'Historical Financials'!#REF!</f>
        <v>#REF!</v>
      </c>
      <c r="K21" s="142" t="e">
        <f>'Historical Financials'!#REF!</f>
        <v>#REF!</v>
      </c>
      <c r="L21" s="142" t="e">
        <f>'Historical Financials'!#REF!</f>
        <v>#REF!</v>
      </c>
      <c r="M21" s="142" t="e">
        <f>'Historical Financials'!#REF!</f>
        <v>#REF!</v>
      </c>
      <c r="N21" s="142" t="e">
        <f>'Historical Financials'!#REF!</f>
        <v>#REF!</v>
      </c>
      <c r="O21" s="142" t="e">
        <f>'Historical Financials'!#REF!</f>
        <v>#REF!</v>
      </c>
      <c r="P21" s="142" t="e">
        <f>'Historical Financials'!#REF!</f>
        <v>#REF!</v>
      </c>
      <c r="Q21" s="142" t="e">
        <f>'Historical Financials'!#REF!</f>
        <v>#REF!</v>
      </c>
      <c r="R21" s="142" t="e">
        <f>'Historical Financials'!#REF!</f>
        <v>#REF!</v>
      </c>
      <c r="S21" s="5"/>
      <c r="T21" s="143" t="e">
        <f t="shared" si="32"/>
        <v>#REF!</v>
      </c>
      <c r="U21" s="143" t="e">
        <f t="shared" si="32"/>
        <v>#REF!</v>
      </c>
      <c r="V21" s="143" t="e">
        <f t="shared" si="32"/>
        <v>#REF!</v>
      </c>
      <c r="W21" s="143" t="e">
        <f t="shared" si="32"/>
        <v>#REF!</v>
      </c>
      <c r="X21" s="143" t="e">
        <f t="shared" si="32"/>
        <v>#REF!</v>
      </c>
      <c r="Y21" s="143" t="e">
        <f t="shared" si="32"/>
        <v>#REF!</v>
      </c>
      <c r="Z21" s="143" t="e">
        <f t="shared" si="32"/>
        <v>#REF!</v>
      </c>
      <c r="AA21" s="143" t="e">
        <f>SUM(O21:R21)</f>
        <v>#REF!</v>
      </c>
      <c r="AC21" s="127" t="e">
        <f t="shared" si="33"/>
        <v>#REF!</v>
      </c>
    </row>
    <row r="22" spans="2:29" ht="12.75" customHeight="1">
      <c r="B22" s="23" t="s">
        <v>122</v>
      </c>
      <c r="C22" s="142" t="e">
        <f>'Historical Financials'!#REF!</f>
        <v>#REF!</v>
      </c>
      <c r="D22" s="142" t="e">
        <f>'Historical Financials'!#REF!</f>
        <v>#REF!</v>
      </c>
      <c r="E22" s="142" t="e">
        <f>'Historical Financials'!#REF!</f>
        <v>#REF!</v>
      </c>
      <c r="F22" s="142" t="e">
        <f>'Historical Financials'!#REF!</f>
        <v>#REF!</v>
      </c>
      <c r="G22" s="94"/>
      <c r="H22" s="142" t="e">
        <f>'Historical Financials'!#REF!</f>
        <v>#REF!</v>
      </c>
      <c r="I22" s="142" t="e">
        <f>'Historical Financials'!#REF!</f>
        <v>#REF!</v>
      </c>
      <c r="J22" s="142" t="e">
        <f>'Historical Financials'!#REF!</f>
        <v>#REF!</v>
      </c>
      <c r="K22" s="142" t="e">
        <f>'Historical Financials'!#REF!</f>
        <v>#REF!</v>
      </c>
      <c r="L22" s="142" t="e">
        <f>'Historical Financials'!#REF!</f>
        <v>#REF!</v>
      </c>
      <c r="M22" s="142" t="e">
        <f>'Historical Financials'!#REF!</f>
        <v>#REF!</v>
      </c>
      <c r="N22" s="142" t="e">
        <f>'Historical Financials'!#REF!</f>
        <v>#REF!</v>
      </c>
      <c r="O22" s="142" t="e">
        <f>'Historical Financials'!#REF!</f>
        <v>#REF!</v>
      </c>
      <c r="P22" s="142" t="e">
        <f>'Historical Financials'!#REF!</f>
        <v>#REF!</v>
      </c>
      <c r="Q22" s="142" t="e">
        <f>'Historical Financials'!#REF!</f>
        <v>#REF!</v>
      </c>
      <c r="R22" s="142" t="e">
        <f>'Historical Financials'!#REF!</f>
        <v>#REF!</v>
      </c>
      <c r="S22" s="5"/>
      <c r="T22" s="143" t="e">
        <f t="shared" si="32"/>
        <v>#REF!</v>
      </c>
      <c r="U22" s="143" t="e">
        <f t="shared" si="32"/>
        <v>#REF!</v>
      </c>
      <c r="V22" s="143" t="e">
        <f t="shared" si="32"/>
        <v>#REF!</v>
      </c>
      <c r="W22" s="143" t="e">
        <f t="shared" si="32"/>
        <v>#REF!</v>
      </c>
      <c r="X22" s="143" t="e">
        <f t="shared" si="32"/>
        <v>#REF!</v>
      </c>
      <c r="Y22" s="143" t="e">
        <f t="shared" si="32"/>
        <v>#REF!</v>
      </c>
      <c r="Z22" s="143" t="e">
        <f t="shared" si="32"/>
        <v>#REF!</v>
      </c>
      <c r="AA22" s="143" t="e">
        <f>SUM(O22:R22)</f>
        <v>#REF!</v>
      </c>
      <c r="AC22" s="127" t="e">
        <f t="shared" si="33"/>
        <v>#REF!</v>
      </c>
    </row>
    <row r="23" spans="2:29" ht="12.75" customHeight="1">
      <c r="B23" s="23" t="s">
        <v>123</v>
      </c>
      <c r="C23" s="142" t="e">
        <f>'Historical Financials'!#REF!</f>
        <v>#REF!</v>
      </c>
      <c r="D23" s="142" t="e">
        <f>'Historical Financials'!#REF!</f>
        <v>#REF!</v>
      </c>
      <c r="E23" s="142" t="e">
        <f>'Historical Financials'!#REF!</f>
        <v>#REF!</v>
      </c>
      <c r="F23" s="142" t="e">
        <f>'Historical Financials'!#REF!</f>
        <v>#REF!</v>
      </c>
      <c r="G23" s="94"/>
      <c r="H23" s="142" t="e">
        <f>'Historical Financials'!#REF!</f>
        <v>#REF!</v>
      </c>
      <c r="I23" s="142" t="e">
        <f>'Historical Financials'!#REF!</f>
        <v>#REF!</v>
      </c>
      <c r="J23" s="142" t="e">
        <f>'Historical Financials'!#REF!</f>
        <v>#REF!</v>
      </c>
      <c r="K23" s="142" t="e">
        <f>'Historical Financials'!#REF!</f>
        <v>#REF!</v>
      </c>
      <c r="L23" s="142" t="e">
        <f>'Historical Financials'!#REF!</f>
        <v>#REF!</v>
      </c>
      <c r="M23" s="142" t="e">
        <f>'Historical Financials'!#REF!</f>
        <v>#REF!</v>
      </c>
      <c r="N23" s="142" t="e">
        <f>'Historical Financials'!#REF!</f>
        <v>#REF!</v>
      </c>
      <c r="O23" s="142" t="e">
        <f>'Historical Financials'!#REF!</f>
        <v>#REF!</v>
      </c>
      <c r="P23" s="142" t="e">
        <f>'Historical Financials'!#REF!</f>
        <v>#REF!</v>
      </c>
      <c r="Q23" s="142" t="e">
        <f>'Historical Financials'!#REF!</f>
        <v>#REF!</v>
      </c>
      <c r="R23" s="142" t="e">
        <f>'Historical Financials'!#REF!</f>
        <v>#REF!</v>
      </c>
      <c r="S23" s="5"/>
      <c r="T23" s="143" t="e">
        <f t="shared" si="32"/>
        <v>#REF!</v>
      </c>
      <c r="U23" s="143" t="e">
        <f t="shared" si="32"/>
        <v>#REF!</v>
      </c>
      <c r="V23" s="143" t="e">
        <f t="shared" si="32"/>
        <v>#REF!</v>
      </c>
      <c r="W23" s="143" t="e">
        <f t="shared" si="32"/>
        <v>#REF!</v>
      </c>
      <c r="X23" s="143" t="e">
        <f t="shared" si="32"/>
        <v>#REF!</v>
      </c>
      <c r="Y23" s="143" t="e">
        <f t="shared" si="32"/>
        <v>#REF!</v>
      </c>
      <c r="Z23" s="143" t="e">
        <f t="shared" si="32"/>
        <v>#REF!</v>
      </c>
      <c r="AA23" s="143" t="e">
        <f>SUM(O23:R23)</f>
        <v>#REF!</v>
      </c>
      <c r="AC23" s="127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8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9" t="e">
        <f>SUM(AA25-W25)*10000</f>
        <v>#REF!</v>
      </c>
    </row>
    <row r="26" spans="2:29" ht="5.0999999999999996" customHeight="1">
      <c r="AC26" s="126"/>
    </row>
    <row r="27" spans="2:29" ht="12.75" customHeight="1">
      <c r="B27" s="31" t="s">
        <v>106</v>
      </c>
      <c r="C27" s="142">
        <f>'Historical Financials'!H111</f>
        <v>-1754.9</v>
      </c>
      <c r="D27" s="142">
        <f>'Historical Financials'!I111</f>
        <v>-2338</v>
      </c>
      <c r="E27" s="142">
        <f>'Historical Financials'!J111</f>
        <v>959.9</v>
      </c>
      <c r="F27" s="142">
        <f>'Historical Financials'!K111</f>
        <v>-139.9</v>
      </c>
      <c r="H27" s="142">
        <f>'Historical Financials'!M111</f>
        <v>0</v>
      </c>
      <c r="I27" s="142">
        <f>'Historical Financials'!N111</f>
        <v>0</v>
      </c>
      <c r="J27" s="142">
        <f>'Historical Financials'!O111</f>
        <v>0</v>
      </c>
      <c r="K27" s="142">
        <f>'Historical Financials'!P111</f>
        <v>0</v>
      </c>
      <c r="L27" s="142">
        <f>'Historical Financials'!Q111</f>
        <v>0</v>
      </c>
      <c r="M27" s="142">
        <f>'Historical Financials'!R111</f>
        <v>0</v>
      </c>
      <c r="N27" s="142">
        <f>'Historical Financials'!S111</f>
        <v>0</v>
      </c>
      <c r="O27" s="142">
        <f>'Historical Financials'!T111</f>
        <v>0</v>
      </c>
      <c r="P27" s="142">
        <f>'Historical Financials'!U111</f>
        <v>0</v>
      </c>
      <c r="Q27" s="142">
        <f>'Historical Financials'!V111</f>
        <v>0</v>
      </c>
      <c r="R27" s="142">
        <f>'Historical Financials'!W111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7" t="e">
        <f>SUM(AA27/W27)-1</f>
        <v>#DIV/0!</v>
      </c>
    </row>
    <row r="28" spans="2:29" ht="12.75" customHeight="1">
      <c r="B28" s="23" t="s">
        <v>126</v>
      </c>
      <c r="C28" s="149" t="e">
        <f>-C21-C15</f>
        <v>#REF!</v>
      </c>
      <c r="D28" s="149" t="e">
        <f t="shared" ref="D28:R28" si="39">-D21-D15</f>
        <v>#REF!</v>
      </c>
      <c r="E28" s="149" t="e">
        <f t="shared" si="39"/>
        <v>#REF!</v>
      </c>
      <c r="F28" s="149" t="e">
        <f t="shared" si="39"/>
        <v>#REF!</v>
      </c>
      <c r="H28" s="149" t="e">
        <f t="shared" si="39"/>
        <v>#REF!</v>
      </c>
      <c r="I28" s="149" t="e">
        <f t="shared" si="39"/>
        <v>#REF!</v>
      </c>
      <c r="J28" s="149" t="e">
        <f t="shared" si="39"/>
        <v>#REF!</v>
      </c>
      <c r="K28" s="149" t="e">
        <f t="shared" si="39"/>
        <v>#REF!</v>
      </c>
      <c r="L28" s="149" t="e">
        <f t="shared" si="39"/>
        <v>#REF!</v>
      </c>
      <c r="M28" s="149" t="e">
        <f t="shared" si="39"/>
        <v>#REF!</v>
      </c>
      <c r="N28" s="149" t="e">
        <f t="shared" si="39"/>
        <v>#REF!</v>
      </c>
      <c r="O28" s="149" t="e">
        <f t="shared" si="39"/>
        <v>#REF!</v>
      </c>
      <c r="P28" s="149" t="e">
        <f t="shared" si="39"/>
        <v>#REF!</v>
      </c>
      <c r="Q28" s="149" t="e">
        <f t="shared" si="39"/>
        <v>#REF!</v>
      </c>
      <c r="R28" s="149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7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8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9" t="e">
        <f>SUM(AA30-W30)*10000</f>
        <v>#REF!</v>
      </c>
    </row>
    <row r="31" spans="2:29" ht="5.0999999999999996" customHeight="1">
      <c r="AC31" s="126"/>
    </row>
    <row r="32" spans="2:29" ht="12.75" customHeight="1">
      <c r="B32" s="31" t="s">
        <v>127</v>
      </c>
      <c r="C32" s="142">
        <f>'Historical Financials'!H115</f>
        <v>347.6</v>
      </c>
      <c r="D32" s="142">
        <f>'Historical Financials'!I115</f>
        <v>439.7</v>
      </c>
      <c r="E32" s="142">
        <f>'Historical Financials'!J115</f>
        <v>222</v>
      </c>
      <c r="F32" s="142">
        <f>'Historical Financials'!K115</f>
        <v>625.5</v>
      </c>
      <c r="H32" s="142">
        <f>'Historical Financials'!M115</f>
        <v>0</v>
      </c>
      <c r="I32" s="142">
        <f>'Historical Financials'!N115</f>
        <v>0</v>
      </c>
      <c r="J32" s="142">
        <f>'Historical Financials'!O115</f>
        <v>0</v>
      </c>
      <c r="K32" s="142">
        <f>'Historical Financials'!P115</f>
        <v>0</v>
      </c>
      <c r="L32" s="142">
        <f>'Historical Financials'!Q115</f>
        <v>0</v>
      </c>
      <c r="M32" s="142">
        <f>'Historical Financials'!R115</f>
        <v>0</v>
      </c>
      <c r="N32" s="142">
        <f>'Historical Financials'!S115</f>
        <v>0</v>
      </c>
      <c r="O32" s="142">
        <f>'Historical Financials'!T115</f>
        <v>0</v>
      </c>
      <c r="P32" s="142">
        <f>'Historical Financials'!U115</f>
        <v>0</v>
      </c>
      <c r="Q32" s="142">
        <f>'Historical Financials'!V115</f>
        <v>0</v>
      </c>
      <c r="R32" s="142">
        <f>'Historical Financials'!W115</f>
        <v>0</v>
      </c>
      <c r="T32" s="143">
        <f t="shared" ref="T32:Z34" si="63">SUM(H32:K32)</f>
        <v>0</v>
      </c>
      <c r="U32" s="143">
        <f t="shared" si="63"/>
        <v>0</v>
      </c>
      <c r="V32" s="143">
        <f t="shared" si="63"/>
        <v>0</v>
      </c>
      <c r="W32" s="143">
        <f t="shared" si="63"/>
        <v>0</v>
      </c>
      <c r="X32" s="143">
        <f t="shared" si="63"/>
        <v>0</v>
      </c>
      <c r="Y32" s="143">
        <f t="shared" si="63"/>
        <v>0</v>
      </c>
      <c r="Z32" s="143">
        <f t="shared" si="63"/>
        <v>0</v>
      </c>
      <c r="AA32" s="143">
        <f>SUM(O32:R32)</f>
        <v>0</v>
      </c>
      <c r="AC32" s="127" t="e">
        <f t="shared" ref="AC32:AC34" si="64">SUM(AA32/W32)-1</f>
        <v>#DIV/0!</v>
      </c>
    </row>
    <row r="33" spans="2:29" ht="12.75" customHeight="1">
      <c r="B33" s="23" t="s">
        <v>128</v>
      </c>
      <c r="C33" s="149" t="e">
        <f>-C22</f>
        <v>#REF!</v>
      </c>
      <c r="D33" s="149" t="e">
        <f t="shared" ref="D33:F33" si="65">-D22</f>
        <v>#REF!</v>
      </c>
      <c r="E33" s="149" t="e">
        <f t="shared" si="65"/>
        <v>#REF!</v>
      </c>
      <c r="F33" s="149" t="e">
        <f t="shared" si="65"/>
        <v>#REF!</v>
      </c>
      <c r="H33" s="149" t="e">
        <f t="shared" ref="H33:R33" si="66">-H22</f>
        <v>#REF!</v>
      </c>
      <c r="I33" s="149" t="e">
        <f t="shared" si="66"/>
        <v>#REF!</v>
      </c>
      <c r="J33" s="149" t="e">
        <f t="shared" si="66"/>
        <v>#REF!</v>
      </c>
      <c r="K33" s="149" t="e">
        <f t="shared" si="66"/>
        <v>#REF!</v>
      </c>
      <c r="L33" s="149" t="e">
        <f t="shared" si="66"/>
        <v>#REF!</v>
      </c>
      <c r="M33" s="149" t="e">
        <f t="shared" si="66"/>
        <v>#REF!</v>
      </c>
      <c r="N33" s="149" t="e">
        <f t="shared" si="66"/>
        <v>#REF!</v>
      </c>
      <c r="O33" s="149" t="e">
        <f t="shared" si="66"/>
        <v>#REF!</v>
      </c>
      <c r="P33" s="149" t="e">
        <f t="shared" si="66"/>
        <v>#REF!</v>
      </c>
      <c r="Q33" s="149" t="e">
        <f t="shared" si="66"/>
        <v>#REF!</v>
      </c>
      <c r="R33" s="149" t="e">
        <f t="shared" si="66"/>
        <v>#REF!</v>
      </c>
      <c r="T33" s="143" t="e">
        <f t="shared" si="63"/>
        <v>#REF!</v>
      </c>
      <c r="U33" s="143" t="e">
        <f t="shared" si="63"/>
        <v>#REF!</v>
      </c>
      <c r="V33" s="143" t="e">
        <f t="shared" si="63"/>
        <v>#REF!</v>
      </c>
      <c r="W33" s="143" t="e">
        <f t="shared" si="63"/>
        <v>#REF!</v>
      </c>
      <c r="X33" s="143" t="e">
        <f t="shared" si="63"/>
        <v>#REF!</v>
      </c>
      <c r="Y33" s="143" t="e">
        <f t="shared" si="63"/>
        <v>#REF!</v>
      </c>
      <c r="Z33" s="143" t="e">
        <f t="shared" si="63"/>
        <v>#REF!</v>
      </c>
      <c r="AA33" s="143" t="e">
        <f>SUM(O33:R33)</f>
        <v>#REF!</v>
      </c>
      <c r="AC33" s="127" t="e">
        <f t="shared" si="64"/>
        <v>#REF!</v>
      </c>
    </row>
    <row r="34" spans="2:29" ht="12.75" customHeight="1">
      <c r="B34" s="23" t="s">
        <v>129</v>
      </c>
      <c r="C34" s="149" t="e">
        <f>-C23</f>
        <v>#REF!</v>
      </c>
      <c r="D34" s="149" t="e">
        <f t="shared" ref="D34:F34" si="67">-D23</f>
        <v>#REF!</v>
      </c>
      <c r="E34" s="149" t="e">
        <f t="shared" si="67"/>
        <v>#REF!</v>
      </c>
      <c r="F34" s="149" t="e">
        <f t="shared" si="67"/>
        <v>#REF!</v>
      </c>
      <c r="H34" s="149" t="e">
        <f t="shared" ref="H34:R34" si="68">-H23</f>
        <v>#REF!</v>
      </c>
      <c r="I34" s="149" t="e">
        <f t="shared" si="68"/>
        <v>#REF!</v>
      </c>
      <c r="J34" s="149" t="e">
        <f t="shared" si="68"/>
        <v>#REF!</v>
      </c>
      <c r="K34" s="149" t="e">
        <f t="shared" si="68"/>
        <v>#REF!</v>
      </c>
      <c r="L34" s="149" t="e">
        <f t="shared" si="68"/>
        <v>#REF!</v>
      </c>
      <c r="M34" s="149" t="e">
        <f t="shared" si="68"/>
        <v>#REF!</v>
      </c>
      <c r="N34" s="149" t="e">
        <f t="shared" si="68"/>
        <v>#REF!</v>
      </c>
      <c r="O34" s="149" t="e">
        <f t="shared" si="68"/>
        <v>#REF!</v>
      </c>
      <c r="P34" s="149" t="e">
        <f t="shared" si="68"/>
        <v>#REF!</v>
      </c>
      <c r="Q34" s="149" t="e">
        <f t="shared" si="68"/>
        <v>#REF!</v>
      </c>
      <c r="R34" s="149" t="e">
        <f t="shared" si="68"/>
        <v>#REF!</v>
      </c>
      <c r="T34" s="143" t="e">
        <f t="shared" si="63"/>
        <v>#REF!</v>
      </c>
      <c r="U34" s="143" t="e">
        <f t="shared" si="63"/>
        <v>#REF!</v>
      </c>
      <c r="V34" s="143" t="e">
        <f t="shared" si="63"/>
        <v>#REF!</v>
      </c>
      <c r="W34" s="143" t="e">
        <f t="shared" si="63"/>
        <v>#REF!</v>
      </c>
      <c r="X34" s="143" t="e">
        <f t="shared" si="63"/>
        <v>#REF!</v>
      </c>
      <c r="Y34" s="143" t="e">
        <f t="shared" si="63"/>
        <v>#REF!</v>
      </c>
      <c r="Z34" s="143" t="e">
        <f t="shared" si="63"/>
        <v>#REF!</v>
      </c>
      <c r="AA34" s="143" t="e">
        <f>SUM(O34:R34)</f>
        <v>#REF!</v>
      </c>
      <c r="AC34" s="127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8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9" t="e">
        <f>SUM(AA36-W36)*10000</f>
        <v>#REF!</v>
      </c>
    </row>
    <row r="37" spans="2:29" ht="5.0999999999999996" customHeight="1">
      <c r="AC37" s="126"/>
    </row>
    <row r="38" spans="2:29" ht="12.75" customHeight="1">
      <c r="B38" s="23" t="s">
        <v>35</v>
      </c>
      <c r="C38" s="142">
        <f>'Historical Financials'!H122</f>
        <v>-900.7</v>
      </c>
      <c r="D38" s="142">
        <f>'Historical Financials'!I122</f>
        <v>-1281.8</v>
      </c>
      <c r="E38" s="142">
        <f>'Historical Financials'!J122</f>
        <v>-2155.6</v>
      </c>
      <c r="F38" s="142">
        <f>'Historical Financials'!K122</f>
        <v>-2067.1999999999998</v>
      </c>
      <c r="H38" s="142">
        <f>'Historical Financials'!M122</f>
        <v>-532</v>
      </c>
      <c r="I38" s="142">
        <f>'Historical Financials'!N122</f>
        <v>-537.79999999999995</v>
      </c>
      <c r="J38" s="142">
        <f>'Historical Financials'!O122</f>
        <v>-501.8</v>
      </c>
      <c r="K38" s="142">
        <f>'Historical Financials'!P122</f>
        <v>-584</v>
      </c>
      <c r="L38" s="142">
        <f>'Historical Financials'!Q122</f>
        <v>-417.3</v>
      </c>
      <c r="M38" s="142">
        <f>'Historical Financials'!R122</f>
        <v>-531</v>
      </c>
      <c r="N38" s="142">
        <f>'Historical Financials'!S122</f>
        <v>-414.9</v>
      </c>
      <c r="O38" s="142">
        <f>'Historical Financials'!T122</f>
        <v>-704</v>
      </c>
      <c r="P38" s="142">
        <f>'Historical Financials'!U122</f>
        <v>-415</v>
      </c>
      <c r="Q38" s="142">
        <f>'Historical Financials'!V122</f>
        <v>-414.8</v>
      </c>
      <c r="R38" s="142">
        <f>'Historical Financials'!W122</f>
        <v>-295.89999999999998</v>
      </c>
      <c r="T38" s="10">
        <f t="shared" ref="T38:AA41" si="91">SUM(H38:K38)</f>
        <v>-2155.6</v>
      </c>
      <c r="U38" s="10">
        <f t="shared" si="91"/>
        <v>-2040.8999999999999</v>
      </c>
      <c r="V38" s="10">
        <f t="shared" si="91"/>
        <v>-2034.1</v>
      </c>
      <c r="W38" s="143">
        <f t="shared" si="91"/>
        <v>-1947.1999999999998</v>
      </c>
      <c r="X38" s="143">
        <f t="shared" si="91"/>
        <v>-2067.1999999999998</v>
      </c>
      <c r="Y38" s="143">
        <f t="shared" si="91"/>
        <v>-2064.9</v>
      </c>
      <c r="Z38" s="143">
        <f t="shared" si="91"/>
        <v>-1948.7</v>
      </c>
      <c r="AA38" s="143">
        <f t="shared" si="91"/>
        <v>-1829.6999999999998</v>
      </c>
      <c r="AC38" s="127">
        <f>SUM(AA38/W38)-1</f>
        <v>-6.0343056696795405E-2</v>
      </c>
    </row>
    <row r="39" spans="2:29" ht="12.75" customHeight="1">
      <c r="B39" s="23" t="s">
        <v>36</v>
      </c>
      <c r="C39" s="142">
        <f>-'Historical Financials'!H155</f>
        <v>1235</v>
      </c>
      <c r="D39" s="142">
        <f>-'Historical Financials'!I155</f>
        <v>1734.6</v>
      </c>
      <c r="E39" s="142">
        <f>-'Historical Financials'!J155</f>
        <v>2568.3000000000002</v>
      </c>
      <c r="F39" s="142">
        <f>-'Historical Financials'!K155</f>
        <v>1098</v>
      </c>
      <c r="H39" s="142">
        <f>-'Historical Financials'!M155</f>
        <v>0</v>
      </c>
      <c r="I39" s="142">
        <f>-'Historical Financials'!N155</f>
        <v>0</v>
      </c>
      <c r="J39" s="142">
        <f>-'Historical Financials'!O155</f>
        <v>0</v>
      </c>
      <c r="K39" s="142">
        <f>-'Historical Financials'!P155</f>
        <v>2568.3000000000002</v>
      </c>
      <c r="L39" s="142">
        <f>-'Historical Financials'!Q155</f>
        <v>0</v>
      </c>
      <c r="M39" s="142">
        <f>-'Historical Financials'!R155</f>
        <v>0</v>
      </c>
      <c r="N39" s="142">
        <f>-'Historical Financials'!S155</f>
        <v>0</v>
      </c>
      <c r="O39" s="142">
        <f>-'Historical Financials'!T155</f>
        <v>1098</v>
      </c>
      <c r="P39" s="142">
        <f>-'Historical Financials'!U155</f>
        <v>0</v>
      </c>
      <c r="Q39" s="142">
        <f>-'Historical Financials'!V155</f>
        <v>0</v>
      </c>
      <c r="R39" s="142">
        <f>-'Historical Financials'!W155</f>
        <v>0</v>
      </c>
      <c r="T39" s="10">
        <f t="shared" si="91"/>
        <v>2568.3000000000002</v>
      </c>
      <c r="U39" s="10">
        <f t="shared" si="91"/>
        <v>2568.3000000000002</v>
      </c>
      <c r="V39" s="10">
        <f t="shared" si="91"/>
        <v>2568.3000000000002</v>
      </c>
      <c r="W39" s="143">
        <f t="shared" si="91"/>
        <v>2568.3000000000002</v>
      </c>
      <c r="X39" s="143">
        <f t="shared" si="91"/>
        <v>1098</v>
      </c>
      <c r="Y39" s="143">
        <f t="shared" si="91"/>
        <v>1098</v>
      </c>
      <c r="Z39" s="143">
        <f t="shared" si="91"/>
        <v>1098</v>
      </c>
      <c r="AA39" s="143">
        <f t="shared" si="91"/>
        <v>1098</v>
      </c>
      <c r="AC39" s="127">
        <f>SUM(AA39/W39)-1</f>
        <v>-0.57247985048475647</v>
      </c>
    </row>
    <row r="40" spans="2:29" ht="12.75" customHeight="1">
      <c r="B40" s="23" t="s">
        <v>70</v>
      </c>
      <c r="C40" s="142">
        <f>-'Historical Financials'!H154</f>
        <v>83</v>
      </c>
      <c r="D40" s="142">
        <f>-'Historical Financials'!I154</f>
        <v>82.2</v>
      </c>
      <c r="E40" s="142">
        <f>-'Historical Financials'!J154</f>
        <v>137.80000000000001</v>
      </c>
      <c r="F40" s="142">
        <f>-'Historical Financials'!K154</f>
        <v>160</v>
      </c>
      <c r="H40" s="149">
        <f>$E$40/4</f>
        <v>34.450000000000003</v>
      </c>
      <c r="I40" s="149">
        <f t="shared" ref="I40:K40" si="92">$E$40/4</f>
        <v>34.450000000000003</v>
      </c>
      <c r="J40" s="149">
        <f t="shared" si="92"/>
        <v>34.450000000000003</v>
      </c>
      <c r="K40" s="149">
        <f t="shared" si="92"/>
        <v>34.450000000000003</v>
      </c>
      <c r="L40" s="149">
        <f>$F$40/4</f>
        <v>40</v>
      </c>
      <c r="M40" s="149">
        <f t="shared" ref="M40:O40" si="93">$F$40/4</f>
        <v>40</v>
      </c>
      <c r="N40" s="149">
        <f t="shared" si="93"/>
        <v>40</v>
      </c>
      <c r="O40" s="149">
        <f t="shared" si="93"/>
        <v>40</v>
      </c>
      <c r="P40" s="149">
        <f>O40</f>
        <v>40</v>
      </c>
      <c r="Q40" s="149">
        <f t="shared" ref="Q40:R40" si="94">P40</f>
        <v>40</v>
      </c>
      <c r="R40" s="149">
        <f t="shared" si="94"/>
        <v>40</v>
      </c>
      <c r="T40" s="10">
        <f t="shared" si="91"/>
        <v>137.80000000000001</v>
      </c>
      <c r="U40" s="10">
        <f t="shared" si="91"/>
        <v>143.35000000000002</v>
      </c>
      <c r="V40" s="10">
        <f t="shared" si="91"/>
        <v>148.9</v>
      </c>
      <c r="W40" s="143">
        <f t="shared" si="91"/>
        <v>154.44999999999999</v>
      </c>
      <c r="X40" s="143">
        <f t="shared" si="91"/>
        <v>160</v>
      </c>
      <c r="Y40" s="143">
        <f t="shared" si="91"/>
        <v>160</v>
      </c>
      <c r="Z40" s="143">
        <f t="shared" si="91"/>
        <v>160</v>
      </c>
      <c r="AA40" s="143">
        <f t="shared" si="91"/>
        <v>160</v>
      </c>
      <c r="AC40" s="127">
        <f>SUM(AA40/W40)-1</f>
        <v>3.5933959210100452E-2</v>
      </c>
    </row>
    <row r="41" spans="2:29" ht="12.75" customHeight="1">
      <c r="B41" s="23" t="s">
        <v>37</v>
      </c>
      <c r="C41" s="142" t="e">
        <f>SUM('Historical Financials'!#REF!)</f>
        <v>#REF!</v>
      </c>
      <c r="D41" s="142" t="e">
        <f>SUM('Historical Financials'!#REF!)</f>
        <v>#REF!</v>
      </c>
      <c r="E41" s="142" t="e">
        <f>SUM('Historical Financials'!#REF!)</f>
        <v>#REF!</v>
      </c>
      <c r="F41" s="142" t="e">
        <f>SUM('Historical Financials'!#REF!)</f>
        <v>#REF!</v>
      </c>
      <c r="H41" s="142" t="e">
        <f>SUM('Historical Financials'!#REF!)</f>
        <v>#REF!</v>
      </c>
      <c r="I41" s="142" t="e">
        <f>SUM('Historical Financials'!#REF!)</f>
        <v>#REF!</v>
      </c>
      <c r="J41" s="142" t="e">
        <f>SUM('Historical Financials'!#REF!)</f>
        <v>#REF!</v>
      </c>
      <c r="K41" s="142" t="e">
        <f>SUM('Historical Financials'!#REF!)</f>
        <v>#REF!</v>
      </c>
      <c r="L41" s="142" t="e">
        <f>SUM('Historical Financials'!#REF!)</f>
        <v>#REF!</v>
      </c>
      <c r="M41" s="142" t="e">
        <f>SUM('Historical Financials'!#REF!)</f>
        <v>#REF!</v>
      </c>
      <c r="N41" s="142" t="e">
        <f>SUM('Historical Financials'!#REF!)</f>
        <v>#REF!</v>
      </c>
      <c r="O41" s="142" t="e">
        <f>SUM('Historical Financials'!#REF!)</f>
        <v>#REF!</v>
      </c>
      <c r="P41" s="142" t="e">
        <f>SUM('Historical Financials'!#REF!)</f>
        <v>#REF!</v>
      </c>
      <c r="Q41" s="142" t="e">
        <f>SUM('Historical Financials'!#REF!)</f>
        <v>#REF!</v>
      </c>
      <c r="R41" s="142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3" t="e">
        <f t="shared" si="91"/>
        <v>#REF!</v>
      </c>
      <c r="X41" s="143" t="e">
        <f t="shared" si="91"/>
        <v>#REF!</v>
      </c>
      <c r="Y41" s="143" t="e">
        <f t="shared" si="91"/>
        <v>#REF!</v>
      </c>
      <c r="Z41" s="143" t="e">
        <f t="shared" si="91"/>
        <v>#REF!</v>
      </c>
      <c r="AA41" s="143" t="e">
        <f t="shared" si="91"/>
        <v>#REF!</v>
      </c>
      <c r="AC41" s="127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8" t="e">
        <f>SUM(AA42/W42)-1</f>
        <v>#REF!</v>
      </c>
    </row>
    <row r="43" spans="2:29" ht="5.0999999999999996" customHeight="1"/>
    <row r="44" spans="2:29" ht="12.75" customHeight="1">
      <c r="B44" s="31" t="s">
        <v>99</v>
      </c>
      <c r="C44" s="142">
        <f>'Historical Financials'!H126</f>
        <v>-124.4</v>
      </c>
      <c r="D44" s="142">
        <f>'Historical Financials'!I126</f>
        <v>-240</v>
      </c>
      <c r="E44" s="142">
        <f>'Historical Financials'!J126</f>
        <v>-561.5</v>
      </c>
      <c r="F44" s="142">
        <f>'Historical Financials'!K126</f>
        <v>-526.20000000000005</v>
      </c>
      <c r="G44" s="32"/>
      <c r="H44" s="142">
        <f>'Historical Financials'!M126</f>
        <v>0</v>
      </c>
      <c r="I44" s="142">
        <f>'Historical Financials'!N126</f>
        <v>0</v>
      </c>
      <c r="J44" s="142">
        <f>'Historical Financials'!O126</f>
        <v>-553</v>
      </c>
      <c r="K44" s="142">
        <f>'Historical Financials'!P126</f>
        <v>-8.5</v>
      </c>
      <c r="L44" s="142">
        <f>'Historical Financials'!Q126</f>
        <v>0.2</v>
      </c>
      <c r="M44" s="142">
        <f>'Historical Financials'!R126</f>
        <v>0.3</v>
      </c>
      <c r="N44" s="142">
        <f>'Historical Financials'!S126</f>
        <v>0.7</v>
      </c>
      <c r="O44" s="142">
        <f>'Historical Financials'!T126</f>
        <v>-527.4</v>
      </c>
      <c r="P44" s="142">
        <f>'Historical Financials'!U126</f>
        <v>0.8</v>
      </c>
      <c r="Q44" s="142">
        <f>'Historical Financials'!V126</f>
        <v>0.9</v>
      </c>
      <c r="R44" s="142">
        <f>'Historical Financials'!W126</f>
        <v>-405.9</v>
      </c>
      <c r="T44" s="143">
        <f t="shared" ref="T44:Z50" si="97">SUM(H44:K44)</f>
        <v>-561.5</v>
      </c>
      <c r="U44" s="143">
        <f t="shared" si="97"/>
        <v>-561.29999999999995</v>
      </c>
      <c r="V44" s="143">
        <f t="shared" si="97"/>
        <v>-561</v>
      </c>
      <c r="W44" s="143">
        <f t="shared" si="97"/>
        <v>-7.3</v>
      </c>
      <c r="X44" s="143">
        <f t="shared" si="97"/>
        <v>-526.19999999999993</v>
      </c>
      <c r="Y44" s="143">
        <f t="shared" si="97"/>
        <v>-525.6</v>
      </c>
      <c r="Z44" s="143">
        <f t="shared" si="97"/>
        <v>-525</v>
      </c>
      <c r="AA44" s="143">
        <f t="shared" ref="AA44:AA50" si="98">SUM(O44:R44)</f>
        <v>-931.6</v>
      </c>
    </row>
    <row r="45" spans="2:29" ht="12.75" customHeight="1">
      <c r="B45" s="31" t="s">
        <v>89</v>
      </c>
      <c r="C45" s="142">
        <f>'Historical Financials'!H130</f>
        <v>0</v>
      </c>
      <c r="D45" s="142">
        <f>'Historical Financials'!I130</f>
        <v>0</v>
      </c>
      <c r="E45" s="142">
        <f>'Historical Financials'!J130</f>
        <v>0</v>
      </c>
      <c r="F45" s="142">
        <f>'Historical Financials'!K130</f>
        <v>0</v>
      </c>
      <c r="G45" s="32"/>
      <c r="H45" s="142">
        <f>'Historical Financials'!M130</f>
        <v>0</v>
      </c>
      <c r="I45" s="142">
        <f>'Historical Financials'!N130</f>
        <v>0</v>
      </c>
      <c r="J45" s="142">
        <f>'Historical Financials'!O130</f>
        <v>0</v>
      </c>
      <c r="K45" s="142">
        <f>'Historical Financials'!P130</f>
        <v>0</v>
      </c>
      <c r="L45" s="142">
        <f>'Historical Financials'!Q130</f>
        <v>0</v>
      </c>
      <c r="M45" s="142">
        <f>'Historical Financials'!R130</f>
        <v>0</v>
      </c>
      <c r="N45" s="142">
        <f>'Historical Financials'!S130</f>
        <v>0</v>
      </c>
      <c r="O45" s="142">
        <f>'Historical Financials'!T130</f>
        <v>0</v>
      </c>
      <c r="P45" s="142">
        <f>'Historical Financials'!U130</f>
        <v>0</v>
      </c>
      <c r="Q45" s="142">
        <f>'Historical Financials'!V130</f>
        <v>0</v>
      </c>
      <c r="R45" s="142">
        <f>'Historical Financials'!W130</f>
        <v>0</v>
      </c>
      <c r="T45" s="143">
        <f t="shared" si="97"/>
        <v>0</v>
      </c>
      <c r="U45" s="143">
        <f t="shared" si="97"/>
        <v>0</v>
      </c>
      <c r="V45" s="143">
        <f t="shared" si="97"/>
        <v>0</v>
      </c>
      <c r="W45" s="143">
        <f t="shared" si="97"/>
        <v>0</v>
      </c>
      <c r="X45" s="143">
        <f t="shared" si="97"/>
        <v>0</v>
      </c>
      <c r="Y45" s="143">
        <f t="shared" si="97"/>
        <v>0</v>
      </c>
      <c r="Z45" s="143">
        <f t="shared" si="97"/>
        <v>0</v>
      </c>
      <c r="AA45" s="143">
        <f t="shared" si="98"/>
        <v>0</v>
      </c>
    </row>
    <row r="46" spans="2:29" ht="12.75" customHeight="1">
      <c r="B46" s="31" t="s">
        <v>130</v>
      </c>
      <c r="C46" s="142">
        <f>'Historical Financials'!H127</f>
        <v>329</v>
      </c>
      <c r="D46" s="142">
        <f>'Historical Financials'!I127</f>
        <v>0</v>
      </c>
      <c r="E46" s="142">
        <f>'Historical Financials'!J127</f>
        <v>0</v>
      </c>
      <c r="F46" s="142">
        <f>'Historical Financials'!K127</f>
        <v>0</v>
      </c>
      <c r="G46" s="32"/>
      <c r="H46" s="142">
        <f>'Historical Financials'!M127</f>
        <v>0</v>
      </c>
      <c r="I46" s="142">
        <f>'Historical Financials'!N127</f>
        <v>0</v>
      </c>
      <c r="J46" s="142">
        <f>'Historical Financials'!O127</f>
        <v>0</v>
      </c>
      <c r="K46" s="142">
        <f>'Historical Financials'!P127</f>
        <v>0</v>
      </c>
      <c r="L46" s="142">
        <f>'Historical Financials'!Q127</f>
        <v>0</v>
      </c>
      <c r="M46" s="142">
        <f>'Historical Financials'!R127</f>
        <v>0</v>
      </c>
      <c r="N46" s="142">
        <f>'Historical Financials'!S127</f>
        <v>0</v>
      </c>
      <c r="O46" s="142">
        <f>'Historical Financials'!T127</f>
        <v>0</v>
      </c>
      <c r="P46" s="142">
        <f>'Historical Financials'!U127</f>
        <v>0</v>
      </c>
      <c r="Q46" s="142">
        <f>'Historical Financials'!V127</f>
        <v>0</v>
      </c>
      <c r="R46" s="142">
        <f>'Historical Financials'!W127</f>
        <v>-2771.5</v>
      </c>
      <c r="T46" s="143">
        <f t="shared" si="97"/>
        <v>0</v>
      </c>
      <c r="U46" s="143">
        <f t="shared" si="97"/>
        <v>0</v>
      </c>
      <c r="V46" s="143">
        <f t="shared" si="97"/>
        <v>0</v>
      </c>
      <c r="W46" s="143">
        <f t="shared" si="97"/>
        <v>0</v>
      </c>
      <c r="X46" s="143">
        <f t="shared" si="97"/>
        <v>0</v>
      </c>
      <c r="Y46" s="143">
        <f t="shared" si="97"/>
        <v>0</v>
      </c>
      <c r="Z46" s="143">
        <f t="shared" si="97"/>
        <v>0</v>
      </c>
      <c r="AA46" s="143">
        <f t="shared" si="98"/>
        <v>-2771.5</v>
      </c>
    </row>
    <row r="47" spans="2:29" ht="12.75" customHeight="1">
      <c r="B47" s="31" t="s">
        <v>100</v>
      </c>
      <c r="C47" s="142">
        <f>'Historical Financials'!H134</f>
        <v>-1368.3</v>
      </c>
      <c r="D47" s="142">
        <f>'Historical Financials'!I134</f>
        <v>-2559.8000000000002</v>
      </c>
      <c r="E47" s="142">
        <f>'Historical Financials'!J134</f>
        <v>-2348.3000000000002</v>
      </c>
      <c r="F47" s="142">
        <f>'Historical Financials'!K134</f>
        <v>-2452.9</v>
      </c>
      <c r="G47" s="32"/>
      <c r="H47" s="142">
        <f>'Historical Financials'!M134</f>
        <v>-541.1</v>
      </c>
      <c r="I47" s="142">
        <f>'Historical Financials'!N134</f>
        <v>-666.1</v>
      </c>
      <c r="J47" s="142">
        <f>'Historical Financials'!O134</f>
        <v>-570.4</v>
      </c>
      <c r="K47" s="142">
        <f>'Historical Financials'!P134</f>
        <v>-570.79999999999995</v>
      </c>
      <c r="L47" s="142">
        <f>'Historical Financials'!Q134</f>
        <v>-571</v>
      </c>
      <c r="M47" s="142">
        <f>'Historical Financials'!R134</f>
        <v>-688.3</v>
      </c>
      <c r="N47" s="142">
        <f>'Historical Financials'!S134</f>
        <v>-595.79999999999995</v>
      </c>
      <c r="O47" s="142">
        <f>'Historical Financials'!T134</f>
        <v>-597.79999999999995</v>
      </c>
      <c r="P47" s="142">
        <f>'Historical Financials'!U134</f>
        <v>-597.20000000000005</v>
      </c>
      <c r="Q47" s="142">
        <f>'Historical Financials'!V134</f>
        <v>-714.4</v>
      </c>
      <c r="R47" s="142">
        <f>'Historical Financials'!W134</f>
        <v>-619.6</v>
      </c>
      <c r="T47" s="143">
        <f t="shared" si="97"/>
        <v>-2348.3999999999996</v>
      </c>
      <c r="U47" s="143">
        <f t="shared" si="97"/>
        <v>-2378.3000000000002</v>
      </c>
      <c r="V47" s="143">
        <f t="shared" si="97"/>
        <v>-2400.5</v>
      </c>
      <c r="W47" s="143">
        <f t="shared" si="97"/>
        <v>-2425.8999999999996</v>
      </c>
      <c r="X47" s="143">
        <f t="shared" si="97"/>
        <v>-2452.8999999999996</v>
      </c>
      <c r="Y47" s="143">
        <f t="shared" si="97"/>
        <v>-2479.1</v>
      </c>
      <c r="Z47" s="143">
        <f t="shared" si="97"/>
        <v>-2505.1999999999998</v>
      </c>
      <c r="AA47" s="143">
        <f t="shared" si="98"/>
        <v>-2529</v>
      </c>
    </row>
    <row r="48" spans="2:29" ht="12.75" customHeight="1">
      <c r="B48" s="31" t="s">
        <v>131</v>
      </c>
      <c r="C48" s="142">
        <f>'Historical Financials'!H137</f>
        <v>0</v>
      </c>
      <c r="D48" s="142">
        <f>'Historical Financials'!I137</f>
        <v>495.6</v>
      </c>
      <c r="E48" s="142">
        <f>'Historical Financials'!J137</f>
        <v>997.8</v>
      </c>
      <c r="F48" s="142">
        <f>'Historical Financials'!K137</f>
        <v>22.5</v>
      </c>
      <c r="G48" s="32"/>
      <c r="H48" s="142">
        <f>'Historical Financials'!M137</f>
        <v>0</v>
      </c>
      <c r="I48" s="142">
        <f>'Historical Financials'!N137</f>
        <v>997.8</v>
      </c>
      <c r="J48" s="142">
        <f>'Historical Financials'!O137</f>
        <v>0</v>
      </c>
      <c r="K48" s="142">
        <f>'Historical Financials'!P137</f>
        <v>0</v>
      </c>
      <c r="L48" s="142">
        <f>'Historical Financials'!Q137</f>
        <v>0</v>
      </c>
      <c r="M48" s="142">
        <f>'Historical Financials'!R137</f>
        <v>0</v>
      </c>
      <c r="N48" s="142">
        <f>'Historical Financials'!S137</f>
        <v>0</v>
      </c>
      <c r="O48" s="142">
        <f>'Historical Financials'!T137</f>
        <v>22.5</v>
      </c>
      <c r="P48" s="142">
        <f>'Historical Financials'!U137</f>
        <v>0</v>
      </c>
      <c r="Q48" s="142">
        <f>'Historical Financials'!V137</f>
        <v>0</v>
      </c>
      <c r="R48" s="142">
        <f>'Historical Financials'!W137</f>
        <v>15</v>
      </c>
      <c r="T48" s="143">
        <f t="shared" si="97"/>
        <v>997.8</v>
      </c>
      <c r="U48" s="143">
        <f t="shared" si="97"/>
        <v>997.8</v>
      </c>
      <c r="V48" s="143">
        <f t="shared" si="97"/>
        <v>0</v>
      </c>
      <c r="W48" s="143">
        <f t="shared" si="97"/>
        <v>0</v>
      </c>
      <c r="X48" s="143">
        <f t="shared" si="97"/>
        <v>22.5</v>
      </c>
      <c r="Y48" s="143">
        <f t="shared" si="97"/>
        <v>22.5</v>
      </c>
      <c r="Z48" s="143">
        <f t="shared" si="97"/>
        <v>22.5</v>
      </c>
      <c r="AA48" s="143">
        <f t="shared" si="98"/>
        <v>37.5</v>
      </c>
    </row>
    <row r="49" spans="1:27" ht="12.75" customHeight="1">
      <c r="B49" s="31" t="s">
        <v>101</v>
      </c>
      <c r="C49" s="142">
        <f>SUM('Historical Financials'!H139:H139)</f>
        <v>0</v>
      </c>
      <c r="D49" s="142">
        <f>SUM('Historical Financials'!I139:I139)</f>
        <v>0</v>
      </c>
      <c r="E49" s="142">
        <f>SUM('Historical Financials'!J139:J139)</f>
        <v>0</v>
      </c>
      <c r="F49" s="142">
        <f>SUM('Historical Financials'!K139:K139)</f>
        <v>0</v>
      </c>
      <c r="G49" s="32"/>
      <c r="H49" s="142">
        <f>SUM('Historical Financials'!M139:M139)</f>
        <v>0</v>
      </c>
      <c r="I49" s="142">
        <f>SUM('Historical Financials'!N139:N139)</f>
        <v>0</v>
      </c>
      <c r="J49" s="142">
        <f>SUM('Historical Financials'!O139:O139)</f>
        <v>0</v>
      </c>
      <c r="K49" s="142">
        <f>SUM('Historical Financials'!P139:P139)</f>
        <v>0</v>
      </c>
      <c r="L49" s="142">
        <f>SUM('Historical Financials'!Q139:Q139)</f>
        <v>0</v>
      </c>
      <c r="M49" s="142">
        <f>SUM('Historical Financials'!R139:R139)</f>
        <v>0</v>
      </c>
      <c r="N49" s="142">
        <f>SUM('Historical Financials'!S139:S139)</f>
        <v>0</v>
      </c>
      <c r="O49" s="142">
        <f>SUM('Historical Financials'!T139:T139)</f>
        <v>0</v>
      </c>
      <c r="P49" s="142">
        <f>SUM('Historical Financials'!U139:U139)</f>
        <v>0</v>
      </c>
      <c r="Q49" s="142">
        <f>SUM('Historical Financials'!V139:V139)</f>
        <v>0</v>
      </c>
      <c r="R49" s="142">
        <f>SUM('Historical Financials'!W139:W139)</f>
        <v>0</v>
      </c>
      <c r="T49" s="143">
        <f t="shared" si="97"/>
        <v>0</v>
      </c>
      <c r="U49" s="143">
        <f t="shared" si="97"/>
        <v>0</v>
      </c>
      <c r="V49" s="143">
        <f t="shared" si="97"/>
        <v>0</v>
      </c>
      <c r="W49" s="143">
        <f t="shared" si="97"/>
        <v>0</v>
      </c>
      <c r="X49" s="143">
        <f t="shared" si="97"/>
        <v>0</v>
      </c>
      <c r="Y49" s="143">
        <f t="shared" si="97"/>
        <v>0</v>
      </c>
      <c r="Z49" s="143">
        <f t="shared" si="97"/>
        <v>0</v>
      </c>
      <c r="AA49" s="143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3" t="e">
        <f t="shared" si="97"/>
        <v>#REF!</v>
      </c>
      <c r="U50" s="143" t="e">
        <f t="shared" si="97"/>
        <v>#REF!</v>
      </c>
      <c r="V50" s="143" t="e">
        <f t="shared" si="97"/>
        <v>#REF!</v>
      </c>
      <c r="W50" s="143" t="e">
        <f t="shared" si="97"/>
        <v>#REF!</v>
      </c>
      <c r="X50" s="143" t="e">
        <f t="shared" si="97"/>
        <v>#REF!</v>
      </c>
      <c r="Y50" s="143" t="e">
        <f t="shared" si="97"/>
        <v>#REF!</v>
      </c>
      <c r="Z50" s="143" t="e">
        <f t="shared" si="97"/>
        <v>#REF!</v>
      </c>
      <c r="AA50" s="143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Financials'!H46</f>
        <v>6951.8</v>
      </c>
      <c r="D55" s="94">
        <f>'Historical Financials'!I46</f>
        <v>7268.3</v>
      </c>
      <c r="E55" s="94">
        <f>'Historical Financials'!J46</f>
        <v>7004.7</v>
      </c>
      <c r="F55" s="94">
        <f>'Historical Financials'!K46</f>
        <v>12735.9</v>
      </c>
      <c r="G55" s="32"/>
      <c r="H55" s="94">
        <f>'Historical Financials'!M46</f>
        <v>6647.7</v>
      </c>
      <c r="I55" s="94">
        <f>'Historical Financials'!N46</f>
        <v>6341.3</v>
      </c>
      <c r="J55" s="94">
        <f>'Historical Financials'!O46</f>
        <v>4975.5</v>
      </c>
      <c r="K55" s="94">
        <f>'Historical Financials'!P46</f>
        <v>7004.7</v>
      </c>
      <c r="L55" s="94">
        <f>'Historical Financials'!Q46</f>
        <v>5100.8</v>
      </c>
      <c r="M55" s="94">
        <f>'Historical Financials'!R46</f>
        <v>4813.6000000000004</v>
      </c>
      <c r="N55" s="94">
        <f>'Historical Financials'!S46</f>
        <v>4979.3</v>
      </c>
      <c r="O55" s="94">
        <f>'Historical Financials'!T46</f>
        <v>12735.9</v>
      </c>
      <c r="P55" s="94">
        <f>'Historical Financials'!U46</f>
        <v>9098.4</v>
      </c>
      <c r="Q55" s="94">
        <f>'Historical Financials'!V46</f>
        <v>7243.5</v>
      </c>
      <c r="R55" s="94">
        <f>'Historical Financials'!W46</f>
        <v>5126.5</v>
      </c>
      <c r="T55" s="10">
        <f t="shared" ref="T55:Z57" si="102">K55</f>
        <v>7004.7</v>
      </c>
      <c r="U55" s="10">
        <f t="shared" si="102"/>
        <v>5100.8</v>
      </c>
      <c r="V55" s="10">
        <f t="shared" si="102"/>
        <v>4813.6000000000004</v>
      </c>
      <c r="W55" s="10">
        <f t="shared" si="102"/>
        <v>4979.3</v>
      </c>
      <c r="X55" s="10">
        <f t="shared" si="102"/>
        <v>12735.9</v>
      </c>
      <c r="Y55" s="10">
        <f t="shared" si="102"/>
        <v>9098.4</v>
      </c>
      <c r="Z55" s="10">
        <f t="shared" si="102"/>
        <v>7243.5</v>
      </c>
      <c r="AA55" s="10">
        <f>R55</f>
        <v>5126.5</v>
      </c>
    </row>
    <row r="56" spans="1:27" ht="12.75" customHeight="1">
      <c r="B56" s="8" t="s">
        <v>132</v>
      </c>
      <c r="C56" s="94">
        <f>'Historical Financials'!H48</f>
        <v>3028</v>
      </c>
      <c r="D56" s="94">
        <f>'Historical Financials'!I48</f>
        <v>5323.8</v>
      </c>
      <c r="E56" s="94">
        <f>'Historical Financials'!J48</f>
        <v>4334.1000000000004</v>
      </c>
      <c r="F56" s="94">
        <f>'Historical Financials'!K48</f>
        <v>4477.5</v>
      </c>
      <c r="G56" s="32"/>
      <c r="H56" s="94">
        <f>'Historical Financials'!M48</f>
        <v>3454.7</v>
      </c>
      <c r="I56" s="94">
        <f>'Historical Financials'!N48</f>
        <v>3963.6</v>
      </c>
      <c r="J56" s="94">
        <f>'Historical Financials'!O48</f>
        <v>3910.5</v>
      </c>
      <c r="K56" s="94">
        <f>'Historical Financials'!P48</f>
        <v>4334.1000000000004</v>
      </c>
      <c r="L56" s="94">
        <f>'Historical Financials'!Q48</f>
        <v>3585.5</v>
      </c>
      <c r="M56" s="94">
        <f>'Historical Financials'!R48</f>
        <v>4475.8</v>
      </c>
      <c r="N56" s="94">
        <f>'Historical Financials'!S48</f>
        <v>5160.6000000000004</v>
      </c>
      <c r="O56" s="94">
        <f>'Historical Financials'!T48</f>
        <v>4477.5</v>
      </c>
      <c r="P56" s="94">
        <f>'Historical Financials'!U48</f>
        <v>4597.5</v>
      </c>
      <c r="Q56" s="94">
        <f>'Historical Financials'!V48</f>
        <v>4996.8999999999996</v>
      </c>
      <c r="R56" s="94">
        <f>'Historical Financials'!W48</f>
        <v>5364.3</v>
      </c>
      <c r="T56" s="10">
        <f t="shared" si="102"/>
        <v>4334.1000000000004</v>
      </c>
      <c r="U56" s="10">
        <f t="shared" si="102"/>
        <v>3585.5</v>
      </c>
      <c r="V56" s="10">
        <f t="shared" si="102"/>
        <v>4475.8</v>
      </c>
      <c r="W56" s="10">
        <f t="shared" si="102"/>
        <v>5160.6000000000004</v>
      </c>
      <c r="X56" s="10">
        <f t="shared" si="102"/>
        <v>4477.5</v>
      </c>
      <c r="Y56" s="10">
        <f t="shared" si="102"/>
        <v>4597.5</v>
      </c>
      <c r="Z56" s="10">
        <f t="shared" si="102"/>
        <v>4996.8999999999996</v>
      </c>
      <c r="AA56" s="10">
        <f>R56</f>
        <v>5364.3</v>
      </c>
    </row>
    <row r="57" spans="1:27" ht="12.75" customHeight="1">
      <c r="B57" s="31" t="s">
        <v>139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>
        <f>SUM(C55:C57)</f>
        <v>10465.799999999999</v>
      </c>
      <c r="D58" s="14">
        <f>SUM(D55:D57)</f>
        <v>15592.1</v>
      </c>
      <c r="E58" s="14">
        <f>SUM(E55:E57)</f>
        <v>14338.8</v>
      </c>
      <c r="F58" s="14">
        <f>SUM(F55:F57)</f>
        <v>20213.400000000001</v>
      </c>
      <c r="G58" s="32"/>
      <c r="H58" s="14">
        <f t="shared" ref="H58:R58" si="104">SUM(H55:H57)</f>
        <v>13102.4</v>
      </c>
      <c r="I58" s="14">
        <f t="shared" si="104"/>
        <v>13304.9</v>
      </c>
      <c r="J58" s="14">
        <f t="shared" si="104"/>
        <v>11886</v>
      </c>
      <c r="K58" s="14">
        <f t="shared" si="104"/>
        <v>14338.8</v>
      </c>
      <c r="L58" s="14">
        <f t="shared" si="104"/>
        <v>11686.3</v>
      </c>
      <c r="M58" s="14">
        <f t="shared" si="104"/>
        <v>12289.400000000001</v>
      </c>
      <c r="N58" s="14">
        <f t="shared" si="104"/>
        <v>13139.900000000001</v>
      </c>
      <c r="O58" s="14">
        <f t="shared" si="104"/>
        <v>20213.400000000001</v>
      </c>
      <c r="P58" s="14">
        <f t="shared" si="104"/>
        <v>15745.9</v>
      </c>
      <c r="Q58" s="14">
        <f t="shared" si="104"/>
        <v>15240.4</v>
      </c>
      <c r="R58" s="14">
        <f t="shared" si="104"/>
        <v>13490.8</v>
      </c>
      <c r="T58" s="14">
        <f t="shared" ref="T58:V58" si="105">SUM(T55:T55)</f>
        <v>7004.7</v>
      </c>
      <c r="U58" s="14">
        <f t="shared" si="105"/>
        <v>5100.8</v>
      </c>
      <c r="V58" s="14">
        <f t="shared" si="105"/>
        <v>4813.6000000000004</v>
      </c>
      <c r="W58" s="14">
        <f>SUM(W55:W57)</f>
        <v>13139.900000000001</v>
      </c>
      <c r="X58" s="14">
        <f>SUM(X55:X57)</f>
        <v>20213.400000000001</v>
      </c>
      <c r="Y58" s="14">
        <f>SUM(Y55:Y57)</f>
        <v>15745.9</v>
      </c>
      <c r="Z58" s="14">
        <f>SUM(Z55:Z57)</f>
        <v>15240.4</v>
      </c>
      <c r="AA58" s="14">
        <f>SUM(AA55:AA57)</f>
        <v>13490.8</v>
      </c>
    </row>
    <row r="59" spans="1:27" ht="12.75" hidden="1" customHeight="1" outlineLevel="1">
      <c r="B59" s="151" t="s">
        <v>136</v>
      </c>
      <c r="C59" s="150">
        <f>75-C75</f>
        <v>61</v>
      </c>
      <c r="D59" s="152"/>
      <c r="E59" s="152"/>
      <c r="F59" s="152"/>
      <c r="G59" s="3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T59" s="152"/>
      <c r="U59" s="152"/>
      <c r="V59" s="152"/>
      <c r="W59" s="152"/>
      <c r="X59" s="152"/>
      <c r="Y59" s="152"/>
      <c r="Z59" s="152"/>
      <c r="AA59" s="152"/>
    </row>
    <row r="60" spans="1:27" ht="12.75" hidden="1" customHeight="1" outlineLevel="1">
      <c r="B60" s="151" t="s">
        <v>137</v>
      </c>
      <c r="C60" s="150">
        <v>50</v>
      </c>
      <c r="D60" s="152"/>
      <c r="E60" s="152"/>
      <c r="F60" s="152"/>
      <c r="G60" s="3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T60" s="152"/>
      <c r="U60" s="152"/>
      <c r="V60" s="152"/>
      <c r="W60" s="152"/>
      <c r="X60" s="152"/>
      <c r="Y60" s="152"/>
      <c r="Z60" s="152"/>
      <c r="AA60" s="152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141</v>
      </c>
      <c r="C63" s="94">
        <f>'Historical Financials'!H52</f>
        <v>5179.2</v>
      </c>
      <c r="D63" s="94">
        <f>'Historical Financials'!I52</f>
        <v>7199.7</v>
      </c>
      <c r="E63" s="94">
        <f>'Historical Financials'!J52</f>
        <v>8850.7000000000007</v>
      </c>
      <c r="F63" s="94">
        <f>'Historical Financials'!K52</f>
        <v>10891.5</v>
      </c>
      <c r="H63" s="94">
        <f>'Historical Financials'!M52</f>
        <v>7392</v>
      </c>
      <c r="I63" s="94">
        <f>'Historical Financials'!N52</f>
        <v>7734.4</v>
      </c>
      <c r="J63" s="94">
        <f>'Historical Financials'!O52</f>
        <v>8378.5</v>
      </c>
      <c r="K63" s="94">
        <f>'Historical Financials'!P52</f>
        <v>8850.7000000000007</v>
      </c>
      <c r="L63" s="94">
        <f>'Historical Financials'!Q52</f>
        <v>9864.5</v>
      </c>
      <c r="M63" s="94">
        <f>'Historical Financials'!R52</f>
        <v>10972.3</v>
      </c>
      <c r="N63" s="94">
        <f>'Historical Financials'!S52</f>
        <v>11414.5</v>
      </c>
      <c r="O63" s="94">
        <f>'Historical Financials'!T52</f>
        <v>10891.5</v>
      </c>
      <c r="P63" s="94">
        <f>'Historical Financials'!U52</f>
        <v>11024.7</v>
      </c>
      <c r="Q63" s="94">
        <f>'Historical Financials'!V52</f>
        <v>11575.8</v>
      </c>
      <c r="R63" s="94">
        <f>'Historical Financials'!W52</f>
        <v>11762.8</v>
      </c>
      <c r="S63" s="10"/>
      <c r="T63" s="10">
        <f t="shared" ref="T63:Z69" si="106">K63</f>
        <v>8850.7000000000007</v>
      </c>
      <c r="U63" s="10">
        <f t="shared" si="106"/>
        <v>9864.5</v>
      </c>
      <c r="V63" s="10">
        <f t="shared" si="106"/>
        <v>10972.3</v>
      </c>
      <c r="W63" s="10">
        <f t="shared" si="106"/>
        <v>11414.5</v>
      </c>
      <c r="X63" s="10">
        <f t="shared" si="106"/>
        <v>10891.5</v>
      </c>
      <c r="Y63" s="10">
        <f t="shared" si="106"/>
        <v>11024.7</v>
      </c>
      <c r="Z63" s="10">
        <f t="shared" si="106"/>
        <v>11575.8</v>
      </c>
      <c r="AA63" s="10">
        <f t="shared" ref="AA63:AA69" si="107">R63</f>
        <v>11762.8</v>
      </c>
    </row>
    <row r="64" spans="1:27" ht="12.75" customHeight="1">
      <c r="B64" s="8" t="s">
        <v>110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105</v>
      </c>
      <c r="C65" s="94">
        <f>'Historical Financials'!H57</f>
        <v>383</v>
      </c>
      <c r="D65" s="94">
        <f>'Historical Financials'!I57</f>
        <v>0</v>
      </c>
      <c r="E65" s="94">
        <f>'Historical Financials'!J57</f>
        <v>60.6</v>
      </c>
      <c r="F65" s="94">
        <f>'Historical Financials'!K57</f>
        <v>317.2</v>
      </c>
      <c r="H65" s="94">
        <f>'Historical Financials'!M57</f>
        <v>58.3</v>
      </c>
      <c r="I65" s="94">
        <f>'Historical Financials'!N57</f>
        <v>71.7</v>
      </c>
      <c r="J65" s="94">
        <f>'Historical Financials'!O57</f>
        <v>423.4</v>
      </c>
      <c r="K65" s="94">
        <f>'Historical Financials'!P57</f>
        <v>60.6</v>
      </c>
      <c r="L65" s="94">
        <f>'Historical Financials'!Q57</f>
        <v>13.8</v>
      </c>
      <c r="M65" s="94">
        <f>'Historical Financials'!R57</f>
        <v>64</v>
      </c>
      <c r="N65" s="94">
        <f>'Historical Financials'!S57</f>
        <v>370.5</v>
      </c>
      <c r="O65" s="94">
        <f>'Historical Financials'!T57</f>
        <v>317.2</v>
      </c>
      <c r="P65" s="94">
        <f>'Historical Financials'!U57</f>
        <v>153.4</v>
      </c>
      <c r="Q65" s="94">
        <f>'Historical Financials'!V57</f>
        <v>175.1</v>
      </c>
      <c r="R65" s="94">
        <f>'Historical Financials'!W57</f>
        <v>0</v>
      </c>
      <c r="S65" s="10"/>
      <c r="T65" s="10">
        <f t="shared" si="106"/>
        <v>60.6</v>
      </c>
      <c r="U65" s="10">
        <f t="shared" si="106"/>
        <v>13.8</v>
      </c>
      <c r="V65" s="10">
        <f t="shared" si="106"/>
        <v>64</v>
      </c>
      <c r="W65" s="10">
        <f t="shared" si="106"/>
        <v>370.5</v>
      </c>
      <c r="X65" s="10">
        <f t="shared" si="106"/>
        <v>317.2</v>
      </c>
      <c r="Y65" s="10">
        <f t="shared" si="106"/>
        <v>153.4</v>
      </c>
      <c r="Z65" s="10">
        <f t="shared" si="106"/>
        <v>175.1</v>
      </c>
      <c r="AA65" s="10">
        <f t="shared" si="107"/>
        <v>0</v>
      </c>
    </row>
    <row r="66" spans="2:27" ht="12.75" customHeight="1">
      <c r="B66" s="8" t="s">
        <v>112</v>
      </c>
      <c r="C66" s="94">
        <f>'Historical Financials'!H64</f>
        <v>2982.7</v>
      </c>
      <c r="D66" s="94">
        <f>'Historical Financials'!I64</f>
        <v>3944.2</v>
      </c>
      <c r="E66" s="94">
        <f>'Historical Financials'!J64</f>
        <v>5493.2</v>
      </c>
      <c r="F66" s="94">
        <f>'Historical Financials'!K64</f>
        <v>6846.8</v>
      </c>
      <c r="H66" s="94">
        <f>'Historical Financials'!M64</f>
        <v>4354.8</v>
      </c>
      <c r="I66" s="94">
        <f>'Historical Financials'!N64</f>
        <v>4727.8999999999996</v>
      </c>
      <c r="J66" s="94">
        <f>'Historical Financials'!O64</f>
        <v>5093.2</v>
      </c>
      <c r="K66" s="94">
        <f>'Historical Financials'!P64</f>
        <v>5493.2</v>
      </c>
      <c r="L66" s="94">
        <f>'Historical Financials'!Q64</f>
        <v>5841.4</v>
      </c>
      <c r="M66" s="94">
        <f>'Historical Financials'!R64</f>
        <v>6084</v>
      </c>
      <c r="N66" s="94">
        <f>'Historical Financials'!S64</f>
        <v>6211.9</v>
      </c>
      <c r="O66" s="94">
        <f>'Historical Financials'!T64</f>
        <v>6846.8</v>
      </c>
      <c r="P66" s="94">
        <f>'Historical Financials'!U64</f>
        <v>7152.9</v>
      </c>
      <c r="Q66" s="94">
        <f>'Historical Financials'!V64</f>
        <v>7296</v>
      </c>
      <c r="R66" s="94">
        <f>'Historical Financials'!W64</f>
        <v>7681.2</v>
      </c>
      <c r="S66" s="10"/>
      <c r="T66" s="10">
        <f t="shared" si="106"/>
        <v>5493.2</v>
      </c>
      <c r="U66" s="10">
        <f t="shared" si="106"/>
        <v>5841.4</v>
      </c>
      <c r="V66" s="10">
        <f t="shared" si="106"/>
        <v>6084</v>
      </c>
      <c r="W66" s="10">
        <f t="shared" si="106"/>
        <v>6211.9</v>
      </c>
      <c r="X66" s="10">
        <f t="shared" si="106"/>
        <v>6846.8</v>
      </c>
      <c r="Y66" s="10">
        <f t="shared" si="106"/>
        <v>7152.9</v>
      </c>
      <c r="Z66" s="10">
        <f t="shared" si="106"/>
        <v>7296</v>
      </c>
      <c r="AA66" s="10">
        <f t="shared" si="107"/>
        <v>7681.2</v>
      </c>
    </row>
    <row r="67" spans="2:27" ht="12.75" customHeight="1">
      <c r="B67" s="8" t="s">
        <v>44</v>
      </c>
      <c r="C67" s="94">
        <f>'Historical Financials'!H69</f>
        <v>2116.3000000000002</v>
      </c>
      <c r="D67" s="94">
        <f>'Historical Financials'!I69</f>
        <v>2565.1999999999998</v>
      </c>
      <c r="E67" s="94">
        <f>'Historical Financials'!J69</f>
        <v>2347.3000000000002</v>
      </c>
      <c r="F67" s="94">
        <f>'Historical Financials'!K69</f>
        <v>3500.4</v>
      </c>
      <c r="G67" s="94"/>
      <c r="H67" s="94">
        <f>'Historical Financials'!M69</f>
        <v>0</v>
      </c>
      <c r="I67" s="94">
        <f>'Historical Financials'!N69</f>
        <v>0</v>
      </c>
      <c r="J67" s="94">
        <f>'Historical Financials'!O69</f>
        <v>0</v>
      </c>
      <c r="K67" s="94">
        <f>'Historical Financials'!P69</f>
        <v>0</v>
      </c>
      <c r="L67" s="94">
        <f>'Historical Financials'!Q69</f>
        <v>0</v>
      </c>
      <c r="M67" s="94">
        <f>'Historical Financials'!R69</f>
        <v>0</v>
      </c>
      <c r="N67" s="94">
        <f>'Historical Financials'!S69</f>
        <v>0</v>
      </c>
      <c r="O67" s="94">
        <f>'Historical Financials'!T69</f>
        <v>0</v>
      </c>
      <c r="P67" s="94">
        <f>'Historical Financials'!U69</f>
        <v>0</v>
      </c>
      <c r="Q67" s="94">
        <f>'Historical Financials'!V69</f>
        <v>0</v>
      </c>
      <c r="R67" s="94">
        <f>'Historical Financials'!W69</f>
        <v>0</v>
      </c>
      <c r="T67" s="10">
        <f t="shared" si="106"/>
        <v>0</v>
      </c>
      <c r="U67" s="10">
        <f t="shared" si="106"/>
        <v>0</v>
      </c>
      <c r="V67" s="10">
        <f t="shared" si="106"/>
        <v>0</v>
      </c>
      <c r="W67" s="10">
        <f t="shared" si="106"/>
        <v>0</v>
      </c>
      <c r="X67" s="10">
        <f t="shared" si="106"/>
        <v>0</v>
      </c>
      <c r="Y67" s="10">
        <f t="shared" si="106"/>
        <v>0</v>
      </c>
      <c r="Z67" s="10">
        <f t="shared" si="106"/>
        <v>0</v>
      </c>
      <c r="AA67" s="10">
        <f t="shared" si="107"/>
        <v>0</v>
      </c>
    </row>
    <row r="68" spans="2:27" ht="12.75" customHeight="1">
      <c r="B68" s="8" t="s">
        <v>45</v>
      </c>
      <c r="C68" s="94">
        <f>'Historical Financials'!H74</f>
        <v>12298</v>
      </c>
      <c r="D68" s="94">
        <f>'Historical Financials'!I74</f>
        <v>17983.599999999999</v>
      </c>
      <c r="E68" s="94">
        <f>'Historical Financials'!J74</f>
        <v>16274.7</v>
      </c>
      <c r="F68" s="94">
        <f>'Historical Financials'!K74</f>
        <v>20051.400000000001</v>
      </c>
      <c r="G68" s="94"/>
      <c r="H68" s="94">
        <f>'Historical Financials'!M74</f>
        <v>16948.099999999999</v>
      </c>
      <c r="I68" s="94">
        <f>'Historical Financials'!N74</f>
        <v>16754.3</v>
      </c>
      <c r="J68" s="94">
        <f>'Historical Financials'!O74</f>
        <v>16309.5</v>
      </c>
      <c r="K68" s="94">
        <f>'Historical Financials'!P74</f>
        <v>16274.7</v>
      </c>
      <c r="L68" s="94">
        <f>'Historical Financials'!Q74</f>
        <v>15048.7</v>
      </c>
      <c r="M68" s="94">
        <f>'Historical Financials'!R74</f>
        <v>16132.3</v>
      </c>
      <c r="N68" s="94">
        <f>'Historical Financials'!S74</f>
        <v>16025.8</v>
      </c>
      <c r="O68" s="94">
        <f>'Historical Financials'!T74</f>
        <v>20051.400000000001</v>
      </c>
      <c r="P68" s="94">
        <f>'Historical Financials'!U74</f>
        <v>18123.900000000001</v>
      </c>
      <c r="Q68" s="94">
        <f>'Historical Financials'!V74</f>
        <v>18616</v>
      </c>
      <c r="R68" s="94">
        <f>'Historical Financials'!W74</f>
        <v>19224.900000000001</v>
      </c>
      <c r="T68" s="10">
        <f t="shared" si="106"/>
        <v>16274.7</v>
      </c>
      <c r="U68" s="10">
        <f t="shared" si="106"/>
        <v>15048.7</v>
      </c>
      <c r="V68" s="10">
        <f t="shared" si="106"/>
        <v>16132.3</v>
      </c>
      <c r="W68" s="10">
        <f t="shared" si="106"/>
        <v>16025.8</v>
      </c>
      <c r="X68" s="10">
        <f t="shared" si="106"/>
        <v>20051.400000000001</v>
      </c>
      <c r="Y68" s="10">
        <f t="shared" si="106"/>
        <v>18123.900000000001</v>
      </c>
      <c r="Z68" s="10">
        <f t="shared" si="106"/>
        <v>18616</v>
      </c>
      <c r="AA68" s="10">
        <f t="shared" si="107"/>
        <v>19224.900000000001</v>
      </c>
    </row>
    <row r="69" spans="2:27" ht="12.75" customHeight="1">
      <c r="B69" s="8" t="s">
        <v>15</v>
      </c>
      <c r="C69" s="94">
        <f>'Historical Financials'!H81</f>
        <v>20090.400000000001</v>
      </c>
      <c r="D69" s="94">
        <f>'Historical Financials'!I81</f>
        <v>27489.599999999999</v>
      </c>
      <c r="E69" s="94">
        <f>'Historical Financials'!J81</f>
        <v>26505.100000000002</v>
      </c>
      <c r="F69" s="94">
        <f>'Historical Financials'!K81</f>
        <v>30112.800000000003</v>
      </c>
      <c r="G69" s="94"/>
      <c r="H69" s="94">
        <f>'Historical Financials'!M81</f>
        <v>25361.299999999996</v>
      </c>
      <c r="I69" s="94">
        <f>'Historical Financials'!N81</f>
        <v>26323.599999999999</v>
      </c>
      <c r="J69" s="94">
        <f>'Historical Financials'!O81</f>
        <v>25518.6</v>
      </c>
      <c r="K69" s="94">
        <f>'Historical Financials'!P81</f>
        <v>26505.100000000002</v>
      </c>
      <c r="L69" s="94">
        <f>'Historical Financials'!Q81</f>
        <v>25248.5</v>
      </c>
      <c r="M69" s="94">
        <f>'Historical Financials'!R81</f>
        <v>26029.799999999996</v>
      </c>
      <c r="N69" s="94">
        <f>'Historical Financials'!S81</f>
        <v>25614.5</v>
      </c>
      <c r="O69" s="94">
        <f>'Historical Financials'!T81</f>
        <v>30112.800000000003</v>
      </c>
      <c r="P69" s="94">
        <f>'Historical Financials'!U81</f>
        <v>27978.100000000002</v>
      </c>
      <c r="Q69" s="94">
        <f>'Historical Financials'!V81</f>
        <v>27230.9</v>
      </c>
      <c r="R69" s="94">
        <f>'Historical Financials'!W81</f>
        <v>26103.600000000002</v>
      </c>
      <c r="T69" s="10">
        <f t="shared" si="106"/>
        <v>26505.100000000002</v>
      </c>
      <c r="U69" s="10">
        <f t="shared" si="106"/>
        <v>25248.5</v>
      </c>
      <c r="V69" s="10">
        <f t="shared" si="106"/>
        <v>26029.799999999996</v>
      </c>
      <c r="W69" s="10">
        <f t="shared" si="106"/>
        <v>25614.5</v>
      </c>
      <c r="X69" s="10">
        <f t="shared" si="106"/>
        <v>30112.800000000003</v>
      </c>
      <c r="Y69" s="10">
        <f t="shared" si="106"/>
        <v>27978.100000000002</v>
      </c>
      <c r="Z69" s="10">
        <f t="shared" si="106"/>
        <v>27230.9</v>
      </c>
      <c r="AA69" s="10">
        <f t="shared" si="107"/>
        <v>26103.600000000002</v>
      </c>
    </row>
    <row r="70" spans="2:27" ht="5.0999999999999996" customHeight="1">
      <c r="F70" s="10"/>
    </row>
    <row r="71" spans="2:27">
      <c r="B71" s="35" t="s">
        <v>102</v>
      </c>
      <c r="F71" s="10"/>
    </row>
    <row r="72" spans="2:27">
      <c r="B72" s="8" t="s">
        <v>103</v>
      </c>
      <c r="C72" s="94">
        <f>'Historical Financials'!H73</f>
        <v>7935.2</v>
      </c>
      <c r="D72" s="94">
        <f>'Historical Financials'!I73</f>
        <v>12481</v>
      </c>
      <c r="E72" s="94">
        <f>'Historical Financials'!J73</f>
        <v>11441</v>
      </c>
      <c r="F72" s="94">
        <f>'Historical Financials'!K73</f>
        <v>12570.8</v>
      </c>
      <c r="H72" s="94">
        <f>'Historical Financials'!M73</f>
        <v>0</v>
      </c>
      <c r="I72" s="94">
        <f>'Historical Financials'!N73</f>
        <v>0</v>
      </c>
      <c r="J72" s="94">
        <f>'Historical Financials'!O73</f>
        <v>0</v>
      </c>
      <c r="K72" s="94">
        <f>'Historical Financials'!P73</f>
        <v>0</v>
      </c>
      <c r="L72" s="94">
        <f>'Historical Financials'!Q73</f>
        <v>0</v>
      </c>
      <c r="M72" s="94">
        <f>'Historical Financials'!R73</f>
        <v>0</v>
      </c>
      <c r="N72" s="94">
        <f>'Historical Financials'!S73</f>
        <v>0</v>
      </c>
      <c r="O72" s="94">
        <f>'Historical Financials'!T73</f>
        <v>0</v>
      </c>
      <c r="P72" s="94">
        <f>'Historical Financials'!U73</f>
        <v>0</v>
      </c>
      <c r="Q72" s="94">
        <f>'Historical Financials'!V73</f>
        <v>0</v>
      </c>
      <c r="R72" s="94">
        <f>'Historical Financials'!W73</f>
        <v>0</v>
      </c>
      <c r="T72" s="10">
        <f t="shared" ref="T72:Z73" si="108">K72</f>
        <v>0</v>
      </c>
      <c r="U72" s="10">
        <f t="shared" si="108"/>
        <v>0</v>
      </c>
      <c r="V72" s="10">
        <f t="shared" si="108"/>
        <v>0</v>
      </c>
      <c r="W72" s="10">
        <f t="shared" si="108"/>
        <v>0</v>
      </c>
      <c r="X72" s="10">
        <f t="shared" si="108"/>
        <v>0</v>
      </c>
      <c r="Y72" s="10">
        <f t="shared" si="108"/>
        <v>0</v>
      </c>
      <c r="Z72" s="10">
        <f t="shared" si="108"/>
        <v>0</v>
      </c>
      <c r="AA72" s="10">
        <f>R72</f>
        <v>0</v>
      </c>
    </row>
    <row r="73" spans="2:27">
      <c r="B73" s="8" t="s">
        <v>104</v>
      </c>
      <c r="C73" s="94">
        <f>'Historical Financials'!H77</f>
        <v>4075</v>
      </c>
      <c r="D73" s="94">
        <f>'Historical Financials'!I77</f>
        <v>3514.2</v>
      </c>
      <c r="E73" s="94">
        <f>'Historical Financials'!J77</f>
        <v>4631.5</v>
      </c>
      <c r="F73" s="94">
        <f>'Historical Financials'!K77</f>
        <v>3677.3</v>
      </c>
      <c r="H73" s="94">
        <f>'Historical Financials'!M77</f>
        <v>3536</v>
      </c>
      <c r="I73" s="94">
        <f>'Historical Financials'!N77</f>
        <v>4517.8</v>
      </c>
      <c r="J73" s="94">
        <f>'Historical Financials'!O77</f>
        <v>4522.3</v>
      </c>
      <c r="K73" s="94">
        <f>'Historical Financials'!P77</f>
        <v>4631.5</v>
      </c>
      <c r="L73" s="94">
        <f>'Historical Financials'!Q77</f>
        <v>4612</v>
      </c>
      <c r="M73" s="94">
        <f>'Historical Financials'!R77</f>
        <v>4608.2</v>
      </c>
      <c r="N73" s="94">
        <f>'Historical Financials'!S77</f>
        <v>4692.2</v>
      </c>
      <c r="O73" s="94">
        <f>'Historical Financials'!T77</f>
        <v>3677.3</v>
      </c>
      <c r="P73" s="94">
        <f>'Historical Financials'!U77</f>
        <v>3681</v>
      </c>
      <c r="Q73" s="94">
        <f>'Historical Financials'!V77</f>
        <v>3698.9</v>
      </c>
      <c r="R73" s="94">
        <f>'Historical Financials'!W77</f>
        <v>2704.7</v>
      </c>
      <c r="T73" s="10">
        <f t="shared" si="108"/>
        <v>4631.5</v>
      </c>
      <c r="U73" s="10">
        <f t="shared" si="108"/>
        <v>4612</v>
      </c>
      <c r="V73" s="10">
        <f t="shared" si="108"/>
        <v>4608.2</v>
      </c>
      <c r="W73" s="10">
        <f t="shared" si="108"/>
        <v>4692.2</v>
      </c>
      <c r="X73" s="10">
        <f t="shared" si="108"/>
        <v>3677.3</v>
      </c>
      <c r="Y73" s="10">
        <f t="shared" si="108"/>
        <v>3681</v>
      </c>
      <c r="Z73" s="10">
        <f t="shared" si="108"/>
        <v>3698.9</v>
      </c>
      <c r="AA73" s="10">
        <f>R73</f>
        <v>2704.7</v>
      </c>
    </row>
    <row r="74" spans="2:27">
      <c r="F74" s="10"/>
    </row>
    <row r="75" spans="2:27">
      <c r="B75" s="8" t="s">
        <v>140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138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133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118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117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116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115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114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134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135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Financials'!H88</f>
        <v>10140.599999999999</v>
      </c>
      <c r="D87" s="94">
        <f>'Historical Financials'!I88</f>
        <v>8810.7999999999993</v>
      </c>
      <c r="E87" s="94">
        <f>'Historical Financials'!J88</f>
        <v>13452.4</v>
      </c>
      <c r="F87" s="94">
        <f>'Historical Financials'!K88</f>
        <v>18476.8</v>
      </c>
      <c r="H87" s="94">
        <f>'Historical Financials'!M88</f>
        <v>9786.2999999999993</v>
      </c>
      <c r="I87" s="94">
        <f>'Historical Financials'!N88</f>
        <v>10604.9</v>
      </c>
      <c r="J87" s="94">
        <f>'Historical Financials'!O88</f>
        <v>11994.9</v>
      </c>
      <c r="K87" s="94">
        <f>'Historical Financials'!P88</f>
        <v>13452.4</v>
      </c>
      <c r="L87" s="94">
        <f>'Historical Financials'!Q88</f>
        <v>13794.1</v>
      </c>
      <c r="M87" s="94">
        <f>'Historical Financials'!R88</f>
        <v>14711.2</v>
      </c>
      <c r="N87" s="94">
        <f>'Historical Financials'!S88</f>
        <v>16151.6</v>
      </c>
      <c r="O87" s="94">
        <f>'Historical Financials'!T88</f>
        <v>18476.8</v>
      </c>
      <c r="P87" s="94">
        <f>'Historical Financials'!U88</f>
        <v>17500.7</v>
      </c>
      <c r="Q87" s="94">
        <f>'Historical Financials'!V88</f>
        <v>17618.2</v>
      </c>
      <c r="R87" s="94">
        <f>'Historical Financials'!W88</f>
        <v>18993.5</v>
      </c>
      <c r="T87" s="10">
        <f t="shared" ref="T87:AA87" si="130">K87</f>
        <v>13452.4</v>
      </c>
      <c r="U87" s="10">
        <f t="shared" si="130"/>
        <v>13794.1</v>
      </c>
      <c r="V87" s="10">
        <f t="shared" si="130"/>
        <v>14711.2</v>
      </c>
      <c r="W87" s="143">
        <f t="shared" si="130"/>
        <v>16151.6</v>
      </c>
      <c r="X87" s="143">
        <f t="shared" si="130"/>
        <v>18476.8</v>
      </c>
      <c r="Y87" s="143">
        <f t="shared" si="130"/>
        <v>17500.7</v>
      </c>
      <c r="Z87" s="143">
        <f t="shared" si="130"/>
        <v>17618.2</v>
      </c>
      <c r="AA87" s="143">
        <f t="shared" si="130"/>
        <v>18993.5</v>
      </c>
    </row>
    <row r="88" spans="1:27" ht="12.75" customHeight="1">
      <c r="B88" s="13" t="s">
        <v>47</v>
      </c>
      <c r="C88" s="14">
        <f>SUM(C85:C87)</f>
        <v>10467.599999999999</v>
      </c>
      <c r="D88" s="14">
        <f>SUM(D85:D87)</f>
        <v>11311.8</v>
      </c>
      <c r="E88" s="14">
        <f>SUM(E85:E87)</f>
        <v>15952.4</v>
      </c>
      <c r="F88" s="14">
        <f>SUM(F85:F87)</f>
        <v>20226.8</v>
      </c>
      <c r="H88" s="14">
        <f t="shared" ref="H88:M88" si="131">SUM(H85:H87)</f>
        <v>12286.3</v>
      </c>
      <c r="I88" s="14">
        <f t="shared" si="131"/>
        <v>13104.9</v>
      </c>
      <c r="J88" s="14">
        <f t="shared" si="131"/>
        <v>14494.9</v>
      </c>
      <c r="K88" s="14">
        <f t="shared" si="131"/>
        <v>15952.4</v>
      </c>
      <c r="L88" s="14">
        <f t="shared" si="131"/>
        <v>16294.1</v>
      </c>
      <c r="M88" s="14">
        <f t="shared" si="131"/>
        <v>16461.2</v>
      </c>
      <c r="N88" s="14">
        <f>SUM(N85:N87)</f>
        <v>17901.599999999999</v>
      </c>
      <c r="O88" s="14">
        <f>SUM(O85:O87)</f>
        <v>20226.8</v>
      </c>
      <c r="P88" s="14">
        <f>SUM(P85:P87)</f>
        <v>21700.7</v>
      </c>
      <c r="Q88" s="14">
        <f>SUM(Q85:Q87)</f>
        <v>20868.2</v>
      </c>
      <c r="R88" s="14">
        <f>SUM(R85:R87)</f>
        <v>22243.5</v>
      </c>
      <c r="T88" s="14">
        <f t="shared" ref="T88:Y88" si="132">SUM(T85:T87)</f>
        <v>15952.4</v>
      </c>
      <c r="U88" s="14">
        <f t="shared" si="132"/>
        <v>16294.1</v>
      </c>
      <c r="V88" s="14">
        <f t="shared" si="132"/>
        <v>16461.2</v>
      </c>
      <c r="W88" s="14">
        <f t="shared" si="132"/>
        <v>17901.599999999999</v>
      </c>
      <c r="X88" s="14">
        <f t="shared" si="132"/>
        <v>20226.8</v>
      </c>
      <c r="Y88" s="14">
        <f t="shared" si="132"/>
        <v>21700.7</v>
      </c>
      <c r="Z88" s="14">
        <f>SUM(Z85:Z87)</f>
        <v>20868.2</v>
      </c>
      <c r="AA88" s="14">
        <f>SUM(AA85:AA87)</f>
        <v>22243.5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90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91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92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93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94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32.011009174311923</v>
      </c>
      <c r="D97" s="83">
        <f>D88/D85</f>
        <v>4.5229108356657335</v>
      </c>
      <c r="E97" s="83">
        <f>E88/E85</f>
        <v>6.38096</v>
      </c>
      <c r="F97" s="83">
        <f>F88/F85</f>
        <v>11.558171428571429</v>
      </c>
      <c r="H97" s="83">
        <f t="shared" ref="H97:Q97" si="138">H88/H85</f>
        <v>4.9145199999999996</v>
      </c>
      <c r="I97" s="83">
        <f t="shared" si="138"/>
        <v>5.2419599999999997</v>
      </c>
      <c r="J97" s="83">
        <f t="shared" si="138"/>
        <v>5.7979599999999998</v>
      </c>
      <c r="K97" s="83">
        <f t="shared" si="138"/>
        <v>6.38096</v>
      </c>
      <c r="L97" s="83">
        <f t="shared" si="138"/>
        <v>6.5176400000000001</v>
      </c>
      <c r="M97" s="83">
        <f t="shared" si="138"/>
        <v>9.4063999999999997</v>
      </c>
      <c r="N97" s="83">
        <f t="shared" si="138"/>
        <v>10.229485714285714</v>
      </c>
      <c r="O97" s="83">
        <f t="shared" si="138"/>
        <v>11.558171428571429</v>
      </c>
      <c r="P97" s="83">
        <f t="shared" si="138"/>
        <v>5.1668333333333338</v>
      </c>
      <c r="Q97" s="83">
        <f t="shared" si="138"/>
        <v>6.420984615384616</v>
      </c>
      <c r="R97" s="83">
        <f>R88/R85</f>
        <v>6.844153846153846</v>
      </c>
      <c r="S97" s="83"/>
      <c r="T97" s="83">
        <f t="shared" ref="T97:Y97" si="139">T88/T85</f>
        <v>6.38096</v>
      </c>
      <c r="U97" s="83">
        <f t="shared" si="139"/>
        <v>6.5176400000000001</v>
      </c>
      <c r="V97" s="83">
        <f t="shared" si="139"/>
        <v>9.4063999999999997</v>
      </c>
      <c r="W97" s="83">
        <f t="shared" si="139"/>
        <v>10.229485714285714</v>
      </c>
      <c r="X97" s="83">
        <f t="shared" si="139"/>
        <v>11.558171428571429</v>
      </c>
      <c r="Y97" s="83">
        <f t="shared" si="139"/>
        <v>5.1668333333333338</v>
      </c>
      <c r="Z97" s="83">
        <f>Z88/Z85</f>
        <v>6.420984615384616</v>
      </c>
      <c r="AA97" s="83">
        <f>AA88/AA85</f>
        <v>6.844153846153846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2026-01-03T04:48:05Z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