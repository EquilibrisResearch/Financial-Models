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1C6A700A-5498-44D5-AB82-0EC22D2D6F28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91" i="8" l="1"/>
  <c r="S91" i="8"/>
  <c r="R91" i="8"/>
  <c r="Q91" i="8"/>
  <c r="P91" i="8"/>
  <c r="O91" i="8"/>
  <c r="N91" i="8"/>
  <c r="M91" i="8"/>
  <c r="L91" i="8"/>
  <c r="K91" i="8"/>
  <c r="J91" i="8"/>
  <c r="H91" i="8"/>
  <c r="G91" i="8"/>
  <c r="F91" i="8"/>
  <c r="E91" i="8"/>
  <c r="D91" i="8"/>
  <c r="C91" i="8"/>
  <c r="Q112" i="8"/>
  <c r="M112" i="8"/>
  <c r="Q111" i="8"/>
  <c r="M111" i="8"/>
  <c r="Q110" i="8"/>
  <c r="M110" i="8"/>
  <c r="K47" i="9" s="1"/>
  <c r="Q106" i="8"/>
  <c r="M106" i="8"/>
  <c r="W106" i="8" s="1"/>
  <c r="Q105" i="8"/>
  <c r="M105" i="8"/>
  <c r="K46" i="9" s="1"/>
  <c r="Q104" i="8"/>
  <c r="M104" i="8"/>
  <c r="Q103" i="8"/>
  <c r="M103" i="8"/>
  <c r="AC59" i="8"/>
  <c r="AB59" i="8"/>
  <c r="AA59" i="8"/>
  <c r="Y59" i="8"/>
  <c r="X59" i="8"/>
  <c r="W59" i="8"/>
  <c r="Q59" i="8"/>
  <c r="Z59" i="8" s="1"/>
  <c r="M59" i="8"/>
  <c r="V59" i="8" s="1"/>
  <c r="AC58" i="8"/>
  <c r="AB58" i="8"/>
  <c r="AA58" i="8"/>
  <c r="Y58" i="8"/>
  <c r="X58" i="8"/>
  <c r="W58" i="8"/>
  <c r="Q58" i="8"/>
  <c r="Z58" i="8" s="1"/>
  <c r="M58" i="8"/>
  <c r="V58" i="8" s="1"/>
  <c r="AC49" i="8"/>
  <c r="AB49" i="8"/>
  <c r="AA49" i="8"/>
  <c r="Y49" i="8"/>
  <c r="X49" i="8"/>
  <c r="W49" i="8"/>
  <c r="Q49" i="8"/>
  <c r="Z49" i="8" s="1"/>
  <c r="M49" i="8"/>
  <c r="V49" i="8" s="1"/>
  <c r="Q19" i="8"/>
  <c r="AC19" i="8" s="1"/>
  <c r="M19" i="8"/>
  <c r="V19" i="8" s="1"/>
  <c r="AC75" i="8"/>
  <c r="AB75" i="8"/>
  <c r="AA75" i="8"/>
  <c r="Y75" i="8"/>
  <c r="X75" i="8"/>
  <c r="W75" i="8"/>
  <c r="Q75" i="8"/>
  <c r="Z75" i="8" s="1"/>
  <c r="M75" i="8"/>
  <c r="V75" i="8" s="1"/>
  <c r="AC68" i="8"/>
  <c r="AB68" i="8"/>
  <c r="AA68" i="8"/>
  <c r="Y68" i="8"/>
  <c r="X68" i="8"/>
  <c r="W68" i="8"/>
  <c r="Q68" i="8"/>
  <c r="Z68" i="8" s="1"/>
  <c r="M68" i="8"/>
  <c r="V68" i="8" s="1"/>
  <c r="C117" i="8"/>
  <c r="D113" i="8"/>
  <c r="C113" i="8"/>
  <c r="D107" i="8"/>
  <c r="C107" i="8"/>
  <c r="D88" i="8"/>
  <c r="C88" i="8"/>
  <c r="D87" i="8"/>
  <c r="C87" i="8"/>
  <c r="D80" i="8"/>
  <c r="C80" i="8"/>
  <c r="D70" i="8"/>
  <c r="D76" i="8" s="1"/>
  <c r="C70" i="8"/>
  <c r="C76" i="8" s="1"/>
  <c r="D53" i="8"/>
  <c r="D63" i="8" s="1"/>
  <c r="C53" i="8"/>
  <c r="C63" i="8" s="1"/>
  <c r="D44" i="8"/>
  <c r="C44" i="8"/>
  <c r="D43" i="8"/>
  <c r="C43" i="8"/>
  <c r="D11" i="8"/>
  <c r="D14" i="8" s="1"/>
  <c r="C11" i="8"/>
  <c r="C14" i="8" s="1"/>
  <c r="AA10" i="9"/>
  <c r="Z10" i="9"/>
  <c r="Y10" i="9"/>
  <c r="X10" i="9"/>
  <c r="W10" i="9"/>
  <c r="V10" i="9"/>
  <c r="U10" i="9"/>
  <c r="T10" i="9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Z9" i="9"/>
  <c r="Y9" i="9"/>
  <c r="X9" i="9"/>
  <c r="W9" i="9"/>
  <c r="V9" i="9"/>
  <c r="U9" i="9"/>
  <c r="T9" i="9"/>
  <c r="Z8" i="9"/>
  <c r="Y8" i="9"/>
  <c r="X8" i="9"/>
  <c r="W8" i="9"/>
  <c r="V8" i="9"/>
  <c r="U8" i="9"/>
  <c r="T8" i="9"/>
  <c r="Z7" i="9"/>
  <c r="Y7" i="9"/>
  <c r="X7" i="9"/>
  <c r="W7" i="9"/>
  <c r="V7" i="9"/>
  <c r="U7" i="9"/>
  <c r="T7" i="9"/>
  <c r="Z6" i="9"/>
  <c r="Y6" i="9"/>
  <c r="X6" i="9"/>
  <c r="W6" i="9"/>
  <c r="V6" i="9"/>
  <c r="U6" i="9"/>
  <c r="T6" i="9"/>
  <c r="R6" i="9"/>
  <c r="R7" i="9"/>
  <c r="R8" i="9"/>
  <c r="R9" i="9"/>
  <c r="AB79" i="8"/>
  <c r="AA79" i="8"/>
  <c r="Y79" i="8"/>
  <c r="X79" i="8"/>
  <c r="W79" i="8"/>
  <c r="AB78" i="8"/>
  <c r="AA78" i="8"/>
  <c r="Y78" i="8"/>
  <c r="X78" i="8"/>
  <c r="W78" i="8"/>
  <c r="AB74" i="8"/>
  <c r="AA74" i="8"/>
  <c r="Y74" i="8"/>
  <c r="X74" i="8"/>
  <c r="W74" i="8"/>
  <c r="AB73" i="8"/>
  <c r="AA73" i="8"/>
  <c r="Y73" i="8"/>
  <c r="X73" i="8"/>
  <c r="W73" i="8"/>
  <c r="AB69" i="8"/>
  <c r="AA69" i="8"/>
  <c r="Y69" i="8"/>
  <c r="X69" i="8"/>
  <c r="W69" i="8"/>
  <c r="AB67" i="8"/>
  <c r="AA67" i="8"/>
  <c r="Y67" i="8"/>
  <c r="X67" i="8"/>
  <c r="W67" i="8"/>
  <c r="AB66" i="8"/>
  <c r="AA66" i="8"/>
  <c r="AB62" i="8"/>
  <c r="AA62" i="8"/>
  <c r="AB61" i="8"/>
  <c r="AA61" i="8"/>
  <c r="Y61" i="8"/>
  <c r="X61" i="8"/>
  <c r="W61" i="8"/>
  <c r="AB60" i="8"/>
  <c r="AA60" i="8"/>
  <c r="Y60" i="8"/>
  <c r="X60" i="8"/>
  <c r="W60" i="8"/>
  <c r="AB57" i="8"/>
  <c r="AA57" i="8"/>
  <c r="Y57" i="8"/>
  <c r="X57" i="8"/>
  <c r="W57" i="8"/>
  <c r="AB56" i="8"/>
  <c r="AA56" i="8"/>
  <c r="Y56" i="8"/>
  <c r="X56" i="8"/>
  <c r="W56" i="8"/>
  <c r="AA52" i="8"/>
  <c r="AB51" i="8"/>
  <c r="AA51" i="8"/>
  <c r="Y51" i="8"/>
  <c r="X51" i="8"/>
  <c r="W51" i="8"/>
  <c r="AB50" i="8"/>
  <c r="AA50" i="8"/>
  <c r="Y50" i="8"/>
  <c r="X50" i="8"/>
  <c r="W50" i="8"/>
  <c r="AB48" i="8"/>
  <c r="AA48" i="8"/>
  <c r="Y48" i="8"/>
  <c r="X48" i="8"/>
  <c r="W48" i="8"/>
  <c r="AB47" i="8"/>
  <c r="AA47" i="8"/>
  <c r="Y47" i="8"/>
  <c r="X47" i="8"/>
  <c r="W47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Q98" i="8"/>
  <c r="M98" i="8"/>
  <c r="X98" i="8" s="1"/>
  <c r="M127" i="8"/>
  <c r="M96" i="8"/>
  <c r="K32" i="9" s="1"/>
  <c r="J27" i="9"/>
  <c r="J38" i="9"/>
  <c r="R45" i="9"/>
  <c r="R46" i="9"/>
  <c r="R38" i="9"/>
  <c r="R32" i="9"/>
  <c r="R27" i="9"/>
  <c r="O45" i="9"/>
  <c r="M46" i="9"/>
  <c r="N38" i="9"/>
  <c r="Q97" i="8"/>
  <c r="N32" i="9"/>
  <c r="N27" i="9"/>
  <c r="Q32" i="8"/>
  <c r="AB32" i="8" s="1"/>
  <c r="M32" i="8"/>
  <c r="W32" i="8" s="1"/>
  <c r="P47" i="9"/>
  <c r="AB52" i="8"/>
  <c r="Y66" i="8"/>
  <c r="M67" i="9"/>
  <c r="V67" i="9" s="1"/>
  <c r="L67" i="9"/>
  <c r="U67" i="9" s="1"/>
  <c r="J67" i="9"/>
  <c r="I67" i="9"/>
  <c r="H67" i="9"/>
  <c r="C67" i="9"/>
  <c r="D67" i="9"/>
  <c r="M66" i="8"/>
  <c r="K67" i="9" s="1"/>
  <c r="T67" i="9" s="1"/>
  <c r="Q66" i="8"/>
  <c r="Z66" i="8" s="1"/>
  <c r="Y62" i="8"/>
  <c r="X62" i="8"/>
  <c r="W62" i="8"/>
  <c r="M62" i="8"/>
  <c r="V62" i="8" s="1"/>
  <c r="Q62" i="8"/>
  <c r="Z62" i="8" s="1"/>
  <c r="M52" i="8"/>
  <c r="V52" i="8" s="1"/>
  <c r="W52" i="8"/>
  <c r="X52" i="8"/>
  <c r="Y52" i="8"/>
  <c r="Q13" i="8"/>
  <c r="O14" i="9" s="1"/>
  <c r="O78" i="9"/>
  <c r="K78" i="9"/>
  <c r="O82" i="9"/>
  <c r="O81" i="9"/>
  <c r="O80" i="9"/>
  <c r="O79" i="9"/>
  <c r="K82" i="9"/>
  <c r="K81" i="9"/>
  <c r="K80" i="9"/>
  <c r="K79" i="9"/>
  <c r="M128" i="8"/>
  <c r="K39" i="9" s="1"/>
  <c r="Q128" i="8"/>
  <c r="O39" i="9" s="1"/>
  <c r="Q127" i="8"/>
  <c r="Q120" i="8"/>
  <c r="Q119" i="8"/>
  <c r="Z119" i="8" s="1"/>
  <c r="M120" i="8"/>
  <c r="M119" i="8"/>
  <c r="Y119" i="8" s="1"/>
  <c r="AC79" i="8"/>
  <c r="AC78" i="8"/>
  <c r="AC74" i="8"/>
  <c r="AC73" i="8"/>
  <c r="AC66" i="8"/>
  <c r="AC61" i="8"/>
  <c r="AC60" i="8"/>
  <c r="AC57" i="8"/>
  <c r="AC56" i="8"/>
  <c r="AC51" i="8"/>
  <c r="AC50" i="8"/>
  <c r="AC48" i="8"/>
  <c r="AC47" i="8"/>
  <c r="M13" i="8"/>
  <c r="K14" i="9" s="1"/>
  <c r="D45" i="9"/>
  <c r="Q18" i="8"/>
  <c r="Z18" i="8" s="1"/>
  <c r="M18" i="8"/>
  <c r="Y18" i="8" s="1"/>
  <c r="Q17" i="8"/>
  <c r="AC17" i="8" s="1"/>
  <c r="M17" i="8"/>
  <c r="Y17" i="8" s="1"/>
  <c r="Q51" i="8"/>
  <c r="Z51" i="8" s="1"/>
  <c r="M51" i="8"/>
  <c r="K64" i="9" s="1"/>
  <c r="T64" i="9" s="1"/>
  <c r="Q50" i="8"/>
  <c r="Z50" i="8" s="1"/>
  <c r="M50" i="8"/>
  <c r="K63" i="9" s="1"/>
  <c r="T63" i="9" s="1"/>
  <c r="Q48" i="8"/>
  <c r="Z48" i="8" s="1"/>
  <c r="M48" i="8"/>
  <c r="K56" i="9" s="1"/>
  <c r="T56" i="9" s="1"/>
  <c r="Q47" i="8"/>
  <c r="Z47" i="8" s="1"/>
  <c r="M47" i="8"/>
  <c r="K55" i="9" s="1"/>
  <c r="T55" i="9" s="1"/>
  <c r="Q61" i="8"/>
  <c r="Z61" i="8" s="1"/>
  <c r="M61" i="8"/>
  <c r="V61" i="8" s="1"/>
  <c r="Q60" i="8"/>
  <c r="Z60" i="8" s="1"/>
  <c r="M60" i="8"/>
  <c r="K66" i="9" s="1"/>
  <c r="T66" i="9" s="1"/>
  <c r="Q57" i="8"/>
  <c r="Z57" i="8" s="1"/>
  <c r="M57" i="8"/>
  <c r="V57" i="8" s="1"/>
  <c r="Q56" i="8"/>
  <c r="Z56" i="8" s="1"/>
  <c r="M56" i="8"/>
  <c r="K65" i="9" s="1"/>
  <c r="T65" i="9" s="1"/>
  <c r="Q74" i="8"/>
  <c r="Z74" i="8" s="1"/>
  <c r="M74" i="8"/>
  <c r="V74" i="8" s="1"/>
  <c r="Q73" i="8"/>
  <c r="Z73" i="8" s="1"/>
  <c r="M73" i="8"/>
  <c r="K73" i="9" s="1"/>
  <c r="T73" i="9" s="1"/>
  <c r="Q79" i="8"/>
  <c r="Z79" i="8" s="1"/>
  <c r="M79" i="8"/>
  <c r="V79" i="8" s="1"/>
  <c r="Q78" i="8"/>
  <c r="Z78" i="8" s="1"/>
  <c r="M78" i="8"/>
  <c r="V78" i="8" s="1"/>
  <c r="Q28" i="8"/>
  <c r="AB28" i="8" s="1"/>
  <c r="M28" i="8"/>
  <c r="V28" i="8" s="1"/>
  <c r="B2" i="10"/>
  <c r="Q39" i="8"/>
  <c r="Z39" i="8" s="1"/>
  <c r="M39" i="8"/>
  <c r="V39" i="8" s="1"/>
  <c r="M36" i="8"/>
  <c r="V36" i="8" s="1"/>
  <c r="Q24" i="8"/>
  <c r="M24" i="8"/>
  <c r="O23" i="9"/>
  <c r="O34" i="9" s="1"/>
  <c r="K23" i="9"/>
  <c r="K34" i="9" s="1"/>
  <c r="Q20" i="8"/>
  <c r="O21" i="9" s="1"/>
  <c r="M20" i="8"/>
  <c r="K21" i="9" s="1"/>
  <c r="Q69" i="8"/>
  <c r="O72" i="9" s="1"/>
  <c r="X72" i="9" s="1"/>
  <c r="M69" i="8"/>
  <c r="K72" i="9" s="1"/>
  <c r="T72" i="9" s="1"/>
  <c r="Q67" i="8"/>
  <c r="Z67" i="8" s="1"/>
  <c r="M67" i="8"/>
  <c r="V67" i="8" s="1"/>
  <c r="AB36" i="8"/>
  <c r="AA36" i="8"/>
  <c r="Y36" i="8"/>
  <c r="X36" i="8"/>
  <c r="W36" i="8"/>
  <c r="AC36" i="8"/>
  <c r="AB39" i="8"/>
  <c r="AA39" i="8"/>
  <c r="Y39" i="8"/>
  <c r="X39" i="8"/>
  <c r="W39" i="8"/>
  <c r="AC39" i="8"/>
  <c r="Q36" i="8"/>
  <c r="Z36" i="8" s="1"/>
  <c r="Q95" i="8" l="1"/>
  <c r="AC95" i="8" s="1"/>
  <c r="AE58" i="8"/>
  <c r="AE59" i="8"/>
  <c r="AE49" i="8"/>
  <c r="AB19" i="8"/>
  <c r="W19" i="8"/>
  <c r="X19" i="8"/>
  <c r="Y19" i="8"/>
  <c r="AE19" i="8" s="1"/>
  <c r="Z19" i="8"/>
  <c r="AA19" i="8"/>
  <c r="AE68" i="8"/>
  <c r="AE75" i="8"/>
  <c r="W14" i="9"/>
  <c r="C21" i="8"/>
  <c r="C15" i="8"/>
  <c r="C81" i="8"/>
  <c r="C83" i="8" s="1"/>
  <c r="D21" i="8"/>
  <c r="D15" i="8"/>
  <c r="D81" i="8"/>
  <c r="D83" i="8" s="1"/>
  <c r="V21" i="9"/>
  <c r="U14" i="9"/>
  <c r="X34" i="9"/>
  <c r="V14" i="9"/>
  <c r="V98" i="8"/>
  <c r="Y98" i="8"/>
  <c r="AB98" i="8"/>
  <c r="U46" i="9"/>
  <c r="T34" i="9"/>
  <c r="T14" i="9"/>
  <c r="V46" i="9"/>
  <c r="W21" i="9"/>
  <c r="U34" i="9"/>
  <c r="V51" i="8"/>
  <c r="Y21" i="9"/>
  <c r="Y34" i="9"/>
  <c r="X14" i="9"/>
  <c r="V34" i="9"/>
  <c r="Z21" i="9"/>
  <c r="Z34" i="9"/>
  <c r="Y14" i="9"/>
  <c r="X21" i="9"/>
  <c r="T21" i="9"/>
  <c r="Z14" i="9"/>
  <c r="T46" i="9"/>
  <c r="V110" i="8"/>
  <c r="W105" i="8"/>
  <c r="X106" i="8"/>
  <c r="Z23" i="9"/>
  <c r="W34" i="9"/>
  <c r="V50" i="8"/>
  <c r="V66" i="8"/>
  <c r="W98" i="8"/>
  <c r="X105" i="8"/>
  <c r="Y106" i="8"/>
  <c r="V32" i="8"/>
  <c r="V48" i="8"/>
  <c r="W66" i="8"/>
  <c r="V96" i="8"/>
  <c r="Z106" i="8"/>
  <c r="T23" i="9"/>
  <c r="V47" i="8"/>
  <c r="X66" i="8"/>
  <c r="Z69" i="8"/>
  <c r="W96" i="8"/>
  <c r="AA106" i="8"/>
  <c r="U23" i="9"/>
  <c r="V60" i="8"/>
  <c r="X96" i="8"/>
  <c r="Z98" i="8"/>
  <c r="AB106" i="8"/>
  <c r="W110" i="8"/>
  <c r="V23" i="9"/>
  <c r="V73" i="8"/>
  <c r="Y96" i="8"/>
  <c r="Z97" i="8"/>
  <c r="AA98" i="8"/>
  <c r="X110" i="8"/>
  <c r="U21" i="9"/>
  <c r="W23" i="9"/>
  <c r="V56" i="8"/>
  <c r="AA97" i="8"/>
  <c r="V106" i="8"/>
  <c r="Y110" i="8"/>
  <c r="X23" i="9"/>
  <c r="V69" i="8"/>
  <c r="AB97" i="8"/>
  <c r="V105" i="8"/>
  <c r="Y23" i="9"/>
  <c r="X32" i="8"/>
  <c r="N49" i="9"/>
  <c r="AA18" i="8"/>
  <c r="Y32" i="8"/>
  <c r="Z32" i="8"/>
  <c r="W28" i="8"/>
  <c r="AA32" i="8"/>
  <c r="X28" i="8"/>
  <c r="Y28" i="8"/>
  <c r="Z28" i="8"/>
  <c r="AE50" i="8"/>
  <c r="AE60" i="8"/>
  <c r="AA28" i="8"/>
  <c r="J49" i="9"/>
  <c r="V17" i="8"/>
  <c r="AB18" i="8"/>
  <c r="Z20" i="8"/>
  <c r="AE79" i="8"/>
  <c r="W17" i="8"/>
  <c r="AA20" i="8"/>
  <c r="AE48" i="8"/>
  <c r="AE51" i="8"/>
  <c r="AE57" i="8"/>
  <c r="AE61" i="8"/>
  <c r="AE74" i="8"/>
  <c r="X17" i="8"/>
  <c r="V18" i="8"/>
  <c r="AB20" i="8"/>
  <c r="W18" i="8"/>
  <c r="Y20" i="8"/>
  <c r="Z17" i="8"/>
  <c r="X18" i="8"/>
  <c r="V20" i="8"/>
  <c r="AA17" i="8"/>
  <c r="W20" i="8"/>
  <c r="R49" i="9"/>
  <c r="AB17" i="8"/>
  <c r="X20" i="8"/>
  <c r="M49" i="9"/>
  <c r="R107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E107" i="8"/>
  <c r="H41" i="9"/>
  <c r="F67" i="9"/>
  <c r="O65" i="9"/>
  <c r="X65" i="9" s="1"/>
  <c r="Y85" i="9"/>
  <c r="AA85" i="9"/>
  <c r="W85" i="9"/>
  <c r="K85" i="9"/>
  <c r="X85" i="9"/>
  <c r="Z85" i="9"/>
  <c r="O85" i="9"/>
  <c r="H107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Q52" i="8"/>
  <c r="Z52" i="8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N107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F107" i="8"/>
  <c r="J107" i="8"/>
  <c r="G107" i="8"/>
  <c r="M99" i="8"/>
  <c r="Q99" i="8"/>
  <c r="AB99" i="8" s="1"/>
  <c r="AC98" i="8"/>
  <c r="M97" i="8"/>
  <c r="V97" i="8" s="1"/>
  <c r="Y103" i="8"/>
  <c r="M94" i="8"/>
  <c r="V94" i="8" s="1"/>
  <c r="T107" i="8"/>
  <c r="Q96" i="8"/>
  <c r="Z103" i="8"/>
  <c r="AA104" i="8"/>
  <c r="Q94" i="8"/>
  <c r="Z94" i="8" s="1"/>
  <c r="AC32" i="8"/>
  <c r="W119" i="8"/>
  <c r="AC97" i="8"/>
  <c r="AC18" i="8"/>
  <c r="AE18" i="8" s="1"/>
  <c r="AC119" i="8"/>
  <c r="AB119" i="8"/>
  <c r="AA119" i="8"/>
  <c r="X119" i="8"/>
  <c r="V119" i="8"/>
  <c r="AC106" i="8"/>
  <c r="AC28" i="8"/>
  <c r="AE39" i="8"/>
  <c r="Z95" i="8" l="1"/>
  <c r="AB95" i="8"/>
  <c r="M95" i="8"/>
  <c r="Y95" i="8" s="1"/>
  <c r="AE95" i="8" s="1"/>
  <c r="AA95" i="8"/>
  <c r="AE32" i="8"/>
  <c r="AE98" i="8"/>
  <c r="V32" i="9"/>
  <c r="Z45" i="9"/>
  <c r="Z16" i="9"/>
  <c r="X22" i="9"/>
  <c r="C25" i="8"/>
  <c r="C22" i="8"/>
  <c r="D25" i="8"/>
  <c r="D22" i="8"/>
  <c r="V47" i="9"/>
  <c r="Z22" i="9"/>
  <c r="AA99" i="8"/>
  <c r="V111" i="8"/>
  <c r="U20" i="9"/>
  <c r="W97" i="8"/>
  <c r="AB104" i="8"/>
  <c r="W111" i="8"/>
  <c r="AA103" i="8"/>
  <c r="AA96" i="8"/>
  <c r="AB96" i="8"/>
  <c r="K33" i="9"/>
  <c r="W22" i="9"/>
  <c r="AC22" i="9" s="1"/>
  <c r="V22" i="9"/>
  <c r="U47" i="9"/>
  <c r="N48" i="9"/>
  <c r="Z104" i="8"/>
  <c r="AB94" i="8"/>
  <c r="Y22" i="9"/>
  <c r="Y20" i="9"/>
  <c r="X19" i="9"/>
  <c r="J44" i="9"/>
  <c r="W45" i="9"/>
  <c r="V45" i="9"/>
  <c r="K48" i="9"/>
  <c r="Y111" i="8"/>
  <c r="U22" i="9"/>
  <c r="T45" i="9"/>
  <c r="Y105" i="8"/>
  <c r="Z99" i="8"/>
  <c r="X20" i="9"/>
  <c r="T32" i="9"/>
  <c r="U32" i="9"/>
  <c r="J48" i="9"/>
  <c r="X111" i="8"/>
  <c r="AB103" i="8"/>
  <c r="W103" i="8"/>
  <c r="AA94" i="8"/>
  <c r="Y94" i="8"/>
  <c r="W94" i="8"/>
  <c r="V99" i="8"/>
  <c r="Y99" i="8"/>
  <c r="W99" i="8"/>
  <c r="U19" i="9"/>
  <c r="W19" i="9"/>
  <c r="V19" i="9"/>
  <c r="Y97" i="8"/>
  <c r="AE97" i="8" s="1"/>
  <c r="X97" i="8"/>
  <c r="V20" i="9"/>
  <c r="W20" i="9"/>
  <c r="Z96" i="8"/>
  <c r="X103" i="8"/>
  <c r="X94" i="8"/>
  <c r="Y15" i="9"/>
  <c r="Y16" i="9" s="1"/>
  <c r="K28" i="9"/>
  <c r="W28" i="9" s="1"/>
  <c r="W15" i="9"/>
  <c r="W16" i="9" s="1"/>
  <c r="U15" i="9"/>
  <c r="U16" i="9" s="1"/>
  <c r="Y19" i="9"/>
  <c r="V15" i="9"/>
  <c r="V16" i="9" s="1"/>
  <c r="V103" i="8"/>
  <c r="X45" i="9"/>
  <c r="T15" i="9"/>
  <c r="T16" i="9" s="1"/>
  <c r="T24" i="9" s="1"/>
  <c r="X99" i="8"/>
  <c r="T47" i="9"/>
  <c r="Y45" i="9"/>
  <c r="X15" i="9"/>
  <c r="X16" i="9" s="1"/>
  <c r="W47" i="9"/>
  <c r="Q47" i="9"/>
  <c r="AC23" i="9"/>
  <c r="AC21" i="9"/>
  <c r="AE106" i="8"/>
  <c r="AC34" i="9"/>
  <c r="K41" i="9"/>
  <c r="O48" i="9"/>
  <c r="N41" i="9"/>
  <c r="AA20" i="9"/>
  <c r="O33" i="9"/>
  <c r="AB105" i="8"/>
  <c r="N46" i="9"/>
  <c r="AC94" i="8"/>
  <c r="O27" i="9"/>
  <c r="Z27" i="9" s="1"/>
  <c r="O32" i="9"/>
  <c r="K38" i="9"/>
  <c r="L107" i="8"/>
  <c r="X104" i="8"/>
  <c r="O28" i="9"/>
  <c r="Z28" i="9" s="1"/>
  <c r="O44" i="9"/>
  <c r="Z44" i="9" s="1"/>
  <c r="K27" i="9"/>
  <c r="T27" i="9" s="1"/>
  <c r="AA15" i="9"/>
  <c r="O38" i="9"/>
  <c r="K107" i="8"/>
  <c r="AC96" i="8"/>
  <c r="AE96" i="8" s="1"/>
  <c r="S107" i="8"/>
  <c r="AC104" i="8"/>
  <c r="P107" i="8"/>
  <c r="AC103" i="8"/>
  <c r="O107" i="8"/>
  <c r="AE28" i="8"/>
  <c r="AA73" i="9"/>
  <c r="AA72" i="9"/>
  <c r="O12" i="10"/>
  <c r="O11" i="10"/>
  <c r="O10" i="10"/>
  <c r="O7" i="9" s="1"/>
  <c r="O9" i="10"/>
  <c r="O6" i="9" s="1"/>
  <c r="K12" i="10"/>
  <c r="K11" i="10"/>
  <c r="K10" i="10"/>
  <c r="K9" i="10"/>
  <c r="AC120" i="8"/>
  <c r="T116" i="8"/>
  <c r="AA120" i="8"/>
  <c r="AC116" i="8"/>
  <c r="P116" i="8"/>
  <c r="O116" i="8"/>
  <c r="M116" i="8"/>
  <c r="L116" i="8"/>
  <c r="J113" i="8"/>
  <c r="K113" i="8"/>
  <c r="L113" i="8"/>
  <c r="K116" i="8"/>
  <c r="R116" i="8"/>
  <c r="N116" i="8"/>
  <c r="AC99" i="8"/>
  <c r="V95" i="8" l="1"/>
  <c r="W95" i="8"/>
  <c r="X95" i="8"/>
  <c r="W48" i="9"/>
  <c r="Z24" i="9"/>
  <c r="Z29" i="9" s="1"/>
  <c r="D29" i="8"/>
  <c r="D26" i="8"/>
  <c r="C29" i="8"/>
  <c r="C26" i="8"/>
  <c r="O41" i="9"/>
  <c r="U27" i="9"/>
  <c r="Z105" i="8"/>
  <c r="V24" i="9"/>
  <c r="Y27" i="9"/>
  <c r="AC20" i="9"/>
  <c r="U24" i="9"/>
  <c r="X28" i="9"/>
  <c r="V28" i="9"/>
  <c r="X27" i="9"/>
  <c r="Z111" i="8"/>
  <c r="M107" i="8"/>
  <c r="Y104" i="8"/>
  <c r="AE104" i="8" s="1"/>
  <c r="W104" i="8"/>
  <c r="X44" i="9"/>
  <c r="X32" i="9"/>
  <c r="Z32" i="9"/>
  <c r="T28" i="9"/>
  <c r="T29" i="9" s="1"/>
  <c r="AB111" i="8"/>
  <c r="Y28" i="9"/>
  <c r="AA110" i="8"/>
  <c r="AB110" i="8"/>
  <c r="Z110" i="8"/>
  <c r="Y24" i="9"/>
  <c r="Y44" i="9"/>
  <c r="AA111" i="8"/>
  <c r="Y112" i="8"/>
  <c r="W112" i="8"/>
  <c r="X112" i="8"/>
  <c r="V112" i="8"/>
  <c r="W27" i="9"/>
  <c r="V27" i="9"/>
  <c r="Y32" i="9"/>
  <c r="V48" i="9"/>
  <c r="U48" i="9"/>
  <c r="T48" i="9"/>
  <c r="Z48" i="9"/>
  <c r="Y48" i="9"/>
  <c r="X48" i="9"/>
  <c r="AB112" i="8"/>
  <c r="Z112" i="8"/>
  <c r="AA112" i="8"/>
  <c r="W46" i="9"/>
  <c r="V104" i="8"/>
  <c r="O46" i="9"/>
  <c r="AA46" i="9" s="1"/>
  <c r="AA105" i="8"/>
  <c r="X24" i="9"/>
  <c r="W24" i="9"/>
  <c r="U33" i="9"/>
  <c r="W33" i="9"/>
  <c r="V33" i="9"/>
  <c r="T33" i="9"/>
  <c r="AA33" i="9"/>
  <c r="X33" i="9"/>
  <c r="Y33" i="9"/>
  <c r="Z33" i="9"/>
  <c r="U28" i="9"/>
  <c r="AC15" i="9"/>
  <c r="K49" i="9"/>
  <c r="O49" i="9"/>
  <c r="AE103" i="8"/>
  <c r="AC111" i="8"/>
  <c r="AE111" i="8" s="1"/>
  <c r="AC105" i="8"/>
  <c r="AE105" i="8" s="1"/>
  <c r="Z12" i="10"/>
  <c r="O9" i="9"/>
  <c r="Z11" i="10"/>
  <c r="O8" i="9"/>
  <c r="AC110" i="8"/>
  <c r="O47" i="9"/>
  <c r="AA28" i="9"/>
  <c r="AC28" i="9" s="1"/>
  <c r="K44" i="9"/>
  <c r="W44" i="9" s="1"/>
  <c r="Q107" i="8"/>
  <c r="T9" i="10"/>
  <c r="U9" i="10"/>
  <c r="U10" i="10"/>
  <c r="T10" i="10"/>
  <c r="V11" i="10"/>
  <c r="U11" i="10"/>
  <c r="T11" i="10"/>
  <c r="V12" i="10"/>
  <c r="U12" i="10"/>
  <c r="T12" i="10"/>
  <c r="S116" i="8"/>
  <c r="V127" i="8"/>
  <c r="AE99" i="8"/>
  <c r="X116" i="8"/>
  <c r="Z116" i="8"/>
  <c r="W120" i="8"/>
  <c r="AC112" i="8"/>
  <c r="X120" i="8"/>
  <c r="Z120" i="8"/>
  <c r="W116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X12" i="10"/>
  <c r="W12" i="10"/>
  <c r="Y12" i="10"/>
  <c r="W11" i="10"/>
  <c r="X11" i="10"/>
  <c r="Y11" i="10"/>
  <c r="V120" i="8"/>
  <c r="Y120" i="8"/>
  <c r="Y116" i="8"/>
  <c r="AA116" i="8"/>
  <c r="AB120" i="8"/>
  <c r="AB116" i="8"/>
  <c r="F116" i="8"/>
  <c r="G116" i="8"/>
  <c r="V116" i="8" s="1"/>
  <c r="H116" i="8"/>
  <c r="Q116" i="8"/>
  <c r="AA14" i="9"/>
  <c r="AA16" i="9" s="1"/>
  <c r="X13" i="8"/>
  <c r="U29" i="9" l="1"/>
  <c r="U35" i="9" s="1"/>
  <c r="C33" i="8"/>
  <c r="C30" i="8"/>
  <c r="D33" i="8"/>
  <c r="D30" i="8"/>
  <c r="AC33" i="9"/>
  <c r="X29" i="9"/>
  <c r="X35" i="9" s="1"/>
  <c r="W29" i="9"/>
  <c r="W35" i="9" s="1"/>
  <c r="V29" i="9"/>
  <c r="V35" i="9" s="1"/>
  <c r="X46" i="9"/>
  <c r="T44" i="9"/>
  <c r="T35" i="9"/>
  <c r="V44" i="9"/>
  <c r="Y46" i="9"/>
  <c r="Z35" i="9"/>
  <c r="Y29" i="9"/>
  <c r="Y35" i="9" s="1"/>
  <c r="AE112" i="8"/>
  <c r="X49" i="9"/>
  <c r="Y49" i="9"/>
  <c r="Z49" i="9"/>
  <c r="Z47" i="9"/>
  <c r="Y47" i="9"/>
  <c r="X47" i="9"/>
  <c r="W49" i="9"/>
  <c r="V49" i="9"/>
  <c r="T49" i="9"/>
  <c r="U49" i="9"/>
  <c r="Z46" i="9"/>
  <c r="U44" i="9"/>
  <c r="AB11" i="10"/>
  <c r="O10" i="9"/>
  <c r="O16" i="9" s="1"/>
  <c r="AB12" i="10"/>
  <c r="AA47" i="9"/>
  <c r="AA127" i="8"/>
  <c r="AB127" i="8"/>
  <c r="Y127" i="8"/>
  <c r="X127" i="8"/>
  <c r="W127" i="8"/>
  <c r="AC127" i="8"/>
  <c r="Z127" i="8"/>
  <c r="Z13" i="8"/>
  <c r="V13" i="8"/>
  <c r="W13" i="8"/>
  <c r="Y13" i="8"/>
  <c r="AC14" i="9"/>
  <c r="AA13" i="8"/>
  <c r="AC13" i="8"/>
  <c r="AB13" i="8"/>
  <c r="D100" i="8" l="1"/>
  <c r="D121" i="8" s="1"/>
  <c r="C100" i="8"/>
  <c r="C121" i="8" s="1"/>
  <c r="C122" i="8" s="1"/>
  <c r="C124" i="8" s="1"/>
  <c r="D37" i="8"/>
  <c r="D34" i="8"/>
  <c r="D40" i="8"/>
  <c r="C37" i="8"/>
  <c r="C34" i="8"/>
  <c r="C40" i="8"/>
  <c r="AE13" i="8"/>
  <c r="X24" i="8"/>
  <c r="W24" i="8"/>
  <c r="V24" i="8"/>
  <c r="Y24" i="8"/>
  <c r="AC24" i="8"/>
  <c r="AA24" i="8"/>
  <c r="AB24" i="8"/>
  <c r="Z24" i="8"/>
  <c r="D115" i="8" l="1"/>
  <c r="D117" i="8" s="1"/>
  <c r="D122" i="8" s="1"/>
  <c r="E115" i="8" s="1"/>
  <c r="AA57" i="9"/>
  <c r="AA56" i="9"/>
  <c r="Q8" i="8"/>
  <c r="M8" i="8"/>
  <c r="D124" i="8" l="1"/>
  <c r="E58" i="9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L53" i="8" l="1"/>
  <c r="B2" i="9"/>
  <c r="T70" i="8"/>
  <c r="R68" i="9" s="1"/>
  <c r="S70" i="8"/>
  <c r="Q68" i="9" s="1"/>
  <c r="Z68" i="9" s="1"/>
  <c r="R70" i="8"/>
  <c r="P68" i="9" s="1"/>
  <c r="Y68" i="9" s="1"/>
  <c r="P70" i="8"/>
  <c r="N68" i="9" s="1"/>
  <c r="W68" i="9" s="1"/>
  <c r="O70" i="8"/>
  <c r="M68" i="9" s="1"/>
  <c r="V68" i="9" s="1"/>
  <c r="N70" i="8"/>
  <c r="L68" i="9" s="1"/>
  <c r="U68" i="9" s="1"/>
  <c r="L70" i="8"/>
  <c r="J68" i="9" s="1"/>
  <c r="K70" i="8"/>
  <c r="I68" i="9" s="1"/>
  <c r="J70" i="8"/>
  <c r="H68" i="9" s="1"/>
  <c r="H70" i="8"/>
  <c r="F68" i="9" s="1"/>
  <c r="G70" i="8"/>
  <c r="E68" i="9" s="1"/>
  <c r="F70" i="8"/>
  <c r="D68" i="9" s="1"/>
  <c r="E70" i="8"/>
  <c r="C68" i="9" s="1"/>
  <c r="W10" i="10"/>
  <c r="AA55" i="9"/>
  <c r="AA58" i="9" s="1"/>
  <c r="R4" i="9"/>
  <c r="AA4" i="9" s="1"/>
  <c r="R3" i="9"/>
  <c r="AA3" i="9" s="1"/>
  <c r="AC69" i="8"/>
  <c r="AC67" i="8"/>
  <c r="AC62" i="8"/>
  <c r="AC52" i="8"/>
  <c r="AC8" i="8"/>
  <c r="AC88" i="8" s="1"/>
  <c r="AC7" i="8"/>
  <c r="AC87" i="8" s="1"/>
  <c r="Q4" i="10"/>
  <c r="Y4" i="10" s="1"/>
  <c r="P4" i="10"/>
  <c r="X4" i="10" s="1"/>
  <c r="O4" i="10"/>
  <c r="W4" i="10" s="1"/>
  <c r="N4" i="10"/>
  <c r="V4" i="10" s="1"/>
  <c r="M4" i="10"/>
  <c r="U4" i="10" s="1"/>
  <c r="L4" i="10"/>
  <c r="T4" i="10" s="1"/>
  <c r="K4" i="10"/>
  <c r="J4" i="10"/>
  <c r="I4" i="10"/>
  <c r="H4" i="10"/>
  <c r="Q3" i="10"/>
  <c r="Y3" i="10" s="1"/>
  <c r="P3" i="10"/>
  <c r="X3" i="10" s="1"/>
  <c r="O3" i="10"/>
  <c r="W3" i="10" s="1"/>
  <c r="N3" i="10"/>
  <c r="V3" i="10" s="1"/>
  <c r="M3" i="10"/>
  <c r="U3" i="10" s="1"/>
  <c r="L3" i="10"/>
  <c r="T3" i="10" s="1"/>
  <c r="K3" i="10"/>
  <c r="J3" i="10"/>
  <c r="I3" i="10"/>
  <c r="H3" i="10"/>
  <c r="R4" i="10"/>
  <c r="Z4" i="10" s="1"/>
  <c r="R3" i="10"/>
  <c r="Z3" i="10" s="1"/>
  <c r="T88" i="8"/>
  <c r="T87" i="8"/>
  <c r="T80" i="8"/>
  <c r="R87" i="9" s="1"/>
  <c r="T44" i="8"/>
  <c r="T43" i="8"/>
  <c r="T11" i="8"/>
  <c r="T14" i="8" s="1"/>
  <c r="R113" i="8"/>
  <c r="H113" i="8"/>
  <c r="G113" i="8"/>
  <c r="F113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Q10" i="8"/>
  <c r="M10" i="8"/>
  <c r="L80" i="8"/>
  <c r="J87" i="9" s="1"/>
  <c r="S88" i="8"/>
  <c r="R88" i="8"/>
  <c r="Q88" i="8"/>
  <c r="P88" i="8"/>
  <c r="O88" i="8"/>
  <c r="N88" i="8"/>
  <c r="M88" i="8"/>
  <c r="L88" i="8"/>
  <c r="K88" i="8"/>
  <c r="J88" i="8"/>
  <c r="S87" i="8"/>
  <c r="R87" i="8"/>
  <c r="Q87" i="8"/>
  <c r="P87" i="8"/>
  <c r="O87" i="8"/>
  <c r="N87" i="8"/>
  <c r="M87" i="8"/>
  <c r="L87" i="8"/>
  <c r="K87" i="8"/>
  <c r="J87" i="8"/>
  <c r="P80" i="8"/>
  <c r="N87" i="9" s="1"/>
  <c r="O80" i="8"/>
  <c r="M87" i="9" s="1"/>
  <c r="N80" i="8"/>
  <c r="L87" i="9" s="1"/>
  <c r="K80" i="8"/>
  <c r="I87" i="9" s="1"/>
  <c r="J80" i="8"/>
  <c r="H87" i="9" s="1"/>
  <c r="S44" i="8"/>
  <c r="R44" i="8"/>
  <c r="Q44" i="8"/>
  <c r="P44" i="8"/>
  <c r="O44" i="8"/>
  <c r="N44" i="8"/>
  <c r="M44" i="8"/>
  <c r="L44" i="8"/>
  <c r="K44" i="8"/>
  <c r="J44" i="8"/>
  <c r="S43" i="8"/>
  <c r="R43" i="8"/>
  <c r="Q43" i="8"/>
  <c r="P43" i="8"/>
  <c r="O43" i="8"/>
  <c r="N43" i="8"/>
  <c r="M43" i="8"/>
  <c r="L43" i="8"/>
  <c r="K43" i="8"/>
  <c r="J43" i="8"/>
  <c r="H44" i="8"/>
  <c r="G44" i="8"/>
  <c r="F44" i="8"/>
  <c r="E44" i="8"/>
  <c r="H43" i="8"/>
  <c r="G43" i="8"/>
  <c r="F43" i="8"/>
  <c r="E43" i="8"/>
  <c r="O11" i="8"/>
  <c r="O14" i="8" s="1"/>
  <c r="N11" i="8"/>
  <c r="N14" i="8" s="1"/>
  <c r="L11" i="8"/>
  <c r="L14" i="8" s="1"/>
  <c r="K11" i="8"/>
  <c r="K14" i="8" s="1"/>
  <c r="J11" i="8"/>
  <c r="J14" i="8" s="1"/>
  <c r="S11" i="8"/>
  <c r="S14" i="8" s="1"/>
  <c r="W8" i="8"/>
  <c r="V8" i="8"/>
  <c r="W7" i="8"/>
  <c r="V7" i="8"/>
  <c r="AA8" i="8"/>
  <c r="Z8" i="8"/>
  <c r="Y8" i="8"/>
  <c r="X8" i="8"/>
  <c r="AA7" i="8"/>
  <c r="Z7" i="8"/>
  <c r="Y7" i="8"/>
  <c r="X7" i="8"/>
  <c r="AB8" i="8"/>
  <c r="AB7" i="8"/>
  <c r="E4" i="10"/>
  <c r="D4" i="10"/>
  <c r="C4" i="10"/>
  <c r="E3" i="10"/>
  <c r="D3" i="10"/>
  <c r="C3" i="10"/>
  <c r="F4" i="10"/>
  <c r="F3" i="10"/>
  <c r="AE52" i="8" l="1"/>
  <c r="AE62" i="8"/>
  <c r="V10" i="10"/>
  <c r="X10" i="10"/>
  <c r="V10" i="8"/>
  <c r="X10" i="8"/>
  <c r="Y10" i="8"/>
  <c r="W10" i="8"/>
  <c r="AB10" i="8"/>
  <c r="AA10" i="8"/>
  <c r="Z10" i="8"/>
  <c r="L15" i="8"/>
  <c r="N21" i="8"/>
  <c r="K15" i="8"/>
  <c r="J15" i="8"/>
  <c r="O21" i="8"/>
  <c r="T21" i="8"/>
  <c r="AE47" i="8"/>
  <c r="AE69" i="8"/>
  <c r="AE78" i="8"/>
  <c r="AE56" i="8"/>
  <c r="AE66" i="8"/>
  <c r="AE67" i="8"/>
  <c r="AE73" i="8"/>
  <c r="T76" i="8"/>
  <c r="R69" i="9" s="1"/>
  <c r="U87" i="9"/>
  <c r="AA87" i="9"/>
  <c r="AA128" i="8"/>
  <c r="V87" i="9"/>
  <c r="W87" i="9"/>
  <c r="K58" i="9"/>
  <c r="L63" i="8"/>
  <c r="AA70" i="8"/>
  <c r="Y10" i="10"/>
  <c r="Z10" i="10"/>
  <c r="AB10" i="10" s="1"/>
  <c r="AB70" i="8"/>
  <c r="AC70" i="8"/>
  <c r="Y70" i="8"/>
  <c r="M70" i="8"/>
  <c r="K68" i="9" s="1"/>
  <c r="T68" i="9" s="1"/>
  <c r="Q70" i="8"/>
  <c r="O68" i="9" s="1"/>
  <c r="X68" i="9" s="1"/>
  <c r="L76" i="8"/>
  <c r="J69" i="9" s="1"/>
  <c r="T53" i="8"/>
  <c r="AC80" i="8"/>
  <c r="AC53" i="8"/>
  <c r="AC10" i="8"/>
  <c r="K76" i="8"/>
  <c r="I69" i="9" s="1"/>
  <c r="AC20" i="8"/>
  <c r="AE20" i="8" s="1"/>
  <c r="AC43" i="8"/>
  <c r="AC44" i="8"/>
  <c r="J76" i="8"/>
  <c r="H69" i="9" s="1"/>
  <c r="K53" i="8"/>
  <c r="K63" i="8" s="1"/>
  <c r="E113" i="8"/>
  <c r="S113" i="8"/>
  <c r="N113" i="8"/>
  <c r="O113" i="8"/>
  <c r="S53" i="8"/>
  <c r="S63" i="8" s="1"/>
  <c r="P53" i="8"/>
  <c r="P63" i="8" s="1"/>
  <c r="J53" i="8"/>
  <c r="J63" i="8" s="1"/>
  <c r="O53" i="8"/>
  <c r="O63" i="8" s="1"/>
  <c r="N53" i="8"/>
  <c r="N63" i="8" s="1"/>
  <c r="H76" i="8"/>
  <c r="F69" i="9" s="1"/>
  <c r="Y128" i="8"/>
  <c r="V58" i="9"/>
  <c r="U58" i="9"/>
  <c r="Z128" i="8"/>
  <c r="W128" i="8"/>
  <c r="X128" i="8"/>
  <c r="V128" i="8"/>
  <c r="M11" i="8"/>
  <c r="M14" i="8" s="1"/>
  <c r="M80" i="8"/>
  <c r="K87" i="9" s="1"/>
  <c r="M53" i="8"/>
  <c r="M63" i="8" s="1"/>
  <c r="Q53" i="8"/>
  <c r="Q63" i="8" s="1"/>
  <c r="N25" i="8" l="1"/>
  <c r="M21" i="8"/>
  <c r="L21" i="8"/>
  <c r="T81" i="8"/>
  <c r="AA69" i="9"/>
  <c r="AA9" i="9"/>
  <c r="AC9" i="9" s="1"/>
  <c r="AA8" i="9"/>
  <c r="AC8" i="9" s="1"/>
  <c r="AA7" i="9"/>
  <c r="AC7" i="9" s="1"/>
  <c r="R13" i="10"/>
  <c r="R14" i="10" s="1"/>
  <c r="T15" i="8"/>
  <c r="K21" i="8"/>
  <c r="O15" i="8"/>
  <c r="N15" i="8"/>
  <c r="T22" i="8"/>
  <c r="T25" i="8"/>
  <c r="T29" i="8" s="1"/>
  <c r="J21" i="8"/>
  <c r="Z70" i="8"/>
  <c r="AE17" i="8"/>
  <c r="AE110" i="8"/>
  <c r="AA48" i="9"/>
  <c r="AC63" i="8"/>
  <c r="AC76" i="8"/>
  <c r="AC81" i="8" s="1"/>
  <c r="AE70" i="8"/>
  <c r="AE24" i="8"/>
  <c r="AC11" i="8"/>
  <c r="AC14" i="8" s="1"/>
  <c r="AE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K81" i="8"/>
  <c r="K83" i="8" s="1"/>
  <c r="AA88" i="9"/>
  <c r="AA97" i="9" s="1"/>
  <c r="T87" i="9"/>
  <c r="T88" i="9" s="1"/>
  <c r="T97" i="9" s="1"/>
  <c r="AA19" i="9"/>
  <c r="AA24" i="9" s="1"/>
  <c r="T63" i="8"/>
  <c r="AA68" i="9"/>
  <c r="AA38" i="9"/>
  <c r="L81" i="8"/>
  <c r="L83" i="8" s="1"/>
  <c r="T113" i="8"/>
  <c r="J81" i="8"/>
  <c r="J83" i="8" s="1"/>
  <c r="P113" i="8"/>
  <c r="AA44" i="9"/>
  <c r="T58" i="9"/>
  <c r="O76" i="8"/>
  <c r="M69" i="9" s="1"/>
  <c r="V69" i="9" s="1"/>
  <c r="N76" i="8"/>
  <c r="L69" i="9" s="1"/>
  <c r="U69" i="9" s="1"/>
  <c r="M76" i="8"/>
  <c r="K69" i="9" s="1"/>
  <c r="T69" i="9" s="1"/>
  <c r="P76" i="8"/>
  <c r="N69" i="9" s="1"/>
  <c r="W69" i="9" s="1"/>
  <c r="U39" i="9"/>
  <c r="X39" i="9"/>
  <c r="Y38" i="9"/>
  <c r="AA41" i="9"/>
  <c r="V39" i="9"/>
  <c r="Z38" i="9"/>
  <c r="W39" i="9"/>
  <c r="X38" i="9"/>
  <c r="T39" i="9"/>
  <c r="O22" i="8"/>
  <c r="O25" i="8"/>
  <c r="O29" i="8" s="1"/>
  <c r="N22" i="8"/>
  <c r="AC19" i="9" l="1"/>
  <c r="O33" i="8"/>
  <c r="O34" i="8" s="1"/>
  <c r="T33" i="8"/>
  <c r="T40" i="8" s="1"/>
  <c r="N29" i="8"/>
  <c r="K25" i="8"/>
  <c r="K29" i="8" s="1"/>
  <c r="L25" i="8"/>
  <c r="L26" i="8" s="1"/>
  <c r="L22" i="8"/>
  <c r="AC15" i="8"/>
  <c r="K22" i="8"/>
  <c r="T83" i="8"/>
  <c r="R24" i="9"/>
  <c r="R29" i="9" s="1"/>
  <c r="R35" i="9" s="1"/>
  <c r="T26" i="8"/>
  <c r="J25" i="8"/>
  <c r="J29" i="8" s="1"/>
  <c r="J22" i="8"/>
  <c r="AC83" i="8"/>
  <c r="Y40" i="9"/>
  <c r="Z40" i="9"/>
  <c r="X40" i="9"/>
  <c r="AC40" i="9"/>
  <c r="U40" i="9"/>
  <c r="V40" i="9"/>
  <c r="T40" i="9"/>
  <c r="Z39" i="9"/>
  <c r="AB128" i="8"/>
  <c r="N81" i="8"/>
  <c r="N83" i="8" s="1"/>
  <c r="Y39" i="9"/>
  <c r="O81" i="8"/>
  <c r="O83" i="8" s="1"/>
  <c r="M15" i="8"/>
  <c r="Z107" i="8"/>
  <c r="AB107" i="8"/>
  <c r="AA107" i="8"/>
  <c r="AC107" i="8"/>
  <c r="Z41" i="9"/>
  <c r="O26" i="8"/>
  <c r="AB113" i="8"/>
  <c r="AC113" i="8"/>
  <c r="X107" i="8"/>
  <c r="Z113" i="8"/>
  <c r="X113" i="8"/>
  <c r="AA113" i="8"/>
  <c r="Q113" i="8"/>
  <c r="P81" i="8"/>
  <c r="P83" i="8" s="1"/>
  <c r="M81" i="8"/>
  <c r="M83" i="8" s="1"/>
  <c r="Y41" i="9"/>
  <c r="AE94" i="8"/>
  <c r="X41" i="9"/>
  <c r="Y107" i="8"/>
  <c r="W107" i="8"/>
  <c r="V107" i="8"/>
  <c r="V38" i="9"/>
  <c r="U38" i="9"/>
  <c r="W38" i="9"/>
  <c r="T38" i="9"/>
  <c r="W41" i="9"/>
  <c r="AC41" i="9" s="1"/>
  <c r="T41" i="9"/>
  <c r="U41" i="9"/>
  <c r="V41" i="9"/>
  <c r="M22" i="8"/>
  <c r="M25" i="8"/>
  <c r="M29" i="8" s="1"/>
  <c r="N26" i="8"/>
  <c r="X42" i="9" l="1"/>
  <c r="Y42" i="9"/>
  <c r="Z42" i="9"/>
  <c r="T42" i="9"/>
  <c r="AC38" i="9"/>
  <c r="W42" i="9"/>
  <c r="U42" i="9"/>
  <c r="V42" i="9"/>
  <c r="O40" i="8"/>
  <c r="O37" i="8"/>
  <c r="T37" i="8"/>
  <c r="T34" i="8"/>
  <c r="J33" i="8"/>
  <c r="J37" i="8" s="1"/>
  <c r="M33" i="8"/>
  <c r="M34" i="8" s="1"/>
  <c r="K33" i="8"/>
  <c r="K34" i="8" s="1"/>
  <c r="K100" i="8"/>
  <c r="K121" i="8" s="1"/>
  <c r="N33" i="8"/>
  <c r="N100" i="8" s="1"/>
  <c r="N121" i="8" s="1"/>
  <c r="L29" i="8"/>
  <c r="K26" i="8"/>
  <c r="AC21" i="8"/>
  <c r="T30" i="8"/>
  <c r="O100" i="8"/>
  <c r="O121" i="8" s="1"/>
  <c r="R17" i="9"/>
  <c r="R25" i="9"/>
  <c r="Y9" i="10"/>
  <c r="J26" i="8"/>
  <c r="AE36" i="8"/>
  <c r="AE107" i="8"/>
  <c r="AA39" i="9"/>
  <c r="AC39" i="9" s="1"/>
  <c r="AC128" i="8"/>
  <c r="Z9" i="10"/>
  <c r="W9" i="10"/>
  <c r="X9" i="10"/>
  <c r="V9" i="10"/>
  <c r="AA32" i="9"/>
  <c r="AC32" i="9" s="1"/>
  <c r="AA27" i="9"/>
  <c r="AA29" i="9" s="1"/>
  <c r="AA45" i="9"/>
  <c r="R30" i="9"/>
  <c r="K30" i="8"/>
  <c r="M26" i="8"/>
  <c r="T100" i="8"/>
  <c r="T121" i="8" s="1"/>
  <c r="V113" i="8"/>
  <c r="M113" i="8"/>
  <c r="Y113" i="8"/>
  <c r="AE113" i="8" s="1"/>
  <c r="W113" i="8"/>
  <c r="O30" i="8"/>
  <c r="N30" i="8"/>
  <c r="AA35" i="9" l="1"/>
  <c r="AA42" i="9" s="1"/>
  <c r="J40" i="8"/>
  <c r="J34" i="8"/>
  <c r="K40" i="8"/>
  <c r="M40" i="8"/>
  <c r="M37" i="8"/>
  <c r="K37" i="8"/>
  <c r="L33" i="8"/>
  <c r="L100" i="8" s="1"/>
  <c r="L121" i="8" s="1"/>
  <c r="N34" i="8"/>
  <c r="N37" i="8"/>
  <c r="N40" i="8"/>
  <c r="L30" i="8"/>
  <c r="AC22" i="8"/>
  <c r="AC25" i="8"/>
  <c r="AC29" i="8" s="1"/>
  <c r="AC91" i="8" s="1"/>
  <c r="AC27" i="9"/>
  <c r="AA6" i="9"/>
  <c r="J100" i="8"/>
  <c r="J121" i="8" s="1"/>
  <c r="J30" i="8"/>
  <c r="V17" i="9"/>
  <c r="R36" i="9"/>
  <c r="R42" i="9"/>
  <c r="R50" i="9" s="1"/>
  <c r="M30" i="8"/>
  <c r="AC30" i="8" l="1"/>
  <c r="AC33" i="8"/>
  <c r="L34" i="8"/>
  <c r="L40" i="8"/>
  <c r="L37" i="8"/>
  <c r="AC26" i="8"/>
  <c r="U17" i="9"/>
  <c r="W25" i="9"/>
  <c r="W17" i="9"/>
  <c r="T17" i="9"/>
  <c r="V25" i="9"/>
  <c r="T25" i="9"/>
  <c r="Y11" i="9"/>
  <c r="AC6" i="9"/>
  <c r="R51" i="9"/>
  <c r="T30" i="9"/>
  <c r="M100" i="8"/>
  <c r="M121" i="8" s="1"/>
  <c r="U95" i="9" l="1" a="1"/>
  <c r="U95" i="9" s="1"/>
  <c r="V94" i="9"/>
  <c r="AC34" i="8"/>
  <c r="AC40" i="8"/>
  <c r="AC37" i="8"/>
  <c r="U25" i="9"/>
  <c r="X11" i="9"/>
  <c r="Y17" i="9"/>
  <c r="X17" i="9"/>
  <c r="AC10" i="9"/>
  <c r="AA11" i="9"/>
  <c r="AC11" i="9" s="1"/>
  <c r="U30" i="9"/>
  <c r="V30" i="9"/>
  <c r="Y25" i="9"/>
  <c r="W121" i="8"/>
  <c r="X121" i="8"/>
  <c r="V121" i="8"/>
  <c r="T96" i="9" a="1"/>
  <c r="T96" i="9" s="1"/>
  <c r="T94" i="9"/>
  <c r="T95" i="9" a="1"/>
  <c r="T95" i="9" s="1"/>
  <c r="T93" i="9"/>
  <c r="T36" i="9"/>
  <c r="T92" i="9"/>
  <c r="B88" i="8"/>
  <c r="B87" i="8"/>
  <c r="H88" i="8"/>
  <c r="G88" i="8"/>
  <c r="F88" i="8"/>
  <c r="E88" i="8"/>
  <c r="H87" i="8"/>
  <c r="G87" i="8"/>
  <c r="F87" i="8"/>
  <c r="E87" i="8"/>
  <c r="B44" i="8"/>
  <c r="B43" i="8"/>
  <c r="AB44" i="8"/>
  <c r="AA44" i="8"/>
  <c r="Z44" i="8"/>
  <c r="X44" i="8"/>
  <c r="W44" i="8"/>
  <c r="V44" i="8"/>
  <c r="Y44" i="8"/>
  <c r="AB43" i="8"/>
  <c r="AA43" i="8"/>
  <c r="Z43" i="8"/>
  <c r="Y43" i="8"/>
  <c r="X43" i="8"/>
  <c r="W43" i="8"/>
  <c r="V43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V87" i="8"/>
  <c r="V88" i="8"/>
  <c r="Y87" i="8"/>
  <c r="Z87" i="8"/>
  <c r="Z88" i="8"/>
  <c r="AA88" i="8"/>
  <c r="X87" i="8"/>
  <c r="AA87" i="8"/>
  <c r="X88" i="8"/>
  <c r="W88" i="8"/>
  <c r="AB87" i="8"/>
  <c r="Y88" i="8"/>
  <c r="W87" i="8"/>
  <c r="AB88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E13" i="10" l="1"/>
  <c r="D13" i="10"/>
  <c r="C13" i="10"/>
  <c r="Q13" i="10"/>
  <c r="Q14" i="10" s="1"/>
  <c r="P13" i="10"/>
  <c r="O13" i="10"/>
  <c r="N13" i="10"/>
  <c r="M13" i="10"/>
  <c r="M14" i="10" s="1"/>
  <c r="L13" i="10"/>
  <c r="L14" i="10" s="1"/>
  <c r="K13" i="10"/>
  <c r="K14" i="10" s="1"/>
  <c r="J13" i="10"/>
  <c r="J14" i="10" s="1"/>
  <c r="I13" i="10"/>
  <c r="I14" i="10" s="1"/>
  <c r="H13" i="10"/>
  <c r="H14" i="10" s="1"/>
  <c r="F13" i="10"/>
  <c r="Q80" i="8"/>
  <c r="O87" i="9" s="1"/>
  <c r="S80" i="8"/>
  <c r="Q87" i="9" s="1"/>
  <c r="Z87" i="9" l="1"/>
  <c r="X87" i="9"/>
  <c r="X88" i="9" s="1"/>
  <c r="X97" i="9" s="1"/>
  <c r="R53" i="8"/>
  <c r="R63" i="8" s="1"/>
  <c r="R80" i="8"/>
  <c r="P87" i="9" s="1"/>
  <c r="R11" i="9" l="1"/>
  <c r="R12" i="9"/>
  <c r="Y87" i="9"/>
  <c r="Y88" i="9" s="1"/>
  <c r="Y97" i="9" s="1"/>
  <c r="Z88" i="9"/>
  <c r="Z97" i="9" s="1"/>
  <c r="W11" i="8" l="1"/>
  <c r="W14" i="8" s="1"/>
  <c r="G53" i="8"/>
  <c r="G63" i="8" s="1"/>
  <c r="F53" i="8"/>
  <c r="F63" i="8" s="1"/>
  <c r="E53" i="8"/>
  <c r="E63" i="8" s="1"/>
  <c r="H53" i="8"/>
  <c r="H63" i="8" s="1"/>
  <c r="X11" i="8" l="1"/>
  <c r="X14" i="8" s="1"/>
  <c r="X53" i="8"/>
  <c r="X63" i="8" s="1"/>
  <c r="X80" i="8"/>
  <c r="V53" i="8"/>
  <c r="V63" i="8" s="1"/>
  <c r="X70" i="8"/>
  <c r="X76" i="8" s="1"/>
  <c r="W70" i="8"/>
  <c r="W76" i="8" s="1"/>
  <c r="W53" i="8"/>
  <c r="W63" i="8" s="1"/>
  <c r="V80" i="8"/>
  <c r="V11" i="8"/>
  <c r="V14" i="8" s="1"/>
  <c r="V70" i="8"/>
  <c r="V76" i="8" s="1"/>
  <c r="W80" i="8"/>
  <c r="Z80" i="8"/>
  <c r="Z53" i="8"/>
  <c r="Z63" i="8" s="1"/>
  <c r="AA80" i="8"/>
  <c r="Z11" i="8"/>
  <c r="Z14" i="8" s="1"/>
  <c r="Z76" i="8"/>
  <c r="AA76" i="8"/>
  <c r="Y11" i="8"/>
  <c r="Y14" i="8" s="1"/>
  <c r="AA11" i="8"/>
  <c r="AA14" i="8" s="1"/>
  <c r="AA53" i="8"/>
  <c r="AA63" i="8" s="1"/>
  <c r="AE14" i="8" l="1"/>
  <c r="AE11" i="8"/>
  <c r="W21" i="8"/>
  <c r="V13" i="10"/>
  <c r="V14" i="10" s="1"/>
  <c r="W13" i="10"/>
  <c r="W14" i="10" s="1"/>
  <c r="X81" i="8"/>
  <c r="X83" i="8" s="1"/>
  <c r="V81" i="8"/>
  <c r="V83" i="8" s="1"/>
  <c r="W81" i="8"/>
  <c r="W83" i="8" s="1"/>
  <c r="W15" i="8"/>
  <c r="Z81" i="8"/>
  <c r="Z83" i="8" s="1"/>
  <c r="AA81" i="8"/>
  <c r="AA83" i="8" s="1"/>
  <c r="W25" i="8" l="1"/>
  <c r="Y21" i="8"/>
  <c r="Z21" i="8"/>
  <c r="V21" i="8"/>
  <c r="V22" i="8" s="1"/>
  <c r="X21" i="8"/>
  <c r="W22" i="8"/>
  <c r="AA21" i="8"/>
  <c r="Z15" i="8"/>
  <c r="Y15" i="8"/>
  <c r="AE15" i="8" s="1"/>
  <c r="V15" i="8"/>
  <c r="AA15" i="8"/>
  <c r="X15" i="8"/>
  <c r="Z17" i="9"/>
  <c r="T13" i="10"/>
  <c r="T14" i="10" s="1"/>
  <c r="U13" i="10"/>
  <c r="U14" i="10" s="1"/>
  <c r="X13" i="10"/>
  <c r="X14" i="10" s="1"/>
  <c r="Z13" i="10"/>
  <c r="Z14" i="10" s="1"/>
  <c r="W29" i="8" l="1"/>
  <c r="W33" i="8" s="1"/>
  <c r="W91" i="8" s="1"/>
  <c r="W26" i="8"/>
  <c r="AA22" i="8"/>
  <c r="Z25" i="8"/>
  <c r="Z29" i="8" s="1"/>
  <c r="Z33" i="8" s="1"/>
  <c r="X25" i="8"/>
  <c r="Y25" i="8"/>
  <c r="Y29" i="8" s="1"/>
  <c r="Y33" i="8" s="1"/>
  <c r="AE21" i="8"/>
  <c r="Z22" i="8"/>
  <c r="Y22" i="8"/>
  <c r="AE22" i="8" s="1"/>
  <c r="X22" i="8"/>
  <c r="V25" i="8"/>
  <c r="AA25" i="8"/>
  <c r="AA29" i="8" s="1"/>
  <c r="AA33" i="8" s="1"/>
  <c r="Z94" i="9"/>
  <c r="Z25" i="9"/>
  <c r="Y13" i="10"/>
  <c r="AB13" i="10"/>
  <c r="AB9" i="10"/>
  <c r="W40" i="8" l="1"/>
  <c r="W34" i="8"/>
  <c r="W30" i="8"/>
  <c r="W37" i="8"/>
  <c r="V29" i="8"/>
  <c r="V33" i="8" s="1"/>
  <c r="V91" i="8" s="1"/>
  <c r="X29" i="8"/>
  <c r="X33" i="8" s="1"/>
  <c r="X37" i="8" s="1"/>
  <c r="Y91" i="8"/>
  <c r="AA34" i="8"/>
  <c r="AA91" i="8"/>
  <c r="Z34" i="8"/>
  <c r="Z91" i="8"/>
  <c r="Z26" i="8"/>
  <c r="X26" i="8"/>
  <c r="Y26" i="8"/>
  <c r="AE26" i="8" s="1"/>
  <c r="AE25" i="8"/>
  <c r="V26" i="8"/>
  <c r="AA26" i="8"/>
  <c r="Z30" i="9"/>
  <c r="Z30" i="8"/>
  <c r="AA30" i="8"/>
  <c r="V34" i="8" l="1"/>
  <c r="V37" i="8"/>
  <c r="X30" i="8"/>
  <c r="V40" i="8"/>
  <c r="V30" i="8"/>
  <c r="X40" i="8"/>
  <c r="X34" i="8"/>
  <c r="X91" i="8"/>
  <c r="Y34" i="8"/>
  <c r="AE34" i="8" s="1"/>
  <c r="AE33" i="8"/>
  <c r="AA40" i="8"/>
  <c r="AA37" i="8"/>
  <c r="Y40" i="8"/>
  <c r="AE40" i="8" s="1"/>
  <c r="Y37" i="8"/>
  <c r="AE37" i="8" s="1"/>
  <c r="Z40" i="8"/>
  <c r="Z37" i="8"/>
  <c r="AE29" i="8"/>
  <c r="Y30" i="8"/>
  <c r="AE30" i="8" s="1"/>
  <c r="Z96" i="9" a="1"/>
  <c r="Z96" i="9" s="1"/>
  <c r="Z36" i="9"/>
  <c r="Z95" i="9" a="1"/>
  <c r="Z95" i="9" s="1"/>
  <c r="Z92" i="9"/>
  <c r="Z93" i="9"/>
  <c r="Y76" i="8" l="1"/>
  <c r="AE76" i="8" s="1"/>
  <c r="P11" i="8" l="1"/>
  <c r="P14" i="8" s="1"/>
  <c r="H11" i="8"/>
  <c r="H14" i="8" s="1"/>
  <c r="G11" i="8"/>
  <c r="G14" i="8" s="1"/>
  <c r="F11" i="8"/>
  <c r="F14" i="8" s="1"/>
  <c r="E11" i="8"/>
  <c r="E14" i="8" s="1"/>
  <c r="H80" i="8"/>
  <c r="F87" i="9" s="1"/>
  <c r="G80" i="8"/>
  <c r="E87" i="9" s="1"/>
  <c r="F80" i="8"/>
  <c r="D87" i="9" s="1"/>
  <c r="E80" i="8"/>
  <c r="C87" i="9" s="1"/>
  <c r="S76" i="8"/>
  <c r="Q69" i="9" s="1"/>
  <c r="Z69" i="9" s="1"/>
  <c r="Q76" i="8"/>
  <c r="O69" i="9" s="1"/>
  <c r="X69" i="9" s="1"/>
  <c r="AB11" i="8"/>
  <c r="AB14" i="8" s="1"/>
  <c r="P88" i="9"/>
  <c r="P97" i="9" s="1"/>
  <c r="H88" i="9"/>
  <c r="H97" i="9" s="1"/>
  <c r="E21" i="8" l="1"/>
  <c r="F21" i="8"/>
  <c r="G21" i="8"/>
  <c r="H21" i="8"/>
  <c r="P21" i="8"/>
  <c r="Y14" i="10"/>
  <c r="D14" i="10"/>
  <c r="N14" i="10"/>
  <c r="F14" i="10"/>
  <c r="E14" i="10"/>
  <c r="C14" i="10"/>
  <c r="E76" i="8"/>
  <c r="C69" i="9" s="1"/>
  <c r="G76" i="8"/>
  <c r="E69" i="9" s="1"/>
  <c r="F76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Y80" i="8"/>
  <c r="S21" i="8"/>
  <c r="R76" i="8"/>
  <c r="P69" i="9" s="1"/>
  <c r="Y69" i="9" s="1"/>
  <c r="AB76" i="8"/>
  <c r="AB80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Y81" i="8" l="1"/>
  <c r="AE81" i="8" s="1"/>
  <c r="AE80" i="8"/>
  <c r="F81" i="8"/>
  <c r="F83" i="8" s="1"/>
  <c r="S25" i="8"/>
  <c r="S29" i="8" s="1"/>
  <c r="H25" i="8"/>
  <c r="H29" i="8" s="1"/>
  <c r="P22" i="8"/>
  <c r="E25" i="8"/>
  <c r="E29" i="8" s="1"/>
  <c r="F25" i="8"/>
  <c r="F29" i="8" s="1"/>
  <c r="G22" i="8"/>
  <c r="E81" i="8"/>
  <c r="E83" i="8" s="1"/>
  <c r="P15" i="8"/>
  <c r="E15" i="8"/>
  <c r="O88" i="9"/>
  <c r="O97" i="9" s="1"/>
  <c r="Q81" i="8"/>
  <c r="Q83" i="8" s="1"/>
  <c r="Y53" i="8"/>
  <c r="AE53" i="8" s="1"/>
  <c r="S81" i="8"/>
  <c r="S83" i="8" s="1"/>
  <c r="G81" i="8"/>
  <c r="G83" i="8" s="1"/>
  <c r="H81" i="8"/>
  <c r="H83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B53" i="8"/>
  <c r="AB63" i="8" s="1"/>
  <c r="G15" i="8"/>
  <c r="H15" i="8"/>
  <c r="F15" i="8"/>
  <c r="AB21" i="8"/>
  <c r="S15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R92" i="9" l="1"/>
  <c r="F33" i="8"/>
  <c r="F34" i="8" s="1"/>
  <c r="F100" i="8"/>
  <c r="H33" i="8"/>
  <c r="H37" i="8" s="1"/>
  <c r="E33" i="8"/>
  <c r="E34" i="8" s="1"/>
  <c r="E100" i="8"/>
  <c r="S33" i="8"/>
  <c r="S37" i="8" s="1"/>
  <c r="M17" i="9"/>
  <c r="M25" i="9"/>
  <c r="S22" i="8"/>
  <c r="H22" i="8"/>
  <c r="E22" i="8"/>
  <c r="G25" i="8"/>
  <c r="G29" i="8" s="1"/>
  <c r="P25" i="8"/>
  <c r="P29" i="8" s="1"/>
  <c r="F22" i="8"/>
  <c r="Y63" i="8"/>
  <c r="AB25" i="8"/>
  <c r="AB29" i="8" s="1"/>
  <c r="AB33" i="8" s="1"/>
  <c r="F26" i="8"/>
  <c r="S26" i="8"/>
  <c r="AB22" i="8"/>
  <c r="H26" i="8"/>
  <c r="AB81" i="8"/>
  <c r="R81" i="8"/>
  <c r="R83" i="8" s="1"/>
  <c r="O17" i="9"/>
  <c r="K17" i="9"/>
  <c r="H30" i="8"/>
  <c r="E26" i="8"/>
  <c r="AB15" i="8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H100" i="8" l="1"/>
  <c r="H121" i="8" s="1"/>
  <c r="H40" i="8"/>
  <c r="H34" i="8"/>
  <c r="F37" i="8"/>
  <c r="F40" i="8"/>
  <c r="S40" i="8"/>
  <c r="E40" i="8"/>
  <c r="S34" i="8"/>
  <c r="AB37" i="8"/>
  <c r="AB91" i="8"/>
  <c r="E37" i="8"/>
  <c r="G33" i="8"/>
  <c r="G37" i="8" s="1"/>
  <c r="P33" i="8"/>
  <c r="P34" i="8" s="1"/>
  <c r="Y83" i="8"/>
  <c r="AE63" i="8"/>
  <c r="G26" i="8"/>
  <c r="G30" i="8"/>
  <c r="P26" i="8"/>
  <c r="F30" i="8"/>
  <c r="S100" i="8"/>
  <c r="S121" i="8" s="1"/>
  <c r="S30" i="8"/>
  <c r="E30" i="8"/>
  <c r="AB83" i="8"/>
  <c r="AB26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G100" i="8" l="1"/>
  <c r="G121" i="8" s="1"/>
  <c r="AB40" i="8"/>
  <c r="AB34" i="8"/>
  <c r="G40" i="8"/>
  <c r="P40" i="8"/>
  <c r="G34" i="8"/>
  <c r="P37" i="8"/>
  <c r="P30" i="8"/>
  <c r="P100" i="8"/>
  <c r="P121" i="8" s="1"/>
  <c r="Y121" i="8" s="1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F121" i="8"/>
  <c r="E121" i="8"/>
  <c r="X100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Y100" i="8" l="1"/>
  <c r="V100" i="8"/>
  <c r="W100" i="8"/>
  <c r="AB30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E117" i="8" l="1"/>
  <c r="E122" i="8" s="1"/>
  <c r="E124" i="8" s="1"/>
  <c r="F115" i="8" l="1"/>
  <c r="F117" i="8" s="1"/>
  <c r="F122" i="8" s="1"/>
  <c r="F124" i="8" s="1"/>
  <c r="G115" i="8" l="1"/>
  <c r="G117" i="8" l="1"/>
  <c r="V115" i="8"/>
  <c r="G122" i="8" l="1"/>
  <c r="G124" i="8" s="1"/>
  <c r="H115" i="8" l="1"/>
  <c r="H117" i="8" s="1"/>
  <c r="H122" i="8" s="1"/>
  <c r="H124" i="8" s="1"/>
  <c r="J117" i="8"/>
  <c r="J122" i="8" s="1"/>
  <c r="J124" i="8" l="1"/>
  <c r="K115" i="8"/>
  <c r="K117" i="8" s="1"/>
  <c r="K122" i="8" s="1"/>
  <c r="W115" i="8"/>
  <c r="K124" i="8" l="1"/>
  <c r="L115" i="8"/>
  <c r="L117" i="8" s="1"/>
  <c r="L122" i="8" s="1"/>
  <c r="L124" i="8" s="1"/>
  <c r="X115" i="8"/>
  <c r="Y115" i="8" l="1"/>
  <c r="M115" i="8"/>
  <c r="M117" i="8" s="1"/>
  <c r="M122" i="8" s="1"/>
  <c r="M124" i="8" s="1"/>
  <c r="Z115" i="8" l="1"/>
  <c r="N115" i="8"/>
  <c r="N117" i="8" s="1"/>
  <c r="N122" i="8" s="1"/>
  <c r="N124" i="8" s="1"/>
  <c r="AA115" i="8" l="1"/>
  <c r="W117" i="8"/>
  <c r="W122" i="8" s="1"/>
  <c r="W124" i="8" s="1"/>
  <c r="O115" i="8"/>
  <c r="O117" i="8" s="1"/>
  <c r="O122" i="8" s="1"/>
  <c r="O124" i="8" s="1"/>
  <c r="AB115" i="8" l="1"/>
  <c r="X117" i="8"/>
  <c r="X122" i="8" s="1"/>
  <c r="X124" i="8" s="1"/>
  <c r="P115" i="8"/>
  <c r="P117" i="8" s="1"/>
  <c r="P122" i="8" s="1"/>
  <c r="P124" i="8" s="1"/>
  <c r="AC115" i="8" l="1"/>
  <c r="Y117" i="8"/>
  <c r="Y122" i="8" s="1"/>
  <c r="Y124" i="8" s="1"/>
  <c r="Q115" i="8"/>
  <c r="Q117" i="8" s="1"/>
  <c r="R11" i="8" l="1"/>
  <c r="R14" i="8" s="1"/>
  <c r="R21" i="8" l="1"/>
  <c r="P14" i="10"/>
  <c r="R25" i="8" l="1"/>
  <c r="R29" i="8" s="1"/>
  <c r="R15" i="8"/>
  <c r="R33" i="8" l="1"/>
  <c r="R34" i="8" s="1"/>
  <c r="R22" i="8"/>
  <c r="R26" i="8"/>
  <c r="R37" i="8" l="1"/>
  <c r="R40" i="8"/>
  <c r="R30" i="8"/>
  <c r="R100" i="8" l="1"/>
  <c r="R121" i="8" s="1"/>
  <c r="Q11" i="8"/>
  <c r="Q14" i="8" s="1"/>
  <c r="Q21" i="8" l="1"/>
  <c r="O14" i="10"/>
  <c r="Q15" i="8" l="1"/>
  <c r="Q25" i="8"/>
  <c r="Q29" i="8" s="1"/>
  <c r="Q33" i="8" l="1"/>
  <c r="Q37" i="8" s="1"/>
  <c r="Q22" i="8"/>
  <c r="Q26" i="8"/>
  <c r="Q40" i="8" l="1"/>
  <c r="Q34" i="8"/>
  <c r="Q30" i="8"/>
  <c r="AC100" i="8" l="1"/>
  <c r="AE100" i="8" s="1"/>
  <c r="AE91" i="8"/>
  <c r="Z100" i="8"/>
  <c r="AA100" i="8"/>
  <c r="Q100" i="8"/>
  <c r="Q121" i="8" s="1"/>
  <c r="Q122" i="8" l="1"/>
  <c r="Q124" i="8" s="1"/>
  <c r="AC121" i="8"/>
  <c r="AB121" i="8"/>
  <c r="AA121" i="8"/>
  <c r="Z121" i="8"/>
  <c r="Z117" i="8"/>
  <c r="AB100" i="8"/>
  <c r="R115" i="8" l="1"/>
  <c r="R117" i="8" s="1"/>
  <c r="R122" i="8" s="1"/>
  <c r="R124" i="8" s="1"/>
  <c r="Z122" i="8"/>
  <c r="Z124" i="8" s="1"/>
  <c r="AA117" i="8"/>
  <c r="AA122" i="8" s="1"/>
  <c r="AA124" i="8" s="1"/>
  <c r="S115" i="8" l="1"/>
  <c r="S117" i="8" s="1"/>
  <c r="S122" i="8" s="1"/>
  <c r="S124" i="8" s="1"/>
  <c r="AB117" i="8"/>
  <c r="AB122" i="8" s="1"/>
  <c r="AB124" i="8" s="1"/>
  <c r="V117" i="8"/>
  <c r="V122" i="8" s="1"/>
  <c r="V124" i="8" s="1"/>
  <c r="T115" i="8" l="1"/>
  <c r="T117" i="8" s="1"/>
  <c r="T122" i="8" s="1"/>
  <c r="T124" i="8" s="1"/>
  <c r="AC117" i="8"/>
  <c r="AC122" i="8" s="1"/>
  <c r="AC124" i="8" s="1"/>
  <c r="C88" i="9" l="1"/>
  <c r="C97" i="9" s="1"/>
  <c r="C92" i="9"/>
  <c r="C9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<sst xmlns="http://schemas.openxmlformats.org/spreadsheetml/2006/main" count="234" uniqueCount="186">
  <si>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</si>
  <si>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</si>
  <si>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</si>
  <si>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</si>
  <si>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</si>
  <si>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</si>
  <si>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</si>
  <si>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</si>
  <si>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</si>
  <si>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</si>
  <si>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</si>
  <si>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</si>
  <si>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</si>
  <si>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</si>
  <si>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</si>
  <si>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</si>
  <si>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</si>
  <si>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</si>
  <si>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</si>
  <si>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</si>
  <si>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</si>
  <si>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</si>
  <si>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</si>
  <si>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</si>
  <si>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</si>
  <si>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</si>
  <si>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</si>
  <si>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</si>
  <si>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</si>
  <si>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</si>
  <si>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</si>
  <si>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</si>
  <si>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</si>
  <si>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</si>
  <si>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</si>
  <si>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</si>
  <si>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</si>
  <si>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</si>
  <si>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</si>
  <si>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</si>
  <si>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</si>
  <si>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</si>
  <si>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</si>
  <si>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</si>
  <si>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</si>
  <si>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</si>
  <si>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</si>
  <si>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</si>
  <si>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</si>
  <si>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</si>
  <si>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</si>
  <si>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</si>
  <si>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</si>
  <si>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</si>
  <si>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</si>
  <si>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</si>
  <si>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</si>
  <si>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</si>
  <si>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</si>
  <si>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</si>
  <si>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</si>
  <si>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</si>
  <si>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</si>
  <si>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</si>
  <si>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</si>
  <si>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</si>
  <si>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</si>
  <si>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</si>
  <si>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</si>
  <si>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</si>
  <si>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</si>
  <si>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</si>
  <si>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</si>
  <si>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</si>
  <si>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</si>
  <si>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</si>
  <si>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</si>
  <si>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</si>
  <si>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</si>
  <si>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</si>
  <si>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</si>
  <si>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</si>
  <si>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</si>
  <si>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Disaggregated Revenues</t>
  </si>
  <si>
    <t>Offerings Drivers</t>
  </si>
  <si>
    <t>Variance Check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</si>
  <si>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</si>
  <si>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</si>
  <si>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</si>
  <si>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</si>
  <si>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</si>
  <si>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</si>
  <si>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</si>
  <si>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</si>
  <si>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</si>
  <si>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</si>
  <si>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</si>
  <si>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</si>
  <si>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$ in thousands except per share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</si>
  <si>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</si>
  <si>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</si>
  <si>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</si>
  <si>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</si>
  <si>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</si>
  <si>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</si>
  <si>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</si>
  <si>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</si>
  <si>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Income before income taxes and equity income</t>
  </si>
  <si>
    <t>Margin (%)</t>
  </si>
  <si>
    <t>Income tax provision (benefit)</t>
  </si>
  <si>
    <t>Net Income</t>
  </si>
  <si>
    <t>Inventories</t>
  </si>
  <si>
    <t>Goodwill</t>
  </si>
  <si>
    <t>Acquisition-related intangibles</t>
  </si>
  <si>
    <t xml:space="preserve">Income taxes paid </t>
  </si>
  <si>
    <t>Data Center</t>
  </si>
  <si>
    <t>Gaming</t>
  </si>
  <si>
    <t>Client</t>
  </si>
  <si>
    <t>Embedded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</si>
  <si>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</si>
  <si>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</si>
  <si>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</si>
  <si>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</si>
  <si>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</si>
  <si>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Income from continuing operations, net of tax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</si>
  <si>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</si>
  <si>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</si>
  <si>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</si>
  <si>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</si>
  <si>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</si>
  <si>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</si>
  <si>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</si>
  <si>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</si>
  <si>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</si>
  <si>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</si>
  <si>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</si>
  <si>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</si>
  <si>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</si>
  <si>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</si>
  <si>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</si>
  <si>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</si>
  <si>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</si>
  <si>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</si>
  <si>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</si>
  <si>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</si>
  <si>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</si>
  <si>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</si>
  <si>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Cost of Goods Sold</t>
  </si>
  <si>
    <t>Selling, General, and Administrative Expenses</t>
  </si>
  <si>
    <t>Research and Development</t>
  </si>
  <si>
    <t>Other Income</t>
  </si>
  <si>
    <t>D&amp;A Costs</t>
  </si>
  <si>
    <t>Interest Income / (expense)</t>
  </si>
  <si>
    <t>Profit from investments in associates</t>
  </si>
  <si>
    <t>Cash &amp; Cash Equivalents</t>
  </si>
  <si>
    <t>Accounts Receivable, Net</t>
  </si>
  <si>
    <t>Finance Receivables, Net</t>
  </si>
  <si>
    <t>Contract Assets</t>
  </si>
  <si>
    <t>Inventories, Net</t>
  </si>
  <si>
    <t>Other Current Assets</t>
  </si>
  <si>
    <t>Property, Plant &amp; Equipment, Net</t>
  </si>
  <si>
    <t>Intangible Assets</t>
  </si>
  <si>
    <t>Deferred Tax Assets, Net</t>
  </si>
  <si>
    <t>Loan Receivables</t>
  </si>
  <si>
    <t>Other Non-Current Assets</t>
  </si>
  <si>
    <t>Current Portion of Long Term Debt</t>
  </si>
  <si>
    <t>Contract Liabilities</t>
  </si>
  <si>
    <t>Other Current Liabilities</t>
  </si>
  <si>
    <t>Long Term Debt</t>
  </si>
  <si>
    <t>Other Non-Current Liabilities</t>
  </si>
  <si>
    <t>Common Equity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</si>
  <si>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</si>
  <si>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</si>
  <si>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</si>
  <si>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</si>
  <si>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</si>
  <si>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</si>
  <si>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</si>
  <si>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</si>
  <si>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</si>
  <si>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</si>
  <si>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</si>
  <si>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</si>
  <si>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</si>
  <si>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</si>
  <si>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>ASML Holding NV. (NASDAQ: ASML)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</si>
</sst>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58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5" fontId="21" fillId="0" borderId="6" xfId="0" applyNumberFormat="1" applyFont="1" applyBorder="1" applyAlignment="1">
      <alignment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E145"/>
  <sheetViews>
    <sheetView showGridLines="0" tabSelected="1" zoomScale="115" zoomScaleNormal="115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5" width="9" style="5" customWidth="1" outlineLevel="1"/>
    <col min="6" max="8" width="9" style="5" bestFit="1" customWidth="1"/>
    <col min="9" max="9" width="1.5" style="5" customWidth="1"/>
    <col min="10" max="13" width="8.875" style="5" customWidth="1" outlineLevel="2"/>
    <col min="14" max="15" width="8.875" style="5" customWidth="1" outlineLevel="1"/>
    <col min="16" max="20" width="8.875" style="5" bestFit="1" customWidth="1"/>
    <col min="21" max="21" width="1.5" style="5" customWidth="1"/>
    <col min="22" max="24" width="8.75" style="5" hidden="1" customWidth="1" outlineLevel="1"/>
    <col min="25" max="25" width="9" style="5" bestFit="1" customWidth="1" collapsed="1"/>
    <col min="26" max="28" width="9" style="5" hidden="1" customWidth="1" outlineLevel="1"/>
    <col min="29" max="29" width="9" style="5" bestFit="1" customWidth="1" collapsed="1"/>
    <col min="30" max="30" width="1.25" style="5" customWidth="1"/>
    <col min="31" max="31" width="8" style="5" bestFit="1" customWidth="1"/>
    <col min="32" max="32" width="1.375" style="5" customWidth="1"/>
    <col min="33" max="16384" width="9" style="5"/>
  </cols>
  <sheetData>
    <row r="2" spans="1:31" ht="12.75" customHeight="1">
      <c r="B2" s="1" t="s">
        <v>185</v>
      </c>
      <c r="C2" s="101"/>
      <c r="D2" s="101"/>
      <c r="E2" s="101"/>
      <c r="F2" s="101"/>
      <c r="G2" s="101"/>
      <c r="H2" s="101"/>
      <c r="I2" s="3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3"/>
      <c r="V2" s="101"/>
      <c r="W2" s="101"/>
      <c r="X2" s="101"/>
      <c r="Y2" s="101"/>
      <c r="Z2" s="101"/>
      <c r="AA2" s="101"/>
      <c r="AB2" s="101"/>
      <c r="AC2" s="101"/>
      <c r="AD2" s="3"/>
      <c r="AE2" s="1"/>
    </row>
    <row r="3" spans="1:31" ht="12.75" customHeight="1">
      <c r="B3" s="6" t="s">
        <v>74</v>
      </c>
      <c r="C3" s="7"/>
      <c r="D3" s="7"/>
      <c r="E3" s="7"/>
      <c r="F3" s="7"/>
      <c r="G3" s="7"/>
      <c r="H3" s="7"/>
      <c r="I3" s="3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3"/>
      <c r="V3" s="4"/>
      <c r="W3" s="4"/>
      <c r="X3" s="4"/>
      <c r="Y3" s="4"/>
      <c r="Z3" s="4"/>
      <c r="AA3" s="4"/>
      <c r="AB3" s="4"/>
      <c r="AC3" s="4"/>
      <c r="AD3" s="3"/>
      <c r="AE3" s="1"/>
    </row>
    <row r="4" spans="1:31" ht="12.75" customHeight="1">
      <c r="B4" s="6" t="s">
        <v>98</v>
      </c>
      <c r="C4" s="3"/>
      <c r="D4" s="3"/>
      <c r="E4" s="3"/>
      <c r="F4" s="3"/>
      <c r="G4" s="85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1"/>
    </row>
    <row r="6" spans="1:31" ht="12.75" customHeight="1">
      <c r="A6" s="5" t="s">
        <v>16</v>
      </c>
      <c r="B6" s="1" t="s">
        <v>72</v>
      </c>
      <c r="C6" s="2" t="s">
        <v>0</v>
      </c>
      <c r="D6" s="2" t="s">
        <v>0</v>
      </c>
      <c r="E6" s="2" t="s">
        <v>0</v>
      </c>
      <c r="F6" s="2"/>
      <c r="G6" s="2"/>
      <c r="H6" s="2"/>
      <c r="I6" s="3"/>
      <c r="J6" s="2" t="s">
        <v>1</v>
      </c>
      <c r="K6" s="2"/>
      <c r="L6" s="2"/>
      <c r="M6" s="2"/>
      <c r="N6" s="2"/>
      <c r="O6" s="2"/>
      <c r="P6" s="2" t="s">
        <v>1</v>
      </c>
      <c r="Q6" s="2"/>
      <c r="R6" s="2"/>
      <c r="S6" s="2"/>
      <c r="T6" s="2"/>
      <c r="U6" s="3"/>
      <c r="V6" s="2"/>
      <c r="W6" s="2"/>
      <c r="X6" s="2" t="s">
        <v>10</v>
      </c>
      <c r="Y6" s="2" t="s">
        <v>10</v>
      </c>
      <c r="Z6" s="2"/>
      <c r="AA6" s="2"/>
      <c r="AB6" s="2"/>
      <c r="AC6" s="2"/>
      <c r="AD6" s="38"/>
      <c r="AE6" s="153" t="s">
        <v>22</v>
      </c>
    </row>
    <row r="7" spans="1:31" ht="12.75" customHeight="1">
      <c r="B7" s="6" t="s">
        <v>75</v>
      </c>
      <c r="C7" s="7">
        <v>2019</v>
      </c>
      <c r="D7" s="7">
        <v>2020</v>
      </c>
      <c r="E7" s="7">
        <v>2021</v>
      </c>
      <c r="F7" s="7">
        <v>2022</v>
      </c>
      <c r="G7" s="7">
        <v>2023</v>
      </c>
      <c r="H7" s="7">
        <v>2024</v>
      </c>
      <c r="I7" s="3"/>
      <c r="J7" s="4" t="s">
        <v>6</v>
      </c>
      <c r="K7" s="4" t="s">
        <v>7</v>
      </c>
      <c r="L7" s="4" t="s">
        <v>8</v>
      </c>
      <c r="M7" s="4" t="s">
        <v>9</v>
      </c>
      <c r="N7" s="4" t="s">
        <v>2</v>
      </c>
      <c r="O7" s="4" t="s">
        <v>3</v>
      </c>
      <c r="P7" s="4" t="s">
        <v>4</v>
      </c>
      <c r="Q7" s="4" t="s">
        <v>5</v>
      </c>
      <c r="R7" s="4" t="s">
        <v>24</v>
      </c>
      <c r="S7" s="4" t="s">
        <v>25</v>
      </c>
      <c r="T7" s="4" t="s">
        <v>61</v>
      </c>
      <c r="U7" s="3"/>
      <c r="V7" s="4" t="str">
        <f t="shared" ref="V7:AC8" si="0">M7</f>
        <v>4Q23</v>
      </c>
      <c r="W7" s="4" t="str">
        <f t="shared" si="0"/>
        <v>1Q24</v>
      </c>
      <c r="X7" s="4" t="str">
        <f t="shared" si="0"/>
        <v>2Q24</v>
      </c>
      <c r="Y7" s="4" t="str">
        <f t="shared" si="0"/>
        <v>3Q24</v>
      </c>
      <c r="Z7" s="4" t="str">
        <f t="shared" si="0"/>
        <v>4Q24</v>
      </c>
      <c r="AA7" s="4" t="str">
        <f t="shared" si="0"/>
        <v>1Q25</v>
      </c>
      <c r="AB7" s="4" t="str">
        <f t="shared" si="0"/>
        <v>2Q25</v>
      </c>
      <c r="AC7" s="4" t="str">
        <f t="shared" si="0"/>
        <v>3Q25</v>
      </c>
      <c r="AD7" s="38"/>
      <c r="AE7" s="153"/>
    </row>
    <row r="8" spans="1:31" ht="12.75" customHeight="1">
      <c r="B8" s="6" t="s">
        <v>76</v>
      </c>
      <c r="C8" s="3"/>
      <c r="D8" s="3"/>
      <c r="E8" s="3"/>
      <c r="F8" s="3"/>
      <c r="G8" s="85"/>
      <c r="H8" s="85"/>
      <c r="I8" s="3"/>
      <c r="J8" s="3">
        <v>45017</v>
      </c>
      <c r="K8" s="3">
        <v>45108</v>
      </c>
      <c r="L8" s="3">
        <v>45199</v>
      </c>
      <c r="M8" s="3">
        <f>G8</f>
        <v>0</v>
      </c>
      <c r="N8" s="3">
        <v>45381</v>
      </c>
      <c r="O8" s="3">
        <v>45472</v>
      </c>
      <c r="P8" s="3">
        <v>45563</v>
      </c>
      <c r="Q8" s="3">
        <f>H8</f>
        <v>0</v>
      </c>
      <c r="R8" s="3">
        <v>45745</v>
      </c>
      <c r="S8" s="3">
        <v>45836</v>
      </c>
      <c r="T8" s="3">
        <v>45927</v>
      </c>
      <c r="U8" s="3"/>
      <c r="V8" s="3">
        <f t="shared" si="0"/>
        <v>0</v>
      </c>
      <c r="W8" s="3">
        <f t="shared" si="0"/>
        <v>45381</v>
      </c>
      <c r="X8" s="3">
        <f t="shared" si="0"/>
        <v>45472</v>
      </c>
      <c r="Y8" s="3">
        <f t="shared" si="0"/>
        <v>45563</v>
      </c>
      <c r="Z8" s="3">
        <f t="shared" si="0"/>
        <v>0</v>
      </c>
      <c r="AA8" s="3">
        <f t="shared" si="0"/>
        <v>45745</v>
      </c>
      <c r="AB8" s="3">
        <f t="shared" si="0"/>
        <v>45836</v>
      </c>
      <c r="AC8" s="3">
        <f t="shared" si="0"/>
        <v>45927</v>
      </c>
      <c r="AD8" s="38"/>
      <c r="AE8" s="153"/>
    </row>
    <row r="9" spans="1:31" ht="5.0999999999999996" customHeight="1">
      <c r="AE9" s="100"/>
    </row>
    <row r="10" spans="1:31" ht="12.75" customHeight="1">
      <c r="B10" s="9" t="s">
        <v>56</v>
      </c>
      <c r="C10" s="95">
        <v>11820</v>
      </c>
      <c r="D10" s="95">
        <v>13978.5</v>
      </c>
      <c r="E10" s="95">
        <v>18611</v>
      </c>
      <c r="F10" s="95">
        <v>21173.4</v>
      </c>
      <c r="G10" s="95">
        <v>27558.5</v>
      </c>
      <c r="H10" s="95">
        <v>28262.9</v>
      </c>
      <c r="I10" s="11"/>
      <c r="J10" s="95"/>
      <c r="K10" s="95"/>
      <c r="L10" s="95"/>
      <c r="M10" s="32">
        <f>SUM(G10-SUM(J10:L10))</f>
        <v>27558.5</v>
      </c>
      <c r="N10" s="95"/>
      <c r="O10" s="95"/>
      <c r="P10" s="95"/>
      <c r="Q10" s="32">
        <f>SUM(H10-SUM(N10:P10))</f>
        <v>28262.9</v>
      </c>
      <c r="R10" s="82"/>
      <c r="S10" s="82"/>
      <c r="T10" s="82"/>
      <c r="V10" s="32">
        <f t="shared" ref="V10:AC10" si="1">SUM(J10:M10)</f>
        <v>27558.5</v>
      </c>
      <c r="W10" s="32">
        <f t="shared" si="1"/>
        <v>27558.5</v>
      </c>
      <c r="X10" s="32">
        <f t="shared" si="1"/>
        <v>27558.5</v>
      </c>
      <c r="Y10" s="32">
        <f t="shared" si="1"/>
        <v>27558.5</v>
      </c>
      <c r="Z10" s="32">
        <f t="shared" si="1"/>
        <v>28262.9</v>
      </c>
      <c r="AA10" s="32">
        <f t="shared" si="1"/>
        <v>28262.9</v>
      </c>
      <c r="AB10" s="32">
        <f t="shared" si="1"/>
        <v>28262.9</v>
      </c>
      <c r="AC10" s="32">
        <f t="shared" si="1"/>
        <v>28262.9</v>
      </c>
      <c r="AD10" s="40"/>
      <c r="AE10" s="12">
        <f>SUM(AC10/Y10)-1</f>
        <v>2.5560171997750292E-2</v>
      </c>
    </row>
    <row r="11" spans="1:31" ht="12.75" customHeight="1">
      <c r="B11" s="13" t="s">
        <v>12</v>
      </c>
      <c r="C11" s="14">
        <f t="shared" ref="C11:D11" si="2">+SUM(C10:C10)</f>
        <v>11820</v>
      </c>
      <c r="D11" s="14">
        <f t="shared" si="2"/>
        <v>13978.5</v>
      </c>
      <c r="E11" s="14">
        <f t="shared" ref="E11:H11" si="3">+SUM(E10:E10)</f>
        <v>18611</v>
      </c>
      <c r="F11" s="14">
        <f t="shared" si="3"/>
        <v>21173.4</v>
      </c>
      <c r="G11" s="14">
        <f t="shared" si="3"/>
        <v>27558.5</v>
      </c>
      <c r="H11" s="14">
        <f t="shared" si="3"/>
        <v>28262.9</v>
      </c>
      <c r="I11" s="11"/>
      <c r="J11" s="14">
        <f t="shared" ref="J11:S11" si="4">+SUM(J10:J10)</f>
        <v>0</v>
      </c>
      <c r="K11" s="14">
        <f t="shared" si="4"/>
        <v>0</v>
      </c>
      <c r="L11" s="14">
        <f t="shared" si="4"/>
        <v>0</v>
      </c>
      <c r="M11" s="14">
        <f t="shared" si="4"/>
        <v>27558.5</v>
      </c>
      <c r="N11" s="14">
        <f t="shared" si="4"/>
        <v>0</v>
      </c>
      <c r="O11" s="14">
        <f t="shared" si="4"/>
        <v>0</v>
      </c>
      <c r="P11" s="14">
        <f t="shared" si="4"/>
        <v>0</v>
      </c>
      <c r="Q11" s="14">
        <f t="shared" si="4"/>
        <v>28262.9</v>
      </c>
      <c r="R11" s="14">
        <f t="shared" si="4"/>
        <v>0</v>
      </c>
      <c r="S11" s="14">
        <f t="shared" si="4"/>
        <v>0</v>
      </c>
      <c r="T11" s="14">
        <f>+SUM(T10:T10)</f>
        <v>0</v>
      </c>
      <c r="V11" s="14">
        <f t="shared" ref="V11:AB11" si="5">+SUM(V10:V10)</f>
        <v>27558.5</v>
      </c>
      <c r="W11" s="14">
        <f t="shared" si="5"/>
        <v>27558.5</v>
      </c>
      <c r="X11" s="14">
        <f t="shared" si="5"/>
        <v>27558.5</v>
      </c>
      <c r="Y11" s="14">
        <f t="shared" si="5"/>
        <v>27558.5</v>
      </c>
      <c r="Z11" s="14">
        <f t="shared" si="5"/>
        <v>28262.9</v>
      </c>
      <c r="AA11" s="14">
        <f t="shared" si="5"/>
        <v>28262.9</v>
      </c>
      <c r="AB11" s="14">
        <f t="shared" si="5"/>
        <v>28262.9</v>
      </c>
      <c r="AC11" s="14">
        <f>+SUM(AC10:AC10)</f>
        <v>28262.9</v>
      </c>
      <c r="AD11" s="40"/>
      <c r="AE11" s="15">
        <f>SUM(AC11/Y11)-1</f>
        <v>2.5560171997750292E-2</v>
      </c>
    </row>
    <row r="12" spans="1:31" s="20" customFormat="1" ht="5.0999999999999996" customHeight="1">
      <c r="B12" s="18"/>
      <c r="C12" s="19"/>
      <c r="D12" s="19"/>
      <c r="E12" s="19"/>
      <c r="F12" s="19"/>
      <c r="G12" s="19"/>
      <c r="H12" s="19"/>
      <c r="J12" s="21"/>
      <c r="K12" s="21"/>
      <c r="L12" s="21"/>
      <c r="M12" s="21"/>
      <c r="N12" s="21"/>
      <c r="O12" s="21"/>
      <c r="P12" s="21"/>
      <c r="Q12" s="21"/>
      <c r="R12" s="22"/>
      <c r="S12" s="21"/>
      <c r="T12" s="21"/>
      <c r="AE12" s="75"/>
    </row>
    <row r="13" spans="1:31" ht="12.75" customHeight="1">
      <c r="B13" s="9" t="s">
        <v>147</v>
      </c>
      <c r="C13" s="82">
        <v>-6919.9</v>
      </c>
      <c r="D13" s="82">
        <v>-7609.9</v>
      </c>
      <c r="E13" s="82">
        <v>-9193.6</v>
      </c>
      <c r="F13" s="82">
        <v>-10660.7</v>
      </c>
      <c r="G13" s="82">
        <v>-13784.1</v>
      </c>
      <c r="H13" s="82">
        <v>-13979.1</v>
      </c>
      <c r="I13" s="24"/>
      <c r="J13" s="82"/>
      <c r="K13" s="82"/>
      <c r="L13" s="82"/>
      <c r="M13" s="32">
        <f>SUM(G13-SUM(J13:L13))</f>
        <v>-13784.1</v>
      </c>
      <c r="N13" s="82"/>
      <c r="O13" s="82"/>
      <c r="P13" s="82"/>
      <c r="Q13" s="32">
        <f>SUM(H13-SUM(N13:P13))</f>
        <v>-13979.1</v>
      </c>
      <c r="R13" s="82"/>
      <c r="S13" s="82"/>
      <c r="T13" s="82"/>
      <c r="V13" s="32">
        <f t="shared" ref="V13:AC13" si="6">SUM(J13:M13)</f>
        <v>-13784.1</v>
      </c>
      <c r="W13" s="32">
        <f t="shared" si="6"/>
        <v>-13784.1</v>
      </c>
      <c r="X13" s="32">
        <f t="shared" si="6"/>
        <v>-13784.1</v>
      </c>
      <c r="Y13" s="32">
        <f t="shared" si="6"/>
        <v>-13784.1</v>
      </c>
      <c r="Z13" s="32">
        <f t="shared" si="6"/>
        <v>-13979.1</v>
      </c>
      <c r="AA13" s="32">
        <f t="shared" si="6"/>
        <v>-13979.1</v>
      </c>
      <c r="AB13" s="32">
        <f t="shared" si="6"/>
        <v>-13979.1</v>
      </c>
      <c r="AC13" s="32">
        <f t="shared" si="6"/>
        <v>-13979.1</v>
      </c>
      <c r="AD13" s="11"/>
      <c r="AE13" s="12">
        <f t="shared" ref="AE13" si="7">SUM(AC13/Y13)-1</f>
        <v>1.4146734280801709E-2</v>
      </c>
    </row>
    <row r="14" spans="1:31" ht="12.75" customHeight="1">
      <c r="B14" s="25" t="s">
        <v>20</v>
      </c>
      <c r="C14" s="26">
        <f>+SUM(C11+SUM(C13:C13))</f>
        <v>4900.1000000000004</v>
      </c>
      <c r="D14" s="26">
        <f>+SUM(D11+SUM(D13:D13))</f>
        <v>6368.6</v>
      </c>
      <c r="E14" s="26">
        <f>+SUM(E11+SUM(E13:E13))</f>
        <v>9417.4</v>
      </c>
      <c r="F14" s="26">
        <f>+SUM(F11+SUM(F13:F13))</f>
        <v>10512.7</v>
      </c>
      <c r="G14" s="26">
        <f>+SUM(G11+SUM(G13:G13))</f>
        <v>13774.4</v>
      </c>
      <c r="H14" s="26">
        <f>+SUM(H11+SUM(H13:H13))</f>
        <v>14283.800000000001</v>
      </c>
      <c r="J14" s="26">
        <f>+SUM(J11+SUM(J13:J13))</f>
        <v>0</v>
      </c>
      <c r="K14" s="26">
        <f>+SUM(K11+SUM(K13:K13))</f>
        <v>0</v>
      </c>
      <c r="L14" s="26">
        <f>+SUM(L11+SUM(L13:L13))</f>
        <v>0</v>
      </c>
      <c r="M14" s="26">
        <f>+SUM(M11+SUM(M13:M13))</f>
        <v>13774.4</v>
      </c>
      <c r="N14" s="26">
        <f>+SUM(N11+SUM(N13:N13))</f>
        <v>0</v>
      </c>
      <c r="O14" s="26">
        <f>+SUM(O11+SUM(O13:O13))</f>
        <v>0</v>
      </c>
      <c r="P14" s="26">
        <f>+SUM(P11+SUM(P13:P13))</f>
        <v>0</v>
      </c>
      <c r="Q14" s="26">
        <f>+SUM(Q11+SUM(Q13:Q13))</f>
        <v>14283.800000000001</v>
      </c>
      <c r="R14" s="26">
        <f>+SUM(R11+SUM(R13:R13))</f>
        <v>0</v>
      </c>
      <c r="S14" s="26">
        <f>+SUM(S11+SUM(S13:S13))</f>
        <v>0</v>
      </c>
      <c r="T14" s="26">
        <f>+SUM(T11+SUM(T13:T13))</f>
        <v>0</v>
      </c>
      <c r="V14" s="26">
        <f>+SUM(V11+SUM(V13:V13))</f>
        <v>13774.4</v>
      </c>
      <c r="W14" s="26">
        <f>+SUM(W11+SUM(W13:W13))</f>
        <v>13774.4</v>
      </c>
      <c r="X14" s="26">
        <f>+SUM(X11+SUM(X13:X13))</f>
        <v>13774.4</v>
      </c>
      <c r="Y14" s="26">
        <f>+SUM(Y11+SUM(Y13:Y13))</f>
        <v>13774.4</v>
      </c>
      <c r="Z14" s="26">
        <f>+SUM(Z11+SUM(Z13:Z13))</f>
        <v>14283.800000000001</v>
      </c>
      <c r="AA14" s="26">
        <f>+SUM(AA11+SUM(AA13:AA13))</f>
        <v>14283.800000000001</v>
      </c>
      <c r="AB14" s="26">
        <f>+SUM(AB11+SUM(AB13:AB13))</f>
        <v>14283.800000000001</v>
      </c>
      <c r="AC14" s="26">
        <f>+SUM(AC11+SUM(AC13:AC13))</f>
        <v>14283.800000000001</v>
      </c>
      <c r="AD14" s="42"/>
      <c r="AE14" s="76">
        <f>SUM(AC14/Y14)-1</f>
        <v>3.698164711348606E-2</v>
      </c>
    </row>
    <row r="15" spans="1:31" ht="12.75" customHeight="1">
      <c r="B15" s="16" t="s">
        <v>29</v>
      </c>
      <c r="C15" s="17">
        <f>C14/C11</f>
        <v>0.41456006768189513</v>
      </c>
      <c r="D15" s="17">
        <f>D14/D11</f>
        <v>0.45559967092320353</v>
      </c>
      <c r="E15" s="17">
        <f>E14/E11</f>
        <v>0.5060125732093923</v>
      </c>
      <c r="F15" s="17">
        <f>F14/F11</f>
        <v>0.49650504878762974</v>
      </c>
      <c r="G15" s="17">
        <f>G14/G11</f>
        <v>0.49982401074078775</v>
      </c>
      <c r="H15" s="17">
        <f>H14/H11</f>
        <v>0.50539045887010892</v>
      </c>
      <c r="I15" s="27"/>
      <c r="J15" s="17" t="e">
        <f>J14/J11</f>
        <v>#DIV/0!</v>
      </c>
      <c r="K15" s="17" t="e">
        <f>K14/K11</f>
        <v>#DIV/0!</v>
      </c>
      <c r="L15" s="17" t="e">
        <f>L14/L11</f>
        <v>#DIV/0!</v>
      </c>
      <c r="M15" s="17">
        <f>M14/M11</f>
        <v>0.49982401074078775</v>
      </c>
      <c r="N15" s="17" t="e">
        <f>N14/N11</f>
        <v>#DIV/0!</v>
      </c>
      <c r="O15" s="17" t="e">
        <f>O14/O11</f>
        <v>#DIV/0!</v>
      </c>
      <c r="P15" s="17" t="e">
        <f>P14/P11</f>
        <v>#DIV/0!</v>
      </c>
      <c r="Q15" s="17">
        <f>Q14/Q11</f>
        <v>0.50539045887010892</v>
      </c>
      <c r="R15" s="17" t="e">
        <f>R14/R11</f>
        <v>#DIV/0!</v>
      </c>
      <c r="S15" s="17" t="e">
        <f>S14/S11</f>
        <v>#DIV/0!</v>
      </c>
      <c r="T15" s="17" t="e">
        <f>T14/T11</f>
        <v>#DIV/0!</v>
      </c>
      <c r="U15" s="28"/>
      <c r="V15" s="17">
        <f>V14/V11</f>
        <v>0.49982401074078775</v>
      </c>
      <c r="W15" s="17">
        <f>W14/W11</f>
        <v>0.49982401074078775</v>
      </c>
      <c r="X15" s="17">
        <f>X14/X11</f>
        <v>0.49982401074078775</v>
      </c>
      <c r="Y15" s="17">
        <f>Y14/Y11</f>
        <v>0.49982401074078775</v>
      </c>
      <c r="Z15" s="17">
        <f>Z14/Z11</f>
        <v>0.50539045887010892</v>
      </c>
      <c r="AA15" s="17">
        <f>AA14/AA11</f>
        <v>0.50539045887010892</v>
      </c>
      <c r="AB15" s="17">
        <f>AB14/AB11</f>
        <v>0.50539045887010892</v>
      </c>
      <c r="AC15" s="17">
        <f>AC14/AC11</f>
        <v>0.50539045887010892</v>
      </c>
      <c r="AD15" s="42"/>
      <c r="AE15" s="77">
        <f>SUM(AC15-Y15)*1000</f>
        <v>5.5664481293211665</v>
      </c>
    </row>
    <row r="16" spans="1:31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V16" s="30"/>
      <c r="W16" s="30"/>
      <c r="X16" s="30"/>
      <c r="Y16" s="30"/>
      <c r="Z16" s="30"/>
      <c r="AA16" s="30"/>
      <c r="AB16" s="30"/>
      <c r="AC16" s="30"/>
      <c r="AD16" s="42"/>
      <c r="AE16" s="75"/>
    </row>
    <row r="17" spans="2:31" ht="12.75" customHeight="1">
      <c r="B17" s="9" t="s">
        <v>149</v>
      </c>
      <c r="C17" s="82">
        <v>-1662.9</v>
      </c>
      <c r="D17" s="82">
        <v>-1579.9</v>
      </c>
      <c r="E17" s="82">
        <v>-1861.6</v>
      </c>
      <c r="F17" s="82">
        <v>-2282.1</v>
      </c>
      <c r="G17" s="82">
        <v>-3113.1</v>
      </c>
      <c r="H17" s="82">
        <v>-3181</v>
      </c>
      <c r="I17" s="32"/>
      <c r="J17" s="82"/>
      <c r="K17" s="82"/>
      <c r="L17" s="82"/>
      <c r="M17" s="32">
        <f t="shared" ref="M17:M18" si="8">SUM(G17-SUM(J17:L17))</f>
        <v>-3113.1</v>
      </c>
      <c r="N17" s="82"/>
      <c r="O17" s="82"/>
      <c r="P17" s="82"/>
      <c r="Q17" s="32">
        <f t="shared" ref="Q17:Q18" si="9">SUM(H17-SUM(N17:P17))</f>
        <v>-3181</v>
      </c>
      <c r="R17" s="82"/>
      <c r="S17" s="82"/>
      <c r="T17" s="82"/>
      <c r="V17" s="32">
        <f t="shared" ref="V17:AC20" si="10">SUM(J17:M17)</f>
        <v>-3113.1</v>
      </c>
      <c r="W17" s="32">
        <f t="shared" si="10"/>
        <v>-3113.1</v>
      </c>
      <c r="X17" s="32">
        <f t="shared" si="10"/>
        <v>-3113.1</v>
      </c>
      <c r="Y17" s="32">
        <f t="shared" si="10"/>
        <v>-3113.1</v>
      </c>
      <c r="Z17" s="32">
        <f t="shared" si="10"/>
        <v>-3181</v>
      </c>
      <c r="AA17" s="32">
        <f t="shared" si="10"/>
        <v>-3181</v>
      </c>
      <c r="AB17" s="32">
        <f t="shared" si="10"/>
        <v>-3181</v>
      </c>
      <c r="AC17" s="32">
        <f t="shared" si="10"/>
        <v>-3181</v>
      </c>
      <c r="AD17" s="11"/>
      <c r="AE17" s="75">
        <f>SUM(AC17/Y17)-1</f>
        <v>2.1811056503164172E-2</v>
      </c>
    </row>
    <row r="18" spans="2:31" ht="12.75" customHeight="1">
      <c r="B18" s="9" t="s">
        <v>148</v>
      </c>
      <c r="C18" s="82">
        <v>-520.5</v>
      </c>
      <c r="D18" s="82">
        <v>-544.9</v>
      </c>
      <c r="E18" s="82">
        <v>-725.6</v>
      </c>
      <c r="F18" s="82">
        <v>-909.6</v>
      </c>
      <c r="G18" s="82">
        <v>-1149.4000000000001</v>
      </c>
      <c r="H18" s="82">
        <v>-1165.7</v>
      </c>
      <c r="I18" s="32"/>
      <c r="J18" s="82"/>
      <c r="K18" s="82"/>
      <c r="L18" s="82"/>
      <c r="M18" s="32">
        <f t="shared" si="8"/>
        <v>-1149.4000000000001</v>
      </c>
      <c r="N18" s="82"/>
      <c r="O18" s="82"/>
      <c r="P18" s="82"/>
      <c r="Q18" s="32">
        <f t="shared" si="9"/>
        <v>-1165.7</v>
      </c>
      <c r="R18" s="82"/>
      <c r="S18" s="82"/>
      <c r="T18" s="82"/>
      <c r="V18" s="32">
        <f t="shared" si="10"/>
        <v>-1149.4000000000001</v>
      </c>
      <c r="W18" s="32">
        <f t="shared" si="10"/>
        <v>-1149.4000000000001</v>
      </c>
      <c r="X18" s="32">
        <f t="shared" si="10"/>
        <v>-1149.4000000000001</v>
      </c>
      <c r="Y18" s="32">
        <f t="shared" si="10"/>
        <v>-1149.4000000000001</v>
      </c>
      <c r="Z18" s="32">
        <f t="shared" si="10"/>
        <v>-1165.7</v>
      </c>
      <c r="AA18" s="32">
        <f t="shared" si="10"/>
        <v>-1165.7</v>
      </c>
      <c r="AB18" s="32">
        <f t="shared" si="10"/>
        <v>-1165.7</v>
      </c>
      <c r="AC18" s="32">
        <f t="shared" si="10"/>
        <v>-1165.7</v>
      </c>
      <c r="AD18" s="11"/>
      <c r="AE18" s="75">
        <f t="shared" ref="AE18:AE20" si="11">SUM(AC18/Y18)-1</f>
        <v>1.4181311988863632E-2</v>
      </c>
    </row>
    <row r="19" spans="2:31" ht="12.75" customHeight="1">
      <c r="B19" s="9" t="s">
        <v>151</v>
      </c>
      <c r="C19" s="82">
        <v>-828.3</v>
      </c>
      <c r="D19" s="82">
        <v>-918.4</v>
      </c>
      <c r="E19" s="82">
        <v>-862.6</v>
      </c>
      <c r="F19" s="82">
        <v>-875.9</v>
      </c>
      <c r="G19" s="82">
        <v>-1047.5</v>
      </c>
      <c r="H19" s="82">
        <v>-1200.0999999999999</v>
      </c>
      <c r="I19" s="32"/>
      <c r="J19" s="82"/>
      <c r="K19" s="82"/>
      <c r="L19" s="82"/>
      <c r="M19" s="32">
        <f t="shared" ref="M19" si="12">SUM(G19-SUM(J19:L19))</f>
        <v>-1047.5</v>
      </c>
      <c r="N19" s="82"/>
      <c r="O19" s="82"/>
      <c r="P19" s="82"/>
      <c r="Q19" s="32">
        <f>SUM(H19-SUM(N19:P19))</f>
        <v>-1200.0999999999999</v>
      </c>
      <c r="R19" s="82"/>
      <c r="S19" s="82"/>
      <c r="T19" s="82"/>
      <c r="V19" s="32">
        <f t="shared" ref="V19" si="13">SUM(J19:M19)</f>
        <v>-1047.5</v>
      </c>
      <c r="W19" s="32">
        <f t="shared" ref="W19" si="14">SUM(K19:N19)</f>
        <v>-1047.5</v>
      </c>
      <c r="X19" s="32">
        <f t="shared" ref="X19" si="15">SUM(L19:O19)</f>
        <v>-1047.5</v>
      </c>
      <c r="Y19" s="32">
        <f t="shared" ref="Y19" si="16">SUM(M19:P19)</f>
        <v>-1047.5</v>
      </c>
      <c r="Z19" s="32">
        <f t="shared" ref="Z19" si="17">SUM(N19:Q19)</f>
        <v>-1200.0999999999999</v>
      </c>
      <c r="AA19" s="32">
        <f t="shared" ref="AA19" si="18">SUM(O19:R19)</f>
        <v>-1200.0999999999999</v>
      </c>
      <c r="AB19" s="32">
        <f t="shared" ref="AB19" si="19">SUM(P19:S19)</f>
        <v>-1200.0999999999999</v>
      </c>
      <c r="AC19" s="32">
        <f t="shared" ref="AC19" si="20">SUM(Q19:T19)</f>
        <v>-1200.0999999999999</v>
      </c>
      <c r="AD19" s="11"/>
      <c r="AE19" s="75">
        <f t="shared" ref="AE19" si="21">SUM(AC19/Y19)-1</f>
        <v>0.14568019093078743</v>
      </c>
    </row>
    <row r="20" spans="2:31" ht="12.75" customHeight="1">
      <c r="B20" s="9" t="s">
        <v>150</v>
      </c>
      <c r="C20" s="82">
        <v>0</v>
      </c>
      <c r="D20" s="82">
        <v>0</v>
      </c>
      <c r="E20" s="82">
        <v>213.7</v>
      </c>
      <c r="F20" s="82">
        <v>0</v>
      </c>
      <c r="G20" s="82">
        <v>0</v>
      </c>
      <c r="H20" s="82">
        <v>0</v>
      </c>
      <c r="I20" s="32"/>
      <c r="J20" s="82"/>
      <c r="K20" s="82"/>
      <c r="L20" s="82"/>
      <c r="M20" s="32">
        <f t="shared" ref="M20" si="22">SUM(G20-SUM(J20:L20))</f>
        <v>0</v>
      </c>
      <c r="N20" s="82"/>
      <c r="O20" s="82"/>
      <c r="P20" s="82"/>
      <c r="Q20" s="32">
        <f>SUM(H20-SUM(N20:P20))</f>
        <v>0</v>
      </c>
      <c r="R20" s="82"/>
      <c r="S20" s="82"/>
      <c r="T20" s="82"/>
      <c r="V20" s="32">
        <f t="shared" si="10"/>
        <v>0</v>
      </c>
      <c r="W20" s="32">
        <f t="shared" si="10"/>
        <v>0</v>
      </c>
      <c r="X20" s="32">
        <f t="shared" si="10"/>
        <v>0</v>
      </c>
      <c r="Y20" s="32">
        <f t="shared" si="10"/>
        <v>0</v>
      </c>
      <c r="Z20" s="32">
        <f t="shared" si="10"/>
        <v>0</v>
      </c>
      <c r="AA20" s="32">
        <f t="shared" si="10"/>
        <v>0</v>
      </c>
      <c r="AB20" s="32">
        <f t="shared" si="10"/>
        <v>0</v>
      </c>
      <c r="AC20" s="32">
        <f t="shared" si="10"/>
        <v>0</v>
      </c>
      <c r="AD20" s="11"/>
      <c r="AE20" s="75" t="e">
        <f t="shared" si="11"/>
        <v>#DIV/0!</v>
      </c>
    </row>
    <row r="21" spans="2:31" ht="12.75" customHeight="1">
      <c r="B21" s="25" t="s">
        <v>77</v>
      </c>
      <c r="C21" s="26">
        <f>+SUM(C14+SUM(C17:C20))</f>
        <v>1888.4000000000005</v>
      </c>
      <c r="D21" s="26">
        <f>+SUM(D14+SUM(D17:D20))</f>
        <v>3325.4</v>
      </c>
      <c r="E21" s="26">
        <f>+SUM(E14+SUM(E17:E20))</f>
        <v>6181.2999999999993</v>
      </c>
      <c r="F21" s="26">
        <f>+SUM(F14+SUM(F17:F20))</f>
        <v>6445.1</v>
      </c>
      <c r="G21" s="26">
        <f>+SUM(G14+SUM(G17:G20))</f>
        <v>8464.4</v>
      </c>
      <c r="H21" s="26">
        <f>+SUM(H14+SUM(H17:H20))</f>
        <v>8737.0000000000018</v>
      </c>
      <c r="I21" s="32"/>
      <c r="J21" s="26">
        <f>+SUM(J14+SUM(J17:J20))</f>
        <v>0</v>
      </c>
      <c r="K21" s="26">
        <f>+SUM(K14+SUM(K17:K20))</f>
        <v>0</v>
      </c>
      <c r="L21" s="26">
        <f>+SUM(L14+SUM(L17:L20))</f>
        <v>0</v>
      </c>
      <c r="M21" s="26">
        <f>+SUM(M14+SUM(M17:M20))</f>
        <v>8464.4</v>
      </c>
      <c r="N21" s="26">
        <f>+SUM(N14+SUM(N17:N20))</f>
        <v>0</v>
      </c>
      <c r="O21" s="26">
        <f>+SUM(O14+SUM(O17:O20))</f>
        <v>0</v>
      </c>
      <c r="P21" s="26">
        <f>+SUM(P14+SUM(P17:P20))</f>
        <v>0</v>
      </c>
      <c r="Q21" s="26">
        <f>+SUM(Q14+SUM(Q17:Q20))</f>
        <v>8737.0000000000018</v>
      </c>
      <c r="R21" s="26">
        <f>+SUM(R14+SUM(R17:R20))</f>
        <v>0</v>
      </c>
      <c r="S21" s="26">
        <f>+SUM(S14+SUM(S17:S20))</f>
        <v>0</v>
      </c>
      <c r="T21" s="26">
        <f>+SUM(T14+SUM(T17:T20))</f>
        <v>0</v>
      </c>
      <c r="V21" s="26">
        <f>+SUM(V14+SUM(V17:V20))</f>
        <v>8464.4</v>
      </c>
      <c r="W21" s="26">
        <f>+SUM(W14+SUM(W17:W20))</f>
        <v>8464.4</v>
      </c>
      <c r="X21" s="26">
        <f>+SUM(X14+SUM(X17:X20))</f>
        <v>8464.4</v>
      </c>
      <c r="Y21" s="26">
        <f>+SUM(Y14+SUM(Y17:Y20))</f>
        <v>8464.4</v>
      </c>
      <c r="Z21" s="26">
        <f>+SUM(Z14+SUM(Z17:Z20))</f>
        <v>8737.0000000000018</v>
      </c>
      <c r="AA21" s="26">
        <f>+SUM(AA14+SUM(AA17:AA20))</f>
        <v>8737.0000000000018</v>
      </c>
      <c r="AB21" s="26">
        <f>+SUM(AB14+SUM(AB17:AB20))</f>
        <v>8737.0000000000018</v>
      </c>
      <c r="AC21" s="26">
        <f>+SUM(AC14+SUM(AC17:AC20))</f>
        <v>8737.0000000000018</v>
      </c>
      <c r="AD21" s="11"/>
      <c r="AE21" s="76">
        <f>SUM(AC21/Y21)-1</f>
        <v>3.2205472331175544E-2</v>
      </c>
    </row>
    <row r="22" spans="2:31" ht="12.75" customHeight="1">
      <c r="B22" s="16" t="s">
        <v>31</v>
      </c>
      <c r="C22" s="17">
        <f>C21/C11</f>
        <v>0.15976311336717433</v>
      </c>
      <c r="D22" s="17">
        <f>D21/D11</f>
        <v>0.23789390850234288</v>
      </c>
      <c r="E22" s="17">
        <f>E21/E11</f>
        <v>0.33213153511364241</v>
      </c>
      <c r="F22" s="17">
        <f>F21/F11</f>
        <v>0.3043960818763165</v>
      </c>
      <c r="G22" s="17">
        <f>G21/G11</f>
        <v>0.30714298673730428</v>
      </c>
      <c r="H22" s="17">
        <f>H21/H11</f>
        <v>0.30913317458576445</v>
      </c>
      <c r="I22" s="32"/>
      <c r="J22" s="17" t="e">
        <f>J21/J11</f>
        <v>#DIV/0!</v>
      </c>
      <c r="K22" s="17" t="e">
        <f>K21/K11</f>
        <v>#DIV/0!</v>
      </c>
      <c r="L22" s="17" t="e">
        <f>L21/L11</f>
        <v>#DIV/0!</v>
      </c>
      <c r="M22" s="17">
        <f>M21/M11</f>
        <v>0.30714298673730428</v>
      </c>
      <c r="N22" s="17" t="e">
        <f>N21/N11</f>
        <v>#DIV/0!</v>
      </c>
      <c r="O22" s="17" t="e">
        <f>O21/O11</f>
        <v>#DIV/0!</v>
      </c>
      <c r="P22" s="17" t="e">
        <f>P21/P11</f>
        <v>#DIV/0!</v>
      </c>
      <c r="Q22" s="17">
        <f>Q21/Q11</f>
        <v>0.30913317458576445</v>
      </c>
      <c r="R22" s="17" t="e">
        <f>R21/R11</f>
        <v>#DIV/0!</v>
      </c>
      <c r="S22" s="17" t="e">
        <f>S21/S11</f>
        <v>#DIV/0!</v>
      </c>
      <c r="T22" s="17" t="e">
        <f>T21/T11</f>
        <v>#DIV/0!</v>
      </c>
      <c r="V22" s="17">
        <f>V21/V11</f>
        <v>0.30714298673730428</v>
      </c>
      <c r="W22" s="17">
        <f>W21/W11</f>
        <v>0.30714298673730428</v>
      </c>
      <c r="X22" s="17">
        <f>X21/X11</f>
        <v>0.30714298673730428</v>
      </c>
      <c r="Y22" s="17">
        <f>Y21/Y11</f>
        <v>0.30714298673730428</v>
      </c>
      <c r="Z22" s="17">
        <f>Z21/Z11</f>
        <v>0.30913317458576445</v>
      </c>
      <c r="AA22" s="17">
        <f>AA21/AA11</f>
        <v>0.30913317458576445</v>
      </c>
      <c r="AB22" s="17">
        <f>AB21/AB11</f>
        <v>0.30913317458576445</v>
      </c>
      <c r="AC22" s="17">
        <f>AC21/AC11</f>
        <v>0.30913317458576445</v>
      </c>
      <c r="AD22" s="11"/>
      <c r="AE22" s="77">
        <f>SUM(AC22-Y22)*1000</f>
        <v>1.9901878484601676</v>
      </c>
    </row>
    <row r="23" spans="2:31" ht="5.0999999999999996" customHeight="1">
      <c r="B23" s="16"/>
      <c r="C23" s="17"/>
      <c r="D23" s="17"/>
      <c r="E23" s="17"/>
      <c r="F23" s="17"/>
      <c r="G23" s="17"/>
      <c r="H23" s="17"/>
      <c r="I23" s="32"/>
      <c r="J23" s="82"/>
      <c r="K23" s="82"/>
      <c r="L23" s="82"/>
      <c r="M23" s="82"/>
      <c r="N23" s="82"/>
      <c r="O23" s="82"/>
      <c r="P23" s="82"/>
      <c r="Q23" s="82"/>
      <c r="R23" s="32"/>
      <c r="S23" s="82"/>
      <c r="T23" s="82"/>
      <c r="V23" s="32"/>
      <c r="W23" s="32"/>
      <c r="X23" s="32"/>
      <c r="Y23" s="32"/>
      <c r="Z23" s="32"/>
      <c r="AA23" s="32"/>
      <c r="AB23" s="32"/>
      <c r="AC23" s="32"/>
      <c r="AD23" s="11"/>
      <c r="AE23" s="75"/>
    </row>
    <row r="24" spans="2:31" ht="12.75" customHeight="1">
      <c r="B24" s="9" t="s">
        <v>152</v>
      </c>
      <c r="C24" s="82">
        <v>-25</v>
      </c>
      <c r="D24" s="82">
        <v>-34.9</v>
      </c>
      <c r="E24" s="82">
        <v>-44.6</v>
      </c>
      <c r="F24" s="82">
        <v>-44.599999999999994</v>
      </c>
      <c r="G24" s="82">
        <v>41.200000000000017</v>
      </c>
      <c r="H24" s="82">
        <v>19.800000000000011</v>
      </c>
      <c r="I24" s="32"/>
      <c r="J24" s="95"/>
      <c r="K24" s="95"/>
      <c r="L24" s="95"/>
      <c r="M24" s="32">
        <f t="shared" ref="M24" si="23">SUM(G24-SUM(J24:L24))</f>
        <v>41.200000000000017</v>
      </c>
      <c r="N24" s="95"/>
      <c r="O24" s="95"/>
      <c r="P24" s="95"/>
      <c r="Q24" s="32">
        <f t="shared" ref="Q24" si="24">SUM(H24-SUM(N24:P24))</f>
        <v>19.800000000000011</v>
      </c>
      <c r="R24" s="82"/>
      <c r="S24" s="82"/>
      <c r="T24" s="82"/>
      <c r="V24" s="32">
        <f t="shared" ref="V24:AC24" si="25">SUM(J24:M24)</f>
        <v>41.200000000000017</v>
      </c>
      <c r="W24" s="32">
        <f t="shared" si="25"/>
        <v>41.200000000000017</v>
      </c>
      <c r="X24" s="32">
        <f t="shared" si="25"/>
        <v>41.200000000000017</v>
      </c>
      <c r="Y24" s="32">
        <f t="shared" si="25"/>
        <v>41.200000000000017</v>
      </c>
      <c r="Z24" s="32">
        <f t="shared" si="25"/>
        <v>19.800000000000011</v>
      </c>
      <c r="AA24" s="32">
        <f t="shared" si="25"/>
        <v>19.800000000000011</v>
      </c>
      <c r="AB24" s="32">
        <f t="shared" si="25"/>
        <v>19.800000000000011</v>
      </c>
      <c r="AC24" s="32">
        <f t="shared" si="25"/>
        <v>19.800000000000011</v>
      </c>
      <c r="AD24" s="11"/>
      <c r="AE24" s="75">
        <f>SUM(AC24/Y24)-1</f>
        <v>-0.51941747572815533</v>
      </c>
    </row>
    <row r="25" spans="2:31" ht="12.75" customHeight="1">
      <c r="B25" s="25" t="s">
        <v>107</v>
      </c>
      <c r="C25" s="26">
        <f>SUM(C21+SUM(C24:C24))</f>
        <v>1863.4000000000005</v>
      </c>
      <c r="D25" s="26">
        <f>SUM(D21+SUM(D24:D24))</f>
        <v>3290.5</v>
      </c>
      <c r="E25" s="26">
        <f>SUM(E21+SUM(E24:E24))</f>
        <v>6136.6999999999989</v>
      </c>
      <c r="F25" s="26">
        <f>SUM(F21+SUM(F24:F24))</f>
        <v>6400.5</v>
      </c>
      <c r="G25" s="26">
        <f>SUM(G21+SUM(G24:G24))</f>
        <v>8505.6</v>
      </c>
      <c r="H25" s="26">
        <f>SUM(H21+SUM(H24:H24))</f>
        <v>8756.8000000000011</v>
      </c>
      <c r="J25" s="26">
        <f>SUM(J21+SUM(J24:J24))</f>
        <v>0</v>
      </c>
      <c r="K25" s="26">
        <f>SUM(K21+SUM(K24:K24))</f>
        <v>0</v>
      </c>
      <c r="L25" s="26">
        <f>SUM(L21+SUM(L24:L24))</f>
        <v>0</v>
      </c>
      <c r="M25" s="26">
        <f>SUM(M21+SUM(M24:M24))</f>
        <v>8505.6</v>
      </c>
      <c r="N25" s="26">
        <f>SUM(N21+SUM(N24:N24))</f>
        <v>0</v>
      </c>
      <c r="O25" s="26">
        <f>SUM(O21+SUM(O24:O24))</f>
        <v>0</v>
      </c>
      <c r="P25" s="26">
        <f>SUM(P21+SUM(P24:P24))</f>
        <v>0</v>
      </c>
      <c r="Q25" s="26">
        <f>SUM(Q21+SUM(Q24:Q24))</f>
        <v>8756.8000000000011</v>
      </c>
      <c r="R25" s="26">
        <f>SUM(R21+SUM(R24:R24))</f>
        <v>0</v>
      </c>
      <c r="S25" s="26">
        <f>SUM(S21+SUM(S24:S24))</f>
        <v>0</v>
      </c>
      <c r="T25" s="26">
        <f>SUM(T21+SUM(T24:T24))</f>
        <v>0</v>
      </c>
      <c r="V25" s="26">
        <f>SUM(V21+SUM(V24:V24))</f>
        <v>8505.6</v>
      </c>
      <c r="W25" s="26">
        <f>SUM(W21+SUM(W24:W24))</f>
        <v>8505.6</v>
      </c>
      <c r="X25" s="26">
        <f>SUM(X21+SUM(X24:X24))</f>
        <v>8505.6</v>
      </c>
      <c r="Y25" s="26">
        <f>SUM(Y21+SUM(Y24:Y24))</f>
        <v>8505.6</v>
      </c>
      <c r="Z25" s="26">
        <f>SUM(Z21+SUM(Z24:Z24))</f>
        <v>8756.8000000000011</v>
      </c>
      <c r="AA25" s="26">
        <f>SUM(AA21+SUM(AA24:AA24))</f>
        <v>8756.8000000000011</v>
      </c>
      <c r="AB25" s="26">
        <f>SUM(AB21+SUM(AB24:AB24))</f>
        <v>8756.8000000000011</v>
      </c>
      <c r="AC25" s="26">
        <f>SUM(AC21+SUM(AC24:AC24))</f>
        <v>8756.8000000000011</v>
      </c>
      <c r="AD25" s="42"/>
      <c r="AE25" s="76">
        <f>SUM(AC25/Y25)-1</f>
        <v>2.9533483822423046E-2</v>
      </c>
    </row>
    <row r="26" spans="2:31" ht="12.75" customHeight="1">
      <c r="B26" s="16" t="s">
        <v>108</v>
      </c>
      <c r="C26" s="17">
        <f>C25/C11</f>
        <v>0.15764805414551611</v>
      </c>
      <c r="D26" s="17">
        <f>D25/D11</f>
        <v>0.23539721715491649</v>
      </c>
      <c r="E26" s="17">
        <f>E25/E11</f>
        <v>0.32973510289613661</v>
      </c>
      <c r="F26" s="17">
        <f>F25/F11</f>
        <v>0.30228966533480683</v>
      </c>
      <c r="G26" s="17">
        <f>G25/G11</f>
        <v>0.30863798827947819</v>
      </c>
      <c r="H26" s="17">
        <f>H25/H11</f>
        <v>0.30983373963747529</v>
      </c>
      <c r="I26" s="27"/>
      <c r="J26" s="17" t="e">
        <f>J25/J11</f>
        <v>#DIV/0!</v>
      </c>
      <c r="K26" s="17" t="e">
        <f>K25/K11</f>
        <v>#DIV/0!</v>
      </c>
      <c r="L26" s="17" t="e">
        <f>L25/L11</f>
        <v>#DIV/0!</v>
      </c>
      <c r="M26" s="17">
        <f>M25/M11</f>
        <v>0.30863798827947819</v>
      </c>
      <c r="N26" s="17" t="e">
        <f>N25/N11</f>
        <v>#DIV/0!</v>
      </c>
      <c r="O26" s="17" t="e">
        <f>O25/O11</f>
        <v>#DIV/0!</v>
      </c>
      <c r="P26" s="17" t="e">
        <f>P25/P11</f>
        <v>#DIV/0!</v>
      </c>
      <c r="Q26" s="17">
        <f>Q25/Q11</f>
        <v>0.30983373963747529</v>
      </c>
      <c r="R26" s="17" t="e">
        <f>R25/R11</f>
        <v>#DIV/0!</v>
      </c>
      <c r="S26" s="17" t="e">
        <f>S25/S11</f>
        <v>#DIV/0!</v>
      </c>
      <c r="T26" s="17" t="e">
        <f>T25/T11</f>
        <v>#DIV/0!</v>
      </c>
      <c r="U26" s="28"/>
      <c r="V26" s="17">
        <f>V25/V11</f>
        <v>0.30863798827947819</v>
      </c>
      <c r="W26" s="17">
        <f>W25/W11</f>
        <v>0.30863798827947819</v>
      </c>
      <c r="X26" s="17">
        <f>X25/X11</f>
        <v>0.30863798827947819</v>
      </c>
      <c r="Y26" s="17">
        <f>Y25/Y11</f>
        <v>0.30863798827947819</v>
      </c>
      <c r="Z26" s="17">
        <f>Z25/Z11</f>
        <v>0.30983373963747529</v>
      </c>
      <c r="AA26" s="17">
        <f>AA25/AA11</f>
        <v>0.30983373963747529</v>
      </c>
      <c r="AB26" s="17">
        <f>AB25/AB11</f>
        <v>0.30983373963747529</v>
      </c>
      <c r="AC26" s="17">
        <f>AC25/AC11</f>
        <v>0.30983373963747529</v>
      </c>
      <c r="AD26" s="43"/>
      <c r="AE26" s="77">
        <f>SUM(AC26-Y26)*1000</f>
        <v>1.1957513579970991</v>
      </c>
    </row>
    <row r="27" spans="2:31" ht="5.0999999999999996" customHeight="1">
      <c r="B27" s="16"/>
      <c r="C27" s="17"/>
      <c r="D27" s="17"/>
      <c r="E27" s="17"/>
      <c r="F27" s="17"/>
      <c r="G27" s="17"/>
      <c r="H27" s="17"/>
      <c r="I27" s="2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28"/>
      <c r="V27" s="17"/>
      <c r="W27" s="17"/>
      <c r="X27" s="17"/>
      <c r="Y27" s="17"/>
      <c r="Z27" s="17"/>
      <c r="AA27" s="17"/>
      <c r="AB27" s="17"/>
      <c r="AC27" s="17"/>
      <c r="AD27" s="43"/>
      <c r="AE27" s="77"/>
    </row>
    <row r="28" spans="2:31" ht="12.75" customHeight="1">
      <c r="B28" s="9" t="s">
        <v>109</v>
      </c>
      <c r="C28" s="82">
        <v>-128.80000000000001</v>
      </c>
      <c r="D28" s="82">
        <v>-600.70000000000005</v>
      </c>
      <c r="E28" s="82">
        <v>-1063.8</v>
      </c>
      <c r="F28" s="82">
        <v>-1018.6</v>
      </c>
      <c r="G28" s="82">
        <v>-1629.2</v>
      </c>
      <c r="H28" s="82">
        <v>-1817.7</v>
      </c>
      <c r="I28" s="32"/>
      <c r="J28" s="95"/>
      <c r="K28" s="95"/>
      <c r="L28" s="95"/>
      <c r="M28" s="32">
        <f t="shared" ref="M28" si="26">SUM(G28-SUM(J28:L28))</f>
        <v>-1629.2</v>
      </c>
      <c r="N28" s="95"/>
      <c r="O28" s="95"/>
      <c r="P28" s="95"/>
      <c r="Q28" s="32">
        <f t="shared" ref="Q28" si="27">SUM(H28-SUM(N28:P28))</f>
        <v>-1817.7</v>
      </c>
      <c r="R28" s="82"/>
      <c r="S28" s="82"/>
      <c r="T28" s="82"/>
      <c r="V28" s="32">
        <f t="shared" ref="V28:AC28" si="28">SUM(J28:M28)</f>
        <v>-1629.2</v>
      </c>
      <c r="W28" s="32">
        <f t="shared" si="28"/>
        <v>-1629.2</v>
      </c>
      <c r="X28" s="32">
        <f t="shared" si="28"/>
        <v>-1629.2</v>
      </c>
      <c r="Y28" s="32">
        <f t="shared" si="28"/>
        <v>-1629.2</v>
      </c>
      <c r="Z28" s="32">
        <f t="shared" si="28"/>
        <v>-1817.7</v>
      </c>
      <c r="AA28" s="32">
        <f t="shared" si="28"/>
        <v>-1817.7</v>
      </c>
      <c r="AB28" s="32">
        <f t="shared" si="28"/>
        <v>-1817.7</v>
      </c>
      <c r="AC28" s="32">
        <f t="shared" si="28"/>
        <v>-1817.7</v>
      </c>
      <c r="AD28" s="11"/>
      <c r="AE28" s="75">
        <f>SUM(AC28/Y28)-1</f>
        <v>0.11570095752516574</v>
      </c>
    </row>
    <row r="29" spans="2:31" ht="12.75" customHeight="1">
      <c r="B29" s="13" t="s">
        <v>124</v>
      </c>
      <c r="C29" s="14">
        <f>SUM(C25+SUM(C28:C28))</f>
        <v>1734.6000000000006</v>
      </c>
      <c r="D29" s="14">
        <f>SUM(D25+SUM(D28:D28))</f>
        <v>2689.8</v>
      </c>
      <c r="E29" s="14">
        <f>SUM(E25+SUM(E28:E28))</f>
        <v>5072.8999999999987</v>
      </c>
      <c r="F29" s="14">
        <f>SUM(F25+SUM(F28:F28))</f>
        <v>5381.9</v>
      </c>
      <c r="G29" s="14">
        <f>SUM(G25+SUM(G28:G28))</f>
        <v>6876.4000000000005</v>
      </c>
      <c r="H29" s="14">
        <f>SUM(H25+SUM(H28:H28))</f>
        <v>6939.1000000000013</v>
      </c>
      <c r="I29" s="11"/>
      <c r="J29" s="14">
        <f>SUM(J25+SUM(J28:J28))</f>
        <v>0</v>
      </c>
      <c r="K29" s="14">
        <f>SUM(K25+SUM(K28:K28))</f>
        <v>0</v>
      </c>
      <c r="L29" s="14">
        <f>SUM(L25+SUM(L28:L28))</f>
        <v>0</v>
      </c>
      <c r="M29" s="14">
        <f>SUM(M25+SUM(M28:M28))</f>
        <v>6876.4000000000005</v>
      </c>
      <c r="N29" s="14">
        <f>SUM(N25+SUM(N28:N28))</f>
        <v>0</v>
      </c>
      <c r="O29" s="14">
        <f>SUM(O25+SUM(O28:O28))</f>
        <v>0</v>
      </c>
      <c r="P29" s="14">
        <f>SUM(P25+SUM(P28:P28))</f>
        <v>0</v>
      </c>
      <c r="Q29" s="14">
        <f>SUM(Q25+SUM(Q28:Q28))</f>
        <v>6939.1000000000013</v>
      </c>
      <c r="R29" s="14">
        <f>SUM(R25+SUM(R28:R28))</f>
        <v>0</v>
      </c>
      <c r="S29" s="14">
        <f>SUM(S25+SUM(S28:S28))</f>
        <v>0</v>
      </c>
      <c r="T29" s="14">
        <f>SUM(T25+SUM(T28:T28))</f>
        <v>0</v>
      </c>
      <c r="U29" s="32"/>
      <c r="V29" s="14">
        <f>SUM(V25+SUM(V28:V28))</f>
        <v>6876.4000000000005</v>
      </c>
      <c r="W29" s="14">
        <f>SUM(W25+SUM(W28:W28))</f>
        <v>6876.4000000000005</v>
      </c>
      <c r="X29" s="14">
        <f>SUM(X25+SUM(X28:X28))</f>
        <v>6876.4000000000005</v>
      </c>
      <c r="Y29" s="14">
        <f>SUM(Y25+SUM(Y28:Y28))</f>
        <v>6876.4000000000005</v>
      </c>
      <c r="Z29" s="14">
        <f>SUM(Z25+SUM(Z28:Z28))</f>
        <v>6939.1000000000013</v>
      </c>
      <c r="AA29" s="14">
        <f>SUM(AA25+SUM(AA28:AA28))</f>
        <v>6939.1000000000013</v>
      </c>
      <c r="AB29" s="14">
        <f>SUM(AB25+SUM(AB28:AB28))</f>
        <v>6939.1000000000013</v>
      </c>
      <c r="AC29" s="14">
        <f>SUM(AC25+SUM(AC28:AC28))</f>
        <v>6939.1000000000013</v>
      </c>
      <c r="AD29" s="36"/>
      <c r="AE29" s="76">
        <f>SUM(AC29/Y29)-1</f>
        <v>9.1181432144726848E-3</v>
      </c>
    </row>
    <row r="30" spans="2:31" ht="12.75" customHeight="1">
      <c r="B30" s="16" t="s">
        <v>108</v>
      </c>
      <c r="C30" s="17">
        <f>C29/C11</f>
        <v>0.14675126903553304</v>
      </c>
      <c r="D30" s="17">
        <f>D29/D11</f>
        <v>0.19242407983689239</v>
      </c>
      <c r="E30" s="17">
        <f>E29/E11</f>
        <v>0.27257535865885757</v>
      </c>
      <c r="F30" s="17">
        <f>F29/F11</f>
        <v>0.2541821341872349</v>
      </c>
      <c r="G30" s="17">
        <f>G29/G11</f>
        <v>0.24952011176225122</v>
      </c>
      <c r="H30" s="17">
        <f>H29/H11</f>
        <v>0.24551974496601556</v>
      </c>
      <c r="I30" s="27"/>
      <c r="J30" s="17" t="e">
        <f>J29/J11</f>
        <v>#DIV/0!</v>
      </c>
      <c r="K30" s="17" t="e">
        <f>K29/K11</f>
        <v>#DIV/0!</v>
      </c>
      <c r="L30" s="17" t="e">
        <f>L29/L11</f>
        <v>#DIV/0!</v>
      </c>
      <c r="M30" s="17">
        <f>M29/M11</f>
        <v>0.24952011176225122</v>
      </c>
      <c r="N30" s="17" t="e">
        <f>N29/N11</f>
        <v>#DIV/0!</v>
      </c>
      <c r="O30" s="17" t="e">
        <f>O29/O11</f>
        <v>#DIV/0!</v>
      </c>
      <c r="P30" s="17" t="e">
        <f>P29/P11</f>
        <v>#DIV/0!</v>
      </c>
      <c r="Q30" s="17">
        <f>Q29/Q11</f>
        <v>0.24551974496601556</v>
      </c>
      <c r="R30" s="17" t="e">
        <f>R29/R11</f>
        <v>#DIV/0!</v>
      </c>
      <c r="S30" s="17" t="e">
        <f>S29/S11</f>
        <v>#DIV/0!</v>
      </c>
      <c r="T30" s="17" t="e">
        <f>T29/T11</f>
        <v>#DIV/0!</v>
      </c>
      <c r="U30" s="28"/>
      <c r="V30" s="17">
        <f>V29/V11</f>
        <v>0.24952011176225122</v>
      </c>
      <c r="W30" s="17">
        <f>W29/W11</f>
        <v>0.24952011176225122</v>
      </c>
      <c r="X30" s="17">
        <f>X29/X11</f>
        <v>0.24952011176225122</v>
      </c>
      <c r="Y30" s="17">
        <f>Y29/Y11</f>
        <v>0.24952011176225122</v>
      </c>
      <c r="Z30" s="17">
        <f>Z29/Z11</f>
        <v>0.24551974496601556</v>
      </c>
      <c r="AA30" s="17">
        <f>AA29/AA11</f>
        <v>0.24551974496601556</v>
      </c>
      <c r="AB30" s="17">
        <f>AB29/AB11</f>
        <v>0.24551974496601556</v>
      </c>
      <c r="AC30" s="17">
        <f>AC29/AC11</f>
        <v>0.24551974496601556</v>
      </c>
      <c r="AD30" s="43"/>
      <c r="AE30" s="77">
        <f>SUM(AC30-Y30)*1000</f>
        <v>-4.0003667962356655</v>
      </c>
    </row>
    <row r="31" spans="2:31" ht="5.0999999999999996" customHeight="1">
      <c r="B31" s="16"/>
      <c r="C31" s="17"/>
      <c r="D31" s="17"/>
      <c r="E31" s="17"/>
      <c r="F31" s="17"/>
      <c r="G31" s="17"/>
      <c r="H31" s="17"/>
      <c r="I31" s="2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28"/>
      <c r="V31" s="17"/>
      <c r="W31" s="17"/>
      <c r="X31" s="17"/>
      <c r="Y31" s="17"/>
      <c r="Z31" s="17"/>
      <c r="AA31" s="17"/>
      <c r="AB31" s="17"/>
      <c r="AC31" s="17"/>
      <c r="AD31" s="43"/>
      <c r="AE31" s="77"/>
    </row>
    <row r="32" spans="2:31" ht="12.75" customHeight="1">
      <c r="B32" s="9" t="s">
        <v>153</v>
      </c>
      <c r="C32" s="82">
        <v>18.2</v>
      </c>
      <c r="D32" s="82">
        <v>88.6</v>
      </c>
      <c r="E32" s="82">
        <v>199.1</v>
      </c>
      <c r="F32" s="82">
        <v>138</v>
      </c>
      <c r="G32" s="82">
        <v>191.3</v>
      </c>
      <c r="H32" s="82">
        <v>209.8</v>
      </c>
      <c r="I32" s="32"/>
      <c r="J32" s="82">
        <v>0</v>
      </c>
      <c r="K32" s="82">
        <v>0</v>
      </c>
      <c r="L32" s="82">
        <v>0</v>
      </c>
      <c r="M32" s="32">
        <f t="shared" ref="M32" si="29">SUM(G32-SUM(J32:L32))</f>
        <v>191.3</v>
      </c>
      <c r="N32" s="82">
        <v>0</v>
      </c>
      <c r="O32" s="82">
        <v>0</v>
      </c>
      <c r="P32" s="82">
        <v>0</v>
      </c>
      <c r="Q32" s="32">
        <f t="shared" ref="Q32" si="30">SUM(H32-SUM(N32:P32))</f>
        <v>209.8</v>
      </c>
      <c r="R32" s="82"/>
      <c r="S32" s="82"/>
      <c r="T32" s="82"/>
      <c r="V32" s="32">
        <f t="shared" ref="V32:AC32" si="31">SUM(J32:M32)</f>
        <v>191.3</v>
      </c>
      <c r="W32" s="32">
        <f t="shared" si="31"/>
        <v>191.3</v>
      </c>
      <c r="X32" s="32">
        <f t="shared" si="31"/>
        <v>191.3</v>
      </c>
      <c r="Y32" s="32">
        <f t="shared" si="31"/>
        <v>191.3</v>
      </c>
      <c r="Z32" s="32">
        <f t="shared" si="31"/>
        <v>209.8</v>
      </c>
      <c r="AA32" s="32">
        <f t="shared" si="31"/>
        <v>209.8</v>
      </c>
      <c r="AB32" s="32">
        <f t="shared" si="31"/>
        <v>209.8</v>
      </c>
      <c r="AC32" s="32">
        <f t="shared" si="31"/>
        <v>209.8</v>
      </c>
      <c r="AD32" s="11"/>
      <c r="AE32" s="75">
        <f>SUM(AC32/Y32)-1</f>
        <v>9.6706743335075895E-2</v>
      </c>
    </row>
    <row r="33" spans="1:31" ht="12.75" customHeight="1">
      <c r="B33" s="13" t="s">
        <v>110</v>
      </c>
      <c r="C33" s="14">
        <f t="shared" ref="C33:D33" si="32">SUM(C29+C32)</f>
        <v>1752.8000000000006</v>
      </c>
      <c r="D33" s="14">
        <f t="shared" si="32"/>
        <v>2778.4</v>
      </c>
      <c r="E33" s="14">
        <f>SUM(E29+E32)</f>
        <v>5271.9999999999991</v>
      </c>
      <c r="F33" s="14">
        <f t="shared" ref="F33:H33" si="33">SUM(F29+F32)</f>
        <v>5519.9</v>
      </c>
      <c r="G33" s="14">
        <f t="shared" si="33"/>
        <v>7067.7000000000007</v>
      </c>
      <c r="H33" s="14">
        <f t="shared" si="33"/>
        <v>7148.9000000000015</v>
      </c>
      <c r="I33" s="11"/>
      <c r="J33" s="14">
        <f t="shared" ref="J33" si="34">SUM(J29+J32)</f>
        <v>0</v>
      </c>
      <c r="K33" s="14">
        <f t="shared" ref="K33" si="35">SUM(K29+K32)</f>
        <v>0</v>
      </c>
      <c r="L33" s="14">
        <f t="shared" ref="L33" si="36">SUM(L29+L32)</f>
        <v>0</v>
      </c>
      <c r="M33" s="14">
        <f t="shared" ref="M33" si="37">SUM(M29+M32)</f>
        <v>7067.7000000000007</v>
      </c>
      <c r="N33" s="14">
        <f t="shared" ref="N33" si="38">SUM(N29+N32)</f>
        <v>0</v>
      </c>
      <c r="O33" s="14">
        <f t="shared" ref="O33" si="39">SUM(O29+O32)</f>
        <v>0</v>
      </c>
      <c r="P33" s="14">
        <f t="shared" ref="P33" si="40">SUM(P29+P32)</f>
        <v>0</v>
      </c>
      <c r="Q33" s="14">
        <f t="shared" ref="Q33" si="41">SUM(Q29+Q32)</f>
        <v>7148.9000000000015</v>
      </c>
      <c r="R33" s="14">
        <f t="shared" ref="R33" si="42">SUM(R29+R32)</f>
        <v>0</v>
      </c>
      <c r="S33" s="14">
        <f t="shared" ref="S33" si="43">SUM(S29+S32)</f>
        <v>0</v>
      </c>
      <c r="T33" s="14">
        <f t="shared" ref="T33" si="44">SUM(T29+T32)</f>
        <v>0</v>
      </c>
      <c r="V33" s="14">
        <f t="shared" ref="V33" si="45">SUM(V29+V32)</f>
        <v>7067.7000000000007</v>
      </c>
      <c r="W33" s="14">
        <f t="shared" ref="W33" si="46">SUM(W29+W32)</f>
        <v>7067.7000000000007</v>
      </c>
      <c r="X33" s="14">
        <f t="shared" ref="X33" si="47">SUM(X29+X32)</f>
        <v>7067.7000000000007</v>
      </c>
      <c r="Y33" s="14">
        <f t="shared" ref="Y33" si="48">SUM(Y29+Y32)</f>
        <v>7067.7000000000007</v>
      </c>
      <c r="Z33" s="14">
        <f t="shared" ref="Z33" si="49">SUM(Z29+Z32)</f>
        <v>7148.9000000000015</v>
      </c>
      <c r="AA33" s="14">
        <f t="shared" ref="AA33" si="50">SUM(AA29+AA32)</f>
        <v>7148.9000000000015</v>
      </c>
      <c r="AB33" s="14">
        <f t="shared" ref="AB33" si="51">SUM(AB29+AB32)</f>
        <v>7148.9000000000015</v>
      </c>
      <c r="AC33" s="14">
        <f t="shared" ref="AC33" si="52">SUM(AC29+AC32)</f>
        <v>7148.9000000000015</v>
      </c>
      <c r="AD33" s="43"/>
      <c r="AE33" s="76">
        <f>SUM(AC33/Y33)-1</f>
        <v>1.1488886059114023E-2</v>
      </c>
    </row>
    <row r="34" spans="1:31" ht="12.75" customHeight="1">
      <c r="B34" s="16" t="s">
        <v>108</v>
      </c>
      <c r="C34" s="17">
        <f>C33/C11</f>
        <v>0.14829103214890021</v>
      </c>
      <c r="D34" s="17">
        <f>D33/D11</f>
        <v>0.19876238509139035</v>
      </c>
      <c r="E34" s="17">
        <f>E33/E11</f>
        <v>0.28327333297512219</v>
      </c>
      <c r="F34" s="17">
        <f>F33/F11</f>
        <v>0.26069974590760103</v>
      </c>
      <c r="G34" s="17">
        <f>G33/G11</f>
        <v>0.25646170872870444</v>
      </c>
      <c r="H34" s="17">
        <f>H33/H11</f>
        <v>0.25294290394828561</v>
      </c>
      <c r="I34" s="27"/>
      <c r="J34" s="17" t="e">
        <f>J33/J11</f>
        <v>#DIV/0!</v>
      </c>
      <c r="K34" s="17" t="e">
        <f>K33/K11</f>
        <v>#DIV/0!</v>
      </c>
      <c r="L34" s="17" t="e">
        <f>L33/L11</f>
        <v>#DIV/0!</v>
      </c>
      <c r="M34" s="17">
        <f>M33/M11</f>
        <v>0.25646170872870444</v>
      </c>
      <c r="N34" s="17" t="e">
        <f>N33/N11</f>
        <v>#DIV/0!</v>
      </c>
      <c r="O34" s="17" t="e">
        <f>O33/O11</f>
        <v>#DIV/0!</v>
      </c>
      <c r="P34" s="17" t="e">
        <f>P33/P11</f>
        <v>#DIV/0!</v>
      </c>
      <c r="Q34" s="17">
        <f>Q33/Q11</f>
        <v>0.25294290394828561</v>
      </c>
      <c r="R34" s="17" t="e">
        <f>R33/R11</f>
        <v>#DIV/0!</v>
      </c>
      <c r="S34" s="17" t="e">
        <f>S33/S11</f>
        <v>#DIV/0!</v>
      </c>
      <c r="T34" s="17" t="e">
        <f>T33/T11</f>
        <v>#DIV/0!</v>
      </c>
      <c r="V34" s="17">
        <f>V33/V11</f>
        <v>0.25646170872870444</v>
      </c>
      <c r="W34" s="17">
        <f>W33/W11</f>
        <v>0.25646170872870444</v>
      </c>
      <c r="X34" s="17">
        <f>X33/X11</f>
        <v>0.25646170872870444</v>
      </c>
      <c r="Y34" s="17">
        <f>Y33/Y11</f>
        <v>0.25646170872870444</v>
      </c>
      <c r="Z34" s="17">
        <f>Z33/Z11</f>
        <v>0.25294290394828561</v>
      </c>
      <c r="AA34" s="17">
        <f>AA33/AA11</f>
        <v>0.25294290394828561</v>
      </c>
      <c r="AB34" s="17">
        <f>AB33/AB11</f>
        <v>0.25294290394828561</v>
      </c>
      <c r="AC34" s="17">
        <f>AC33/AC11</f>
        <v>0.25294290394828561</v>
      </c>
      <c r="AD34" s="43"/>
      <c r="AE34" s="77">
        <f>SUM(AC34-Y34)*1000</f>
        <v>-3.5188047804188272</v>
      </c>
    </row>
    <row r="35" spans="1:31" ht="5.0999999999999996" customHeight="1">
      <c r="B35" s="16"/>
      <c r="C35" s="17"/>
      <c r="D35" s="17"/>
      <c r="E35" s="17"/>
      <c r="F35" s="17"/>
      <c r="G35" s="17"/>
      <c r="H35" s="17"/>
      <c r="I35" s="2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28"/>
      <c r="V35" s="17"/>
      <c r="W35" s="17"/>
      <c r="X35" s="17"/>
      <c r="Y35" s="17"/>
      <c r="Z35" s="17"/>
      <c r="AA35" s="17"/>
      <c r="AB35" s="17"/>
      <c r="AC35" s="17"/>
      <c r="AD35" s="43"/>
      <c r="AE35" s="77"/>
    </row>
    <row r="36" spans="1:31" ht="12.75" customHeight="1">
      <c r="B36" s="44" t="s">
        <v>87</v>
      </c>
      <c r="C36" s="82"/>
      <c r="D36" s="82"/>
      <c r="E36" s="82"/>
      <c r="F36" s="82"/>
      <c r="G36" s="82"/>
      <c r="H36" s="82"/>
      <c r="I36" s="27"/>
      <c r="J36" s="82"/>
      <c r="K36" s="82"/>
      <c r="L36" s="82"/>
      <c r="M36" s="32">
        <f>G36</f>
        <v>0</v>
      </c>
      <c r="N36" s="82"/>
      <c r="O36" s="82"/>
      <c r="P36" s="82"/>
      <c r="Q36" s="32">
        <f>H36</f>
        <v>0</v>
      </c>
      <c r="R36" s="82"/>
      <c r="S36" s="82"/>
      <c r="T36" s="82"/>
      <c r="U36" s="133"/>
      <c r="V36" s="32">
        <f t="shared" ref="V36:AC36" si="53">M36</f>
        <v>0</v>
      </c>
      <c r="W36" s="32">
        <f t="shared" si="53"/>
        <v>0</v>
      </c>
      <c r="X36" s="32">
        <f t="shared" si="53"/>
        <v>0</v>
      </c>
      <c r="Y36" s="32">
        <f t="shared" si="53"/>
        <v>0</v>
      </c>
      <c r="Z36" s="32">
        <f t="shared" si="53"/>
        <v>0</v>
      </c>
      <c r="AA36" s="32">
        <f t="shared" si="53"/>
        <v>0</v>
      </c>
      <c r="AB36" s="32">
        <f t="shared" si="53"/>
        <v>0</v>
      </c>
      <c r="AC36" s="32">
        <f t="shared" si="53"/>
        <v>0</v>
      </c>
      <c r="AD36" s="43"/>
      <c r="AE36" s="75" t="e">
        <f>SUM(AC36/Y36)-1</f>
        <v>#DIV/0!</v>
      </c>
    </row>
    <row r="37" spans="1:31" ht="12.75" customHeight="1">
      <c r="B37" s="13" t="s">
        <v>62</v>
      </c>
      <c r="C37" s="145" t="e">
        <f t="shared" ref="C37:D37" si="54">C33/C36</f>
        <v>#DIV/0!</v>
      </c>
      <c r="D37" s="145" t="e">
        <f t="shared" si="54"/>
        <v>#DIV/0!</v>
      </c>
      <c r="E37" s="145" t="e">
        <f>E33/E36</f>
        <v>#DIV/0!</v>
      </c>
      <c r="F37" s="145" t="e">
        <f>F33/F36</f>
        <v>#DIV/0!</v>
      </c>
      <c r="G37" s="145" t="e">
        <f>G33/G36</f>
        <v>#DIV/0!</v>
      </c>
      <c r="H37" s="145" t="e">
        <f>H33/H36</f>
        <v>#DIV/0!</v>
      </c>
      <c r="I37" s="27"/>
      <c r="J37" s="145" t="e">
        <f t="shared" ref="J37:T37" si="55">J33/J36</f>
        <v>#DIV/0!</v>
      </c>
      <c r="K37" s="145" t="e">
        <f t="shared" si="55"/>
        <v>#DIV/0!</v>
      </c>
      <c r="L37" s="145" t="e">
        <f t="shared" si="55"/>
        <v>#DIV/0!</v>
      </c>
      <c r="M37" s="145" t="e">
        <f t="shared" si="55"/>
        <v>#DIV/0!</v>
      </c>
      <c r="N37" s="145" t="e">
        <f t="shared" si="55"/>
        <v>#DIV/0!</v>
      </c>
      <c r="O37" s="145" t="e">
        <f t="shared" si="55"/>
        <v>#DIV/0!</v>
      </c>
      <c r="P37" s="145" t="e">
        <f t="shared" si="55"/>
        <v>#DIV/0!</v>
      </c>
      <c r="Q37" s="145" t="e">
        <f t="shared" si="55"/>
        <v>#DIV/0!</v>
      </c>
      <c r="R37" s="145" t="e">
        <f t="shared" si="55"/>
        <v>#DIV/0!</v>
      </c>
      <c r="S37" s="145" t="e">
        <f t="shared" si="55"/>
        <v>#DIV/0!</v>
      </c>
      <c r="T37" s="145" t="e">
        <f t="shared" si="55"/>
        <v>#DIV/0!</v>
      </c>
      <c r="U37" s="133"/>
      <c r="V37" s="145" t="e">
        <f t="shared" ref="V37:AC37" si="56">V33/V36</f>
        <v>#DIV/0!</v>
      </c>
      <c r="W37" s="145" t="e">
        <f t="shared" si="56"/>
        <v>#DIV/0!</v>
      </c>
      <c r="X37" s="145" t="e">
        <f t="shared" si="56"/>
        <v>#DIV/0!</v>
      </c>
      <c r="Y37" s="145" t="e">
        <f t="shared" si="56"/>
        <v>#DIV/0!</v>
      </c>
      <c r="Z37" s="145" t="e">
        <f t="shared" si="56"/>
        <v>#DIV/0!</v>
      </c>
      <c r="AA37" s="145" t="e">
        <f t="shared" si="56"/>
        <v>#DIV/0!</v>
      </c>
      <c r="AB37" s="145" t="e">
        <f t="shared" si="56"/>
        <v>#DIV/0!</v>
      </c>
      <c r="AC37" s="145" t="e">
        <f t="shared" si="56"/>
        <v>#DIV/0!</v>
      </c>
      <c r="AD37" s="43"/>
      <c r="AE37" s="76" t="e">
        <f>SUM(AC37/Y37)-1</f>
        <v>#DIV/0!</v>
      </c>
    </row>
    <row r="38" spans="1:31" ht="12.75" customHeight="1">
      <c r="B38" s="25"/>
      <c r="C38" s="48"/>
      <c r="D38" s="48"/>
      <c r="E38" s="48"/>
      <c r="F38" s="48"/>
      <c r="G38" s="48"/>
      <c r="H38" s="48"/>
      <c r="I38" s="144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43"/>
      <c r="AE38" s="75"/>
    </row>
    <row r="39" spans="1:31" ht="12.75" customHeight="1">
      <c r="B39" s="44" t="s">
        <v>63</v>
      </c>
      <c r="C39" s="82"/>
      <c r="D39" s="82"/>
      <c r="E39" s="82"/>
      <c r="F39" s="82"/>
      <c r="G39" s="82"/>
      <c r="H39" s="82"/>
      <c r="I39" s="144"/>
      <c r="J39" s="82"/>
      <c r="K39" s="82"/>
      <c r="L39" s="82"/>
      <c r="M39" s="32">
        <f>G39</f>
        <v>0</v>
      </c>
      <c r="N39" s="82"/>
      <c r="O39" s="82"/>
      <c r="P39" s="82"/>
      <c r="Q39" s="32">
        <f>H39</f>
        <v>0</v>
      </c>
      <c r="R39" s="82"/>
      <c r="S39" s="82"/>
      <c r="T39" s="82"/>
      <c r="U39" s="133"/>
      <c r="V39" s="32">
        <f t="shared" ref="V39:AC39" si="57">M39</f>
        <v>0</v>
      </c>
      <c r="W39" s="32">
        <f t="shared" si="57"/>
        <v>0</v>
      </c>
      <c r="X39" s="32">
        <f t="shared" si="57"/>
        <v>0</v>
      </c>
      <c r="Y39" s="32">
        <f t="shared" si="57"/>
        <v>0</v>
      </c>
      <c r="Z39" s="32">
        <f t="shared" si="57"/>
        <v>0</v>
      </c>
      <c r="AA39" s="32">
        <f t="shared" si="57"/>
        <v>0</v>
      </c>
      <c r="AB39" s="32">
        <f t="shared" si="57"/>
        <v>0</v>
      </c>
      <c r="AC39" s="32">
        <f t="shared" si="57"/>
        <v>0</v>
      </c>
      <c r="AD39" s="43"/>
      <c r="AE39" s="75" t="e">
        <f>SUM(AC39/Y39)-1</f>
        <v>#DIV/0!</v>
      </c>
    </row>
    <row r="40" spans="1:31" ht="12.75" customHeight="1">
      <c r="B40" s="13" t="s">
        <v>86</v>
      </c>
      <c r="C40" s="145" t="e">
        <f t="shared" ref="C40:D40" si="58">C33/C39</f>
        <v>#DIV/0!</v>
      </c>
      <c r="D40" s="145" t="e">
        <f t="shared" si="58"/>
        <v>#DIV/0!</v>
      </c>
      <c r="E40" s="145" t="e">
        <f>E33/E39</f>
        <v>#DIV/0!</v>
      </c>
      <c r="F40" s="145" t="e">
        <f>F33/F39</f>
        <v>#DIV/0!</v>
      </c>
      <c r="G40" s="145" t="e">
        <f>G33/G39</f>
        <v>#DIV/0!</v>
      </c>
      <c r="H40" s="145" t="e">
        <f>H33/H39</f>
        <v>#DIV/0!</v>
      </c>
      <c r="I40" s="27"/>
      <c r="J40" s="145" t="e">
        <f t="shared" ref="J40:T40" si="59">J33/J39</f>
        <v>#DIV/0!</v>
      </c>
      <c r="K40" s="145" t="e">
        <f t="shared" si="59"/>
        <v>#DIV/0!</v>
      </c>
      <c r="L40" s="145" t="e">
        <f t="shared" si="59"/>
        <v>#DIV/0!</v>
      </c>
      <c r="M40" s="145" t="e">
        <f t="shared" si="59"/>
        <v>#DIV/0!</v>
      </c>
      <c r="N40" s="145" t="e">
        <f t="shared" si="59"/>
        <v>#DIV/0!</v>
      </c>
      <c r="O40" s="145" t="e">
        <f t="shared" si="59"/>
        <v>#DIV/0!</v>
      </c>
      <c r="P40" s="145" t="e">
        <f t="shared" si="59"/>
        <v>#DIV/0!</v>
      </c>
      <c r="Q40" s="145" t="e">
        <f t="shared" si="59"/>
        <v>#DIV/0!</v>
      </c>
      <c r="R40" s="145" t="e">
        <f t="shared" si="59"/>
        <v>#DIV/0!</v>
      </c>
      <c r="S40" s="145" t="e">
        <f t="shared" si="59"/>
        <v>#DIV/0!</v>
      </c>
      <c r="T40" s="145" t="e">
        <f t="shared" si="59"/>
        <v>#DIV/0!</v>
      </c>
      <c r="U40" s="133"/>
      <c r="V40" s="145" t="e">
        <f t="shared" ref="V40:AC40" si="60">V33/V39</f>
        <v>#DIV/0!</v>
      </c>
      <c r="W40" s="145" t="e">
        <f t="shared" si="60"/>
        <v>#DIV/0!</v>
      </c>
      <c r="X40" s="145" t="e">
        <f t="shared" si="60"/>
        <v>#DIV/0!</v>
      </c>
      <c r="Y40" s="145" t="e">
        <f t="shared" si="60"/>
        <v>#DIV/0!</v>
      </c>
      <c r="Z40" s="145" t="e">
        <f t="shared" si="60"/>
        <v>#DIV/0!</v>
      </c>
      <c r="AA40" s="145" t="e">
        <f t="shared" si="60"/>
        <v>#DIV/0!</v>
      </c>
      <c r="AB40" s="145" t="e">
        <f t="shared" si="60"/>
        <v>#DIV/0!</v>
      </c>
      <c r="AC40" s="145" t="e">
        <f t="shared" si="60"/>
        <v>#DIV/0!</v>
      </c>
      <c r="AD40" s="43"/>
      <c r="AE40" s="76" t="e">
        <f>SUM(AC40/Y40)-1</f>
        <v>#DIV/0!</v>
      </c>
    </row>
    <row r="41" spans="1:31">
      <c r="B41" s="16"/>
      <c r="C41" s="17"/>
      <c r="D41" s="17"/>
      <c r="E41" s="17"/>
      <c r="F41" s="17"/>
      <c r="G41" s="17"/>
      <c r="H41" s="17"/>
      <c r="I41" s="2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28"/>
      <c r="V41" s="17"/>
      <c r="W41" s="17"/>
      <c r="X41" s="17"/>
      <c r="Y41" s="17"/>
      <c r="Z41" s="17"/>
      <c r="AA41" s="17"/>
      <c r="AB41" s="17"/>
      <c r="AC41" s="17"/>
      <c r="AD41" s="43"/>
    </row>
    <row r="42" spans="1:31" ht="12.75" customHeight="1">
      <c r="A42" s="5" t="s">
        <v>16</v>
      </c>
      <c r="B42" s="106" t="s">
        <v>73</v>
      </c>
      <c r="C42" s="107"/>
      <c r="D42" s="107"/>
      <c r="E42" s="107"/>
      <c r="F42" s="107"/>
      <c r="G42" s="107"/>
      <c r="H42" s="107"/>
      <c r="I42" s="108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6"/>
      <c r="V42" s="107"/>
      <c r="W42" s="107"/>
      <c r="X42" s="107" t="s">
        <v>10</v>
      </c>
      <c r="Y42" s="107"/>
      <c r="Z42" s="107"/>
      <c r="AA42" s="107"/>
      <c r="AB42" s="107"/>
      <c r="AC42" s="107"/>
      <c r="AD42" s="108"/>
      <c r="AE42" s="154" t="s">
        <v>22</v>
      </c>
    </row>
    <row r="43" spans="1:31" ht="12.75" customHeight="1">
      <c r="B43" s="110" t="str">
        <f>B7</f>
        <v>Fiscal Period</v>
      </c>
      <c r="C43" s="109">
        <f>C7</f>
        <v>2019</v>
      </c>
      <c r="D43" s="109">
        <f>D7</f>
        <v>2020</v>
      </c>
      <c r="E43" s="109">
        <f>E7</f>
        <v>2021</v>
      </c>
      <c r="F43" s="109">
        <f>F7</f>
        <v>2022</v>
      </c>
      <c r="G43" s="109">
        <f>G7</f>
        <v>2023</v>
      </c>
      <c r="H43" s="109">
        <f>H7</f>
        <v>2024</v>
      </c>
      <c r="I43" s="108"/>
      <c r="J43" s="109" t="str">
        <f>J7</f>
        <v>1Q23</v>
      </c>
      <c r="K43" s="109" t="str">
        <f>K7</f>
        <v>2Q23</v>
      </c>
      <c r="L43" s="109" t="str">
        <f>L7</f>
        <v>3Q23</v>
      </c>
      <c r="M43" s="109" t="str">
        <f>M7</f>
        <v>4Q23</v>
      </c>
      <c r="N43" s="109" t="str">
        <f>N7</f>
        <v>1Q24</v>
      </c>
      <c r="O43" s="109" t="str">
        <f>O7</f>
        <v>2Q24</v>
      </c>
      <c r="P43" s="109" t="str">
        <f>P7</f>
        <v>3Q24</v>
      </c>
      <c r="Q43" s="109" t="str">
        <f>Q7</f>
        <v>4Q24</v>
      </c>
      <c r="R43" s="109" t="str">
        <f>R7</f>
        <v>1Q25</v>
      </c>
      <c r="S43" s="109" t="str">
        <f>S7</f>
        <v>2Q25</v>
      </c>
      <c r="T43" s="109" t="str">
        <f>T7</f>
        <v>3Q25</v>
      </c>
      <c r="U43" s="111"/>
      <c r="V43" s="109" t="str">
        <f>V7</f>
        <v>4Q23</v>
      </c>
      <c r="W43" s="109" t="str">
        <f>W7</f>
        <v>1Q24</v>
      </c>
      <c r="X43" s="109" t="str">
        <f>X7</f>
        <v>2Q24</v>
      </c>
      <c r="Y43" s="109" t="str">
        <f>Y7</f>
        <v>3Q24</v>
      </c>
      <c r="Z43" s="109" t="str">
        <f>Z7</f>
        <v>4Q24</v>
      </c>
      <c r="AA43" s="109" t="str">
        <f>AA7</f>
        <v>1Q25</v>
      </c>
      <c r="AB43" s="109" t="str">
        <f>AB7</f>
        <v>2Q25</v>
      </c>
      <c r="AC43" s="109" t="str">
        <f>AC7</f>
        <v>3Q25</v>
      </c>
      <c r="AD43" s="108"/>
      <c r="AE43" s="154"/>
    </row>
    <row r="44" spans="1:31" ht="12.75" customHeight="1">
      <c r="B44" s="110" t="str">
        <f>B8</f>
        <v>Fiscal Period End Date</v>
      </c>
      <c r="C44" s="112">
        <f>C8</f>
        <v>0</v>
      </c>
      <c r="D44" s="112">
        <f>D8</f>
        <v>0</v>
      </c>
      <c r="E44" s="112">
        <f>E8</f>
        <v>0</v>
      </c>
      <c r="F44" s="112">
        <f>F8</f>
        <v>0</v>
      </c>
      <c r="G44" s="112">
        <f>G8</f>
        <v>0</v>
      </c>
      <c r="H44" s="112">
        <f>H8</f>
        <v>0</v>
      </c>
      <c r="I44" s="108"/>
      <c r="J44" s="112">
        <f>J8</f>
        <v>45017</v>
      </c>
      <c r="K44" s="112">
        <f>K8</f>
        <v>45108</v>
      </c>
      <c r="L44" s="112">
        <f>L8</f>
        <v>45199</v>
      </c>
      <c r="M44" s="112">
        <f>M8</f>
        <v>0</v>
      </c>
      <c r="N44" s="112">
        <f>N8</f>
        <v>45381</v>
      </c>
      <c r="O44" s="112">
        <f>O8</f>
        <v>45472</v>
      </c>
      <c r="P44" s="112">
        <f>P8</f>
        <v>45563</v>
      </c>
      <c r="Q44" s="112">
        <f>Q8</f>
        <v>0</v>
      </c>
      <c r="R44" s="112">
        <f>R8</f>
        <v>45745</v>
      </c>
      <c r="S44" s="112">
        <f>S8</f>
        <v>45836</v>
      </c>
      <c r="T44" s="112">
        <f>T8</f>
        <v>45927</v>
      </c>
      <c r="U44" s="113"/>
      <c r="V44" s="112">
        <f>V8</f>
        <v>0</v>
      </c>
      <c r="W44" s="112">
        <f>W8</f>
        <v>45381</v>
      </c>
      <c r="X44" s="112">
        <f>X8</f>
        <v>45472</v>
      </c>
      <c r="Y44" s="112">
        <f>Y8</f>
        <v>45563</v>
      </c>
      <c r="Z44" s="112">
        <f>Z8</f>
        <v>0</v>
      </c>
      <c r="AA44" s="112">
        <f>AA8</f>
        <v>45745</v>
      </c>
      <c r="AB44" s="112">
        <f>AB8</f>
        <v>45836</v>
      </c>
      <c r="AC44" s="112">
        <f>AC8</f>
        <v>45927</v>
      </c>
      <c r="AD44" s="108"/>
      <c r="AE44" s="154"/>
    </row>
    <row r="45" spans="1:31" ht="5.0999999999999996" customHeight="1">
      <c r="B45" s="46"/>
      <c r="C45" s="47"/>
      <c r="D45" s="47"/>
      <c r="E45" s="47"/>
      <c r="F45" s="47"/>
      <c r="G45" s="47"/>
      <c r="H45" s="47"/>
    </row>
    <row r="46" spans="1:31">
      <c r="B46" s="78" t="s">
        <v>78</v>
      </c>
      <c r="C46" s="47"/>
      <c r="D46" s="47"/>
      <c r="E46" s="47"/>
      <c r="F46" s="47"/>
      <c r="G46" s="47"/>
      <c r="H46" s="47"/>
    </row>
    <row r="47" spans="1:31" s="122" customFormat="1" ht="12.75" customHeight="1">
      <c r="B47" s="114" t="s">
        <v>154</v>
      </c>
      <c r="C47" s="123">
        <v>3532.3</v>
      </c>
      <c r="D47" s="123">
        <v>6049.4</v>
      </c>
      <c r="E47" s="123">
        <v>6951.8</v>
      </c>
      <c r="F47" s="123">
        <v>7268.3</v>
      </c>
      <c r="G47" s="123">
        <v>7004.7</v>
      </c>
      <c r="H47" s="123">
        <v>12735.9</v>
      </c>
      <c r="J47" s="82"/>
      <c r="K47" s="82"/>
      <c r="L47" s="82"/>
      <c r="M47" s="32">
        <f t="shared" ref="M47:M51" si="61">G47</f>
        <v>7004.7</v>
      </c>
      <c r="N47" s="82"/>
      <c r="O47" s="82"/>
      <c r="P47" s="82"/>
      <c r="Q47" s="32">
        <f t="shared" ref="Q47:Q51" si="62">H47</f>
        <v>12735.9</v>
      </c>
      <c r="R47" s="82"/>
      <c r="S47" s="82"/>
      <c r="T47" s="82"/>
      <c r="V47" s="96">
        <f t="shared" ref="V47:AB52" si="63">M47</f>
        <v>7004.7</v>
      </c>
      <c r="W47" s="96">
        <f t="shared" si="63"/>
        <v>0</v>
      </c>
      <c r="X47" s="96">
        <f t="shared" si="63"/>
        <v>0</v>
      </c>
      <c r="Y47" s="96">
        <f t="shared" si="63"/>
        <v>0</v>
      </c>
      <c r="Z47" s="96">
        <f t="shared" si="63"/>
        <v>12735.9</v>
      </c>
      <c r="AA47" s="96">
        <f t="shared" si="63"/>
        <v>0</v>
      </c>
      <c r="AB47" s="96">
        <f t="shared" si="63"/>
        <v>0</v>
      </c>
      <c r="AC47" s="96">
        <f>T47</f>
        <v>0</v>
      </c>
      <c r="AD47" s="124"/>
      <c r="AE47" s="75" t="e">
        <f>SUM(AC47/Y47)-1</f>
        <v>#DIV/0!</v>
      </c>
    </row>
    <row r="48" spans="1:31" s="122" customFormat="1" ht="12.75" customHeight="1">
      <c r="B48" s="114" t="s">
        <v>155</v>
      </c>
      <c r="C48" s="123">
        <v>1786.8</v>
      </c>
      <c r="D48" s="123">
        <v>1310.3</v>
      </c>
      <c r="E48" s="123">
        <v>3028</v>
      </c>
      <c r="F48" s="123">
        <v>5323.8</v>
      </c>
      <c r="G48" s="123">
        <v>4334.1000000000004</v>
      </c>
      <c r="H48" s="123">
        <v>4477.5</v>
      </c>
      <c r="J48" s="82"/>
      <c r="K48" s="82"/>
      <c r="L48" s="82"/>
      <c r="M48" s="32">
        <f t="shared" si="61"/>
        <v>4334.1000000000004</v>
      </c>
      <c r="N48" s="82"/>
      <c r="O48" s="82"/>
      <c r="P48" s="82"/>
      <c r="Q48" s="32">
        <f t="shared" si="62"/>
        <v>4477.5</v>
      </c>
      <c r="R48" s="82"/>
      <c r="S48" s="82"/>
      <c r="T48" s="82"/>
      <c r="V48" s="96">
        <f t="shared" si="63"/>
        <v>4334.1000000000004</v>
      </c>
      <c r="W48" s="96">
        <f t="shared" si="63"/>
        <v>0</v>
      </c>
      <c r="X48" s="96">
        <f t="shared" si="63"/>
        <v>0</v>
      </c>
      <c r="Y48" s="96">
        <f t="shared" si="63"/>
        <v>0</v>
      </c>
      <c r="Z48" s="96">
        <f t="shared" si="63"/>
        <v>4477.5</v>
      </c>
      <c r="AA48" s="96">
        <f t="shared" si="63"/>
        <v>0</v>
      </c>
      <c r="AB48" s="96">
        <f t="shared" si="63"/>
        <v>0</v>
      </c>
      <c r="AC48" s="96">
        <f>T48</f>
        <v>0</v>
      </c>
      <c r="AD48" s="124"/>
      <c r="AE48" s="75" t="e">
        <f t="shared" ref="AE48:AE52" si="64">SUM(AC48/Y48)-1</f>
        <v>#DIV/0!</v>
      </c>
    </row>
    <row r="49" spans="2:31" s="122" customFormat="1" ht="12.75" customHeight="1">
      <c r="B49" s="114" t="s">
        <v>156</v>
      </c>
      <c r="C49" s="123">
        <v>564.5</v>
      </c>
      <c r="D49" s="123">
        <v>1710.5</v>
      </c>
      <c r="E49" s="123">
        <v>1185.5999999999999</v>
      </c>
      <c r="F49" s="123">
        <v>1356.7</v>
      </c>
      <c r="G49" s="123">
        <v>1379.2</v>
      </c>
      <c r="H49" s="123">
        <v>82.6</v>
      </c>
      <c r="J49" s="82"/>
      <c r="K49" s="82"/>
      <c r="L49" s="82"/>
      <c r="M49" s="32">
        <f t="shared" ref="M49" si="65">G49</f>
        <v>1379.2</v>
      </c>
      <c r="N49" s="82"/>
      <c r="O49" s="82"/>
      <c r="P49" s="82"/>
      <c r="Q49" s="32">
        <f t="shared" ref="Q49" si="66">H49</f>
        <v>82.6</v>
      </c>
      <c r="R49" s="82"/>
      <c r="S49" s="82"/>
      <c r="T49" s="82"/>
      <c r="V49" s="96">
        <f t="shared" ref="V49" si="67">M49</f>
        <v>1379.2</v>
      </c>
      <c r="W49" s="96">
        <f t="shared" ref="W49" si="68">N49</f>
        <v>0</v>
      </c>
      <c r="X49" s="96">
        <f t="shared" ref="X49" si="69">O49</f>
        <v>0</v>
      </c>
      <c r="Y49" s="96">
        <f t="shared" ref="Y49" si="70">P49</f>
        <v>0</v>
      </c>
      <c r="Z49" s="96">
        <f t="shared" ref="Z49" si="71">Q49</f>
        <v>82.6</v>
      </c>
      <c r="AA49" s="96">
        <f t="shared" ref="AA49" si="72">R49</f>
        <v>0</v>
      </c>
      <c r="AB49" s="96">
        <f t="shared" ref="AB49" si="73">S49</f>
        <v>0</v>
      </c>
      <c r="AC49" s="96">
        <f>T49</f>
        <v>0</v>
      </c>
      <c r="AD49" s="124"/>
      <c r="AE49" s="75" t="e">
        <f t="shared" ref="AE49" si="74">SUM(AC49/Y49)-1</f>
        <v>#DIV/0!</v>
      </c>
    </row>
    <row r="50" spans="2:31" s="122" customFormat="1" ht="12.75" customHeight="1">
      <c r="B50" s="114" t="s">
        <v>157</v>
      </c>
      <c r="C50" s="123">
        <v>231</v>
      </c>
      <c r="D50" s="123">
        <v>119.2</v>
      </c>
      <c r="E50" s="123">
        <v>164.6</v>
      </c>
      <c r="F50" s="123">
        <v>131.9</v>
      </c>
      <c r="G50" s="123">
        <v>240.1</v>
      </c>
      <c r="H50" s="123">
        <v>320.60000000000002</v>
      </c>
      <c r="J50" s="82"/>
      <c r="K50" s="82"/>
      <c r="L50" s="82"/>
      <c r="M50" s="32">
        <f t="shared" si="61"/>
        <v>240.1</v>
      </c>
      <c r="N50" s="82"/>
      <c r="O50" s="82"/>
      <c r="P50" s="82"/>
      <c r="Q50" s="32">
        <f t="shared" si="62"/>
        <v>320.60000000000002</v>
      </c>
      <c r="R50" s="82"/>
      <c r="S50" s="82"/>
      <c r="T50" s="82"/>
      <c r="V50" s="96">
        <f t="shared" si="63"/>
        <v>240.1</v>
      </c>
      <c r="W50" s="96">
        <f t="shared" si="63"/>
        <v>0</v>
      </c>
      <c r="X50" s="96">
        <f t="shared" si="63"/>
        <v>0</v>
      </c>
      <c r="Y50" s="96">
        <f t="shared" si="63"/>
        <v>0</v>
      </c>
      <c r="Z50" s="96">
        <f t="shared" si="63"/>
        <v>320.60000000000002</v>
      </c>
      <c r="AA50" s="96">
        <f t="shared" si="63"/>
        <v>0</v>
      </c>
      <c r="AB50" s="96">
        <f t="shared" si="63"/>
        <v>0</v>
      </c>
      <c r="AC50" s="96">
        <f>T50</f>
        <v>0</v>
      </c>
      <c r="AD50" s="124"/>
      <c r="AE50" s="75" t="e">
        <f t="shared" si="64"/>
        <v>#DIV/0!</v>
      </c>
    </row>
    <row r="51" spans="2:31" s="122" customFormat="1" ht="12.75" customHeight="1">
      <c r="B51" s="114" t="s">
        <v>158</v>
      </c>
      <c r="C51" s="123">
        <v>3809.2</v>
      </c>
      <c r="D51" s="123">
        <v>4569.3999999999996</v>
      </c>
      <c r="E51" s="123">
        <v>5179.2</v>
      </c>
      <c r="F51" s="123">
        <v>7199.7</v>
      </c>
      <c r="G51" s="123">
        <v>8850.7000000000007</v>
      </c>
      <c r="H51" s="123">
        <v>10891.5</v>
      </c>
      <c r="J51" s="82"/>
      <c r="K51" s="82"/>
      <c r="L51" s="82"/>
      <c r="M51" s="32">
        <f t="shared" si="61"/>
        <v>8850.7000000000007</v>
      </c>
      <c r="N51" s="82"/>
      <c r="O51" s="82"/>
      <c r="P51" s="82"/>
      <c r="Q51" s="32">
        <f t="shared" si="62"/>
        <v>10891.5</v>
      </c>
      <c r="R51" s="82"/>
      <c r="S51" s="82"/>
      <c r="T51" s="82"/>
      <c r="V51" s="96">
        <f t="shared" si="63"/>
        <v>8850.7000000000007</v>
      </c>
      <c r="W51" s="96">
        <f t="shared" si="63"/>
        <v>0</v>
      </c>
      <c r="X51" s="96">
        <f t="shared" si="63"/>
        <v>0</v>
      </c>
      <c r="Y51" s="96">
        <f t="shared" si="63"/>
        <v>0</v>
      </c>
      <c r="Z51" s="96">
        <f t="shared" si="63"/>
        <v>10891.5</v>
      </c>
      <c r="AA51" s="96">
        <f t="shared" si="63"/>
        <v>0</v>
      </c>
      <c r="AB51" s="96">
        <f t="shared" si="63"/>
        <v>0</v>
      </c>
      <c r="AC51" s="96">
        <f>T51</f>
        <v>0</v>
      </c>
      <c r="AD51" s="124"/>
      <c r="AE51" s="75" t="e">
        <f t="shared" si="64"/>
        <v>#DIV/0!</v>
      </c>
    </row>
    <row r="52" spans="2:31" s="122" customFormat="1" ht="12.75" customHeight="1">
      <c r="B52" s="114" t="s">
        <v>159</v>
      </c>
      <c r="C52" s="123">
        <v>1982.5</v>
      </c>
      <c r="D52" s="123">
        <v>1898.4</v>
      </c>
      <c r="E52" s="123">
        <v>1118</v>
      </c>
      <c r="F52" s="123">
        <v>953.90000000000009</v>
      </c>
      <c r="G52" s="123">
        <v>1951.6000000000004</v>
      </c>
      <c r="H52" s="123">
        <v>1565.8</v>
      </c>
      <c r="J52" s="82"/>
      <c r="K52" s="82"/>
      <c r="L52" s="82"/>
      <c r="M52" s="32">
        <f t="shared" ref="M52" si="75">G52</f>
        <v>1951.6000000000004</v>
      </c>
      <c r="N52" s="82"/>
      <c r="O52" s="82"/>
      <c r="P52" s="82"/>
      <c r="Q52" s="32">
        <f t="shared" ref="Q52" si="76">H52</f>
        <v>1565.8</v>
      </c>
      <c r="R52" s="82"/>
      <c r="S52" s="82"/>
      <c r="T52" s="82"/>
      <c r="V52" s="96">
        <f t="shared" si="63"/>
        <v>1951.6000000000004</v>
      </c>
      <c r="W52" s="96">
        <f t="shared" si="63"/>
        <v>0</v>
      </c>
      <c r="X52" s="96">
        <f t="shared" si="63"/>
        <v>0</v>
      </c>
      <c r="Y52" s="96">
        <f t="shared" si="63"/>
        <v>0</v>
      </c>
      <c r="Z52" s="96">
        <f t="shared" si="63"/>
        <v>1565.8</v>
      </c>
      <c r="AA52" s="96">
        <f t="shared" si="63"/>
        <v>0</v>
      </c>
      <c r="AB52" s="96">
        <f t="shared" si="63"/>
        <v>0</v>
      </c>
      <c r="AC52" s="96">
        <f>T52</f>
        <v>0</v>
      </c>
      <c r="AD52" s="124"/>
      <c r="AE52" s="75" t="e">
        <f t="shared" si="64"/>
        <v>#DIV/0!</v>
      </c>
    </row>
    <row r="53" spans="2:31" ht="12.75" customHeight="1">
      <c r="B53" s="25" t="s">
        <v>18</v>
      </c>
      <c r="C53" s="26">
        <f t="shared" ref="C53:D53" si="77">SUM(C47:C52)</f>
        <v>11906.3</v>
      </c>
      <c r="D53" s="26">
        <f t="shared" si="77"/>
        <v>15657.2</v>
      </c>
      <c r="E53" s="26">
        <f>SUM(E47:E52)</f>
        <v>17627.2</v>
      </c>
      <c r="F53" s="26">
        <f>SUM(F47:F52)</f>
        <v>22234.300000000003</v>
      </c>
      <c r="G53" s="26">
        <f>SUM(G47:G52)</f>
        <v>23760.400000000001</v>
      </c>
      <c r="H53" s="26">
        <f>SUM(H47:H52)</f>
        <v>30073.899999999998</v>
      </c>
      <c r="I53" s="48"/>
      <c r="J53" s="26">
        <f t="shared" ref="J53:T53" si="78">SUM(J47:J52)</f>
        <v>0</v>
      </c>
      <c r="K53" s="26">
        <f t="shared" si="78"/>
        <v>0</v>
      </c>
      <c r="L53" s="26">
        <f t="shared" si="78"/>
        <v>0</v>
      </c>
      <c r="M53" s="26">
        <f t="shared" si="78"/>
        <v>23760.400000000001</v>
      </c>
      <c r="N53" s="26">
        <f t="shared" si="78"/>
        <v>0</v>
      </c>
      <c r="O53" s="26">
        <f t="shared" si="78"/>
        <v>0</v>
      </c>
      <c r="P53" s="26">
        <f t="shared" si="78"/>
        <v>0</v>
      </c>
      <c r="Q53" s="26">
        <f t="shared" si="78"/>
        <v>30073.899999999998</v>
      </c>
      <c r="R53" s="26">
        <f t="shared" si="78"/>
        <v>0</v>
      </c>
      <c r="S53" s="26">
        <f t="shared" si="78"/>
        <v>0</v>
      </c>
      <c r="T53" s="26">
        <f t="shared" si="78"/>
        <v>0</v>
      </c>
      <c r="U53" s="48"/>
      <c r="V53" s="26">
        <f t="shared" ref="V53:AC53" si="79">SUM(V47:V52)</f>
        <v>23760.400000000001</v>
      </c>
      <c r="W53" s="26">
        <f t="shared" si="79"/>
        <v>0</v>
      </c>
      <c r="X53" s="26">
        <f t="shared" si="79"/>
        <v>0</v>
      </c>
      <c r="Y53" s="26">
        <f t="shared" si="79"/>
        <v>0</v>
      </c>
      <c r="Z53" s="26">
        <f t="shared" si="79"/>
        <v>30073.899999999998</v>
      </c>
      <c r="AA53" s="26">
        <f t="shared" si="79"/>
        <v>0</v>
      </c>
      <c r="AB53" s="26">
        <f t="shared" si="79"/>
        <v>0</v>
      </c>
      <c r="AC53" s="26">
        <f t="shared" si="79"/>
        <v>0</v>
      </c>
      <c r="AD53" s="42"/>
      <c r="AE53" s="76" t="e">
        <f>SUM(AC53/Y53)-1</f>
        <v>#DIV/0!</v>
      </c>
    </row>
    <row r="54" spans="2:31" ht="5.0999999999999996" customHeight="1">
      <c r="B54" s="25"/>
      <c r="C54" s="49"/>
      <c r="D54" s="49"/>
      <c r="E54" s="49"/>
      <c r="F54" s="49"/>
      <c r="G54" s="41"/>
      <c r="H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V54" s="42"/>
      <c r="W54" s="42"/>
      <c r="X54" s="42"/>
      <c r="Y54" s="42"/>
      <c r="Z54" s="42"/>
      <c r="AA54" s="42"/>
      <c r="AB54" s="42"/>
      <c r="AC54" s="42"/>
      <c r="AD54" s="42"/>
      <c r="AE54" s="39"/>
    </row>
    <row r="55" spans="2:31" ht="12.75" customHeight="1">
      <c r="B55" s="78" t="s">
        <v>79</v>
      </c>
      <c r="C55" s="82"/>
      <c r="D55" s="82"/>
      <c r="E55" s="82"/>
      <c r="F55" s="82"/>
      <c r="G55" s="82"/>
      <c r="H55" s="82"/>
      <c r="J55" s="82"/>
      <c r="K55" s="82"/>
      <c r="L55" s="82"/>
      <c r="M55" s="82"/>
      <c r="N55" s="82"/>
      <c r="O55" s="82"/>
      <c r="P55" s="82"/>
      <c r="Q55" s="82"/>
      <c r="R55" s="32"/>
      <c r="S55" s="82"/>
      <c r="T55" s="82"/>
      <c r="V55" s="32"/>
      <c r="W55" s="32"/>
      <c r="X55" s="32"/>
      <c r="Y55" s="32"/>
      <c r="Z55" s="32"/>
      <c r="AA55" s="32"/>
      <c r="AB55" s="32"/>
      <c r="AC55" s="32"/>
      <c r="AD55" s="11"/>
      <c r="AE55" s="75"/>
    </row>
    <row r="56" spans="2:31" ht="12.75" customHeight="1">
      <c r="B56" s="9" t="s">
        <v>160</v>
      </c>
      <c r="C56" s="82">
        <v>1999.3</v>
      </c>
      <c r="D56" s="82">
        <v>2470.3000000000002</v>
      </c>
      <c r="E56" s="82">
        <v>2982.7</v>
      </c>
      <c r="F56" s="82">
        <v>3944.2</v>
      </c>
      <c r="G56" s="82">
        <v>5493.2</v>
      </c>
      <c r="H56" s="82">
        <v>6846.8</v>
      </c>
      <c r="J56" s="82"/>
      <c r="K56" s="82"/>
      <c r="L56" s="82"/>
      <c r="M56" s="32">
        <f t="shared" ref="M56:M61" si="80">G56</f>
        <v>5493.2</v>
      </c>
      <c r="N56" s="82"/>
      <c r="O56" s="82"/>
      <c r="P56" s="82"/>
      <c r="Q56" s="32">
        <f t="shared" ref="Q56:Q61" si="81">H56</f>
        <v>6846.8</v>
      </c>
      <c r="R56" s="82"/>
      <c r="S56" s="82"/>
      <c r="T56" s="82"/>
      <c r="V56" s="32">
        <f t="shared" ref="V56:AB62" si="82">M56</f>
        <v>5493.2</v>
      </c>
      <c r="W56" s="32">
        <f t="shared" si="82"/>
        <v>0</v>
      </c>
      <c r="X56" s="32">
        <f t="shared" si="82"/>
        <v>0</v>
      </c>
      <c r="Y56" s="32">
        <f t="shared" si="82"/>
        <v>0</v>
      </c>
      <c r="Z56" s="32">
        <f t="shared" si="82"/>
        <v>6846.8</v>
      </c>
      <c r="AA56" s="32">
        <f t="shared" si="82"/>
        <v>0</v>
      </c>
      <c r="AB56" s="32">
        <f t="shared" si="82"/>
        <v>0</v>
      </c>
      <c r="AC56" s="32">
        <f>T56</f>
        <v>0</v>
      </c>
      <c r="AD56" s="11"/>
      <c r="AE56" s="75" t="e">
        <f t="shared" ref="AE56:AE63" si="83">SUM(AC56/Y56)-1</f>
        <v>#DIV/0!</v>
      </c>
    </row>
    <row r="57" spans="2:31" ht="12.75" customHeight="1">
      <c r="B57" s="9" t="s">
        <v>161</v>
      </c>
      <c r="C57" s="82">
        <v>2519.4</v>
      </c>
      <c r="D57" s="82">
        <v>2653.7</v>
      </c>
      <c r="E57" s="82">
        <v>2852.9</v>
      </c>
      <c r="F57" s="82">
        <v>3345.7</v>
      </c>
      <c r="G57" s="82">
        <v>3933.2</v>
      </c>
      <c r="H57" s="82">
        <v>4728.8999999999996</v>
      </c>
      <c r="J57" s="82"/>
      <c r="K57" s="82"/>
      <c r="L57" s="82"/>
      <c r="M57" s="32">
        <f t="shared" si="80"/>
        <v>3933.2</v>
      </c>
      <c r="N57" s="82"/>
      <c r="O57" s="82"/>
      <c r="P57" s="82"/>
      <c r="Q57" s="32">
        <f t="shared" si="81"/>
        <v>4728.8999999999996</v>
      </c>
      <c r="R57" s="82"/>
      <c r="S57" s="82"/>
      <c r="T57" s="82"/>
      <c r="V57" s="32">
        <f t="shared" si="82"/>
        <v>3933.2</v>
      </c>
      <c r="W57" s="32">
        <f t="shared" si="82"/>
        <v>0</v>
      </c>
      <c r="X57" s="32">
        <f t="shared" si="82"/>
        <v>0</v>
      </c>
      <c r="Y57" s="32">
        <f t="shared" si="82"/>
        <v>0</v>
      </c>
      <c r="Z57" s="32">
        <f t="shared" si="82"/>
        <v>4728.8999999999996</v>
      </c>
      <c r="AA57" s="32">
        <f t="shared" si="82"/>
        <v>0</v>
      </c>
      <c r="AB57" s="32">
        <f t="shared" si="82"/>
        <v>0</v>
      </c>
      <c r="AC57" s="32">
        <f>T57</f>
        <v>0</v>
      </c>
      <c r="AD57" s="11"/>
      <c r="AE57" s="75" t="e">
        <f t="shared" si="83"/>
        <v>#DIV/0!</v>
      </c>
    </row>
    <row r="58" spans="2:31" ht="12.75" customHeight="1">
      <c r="B58" s="9" t="s">
        <v>112</v>
      </c>
      <c r="C58" s="82">
        <v>4562.7</v>
      </c>
      <c r="D58" s="82">
        <v>4650.6000000000004</v>
      </c>
      <c r="E58" s="82">
        <v>4577.1000000000004</v>
      </c>
      <c r="F58" s="82">
        <v>4577.1000000000004</v>
      </c>
      <c r="G58" s="82">
        <v>4610.1000000000004</v>
      </c>
      <c r="H58" s="82">
        <v>4610.1000000000004</v>
      </c>
      <c r="J58" s="82"/>
      <c r="K58" s="82"/>
      <c r="L58" s="82"/>
      <c r="M58" s="32">
        <f t="shared" ref="M58:M59" si="84">G58</f>
        <v>4610.1000000000004</v>
      </c>
      <c r="N58" s="82"/>
      <c r="O58" s="82"/>
      <c r="P58" s="82"/>
      <c r="Q58" s="32">
        <f t="shared" ref="Q58:Q59" si="85">H58</f>
        <v>4610.1000000000004</v>
      </c>
      <c r="R58" s="82"/>
      <c r="S58" s="82"/>
      <c r="T58" s="82"/>
      <c r="V58" s="32">
        <f t="shared" ref="V58:V59" si="86">M58</f>
        <v>4610.1000000000004</v>
      </c>
      <c r="W58" s="32">
        <f t="shared" ref="W58:W59" si="87">N58</f>
        <v>0</v>
      </c>
      <c r="X58" s="32">
        <f t="shared" ref="X58:X59" si="88">O58</f>
        <v>0</v>
      </c>
      <c r="Y58" s="32">
        <f t="shared" ref="Y58:Y59" si="89">P58</f>
        <v>0</v>
      </c>
      <c r="Z58" s="32">
        <f t="shared" ref="Z58:Z59" si="90">Q58</f>
        <v>4610.1000000000004</v>
      </c>
      <c r="AA58" s="32">
        <f t="shared" ref="AA58:AA59" si="91">R58</f>
        <v>0</v>
      </c>
      <c r="AB58" s="32">
        <f t="shared" ref="AB58:AB59" si="92">S58</f>
        <v>0</v>
      </c>
      <c r="AC58" s="32">
        <f t="shared" ref="AC58:AC60" si="93">T58</f>
        <v>0</v>
      </c>
      <c r="AD58" s="11"/>
      <c r="AE58" s="75" t="e">
        <f t="shared" ref="AE58:AE59" si="94">SUM(AC58/Y58)-1</f>
        <v>#DIV/0!</v>
      </c>
    </row>
    <row r="59" spans="2:31" ht="12.75" customHeight="1">
      <c r="B59" s="9" t="s">
        <v>162</v>
      </c>
      <c r="C59" s="82">
        <v>218.2</v>
      </c>
      <c r="D59" s="82">
        <v>405.5</v>
      </c>
      <c r="E59" s="82">
        <v>899.3</v>
      </c>
      <c r="F59" s="82">
        <v>1650.5</v>
      </c>
      <c r="G59" s="82">
        <v>1367.5000000000002</v>
      </c>
      <c r="H59" s="82">
        <v>1435.6999999999998</v>
      </c>
      <c r="J59" s="82"/>
      <c r="K59" s="82"/>
      <c r="L59" s="82"/>
      <c r="M59" s="32">
        <f t="shared" si="84"/>
        <v>1367.5000000000002</v>
      </c>
      <c r="N59" s="82"/>
      <c r="O59" s="82"/>
      <c r="P59" s="82"/>
      <c r="Q59" s="32">
        <f t="shared" si="85"/>
        <v>1435.6999999999998</v>
      </c>
      <c r="R59" s="82"/>
      <c r="S59" s="82"/>
      <c r="T59" s="82"/>
      <c r="V59" s="32">
        <f t="shared" si="86"/>
        <v>1367.5000000000002</v>
      </c>
      <c r="W59" s="32">
        <f t="shared" si="87"/>
        <v>0</v>
      </c>
      <c r="X59" s="32">
        <f t="shared" si="88"/>
        <v>0</v>
      </c>
      <c r="Y59" s="32">
        <f t="shared" si="89"/>
        <v>0</v>
      </c>
      <c r="Z59" s="32">
        <f t="shared" si="90"/>
        <v>1435.6999999999998</v>
      </c>
      <c r="AA59" s="32">
        <f t="shared" si="91"/>
        <v>0</v>
      </c>
      <c r="AB59" s="32">
        <f t="shared" si="92"/>
        <v>0</v>
      </c>
      <c r="AC59" s="32">
        <f t="shared" si="93"/>
        <v>0</v>
      </c>
      <c r="AD59" s="11"/>
      <c r="AE59" s="75" t="e">
        <f t="shared" si="94"/>
        <v>#DIV/0!</v>
      </c>
    </row>
    <row r="60" spans="2:31" ht="12.75" customHeight="1">
      <c r="B60" s="9" t="s">
        <v>156</v>
      </c>
      <c r="C60" s="82">
        <v>421.1</v>
      </c>
      <c r="D60" s="82">
        <v>400.5</v>
      </c>
      <c r="E60" s="82">
        <v>383</v>
      </c>
      <c r="F60" s="82">
        <v>0</v>
      </c>
      <c r="G60" s="82">
        <v>60.6</v>
      </c>
      <c r="H60" s="82">
        <v>317.2</v>
      </c>
      <c r="J60" s="82"/>
      <c r="K60" s="82"/>
      <c r="L60" s="82"/>
      <c r="M60" s="32">
        <f t="shared" si="80"/>
        <v>60.6</v>
      </c>
      <c r="N60" s="82"/>
      <c r="O60" s="82"/>
      <c r="P60" s="82"/>
      <c r="Q60" s="32">
        <f t="shared" si="81"/>
        <v>317.2</v>
      </c>
      <c r="R60" s="82"/>
      <c r="S60" s="82"/>
      <c r="T60" s="82"/>
      <c r="V60" s="32">
        <f t="shared" si="82"/>
        <v>60.6</v>
      </c>
      <c r="W60" s="32">
        <f t="shared" si="82"/>
        <v>0</v>
      </c>
      <c r="X60" s="32">
        <f t="shared" si="82"/>
        <v>0</v>
      </c>
      <c r="Y60" s="32">
        <f t="shared" si="82"/>
        <v>0</v>
      </c>
      <c r="Z60" s="32">
        <f t="shared" si="82"/>
        <v>317.2</v>
      </c>
      <c r="AA60" s="32">
        <f t="shared" si="82"/>
        <v>0</v>
      </c>
      <c r="AB60" s="32">
        <f t="shared" si="82"/>
        <v>0</v>
      </c>
      <c r="AC60" s="32">
        <f>T60</f>
        <v>0</v>
      </c>
      <c r="AD60" s="11"/>
      <c r="AE60" s="75" t="e">
        <f t="shared" si="83"/>
        <v>#DIV/0!</v>
      </c>
    </row>
    <row r="61" spans="2:31" ht="12.75" customHeight="1">
      <c r="B61" s="9" t="s">
        <v>163</v>
      </c>
      <c r="C61" s="82">
        <v>0</v>
      </c>
      <c r="D61" s="82">
        <v>0</v>
      </c>
      <c r="E61" s="82">
        <v>0</v>
      </c>
      <c r="F61" s="82">
        <v>364.4</v>
      </c>
      <c r="G61" s="82">
        <v>929.2</v>
      </c>
      <c r="H61" s="82">
        <v>1456.7</v>
      </c>
      <c r="J61" s="82"/>
      <c r="K61" s="82"/>
      <c r="L61" s="82"/>
      <c r="M61" s="32">
        <f t="shared" si="80"/>
        <v>929.2</v>
      </c>
      <c r="N61" s="82"/>
      <c r="O61" s="82"/>
      <c r="P61" s="82"/>
      <c r="Q61" s="32">
        <f t="shared" si="81"/>
        <v>1456.7</v>
      </c>
      <c r="R61" s="82"/>
      <c r="S61" s="82"/>
      <c r="T61" s="82"/>
      <c r="V61" s="32">
        <f t="shared" si="82"/>
        <v>929.2</v>
      </c>
      <c r="W61" s="32">
        <f t="shared" si="82"/>
        <v>0</v>
      </c>
      <c r="X61" s="32">
        <f t="shared" si="82"/>
        <v>0</v>
      </c>
      <c r="Y61" s="32">
        <f t="shared" si="82"/>
        <v>0</v>
      </c>
      <c r="Z61" s="32">
        <f t="shared" si="82"/>
        <v>1456.7</v>
      </c>
      <c r="AA61" s="32">
        <f t="shared" si="82"/>
        <v>0</v>
      </c>
      <c r="AB61" s="32">
        <f t="shared" si="82"/>
        <v>0</v>
      </c>
      <c r="AC61" s="32">
        <f>T61</f>
        <v>0</v>
      </c>
      <c r="AD61" s="11"/>
      <c r="AE61" s="75" t="e">
        <f t="shared" si="83"/>
        <v>#DIV/0!</v>
      </c>
    </row>
    <row r="62" spans="2:31" ht="12.75" customHeight="1">
      <c r="B62" s="9" t="s">
        <v>164</v>
      </c>
      <c r="C62" s="82">
        <v>1987.3000000000002</v>
      </c>
      <c r="D62" s="82">
        <v>2117</v>
      </c>
      <c r="E62" s="82">
        <v>2068.6999999999998</v>
      </c>
      <c r="F62" s="82">
        <v>1856.1000000000001</v>
      </c>
      <c r="G62" s="82">
        <v>1878.2000000000003</v>
      </c>
      <c r="H62" s="82">
        <v>2081</v>
      </c>
      <c r="J62" s="82"/>
      <c r="K62" s="82"/>
      <c r="L62" s="82"/>
      <c r="M62" s="32">
        <f t="shared" ref="M62" si="95">G62</f>
        <v>1878.2000000000003</v>
      </c>
      <c r="N62" s="82"/>
      <c r="O62" s="82"/>
      <c r="P62" s="82"/>
      <c r="Q62" s="32">
        <f t="shared" ref="Q62" si="96">H62</f>
        <v>2081</v>
      </c>
      <c r="R62" s="82"/>
      <c r="S62" s="82"/>
      <c r="T62" s="82"/>
      <c r="V62" s="32">
        <f t="shared" si="82"/>
        <v>1878.2000000000003</v>
      </c>
      <c r="W62" s="32">
        <f t="shared" si="82"/>
        <v>0</v>
      </c>
      <c r="X62" s="32">
        <f t="shared" si="82"/>
        <v>0</v>
      </c>
      <c r="Y62" s="32">
        <f t="shared" si="82"/>
        <v>0</v>
      </c>
      <c r="Z62" s="32">
        <f t="shared" si="82"/>
        <v>2081</v>
      </c>
      <c r="AA62" s="32">
        <f t="shared" si="82"/>
        <v>0</v>
      </c>
      <c r="AB62" s="32">
        <f t="shared" si="82"/>
        <v>0</v>
      </c>
      <c r="AC62" s="32">
        <f>T62</f>
        <v>0</v>
      </c>
      <c r="AD62" s="11"/>
      <c r="AE62" s="75" t="e">
        <f t="shared" si="83"/>
        <v>#DIV/0!</v>
      </c>
    </row>
    <row r="63" spans="2:31" ht="12.75" customHeight="1">
      <c r="B63" s="13" t="s">
        <v>19</v>
      </c>
      <c r="C63" s="14">
        <f t="shared" ref="C63:D63" si="97">SUM(C56:C62)+C53</f>
        <v>23614.3</v>
      </c>
      <c r="D63" s="14">
        <f t="shared" si="97"/>
        <v>28354.800000000003</v>
      </c>
      <c r="E63" s="14">
        <f>SUM(E56:E62)+E53</f>
        <v>31390.9</v>
      </c>
      <c r="F63" s="14">
        <f>SUM(F56:F62)+F53</f>
        <v>37972.300000000003</v>
      </c>
      <c r="G63" s="14">
        <f>SUM(G56:G62)+G53</f>
        <v>42032.4</v>
      </c>
      <c r="H63" s="14">
        <f>SUM(H56:H62)+H53</f>
        <v>51550.3</v>
      </c>
      <c r="J63" s="14">
        <f t="shared" ref="J63:T63" si="98">SUM(J56:J62)+J53</f>
        <v>0</v>
      </c>
      <c r="K63" s="14">
        <f t="shared" si="98"/>
        <v>0</v>
      </c>
      <c r="L63" s="14">
        <f t="shared" si="98"/>
        <v>0</v>
      </c>
      <c r="M63" s="14">
        <f t="shared" si="98"/>
        <v>42032.4</v>
      </c>
      <c r="N63" s="14">
        <f t="shared" si="98"/>
        <v>0</v>
      </c>
      <c r="O63" s="14">
        <f t="shared" si="98"/>
        <v>0</v>
      </c>
      <c r="P63" s="14">
        <f t="shared" si="98"/>
        <v>0</v>
      </c>
      <c r="Q63" s="14">
        <f t="shared" si="98"/>
        <v>51550.3</v>
      </c>
      <c r="R63" s="14">
        <f t="shared" si="98"/>
        <v>0</v>
      </c>
      <c r="S63" s="14">
        <f t="shared" si="98"/>
        <v>0</v>
      </c>
      <c r="T63" s="14">
        <f t="shared" si="98"/>
        <v>0</v>
      </c>
      <c r="V63" s="14">
        <f t="shared" ref="V63:AC63" si="99">SUM(V56:V62)+V53</f>
        <v>42032.4</v>
      </c>
      <c r="W63" s="14">
        <f t="shared" si="99"/>
        <v>0</v>
      </c>
      <c r="X63" s="14">
        <f t="shared" si="99"/>
        <v>0</v>
      </c>
      <c r="Y63" s="14">
        <f t="shared" si="99"/>
        <v>0</v>
      </c>
      <c r="Z63" s="14">
        <f t="shared" si="99"/>
        <v>51550.3</v>
      </c>
      <c r="AA63" s="14">
        <f t="shared" si="99"/>
        <v>0</v>
      </c>
      <c r="AB63" s="14">
        <f t="shared" si="99"/>
        <v>0</v>
      </c>
      <c r="AC63" s="34">
        <f t="shared" si="99"/>
        <v>0</v>
      </c>
      <c r="AD63" s="42"/>
      <c r="AE63" s="76" t="e">
        <f t="shared" si="83"/>
        <v>#DIV/0!</v>
      </c>
    </row>
    <row r="64" spans="2:31" ht="12.75" customHeight="1">
      <c r="B64" s="25"/>
      <c r="C64" s="50"/>
      <c r="D64" s="50"/>
      <c r="E64" s="50"/>
      <c r="F64" s="50"/>
      <c r="G64" s="41"/>
      <c r="H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V64" s="42"/>
      <c r="W64" s="42"/>
      <c r="X64" s="42"/>
      <c r="Y64" s="42"/>
      <c r="Z64" s="42"/>
      <c r="AA64" s="42"/>
      <c r="AB64" s="42"/>
      <c r="AC64" s="42"/>
      <c r="AD64" s="42"/>
      <c r="AE64" s="39"/>
    </row>
    <row r="65" spans="2:31" ht="12.75" customHeight="1">
      <c r="B65" s="78" t="s">
        <v>45</v>
      </c>
      <c r="C65" s="50"/>
      <c r="D65" s="50"/>
      <c r="E65" s="50"/>
      <c r="F65" s="50"/>
      <c r="G65" s="41"/>
      <c r="H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V65" s="42"/>
      <c r="W65" s="42"/>
      <c r="X65" s="42"/>
      <c r="Y65" s="42"/>
      <c r="Z65" s="42"/>
      <c r="AA65" s="42"/>
      <c r="AB65" s="42"/>
      <c r="AC65" s="42"/>
      <c r="AD65" s="42"/>
      <c r="AE65" s="39"/>
    </row>
    <row r="66" spans="2:31" ht="12.75" customHeight="1">
      <c r="B66" s="120" t="s">
        <v>44</v>
      </c>
      <c r="C66" s="121">
        <v>1062.2</v>
      </c>
      <c r="D66" s="121">
        <v>1378.1</v>
      </c>
      <c r="E66" s="121">
        <v>2115.5</v>
      </c>
      <c r="F66" s="121">
        <v>2563.5</v>
      </c>
      <c r="G66" s="121">
        <v>2346.3000000000002</v>
      </c>
      <c r="H66" s="121">
        <v>3498.5</v>
      </c>
      <c r="J66" s="82"/>
      <c r="K66" s="82"/>
      <c r="L66" s="82"/>
      <c r="M66" s="32">
        <f t="shared" ref="M66" si="100">G66</f>
        <v>2346.3000000000002</v>
      </c>
      <c r="N66" s="82"/>
      <c r="O66" s="82"/>
      <c r="P66" s="82"/>
      <c r="Q66" s="32">
        <f t="shared" ref="Q66" si="101">H66</f>
        <v>3498.5</v>
      </c>
      <c r="R66" s="82"/>
      <c r="S66" s="82"/>
      <c r="T66" s="82"/>
      <c r="V66" s="97">
        <f t="shared" ref="V66:AB69" si="102">M66</f>
        <v>2346.3000000000002</v>
      </c>
      <c r="W66" s="97">
        <f t="shared" si="102"/>
        <v>0</v>
      </c>
      <c r="X66" s="97">
        <f t="shared" si="102"/>
        <v>0</v>
      </c>
      <c r="Y66" s="97">
        <f t="shared" si="102"/>
        <v>0</v>
      </c>
      <c r="Z66" s="97">
        <f t="shared" si="102"/>
        <v>3498.5</v>
      </c>
      <c r="AA66" s="97">
        <f t="shared" si="102"/>
        <v>0</v>
      </c>
      <c r="AB66" s="97">
        <f t="shared" si="102"/>
        <v>0</v>
      </c>
      <c r="AC66" s="97">
        <f>T66</f>
        <v>0</v>
      </c>
      <c r="AD66" s="11"/>
      <c r="AE66" s="75" t="e">
        <f t="shared" ref="AE66:AE70" si="103">SUM(AC66/Y66)-1</f>
        <v>#DIV/0!</v>
      </c>
    </row>
    <row r="67" spans="2:31" ht="12.75" customHeight="1">
      <c r="B67" s="120" t="s">
        <v>165</v>
      </c>
      <c r="C67" s="121">
        <v>0</v>
      </c>
      <c r="D67" s="121">
        <v>15.4</v>
      </c>
      <c r="E67" s="121">
        <v>509.1</v>
      </c>
      <c r="F67" s="121">
        <v>746.2</v>
      </c>
      <c r="G67" s="121">
        <v>0.1</v>
      </c>
      <c r="H67" s="121">
        <v>1010.3</v>
      </c>
      <c r="J67" s="82"/>
      <c r="K67" s="82"/>
      <c r="L67" s="82"/>
      <c r="M67" s="32">
        <f t="shared" ref="M67:M69" si="104">G67</f>
        <v>0.1</v>
      </c>
      <c r="N67" s="82"/>
      <c r="O67" s="82"/>
      <c r="P67" s="82"/>
      <c r="Q67" s="32">
        <f t="shared" ref="Q67:Q69" si="105">H67</f>
        <v>1010.3</v>
      </c>
      <c r="R67" s="82"/>
      <c r="S67" s="82"/>
      <c r="T67" s="82"/>
      <c r="V67" s="97">
        <f t="shared" si="102"/>
        <v>0.1</v>
      </c>
      <c r="W67" s="97">
        <f t="shared" si="102"/>
        <v>0</v>
      </c>
      <c r="X67" s="97">
        <f t="shared" si="102"/>
        <v>0</v>
      </c>
      <c r="Y67" s="97">
        <f t="shared" si="102"/>
        <v>0</v>
      </c>
      <c r="Z67" s="97">
        <f t="shared" si="102"/>
        <v>1010.3</v>
      </c>
      <c r="AA67" s="97">
        <f t="shared" si="102"/>
        <v>0</v>
      </c>
      <c r="AB67" s="97">
        <f t="shared" si="102"/>
        <v>0</v>
      </c>
      <c r="AC67" s="97">
        <f>T67</f>
        <v>0</v>
      </c>
      <c r="AD67" s="11"/>
      <c r="AE67" s="75" t="e">
        <f t="shared" si="103"/>
        <v>#DIV/0!</v>
      </c>
    </row>
    <row r="68" spans="2:31" ht="12.75" customHeight="1">
      <c r="B68" s="120" t="s">
        <v>166</v>
      </c>
      <c r="C68" s="121">
        <v>2526.4</v>
      </c>
      <c r="D68" s="121">
        <v>3954.2</v>
      </c>
      <c r="E68" s="121">
        <v>7935.2</v>
      </c>
      <c r="F68" s="121">
        <v>12481</v>
      </c>
      <c r="G68" s="121">
        <v>11441</v>
      </c>
      <c r="H68" s="121">
        <v>12570.8</v>
      </c>
      <c r="J68" s="82"/>
      <c r="K68" s="82"/>
      <c r="L68" s="82"/>
      <c r="M68" s="32">
        <f t="shared" ref="M68" si="106">G68</f>
        <v>11441</v>
      </c>
      <c r="N68" s="82"/>
      <c r="O68" s="82"/>
      <c r="P68" s="82"/>
      <c r="Q68" s="32">
        <f t="shared" ref="Q68" si="107">H68</f>
        <v>12570.8</v>
      </c>
      <c r="R68" s="82"/>
      <c r="S68" s="82"/>
      <c r="T68" s="82"/>
      <c r="V68" s="97">
        <f t="shared" ref="V68" si="108">M68</f>
        <v>11441</v>
      </c>
      <c r="W68" s="97">
        <f t="shared" ref="W68" si="109">N68</f>
        <v>0</v>
      </c>
      <c r="X68" s="97">
        <f t="shared" ref="X68" si="110">O68</f>
        <v>0</v>
      </c>
      <c r="Y68" s="97">
        <f t="shared" ref="Y68" si="111">P68</f>
        <v>0</v>
      </c>
      <c r="Z68" s="97">
        <f t="shared" ref="Z68" si="112">Q68</f>
        <v>12570.8</v>
      </c>
      <c r="AA68" s="97">
        <f t="shared" ref="AA68" si="113">R68</f>
        <v>0</v>
      </c>
      <c r="AB68" s="97">
        <f t="shared" ref="AB68" si="114">S68</f>
        <v>0</v>
      </c>
      <c r="AC68" s="97">
        <f>T68</f>
        <v>0</v>
      </c>
      <c r="AD68" s="11"/>
      <c r="AE68" s="75" t="e">
        <f t="shared" ref="AE68" si="115">SUM(AC68/Y68)-1</f>
        <v>#DIV/0!</v>
      </c>
    </row>
    <row r="69" spans="2:31" ht="12.75" customHeight="1">
      <c r="B69" s="120" t="s">
        <v>167</v>
      </c>
      <c r="C69" s="121">
        <v>1039.9000000000001</v>
      </c>
      <c r="D69" s="121">
        <v>1146</v>
      </c>
      <c r="E69" s="121">
        <v>1435.5</v>
      </c>
      <c r="F69" s="121">
        <v>1656.6</v>
      </c>
      <c r="G69" s="121">
        <v>2177.4</v>
      </c>
      <c r="H69" s="121">
        <v>2686.6000000000004</v>
      </c>
      <c r="J69" s="82"/>
      <c r="K69" s="82"/>
      <c r="L69" s="82"/>
      <c r="M69" s="32">
        <f t="shared" si="104"/>
        <v>2177.4</v>
      </c>
      <c r="N69" s="82"/>
      <c r="O69" s="82"/>
      <c r="P69" s="82"/>
      <c r="Q69" s="32">
        <f t="shared" si="105"/>
        <v>2686.6000000000004</v>
      </c>
      <c r="R69" s="82"/>
      <c r="S69" s="82"/>
      <c r="T69" s="82"/>
      <c r="V69" s="97">
        <f t="shared" si="102"/>
        <v>2177.4</v>
      </c>
      <c r="W69" s="97">
        <f t="shared" si="102"/>
        <v>0</v>
      </c>
      <c r="X69" s="97">
        <f t="shared" si="102"/>
        <v>0</v>
      </c>
      <c r="Y69" s="97">
        <f t="shared" si="102"/>
        <v>0</v>
      </c>
      <c r="Z69" s="97">
        <f t="shared" si="102"/>
        <v>2686.6000000000004</v>
      </c>
      <c r="AA69" s="97">
        <f t="shared" si="102"/>
        <v>0</v>
      </c>
      <c r="AB69" s="97">
        <f t="shared" si="102"/>
        <v>0</v>
      </c>
      <c r="AC69" s="97">
        <f>T69</f>
        <v>0</v>
      </c>
      <c r="AD69" s="11"/>
      <c r="AE69" s="75" t="e">
        <f t="shared" si="103"/>
        <v>#DIV/0!</v>
      </c>
    </row>
    <row r="70" spans="2:31" ht="12.75" customHeight="1">
      <c r="B70" s="25" t="s">
        <v>17</v>
      </c>
      <c r="C70" s="26">
        <f>SUM(C66:C69)</f>
        <v>4628.5</v>
      </c>
      <c r="D70" s="26">
        <f>SUM(D66:D69)</f>
        <v>6493.7</v>
      </c>
      <c r="E70" s="26">
        <f>SUM(E66:E69)</f>
        <v>11995.3</v>
      </c>
      <c r="F70" s="26">
        <f>SUM(F66:F69)</f>
        <v>17447.3</v>
      </c>
      <c r="G70" s="26">
        <f>SUM(G66:G69)</f>
        <v>15964.8</v>
      </c>
      <c r="H70" s="26">
        <f>SUM(H66:H69)</f>
        <v>19766.199999999997</v>
      </c>
      <c r="J70" s="26">
        <f>SUM(J66:J69)</f>
        <v>0</v>
      </c>
      <c r="K70" s="26">
        <f>SUM(K66:K69)</f>
        <v>0</v>
      </c>
      <c r="L70" s="26">
        <f>SUM(L66:L69)</f>
        <v>0</v>
      </c>
      <c r="M70" s="26">
        <f>SUM(M66:M69)</f>
        <v>15964.8</v>
      </c>
      <c r="N70" s="26">
        <f>SUM(N66:N69)</f>
        <v>0</v>
      </c>
      <c r="O70" s="26">
        <f>SUM(O66:O69)</f>
        <v>0</v>
      </c>
      <c r="P70" s="26">
        <f>SUM(P66:P69)</f>
        <v>0</v>
      </c>
      <c r="Q70" s="26">
        <f>SUM(Q66:Q69)</f>
        <v>19766.199999999997</v>
      </c>
      <c r="R70" s="26">
        <f>SUM(R66:R69)</f>
        <v>0</v>
      </c>
      <c r="S70" s="26">
        <f>SUM(S66:S69)</f>
        <v>0</v>
      </c>
      <c r="T70" s="26">
        <f>SUM(T66:T69)</f>
        <v>0</v>
      </c>
      <c r="U70" s="48"/>
      <c r="V70" s="26">
        <f>SUM(V66:V69)</f>
        <v>15964.8</v>
      </c>
      <c r="W70" s="26">
        <f>SUM(W66:W69)</f>
        <v>0</v>
      </c>
      <c r="X70" s="26">
        <f>SUM(X66:X69)</f>
        <v>0</v>
      </c>
      <c r="Y70" s="26">
        <f>SUM(Y66:Y69)</f>
        <v>0</v>
      </c>
      <c r="Z70" s="26">
        <f>SUM(Z66:Z69)</f>
        <v>19766.199999999997</v>
      </c>
      <c r="AA70" s="26">
        <f>SUM(AA66:AA69)</f>
        <v>0</v>
      </c>
      <c r="AB70" s="26">
        <f>SUM(AB66:AB69)</f>
        <v>0</v>
      </c>
      <c r="AC70" s="26">
        <f>SUM(AC66:AC69)</f>
        <v>0</v>
      </c>
      <c r="AD70" s="42"/>
      <c r="AE70" s="76" t="e">
        <f t="shared" si="103"/>
        <v>#DIV/0!</v>
      </c>
    </row>
    <row r="71" spans="2:31" ht="5.0999999999999996" customHeight="1">
      <c r="B71" s="25"/>
      <c r="C71" s="50"/>
      <c r="D71" s="50"/>
      <c r="E71" s="50"/>
      <c r="F71" s="50"/>
      <c r="G71" s="41"/>
      <c r="H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V71" s="42"/>
      <c r="W71" s="42"/>
      <c r="X71" s="42"/>
      <c r="Y71" s="42"/>
      <c r="Z71" s="42"/>
      <c r="AA71" s="42"/>
      <c r="AB71" s="42"/>
      <c r="AC71" s="42"/>
      <c r="AD71" s="42"/>
      <c r="AE71" s="39"/>
    </row>
    <row r="72" spans="2:31">
      <c r="B72" s="78" t="s">
        <v>80</v>
      </c>
      <c r="C72" s="50"/>
      <c r="D72" s="50"/>
      <c r="E72" s="50"/>
      <c r="F72" s="50"/>
      <c r="G72" s="41"/>
      <c r="H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V72" s="42"/>
      <c r="W72" s="42"/>
      <c r="X72" s="42"/>
      <c r="Y72" s="42"/>
      <c r="Z72" s="42"/>
      <c r="AA72" s="42"/>
      <c r="AB72" s="42"/>
      <c r="AC72" s="42"/>
      <c r="AD72" s="42"/>
      <c r="AE72" s="39"/>
    </row>
    <row r="73" spans="2:31" ht="12.75" customHeight="1">
      <c r="B73" s="120" t="s">
        <v>168</v>
      </c>
      <c r="C73" s="121">
        <v>3108.3</v>
      </c>
      <c r="D73" s="121">
        <v>4662.8</v>
      </c>
      <c r="E73" s="121">
        <v>4075</v>
      </c>
      <c r="F73" s="121">
        <v>3514.2</v>
      </c>
      <c r="G73" s="121">
        <v>4631.5</v>
      </c>
      <c r="H73" s="121">
        <v>3677.3</v>
      </c>
      <c r="I73" s="51"/>
      <c r="J73" s="82"/>
      <c r="K73" s="82"/>
      <c r="L73" s="82"/>
      <c r="M73" s="32">
        <f t="shared" ref="M73:M74" si="116">G73</f>
        <v>4631.5</v>
      </c>
      <c r="N73" s="82"/>
      <c r="O73" s="82"/>
      <c r="P73" s="82"/>
      <c r="Q73" s="32">
        <f t="shared" ref="Q73:Q74" si="117">H73</f>
        <v>3677.3</v>
      </c>
      <c r="R73" s="82"/>
      <c r="S73" s="82"/>
      <c r="T73" s="82"/>
      <c r="U73" s="121"/>
      <c r="V73" s="97">
        <f t="shared" ref="V73:AB74" si="118">M73</f>
        <v>4631.5</v>
      </c>
      <c r="W73" s="97">
        <f t="shared" si="118"/>
        <v>0</v>
      </c>
      <c r="X73" s="97">
        <f t="shared" si="118"/>
        <v>0</v>
      </c>
      <c r="Y73" s="97">
        <f t="shared" si="118"/>
        <v>0</v>
      </c>
      <c r="Z73" s="97">
        <f t="shared" si="118"/>
        <v>3677.3</v>
      </c>
      <c r="AA73" s="97">
        <f t="shared" si="118"/>
        <v>0</v>
      </c>
      <c r="AB73" s="97">
        <f t="shared" si="118"/>
        <v>0</v>
      </c>
      <c r="AC73" s="97">
        <f>T73</f>
        <v>0</v>
      </c>
      <c r="AD73" s="42"/>
      <c r="AE73" s="75" t="e">
        <f t="shared" ref="AE73:AE81" si="119">SUM(AC73/Y73)-1</f>
        <v>#DIV/0!</v>
      </c>
    </row>
    <row r="74" spans="2:31" ht="12.75" customHeight="1">
      <c r="B74" s="120" t="s">
        <v>166</v>
      </c>
      <c r="C74" s="121">
        <v>1759.6</v>
      </c>
      <c r="D74" s="121">
        <v>1639.9</v>
      </c>
      <c r="E74" s="121">
        <v>3225.7</v>
      </c>
      <c r="F74" s="121">
        <v>5269.9</v>
      </c>
      <c r="G74" s="121">
        <v>4825.5</v>
      </c>
      <c r="H74" s="121">
        <v>5625.4</v>
      </c>
      <c r="I74" s="51"/>
      <c r="J74" s="82"/>
      <c r="K74" s="82"/>
      <c r="L74" s="82"/>
      <c r="M74" s="32">
        <f t="shared" si="116"/>
        <v>4825.5</v>
      </c>
      <c r="N74" s="82"/>
      <c r="O74" s="82"/>
      <c r="P74" s="82"/>
      <c r="Q74" s="32">
        <f t="shared" si="117"/>
        <v>5625.4</v>
      </c>
      <c r="R74" s="82"/>
      <c r="S74" s="82"/>
      <c r="T74" s="82"/>
      <c r="U74" s="121"/>
      <c r="V74" s="97">
        <f t="shared" si="118"/>
        <v>4825.5</v>
      </c>
      <c r="W74" s="97">
        <f t="shared" si="118"/>
        <v>0</v>
      </c>
      <c r="X74" s="97">
        <f t="shared" si="118"/>
        <v>0</v>
      </c>
      <c r="Y74" s="97">
        <f t="shared" si="118"/>
        <v>0</v>
      </c>
      <c r="Z74" s="97">
        <f t="shared" si="118"/>
        <v>5625.4</v>
      </c>
      <c r="AA74" s="97">
        <f t="shared" si="118"/>
        <v>0</v>
      </c>
      <c r="AB74" s="97">
        <f t="shared" si="118"/>
        <v>0</v>
      </c>
      <c r="AC74" s="97">
        <f>T74</f>
        <v>0</v>
      </c>
      <c r="AD74" s="42"/>
      <c r="AE74" s="75" t="e">
        <f t="shared" si="119"/>
        <v>#DIV/0!</v>
      </c>
    </row>
    <row r="75" spans="2:31" ht="12.75" customHeight="1">
      <c r="B75" s="120" t="s">
        <v>169</v>
      </c>
      <c r="C75" s="121">
        <v>241</v>
      </c>
      <c r="D75" s="121">
        <v>257.5</v>
      </c>
      <c r="E75" s="121">
        <v>251.1</v>
      </c>
      <c r="F75" s="121">
        <v>454.9</v>
      </c>
      <c r="G75" s="121">
        <v>401.09999999999997</v>
      </c>
      <c r="H75" s="121">
        <v>459.5</v>
      </c>
      <c r="I75" s="51"/>
      <c r="J75" s="82"/>
      <c r="K75" s="82"/>
      <c r="L75" s="82"/>
      <c r="M75" s="32">
        <f t="shared" ref="M75" si="120">G75</f>
        <v>401.09999999999997</v>
      </c>
      <c r="N75" s="82"/>
      <c r="O75" s="82"/>
      <c r="P75" s="82"/>
      <c r="Q75" s="32">
        <f t="shared" ref="Q75" si="121">H75</f>
        <v>459.5</v>
      </c>
      <c r="R75" s="82"/>
      <c r="S75" s="82"/>
      <c r="T75" s="82"/>
      <c r="U75" s="121"/>
      <c r="V75" s="97">
        <f t="shared" ref="V75" si="122">M75</f>
        <v>401.09999999999997</v>
      </c>
      <c r="W75" s="97">
        <f t="shared" ref="W75" si="123">N75</f>
        <v>0</v>
      </c>
      <c r="X75" s="97">
        <f t="shared" ref="X75" si="124">O75</f>
        <v>0</v>
      </c>
      <c r="Y75" s="97">
        <f t="shared" ref="Y75" si="125">P75</f>
        <v>0</v>
      </c>
      <c r="Z75" s="97">
        <f t="shared" ref="Z75" si="126">Q75</f>
        <v>459.5</v>
      </c>
      <c r="AA75" s="97">
        <f t="shared" ref="AA75" si="127">R75</f>
        <v>0</v>
      </c>
      <c r="AB75" s="97">
        <f t="shared" ref="AB75" si="128">S75</f>
        <v>0</v>
      </c>
      <c r="AC75" s="97">
        <f>T75</f>
        <v>0</v>
      </c>
      <c r="AD75" s="42"/>
      <c r="AE75" s="75" t="e">
        <f t="shared" ref="AE75" si="129">SUM(AC75/Y75)-1</f>
        <v>#DIV/0!</v>
      </c>
    </row>
    <row r="76" spans="2:31" ht="12.75" customHeight="1">
      <c r="B76" s="13" t="s">
        <v>15</v>
      </c>
      <c r="C76" s="14">
        <f>SUM(C73:C75)+C70</f>
        <v>9737.4</v>
      </c>
      <c r="D76" s="14">
        <f>SUM(D73:D75)+D70</f>
        <v>13053.900000000001</v>
      </c>
      <c r="E76" s="14">
        <f>SUM(E73:E75)+E70</f>
        <v>19547.099999999999</v>
      </c>
      <c r="F76" s="14">
        <f>SUM(F73:F75)+F70</f>
        <v>26686.299999999996</v>
      </c>
      <c r="G76" s="14">
        <f>SUM(G73:G75)+G70</f>
        <v>25822.9</v>
      </c>
      <c r="H76" s="14">
        <f>SUM(H73:H75)+H70</f>
        <v>29528.399999999998</v>
      </c>
      <c r="J76" s="14">
        <f>SUM(J73:J75)+J70</f>
        <v>0</v>
      </c>
      <c r="K76" s="14">
        <f>SUM(K73:K75)+K70</f>
        <v>0</v>
      </c>
      <c r="L76" s="14">
        <f>SUM(L73:L75)+L70</f>
        <v>0</v>
      </c>
      <c r="M76" s="14">
        <f>SUM(M73:M75)+M70</f>
        <v>25822.9</v>
      </c>
      <c r="N76" s="14">
        <f>SUM(N73:N75)+N70</f>
        <v>0</v>
      </c>
      <c r="O76" s="14">
        <f>SUM(O73:O75)+O70</f>
        <v>0</v>
      </c>
      <c r="P76" s="14">
        <f>SUM(P73:P75)+P70</f>
        <v>0</v>
      </c>
      <c r="Q76" s="14">
        <f>SUM(Q73:Q75)+Q70</f>
        <v>29528.399999999998</v>
      </c>
      <c r="R76" s="14">
        <f>SUM(R73:R75)+R70</f>
        <v>0</v>
      </c>
      <c r="S76" s="14">
        <f>SUM(S73:S75)+S70</f>
        <v>0</v>
      </c>
      <c r="T76" s="14">
        <f>SUM(T73:T75)+T70</f>
        <v>0</v>
      </c>
      <c r="V76" s="14">
        <f>SUM(V73:V75)+V70</f>
        <v>25822.9</v>
      </c>
      <c r="W76" s="14">
        <f>SUM(W73:W75)+W70</f>
        <v>0</v>
      </c>
      <c r="X76" s="14">
        <f>SUM(X73:X75)+X70</f>
        <v>0</v>
      </c>
      <c r="Y76" s="14">
        <f>SUM(Y73:Y75)+Y70</f>
        <v>0</v>
      </c>
      <c r="Z76" s="14">
        <f>SUM(Z73:Z75)+Z70</f>
        <v>29528.399999999998</v>
      </c>
      <c r="AA76" s="14">
        <f>SUM(AA73:AA75)+AA70</f>
        <v>0</v>
      </c>
      <c r="AB76" s="14">
        <f>SUM(AB73:AB75)+AB70</f>
        <v>0</v>
      </c>
      <c r="AC76" s="14">
        <f>SUM(AC73:AC75)+AC70</f>
        <v>0</v>
      </c>
      <c r="AD76" s="42"/>
      <c r="AE76" s="76" t="e">
        <f t="shared" si="119"/>
        <v>#DIV/0!</v>
      </c>
    </row>
    <row r="77" spans="2:31" ht="5.0999999999999996" customHeight="1">
      <c r="B77" s="25"/>
      <c r="C77" s="49"/>
      <c r="D77" s="49"/>
      <c r="E77" s="49"/>
      <c r="F77" s="49"/>
      <c r="G77" s="41"/>
      <c r="H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V77" s="42"/>
      <c r="W77" s="42"/>
      <c r="X77" s="42"/>
      <c r="Y77" s="42"/>
      <c r="Z77" s="42"/>
      <c r="AA77" s="42"/>
      <c r="AB77" s="42"/>
      <c r="AC77" s="42"/>
      <c r="AD77" s="42"/>
      <c r="AE77" s="39"/>
    </row>
    <row r="78" spans="2:31" ht="12.75" customHeight="1">
      <c r="B78" s="9" t="s">
        <v>170</v>
      </c>
      <c r="C78" s="82">
        <v>7362</v>
      </c>
      <c r="D78" s="82">
        <v>8743.4000000000015</v>
      </c>
      <c r="E78" s="82">
        <v>10180.799999999999</v>
      </c>
      <c r="F78" s="82">
        <v>8984.1</v>
      </c>
      <c r="G78" s="82">
        <v>12706.7</v>
      </c>
      <c r="H78" s="82">
        <v>16855.300000000003</v>
      </c>
      <c r="I78" s="32"/>
      <c r="J78" s="82"/>
      <c r="K78" s="82"/>
      <c r="L78" s="82"/>
      <c r="M78" s="32">
        <f t="shared" ref="M78:M79" si="130">G78</f>
        <v>12706.7</v>
      </c>
      <c r="N78" s="82"/>
      <c r="O78" s="82"/>
      <c r="P78" s="82"/>
      <c r="Q78" s="32">
        <f t="shared" ref="Q78:Q79" si="131">H78</f>
        <v>16855.300000000003</v>
      </c>
      <c r="R78" s="82"/>
      <c r="S78" s="82"/>
      <c r="T78" s="82"/>
      <c r="V78" s="32">
        <f t="shared" ref="V78:AB79" si="132">M78</f>
        <v>12706.7</v>
      </c>
      <c r="W78" s="32">
        <f t="shared" si="132"/>
        <v>0</v>
      </c>
      <c r="X78" s="32">
        <f t="shared" si="132"/>
        <v>0</v>
      </c>
      <c r="Y78" s="32">
        <f t="shared" si="132"/>
        <v>0</v>
      </c>
      <c r="Z78" s="32">
        <f t="shared" si="132"/>
        <v>16855.300000000003</v>
      </c>
      <c r="AA78" s="32">
        <f t="shared" si="132"/>
        <v>0</v>
      </c>
      <c r="AB78" s="32">
        <f t="shared" si="132"/>
        <v>0</v>
      </c>
      <c r="AC78" s="32">
        <f>T78</f>
        <v>0</v>
      </c>
      <c r="AD78" s="11"/>
      <c r="AE78" s="75" t="e">
        <f t="shared" si="119"/>
        <v>#DIV/0!</v>
      </c>
    </row>
    <row r="79" spans="2:31" ht="12.75" customHeight="1">
      <c r="B79" s="9" t="s">
        <v>171</v>
      </c>
      <c r="C79" s="82">
        <v>6514.9</v>
      </c>
      <c r="D79" s="82">
        <v>6557.5</v>
      </c>
      <c r="E79" s="82">
        <v>1663</v>
      </c>
      <c r="F79" s="82">
        <v>2301.9</v>
      </c>
      <c r="G79" s="82">
        <v>3502.8</v>
      </c>
      <c r="H79" s="82">
        <v>5166.6000000000004</v>
      </c>
      <c r="I79" s="32"/>
      <c r="J79" s="82"/>
      <c r="K79" s="82"/>
      <c r="L79" s="82"/>
      <c r="M79" s="32">
        <f t="shared" si="130"/>
        <v>3502.8</v>
      </c>
      <c r="N79" s="82"/>
      <c r="O79" s="82"/>
      <c r="P79" s="82"/>
      <c r="Q79" s="32">
        <f t="shared" si="131"/>
        <v>5166.6000000000004</v>
      </c>
      <c r="R79" s="82"/>
      <c r="S79" s="82"/>
      <c r="T79" s="82"/>
      <c r="V79" s="32">
        <f t="shared" si="132"/>
        <v>3502.8</v>
      </c>
      <c r="W79" s="32">
        <f t="shared" si="132"/>
        <v>0</v>
      </c>
      <c r="X79" s="32">
        <f t="shared" si="132"/>
        <v>0</v>
      </c>
      <c r="Y79" s="32">
        <f t="shared" si="132"/>
        <v>0</v>
      </c>
      <c r="Z79" s="32">
        <f t="shared" si="132"/>
        <v>5166.6000000000004</v>
      </c>
      <c r="AA79" s="32">
        <f t="shared" si="132"/>
        <v>0</v>
      </c>
      <c r="AB79" s="32">
        <f t="shared" si="132"/>
        <v>0</v>
      </c>
      <c r="AC79" s="32">
        <f>T79</f>
        <v>0</v>
      </c>
      <c r="AD79" s="11"/>
      <c r="AE79" s="75" t="e">
        <f t="shared" si="119"/>
        <v>#DIV/0!</v>
      </c>
    </row>
    <row r="80" spans="2:31" ht="12.75" customHeight="1">
      <c r="B80" s="13" t="s">
        <v>14</v>
      </c>
      <c r="C80" s="14">
        <f>SUM(C78:C79)</f>
        <v>13876.9</v>
      </c>
      <c r="D80" s="14">
        <f>SUM(D78:D79)</f>
        <v>15300.900000000001</v>
      </c>
      <c r="E80" s="14">
        <f>SUM(E78:E79)</f>
        <v>11843.8</v>
      </c>
      <c r="F80" s="14">
        <f>SUM(F78:F79)</f>
        <v>11286</v>
      </c>
      <c r="G80" s="14">
        <f>SUM(G78:G79)</f>
        <v>16209.5</v>
      </c>
      <c r="H80" s="14">
        <f>SUM(H78:H79)</f>
        <v>22021.9</v>
      </c>
      <c r="I80" s="52"/>
      <c r="J80" s="14">
        <f>SUM(J78:J79)</f>
        <v>0</v>
      </c>
      <c r="K80" s="14">
        <f>SUM(K78:K79)</f>
        <v>0</v>
      </c>
      <c r="L80" s="14">
        <f>SUM(L78:L79)</f>
        <v>0</v>
      </c>
      <c r="M80" s="14">
        <f>SUM(M78:M79)</f>
        <v>16209.5</v>
      </c>
      <c r="N80" s="14">
        <f>SUM(N78:N79)</f>
        <v>0</v>
      </c>
      <c r="O80" s="14">
        <f>SUM(O78:O79)</f>
        <v>0</v>
      </c>
      <c r="P80" s="14">
        <f>SUM(P78:P79)</f>
        <v>0</v>
      </c>
      <c r="Q80" s="14">
        <f>SUM(Q78:Q79)</f>
        <v>22021.9</v>
      </c>
      <c r="R80" s="14">
        <f>SUM(R78:R79)</f>
        <v>0</v>
      </c>
      <c r="S80" s="14">
        <f>SUM(S78:S79)</f>
        <v>0</v>
      </c>
      <c r="T80" s="14">
        <f>SUM(T78:T79)</f>
        <v>0</v>
      </c>
      <c r="V80" s="14">
        <f>SUM(V78:V79)</f>
        <v>16209.5</v>
      </c>
      <c r="W80" s="14">
        <f>SUM(W78:W79)</f>
        <v>0</v>
      </c>
      <c r="X80" s="14">
        <f>SUM(X78:X79)</f>
        <v>0</v>
      </c>
      <c r="Y80" s="14">
        <f>SUM(Y78:Y79)</f>
        <v>0</v>
      </c>
      <c r="Z80" s="14">
        <f>SUM(Z78:Z79)</f>
        <v>22021.9</v>
      </c>
      <c r="AA80" s="14">
        <f>SUM(AA78:AA79)</f>
        <v>0</v>
      </c>
      <c r="AB80" s="14">
        <f>SUM(AB78:AB79)</f>
        <v>0</v>
      </c>
      <c r="AC80" s="14">
        <f>SUM(AC78:AC79)</f>
        <v>0</v>
      </c>
      <c r="AD80" s="42"/>
      <c r="AE80" s="75" t="e">
        <f t="shared" si="119"/>
        <v>#DIV/0!</v>
      </c>
    </row>
    <row r="81" spans="1:31" ht="12.75" customHeight="1">
      <c r="B81" s="25" t="s">
        <v>49</v>
      </c>
      <c r="C81" s="32">
        <f>SUM(C80+C76)</f>
        <v>23614.3</v>
      </c>
      <c r="D81" s="32">
        <f>SUM(D80+D76)</f>
        <v>28354.800000000003</v>
      </c>
      <c r="E81" s="32">
        <f>SUM(E80+E76)</f>
        <v>31390.899999999998</v>
      </c>
      <c r="F81" s="32">
        <f>SUM(F80+F76)</f>
        <v>37972.299999999996</v>
      </c>
      <c r="G81" s="32">
        <f>SUM(G80+G76)</f>
        <v>42032.4</v>
      </c>
      <c r="H81" s="32">
        <f>SUM(H80+H76)</f>
        <v>51550.3</v>
      </c>
      <c r="I81" s="32"/>
      <c r="J81" s="32">
        <f>SUM(J80+J76)</f>
        <v>0</v>
      </c>
      <c r="K81" s="32">
        <f>SUM(K80+K76)</f>
        <v>0</v>
      </c>
      <c r="L81" s="32">
        <f>SUM(L80+L76)</f>
        <v>0</v>
      </c>
      <c r="M81" s="32">
        <f>SUM(M80+M76)</f>
        <v>42032.4</v>
      </c>
      <c r="N81" s="32">
        <f>SUM(N80+N76)</f>
        <v>0</v>
      </c>
      <c r="O81" s="32">
        <f>SUM(O80+O76)</f>
        <v>0</v>
      </c>
      <c r="P81" s="32">
        <f>SUM(P80+P76)</f>
        <v>0</v>
      </c>
      <c r="Q81" s="32">
        <f>SUM(Q80+Q76)</f>
        <v>51550.3</v>
      </c>
      <c r="R81" s="32">
        <f>SUM(R80+R76)</f>
        <v>0</v>
      </c>
      <c r="S81" s="32">
        <f>SUM(S80+S76)</f>
        <v>0</v>
      </c>
      <c r="T81" s="32">
        <f>SUM(T80+T76)</f>
        <v>0</v>
      </c>
      <c r="U81" s="32"/>
      <c r="V81" s="32">
        <f>SUM(V80+V76)</f>
        <v>42032.4</v>
      </c>
      <c r="W81" s="32">
        <f>SUM(W80+W76)</f>
        <v>0</v>
      </c>
      <c r="X81" s="32">
        <f>SUM(X80+X76)</f>
        <v>0</v>
      </c>
      <c r="Y81" s="32">
        <f>SUM(Y80+Y76)</f>
        <v>0</v>
      </c>
      <c r="Z81" s="32">
        <f>SUM(Z80+Z76)</f>
        <v>51550.3</v>
      </c>
      <c r="AA81" s="32">
        <f>SUM(AA80+AA76)</f>
        <v>0</v>
      </c>
      <c r="AB81" s="32">
        <f>SUM(AB80+AB76)</f>
        <v>0</v>
      </c>
      <c r="AC81" s="32">
        <f>SUM(AC80+AC76)</f>
        <v>0</v>
      </c>
      <c r="AD81" s="11"/>
      <c r="AE81" s="76" t="e">
        <f t="shared" si="119"/>
        <v>#DIV/0!</v>
      </c>
    </row>
    <row r="82" spans="1:31" ht="5.0999999999999996" customHeight="1">
      <c r="B82" s="25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11"/>
    </row>
    <row r="83" spans="1:31" ht="12.75" customHeight="1">
      <c r="B83" s="140" t="s">
        <v>58</v>
      </c>
      <c r="C83" s="69">
        <f>C81-C63</f>
        <v>0</v>
      </c>
      <c r="D83" s="69">
        <f>D81-D63</f>
        <v>0</v>
      </c>
      <c r="E83" s="69">
        <f>E81-E63</f>
        <v>0</v>
      </c>
      <c r="F83" s="69">
        <f>F81-F63</f>
        <v>0</v>
      </c>
      <c r="G83" s="69">
        <f>G81-G63</f>
        <v>0</v>
      </c>
      <c r="H83" s="69">
        <f>H81-H63</f>
        <v>0</v>
      </c>
      <c r="I83" s="70"/>
      <c r="J83" s="69">
        <f>J81-J63</f>
        <v>0</v>
      </c>
      <c r="K83" s="69">
        <f>K81-K63</f>
        <v>0</v>
      </c>
      <c r="L83" s="69">
        <f>L81-L63</f>
        <v>0</v>
      </c>
      <c r="M83" s="69">
        <f>M81-M63</f>
        <v>0</v>
      </c>
      <c r="N83" s="69">
        <f>N81-N63</f>
        <v>0</v>
      </c>
      <c r="O83" s="69">
        <f>O81-O63</f>
        <v>0</v>
      </c>
      <c r="P83" s="69">
        <f>P81-P63</f>
        <v>0</v>
      </c>
      <c r="Q83" s="69">
        <f>Q81-Q63</f>
        <v>0</v>
      </c>
      <c r="R83" s="69">
        <f>R81-R63</f>
        <v>0</v>
      </c>
      <c r="S83" s="69">
        <f>S81-S63</f>
        <v>0</v>
      </c>
      <c r="T83" s="69">
        <f>T81-T63</f>
        <v>0</v>
      </c>
      <c r="U83" s="28"/>
      <c r="V83" s="69">
        <f>V81-V63</f>
        <v>0</v>
      </c>
      <c r="W83" s="69">
        <f>W81-W63</f>
        <v>0</v>
      </c>
      <c r="X83" s="69">
        <f>X81-X63</f>
        <v>0</v>
      </c>
      <c r="Y83" s="69">
        <f>Y81-Y63</f>
        <v>0</v>
      </c>
      <c r="Z83" s="69">
        <f>Z81-Z63</f>
        <v>0</v>
      </c>
      <c r="AA83" s="69">
        <f>AA81-AA63</f>
        <v>0</v>
      </c>
      <c r="AB83" s="69">
        <f>AB81-AB63</f>
        <v>0</v>
      </c>
      <c r="AC83" s="69">
        <f>AC81-AC63</f>
        <v>0</v>
      </c>
    </row>
    <row r="84" spans="1:31" ht="5.0999999999999996" customHeight="1" thickBot="1">
      <c r="B84" s="116"/>
      <c r="C84" s="117"/>
      <c r="D84" s="117"/>
      <c r="E84" s="117"/>
      <c r="F84" s="117"/>
      <c r="G84" s="117"/>
      <c r="H84" s="117"/>
      <c r="I84" s="118"/>
      <c r="J84" s="117"/>
      <c r="K84" s="117"/>
      <c r="L84" s="117"/>
      <c r="M84" s="117"/>
      <c r="N84" s="117"/>
      <c r="O84" s="117"/>
      <c r="P84" s="117"/>
      <c r="Q84" s="117"/>
      <c r="R84" s="117"/>
      <c r="S84" s="117"/>
      <c r="T84" s="117"/>
      <c r="U84" s="119"/>
      <c r="V84" s="117"/>
      <c r="W84" s="117"/>
      <c r="X84" s="117"/>
      <c r="Y84" s="117"/>
      <c r="Z84" s="117"/>
      <c r="AA84" s="117"/>
      <c r="AB84" s="117"/>
      <c r="AC84" s="117"/>
      <c r="AD84" s="73"/>
      <c r="AE84" s="73"/>
    </row>
    <row r="85" spans="1:31">
      <c r="B85" s="68"/>
      <c r="C85" s="53"/>
      <c r="D85" s="53"/>
      <c r="E85" s="53"/>
      <c r="F85" s="24"/>
      <c r="G85" s="24"/>
      <c r="H85" s="24"/>
      <c r="I85" s="53"/>
    </row>
    <row r="86" spans="1:31" ht="12.75" customHeight="1">
      <c r="A86" s="5" t="s">
        <v>16</v>
      </c>
      <c r="B86" s="98" t="s">
        <v>13</v>
      </c>
      <c r="C86" s="102"/>
      <c r="D86" s="102"/>
      <c r="E86" s="102"/>
      <c r="F86" s="102"/>
      <c r="G86" s="102"/>
      <c r="H86" s="102"/>
      <c r="I86" s="103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98"/>
      <c r="V86" s="102"/>
      <c r="W86" s="102"/>
      <c r="X86" s="102" t="s">
        <v>10</v>
      </c>
      <c r="Y86" s="102"/>
      <c r="Z86" s="102"/>
      <c r="AA86" s="102"/>
      <c r="AB86" s="102"/>
      <c r="AC86" s="102"/>
      <c r="AD86" s="103"/>
      <c r="AE86" s="155" t="s">
        <v>22</v>
      </c>
    </row>
    <row r="87" spans="1:31" ht="12.75" customHeight="1">
      <c r="B87" s="99" t="str">
        <f>B7</f>
        <v>Fiscal Period</v>
      </c>
      <c r="C87" s="104">
        <f>C7</f>
        <v>2019</v>
      </c>
      <c r="D87" s="104">
        <f>D7</f>
        <v>2020</v>
      </c>
      <c r="E87" s="104">
        <f>E7</f>
        <v>2021</v>
      </c>
      <c r="F87" s="104">
        <f>F7</f>
        <v>2022</v>
      </c>
      <c r="G87" s="104">
        <f>G7</f>
        <v>2023</v>
      </c>
      <c r="H87" s="104">
        <f>H7</f>
        <v>2024</v>
      </c>
      <c r="I87" s="103"/>
      <c r="J87" s="104" t="str">
        <f>J7</f>
        <v>1Q23</v>
      </c>
      <c r="K87" s="104" t="str">
        <f>K7</f>
        <v>2Q23</v>
      </c>
      <c r="L87" s="104" t="str">
        <f>L7</f>
        <v>3Q23</v>
      </c>
      <c r="M87" s="104" t="str">
        <f>M7</f>
        <v>4Q23</v>
      </c>
      <c r="N87" s="104" t="str">
        <f>N7</f>
        <v>1Q24</v>
      </c>
      <c r="O87" s="104" t="str">
        <f>O7</f>
        <v>2Q24</v>
      </c>
      <c r="P87" s="104" t="str">
        <f>P7</f>
        <v>3Q24</v>
      </c>
      <c r="Q87" s="104" t="str">
        <f>Q7</f>
        <v>4Q24</v>
      </c>
      <c r="R87" s="104" t="str">
        <f>R7</f>
        <v>1Q25</v>
      </c>
      <c r="S87" s="104" t="str">
        <f>S7</f>
        <v>2Q25</v>
      </c>
      <c r="T87" s="104" t="str">
        <f>T7</f>
        <v>3Q25</v>
      </c>
      <c r="U87" s="104"/>
      <c r="V87" s="104" t="str">
        <f>V7</f>
        <v>4Q23</v>
      </c>
      <c r="W87" s="104" t="str">
        <f>W7</f>
        <v>1Q24</v>
      </c>
      <c r="X87" s="104" t="str">
        <f>X7</f>
        <v>2Q24</v>
      </c>
      <c r="Y87" s="104" t="str">
        <f>Y7</f>
        <v>3Q24</v>
      </c>
      <c r="Z87" s="104" t="str">
        <f>Z7</f>
        <v>4Q24</v>
      </c>
      <c r="AA87" s="104" t="str">
        <f>AA7</f>
        <v>1Q25</v>
      </c>
      <c r="AB87" s="104" t="str">
        <f>AB7</f>
        <v>2Q25</v>
      </c>
      <c r="AC87" s="104" t="str">
        <f>AC7</f>
        <v>3Q25</v>
      </c>
      <c r="AD87" s="103"/>
      <c r="AE87" s="155"/>
    </row>
    <row r="88" spans="1:31" ht="12.75" customHeight="1">
      <c r="B88" s="99" t="str">
        <f>B8</f>
        <v>Fiscal Period End Date</v>
      </c>
      <c r="C88" s="105">
        <f>C8</f>
        <v>0</v>
      </c>
      <c r="D88" s="105">
        <f>D8</f>
        <v>0</v>
      </c>
      <c r="E88" s="105">
        <f>E8</f>
        <v>0</v>
      </c>
      <c r="F88" s="105">
        <f>F8</f>
        <v>0</v>
      </c>
      <c r="G88" s="105">
        <f>G8</f>
        <v>0</v>
      </c>
      <c r="H88" s="105">
        <f>H8</f>
        <v>0</v>
      </c>
      <c r="I88" s="103"/>
      <c r="J88" s="105">
        <f>J8</f>
        <v>45017</v>
      </c>
      <c r="K88" s="105">
        <f>K8</f>
        <v>45108</v>
      </c>
      <c r="L88" s="105">
        <f>L8</f>
        <v>45199</v>
      </c>
      <c r="M88" s="105">
        <f>M8</f>
        <v>0</v>
      </c>
      <c r="N88" s="105">
        <f>N8</f>
        <v>45381</v>
      </c>
      <c r="O88" s="105">
        <f>O8</f>
        <v>45472</v>
      </c>
      <c r="P88" s="105">
        <f>P8</f>
        <v>45563</v>
      </c>
      <c r="Q88" s="105">
        <f>Q8</f>
        <v>0</v>
      </c>
      <c r="R88" s="105">
        <f>R8</f>
        <v>45745</v>
      </c>
      <c r="S88" s="105">
        <f>S8</f>
        <v>45836</v>
      </c>
      <c r="T88" s="105">
        <f>T8</f>
        <v>45927</v>
      </c>
      <c r="U88" s="105"/>
      <c r="V88" s="105">
        <f>V8</f>
        <v>0</v>
      </c>
      <c r="W88" s="105">
        <f>W8</f>
        <v>45381</v>
      </c>
      <c r="X88" s="105">
        <f>X8</f>
        <v>45472</v>
      </c>
      <c r="Y88" s="105">
        <f>Y8</f>
        <v>45563</v>
      </c>
      <c r="Z88" s="105">
        <f>Z8</f>
        <v>0</v>
      </c>
      <c r="AA88" s="105">
        <f>AA8</f>
        <v>45745</v>
      </c>
      <c r="AB88" s="105">
        <f>AB8</f>
        <v>45836</v>
      </c>
      <c r="AC88" s="105">
        <f>AC8</f>
        <v>45927</v>
      </c>
      <c r="AD88" s="103"/>
      <c r="AE88" s="155"/>
    </row>
    <row r="89" spans="1:31" ht="5.0999999999999996" customHeight="1">
      <c r="B89" s="54"/>
      <c r="C89" s="47"/>
      <c r="D89" s="47"/>
      <c r="E89" s="47"/>
      <c r="F89" s="47"/>
      <c r="G89" s="47"/>
      <c r="H89" s="47"/>
    </row>
    <row r="90" spans="1:31" ht="12.75" customHeight="1">
      <c r="B90" s="55" t="s">
        <v>50</v>
      </c>
      <c r="C90" s="56"/>
      <c r="D90" s="56"/>
      <c r="E90" s="56"/>
      <c r="F90" s="56"/>
      <c r="G90" s="56"/>
      <c r="H90" s="56"/>
    </row>
    <row r="91" spans="1:31" ht="12.75" customHeight="1">
      <c r="B91" s="57" t="s">
        <v>124</v>
      </c>
      <c r="C91" s="32">
        <f>C33</f>
        <v>1752.8000000000006</v>
      </c>
      <c r="D91" s="32">
        <f t="shared" ref="D91:T91" si="133">D33</f>
        <v>2778.4</v>
      </c>
      <c r="E91" s="32">
        <f t="shared" si="133"/>
        <v>5271.9999999999991</v>
      </c>
      <c r="F91" s="32">
        <f t="shared" si="133"/>
        <v>5519.9</v>
      </c>
      <c r="G91" s="32">
        <f t="shared" si="133"/>
        <v>7067.7000000000007</v>
      </c>
      <c r="H91" s="32">
        <f t="shared" si="133"/>
        <v>7148.9000000000015</v>
      </c>
      <c r="I91" s="32"/>
      <c r="J91" s="32">
        <f t="shared" si="133"/>
        <v>0</v>
      </c>
      <c r="K91" s="32">
        <f t="shared" si="133"/>
        <v>0</v>
      </c>
      <c r="L91" s="32">
        <f t="shared" si="133"/>
        <v>0</v>
      </c>
      <c r="M91" s="32">
        <f t="shared" si="133"/>
        <v>7067.7000000000007</v>
      </c>
      <c r="N91" s="32">
        <f t="shared" si="133"/>
        <v>0</v>
      </c>
      <c r="O91" s="32">
        <f t="shared" si="133"/>
        <v>0</v>
      </c>
      <c r="P91" s="32">
        <f t="shared" si="133"/>
        <v>0</v>
      </c>
      <c r="Q91" s="32">
        <f t="shared" si="133"/>
        <v>7148.9000000000015</v>
      </c>
      <c r="R91" s="32">
        <f t="shared" si="133"/>
        <v>0</v>
      </c>
      <c r="S91" s="32">
        <f t="shared" si="133"/>
        <v>0</v>
      </c>
      <c r="T91" s="32">
        <f t="shared" si="133"/>
        <v>0</v>
      </c>
      <c r="V91" s="32">
        <f>V33</f>
        <v>7067.7000000000007</v>
      </c>
      <c r="W91" s="32">
        <f>W33</f>
        <v>7067.7000000000007</v>
      </c>
      <c r="X91" s="32">
        <f>X33</f>
        <v>7067.7000000000007</v>
      </c>
      <c r="Y91" s="32">
        <f>Y29</f>
        <v>6876.4000000000005</v>
      </c>
      <c r="Z91" s="32">
        <f>Z29</f>
        <v>6939.1000000000013</v>
      </c>
      <c r="AA91" s="32">
        <f>AA29</f>
        <v>6939.1000000000013</v>
      </c>
      <c r="AB91" s="32">
        <f>AB29</f>
        <v>6939.1000000000013</v>
      </c>
      <c r="AC91" s="32">
        <f>AC29</f>
        <v>6939.1000000000013</v>
      </c>
      <c r="AD91" s="11"/>
      <c r="AE91" s="75">
        <f>SUM(AC91/Y91)-1</f>
        <v>9.1181432144726848E-3</v>
      </c>
    </row>
    <row r="92" spans="1:31" ht="5.0999999999999996" customHeight="1"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V92" s="32"/>
      <c r="W92" s="32"/>
      <c r="X92" s="32"/>
      <c r="Y92" s="32"/>
      <c r="Z92" s="32"/>
      <c r="AA92" s="32"/>
      <c r="AB92" s="32"/>
      <c r="AC92" s="32"/>
      <c r="AD92" s="11"/>
      <c r="AE92" s="75"/>
    </row>
    <row r="93" spans="1:31" ht="12.75" customHeight="1">
      <c r="B93" s="36" t="s">
        <v>57</v>
      </c>
      <c r="C93" s="32"/>
      <c r="D93" s="32"/>
      <c r="E93" s="32"/>
      <c r="F93" s="32"/>
      <c r="G93" s="32"/>
      <c r="H93" s="32"/>
      <c r="I93" s="32"/>
      <c r="J93" s="82"/>
      <c r="K93" s="82"/>
      <c r="L93" s="82"/>
      <c r="M93" s="32"/>
      <c r="N93" s="82"/>
      <c r="O93" s="82"/>
      <c r="P93" s="82"/>
      <c r="Q93" s="32"/>
      <c r="R93" s="82"/>
      <c r="S93" s="82"/>
      <c r="T93" s="82"/>
      <c r="V93" s="32"/>
      <c r="W93" s="32"/>
      <c r="X93" s="32"/>
      <c r="Y93" s="32"/>
      <c r="Z93" s="32"/>
      <c r="AA93" s="32"/>
      <c r="AB93" s="32"/>
      <c r="AC93" s="32"/>
      <c r="AD93" s="59"/>
      <c r="AE93" s="75"/>
    </row>
    <row r="94" spans="1:31" ht="12.75" customHeight="1">
      <c r="B94" s="60" t="s">
        <v>172</v>
      </c>
      <c r="C94" s="82">
        <v>828.3</v>
      </c>
      <c r="D94" s="82">
        <v>918.4</v>
      </c>
      <c r="E94" s="82">
        <v>862.6</v>
      </c>
      <c r="F94" s="82">
        <v>875.9</v>
      </c>
      <c r="G94" s="82">
        <v>1047.5</v>
      </c>
      <c r="H94" s="82">
        <v>1200.0999999999999</v>
      </c>
      <c r="I94" s="32"/>
      <c r="J94" s="82"/>
      <c r="K94" s="82"/>
      <c r="L94" s="82"/>
      <c r="M94" s="32">
        <f t="shared" ref="M94:M97" si="134">SUM(G94-SUM(J94:L94))</f>
        <v>1047.5</v>
      </c>
      <c r="N94" s="82"/>
      <c r="O94" s="82"/>
      <c r="P94" s="82"/>
      <c r="Q94" s="32">
        <f t="shared" ref="Q94:Q97" si="135">SUM(H94-SUM(N94:P94))</f>
        <v>1200.0999999999999</v>
      </c>
      <c r="R94" s="82"/>
      <c r="S94" s="82"/>
      <c r="T94" s="82"/>
      <c r="V94" s="32">
        <f t="shared" ref="V94:AB99" si="136">SUM(J94:M94)</f>
        <v>1047.5</v>
      </c>
      <c r="W94" s="32">
        <f t="shared" si="136"/>
        <v>1047.5</v>
      </c>
      <c r="X94" s="32">
        <f t="shared" si="136"/>
        <v>1047.5</v>
      </c>
      <c r="Y94" s="32">
        <f t="shared" si="136"/>
        <v>1047.5</v>
      </c>
      <c r="Z94" s="32">
        <f t="shared" si="136"/>
        <v>1200.0999999999999</v>
      </c>
      <c r="AA94" s="32">
        <f t="shared" si="136"/>
        <v>1200.0999999999999</v>
      </c>
      <c r="AB94" s="32">
        <f t="shared" si="136"/>
        <v>1200.0999999999999</v>
      </c>
      <c r="AC94" s="32">
        <f t="shared" ref="AC94:AC99" si="137">SUM(Q94:T94)</f>
        <v>1200.0999999999999</v>
      </c>
      <c r="AD94" s="11"/>
      <c r="AE94" s="75">
        <f t="shared" ref="AE94:AE100" si="138">SUM(AC94/Y94)-1</f>
        <v>0.14568019093078743</v>
      </c>
    </row>
    <row r="95" spans="1:31" ht="12.75" customHeight="1">
      <c r="B95" s="60" t="s">
        <v>173</v>
      </c>
      <c r="C95" s="82">
        <v>-348.8</v>
      </c>
      <c r="D95" s="82">
        <v>-175.8</v>
      </c>
      <c r="E95" s="82">
        <v>-487.9</v>
      </c>
      <c r="F95" s="82">
        <v>-774.7</v>
      </c>
      <c r="G95" s="82">
        <v>233.2</v>
      </c>
      <c r="H95" s="82">
        <v>-38.1</v>
      </c>
      <c r="I95" s="32"/>
      <c r="J95" s="82"/>
      <c r="K95" s="82"/>
      <c r="L95" s="82"/>
      <c r="M95" s="32">
        <f t="shared" ref="M95" si="139">SUM(G95-SUM(J95:L95))</f>
        <v>233.2</v>
      </c>
      <c r="N95" s="82"/>
      <c r="O95" s="82"/>
      <c r="P95" s="82"/>
      <c r="Q95" s="32">
        <f t="shared" ref="Q95" si="140">SUM(H95-SUM(N95:P95))</f>
        <v>-38.1</v>
      </c>
      <c r="R95" s="82"/>
      <c r="S95" s="82"/>
      <c r="T95" s="82"/>
      <c r="V95" s="32">
        <f t="shared" ref="V95" si="141">SUM(J95:M95)</f>
        <v>233.2</v>
      </c>
      <c r="W95" s="32">
        <f t="shared" ref="W95" si="142">SUM(K95:N95)</f>
        <v>233.2</v>
      </c>
      <c r="X95" s="32">
        <f t="shared" ref="X95" si="143">SUM(L95:O95)</f>
        <v>233.2</v>
      </c>
      <c r="Y95" s="32">
        <f t="shared" ref="Y95" si="144">SUM(M95:P95)</f>
        <v>233.2</v>
      </c>
      <c r="Z95" s="32">
        <f t="shared" ref="Z95" si="145">SUM(N95:Q95)</f>
        <v>-38.1</v>
      </c>
      <c r="AA95" s="32">
        <f t="shared" ref="AA95" si="146">SUM(O95:R95)</f>
        <v>-38.1</v>
      </c>
      <c r="AB95" s="32">
        <f t="shared" ref="AB95" si="147">SUM(P95:S95)</f>
        <v>-38.1</v>
      </c>
      <c r="AC95" s="32">
        <f t="shared" ref="AC95" si="148">SUM(Q95:T95)</f>
        <v>-38.1</v>
      </c>
      <c r="AD95" s="11"/>
      <c r="AE95" s="75">
        <f t="shared" ref="AE95" si="149">SUM(AC95/Y95)-1</f>
        <v>-1.1633790737564322</v>
      </c>
    </row>
    <row r="96" spans="1:31" ht="12.75" customHeight="1">
      <c r="B96" s="60" t="s">
        <v>174</v>
      </c>
      <c r="C96" s="82">
        <v>-671.8</v>
      </c>
      <c r="D96" s="82">
        <v>135.09999999999991</v>
      </c>
      <c r="E96" s="82">
        <v>-1520.7</v>
      </c>
      <c r="F96" s="82">
        <v>-4013.6000000000004</v>
      </c>
      <c r="G96" s="82">
        <v>-948.10000000000014</v>
      </c>
      <c r="H96" s="82">
        <v>-874.1</v>
      </c>
      <c r="I96" s="32"/>
      <c r="J96" s="82"/>
      <c r="K96" s="82"/>
      <c r="L96" s="82"/>
      <c r="M96" s="32">
        <f t="shared" si="134"/>
        <v>-948.10000000000014</v>
      </c>
      <c r="N96" s="82"/>
      <c r="O96" s="82"/>
      <c r="P96" s="82"/>
      <c r="Q96" s="32">
        <f t="shared" si="135"/>
        <v>-874.1</v>
      </c>
      <c r="R96" s="82"/>
      <c r="S96" s="82"/>
      <c r="T96" s="82"/>
      <c r="V96" s="32">
        <f t="shared" si="136"/>
        <v>-948.10000000000014</v>
      </c>
      <c r="W96" s="32">
        <f t="shared" si="136"/>
        <v>-948.10000000000014</v>
      </c>
      <c r="X96" s="32">
        <f t="shared" si="136"/>
        <v>-948.10000000000014</v>
      </c>
      <c r="Y96" s="32">
        <f t="shared" si="136"/>
        <v>-948.10000000000014</v>
      </c>
      <c r="Z96" s="32">
        <f t="shared" si="136"/>
        <v>-874.1</v>
      </c>
      <c r="AA96" s="32">
        <f t="shared" si="136"/>
        <v>-874.1</v>
      </c>
      <c r="AB96" s="32">
        <f t="shared" si="136"/>
        <v>-874.1</v>
      </c>
      <c r="AC96" s="32">
        <f t="shared" si="137"/>
        <v>-874.1</v>
      </c>
      <c r="AD96" s="11"/>
      <c r="AE96" s="75">
        <f t="shared" si="138"/>
        <v>-7.8050838519143628E-2</v>
      </c>
    </row>
    <row r="97" spans="2:31" ht="12.75" customHeight="1">
      <c r="B97" s="60" t="s">
        <v>175</v>
      </c>
      <c r="C97" s="82">
        <v>975.3</v>
      </c>
      <c r="D97" s="82">
        <v>1198.3</v>
      </c>
      <c r="E97" s="82">
        <v>5529.8</v>
      </c>
      <c r="F97" s="82">
        <v>6632.7</v>
      </c>
      <c r="G97" s="82">
        <v>-1564.6</v>
      </c>
      <c r="H97" s="82">
        <v>1871.8</v>
      </c>
      <c r="I97" s="32"/>
      <c r="J97" s="82"/>
      <c r="K97" s="82"/>
      <c r="L97" s="82"/>
      <c r="M97" s="32">
        <f t="shared" si="134"/>
        <v>-1564.6</v>
      </c>
      <c r="N97" s="82"/>
      <c r="O97" s="82"/>
      <c r="P97" s="82"/>
      <c r="Q97" s="32">
        <f t="shared" si="135"/>
        <v>1871.8</v>
      </c>
      <c r="R97" s="82"/>
      <c r="S97" s="82"/>
      <c r="T97" s="82"/>
      <c r="V97" s="32">
        <f t="shared" si="136"/>
        <v>-1564.6</v>
      </c>
      <c r="W97" s="32">
        <f t="shared" si="136"/>
        <v>-1564.6</v>
      </c>
      <c r="X97" s="32">
        <f t="shared" si="136"/>
        <v>-1564.6</v>
      </c>
      <c r="Y97" s="32">
        <f t="shared" si="136"/>
        <v>-1564.6</v>
      </c>
      <c r="Z97" s="32">
        <f t="shared" si="136"/>
        <v>1871.8</v>
      </c>
      <c r="AA97" s="32">
        <f t="shared" si="136"/>
        <v>1871.8</v>
      </c>
      <c r="AB97" s="32">
        <f t="shared" si="136"/>
        <v>1871.8</v>
      </c>
      <c r="AC97" s="32">
        <f t="shared" si="137"/>
        <v>1871.8</v>
      </c>
      <c r="AD97" s="11"/>
      <c r="AE97" s="75">
        <f t="shared" si="138"/>
        <v>-2.196344113511441</v>
      </c>
    </row>
    <row r="98" spans="2:31" ht="12.75" customHeight="1">
      <c r="B98" s="60" t="s">
        <v>176</v>
      </c>
      <c r="C98" s="82">
        <v>-95.3</v>
      </c>
      <c r="D98" s="82">
        <v>-1125.4000000000001</v>
      </c>
      <c r="E98" s="82">
        <v>542.29999999999995</v>
      </c>
      <c r="F98" s="82">
        <v>212.2</v>
      </c>
      <c r="G98" s="82">
        <v>-88.6</v>
      </c>
      <c r="H98" s="82">
        <v>1038.7</v>
      </c>
      <c r="I98" s="32"/>
      <c r="J98" s="82"/>
      <c r="K98" s="82"/>
      <c r="L98" s="82"/>
      <c r="M98" s="32">
        <f t="shared" ref="M98" si="150">SUM(G98-SUM(J98:L98))</f>
        <v>-88.6</v>
      </c>
      <c r="N98" s="82"/>
      <c r="O98" s="82"/>
      <c r="P98" s="82"/>
      <c r="Q98" s="32">
        <f t="shared" ref="Q98" si="151">SUM(H98-SUM(N98:P98))</f>
        <v>1038.7</v>
      </c>
      <c r="R98" s="82"/>
      <c r="S98" s="82"/>
      <c r="T98" s="82"/>
      <c r="V98" s="32">
        <f t="shared" si="136"/>
        <v>-88.6</v>
      </c>
      <c r="W98" s="32">
        <f t="shared" si="136"/>
        <v>-88.6</v>
      </c>
      <c r="X98" s="32">
        <f t="shared" si="136"/>
        <v>-88.6</v>
      </c>
      <c r="Y98" s="32">
        <f t="shared" si="136"/>
        <v>-88.6</v>
      </c>
      <c r="Z98" s="32">
        <f t="shared" si="136"/>
        <v>1038.7</v>
      </c>
      <c r="AA98" s="32">
        <f t="shared" si="136"/>
        <v>1038.7</v>
      </c>
      <c r="AB98" s="32">
        <f t="shared" si="136"/>
        <v>1038.7</v>
      </c>
      <c r="AC98" s="32">
        <f t="shared" si="137"/>
        <v>1038.7</v>
      </c>
      <c r="AD98" s="11"/>
      <c r="AE98" s="75">
        <f t="shared" si="138"/>
        <v>-12.723476297968398</v>
      </c>
    </row>
    <row r="99" spans="2:31" ht="12.75" customHeight="1">
      <c r="B99" s="60" t="s">
        <v>177</v>
      </c>
      <c r="C99" s="82">
        <v>386.2999999999999</v>
      </c>
      <c r="D99" s="82">
        <v>659.2</v>
      </c>
      <c r="E99" s="82">
        <v>531.89999999999964</v>
      </c>
      <c r="F99" s="82">
        <v>106.60000000000036</v>
      </c>
      <c r="G99" s="82">
        <v>-258.39999999999986</v>
      </c>
      <c r="H99" s="82">
        <v>822.29999999999984</v>
      </c>
      <c r="I99" s="32"/>
      <c r="J99" s="82"/>
      <c r="K99" s="82"/>
      <c r="L99" s="82"/>
      <c r="M99" s="32">
        <f t="shared" ref="M99" si="152">SUM(G99-SUM(J99:L99))</f>
        <v>-258.39999999999986</v>
      </c>
      <c r="N99" s="82"/>
      <c r="O99" s="82"/>
      <c r="P99" s="82"/>
      <c r="Q99" s="32">
        <f t="shared" ref="Q99" si="153">SUM(H99-SUM(N99:P99))</f>
        <v>822.29999999999984</v>
      </c>
      <c r="R99" s="82"/>
      <c r="S99" s="82"/>
      <c r="T99" s="82"/>
      <c r="V99" s="32">
        <f t="shared" si="136"/>
        <v>-258.39999999999986</v>
      </c>
      <c r="W99" s="32">
        <f t="shared" si="136"/>
        <v>-258.39999999999986</v>
      </c>
      <c r="X99" s="32">
        <f t="shared" si="136"/>
        <v>-258.39999999999986</v>
      </c>
      <c r="Y99" s="32">
        <f t="shared" si="136"/>
        <v>-258.39999999999986</v>
      </c>
      <c r="Z99" s="32">
        <f t="shared" si="136"/>
        <v>822.29999999999984</v>
      </c>
      <c r="AA99" s="32">
        <f t="shared" si="136"/>
        <v>822.29999999999984</v>
      </c>
      <c r="AB99" s="32">
        <f t="shared" si="136"/>
        <v>822.29999999999984</v>
      </c>
      <c r="AC99" s="32">
        <f t="shared" si="137"/>
        <v>822.29999999999984</v>
      </c>
      <c r="AD99" s="11"/>
      <c r="AE99" s="75">
        <f t="shared" si="138"/>
        <v>-4.1822755417956667</v>
      </c>
    </row>
    <row r="100" spans="2:31" ht="12.75" customHeight="1">
      <c r="B100" s="13" t="s">
        <v>51</v>
      </c>
      <c r="C100" s="14">
        <f>SUM(C91:C99)</f>
        <v>2826.7999999999997</v>
      </c>
      <c r="D100" s="14">
        <f>SUM(D91:D99)</f>
        <v>4388.2</v>
      </c>
      <c r="E100" s="14">
        <f>SUM(E91:E99)</f>
        <v>10729.999999999998</v>
      </c>
      <c r="F100" s="14">
        <f>SUM(F91:F99)</f>
        <v>8559</v>
      </c>
      <c r="G100" s="14">
        <f>SUM(G91:G99)</f>
        <v>5488.7000000000007</v>
      </c>
      <c r="H100" s="14">
        <f>SUM(H91:H99)</f>
        <v>11169.6</v>
      </c>
      <c r="J100" s="14">
        <f>SUM(J91:J99)</f>
        <v>0</v>
      </c>
      <c r="K100" s="14">
        <f>SUM(K91:K99)</f>
        <v>0</v>
      </c>
      <c r="L100" s="14">
        <f>SUM(L91:L99)</f>
        <v>0</v>
      </c>
      <c r="M100" s="14">
        <f>SUM(M91:M99)</f>
        <v>5488.7000000000007</v>
      </c>
      <c r="N100" s="14">
        <f>SUM(N91:N99)</f>
        <v>0</v>
      </c>
      <c r="O100" s="14">
        <f>SUM(O91:O99)</f>
        <v>0</v>
      </c>
      <c r="P100" s="14">
        <f>SUM(P91:P99)</f>
        <v>0</v>
      </c>
      <c r="Q100" s="14">
        <f>SUM(Q91:Q99)</f>
        <v>11169.6</v>
      </c>
      <c r="R100" s="14">
        <f>SUM(R91:R99)</f>
        <v>0</v>
      </c>
      <c r="S100" s="14">
        <f>SUM(S91:S99)</f>
        <v>0</v>
      </c>
      <c r="T100" s="14">
        <f>SUM(T91:T99)</f>
        <v>0</v>
      </c>
      <c r="V100" s="14">
        <f>SUM(V91:V99)</f>
        <v>5488.7000000000007</v>
      </c>
      <c r="W100" s="14">
        <f>SUM(W91:W99)</f>
        <v>5488.7000000000007</v>
      </c>
      <c r="X100" s="14">
        <f>SUM(X91:X99)</f>
        <v>5488.7000000000007</v>
      </c>
      <c r="Y100" s="14">
        <f>SUM(Y91:Y99)</f>
        <v>5297.4</v>
      </c>
      <c r="Z100" s="14">
        <f>SUM(Z91:Z99)</f>
        <v>10959.8</v>
      </c>
      <c r="AA100" s="14">
        <f>SUM(AA91:AA99)</f>
        <v>10959.8</v>
      </c>
      <c r="AB100" s="14">
        <f>SUM(AB91:AB99)</f>
        <v>10959.8</v>
      </c>
      <c r="AC100" s="14">
        <f>SUM(AC91:AC99)</f>
        <v>10959.8</v>
      </c>
      <c r="AD100" s="42"/>
      <c r="AE100" s="76">
        <f t="shared" si="138"/>
        <v>1.0689017253747122</v>
      </c>
    </row>
    <row r="101" spans="2:31" ht="12.75" customHeight="1">
      <c r="B101" s="53"/>
      <c r="C101" s="61"/>
      <c r="D101" s="61"/>
      <c r="E101" s="61"/>
      <c r="F101" s="61"/>
      <c r="G101" s="61"/>
      <c r="H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V101" s="42"/>
      <c r="W101" s="42"/>
      <c r="X101" s="42"/>
      <c r="Y101" s="42"/>
      <c r="Z101" s="42"/>
      <c r="AA101" s="42"/>
      <c r="AB101" s="42"/>
      <c r="AC101" s="42"/>
      <c r="AD101" s="42"/>
      <c r="AE101" s="39"/>
    </row>
    <row r="102" spans="2:31" ht="12.75" customHeight="1">
      <c r="B102" s="53" t="s">
        <v>52</v>
      </c>
      <c r="C102" s="58"/>
      <c r="D102" s="58"/>
      <c r="E102" s="58"/>
      <c r="F102" s="58"/>
      <c r="G102" s="58"/>
      <c r="H102" s="58"/>
      <c r="J102" s="82"/>
      <c r="K102" s="82"/>
      <c r="L102" s="82"/>
      <c r="M102" s="32"/>
      <c r="N102" s="82"/>
      <c r="O102" s="82"/>
      <c r="P102" s="82"/>
      <c r="Q102" s="32"/>
      <c r="R102" s="58"/>
      <c r="S102" s="58"/>
      <c r="T102" s="58"/>
      <c r="V102" s="58"/>
      <c r="W102" s="58"/>
      <c r="X102" s="58"/>
      <c r="Y102" s="58"/>
      <c r="Z102" s="58"/>
      <c r="AA102" s="58"/>
      <c r="AB102" s="58"/>
      <c r="AC102" s="58"/>
      <c r="AD102" s="59"/>
      <c r="AE102" s="75"/>
    </row>
    <row r="103" spans="2:31" ht="12.75" customHeight="1">
      <c r="B103" s="60" t="s">
        <v>178</v>
      </c>
      <c r="C103" s="82">
        <v>-766.6</v>
      </c>
      <c r="D103" s="82">
        <v>-962</v>
      </c>
      <c r="E103" s="82">
        <v>-900.7</v>
      </c>
      <c r="F103" s="82">
        <v>-1281.8</v>
      </c>
      <c r="G103" s="82">
        <v>-2155.6</v>
      </c>
      <c r="H103" s="82">
        <v>-2067.1999999999998</v>
      </c>
      <c r="I103" s="32"/>
      <c r="J103" s="82"/>
      <c r="K103" s="82"/>
      <c r="L103" s="82"/>
      <c r="M103" s="32">
        <f t="shared" ref="M103:M106" si="154">SUM(G103-SUM(J103:L103))</f>
        <v>-2155.6</v>
      </c>
      <c r="N103" s="82"/>
      <c r="O103" s="82"/>
      <c r="P103" s="82"/>
      <c r="Q103" s="32">
        <f t="shared" ref="Q103:Q106" si="155">SUM(H103-SUM(N103:P103))</f>
        <v>-2067.1999999999998</v>
      </c>
      <c r="R103" s="82"/>
      <c r="S103" s="82"/>
      <c r="T103" s="82"/>
      <c r="U103" s="32"/>
      <c r="V103" s="32">
        <f t="shared" ref="V103:AB106" si="156">SUM(J103:M103)</f>
        <v>-2155.6</v>
      </c>
      <c r="W103" s="32">
        <f t="shared" si="156"/>
        <v>-2155.6</v>
      </c>
      <c r="X103" s="32">
        <f t="shared" si="156"/>
        <v>-2155.6</v>
      </c>
      <c r="Y103" s="32">
        <f t="shared" si="156"/>
        <v>-2155.6</v>
      </c>
      <c r="Z103" s="32">
        <f t="shared" si="156"/>
        <v>-2067.1999999999998</v>
      </c>
      <c r="AA103" s="32">
        <f t="shared" si="156"/>
        <v>-2067.1999999999998</v>
      </c>
      <c r="AB103" s="32">
        <f t="shared" si="156"/>
        <v>-2067.1999999999998</v>
      </c>
      <c r="AC103" s="32">
        <f t="shared" ref="AC103:AC106" si="157">SUM(Q103:T103)</f>
        <v>-2067.1999999999998</v>
      </c>
      <c r="AD103" s="59"/>
      <c r="AE103" s="75">
        <f t="shared" ref="AE103:AE106" si="158">SUM(AC103/Y103)-1</f>
        <v>-4.1009463722397554E-2</v>
      </c>
    </row>
    <row r="104" spans="2:31" ht="12.75" customHeight="1">
      <c r="B104" s="60" t="s">
        <v>179</v>
      </c>
      <c r="C104" s="82">
        <v>-424.9</v>
      </c>
      <c r="D104" s="82">
        <v>-658.9</v>
      </c>
      <c r="E104" s="82">
        <v>-725</v>
      </c>
      <c r="F104" s="82">
        <v>-930.6</v>
      </c>
      <c r="G104" s="82">
        <v>-985.9</v>
      </c>
      <c r="H104" s="82">
        <v>-1138.4000000000001</v>
      </c>
      <c r="I104" s="32"/>
      <c r="J104" s="82"/>
      <c r="K104" s="82"/>
      <c r="L104" s="82"/>
      <c r="M104" s="32">
        <f t="shared" si="154"/>
        <v>-985.9</v>
      </c>
      <c r="N104" s="82"/>
      <c r="O104" s="82"/>
      <c r="P104" s="82"/>
      <c r="Q104" s="32">
        <f t="shared" si="155"/>
        <v>-1138.4000000000001</v>
      </c>
      <c r="R104" s="82"/>
      <c r="S104" s="82"/>
      <c r="T104" s="82"/>
      <c r="U104" s="32"/>
      <c r="V104" s="32">
        <f t="shared" si="156"/>
        <v>-985.9</v>
      </c>
      <c r="W104" s="32">
        <f t="shared" si="156"/>
        <v>-985.9</v>
      </c>
      <c r="X104" s="32">
        <f t="shared" si="156"/>
        <v>-985.9</v>
      </c>
      <c r="Y104" s="32">
        <f t="shared" si="156"/>
        <v>-985.9</v>
      </c>
      <c r="Z104" s="32">
        <f t="shared" si="156"/>
        <v>-1138.4000000000001</v>
      </c>
      <c r="AA104" s="32">
        <f t="shared" si="156"/>
        <v>-1138.4000000000001</v>
      </c>
      <c r="AB104" s="32">
        <f t="shared" si="156"/>
        <v>-1138.4000000000001</v>
      </c>
      <c r="AC104" s="32">
        <f t="shared" si="157"/>
        <v>-1138.4000000000001</v>
      </c>
      <c r="AD104" s="59"/>
      <c r="AE104" s="75">
        <f t="shared" si="158"/>
        <v>0.15468100213003355</v>
      </c>
    </row>
    <row r="105" spans="2:31" ht="12.75" customHeight="1">
      <c r="B105" s="60" t="s">
        <v>180</v>
      </c>
      <c r="C105" s="82">
        <v>0.9</v>
      </c>
      <c r="D105" s="82">
        <v>-12.2</v>
      </c>
      <c r="E105" s="82">
        <v>-124.4</v>
      </c>
      <c r="F105" s="82">
        <v>-240</v>
      </c>
      <c r="G105" s="82">
        <v>-561.5</v>
      </c>
      <c r="H105" s="82">
        <v>-526.20000000000005</v>
      </c>
      <c r="I105" s="32"/>
      <c r="J105" s="82"/>
      <c r="K105" s="82"/>
      <c r="L105" s="82"/>
      <c r="M105" s="32">
        <f t="shared" si="154"/>
        <v>-561.5</v>
      </c>
      <c r="N105" s="82"/>
      <c r="O105" s="82"/>
      <c r="P105" s="82"/>
      <c r="Q105" s="32">
        <f t="shared" si="155"/>
        <v>-526.20000000000005</v>
      </c>
      <c r="R105" s="82"/>
      <c r="S105" s="82"/>
      <c r="T105" s="82"/>
      <c r="U105" s="32"/>
      <c r="V105" s="32">
        <f t="shared" si="156"/>
        <v>-561.5</v>
      </c>
      <c r="W105" s="32">
        <f t="shared" si="156"/>
        <v>-561.5</v>
      </c>
      <c r="X105" s="32">
        <f t="shared" si="156"/>
        <v>-561.5</v>
      </c>
      <c r="Y105" s="32">
        <f t="shared" si="156"/>
        <v>-561.5</v>
      </c>
      <c r="Z105" s="32">
        <f t="shared" si="156"/>
        <v>-526.20000000000005</v>
      </c>
      <c r="AA105" s="32">
        <f t="shared" si="156"/>
        <v>-526.20000000000005</v>
      </c>
      <c r="AB105" s="32">
        <f t="shared" si="156"/>
        <v>-526.20000000000005</v>
      </c>
      <c r="AC105" s="32">
        <f t="shared" si="157"/>
        <v>-526.20000000000005</v>
      </c>
      <c r="AD105" s="59"/>
      <c r="AE105" s="75">
        <f t="shared" si="158"/>
        <v>-6.2867319679430045E-2</v>
      </c>
    </row>
    <row r="106" spans="2:31" ht="12.75" customHeight="1">
      <c r="B106" s="60" t="s">
        <v>181</v>
      </c>
      <c r="C106" s="82">
        <v>-272.5</v>
      </c>
      <c r="D106" s="82">
        <v>-339.2000000000001</v>
      </c>
      <c r="E106" s="82">
        <v>992.7</v>
      </c>
      <c r="F106" s="82">
        <v>530.4</v>
      </c>
      <c r="G106" s="82">
        <v>68.399999999999977</v>
      </c>
      <c r="H106" s="82">
        <v>0</v>
      </c>
      <c r="I106" s="32"/>
      <c r="J106" s="82"/>
      <c r="K106" s="82"/>
      <c r="L106" s="82"/>
      <c r="M106" s="32">
        <f t="shared" si="154"/>
        <v>68.399999999999977</v>
      </c>
      <c r="N106" s="82"/>
      <c r="O106" s="82"/>
      <c r="P106" s="82"/>
      <c r="Q106" s="32">
        <f t="shared" si="155"/>
        <v>0</v>
      </c>
      <c r="R106" s="82"/>
      <c r="S106" s="82"/>
      <c r="T106" s="82"/>
      <c r="U106" s="32"/>
      <c r="V106" s="32">
        <f t="shared" si="156"/>
        <v>68.399999999999977</v>
      </c>
      <c r="W106" s="32">
        <f t="shared" si="156"/>
        <v>68.399999999999977</v>
      </c>
      <c r="X106" s="32">
        <f t="shared" si="156"/>
        <v>68.399999999999977</v>
      </c>
      <c r="Y106" s="32">
        <f t="shared" si="156"/>
        <v>68.399999999999977</v>
      </c>
      <c r="Z106" s="32">
        <f t="shared" si="156"/>
        <v>0</v>
      </c>
      <c r="AA106" s="32">
        <f t="shared" si="156"/>
        <v>0</v>
      </c>
      <c r="AB106" s="32">
        <f t="shared" si="156"/>
        <v>0</v>
      </c>
      <c r="AC106" s="32">
        <f t="shared" si="157"/>
        <v>0</v>
      </c>
      <c r="AD106" s="59"/>
      <c r="AE106" s="75">
        <f t="shared" si="158"/>
        <v>-1</v>
      </c>
    </row>
    <row r="107" spans="2:31" ht="12.75" customHeight="1">
      <c r="B107" s="13" t="s">
        <v>53</v>
      </c>
      <c r="C107" s="14">
        <f>SUM(C103:C106)</f>
        <v>-1463.1</v>
      </c>
      <c r="D107" s="14">
        <f>SUM(D103:D106)</f>
        <v>-1972.3000000000002</v>
      </c>
      <c r="E107" s="14">
        <f>SUM(E103:E106)</f>
        <v>-757.40000000000009</v>
      </c>
      <c r="F107" s="14">
        <f>SUM(F103:F106)</f>
        <v>-1922</v>
      </c>
      <c r="G107" s="14">
        <f>SUM(G103:G106)</f>
        <v>-3634.6</v>
      </c>
      <c r="H107" s="14">
        <f>SUM(H103:H106)</f>
        <v>-3731.8</v>
      </c>
      <c r="J107" s="14">
        <f>SUM(J103:J106)</f>
        <v>0</v>
      </c>
      <c r="K107" s="14">
        <f>SUM(K103:K106)</f>
        <v>0</v>
      </c>
      <c r="L107" s="14">
        <f>SUM(L103:L106)</f>
        <v>0</v>
      </c>
      <c r="M107" s="14">
        <f>SUM(M103:M106)</f>
        <v>-3634.6</v>
      </c>
      <c r="N107" s="14">
        <f>SUM(N103:N106)</f>
        <v>0</v>
      </c>
      <c r="O107" s="14">
        <f>SUM(O103:O106)</f>
        <v>0</v>
      </c>
      <c r="P107" s="14">
        <f>SUM(P103:P106)</f>
        <v>0</v>
      </c>
      <c r="Q107" s="14">
        <f>SUM(Q103:Q106)</f>
        <v>-3731.8</v>
      </c>
      <c r="R107" s="14">
        <f>SUM(R103:R106)</f>
        <v>0</v>
      </c>
      <c r="S107" s="14">
        <f>SUM(S103:S106)</f>
        <v>0</v>
      </c>
      <c r="T107" s="14">
        <f>SUM(T103:T106)</f>
        <v>0</v>
      </c>
      <c r="V107" s="14">
        <f>SUM(V106:V106)</f>
        <v>68.399999999999977</v>
      </c>
      <c r="W107" s="14">
        <f>SUM(W106:W106)</f>
        <v>68.399999999999977</v>
      </c>
      <c r="X107" s="14">
        <f>SUM(X106:X106)</f>
        <v>68.399999999999977</v>
      </c>
      <c r="Y107" s="14">
        <f>SUM(Y106:Y106)</f>
        <v>68.399999999999977</v>
      </c>
      <c r="Z107" s="14">
        <f>SUM(Z106:Z106)</f>
        <v>0</v>
      </c>
      <c r="AA107" s="14">
        <f>SUM(AA106:AA106)</f>
        <v>0</v>
      </c>
      <c r="AB107" s="14">
        <f>SUM(AB106:AB106)</f>
        <v>0</v>
      </c>
      <c r="AC107" s="14">
        <f>SUM(AC106:AC106)</f>
        <v>0</v>
      </c>
      <c r="AD107" s="42"/>
      <c r="AE107" s="76">
        <f t="shared" ref="AE107:AE113" si="159">SUM(AC107/Y107)-1</f>
        <v>-1</v>
      </c>
    </row>
    <row r="108" spans="2:31" ht="5.0999999999999996" customHeight="1">
      <c r="B108" s="52"/>
      <c r="C108" s="61"/>
      <c r="D108" s="61"/>
      <c r="E108" s="61"/>
      <c r="F108" s="61"/>
      <c r="G108" s="61"/>
      <c r="H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V108" s="42"/>
      <c r="W108" s="42"/>
      <c r="X108" s="42"/>
      <c r="Y108" s="42"/>
      <c r="Z108" s="42"/>
      <c r="AA108" s="42"/>
      <c r="AB108" s="42"/>
      <c r="AC108" s="42"/>
      <c r="AD108" s="42"/>
      <c r="AE108" s="39"/>
    </row>
    <row r="109" spans="2:31" ht="12.75" customHeight="1">
      <c r="B109" s="53" t="s">
        <v>54</v>
      </c>
      <c r="C109" s="63"/>
      <c r="D109" s="63"/>
      <c r="E109" s="63"/>
      <c r="F109" s="63"/>
      <c r="G109" s="63"/>
      <c r="H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32"/>
      <c r="V109" s="32"/>
      <c r="W109" s="32"/>
      <c r="X109" s="32"/>
      <c r="Y109" s="32"/>
      <c r="Z109" s="32"/>
      <c r="AA109" s="32"/>
      <c r="AB109" s="32"/>
      <c r="AC109" s="32"/>
      <c r="AD109" s="64"/>
      <c r="AE109" s="75"/>
    </row>
    <row r="110" spans="2:31" ht="12.75" customHeight="1">
      <c r="B110" s="84" t="s">
        <v>182</v>
      </c>
      <c r="C110" s="82">
        <v>-76.900000000000006</v>
      </c>
      <c r="D110" s="82">
        <v>1424.1</v>
      </c>
      <c r="E110" s="82">
        <v>-73.5</v>
      </c>
      <c r="F110" s="82">
        <v>-75.600000000000023</v>
      </c>
      <c r="G110" s="82">
        <v>97.5</v>
      </c>
      <c r="H110" s="82">
        <v>-84.2</v>
      </c>
      <c r="J110" s="82"/>
      <c r="K110" s="82"/>
      <c r="L110" s="82"/>
      <c r="M110" s="32">
        <f t="shared" ref="M110:M112" si="160">SUM(G110-SUM(J110:L110))</f>
        <v>97.5</v>
      </c>
      <c r="N110" s="82"/>
      <c r="O110" s="82"/>
      <c r="P110" s="82"/>
      <c r="Q110" s="32">
        <f t="shared" ref="Q110:Q112" si="161">SUM(H110-SUM(N110:P110))</f>
        <v>-84.2</v>
      </c>
      <c r="R110" s="82"/>
      <c r="S110" s="82"/>
      <c r="T110" s="82"/>
      <c r="U110" s="32"/>
      <c r="V110" s="32">
        <f t="shared" ref="V110:AB112" si="162">SUM(J110:M110)</f>
        <v>97.5</v>
      </c>
      <c r="W110" s="32">
        <f t="shared" si="162"/>
        <v>97.5</v>
      </c>
      <c r="X110" s="32">
        <f t="shared" si="162"/>
        <v>97.5</v>
      </c>
      <c r="Y110" s="32">
        <f t="shared" si="162"/>
        <v>97.5</v>
      </c>
      <c r="Z110" s="32">
        <f t="shared" si="162"/>
        <v>-84.2</v>
      </c>
      <c r="AA110" s="32">
        <f t="shared" si="162"/>
        <v>-84.2</v>
      </c>
      <c r="AB110" s="32">
        <f t="shared" si="162"/>
        <v>-84.2</v>
      </c>
      <c r="AC110" s="32">
        <f>SUM(Q110:T110)</f>
        <v>-84.2</v>
      </c>
      <c r="AD110" s="64"/>
      <c r="AE110" s="75">
        <f t="shared" si="159"/>
        <v>-1.8635897435897437</v>
      </c>
    </row>
    <row r="111" spans="2:31" ht="12.75" customHeight="1">
      <c r="B111" s="84" t="s">
        <v>183</v>
      </c>
      <c r="C111" s="82">
        <v>-382.8</v>
      </c>
      <c r="D111" s="82">
        <v>-1169.5999999999999</v>
      </c>
      <c r="E111" s="82">
        <v>-8511.2999999999993</v>
      </c>
      <c r="F111" s="82">
        <v>-4557.8999999999996</v>
      </c>
      <c r="G111" s="82">
        <v>-900.6</v>
      </c>
      <c r="H111" s="82">
        <v>-376</v>
      </c>
      <c r="J111" s="82"/>
      <c r="K111" s="82"/>
      <c r="L111" s="82"/>
      <c r="M111" s="32">
        <f t="shared" si="160"/>
        <v>-900.6</v>
      </c>
      <c r="N111" s="82"/>
      <c r="O111" s="82"/>
      <c r="P111" s="82"/>
      <c r="Q111" s="32">
        <f t="shared" si="161"/>
        <v>-376</v>
      </c>
      <c r="R111" s="82"/>
      <c r="S111" s="82"/>
      <c r="T111" s="82"/>
      <c r="U111" s="32"/>
      <c r="V111" s="32">
        <f t="shared" si="162"/>
        <v>-900.6</v>
      </c>
      <c r="W111" s="32">
        <f t="shared" si="162"/>
        <v>-900.6</v>
      </c>
      <c r="X111" s="32">
        <f t="shared" si="162"/>
        <v>-900.6</v>
      </c>
      <c r="Y111" s="32">
        <f t="shared" si="162"/>
        <v>-900.6</v>
      </c>
      <c r="Z111" s="32">
        <f t="shared" si="162"/>
        <v>-376</v>
      </c>
      <c r="AA111" s="32">
        <f t="shared" si="162"/>
        <v>-376</v>
      </c>
      <c r="AB111" s="32">
        <f t="shared" si="162"/>
        <v>-376</v>
      </c>
      <c r="AC111" s="32">
        <f>SUM(Q111:T111)</f>
        <v>-376</v>
      </c>
      <c r="AD111" s="64"/>
      <c r="AE111" s="75">
        <f t="shared" ref="AE111" si="163">SUM(AC111/Y111)-1</f>
        <v>-0.58250055518543187</v>
      </c>
    </row>
    <row r="112" spans="2:31" ht="12.75" customHeight="1">
      <c r="B112" s="84" t="s">
        <v>184</v>
      </c>
      <c r="C112" s="82">
        <v>-1325.7</v>
      </c>
      <c r="D112" s="82">
        <v>-1066.4000000000001</v>
      </c>
      <c r="E112" s="82">
        <v>-1368.3</v>
      </c>
      <c r="F112" s="82">
        <v>-2559.8000000000002</v>
      </c>
      <c r="G112" s="82">
        <v>-2348.3000000000002</v>
      </c>
      <c r="H112" s="82">
        <v>-2452.9</v>
      </c>
      <c r="J112" s="82"/>
      <c r="K112" s="82"/>
      <c r="L112" s="82"/>
      <c r="M112" s="32">
        <f t="shared" si="160"/>
        <v>-2348.3000000000002</v>
      </c>
      <c r="N112" s="82"/>
      <c r="O112" s="82"/>
      <c r="P112" s="82"/>
      <c r="Q112" s="32">
        <f t="shared" si="161"/>
        <v>-2452.9</v>
      </c>
      <c r="R112" s="82"/>
      <c r="S112" s="82"/>
      <c r="T112" s="82"/>
      <c r="U112" s="32"/>
      <c r="V112" s="32">
        <f t="shared" si="162"/>
        <v>-2348.3000000000002</v>
      </c>
      <c r="W112" s="32">
        <f t="shared" si="162"/>
        <v>-2348.3000000000002</v>
      </c>
      <c r="X112" s="32">
        <f t="shared" si="162"/>
        <v>-2348.3000000000002</v>
      </c>
      <c r="Y112" s="32">
        <f t="shared" si="162"/>
        <v>-2348.3000000000002</v>
      </c>
      <c r="Z112" s="32">
        <f t="shared" si="162"/>
        <v>-2452.9</v>
      </c>
      <c r="AA112" s="32">
        <f t="shared" si="162"/>
        <v>-2452.9</v>
      </c>
      <c r="AB112" s="32">
        <f t="shared" si="162"/>
        <v>-2452.9</v>
      </c>
      <c r="AC112" s="32">
        <f>SUM(Q112:T112)</f>
        <v>-2452.9</v>
      </c>
      <c r="AD112" s="64"/>
      <c r="AE112" s="75">
        <f t="shared" si="159"/>
        <v>4.4542860792913919E-2</v>
      </c>
    </row>
    <row r="113" spans="2:31" ht="12.75" customHeight="1">
      <c r="B113" s="13" t="s">
        <v>55</v>
      </c>
      <c r="C113" s="14">
        <f>SUM(C110:C112)</f>
        <v>-1785.4</v>
      </c>
      <c r="D113" s="14">
        <f>SUM(D110:D112)</f>
        <v>-811.90000000000009</v>
      </c>
      <c r="E113" s="14">
        <f>SUM(E110:E112)</f>
        <v>-9953.0999999999985</v>
      </c>
      <c r="F113" s="14">
        <f>SUM(F110:F112)</f>
        <v>-7193.3</v>
      </c>
      <c r="G113" s="14">
        <f>SUM(G110:G112)</f>
        <v>-3151.4</v>
      </c>
      <c r="H113" s="14">
        <f>SUM(H110:H112)</f>
        <v>-2913.1</v>
      </c>
      <c r="J113" s="14">
        <f>SUM(J110:J112)</f>
        <v>0</v>
      </c>
      <c r="K113" s="14">
        <f>SUM(K110:K112)</f>
        <v>0</v>
      </c>
      <c r="L113" s="14">
        <f>SUM(L110:L112)</f>
        <v>0</v>
      </c>
      <c r="M113" s="14">
        <f>SUM(M110:M112)</f>
        <v>-3151.4</v>
      </c>
      <c r="N113" s="14">
        <f>SUM(N110:N112)</f>
        <v>0</v>
      </c>
      <c r="O113" s="14">
        <f>SUM(O110:O112)</f>
        <v>0</v>
      </c>
      <c r="P113" s="14">
        <f>SUM(P110:P112)</f>
        <v>0</v>
      </c>
      <c r="Q113" s="14">
        <f>SUM(Q110:Q112)</f>
        <v>-2913.1</v>
      </c>
      <c r="R113" s="14">
        <f>SUM(R110:R112)</f>
        <v>0</v>
      </c>
      <c r="S113" s="14">
        <f>SUM(S110:S112)</f>
        <v>0</v>
      </c>
      <c r="T113" s="14">
        <f>SUM(T110:T112)</f>
        <v>0</v>
      </c>
      <c r="V113" s="14">
        <f>SUM(V110:V112)</f>
        <v>-3151.4</v>
      </c>
      <c r="W113" s="14">
        <f>SUM(W110:W112)</f>
        <v>-3151.4</v>
      </c>
      <c r="X113" s="14">
        <f>SUM(X110:X112)</f>
        <v>-3151.4</v>
      </c>
      <c r="Y113" s="14">
        <f>SUM(Y110:Y112)</f>
        <v>-3151.4</v>
      </c>
      <c r="Z113" s="14">
        <f>SUM(Z110:Z112)</f>
        <v>-2913.1</v>
      </c>
      <c r="AA113" s="14">
        <f>SUM(AA110:AA112)</f>
        <v>-2913.1</v>
      </c>
      <c r="AB113" s="14">
        <f>SUM(AB110:AB112)</f>
        <v>-2913.1</v>
      </c>
      <c r="AC113" s="14">
        <f>SUM(AC110:AC112)</f>
        <v>-2913.1</v>
      </c>
      <c r="AD113" s="42"/>
      <c r="AE113" s="76">
        <f t="shared" si="159"/>
        <v>-7.5617186012565951E-2</v>
      </c>
    </row>
    <row r="114" spans="2:31" ht="5.0999999999999996" customHeight="1">
      <c r="B114" s="71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11"/>
      <c r="AE114" s="45"/>
    </row>
    <row r="115" spans="2:31">
      <c r="B115" s="92" t="s">
        <v>81</v>
      </c>
      <c r="C115" s="93">
        <v>3121.1</v>
      </c>
      <c r="D115" s="93">
        <f t="shared" ref="D115:H115" si="164">C122</f>
        <v>2703.9999999999995</v>
      </c>
      <c r="E115" s="93">
        <f t="shared" si="164"/>
        <v>4302.6999999999989</v>
      </c>
      <c r="F115" s="93">
        <f t="shared" si="164"/>
        <v>4342.4999999999991</v>
      </c>
      <c r="G115" s="93">
        <f t="shared" si="164"/>
        <v>3783.0999999999995</v>
      </c>
      <c r="H115" s="93">
        <f t="shared" si="164"/>
        <v>2472</v>
      </c>
      <c r="I115" s="93"/>
      <c r="J115" s="93"/>
      <c r="K115" s="93">
        <f>J122</f>
        <v>0</v>
      </c>
      <c r="L115" s="93">
        <f>K122</f>
        <v>0</v>
      </c>
      <c r="M115" s="93">
        <f>L122</f>
        <v>0</v>
      </c>
      <c r="N115" s="93">
        <f>M122</f>
        <v>-1311.0999999999992</v>
      </c>
      <c r="O115" s="93">
        <f>N122</f>
        <v>-1311.0999999999992</v>
      </c>
      <c r="P115" s="93">
        <f>O122</f>
        <v>-1311.0999999999992</v>
      </c>
      <c r="Q115" s="93">
        <f>P122</f>
        <v>-1311.0999999999992</v>
      </c>
      <c r="R115" s="93">
        <f>Q122</f>
        <v>3220.0000000000018</v>
      </c>
      <c r="S115" s="93">
        <f>R122</f>
        <v>3220.0000000000018</v>
      </c>
      <c r="T115" s="93">
        <f>S122</f>
        <v>3220.0000000000018</v>
      </c>
      <c r="U115" s="93"/>
      <c r="V115" s="93">
        <f>G115</f>
        <v>3783.0999999999995</v>
      </c>
      <c r="W115" s="93">
        <f t="shared" ref="W115:AC115" si="165">J122</f>
        <v>0</v>
      </c>
      <c r="X115" s="93">
        <f t="shared" si="165"/>
        <v>0</v>
      </c>
      <c r="Y115" s="93">
        <f t="shared" si="165"/>
        <v>0</v>
      </c>
      <c r="Z115" s="93">
        <f t="shared" si="165"/>
        <v>-1311.0999999999992</v>
      </c>
      <c r="AA115" s="93">
        <f t="shared" si="165"/>
        <v>-1311.0999999999992</v>
      </c>
      <c r="AB115" s="93">
        <f t="shared" si="165"/>
        <v>-1311.0999999999992</v>
      </c>
      <c r="AC115" s="141">
        <f t="shared" si="165"/>
        <v>-1311.0999999999992</v>
      </c>
      <c r="AD115" s="11"/>
      <c r="AE115" s="45"/>
    </row>
    <row r="116" spans="2:31">
      <c r="B116" s="131" t="s">
        <v>97</v>
      </c>
      <c r="C116" s="32"/>
      <c r="D116" s="32"/>
      <c r="E116" s="32"/>
      <c r="F116" s="32">
        <f t="shared" ref="F116:H116" si="166">-E120</f>
        <v>0</v>
      </c>
      <c r="G116" s="32">
        <f t="shared" si="166"/>
        <v>0</v>
      </c>
      <c r="H116" s="32">
        <f t="shared" si="166"/>
        <v>0</v>
      </c>
      <c r="I116" s="32"/>
      <c r="J116" s="32"/>
      <c r="K116" s="32">
        <f t="shared" ref="K116:T116" si="167">-J120</f>
        <v>0</v>
      </c>
      <c r="L116" s="32">
        <f t="shared" si="167"/>
        <v>0</v>
      </c>
      <c r="M116" s="32">
        <f t="shared" si="167"/>
        <v>0</v>
      </c>
      <c r="N116" s="32">
        <f t="shared" si="167"/>
        <v>0</v>
      </c>
      <c r="O116" s="32">
        <f t="shared" si="167"/>
        <v>0</v>
      </c>
      <c r="P116" s="32">
        <f t="shared" si="167"/>
        <v>0</v>
      </c>
      <c r="Q116" s="32">
        <f t="shared" si="167"/>
        <v>0</v>
      </c>
      <c r="R116" s="32">
        <f t="shared" si="167"/>
        <v>0</v>
      </c>
      <c r="S116" s="32">
        <f t="shared" si="167"/>
        <v>0</v>
      </c>
      <c r="T116" s="32">
        <f t="shared" si="167"/>
        <v>0</v>
      </c>
      <c r="U116" s="32"/>
      <c r="V116" s="32">
        <f>G116</f>
        <v>0</v>
      </c>
      <c r="W116" s="32">
        <f t="shared" ref="W116:AC116" si="168">-J120</f>
        <v>0</v>
      </c>
      <c r="X116" s="32">
        <f t="shared" si="168"/>
        <v>0</v>
      </c>
      <c r="Y116" s="32">
        <f t="shared" si="168"/>
        <v>0</v>
      </c>
      <c r="Z116" s="32">
        <f t="shared" si="168"/>
        <v>0</v>
      </c>
      <c r="AA116" s="32">
        <f t="shared" si="168"/>
        <v>0</v>
      </c>
      <c r="AB116" s="32">
        <f t="shared" si="168"/>
        <v>0</v>
      </c>
      <c r="AC116" s="135">
        <f t="shared" si="168"/>
        <v>0</v>
      </c>
      <c r="AD116" s="11"/>
      <c r="AE116" s="45"/>
    </row>
    <row r="117" spans="2:31">
      <c r="B117" s="146" t="s">
        <v>68</v>
      </c>
      <c r="C117" s="147">
        <f t="shared" ref="C117:D117" si="169">SUM(C115:C116)</f>
        <v>3121.1</v>
      </c>
      <c r="D117" s="147">
        <f t="shared" si="169"/>
        <v>2703.9999999999995</v>
      </c>
      <c r="E117" s="147">
        <f t="shared" ref="E117:H117" si="170">SUM(E115:E116)</f>
        <v>4302.6999999999989</v>
      </c>
      <c r="F117" s="147">
        <f t="shared" si="170"/>
        <v>4342.4999999999991</v>
      </c>
      <c r="G117" s="147">
        <f t="shared" si="170"/>
        <v>3783.0999999999995</v>
      </c>
      <c r="H117" s="147">
        <f t="shared" si="170"/>
        <v>2472</v>
      </c>
      <c r="I117" s="32"/>
      <c r="J117" s="147">
        <f t="shared" ref="J117:T117" si="171">SUM(J115:J116)</f>
        <v>0</v>
      </c>
      <c r="K117" s="147">
        <f t="shared" si="171"/>
        <v>0</v>
      </c>
      <c r="L117" s="147">
        <f t="shared" si="171"/>
        <v>0</v>
      </c>
      <c r="M117" s="147">
        <f t="shared" si="171"/>
        <v>0</v>
      </c>
      <c r="N117" s="147">
        <f t="shared" si="171"/>
        <v>-1311.0999999999992</v>
      </c>
      <c r="O117" s="147">
        <f t="shared" si="171"/>
        <v>-1311.0999999999992</v>
      </c>
      <c r="P117" s="147">
        <f t="shared" si="171"/>
        <v>-1311.0999999999992</v>
      </c>
      <c r="Q117" s="147">
        <f t="shared" si="171"/>
        <v>-1311.0999999999992</v>
      </c>
      <c r="R117" s="147">
        <f t="shared" si="171"/>
        <v>3220.0000000000018</v>
      </c>
      <c r="S117" s="147">
        <f t="shared" si="171"/>
        <v>3220.0000000000018</v>
      </c>
      <c r="T117" s="147">
        <f t="shared" si="171"/>
        <v>3220.0000000000018</v>
      </c>
      <c r="U117" s="32"/>
      <c r="V117" s="134">
        <f t="shared" ref="V117:AC117" si="172">SUM(V115:V116)</f>
        <v>3783.0999999999995</v>
      </c>
      <c r="W117" s="134">
        <f t="shared" si="172"/>
        <v>0</v>
      </c>
      <c r="X117" s="134">
        <f t="shared" si="172"/>
        <v>0</v>
      </c>
      <c r="Y117" s="147">
        <f t="shared" si="172"/>
        <v>0</v>
      </c>
      <c r="Z117" s="147">
        <f t="shared" si="172"/>
        <v>-1311.0999999999992</v>
      </c>
      <c r="AA117" s="147">
        <f t="shared" si="172"/>
        <v>-1311.0999999999992</v>
      </c>
      <c r="AB117" s="147">
        <f t="shared" si="172"/>
        <v>-1311.0999999999992</v>
      </c>
      <c r="AC117" s="148">
        <f t="shared" si="172"/>
        <v>-1311.0999999999992</v>
      </c>
      <c r="AD117" s="11"/>
      <c r="AE117" s="45"/>
    </row>
    <row r="118" spans="2:31" ht="5.0999999999999996" customHeight="1">
      <c r="B118" s="138"/>
      <c r="C118" s="71"/>
      <c r="D118" s="71"/>
      <c r="E118" s="71"/>
      <c r="F118" s="71"/>
      <c r="G118" s="71"/>
      <c r="H118" s="71"/>
      <c r="I118" s="32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32"/>
      <c r="V118" s="71"/>
      <c r="W118" s="71"/>
      <c r="X118" s="71"/>
      <c r="Y118" s="71"/>
      <c r="Z118" s="71"/>
      <c r="AA118" s="71"/>
      <c r="AB118" s="71"/>
      <c r="AC118" s="136"/>
      <c r="AD118" s="11"/>
      <c r="AE118" s="45"/>
    </row>
    <row r="119" spans="2:31">
      <c r="B119" s="131" t="s">
        <v>82</v>
      </c>
      <c r="C119" s="82">
        <v>4.5999999999999996</v>
      </c>
      <c r="D119" s="82">
        <v>-5.3</v>
      </c>
      <c r="E119" s="82">
        <v>20.3</v>
      </c>
      <c r="F119" s="82">
        <v>-3.1</v>
      </c>
      <c r="G119" s="82">
        <v>-13.8</v>
      </c>
      <c r="H119" s="82">
        <v>6.4</v>
      </c>
      <c r="I119" s="32"/>
      <c r="J119" s="82"/>
      <c r="K119" s="82"/>
      <c r="L119" s="82"/>
      <c r="M119" s="32">
        <f t="shared" ref="M119" si="173">SUM(G119-SUM(J119:L119))</f>
        <v>-13.8</v>
      </c>
      <c r="N119" s="82"/>
      <c r="O119" s="82"/>
      <c r="P119" s="82"/>
      <c r="Q119" s="32">
        <f t="shared" ref="Q119" si="174">SUM(H119-SUM(N119:P119))</f>
        <v>6.4</v>
      </c>
      <c r="R119" s="82"/>
      <c r="S119" s="82"/>
      <c r="T119" s="82"/>
      <c r="U119" s="32"/>
      <c r="V119" s="32">
        <f t="shared" ref="V119:AC119" si="175">SUM(J119:M119)</f>
        <v>-13.8</v>
      </c>
      <c r="W119" s="32">
        <f t="shared" si="175"/>
        <v>-13.8</v>
      </c>
      <c r="X119" s="32">
        <f t="shared" si="175"/>
        <v>-13.8</v>
      </c>
      <c r="Y119" s="32">
        <f t="shared" si="175"/>
        <v>-13.8</v>
      </c>
      <c r="Z119" s="32">
        <f t="shared" si="175"/>
        <v>6.4</v>
      </c>
      <c r="AA119" s="32">
        <f t="shared" si="175"/>
        <v>6.4</v>
      </c>
      <c r="AB119" s="32">
        <f t="shared" si="175"/>
        <v>6.4</v>
      </c>
      <c r="AC119" s="135">
        <f t="shared" si="175"/>
        <v>6.4</v>
      </c>
      <c r="AD119" s="11"/>
      <c r="AE119" s="45"/>
    </row>
    <row r="120" spans="2:31">
      <c r="B120" s="131" t="s">
        <v>95</v>
      </c>
      <c r="C120" s="82"/>
      <c r="D120" s="82"/>
      <c r="E120" s="82"/>
      <c r="F120" s="82"/>
      <c r="G120" s="82"/>
      <c r="H120" s="82"/>
      <c r="I120" s="32"/>
      <c r="J120" s="82"/>
      <c r="K120" s="82"/>
      <c r="L120" s="82"/>
      <c r="M120" s="32">
        <f>G120</f>
        <v>0</v>
      </c>
      <c r="N120" s="82"/>
      <c r="O120" s="82"/>
      <c r="P120" s="82"/>
      <c r="Q120" s="32">
        <f>H120</f>
        <v>0</v>
      </c>
      <c r="R120" s="82"/>
      <c r="S120" s="82"/>
      <c r="T120" s="82"/>
      <c r="U120" s="32"/>
      <c r="V120" s="32">
        <f t="shared" ref="V120:AC120" si="176">M120</f>
        <v>0</v>
      </c>
      <c r="W120" s="32">
        <f t="shared" si="176"/>
        <v>0</v>
      </c>
      <c r="X120" s="32">
        <f t="shared" si="176"/>
        <v>0</v>
      </c>
      <c r="Y120" s="32">
        <f t="shared" si="176"/>
        <v>0</v>
      </c>
      <c r="Z120" s="32">
        <f t="shared" si="176"/>
        <v>0</v>
      </c>
      <c r="AA120" s="32">
        <f t="shared" si="176"/>
        <v>0</v>
      </c>
      <c r="AB120" s="32">
        <f t="shared" si="176"/>
        <v>0</v>
      </c>
      <c r="AC120" s="135">
        <f t="shared" si="176"/>
        <v>0</v>
      </c>
      <c r="AD120" s="11"/>
      <c r="AE120" s="45"/>
    </row>
    <row r="121" spans="2:31">
      <c r="B121" s="131" t="s">
        <v>59</v>
      </c>
      <c r="C121" s="32">
        <f>+C113+C107+C100</f>
        <v>-421.70000000000027</v>
      </c>
      <c r="D121" s="32">
        <f>+D113+D107+D100</f>
        <v>1603.9999999999995</v>
      </c>
      <c r="E121" s="32">
        <f>+E113+E107+E100</f>
        <v>19.5</v>
      </c>
      <c r="F121" s="32">
        <f>+F113+F107+F100</f>
        <v>-556.29999999999927</v>
      </c>
      <c r="G121" s="32">
        <f>+G113+G107+G100</f>
        <v>-1297.2999999999993</v>
      </c>
      <c r="H121" s="32">
        <f>+H113+H107+H100</f>
        <v>4524.7000000000007</v>
      </c>
      <c r="I121" s="32"/>
      <c r="J121" s="32">
        <f>+J113+J107+J100</f>
        <v>0</v>
      </c>
      <c r="K121" s="32">
        <f>+K113+K107+K100</f>
        <v>0</v>
      </c>
      <c r="L121" s="32">
        <f>+L113+L107+L100</f>
        <v>0</v>
      </c>
      <c r="M121" s="32">
        <f>+M113+M107+M100</f>
        <v>-1297.2999999999993</v>
      </c>
      <c r="N121" s="32">
        <f>+N113+N107+N100</f>
        <v>0</v>
      </c>
      <c r="O121" s="32">
        <f>+O113+O107+O100</f>
        <v>0</v>
      </c>
      <c r="P121" s="32">
        <f>+P113+P107+P100</f>
        <v>0</v>
      </c>
      <c r="Q121" s="32">
        <f>+Q113+Q107+Q100</f>
        <v>4524.7000000000007</v>
      </c>
      <c r="R121" s="32">
        <f>+R113+R107+R100</f>
        <v>0</v>
      </c>
      <c r="S121" s="32">
        <f>+S113+S107+S100</f>
        <v>0</v>
      </c>
      <c r="T121" s="32">
        <f>+T113+T107+T100</f>
        <v>0</v>
      </c>
      <c r="U121" s="32"/>
      <c r="V121" s="32">
        <f t="shared" ref="V121:AC121" si="177">SUM(J121:M121)</f>
        <v>-1297.2999999999993</v>
      </c>
      <c r="W121" s="32">
        <f t="shared" si="177"/>
        <v>-1297.2999999999993</v>
      </c>
      <c r="X121" s="32">
        <f t="shared" si="177"/>
        <v>-1297.2999999999993</v>
      </c>
      <c r="Y121" s="32">
        <f t="shared" si="177"/>
        <v>-1297.2999999999993</v>
      </c>
      <c r="Z121" s="32">
        <f t="shared" si="177"/>
        <v>4524.7000000000007</v>
      </c>
      <c r="AA121" s="32">
        <f t="shared" si="177"/>
        <v>4524.7000000000007</v>
      </c>
      <c r="AB121" s="32">
        <f t="shared" si="177"/>
        <v>4524.7000000000007</v>
      </c>
      <c r="AC121" s="135">
        <f t="shared" si="177"/>
        <v>4524.7000000000007</v>
      </c>
      <c r="AD121" s="11"/>
      <c r="AE121" s="45"/>
    </row>
    <row r="122" spans="2:31">
      <c r="B122" s="89" t="s">
        <v>69</v>
      </c>
      <c r="C122" s="147">
        <f>SUM(C117:C121)</f>
        <v>2703.9999999999995</v>
      </c>
      <c r="D122" s="147">
        <f>SUM(D117:D121)</f>
        <v>4302.6999999999989</v>
      </c>
      <c r="E122" s="147">
        <f>SUM(E117:E121)</f>
        <v>4342.4999999999991</v>
      </c>
      <c r="F122" s="147">
        <f>SUM(F117:F121)</f>
        <v>3783.0999999999995</v>
      </c>
      <c r="G122" s="147">
        <f>SUM(G117:G121)</f>
        <v>2472</v>
      </c>
      <c r="H122" s="147">
        <f>SUM(H117:H121)</f>
        <v>7003.1</v>
      </c>
      <c r="I122" s="32"/>
      <c r="J122" s="147">
        <f>SUM(J117:J121)</f>
        <v>0</v>
      </c>
      <c r="K122" s="147">
        <f>SUM(K117:K121)</f>
        <v>0</v>
      </c>
      <c r="L122" s="147">
        <f>SUM(L117:L121)</f>
        <v>0</v>
      </c>
      <c r="M122" s="147">
        <f>SUM(M117:M121)</f>
        <v>-1311.0999999999992</v>
      </c>
      <c r="N122" s="147">
        <f>SUM(N117:N121)</f>
        <v>-1311.0999999999992</v>
      </c>
      <c r="O122" s="147">
        <f>SUM(O117:O121)</f>
        <v>-1311.0999999999992</v>
      </c>
      <c r="P122" s="147">
        <f>SUM(P117:P121)</f>
        <v>-1311.0999999999992</v>
      </c>
      <c r="Q122" s="147">
        <f>SUM(Q117:Q121)</f>
        <v>3220.0000000000018</v>
      </c>
      <c r="R122" s="147">
        <f>SUM(R117:R121)</f>
        <v>3220.0000000000018</v>
      </c>
      <c r="S122" s="147">
        <f>SUM(S117:S121)</f>
        <v>3220.0000000000018</v>
      </c>
      <c r="T122" s="147">
        <f>SUM(T117:T121)</f>
        <v>3220.0000000000018</v>
      </c>
      <c r="U122" s="32"/>
      <c r="V122" s="134">
        <f>SUM(V117:V121)</f>
        <v>2472</v>
      </c>
      <c r="W122" s="134">
        <f>SUM(W117:W121)</f>
        <v>-1311.0999999999992</v>
      </c>
      <c r="X122" s="134">
        <f>SUM(X117:X121)</f>
        <v>-1311.0999999999992</v>
      </c>
      <c r="Y122" s="147">
        <f>SUM(Y117:Y121)</f>
        <v>-1311.0999999999992</v>
      </c>
      <c r="Z122" s="147">
        <f>SUM(Z117:Z121)</f>
        <v>3220.0000000000018</v>
      </c>
      <c r="AA122" s="147">
        <f>SUM(AA117:AA121)</f>
        <v>3220.0000000000018</v>
      </c>
      <c r="AB122" s="147">
        <f>SUM(AB117:AB121)</f>
        <v>3220.0000000000018</v>
      </c>
      <c r="AC122" s="148">
        <f>SUM(AC117:AC121)</f>
        <v>3220.0000000000018</v>
      </c>
      <c r="AD122" s="11"/>
      <c r="AE122" s="45"/>
    </row>
    <row r="123" spans="2:31" ht="5.0999999999999996" customHeight="1">
      <c r="B123" s="90"/>
      <c r="C123" s="65"/>
      <c r="D123" s="65"/>
      <c r="E123" s="65"/>
      <c r="F123" s="65"/>
      <c r="G123" s="65"/>
      <c r="H123" s="65"/>
      <c r="I123" s="32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V123" s="11"/>
      <c r="W123" s="11"/>
      <c r="X123" s="11"/>
      <c r="Y123" s="11"/>
      <c r="Z123" s="11"/>
      <c r="AA123" s="11"/>
      <c r="AB123" s="11"/>
      <c r="AC123" s="91"/>
      <c r="AD123" s="11"/>
      <c r="AE123" s="45"/>
    </row>
    <row r="124" spans="2:31">
      <c r="B124" s="139" t="s">
        <v>88</v>
      </c>
      <c r="C124" s="157">
        <f>ROUND(C122-C47,1)</f>
        <v>-828.3</v>
      </c>
      <c r="D124" s="87">
        <f>ROUND(D122-D47,1)</f>
        <v>-1746.7</v>
      </c>
      <c r="E124" s="87">
        <f>ROUND(E122-E47,1)</f>
        <v>-2609.3000000000002</v>
      </c>
      <c r="F124" s="87">
        <f>ROUND(F122-F47,1)</f>
        <v>-3485.2</v>
      </c>
      <c r="G124" s="87">
        <f>ROUND(G122-G47,1)</f>
        <v>-4532.7</v>
      </c>
      <c r="H124" s="87">
        <f>ROUND(H122-H47,1)</f>
        <v>-5732.8</v>
      </c>
      <c r="I124" s="88"/>
      <c r="J124" s="87">
        <f>J122-J47</f>
        <v>0</v>
      </c>
      <c r="K124" s="87">
        <f>K122-K47</f>
        <v>0</v>
      </c>
      <c r="L124" s="87">
        <f>L122-L47</f>
        <v>0</v>
      </c>
      <c r="M124" s="87">
        <f>M122-M47</f>
        <v>-8315.7999999999993</v>
      </c>
      <c r="N124" s="87">
        <f>N122-N47</f>
        <v>-1311.0999999999992</v>
      </c>
      <c r="O124" s="87">
        <f>O122-O47</f>
        <v>-1311.0999999999992</v>
      </c>
      <c r="P124" s="87">
        <f>P122-P47</f>
        <v>-1311.0999999999992</v>
      </c>
      <c r="Q124" s="87">
        <f>Q122-Q47</f>
        <v>-9515.8999999999978</v>
      </c>
      <c r="R124" s="87">
        <f>R122-R47</f>
        <v>3220.0000000000018</v>
      </c>
      <c r="S124" s="87">
        <f>S122-S47</f>
        <v>3220.0000000000018</v>
      </c>
      <c r="T124" s="87">
        <f>T122-T47</f>
        <v>3220.0000000000018</v>
      </c>
      <c r="U124" s="87"/>
      <c r="V124" s="87">
        <f>V122-V47</f>
        <v>-4532.7</v>
      </c>
      <c r="W124" s="87">
        <f>W122-W47</f>
        <v>-1311.0999999999992</v>
      </c>
      <c r="X124" s="87">
        <f>X122-X47</f>
        <v>-1311.0999999999992</v>
      </c>
      <c r="Y124" s="87">
        <f>Y122-Y47</f>
        <v>-1311.0999999999992</v>
      </c>
      <c r="Z124" s="87">
        <f>Z122-Z47</f>
        <v>-9515.8999999999978</v>
      </c>
      <c r="AA124" s="87">
        <f>AA122-AA47</f>
        <v>3220.0000000000018</v>
      </c>
      <c r="AB124" s="87">
        <f>AB122-AB47</f>
        <v>3220.0000000000018</v>
      </c>
      <c r="AC124" s="137">
        <f>AC122-AC47</f>
        <v>3220.0000000000018</v>
      </c>
      <c r="AD124" s="11"/>
      <c r="AE124" s="45"/>
    </row>
    <row r="125" spans="2:31" ht="5.0999999999999996" customHeight="1">
      <c r="B125" s="8"/>
      <c r="C125" s="65"/>
      <c r="D125" s="65"/>
      <c r="E125" s="65"/>
      <c r="F125" s="65"/>
      <c r="G125" s="65"/>
      <c r="H125" s="65"/>
      <c r="I125" s="32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V125" s="11"/>
      <c r="W125" s="11"/>
      <c r="X125" s="11"/>
      <c r="Y125" s="11"/>
      <c r="Z125" s="11"/>
      <c r="AA125" s="11"/>
      <c r="AB125" s="11"/>
      <c r="AC125" s="11"/>
      <c r="AD125" s="11"/>
      <c r="AE125" s="45"/>
    </row>
    <row r="126" spans="2:31" ht="12.75" customHeight="1">
      <c r="B126" s="72" t="s">
        <v>60</v>
      </c>
      <c r="C126" s="62"/>
      <c r="D126" s="62"/>
      <c r="E126" s="62"/>
      <c r="F126" s="62"/>
      <c r="G126" s="62"/>
      <c r="H126" s="62"/>
      <c r="I126" s="11"/>
      <c r="J126" s="62"/>
      <c r="K126" s="62"/>
      <c r="L126" s="62"/>
      <c r="M126" s="62"/>
      <c r="N126" s="62"/>
      <c r="O126" s="62"/>
      <c r="P126" s="62"/>
      <c r="Q126" s="62"/>
      <c r="R126" s="82"/>
      <c r="S126" s="62"/>
      <c r="T126" s="62"/>
      <c r="V126" s="62"/>
      <c r="W126" s="62"/>
      <c r="X126" s="62"/>
      <c r="Y126" s="62"/>
      <c r="Z126" s="62"/>
      <c r="AA126" s="62"/>
      <c r="AB126" s="62"/>
      <c r="AC126" s="62"/>
      <c r="AD126" s="66"/>
      <c r="AE126" s="45"/>
    </row>
    <row r="127" spans="2:31" ht="12.75" customHeight="1">
      <c r="B127" s="8" t="s">
        <v>96</v>
      </c>
      <c r="C127" s="82"/>
      <c r="D127" s="82"/>
      <c r="E127" s="82"/>
      <c r="F127" s="82"/>
      <c r="G127" s="82"/>
      <c r="H127" s="82"/>
      <c r="I127" s="11"/>
      <c r="J127" s="82"/>
      <c r="K127" s="82"/>
      <c r="L127" s="82"/>
      <c r="M127" s="32">
        <f t="shared" ref="M127:M128" si="178">SUM(G127-SUM(J127:L127))</f>
        <v>0</v>
      </c>
      <c r="N127" s="82"/>
      <c r="O127" s="82"/>
      <c r="P127" s="82"/>
      <c r="Q127" s="32">
        <f t="shared" ref="Q127:Q128" si="179">SUM(H127-SUM(N127:P127))</f>
        <v>0</v>
      </c>
      <c r="R127" s="82"/>
      <c r="S127" s="82"/>
      <c r="T127" s="82"/>
      <c r="V127" s="32">
        <f t="shared" ref="V127:AC128" si="180">SUM(J127:M127)</f>
        <v>0</v>
      </c>
      <c r="W127" s="32">
        <f t="shared" si="180"/>
        <v>0</v>
      </c>
      <c r="X127" s="32">
        <f t="shared" si="180"/>
        <v>0</v>
      </c>
      <c r="Y127" s="32">
        <f t="shared" si="180"/>
        <v>0</v>
      </c>
      <c r="Z127" s="32">
        <f t="shared" si="180"/>
        <v>0</v>
      </c>
      <c r="AA127" s="32">
        <f t="shared" si="180"/>
        <v>0</v>
      </c>
      <c r="AB127" s="32">
        <f t="shared" si="180"/>
        <v>0</v>
      </c>
      <c r="AC127" s="32">
        <f t="shared" si="180"/>
        <v>0</v>
      </c>
      <c r="AD127" s="66"/>
      <c r="AE127" s="45"/>
    </row>
    <row r="128" spans="2:31" ht="12.75" customHeight="1">
      <c r="B128" s="8" t="s">
        <v>114</v>
      </c>
      <c r="C128" s="82"/>
      <c r="D128" s="82"/>
      <c r="E128" s="82"/>
      <c r="F128" s="82"/>
      <c r="G128" s="82"/>
      <c r="H128" s="82"/>
      <c r="I128" s="32"/>
      <c r="J128" s="82"/>
      <c r="K128" s="82"/>
      <c r="L128" s="82"/>
      <c r="M128" s="32">
        <f t="shared" si="178"/>
        <v>0</v>
      </c>
      <c r="N128" s="82"/>
      <c r="O128" s="82"/>
      <c r="P128" s="82"/>
      <c r="Q128" s="32">
        <f t="shared" si="179"/>
        <v>0</v>
      </c>
      <c r="R128" s="82"/>
      <c r="S128" s="82"/>
      <c r="T128" s="82"/>
      <c r="U128" s="32"/>
      <c r="V128" s="32">
        <f t="shared" si="180"/>
        <v>0</v>
      </c>
      <c r="W128" s="32">
        <f t="shared" si="180"/>
        <v>0</v>
      </c>
      <c r="X128" s="32">
        <f t="shared" si="180"/>
        <v>0</v>
      </c>
      <c r="Y128" s="32">
        <f t="shared" si="180"/>
        <v>0</v>
      </c>
      <c r="Z128" s="32">
        <f t="shared" si="180"/>
        <v>0</v>
      </c>
      <c r="AA128" s="32">
        <f t="shared" si="180"/>
        <v>0</v>
      </c>
      <c r="AB128" s="32">
        <f t="shared" si="180"/>
        <v>0</v>
      </c>
      <c r="AC128" s="32">
        <f t="shared" si="180"/>
        <v>0</v>
      </c>
      <c r="AD128" s="11"/>
      <c r="AE128" s="45"/>
    </row>
    <row r="129" spans="2:31" ht="5.0999999999999996" customHeight="1" thickBot="1">
      <c r="B129" s="73"/>
      <c r="C129" s="74"/>
      <c r="D129" s="74"/>
      <c r="E129" s="74"/>
      <c r="F129" s="74"/>
      <c r="G129" s="74"/>
      <c r="H129" s="74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E129" s="45"/>
    </row>
    <row r="130" spans="2:31" ht="12.75" customHeight="1">
      <c r="B130" s="53"/>
      <c r="C130" s="67"/>
      <c r="D130" s="67"/>
      <c r="E130" s="67"/>
      <c r="F130" s="67"/>
      <c r="G130" s="67"/>
      <c r="H130" s="67"/>
    </row>
    <row r="131" spans="2:31" ht="12.75" customHeight="1">
      <c r="C131" s="56"/>
      <c r="D131" s="56"/>
      <c r="E131" s="56"/>
      <c r="F131" s="56"/>
      <c r="G131" s="56"/>
      <c r="H131" s="56"/>
    </row>
    <row r="132" spans="2:31" ht="12.75" customHeight="1"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31" ht="12.75" customHeight="1"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31" ht="12.75" customHeight="1"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31" ht="12.75" customHeight="1"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31" ht="12.75" customHeight="1"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86"/>
    </row>
    <row r="137" spans="2:31" ht="12.75" customHeight="1"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31" ht="12.75" customHeight="1"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86"/>
    </row>
    <row r="139" spans="2:31">
      <c r="F139" s="56"/>
      <c r="G139" s="56"/>
      <c r="H139" s="56"/>
      <c r="I139" s="56"/>
      <c r="J139" s="56"/>
      <c r="K139" s="56"/>
      <c r="L139" s="56"/>
      <c r="M139" s="56"/>
      <c r="N139" s="56"/>
      <c r="O139" s="86"/>
    </row>
    <row r="140" spans="2:31">
      <c r="F140" s="56"/>
      <c r="G140" s="56"/>
      <c r="H140" s="56"/>
      <c r="I140" s="56"/>
      <c r="J140" s="56"/>
      <c r="K140" s="56"/>
      <c r="L140" s="56"/>
      <c r="M140" s="56"/>
      <c r="N140" s="56"/>
      <c r="O140" s="86"/>
    </row>
    <row r="141" spans="2:31"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31">
      <c r="F142" s="56"/>
      <c r="G142" s="56"/>
      <c r="H142" s="56"/>
      <c r="I142" s="56"/>
      <c r="J142" s="56"/>
      <c r="K142" s="56"/>
      <c r="L142" s="56"/>
      <c r="M142" s="56"/>
      <c r="N142" s="56"/>
      <c r="O142" s="86"/>
    </row>
    <row r="143" spans="2:31">
      <c r="F143" s="56"/>
      <c r="G143" s="56"/>
      <c r="H143" s="56"/>
      <c r="I143" s="56"/>
      <c r="J143" s="56"/>
      <c r="K143" s="56"/>
      <c r="L143" s="56"/>
      <c r="M143" s="56"/>
      <c r="N143" s="56"/>
      <c r="O143" s="86"/>
    </row>
    <row r="144" spans="2:31"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6:14">
      <c r="F145" s="56"/>
      <c r="G145" s="56"/>
      <c r="H145" s="56"/>
      <c r="I145" s="56"/>
      <c r="J145" s="56"/>
      <c r="K145" s="56"/>
      <c r="L145" s="56"/>
      <c r="M145" s="56"/>
      <c r="N145" s="56"/>
    </row>
  </sheetData>
  <mergeCells count="3">
    <mergeCell ref="AE6:AE8"/>
    <mergeCell ref="AE42:AE44"/>
    <mergeCell ref="AE86:AE88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B15:AB16 AB30 I53 V22:Z23 V25:Z26" formulaRange="1"/>
    <ignoredError sqref="E15:H16 E22:H23 E35:H35 J15:T16 J21:T23 J35:T35 J25:T26 E25:H26 AC107:AE109 AC100:AE101 AD106 J30:T30 E30:H30 AC102:AD102 AD110:AE110" evalError="1"/>
    <ignoredError sqref="V120:AC120 V119:AC119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B15"/>
  <sheetViews>
    <sheetView showGridLines="0" zoomScale="115" zoomScaleNormal="115" workbookViewId="0">
      <selection activeCell="A9" sqref="A9"/>
    </sheetView>
  </sheetViews>
  <sheetFormatPr defaultRowHeight="12" outlineLevelCol="1"/>
  <cols>
    <col min="1" max="1" width="1.5" style="8" customWidth="1"/>
    <col min="2" max="2" width="46.5" style="8" bestFit="1" customWidth="1"/>
    <col min="3" max="3" width="8.625" style="8" customWidth="1" outlineLevel="1"/>
    <col min="4" max="6" width="8.625" style="8" bestFit="1" customWidth="1"/>
    <col min="7" max="7" width="1.5" style="8" customWidth="1"/>
    <col min="8" max="10" width="8" style="8" hidden="1" customWidth="1" outlineLevel="1"/>
    <col min="11" max="11" width="8.75" style="8" hidden="1" customWidth="1" outlineLevel="1"/>
    <col min="12" max="12" width="8.5" style="8" customWidth="1" collapsed="1"/>
    <col min="13" max="13" width="8.25" style="8" bestFit="1" customWidth="1"/>
    <col min="14" max="14" width="8.5" style="8" bestFit="1" customWidth="1"/>
    <col min="15" max="18" width="9.125" style="8" bestFit="1" customWidth="1"/>
    <col min="19" max="19" width="1.5" style="8" customWidth="1"/>
    <col min="20" max="21" width="8.75" style="8" hidden="1" customWidth="1" outlineLevel="1"/>
    <col min="22" max="22" width="8.75" style="8" bestFit="1" customWidth="1" collapsed="1"/>
    <col min="23" max="25" width="8.75" style="8" hidden="1" customWidth="1" outlineLevel="1"/>
    <col min="26" max="26" width="8.75" style="8" bestFit="1" customWidth="1" collapsed="1"/>
    <col min="27" max="27" width="1.5" style="8" customWidth="1"/>
    <col min="28" max="28" width="9.875" style="8" bestFit="1" customWidth="1"/>
    <col min="29" max="16384" width="9" style="8"/>
  </cols>
  <sheetData>
    <row r="2" spans="1:28" s="5" customFormat="1" ht="12.75" customHeight="1">
      <c r="B2" s="1" t="str">
        <f>'Historical Financials'!B2</f>
        <v>ASML Holding NV. (NASDAQ: ASML)</v>
      </c>
      <c r="C2" s="2"/>
      <c r="D2" s="2" t="s">
        <v>0</v>
      </c>
      <c r="E2" s="2"/>
      <c r="F2" s="2"/>
      <c r="G2" s="3"/>
      <c r="H2" s="2"/>
      <c r="I2" s="2"/>
      <c r="J2" s="2"/>
      <c r="K2" s="2"/>
      <c r="L2" s="2" t="s">
        <v>1</v>
      </c>
      <c r="M2" s="2" t="s">
        <v>1</v>
      </c>
      <c r="N2" s="2"/>
      <c r="O2" s="2"/>
      <c r="P2" s="2"/>
      <c r="Q2" s="2"/>
      <c r="R2" s="2"/>
      <c r="S2" s="3"/>
      <c r="T2" s="2" t="s">
        <v>10</v>
      </c>
      <c r="U2" s="2"/>
      <c r="V2" s="2" t="s">
        <v>10</v>
      </c>
      <c r="W2" s="2"/>
      <c r="X2" s="2"/>
      <c r="Y2" s="2"/>
      <c r="Z2" s="2"/>
      <c r="AA2" s="3"/>
      <c r="AB2" s="153" t="s">
        <v>22</v>
      </c>
    </row>
    <row r="3" spans="1:28" s="5" customFormat="1" ht="12.75" customHeight="1">
      <c r="B3" s="6" t="s">
        <v>64</v>
      </c>
      <c r="C3" s="7">
        <f>'Historical Financials'!E7</f>
        <v>2021</v>
      </c>
      <c r="D3" s="7">
        <f>'Historical Financials'!F7</f>
        <v>2022</v>
      </c>
      <c r="E3" s="7">
        <f>'Historical Financials'!G7</f>
        <v>2023</v>
      </c>
      <c r="F3" s="7">
        <f>'Historical Financials'!H7</f>
        <v>2024</v>
      </c>
      <c r="G3" s="3"/>
      <c r="H3" s="7" t="str">
        <f>'Historical Financials'!J7</f>
        <v>1Q23</v>
      </c>
      <c r="I3" s="7" t="str">
        <f>'Historical Financials'!K7</f>
        <v>2Q23</v>
      </c>
      <c r="J3" s="7" t="str">
        <f>'Historical Financials'!L7</f>
        <v>3Q23</v>
      </c>
      <c r="K3" s="7" t="str">
        <f>'Historical Financials'!M7</f>
        <v>4Q23</v>
      </c>
      <c r="L3" s="7" t="str">
        <f>'Historical Financials'!N7</f>
        <v>1Q24</v>
      </c>
      <c r="M3" s="7" t="str">
        <f>'Historical Financials'!O7</f>
        <v>2Q24</v>
      </c>
      <c r="N3" s="7" t="str">
        <f>'Historical Financials'!P7</f>
        <v>3Q24</v>
      </c>
      <c r="O3" s="7" t="str">
        <f>'Historical Financials'!Q7</f>
        <v>4Q24</v>
      </c>
      <c r="P3" s="7" t="str">
        <f>'Historical Financials'!R7</f>
        <v>1Q25</v>
      </c>
      <c r="Q3" s="7" t="str">
        <f>'Historical Financials'!S7</f>
        <v>2Q25</v>
      </c>
      <c r="R3" s="7" t="str">
        <f>'Historical Financials'!T7</f>
        <v>3Q25</v>
      </c>
      <c r="S3" s="4"/>
      <c r="T3" s="4" t="str">
        <f t="shared" ref="T3:Z4" si="0">L3</f>
        <v>1Q24</v>
      </c>
      <c r="U3" s="4" t="str">
        <f t="shared" si="0"/>
        <v>2Q24</v>
      </c>
      <c r="V3" s="4" t="str">
        <f t="shared" si="0"/>
        <v>3Q24</v>
      </c>
      <c r="W3" s="4" t="str">
        <f t="shared" si="0"/>
        <v>4Q24</v>
      </c>
      <c r="X3" s="4" t="str">
        <f t="shared" si="0"/>
        <v>1Q25</v>
      </c>
      <c r="Y3" s="4" t="str">
        <f t="shared" si="0"/>
        <v>2Q25</v>
      </c>
      <c r="Z3" s="4" t="str">
        <f t="shared" si="0"/>
        <v>3Q25</v>
      </c>
      <c r="AA3" s="3"/>
      <c r="AB3" s="153"/>
    </row>
    <row r="4" spans="1:28" s="5" customFormat="1" ht="12.75" customHeight="1">
      <c r="B4" s="6" t="s">
        <v>98</v>
      </c>
      <c r="C4" s="3">
        <f>'Historical Financials'!E8</f>
        <v>0</v>
      </c>
      <c r="D4" s="3">
        <f>'Historical Financials'!F8</f>
        <v>0</v>
      </c>
      <c r="E4" s="3">
        <f>'Historical Financials'!G8</f>
        <v>0</v>
      </c>
      <c r="F4" s="3">
        <f>'Historical Financials'!H8</f>
        <v>0</v>
      </c>
      <c r="G4" s="3"/>
      <c r="H4" s="3">
        <f>'Historical Financials'!J8</f>
        <v>45017</v>
      </c>
      <c r="I4" s="3">
        <f>'Historical Financials'!K8</f>
        <v>45108</v>
      </c>
      <c r="J4" s="3">
        <f>'Historical Financials'!L8</f>
        <v>45199</v>
      </c>
      <c r="K4" s="3">
        <f>'Historical Financials'!M8</f>
        <v>0</v>
      </c>
      <c r="L4" s="3">
        <f>'Historical Financials'!N8</f>
        <v>45381</v>
      </c>
      <c r="M4" s="3">
        <f>'Historical Financials'!O8</f>
        <v>45472</v>
      </c>
      <c r="N4" s="3">
        <f>'Historical Financials'!P8</f>
        <v>45563</v>
      </c>
      <c r="O4" s="3">
        <f>'Historical Financials'!Q8</f>
        <v>0</v>
      </c>
      <c r="P4" s="3">
        <f>'Historical Financials'!R8</f>
        <v>45745</v>
      </c>
      <c r="Q4" s="3">
        <f>'Historical Financials'!S8</f>
        <v>45836</v>
      </c>
      <c r="R4" s="3">
        <f>'Historical Financials'!T8</f>
        <v>45927</v>
      </c>
      <c r="S4" s="3"/>
      <c r="T4" s="3">
        <f t="shared" si="0"/>
        <v>45381</v>
      </c>
      <c r="U4" s="3">
        <f t="shared" si="0"/>
        <v>45472</v>
      </c>
      <c r="V4" s="3">
        <f t="shared" si="0"/>
        <v>45563</v>
      </c>
      <c r="W4" s="3">
        <f t="shared" si="0"/>
        <v>0</v>
      </c>
      <c r="X4" s="3">
        <f t="shared" si="0"/>
        <v>45745</v>
      </c>
      <c r="Y4" s="3">
        <f t="shared" si="0"/>
        <v>45836</v>
      </c>
      <c r="Z4" s="3">
        <f t="shared" si="0"/>
        <v>45927</v>
      </c>
      <c r="AA4" s="3"/>
      <c r="AB4" s="153"/>
    </row>
    <row r="5" spans="1:28" ht="5.0999999999999996" customHeight="1"/>
    <row r="6" spans="1:28">
      <c r="A6" s="36" t="s">
        <v>16</v>
      </c>
      <c r="B6" s="1" t="s">
        <v>84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5.0999999999999996" customHeight="1"/>
    <row r="8" spans="1:28" ht="12.75" customHeight="1">
      <c r="A8" s="80"/>
      <c r="B8" s="78" t="s">
        <v>83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5"/>
      <c r="T8" s="11"/>
      <c r="U8" s="11"/>
      <c r="V8" s="11"/>
      <c r="W8" s="11"/>
      <c r="X8" s="11"/>
      <c r="Y8" s="11"/>
      <c r="AB8" s="12"/>
    </row>
    <row r="9" spans="1:28" ht="12.75" customHeight="1">
      <c r="B9" s="9" t="s">
        <v>115</v>
      </c>
      <c r="C9" s="81">
        <v>3694</v>
      </c>
      <c r="D9" s="81">
        <v>6043</v>
      </c>
      <c r="E9" s="81">
        <v>6496</v>
      </c>
      <c r="F9" s="81">
        <v>12579</v>
      </c>
      <c r="G9" s="81"/>
      <c r="H9" s="81">
        <v>1295</v>
      </c>
      <c r="I9" s="81">
        <v>1321</v>
      </c>
      <c r="J9" s="81">
        <v>1598</v>
      </c>
      <c r="K9" s="125">
        <f>SUM(E9-SUM(H9:J9))</f>
        <v>2282</v>
      </c>
      <c r="L9" s="81">
        <v>2337</v>
      </c>
      <c r="M9" s="81">
        <v>2834</v>
      </c>
      <c r="N9" s="81">
        <v>3549</v>
      </c>
      <c r="O9" s="125">
        <f>SUM(F9-SUM(L9:N9))</f>
        <v>3859</v>
      </c>
      <c r="P9" s="81">
        <v>3674</v>
      </c>
      <c r="Q9" s="81">
        <v>3240</v>
      </c>
      <c r="R9" s="81">
        <v>4341</v>
      </c>
      <c r="S9" s="11"/>
      <c r="T9" s="125">
        <f t="shared" ref="T9:Z12" si="1">SUM(I9:L9)</f>
        <v>7538</v>
      </c>
      <c r="U9" s="125">
        <f t="shared" si="1"/>
        <v>9051</v>
      </c>
      <c r="V9" s="125">
        <f t="shared" si="1"/>
        <v>11002</v>
      </c>
      <c r="W9" s="125">
        <f t="shared" si="1"/>
        <v>12579</v>
      </c>
      <c r="X9" s="125">
        <f t="shared" si="1"/>
        <v>13916</v>
      </c>
      <c r="Y9" s="125">
        <f t="shared" si="1"/>
        <v>14322</v>
      </c>
      <c r="Z9" s="125">
        <f t="shared" si="1"/>
        <v>15114</v>
      </c>
      <c r="AB9" s="12">
        <f t="shared" ref="AB9:AB13" si="2">SUM(Z9/V9)-1</f>
        <v>0.37375022723141238</v>
      </c>
    </row>
    <row r="10" spans="1:28" ht="12.75" customHeight="1">
      <c r="B10" s="9" t="s">
        <v>117</v>
      </c>
      <c r="C10" s="81">
        <v>6887</v>
      </c>
      <c r="D10" s="81">
        <v>6201</v>
      </c>
      <c r="E10" s="81">
        <v>4651</v>
      </c>
      <c r="F10" s="81">
        <v>7054</v>
      </c>
      <c r="G10" s="81"/>
      <c r="H10" s="81">
        <v>739</v>
      </c>
      <c r="I10" s="81">
        <v>998</v>
      </c>
      <c r="J10" s="81">
        <v>1453</v>
      </c>
      <c r="K10" s="125">
        <f>SUM(E10-SUM(H10:J10))</f>
        <v>1461</v>
      </c>
      <c r="L10" s="81">
        <v>1368</v>
      </c>
      <c r="M10" s="81">
        <v>1492</v>
      </c>
      <c r="N10" s="81">
        <v>1881</v>
      </c>
      <c r="O10" s="125">
        <f>SUM(F10-SUM(L10:N10))</f>
        <v>2313</v>
      </c>
      <c r="P10" s="81">
        <v>2294</v>
      </c>
      <c r="Q10" s="81">
        <v>2499</v>
      </c>
      <c r="R10" s="81">
        <v>2750</v>
      </c>
      <c r="S10" s="11"/>
      <c r="T10" s="125">
        <f t="shared" si="1"/>
        <v>5280</v>
      </c>
      <c r="U10" s="125">
        <f t="shared" si="1"/>
        <v>5774</v>
      </c>
      <c r="V10" s="125">
        <f t="shared" si="1"/>
        <v>6202</v>
      </c>
      <c r="W10" s="125">
        <f t="shared" si="1"/>
        <v>7054</v>
      </c>
      <c r="X10" s="125">
        <f t="shared" si="1"/>
        <v>7980</v>
      </c>
      <c r="Y10" s="125">
        <f t="shared" si="1"/>
        <v>8987</v>
      </c>
      <c r="Z10" s="125">
        <f t="shared" si="1"/>
        <v>9856</v>
      </c>
      <c r="AB10" s="12">
        <f t="shared" si="2"/>
        <v>0.5891647855530473</v>
      </c>
    </row>
    <row r="11" spans="1:28" ht="12.75" customHeight="1">
      <c r="B11" s="9" t="s">
        <v>116</v>
      </c>
      <c r="C11" s="81">
        <v>5607</v>
      </c>
      <c r="D11" s="81">
        <v>6805</v>
      </c>
      <c r="E11" s="81">
        <v>6212</v>
      </c>
      <c r="F11" s="81">
        <v>2595</v>
      </c>
      <c r="G11" s="81"/>
      <c r="H11" s="81">
        <v>1757</v>
      </c>
      <c r="I11" s="81">
        <v>1581</v>
      </c>
      <c r="J11" s="81">
        <v>1506</v>
      </c>
      <c r="K11" s="125">
        <f>SUM(E11-SUM(H11:J11))</f>
        <v>1368</v>
      </c>
      <c r="L11" s="81">
        <v>922</v>
      </c>
      <c r="M11" s="81">
        <v>648</v>
      </c>
      <c r="N11" s="81">
        <v>462</v>
      </c>
      <c r="O11" s="125">
        <f>SUM(F11-SUM(L11:N11))</f>
        <v>563</v>
      </c>
      <c r="P11" s="81">
        <v>647</v>
      </c>
      <c r="Q11" s="81">
        <v>1122</v>
      </c>
      <c r="R11" s="81">
        <v>1298</v>
      </c>
      <c r="S11" s="11"/>
      <c r="T11" s="125">
        <f t="shared" si="1"/>
        <v>5377</v>
      </c>
      <c r="U11" s="125">
        <f t="shared" si="1"/>
        <v>4444</v>
      </c>
      <c r="V11" s="125">
        <f t="shared" si="1"/>
        <v>3400</v>
      </c>
      <c r="W11" s="125">
        <f t="shared" si="1"/>
        <v>2595</v>
      </c>
      <c r="X11" s="125">
        <f t="shared" si="1"/>
        <v>2320</v>
      </c>
      <c r="Y11" s="125">
        <f t="shared" si="1"/>
        <v>2794</v>
      </c>
      <c r="Z11" s="125">
        <f t="shared" si="1"/>
        <v>3630</v>
      </c>
      <c r="AB11" s="12">
        <f t="shared" si="2"/>
        <v>6.7647058823529393E-2</v>
      </c>
    </row>
    <row r="12" spans="1:28" ht="12.75" customHeight="1">
      <c r="B12" s="9" t="s">
        <v>118</v>
      </c>
      <c r="C12" s="81">
        <v>246</v>
      </c>
      <c r="D12" s="81">
        <v>4552</v>
      </c>
      <c r="E12" s="81">
        <v>5321</v>
      </c>
      <c r="F12" s="81">
        <v>3557</v>
      </c>
      <c r="G12" s="81"/>
      <c r="H12" s="81">
        <v>1562</v>
      </c>
      <c r="I12" s="81">
        <v>1459</v>
      </c>
      <c r="J12" s="81">
        <v>1243</v>
      </c>
      <c r="K12" s="125">
        <f>SUM(E12-SUM(H12:J12))</f>
        <v>1057</v>
      </c>
      <c r="L12" s="81">
        <v>846</v>
      </c>
      <c r="M12" s="81">
        <v>861</v>
      </c>
      <c r="N12" s="81">
        <v>927</v>
      </c>
      <c r="O12" s="125">
        <f>SUM(F12-SUM(L12:N12))</f>
        <v>923</v>
      </c>
      <c r="P12" s="81">
        <v>823</v>
      </c>
      <c r="Q12" s="81">
        <v>824</v>
      </c>
      <c r="R12" s="81">
        <v>857</v>
      </c>
      <c r="S12" s="11"/>
      <c r="T12" s="125">
        <f t="shared" si="1"/>
        <v>4605</v>
      </c>
      <c r="U12" s="125">
        <f t="shared" si="1"/>
        <v>4007</v>
      </c>
      <c r="V12" s="125">
        <f t="shared" si="1"/>
        <v>3691</v>
      </c>
      <c r="W12" s="125">
        <f t="shared" si="1"/>
        <v>3557</v>
      </c>
      <c r="X12" s="125">
        <f t="shared" si="1"/>
        <v>3534</v>
      </c>
      <c r="Y12" s="125">
        <f t="shared" si="1"/>
        <v>3497</v>
      </c>
      <c r="Z12" s="125">
        <f t="shared" si="1"/>
        <v>3427</v>
      </c>
      <c r="AB12" s="12">
        <f t="shared" si="2"/>
        <v>-7.1525331888377175E-2</v>
      </c>
    </row>
    <row r="13" spans="1:28" ht="12.75" customHeight="1">
      <c r="B13" s="13" t="s">
        <v>65</v>
      </c>
      <c r="C13" s="34">
        <f>SUM(C9:C12)</f>
        <v>16434</v>
      </c>
      <c r="D13" s="34">
        <f>SUM(D9:D12)</f>
        <v>23601</v>
      </c>
      <c r="E13" s="34">
        <f>SUM(E9:E12)</f>
        <v>22680</v>
      </c>
      <c r="F13" s="34">
        <f>SUM(F9:F12)</f>
        <v>25785</v>
      </c>
      <c r="G13" s="11"/>
      <c r="H13" s="34">
        <f t="shared" ref="H13:R13" si="3">SUM(H9:H12)</f>
        <v>5353</v>
      </c>
      <c r="I13" s="34">
        <f t="shared" si="3"/>
        <v>5359</v>
      </c>
      <c r="J13" s="34">
        <f t="shared" si="3"/>
        <v>5800</v>
      </c>
      <c r="K13" s="34">
        <f t="shared" si="3"/>
        <v>6168</v>
      </c>
      <c r="L13" s="34">
        <f t="shared" si="3"/>
        <v>5473</v>
      </c>
      <c r="M13" s="34">
        <f t="shared" si="3"/>
        <v>5835</v>
      </c>
      <c r="N13" s="34">
        <f t="shared" si="3"/>
        <v>6819</v>
      </c>
      <c r="O13" s="34">
        <f t="shared" si="3"/>
        <v>7658</v>
      </c>
      <c r="P13" s="34">
        <f t="shared" si="3"/>
        <v>7438</v>
      </c>
      <c r="Q13" s="34">
        <f t="shared" si="3"/>
        <v>7685</v>
      </c>
      <c r="R13" s="34">
        <f t="shared" si="3"/>
        <v>9246</v>
      </c>
      <c r="S13" s="5"/>
      <c r="T13" s="34">
        <f t="shared" ref="T13:Z13" si="4">SUM(T9:T12)</f>
        <v>22800</v>
      </c>
      <c r="U13" s="34">
        <f t="shared" si="4"/>
        <v>23276</v>
      </c>
      <c r="V13" s="34">
        <f t="shared" si="4"/>
        <v>24295</v>
      </c>
      <c r="W13" s="34">
        <f t="shared" si="4"/>
        <v>25785</v>
      </c>
      <c r="X13" s="34">
        <f t="shared" si="4"/>
        <v>27750</v>
      </c>
      <c r="Y13" s="34">
        <f t="shared" si="4"/>
        <v>29600</v>
      </c>
      <c r="Z13" s="34">
        <f t="shared" si="4"/>
        <v>32027</v>
      </c>
      <c r="AB13" s="15">
        <f t="shared" si="2"/>
        <v>0.31825478493517179</v>
      </c>
    </row>
    <row r="14" spans="1:28">
      <c r="B14" s="132" t="s">
        <v>85</v>
      </c>
      <c r="C14" s="79">
        <f>+C13-'Historical Financials'!E11</f>
        <v>-2177</v>
      </c>
      <c r="D14" s="79">
        <f>+D13-'Historical Financials'!F11</f>
        <v>2427.5999999999985</v>
      </c>
      <c r="E14" s="79">
        <f>+E13-'Historical Financials'!G11</f>
        <v>-4878.5</v>
      </c>
      <c r="F14" s="79">
        <f>+F13-'Historical Financials'!H11</f>
        <v>-2477.9000000000015</v>
      </c>
      <c r="G14" s="11"/>
      <c r="H14" s="79">
        <f>H13-'Historical Financials'!J11</f>
        <v>5353</v>
      </c>
      <c r="I14" s="79">
        <f>I13-'Historical Financials'!K11</f>
        <v>5359</v>
      </c>
      <c r="J14" s="79">
        <f>J13-'Historical Financials'!L11</f>
        <v>5800</v>
      </c>
      <c r="K14" s="79">
        <f>K13-'Historical Financials'!M11</f>
        <v>-21390.5</v>
      </c>
      <c r="L14" s="79">
        <f>L13-'Historical Financials'!N11</f>
        <v>5473</v>
      </c>
      <c r="M14" s="79">
        <f>M13-'Historical Financials'!O11</f>
        <v>5835</v>
      </c>
      <c r="N14" s="79">
        <f>N13-'Historical Financials'!P11</f>
        <v>6819</v>
      </c>
      <c r="O14" s="79">
        <f>O13-'Historical Financials'!Q11</f>
        <v>-20604.900000000001</v>
      </c>
      <c r="P14" s="79">
        <f>P13-'Historical Financials'!R11</f>
        <v>7438</v>
      </c>
      <c r="Q14" s="79">
        <f>Q13-'Historical Financials'!S11</f>
        <v>7685</v>
      </c>
      <c r="R14" s="79">
        <f>R13-'Historical Financials'!T11</f>
        <v>9246</v>
      </c>
      <c r="S14" s="79"/>
      <c r="T14" s="79">
        <f>+T13-'Historical Financials'!W11</f>
        <v>-4758.5</v>
      </c>
      <c r="U14" s="79">
        <f>+U13-'Historical Financials'!X11</f>
        <v>-4282.5</v>
      </c>
      <c r="V14" s="79">
        <f>+V13-'Historical Financials'!Y11</f>
        <v>-3263.5</v>
      </c>
      <c r="W14" s="79">
        <f>+W13-'Historical Financials'!Z11</f>
        <v>-2477.9000000000015</v>
      </c>
      <c r="X14" s="79">
        <f>+X13-'Historical Financials'!AA11</f>
        <v>-512.90000000000146</v>
      </c>
      <c r="Y14" s="79">
        <f>+Y13-'Historical Financials'!AB11</f>
        <v>1337.0999999999985</v>
      </c>
      <c r="Z14" s="79">
        <f>Z13-'Historical Financials'!AC11</f>
        <v>3764.0999999999985</v>
      </c>
    </row>
    <row r="15" spans="1:28" ht="5.0999999999999996" customHeight="1">
      <c r="B15" s="18"/>
      <c r="C15" s="19"/>
      <c r="D15" s="19"/>
      <c r="E15" s="19"/>
      <c r="F15" s="19"/>
      <c r="G15" s="20"/>
      <c r="H15" s="21"/>
      <c r="I15" s="21"/>
      <c r="J15" s="21"/>
      <c r="K15" s="22"/>
      <c r="L15" s="21"/>
      <c r="M15" s="21"/>
      <c r="N15" s="21"/>
      <c r="O15" s="21"/>
      <c r="P15" s="21"/>
      <c r="Q15" s="21"/>
      <c r="R15" s="21"/>
      <c r="S15" s="20"/>
      <c r="T15" s="20"/>
      <c r="U15" s="20"/>
      <c r="V15" s="20"/>
      <c r="W15" s="20"/>
      <c r="X15" s="20"/>
      <c r="Y15" s="20"/>
      <c r="Z15" s="20"/>
    </row>
  </sheetData>
  <mergeCells count="1">
    <mergeCell ref="AB2:AB4"/>
  </mergeCells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B9:AB12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2" sqref="B2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30" bestFit="1" customWidth="1"/>
    <col min="30" max="16384" width="9" style="8"/>
  </cols>
  <sheetData>
    <row r="2" spans="2:29" s="5" customFormat="1" ht="12.75" customHeight="1">
      <c r="B2" s="1" t="str">
        <f>'Historical Financials'!B2</f>
        <v>ASML Holding NV. (NASDAQ: ASML)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56" t="s">
        <v>22</v>
      </c>
    </row>
    <row r="3" spans="2:29" s="5" customFormat="1" ht="12.75" customHeight="1">
      <c r="B3" s="6" t="s">
        <v>23</v>
      </c>
      <c r="C3" s="7">
        <f>'Historical Financials'!E7</f>
        <v>2021</v>
      </c>
      <c r="D3" s="7">
        <f>'Historical Financials'!F7</f>
        <v>2022</v>
      </c>
      <c r="E3" s="7">
        <f>'Historical Financials'!G7</f>
        <v>2023</v>
      </c>
      <c r="F3" s="7">
        <f>'Historical Financials'!H7</f>
        <v>2024</v>
      </c>
      <c r="G3" s="3"/>
      <c r="H3" s="7" t="str">
        <f>'Historical Financials'!J7</f>
        <v>1Q23</v>
      </c>
      <c r="I3" s="7" t="str">
        <f>'Historical Financials'!K7</f>
        <v>2Q23</v>
      </c>
      <c r="J3" s="7" t="str">
        <f>'Historical Financials'!L7</f>
        <v>3Q23</v>
      </c>
      <c r="K3" s="7" t="str">
        <f>'Historical Financials'!M7</f>
        <v>4Q23</v>
      </c>
      <c r="L3" s="7" t="str">
        <f>'Historical Financials'!N7</f>
        <v>1Q24</v>
      </c>
      <c r="M3" s="7" t="str">
        <f>'Historical Financials'!O7</f>
        <v>2Q24</v>
      </c>
      <c r="N3" s="7" t="str">
        <f>'Historical Financials'!P7</f>
        <v>3Q24</v>
      </c>
      <c r="O3" s="7" t="str">
        <f>'Historical Financials'!Q7</f>
        <v>4Q24</v>
      </c>
      <c r="P3" s="7" t="str">
        <f>'Historical Financials'!R7</f>
        <v>1Q25</v>
      </c>
      <c r="Q3" s="7" t="str">
        <f>'Historical Financials'!S7</f>
        <v>2Q25</v>
      </c>
      <c r="R3" s="7" t="str">
        <f>'Historical Financials'!T7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56"/>
    </row>
    <row r="4" spans="2:29" s="5" customFormat="1" ht="12.75" customHeight="1">
      <c r="B4" s="6" t="s">
        <v>71</v>
      </c>
      <c r="C4" s="3">
        <f>'Historical Financials'!E8</f>
        <v>0</v>
      </c>
      <c r="D4" s="3">
        <f>'Historical Financials'!F8</f>
        <v>0</v>
      </c>
      <c r="E4" s="3">
        <f>'Historical Financials'!G8</f>
        <v>0</v>
      </c>
      <c r="F4" s="3">
        <f>'Historical Financials'!H8</f>
        <v>0</v>
      </c>
      <c r="G4" s="3"/>
      <c r="H4" s="3">
        <f>'Historical Financials'!J8</f>
        <v>45017</v>
      </c>
      <c r="I4" s="3">
        <f>'Historical Financials'!K8</f>
        <v>45108</v>
      </c>
      <c r="J4" s="3">
        <f>'Historical Financials'!L8</f>
        <v>45199</v>
      </c>
      <c r="K4" s="3">
        <f>'Historical Financials'!M8</f>
        <v>0</v>
      </c>
      <c r="L4" s="3">
        <f>'Historical Financials'!N8</f>
        <v>45381</v>
      </c>
      <c r="M4" s="3">
        <f>'Historical Financials'!O8</f>
        <v>45472</v>
      </c>
      <c r="N4" s="3">
        <f>'Historical Financials'!P8</f>
        <v>45563</v>
      </c>
      <c r="O4" s="3">
        <f>'Historical Financials'!Q8</f>
        <v>0</v>
      </c>
      <c r="P4" s="3">
        <f>'Historical Financials'!R8</f>
        <v>45745</v>
      </c>
      <c r="Q4" s="3">
        <f>'Historical Financials'!S8</f>
        <v>45836</v>
      </c>
      <c r="R4" s="3">
        <f>'Historical Financials'!T8</f>
        <v>45927</v>
      </c>
      <c r="S4" s="3"/>
      <c r="T4" s="3">
        <f t="shared" si="0"/>
        <v>0</v>
      </c>
      <c r="U4" s="3">
        <f t="shared" si="0"/>
        <v>45381</v>
      </c>
      <c r="V4" s="3">
        <f t="shared" si="0"/>
        <v>45472</v>
      </c>
      <c r="W4" s="3">
        <f t="shared" si="0"/>
        <v>45563</v>
      </c>
      <c r="X4" s="3">
        <f t="shared" si="0"/>
        <v>0</v>
      </c>
      <c r="Y4" s="3">
        <f t="shared" si="0"/>
        <v>45745</v>
      </c>
      <c r="Z4" s="3">
        <f t="shared" si="0"/>
        <v>45836</v>
      </c>
      <c r="AA4" s="3">
        <f t="shared" si="0"/>
        <v>45927</v>
      </c>
      <c r="AB4" s="3"/>
      <c r="AC4" s="156"/>
    </row>
    <row r="5" spans="2:29" ht="5.0999999999999996" customHeight="1">
      <c r="AC5" s="126"/>
    </row>
    <row r="6" spans="2:29" ht="12.75" customHeight="1">
      <c r="B6" s="9" t="str">
        <f>'Revenue Drivers'!B9</f>
        <v>Data Center</v>
      </c>
      <c r="C6" s="94">
        <f>'Revenue Drivers'!C9</f>
        <v>3694</v>
      </c>
      <c r="D6" s="94">
        <f>'Revenue Drivers'!D9</f>
        <v>6043</v>
      </c>
      <c r="E6" s="94">
        <f>'Revenue Drivers'!E9</f>
        <v>6496</v>
      </c>
      <c r="F6" s="94">
        <f>'Revenue Drivers'!F9</f>
        <v>12579</v>
      </c>
      <c r="G6" s="10"/>
      <c r="H6" s="94">
        <f>'Revenue Drivers'!H9</f>
        <v>1295</v>
      </c>
      <c r="I6" s="94">
        <f>'Revenue Drivers'!I9</f>
        <v>1321</v>
      </c>
      <c r="J6" s="94">
        <f>'Revenue Drivers'!J9</f>
        <v>1598</v>
      </c>
      <c r="K6" s="94">
        <f>'Revenue Drivers'!K9</f>
        <v>2282</v>
      </c>
      <c r="L6" s="94">
        <f>'Revenue Drivers'!L9</f>
        <v>2337</v>
      </c>
      <c r="M6" s="94">
        <f>'Revenue Drivers'!M9</f>
        <v>2834</v>
      </c>
      <c r="N6" s="94">
        <f>'Revenue Drivers'!N9</f>
        <v>3549</v>
      </c>
      <c r="O6" s="94">
        <f>'Revenue Drivers'!O9</f>
        <v>3859</v>
      </c>
      <c r="P6" s="94">
        <f>'Revenue Drivers'!P9</f>
        <v>3674</v>
      </c>
      <c r="Q6" s="94">
        <f>'Revenue Drivers'!Q9</f>
        <v>3240</v>
      </c>
      <c r="R6" s="94">
        <f>'Revenue Drivers'!R9</f>
        <v>4341</v>
      </c>
      <c r="S6" s="5"/>
      <c r="T6" s="143">
        <f t="shared" ref="T6:Z9" si="1">SUM(H6:K6)</f>
        <v>6496</v>
      </c>
      <c r="U6" s="143">
        <f t="shared" si="1"/>
        <v>7538</v>
      </c>
      <c r="V6" s="143">
        <f t="shared" si="1"/>
        <v>9051</v>
      </c>
      <c r="W6" s="143">
        <f t="shared" si="1"/>
        <v>11002</v>
      </c>
      <c r="X6" s="143">
        <f t="shared" si="1"/>
        <v>12579</v>
      </c>
      <c r="Y6" s="143">
        <f t="shared" si="1"/>
        <v>13916</v>
      </c>
      <c r="Z6" s="143">
        <f t="shared" si="1"/>
        <v>14322</v>
      </c>
      <c r="AA6" s="143">
        <f>SUM(O6:R6)</f>
        <v>15114</v>
      </c>
      <c r="AC6" s="127">
        <f t="shared" ref="AC6:AC10" si="2">SUM(AA6/W6)-1</f>
        <v>0.37375022723141238</v>
      </c>
    </row>
    <row r="7" spans="2:29" ht="12.75" customHeight="1">
      <c r="B7" s="9" t="str">
        <f>'Revenue Drivers'!B10</f>
        <v>Client</v>
      </c>
      <c r="C7" s="94">
        <f>'Revenue Drivers'!C10</f>
        <v>6887</v>
      </c>
      <c r="D7" s="94">
        <f>'Revenue Drivers'!D10</f>
        <v>6201</v>
      </c>
      <c r="E7" s="94">
        <f>'Revenue Drivers'!E10</f>
        <v>4651</v>
      </c>
      <c r="F7" s="94">
        <f>'Revenue Drivers'!F10</f>
        <v>7054</v>
      </c>
      <c r="G7" s="10"/>
      <c r="H7" s="94">
        <f>'Revenue Drivers'!H10</f>
        <v>739</v>
      </c>
      <c r="I7" s="94">
        <f>'Revenue Drivers'!I10</f>
        <v>998</v>
      </c>
      <c r="J7" s="94">
        <f>'Revenue Drivers'!J10</f>
        <v>1453</v>
      </c>
      <c r="K7" s="94">
        <f>'Revenue Drivers'!K10</f>
        <v>1461</v>
      </c>
      <c r="L7" s="94">
        <f>'Revenue Drivers'!L10</f>
        <v>1368</v>
      </c>
      <c r="M7" s="94">
        <f>'Revenue Drivers'!M10</f>
        <v>1492</v>
      </c>
      <c r="N7" s="94">
        <f>'Revenue Drivers'!N10</f>
        <v>1881</v>
      </c>
      <c r="O7" s="94">
        <f>'Revenue Drivers'!O10</f>
        <v>2313</v>
      </c>
      <c r="P7" s="94">
        <f>'Revenue Drivers'!P10</f>
        <v>2294</v>
      </c>
      <c r="Q7" s="94">
        <f>'Revenue Drivers'!Q10</f>
        <v>2499</v>
      </c>
      <c r="R7" s="94">
        <f>'Revenue Drivers'!R10</f>
        <v>2750</v>
      </c>
      <c r="S7" s="5"/>
      <c r="T7" s="143">
        <f t="shared" si="1"/>
        <v>4651</v>
      </c>
      <c r="U7" s="143">
        <f t="shared" si="1"/>
        <v>5280</v>
      </c>
      <c r="V7" s="143">
        <f t="shared" si="1"/>
        <v>5774</v>
      </c>
      <c r="W7" s="143">
        <f t="shared" si="1"/>
        <v>6202</v>
      </c>
      <c r="X7" s="143">
        <f t="shared" si="1"/>
        <v>7054</v>
      </c>
      <c r="Y7" s="143">
        <f t="shared" si="1"/>
        <v>7980</v>
      </c>
      <c r="Z7" s="143">
        <f t="shared" si="1"/>
        <v>8987</v>
      </c>
      <c r="AA7" s="143">
        <f>SUM(O7:R7)</f>
        <v>9856</v>
      </c>
      <c r="AC7" s="127">
        <f t="shared" si="2"/>
        <v>0.5891647855530473</v>
      </c>
    </row>
    <row r="8" spans="2:29" ht="12.75" customHeight="1">
      <c r="B8" s="9" t="str">
        <f>'Revenue Drivers'!B11</f>
        <v>Gaming</v>
      </c>
      <c r="C8" s="94">
        <f>'Revenue Drivers'!C11</f>
        <v>5607</v>
      </c>
      <c r="D8" s="94">
        <f>'Revenue Drivers'!D11</f>
        <v>6805</v>
      </c>
      <c r="E8" s="94">
        <f>'Revenue Drivers'!E11</f>
        <v>6212</v>
      </c>
      <c r="F8" s="94">
        <f>'Revenue Drivers'!F11</f>
        <v>2595</v>
      </c>
      <c r="G8" s="10"/>
      <c r="H8" s="94">
        <f>'Revenue Drivers'!H11</f>
        <v>1757</v>
      </c>
      <c r="I8" s="94">
        <f>'Revenue Drivers'!I11</f>
        <v>1581</v>
      </c>
      <c r="J8" s="94">
        <f>'Revenue Drivers'!J11</f>
        <v>1506</v>
      </c>
      <c r="K8" s="94">
        <f>'Revenue Drivers'!K11</f>
        <v>1368</v>
      </c>
      <c r="L8" s="94">
        <f>'Revenue Drivers'!L11</f>
        <v>922</v>
      </c>
      <c r="M8" s="94">
        <f>'Revenue Drivers'!M11</f>
        <v>648</v>
      </c>
      <c r="N8" s="94">
        <f>'Revenue Drivers'!N11</f>
        <v>462</v>
      </c>
      <c r="O8" s="94">
        <f>'Revenue Drivers'!O11</f>
        <v>563</v>
      </c>
      <c r="P8" s="94">
        <f>'Revenue Drivers'!P11</f>
        <v>647</v>
      </c>
      <c r="Q8" s="94">
        <f>'Revenue Drivers'!Q11</f>
        <v>1122</v>
      </c>
      <c r="R8" s="94">
        <f>'Revenue Drivers'!R11</f>
        <v>1298</v>
      </c>
      <c r="S8" s="5"/>
      <c r="T8" s="143">
        <f t="shared" si="1"/>
        <v>6212</v>
      </c>
      <c r="U8" s="143">
        <f t="shared" si="1"/>
        <v>5377</v>
      </c>
      <c r="V8" s="143">
        <f t="shared" si="1"/>
        <v>4444</v>
      </c>
      <c r="W8" s="143">
        <f t="shared" si="1"/>
        <v>3400</v>
      </c>
      <c r="X8" s="143">
        <f t="shared" si="1"/>
        <v>2595</v>
      </c>
      <c r="Y8" s="143">
        <f t="shared" si="1"/>
        <v>2320</v>
      </c>
      <c r="Z8" s="143">
        <f t="shared" si="1"/>
        <v>2794</v>
      </c>
      <c r="AA8" s="143">
        <f>SUM(O8:R8)</f>
        <v>3630</v>
      </c>
      <c r="AC8" s="127">
        <f t="shared" si="2"/>
        <v>6.7647058823529393E-2</v>
      </c>
    </row>
    <row r="9" spans="2:29" ht="12.75" customHeight="1">
      <c r="B9" s="9" t="str">
        <f>'Revenue Drivers'!B12</f>
        <v>Embedded</v>
      </c>
      <c r="C9" s="94">
        <f>'Revenue Drivers'!C12</f>
        <v>246</v>
      </c>
      <c r="D9" s="94">
        <f>'Revenue Drivers'!D12</f>
        <v>4552</v>
      </c>
      <c r="E9" s="94">
        <f>'Revenue Drivers'!E12</f>
        <v>5321</v>
      </c>
      <c r="F9" s="94">
        <f>'Revenue Drivers'!F12</f>
        <v>3557</v>
      </c>
      <c r="G9" s="10"/>
      <c r="H9" s="94">
        <f>'Revenue Drivers'!H12</f>
        <v>1562</v>
      </c>
      <c r="I9" s="94">
        <f>'Revenue Drivers'!I12</f>
        <v>1459</v>
      </c>
      <c r="J9" s="94">
        <f>'Revenue Drivers'!J12</f>
        <v>1243</v>
      </c>
      <c r="K9" s="94">
        <f>'Revenue Drivers'!K12</f>
        <v>1057</v>
      </c>
      <c r="L9" s="94">
        <f>'Revenue Drivers'!L12</f>
        <v>846</v>
      </c>
      <c r="M9" s="94">
        <f>'Revenue Drivers'!M12</f>
        <v>861</v>
      </c>
      <c r="N9" s="94">
        <f>'Revenue Drivers'!N12</f>
        <v>927</v>
      </c>
      <c r="O9" s="94">
        <f>'Revenue Drivers'!O12</f>
        <v>923</v>
      </c>
      <c r="P9" s="94">
        <f>'Revenue Drivers'!P12</f>
        <v>823</v>
      </c>
      <c r="Q9" s="94">
        <f>'Revenue Drivers'!Q12</f>
        <v>824</v>
      </c>
      <c r="R9" s="94">
        <f>'Revenue Drivers'!R12</f>
        <v>857</v>
      </c>
      <c r="S9" s="5"/>
      <c r="T9" s="143">
        <f t="shared" si="1"/>
        <v>5321</v>
      </c>
      <c r="U9" s="143">
        <f t="shared" si="1"/>
        <v>4605</v>
      </c>
      <c r="V9" s="143">
        <f t="shared" si="1"/>
        <v>4007</v>
      </c>
      <c r="W9" s="143">
        <f t="shared" si="1"/>
        <v>3691</v>
      </c>
      <c r="X9" s="143">
        <f t="shared" si="1"/>
        <v>3557</v>
      </c>
      <c r="Y9" s="143">
        <f t="shared" si="1"/>
        <v>3534</v>
      </c>
      <c r="Z9" s="143">
        <f t="shared" si="1"/>
        <v>3497</v>
      </c>
      <c r="AA9" s="143">
        <f>SUM(O9:R9)</f>
        <v>3427</v>
      </c>
      <c r="AC9" s="127">
        <f t="shared" si="2"/>
        <v>-7.1525331888377175E-2</v>
      </c>
    </row>
    <row r="10" spans="2:29" ht="12.75" customHeight="1">
      <c r="B10" s="13" t="s">
        <v>12</v>
      </c>
      <c r="C10" s="14">
        <f>SUM(C6:C9)</f>
        <v>16434</v>
      </c>
      <c r="D10" s="14">
        <f>SUM(D6:D9)</f>
        <v>23601</v>
      </c>
      <c r="E10" s="14">
        <f>SUM(E6:E9)</f>
        <v>22680</v>
      </c>
      <c r="F10" s="14">
        <f>SUM(F6:F9)</f>
        <v>25785</v>
      </c>
      <c r="G10" s="10"/>
      <c r="H10" s="14">
        <f t="shared" ref="H10:R10" si="3">SUM(H6:H9)</f>
        <v>5353</v>
      </c>
      <c r="I10" s="14">
        <f t="shared" si="3"/>
        <v>5359</v>
      </c>
      <c r="J10" s="14">
        <f t="shared" si="3"/>
        <v>5800</v>
      </c>
      <c r="K10" s="14">
        <f t="shared" si="3"/>
        <v>6168</v>
      </c>
      <c r="L10" s="14">
        <f t="shared" si="3"/>
        <v>5473</v>
      </c>
      <c r="M10" s="14">
        <f t="shared" si="3"/>
        <v>5835</v>
      </c>
      <c r="N10" s="14">
        <f t="shared" si="3"/>
        <v>6819</v>
      </c>
      <c r="O10" s="14">
        <f t="shared" si="3"/>
        <v>7658</v>
      </c>
      <c r="P10" s="14">
        <f t="shared" si="3"/>
        <v>7438</v>
      </c>
      <c r="Q10" s="14">
        <f t="shared" si="3"/>
        <v>7685</v>
      </c>
      <c r="R10" s="14">
        <f t="shared" si="3"/>
        <v>9246</v>
      </c>
      <c r="S10" s="5"/>
      <c r="T10" s="14">
        <f t="shared" ref="T10:AA10" si="4">SUM(T6:T9)</f>
        <v>22680</v>
      </c>
      <c r="U10" s="14">
        <f t="shared" si="4"/>
        <v>22800</v>
      </c>
      <c r="V10" s="14">
        <f t="shared" si="4"/>
        <v>23276</v>
      </c>
      <c r="W10" s="14">
        <f t="shared" si="4"/>
        <v>24295</v>
      </c>
      <c r="X10" s="14">
        <f t="shared" si="4"/>
        <v>25785</v>
      </c>
      <c r="Y10" s="14">
        <f t="shared" si="4"/>
        <v>27750</v>
      </c>
      <c r="Z10" s="14">
        <f t="shared" si="4"/>
        <v>29600</v>
      </c>
      <c r="AA10" s="14">
        <f t="shared" si="4"/>
        <v>32027</v>
      </c>
      <c r="AC10" s="128">
        <f t="shared" si="2"/>
        <v>0.31825478493517179</v>
      </c>
    </row>
    <row r="11" spans="2:29" ht="12.75" customHeight="1">
      <c r="B11" s="16" t="s">
        <v>26</v>
      </c>
      <c r="C11" s="115"/>
      <c r="D11" s="17">
        <f>SUM(D10/C10)-1</f>
        <v>0.43610806863818907</v>
      </c>
      <c r="E11" s="17">
        <f>SUM(E10/D10)-1</f>
        <v>-3.9023770179229644E-2</v>
      </c>
      <c r="F11" s="17">
        <f>SUM(F10/E10)-1</f>
        <v>0.13690476190476186</v>
      </c>
      <c r="G11" s="11"/>
      <c r="H11" s="115"/>
      <c r="I11" s="115"/>
      <c r="J11" s="115"/>
      <c r="K11" s="115"/>
      <c r="L11" s="17">
        <f t="shared" ref="L11:R11" si="5">SUM(L10/H10)-1</f>
        <v>2.2417336073230043E-2</v>
      </c>
      <c r="M11" s="17">
        <f t="shared" si="5"/>
        <v>8.882254151894009E-2</v>
      </c>
      <c r="N11" s="17">
        <f t="shared" si="5"/>
        <v>0.17568965517241386</v>
      </c>
      <c r="O11" s="17">
        <f t="shared" si="5"/>
        <v>0.24156939040207526</v>
      </c>
      <c r="P11" s="17">
        <f t="shared" si="5"/>
        <v>0.35903526402338759</v>
      </c>
      <c r="Q11" s="17">
        <f t="shared" si="5"/>
        <v>0.31705227077977716</v>
      </c>
      <c r="R11" s="17">
        <f t="shared" si="5"/>
        <v>0.35591728992520899</v>
      </c>
      <c r="S11" s="5"/>
      <c r="T11" s="115"/>
      <c r="U11" s="115"/>
      <c r="V11" s="115"/>
      <c r="W11" s="115"/>
      <c r="X11" s="17">
        <f t="shared" ref="X11:AA11" si="6">SUM(X10/T10)-1</f>
        <v>0.13690476190476186</v>
      </c>
      <c r="Y11" s="17">
        <f t="shared" si="6"/>
        <v>0.21710526315789469</v>
      </c>
      <c r="Z11" s="17">
        <f t="shared" si="6"/>
        <v>0.27169616772641336</v>
      </c>
      <c r="AA11" s="17">
        <f t="shared" si="6"/>
        <v>0.31825478493517179</v>
      </c>
      <c r="AC11" s="129">
        <f>SUM(AA11-W11)*10000</f>
        <v>3182.547849351718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>
        <f t="shared" ref="I12:R12" si="7">SUM(I10/H10)-1</f>
        <v>1.1208668036615244E-3</v>
      </c>
      <c r="J12" s="17">
        <f t="shared" si="7"/>
        <v>8.2291472289606205E-2</v>
      </c>
      <c r="K12" s="17">
        <f t="shared" si="7"/>
        <v>6.3448275862068915E-2</v>
      </c>
      <c r="L12" s="17">
        <f t="shared" si="7"/>
        <v>-0.11267833981841768</v>
      </c>
      <c r="M12" s="17">
        <f t="shared" si="7"/>
        <v>6.6142883245021045E-2</v>
      </c>
      <c r="N12" s="17">
        <f t="shared" si="7"/>
        <v>0.16863753213367616</v>
      </c>
      <c r="O12" s="17">
        <f t="shared" si="7"/>
        <v>0.12303856870508878</v>
      </c>
      <c r="P12" s="17">
        <f t="shared" si="7"/>
        <v>-2.8728127448419905E-2</v>
      </c>
      <c r="Q12" s="17">
        <f t="shared" si="7"/>
        <v>3.3207851573003433E-2</v>
      </c>
      <c r="R12" s="17">
        <f t="shared" si="7"/>
        <v>0.20312296681847752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6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6"/>
    </row>
    <row r="14" spans="2:29" ht="12.75" customHeight="1">
      <c r="B14" s="23" t="s">
        <v>125</v>
      </c>
      <c r="C14" s="94">
        <f>'Historical Financials'!E13</f>
        <v>-9193.6</v>
      </c>
      <c r="D14" s="94">
        <f>'Historical Financials'!F13</f>
        <v>-10660.7</v>
      </c>
      <c r="E14" s="94">
        <f>'Historical Financials'!G13</f>
        <v>-13784.1</v>
      </c>
      <c r="F14" s="94">
        <f>'Historical Financials'!H13</f>
        <v>-13979.1</v>
      </c>
      <c r="G14" s="10"/>
      <c r="H14" s="94">
        <f>'Historical Financials'!J13</f>
        <v>0</v>
      </c>
      <c r="I14" s="94">
        <f>'Historical Financials'!K13</f>
        <v>0</v>
      </c>
      <c r="J14" s="94">
        <f>'Historical Financials'!L13</f>
        <v>0</v>
      </c>
      <c r="K14" s="94">
        <f>'Historical Financials'!M13</f>
        <v>-13784.1</v>
      </c>
      <c r="L14" s="94">
        <f>'Historical Financials'!N13</f>
        <v>0</v>
      </c>
      <c r="M14" s="94">
        <f>'Historical Financials'!O13</f>
        <v>0</v>
      </c>
      <c r="N14" s="94">
        <f>'Historical Financials'!P13</f>
        <v>0</v>
      </c>
      <c r="O14" s="94">
        <f>'Historical Financials'!Q13</f>
        <v>-13979.1</v>
      </c>
      <c r="P14" s="94">
        <f>'Historical Financials'!R13</f>
        <v>0</v>
      </c>
      <c r="Q14" s="94">
        <f>'Historical Financials'!S13</f>
        <v>0</v>
      </c>
      <c r="R14" s="94">
        <f>'Historical Financials'!T13</f>
        <v>0</v>
      </c>
      <c r="S14" s="5"/>
      <c r="T14" s="143">
        <f t="shared" ref="T14:Z15" si="8">SUM(H14:K14)</f>
        <v>-13784.1</v>
      </c>
      <c r="U14" s="143">
        <f t="shared" si="8"/>
        <v>-13784.1</v>
      </c>
      <c r="V14" s="143">
        <f t="shared" si="8"/>
        <v>-13784.1</v>
      </c>
      <c r="W14" s="143">
        <f t="shared" si="8"/>
        <v>-13784.1</v>
      </c>
      <c r="X14" s="143">
        <f t="shared" si="8"/>
        <v>-13979.1</v>
      </c>
      <c r="Y14" s="143">
        <f t="shared" si="8"/>
        <v>-13979.1</v>
      </c>
      <c r="Z14" s="143">
        <f t="shared" si="8"/>
        <v>-13979.1</v>
      </c>
      <c r="AA14" s="143">
        <f>SUM(O14:R14)</f>
        <v>-13979.1</v>
      </c>
      <c r="AC14" s="127">
        <f t="shared" ref="AC14:AC15" si="9">SUM(AA14/W14)-1</f>
        <v>1.4146734280801709E-2</v>
      </c>
    </row>
    <row r="15" spans="2:29" ht="12.75" customHeight="1">
      <c r="B15" s="23" t="s">
        <v>126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3" t="e">
        <f t="shared" si="8"/>
        <v>#REF!</v>
      </c>
      <c r="U15" s="143" t="e">
        <f t="shared" si="8"/>
        <v>#REF!</v>
      </c>
      <c r="V15" s="143" t="e">
        <f t="shared" si="8"/>
        <v>#REF!</v>
      </c>
      <c r="W15" s="143" t="e">
        <f t="shared" si="8"/>
        <v>#REF!</v>
      </c>
      <c r="X15" s="143" t="e">
        <f t="shared" si="8"/>
        <v>#REF!</v>
      </c>
      <c r="Y15" s="143" t="e">
        <f t="shared" si="8"/>
        <v>#REF!</v>
      </c>
      <c r="Z15" s="143" t="e">
        <f t="shared" si="8"/>
        <v>#REF!</v>
      </c>
      <c r="AA15" s="143" t="e">
        <f>SUM(O15:R15)</f>
        <v>#REF!</v>
      </c>
      <c r="AC15" s="127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8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9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6"/>
    </row>
    <row r="19" spans="2:29" ht="12.75" customHeight="1">
      <c r="B19" s="23" t="s">
        <v>129</v>
      </c>
      <c r="C19" s="142">
        <f>'Historical Financials'!E17</f>
        <v>-1861.6</v>
      </c>
      <c r="D19" s="142">
        <f>'Historical Financials'!F17</f>
        <v>-2282.1</v>
      </c>
      <c r="E19" s="142">
        <f>'Historical Financials'!G17</f>
        <v>-3113.1</v>
      </c>
      <c r="F19" s="142">
        <f>'Historical Financials'!H17</f>
        <v>-3181</v>
      </c>
      <c r="G19" s="94"/>
      <c r="H19" s="142">
        <f>'Historical Financials'!J17</f>
        <v>0</v>
      </c>
      <c r="I19" s="142">
        <f>'Historical Financials'!K17</f>
        <v>0</v>
      </c>
      <c r="J19" s="142">
        <f>'Historical Financials'!L17</f>
        <v>0</v>
      </c>
      <c r="K19" s="142">
        <f>'Historical Financials'!M17</f>
        <v>-3113.1</v>
      </c>
      <c r="L19" s="142">
        <f>'Historical Financials'!N17</f>
        <v>0</v>
      </c>
      <c r="M19" s="142">
        <f>'Historical Financials'!O17</f>
        <v>0</v>
      </c>
      <c r="N19" s="142">
        <f>'Historical Financials'!P17</f>
        <v>0</v>
      </c>
      <c r="O19" s="142">
        <f>'Historical Financials'!Q17</f>
        <v>-3181</v>
      </c>
      <c r="P19" s="142">
        <f>'Historical Financials'!R17</f>
        <v>0</v>
      </c>
      <c r="Q19" s="142">
        <f>'Historical Financials'!S17</f>
        <v>0</v>
      </c>
      <c r="R19" s="142">
        <f>'Historical Financials'!T17</f>
        <v>0</v>
      </c>
      <c r="S19" s="5"/>
      <c r="T19" s="143">
        <f t="shared" ref="T19:Z23" si="32">SUM(H19:K19)</f>
        <v>-3113.1</v>
      </c>
      <c r="U19" s="143">
        <f t="shared" si="32"/>
        <v>-3113.1</v>
      </c>
      <c r="V19" s="143">
        <f t="shared" si="32"/>
        <v>-3113.1</v>
      </c>
      <c r="W19" s="143">
        <f t="shared" si="32"/>
        <v>-3113.1</v>
      </c>
      <c r="X19" s="143">
        <f t="shared" si="32"/>
        <v>-3181</v>
      </c>
      <c r="Y19" s="143">
        <f t="shared" si="32"/>
        <v>-3181</v>
      </c>
      <c r="Z19" s="143">
        <f t="shared" si="32"/>
        <v>-3181</v>
      </c>
      <c r="AA19" s="143">
        <f>SUM(O19:R19)</f>
        <v>-3181</v>
      </c>
      <c r="AC19" s="127">
        <f t="shared" ref="AC19:AC23" si="33">SUM(AA19/W19)-1</f>
        <v>2.1811056503164172E-2</v>
      </c>
    </row>
    <row r="20" spans="2:29" ht="12.75" customHeight="1">
      <c r="B20" s="23" t="s">
        <v>130</v>
      </c>
      <c r="C20" s="142">
        <f>'Historical Financials'!E18</f>
        <v>-725.6</v>
      </c>
      <c r="D20" s="142">
        <f>'Historical Financials'!F18</f>
        <v>-909.6</v>
      </c>
      <c r="E20" s="142">
        <f>'Historical Financials'!G18</f>
        <v>-1149.4000000000001</v>
      </c>
      <c r="F20" s="142">
        <f>'Historical Financials'!H18</f>
        <v>-1165.7</v>
      </c>
      <c r="G20" s="94"/>
      <c r="H20" s="142">
        <f>'Historical Financials'!J18</f>
        <v>0</v>
      </c>
      <c r="I20" s="142">
        <f>'Historical Financials'!K18</f>
        <v>0</v>
      </c>
      <c r="J20" s="142">
        <f>'Historical Financials'!L18</f>
        <v>0</v>
      </c>
      <c r="K20" s="142">
        <f>'Historical Financials'!M18</f>
        <v>-1149.4000000000001</v>
      </c>
      <c r="L20" s="142">
        <f>'Historical Financials'!N18</f>
        <v>0</v>
      </c>
      <c r="M20" s="142">
        <f>'Historical Financials'!O18</f>
        <v>0</v>
      </c>
      <c r="N20" s="142">
        <f>'Historical Financials'!P18</f>
        <v>0</v>
      </c>
      <c r="O20" s="142">
        <f>'Historical Financials'!Q18</f>
        <v>-1165.7</v>
      </c>
      <c r="P20" s="142">
        <f>'Historical Financials'!R18</f>
        <v>0</v>
      </c>
      <c r="Q20" s="142">
        <f>'Historical Financials'!S18</f>
        <v>0</v>
      </c>
      <c r="R20" s="142">
        <f>'Historical Financials'!T18</f>
        <v>0</v>
      </c>
      <c r="S20" s="5"/>
      <c r="T20" s="143">
        <f t="shared" si="32"/>
        <v>-1149.4000000000001</v>
      </c>
      <c r="U20" s="143">
        <f t="shared" si="32"/>
        <v>-1149.4000000000001</v>
      </c>
      <c r="V20" s="143">
        <f t="shared" si="32"/>
        <v>-1149.4000000000001</v>
      </c>
      <c r="W20" s="143">
        <f t="shared" si="32"/>
        <v>-1149.4000000000001</v>
      </c>
      <c r="X20" s="143">
        <f t="shared" si="32"/>
        <v>-1165.7</v>
      </c>
      <c r="Y20" s="143">
        <f t="shared" si="32"/>
        <v>-1165.7</v>
      </c>
      <c r="Z20" s="143">
        <f t="shared" si="32"/>
        <v>-1165.7</v>
      </c>
      <c r="AA20" s="143">
        <f>SUM(O20:R20)</f>
        <v>-1165.7</v>
      </c>
      <c r="AC20" s="127">
        <f t="shared" si="33"/>
        <v>1.4181311988863632E-2</v>
      </c>
    </row>
    <row r="21" spans="2:29" ht="12.75" customHeight="1">
      <c r="B21" s="23" t="s">
        <v>126</v>
      </c>
      <c r="C21" s="142">
        <f>'Historical Financials'!E20</f>
        <v>213.7</v>
      </c>
      <c r="D21" s="142">
        <f>'Historical Financials'!F20</f>
        <v>0</v>
      </c>
      <c r="E21" s="142">
        <f>'Historical Financials'!G20</f>
        <v>0</v>
      </c>
      <c r="F21" s="142">
        <f>'Historical Financials'!H20</f>
        <v>0</v>
      </c>
      <c r="G21" s="94"/>
      <c r="H21" s="142">
        <f>'Historical Financials'!J20</f>
        <v>0</v>
      </c>
      <c r="I21" s="142">
        <f>'Historical Financials'!K20</f>
        <v>0</v>
      </c>
      <c r="J21" s="142">
        <f>'Historical Financials'!L20</f>
        <v>0</v>
      </c>
      <c r="K21" s="142">
        <f>'Historical Financials'!M20</f>
        <v>0</v>
      </c>
      <c r="L21" s="142">
        <f>'Historical Financials'!N20</f>
        <v>0</v>
      </c>
      <c r="M21" s="142">
        <f>'Historical Financials'!O20</f>
        <v>0</v>
      </c>
      <c r="N21" s="142">
        <f>'Historical Financials'!P20</f>
        <v>0</v>
      </c>
      <c r="O21" s="142">
        <f>'Historical Financials'!Q20</f>
        <v>0</v>
      </c>
      <c r="P21" s="142">
        <f>'Historical Financials'!R20</f>
        <v>0</v>
      </c>
      <c r="Q21" s="142">
        <f>'Historical Financials'!S20</f>
        <v>0</v>
      </c>
      <c r="R21" s="142">
        <f>'Historical Financials'!T20</f>
        <v>0</v>
      </c>
      <c r="S21" s="5"/>
      <c r="T21" s="143">
        <f t="shared" si="32"/>
        <v>0</v>
      </c>
      <c r="U21" s="143">
        <f t="shared" si="32"/>
        <v>0</v>
      </c>
      <c r="V21" s="143">
        <f t="shared" si="32"/>
        <v>0</v>
      </c>
      <c r="W21" s="143">
        <f t="shared" si="32"/>
        <v>0</v>
      </c>
      <c r="X21" s="143">
        <f t="shared" si="32"/>
        <v>0</v>
      </c>
      <c r="Y21" s="143">
        <f t="shared" si="32"/>
        <v>0</v>
      </c>
      <c r="Z21" s="143">
        <f t="shared" si="32"/>
        <v>0</v>
      </c>
      <c r="AA21" s="143">
        <f>SUM(O21:R21)</f>
        <v>0</v>
      </c>
      <c r="AC21" s="127" t="e">
        <f t="shared" si="33"/>
        <v>#DIV/0!</v>
      </c>
    </row>
    <row r="22" spans="2:29" ht="12.75" customHeight="1">
      <c r="B22" s="23" t="s">
        <v>127</v>
      </c>
      <c r="C22" s="142" t="e">
        <f>'Historical Financials'!#REF!</f>
        <v>#REF!</v>
      </c>
      <c r="D22" s="142" t="e">
        <f>'Historical Financials'!#REF!</f>
        <v>#REF!</v>
      </c>
      <c r="E22" s="142" t="e">
        <f>'Historical Financials'!#REF!</f>
        <v>#REF!</v>
      </c>
      <c r="F22" s="142" t="e">
        <f>'Historical Financials'!#REF!</f>
        <v>#REF!</v>
      </c>
      <c r="G22" s="94"/>
      <c r="H22" s="142" t="e">
        <f>'Historical Financials'!#REF!</f>
        <v>#REF!</v>
      </c>
      <c r="I22" s="142" t="e">
        <f>'Historical Financials'!#REF!</f>
        <v>#REF!</v>
      </c>
      <c r="J22" s="142" t="e">
        <f>'Historical Financials'!#REF!</f>
        <v>#REF!</v>
      </c>
      <c r="K22" s="142" t="e">
        <f>'Historical Financials'!#REF!</f>
        <v>#REF!</v>
      </c>
      <c r="L22" s="142" t="e">
        <f>'Historical Financials'!#REF!</f>
        <v>#REF!</v>
      </c>
      <c r="M22" s="142" t="e">
        <f>'Historical Financials'!#REF!</f>
        <v>#REF!</v>
      </c>
      <c r="N22" s="142" t="e">
        <f>'Historical Financials'!#REF!</f>
        <v>#REF!</v>
      </c>
      <c r="O22" s="142" t="e">
        <f>'Historical Financials'!#REF!</f>
        <v>#REF!</v>
      </c>
      <c r="P22" s="142" t="e">
        <f>'Historical Financials'!#REF!</f>
        <v>#REF!</v>
      </c>
      <c r="Q22" s="142" t="e">
        <f>'Historical Financials'!#REF!</f>
        <v>#REF!</v>
      </c>
      <c r="R22" s="142" t="e">
        <f>'Historical Financials'!#REF!</f>
        <v>#REF!</v>
      </c>
      <c r="S22" s="5"/>
      <c r="T22" s="143" t="e">
        <f t="shared" si="32"/>
        <v>#REF!</v>
      </c>
      <c r="U22" s="143" t="e">
        <f t="shared" si="32"/>
        <v>#REF!</v>
      </c>
      <c r="V22" s="143" t="e">
        <f t="shared" si="32"/>
        <v>#REF!</v>
      </c>
      <c r="W22" s="143" t="e">
        <f t="shared" si="32"/>
        <v>#REF!</v>
      </c>
      <c r="X22" s="143" t="e">
        <f t="shared" si="32"/>
        <v>#REF!</v>
      </c>
      <c r="Y22" s="143" t="e">
        <f t="shared" si="32"/>
        <v>#REF!</v>
      </c>
      <c r="Z22" s="143" t="e">
        <f t="shared" si="32"/>
        <v>#REF!</v>
      </c>
      <c r="AA22" s="143" t="e">
        <f>SUM(O22:R22)</f>
        <v>#REF!</v>
      </c>
      <c r="AC22" s="127" t="e">
        <f t="shared" si="33"/>
        <v>#REF!</v>
      </c>
    </row>
    <row r="23" spans="2:29" ht="12.75" customHeight="1">
      <c r="B23" s="23" t="s">
        <v>128</v>
      </c>
      <c r="C23" s="142" t="e">
        <f>'Historical Financials'!#REF!</f>
        <v>#REF!</v>
      </c>
      <c r="D23" s="142" t="e">
        <f>'Historical Financials'!#REF!</f>
        <v>#REF!</v>
      </c>
      <c r="E23" s="142" t="e">
        <f>'Historical Financials'!#REF!</f>
        <v>#REF!</v>
      </c>
      <c r="F23" s="142" t="e">
        <f>'Historical Financials'!#REF!</f>
        <v>#REF!</v>
      </c>
      <c r="G23" s="94"/>
      <c r="H23" s="142" t="e">
        <f>'Historical Financials'!#REF!</f>
        <v>#REF!</v>
      </c>
      <c r="I23" s="142" t="e">
        <f>'Historical Financials'!#REF!</f>
        <v>#REF!</v>
      </c>
      <c r="J23" s="142" t="e">
        <f>'Historical Financials'!#REF!</f>
        <v>#REF!</v>
      </c>
      <c r="K23" s="142" t="e">
        <f>'Historical Financials'!#REF!</f>
        <v>#REF!</v>
      </c>
      <c r="L23" s="142" t="e">
        <f>'Historical Financials'!#REF!</f>
        <v>#REF!</v>
      </c>
      <c r="M23" s="142" t="e">
        <f>'Historical Financials'!#REF!</f>
        <v>#REF!</v>
      </c>
      <c r="N23" s="142" t="e">
        <f>'Historical Financials'!#REF!</f>
        <v>#REF!</v>
      </c>
      <c r="O23" s="142" t="e">
        <f>'Historical Financials'!#REF!</f>
        <v>#REF!</v>
      </c>
      <c r="P23" s="142" t="e">
        <f>'Historical Financials'!#REF!</f>
        <v>#REF!</v>
      </c>
      <c r="Q23" s="142" t="e">
        <f>'Historical Financials'!#REF!</f>
        <v>#REF!</v>
      </c>
      <c r="R23" s="142" t="e">
        <f>'Historical Financials'!#REF!</f>
        <v>#REF!</v>
      </c>
      <c r="S23" s="5"/>
      <c r="T23" s="143" t="e">
        <f t="shared" si="32"/>
        <v>#REF!</v>
      </c>
      <c r="U23" s="143" t="e">
        <f t="shared" si="32"/>
        <v>#REF!</v>
      </c>
      <c r="V23" s="143" t="e">
        <f t="shared" si="32"/>
        <v>#REF!</v>
      </c>
      <c r="W23" s="143" t="e">
        <f t="shared" si="32"/>
        <v>#REF!</v>
      </c>
      <c r="X23" s="143" t="e">
        <f t="shared" si="32"/>
        <v>#REF!</v>
      </c>
      <c r="Y23" s="143" t="e">
        <f t="shared" si="32"/>
        <v>#REF!</v>
      </c>
      <c r="Z23" s="143" t="e">
        <f t="shared" si="32"/>
        <v>#REF!</v>
      </c>
      <c r="AA23" s="143" t="e">
        <f>SUM(O23:R23)</f>
        <v>#REF!</v>
      </c>
      <c r="AC23" s="127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8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9" t="e">
        <f>SUM(AA25-W25)*10000</f>
        <v>#REF!</v>
      </c>
    </row>
    <row r="26" spans="2:29" ht="5.0999999999999996" customHeight="1">
      <c r="AC26" s="126"/>
    </row>
    <row r="27" spans="2:29" ht="12.75" customHeight="1">
      <c r="B27" s="31" t="s">
        <v>106</v>
      </c>
      <c r="C27" s="142">
        <f>'Historical Financials'!E94</f>
        <v>862.6</v>
      </c>
      <c r="D27" s="142">
        <f>'Historical Financials'!F94</f>
        <v>875.9</v>
      </c>
      <c r="E27" s="142">
        <f>'Historical Financials'!G94</f>
        <v>1047.5</v>
      </c>
      <c r="F27" s="142">
        <f>'Historical Financials'!H94</f>
        <v>1200.0999999999999</v>
      </c>
      <c r="H27" s="142">
        <f>'Historical Financials'!J94</f>
        <v>0</v>
      </c>
      <c r="I27" s="142">
        <f>'Historical Financials'!K94</f>
        <v>0</v>
      </c>
      <c r="J27" s="142">
        <f>'Historical Financials'!L94</f>
        <v>0</v>
      </c>
      <c r="K27" s="142">
        <f>'Historical Financials'!M94</f>
        <v>1047.5</v>
      </c>
      <c r="L27" s="142">
        <f>'Historical Financials'!N94</f>
        <v>0</v>
      </c>
      <c r="M27" s="142">
        <f>'Historical Financials'!O94</f>
        <v>0</v>
      </c>
      <c r="N27" s="142">
        <f>'Historical Financials'!P94</f>
        <v>0</v>
      </c>
      <c r="O27" s="142">
        <f>'Historical Financials'!Q94</f>
        <v>1200.0999999999999</v>
      </c>
      <c r="P27" s="142">
        <f>'Historical Financials'!R94</f>
        <v>0</v>
      </c>
      <c r="Q27" s="142">
        <f>'Historical Financials'!S94</f>
        <v>0</v>
      </c>
      <c r="R27" s="142">
        <f>'Historical Financials'!T94</f>
        <v>0</v>
      </c>
      <c r="T27" s="10">
        <f t="shared" ref="T27:Z28" si="38">SUM(H27:K27)</f>
        <v>1047.5</v>
      </c>
      <c r="U27" s="10">
        <f t="shared" si="38"/>
        <v>1047.5</v>
      </c>
      <c r="V27" s="10">
        <f t="shared" si="38"/>
        <v>1047.5</v>
      </c>
      <c r="W27" s="10">
        <f t="shared" si="38"/>
        <v>1047.5</v>
      </c>
      <c r="X27" s="10">
        <f t="shared" si="38"/>
        <v>1200.0999999999999</v>
      </c>
      <c r="Y27" s="10">
        <f t="shared" si="38"/>
        <v>1200.0999999999999</v>
      </c>
      <c r="Z27" s="10">
        <f t="shared" si="38"/>
        <v>1200.0999999999999</v>
      </c>
      <c r="AA27" s="10">
        <f>SUM(O27:R27)</f>
        <v>1200.0999999999999</v>
      </c>
      <c r="AC27" s="127">
        <f>SUM(AA27/W27)-1</f>
        <v>0.14568019093078743</v>
      </c>
    </row>
    <row r="28" spans="2:29" ht="12.75" customHeight="1">
      <c r="B28" s="23" t="s">
        <v>131</v>
      </c>
      <c r="C28" s="149" t="e">
        <f>-C21-C15</f>
        <v>#REF!</v>
      </c>
      <c r="D28" s="149" t="e">
        <f t="shared" ref="D28:R28" si="39">-D21-D15</f>
        <v>#REF!</v>
      </c>
      <c r="E28" s="149" t="e">
        <f t="shared" si="39"/>
        <v>#REF!</v>
      </c>
      <c r="F28" s="149" t="e">
        <f t="shared" si="39"/>
        <v>#REF!</v>
      </c>
      <c r="H28" s="149" t="e">
        <f t="shared" si="39"/>
        <v>#REF!</v>
      </c>
      <c r="I28" s="149" t="e">
        <f t="shared" si="39"/>
        <v>#REF!</v>
      </c>
      <c r="J28" s="149" t="e">
        <f t="shared" si="39"/>
        <v>#REF!</v>
      </c>
      <c r="K28" s="149" t="e">
        <f t="shared" si="39"/>
        <v>#REF!</v>
      </c>
      <c r="L28" s="149" t="e">
        <f t="shared" si="39"/>
        <v>#REF!</v>
      </c>
      <c r="M28" s="149" t="e">
        <f t="shared" si="39"/>
        <v>#REF!</v>
      </c>
      <c r="N28" s="149" t="e">
        <f t="shared" si="39"/>
        <v>#REF!</v>
      </c>
      <c r="O28" s="149" t="e">
        <f t="shared" si="39"/>
        <v>#REF!</v>
      </c>
      <c r="P28" s="149" t="e">
        <f t="shared" si="39"/>
        <v>#REF!</v>
      </c>
      <c r="Q28" s="149" t="e">
        <f t="shared" si="39"/>
        <v>#REF!</v>
      </c>
      <c r="R28" s="149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7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8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9" t="e">
        <f>SUM(AA30-W30)*10000</f>
        <v>#REF!</v>
      </c>
    </row>
    <row r="31" spans="2:29" ht="5.0999999999999996" customHeight="1">
      <c r="AC31" s="126"/>
    </row>
    <row r="32" spans="2:29" ht="12.75" customHeight="1">
      <c r="B32" s="31" t="s">
        <v>132</v>
      </c>
      <c r="C32" s="142">
        <f>'Historical Financials'!E96</f>
        <v>-1520.7</v>
      </c>
      <c r="D32" s="142">
        <f>'Historical Financials'!F96</f>
        <v>-4013.6000000000004</v>
      </c>
      <c r="E32" s="142">
        <f>'Historical Financials'!G96</f>
        <v>-948.10000000000014</v>
      </c>
      <c r="F32" s="142">
        <f>'Historical Financials'!H96</f>
        <v>-874.1</v>
      </c>
      <c r="H32" s="142">
        <f>'Historical Financials'!J96</f>
        <v>0</v>
      </c>
      <c r="I32" s="142">
        <f>'Historical Financials'!K96</f>
        <v>0</v>
      </c>
      <c r="J32" s="142">
        <f>'Historical Financials'!L96</f>
        <v>0</v>
      </c>
      <c r="K32" s="142">
        <f>'Historical Financials'!M96</f>
        <v>-948.10000000000014</v>
      </c>
      <c r="L32" s="142">
        <f>'Historical Financials'!N96</f>
        <v>0</v>
      </c>
      <c r="M32" s="142">
        <f>'Historical Financials'!O96</f>
        <v>0</v>
      </c>
      <c r="N32" s="142">
        <f>'Historical Financials'!P96</f>
        <v>0</v>
      </c>
      <c r="O32" s="142">
        <f>'Historical Financials'!Q96</f>
        <v>-874.1</v>
      </c>
      <c r="P32" s="142">
        <f>'Historical Financials'!R96</f>
        <v>0</v>
      </c>
      <c r="Q32" s="142">
        <f>'Historical Financials'!S96</f>
        <v>0</v>
      </c>
      <c r="R32" s="142">
        <f>'Historical Financials'!T96</f>
        <v>0</v>
      </c>
      <c r="T32" s="143">
        <f t="shared" ref="T32:Z34" si="63">SUM(H32:K32)</f>
        <v>-948.10000000000014</v>
      </c>
      <c r="U32" s="143">
        <f t="shared" si="63"/>
        <v>-948.10000000000014</v>
      </c>
      <c r="V32" s="143">
        <f t="shared" si="63"/>
        <v>-948.10000000000014</v>
      </c>
      <c r="W32" s="143">
        <f t="shared" si="63"/>
        <v>-948.10000000000014</v>
      </c>
      <c r="X32" s="143">
        <f t="shared" si="63"/>
        <v>-874.1</v>
      </c>
      <c r="Y32" s="143">
        <f t="shared" si="63"/>
        <v>-874.1</v>
      </c>
      <c r="Z32" s="143">
        <f t="shared" si="63"/>
        <v>-874.1</v>
      </c>
      <c r="AA32" s="143">
        <f>SUM(O32:R32)</f>
        <v>-874.1</v>
      </c>
      <c r="AC32" s="127">
        <f t="shared" ref="AC32:AC34" si="64">SUM(AA32/W32)-1</f>
        <v>-7.8050838519143628E-2</v>
      </c>
    </row>
    <row r="33" spans="2:29" ht="12.75" customHeight="1">
      <c r="B33" s="23" t="s">
        <v>133</v>
      </c>
      <c r="C33" s="149" t="e">
        <f>-C22</f>
        <v>#REF!</v>
      </c>
      <c r="D33" s="149" t="e">
        <f t="shared" ref="D33:F33" si="65">-D22</f>
        <v>#REF!</v>
      </c>
      <c r="E33" s="149" t="e">
        <f t="shared" si="65"/>
        <v>#REF!</v>
      </c>
      <c r="F33" s="149" t="e">
        <f t="shared" si="65"/>
        <v>#REF!</v>
      </c>
      <c r="H33" s="149" t="e">
        <f t="shared" ref="H33:R33" si="66">-H22</f>
        <v>#REF!</v>
      </c>
      <c r="I33" s="149" t="e">
        <f t="shared" si="66"/>
        <v>#REF!</v>
      </c>
      <c r="J33" s="149" t="e">
        <f t="shared" si="66"/>
        <v>#REF!</v>
      </c>
      <c r="K33" s="149" t="e">
        <f t="shared" si="66"/>
        <v>#REF!</v>
      </c>
      <c r="L33" s="149" t="e">
        <f t="shared" si="66"/>
        <v>#REF!</v>
      </c>
      <c r="M33" s="149" t="e">
        <f t="shared" si="66"/>
        <v>#REF!</v>
      </c>
      <c r="N33" s="149" t="e">
        <f t="shared" si="66"/>
        <v>#REF!</v>
      </c>
      <c r="O33" s="149" t="e">
        <f t="shared" si="66"/>
        <v>#REF!</v>
      </c>
      <c r="P33" s="149" t="e">
        <f t="shared" si="66"/>
        <v>#REF!</v>
      </c>
      <c r="Q33" s="149" t="e">
        <f t="shared" si="66"/>
        <v>#REF!</v>
      </c>
      <c r="R33" s="149" t="e">
        <f t="shared" si="66"/>
        <v>#REF!</v>
      </c>
      <c r="T33" s="143" t="e">
        <f t="shared" si="63"/>
        <v>#REF!</v>
      </c>
      <c r="U33" s="143" t="e">
        <f t="shared" si="63"/>
        <v>#REF!</v>
      </c>
      <c r="V33" s="143" t="e">
        <f t="shared" si="63"/>
        <v>#REF!</v>
      </c>
      <c r="W33" s="143" t="e">
        <f t="shared" si="63"/>
        <v>#REF!</v>
      </c>
      <c r="X33" s="143" t="e">
        <f t="shared" si="63"/>
        <v>#REF!</v>
      </c>
      <c r="Y33" s="143" t="e">
        <f t="shared" si="63"/>
        <v>#REF!</v>
      </c>
      <c r="Z33" s="143" t="e">
        <f t="shared" si="63"/>
        <v>#REF!</v>
      </c>
      <c r="AA33" s="143" t="e">
        <f>SUM(O33:R33)</f>
        <v>#REF!</v>
      </c>
      <c r="AC33" s="127" t="e">
        <f t="shared" si="64"/>
        <v>#REF!</v>
      </c>
    </row>
    <row r="34" spans="2:29" ht="12.75" customHeight="1">
      <c r="B34" s="23" t="s">
        <v>134</v>
      </c>
      <c r="C34" s="149" t="e">
        <f>-C23</f>
        <v>#REF!</v>
      </c>
      <c r="D34" s="149" t="e">
        <f t="shared" ref="D34:F34" si="67">-D23</f>
        <v>#REF!</v>
      </c>
      <c r="E34" s="149" t="e">
        <f t="shared" si="67"/>
        <v>#REF!</v>
      </c>
      <c r="F34" s="149" t="e">
        <f t="shared" si="67"/>
        <v>#REF!</v>
      </c>
      <c r="H34" s="149" t="e">
        <f t="shared" ref="H34:R34" si="68">-H23</f>
        <v>#REF!</v>
      </c>
      <c r="I34" s="149" t="e">
        <f t="shared" si="68"/>
        <v>#REF!</v>
      </c>
      <c r="J34" s="149" t="e">
        <f t="shared" si="68"/>
        <v>#REF!</v>
      </c>
      <c r="K34" s="149" t="e">
        <f t="shared" si="68"/>
        <v>#REF!</v>
      </c>
      <c r="L34" s="149" t="e">
        <f t="shared" si="68"/>
        <v>#REF!</v>
      </c>
      <c r="M34" s="149" t="e">
        <f t="shared" si="68"/>
        <v>#REF!</v>
      </c>
      <c r="N34" s="149" t="e">
        <f t="shared" si="68"/>
        <v>#REF!</v>
      </c>
      <c r="O34" s="149" t="e">
        <f t="shared" si="68"/>
        <v>#REF!</v>
      </c>
      <c r="P34" s="149" t="e">
        <f t="shared" si="68"/>
        <v>#REF!</v>
      </c>
      <c r="Q34" s="149" t="e">
        <f t="shared" si="68"/>
        <v>#REF!</v>
      </c>
      <c r="R34" s="149" t="e">
        <f t="shared" si="68"/>
        <v>#REF!</v>
      </c>
      <c r="T34" s="143" t="e">
        <f t="shared" si="63"/>
        <v>#REF!</v>
      </c>
      <c r="U34" s="143" t="e">
        <f t="shared" si="63"/>
        <v>#REF!</v>
      </c>
      <c r="V34" s="143" t="e">
        <f t="shared" si="63"/>
        <v>#REF!</v>
      </c>
      <c r="W34" s="143" t="e">
        <f t="shared" si="63"/>
        <v>#REF!</v>
      </c>
      <c r="X34" s="143" t="e">
        <f t="shared" si="63"/>
        <v>#REF!</v>
      </c>
      <c r="Y34" s="143" t="e">
        <f t="shared" si="63"/>
        <v>#REF!</v>
      </c>
      <c r="Z34" s="143" t="e">
        <f t="shared" si="63"/>
        <v>#REF!</v>
      </c>
      <c r="AA34" s="143" t="e">
        <f>SUM(O34:R34)</f>
        <v>#REF!</v>
      </c>
      <c r="AC34" s="127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8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9" t="e">
        <f>SUM(AA36-W36)*10000</f>
        <v>#REF!</v>
      </c>
    </row>
    <row r="37" spans="2:29" ht="5.0999999999999996" customHeight="1">
      <c r="AC37" s="126"/>
    </row>
    <row r="38" spans="2:29" ht="12.75" customHeight="1">
      <c r="B38" s="23" t="s">
        <v>35</v>
      </c>
      <c r="C38" s="142">
        <f>'Historical Financials'!E103</f>
        <v>-900.7</v>
      </c>
      <c r="D38" s="142">
        <f>'Historical Financials'!F103</f>
        <v>-1281.8</v>
      </c>
      <c r="E38" s="142">
        <f>'Historical Financials'!G103</f>
        <v>-2155.6</v>
      </c>
      <c r="F38" s="142">
        <f>'Historical Financials'!H103</f>
        <v>-2067.1999999999998</v>
      </c>
      <c r="H38" s="142">
        <f>'Historical Financials'!J103</f>
        <v>0</v>
      </c>
      <c r="I38" s="142">
        <f>'Historical Financials'!K103</f>
        <v>0</v>
      </c>
      <c r="J38" s="142">
        <f>'Historical Financials'!L103</f>
        <v>0</v>
      </c>
      <c r="K38" s="142">
        <f>'Historical Financials'!M103</f>
        <v>-2155.6</v>
      </c>
      <c r="L38" s="142">
        <f>'Historical Financials'!N103</f>
        <v>0</v>
      </c>
      <c r="M38" s="142">
        <f>'Historical Financials'!O103</f>
        <v>0</v>
      </c>
      <c r="N38" s="142">
        <f>'Historical Financials'!P103</f>
        <v>0</v>
      </c>
      <c r="O38" s="142">
        <f>'Historical Financials'!Q103</f>
        <v>-2067.1999999999998</v>
      </c>
      <c r="P38" s="142">
        <f>'Historical Financials'!R103</f>
        <v>0</v>
      </c>
      <c r="Q38" s="142">
        <f>'Historical Financials'!S103</f>
        <v>0</v>
      </c>
      <c r="R38" s="142">
        <f>'Historical Financials'!T103</f>
        <v>0</v>
      </c>
      <c r="T38" s="10">
        <f t="shared" ref="T38:AA41" si="91">SUM(H38:K38)</f>
        <v>-2155.6</v>
      </c>
      <c r="U38" s="10">
        <f t="shared" si="91"/>
        <v>-2155.6</v>
      </c>
      <c r="V38" s="10">
        <f t="shared" si="91"/>
        <v>-2155.6</v>
      </c>
      <c r="W38" s="143">
        <f t="shared" si="91"/>
        <v>-2155.6</v>
      </c>
      <c r="X38" s="143">
        <f t="shared" si="91"/>
        <v>-2067.1999999999998</v>
      </c>
      <c r="Y38" s="143">
        <f t="shared" si="91"/>
        <v>-2067.1999999999998</v>
      </c>
      <c r="Z38" s="143">
        <f t="shared" si="91"/>
        <v>-2067.1999999999998</v>
      </c>
      <c r="AA38" s="143">
        <f t="shared" si="91"/>
        <v>-2067.1999999999998</v>
      </c>
      <c r="AC38" s="127">
        <f>SUM(AA38/W38)-1</f>
        <v>-4.1009463722397554E-2</v>
      </c>
    </row>
    <row r="39" spans="2:29" ht="12.75" customHeight="1">
      <c r="B39" s="23" t="s">
        <v>36</v>
      </c>
      <c r="C39" s="142">
        <f>-'Historical Financials'!E128</f>
        <v>0</v>
      </c>
      <c r="D39" s="142">
        <f>-'Historical Financials'!F128</f>
        <v>0</v>
      </c>
      <c r="E39" s="142">
        <f>-'Historical Financials'!G128</f>
        <v>0</v>
      </c>
      <c r="F39" s="142">
        <f>-'Historical Financials'!H128</f>
        <v>0</v>
      </c>
      <c r="H39" s="142">
        <f>-'Historical Financials'!J128</f>
        <v>0</v>
      </c>
      <c r="I39" s="142">
        <f>-'Historical Financials'!K128</f>
        <v>0</v>
      </c>
      <c r="J39" s="142">
        <f>-'Historical Financials'!L128</f>
        <v>0</v>
      </c>
      <c r="K39" s="142">
        <f>-'Historical Financials'!M128</f>
        <v>0</v>
      </c>
      <c r="L39" s="142">
        <f>-'Historical Financials'!N128</f>
        <v>0</v>
      </c>
      <c r="M39" s="142">
        <f>-'Historical Financials'!O128</f>
        <v>0</v>
      </c>
      <c r="N39" s="142">
        <f>-'Historical Financials'!P128</f>
        <v>0</v>
      </c>
      <c r="O39" s="142">
        <f>-'Historical Financials'!Q128</f>
        <v>0</v>
      </c>
      <c r="P39" s="142">
        <f>-'Historical Financials'!R128</f>
        <v>0</v>
      </c>
      <c r="Q39" s="142">
        <f>-'Historical Financials'!S128</f>
        <v>0</v>
      </c>
      <c r="R39" s="142">
        <f>-'Historical Financials'!T128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3">
        <f t="shared" si="91"/>
        <v>0</v>
      </c>
      <c r="X39" s="143">
        <f t="shared" si="91"/>
        <v>0</v>
      </c>
      <c r="Y39" s="143">
        <f t="shared" si="91"/>
        <v>0</v>
      </c>
      <c r="Z39" s="143">
        <f t="shared" si="91"/>
        <v>0</v>
      </c>
      <c r="AA39" s="143">
        <f t="shared" si="91"/>
        <v>0</v>
      </c>
      <c r="AC39" s="127" t="e">
        <f>SUM(AA39/W39)-1</f>
        <v>#DIV/0!</v>
      </c>
    </row>
    <row r="40" spans="2:29" ht="12.75" customHeight="1">
      <c r="B40" s="23" t="s">
        <v>70</v>
      </c>
      <c r="C40" s="142">
        <f>-'Historical Financials'!E127</f>
        <v>0</v>
      </c>
      <c r="D40" s="142">
        <f>-'Historical Financials'!F127</f>
        <v>0</v>
      </c>
      <c r="E40" s="142">
        <f>-'Historical Financials'!G127</f>
        <v>0</v>
      </c>
      <c r="F40" s="142">
        <f>-'Historical Financials'!H127</f>
        <v>0</v>
      </c>
      <c r="H40" s="149">
        <f>$E$40/4</f>
        <v>0</v>
      </c>
      <c r="I40" s="149">
        <f t="shared" ref="I40:K40" si="92">$E$40/4</f>
        <v>0</v>
      </c>
      <c r="J40" s="149">
        <f t="shared" si="92"/>
        <v>0</v>
      </c>
      <c r="K40" s="149">
        <f t="shared" si="92"/>
        <v>0</v>
      </c>
      <c r="L40" s="149">
        <f>$F$40/4</f>
        <v>0</v>
      </c>
      <c r="M40" s="149">
        <f t="shared" ref="M40:O40" si="93">$F$40/4</f>
        <v>0</v>
      </c>
      <c r="N40" s="149">
        <f t="shared" si="93"/>
        <v>0</v>
      </c>
      <c r="O40" s="149">
        <f t="shared" si="93"/>
        <v>0</v>
      </c>
      <c r="P40" s="149">
        <f>O40</f>
        <v>0</v>
      </c>
      <c r="Q40" s="149">
        <f t="shared" ref="Q40:R40" si="94">P40</f>
        <v>0</v>
      </c>
      <c r="R40" s="149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3">
        <f t="shared" si="91"/>
        <v>0</v>
      </c>
      <c r="X40" s="143">
        <f t="shared" si="91"/>
        <v>0</v>
      </c>
      <c r="Y40" s="143">
        <f t="shared" si="91"/>
        <v>0</v>
      </c>
      <c r="Z40" s="143">
        <f t="shared" si="91"/>
        <v>0</v>
      </c>
      <c r="AA40" s="143">
        <f t="shared" si="91"/>
        <v>0</v>
      </c>
      <c r="AC40" s="127" t="e">
        <f>SUM(AA40/W40)-1</f>
        <v>#DIV/0!</v>
      </c>
    </row>
    <row r="41" spans="2:29" ht="12.75" customHeight="1">
      <c r="B41" s="23" t="s">
        <v>37</v>
      </c>
      <c r="C41" s="142" t="e">
        <f>SUM('Historical Financials'!#REF!)</f>
        <v>#REF!</v>
      </c>
      <c r="D41" s="142" t="e">
        <f>SUM('Historical Financials'!#REF!)</f>
        <v>#REF!</v>
      </c>
      <c r="E41" s="142" t="e">
        <f>SUM('Historical Financials'!#REF!)</f>
        <v>#REF!</v>
      </c>
      <c r="F41" s="142" t="e">
        <f>SUM('Historical Financials'!#REF!)</f>
        <v>#REF!</v>
      </c>
      <c r="H41" s="142" t="e">
        <f>SUM('Historical Financials'!#REF!)</f>
        <v>#REF!</v>
      </c>
      <c r="I41" s="142" t="e">
        <f>SUM('Historical Financials'!#REF!)</f>
        <v>#REF!</v>
      </c>
      <c r="J41" s="142" t="e">
        <f>SUM('Historical Financials'!#REF!)</f>
        <v>#REF!</v>
      </c>
      <c r="K41" s="142" t="e">
        <f>SUM('Historical Financials'!#REF!)</f>
        <v>#REF!</v>
      </c>
      <c r="L41" s="142" t="e">
        <f>SUM('Historical Financials'!#REF!)</f>
        <v>#REF!</v>
      </c>
      <c r="M41" s="142" t="e">
        <f>SUM('Historical Financials'!#REF!)</f>
        <v>#REF!</v>
      </c>
      <c r="N41" s="142" t="e">
        <f>SUM('Historical Financials'!#REF!)</f>
        <v>#REF!</v>
      </c>
      <c r="O41" s="142" t="e">
        <f>SUM('Historical Financials'!#REF!)</f>
        <v>#REF!</v>
      </c>
      <c r="P41" s="142" t="e">
        <f>SUM('Historical Financials'!#REF!)</f>
        <v>#REF!</v>
      </c>
      <c r="Q41" s="142" t="e">
        <f>SUM('Historical Financials'!#REF!)</f>
        <v>#REF!</v>
      </c>
      <c r="R41" s="142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3" t="e">
        <f t="shared" si="91"/>
        <v>#REF!</v>
      </c>
      <c r="X41" s="143" t="e">
        <f t="shared" si="91"/>
        <v>#REF!</v>
      </c>
      <c r="Y41" s="143" t="e">
        <f t="shared" si="91"/>
        <v>#REF!</v>
      </c>
      <c r="Z41" s="143" t="e">
        <f t="shared" si="91"/>
        <v>#REF!</v>
      </c>
      <c r="AA41" s="143" t="e">
        <f t="shared" si="91"/>
        <v>#REF!</v>
      </c>
      <c r="AC41" s="127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8" t="e">
        <f>SUM(AA42/W42)-1</f>
        <v>#REF!</v>
      </c>
    </row>
    <row r="43" spans="2:29" ht="5.0999999999999996" customHeight="1"/>
    <row r="44" spans="2:29" ht="12.75" customHeight="1">
      <c r="B44" s="31" t="s">
        <v>99</v>
      </c>
      <c r="C44" s="142">
        <f>'Historical Financials'!E104</f>
        <v>-725</v>
      </c>
      <c r="D44" s="142">
        <f>'Historical Financials'!F104</f>
        <v>-930.6</v>
      </c>
      <c r="E44" s="142">
        <f>'Historical Financials'!G104</f>
        <v>-985.9</v>
      </c>
      <c r="F44" s="142">
        <f>'Historical Financials'!H104</f>
        <v>-1138.4000000000001</v>
      </c>
      <c r="G44" s="32"/>
      <c r="H44" s="142">
        <f>'Historical Financials'!J104</f>
        <v>0</v>
      </c>
      <c r="I44" s="142">
        <f>'Historical Financials'!K104</f>
        <v>0</v>
      </c>
      <c r="J44" s="142">
        <f>'Historical Financials'!L104</f>
        <v>0</v>
      </c>
      <c r="K44" s="142">
        <f>'Historical Financials'!M104</f>
        <v>-985.9</v>
      </c>
      <c r="L44" s="142">
        <f>'Historical Financials'!N104</f>
        <v>0</v>
      </c>
      <c r="M44" s="142">
        <f>'Historical Financials'!O104</f>
        <v>0</v>
      </c>
      <c r="N44" s="142">
        <f>'Historical Financials'!P104</f>
        <v>0</v>
      </c>
      <c r="O44" s="142">
        <f>'Historical Financials'!Q104</f>
        <v>-1138.4000000000001</v>
      </c>
      <c r="P44" s="142">
        <f>'Historical Financials'!R104</f>
        <v>0</v>
      </c>
      <c r="Q44" s="142">
        <f>'Historical Financials'!S104</f>
        <v>0</v>
      </c>
      <c r="R44" s="142">
        <f>'Historical Financials'!T104</f>
        <v>0</v>
      </c>
      <c r="T44" s="143">
        <f t="shared" ref="T44:Z50" si="97">SUM(H44:K44)</f>
        <v>-985.9</v>
      </c>
      <c r="U44" s="143">
        <f t="shared" si="97"/>
        <v>-985.9</v>
      </c>
      <c r="V44" s="143">
        <f t="shared" si="97"/>
        <v>-985.9</v>
      </c>
      <c r="W44" s="143">
        <f t="shared" si="97"/>
        <v>-985.9</v>
      </c>
      <c r="X44" s="143">
        <f t="shared" si="97"/>
        <v>-1138.4000000000001</v>
      </c>
      <c r="Y44" s="143">
        <f t="shared" si="97"/>
        <v>-1138.4000000000001</v>
      </c>
      <c r="Z44" s="143">
        <f t="shared" si="97"/>
        <v>-1138.4000000000001</v>
      </c>
      <c r="AA44" s="143">
        <f t="shared" ref="AA44:AA50" si="98">SUM(O44:R44)</f>
        <v>-1138.4000000000001</v>
      </c>
    </row>
    <row r="45" spans="2:29" ht="12.75" customHeight="1">
      <c r="B45" s="31" t="s">
        <v>89</v>
      </c>
      <c r="C45" s="142">
        <f>'Historical Financials'!E106</f>
        <v>992.7</v>
      </c>
      <c r="D45" s="142">
        <f>'Historical Financials'!F106</f>
        <v>530.4</v>
      </c>
      <c r="E45" s="142">
        <f>'Historical Financials'!G106</f>
        <v>68.399999999999977</v>
      </c>
      <c r="F45" s="142">
        <f>'Historical Financials'!H106</f>
        <v>0</v>
      </c>
      <c r="G45" s="32"/>
      <c r="H45" s="142">
        <f>'Historical Financials'!J106</f>
        <v>0</v>
      </c>
      <c r="I45" s="142">
        <f>'Historical Financials'!K106</f>
        <v>0</v>
      </c>
      <c r="J45" s="142">
        <f>'Historical Financials'!L106</f>
        <v>0</v>
      </c>
      <c r="K45" s="142">
        <f>'Historical Financials'!M106</f>
        <v>68.399999999999977</v>
      </c>
      <c r="L45" s="142">
        <f>'Historical Financials'!N106</f>
        <v>0</v>
      </c>
      <c r="M45" s="142">
        <f>'Historical Financials'!O106</f>
        <v>0</v>
      </c>
      <c r="N45" s="142">
        <f>'Historical Financials'!P106</f>
        <v>0</v>
      </c>
      <c r="O45" s="142">
        <f>'Historical Financials'!Q106</f>
        <v>0</v>
      </c>
      <c r="P45" s="142">
        <f>'Historical Financials'!R106</f>
        <v>0</v>
      </c>
      <c r="Q45" s="142">
        <f>'Historical Financials'!S106</f>
        <v>0</v>
      </c>
      <c r="R45" s="142">
        <f>'Historical Financials'!T106</f>
        <v>0</v>
      </c>
      <c r="T45" s="143">
        <f t="shared" si="97"/>
        <v>68.399999999999977</v>
      </c>
      <c r="U45" s="143">
        <f t="shared" si="97"/>
        <v>68.399999999999977</v>
      </c>
      <c r="V45" s="143">
        <f t="shared" si="97"/>
        <v>68.399999999999977</v>
      </c>
      <c r="W45" s="143">
        <f t="shared" si="97"/>
        <v>68.399999999999977</v>
      </c>
      <c r="X45" s="143">
        <f t="shared" si="97"/>
        <v>0</v>
      </c>
      <c r="Y45" s="143">
        <f t="shared" si="97"/>
        <v>0</v>
      </c>
      <c r="Z45" s="143">
        <f t="shared" si="97"/>
        <v>0</v>
      </c>
      <c r="AA45" s="143">
        <f t="shared" si="98"/>
        <v>0</v>
      </c>
    </row>
    <row r="46" spans="2:29" ht="12.75" customHeight="1">
      <c r="B46" s="31" t="s">
        <v>135</v>
      </c>
      <c r="C46" s="142">
        <f>'Historical Financials'!E105</f>
        <v>-124.4</v>
      </c>
      <c r="D46" s="142">
        <f>'Historical Financials'!F105</f>
        <v>-240</v>
      </c>
      <c r="E46" s="142">
        <f>'Historical Financials'!G105</f>
        <v>-561.5</v>
      </c>
      <c r="F46" s="142">
        <f>'Historical Financials'!H105</f>
        <v>-526.20000000000005</v>
      </c>
      <c r="G46" s="32"/>
      <c r="H46" s="142">
        <f>'Historical Financials'!J105</f>
        <v>0</v>
      </c>
      <c r="I46" s="142">
        <f>'Historical Financials'!K105</f>
        <v>0</v>
      </c>
      <c r="J46" s="142">
        <f>'Historical Financials'!L105</f>
        <v>0</v>
      </c>
      <c r="K46" s="142">
        <f>'Historical Financials'!M105</f>
        <v>-561.5</v>
      </c>
      <c r="L46" s="142">
        <f>'Historical Financials'!N105</f>
        <v>0</v>
      </c>
      <c r="M46" s="142">
        <f>'Historical Financials'!O105</f>
        <v>0</v>
      </c>
      <c r="N46" s="142">
        <f>'Historical Financials'!P105</f>
        <v>0</v>
      </c>
      <c r="O46" s="142">
        <f>'Historical Financials'!Q105</f>
        <v>-526.20000000000005</v>
      </c>
      <c r="P46" s="142">
        <f>'Historical Financials'!R105</f>
        <v>0</v>
      </c>
      <c r="Q46" s="142">
        <f>'Historical Financials'!S105</f>
        <v>0</v>
      </c>
      <c r="R46" s="142">
        <f>'Historical Financials'!T105</f>
        <v>0</v>
      </c>
      <c r="T46" s="143">
        <f t="shared" si="97"/>
        <v>-561.5</v>
      </c>
      <c r="U46" s="143">
        <f t="shared" si="97"/>
        <v>-561.5</v>
      </c>
      <c r="V46" s="143">
        <f t="shared" si="97"/>
        <v>-561.5</v>
      </c>
      <c r="W46" s="143">
        <f t="shared" si="97"/>
        <v>-561.5</v>
      </c>
      <c r="X46" s="143">
        <f t="shared" si="97"/>
        <v>-526.20000000000005</v>
      </c>
      <c r="Y46" s="143">
        <f t="shared" si="97"/>
        <v>-526.20000000000005</v>
      </c>
      <c r="Z46" s="143">
        <f t="shared" si="97"/>
        <v>-526.20000000000005</v>
      </c>
      <c r="AA46" s="143">
        <f t="shared" si="98"/>
        <v>-526.20000000000005</v>
      </c>
    </row>
    <row r="47" spans="2:29" ht="12.75" customHeight="1">
      <c r="B47" s="31" t="s">
        <v>100</v>
      </c>
      <c r="C47" s="142">
        <f>'Historical Financials'!E110</f>
        <v>-73.5</v>
      </c>
      <c r="D47" s="142">
        <f>'Historical Financials'!F110</f>
        <v>-75.600000000000023</v>
      </c>
      <c r="E47" s="142">
        <f>'Historical Financials'!G110</f>
        <v>97.5</v>
      </c>
      <c r="F47" s="142">
        <f>'Historical Financials'!H110</f>
        <v>-84.2</v>
      </c>
      <c r="G47" s="32"/>
      <c r="H47" s="142">
        <f>'Historical Financials'!J110</f>
        <v>0</v>
      </c>
      <c r="I47" s="142">
        <f>'Historical Financials'!K110</f>
        <v>0</v>
      </c>
      <c r="J47" s="142">
        <f>'Historical Financials'!L110</f>
        <v>0</v>
      </c>
      <c r="K47" s="142">
        <f>'Historical Financials'!M110</f>
        <v>97.5</v>
      </c>
      <c r="L47" s="142">
        <f>'Historical Financials'!N110</f>
        <v>0</v>
      </c>
      <c r="M47" s="142">
        <f>'Historical Financials'!O110</f>
        <v>0</v>
      </c>
      <c r="N47" s="142">
        <f>'Historical Financials'!P110</f>
        <v>0</v>
      </c>
      <c r="O47" s="142">
        <f>'Historical Financials'!Q110</f>
        <v>-84.2</v>
      </c>
      <c r="P47" s="142">
        <f>'Historical Financials'!R110</f>
        <v>0</v>
      </c>
      <c r="Q47" s="142">
        <f>'Historical Financials'!S110</f>
        <v>0</v>
      </c>
      <c r="R47" s="142">
        <f>'Historical Financials'!T110</f>
        <v>0</v>
      </c>
      <c r="T47" s="143">
        <f t="shared" si="97"/>
        <v>97.5</v>
      </c>
      <c r="U47" s="143">
        <f t="shared" si="97"/>
        <v>97.5</v>
      </c>
      <c r="V47" s="143">
        <f t="shared" si="97"/>
        <v>97.5</v>
      </c>
      <c r="W47" s="143">
        <f t="shared" si="97"/>
        <v>97.5</v>
      </c>
      <c r="X47" s="143">
        <f t="shared" si="97"/>
        <v>-84.2</v>
      </c>
      <c r="Y47" s="143">
        <f t="shared" si="97"/>
        <v>-84.2</v>
      </c>
      <c r="Z47" s="143">
        <f t="shared" si="97"/>
        <v>-84.2</v>
      </c>
      <c r="AA47" s="143">
        <f t="shared" si="98"/>
        <v>-84.2</v>
      </c>
    </row>
    <row r="48" spans="2:29" ht="12.75" customHeight="1">
      <c r="B48" s="31" t="s">
        <v>136</v>
      </c>
      <c r="C48" s="142">
        <f>'Historical Financials'!E111</f>
        <v>-8511.2999999999993</v>
      </c>
      <c r="D48" s="142">
        <f>'Historical Financials'!F111</f>
        <v>-4557.8999999999996</v>
      </c>
      <c r="E48" s="142">
        <f>'Historical Financials'!G111</f>
        <v>-900.6</v>
      </c>
      <c r="F48" s="142">
        <f>'Historical Financials'!H111</f>
        <v>-376</v>
      </c>
      <c r="G48" s="32"/>
      <c r="H48" s="142">
        <f>'Historical Financials'!J111</f>
        <v>0</v>
      </c>
      <c r="I48" s="142">
        <f>'Historical Financials'!K111</f>
        <v>0</v>
      </c>
      <c r="J48" s="142">
        <f>'Historical Financials'!L111</f>
        <v>0</v>
      </c>
      <c r="K48" s="142">
        <f>'Historical Financials'!M111</f>
        <v>-900.6</v>
      </c>
      <c r="L48" s="142">
        <f>'Historical Financials'!N111</f>
        <v>0</v>
      </c>
      <c r="M48" s="142">
        <f>'Historical Financials'!O111</f>
        <v>0</v>
      </c>
      <c r="N48" s="142">
        <f>'Historical Financials'!P111</f>
        <v>0</v>
      </c>
      <c r="O48" s="142">
        <f>'Historical Financials'!Q111</f>
        <v>-376</v>
      </c>
      <c r="P48" s="142">
        <f>'Historical Financials'!R111</f>
        <v>0</v>
      </c>
      <c r="Q48" s="142">
        <f>'Historical Financials'!S111</f>
        <v>0</v>
      </c>
      <c r="R48" s="142">
        <f>'Historical Financials'!T111</f>
        <v>0</v>
      </c>
      <c r="T48" s="143">
        <f t="shared" si="97"/>
        <v>-900.6</v>
      </c>
      <c r="U48" s="143">
        <f t="shared" si="97"/>
        <v>-900.6</v>
      </c>
      <c r="V48" s="143">
        <f t="shared" si="97"/>
        <v>-900.6</v>
      </c>
      <c r="W48" s="143">
        <f t="shared" si="97"/>
        <v>-900.6</v>
      </c>
      <c r="X48" s="143">
        <f t="shared" si="97"/>
        <v>-376</v>
      </c>
      <c r="Y48" s="143">
        <f t="shared" si="97"/>
        <v>-376</v>
      </c>
      <c r="Z48" s="143">
        <f t="shared" si="97"/>
        <v>-376</v>
      </c>
      <c r="AA48" s="143">
        <f t="shared" si="98"/>
        <v>-376</v>
      </c>
    </row>
    <row r="49" spans="1:27" ht="12.75" customHeight="1">
      <c r="B49" s="31" t="s">
        <v>101</v>
      </c>
      <c r="C49" s="142">
        <f>SUM('Historical Financials'!E112:E112)</f>
        <v>-1368.3</v>
      </c>
      <c r="D49" s="142">
        <f>SUM('Historical Financials'!F112:F112)</f>
        <v>-2559.8000000000002</v>
      </c>
      <c r="E49" s="142">
        <f>SUM('Historical Financials'!G112:G112)</f>
        <v>-2348.3000000000002</v>
      </c>
      <c r="F49" s="142">
        <f>SUM('Historical Financials'!H112:H112)</f>
        <v>-2452.9</v>
      </c>
      <c r="G49" s="32"/>
      <c r="H49" s="142">
        <f>SUM('Historical Financials'!J112:J112)</f>
        <v>0</v>
      </c>
      <c r="I49" s="142">
        <f>SUM('Historical Financials'!K112:K112)</f>
        <v>0</v>
      </c>
      <c r="J49" s="142">
        <f>SUM('Historical Financials'!L112:L112)</f>
        <v>0</v>
      </c>
      <c r="K49" s="142">
        <f>SUM('Historical Financials'!M112:M112)</f>
        <v>-2348.3000000000002</v>
      </c>
      <c r="L49" s="142">
        <f>SUM('Historical Financials'!N112:N112)</f>
        <v>0</v>
      </c>
      <c r="M49" s="142">
        <f>SUM('Historical Financials'!O112:O112)</f>
        <v>0</v>
      </c>
      <c r="N49" s="142">
        <f>SUM('Historical Financials'!P112:P112)</f>
        <v>0</v>
      </c>
      <c r="O49" s="142">
        <f>SUM('Historical Financials'!Q112:Q112)</f>
        <v>-2452.9</v>
      </c>
      <c r="P49" s="142">
        <f>SUM('Historical Financials'!R112:R112)</f>
        <v>0</v>
      </c>
      <c r="Q49" s="142">
        <f>SUM('Historical Financials'!S112:S112)</f>
        <v>0</v>
      </c>
      <c r="R49" s="142">
        <f>SUM('Historical Financials'!T112:T112)</f>
        <v>0</v>
      </c>
      <c r="T49" s="143">
        <f t="shared" si="97"/>
        <v>-2348.3000000000002</v>
      </c>
      <c r="U49" s="143">
        <f t="shared" si="97"/>
        <v>-2348.3000000000002</v>
      </c>
      <c r="V49" s="143">
        <f t="shared" si="97"/>
        <v>-2348.3000000000002</v>
      </c>
      <c r="W49" s="143">
        <f t="shared" si="97"/>
        <v>-2348.3000000000002</v>
      </c>
      <c r="X49" s="143">
        <f t="shared" si="97"/>
        <v>-2452.9</v>
      </c>
      <c r="Y49" s="143">
        <f t="shared" si="97"/>
        <v>-2452.9</v>
      </c>
      <c r="Z49" s="143">
        <f t="shared" si="97"/>
        <v>-2452.9</v>
      </c>
      <c r="AA49" s="143">
        <f t="shared" si="98"/>
        <v>-2452.9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3" t="e">
        <f t="shared" si="97"/>
        <v>#REF!</v>
      </c>
      <c r="U50" s="143" t="e">
        <f t="shared" si="97"/>
        <v>#REF!</v>
      </c>
      <c r="V50" s="143" t="e">
        <f t="shared" si="97"/>
        <v>#REF!</v>
      </c>
      <c r="W50" s="143" t="e">
        <f t="shared" si="97"/>
        <v>#REF!</v>
      </c>
      <c r="X50" s="143" t="e">
        <f t="shared" si="97"/>
        <v>#REF!</v>
      </c>
      <c r="Y50" s="143" t="e">
        <f t="shared" si="97"/>
        <v>#REF!</v>
      </c>
      <c r="Z50" s="143" t="e">
        <f t="shared" si="97"/>
        <v>#REF!</v>
      </c>
      <c r="AA50" s="143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>
        <f>'Historical Financials'!E47</f>
        <v>6951.8</v>
      </c>
      <c r="D55" s="94">
        <f>'Historical Financials'!F47</f>
        <v>7268.3</v>
      </c>
      <c r="E55" s="94">
        <f>'Historical Financials'!G47</f>
        <v>7004.7</v>
      </c>
      <c r="F55" s="94">
        <f>'Historical Financials'!H47</f>
        <v>12735.9</v>
      </c>
      <c r="G55" s="32"/>
      <c r="H55" s="94">
        <f>'Historical Financials'!J47</f>
        <v>0</v>
      </c>
      <c r="I55" s="94">
        <f>'Historical Financials'!K47</f>
        <v>0</v>
      </c>
      <c r="J55" s="94">
        <f>'Historical Financials'!L47</f>
        <v>0</v>
      </c>
      <c r="K55" s="94">
        <f>'Historical Financials'!M47</f>
        <v>7004.7</v>
      </c>
      <c r="L55" s="94">
        <f>'Historical Financials'!N47</f>
        <v>0</v>
      </c>
      <c r="M55" s="94">
        <f>'Historical Financials'!O47</f>
        <v>0</v>
      </c>
      <c r="N55" s="94">
        <f>'Historical Financials'!P47</f>
        <v>0</v>
      </c>
      <c r="O55" s="94">
        <f>'Historical Financials'!Q47</f>
        <v>12735.9</v>
      </c>
      <c r="P55" s="94">
        <f>'Historical Financials'!R47</f>
        <v>0</v>
      </c>
      <c r="Q55" s="94">
        <f>'Historical Financials'!S47</f>
        <v>0</v>
      </c>
      <c r="R55" s="94">
        <f>'Historical Financials'!T47</f>
        <v>0</v>
      </c>
      <c r="T55" s="10">
        <f t="shared" ref="T55:Z57" si="102">K55</f>
        <v>7004.7</v>
      </c>
      <c r="U55" s="10">
        <f t="shared" si="102"/>
        <v>0</v>
      </c>
      <c r="V55" s="10">
        <f t="shared" si="102"/>
        <v>0</v>
      </c>
      <c r="W55" s="10">
        <f t="shared" si="102"/>
        <v>0</v>
      </c>
      <c r="X55" s="10">
        <f t="shared" si="102"/>
        <v>12735.9</v>
      </c>
      <c r="Y55" s="10">
        <f t="shared" si="102"/>
        <v>0</v>
      </c>
      <c r="Z55" s="10">
        <f t="shared" si="102"/>
        <v>0</v>
      </c>
      <c r="AA55" s="10">
        <f>R55</f>
        <v>0</v>
      </c>
    </row>
    <row r="56" spans="1:27" ht="12.75" customHeight="1">
      <c r="B56" s="8" t="s">
        <v>137</v>
      </c>
      <c r="C56" s="94">
        <f>'Historical Financials'!E48</f>
        <v>3028</v>
      </c>
      <c r="D56" s="94">
        <f>'Historical Financials'!F48</f>
        <v>5323.8</v>
      </c>
      <c r="E56" s="94">
        <f>'Historical Financials'!G48</f>
        <v>4334.1000000000004</v>
      </c>
      <c r="F56" s="94">
        <f>'Historical Financials'!H48</f>
        <v>4477.5</v>
      </c>
      <c r="G56" s="32"/>
      <c r="H56" s="94">
        <f>'Historical Financials'!J48</f>
        <v>0</v>
      </c>
      <c r="I56" s="94">
        <f>'Historical Financials'!K48</f>
        <v>0</v>
      </c>
      <c r="J56" s="94">
        <f>'Historical Financials'!L48</f>
        <v>0</v>
      </c>
      <c r="K56" s="94">
        <f>'Historical Financials'!M48</f>
        <v>4334.1000000000004</v>
      </c>
      <c r="L56" s="94">
        <f>'Historical Financials'!N48</f>
        <v>0</v>
      </c>
      <c r="M56" s="94">
        <f>'Historical Financials'!O48</f>
        <v>0</v>
      </c>
      <c r="N56" s="94">
        <f>'Historical Financials'!P48</f>
        <v>0</v>
      </c>
      <c r="O56" s="94">
        <f>'Historical Financials'!Q48</f>
        <v>4477.5</v>
      </c>
      <c r="P56" s="94">
        <f>'Historical Financials'!R48</f>
        <v>0</v>
      </c>
      <c r="Q56" s="94">
        <f>'Historical Financials'!S48</f>
        <v>0</v>
      </c>
      <c r="R56" s="94">
        <f>'Historical Financials'!T48</f>
        <v>0</v>
      </c>
      <c r="T56" s="10">
        <f t="shared" si="102"/>
        <v>4334.1000000000004</v>
      </c>
      <c r="U56" s="10">
        <f t="shared" si="102"/>
        <v>0</v>
      </c>
      <c r="V56" s="10">
        <f t="shared" si="102"/>
        <v>0</v>
      </c>
      <c r="W56" s="10">
        <f t="shared" si="102"/>
        <v>0</v>
      </c>
      <c r="X56" s="10">
        <f t="shared" si="102"/>
        <v>4477.5</v>
      </c>
      <c r="Y56" s="10">
        <f t="shared" si="102"/>
        <v>0</v>
      </c>
      <c r="Z56" s="10">
        <f t="shared" si="102"/>
        <v>0</v>
      </c>
      <c r="AA56" s="10">
        <f>R56</f>
        <v>0</v>
      </c>
    </row>
    <row r="57" spans="1:27" ht="12.75" customHeight="1">
      <c r="B57" s="31" t="s">
        <v>144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>
        <f>SUM(C55:C57)</f>
        <v>10465.799999999999</v>
      </c>
      <c r="D58" s="14">
        <f>SUM(D55:D57)</f>
        <v>15592.1</v>
      </c>
      <c r="E58" s="14">
        <f>SUM(E55:E57)</f>
        <v>14338.8</v>
      </c>
      <c r="F58" s="14">
        <f>SUM(F55:F57)</f>
        <v>20213.400000000001</v>
      </c>
      <c r="G58" s="32"/>
      <c r="H58" s="14">
        <f t="shared" ref="H58:R58" si="104">SUM(H55:H57)</f>
        <v>3000</v>
      </c>
      <c r="I58" s="14">
        <f t="shared" si="104"/>
        <v>3000</v>
      </c>
      <c r="J58" s="14">
        <f t="shared" si="104"/>
        <v>3000</v>
      </c>
      <c r="K58" s="14">
        <f t="shared" si="104"/>
        <v>14338.8</v>
      </c>
      <c r="L58" s="14">
        <f t="shared" si="104"/>
        <v>3000</v>
      </c>
      <c r="M58" s="14">
        <f t="shared" si="104"/>
        <v>3000</v>
      </c>
      <c r="N58" s="14">
        <f t="shared" si="104"/>
        <v>3000</v>
      </c>
      <c r="O58" s="14">
        <f t="shared" si="104"/>
        <v>20213.400000000001</v>
      </c>
      <c r="P58" s="14">
        <f t="shared" si="104"/>
        <v>2050</v>
      </c>
      <c r="Q58" s="14">
        <f t="shared" si="104"/>
        <v>3000</v>
      </c>
      <c r="R58" s="14">
        <f t="shared" si="104"/>
        <v>3000</v>
      </c>
      <c r="T58" s="14">
        <f t="shared" ref="T58:V58" si="105">SUM(T55:T55)</f>
        <v>7004.7</v>
      </c>
      <c r="U58" s="14">
        <f t="shared" si="105"/>
        <v>0</v>
      </c>
      <c r="V58" s="14">
        <f t="shared" si="105"/>
        <v>0</v>
      </c>
      <c r="W58" s="14">
        <f>SUM(W55:W57)</f>
        <v>3000</v>
      </c>
      <c r="X58" s="14">
        <f>SUM(X55:X57)</f>
        <v>20213.400000000001</v>
      </c>
      <c r="Y58" s="14">
        <f>SUM(Y55:Y57)</f>
        <v>2050</v>
      </c>
      <c r="Z58" s="14">
        <f>SUM(Z55:Z57)</f>
        <v>3000</v>
      </c>
      <c r="AA58" s="14">
        <f>SUM(AA55:AA57)</f>
        <v>3000</v>
      </c>
    </row>
    <row r="59" spans="1:27" ht="12.75" hidden="1" customHeight="1" outlineLevel="1">
      <c r="B59" s="151" t="s">
        <v>141</v>
      </c>
      <c r="C59" s="150">
        <f>75-C75</f>
        <v>61</v>
      </c>
      <c r="D59" s="152"/>
      <c r="E59" s="152"/>
      <c r="F59" s="152"/>
      <c r="G59" s="3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T59" s="152"/>
      <c r="U59" s="152"/>
      <c r="V59" s="152"/>
      <c r="W59" s="152"/>
      <c r="X59" s="152"/>
      <c r="Y59" s="152"/>
      <c r="Z59" s="152"/>
      <c r="AA59" s="152"/>
    </row>
    <row r="60" spans="1:27" ht="12.75" hidden="1" customHeight="1" outlineLevel="1">
      <c r="B60" s="151" t="s">
        <v>142</v>
      </c>
      <c r="C60" s="150">
        <v>50</v>
      </c>
      <c r="D60" s="152"/>
      <c r="E60" s="152"/>
      <c r="F60" s="152"/>
      <c r="G60" s="32"/>
      <c r="H60" s="152"/>
      <c r="I60" s="152"/>
      <c r="J60" s="152"/>
      <c r="K60" s="152"/>
      <c r="L60" s="152"/>
      <c r="M60" s="152"/>
      <c r="N60" s="152"/>
      <c r="O60" s="152"/>
      <c r="P60" s="152"/>
      <c r="Q60" s="152"/>
      <c r="R60" s="152"/>
      <c r="T60" s="152"/>
      <c r="U60" s="152"/>
      <c r="V60" s="152"/>
      <c r="W60" s="152"/>
      <c r="X60" s="152"/>
      <c r="Y60" s="152"/>
      <c r="Z60" s="152"/>
      <c r="AA60" s="152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146</v>
      </c>
      <c r="C63" s="94">
        <f>'Historical Financials'!E50</f>
        <v>164.6</v>
      </c>
      <c r="D63" s="94">
        <f>'Historical Financials'!F50</f>
        <v>131.9</v>
      </c>
      <c r="E63" s="94">
        <f>'Historical Financials'!G50</f>
        <v>240.1</v>
      </c>
      <c r="F63" s="94">
        <f>'Historical Financials'!H50</f>
        <v>320.60000000000002</v>
      </c>
      <c r="H63" s="94">
        <f>'Historical Financials'!J50</f>
        <v>0</v>
      </c>
      <c r="I63" s="94">
        <f>'Historical Financials'!K50</f>
        <v>0</v>
      </c>
      <c r="J63" s="94">
        <f>'Historical Financials'!L50</f>
        <v>0</v>
      </c>
      <c r="K63" s="94">
        <f>'Historical Financials'!M50</f>
        <v>240.1</v>
      </c>
      <c r="L63" s="94">
        <f>'Historical Financials'!N50</f>
        <v>0</v>
      </c>
      <c r="M63" s="94">
        <f>'Historical Financials'!O50</f>
        <v>0</v>
      </c>
      <c r="N63" s="94">
        <f>'Historical Financials'!P50</f>
        <v>0</v>
      </c>
      <c r="O63" s="94">
        <f>'Historical Financials'!Q50</f>
        <v>320.60000000000002</v>
      </c>
      <c r="P63" s="94">
        <f>'Historical Financials'!R50</f>
        <v>0</v>
      </c>
      <c r="Q63" s="94">
        <f>'Historical Financials'!S50</f>
        <v>0</v>
      </c>
      <c r="R63" s="94">
        <f>'Historical Financials'!T50</f>
        <v>0</v>
      </c>
      <c r="S63" s="10"/>
      <c r="T63" s="10">
        <f t="shared" ref="T63:Z69" si="106">K63</f>
        <v>240.1</v>
      </c>
      <c r="U63" s="10">
        <f t="shared" si="106"/>
        <v>0</v>
      </c>
      <c r="V63" s="10">
        <f t="shared" si="106"/>
        <v>0</v>
      </c>
      <c r="W63" s="10">
        <f t="shared" si="106"/>
        <v>0</v>
      </c>
      <c r="X63" s="10">
        <f t="shared" si="106"/>
        <v>320.60000000000002</v>
      </c>
      <c r="Y63" s="10">
        <f t="shared" si="106"/>
        <v>0</v>
      </c>
      <c r="Z63" s="10">
        <f t="shared" si="106"/>
        <v>0</v>
      </c>
      <c r="AA63" s="10">
        <f t="shared" ref="AA63:AA69" si="107">R63</f>
        <v>0</v>
      </c>
    </row>
    <row r="64" spans="1:27" ht="12.75" customHeight="1">
      <c r="B64" s="8" t="s">
        <v>111</v>
      </c>
      <c r="C64" s="94">
        <f>'Historical Financials'!E51</f>
        <v>5179.2</v>
      </c>
      <c r="D64" s="94">
        <f>'Historical Financials'!F51</f>
        <v>7199.7</v>
      </c>
      <c r="E64" s="94">
        <f>'Historical Financials'!G51</f>
        <v>8850.7000000000007</v>
      </c>
      <c r="F64" s="94">
        <f>'Historical Financials'!H51</f>
        <v>10891.5</v>
      </c>
      <c r="G64" s="94"/>
      <c r="H64" s="94">
        <f>'Historical Financials'!J51</f>
        <v>0</v>
      </c>
      <c r="I64" s="94">
        <f>'Historical Financials'!K51</f>
        <v>0</v>
      </c>
      <c r="J64" s="94">
        <f>'Historical Financials'!L51</f>
        <v>0</v>
      </c>
      <c r="K64" s="94">
        <f>'Historical Financials'!M51</f>
        <v>8850.7000000000007</v>
      </c>
      <c r="L64" s="94">
        <f>'Historical Financials'!N51</f>
        <v>0</v>
      </c>
      <c r="M64" s="94">
        <f>'Historical Financials'!O51</f>
        <v>0</v>
      </c>
      <c r="N64" s="94">
        <f>'Historical Financials'!P51</f>
        <v>0</v>
      </c>
      <c r="O64" s="94">
        <f>'Historical Financials'!Q51</f>
        <v>10891.5</v>
      </c>
      <c r="P64" s="94">
        <f>'Historical Financials'!R51</f>
        <v>0</v>
      </c>
      <c r="Q64" s="94">
        <f>'Historical Financials'!S51</f>
        <v>0</v>
      </c>
      <c r="R64" s="94">
        <f>'Historical Financials'!T51</f>
        <v>0</v>
      </c>
      <c r="T64" s="10">
        <f t="shared" si="106"/>
        <v>8850.7000000000007</v>
      </c>
      <c r="U64" s="10">
        <f t="shared" si="106"/>
        <v>0</v>
      </c>
      <c r="V64" s="10">
        <f t="shared" si="106"/>
        <v>0</v>
      </c>
      <c r="W64" s="10">
        <f t="shared" si="106"/>
        <v>0</v>
      </c>
      <c r="X64" s="10">
        <f t="shared" si="106"/>
        <v>10891.5</v>
      </c>
      <c r="Y64" s="10">
        <f t="shared" si="106"/>
        <v>0</v>
      </c>
      <c r="Z64" s="10">
        <f t="shared" si="106"/>
        <v>0</v>
      </c>
      <c r="AA64" s="10">
        <f t="shared" si="107"/>
        <v>0</v>
      </c>
    </row>
    <row r="65" spans="2:27" ht="12.75" customHeight="1">
      <c r="B65" s="8" t="s">
        <v>105</v>
      </c>
      <c r="C65" s="94">
        <f>'Historical Financials'!E56</f>
        <v>2982.7</v>
      </c>
      <c r="D65" s="94">
        <f>'Historical Financials'!F56</f>
        <v>3944.2</v>
      </c>
      <c r="E65" s="94">
        <f>'Historical Financials'!G56</f>
        <v>5493.2</v>
      </c>
      <c r="F65" s="94">
        <f>'Historical Financials'!H56</f>
        <v>6846.8</v>
      </c>
      <c r="H65" s="94">
        <f>'Historical Financials'!J56</f>
        <v>0</v>
      </c>
      <c r="I65" s="94">
        <f>'Historical Financials'!K56</f>
        <v>0</v>
      </c>
      <c r="J65" s="94">
        <f>'Historical Financials'!L56</f>
        <v>0</v>
      </c>
      <c r="K65" s="94">
        <f>'Historical Financials'!M56</f>
        <v>5493.2</v>
      </c>
      <c r="L65" s="94">
        <f>'Historical Financials'!N56</f>
        <v>0</v>
      </c>
      <c r="M65" s="94">
        <f>'Historical Financials'!O56</f>
        <v>0</v>
      </c>
      <c r="N65" s="94">
        <f>'Historical Financials'!P56</f>
        <v>0</v>
      </c>
      <c r="O65" s="94">
        <f>'Historical Financials'!Q56</f>
        <v>6846.8</v>
      </c>
      <c r="P65" s="94">
        <f>'Historical Financials'!R56</f>
        <v>0</v>
      </c>
      <c r="Q65" s="94">
        <f>'Historical Financials'!S56</f>
        <v>0</v>
      </c>
      <c r="R65" s="94">
        <f>'Historical Financials'!T56</f>
        <v>0</v>
      </c>
      <c r="S65" s="10"/>
      <c r="T65" s="10">
        <f t="shared" si="106"/>
        <v>5493.2</v>
      </c>
      <c r="U65" s="10">
        <f t="shared" si="106"/>
        <v>0</v>
      </c>
      <c r="V65" s="10">
        <f t="shared" si="106"/>
        <v>0</v>
      </c>
      <c r="W65" s="10">
        <f t="shared" si="106"/>
        <v>0</v>
      </c>
      <c r="X65" s="10">
        <f t="shared" si="106"/>
        <v>6846.8</v>
      </c>
      <c r="Y65" s="10">
        <f t="shared" si="106"/>
        <v>0</v>
      </c>
      <c r="Z65" s="10">
        <f t="shared" si="106"/>
        <v>0</v>
      </c>
      <c r="AA65" s="10">
        <f t="shared" si="107"/>
        <v>0</v>
      </c>
    </row>
    <row r="66" spans="2:27" ht="12.75" customHeight="1">
      <c r="B66" s="8" t="s">
        <v>113</v>
      </c>
      <c r="C66" s="94">
        <f>'Historical Financials'!E60</f>
        <v>383</v>
      </c>
      <c r="D66" s="94">
        <f>'Historical Financials'!F60</f>
        <v>0</v>
      </c>
      <c r="E66" s="94">
        <f>'Historical Financials'!G60</f>
        <v>60.6</v>
      </c>
      <c r="F66" s="94">
        <f>'Historical Financials'!H60</f>
        <v>317.2</v>
      </c>
      <c r="H66" s="94">
        <f>'Historical Financials'!J60</f>
        <v>0</v>
      </c>
      <c r="I66" s="94">
        <f>'Historical Financials'!K60</f>
        <v>0</v>
      </c>
      <c r="J66" s="94">
        <f>'Historical Financials'!L60</f>
        <v>0</v>
      </c>
      <c r="K66" s="94">
        <f>'Historical Financials'!M60</f>
        <v>60.6</v>
      </c>
      <c r="L66" s="94">
        <f>'Historical Financials'!N60</f>
        <v>0</v>
      </c>
      <c r="M66" s="94">
        <f>'Historical Financials'!O60</f>
        <v>0</v>
      </c>
      <c r="N66" s="94">
        <f>'Historical Financials'!P60</f>
        <v>0</v>
      </c>
      <c r="O66" s="94">
        <f>'Historical Financials'!Q60</f>
        <v>317.2</v>
      </c>
      <c r="P66" s="94">
        <f>'Historical Financials'!R60</f>
        <v>0</v>
      </c>
      <c r="Q66" s="94">
        <f>'Historical Financials'!S60</f>
        <v>0</v>
      </c>
      <c r="R66" s="94">
        <f>'Historical Financials'!T60</f>
        <v>0</v>
      </c>
      <c r="S66" s="10"/>
      <c r="T66" s="10">
        <f t="shared" si="106"/>
        <v>60.6</v>
      </c>
      <c r="U66" s="10">
        <f t="shared" si="106"/>
        <v>0</v>
      </c>
      <c r="V66" s="10">
        <f t="shared" si="106"/>
        <v>0</v>
      </c>
      <c r="W66" s="10">
        <f t="shared" si="106"/>
        <v>0</v>
      </c>
      <c r="X66" s="10">
        <f t="shared" si="106"/>
        <v>317.2</v>
      </c>
      <c r="Y66" s="10">
        <f t="shared" si="106"/>
        <v>0</v>
      </c>
      <c r="Z66" s="10">
        <f t="shared" si="106"/>
        <v>0</v>
      </c>
      <c r="AA66" s="10">
        <f t="shared" si="107"/>
        <v>0</v>
      </c>
    </row>
    <row r="67" spans="2:27" ht="12.75" customHeight="1">
      <c r="B67" s="8" t="s">
        <v>44</v>
      </c>
      <c r="C67" s="94">
        <f>'Historical Financials'!E66</f>
        <v>2115.5</v>
      </c>
      <c r="D67" s="94">
        <f>'Historical Financials'!F66</f>
        <v>2563.5</v>
      </c>
      <c r="E67" s="94">
        <f>'Historical Financials'!G66</f>
        <v>2346.3000000000002</v>
      </c>
      <c r="F67" s="94">
        <f>'Historical Financials'!H66</f>
        <v>3498.5</v>
      </c>
      <c r="G67" s="94"/>
      <c r="H67" s="94">
        <f>'Historical Financials'!J66</f>
        <v>0</v>
      </c>
      <c r="I67" s="94">
        <f>'Historical Financials'!K66</f>
        <v>0</v>
      </c>
      <c r="J67" s="94">
        <f>'Historical Financials'!L66</f>
        <v>0</v>
      </c>
      <c r="K67" s="94">
        <f>'Historical Financials'!M66</f>
        <v>2346.3000000000002</v>
      </c>
      <c r="L67" s="94">
        <f>'Historical Financials'!N66</f>
        <v>0</v>
      </c>
      <c r="M67" s="94">
        <f>'Historical Financials'!O66</f>
        <v>0</v>
      </c>
      <c r="N67" s="94">
        <f>'Historical Financials'!P66</f>
        <v>0</v>
      </c>
      <c r="O67" s="94">
        <f>'Historical Financials'!Q66</f>
        <v>3498.5</v>
      </c>
      <c r="P67" s="94">
        <f>'Historical Financials'!R66</f>
        <v>0</v>
      </c>
      <c r="Q67" s="94">
        <f>'Historical Financials'!S66</f>
        <v>0</v>
      </c>
      <c r="R67" s="94">
        <f>'Historical Financials'!T66</f>
        <v>0</v>
      </c>
      <c r="T67" s="10">
        <f t="shared" si="106"/>
        <v>2346.3000000000002</v>
      </c>
      <c r="U67" s="10">
        <f t="shared" si="106"/>
        <v>0</v>
      </c>
      <c r="V67" s="10">
        <f t="shared" si="106"/>
        <v>0</v>
      </c>
      <c r="W67" s="10">
        <f t="shared" si="106"/>
        <v>0</v>
      </c>
      <c r="X67" s="10">
        <f t="shared" si="106"/>
        <v>3498.5</v>
      </c>
      <c r="Y67" s="10">
        <f t="shared" si="106"/>
        <v>0</v>
      </c>
      <c r="Z67" s="10">
        <f t="shared" si="106"/>
        <v>0</v>
      </c>
      <c r="AA67" s="10">
        <f t="shared" si="107"/>
        <v>0</v>
      </c>
    </row>
    <row r="68" spans="2:27" ht="12.75" customHeight="1">
      <c r="B68" s="8" t="s">
        <v>45</v>
      </c>
      <c r="C68" s="94">
        <f>'Historical Financials'!E70</f>
        <v>11995.3</v>
      </c>
      <c r="D68" s="94">
        <f>'Historical Financials'!F70</f>
        <v>17447.3</v>
      </c>
      <c r="E68" s="94">
        <f>'Historical Financials'!G70</f>
        <v>15964.8</v>
      </c>
      <c r="F68" s="94">
        <f>'Historical Financials'!H70</f>
        <v>19766.199999999997</v>
      </c>
      <c r="G68" s="94"/>
      <c r="H68" s="94">
        <f>'Historical Financials'!J70</f>
        <v>0</v>
      </c>
      <c r="I68" s="94">
        <f>'Historical Financials'!K70</f>
        <v>0</v>
      </c>
      <c r="J68" s="94">
        <f>'Historical Financials'!L70</f>
        <v>0</v>
      </c>
      <c r="K68" s="94">
        <f>'Historical Financials'!M70</f>
        <v>15964.8</v>
      </c>
      <c r="L68" s="94">
        <f>'Historical Financials'!N70</f>
        <v>0</v>
      </c>
      <c r="M68" s="94">
        <f>'Historical Financials'!O70</f>
        <v>0</v>
      </c>
      <c r="N68" s="94">
        <f>'Historical Financials'!P70</f>
        <v>0</v>
      </c>
      <c r="O68" s="94">
        <f>'Historical Financials'!Q70</f>
        <v>19766.199999999997</v>
      </c>
      <c r="P68" s="94">
        <f>'Historical Financials'!R70</f>
        <v>0</v>
      </c>
      <c r="Q68" s="94">
        <f>'Historical Financials'!S70</f>
        <v>0</v>
      </c>
      <c r="R68" s="94">
        <f>'Historical Financials'!T70</f>
        <v>0</v>
      </c>
      <c r="T68" s="10">
        <f t="shared" si="106"/>
        <v>15964.8</v>
      </c>
      <c r="U68" s="10">
        <f t="shared" si="106"/>
        <v>0</v>
      </c>
      <c r="V68" s="10">
        <f t="shared" si="106"/>
        <v>0</v>
      </c>
      <c r="W68" s="10">
        <f t="shared" si="106"/>
        <v>0</v>
      </c>
      <c r="X68" s="10">
        <f t="shared" si="106"/>
        <v>19766.199999999997</v>
      </c>
      <c r="Y68" s="10">
        <f t="shared" si="106"/>
        <v>0</v>
      </c>
      <c r="Z68" s="10">
        <f t="shared" si="106"/>
        <v>0</v>
      </c>
      <c r="AA68" s="10">
        <f t="shared" si="107"/>
        <v>0</v>
      </c>
    </row>
    <row r="69" spans="2:27" ht="12.75" customHeight="1">
      <c r="B69" s="8" t="s">
        <v>15</v>
      </c>
      <c r="C69" s="94">
        <f>'Historical Financials'!E76</f>
        <v>19547.099999999999</v>
      </c>
      <c r="D69" s="94">
        <f>'Historical Financials'!F76</f>
        <v>26686.299999999996</v>
      </c>
      <c r="E69" s="94">
        <f>'Historical Financials'!G76</f>
        <v>25822.9</v>
      </c>
      <c r="F69" s="94">
        <f>'Historical Financials'!H76</f>
        <v>29528.399999999998</v>
      </c>
      <c r="G69" s="94"/>
      <c r="H69" s="94">
        <f>'Historical Financials'!J76</f>
        <v>0</v>
      </c>
      <c r="I69" s="94">
        <f>'Historical Financials'!K76</f>
        <v>0</v>
      </c>
      <c r="J69" s="94">
        <f>'Historical Financials'!L76</f>
        <v>0</v>
      </c>
      <c r="K69" s="94">
        <f>'Historical Financials'!M76</f>
        <v>25822.9</v>
      </c>
      <c r="L69" s="94">
        <f>'Historical Financials'!N76</f>
        <v>0</v>
      </c>
      <c r="M69" s="94">
        <f>'Historical Financials'!O76</f>
        <v>0</v>
      </c>
      <c r="N69" s="94">
        <f>'Historical Financials'!P76</f>
        <v>0</v>
      </c>
      <c r="O69" s="94">
        <f>'Historical Financials'!Q76</f>
        <v>29528.399999999998</v>
      </c>
      <c r="P69" s="94">
        <f>'Historical Financials'!R76</f>
        <v>0</v>
      </c>
      <c r="Q69" s="94">
        <f>'Historical Financials'!S76</f>
        <v>0</v>
      </c>
      <c r="R69" s="94">
        <f>'Historical Financials'!T76</f>
        <v>0</v>
      </c>
      <c r="T69" s="10">
        <f t="shared" si="106"/>
        <v>25822.9</v>
      </c>
      <c r="U69" s="10">
        <f t="shared" si="106"/>
        <v>0</v>
      </c>
      <c r="V69" s="10">
        <f t="shared" si="106"/>
        <v>0</v>
      </c>
      <c r="W69" s="10">
        <f t="shared" si="106"/>
        <v>0</v>
      </c>
      <c r="X69" s="10">
        <f t="shared" si="106"/>
        <v>29528.399999999998</v>
      </c>
      <c r="Y69" s="10">
        <f t="shared" si="106"/>
        <v>0</v>
      </c>
      <c r="Z69" s="10">
        <f t="shared" si="106"/>
        <v>0</v>
      </c>
      <c r="AA69" s="10">
        <f t="shared" si="107"/>
        <v>0</v>
      </c>
    </row>
    <row r="70" spans="2:27" ht="5.0999999999999996" customHeight="1">
      <c r="F70" s="10"/>
    </row>
    <row r="71" spans="2:27">
      <c r="B71" s="35" t="s">
        <v>102</v>
      </c>
      <c r="F71" s="10"/>
    </row>
    <row r="72" spans="2:27">
      <c r="B72" s="8" t="s">
        <v>103</v>
      </c>
      <c r="C72" s="94">
        <f>'Historical Financials'!E69</f>
        <v>1435.5</v>
      </c>
      <c r="D72" s="94">
        <f>'Historical Financials'!F69</f>
        <v>1656.6</v>
      </c>
      <c r="E72" s="94">
        <f>'Historical Financials'!G69</f>
        <v>2177.4</v>
      </c>
      <c r="F72" s="94">
        <f>'Historical Financials'!H69</f>
        <v>2686.6000000000004</v>
      </c>
      <c r="H72" s="94">
        <f>'Historical Financials'!J69</f>
        <v>0</v>
      </c>
      <c r="I72" s="94">
        <f>'Historical Financials'!K69</f>
        <v>0</v>
      </c>
      <c r="J72" s="94">
        <f>'Historical Financials'!L69</f>
        <v>0</v>
      </c>
      <c r="K72" s="94">
        <f>'Historical Financials'!M69</f>
        <v>2177.4</v>
      </c>
      <c r="L72" s="94">
        <f>'Historical Financials'!N69</f>
        <v>0</v>
      </c>
      <c r="M72" s="94">
        <f>'Historical Financials'!O69</f>
        <v>0</v>
      </c>
      <c r="N72" s="94">
        <f>'Historical Financials'!P69</f>
        <v>0</v>
      </c>
      <c r="O72" s="94">
        <f>'Historical Financials'!Q69</f>
        <v>2686.6000000000004</v>
      </c>
      <c r="P72" s="94">
        <f>'Historical Financials'!R69</f>
        <v>0</v>
      </c>
      <c r="Q72" s="94">
        <f>'Historical Financials'!S69</f>
        <v>0</v>
      </c>
      <c r="R72" s="94">
        <f>'Historical Financials'!T69</f>
        <v>0</v>
      </c>
      <c r="T72" s="10">
        <f t="shared" ref="T72:Z73" si="108">K72</f>
        <v>2177.4</v>
      </c>
      <c r="U72" s="10">
        <f t="shared" si="108"/>
        <v>0</v>
      </c>
      <c r="V72" s="10">
        <f t="shared" si="108"/>
        <v>0</v>
      </c>
      <c r="W72" s="10">
        <f t="shared" si="108"/>
        <v>0</v>
      </c>
      <c r="X72" s="10">
        <f t="shared" si="108"/>
        <v>2686.6000000000004</v>
      </c>
      <c r="Y72" s="10">
        <f t="shared" si="108"/>
        <v>0</v>
      </c>
      <c r="Z72" s="10">
        <f t="shared" si="108"/>
        <v>0</v>
      </c>
      <c r="AA72" s="10">
        <f>R72</f>
        <v>0</v>
      </c>
    </row>
    <row r="73" spans="2:27">
      <c r="B73" s="8" t="s">
        <v>104</v>
      </c>
      <c r="C73" s="94">
        <f>'Historical Financials'!E73</f>
        <v>4075</v>
      </c>
      <c r="D73" s="94">
        <f>'Historical Financials'!F73</f>
        <v>3514.2</v>
      </c>
      <c r="E73" s="94">
        <f>'Historical Financials'!G73</f>
        <v>4631.5</v>
      </c>
      <c r="F73" s="94">
        <f>'Historical Financials'!H73</f>
        <v>3677.3</v>
      </c>
      <c r="H73" s="94">
        <f>'Historical Financials'!J73</f>
        <v>0</v>
      </c>
      <c r="I73" s="94">
        <f>'Historical Financials'!K73</f>
        <v>0</v>
      </c>
      <c r="J73" s="94">
        <f>'Historical Financials'!L73</f>
        <v>0</v>
      </c>
      <c r="K73" s="94">
        <f>'Historical Financials'!M73</f>
        <v>4631.5</v>
      </c>
      <c r="L73" s="94">
        <f>'Historical Financials'!N73</f>
        <v>0</v>
      </c>
      <c r="M73" s="94">
        <f>'Historical Financials'!O73</f>
        <v>0</v>
      </c>
      <c r="N73" s="94">
        <f>'Historical Financials'!P73</f>
        <v>0</v>
      </c>
      <c r="O73" s="94">
        <f>'Historical Financials'!Q73</f>
        <v>3677.3</v>
      </c>
      <c r="P73" s="94">
        <f>'Historical Financials'!R73</f>
        <v>0</v>
      </c>
      <c r="Q73" s="94">
        <f>'Historical Financials'!S73</f>
        <v>0</v>
      </c>
      <c r="R73" s="94">
        <f>'Historical Financials'!T73</f>
        <v>0</v>
      </c>
      <c r="T73" s="10">
        <f t="shared" si="108"/>
        <v>4631.5</v>
      </c>
      <c r="U73" s="10">
        <f t="shared" si="108"/>
        <v>0</v>
      </c>
      <c r="V73" s="10">
        <f t="shared" si="108"/>
        <v>0</v>
      </c>
      <c r="W73" s="10">
        <f t="shared" si="108"/>
        <v>0</v>
      </c>
      <c r="X73" s="10">
        <f t="shared" si="108"/>
        <v>3677.3</v>
      </c>
      <c r="Y73" s="10">
        <f t="shared" si="108"/>
        <v>0</v>
      </c>
      <c r="Z73" s="10">
        <f t="shared" si="108"/>
        <v>0</v>
      </c>
      <c r="AA73" s="10">
        <f>R73</f>
        <v>0</v>
      </c>
    </row>
    <row r="74" spans="2:27">
      <c r="F74" s="10"/>
    </row>
    <row r="75" spans="2:27">
      <c r="B75" s="8" t="s">
        <v>145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143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138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123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122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121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120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119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139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140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>
        <f>'Historical Financials'!E80</f>
        <v>11843.8</v>
      </c>
      <c r="D87" s="94">
        <f>'Historical Financials'!F80</f>
        <v>11286</v>
      </c>
      <c r="E87" s="94">
        <f>'Historical Financials'!G80</f>
        <v>16209.5</v>
      </c>
      <c r="F87" s="94">
        <f>'Historical Financials'!H80</f>
        <v>22021.9</v>
      </c>
      <c r="H87" s="94">
        <f>'Historical Financials'!J80</f>
        <v>0</v>
      </c>
      <c r="I87" s="94">
        <f>'Historical Financials'!K80</f>
        <v>0</v>
      </c>
      <c r="J87" s="94">
        <f>'Historical Financials'!L80</f>
        <v>0</v>
      </c>
      <c r="K87" s="94">
        <f>'Historical Financials'!M80</f>
        <v>16209.5</v>
      </c>
      <c r="L87" s="94">
        <f>'Historical Financials'!N80</f>
        <v>0</v>
      </c>
      <c r="M87" s="94">
        <f>'Historical Financials'!O80</f>
        <v>0</v>
      </c>
      <c r="N87" s="94">
        <f>'Historical Financials'!P80</f>
        <v>0</v>
      </c>
      <c r="O87" s="94">
        <f>'Historical Financials'!Q80</f>
        <v>22021.9</v>
      </c>
      <c r="P87" s="94">
        <f>'Historical Financials'!R80</f>
        <v>0</v>
      </c>
      <c r="Q87" s="94">
        <f>'Historical Financials'!S80</f>
        <v>0</v>
      </c>
      <c r="R87" s="94">
        <f>'Historical Financials'!T80</f>
        <v>0</v>
      </c>
      <c r="T87" s="10">
        <f t="shared" ref="T87:AA87" si="130">K87</f>
        <v>16209.5</v>
      </c>
      <c r="U87" s="10">
        <f t="shared" si="130"/>
        <v>0</v>
      </c>
      <c r="V87" s="10">
        <f t="shared" si="130"/>
        <v>0</v>
      </c>
      <c r="W87" s="143">
        <f t="shared" si="130"/>
        <v>0</v>
      </c>
      <c r="X87" s="143">
        <f t="shared" si="130"/>
        <v>22021.9</v>
      </c>
      <c r="Y87" s="143">
        <f t="shared" si="130"/>
        <v>0</v>
      </c>
      <c r="Z87" s="143">
        <f t="shared" si="130"/>
        <v>0</v>
      </c>
      <c r="AA87" s="143">
        <f t="shared" si="130"/>
        <v>0</v>
      </c>
    </row>
    <row r="88" spans="1:27" ht="12.75" customHeight="1">
      <c r="B88" s="13" t="s">
        <v>47</v>
      </c>
      <c r="C88" s="14">
        <f>SUM(C85:C87)</f>
        <v>12170.8</v>
      </c>
      <c r="D88" s="14">
        <f>SUM(D85:D87)</f>
        <v>13787</v>
      </c>
      <c r="E88" s="14">
        <f>SUM(E85:E87)</f>
        <v>18709.5</v>
      </c>
      <c r="F88" s="14">
        <f>SUM(F85:F87)</f>
        <v>23771.9</v>
      </c>
      <c r="H88" s="14">
        <f t="shared" ref="H88:M88" si="131">SUM(H85:H87)</f>
        <v>2500</v>
      </c>
      <c r="I88" s="14">
        <f t="shared" si="131"/>
        <v>2500</v>
      </c>
      <c r="J88" s="14">
        <f t="shared" si="131"/>
        <v>2500</v>
      </c>
      <c r="K88" s="14">
        <f t="shared" si="131"/>
        <v>18709.5</v>
      </c>
      <c r="L88" s="14">
        <f t="shared" si="131"/>
        <v>2500</v>
      </c>
      <c r="M88" s="14">
        <f t="shared" si="131"/>
        <v>1750</v>
      </c>
      <c r="N88" s="14">
        <f>SUM(N85:N87)</f>
        <v>1750</v>
      </c>
      <c r="O88" s="14">
        <f>SUM(O85:O87)</f>
        <v>23771.9</v>
      </c>
      <c r="P88" s="14">
        <f>SUM(P85:P87)</f>
        <v>4200</v>
      </c>
      <c r="Q88" s="14">
        <f>SUM(Q85:Q87)</f>
        <v>3250</v>
      </c>
      <c r="R88" s="14">
        <f>SUM(R85:R87)</f>
        <v>3250</v>
      </c>
      <c r="T88" s="14">
        <f t="shared" ref="T88:Y88" si="132">SUM(T85:T87)</f>
        <v>18709.5</v>
      </c>
      <c r="U88" s="14">
        <f t="shared" si="132"/>
        <v>2500</v>
      </c>
      <c r="V88" s="14">
        <f t="shared" si="132"/>
        <v>1750</v>
      </c>
      <c r="W88" s="14">
        <f t="shared" si="132"/>
        <v>1750</v>
      </c>
      <c r="X88" s="14">
        <f t="shared" si="132"/>
        <v>23771.9</v>
      </c>
      <c r="Y88" s="14">
        <f t="shared" si="132"/>
        <v>4200</v>
      </c>
      <c r="Z88" s="14">
        <f>SUM(Z85:Z87)</f>
        <v>3250</v>
      </c>
      <c r="AA88" s="14">
        <f>SUM(AA85:AA87)</f>
        <v>3250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90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91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92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93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94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>
        <f>C88/C85</f>
        <v>37.21957186544342</v>
      </c>
      <c r="D97" s="83">
        <f>D88/D85</f>
        <v>5.5125949620151937</v>
      </c>
      <c r="E97" s="83">
        <f>E88/E85</f>
        <v>7.4837999999999996</v>
      </c>
      <c r="F97" s="83">
        <f>F88/F85</f>
        <v>13.583942857142858</v>
      </c>
      <c r="H97" s="83">
        <f t="shared" ref="H97:Q97" si="138">H88/H85</f>
        <v>1</v>
      </c>
      <c r="I97" s="83">
        <f t="shared" si="138"/>
        <v>1</v>
      </c>
      <c r="J97" s="83">
        <f t="shared" si="138"/>
        <v>1</v>
      </c>
      <c r="K97" s="83">
        <f t="shared" si="138"/>
        <v>7.4837999999999996</v>
      </c>
      <c r="L97" s="83">
        <f t="shared" si="138"/>
        <v>1</v>
      </c>
      <c r="M97" s="83">
        <f t="shared" si="138"/>
        <v>1</v>
      </c>
      <c r="N97" s="83">
        <f t="shared" si="138"/>
        <v>1</v>
      </c>
      <c r="O97" s="83">
        <f t="shared" si="138"/>
        <v>13.583942857142858</v>
      </c>
      <c r="P97" s="83">
        <f t="shared" si="138"/>
        <v>1</v>
      </c>
      <c r="Q97" s="83">
        <f t="shared" si="138"/>
        <v>1</v>
      </c>
      <c r="R97" s="83">
        <f>R88/R85</f>
        <v>1</v>
      </c>
      <c r="S97" s="83"/>
      <c r="T97" s="83">
        <f t="shared" ref="T97:Y97" si="139">T88/T85</f>
        <v>7.4837999999999996</v>
      </c>
      <c r="U97" s="83">
        <f t="shared" si="139"/>
        <v>1</v>
      </c>
      <c r="V97" s="83">
        <f t="shared" si="139"/>
        <v>1</v>
      </c>
      <c r="W97" s="83">
        <f t="shared" si="139"/>
        <v>1</v>
      </c>
      <c r="X97" s="83">
        <f t="shared" si="139"/>
        <v>13.583942857142858</v>
      </c>
      <c r="Y97" s="83">
        <f t="shared" si="139"/>
        <v>1</v>
      </c>
      <c r="Z97" s="83">
        <f>Z88/Z85</f>
        <v>1</v>
      </c>
      <c r="AA97" s="83">
        <f>AA88/AA85</f>
        <v>1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2025-12-25T10:47:20Z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