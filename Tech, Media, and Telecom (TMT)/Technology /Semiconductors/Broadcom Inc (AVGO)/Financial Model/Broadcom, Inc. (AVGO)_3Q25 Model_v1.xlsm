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BF93CF79-1303-4ADC-B8AE-9AE602BC3703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  <sheet name="Debt Schedule" sheetId="22" r:id="rId4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7" i="22" l="1"/>
  <c r="K7" i="22"/>
  <c r="K6" i="22" s="1"/>
  <c r="O8" i="22"/>
  <c r="K8" i="22"/>
  <c r="O9" i="22"/>
  <c r="K9" i="22"/>
  <c r="O10" i="22"/>
  <c r="K10" i="22"/>
  <c r="O15" i="22"/>
  <c r="K15" i="22"/>
  <c r="K12" i="22" s="1"/>
  <c r="K69" i="9" s="1"/>
  <c r="O14" i="22"/>
  <c r="K14" i="22"/>
  <c r="O13" i="22"/>
  <c r="K13" i="22"/>
  <c r="O19" i="22"/>
  <c r="O18" i="22"/>
  <c r="O17" i="22" s="1"/>
  <c r="K19" i="22"/>
  <c r="K18" i="22"/>
  <c r="R17" i="22"/>
  <c r="R70" i="9" s="1"/>
  <c r="AF70" i="9" s="1"/>
  <c r="Q17" i="22"/>
  <c r="Q70" i="9" s="1"/>
  <c r="AE70" i="9" s="1"/>
  <c r="P17" i="22"/>
  <c r="N17" i="22"/>
  <c r="M17" i="22"/>
  <c r="M70" i="9" s="1"/>
  <c r="L17" i="22"/>
  <c r="L70" i="9" s="1"/>
  <c r="K17" i="22"/>
  <c r="K70" i="9" s="1"/>
  <c r="J17" i="22"/>
  <c r="J70" i="9" s="1"/>
  <c r="I17" i="22"/>
  <c r="I70" i="9" s="1"/>
  <c r="H17" i="22"/>
  <c r="H70" i="9" s="1"/>
  <c r="R12" i="22"/>
  <c r="Q12" i="22"/>
  <c r="P12" i="22"/>
  <c r="N12" i="22"/>
  <c r="N69" i="9" s="1"/>
  <c r="AB69" i="9" s="1"/>
  <c r="M12" i="22"/>
  <c r="M69" i="9" s="1"/>
  <c r="L12" i="22"/>
  <c r="L69" i="9" s="1"/>
  <c r="J12" i="22"/>
  <c r="I12" i="22"/>
  <c r="I69" i="9" s="1"/>
  <c r="H12" i="22"/>
  <c r="H69" i="9" s="1"/>
  <c r="R6" i="22"/>
  <c r="Q6" i="22"/>
  <c r="P6" i="22"/>
  <c r="P94" i="22" s="1"/>
  <c r="N6" i="22"/>
  <c r="N68" i="9" s="1"/>
  <c r="AB68" i="9" s="1"/>
  <c r="M6" i="22"/>
  <c r="L6" i="22"/>
  <c r="J6" i="22"/>
  <c r="J68" i="9" s="1"/>
  <c r="I6" i="22"/>
  <c r="I68" i="9" s="1"/>
  <c r="H6" i="22"/>
  <c r="E6" i="22"/>
  <c r="D6" i="22"/>
  <c r="C6" i="22"/>
  <c r="C68" i="9" s="1"/>
  <c r="F6" i="22"/>
  <c r="AF71" i="9"/>
  <c r="AE71" i="9"/>
  <c r="AD71" i="9"/>
  <c r="AC71" i="9"/>
  <c r="AB71" i="9"/>
  <c r="AD70" i="9"/>
  <c r="AE68" i="9"/>
  <c r="P70" i="9"/>
  <c r="N70" i="9"/>
  <c r="AB70" i="9" s="1"/>
  <c r="R69" i="9"/>
  <c r="AF69" i="9" s="1"/>
  <c r="P69" i="9"/>
  <c r="AD69" i="9" s="1"/>
  <c r="J69" i="9"/>
  <c r="R68" i="9"/>
  <c r="AF68" i="9" s="1"/>
  <c r="Q68" i="9"/>
  <c r="E70" i="9"/>
  <c r="D70" i="9"/>
  <c r="C70" i="9"/>
  <c r="E69" i="9"/>
  <c r="D69" i="9"/>
  <c r="C69" i="9"/>
  <c r="E68" i="9"/>
  <c r="D68" i="9"/>
  <c r="R94" i="22"/>
  <c r="N94" i="22"/>
  <c r="E94" i="22"/>
  <c r="D94" i="22"/>
  <c r="C94" i="22"/>
  <c r="F17" i="22"/>
  <c r="F70" i="9" s="1"/>
  <c r="E17" i="22"/>
  <c r="D17" i="22"/>
  <c r="C17" i="22"/>
  <c r="F12" i="22"/>
  <c r="F69" i="9" s="1"/>
  <c r="E12" i="22"/>
  <c r="D12" i="22"/>
  <c r="C12" i="22"/>
  <c r="F94" i="22"/>
  <c r="R75" i="22"/>
  <c r="R81" i="9" s="1"/>
  <c r="AF81" i="9" s="1"/>
  <c r="Q75" i="22"/>
  <c r="Q81" i="9" s="1"/>
  <c r="AE81" i="9" s="1"/>
  <c r="P75" i="22"/>
  <c r="P81" i="9" s="1"/>
  <c r="AD81" i="9" s="1"/>
  <c r="N75" i="22"/>
  <c r="N81" i="9" s="1"/>
  <c r="AB81" i="9" s="1"/>
  <c r="M75" i="22"/>
  <c r="M81" i="9" s="1"/>
  <c r="L75" i="22"/>
  <c r="L81" i="9" s="1"/>
  <c r="J75" i="22"/>
  <c r="J81" i="9" s="1"/>
  <c r="I75" i="22"/>
  <c r="I81" i="9" s="1"/>
  <c r="H75" i="22"/>
  <c r="H81" i="9" s="1"/>
  <c r="O82" i="22"/>
  <c r="O81" i="22"/>
  <c r="O80" i="22"/>
  <c r="O79" i="22"/>
  <c r="O78" i="22"/>
  <c r="O77" i="22"/>
  <c r="O76" i="22"/>
  <c r="K82" i="22"/>
  <c r="K81" i="22"/>
  <c r="K80" i="22"/>
  <c r="K79" i="22"/>
  <c r="K78" i="22"/>
  <c r="K77" i="22"/>
  <c r="K76" i="22"/>
  <c r="F75" i="22"/>
  <c r="O75" i="22" s="1"/>
  <c r="E75" i="22"/>
  <c r="E81" i="9" s="1"/>
  <c r="D75" i="22"/>
  <c r="D81" i="9" s="1"/>
  <c r="C75" i="22"/>
  <c r="C81" i="9" s="1"/>
  <c r="O98" i="22"/>
  <c r="O97" i="22"/>
  <c r="O92" i="22"/>
  <c r="O91" i="22"/>
  <c r="O90" i="22"/>
  <c r="O87" i="22"/>
  <c r="O86" i="22"/>
  <c r="O85" i="22"/>
  <c r="O73" i="22"/>
  <c r="O72" i="22"/>
  <c r="O71" i="22"/>
  <c r="O70" i="22"/>
  <c r="O69" i="22"/>
  <c r="O68" i="22"/>
  <c r="O67" i="22"/>
  <c r="O64" i="22"/>
  <c r="O63" i="22"/>
  <c r="O62" i="22"/>
  <c r="O61" i="22"/>
  <c r="AC61" i="22" s="1"/>
  <c r="O60" i="22"/>
  <c r="O57" i="22"/>
  <c r="O56" i="22"/>
  <c r="O53" i="22"/>
  <c r="O52" i="22"/>
  <c r="O49" i="22"/>
  <c r="AC49" i="22" s="1"/>
  <c r="O48" i="22"/>
  <c r="AC48" i="22" s="1"/>
  <c r="O47" i="22"/>
  <c r="AC47" i="22" s="1"/>
  <c r="O46" i="22"/>
  <c r="O43" i="22"/>
  <c r="O42" i="22"/>
  <c r="O39" i="22"/>
  <c r="AC39" i="22" s="1"/>
  <c r="O38" i="22"/>
  <c r="AC38" i="22" s="1"/>
  <c r="O37" i="22"/>
  <c r="AC37" i="22" s="1"/>
  <c r="O36" i="22"/>
  <c r="O35" i="22"/>
  <c r="AC35" i="22" s="1"/>
  <c r="O32" i="22"/>
  <c r="AC32" i="22" s="1"/>
  <c r="O31" i="22"/>
  <c r="AC31" i="22" s="1"/>
  <c r="O28" i="22"/>
  <c r="AC28" i="22" s="1"/>
  <c r="O27" i="22"/>
  <c r="O24" i="22"/>
  <c r="O23" i="22"/>
  <c r="O22" i="22"/>
  <c r="K24" i="22"/>
  <c r="K23" i="22"/>
  <c r="K22" i="22"/>
  <c r="K98" i="22"/>
  <c r="K97" i="22"/>
  <c r="K92" i="22"/>
  <c r="K91" i="22"/>
  <c r="K90" i="22"/>
  <c r="K87" i="22"/>
  <c r="K86" i="22"/>
  <c r="K85" i="22"/>
  <c r="K73" i="22"/>
  <c r="K72" i="22"/>
  <c r="K71" i="22"/>
  <c r="K70" i="22"/>
  <c r="K69" i="22"/>
  <c r="K68" i="22"/>
  <c r="K67" i="22"/>
  <c r="K64" i="22"/>
  <c r="K63" i="22"/>
  <c r="K62" i="22"/>
  <c r="K61" i="22"/>
  <c r="K60" i="22"/>
  <c r="K57" i="22"/>
  <c r="K56" i="22"/>
  <c r="K53" i="22"/>
  <c r="K52" i="22"/>
  <c r="K49" i="22"/>
  <c r="Y49" i="22" s="1"/>
  <c r="K48" i="22"/>
  <c r="Y48" i="22" s="1"/>
  <c r="K47" i="22"/>
  <c r="Y47" i="22" s="1"/>
  <c r="K46" i="22"/>
  <c r="K43" i="22"/>
  <c r="K42" i="22"/>
  <c r="R34" i="22"/>
  <c r="AF34" i="22" s="1"/>
  <c r="Q34" i="22"/>
  <c r="Q74" i="9" s="1"/>
  <c r="AE74" i="9" s="1"/>
  <c r="P34" i="22"/>
  <c r="P74" i="9" s="1"/>
  <c r="AD74" i="9" s="1"/>
  <c r="N34" i="22"/>
  <c r="AB34" i="22" s="1"/>
  <c r="M34" i="22"/>
  <c r="AA34" i="22" s="1"/>
  <c r="L34" i="22"/>
  <c r="Z34" i="22" s="1"/>
  <c r="J34" i="22"/>
  <c r="J74" i="9" s="1"/>
  <c r="I34" i="22"/>
  <c r="I74" i="9" s="1"/>
  <c r="H34" i="22"/>
  <c r="V34" i="22" s="1"/>
  <c r="G34" i="22"/>
  <c r="R41" i="22"/>
  <c r="R75" i="9" s="1"/>
  <c r="AF75" i="9" s="1"/>
  <c r="Q41" i="22"/>
  <c r="Q75" i="9" s="1"/>
  <c r="AE75" i="9" s="1"/>
  <c r="P41" i="22"/>
  <c r="P75" i="9" s="1"/>
  <c r="AD75" i="9" s="1"/>
  <c r="N41" i="22"/>
  <c r="N75" i="9" s="1"/>
  <c r="AB75" i="9" s="1"/>
  <c r="M41" i="22"/>
  <c r="M75" i="9" s="1"/>
  <c r="L41" i="22"/>
  <c r="L75" i="9" s="1"/>
  <c r="J41" i="22"/>
  <c r="J75" i="9" s="1"/>
  <c r="I41" i="22"/>
  <c r="I75" i="9" s="1"/>
  <c r="H41" i="22"/>
  <c r="H75" i="9" s="1"/>
  <c r="G41" i="22"/>
  <c r="R45" i="22"/>
  <c r="R76" i="9" s="1"/>
  <c r="AF76" i="9" s="1"/>
  <c r="Q45" i="22"/>
  <c r="Q76" i="9" s="1"/>
  <c r="AE76" i="9" s="1"/>
  <c r="P45" i="22"/>
  <c r="P76" i="9" s="1"/>
  <c r="AD76" i="9" s="1"/>
  <c r="N45" i="22"/>
  <c r="N76" i="9" s="1"/>
  <c r="AB76" i="9" s="1"/>
  <c r="M45" i="22"/>
  <c r="M76" i="9" s="1"/>
  <c r="L45" i="22"/>
  <c r="L76" i="9" s="1"/>
  <c r="J45" i="22"/>
  <c r="J76" i="9" s="1"/>
  <c r="I45" i="22"/>
  <c r="I76" i="9" s="1"/>
  <c r="H45" i="22"/>
  <c r="H76" i="9" s="1"/>
  <c r="G45" i="22"/>
  <c r="R51" i="22"/>
  <c r="R77" i="9" s="1"/>
  <c r="AF77" i="9" s="1"/>
  <c r="Q51" i="22"/>
  <c r="Q77" i="9" s="1"/>
  <c r="AE77" i="9" s="1"/>
  <c r="P51" i="22"/>
  <c r="P77" i="9" s="1"/>
  <c r="AD77" i="9" s="1"/>
  <c r="N51" i="22"/>
  <c r="N77" i="9" s="1"/>
  <c r="AB77" i="9" s="1"/>
  <c r="M51" i="22"/>
  <c r="M77" i="9" s="1"/>
  <c r="L51" i="22"/>
  <c r="L77" i="9" s="1"/>
  <c r="J51" i="22"/>
  <c r="J77" i="9" s="1"/>
  <c r="I51" i="22"/>
  <c r="I77" i="9" s="1"/>
  <c r="H51" i="22"/>
  <c r="H77" i="9" s="1"/>
  <c r="G51" i="22"/>
  <c r="R55" i="22"/>
  <c r="R78" i="9" s="1"/>
  <c r="AF78" i="9" s="1"/>
  <c r="Q55" i="22"/>
  <c r="Q78" i="9" s="1"/>
  <c r="AE78" i="9" s="1"/>
  <c r="P55" i="22"/>
  <c r="P78" i="9" s="1"/>
  <c r="AD78" i="9" s="1"/>
  <c r="N55" i="22"/>
  <c r="N78" i="9" s="1"/>
  <c r="AB78" i="9" s="1"/>
  <c r="M55" i="22"/>
  <c r="M78" i="9" s="1"/>
  <c r="L55" i="22"/>
  <c r="L78" i="9" s="1"/>
  <c r="J55" i="22"/>
  <c r="J78" i="9" s="1"/>
  <c r="I55" i="22"/>
  <c r="I78" i="9" s="1"/>
  <c r="H55" i="22"/>
  <c r="H78" i="9" s="1"/>
  <c r="F51" i="22"/>
  <c r="F45" i="22"/>
  <c r="F76" i="9" s="1"/>
  <c r="F41" i="22"/>
  <c r="F75" i="9" s="1"/>
  <c r="F55" i="22"/>
  <c r="F78" i="9" s="1"/>
  <c r="R87" i="9"/>
  <c r="Q87" i="9"/>
  <c r="P87" i="9"/>
  <c r="O87" i="9"/>
  <c r="N87" i="9"/>
  <c r="M87" i="9"/>
  <c r="L87" i="9"/>
  <c r="K87" i="9"/>
  <c r="J87" i="9"/>
  <c r="I87" i="9"/>
  <c r="H87" i="9"/>
  <c r="E87" i="9"/>
  <c r="D87" i="9"/>
  <c r="C87" i="9"/>
  <c r="F87" i="9"/>
  <c r="R59" i="22"/>
  <c r="R79" i="9" s="1"/>
  <c r="AF79" i="9" s="1"/>
  <c r="Q59" i="22"/>
  <c r="Q79" i="9" s="1"/>
  <c r="AE79" i="9" s="1"/>
  <c r="P59" i="22"/>
  <c r="P79" i="9" s="1"/>
  <c r="AD79" i="9" s="1"/>
  <c r="N59" i="22"/>
  <c r="N79" i="9" s="1"/>
  <c r="AB79" i="9" s="1"/>
  <c r="M59" i="22"/>
  <c r="M79" i="9" s="1"/>
  <c r="L59" i="22"/>
  <c r="L79" i="9" s="1"/>
  <c r="J59" i="22"/>
  <c r="J79" i="9" s="1"/>
  <c r="I59" i="22"/>
  <c r="I79" i="9" s="1"/>
  <c r="H59" i="22"/>
  <c r="H79" i="9" s="1"/>
  <c r="R66" i="22"/>
  <c r="R80" i="9" s="1"/>
  <c r="AF80" i="9" s="1"/>
  <c r="Q66" i="22"/>
  <c r="Q80" i="9" s="1"/>
  <c r="AE80" i="9" s="1"/>
  <c r="P66" i="22"/>
  <c r="P80" i="9" s="1"/>
  <c r="AD80" i="9" s="1"/>
  <c r="N66" i="22"/>
  <c r="N80" i="9" s="1"/>
  <c r="AB80" i="9" s="1"/>
  <c r="M66" i="22"/>
  <c r="M80" i="9" s="1"/>
  <c r="L66" i="22"/>
  <c r="L80" i="9" s="1"/>
  <c r="J66" i="22"/>
  <c r="J80" i="9" s="1"/>
  <c r="I66" i="22"/>
  <c r="I80" i="9" s="1"/>
  <c r="H66" i="22"/>
  <c r="H80" i="9" s="1"/>
  <c r="R84" i="22"/>
  <c r="R82" i="9" s="1"/>
  <c r="AF82" i="9" s="1"/>
  <c r="Q84" i="22"/>
  <c r="Q82" i="9" s="1"/>
  <c r="AE82" i="9" s="1"/>
  <c r="P84" i="22"/>
  <c r="N84" i="22"/>
  <c r="N82" i="9" s="1"/>
  <c r="AB82" i="9" s="1"/>
  <c r="M84" i="22"/>
  <c r="M82" i="9" s="1"/>
  <c r="L84" i="22"/>
  <c r="L82" i="9" s="1"/>
  <c r="J84" i="22"/>
  <c r="J82" i="9" s="1"/>
  <c r="I84" i="22"/>
  <c r="I82" i="9" s="1"/>
  <c r="H84" i="22"/>
  <c r="H82" i="9" s="1"/>
  <c r="R89" i="22"/>
  <c r="R83" i="9" s="1"/>
  <c r="AF83" i="9" s="1"/>
  <c r="Q89" i="22"/>
  <c r="Q83" i="9" s="1"/>
  <c r="AE83" i="9" s="1"/>
  <c r="P89" i="22"/>
  <c r="P83" i="9" s="1"/>
  <c r="AD83" i="9" s="1"/>
  <c r="N89" i="22"/>
  <c r="N83" i="9" s="1"/>
  <c r="AB83" i="9" s="1"/>
  <c r="M89" i="22"/>
  <c r="M83" i="9" s="1"/>
  <c r="L89" i="22"/>
  <c r="L83" i="9" s="1"/>
  <c r="J89" i="22"/>
  <c r="J83" i="9" s="1"/>
  <c r="I89" i="22"/>
  <c r="I83" i="9" s="1"/>
  <c r="H89" i="22"/>
  <c r="R21" i="22"/>
  <c r="R71" i="9" s="1"/>
  <c r="Q21" i="22"/>
  <c r="Q71" i="9" s="1"/>
  <c r="P21" i="22"/>
  <c r="P71" i="9" s="1"/>
  <c r="N21" i="22"/>
  <c r="N71" i="9" s="1"/>
  <c r="M21" i="22"/>
  <c r="M71" i="9" s="1"/>
  <c r="L21" i="22"/>
  <c r="L71" i="9" s="1"/>
  <c r="J21" i="22"/>
  <c r="J71" i="9" s="1"/>
  <c r="I21" i="22"/>
  <c r="I71" i="9" s="1"/>
  <c r="H21" i="22"/>
  <c r="H71" i="9" s="1"/>
  <c r="F21" i="22"/>
  <c r="F71" i="9" s="1"/>
  <c r="E21" i="22"/>
  <c r="E71" i="9" s="1"/>
  <c r="D21" i="22"/>
  <c r="D71" i="9" s="1"/>
  <c r="C21" i="22"/>
  <c r="C71" i="9" s="1"/>
  <c r="E41" i="22"/>
  <c r="E75" i="9" s="1"/>
  <c r="D41" i="22"/>
  <c r="D75" i="9" s="1"/>
  <c r="E45" i="22"/>
  <c r="E76" i="9" s="1"/>
  <c r="D45" i="22"/>
  <c r="D76" i="9" s="1"/>
  <c r="E51" i="22"/>
  <c r="E77" i="9" s="1"/>
  <c r="D51" i="22"/>
  <c r="D77" i="9" s="1"/>
  <c r="R65" i="9"/>
  <c r="Q65" i="9"/>
  <c r="P65" i="9"/>
  <c r="O65" i="9"/>
  <c r="N65" i="9"/>
  <c r="M65" i="9"/>
  <c r="L65" i="9"/>
  <c r="K65" i="9"/>
  <c r="J65" i="9"/>
  <c r="I65" i="9"/>
  <c r="H65" i="9"/>
  <c r="E65" i="9"/>
  <c r="D65" i="9"/>
  <c r="C65" i="9"/>
  <c r="F65" i="9"/>
  <c r="R64" i="9"/>
  <c r="Q64" i="9"/>
  <c r="P64" i="9"/>
  <c r="O64" i="9"/>
  <c r="N64" i="9"/>
  <c r="M64" i="9"/>
  <c r="L64" i="9"/>
  <c r="K64" i="9"/>
  <c r="J64" i="9"/>
  <c r="I64" i="9"/>
  <c r="H64" i="9"/>
  <c r="E64" i="9"/>
  <c r="D64" i="9"/>
  <c r="C64" i="9"/>
  <c r="F64" i="9"/>
  <c r="E55" i="22"/>
  <c r="E78" i="9" s="1"/>
  <c r="D55" i="22"/>
  <c r="D78" i="9" s="1"/>
  <c r="R96" i="22"/>
  <c r="R84" i="9" s="1"/>
  <c r="Q96" i="22"/>
  <c r="Q84" i="9" s="1"/>
  <c r="P96" i="22"/>
  <c r="P84" i="9" s="1"/>
  <c r="N96" i="22"/>
  <c r="N84" i="9" s="1"/>
  <c r="M96" i="22"/>
  <c r="M84" i="9" s="1"/>
  <c r="L96" i="22"/>
  <c r="L84" i="9" s="1"/>
  <c r="J96" i="22"/>
  <c r="J84" i="9" s="1"/>
  <c r="I96" i="22"/>
  <c r="I84" i="9" s="1"/>
  <c r="H96" i="22"/>
  <c r="H84" i="9" s="1"/>
  <c r="F96" i="22"/>
  <c r="F84" i="9" s="1"/>
  <c r="E96" i="22"/>
  <c r="E84" i="9" s="1"/>
  <c r="D96" i="22"/>
  <c r="D84" i="9" s="1"/>
  <c r="C96" i="22"/>
  <c r="C84" i="9" s="1"/>
  <c r="F59" i="22"/>
  <c r="F79" i="9" s="1"/>
  <c r="E59" i="22"/>
  <c r="E79" i="9" s="1"/>
  <c r="D59" i="22"/>
  <c r="D79" i="9" s="1"/>
  <c r="F66" i="22"/>
  <c r="F80" i="9" s="1"/>
  <c r="E66" i="22"/>
  <c r="E80" i="9" s="1"/>
  <c r="D66" i="22"/>
  <c r="D80" i="9" s="1"/>
  <c r="F84" i="22"/>
  <c r="F82" i="9" s="1"/>
  <c r="E84" i="22"/>
  <c r="E82" i="9" s="1"/>
  <c r="D84" i="22"/>
  <c r="D82" i="9" s="1"/>
  <c r="F89" i="22"/>
  <c r="F83" i="9" s="1"/>
  <c r="E89" i="22"/>
  <c r="E83" i="9" s="1"/>
  <c r="D89" i="22"/>
  <c r="D83" i="9" s="1"/>
  <c r="C89" i="22"/>
  <c r="C83" i="9" s="1"/>
  <c r="R30" i="22"/>
  <c r="AF30" i="22" s="1"/>
  <c r="Q30" i="22"/>
  <c r="AE30" i="22" s="1"/>
  <c r="P30" i="22"/>
  <c r="AD30" i="22" s="1"/>
  <c r="N30" i="22"/>
  <c r="N73" i="9" s="1"/>
  <c r="AB73" i="9" s="1"/>
  <c r="M30" i="22"/>
  <c r="AA30" i="22" s="1"/>
  <c r="L30" i="22"/>
  <c r="L73" i="9" s="1"/>
  <c r="J30" i="22"/>
  <c r="J73" i="9" s="1"/>
  <c r="I30" i="22"/>
  <c r="I73" i="9" s="1"/>
  <c r="H30" i="22"/>
  <c r="H73" i="9" s="1"/>
  <c r="F30" i="22"/>
  <c r="F73" i="9" s="1"/>
  <c r="E30" i="22"/>
  <c r="E73" i="9" s="1"/>
  <c r="D30" i="22"/>
  <c r="D73" i="9" s="1"/>
  <c r="F34" i="22"/>
  <c r="F74" i="9" s="1"/>
  <c r="E34" i="22"/>
  <c r="E74" i="9" s="1"/>
  <c r="D34" i="22"/>
  <c r="D74" i="9" s="1"/>
  <c r="K39" i="22"/>
  <c r="Y39" i="22" s="1"/>
  <c r="K38" i="22"/>
  <c r="Y38" i="22" s="1"/>
  <c r="K37" i="22"/>
  <c r="Y37" i="22" s="1"/>
  <c r="K36" i="22"/>
  <c r="Y36" i="22" s="1"/>
  <c r="K35" i="22"/>
  <c r="Y35" i="22" s="1"/>
  <c r="K32" i="22"/>
  <c r="Y32" i="22" s="1"/>
  <c r="K31" i="22"/>
  <c r="Y31" i="22" s="1"/>
  <c r="R26" i="22"/>
  <c r="R72" i="9" s="1"/>
  <c r="AF72" i="9" s="1"/>
  <c r="Q26" i="22"/>
  <c r="Q72" i="9" s="1"/>
  <c r="AE72" i="9" s="1"/>
  <c r="P26" i="22"/>
  <c r="P72" i="9" s="1"/>
  <c r="AD72" i="9" s="1"/>
  <c r="N26" i="22"/>
  <c r="N72" i="9" s="1"/>
  <c r="AB72" i="9" s="1"/>
  <c r="M26" i="22"/>
  <c r="M72" i="9" s="1"/>
  <c r="L26" i="22"/>
  <c r="L72" i="9" s="1"/>
  <c r="J26" i="22"/>
  <c r="J72" i="9" s="1"/>
  <c r="I26" i="22"/>
  <c r="I72" i="9" s="1"/>
  <c r="H26" i="22"/>
  <c r="H72" i="9" s="1"/>
  <c r="F26" i="22"/>
  <c r="F72" i="9" s="1"/>
  <c r="E26" i="22"/>
  <c r="E72" i="9" s="1"/>
  <c r="K28" i="22"/>
  <c r="Y28" i="22" s="1"/>
  <c r="K27" i="22"/>
  <c r="D26" i="22"/>
  <c r="D72" i="9" s="1"/>
  <c r="R52" i="9"/>
  <c r="F52" i="9"/>
  <c r="O52" i="9" s="1"/>
  <c r="E52" i="9"/>
  <c r="K52" i="9" s="1"/>
  <c r="D52" i="9"/>
  <c r="C52" i="9"/>
  <c r="C84" i="22"/>
  <c r="C66" i="22"/>
  <c r="C80" i="9" s="1"/>
  <c r="C59" i="22"/>
  <c r="C79" i="9" s="1"/>
  <c r="C55" i="22"/>
  <c r="C78" i="9" s="1"/>
  <c r="C51" i="22"/>
  <c r="C77" i="9" s="1"/>
  <c r="C45" i="22"/>
  <c r="C76" i="9" s="1"/>
  <c r="C41" i="22"/>
  <c r="C75" i="9" s="1"/>
  <c r="C34" i="22"/>
  <c r="C74" i="9" s="1"/>
  <c r="C30" i="22"/>
  <c r="C73" i="9" s="1"/>
  <c r="C26" i="22"/>
  <c r="C72" i="9" s="1"/>
  <c r="R4" i="22"/>
  <c r="AF4" i="22" s="1"/>
  <c r="Q4" i="22"/>
  <c r="AE4" i="22" s="1"/>
  <c r="P4" i="22"/>
  <c r="AD4" i="22" s="1"/>
  <c r="O4" i="22"/>
  <c r="AC4" i="22" s="1"/>
  <c r="N4" i="22"/>
  <c r="AB4" i="22" s="1"/>
  <c r="M4" i="22"/>
  <c r="AA4" i="22" s="1"/>
  <c r="L4" i="22"/>
  <c r="Z4" i="22" s="1"/>
  <c r="K4" i="22"/>
  <c r="Y4" i="22" s="1"/>
  <c r="J4" i="22"/>
  <c r="X4" i="22" s="1"/>
  <c r="I4" i="22"/>
  <c r="W4" i="22" s="1"/>
  <c r="R3" i="22"/>
  <c r="AF3" i="22" s="1"/>
  <c r="Q3" i="22"/>
  <c r="AE3" i="22" s="1"/>
  <c r="P3" i="22"/>
  <c r="AD3" i="22" s="1"/>
  <c r="O3" i="22"/>
  <c r="AC3" i="22" s="1"/>
  <c r="N3" i="22"/>
  <c r="AB3" i="22" s="1"/>
  <c r="M3" i="22"/>
  <c r="AA3" i="22" s="1"/>
  <c r="L3" i="22"/>
  <c r="Z3" i="22" s="1"/>
  <c r="K3" i="22"/>
  <c r="Y3" i="22" s="1"/>
  <c r="J3" i="22"/>
  <c r="X3" i="22" s="1"/>
  <c r="I3" i="22"/>
  <c r="W3" i="22" s="1"/>
  <c r="H4" i="22"/>
  <c r="V4" i="22" s="1"/>
  <c r="H3" i="22"/>
  <c r="V3" i="22" s="1"/>
  <c r="E4" i="22"/>
  <c r="D4" i="22"/>
  <c r="C4" i="22"/>
  <c r="E3" i="22"/>
  <c r="D3" i="22"/>
  <c r="C3" i="22"/>
  <c r="F4" i="22"/>
  <c r="F3" i="22"/>
  <c r="B2" i="22"/>
  <c r="AF54" i="9"/>
  <c r="AE54" i="9"/>
  <c r="AD54" i="9"/>
  <c r="AC54" i="9"/>
  <c r="AB54" i="9"/>
  <c r="R61" i="9"/>
  <c r="Q61" i="9"/>
  <c r="P61" i="9"/>
  <c r="O61" i="9"/>
  <c r="N61" i="9"/>
  <c r="M61" i="9"/>
  <c r="L61" i="9"/>
  <c r="K61" i="9"/>
  <c r="J61" i="9"/>
  <c r="I61" i="9"/>
  <c r="R60" i="9"/>
  <c r="Q60" i="9"/>
  <c r="P60" i="9"/>
  <c r="O60" i="9"/>
  <c r="N60" i="9"/>
  <c r="M60" i="9"/>
  <c r="L60" i="9"/>
  <c r="K60" i="9"/>
  <c r="J60" i="9"/>
  <c r="I60" i="9"/>
  <c r="H61" i="9"/>
  <c r="H60" i="9"/>
  <c r="E61" i="9"/>
  <c r="D61" i="9"/>
  <c r="C61" i="9"/>
  <c r="E60" i="9"/>
  <c r="D60" i="9"/>
  <c r="C60" i="9"/>
  <c r="F61" i="9"/>
  <c r="F60" i="9"/>
  <c r="R59" i="9"/>
  <c r="Q59" i="9"/>
  <c r="P59" i="9"/>
  <c r="O59" i="9"/>
  <c r="N59" i="9"/>
  <c r="M59" i="9"/>
  <c r="L59" i="9"/>
  <c r="K59" i="9"/>
  <c r="J59" i="9"/>
  <c r="I59" i="9"/>
  <c r="H59" i="9"/>
  <c r="E59" i="9"/>
  <c r="D59" i="9"/>
  <c r="C59" i="9"/>
  <c r="F59" i="9"/>
  <c r="R58" i="9"/>
  <c r="Q58" i="9"/>
  <c r="P58" i="9"/>
  <c r="O58" i="9"/>
  <c r="N58" i="9"/>
  <c r="M58" i="9"/>
  <c r="L58" i="9"/>
  <c r="K58" i="9"/>
  <c r="J58" i="9"/>
  <c r="I58" i="9"/>
  <c r="H58" i="9"/>
  <c r="E58" i="9"/>
  <c r="D58" i="9"/>
  <c r="C58" i="9"/>
  <c r="F58" i="9"/>
  <c r="R57" i="9"/>
  <c r="Q57" i="9"/>
  <c r="P57" i="9"/>
  <c r="O57" i="9"/>
  <c r="N57" i="9"/>
  <c r="M57" i="9"/>
  <c r="L57" i="9"/>
  <c r="K57" i="9"/>
  <c r="J57" i="9"/>
  <c r="I57" i="9"/>
  <c r="H57" i="9"/>
  <c r="E57" i="9"/>
  <c r="D57" i="9"/>
  <c r="C57" i="9"/>
  <c r="F57" i="9"/>
  <c r="R43" i="9"/>
  <c r="Q43" i="9"/>
  <c r="P43" i="9"/>
  <c r="O43" i="9"/>
  <c r="N43" i="9"/>
  <c r="M43" i="9"/>
  <c r="L43" i="9"/>
  <c r="K43" i="9"/>
  <c r="J43" i="9"/>
  <c r="I43" i="9"/>
  <c r="H43" i="9"/>
  <c r="E43" i="9"/>
  <c r="D43" i="9"/>
  <c r="C43" i="9"/>
  <c r="F43" i="9"/>
  <c r="R44" i="9"/>
  <c r="Q44" i="9"/>
  <c r="P44" i="9"/>
  <c r="O44" i="9"/>
  <c r="N44" i="9"/>
  <c r="M44" i="9"/>
  <c r="L44" i="9"/>
  <c r="K44" i="9"/>
  <c r="J44" i="9"/>
  <c r="I44" i="9"/>
  <c r="H44" i="9"/>
  <c r="E44" i="9"/>
  <c r="D44" i="9"/>
  <c r="C44" i="9"/>
  <c r="F44" i="9"/>
  <c r="R45" i="9"/>
  <c r="Q45" i="9"/>
  <c r="P45" i="9"/>
  <c r="O45" i="9"/>
  <c r="N45" i="9"/>
  <c r="M45" i="9"/>
  <c r="L45" i="9"/>
  <c r="K45" i="9"/>
  <c r="J45" i="9"/>
  <c r="I45" i="9"/>
  <c r="H45" i="9"/>
  <c r="E45" i="9"/>
  <c r="D45" i="9"/>
  <c r="C45" i="9"/>
  <c r="F45" i="9"/>
  <c r="R51" i="9"/>
  <c r="Q51" i="9"/>
  <c r="P51" i="9"/>
  <c r="O51" i="9"/>
  <c r="N51" i="9"/>
  <c r="M51" i="9"/>
  <c r="L51" i="9"/>
  <c r="K51" i="9"/>
  <c r="J51" i="9"/>
  <c r="I51" i="9"/>
  <c r="H51" i="9"/>
  <c r="E51" i="9"/>
  <c r="D51" i="9"/>
  <c r="C51" i="9"/>
  <c r="F51" i="9"/>
  <c r="R42" i="9"/>
  <c r="Q42" i="9"/>
  <c r="P42" i="9"/>
  <c r="O42" i="9"/>
  <c r="N42" i="9"/>
  <c r="M42" i="9"/>
  <c r="L42" i="9"/>
  <c r="K42" i="9"/>
  <c r="J42" i="9"/>
  <c r="I42" i="9"/>
  <c r="H42" i="9"/>
  <c r="E42" i="9"/>
  <c r="D42" i="9"/>
  <c r="C42" i="9"/>
  <c r="F42" i="9"/>
  <c r="R41" i="9"/>
  <c r="Q41" i="9"/>
  <c r="P41" i="9"/>
  <c r="O41" i="9"/>
  <c r="N41" i="9"/>
  <c r="M41" i="9"/>
  <c r="L41" i="9"/>
  <c r="K41" i="9"/>
  <c r="J41" i="9"/>
  <c r="I41" i="9"/>
  <c r="H41" i="9"/>
  <c r="E41" i="9"/>
  <c r="D41" i="9"/>
  <c r="C41" i="9"/>
  <c r="F41" i="9"/>
  <c r="R38" i="9"/>
  <c r="Q38" i="9"/>
  <c r="P38" i="9"/>
  <c r="O38" i="9"/>
  <c r="N38" i="9"/>
  <c r="M38" i="9"/>
  <c r="L38" i="9"/>
  <c r="K38" i="9"/>
  <c r="J38" i="9"/>
  <c r="I38" i="9"/>
  <c r="H38" i="9"/>
  <c r="E38" i="9"/>
  <c r="D38" i="9"/>
  <c r="C38" i="9"/>
  <c r="F38" i="9"/>
  <c r="R37" i="9"/>
  <c r="Q37" i="9"/>
  <c r="P37" i="9"/>
  <c r="O37" i="9"/>
  <c r="N37" i="9"/>
  <c r="M37" i="9"/>
  <c r="L37" i="9"/>
  <c r="K37" i="9"/>
  <c r="J37" i="9"/>
  <c r="I37" i="9"/>
  <c r="R36" i="9"/>
  <c r="Q36" i="9"/>
  <c r="P36" i="9"/>
  <c r="O36" i="9"/>
  <c r="N36" i="9"/>
  <c r="M36" i="9"/>
  <c r="L36" i="9"/>
  <c r="K36" i="9"/>
  <c r="J36" i="9"/>
  <c r="I36" i="9"/>
  <c r="H37" i="9"/>
  <c r="H36" i="9"/>
  <c r="E37" i="9"/>
  <c r="D37" i="9"/>
  <c r="C37" i="9"/>
  <c r="E36" i="9"/>
  <c r="D36" i="9"/>
  <c r="C36" i="9"/>
  <c r="F36" i="9"/>
  <c r="F37" i="9"/>
  <c r="R35" i="9"/>
  <c r="Q35" i="9"/>
  <c r="P35" i="9"/>
  <c r="O35" i="9"/>
  <c r="N35" i="9"/>
  <c r="M35" i="9"/>
  <c r="L35" i="9"/>
  <c r="K35" i="9"/>
  <c r="J35" i="9"/>
  <c r="I35" i="9"/>
  <c r="H35" i="9"/>
  <c r="E35" i="9"/>
  <c r="D35" i="9"/>
  <c r="C35" i="9"/>
  <c r="F35" i="9"/>
  <c r="U31" i="9"/>
  <c r="T31" i="9"/>
  <c r="R30" i="9"/>
  <c r="Q30" i="9"/>
  <c r="P30" i="9"/>
  <c r="O30" i="9"/>
  <c r="N30" i="9"/>
  <c r="M30" i="9"/>
  <c r="L30" i="9"/>
  <c r="K30" i="9"/>
  <c r="J30" i="9"/>
  <c r="I30" i="9"/>
  <c r="H30" i="9"/>
  <c r="E30" i="9"/>
  <c r="D30" i="9"/>
  <c r="C30" i="9"/>
  <c r="F30" i="9"/>
  <c r="R26" i="9"/>
  <c r="Q26" i="9"/>
  <c r="P26" i="9"/>
  <c r="O26" i="9"/>
  <c r="N26" i="9"/>
  <c r="M26" i="9"/>
  <c r="L26" i="9"/>
  <c r="K26" i="9"/>
  <c r="J26" i="9"/>
  <c r="I26" i="9"/>
  <c r="H26" i="9"/>
  <c r="E26" i="9"/>
  <c r="D26" i="9"/>
  <c r="C26" i="9"/>
  <c r="F26" i="9"/>
  <c r="R22" i="9"/>
  <c r="Q22" i="9"/>
  <c r="P22" i="9"/>
  <c r="O22" i="9"/>
  <c r="N22" i="9"/>
  <c r="M22" i="9"/>
  <c r="L22" i="9"/>
  <c r="K22" i="9"/>
  <c r="J22" i="9"/>
  <c r="I22" i="9"/>
  <c r="R21" i="9"/>
  <c r="Q21" i="9"/>
  <c r="P21" i="9"/>
  <c r="O21" i="9"/>
  <c r="N21" i="9"/>
  <c r="M21" i="9"/>
  <c r="L21" i="9"/>
  <c r="K21" i="9"/>
  <c r="J21" i="9"/>
  <c r="I21" i="9"/>
  <c r="R20" i="9"/>
  <c r="Q20" i="9"/>
  <c r="P20" i="9"/>
  <c r="O20" i="9"/>
  <c r="N20" i="9"/>
  <c r="M20" i="9"/>
  <c r="L20" i="9"/>
  <c r="K20" i="9"/>
  <c r="J20" i="9"/>
  <c r="I20" i="9"/>
  <c r="R19" i="9"/>
  <c r="Q19" i="9"/>
  <c r="P19" i="9"/>
  <c r="O19" i="9"/>
  <c r="N19" i="9"/>
  <c r="M19" i="9"/>
  <c r="L19" i="9"/>
  <c r="K19" i="9"/>
  <c r="J19" i="9"/>
  <c r="I19" i="9"/>
  <c r="H22" i="9"/>
  <c r="H21" i="9"/>
  <c r="H20" i="9"/>
  <c r="H19" i="9"/>
  <c r="E22" i="9"/>
  <c r="D22" i="9"/>
  <c r="C22" i="9"/>
  <c r="E21" i="9"/>
  <c r="D21" i="9"/>
  <c r="C21" i="9"/>
  <c r="E20" i="9"/>
  <c r="D20" i="9"/>
  <c r="C20" i="9"/>
  <c r="E19" i="9"/>
  <c r="D19" i="9"/>
  <c r="C19" i="9"/>
  <c r="F22" i="9"/>
  <c r="F21" i="9"/>
  <c r="F20" i="9"/>
  <c r="F19" i="9"/>
  <c r="R15" i="9"/>
  <c r="Q15" i="9"/>
  <c r="P15" i="9"/>
  <c r="O15" i="9"/>
  <c r="N15" i="9"/>
  <c r="M15" i="9"/>
  <c r="L15" i="9"/>
  <c r="K15" i="9"/>
  <c r="J15" i="9"/>
  <c r="I15" i="9"/>
  <c r="R14" i="9"/>
  <c r="Q14" i="9"/>
  <c r="P14" i="9"/>
  <c r="O14" i="9"/>
  <c r="N14" i="9"/>
  <c r="M14" i="9"/>
  <c r="L14" i="9"/>
  <c r="K14" i="9"/>
  <c r="J14" i="9"/>
  <c r="I14" i="9"/>
  <c r="R13" i="9"/>
  <c r="Q13" i="9"/>
  <c r="P13" i="9"/>
  <c r="O13" i="9"/>
  <c r="N13" i="9"/>
  <c r="M13" i="9"/>
  <c r="L13" i="9"/>
  <c r="K13" i="9"/>
  <c r="J13" i="9"/>
  <c r="I13" i="9"/>
  <c r="R12" i="9"/>
  <c r="Q12" i="9"/>
  <c r="P12" i="9"/>
  <c r="O12" i="9"/>
  <c r="N12" i="9"/>
  <c r="M12" i="9"/>
  <c r="L12" i="9"/>
  <c r="K12" i="9"/>
  <c r="J12" i="9"/>
  <c r="I12" i="9"/>
  <c r="H15" i="9"/>
  <c r="H14" i="9"/>
  <c r="H13" i="9"/>
  <c r="V13" i="9" s="1"/>
  <c r="H12" i="9"/>
  <c r="V12" i="9" s="1"/>
  <c r="E15" i="9"/>
  <c r="D15" i="9"/>
  <c r="C15" i="9"/>
  <c r="E14" i="9"/>
  <c r="D14" i="9"/>
  <c r="C14" i="9"/>
  <c r="E13" i="9"/>
  <c r="D13" i="9"/>
  <c r="C13" i="9"/>
  <c r="E12" i="9"/>
  <c r="D12" i="9"/>
  <c r="C12" i="9"/>
  <c r="F15" i="9"/>
  <c r="F14" i="9"/>
  <c r="F13" i="9"/>
  <c r="F12" i="9"/>
  <c r="U15" i="9"/>
  <c r="T15" i="9"/>
  <c r="U14" i="9"/>
  <c r="T14" i="9"/>
  <c r="U13" i="9"/>
  <c r="T13" i="9"/>
  <c r="U12" i="9"/>
  <c r="T12" i="9"/>
  <c r="R128" i="8"/>
  <c r="R127" i="8"/>
  <c r="R126" i="8"/>
  <c r="R125" i="8"/>
  <c r="R124" i="8"/>
  <c r="R123" i="8"/>
  <c r="R122" i="8"/>
  <c r="R121" i="8"/>
  <c r="R117" i="8"/>
  <c r="R116" i="8"/>
  <c r="R115" i="8"/>
  <c r="R114" i="8"/>
  <c r="R95" i="8"/>
  <c r="R96" i="8"/>
  <c r="R97" i="8"/>
  <c r="R98" i="8"/>
  <c r="R99" i="8"/>
  <c r="R100" i="8"/>
  <c r="R101" i="8"/>
  <c r="R103" i="8"/>
  <c r="R104" i="8"/>
  <c r="R105" i="8"/>
  <c r="R106" i="8"/>
  <c r="R107" i="8"/>
  <c r="R108" i="8"/>
  <c r="R7" i="9"/>
  <c r="Q7" i="9"/>
  <c r="P7" i="9"/>
  <c r="O7" i="9"/>
  <c r="N7" i="9"/>
  <c r="M7" i="9"/>
  <c r="L7" i="9"/>
  <c r="K7" i="9"/>
  <c r="J7" i="9"/>
  <c r="I7" i="9"/>
  <c r="R6" i="9"/>
  <c r="Q6" i="9"/>
  <c r="P6" i="9"/>
  <c r="O6" i="9"/>
  <c r="N6" i="9"/>
  <c r="M6" i="9"/>
  <c r="L6" i="9"/>
  <c r="K6" i="9"/>
  <c r="J6" i="9"/>
  <c r="I6" i="9"/>
  <c r="H7" i="9"/>
  <c r="H6" i="9"/>
  <c r="E7" i="9"/>
  <c r="D7" i="9"/>
  <c r="C7" i="9"/>
  <c r="E6" i="9"/>
  <c r="D6" i="9"/>
  <c r="C6" i="9"/>
  <c r="F7" i="9"/>
  <c r="F6" i="9"/>
  <c r="B7" i="9"/>
  <c r="B6" i="9"/>
  <c r="Q121" i="8"/>
  <c r="Q122" i="8"/>
  <c r="Q123" i="8"/>
  <c r="Q124" i="8"/>
  <c r="Q125" i="8"/>
  <c r="Q126" i="8"/>
  <c r="Q127" i="8"/>
  <c r="Q128" i="8"/>
  <c r="Q95" i="8"/>
  <c r="Q96" i="8"/>
  <c r="Q97" i="8"/>
  <c r="Q98" i="8"/>
  <c r="Q99" i="8"/>
  <c r="Q100" i="8"/>
  <c r="Q101" i="8"/>
  <c r="Q103" i="8"/>
  <c r="Q104" i="8"/>
  <c r="Q105" i="8"/>
  <c r="Q106" i="8"/>
  <c r="Q107" i="8"/>
  <c r="Q108" i="8"/>
  <c r="Q114" i="8"/>
  <c r="Q115" i="8"/>
  <c r="Q116" i="8"/>
  <c r="Q117" i="8"/>
  <c r="AF61" i="22"/>
  <c r="AE61" i="22"/>
  <c r="AD61" i="22"/>
  <c r="AB61" i="22"/>
  <c r="AA61" i="22"/>
  <c r="Z61" i="22"/>
  <c r="X61" i="22"/>
  <c r="W61" i="22"/>
  <c r="V61" i="22"/>
  <c r="T61" i="22"/>
  <c r="U61" i="22"/>
  <c r="AF49" i="22"/>
  <c r="AE49" i="22"/>
  <c r="AD49" i="22"/>
  <c r="AB49" i="22"/>
  <c r="AA49" i="22"/>
  <c r="Z49" i="22"/>
  <c r="X49" i="22"/>
  <c r="W49" i="22"/>
  <c r="V49" i="22"/>
  <c r="T49" i="22"/>
  <c r="U49" i="22"/>
  <c r="AF48" i="22"/>
  <c r="AE48" i="22"/>
  <c r="AD48" i="22"/>
  <c r="AB48" i="22"/>
  <c r="AA48" i="22"/>
  <c r="Z48" i="22"/>
  <c r="X48" i="22"/>
  <c r="W48" i="22"/>
  <c r="V48" i="22"/>
  <c r="T48" i="22"/>
  <c r="U48" i="22"/>
  <c r="AF47" i="22"/>
  <c r="AE47" i="22"/>
  <c r="AD47" i="22"/>
  <c r="AB47" i="22"/>
  <c r="AA47" i="22"/>
  <c r="Z47" i="22"/>
  <c r="X47" i="22"/>
  <c r="W47" i="22"/>
  <c r="V47" i="22"/>
  <c r="T47" i="22"/>
  <c r="U47" i="22"/>
  <c r="AF39" i="22"/>
  <c r="AE39" i="22"/>
  <c r="AD39" i="22"/>
  <c r="AB39" i="22"/>
  <c r="AA39" i="22"/>
  <c r="Z39" i="22"/>
  <c r="X39" i="22"/>
  <c r="W39" i="22"/>
  <c r="V39" i="22"/>
  <c r="T39" i="22"/>
  <c r="U39" i="22"/>
  <c r="AF38" i="22"/>
  <c r="AE38" i="22"/>
  <c r="AD38" i="22"/>
  <c r="AB38" i="22"/>
  <c r="AA38" i="22"/>
  <c r="Z38" i="22"/>
  <c r="X38" i="22"/>
  <c r="W38" i="22"/>
  <c r="V38" i="22"/>
  <c r="T38" i="22"/>
  <c r="U38" i="22"/>
  <c r="AF37" i="22"/>
  <c r="AE37" i="22"/>
  <c r="AD37" i="22"/>
  <c r="AB37" i="22"/>
  <c r="AA37" i="22"/>
  <c r="Z37" i="22"/>
  <c r="X37" i="22"/>
  <c r="W37" i="22"/>
  <c r="V37" i="22"/>
  <c r="T37" i="22"/>
  <c r="U37" i="22"/>
  <c r="AF36" i="22"/>
  <c r="AE36" i="22"/>
  <c r="AD36" i="22"/>
  <c r="AB36" i="22"/>
  <c r="AA36" i="22"/>
  <c r="Z36" i="22"/>
  <c r="X36" i="22"/>
  <c r="W36" i="22"/>
  <c r="V36" i="22"/>
  <c r="T36" i="22"/>
  <c r="AC36" i="22"/>
  <c r="U36" i="22"/>
  <c r="AF35" i="22"/>
  <c r="AE35" i="22"/>
  <c r="AD35" i="22"/>
  <c r="AB35" i="22"/>
  <c r="AA35" i="22"/>
  <c r="Z35" i="22"/>
  <c r="X35" i="22"/>
  <c r="W35" i="22"/>
  <c r="V35" i="22"/>
  <c r="T35" i="22"/>
  <c r="U35" i="22"/>
  <c r="T34" i="22"/>
  <c r="T100" i="22" s="1"/>
  <c r="U34" i="22"/>
  <c r="U100" i="22" s="1"/>
  <c r="AF32" i="22"/>
  <c r="AE32" i="22"/>
  <c r="AD32" i="22"/>
  <c r="AB32" i="22"/>
  <c r="AA32" i="22"/>
  <c r="Z32" i="22"/>
  <c r="X32" i="22"/>
  <c r="W32" i="22"/>
  <c r="V32" i="22"/>
  <c r="T32" i="22"/>
  <c r="U32" i="22"/>
  <c r="AF31" i="22"/>
  <c r="AE31" i="22"/>
  <c r="AD31" i="22"/>
  <c r="AB31" i="22"/>
  <c r="AA31" i="22"/>
  <c r="Z31" i="22"/>
  <c r="X31" i="22"/>
  <c r="W31" i="22"/>
  <c r="V31" i="22"/>
  <c r="T31" i="22"/>
  <c r="U31" i="22"/>
  <c r="T30" i="22"/>
  <c r="U30" i="22"/>
  <c r="AF28" i="22"/>
  <c r="AE28" i="22"/>
  <c r="AD28" i="22"/>
  <c r="AB28" i="22"/>
  <c r="AA28" i="22"/>
  <c r="Z28" i="22"/>
  <c r="X28" i="22"/>
  <c r="W28" i="22"/>
  <c r="V28" i="22"/>
  <c r="T28" i="22"/>
  <c r="U28" i="22"/>
  <c r="AF27" i="22"/>
  <c r="AE27" i="22"/>
  <c r="AD27" i="22"/>
  <c r="AB27" i="22"/>
  <c r="AA27" i="22"/>
  <c r="Z27" i="22"/>
  <c r="X27" i="22"/>
  <c r="W27" i="22"/>
  <c r="V27" i="22"/>
  <c r="T27" i="22"/>
  <c r="T94" i="22" s="1"/>
  <c r="U27" i="22"/>
  <c r="U4" i="22"/>
  <c r="T4" i="22"/>
  <c r="U3" i="22"/>
  <c r="T3" i="22"/>
  <c r="O12" i="22" l="1"/>
  <c r="O69" i="9" s="1"/>
  <c r="AC69" i="9" s="1"/>
  <c r="H94" i="22"/>
  <c r="H100" i="22" s="1"/>
  <c r="O6" i="22"/>
  <c r="O68" i="9" s="1"/>
  <c r="AC68" i="9" s="1"/>
  <c r="O70" i="9"/>
  <c r="AC70" i="9" s="1"/>
  <c r="O94" i="22"/>
  <c r="J94" i="22"/>
  <c r="J100" i="22" s="1"/>
  <c r="L94" i="22"/>
  <c r="L100" i="22" s="1"/>
  <c r="Q94" i="22"/>
  <c r="Q100" i="22" s="1"/>
  <c r="I94" i="22"/>
  <c r="I100" i="22" s="1"/>
  <c r="Q69" i="9"/>
  <c r="AE69" i="9" s="1"/>
  <c r="K94" i="22"/>
  <c r="M94" i="22"/>
  <c r="M100" i="22" s="1"/>
  <c r="K68" i="9"/>
  <c r="L68" i="9"/>
  <c r="M68" i="9"/>
  <c r="H68" i="9"/>
  <c r="P68" i="9"/>
  <c r="AD68" i="9" s="1"/>
  <c r="F68" i="9"/>
  <c r="X34" i="22"/>
  <c r="K75" i="22"/>
  <c r="K81" i="9" s="1"/>
  <c r="AF94" i="22"/>
  <c r="AF100" i="22" s="1"/>
  <c r="C100" i="22"/>
  <c r="D100" i="22"/>
  <c r="N100" i="22"/>
  <c r="E100" i="22"/>
  <c r="P100" i="22"/>
  <c r="R100" i="22"/>
  <c r="F100" i="22"/>
  <c r="O81" i="9"/>
  <c r="AC81" i="9" s="1"/>
  <c r="F81" i="9"/>
  <c r="AE34" i="22"/>
  <c r="K21" i="22"/>
  <c r="K71" i="9" s="1"/>
  <c r="AD34" i="22"/>
  <c r="K59" i="22"/>
  <c r="K79" i="9" s="1"/>
  <c r="K89" i="22"/>
  <c r="O51" i="22"/>
  <c r="O77" i="9" s="1"/>
  <c r="AC77" i="9" s="1"/>
  <c r="O59" i="22"/>
  <c r="O79" i="9" s="1"/>
  <c r="AC79" i="9" s="1"/>
  <c r="O84" i="22"/>
  <c r="O82" i="9" s="1"/>
  <c r="AC82" i="9" s="1"/>
  <c r="H74" i="9"/>
  <c r="R74" i="9"/>
  <c r="AF74" i="9" s="1"/>
  <c r="O66" i="22"/>
  <c r="O80" i="9" s="1"/>
  <c r="AC80" i="9" s="1"/>
  <c r="O96" i="22"/>
  <c r="O84" i="9" s="1"/>
  <c r="AC84" i="9" s="1"/>
  <c r="Q73" i="9"/>
  <c r="AE73" i="9" s="1"/>
  <c r="H83" i="9"/>
  <c r="O41" i="22"/>
  <c r="O75" i="9" s="1"/>
  <c r="AC75" i="9" s="1"/>
  <c r="O55" i="22"/>
  <c r="O78" i="9" s="1"/>
  <c r="AC78" i="9" s="1"/>
  <c r="M74" i="9"/>
  <c r="K51" i="22"/>
  <c r="K77" i="9" s="1"/>
  <c r="K84" i="22"/>
  <c r="K82" i="9" s="1"/>
  <c r="O89" i="22"/>
  <c r="O83" i="9" s="1"/>
  <c r="AC83" i="9" s="1"/>
  <c r="O34" i="22"/>
  <c r="O74" i="9" s="1"/>
  <c r="AC74" i="9" s="1"/>
  <c r="Y61" i="22"/>
  <c r="R73" i="9"/>
  <c r="AF73" i="9" s="1"/>
  <c r="P82" i="9"/>
  <c r="AD82" i="9" s="1"/>
  <c r="K96" i="22"/>
  <c r="K84" i="9" s="1"/>
  <c r="O26" i="22"/>
  <c r="O72" i="9" s="1"/>
  <c r="AC72" i="9" s="1"/>
  <c r="AD84" i="9"/>
  <c r="K66" i="22"/>
  <c r="K80" i="9" s="1"/>
  <c r="O45" i="22"/>
  <c r="O76" i="9" s="1"/>
  <c r="AC76" i="9" s="1"/>
  <c r="M73" i="9"/>
  <c r="N74" i="9"/>
  <c r="AB74" i="9" s="1"/>
  <c r="K34" i="22"/>
  <c r="K41" i="22"/>
  <c r="K75" i="9" s="1"/>
  <c r="K55" i="22"/>
  <c r="K78" i="9" s="1"/>
  <c r="P73" i="9"/>
  <c r="AD73" i="9" s="1"/>
  <c r="K45" i="22"/>
  <c r="K76" i="9" s="1"/>
  <c r="O30" i="22"/>
  <c r="O21" i="22"/>
  <c r="O71" i="9" s="1"/>
  <c r="W34" i="22"/>
  <c r="L74" i="9"/>
  <c r="L85" i="9" s="1"/>
  <c r="F77" i="9"/>
  <c r="I85" i="9"/>
  <c r="J85" i="9"/>
  <c r="W30" i="22"/>
  <c r="K26" i="22"/>
  <c r="K72" i="9" s="1"/>
  <c r="V30" i="22"/>
  <c r="V94" i="22" s="1"/>
  <c r="V100" i="22" s="1"/>
  <c r="AB84" i="9"/>
  <c r="AE84" i="9"/>
  <c r="AF84" i="9"/>
  <c r="X30" i="22"/>
  <c r="E85" i="9"/>
  <c r="D85" i="9"/>
  <c r="AB30" i="22"/>
  <c r="Z30" i="22"/>
  <c r="Z94" i="22" s="1"/>
  <c r="Z100" i="22" s="1"/>
  <c r="K30" i="22"/>
  <c r="C82" i="9"/>
  <c r="C85" i="9" s="1"/>
  <c r="AA94" i="22"/>
  <c r="AA100" i="22" s="1"/>
  <c r="Y27" i="22"/>
  <c r="AC27" i="22"/>
  <c r="E31" i="9"/>
  <c r="N31" i="9"/>
  <c r="O31" i="9"/>
  <c r="J31" i="9"/>
  <c r="R31" i="9"/>
  <c r="AF15" i="9"/>
  <c r="P31" i="9"/>
  <c r="I31" i="9"/>
  <c r="Q31" i="9"/>
  <c r="F31" i="9"/>
  <c r="H31" i="9"/>
  <c r="K31" i="9"/>
  <c r="C31" i="9"/>
  <c r="L31" i="9"/>
  <c r="D31" i="9"/>
  <c r="M31" i="9"/>
  <c r="AC12" i="9"/>
  <c r="AA13" i="9"/>
  <c r="AE15" i="9"/>
  <c r="W12" i="9"/>
  <c r="X14" i="9"/>
  <c r="Z14" i="9"/>
  <c r="W14" i="9"/>
  <c r="V14" i="9"/>
  <c r="AE12" i="9"/>
  <c r="Y14" i="9"/>
  <c r="AD13" i="9"/>
  <c r="W15" i="9"/>
  <c r="AB14" i="9"/>
  <c r="Y13" i="9"/>
  <c r="AD12" i="9"/>
  <c r="X15" i="9"/>
  <c r="Z15" i="9"/>
  <c r="AA12" i="9"/>
  <c r="AF12" i="9"/>
  <c r="AE13" i="9"/>
  <c r="AC14" i="9"/>
  <c r="AB15" i="9"/>
  <c r="AH15" i="9" s="1"/>
  <c r="AB12" i="9"/>
  <c r="W13" i="9"/>
  <c r="AD15" i="9"/>
  <c r="X12" i="9"/>
  <c r="X13" i="9"/>
  <c r="AF13" i="9"/>
  <c r="AA14" i="9"/>
  <c r="Z13" i="9"/>
  <c r="AA15" i="9"/>
  <c r="AD14" i="9"/>
  <c r="Y12" i="9"/>
  <c r="AB13" i="9"/>
  <c r="AE14" i="9"/>
  <c r="AC15" i="9"/>
  <c r="Z12" i="9"/>
  <c r="AC13" i="9"/>
  <c r="AF14" i="9"/>
  <c r="Y15" i="9"/>
  <c r="V15" i="9"/>
  <c r="U94" i="22"/>
  <c r="X94" i="22" l="1"/>
  <c r="X100" i="22" s="1"/>
  <c r="Q85" i="9"/>
  <c r="AE94" i="22"/>
  <c r="AE100" i="22" s="1"/>
  <c r="O100" i="22"/>
  <c r="K83" i="9"/>
  <c r="K100" i="22"/>
  <c r="AD94" i="22"/>
  <c r="AD100" i="22" s="1"/>
  <c r="AB94" i="22"/>
  <c r="AB100" i="22" s="1"/>
  <c r="F85" i="9"/>
  <c r="AC34" i="22"/>
  <c r="M85" i="9"/>
  <c r="H85" i="9"/>
  <c r="R85" i="9"/>
  <c r="N85" i="9"/>
  <c r="P85" i="9"/>
  <c r="W94" i="22"/>
  <c r="W100" i="22" s="1"/>
  <c r="K74" i="9"/>
  <c r="Y34" i="22"/>
  <c r="AC30" i="22"/>
  <c r="O73" i="9"/>
  <c r="Y30" i="22"/>
  <c r="K73" i="9"/>
  <c r="W31" i="9"/>
  <c r="AD31" i="9"/>
  <c r="AF31" i="9"/>
  <c r="AC31" i="9"/>
  <c r="X31" i="9"/>
  <c r="AA31" i="9"/>
  <c r="AE31" i="9"/>
  <c r="Z31" i="9"/>
  <c r="AB31" i="9"/>
  <c r="V31" i="9"/>
  <c r="Y31" i="9"/>
  <c r="AH14" i="9"/>
  <c r="AH12" i="9"/>
  <c r="AH13" i="9"/>
  <c r="AC94" i="22" l="1"/>
  <c r="AC100" i="22" s="1"/>
  <c r="K85" i="9"/>
  <c r="Y94" i="22"/>
  <c r="Y100" i="22" s="1"/>
  <c r="AC73" i="9"/>
  <c r="O85" i="9"/>
  <c r="AH31" i="9"/>
  <c r="X123" i="8" l="1"/>
  <c r="W123" i="8"/>
  <c r="V123" i="8"/>
  <c r="U123" i="8"/>
  <c r="T123" i="8"/>
  <c r="N99" i="8"/>
  <c r="N96" i="8"/>
  <c r="M95" i="8"/>
  <c r="N95" i="8" s="1"/>
  <c r="M96" i="8"/>
  <c r="O96" i="8" s="1"/>
  <c r="M97" i="8"/>
  <c r="N97" i="8" s="1"/>
  <c r="O97" i="8" s="1"/>
  <c r="M98" i="8"/>
  <c r="N98" i="8" s="1"/>
  <c r="M100" i="8"/>
  <c r="N100" i="8" s="1"/>
  <c r="M101" i="8"/>
  <c r="N101" i="8" s="1"/>
  <c r="M108" i="8"/>
  <c r="M107" i="8"/>
  <c r="N107" i="8" s="1"/>
  <c r="M106" i="8"/>
  <c r="N106" i="8" s="1"/>
  <c r="M105" i="8"/>
  <c r="N105" i="8" s="1"/>
  <c r="O105" i="8" s="1"/>
  <c r="M104" i="8"/>
  <c r="N104" i="8" s="1"/>
  <c r="M103" i="8"/>
  <c r="N103" i="8" s="1"/>
  <c r="N117" i="8"/>
  <c r="N114" i="8"/>
  <c r="N113" i="8"/>
  <c r="O113" i="8" s="1"/>
  <c r="AH113" i="8" s="1"/>
  <c r="M112" i="8"/>
  <c r="N112" i="8" s="1"/>
  <c r="O112" i="8" s="1"/>
  <c r="M114" i="8"/>
  <c r="M115" i="8"/>
  <c r="N115" i="8" s="1"/>
  <c r="M116" i="8"/>
  <c r="N116" i="8" s="1"/>
  <c r="O116" i="8" s="1"/>
  <c r="M117" i="8"/>
  <c r="N128" i="8"/>
  <c r="N121" i="8"/>
  <c r="M121" i="8"/>
  <c r="M122" i="8"/>
  <c r="N122" i="8" s="1"/>
  <c r="M124" i="8"/>
  <c r="N124" i="8" s="1"/>
  <c r="M125" i="8"/>
  <c r="N125" i="8" s="1"/>
  <c r="M126" i="8"/>
  <c r="N126" i="8" s="1"/>
  <c r="M127" i="8"/>
  <c r="N127" i="8" s="1"/>
  <c r="M128" i="8"/>
  <c r="J127" i="8"/>
  <c r="J128" i="8"/>
  <c r="J114" i="8"/>
  <c r="J116" i="8"/>
  <c r="K116" i="8" s="1"/>
  <c r="J112" i="8"/>
  <c r="J108" i="8"/>
  <c r="K108" i="8" s="1"/>
  <c r="J100" i="8"/>
  <c r="J98" i="8"/>
  <c r="I128" i="8"/>
  <c r="I127" i="8"/>
  <c r="I126" i="8"/>
  <c r="J126" i="8" s="1"/>
  <c r="I125" i="8"/>
  <c r="J125" i="8" s="1"/>
  <c r="I124" i="8"/>
  <c r="J124" i="8" s="1"/>
  <c r="I122" i="8"/>
  <c r="J122" i="8" s="1"/>
  <c r="I117" i="8"/>
  <c r="J117" i="8" s="1"/>
  <c r="K117" i="8" s="1"/>
  <c r="I115" i="8"/>
  <c r="J115" i="8" s="1"/>
  <c r="I114" i="8"/>
  <c r="I108" i="8"/>
  <c r="I107" i="8"/>
  <c r="J107" i="8" s="1"/>
  <c r="K107" i="8" s="1"/>
  <c r="I106" i="8"/>
  <c r="J106" i="8" s="1"/>
  <c r="K106" i="8" s="1"/>
  <c r="I105" i="8"/>
  <c r="J105" i="8" s="1"/>
  <c r="I104" i="8"/>
  <c r="J104" i="8" s="1"/>
  <c r="I103" i="8"/>
  <c r="J103" i="8" s="1"/>
  <c r="K103" i="8" s="1"/>
  <c r="I101" i="8"/>
  <c r="J101" i="8" s="1"/>
  <c r="K101" i="8" s="1"/>
  <c r="I100" i="8"/>
  <c r="I98" i="8"/>
  <c r="I97" i="8"/>
  <c r="J97" i="8" s="1"/>
  <c r="I96" i="8"/>
  <c r="J96" i="8" s="1"/>
  <c r="I95" i="8"/>
  <c r="J95" i="8" s="1"/>
  <c r="B2" i="10"/>
  <c r="X104" i="8"/>
  <c r="Y104" i="8"/>
  <c r="O8" i="8"/>
  <c r="K8" i="8"/>
  <c r="O145" i="8"/>
  <c r="O144" i="8"/>
  <c r="K145" i="8"/>
  <c r="K144" i="8"/>
  <c r="K137" i="8"/>
  <c r="O137" i="8"/>
  <c r="O136" i="8"/>
  <c r="K136" i="8"/>
  <c r="Z35" i="8"/>
  <c r="Y35" i="8"/>
  <c r="X35" i="8"/>
  <c r="W35" i="8"/>
  <c r="V35" i="8"/>
  <c r="U35" i="8"/>
  <c r="T35" i="8"/>
  <c r="O35" i="8"/>
  <c r="AH35" i="8" s="1"/>
  <c r="K35" i="8"/>
  <c r="AA35" i="8" s="1"/>
  <c r="K22" i="8"/>
  <c r="AD22" i="8" s="1"/>
  <c r="O22" i="8"/>
  <c r="AF22" i="8" s="1"/>
  <c r="O16" i="8"/>
  <c r="AF16" i="8" s="1"/>
  <c r="O15" i="8"/>
  <c r="AG15" i="8" s="1"/>
  <c r="O14" i="8"/>
  <c r="AE14" i="8" s="1"/>
  <c r="O13" i="8"/>
  <c r="K16" i="8"/>
  <c r="AD16" i="8" s="1"/>
  <c r="K15" i="8"/>
  <c r="AD15" i="8" s="1"/>
  <c r="K14" i="8"/>
  <c r="AD14" i="8" s="1"/>
  <c r="K13" i="8"/>
  <c r="K113" i="8"/>
  <c r="AH51" i="8"/>
  <c r="AJ51" i="8" s="1"/>
  <c r="AG51" i="8"/>
  <c r="AF51" i="8"/>
  <c r="AD51" i="8"/>
  <c r="AH50" i="8"/>
  <c r="AG50" i="8"/>
  <c r="AF50" i="8"/>
  <c r="AD50" i="8"/>
  <c r="AH58" i="8"/>
  <c r="AJ58" i="8" s="1"/>
  <c r="AG58" i="8"/>
  <c r="AF58" i="8"/>
  <c r="AD58" i="8"/>
  <c r="AH57" i="8"/>
  <c r="AG57" i="8"/>
  <c r="AF57" i="8"/>
  <c r="AD57" i="8"/>
  <c r="AH77" i="8"/>
  <c r="AJ77" i="8" s="1"/>
  <c r="AG77" i="8"/>
  <c r="AF77" i="8"/>
  <c r="AD77" i="8"/>
  <c r="AH76" i="8"/>
  <c r="AJ76" i="8" s="1"/>
  <c r="AG76" i="8"/>
  <c r="AF76" i="8"/>
  <c r="AD76" i="8"/>
  <c r="AH75" i="8"/>
  <c r="AJ75" i="8" s="1"/>
  <c r="AG75" i="8"/>
  <c r="AF75" i="8"/>
  <c r="AD75" i="8"/>
  <c r="O51" i="8"/>
  <c r="AE51" i="8" s="1"/>
  <c r="K51" i="8"/>
  <c r="O58" i="8"/>
  <c r="AE58" i="8" s="1"/>
  <c r="K58" i="8"/>
  <c r="O59" i="8"/>
  <c r="K57" i="8"/>
  <c r="O78" i="8"/>
  <c r="O77" i="8"/>
  <c r="AE77" i="8" s="1"/>
  <c r="O76" i="8"/>
  <c r="AE76" i="8" s="1"/>
  <c r="K78" i="8"/>
  <c r="K77" i="8"/>
  <c r="K76" i="8"/>
  <c r="AF20" i="9"/>
  <c r="AE20" i="9"/>
  <c r="AD20" i="9"/>
  <c r="AC20" i="9"/>
  <c r="AB20" i="9"/>
  <c r="AA20" i="9"/>
  <c r="Z20" i="9"/>
  <c r="Y20" i="9"/>
  <c r="X20" i="9"/>
  <c r="W20" i="9"/>
  <c r="V20" i="9"/>
  <c r="U20" i="9"/>
  <c r="O42" i="8"/>
  <c r="AE42" i="8" s="1"/>
  <c r="K42" i="8"/>
  <c r="AA42" i="8" s="1"/>
  <c r="K39" i="8"/>
  <c r="AA39" i="8" s="1"/>
  <c r="O32" i="8"/>
  <c r="K32" i="8"/>
  <c r="O28" i="8"/>
  <c r="K28" i="8"/>
  <c r="O27" i="8"/>
  <c r="K27" i="8"/>
  <c r="O23" i="8"/>
  <c r="AH23" i="8" s="1"/>
  <c r="K23" i="8"/>
  <c r="AD23" i="8" s="1"/>
  <c r="O21" i="8"/>
  <c r="K21" i="8"/>
  <c r="O20" i="8"/>
  <c r="K20" i="8"/>
  <c r="O53" i="8"/>
  <c r="K53" i="8"/>
  <c r="O52" i="8"/>
  <c r="K52" i="8"/>
  <c r="O50" i="8"/>
  <c r="AE50" i="8" s="1"/>
  <c r="K50" i="8"/>
  <c r="O60" i="8"/>
  <c r="K60" i="8"/>
  <c r="K59" i="8"/>
  <c r="O57" i="8"/>
  <c r="AE57" i="8" s="1"/>
  <c r="O67" i="8"/>
  <c r="K67" i="8"/>
  <c r="O66" i="8"/>
  <c r="K66" i="8"/>
  <c r="O65" i="8"/>
  <c r="K65" i="8"/>
  <c r="O64" i="8"/>
  <c r="K64" i="8"/>
  <c r="O72" i="8"/>
  <c r="K72" i="8"/>
  <c r="O71" i="8"/>
  <c r="K71" i="8"/>
  <c r="K99" i="8"/>
  <c r="O117" i="8"/>
  <c r="O114" i="8"/>
  <c r="K112" i="8"/>
  <c r="AG39" i="8"/>
  <c r="AF39" i="8"/>
  <c r="AD39" i="8"/>
  <c r="AC39" i="8"/>
  <c r="AB39" i="8"/>
  <c r="Z39" i="8"/>
  <c r="Y39" i="8"/>
  <c r="X39" i="8"/>
  <c r="V39" i="8"/>
  <c r="U39" i="8"/>
  <c r="T39" i="8"/>
  <c r="AH39" i="8"/>
  <c r="AG42" i="8"/>
  <c r="AF42" i="8"/>
  <c r="AD42" i="8"/>
  <c r="AC42" i="8"/>
  <c r="AB42" i="8"/>
  <c r="Z42" i="8"/>
  <c r="Y42" i="8"/>
  <c r="X42" i="8"/>
  <c r="V42" i="8"/>
  <c r="U42" i="8"/>
  <c r="T42" i="8"/>
  <c r="AH42" i="8"/>
  <c r="W42" i="8"/>
  <c r="W39" i="8"/>
  <c r="O39" i="8"/>
  <c r="AE39" i="8" s="1"/>
  <c r="AF67" i="9"/>
  <c r="AF85" i="9" s="1"/>
  <c r="AE67" i="9"/>
  <c r="AE85" i="9" s="1"/>
  <c r="AD67" i="9"/>
  <c r="AD85" i="9" s="1"/>
  <c r="AB67" i="9"/>
  <c r="AB85" i="9" s="1"/>
  <c r="AA67" i="9"/>
  <c r="Z67" i="9"/>
  <c r="X67" i="9"/>
  <c r="W67" i="9"/>
  <c r="V67" i="9"/>
  <c r="T67" i="9"/>
  <c r="AC67" i="9"/>
  <c r="AC85" i="9" s="1"/>
  <c r="Y67" i="9"/>
  <c r="U67" i="9"/>
  <c r="O123" i="8" l="1"/>
  <c r="AH123" i="8" s="1"/>
  <c r="K123" i="8"/>
  <c r="Y123" i="8"/>
  <c r="Z123" i="8"/>
  <c r="Z104" i="8"/>
  <c r="K104" i="8"/>
  <c r="K98" i="8"/>
  <c r="N108" i="8"/>
  <c r="O108" i="8" s="1"/>
  <c r="O106" i="8"/>
  <c r="O95" i="8"/>
  <c r="O107" i="8"/>
  <c r="O104" i="8"/>
  <c r="AH104" i="8" s="1"/>
  <c r="O99" i="8"/>
  <c r="O101" i="8"/>
  <c r="O100" i="8"/>
  <c r="O98" i="8"/>
  <c r="O103" i="8"/>
  <c r="AD104" i="8"/>
  <c r="O115" i="8"/>
  <c r="AD113" i="8"/>
  <c r="K114" i="8"/>
  <c r="K115" i="8"/>
  <c r="K105" i="8"/>
  <c r="K100" i="8"/>
  <c r="K97" i="8"/>
  <c r="K96" i="8"/>
  <c r="K95" i="8"/>
  <c r="AJ113" i="8"/>
  <c r="AE113" i="8"/>
  <c r="AF113" i="8"/>
  <c r="AG113" i="8"/>
  <c r="AG35" i="8"/>
  <c r="AB35" i="8"/>
  <c r="AC35" i="8"/>
  <c r="AD35" i="8"/>
  <c r="AJ35" i="8" s="1"/>
  <c r="AE35" i="8"/>
  <c r="AF35" i="8"/>
  <c r="AE23" i="8"/>
  <c r="AF23" i="8"/>
  <c r="AG23" i="8"/>
  <c r="AH22" i="8"/>
  <c r="AJ22" i="8" s="1"/>
  <c r="AG22" i="8"/>
  <c r="AE22" i="8"/>
  <c r="AE16" i="8"/>
  <c r="AG16" i="8"/>
  <c r="AH16" i="8"/>
  <c r="AJ16" i="8" s="1"/>
  <c r="AH15" i="8"/>
  <c r="AJ15" i="8" s="1"/>
  <c r="AE15" i="8"/>
  <c r="AF15" i="8"/>
  <c r="AG14" i="8"/>
  <c r="AF14" i="8"/>
  <c r="AH14" i="8"/>
  <c r="AJ14" i="8" s="1"/>
  <c r="AH20" i="9"/>
  <c r="T20" i="9"/>
  <c r="AJ42" i="8"/>
  <c r="AF123" i="8" l="1"/>
  <c r="AG123" i="8"/>
  <c r="AB123" i="8"/>
  <c r="AD123" i="8"/>
  <c r="AJ123" i="8" s="1"/>
  <c r="AC123" i="8"/>
  <c r="AE123" i="8"/>
  <c r="AA123" i="8"/>
  <c r="AG104" i="8"/>
  <c r="AF104" i="8"/>
  <c r="AE104" i="8"/>
  <c r="AJ104" i="8"/>
  <c r="AF65" i="9"/>
  <c r="AE65" i="9"/>
  <c r="AD65" i="9"/>
  <c r="AB65" i="9"/>
  <c r="AF64" i="9"/>
  <c r="AE64" i="9"/>
  <c r="AD64" i="9"/>
  <c r="AB64" i="9"/>
  <c r="AF59" i="9"/>
  <c r="AE59" i="9"/>
  <c r="AD59" i="9"/>
  <c r="AB59" i="9"/>
  <c r="O10" i="10"/>
  <c r="O9" i="10"/>
  <c r="K10" i="10"/>
  <c r="K9" i="10"/>
  <c r="AH137" i="8"/>
  <c r="R133" i="8"/>
  <c r="AF137" i="8"/>
  <c r="AH133" i="8"/>
  <c r="N133" i="8"/>
  <c r="M133" i="8"/>
  <c r="K133" i="8"/>
  <c r="J133" i="8"/>
  <c r="X137" i="8"/>
  <c r="Z133" i="8"/>
  <c r="Y133" i="8"/>
  <c r="Z117" i="8"/>
  <c r="Y116" i="8"/>
  <c r="Z115" i="8"/>
  <c r="X114" i="8"/>
  <c r="Y112" i="8"/>
  <c r="H129" i="8"/>
  <c r="I129" i="8"/>
  <c r="J129" i="8"/>
  <c r="Z121" i="8"/>
  <c r="Z122" i="8"/>
  <c r="Y124" i="8"/>
  <c r="X125" i="8"/>
  <c r="W126" i="8"/>
  <c r="Z127" i="8"/>
  <c r="Z128" i="8"/>
  <c r="I133" i="8"/>
  <c r="P133" i="8"/>
  <c r="L133" i="8"/>
  <c r="O126" i="8"/>
  <c r="AH126" i="8" s="1"/>
  <c r="K126" i="8"/>
  <c r="AD126" i="8" s="1"/>
  <c r="V126" i="8"/>
  <c r="O125" i="8"/>
  <c r="AH125" i="8" s="1"/>
  <c r="K125" i="8"/>
  <c r="AC125" i="8" s="1"/>
  <c r="U125" i="8"/>
  <c r="O124" i="8"/>
  <c r="AF124" i="8" s="1"/>
  <c r="K124" i="8"/>
  <c r="AD124" i="8" s="1"/>
  <c r="V124" i="8"/>
  <c r="O122" i="8"/>
  <c r="AG122" i="8" s="1"/>
  <c r="K122" i="8"/>
  <c r="AC122" i="8" s="1"/>
  <c r="V122" i="8"/>
  <c r="O121" i="8"/>
  <c r="AH121" i="8" s="1"/>
  <c r="K121" i="8"/>
  <c r="AA121" i="8" s="1"/>
  <c r="T121" i="8"/>
  <c r="AH101" i="8"/>
  <c r="AD101" i="8"/>
  <c r="Z101" i="8"/>
  <c r="T101" i="8"/>
  <c r="AH100" i="8"/>
  <c r="AB100" i="8"/>
  <c r="Z100" i="8"/>
  <c r="U100" i="8"/>
  <c r="AG99" i="8"/>
  <c r="AC99" i="8"/>
  <c r="W99" i="8"/>
  <c r="V99" i="8"/>
  <c r="AG98" i="8"/>
  <c r="AD98" i="8"/>
  <c r="W98" i="8"/>
  <c r="V98" i="8"/>
  <c r="AG97" i="8"/>
  <c r="AD97" i="8"/>
  <c r="X97" i="8"/>
  <c r="U97" i="8"/>
  <c r="AF96" i="8"/>
  <c r="AD96" i="8"/>
  <c r="Y96" i="8"/>
  <c r="V96" i="8"/>
  <c r="AC64" i="9"/>
  <c r="AC59" i="9"/>
  <c r="AC65" i="9"/>
  <c r="O79" i="8"/>
  <c r="K79" i="8"/>
  <c r="O75" i="8"/>
  <c r="AE75" i="8" s="1"/>
  <c r="K75" i="8"/>
  <c r="AH117" i="8"/>
  <c r="AB117" i="8"/>
  <c r="U117" i="8"/>
  <c r="AH116" i="8"/>
  <c r="AC116" i="8"/>
  <c r="V116" i="8"/>
  <c r="AH115" i="8"/>
  <c r="AD115" i="8"/>
  <c r="V115" i="8"/>
  <c r="AE114" i="8"/>
  <c r="AB114" i="8"/>
  <c r="V114" i="8"/>
  <c r="AF112" i="8"/>
  <c r="AD112" i="8"/>
  <c r="V112" i="8"/>
  <c r="O128" i="8"/>
  <c r="AF128" i="8" s="1"/>
  <c r="K128" i="8"/>
  <c r="AD128" i="8" s="1"/>
  <c r="U128" i="8"/>
  <c r="O127" i="8"/>
  <c r="AH127" i="8" s="1"/>
  <c r="K127" i="8"/>
  <c r="AC127" i="8" s="1"/>
  <c r="V127" i="8"/>
  <c r="T9" i="10" l="1"/>
  <c r="U9" i="10"/>
  <c r="U10" i="10"/>
  <c r="T10" i="10"/>
  <c r="Q133" i="8"/>
  <c r="AJ126" i="8"/>
  <c r="W117" i="8"/>
  <c r="U137" i="8"/>
  <c r="AB44" i="9"/>
  <c r="AA144" i="8"/>
  <c r="AH98" i="8"/>
  <c r="AJ98" i="8" s="1"/>
  <c r="AJ101" i="8"/>
  <c r="AC100" i="8"/>
  <c r="AB121" i="8"/>
  <c r="V137" i="8"/>
  <c r="AD100" i="8"/>
  <c r="AJ100" i="8" s="1"/>
  <c r="AC121" i="8"/>
  <c r="AA122" i="8"/>
  <c r="AC133" i="8"/>
  <c r="Y144" i="8"/>
  <c r="Z124" i="8"/>
  <c r="AE133" i="8"/>
  <c r="AH112" i="8"/>
  <c r="AD125" i="8"/>
  <c r="AJ125" i="8" s="1"/>
  <c r="Y97" i="8"/>
  <c r="X115" i="8"/>
  <c r="T126" i="8"/>
  <c r="AC98" i="8"/>
  <c r="Z116" i="8"/>
  <c r="AF126" i="8"/>
  <c r="T96" i="8"/>
  <c r="Z97" i="8"/>
  <c r="AD99" i="8"/>
  <c r="AF100" i="8"/>
  <c r="T114" i="8"/>
  <c r="AF115" i="8"/>
  <c r="Y117" i="8"/>
  <c r="AG121" i="8"/>
  <c r="AE124" i="8"/>
  <c r="X126" i="8"/>
  <c r="AD127" i="8"/>
  <c r="AJ127" i="8" s="1"/>
  <c r="W137" i="8"/>
  <c r="AE115" i="8"/>
  <c r="Z96" i="8"/>
  <c r="AF97" i="8"/>
  <c r="AE99" i="8"/>
  <c r="AB101" i="8"/>
  <c r="Y114" i="8"/>
  <c r="AG115" i="8"/>
  <c r="AC117" i="8"/>
  <c r="T122" i="8"/>
  <c r="AG124" i="8"/>
  <c r="Y126" i="8"/>
  <c r="AE127" i="8"/>
  <c r="AB137" i="8"/>
  <c r="AA96" i="8"/>
  <c r="T98" i="8"/>
  <c r="AC101" i="8"/>
  <c r="X112" i="8"/>
  <c r="Z114" i="8"/>
  <c r="W116" i="8"/>
  <c r="AD117" i="8"/>
  <c r="U122" i="8"/>
  <c r="AH124" i="8"/>
  <c r="AJ124" i="8" s="1"/>
  <c r="Z126" i="8"/>
  <c r="AG127" i="8"/>
  <c r="AC137" i="8"/>
  <c r="AB96" i="8"/>
  <c r="X98" i="8"/>
  <c r="V100" i="8"/>
  <c r="Z112" i="8"/>
  <c r="AF114" i="8"/>
  <c r="X116" i="8"/>
  <c r="U121" i="8"/>
  <c r="W122" i="8"/>
  <c r="AA125" i="8"/>
  <c r="AE126" i="8"/>
  <c r="W128" i="8"/>
  <c r="AE137" i="8"/>
  <c r="AE96" i="8"/>
  <c r="W100" i="8"/>
  <c r="AA112" i="8"/>
  <c r="V121" i="8"/>
  <c r="X128" i="8"/>
  <c r="Y127" i="8"/>
  <c r="AG96" i="8"/>
  <c r="AE98" i="8"/>
  <c r="X100" i="8"/>
  <c r="AC112" i="8"/>
  <c r="Y115" i="8"/>
  <c r="AD116" i="8"/>
  <c r="X121" i="8"/>
  <c r="AF122" i="8"/>
  <c r="AF125" i="8"/>
  <c r="W127" i="8"/>
  <c r="AC128" i="8"/>
  <c r="AB133" i="8"/>
  <c r="AH96" i="8"/>
  <c r="AJ96" i="8" s="1"/>
  <c r="AF98" i="8"/>
  <c r="AG112" i="8"/>
  <c r="AA115" i="8"/>
  <c r="V117" i="8"/>
  <c r="AH122" i="8"/>
  <c r="AG125" i="8"/>
  <c r="X127" i="8"/>
  <c r="AC44" i="9"/>
  <c r="AD44" i="9"/>
  <c r="F8" i="9"/>
  <c r="F16" i="9" s="1"/>
  <c r="AE44" i="9"/>
  <c r="AF44" i="9"/>
  <c r="C8" i="9"/>
  <c r="C16" i="9" s="1"/>
  <c r="D8" i="9"/>
  <c r="D16" i="9" s="1"/>
  <c r="E8" i="9"/>
  <c r="E16" i="9" s="1"/>
  <c r="K8" i="9"/>
  <c r="K16" i="9" s="1"/>
  <c r="I8" i="9"/>
  <c r="I16" i="9" s="1"/>
  <c r="J8" i="9"/>
  <c r="J16" i="9" s="1"/>
  <c r="H8" i="9"/>
  <c r="H16" i="9" s="1"/>
  <c r="Q8" i="9"/>
  <c r="Q16" i="9" s="1"/>
  <c r="P8" i="9"/>
  <c r="P16" i="9" s="1"/>
  <c r="R8" i="9"/>
  <c r="R16" i="9" s="1"/>
  <c r="N8" i="9"/>
  <c r="N16" i="9" s="1"/>
  <c r="M8" i="9"/>
  <c r="M16" i="9" s="1"/>
  <c r="O8" i="9"/>
  <c r="O16" i="9" s="1"/>
  <c r="L8" i="9"/>
  <c r="L16" i="9" s="1"/>
  <c r="Z144" i="8"/>
  <c r="T144" i="8"/>
  <c r="Y125" i="8"/>
  <c r="X99" i="8"/>
  <c r="V101" i="8"/>
  <c r="T112" i="8"/>
  <c r="AG114" i="8"/>
  <c r="AE116" i="8"/>
  <c r="AA124" i="8"/>
  <c r="V133" i="8"/>
  <c r="AA97" i="8"/>
  <c r="Y99" i="8"/>
  <c r="W101" i="8"/>
  <c r="U112" i="8"/>
  <c r="AH114" i="8"/>
  <c r="AF116" i="8"/>
  <c r="AD121" i="8"/>
  <c r="AB124" i="8"/>
  <c r="AC96" i="8"/>
  <c r="AB97" i="8"/>
  <c r="AA98" i="8"/>
  <c r="Z99" i="8"/>
  <c r="Y100" i="8"/>
  <c r="X101" i="8"/>
  <c r="U114" i="8"/>
  <c r="T115" i="8"/>
  <c r="AG116" i="8"/>
  <c r="AF117" i="8"/>
  <c r="AE121" i="8"/>
  <c r="AD122" i="8"/>
  <c r="AC124" i="8"/>
  <c r="AB125" i="8"/>
  <c r="AA126" i="8"/>
  <c r="Y128" i="8"/>
  <c r="X133" i="8"/>
  <c r="U101" i="8"/>
  <c r="U133" i="8"/>
  <c r="Y98" i="8"/>
  <c r="AB122" i="8"/>
  <c r="Z125" i="8"/>
  <c r="Z98" i="8"/>
  <c r="AE117" i="8"/>
  <c r="W133" i="8"/>
  <c r="AC97" i="8"/>
  <c r="AB98" i="8"/>
  <c r="AA99" i="8"/>
  <c r="Y101" i="8"/>
  <c r="W112" i="8"/>
  <c r="U115" i="8"/>
  <c r="T116" i="8"/>
  <c r="AG117" i="8"/>
  <c r="AF121" i="8"/>
  <c r="AE122" i="8"/>
  <c r="AB126" i="8"/>
  <c r="AA127" i="8"/>
  <c r="Y137" i="8"/>
  <c r="V128" i="8"/>
  <c r="AB99" i="8"/>
  <c r="AA100" i="8"/>
  <c r="W114" i="8"/>
  <c r="U116" i="8"/>
  <c r="T117" i="8"/>
  <c r="AC126" i="8"/>
  <c r="AB127" i="8"/>
  <c r="AA128" i="8"/>
  <c r="Z137" i="8"/>
  <c r="AE97" i="8"/>
  <c r="AA101" i="8"/>
  <c r="W115" i="8"/>
  <c r="AE125" i="8"/>
  <c r="AB128" i="8"/>
  <c r="AA137" i="8"/>
  <c r="AA133" i="8"/>
  <c r="T124" i="8"/>
  <c r="U96" i="8"/>
  <c r="T97" i="8"/>
  <c r="AH97" i="8"/>
  <c r="AJ97" i="8" s="1"/>
  <c r="AF99" i="8"/>
  <c r="AE100" i="8"/>
  <c r="AB112" i="8"/>
  <c r="AA114" i="8"/>
  <c r="X117" i="8"/>
  <c r="W121" i="8"/>
  <c r="U124" i="8"/>
  <c r="T125" i="8"/>
  <c r="AG126" i="8"/>
  <c r="AF127" i="8"/>
  <c r="AE128" i="8"/>
  <c r="AD137" i="8"/>
  <c r="AD133" i="8"/>
  <c r="W96" i="8"/>
  <c r="V97" i="8"/>
  <c r="U98" i="8"/>
  <c r="T99" i="8"/>
  <c r="AH99" i="8"/>
  <c r="AG100" i="8"/>
  <c r="AF101" i="8"/>
  <c r="AC114" i="8"/>
  <c r="AB115" i="8"/>
  <c r="AA116" i="8"/>
  <c r="Y121" i="8"/>
  <c r="X122" i="8"/>
  <c r="W124" i="8"/>
  <c r="V125" i="8"/>
  <c r="U126" i="8"/>
  <c r="T127" i="8"/>
  <c r="AG128" i="8"/>
  <c r="AF133" i="8"/>
  <c r="X96" i="8"/>
  <c r="W97" i="8"/>
  <c r="U99" i="8"/>
  <c r="T100" i="8"/>
  <c r="AG101" i="8"/>
  <c r="AE112" i="8"/>
  <c r="AD114" i="8"/>
  <c r="AC115" i="8"/>
  <c r="AB116" i="8"/>
  <c r="AA117" i="8"/>
  <c r="Y122" i="8"/>
  <c r="X124" i="8"/>
  <c r="W125" i="8"/>
  <c r="U127" i="8"/>
  <c r="T128" i="8"/>
  <c r="AH128" i="8"/>
  <c r="AG137" i="8"/>
  <c r="AG133" i="8"/>
  <c r="AE101" i="8"/>
  <c r="T137" i="8"/>
  <c r="T133" i="8"/>
  <c r="D133" i="8"/>
  <c r="E133" i="8"/>
  <c r="F133" i="8"/>
  <c r="O133" i="8"/>
  <c r="AC13" i="8"/>
  <c r="Y13" i="8"/>
  <c r="AA44" i="9" l="1"/>
  <c r="AF144" i="8"/>
  <c r="AG144" i="8"/>
  <c r="AD144" i="8"/>
  <c r="AJ122" i="8"/>
  <c r="X144" i="8"/>
  <c r="W144" i="8"/>
  <c r="AC144" i="8"/>
  <c r="AB144" i="8"/>
  <c r="AH144" i="8"/>
  <c r="AE144" i="8"/>
  <c r="AJ99" i="8"/>
  <c r="AE13" i="8"/>
  <c r="AA13" i="8"/>
  <c r="AB13" i="8"/>
  <c r="Z13" i="8"/>
  <c r="AD13" i="8"/>
  <c r="U144" i="8"/>
  <c r="V144" i="8"/>
  <c r="X13" i="8"/>
  <c r="V13" i="8"/>
  <c r="T13" i="8"/>
  <c r="W13" i="8"/>
  <c r="AF13" i="8"/>
  <c r="AH13" i="8"/>
  <c r="AG13" i="8"/>
  <c r="U13" i="8"/>
  <c r="AJ13" i="8" l="1"/>
  <c r="U32" i="8"/>
  <c r="V32" i="8"/>
  <c r="T32" i="8"/>
  <c r="V28" i="8"/>
  <c r="U28" i="8"/>
  <c r="T28" i="8"/>
  <c r="Y28" i="8"/>
  <c r="W28" i="8"/>
  <c r="Z28" i="8"/>
  <c r="X28" i="8"/>
  <c r="AB28" i="8"/>
  <c r="AA28" i="8"/>
  <c r="AC28" i="8"/>
  <c r="AD28" i="8"/>
  <c r="AH28" i="8"/>
  <c r="AG28" i="8"/>
  <c r="AF28" i="8"/>
  <c r="AE28" i="8"/>
  <c r="Z32" i="8"/>
  <c r="W32" i="8"/>
  <c r="Y32" i="8"/>
  <c r="X32" i="8"/>
  <c r="V27" i="8"/>
  <c r="U27" i="8"/>
  <c r="T27" i="8"/>
  <c r="AA32" i="8"/>
  <c r="AD32" i="8"/>
  <c r="AC32" i="8"/>
  <c r="AB32" i="8"/>
  <c r="Z27" i="8"/>
  <c r="X27" i="8"/>
  <c r="Y27" i="8"/>
  <c r="W27" i="8"/>
  <c r="AH32" i="8"/>
  <c r="AG32" i="8"/>
  <c r="AF32" i="8"/>
  <c r="AE32" i="8"/>
  <c r="AC27" i="8"/>
  <c r="AB27" i="8"/>
  <c r="AA27" i="8"/>
  <c r="AD27" i="8"/>
  <c r="V10" i="8"/>
  <c r="T10" i="8"/>
  <c r="U10" i="8"/>
  <c r="AH27" i="8"/>
  <c r="AF27" i="8"/>
  <c r="AG27" i="8"/>
  <c r="AE27" i="8"/>
  <c r="AC52" i="9" l="1"/>
  <c r="AF52" i="9"/>
  <c r="AE52" i="9"/>
  <c r="AD52" i="9"/>
  <c r="AB52" i="9"/>
  <c r="H118" i="8" l="1"/>
  <c r="E53" i="9"/>
  <c r="Q53" i="9"/>
  <c r="D53" i="9"/>
  <c r="J53" i="9"/>
  <c r="F53" i="9"/>
  <c r="N53" i="9"/>
  <c r="C53" i="9"/>
  <c r="I53" i="9"/>
  <c r="H53" i="9"/>
  <c r="L53" i="9"/>
  <c r="M53" i="9"/>
  <c r="P53" i="9"/>
  <c r="R53" i="9"/>
  <c r="L118" i="8"/>
  <c r="P118" i="8"/>
  <c r="M118" i="8"/>
  <c r="I118" i="8"/>
  <c r="J118" i="8"/>
  <c r="AF43" i="9" l="1"/>
  <c r="Q118" i="8"/>
  <c r="N118" i="8"/>
  <c r="AJ128" i="8" l="1"/>
  <c r="AJ114" i="8"/>
  <c r="AJ115" i="8"/>
  <c r="R118" i="8"/>
  <c r="AD43" i="9"/>
  <c r="AC43" i="9"/>
  <c r="AB43" i="9"/>
  <c r="AE43" i="9"/>
  <c r="AD72" i="8" l="1"/>
  <c r="AC72" i="8"/>
  <c r="AB72" i="8"/>
  <c r="Y72" i="8"/>
  <c r="Z72" i="8"/>
  <c r="V72" i="8"/>
  <c r="U72" i="8"/>
  <c r="T72" i="8"/>
  <c r="J54" i="8"/>
  <c r="B2" i="9"/>
  <c r="AB7" i="9"/>
  <c r="C118" i="8"/>
  <c r="R68" i="8"/>
  <c r="Q68" i="8"/>
  <c r="P68" i="8"/>
  <c r="N68" i="8"/>
  <c r="M68" i="8"/>
  <c r="L68" i="8"/>
  <c r="J68" i="8"/>
  <c r="I68" i="8"/>
  <c r="H68" i="8"/>
  <c r="F68" i="8"/>
  <c r="E68" i="8"/>
  <c r="D68" i="8"/>
  <c r="C68" i="8"/>
  <c r="W10" i="10"/>
  <c r="F118" i="8"/>
  <c r="E118" i="8"/>
  <c r="D118" i="8"/>
  <c r="AB106" i="8"/>
  <c r="AE105" i="8"/>
  <c r="X105" i="8"/>
  <c r="W80" i="8"/>
  <c r="W79" i="8"/>
  <c r="W78" i="8"/>
  <c r="W75" i="8"/>
  <c r="AF58" i="9"/>
  <c r="AF57" i="9"/>
  <c r="AF51" i="9"/>
  <c r="AF53" i="9" s="1"/>
  <c r="R4" i="9"/>
  <c r="AF4" i="9" s="1"/>
  <c r="R3" i="9"/>
  <c r="AF3" i="9" s="1"/>
  <c r="V80" i="8"/>
  <c r="U80" i="8"/>
  <c r="T80" i="8"/>
  <c r="V79" i="8"/>
  <c r="U79" i="8"/>
  <c r="T79" i="8"/>
  <c r="V78" i="8"/>
  <c r="U78" i="8"/>
  <c r="T78" i="8"/>
  <c r="V75" i="8"/>
  <c r="U75" i="8"/>
  <c r="T75" i="8"/>
  <c r="V71" i="8"/>
  <c r="U71" i="8"/>
  <c r="T71" i="8"/>
  <c r="V67" i="8"/>
  <c r="U67" i="8"/>
  <c r="T67" i="8"/>
  <c r="V66" i="8"/>
  <c r="V64" i="8"/>
  <c r="U64" i="8"/>
  <c r="T64" i="8"/>
  <c r="V60" i="8"/>
  <c r="U60" i="8"/>
  <c r="T60" i="8"/>
  <c r="V59" i="8"/>
  <c r="U59" i="8"/>
  <c r="T59" i="8"/>
  <c r="V57" i="8"/>
  <c r="U57" i="8"/>
  <c r="T57" i="8"/>
  <c r="V53" i="8"/>
  <c r="U53" i="8"/>
  <c r="T53" i="8"/>
  <c r="V52" i="8"/>
  <c r="U52" i="8"/>
  <c r="T52" i="8"/>
  <c r="V50" i="8"/>
  <c r="U50" i="8"/>
  <c r="T50" i="8"/>
  <c r="V8" i="8"/>
  <c r="V89" i="8" s="1"/>
  <c r="U8" i="8"/>
  <c r="U89" i="8" s="1"/>
  <c r="T8" i="8"/>
  <c r="T89" i="8" s="1"/>
  <c r="V7" i="8"/>
  <c r="V88" i="8" s="1"/>
  <c r="U7" i="8"/>
  <c r="U88" i="8" s="1"/>
  <c r="T7" i="8"/>
  <c r="T88" i="8" s="1"/>
  <c r="AH72" i="8"/>
  <c r="AG72" i="8"/>
  <c r="AF72" i="8"/>
  <c r="X72" i="8"/>
  <c r="AH71" i="8"/>
  <c r="AF71" i="8"/>
  <c r="AD71" i="8"/>
  <c r="AC71" i="8"/>
  <c r="AB71" i="8"/>
  <c r="Z71" i="8"/>
  <c r="Y71" i="8"/>
  <c r="X71" i="8"/>
  <c r="AG71" i="8"/>
  <c r="AE72" i="8"/>
  <c r="AA72" i="8"/>
  <c r="U23" i="8"/>
  <c r="AH80" i="8"/>
  <c r="AH79" i="8"/>
  <c r="AH78" i="8"/>
  <c r="AH67" i="8"/>
  <c r="AH66" i="8"/>
  <c r="AH65" i="8"/>
  <c r="AH64" i="8"/>
  <c r="AH60" i="8"/>
  <c r="AH59" i="8"/>
  <c r="AH53" i="8"/>
  <c r="AH52" i="8"/>
  <c r="AH8" i="8"/>
  <c r="AH89" i="8" s="1"/>
  <c r="AH7" i="8"/>
  <c r="AH88" i="8" s="1"/>
  <c r="Q4" i="10"/>
  <c r="Y4" i="10" s="1"/>
  <c r="P4" i="10"/>
  <c r="X4" i="10" s="1"/>
  <c r="O4" i="10"/>
  <c r="W4" i="10" s="1"/>
  <c r="N4" i="10"/>
  <c r="V4" i="10" s="1"/>
  <c r="M4" i="10"/>
  <c r="U4" i="10" s="1"/>
  <c r="L4" i="10"/>
  <c r="T4" i="10" s="1"/>
  <c r="K4" i="10"/>
  <c r="J4" i="10"/>
  <c r="I4" i="10"/>
  <c r="H4" i="10"/>
  <c r="Q3" i="10"/>
  <c r="Y3" i="10" s="1"/>
  <c r="P3" i="10"/>
  <c r="X3" i="10" s="1"/>
  <c r="O3" i="10"/>
  <c r="W3" i="10" s="1"/>
  <c r="N3" i="10"/>
  <c r="V3" i="10" s="1"/>
  <c r="M3" i="10"/>
  <c r="U3" i="10" s="1"/>
  <c r="L3" i="10"/>
  <c r="T3" i="10" s="1"/>
  <c r="K3" i="10"/>
  <c r="J3" i="10"/>
  <c r="I3" i="10"/>
  <c r="H3" i="10"/>
  <c r="R4" i="10"/>
  <c r="Z4" i="10" s="1"/>
  <c r="R3" i="10"/>
  <c r="Z3" i="10" s="1"/>
  <c r="R89" i="8"/>
  <c r="R88" i="8"/>
  <c r="R81" i="8"/>
  <c r="R47" i="8"/>
  <c r="R46" i="8"/>
  <c r="R11" i="8"/>
  <c r="R17" i="8" s="1"/>
  <c r="AG65" i="8"/>
  <c r="AF65" i="8"/>
  <c r="AD65" i="8"/>
  <c r="AC65" i="8"/>
  <c r="AB65" i="8"/>
  <c r="AG67" i="8"/>
  <c r="AF67" i="8"/>
  <c r="AD67" i="8"/>
  <c r="AC67" i="8"/>
  <c r="AB67" i="8"/>
  <c r="Z67" i="8"/>
  <c r="Y67" i="8"/>
  <c r="X67" i="8"/>
  <c r="Z65" i="8"/>
  <c r="Y65" i="8"/>
  <c r="X65" i="8"/>
  <c r="AE65" i="8"/>
  <c r="AA65" i="8"/>
  <c r="W65" i="8"/>
  <c r="P129" i="8"/>
  <c r="F129" i="8"/>
  <c r="E129" i="8"/>
  <c r="D129" i="8"/>
  <c r="AC57" i="8"/>
  <c r="AB57" i="8"/>
  <c r="Z57" i="8"/>
  <c r="Y57" i="8"/>
  <c r="X57" i="8"/>
  <c r="AA57" i="8"/>
  <c r="W57" i="8"/>
  <c r="AG66" i="8"/>
  <c r="AF66" i="8"/>
  <c r="AD66" i="8"/>
  <c r="AC66" i="8"/>
  <c r="AB66" i="8"/>
  <c r="Z66" i="8"/>
  <c r="Y66" i="8"/>
  <c r="X66" i="8"/>
  <c r="AE66" i="8"/>
  <c r="AA66" i="8"/>
  <c r="W66" i="8"/>
  <c r="U65" i="8"/>
  <c r="AE58" i="9"/>
  <c r="AD58" i="9"/>
  <c r="AB58" i="9"/>
  <c r="AA58" i="9"/>
  <c r="Z58" i="9"/>
  <c r="X58" i="9"/>
  <c r="W58" i="9"/>
  <c r="V58" i="9"/>
  <c r="T58" i="9"/>
  <c r="AE57" i="9"/>
  <c r="AD57" i="9"/>
  <c r="AB57" i="9"/>
  <c r="AA57" i="9"/>
  <c r="Z57" i="9"/>
  <c r="X57" i="9"/>
  <c r="W57" i="9"/>
  <c r="V57" i="9"/>
  <c r="T57" i="9"/>
  <c r="AE51" i="9"/>
  <c r="AE53" i="9" s="1"/>
  <c r="AD51" i="9"/>
  <c r="AD53" i="9" s="1"/>
  <c r="AB51" i="9"/>
  <c r="AB53" i="9" s="1"/>
  <c r="AA51" i="9"/>
  <c r="Z51" i="9"/>
  <c r="X51" i="9"/>
  <c r="W51" i="9"/>
  <c r="V51" i="9"/>
  <c r="T51" i="9"/>
  <c r="Q4" i="9"/>
  <c r="AE4" i="9" s="1"/>
  <c r="P4" i="9"/>
  <c r="AD4" i="9" s="1"/>
  <c r="O4" i="9"/>
  <c r="AC4" i="9" s="1"/>
  <c r="N4" i="9"/>
  <c r="AB4" i="9" s="1"/>
  <c r="M4" i="9"/>
  <c r="AA4" i="9" s="1"/>
  <c r="L4" i="9"/>
  <c r="Z4" i="9" s="1"/>
  <c r="K4" i="9"/>
  <c r="Y4" i="9" s="1"/>
  <c r="J4" i="9"/>
  <c r="X4" i="9" s="1"/>
  <c r="I4" i="9"/>
  <c r="W4" i="9" s="1"/>
  <c r="H4" i="9"/>
  <c r="V4" i="9" s="1"/>
  <c r="U4" i="9"/>
  <c r="T4" i="9"/>
  <c r="Q3" i="9"/>
  <c r="AE3" i="9" s="1"/>
  <c r="P3" i="9"/>
  <c r="AD3" i="9" s="1"/>
  <c r="O3" i="9"/>
  <c r="AC3" i="9" s="1"/>
  <c r="N3" i="9"/>
  <c r="AB3" i="9" s="1"/>
  <c r="M3" i="9"/>
  <c r="AA3" i="9" s="1"/>
  <c r="L3" i="9"/>
  <c r="Z3" i="9" s="1"/>
  <c r="K3" i="9"/>
  <c r="Y3" i="9" s="1"/>
  <c r="J3" i="9"/>
  <c r="X3" i="9" s="1"/>
  <c r="I3" i="9"/>
  <c r="W3" i="9" s="1"/>
  <c r="H3" i="9"/>
  <c r="V3" i="9" s="1"/>
  <c r="U3" i="9"/>
  <c r="T3" i="9"/>
  <c r="F4" i="9"/>
  <c r="E4" i="9"/>
  <c r="D4" i="9"/>
  <c r="C4" i="9"/>
  <c r="F3" i="9"/>
  <c r="E3" i="9"/>
  <c r="D3" i="9"/>
  <c r="C3" i="9"/>
  <c r="O10" i="8"/>
  <c r="K10" i="8"/>
  <c r="AD10" i="8" s="1"/>
  <c r="V21" i="8"/>
  <c r="V20" i="8"/>
  <c r="AE59" i="8"/>
  <c r="AE79" i="8"/>
  <c r="AE78" i="8"/>
  <c r="O80" i="8"/>
  <c r="AE80" i="8" s="1"/>
  <c r="K80" i="8"/>
  <c r="AA80" i="8" s="1"/>
  <c r="AA79" i="8"/>
  <c r="AA78" i="8"/>
  <c r="AA75" i="8"/>
  <c r="AA59" i="8"/>
  <c r="W59" i="8"/>
  <c r="AG80" i="8"/>
  <c r="AF80" i="8"/>
  <c r="AD80" i="8"/>
  <c r="AC80" i="8"/>
  <c r="AB80" i="8"/>
  <c r="Z80" i="8"/>
  <c r="Y80" i="8"/>
  <c r="X80" i="8"/>
  <c r="AG79" i="8"/>
  <c r="AF79" i="8"/>
  <c r="AD79" i="8"/>
  <c r="AC79" i="8"/>
  <c r="AB79" i="8"/>
  <c r="Z79" i="8"/>
  <c r="Y79" i="8"/>
  <c r="X79" i="8"/>
  <c r="AG78" i="8"/>
  <c r="AF78" i="8"/>
  <c r="AD78" i="8"/>
  <c r="AC78" i="8"/>
  <c r="AB78" i="8"/>
  <c r="Z78" i="8"/>
  <c r="Y78" i="8"/>
  <c r="X78" i="8"/>
  <c r="AC75" i="8"/>
  <c r="AB75" i="8"/>
  <c r="Z75" i="8"/>
  <c r="Y75" i="8"/>
  <c r="X75" i="8"/>
  <c r="AG64" i="8"/>
  <c r="AF64" i="8"/>
  <c r="AD64" i="8"/>
  <c r="AC64" i="8"/>
  <c r="AB64" i="8"/>
  <c r="Z64" i="8"/>
  <c r="Y64" i="8"/>
  <c r="X64" i="8"/>
  <c r="AG60" i="8"/>
  <c r="AF60" i="8"/>
  <c r="AD60" i="8"/>
  <c r="AC60" i="8"/>
  <c r="AB60" i="8"/>
  <c r="Z60" i="8"/>
  <c r="Y60" i="8"/>
  <c r="X60" i="8"/>
  <c r="AG59" i="8"/>
  <c r="AF59" i="8"/>
  <c r="AD59" i="8"/>
  <c r="AC59" i="8"/>
  <c r="AB59" i="8"/>
  <c r="Z59" i="8"/>
  <c r="Y59" i="8"/>
  <c r="X59" i="8"/>
  <c r="AG53" i="8"/>
  <c r="AF53" i="8"/>
  <c r="AD53" i="8"/>
  <c r="AC53" i="8"/>
  <c r="AB53" i="8"/>
  <c r="Z53" i="8"/>
  <c r="Y53" i="8"/>
  <c r="X53" i="8"/>
  <c r="AG52" i="8"/>
  <c r="AF52" i="8"/>
  <c r="AD52" i="8"/>
  <c r="AC52" i="8"/>
  <c r="AB52" i="8"/>
  <c r="Z52" i="8"/>
  <c r="Y52" i="8"/>
  <c r="X52" i="8"/>
  <c r="AC50" i="8"/>
  <c r="AB50" i="8"/>
  <c r="Z50" i="8"/>
  <c r="Y50" i="8"/>
  <c r="X50" i="8"/>
  <c r="J81" i="8"/>
  <c r="Q89" i="8"/>
  <c r="P89" i="8"/>
  <c r="O89" i="8"/>
  <c r="N89" i="8"/>
  <c r="M89" i="8"/>
  <c r="L89" i="8"/>
  <c r="K89" i="8"/>
  <c r="J89" i="8"/>
  <c r="I89" i="8"/>
  <c r="H89" i="8"/>
  <c r="Q88" i="8"/>
  <c r="P88" i="8"/>
  <c r="O88" i="8"/>
  <c r="N88" i="8"/>
  <c r="M88" i="8"/>
  <c r="L88" i="8"/>
  <c r="K88" i="8"/>
  <c r="J88" i="8"/>
  <c r="I88" i="8"/>
  <c r="H88" i="8"/>
  <c r="N81" i="8"/>
  <c r="M81" i="8"/>
  <c r="L81" i="8"/>
  <c r="I81" i="8"/>
  <c r="H81" i="8"/>
  <c r="Q47" i="8"/>
  <c r="P47" i="8"/>
  <c r="O47" i="8"/>
  <c r="N47" i="8"/>
  <c r="M47" i="8"/>
  <c r="L47" i="8"/>
  <c r="K47" i="8"/>
  <c r="J47" i="8"/>
  <c r="I47" i="8"/>
  <c r="H47" i="8"/>
  <c r="Q46" i="8"/>
  <c r="P46" i="8"/>
  <c r="O46" i="8"/>
  <c r="N46" i="8"/>
  <c r="M46" i="8"/>
  <c r="L46" i="8"/>
  <c r="K46" i="8"/>
  <c r="J46" i="8"/>
  <c r="I46" i="8"/>
  <c r="H46" i="8"/>
  <c r="F47" i="8"/>
  <c r="E47" i="8"/>
  <c r="D47" i="8"/>
  <c r="C47" i="8"/>
  <c r="F46" i="8"/>
  <c r="E46" i="8"/>
  <c r="D46" i="8"/>
  <c r="C46" i="8"/>
  <c r="M11" i="8"/>
  <c r="M17" i="8" s="1"/>
  <c r="L11" i="8"/>
  <c r="L17" i="8" s="1"/>
  <c r="J11" i="8"/>
  <c r="J17" i="8" s="1"/>
  <c r="I11" i="8"/>
  <c r="I17" i="8" s="1"/>
  <c r="H11" i="8"/>
  <c r="H17" i="8" s="1"/>
  <c r="Q11" i="8"/>
  <c r="Q17" i="8" s="1"/>
  <c r="AB8" i="8"/>
  <c r="AA8" i="8"/>
  <c r="Z8" i="8"/>
  <c r="Y8" i="8"/>
  <c r="X8" i="8"/>
  <c r="W8" i="8"/>
  <c r="AB7" i="8"/>
  <c r="AA7" i="8"/>
  <c r="Z7" i="8"/>
  <c r="Y7" i="8"/>
  <c r="X7" i="8"/>
  <c r="W7" i="8"/>
  <c r="AF8" i="8"/>
  <c r="AE8" i="8"/>
  <c r="AD8" i="8"/>
  <c r="AC8" i="8"/>
  <c r="AF7" i="8"/>
  <c r="AE7" i="8"/>
  <c r="AD7" i="8"/>
  <c r="AC7" i="8"/>
  <c r="AG8" i="8"/>
  <c r="AG7" i="8"/>
  <c r="E4" i="10"/>
  <c r="D4" i="10"/>
  <c r="C4" i="10"/>
  <c r="E3" i="10"/>
  <c r="D3" i="10"/>
  <c r="C3" i="10"/>
  <c r="F4" i="10"/>
  <c r="F3" i="10"/>
  <c r="AJ72" i="8" l="1"/>
  <c r="V10" i="10"/>
  <c r="X10" i="10"/>
  <c r="X10" i="8"/>
  <c r="Z10" i="8"/>
  <c r="Y10" i="8"/>
  <c r="W10" i="8"/>
  <c r="AA10" i="8"/>
  <c r="AC10" i="8"/>
  <c r="AB10" i="8"/>
  <c r="AG10" i="8"/>
  <c r="AF10" i="8"/>
  <c r="AE10" i="8"/>
  <c r="J18" i="8"/>
  <c r="L24" i="8"/>
  <c r="L29" i="8" s="1"/>
  <c r="L33" i="8" s="1"/>
  <c r="L36" i="8" s="1"/>
  <c r="I18" i="8"/>
  <c r="H18" i="8"/>
  <c r="M24" i="8"/>
  <c r="M29" i="8" s="1"/>
  <c r="R24" i="8"/>
  <c r="AJ50" i="8"/>
  <c r="AJ52" i="8"/>
  <c r="AJ67" i="8"/>
  <c r="AJ53" i="8"/>
  <c r="W72" i="8"/>
  <c r="AJ57" i="8"/>
  <c r="AJ78" i="8"/>
  <c r="AB45" i="9"/>
  <c r="AJ59" i="8"/>
  <c r="AJ79" i="8"/>
  <c r="AJ60" i="8"/>
  <c r="AJ80" i="8"/>
  <c r="AJ64" i="8"/>
  <c r="AJ65" i="8"/>
  <c r="AJ66" i="8"/>
  <c r="AJ71" i="8"/>
  <c r="W71" i="8"/>
  <c r="AA71" i="8"/>
  <c r="AE71" i="8"/>
  <c r="Z21" i="8"/>
  <c r="V21" i="9"/>
  <c r="W53" i="8"/>
  <c r="U57" i="9"/>
  <c r="AA53" i="8"/>
  <c r="Y57" i="9"/>
  <c r="AE52" i="8"/>
  <c r="X103" i="8"/>
  <c r="T87" i="9"/>
  <c r="V87" i="9"/>
  <c r="W60" i="8"/>
  <c r="AE53" i="8"/>
  <c r="AC57" i="9"/>
  <c r="AG20" i="8"/>
  <c r="Z23" i="8"/>
  <c r="V22" i="9"/>
  <c r="R73" i="8"/>
  <c r="Z87" i="9"/>
  <c r="W64" i="8"/>
  <c r="U58" i="9"/>
  <c r="AB20" i="8"/>
  <c r="AA19" i="9"/>
  <c r="AC22" i="9"/>
  <c r="AE60" i="8"/>
  <c r="AD21" i="8"/>
  <c r="AB21" i="9"/>
  <c r="AF87" i="9"/>
  <c r="AF88" i="9" s="1"/>
  <c r="AF145" i="8"/>
  <c r="W52" i="8"/>
  <c r="W87" i="9"/>
  <c r="X87" i="9"/>
  <c r="AA60" i="8"/>
  <c r="AE64" i="8"/>
  <c r="AC58" i="9"/>
  <c r="AG21" i="8"/>
  <c r="AF21" i="9"/>
  <c r="AA87" i="9"/>
  <c r="AB87" i="9"/>
  <c r="AB88" i="9" s="1"/>
  <c r="W50" i="8"/>
  <c r="AA50" i="8"/>
  <c r="K53" i="9"/>
  <c r="AA64" i="8"/>
  <c r="Y58" i="9"/>
  <c r="Z20" i="8"/>
  <c r="U19" i="9"/>
  <c r="U54" i="8"/>
  <c r="U61" i="8" s="1"/>
  <c r="O118" i="8"/>
  <c r="K118" i="8"/>
  <c r="J61" i="8"/>
  <c r="T54" i="8"/>
  <c r="T61" i="8" s="1"/>
  <c r="U66" i="8"/>
  <c r="U68" i="8" s="1"/>
  <c r="U73" i="8" s="1"/>
  <c r="AF68" i="8"/>
  <c r="T66" i="8"/>
  <c r="Y10" i="10"/>
  <c r="Z10" i="10"/>
  <c r="AB10" i="10" s="1"/>
  <c r="AG68" i="8"/>
  <c r="AH68" i="8"/>
  <c r="AD68" i="8"/>
  <c r="K68" i="8"/>
  <c r="O68" i="8"/>
  <c r="V95" i="8"/>
  <c r="V103" i="8"/>
  <c r="V145" i="8"/>
  <c r="T136" i="8"/>
  <c r="U81" i="8"/>
  <c r="V23" i="8"/>
  <c r="V105" i="8"/>
  <c r="T81" i="8"/>
  <c r="V54" i="8"/>
  <c r="V61" i="8" s="1"/>
  <c r="V81" i="8"/>
  <c r="T23" i="8"/>
  <c r="T22" i="9"/>
  <c r="T11" i="8"/>
  <c r="T17" i="8" s="1"/>
  <c r="U11" i="8"/>
  <c r="U17" i="8" s="1"/>
  <c r="T20" i="8"/>
  <c r="T21" i="8"/>
  <c r="T65" i="8"/>
  <c r="T95" i="8"/>
  <c r="T103" i="8"/>
  <c r="T105" i="8"/>
  <c r="T145" i="8"/>
  <c r="V11" i="8"/>
  <c r="V17" i="8" s="1"/>
  <c r="U20" i="8"/>
  <c r="U21" i="8"/>
  <c r="U95" i="8"/>
  <c r="U103" i="8"/>
  <c r="U105" i="8"/>
  <c r="U136" i="8"/>
  <c r="U145" i="8"/>
  <c r="V65" i="8"/>
  <c r="V68" i="8" s="1"/>
  <c r="V73" i="8" s="1"/>
  <c r="T46" i="8"/>
  <c r="T47" i="8"/>
  <c r="U46" i="8"/>
  <c r="U47" i="8"/>
  <c r="V46" i="8"/>
  <c r="V47" i="8"/>
  <c r="V136" i="8"/>
  <c r="AD108" i="8"/>
  <c r="AA108" i="8"/>
  <c r="AB108" i="8"/>
  <c r="AF108" i="8"/>
  <c r="AC108" i="8"/>
  <c r="U108" i="8"/>
  <c r="W107" i="8"/>
  <c r="Z107" i="8"/>
  <c r="Y107" i="8"/>
  <c r="X107" i="8"/>
  <c r="AB107" i="8"/>
  <c r="U107" i="8"/>
  <c r="AH107" i="8"/>
  <c r="AA107" i="8"/>
  <c r="AC107" i="8"/>
  <c r="J73" i="8"/>
  <c r="AH103" i="8"/>
  <c r="AH106" i="8"/>
  <c r="W23" i="8"/>
  <c r="X23" i="8"/>
  <c r="Y23" i="8"/>
  <c r="AA23" i="8"/>
  <c r="AB23" i="8"/>
  <c r="AC23" i="8"/>
  <c r="R54" i="8"/>
  <c r="AH81" i="8"/>
  <c r="AH54" i="8"/>
  <c r="AH10" i="8"/>
  <c r="I73" i="8"/>
  <c r="AH20" i="8"/>
  <c r="AH21" i="8"/>
  <c r="AH105" i="8"/>
  <c r="AH46" i="8"/>
  <c r="AH47" i="8"/>
  <c r="AA67" i="8"/>
  <c r="Y85" i="9"/>
  <c r="W67" i="8"/>
  <c r="AE67" i="8"/>
  <c r="U85" i="9"/>
  <c r="H73" i="8"/>
  <c r="AA85" i="9"/>
  <c r="T85" i="9"/>
  <c r="X85" i="9"/>
  <c r="Z85" i="9"/>
  <c r="W85" i="9"/>
  <c r="V85" i="9"/>
  <c r="I54" i="8"/>
  <c r="I61" i="8" s="1"/>
  <c r="C129" i="8"/>
  <c r="Q129" i="8"/>
  <c r="L129" i="8"/>
  <c r="M129" i="8"/>
  <c r="Q54" i="8"/>
  <c r="Q61" i="8" s="1"/>
  <c r="N54" i="8"/>
  <c r="N61" i="8" s="1"/>
  <c r="H54" i="8"/>
  <c r="H61" i="8" s="1"/>
  <c r="M54" i="8"/>
  <c r="M61" i="8" s="1"/>
  <c r="L54" i="8"/>
  <c r="L61" i="8" s="1"/>
  <c r="F73" i="8"/>
  <c r="AD145" i="8"/>
  <c r="T21" i="9"/>
  <c r="AA53" i="9"/>
  <c r="W26" i="9"/>
  <c r="T53" i="9"/>
  <c r="X60" i="9"/>
  <c r="AG106" i="8"/>
  <c r="Z53" i="9"/>
  <c r="T36" i="9"/>
  <c r="T60" i="9"/>
  <c r="W53" i="9"/>
  <c r="V53" i="9"/>
  <c r="X53" i="9"/>
  <c r="T19" i="9"/>
  <c r="AG103" i="8"/>
  <c r="AD103" i="8"/>
  <c r="Z95" i="8"/>
  <c r="AE145" i="8"/>
  <c r="AD105" i="8"/>
  <c r="AB145" i="8"/>
  <c r="AC145" i="8"/>
  <c r="Z106" i="8"/>
  <c r="AA145" i="8"/>
  <c r="X95" i="8"/>
  <c r="W95" i="8"/>
  <c r="W105" i="8"/>
  <c r="Y106" i="8"/>
  <c r="Y95" i="8"/>
  <c r="Z103" i="8"/>
  <c r="AF105" i="8"/>
  <c r="AA103" i="8"/>
  <c r="AC106" i="8"/>
  <c r="AB103" i="8"/>
  <c r="Y105" i="8"/>
  <c r="AG105" i="8"/>
  <c r="AD106" i="8"/>
  <c r="AC103" i="8"/>
  <c r="Z105" i="8"/>
  <c r="W106" i="8"/>
  <c r="AE106" i="8"/>
  <c r="X106" i="8"/>
  <c r="AF106" i="8"/>
  <c r="W103" i="8"/>
  <c r="AE103" i="8"/>
  <c r="AF103" i="8"/>
  <c r="Y103" i="8"/>
  <c r="AA106" i="8"/>
  <c r="W20" i="8"/>
  <c r="K11" i="8"/>
  <c r="K17" i="8" s="1"/>
  <c r="Y21" i="8"/>
  <c r="W21" i="8"/>
  <c r="X21" i="8"/>
  <c r="AE21" i="8"/>
  <c r="AF21" i="8"/>
  <c r="AC20" i="8"/>
  <c r="AD20" i="8"/>
  <c r="AA20" i="8"/>
  <c r="AE20" i="8"/>
  <c r="AF20" i="8"/>
  <c r="AA21" i="8"/>
  <c r="AB21" i="8"/>
  <c r="AC21" i="8"/>
  <c r="X20" i="8"/>
  <c r="Y20" i="8"/>
  <c r="K81" i="8"/>
  <c r="K54" i="8"/>
  <c r="K61" i="8" s="1"/>
  <c r="O54" i="8"/>
  <c r="O61" i="8" s="1"/>
  <c r="AA52" i="8"/>
  <c r="L92" i="8" l="1"/>
  <c r="L40" i="8"/>
  <c r="L43" i="8"/>
  <c r="J24" i="8"/>
  <c r="J29" i="8" s="1"/>
  <c r="J33" i="8" s="1"/>
  <c r="J36" i="8" s="1"/>
  <c r="R82" i="8"/>
  <c r="AF61" i="9"/>
  <c r="T6" i="9"/>
  <c r="AC7" i="9"/>
  <c r="AD7" i="9"/>
  <c r="AE7" i="9"/>
  <c r="AF7" i="9"/>
  <c r="AH7" i="9" s="1"/>
  <c r="R11" i="10"/>
  <c r="R12" i="10" s="1"/>
  <c r="R18" i="8"/>
  <c r="I24" i="8"/>
  <c r="I29" i="8" s="1"/>
  <c r="M18" i="8"/>
  <c r="L18" i="8"/>
  <c r="R25" i="8"/>
  <c r="R29" i="8"/>
  <c r="R33" i="8" s="1"/>
  <c r="R36" i="8" s="1"/>
  <c r="H24" i="8"/>
  <c r="AE68" i="8"/>
  <c r="AJ112" i="8"/>
  <c r="AJ117" i="8"/>
  <c r="AJ105" i="8"/>
  <c r="AJ20" i="8"/>
  <c r="AJ121" i="8"/>
  <c r="AE45" i="9"/>
  <c r="AF45" i="9"/>
  <c r="AC45" i="9"/>
  <c r="AD45" i="9"/>
  <c r="AH61" i="8"/>
  <c r="AJ106" i="8"/>
  <c r="AH73" i="8"/>
  <c r="AH82" i="8" s="1"/>
  <c r="AJ68" i="8"/>
  <c r="AJ116" i="8"/>
  <c r="AJ103" i="8"/>
  <c r="AJ32" i="8"/>
  <c r="AJ27" i="8"/>
  <c r="AJ23" i="8"/>
  <c r="AJ21" i="8"/>
  <c r="AH11" i="8"/>
  <c r="AH17" i="8" s="1"/>
  <c r="AJ10" i="8"/>
  <c r="O53" i="9"/>
  <c r="AC51" i="9"/>
  <c r="AC53" i="9" s="1"/>
  <c r="AA88" i="9"/>
  <c r="AA97" i="9" s="1"/>
  <c r="Z88" i="9"/>
  <c r="Z97" i="9" s="1"/>
  <c r="R88" i="9"/>
  <c r="R97" i="9" s="1"/>
  <c r="AF37" i="9"/>
  <c r="AB37" i="9"/>
  <c r="U87" i="9"/>
  <c r="U88" i="9" s="1"/>
  <c r="U97" i="9" s="1"/>
  <c r="X88" i="9"/>
  <c r="X97" i="9" s="1"/>
  <c r="V61" i="9"/>
  <c r="X61" i="9"/>
  <c r="AB97" i="9"/>
  <c r="I82" i="8"/>
  <c r="I84" i="8" s="1"/>
  <c r="W61" i="9"/>
  <c r="T61" i="9"/>
  <c r="T88" i="9"/>
  <c r="T97" i="9" s="1"/>
  <c r="AF97" i="9"/>
  <c r="Y87" i="9"/>
  <c r="Y88" i="9" s="1"/>
  <c r="Y97" i="9" s="1"/>
  <c r="U60" i="9"/>
  <c r="W88" i="9"/>
  <c r="W97" i="9" s="1"/>
  <c r="V88" i="9"/>
  <c r="V97" i="9" s="1"/>
  <c r="T68" i="8"/>
  <c r="T73" i="8" s="1"/>
  <c r="T82" i="8" s="1"/>
  <c r="T84" i="8" s="1"/>
  <c r="K24" i="8"/>
  <c r="U22" i="9"/>
  <c r="AH21" i="9"/>
  <c r="AB22" i="9"/>
  <c r="T18" i="8"/>
  <c r="V24" i="8"/>
  <c r="V29" i="8" s="1"/>
  <c r="Z22" i="9"/>
  <c r="AA22" i="9"/>
  <c r="Y22" i="9"/>
  <c r="U82" i="8"/>
  <c r="U84" i="8" s="1"/>
  <c r="V82" i="8"/>
  <c r="V84" i="8" s="1"/>
  <c r="V18" i="8"/>
  <c r="X22" i="9"/>
  <c r="W22" i="9"/>
  <c r="AE19" i="9"/>
  <c r="AF19" i="9"/>
  <c r="R61" i="8"/>
  <c r="AF60" i="9"/>
  <c r="AF35" i="9"/>
  <c r="AF22" i="9"/>
  <c r="AD22" i="9"/>
  <c r="AE22" i="9"/>
  <c r="T118" i="8"/>
  <c r="V106" i="8"/>
  <c r="V107" i="8"/>
  <c r="T107" i="8"/>
  <c r="V108" i="8"/>
  <c r="T108" i="8"/>
  <c r="AE136" i="8"/>
  <c r="AG136" i="8"/>
  <c r="AH136" i="8"/>
  <c r="Y136" i="8"/>
  <c r="AF136" i="8"/>
  <c r="J82" i="8"/>
  <c r="J84" i="8" s="1"/>
  <c r="AD107" i="8"/>
  <c r="AJ107" i="8" s="1"/>
  <c r="R129" i="8"/>
  <c r="AE108" i="8"/>
  <c r="Z108" i="8"/>
  <c r="Y108" i="8"/>
  <c r="X108" i="8"/>
  <c r="AH108" i="8"/>
  <c r="AJ108" i="8" s="1"/>
  <c r="AG108" i="8"/>
  <c r="W108" i="8"/>
  <c r="AF107" i="8"/>
  <c r="AE107" i="8"/>
  <c r="AG107" i="8"/>
  <c r="H82" i="8"/>
  <c r="H84" i="8" s="1"/>
  <c r="AA30" i="9"/>
  <c r="U41" i="9"/>
  <c r="N129" i="8"/>
  <c r="T41" i="9"/>
  <c r="AF41" i="9"/>
  <c r="U51" i="9"/>
  <c r="U53" i="9" s="1"/>
  <c r="Y51" i="9"/>
  <c r="Y53" i="9" s="1"/>
  <c r="W60" i="9"/>
  <c r="AE60" i="9"/>
  <c r="AB60" i="9"/>
  <c r="AA60" i="9"/>
  <c r="V60" i="9"/>
  <c r="Z60" i="9"/>
  <c r="M73" i="8"/>
  <c r="L73" i="8"/>
  <c r="K73" i="8"/>
  <c r="N73" i="8"/>
  <c r="AD19" i="9"/>
  <c r="Y21" i="9"/>
  <c r="T30" i="9"/>
  <c r="AC19" i="9"/>
  <c r="T26" i="9"/>
  <c r="Z21" i="9"/>
  <c r="V26" i="9"/>
  <c r="AA21" i="9"/>
  <c r="Z36" i="9"/>
  <c r="X38" i="9"/>
  <c r="AB19" i="9"/>
  <c r="AC36" i="9"/>
  <c r="AD35" i="9"/>
  <c r="AF38" i="9"/>
  <c r="X21" i="9"/>
  <c r="W21" i="9"/>
  <c r="U21" i="9"/>
  <c r="Y60" i="9"/>
  <c r="T38" i="9"/>
  <c r="AA36" i="9"/>
  <c r="X37" i="9"/>
  <c r="Z145" i="8"/>
  <c r="AD21" i="9"/>
  <c r="AC21" i="9"/>
  <c r="AE21" i="9"/>
  <c r="U26" i="9"/>
  <c r="AE35" i="9"/>
  <c r="AC60" i="9"/>
  <c r="X19" i="9"/>
  <c r="W19" i="9"/>
  <c r="Z19" i="9"/>
  <c r="Y19" i="9"/>
  <c r="AB36" i="9"/>
  <c r="AC35" i="9"/>
  <c r="V19" i="9"/>
  <c r="AH95" i="8"/>
  <c r="Y36" i="9"/>
  <c r="Y145" i="8"/>
  <c r="AA105" i="8"/>
  <c r="AC105" i="8"/>
  <c r="AB105" i="8"/>
  <c r="W145" i="8"/>
  <c r="X145" i="8"/>
  <c r="X35" i="9"/>
  <c r="M25" i="8"/>
  <c r="L25" i="8"/>
  <c r="J43" i="8" l="1"/>
  <c r="J40" i="8"/>
  <c r="J92" i="8"/>
  <c r="J109" i="8" s="1"/>
  <c r="R43" i="8"/>
  <c r="R40" i="8"/>
  <c r="R92" i="8"/>
  <c r="J25" i="8"/>
  <c r="I25" i="8"/>
  <c r="R84" i="8"/>
  <c r="U61" i="9"/>
  <c r="T8" i="9"/>
  <c r="R23" i="9"/>
  <c r="R27" i="9" s="1"/>
  <c r="R32" i="9" s="1"/>
  <c r="R30" i="8"/>
  <c r="H29" i="8"/>
  <c r="H25" i="8"/>
  <c r="AJ28" i="8"/>
  <c r="AH84" i="8"/>
  <c r="AH24" i="8"/>
  <c r="AH25" i="8" s="1"/>
  <c r="AD37" i="9"/>
  <c r="AE37" i="9"/>
  <c r="AC37" i="9"/>
  <c r="AH37" i="9"/>
  <c r="Z37" i="9"/>
  <c r="AA37" i="9"/>
  <c r="Y37" i="9"/>
  <c r="AE36" i="9"/>
  <c r="AG145" i="8"/>
  <c r="Y61" i="9"/>
  <c r="L82" i="8"/>
  <c r="L84" i="8" s="1"/>
  <c r="Z61" i="9"/>
  <c r="AD36" i="9"/>
  <c r="AB61" i="9"/>
  <c r="M82" i="8"/>
  <c r="M84" i="8" s="1"/>
  <c r="AA61" i="9"/>
  <c r="U6" i="9"/>
  <c r="U8" i="9" s="1"/>
  <c r="U16" i="9" s="1"/>
  <c r="AA6" i="9"/>
  <c r="K18" i="8"/>
  <c r="AE118" i="8"/>
  <c r="AG118" i="8"/>
  <c r="AF118" i="8"/>
  <c r="AH118" i="8"/>
  <c r="AH22" i="9"/>
  <c r="V25" i="8"/>
  <c r="T24" i="8"/>
  <c r="T29" i="8" s="1"/>
  <c r="T33" i="8" s="1"/>
  <c r="T36" i="8" s="1"/>
  <c r="U106" i="8"/>
  <c r="AH19" i="9"/>
  <c r="U118" i="8"/>
  <c r="T106" i="8"/>
  <c r="V129" i="8"/>
  <c r="U18" i="8"/>
  <c r="U24" i="8"/>
  <c r="V118" i="8"/>
  <c r="V33" i="8"/>
  <c r="V36" i="8" s="1"/>
  <c r="V30" i="8"/>
  <c r="X136" i="8"/>
  <c r="Y129" i="8"/>
  <c r="AC136" i="8"/>
  <c r="Z136" i="8"/>
  <c r="W136" i="8"/>
  <c r="AE38" i="9"/>
  <c r="M30" i="8"/>
  <c r="M33" i="8"/>
  <c r="M36" i="8" s="1"/>
  <c r="I33" i="8"/>
  <c r="I36" i="8" s="1"/>
  <c r="AH18" i="8"/>
  <c r="AG129" i="8"/>
  <c r="AH129" i="8"/>
  <c r="R34" i="8"/>
  <c r="R37" i="8" s="1"/>
  <c r="Y30" i="9"/>
  <c r="AC118" i="8"/>
  <c r="Z30" i="9"/>
  <c r="AB30" i="9"/>
  <c r="AE129" i="8"/>
  <c r="AA42" i="9"/>
  <c r="Z42" i="9"/>
  <c r="AB42" i="9"/>
  <c r="Y42" i="9"/>
  <c r="T42" i="9"/>
  <c r="X42" i="9"/>
  <c r="W129" i="8"/>
  <c r="AD41" i="9"/>
  <c r="AE41" i="9"/>
  <c r="X41" i="9"/>
  <c r="AC129" i="8"/>
  <c r="X129" i="8"/>
  <c r="AC41" i="9"/>
  <c r="V41" i="9"/>
  <c r="W41" i="9"/>
  <c r="AF129" i="8"/>
  <c r="O129" i="8"/>
  <c r="N82" i="8"/>
  <c r="N84" i="8" s="1"/>
  <c r="K82" i="8"/>
  <c r="K84" i="8" s="1"/>
  <c r="AC95" i="8"/>
  <c r="AD38" i="9"/>
  <c r="AA95" i="8"/>
  <c r="AD95" i="8"/>
  <c r="AJ95" i="8" s="1"/>
  <c r="AB95" i="8"/>
  <c r="AC38" i="9"/>
  <c r="AD118" i="8"/>
  <c r="AB118" i="8"/>
  <c r="AA118" i="8"/>
  <c r="W35" i="9"/>
  <c r="V35" i="9"/>
  <c r="T35" i="9"/>
  <c r="U35" i="9"/>
  <c r="W37" i="9"/>
  <c r="V37" i="9"/>
  <c r="T37" i="9"/>
  <c r="U37" i="9"/>
  <c r="W38" i="9"/>
  <c r="U38" i="9"/>
  <c r="V38" i="9"/>
  <c r="X36" i="9"/>
  <c r="V36" i="9"/>
  <c r="W36" i="9"/>
  <c r="U36" i="9"/>
  <c r="AA35" i="9"/>
  <c r="Z35" i="9"/>
  <c r="AB35" i="9"/>
  <c r="AH35" i="9" s="1"/>
  <c r="Y35" i="9"/>
  <c r="AG95" i="8"/>
  <c r="AF95" i="8"/>
  <c r="AE95" i="8"/>
  <c r="AB38" i="9"/>
  <c r="AH38" i="9" s="1"/>
  <c r="Y38" i="9"/>
  <c r="Z38" i="9"/>
  <c r="AA26" i="9"/>
  <c r="Y26" i="9"/>
  <c r="Z26" i="9"/>
  <c r="X26" i="9"/>
  <c r="AB26" i="9"/>
  <c r="AA38" i="9"/>
  <c r="Z118" i="8"/>
  <c r="X118" i="8"/>
  <c r="Y118" i="8"/>
  <c r="W118" i="8"/>
  <c r="K25" i="8"/>
  <c r="K29" i="8"/>
  <c r="I30" i="8"/>
  <c r="J30" i="8"/>
  <c r="L109" i="8"/>
  <c r="L138" i="8" s="1"/>
  <c r="L30" i="8"/>
  <c r="T16" i="9" l="1"/>
  <c r="T23" i="9" s="1"/>
  <c r="T27" i="9" s="1"/>
  <c r="T32" i="9" s="1"/>
  <c r="M40" i="8"/>
  <c r="M92" i="8"/>
  <c r="M109" i="8" s="1"/>
  <c r="M138" i="8" s="1"/>
  <c r="M43" i="8"/>
  <c r="T92" i="8"/>
  <c r="T43" i="8"/>
  <c r="T40" i="8"/>
  <c r="V92" i="8"/>
  <c r="V43" i="8"/>
  <c r="V40" i="8"/>
  <c r="I92" i="8"/>
  <c r="I43" i="8"/>
  <c r="I40" i="8"/>
  <c r="AA8" i="9"/>
  <c r="AA16" i="9" s="1"/>
  <c r="R17" i="9"/>
  <c r="R24" i="9"/>
  <c r="U23" i="9"/>
  <c r="U27" i="9" s="1"/>
  <c r="X6" i="9"/>
  <c r="AB6" i="9"/>
  <c r="Z6" i="9"/>
  <c r="Y6" i="9"/>
  <c r="Y8" i="9" s="1"/>
  <c r="Y16" i="9" s="1"/>
  <c r="W6" i="9"/>
  <c r="Y9" i="10"/>
  <c r="V6" i="9"/>
  <c r="H33" i="8"/>
  <c r="H36" i="8" s="1"/>
  <c r="H30" i="8"/>
  <c r="AH29" i="8"/>
  <c r="AH33" i="8" s="1"/>
  <c r="AH36" i="8" s="1"/>
  <c r="AJ39" i="8"/>
  <c r="AJ118" i="8"/>
  <c r="AF36" i="9"/>
  <c r="AH36" i="9" s="1"/>
  <c r="AH145" i="8"/>
  <c r="I109" i="8"/>
  <c r="I138" i="8" s="1"/>
  <c r="Z9" i="10"/>
  <c r="W9" i="10"/>
  <c r="X9" i="10"/>
  <c r="V9" i="10"/>
  <c r="T129" i="8"/>
  <c r="T30" i="8"/>
  <c r="T25" i="8"/>
  <c r="U129" i="8"/>
  <c r="AE30" i="9"/>
  <c r="AF30" i="9"/>
  <c r="AH30" i="9" s="1"/>
  <c r="AE26" i="9"/>
  <c r="AF26" i="9"/>
  <c r="AE42" i="9"/>
  <c r="AF42" i="9"/>
  <c r="R28" i="9"/>
  <c r="U25" i="8"/>
  <c r="U29" i="8"/>
  <c r="T34" i="8"/>
  <c r="T37" i="8" s="1"/>
  <c r="V34" i="8"/>
  <c r="V37" i="8" s="1"/>
  <c r="AA136" i="8"/>
  <c r="Z129" i="8"/>
  <c r="AD136" i="8"/>
  <c r="AB136" i="8"/>
  <c r="AD30" i="9"/>
  <c r="I34" i="8"/>
  <c r="I37" i="8" s="1"/>
  <c r="K30" i="8"/>
  <c r="K33" i="8"/>
  <c r="K36" i="8" s="1"/>
  <c r="AC30" i="9"/>
  <c r="X30" i="9"/>
  <c r="W30" i="9"/>
  <c r="V30" i="9"/>
  <c r="U30" i="9"/>
  <c r="R109" i="8"/>
  <c r="R138" i="8" s="1"/>
  <c r="AA129" i="8"/>
  <c r="J138" i="8"/>
  <c r="AC42" i="9"/>
  <c r="AD42" i="9"/>
  <c r="U42" i="9"/>
  <c r="V42" i="9"/>
  <c r="K129" i="8"/>
  <c r="AD129" i="8"/>
  <c r="AJ129" i="8" s="1"/>
  <c r="AB41" i="9"/>
  <c r="AB129" i="8"/>
  <c r="W42" i="9"/>
  <c r="AD26" i="9"/>
  <c r="AC26" i="9"/>
  <c r="M34" i="8"/>
  <c r="M37" i="8" s="1"/>
  <c r="J34" i="8"/>
  <c r="J37" i="8" s="1"/>
  <c r="L34" i="8"/>
  <c r="L37" i="8" s="1"/>
  <c r="T17" i="9" l="1"/>
  <c r="U32" i="9"/>
  <c r="K40" i="8"/>
  <c r="K43" i="8"/>
  <c r="K92" i="8"/>
  <c r="H40" i="8"/>
  <c r="H92" i="8"/>
  <c r="H109" i="8" s="1"/>
  <c r="H138" i="8" s="1"/>
  <c r="H43" i="8"/>
  <c r="AH43" i="8"/>
  <c r="AH92" i="8"/>
  <c r="AH40" i="8"/>
  <c r="AH34" i="8"/>
  <c r="AH30" i="8"/>
  <c r="V8" i="9"/>
  <c r="V16" i="9" s="1"/>
  <c r="W8" i="9"/>
  <c r="AB8" i="9"/>
  <c r="AB16" i="9" s="1"/>
  <c r="X8" i="9"/>
  <c r="X16" i="9" s="1"/>
  <c r="Z8" i="9"/>
  <c r="Z16" i="9" s="1"/>
  <c r="U17" i="9"/>
  <c r="AH26" i="9"/>
  <c r="Y23" i="9"/>
  <c r="Y27" i="9" s="1"/>
  <c r="Y32" i="9" s="1"/>
  <c r="Y9" i="9"/>
  <c r="AC6" i="9"/>
  <c r="AE6" i="9"/>
  <c r="AE8" i="9" s="1"/>
  <c r="AE16" i="9" s="1"/>
  <c r="AF6" i="9"/>
  <c r="AF8" i="9" s="1"/>
  <c r="AF16" i="9" s="1"/>
  <c r="AD6" i="9"/>
  <c r="AD8" i="9" s="1"/>
  <c r="AD16" i="9" s="1"/>
  <c r="H34" i="8"/>
  <c r="H37" i="8" s="1"/>
  <c r="AA17" i="9"/>
  <c r="AA23" i="9"/>
  <c r="R33" i="9"/>
  <c r="R39" i="9"/>
  <c r="R46" i="9" s="1"/>
  <c r="U30" i="8"/>
  <c r="U33" i="8"/>
  <c r="U36" i="8" s="1"/>
  <c r="U94" i="9"/>
  <c r="U24" i="9"/>
  <c r="U28" i="9"/>
  <c r="Y41" i="9"/>
  <c r="Z41" i="9"/>
  <c r="AA41" i="9"/>
  <c r="T94" i="9"/>
  <c r="T24" i="9"/>
  <c r="K34" i="8"/>
  <c r="K37" i="8" s="1"/>
  <c r="AA9" i="9" l="1"/>
  <c r="W16" i="9"/>
  <c r="U92" i="8"/>
  <c r="U43" i="8"/>
  <c r="U40" i="8"/>
  <c r="AH37" i="8"/>
  <c r="Z9" i="9"/>
  <c r="AB9" i="9"/>
  <c r="X9" i="9"/>
  <c r="W17" i="9"/>
  <c r="Z23" i="9"/>
  <c r="Z27" i="9" s="1"/>
  <c r="Z17" i="9"/>
  <c r="AB23" i="9"/>
  <c r="AB24" i="9" s="1"/>
  <c r="AB17" i="9"/>
  <c r="X23" i="9"/>
  <c r="X24" i="9" s="1"/>
  <c r="X17" i="9"/>
  <c r="V17" i="9"/>
  <c r="V23" i="9"/>
  <c r="V27" i="9" s="1"/>
  <c r="V32" i="9" s="1"/>
  <c r="AC8" i="9"/>
  <c r="AC16" i="9" s="1"/>
  <c r="Y17" i="9"/>
  <c r="AA24" i="9"/>
  <c r="AA27" i="9"/>
  <c r="Y24" i="9"/>
  <c r="AD9" i="9"/>
  <c r="AD23" i="9"/>
  <c r="AD27" i="9" s="1"/>
  <c r="AD32" i="9" s="1"/>
  <c r="AH6" i="9"/>
  <c r="R47" i="9"/>
  <c r="U34" i="8"/>
  <c r="U37" i="8" s="1"/>
  <c r="U33" i="9"/>
  <c r="U95" i="9" a="1"/>
  <c r="U95" i="9" s="1"/>
  <c r="U96" i="9" a="1"/>
  <c r="U96" i="9" s="1"/>
  <c r="U92" i="9"/>
  <c r="U93" i="9"/>
  <c r="U39" i="9"/>
  <c r="Y28" i="9"/>
  <c r="T28" i="9"/>
  <c r="K109" i="8"/>
  <c r="K138" i="8" s="1"/>
  <c r="AA32" i="9" l="1"/>
  <c r="AA94" i="9" s="1"/>
  <c r="Z32" i="9"/>
  <c r="Z92" i="9" s="1"/>
  <c r="W23" i="9"/>
  <c r="W27" i="9" s="1"/>
  <c r="W32" i="9" s="1"/>
  <c r="Z24" i="9"/>
  <c r="AB27" i="9"/>
  <c r="AC9" i="9"/>
  <c r="V24" i="9"/>
  <c r="X27" i="9"/>
  <c r="X32" i="9" s="1"/>
  <c r="V28" i="9"/>
  <c r="V94" i="9"/>
  <c r="V39" i="9"/>
  <c r="V93" i="9"/>
  <c r="V96" i="9" a="1"/>
  <c r="V96" i="9" s="1"/>
  <c r="V92" i="9"/>
  <c r="V33" i="9"/>
  <c r="V95" i="9" a="1"/>
  <c r="V95" i="9" s="1"/>
  <c r="AD17" i="9"/>
  <c r="AC23" i="9"/>
  <c r="AC27" i="9" s="1"/>
  <c r="AC32" i="9" s="1"/>
  <c r="AC17" i="9"/>
  <c r="AH8" i="9"/>
  <c r="AF9" i="9"/>
  <c r="AH9" i="9" s="1"/>
  <c r="Z28" i="9"/>
  <c r="Z33" i="9"/>
  <c r="Z94" i="9"/>
  <c r="AA96" i="9" a="1"/>
  <c r="AA96" i="9" s="1"/>
  <c r="AA28" i="9"/>
  <c r="AD24" i="9"/>
  <c r="AB138" i="8"/>
  <c r="AC138" i="8"/>
  <c r="AA138" i="8"/>
  <c r="Y96" i="9" a="1"/>
  <c r="Y96" i="9" s="1"/>
  <c r="Y94" i="9"/>
  <c r="Y95" i="9" a="1"/>
  <c r="Y95" i="9" s="1"/>
  <c r="Y93" i="9"/>
  <c r="AA93" i="9"/>
  <c r="AA92" i="9"/>
  <c r="AA95" i="9" a="1"/>
  <c r="AA95" i="9" s="1"/>
  <c r="Y33" i="9"/>
  <c r="AA39" i="9"/>
  <c r="Y39" i="9"/>
  <c r="AA33" i="9"/>
  <c r="Y92" i="9"/>
  <c r="T33" i="9"/>
  <c r="T92" i="9"/>
  <c r="T93" i="9"/>
  <c r="T96" i="9" a="1"/>
  <c r="T96" i="9" s="1"/>
  <c r="T39" i="9"/>
  <c r="T95" i="9" a="1"/>
  <c r="T95" i="9" s="1"/>
  <c r="B89" i="8"/>
  <c r="B88" i="8"/>
  <c r="F89" i="8"/>
  <c r="E89" i="8"/>
  <c r="D89" i="8"/>
  <c r="C89" i="8"/>
  <c r="F88" i="8"/>
  <c r="E88" i="8"/>
  <c r="D88" i="8"/>
  <c r="C88" i="8"/>
  <c r="B47" i="8"/>
  <c r="B46" i="8"/>
  <c r="AG47" i="8"/>
  <c r="AF47" i="8"/>
  <c r="AE47" i="8"/>
  <c r="AC47" i="8"/>
  <c r="AB47" i="8"/>
  <c r="AA47" i="8"/>
  <c r="Y47" i="8"/>
  <c r="X47" i="8"/>
  <c r="W47" i="8"/>
  <c r="AD47" i="8"/>
  <c r="Z47" i="8"/>
  <c r="AG46" i="8"/>
  <c r="AF46" i="8"/>
  <c r="AE46" i="8"/>
  <c r="AD46" i="8"/>
  <c r="AC46" i="8"/>
  <c r="AB46" i="8"/>
  <c r="AA46" i="8"/>
  <c r="Z46" i="8"/>
  <c r="Y46" i="8"/>
  <c r="X46" i="8"/>
  <c r="W46" i="8"/>
  <c r="Z39" i="9" l="1"/>
  <c r="Z93" i="9"/>
  <c r="Z95" i="9" a="1"/>
  <c r="Z95" i="9" s="1"/>
  <c r="W24" i="9"/>
  <c r="Z96" i="9" a="1"/>
  <c r="Z96" i="9" s="1"/>
  <c r="AB32" i="9"/>
  <c r="AB95" i="9" s="1" a="1"/>
  <c r="AB95" i="9" s="1"/>
  <c r="AB28" i="9"/>
  <c r="X28" i="9"/>
  <c r="W28" i="9"/>
  <c r="AF23" i="9"/>
  <c r="AF27" i="9" s="1"/>
  <c r="AF32" i="9" s="1"/>
  <c r="AF17" i="9"/>
  <c r="AH17" i="9" s="1"/>
  <c r="AH16" i="9"/>
  <c r="AC24" i="9"/>
  <c r="X94" i="9"/>
  <c r="X39" i="9"/>
  <c r="X92" i="9"/>
  <c r="X95" i="9" a="1"/>
  <c r="X95" i="9" s="1"/>
  <c r="X96" i="9" a="1"/>
  <c r="X96" i="9" s="1"/>
  <c r="X33" i="9"/>
  <c r="X93" i="9"/>
  <c r="AD28" i="9"/>
  <c r="W88" i="8"/>
  <c r="Z88" i="8"/>
  <c r="AA88" i="8"/>
  <c r="AA89" i="8"/>
  <c r="AD88" i="8"/>
  <c r="AE88" i="8"/>
  <c r="Z89" i="8"/>
  <c r="AE89" i="8"/>
  <c r="AF89" i="8"/>
  <c r="AC88" i="8"/>
  <c r="X88" i="8"/>
  <c r="AF88" i="8"/>
  <c r="AC89" i="8"/>
  <c r="AB89" i="8"/>
  <c r="Y88" i="8"/>
  <c r="AG88" i="8"/>
  <c r="AD89" i="8"/>
  <c r="W89" i="8"/>
  <c r="X89" i="8"/>
  <c r="AB88" i="8"/>
  <c r="Y89" i="8"/>
  <c r="AG89" i="8"/>
  <c r="AB33" i="9" l="1"/>
  <c r="AB39" i="9"/>
  <c r="AB93" i="9"/>
  <c r="AB94" i="9"/>
  <c r="AB96" i="9" a="1"/>
  <c r="AB96" i="9" s="1"/>
  <c r="AB92" i="9"/>
  <c r="W94" i="9"/>
  <c r="W92" i="9"/>
  <c r="W93" i="9"/>
  <c r="W33" i="9"/>
  <c r="W96" i="9" a="1"/>
  <c r="W96" i="9" s="1"/>
  <c r="W95" i="9" a="1"/>
  <c r="W95" i="9" s="1"/>
  <c r="W39" i="9"/>
  <c r="AC28" i="9"/>
  <c r="AF24" i="9"/>
  <c r="AH24" i="9" s="1"/>
  <c r="AH23" i="9"/>
  <c r="AD94" i="9"/>
  <c r="AD33" i="9"/>
  <c r="AD96" i="9" a="1"/>
  <c r="AD96" i="9" s="1"/>
  <c r="AD39" i="9"/>
  <c r="AD95" i="9" a="1"/>
  <c r="AD95" i="9" s="1"/>
  <c r="AD92" i="9"/>
  <c r="AD93" i="9"/>
  <c r="AH27" i="9" l="1"/>
  <c r="AF28" i="9"/>
  <c r="AH28" i="9" s="1"/>
  <c r="AC94" i="9"/>
  <c r="AC93" i="9"/>
  <c r="AC39" i="9"/>
  <c r="AC95" i="9" a="1"/>
  <c r="AC95" i="9" s="1"/>
  <c r="AC33" i="9"/>
  <c r="AC96" i="9" a="1"/>
  <c r="AC96" i="9" s="1"/>
  <c r="AC92" i="9"/>
  <c r="AF94" i="9" l="1"/>
  <c r="AH32" i="9"/>
  <c r="AF95" i="9" a="1"/>
  <c r="AF95" i="9" s="1"/>
  <c r="AF33" i="9"/>
  <c r="AH33" i="9" s="1"/>
  <c r="AF93" i="9"/>
  <c r="AF92" i="9"/>
  <c r="AF96" i="9" a="1"/>
  <c r="AF96" i="9" s="1"/>
  <c r="AF39" i="9"/>
  <c r="AH39" i="9" s="1"/>
  <c r="E11" i="10" l="1"/>
  <c r="D11" i="10"/>
  <c r="C11" i="10"/>
  <c r="Q11" i="10"/>
  <c r="Q12" i="10" s="1"/>
  <c r="P11" i="10"/>
  <c r="O11" i="10"/>
  <c r="N11" i="10"/>
  <c r="M11" i="10"/>
  <c r="M12" i="10" s="1"/>
  <c r="L11" i="10"/>
  <c r="L12" i="10" s="1"/>
  <c r="K11" i="10"/>
  <c r="K12" i="10" s="1"/>
  <c r="J11" i="10"/>
  <c r="J12" i="10" s="1"/>
  <c r="I11" i="10"/>
  <c r="I12" i="10" s="1"/>
  <c r="H11" i="10"/>
  <c r="H12" i="10" s="1"/>
  <c r="F11" i="10"/>
  <c r="O81" i="8"/>
  <c r="Q81" i="8"/>
  <c r="AE87" i="9" l="1"/>
  <c r="AE88" i="9" s="1"/>
  <c r="AC87" i="9"/>
  <c r="P54" i="8"/>
  <c r="P61" i="8" s="1"/>
  <c r="P81" i="8"/>
  <c r="AC88" i="9" l="1"/>
  <c r="AC97" i="9" s="1"/>
  <c r="R9" i="9"/>
  <c r="R10" i="9"/>
  <c r="AD87" i="9"/>
  <c r="AD60" i="9"/>
  <c r="AE97" i="9"/>
  <c r="AD88" i="9" l="1"/>
  <c r="AD97" i="9" s="1"/>
  <c r="AB11" i="8"/>
  <c r="AB17" i="8" s="1"/>
  <c r="E54" i="8"/>
  <c r="E61" i="8" s="1"/>
  <c r="D54" i="8"/>
  <c r="D61" i="8" s="1"/>
  <c r="C54" i="8"/>
  <c r="C61" i="8" s="1"/>
  <c r="F54" i="8"/>
  <c r="F61" i="8" s="1"/>
  <c r="W68" i="8" l="1"/>
  <c r="W73" i="8" s="1"/>
  <c r="W54" i="8"/>
  <c r="W61" i="8" s="1"/>
  <c r="W81" i="8"/>
  <c r="Y81" i="8"/>
  <c r="AC11" i="8"/>
  <c r="AC17" i="8" s="1"/>
  <c r="AC54" i="8"/>
  <c r="AC61" i="8" s="1"/>
  <c r="AC81" i="8"/>
  <c r="Z81" i="8"/>
  <c r="AA54" i="8"/>
  <c r="AA61" i="8" s="1"/>
  <c r="AC68" i="8"/>
  <c r="AC73" i="8" s="1"/>
  <c r="AB68" i="8"/>
  <c r="AB73" i="8" s="1"/>
  <c r="X68" i="8"/>
  <c r="X73" i="8" s="1"/>
  <c r="Z11" i="8"/>
  <c r="Z17" i="8" s="1"/>
  <c r="X54" i="8"/>
  <c r="X61" i="8" s="1"/>
  <c r="AB54" i="8"/>
  <c r="AB61" i="8" s="1"/>
  <c r="AA81" i="8"/>
  <c r="AA11" i="8"/>
  <c r="AA17" i="8" s="1"/>
  <c r="Y54" i="8"/>
  <c r="Y61" i="8" s="1"/>
  <c r="Y68" i="8"/>
  <c r="Y73" i="8" s="1"/>
  <c r="AA68" i="8"/>
  <c r="AA73" i="8" s="1"/>
  <c r="AB81" i="8"/>
  <c r="X81" i="8"/>
  <c r="AE81" i="8"/>
  <c r="AE54" i="8"/>
  <c r="AE61" i="8" s="1"/>
  <c r="AF81" i="8"/>
  <c r="AE11" i="8"/>
  <c r="AE17" i="8" s="1"/>
  <c r="AE73" i="8"/>
  <c r="AF73" i="8"/>
  <c r="AD11" i="8"/>
  <c r="AD17" i="8" s="1"/>
  <c r="AF11" i="8"/>
  <c r="AF17" i="8" s="1"/>
  <c r="AF54" i="8"/>
  <c r="AF61" i="8" s="1"/>
  <c r="AJ11" i="8" l="1"/>
  <c r="AB24" i="8"/>
  <c r="AB29" i="8" s="1"/>
  <c r="AB33" i="8" s="1"/>
  <c r="AB36" i="8" s="1"/>
  <c r="AE23" i="9"/>
  <c r="AE27" i="9" s="1"/>
  <c r="AE32" i="9" s="1"/>
  <c r="V11" i="10"/>
  <c r="V12" i="10" s="1"/>
  <c r="W11" i="10"/>
  <c r="W12" i="10" s="1"/>
  <c r="W82" i="8"/>
  <c r="W84" i="8" s="1"/>
  <c r="AC82" i="8"/>
  <c r="AC84" i="8" s="1"/>
  <c r="AA82" i="8"/>
  <c r="AA84" i="8" s="1"/>
  <c r="Y82" i="8"/>
  <c r="Y84" i="8" s="1"/>
  <c r="AB82" i="8"/>
  <c r="AB84" i="8" s="1"/>
  <c r="X82" i="8"/>
  <c r="X84" i="8" s="1"/>
  <c r="AB18" i="8"/>
  <c r="AE82" i="8"/>
  <c r="AE84" i="8" s="1"/>
  <c r="AJ17" i="8"/>
  <c r="AF82" i="8"/>
  <c r="AF84" i="8" s="1"/>
  <c r="AB43" i="8" l="1"/>
  <c r="AB40" i="8"/>
  <c r="AB92" i="8"/>
  <c r="AD24" i="8"/>
  <c r="Z24" i="8"/>
  <c r="Z29" i="8" s="1"/>
  <c r="Z33" i="8" s="1"/>
  <c r="Z36" i="8" s="1"/>
  <c r="AE24" i="8"/>
  <c r="AE29" i="8" s="1"/>
  <c r="AE33" i="8" s="1"/>
  <c r="AE36" i="8" s="1"/>
  <c r="AA24" i="8"/>
  <c r="AA25" i="8" s="1"/>
  <c r="AC24" i="8"/>
  <c r="AC29" i="8" s="1"/>
  <c r="AC33" i="8" s="1"/>
  <c r="AC36" i="8" s="1"/>
  <c r="AB25" i="8"/>
  <c r="AF24" i="8"/>
  <c r="AF25" i="8" s="1"/>
  <c r="AE18" i="8"/>
  <c r="AD18" i="8"/>
  <c r="AJ18" i="8" s="1"/>
  <c r="AA18" i="8"/>
  <c r="AF18" i="8"/>
  <c r="AC18" i="8"/>
  <c r="AE17" i="9"/>
  <c r="T11" i="10"/>
  <c r="T12" i="10" s="1"/>
  <c r="U11" i="10"/>
  <c r="U12" i="10" s="1"/>
  <c r="X11" i="10"/>
  <c r="X12" i="10" s="1"/>
  <c r="Z11" i="10"/>
  <c r="Z12" i="10" s="1"/>
  <c r="AB30" i="8"/>
  <c r="Z18" i="8"/>
  <c r="Z92" i="8" l="1"/>
  <c r="Z43" i="8"/>
  <c r="Z40" i="8"/>
  <c r="AC40" i="8"/>
  <c r="AC92" i="8"/>
  <c r="AC43" i="8"/>
  <c r="AE40" i="8"/>
  <c r="AE92" i="8"/>
  <c r="AE43" i="8"/>
  <c r="AD29" i="8"/>
  <c r="AD30" i="8" s="1"/>
  <c r="AJ30" i="8" s="1"/>
  <c r="AJ24" i="8"/>
  <c r="Z25" i="8"/>
  <c r="AE25" i="8"/>
  <c r="AD25" i="8"/>
  <c r="AJ25" i="8" s="1"/>
  <c r="AC25" i="8"/>
  <c r="AA29" i="8"/>
  <c r="AA33" i="8" s="1"/>
  <c r="AA36" i="8" s="1"/>
  <c r="AF29" i="8"/>
  <c r="AF33" i="8" s="1"/>
  <c r="AF36" i="8" s="1"/>
  <c r="Z30" i="8"/>
  <c r="AE30" i="8"/>
  <c r="AE94" i="9"/>
  <c r="AE24" i="9"/>
  <c r="Y11" i="10"/>
  <c r="AB11" i="10"/>
  <c r="AB9" i="10"/>
  <c r="AB34" i="8"/>
  <c r="AB37" i="8" s="1"/>
  <c r="Z34" i="8"/>
  <c r="Z37" i="8" s="1"/>
  <c r="AC30" i="8"/>
  <c r="AA40" i="8" l="1"/>
  <c r="AA92" i="8"/>
  <c r="AA43" i="8"/>
  <c r="AF40" i="8"/>
  <c r="AF92" i="8"/>
  <c r="AF43" i="8"/>
  <c r="AA34" i="8"/>
  <c r="AA37" i="8" s="1"/>
  <c r="AD33" i="8"/>
  <c r="AD36" i="8" s="1"/>
  <c r="AJ29" i="8"/>
  <c r="AA30" i="8"/>
  <c r="AF30" i="8"/>
  <c r="AE28" i="9"/>
  <c r="AC34" i="8"/>
  <c r="AC37" i="8" s="1"/>
  <c r="AE34" i="8"/>
  <c r="AE37" i="8" s="1"/>
  <c r="AF34" i="8"/>
  <c r="AF37" i="8" s="1"/>
  <c r="AD40" i="8" l="1"/>
  <c r="AJ40" i="8" s="1"/>
  <c r="AD92" i="8"/>
  <c r="AD43" i="8"/>
  <c r="AJ43" i="8" s="1"/>
  <c r="AJ33" i="8"/>
  <c r="AD34" i="8"/>
  <c r="AE96" i="9" a="1"/>
  <c r="AE96" i="9" s="1"/>
  <c r="AE33" i="9"/>
  <c r="AE95" i="9" a="1"/>
  <c r="AE95" i="9" s="1"/>
  <c r="AE92" i="9"/>
  <c r="AE93" i="9"/>
  <c r="AE39" i="9"/>
  <c r="AJ34" i="8" l="1"/>
  <c r="Z68" i="8"/>
  <c r="AD73" i="8"/>
  <c r="AJ73" i="8" s="1"/>
  <c r="AD37" i="8" l="1"/>
  <c r="AJ37" i="8" s="1"/>
  <c r="AJ36" i="8"/>
  <c r="Z73" i="8"/>
  <c r="Z82" i="8" s="1"/>
  <c r="N11" i="8" l="1"/>
  <c r="N17" i="8" s="1"/>
  <c r="F11" i="8"/>
  <c r="F17" i="8" s="1"/>
  <c r="E11" i="8"/>
  <c r="E17" i="8" s="1"/>
  <c r="D11" i="8"/>
  <c r="D17" i="8" s="1"/>
  <c r="C11" i="8"/>
  <c r="C17" i="8" s="1"/>
  <c r="F81" i="8"/>
  <c r="E81" i="8"/>
  <c r="D81" i="8"/>
  <c r="C81" i="8"/>
  <c r="Q73" i="8"/>
  <c r="O73" i="8"/>
  <c r="AG11" i="8"/>
  <c r="AG17" i="8" s="1"/>
  <c r="P88" i="9"/>
  <c r="P97" i="9" s="1"/>
  <c r="H88" i="9"/>
  <c r="H97" i="9" s="1"/>
  <c r="Y12" i="10" l="1"/>
  <c r="D12" i="10"/>
  <c r="N12" i="10"/>
  <c r="F12" i="10"/>
  <c r="E12" i="10"/>
  <c r="C12" i="10"/>
  <c r="C73" i="8"/>
  <c r="E73" i="8"/>
  <c r="D73" i="8"/>
  <c r="I88" i="9"/>
  <c r="I97" i="9" s="1"/>
  <c r="Q88" i="9"/>
  <c r="Q97" i="9" s="1"/>
  <c r="D88" i="9"/>
  <c r="D97" i="9" s="1"/>
  <c r="J88" i="9"/>
  <c r="J97" i="9" s="1"/>
  <c r="AC61" i="9"/>
  <c r="AE61" i="9"/>
  <c r="F88" i="9"/>
  <c r="F97" i="9" s="1"/>
  <c r="J23" i="9"/>
  <c r="J27" i="9" s="1"/>
  <c r="J32" i="9" s="1"/>
  <c r="P9" i="9"/>
  <c r="E88" i="9"/>
  <c r="E97" i="9" s="1"/>
  <c r="P10" i="9"/>
  <c r="AD81" i="8"/>
  <c r="E24" i="8"/>
  <c r="D24" i="8"/>
  <c r="N24" i="8"/>
  <c r="F24" i="8"/>
  <c r="Q24" i="8"/>
  <c r="C24" i="8"/>
  <c r="P73" i="8"/>
  <c r="AG73" i="8"/>
  <c r="AG81" i="8"/>
  <c r="F23" i="9"/>
  <c r="F27" i="9" s="1"/>
  <c r="F32" i="9" s="1"/>
  <c r="F9" i="9"/>
  <c r="D23" i="9"/>
  <c r="D27" i="9" s="1"/>
  <c r="D32" i="9" s="1"/>
  <c r="D9" i="9"/>
  <c r="E23" i="9"/>
  <c r="E27" i="9" s="1"/>
  <c r="E32" i="9" s="1"/>
  <c r="E9" i="9"/>
  <c r="L88" i="9"/>
  <c r="L97" i="9" s="1"/>
  <c r="C23" i="9"/>
  <c r="C27" i="9" s="1"/>
  <c r="C32" i="9" s="1"/>
  <c r="M88" i="9"/>
  <c r="M97" i="9" s="1"/>
  <c r="N88" i="9"/>
  <c r="N97" i="9" s="1"/>
  <c r="C88" i="9"/>
  <c r="C97" i="9" s="1"/>
  <c r="AD82" i="8" l="1"/>
  <c r="AJ82" i="8" s="1"/>
  <c r="AJ81" i="8"/>
  <c r="D82" i="8"/>
  <c r="D84" i="8" s="1"/>
  <c r="Q29" i="8"/>
  <c r="Q33" i="8" s="1"/>
  <c r="Q36" i="8" s="1"/>
  <c r="F29" i="8"/>
  <c r="F33" i="8" s="1"/>
  <c r="F36" i="8" s="1"/>
  <c r="N25" i="8"/>
  <c r="C29" i="8"/>
  <c r="C33" i="8" s="1"/>
  <c r="C36" i="8" s="1"/>
  <c r="D29" i="8"/>
  <c r="D33" i="8" s="1"/>
  <c r="D36" i="8" s="1"/>
  <c r="E25" i="8"/>
  <c r="C82" i="8"/>
  <c r="C84" i="8" s="1"/>
  <c r="N18" i="8"/>
  <c r="C18" i="8"/>
  <c r="O88" i="9"/>
  <c r="O97" i="9" s="1"/>
  <c r="O82" i="8"/>
  <c r="O84" i="8" s="1"/>
  <c r="AD54" i="8"/>
  <c r="AJ54" i="8" s="1"/>
  <c r="Z54" i="8"/>
  <c r="Q82" i="8"/>
  <c r="Q84" i="8" s="1"/>
  <c r="E82" i="8"/>
  <c r="E84" i="8" s="1"/>
  <c r="F82" i="8"/>
  <c r="F84" i="8" s="1"/>
  <c r="AD61" i="9"/>
  <c r="K88" i="9"/>
  <c r="K97" i="9" s="1"/>
  <c r="K10" i="9"/>
  <c r="O9" i="9"/>
  <c r="L9" i="9"/>
  <c r="M10" i="9"/>
  <c r="O23" i="9"/>
  <c r="O27" i="9" s="1"/>
  <c r="O32" i="9" s="1"/>
  <c r="J10" i="9"/>
  <c r="L10" i="9"/>
  <c r="I10" i="9"/>
  <c r="M23" i="9"/>
  <c r="M27" i="9" s="1"/>
  <c r="M32" i="9" s="1"/>
  <c r="K23" i="9"/>
  <c r="K27" i="9" s="1"/>
  <c r="K32" i="9" s="1"/>
  <c r="M9" i="9"/>
  <c r="AG54" i="8"/>
  <c r="AG61" i="8" s="1"/>
  <c r="E18" i="8"/>
  <c r="F18" i="8"/>
  <c r="D18" i="8"/>
  <c r="AG24" i="8"/>
  <c r="Q18" i="8"/>
  <c r="J17" i="9"/>
  <c r="E17" i="9"/>
  <c r="N9" i="9"/>
  <c r="N23" i="9"/>
  <c r="N27" i="9" s="1"/>
  <c r="N32" i="9" s="1"/>
  <c r="N10" i="9"/>
  <c r="P23" i="9"/>
  <c r="P27" i="9" s="1"/>
  <c r="P32" i="9" s="1"/>
  <c r="AE9" i="9"/>
  <c r="I23" i="9"/>
  <c r="I27" i="9" s="1"/>
  <c r="I32" i="9" s="1"/>
  <c r="O10" i="9"/>
  <c r="C17" i="9"/>
  <c r="Q9" i="9"/>
  <c r="Q23" i="9"/>
  <c r="Q27" i="9" s="1"/>
  <c r="Q32" i="9" s="1"/>
  <c r="Q10" i="9"/>
  <c r="H23" i="9"/>
  <c r="H27" i="9" s="1"/>
  <c r="H32" i="9" s="1"/>
  <c r="F17" i="9"/>
  <c r="L23" i="9"/>
  <c r="L27" i="9" s="1"/>
  <c r="L32" i="9" s="1"/>
  <c r="D17" i="9"/>
  <c r="D43" i="8" l="1"/>
  <c r="D92" i="8"/>
  <c r="D40" i="8"/>
  <c r="F92" i="8"/>
  <c r="F40" i="8"/>
  <c r="F43" i="8"/>
  <c r="Q40" i="8"/>
  <c r="Q92" i="8"/>
  <c r="Q43" i="8"/>
  <c r="C40" i="8"/>
  <c r="C43" i="8"/>
  <c r="C92" i="8"/>
  <c r="F109" i="8"/>
  <c r="F138" i="8" s="1"/>
  <c r="M17" i="9"/>
  <c r="M24" i="9"/>
  <c r="Q25" i="8"/>
  <c r="F25" i="8"/>
  <c r="C25" i="8"/>
  <c r="E29" i="8"/>
  <c r="E33" i="8" s="1"/>
  <c r="E36" i="8" s="1"/>
  <c r="N29" i="8"/>
  <c r="N33" i="8" s="1"/>
  <c r="N36" i="8" s="1"/>
  <c r="N92" i="8" s="1"/>
  <c r="N109" i="8" s="1"/>
  <c r="D25" i="8"/>
  <c r="Z61" i="8"/>
  <c r="Z84" i="8" s="1"/>
  <c r="AD61" i="8"/>
  <c r="AG29" i="8"/>
  <c r="AG33" i="8" s="1"/>
  <c r="AG36" i="8" s="1"/>
  <c r="D30" i="8"/>
  <c r="Q30" i="8"/>
  <c r="AG25" i="8"/>
  <c r="F30" i="8"/>
  <c r="AG82" i="8"/>
  <c r="P82" i="8"/>
  <c r="P84" i="8" s="1"/>
  <c r="O17" i="9"/>
  <c r="K17" i="9"/>
  <c r="F34" i="8"/>
  <c r="F37" i="8" s="1"/>
  <c r="C30" i="8"/>
  <c r="AG18" i="8"/>
  <c r="D94" i="9"/>
  <c r="D24" i="9"/>
  <c r="C94" i="9"/>
  <c r="C24" i="9"/>
  <c r="L17" i="9"/>
  <c r="E94" i="9"/>
  <c r="E24" i="9"/>
  <c r="J24" i="9"/>
  <c r="Q17" i="9"/>
  <c r="N17" i="9"/>
  <c r="O24" i="9"/>
  <c r="K24" i="9"/>
  <c r="F24" i="9"/>
  <c r="F94" i="9"/>
  <c r="P17" i="9"/>
  <c r="H17" i="9"/>
  <c r="I17" i="9"/>
  <c r="N40" i="8" l="1"/>
  <c r="N138" i="8"/>
  <c r="N43" i="8"/>
  <c r="E43" i="8"/>
  <c r="E92" i="8"/>
  <c r="E109" i="8" s="1"/>
  <c r="E138" i="8" s="1"/>
  <c r="E40" i="8"/>
  <c r="AG92" i="8"/>
  <c r="AG43" i="8"/>
  <c r="AG40" i="8"/>
  <c r="AD84" i="8"/>
  <c r="AJ61" i="8"/>
  <c r="E30" i="8"/>
  <c r="E34" i="8"/>
  <c r="E37" i="8" s="1"/>
  <c r="N30" i="8"/>
  <c r="D34" i="8"/>
  <c r="D37" i="8" s="1"/>
  <c r="Q109" i="8"/>
  <c r="Q138" i="8" s="1"/>
  <c r="Q34" i="8"/>
  <c r="Q37" i="8" s="1"/>
  <c r="C34" i="8"/>
  <c r="C37" i="8" s="1"/>
  <c r="AG84" i="8"/>
  <c r="AG30" i="8"/>
  <c r="N34" i="8"/>
  <c r="N37" i="8" s="1"/>
  <c r="F28" i="9"/>
  <c r="I24" i="9"/>
  <c r="O28" i="9"/>
  <c r="E28" i="9"/>
  <c r="C28" i="9"/>
  <c r="J28" i="9"/>
  <c r="N24" i="9"/>
  <c r="D28" i="9"/>
  <c r="P24" i="9"/>
  <c r="L24" i="9"/>
  <c r="H24" i="9"/>
  <c r="K28" i="9"/>
  <c r="Q24" i="9"/>
  <c r="AD109" i="8" l="1"/>
  <c r="R96" i="9" a="1"/>
  <c r="R96" i="9" s="1"/>
  <c r="R92" i="9"/>
  <c r="R93" i="9"/>
  <c r="R94" i="9" a="1"/>
  <c r="R94" i="9" s="1"/>
  <c r="R95" i="9" a="1"/>
  <c r="R95" i="9" s="1"/>
  <c r="AD138" i="8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D109" i="8"/>
  <c r="D138" i="8" s="1"/>
  <c r="C109" i="8"/>
  <c r="C138" i="8" s="1"/>
  <c r="AC109" i="8"/>
  <c r="M28" i="9"/>
  <c r="H28" i="9"/>
  <c r="L28" i="9"/>
  <c r="M96" i="9" a="1"/>
  <c r="M96" i="9" s="1"/>
  <c r="I28" i="9"/>
  <c r="C95" i="9" a="1"/>
  <c r="C95" i="9" s="1"/>
  <c r="C96" i="9" a="1"/>
  <c r="C96" i="9" s="1"/>
  <c r="C39" i="9"/>
  <c r="C33" i="9"/>
  <c r="C93" i="9"/>
  <c r="C92" i="9"/>
  <c r="E96" i="9" a="1"/>
  <c r="E96" i="9" s="1"/>
  <c r="E95" i="9" a="1"/>
  <c r="E95" i="9" s="1"/>
  <c r="E33" i="9"/>
  <c r="E39" i="9"/>
  <c r="E46" i="9" s="1"/>
  <c r="E92" i="9"/>
  <c r="E93" i="9"/>
  <c r="F95" i="9" a="1"/>
  <c r="F95" i="9" s="1"/>
  <c r="F96" i="9" a="1"/>
  <c r="F96" i="9" s="1"/>
  <c r="F33" i="9"/>
  <c r="F93" i="9"/>
  <c r="F39" i="9"/>
  <c r="F46" i="9" s="1"/>
  <c r="F92" i="9"/>
  <c r="M33" i="9"/>
  <c r="M39" i="9"/>
  <c r="M46" i="9" s="1"/>
  <c r="Q28" i="9"/>
  <c r="P28" i="9"/>
  <c r="K39" i="9"/>
  <c r="K46" i="9" s="1"/>
  <c r="K33" i="9"/>
  <c r="J39" i="9"/>
  <c r="J46" i="9" s="1"/>
  <c r="J33" i="9"/>
  <c r="N28" i="9"/>
  <c r="D96" i="9" a="1"/>
  <c r="D96" i="9" s="1"/>
  <c r="D39" i="9"/>
  <c r="D46" i="9" s="1"/>
  <c r="D33" i="9"/>
  <c r="D95" i="9" a="1"/>
  <c r="D95" i="9" s="1"/>
  <c r="D93" i="9"/>
  <c r="D92" i="9"/>
  <c r="O33" i="9"/>
  <c r="O39" i="9"/>
  <c r="O46" i="9" s="1"/>
  <c r="V109" i="8" l="1"/>
  <c r="U109" i="8"/>
  <c r="T109" i="8"/>
  <c r="Z109" i="8"/>
  <c r="AA109" i="8"/>
  <c r="AB109" i="8"/>
  <c r="AG34" i="8"/>
  <c r="AG37" i="8" s="1"/>
  <c r="M95" i="9" a="1"/>
  <c r="M95" i="9" s="1"/>
  <c r="C47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39" i="9"/>
  <c r="L46" i="9" s="1"/>
  <c r="O95" i="9" a="1"/>
  <c r="O95" i="9" s="1"/>
  <c r="O96" i="9" a="1"/>
  <c r="O96" i="9" s="1"/>
  <c r="L33" i="9"/>
  <c r="O92" i="9"/>
  <c r="O93" i="9"/>
  <c r="M93" i="9"/>
  <c r="N92" i="9"/>
  <c r="F47" i="9"/>
  <c r="M92" i="9"/>
  <c r="J95" i="9" a="1"/>
  <c r="J95" i="9" s="1"/>
  <c r="J96" i="9" a="1"/>
  <c r="J96" i="9" s="1"/>
  <c r="J92" i="9"/>
  <c r="J93" i="9"/>
  <c r="E47" i="9"/>
  <c r="H92" i="9"/>
  <c r="P39" i="9"/>
  <c r="P46" i="9" s="1"/>
  <c r="P33" i="9"/>
  <c r="L96" i="9" a="1"/>
  <c r="L96" i="9" s="1"/>
  <c r="I39" i="9"/>
  <c r="I46" i="9" s="1"/>
  <c r="I33" i="9"/>
  <c r="L95" i="9" a="1"/>
  <c r="L95" i="9" s="1"/>
  <c r="L92" i="9"/>
  <c r="L93" i="9"/>
  <c r="N96" i="9" a="1"/>
  <c r="N96" i="9" s="1"/>
  <c r="P92" i="9"/>
  <c r="H96" i="9" a="1"/>
  <c r="H96" i="9" s="1"/>
  <c r="D47" i="9"/>
  <c r="Q96" i="9" a="1"/>
  <c r="Q96" i="9" s="1"/>
  <c r="Q95" i="9" a="1"/>
  <c r="Q95" i="9" s="1"/>
  <c r="Q92" i="9"/>
  <c r="N33" i="9"/>
  <c r="N39" i="9"/>
  <c r="N46" i="9" s="1"/>
  <c r="Q93" i="9"/>
  <c r="O47" i="9"/>
  <c r="P96" i="9" a="1"/>
  <c r="P96" i="9" s="1"/>
  <c r="K95" i="9" a="1"/>
  <c r="K95" i="9" s="1"/>
  <c r="K96" i="9" a="1"/>
  <c r="K96" i="9" s="1"/>
  <c r="H39" i="9"/>
  <c r="H33" i="9"/>
  <c r="K92" i="9"/>
  <c r="K93" i="9"/>
  <c r="N93" i="9"/>
  <c r="Q33" i="9"/>
  <c r="Q39" i="9"/>
  <c r="Q46" i="9" s="1"/>
  <c r="H93" i="9"/>
  <c r="AF46" i="9" l="1"/>
  <c r="AF47" i="9" s="1"/>
  <c r="V138" i="8"/>
  <c r="T138" i="8"/>
  <c r="U138" i="8"/>
  <c r="Z138" i="8"/>
  <c r="X138" i="8"/>
  <c r="Y138" i="8"/>
  <c r="W138" i="8"/>
  <c r="Z46" i="9"/>
  <c r="Z47" i="9" s="1"/>
  <c r="V46" i="9"/>
  <c r="V47" i="9" s="1"/>
  <c r="AC46" i="9"/>
  <c r="AC47" i="9" s="1"/>
  <c r="AB46" i="9"/>
  <c r="AB47" i="9" s="1"/>
  <c r="Y46" i="9"/>
  <c r="Y47" i="9" s="1"/>
  <c r="AE46" i="9"/>
  <c r="AE47" i="9" s="1"/>
  <c r="X46" i="9"/>
  <c r="X47" i="9" s="1"/>
  <c r="AA46" i="9"/>
  <c r="AA47" i="9" s="1"/>
  <c r="W46" i="9"/>
  <c r="W47" i="9" s="1"/>
  <c r="AD46" i="9"/>
  <c r="AD47" i="9" s="1"/>
  <c r="P47" i="9"/>
  <c r="Q47" i="9"/>
  <c r="N47" i="9"/>
  <c r="M47" i="9"/>
  <c r="H47" i="9"/>
  <c r="J47" i="9"/>
  <c r="K47" i="9"/>
  <c r="U46" i="9" l="1"/>
  <c r="U47" i="9" s="1"/>
  <c r="T46" i="9"/>
  <c r="T47" i="9" s="1"/>
  <c r="I47" i="9"/>
  <c r="L47" i="9"/>
  <c r="C134" i="8" l="1"/>
  <c r="C139" i="8" s="1"/>
  <c r="C141" i="8" s="1"/>
  <c r="D132" i="8" l="1"/>
  <c r="D134" i="8" s="1"/>
  <c r="D139" i="8" s="1"/>
  <c r="D141" i="8" s="1"/>
  <c r="E132" i="8" l="1"/>
  <c r="E134" i="8" s="1"/>
  <c r="E139" i="8" l="1"/>
  <c r="E141" i="8" s="1"/>
  <c r="H132" i="8"/>
  <c r="F132" i="8" l="1"/>
  <c r="F134" i="8"/>
  <c r="F139" i="8" s="1"/>
  <c r="F141" i="8" s="1"/>
  <c r="T132" i="8"/>
  <c r="T134" i="8" s="1"/>
  <c r="T139" i="8" s="1"/>
  <c r="T141" i="8" s="1"/>
  <c r="U132" i="8" l="1"/>
  <c r="U134" i="8" s="1"/>
  <c r="U139" i="8" s="1"/>
  <c r="U141" i="8" s="1"/>
  <c r="V132" i="8" l="1"/>
  <c r="V134" i="8" s="1"/>
  <c r="V139" i="8" s="1"/>
  <c r="V141" i="8" s="1"/>
  <c r="W132" i="8" l="1"/>
  <c r="X132" i="8" l="1"/>
  <c r="Y132" i="8" l="1"/>
  <c r="Z132" i="8" l="1"/>
  <c r="AA132" i="8" l="1"/>
  <c r="W134" i="8"/>
  <c r="H134" i="8"/>
  <c r="H139" i="8" s="1"/>
  <c r="H141" i="8" s="1"/>
  <c r="AB132" i="8" l="1"/>
  <c r="I132" i="8"/>
  <c r="I134" i="8" s="1"/>
  <c r="I139" i="8" s="1"/>
  <c r="I141" i="8" s="1"/>
  <c r="AC132" i="8" l="1"/>
  <c r="J132" i="8"/>
  <c r="J134" i="8" s="1"/>
  <c r="J139" i="8" s="1"/>
  <c r="J141" i="8" s="1"/>
  <c r="AD132" i="8" l="1"/>
  <c r="K132" i="8"/>
  <c r="K134" i="8" s="1"/>
  <c r="K139" i="8" s="1"/>
  <c r="K141" i="8" s="1"/>
  <c r="AE132" i="8" l="1"/>
  <c r="L132" i="8"/>
  <c r="L134" i="8" s="1"/>
  <c r="L139" i="8" s="1"/>
  <c r="L141" i="8" s="1"/>
  <c r="AF132" i="8" l="1"/>
  <c r="AB134" i="8"/>
  <c r="AB139" i="8" s="1"/>
  <c r="AB141" i="8" s="1"/>
  <c r="M132" i="8"/>
  <c r="M134" i="8" s="1"/>
  <c r="M139" i="8" s="1"/>
  <c r="M141" i="8" s="1"/>
  <c r="AG132" i="8" l="1"/>
  <c r="AC134" i="8"/>
  <c r="AC139" i="8" s="1"/>
  <c r="AC141" i="8" s="1"/>
  <c r="N132" i="8"/>
  <c r="N134" i="8" s="1"/>
  <c r="N139" i="8" s="1"/>
  <c r="N141" i="8" s="1"/>
  <c r="AH132" i="8" l="1"/>
  <c r="AD134" i="8"/>
  <c r="AD139" i="8" s="1"/>
  <c r="AD141" i="8" s="1"/>
  <c r="X134" i="8"/>
  <c r="O132" i="8"/>
  <c r="O134" i="8" s="1"/>
  <c r="P11" i="8" l="1"/>
  <c r="P17" i="8" s="1"/>
  <c r="P24" i="8" l="1"/>
  <c r="P12" i="10"/>
  <c r="P29" i="8" l="1"/>
  <c r="P33" i="8" s="1"/>
  <c r="P36" i="8" s="1"/>
  <c r="P18" i="8"/>
  <c r="P40" i="8" l="1"/>
  <c r="P92" i="8"/>
  <c r="P43" i="8"/>
  <c r="P25" i="8"/>
  <c r="P30" i="8"/>
  <c r="P34" i="8" l="1"/>
  <c r="P37" i="8" s="1"/>
  <c r="P109" i="8" l="1"/>
  <c r="P138" i="8" s="1"/>
  <c r="W11" i="8"/>
  <c r="W17" i="8" s="1"/>
  <c r="Y11" i="8"/>
  <c r="Y17" i="8" s="1"/>
  <c r="O11" i="8"/>
  <c r="O17" i="8" s="1"/>
  <c r="X11" i="8"/>
  <c r="X17" i="8" s="1"/>
  <c r="O24" i="8" l="1"/>
  <c r="O12" i="10"/>
  <c r="Y24" i="8"/>
  <c r="W24" i="8"/>
  <c r="O18" i="8" l="1"/>
  <c r="O29" i="8"/>
  <c r="O33" i="8" s="1"/>
  <c r="O36" i="8" s="1"/>
  <c r="X24" i="8"/>
  <c r="X25" i="8" s="1"/>
  <c r="X18" i="8"/>
  <c r="Y29" i="8"/>
  <c r="Y33" i="8" s="1"/>
  <c r="Y36" i="8" s="1"/>
  <c r="Y18" i="8"/>
  <c r="W18" i="8"/>
  <c r="W29" i="8"/>
  <c r="W33" i="8" s="1"/>
  <c r="W36" i="8" s="1"/>
  <c r="W40" i="8" l="1"/>
  <c r="W92" i="8"/>
  <c r="W43" i="8"/>
  <c r="Y92" i="8"/>
  <c r="Y109" i="8" s="1"/>
  <c r="Y43" i="8"/>
  <c r="Y40" i="8"/>
  <c r="O92" i="8"/>
  <c r="O40" i="8"/>
  <c r="O43" i="8"/>
  <c r="X29" i="8"/>
  <c r="X33" i="8" s="1"/>
  <c r="X36" i="8" s="1"/>
  <c r="O25" i="8"/>
  <c r="O30" i="8"/>
  <c r="W25" i="8"/>
  <c r="Y25" i="8"/>
  <c r="X92" i="8" l="1"/>
  <c r="X43" i="8"/>
  <c r="X40" i="8"/>
  <c r="X30" i="8"/>
  <c r="O34" i="8"/>
  <c r="O37" i="8" s="1"/>
  <c r="Y30" i="8"/>
  <c r="W30" i="8"/>
  <c r="X34" i="8"/>
  <c r="X37" i="8" s="1"/>
  <c r="AH109" i="8" l="1"/>
  <c r="AJ109" i="8" s="1"/>
  <c r="AJ92" i="8"/>
  <c r="AE109" i="8"/>
  <c r="AF109" i="8"/>
  <c r="X109" i="8"/>
  <c r="X139" i="8" s="1"/>
  <c r="X141" i="8" s="1"/>
  <c r="O109" i="8"/>
  <c r="O138" i="8" s="1"/>
  <c r="W109" i="8"/>
  <c r="W34" i="8"/>
  <c r="W37" i="8" s="1"/>
  <c r="Y34" i="8"/>
  <c r="Y37" i="8" s="1"/>
  <c r="O139" i="8" l="1"/>
  <c r="O141" i="8" s="1"/>
  <c r="AH138" i="8"/>
  <c r="AG138" i="8"/>
  <c r="AF138" i="8"/>
  <c r="AE138" i="8"/>
  <c r="W139" i="8"/>
  <c r="W141" i="8" s="1"/>
  <c r="AE134" i="8"/>
  <c r="AG109" i="8"/>
  <c r="Y134" i="8"/>
  <c r="Y139" i="8" s="1"/>
  <c r="Y141" i="8" s="1"/>
  <c r="P132" i="8" l="1"/>
  <c r="P134" i="8" s="1"/>
  <c r="P139" i="8" s="1"/>
  <c r="P141" i="8" s="1"/>
  <c r="AE139" i="8"/>
  <c r="AE141" i="8" s="1"/>
  <c r="AF134" i="8"/>
  <c r="AF139" i="8" s="1"/>
  <c r="AF141" i="8" s="1"/>
  <c r="Z134" i="8"/>
  <c r="Z139" i="8" s="1"/>
  <c r="Z141" i="8" s="1"/>
  <c r="Q132" i="8" l="1"/>
  <c r="Q134" i="8" s="1"/>
  <c r="Q139" i="8" s="1"/>
  <c r="Q141" i="8" s="1"/>
  <c r="AG134" i="8"/>
  <c r="AG139" i="8" s="1"/>
  <c r="AG141" i="8" s="1"/>
  <c r="AA134" i="8"/>
  <c r="AA139" i="8" s="1"/>
  <c r="AA141" i="8" s="1"/>
  <c r="R132" i="8" l="1"/>
  <c r="R134" i="8" s="1"/>
  <c r="R139" i="8" s="1"/>
  <c r="R141" i="8" s="1"/>
  <c r="AH134" i="8"/>
  <c r="AH139" i="8" s="1"/>
  <c r="AH14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<sst xmlns="http://schemas.openxmlformats.org/spreadsheetml/2006/main" count="336" uniqueCount="273">
  <si>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</si>
  <si>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</si>
  <si>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</si>
  <si>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</si>
  <si>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</si>
  <si>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</si>
  <si>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</si>
  <si>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</si>
  <si>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</si>
  <si>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</si>
  <si>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</si>
  <si>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</si>
  <si>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</si>
  <si>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</si>
  <si>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</si>
  <si>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</si>
  <si>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Other current assets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</si>
  <si>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</si>
  <si>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</si>
  <si>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</si>
  <si>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</si>
  <si>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</si>
  <si>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</si>
  <si>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</si>
  <si>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</si>
  <si>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</si>
  <si>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</si>
  <si>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</si>
  <si>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</si>
  <si>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</si>
  <si>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</si>
  <si>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</si>
  <si>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</si>
  <si>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</si>
  <si>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</si>
  <si>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</si>
  <si>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</si>
  <si>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</si>
  <si>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</si>
  <si>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</si>
  <si>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</si>
  <si>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</si>
  <si>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</si>
  <si>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</si>
  <si>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</si>
  <si>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</si>
  <si>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</si>
  <si>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</si>
  <si>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</si>
  <si>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</si>
  <si>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</si>
  <si>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</si>
  <si>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</si>
  <si>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</si>
  <si>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</si>
  <si>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</si>
  <si>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</si>
  <si>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</si>
  <si>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</si>
  <si>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</si>
  <si>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</si>
  <si>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</si>
  <si>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</si>
  <si>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</si>
  <si>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</si>
  <si>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 xml:space="preserve">Provision for taxes </t>
  </si>
  <si>
    <t>3Q25</t>
  </si>
  <si>
    <t>Net Margin (%)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</si>
  <si>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</si>
  <si>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</si>
  <si>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</si>
  <si>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</si>
  <si>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</si>
  <si>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</si>
  <si>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</si>
  <si>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</si>
  <si>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</si>
  <si>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</si>
  <si>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</si>
  <si>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</si>
  <si>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</si>
  <si>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</si>
  <si>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</si>
  <si>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</si>
  <si>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</si>
  <si>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</si>
  <si>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</si>
  <si>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</si>
  <si>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</si>
  <si>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</si>
  <si>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EOP FX Adjustment</t>
  </si>
  <si>
    <t>Retained earnings</t>
  </si>
  <si>
    <t>Accumulated other comprehensive income (loss)</t>
  </si>
  <si>
    <t>Disaggregated Revenues</t>
  </si>
  <si>
    <t>Offerings Drivers</t>
  </si>
  <si>
    <t>Variance Check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</si>
  <si>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</si>
  <si>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</si>
  <si>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</si>
  <si>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</si>
  <si>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</si>
  <si>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</si>
  <si>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</si>
  <si>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</si>
  <si>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</si>
  <si>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</si>
  <si>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Long-term debt</t>
  </si>
  <si>
    <t>EOP Restricted Cash Adjustment</t>
  </si>
  <si>
    <t>BOP Restricted Cash Adjustment</t>
  </si>
  <si>
    <t>$ in thousands except per share</t>
  </si>
  <si>
    <t>Summary Debt:</t>
  </si>
  <si>
    <t>CPLTD</t>
  </si>
  <si>
    <t>LTD</t>
  </si>
  <si>
    <t>($ in Millions)</t>
  </si>
  <si>
    <t>Debt Schedule</t>
  </si>
  <si>
    <t>Property and Equipment, net</t>
  </si>
  <si>
    <t>(+) Depreciation and Amortization</t>
  </si>
  <si>
    <t>Research and development</t>
  </si>
  <si>
    <t>Selling, general and administrative</t>
  </si>
  <si>
    <t>Amortization of acquisition-related intangible assets</t>
  </si>
  <si>
    <t>Restructuring and other charges</t>
  </si>
  <si>
    <t>Cost of products sold</t>
  </si>
  <si>
    <t>Cost of subscriptions and services</t>
  </si>
  <si>
    <t>Restructuring charges</t>
  </si>
  <si>
    <t>Interest expense</t>
  </si>
  <si>
    <t>Other income (expense), net</t>
  </si>
  <si>
    <t>Trade accounts receivable, net</t>
  </si>
  <si>
    <t>Inventory</t>
  </si>
  <si>
    <t>Property, plant and equipment, net</t>
  </si>
  <si>
    <t>Goodwill</t>
  </si>
  <si>
    <t>Intangible assets, net</t>
  </si>
  <si>
    <t>Other long-term assets</t>
  </si>
  <si>
    <t>Employee compensation and benefits</t>
  </si>
  <si>
    <t>Current portion of long-term debt</t>
  </si>
  <si>
    <t>Other current liabilities</t>
  </si>
  <si>
    <t>Other long-term liabilities</t>
  </si>
  <si>
    <t>Additional paid-in capital</t>
  </si>
  <si>
    <t>Preferred stock Dividend Obligation</t>
  </si>
  <si>
    <t>Preferred Stock</t>
  </si>
  <si>
    <t>Common Stock</t>
  </si>
  <si>
    <t>Amortization of intangible and right-of-use assets</t>
  </si>
  <si>
    <t>Depreciation</t>
  </si>
  <si>
    <t>Stock-based compensation</t>
  </si>
  <si>
    <t>Deferred taxes and other non-cash taxes</t>
  </si>
  <si>
    <t>Loss on debt extinguishment</t>
  </si>
  <si>
    <t>Non-cash interest expense</t>
  </si>
  <si>
    <t>Other</t>
  </si>
  <si>
    <t>Other current assets and current liabilities</t>
  </si>
  <si>
    <t>Other long-term assets and long-term liabilities</t>
  </si>
  <si>
    <t>Acquisitions of businesses, net of cash acquired</t>
  </si>
  <si>
    <t>Proceeds from sales of businesses</t>
  </si>
  <si>
    <t>Purchases of property, plant and equipment</t>
  </si>
  <si>
    <t>Purchases of investments</t>
  </si>
  <si>
    <t>Sales of investments</t>
  </si>
  <si>
    <t>Proceeds from long-term borrowings</t>
  </si>
  <si>
    <t>Payments on debt obligations</t>
  </si>
  <si>
    <t>Payments of dividends</t>
  </si>
  <si>
    <t>Repurchases of common stock - repurchase program</t>
  </si>
  <si>
    <t>Shares repurchased for tax withholdings on vesting of equity awards</t>
  </si>
  <si>
    <t>Issuance of common stock</t>
  </si>
  <si>
    <t>Cash paid for interest</t>
  </si>
  <si>
    <t>Cash paid for income taxes</t>
  </si>
  <si>
    <t xml:space="preserve">Income from continuing operations	</t>
  </si>
  <si>
    <t>Net Income</t>
  </si>
  <si>
    <t xml:space="preserve">Products	</t>
  </si>
  <si>
    <t>Subscriptions and services</t>
  </si>
  <si>
    <t>Broadcom, Inc. (NASDAQ: AVGO)</t>
  </si>
  <si>
    <t>Proceeds from commercial paper, net</t>
  </si>
  <si>
    <t>(-) Cost of products sold</t>
  </si>
  <si>
    <t>(-) Cost of subscriptions and services</t>
  </si>
  <si>
    <t>(-) Amortization of acquisition-related intangible assets</t>
  </si>
  <si>
    <t>(-) Restructuring charges</t>
  </si>
  <si>
    <t>(+) Stock-based compensation</t>
  </si>
  <si>
    <t>(+) Restructuring and other charges</t>
  </si>
  <si>
    <t>(+/-) Proceeds / (Purchases) of Investments</t>
  </si>
  <si>
    <t>(-) Dividends</t>
  </si>
  <si>
    <t>(+/-) Equity Issuances / (Share Repurchases), net</t>
  </si>
  <si>
    <t>(+/-) Proceeds from issuance of Debt / (Repayment), net</t>
  </si>
  <si>
    <t>L/C Avaliability</t>
  </si>
  <si>
    <t>$4.0Bn Commercial Paper Program</t>
  </si>
  <si>
    <t>Trade Accounts Receivable</t>
  </si>
  <si>
    <t xml:space="preserve">April 2022 Senior Notes - fixed rate	</t>
  </si>
  <si>
    <t>4.000% notes due April 2029</t>
  </si>
  <si>
    <t>September 2021 Senior Notes - fixed rate</t>
  </si>
  <si>
    <t>3.137% notes due November 2035</t>
  </si>
  <si>
    <t>3.187% notes due November 2036</t>
  </si>
  <si>
    <t>March 2021 Senior Notes - fixed rate</t>
  </si>
  <si>
    <t>3.419% notes due April 2033</t>
  </si>
  <si>
    <t>3.469% notes due April 2034</t>
  </si>
  <si>
    <t>January 2021 Senior Notes - fixed rate</t>
  </si>
  <si>
    <t>1.950% notes due February 2028</t>
  </si>
  <si>
    <t>2.450% notes due February 2031</t>
  </si>
  <si>
    <t>2.600% notes due February 2033</t>
  </si>
  <si>
    <t>3.500% notes due February 2041</t>
  </si>
  <si>
    <t>3.750% notes due February 2051</t>
  </si>
  <si>
    <t>June 2020 Senior Notes - fixed rate</t>
  </si>
  <si>
    <t>3.459% notes due September 2026</t>
  </si>
  <si>
    <t>4.110% notes due September 2028</t>
  </si>
  <si>
    <t xml:space="preserve">May 2020 Senior Notes - fixed rate	</t>
  </si>
  <si>
    <t>2.250% notes due November 2023</t>
  </si>
  <si>
    <t>3.150% notes due November 2025</t>
  </si>
  <si>
    <t>4.150% notes due November 2030</t>
  </si>
  <si>
    <t>4.300% notes due November 2032</t>
  </si>
  <si>
    <t xml:space="preserve">April 2020 Senior Notes - fixed rate	</t>
  </si>
  <si>
    <t>4.700% notes due April 2025</t>
  </si>
  <si>
    <t>5.000% notes due April 2030</t>
  </si>
  <si>
    <t>LIBOR plus 1.125% term loan due November 2022</t>
  </si>
  <si>
    <t>LIBOR plus 1.250% term loan due November 2024</t>
  </si>
  <si>
    <t>April 2019 Senior Notes - fixed rate</t>
  </si>
  <si>
    <t>November 2019 Term Loans - floating rate</t>
  </si>
  <si>
    <t>3.125% notes due April 2021</t>
  </si>
  <si>
    <t>3.125% notes due October 2022</t>
  </si>
  <si>
    <t>3.625% notes due October 2024</t>
  </si>
  <si>
    <t>4.250% notes due April 2026</t>
  </si>
  <si>
    <t>4.750% notes due April 2029</t>
  </si>
  <si>
    <t xml:space="preserve">2017 Senior Notes - fixed rate	</t>
  </si>
  <si>
    <t>2.200% notes due January 2021</t>
  </si>
  <si>
    <t>3.000% notes due January 2022</t>
  </si>
  <si>
    <t>2.650% notes due January 2023</t>
  </si>
  <si>
    <t>3.625% notes due January 2024</t>
  </si>
  <si>
    <t>3.125% notes due January 2025</t>
  </si>
  <si>
    <t>3.875% notes due January 2027</t>
  </si>
  <si>
    <t>3.500% notes due January 2028</t>
  </si>
  <si>
    <t>Assumed CA Senior Notes - fixed rate</t>
  </si>
  <si>
    <t>3.600% notes due August 2022</t>
  </si>
  <si>
    <t>4.500% notes due August 2023</t>
  </si>
  <si>
    <t>4.700% notes due March 2027</t>
  </si>
  <si>
    <t>2.500% - 4.500% senior notes due August 2022 - August 2034</t>
  </si>
  <si>
    <t>$7.5Bn Unsecured RCF (CP Backstop)</t>
  </si>
  <si>
    <t xml:space="preserve">September 2021 Senior Notes </t>
  </si>
  <si>
    <t xml:space="preserve">January 2021 Senior Notes </t>
  </si>
  <si>
    <t xml:space="preserve">March 2021 Senior Notes </t>
  </si>
  <si>
    <t xml:space="preserve">June 2020 Senior Notes </t>
  </si>
  <si>
    <t xml:space="preserve">May 2020 Senior Notes </t>
  </si>
  <si>
    <t>April 2020 Senior Notes</t>
  </si>
  <si>
    <t xml:space="preserve">November 2019 Term Loans </t>
  </si>
  <si>
    <t xml:space="preserve">April 2019 Senior Notes </t>
  </si>
  <si>
    <t xml:space="preserve">2017 Senior Notes </t>
  </si>
  <si>
    <t xml:space="preserve">Assumed CA Senior Notes </t>
  </si>
  <si>
    <t>Total Senior Debt</t>
  </si>
  <si>
    <t>2.500% notes due August 2022</t>
  </si>
  <si>
    <t>3.500% notes due August 2024</t>
  </si>
  <si>
    <t>Other senior notes</t>
  </si>
  <si>
    <t>Finance Lease Obligations</t>
  </si>
  <si>
    <t>CP of Finance Lease Obligations</t>
  </si>
  <si>
    <t>LT of Finance Lease Obligations</t>
  </si>
  <si>
    <t>4.150% notes due April 2032</t>
  </si>
  <si>
    <t>4.926% notes due May 2037</t>
  </si>
  <si>
    <t xml:space="preserve">April 2022 Senior Notes </t>
  </si>
  <si>
    <t>Assumed VMware Senior Notes - fixed rate</t>
  </si>
  <si>
    <t>1.400% notes due August 2026</t>
  </si>
  <si>
    <t>4.500% notes due May 2025</t>
  </si>
  <si>
    <t>2.200% notes due August 2031</t>
  </si>
  <si>
    <t>4.700% notes due May 2030</t>
  </si>
  <si>
    <t>1.800% notes due August 2028</t>
  </si>
  <si>
    <t>3.900% notes due August 2027</t>
  </si>
  <si>
    <t>4.650% notes due May 2027</t>
  </si>
  <si>
    <t xml:space="preserve">Assumed VMware Senior Notes </t>
  </si>
  <si>
    <t>October 2024 Senior Notes - fixed rate</t>
  </si>
  <si>
    <t>4.150% notes due February 2028</t>
  </si>
  <si>
    <t>4.350% notes due February 2030</t>
  </si>
  <si>
    <t>4.550% notes due February 2032</t>
  </si>
  <si>
    <t>4.800% notes due October 2034</t>
  </si>
  <si>
    <t xml:space="preserve">July 2024 Senior Notes - fixed rate	</t>
  </si>
  <si>
    <t>5.050% notes due July 2027</t>
  </si>
  <si>
    <t>5.050% notes due July 2029</t>
  </si>
  <si>
    <t>5.150% notes due November 2031</t>
  </si>
  <si>
    <t xml:space="preserve">2023 Term Loans - floating rate	</t>
  </si>
  <si>
    <t>SOFR plus 1.125% term loan due November 2026</t>
  </si>
  <si>
    <t>SOFR plus 1.375% term loan due November 2028</t>
  </si>
  <si>
    <t xml:space="preserve">2023 Term Loans </t>
  </si>
  <si>
    <t xml:space="preserve">July 2024 Senior Notes </t>
  </si>
  <si>
    <t xml:space="preserve">October 2024 Senior Notes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</si>
</sst>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3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5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5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5" borderId="0" xfId="0" applyNumberFormat="1" applyFont="1" applyFill="1" applyAlignment="1">
      <alignment horizontal="right" vertical="top" wrapText="1"/>
    </xf>
    <xf numFmtId="41" fontId="6" fillId="0" borderId="10" xfId="0" applyNumberFormat="1" applyFont="1" applyBorder="1" applyAlignment="1">
      <alignment horizontal="right" vertical="top" wrapText="1"/>
    </xf>
    <xf numFmtId="41" fontId="8" fillId="5" borderId="10" xfId="0" applyNumberFormat="1" applyFont="1" applyFill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1" fontId="6" fillId="5" borderId="10" xfId="0" applyNumberFormat="1" applyFont="1" applyFill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0" fontId="2" fillId="2" borderId="4" xfId="0" applyFont="1" applyFill="1" applyBorder="1" applyAlignment="1">
      <alignment horizontal="centerContinuous" vertical="center"/>
    </xf>
    <xf numFmtId="14" fontId="3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1" fontId="6" fillId="0" borderId="0" xfId="0" applyNumberFormat="1" applyFont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1" fontId="11" fillId="0" borderId="0" xfId="0" applyNumberFormat="1" applyFont="1" applyAlignment="1">
      <alignment vertical="center"/>
    </xf>
    <xf numFmtId="0" fontId="4" fillId="0" borderId="0" xfId="0" quotePrefix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41" fontId="11" fillId="0" borderId="0" xfId="0" applyNumberFormat="1" applyFont="1" applyFill="1" applyAlignment="1">
      <alignment horizontal="right" vertical="top" wrapText="1"/>
    </xf>
    <xf numFmtId="0" fontId="4" fillId="0" borderId="0" xfId="0" applyFont="1" applyFill="1"/>
    <xf numFmtId="0" fontId="8" fillId="0" borderId="0" xfId="0" applyFont="1" applyFill="1" applyBorder="1" applyAlignment="1">
      <alignment vertical="top" wrapText="1"/>
    </xf>
    <xf numFmtId="5" fontId="8" fillId="0" borderId="0" xfId="0" applyNumberFormat="1" applyFont="1" applyFill="1" applyBorder="1" applyAlignment="1">
      <alignment horizontal="right" vertical="top" wrapText="1"/>
    </xf>
    <xf numFmtId="41" fontId="6" fillId="0" borderId="0" xfId="0" applyNumberFormat="1" applyFont="1" applyFill="1" applyAlignment="1">
      <alignment horizontal="right" vertical="top" wrapText="1"/>
    </xf>
    <xf numFmtId="0" fontId="14" fillId="0" borderId="0" xfId="0" applyFont="1" applyFill="1"/>
    <xf numFmtId="0" fontId="16" fillId="0" borderId="0" xfId="0" applyFont="1" applyAlignment="1">
      <alignment horizontal="left" inden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O160"/>
  <sheetViews>
    <sheetView showGridLines="0" tabSelected="1" zoomScaleNormal="100" workbookViewId="0">
      <selection activeCell="F16" sqref="F16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9" style="5" customWidth="1" outlineLevel="1"/>
    <col min="4" max="6" width="9" style="5" bestFit="1" customWidth="1"/>
    <col min="7" max="7" width="1.5" style="5" customWidth="1"/>
    <col min="8" max="11" width="8.875" style="5" customWidth="1" outlineLevel="2"/>
    <col min="12" max="13" width="8.875" style="5" customWidth="1" outlineLevel="1"/>
    <col min="14" max="18" width="8.875" style="5" bestFit="1" customWidth="1"/>
    <col min="19" max="19" width="1.5" style="5" customWidth="1"/>
    <col min="20" max="29" width="8.75" style="5" hidden="1" customWidth="1" outlineLevel="1"/>
    <col min="30" max="30" width="9" style="5" bestFit="1" customWidth="1" collapsed="1"/>
    <col min="31" max="33" width="9" style="5" hidden="1" customWidth="1" outlineLevel="1"/>
    <col min="34" max="34" width="9" style="5" bestFit="1" customWidth="1" collapsed="1"/>
    <col min="35" max="35" width="1.25" style="5" customWidth="1"/>
    <col min="36" max="36" width="9.75" style="5" bestFit="1" customWidth="1"/>
    <col min="37" max="37" width="1.375" style="5" customWidth="1"/>
    <col min="38" max="16384" width="9" style="5"/>
  </cols>
  <sheetData>
    <row r="2" spans="1:36" ht="12.75" customHeight="1">
      <c r="B2" s="1" t="s">
        <v>166</v>
      </c>
      <c r="C2" s="103"/>
      <c r="D2" s="103"/>
      <c r="E2" s="103"/>
      <c r="F2" s="103"/>
      <c r="G2" s="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3"/>
      <c r="AJ2" s="1"/>
    </row>
    <row r="3" spans="1:36" ht="12.75" customHeight="1">
      <c r="B3" s="6" t="s">
        <v>80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3"/>
      <c r="AJ3" s="1"/>
    </row>
    <row r="4" spans="1:36" ht="12.75" customHeight="1">
      <c r="B4" s="6" t="s">
        <v>109</v>
      </c>
      <c r="C4" s="3"/>
      <c r="D4" s="3"/>
      <c r="E4" s="86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1"/>
    </row>
    <row r="6" spans="1:36" ht="12.75" customHeight="1">
      <c r="A6" s="5" t="s">
        <v>19</v>
      </c>
      <c r="B6" s="1" t="s">
        <v>78</v>
      </c>
      <c r="C6" s="2" t="s">
        <v>0</v>
      </c>
      <c r="D6" s="2"/>
      <c r="E6" s="2"/>
      <c r="F6" s="2"/>
      <c r="G6" s="3"/>
      <c r="H6" s="2" t="s">
        <v>1</v>
      </c>
      <c r="I6" s="2"/>
      <c r="J6" s="2"/>
      <c r="K6" s="2"/>
      <c r="L6" s="2"/>
      <c r="M6" s="2"/>
      <c r="N6" s="2" t="s">
        <v>1</v>
      </c>
      <c r="O6" s="2"/>
      <c r="P6" s="2"/>
      <c r="Q6" s="2"/>
      <c r="R6" s="2"/>
      <c r="S6" s="3"/>
      <c r="T6" s="2"/>
      <c r="U6" s="2"/>
      <c r="V6" s="2"/>
      <c r="W6" s="2"/>
      <c r="X6" s="2"/>
      <c r="Y6" s="2"/>
      <c r="Z6" s="2"/>
      <c r="AA6" s="2"/>
      <c r="AB6" s="2"/>
      <c r="AC6" s="2" t="s">
        <v>10</v>
      </c>
      <c r="AD6" s="2" t="s">
        <v>10</v>
      </c>
      <c r="AE6" s="2"/>
      <c r="AF6" s="2"/>
      <c r="AG6" s="2"/>
      <c r="AH6" s="2"/>
      <c r="AI6" s="38"/>
      <c r="AJ6" s="162" t="s">
        <v>25</v>
      </c>
    </row>
    <row r="7" spans="1:36" ht="12.75" customHeight="1">
      <c r="B7" s="6" t="s">
        <v>81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6</v>
      </c>
      <c r="I7" s="4" t="s">
        <v>7</v>
      </c>
      <c r="J7" s="4" t="s">
        <v>8</v>
      </c>
      <c r="K7" s="4" t="s">
        <v>9</v>
      </c>
      <c r="L7" s="4" t="s">
        <v>2</v>
      </c>
      <c r="M7" s="4" t="s">
        <v>3</v>
      </c>
      <c r="N7" s="4" t="s">
        <v>4</v>
      </c>
      <c r="O7" s="4" t="s">
        <v>5</v>
      </c>
      <c r="P7" s="4" t="s">
        <v>27</v>
      </c>
      <c r="Q7" s="4" t="s">
        <v>28</v>
      </c>
      <c r="R7" s="4" t="s">
        <v>66</v>
      </c>
      <c r="S7" s="3"/>
      <c r="T7" s="4" t="e">
        <f>#REF!</f>
        <v>#REF!</v>
      </c>
      <c r="U7" s="4" t="e">
        <f>#REF!</f>
        <v>#REF!</v>
      </c>
      <c r="V7" s="4" t="e">
        <f>#REF!</f>
        <v>#REF!</v>
      </c>
      <c r="W7" s="4" t="e">
        <f>#REF!</f>
        <v>#REF!</v>
      </c>
      <c r="X7" s="4" t="str">
        <f t="shared" ref="X7:AH8" si="0">H7</f>
        <v>1Q23</v>
      </c>
      <c r="Y7" s="4" t="str">
        <f t="shared" si="0"/>
        <v>2Q23</v>
      </c>
      <c r="Z7" s="4" t="str">
        <f t="shared" si="0"/>
        <v>3Q23</v>
      </c>
      <c r="AA7" s="4" t="str">
        <f t="shared" si="0"/>
        <v>4Q23</v>
      </c>
      <c r="AB7" s="4" t="str">
        <f t="shared" si="0"/>
        <v>1Q24</v>
      </c>
      <c r="AC7" s="4" t="str">
        <f t="shared" si="0"/>
        <v>2Q24</v>
      </c>
      <c r="AD7" s="4" t="str">
        <f t="shared" si="0"/>
        <v>3Q24</v>
      </c>
      <c r="AE7" s="4" t="str">
        <f t="shared" si="0"/>
        <v>4Q24</v>
      </c>
      <c r="AF7" s="4" t="str">
        <f t="shared" si="0"/>
        <v>1Q25</v>
      </c>
      <c r="AG7" s="4" t="str">
        <f t="shared" si="0"/>
        <v>2Q25</v>
      </c>
      <c r="AH7" s="4" t="str">
        <f t="shared" si="0"/>
        <v>3Q25</v>
      </c>
      <c r="AI7" s="38"/>
      <c r="AJ7" s="162"/>
    </row>
    <row r="8" spans="1:36" ht="12.75" customHeight="1">
      <c r="B8" s="6" t="s">
        <v>82</v>
      </c>
      <c r="C8" s="86">
        <v>44499</v>
      </c>
      <c r="D8" s="86">
        <v>44864</v>
      </c>
      <c r="E8" s="86">
        <v>45228</v>
      </c>
      <c r="F8" s="3">
        <v>45599</v>
      </c>
      <c r="G8" s="3"/>
      <c r="H8" s="3">
        <v>44955</v>
      </c>
      <c r="I8" s="3">
        <v>45046</v>
      </c>
      <c r="J8" s="3">
        <v>45137</v>
      </c>
      <c r="K8" s="3">
        <f>E8</f>
        <v>45228</v>
      </c>
      <c r="L8" s="3">
        <v>45326</v>
      </c>
      <c r="M8" s="3">
        <v>45417</v>
      </c>
      <c r="N8" s="3">
        <v>45508</v>
      </c>
      <c r="O8" s="3">
        <f>F8</f>
        <v>45599</v>
      </c>
      <c r="P8" s="3">
        <v>45690</v>
      </c>
      <c r="Q8" s="3">
        <v>45781</v>
      </c>
      <c r="R8" s="3">
        <v>45872</v>
      </c>
      <c r="S8" s="3"/>
      <c r="T8" s="3" t="e">
        <f>#REF!</f>
        <v>#REF!</v>
      </c>
      <c r="U8" s="3" t="e">
        <f>#REF!</f>
        <v>#REF!</v>
      </c>
      <c r="V8" s="3" t="e">
        <f>#REF!</f>
        <v>#REF!</v>
      </c>
      <c r="W8" s="3" t="e">
        <f>#REF!</f>
        <v>#REF!</v>
      </c>
      <c r="X8" s="3">
        <f t="shared" si="0"/>
        <v>44955</v>
      </c>
      <c r="Y8" s="3">
        <f t="shared" si="0"/>
        <v>45046</v>
      </c>
      <c r="Z8" s="3">
        <f t="shared" si="0"/>
        <v>45137</v>
      </c>
      <c r="AA8" s="3">
        <f t="shared" si="0"/>
        <v>45228</v>
      </c>
      <c r="AB8" s="3">
        <f t="shared" si="0"/>
        <v>45326</v>
      </c>
      <c r="AC8" s="3">
        <f t="shared" si="0"/>
        <v>45417</v>
      </c>
      <c r="AD8" s="3">
        <f t="shared" si="0"/>
        <v>45508</v>
      </c>
      <c r="AE8" s="3">
        <f t="shared" si="0"/>
        <v>45599</v>
      </c>
      <c r="AF8" s="3">
        <f t="shared" si="0"/>
        <v>45690</v>
      </c>
      <c r="AG8" s="3">
        <f t="shared" si="0"/>
        <v>45781</v>
      </c>
      <c r="AH8" s="3">
        <f t="shared" si="0"/>
        <v>45872</v>
      </c>
      <c r="AI8" s="38"/>
      <c r="AJ8" s="162"/>
    </row>
    <row r="9" spans="1:36" ht="5.0999999999999996" customHeight="1">
      <c r="AJ9" s="102"/>
    </row>
    <row r="10" spans="1:36" ht="12.75" customHeight="1">
      <c r="B10" s="9" t="s">
        <v>60</v>
      </c>
      <c r="C10" s="97">
        <v>27450</v>
      </c>
      <c r="D10" s="97">
        <v>33203</v>
      </c>
      <c r="E10" s="97">
        <v>35819</v>
      </c>
      <c r="F10" s="97">
        <v>51574</v>
      </c>
      <c r="G10" s="11"/>
      <c r="H10" s="97">
        <v>8915</v>
      </c>
      <c r="I10" s="97">
        <v>8733</v>
      </c>
      <c r="J10" s="97">
        <v>8876</v>
      </c>
      <c r="K10" s="32">
        <f>SUM(E10-SUM(H10:J10))</f>
        <v>9295</v>
      </c>
      <c r="L10" s="97">
        <v>11961</v>
      </c>
      <c r="M10" s="97">
        <v>12487</v>
      </c>
      <c r="N10" s="97">
        <v>13072</v>
      </c>
      <c r="O10" s="32">
        <f>SUM(F10-SUM(L10:N10))</f>
        <v>14054</v>
      </c>
      <c r="P10" s="83">
        <v>14916</v>
      </c>
      <c r="Q10" s="83">
        <v>15004</v>
      </c>
      <c r="R10" s="83">
        <v>15952</v>
      </c>
      <c r="T10" s="32" t="e">
        <f>SUM(#REF!)</f>
        <v>#REF!</v>
      </c>
      <c r="U10" s="32" t="e">
        <f>SUM(#REF!)</f>
        <v>#REF!</v>
      </c>
      <c r="V10" s="32" t="e">
        <f>SUM(#REF!)</f>
        <v>#REF!</v>
      </c>
      <c r="W10" s="32" t="e">
        <f>SUM(#REF!)</f>
        <v>#REF!</v>
      </c>
      <c r="X10" s="32">
        <f>SUM(H10:H10)</f>
        <v>8915</v>
      </c>
      <c r="Y10" s="32">
        <f>SUM(H10:I10)</f>
        <v>17648</v>
      </c>
      <c r="Z10" s="32">
        <f>SUM(H10:J10)</f>
        <v>26524</v>
      </c>
      <c r="AA10" s="32">
        <f t="shared" ref="AA10:AH10" si="1">SUM(H10:K10)</f>
        <v>35819</v>
      </c>
      <c r="AB10" s="32">
        <f t="shared" si="1"/>
        <v>38865</v>
      </c>
      <c r="AC10" s="32">
        <f t="shared" si="1"/>
        <v>42619</v>
      </c>
      <c r="AD10" s="32">
        <f>SUM(K10:N10)</f>
        <v>46815</v>
      </c>
      <c r="AE10" s="32">
        <f t="shared" si="1"/>
        <v>51574</v>
      </c>
      <c r="AF10" s="32">
        <f t="shared" si="1"/>
        <v>54529</v>
      </c>
      <c r="AG10" s="32">
        <f t="shared" si="1"/>
        <v>57046</v>
      </c>
      <c r="AH10" s="32">
        <f t="shared" si="1"/>
        <v>59926</v>
      </c>
      <c r="AI10" s="40"/>
      <c r="AJ10" s="12">
        <f>SUM(AH10/AD10)-1</f>
        <v>0.28005980988999246</v>
      </c>
    </row>
    <row r="11" spans="1:36" ht="12.75" customHeight="1">
      <c r="B11" s="13" t="s">
        <v>12</v>
      </c>
      <c r="C11" s="14">
        <f t="shared" ref="C11:F11" si="2">+SUM(C10:C10)</f>
        <v>27450</v>
      </c>
      <c r="D11" s="14">
        <f t="shared" si="2"/>
        <v>33203</v>
      </c>
      <c r="E11" s="14">
        <f t="shared" si="2"/>
        <v>35819</v>
      </c>
      <c r="F11" s="14">
        <f t="shared" si="2"/>
        <v>51574</v>
      </c>
      <c r="G11" s="11"/>
      <c r="H11" s="14">
        <f t="shared" ref="H11:Q11" si="3">+SUM(H10:H10)</f>
        <v>8915</v>
      </c>
      <c r="I11" s="14">
        <f t="shared" si="3"/>
        <v>8733</v>
      </c>
      <c r="J11" s="14">
        <f t="shared" si="3"/>
        <v>8876</v>
      </c>
      <c r="K11" s="14">
        <f t="shared" si="3"/>
        <v>9295</v>
      </c>
      <c r="L11" s="14">
        <f t="shared" si="3"/>
        <v>11961</v>
      </c>
      <c r="M11" s="14">
        <f t="shared" si="3"/>
        <v>12487</v>
      </c>
      <c r="N11" s="14">
        <f t="shared" si="3"/>
        <v>13072</v>
      </c>
      <c r="O11" s="14">
        <f t="shared" si="3"/>
        <v>14054</v>
      </c>
      <c r="P11" s="14">
        <f t="shared" si="3"/>
        <v>14916</v>
      </c>
      <c r="Q11" s="14">
        <f t="shared" si="3"/>
        <v>15004</v>
      </c>
      <c r="R11" s="14">
        <f>+SUM(R10:R10)</f>
        <v>15952</v>
      </c>
      <c r="T11" s="14" t="e">
        <f t="shared" ref="T11:V11" si="4">+SUM(T10:T10)</f>
        <v>#REF!</v>
      </c>
      <c r="U11" s="14" t="e">
        <f t="shared" si="4"/>
        <v>#REF!</v>
      </c>
      <c r="V11" s="14" t="e">
        <f t="shared" si="4"/>
        <v>#REF!</v>
      </c>
      <c r="W11" s="14" t="e">
        <f t="shared" ref="W11:AG11" si="5">+SUM(W10:W10)</f>
        <v>#REF!</v>
      </c>
      <c r="X11" s="14">
        <f t="shared" si="5"/>
        <v>8915</v>
      </c>
      <c r="Y11" s="14">
        <f t="shared" si="5"/>
        <v>17648</v>
      </c>
      <c r="Z11" s="14">
        <f t="shared" si="5"/>
        <v>26524</v>
      </c>
      <c r="AA11" s="14">
        <f t="shared" si="5"/>
        <v>35819</v>
      </c>
      <c r="AB11" s="14">
        <f t="shared" si="5"/>
        <v>38865</v>
      </c>
      <c r="AC11" s="14">
        <f t="shared" si="5"/>
        <v>42619</v>
      </c>
      <c r="AD11" s="14">
        <f t="shared" si="5"/>
        <v>46815</v>
      </c>
      <c r="AE11" s="14">
        <f t="shared" si="5"/>
        <v>51574</v>
      </c>
      <c r="AF11" s="14">
        <f t="shared" si="5"/>
        <v>54529</v>
      </c>
      <c r="AG11" s="14">
        <f t="shared" si="5"/>
        <v>57046</v>
      </c>
      <c r="AH11" s="14">
        <f>+SUM(AH10:AH10)</f>
        <v>59926</v>
      </c>
      <c r="AI11" s="40"/>
      <c r="AJ11" s="15">
        <f>SUM(AH11/AD11)-1</f>
        <v>0.28005980988999246</v>
      </c>
    </row>
    <row r="12" spans="1:36" s="20" customFormat="1" ht="5.0999999999999996" customHeight="1">
      <c r="B12" s="18"/>
      <c r="C12" s="19"/>
      <c r="D12" s="19"/>
      <c r="E12" s="19"/>
      <c r="F12" s="19"/>
      <c r="H12" s="21"/>
      <c r="I12" s="21"/>
      <c r="J12" s="21"/>
      <c r="K12" s="21"/>
      <c r="L12" s="21"/>
      <c r="M12" s="21"/>
      <c r="N12" s="21"/>
      <c r="O12" s="21"/>
      <c r="P12" s="22"/>
      <c r="Q12" s="21"/>
      <c r="R12" s="21"/>
      <c r="AJ12" s="76"/>
    </row>
    <row r="13" spans="1:36" ht="12.75" customHeight="1">
      <c r="B13" s="9" t="s">
        <v>121</v>
      </c>
      <c r="C13" s="83">
        <v>-6555</v>
      </c>
      <c r="D13" s="83">
        <v>-7629</v>
      </c>
      <c r="E13" s="83">
        <v>-8636</v>
      </c>
      <c r="F13" s="83">
        <v>-9797</v>
      </c>
      <c r="G13" s="24"/>
      <c r="H13" s="83">
        <v>-2225</v>
      </c>
      <c r="I13" s="83">
        <v>-2019</v>
      </c>
      <c r="J13" s="83">
        <v>-2107</v>
      </c>
      <c r="K13" s="32">
        <f t="shared" ref="K13:K16" si="6">SUM(E13-SUM(H13:J13))</f>
        <v>-2285</v>
      </c>
      <c r="L13" s="97">
        <v>-2160</v>
      </c>
      <c r="M13" s="83">
        <v>-2429</v>
      </c>
      <c r="N13" s="83">
        <v>-2434</v>
      </c>
      <c r="O13" s="32">
        <f t="shared" ref="O13:O16" si="7">SUM(F13-SUM(L13:N13))</f>
        <v>-2774</v>
      </c>
      <c r="P13" s="83">
        <v>-2693</v>
      </c>
      <c r="Q13" s="83">
        <v>-2720</v>
      </c>
      <c r="R13" s="83">
        <v>-3096</v>
      </c>
      <c r="T13" s="32" t="e">
        <f>SUM(#REF!)</f>
        <v>#REF!</v>
      </c>
      <c r="U13" s="32" t="e">
        <f>SUM(#REF!)</f>
        <v>#REF!</v>
      </c>
      <c r="V13" s="32" t="e">
        <f>SUM(#REF!)</f>
        <v>#REF!</v>
      </c>
      <c r="W13" s="32" t="e">
        <f>SUM(#REF!)</f>
        <v>#REF!</v>
      </c>
      <c r="X13" s="32">
        <f>SUM(H13:H13)</f>
        <v>-2225</v>
      </c>
      <c r="Y13" s="32">
        <f>SUM(H13:I13)</f>
        <v>-4244</v>
      </c>
      <c r="Z13" s="32">
        <f>SUM(H13:J13)</f>
        <v>-6351</v>
      </c>
      <c r="AA13" s="32">
        <f t="shared" ref="AA13" si="8">SUM(H13:K13)</f>
        <v>-8636</v>
      </c>
      <c r="AB13" s="32">
        <f t="shared" ref="AB13" si="9">SUM(I13:L13)</f>
        <v>-8571</v>
      </c>
      <c r="AC13" s="32">
        <f t="shared" ref="AC13" si="10">SUM(J13:M13)</f>
        <v>-8981</v>
      </c>
      <c r="AD13" s="32">
        <f t="shared" ref="AD13" si="11">SUM(K13:N13)</f>
        <v>-9308</v>
      </c>
      <c r="AE13" s="32">
        <f t="shared" ref="AE13" si="12">SUM(L13:O13)</f>
        <v>-9797</v>
      </c>
      <c r="AF13" s="32">
        <f t="shared" ref="AF13" si="13">SUM(M13:P13)</f>
        <v>-10330</v>
      </c>
      <c r="AG13" s="32">
        <f t="shared" ref="AG13" si="14">SUM(N13:Q13)</f>
        <v>-10621</v>
      </c>
      <c r="AH13" s="32">
        <f>SUM(O13:R13)</f>
        <v>-11283</v>
      </c>
      <c r="AI13" s="11"/>
      <c r="AJ13" s="12">
        <f t="shared" ref="AJ13:AJ16" si="15">SUM(AH13/AD13)-1</f>
        <v>0.21218306832831968</v>
      </c>
    </row>
    <row r="14" spans="1:36" ht="12.75" customHeight="1">
      <c r="B14" s="9" t="s">
        <v>122</v>
      </c>
      <c r="C14" s="83">
        <v>-607</v>
      </c>
      <c r="D14" s="83">
        <v>-627</v>
      </c>
      <c r="E14" s="83">
        <v>-636</v>
      </c>
      <c r="F14" s="83">
        <v>-2991</v>
      </c>
      <c r="G14" s="24"/>
      <c r="H14" s="83">
        <v>-149</v>
      </c>
      <c r="I14" s="83">
        <v>-158</v>
      </c>
      <c r="J14" s="83">
        <v>-165</v>
      </c>
      <c r="K14" s="32">
        <f t="shared" si="6"/>
        <v>-164</v>
      </c>
      <c r="L14" s="97">
        <v>-954</v>
      </c>
      <c r="M14" s="83">
        <v>-713</v>
      </c>
      <c r="N14" s="83">
        <v>-699</v>
      </c>
      <c r="O14" s="32">
        <f t="shared" si="7"/>
        <v>-625</v>
      </c>
      <c r="P14" s="83">
        <v>-580</v>
      </c>
      <c r="Q14" s="83">
        <v>-576</v>
      </c>
      <c r="R14" s="83">
        <v>-608</v>
      </c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>
        <f t="shared" ref="AD14:AD16" si="16">SUM(K14:N14)</f>
        <v>-2530</v>
      </c>
      <c r="AE14" s="32">
        <f t="shared" ref="AE14:AE16" si="17">SUM(L14:O14)</f>
        <v>-2991</v>
      </c>
      <c r="AF14" s="32">
        <f t="shared" ref="AF14:AF16" si="18">SUM(M14:P14)</f>
        <v>-2617</v>
      </c>
      <c r="AG14" s="32">
        <f t="shared" ref="AG14:AG16" si="19">SUM(N14:Q14)</f>
        <v>-2480</v>
      </c>
      <c r="AH14" s="32">
        <f t="shared" ref="AH14:AH16" si="20">SUM(O14:R14)</f>
        <v>-2389</v>
      </c>
      <c r="AI14" s="11"/>
      <c r="AJ14" s="12">
        <f t="shared" si="15"/>
        <v>-5.5731225296442699E-2</v>
      </c>
    </row>
    <row r="15" spans="1:36" ht="12.75" customHeight="1">
      <c r="B15" s="9" t="s">
        <v>119</v>
      </c>
      <c r="C15" s="83">
        <v>-3427</v>
      </c>
      <c r="D15" s="83">
        <v>-2847</v>
      </c>
      <c r="E15" s="83">
        <v>-1853</v>
      </c>
      <c r="F15" s="83">
        <v>-6023</v>
      </c>
      <c r="G15" s="24"/>
      <c r="H15" s="83">
        <v>-535</v>
      </c>
      <c r="I15" s="83">
        <v>-441</v>
      </c>
      <c r="J15" s="83">
        <v>-439</v>
      </c>
      <c r="K15" s="32">
        <f t="shared" si="6"/>
        <v>-438</v>
      </c>
      <c r="L15" s="97">
        <v>-1380</v>
      </c>
      <c r="M15" s="83">
        <v>-1516</v>
      </c>
      <c r="N15" s="83">
        <v>-1525</v>
      </c>
      <c r="O15" s="32">
        <f t="shared" si="7"/>
        <v>-1602</v>
      </c>
      <c r="P15" s="83">
        <v>-1484</v>
      </c>
      <c r="Q15" s="83">
        <v>-1483</v>
      </c>
      <c r="R15" s="83">
        <v>-1519</v>
      </c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>
        <f t="shared" si="16"/>
        <v>-4859</v>
      </c>
      <c r="AE15" s="32">
        <f t="shared" si="17"/>
        <v>-6023</v>
      </c>
      <c r="AF15" s="32">
        <f t="shared" si="18"/>
        <v>-6127</v>
      </c>
      <c r="AG15" s="32">
        <f t="shared" si="19"/>
        <v>-6094</v>
      </c>
      <c r="AH15" s="32">
        <f t="shared" si="20"/>
        <v>-6088</v>
      </c>
      <c r="AI15" s="11"/>
      <c r="AJ15" s="12">
        <f t="shared" si="15"/>
        <v>0.25293270220209929</v>
      </c>
    </row>
    <row r="16" spans="1:36" ht="12.75" customHeight="1">
      <c r="B16" s="9" t="s">
        <v>123</v>
      </c>
      <c r="C16" s="83">
        <v>-17</v>
      </c>
      <c r="D16" s="83">
        <v>-5</v>
      </c>
      <c r="E16" s="83">
        <v>-4</v>
      </c>
      <c r="F16" s="83">
        <v>-254</v>
      </c>
      <c r="G16" s="24"/>
      <c r="H16" s="83">
        <v>-2</v>
      </c>
      <c r="I16" s="83">
        <v>0</v>
      </c>
      <c r="J16" s="83">
        <v>-1</v>
      </c>
      <c r="K16" s="32">
        <f t="shared" si="6"/>
        <v>-1</v>
      </c>
      <c r="L16" s="97">
        <v>-92</v>
      </c>
      <c r="M16" s="83">
        <v>-53</v>
      </c>
      <c r="N16" s="83">
        <v>-58</v>
      </c>
      <c r="O16" s="32">
        <f t="shared" si="7"/>
        <v>-51</v>
      </c>
      <c r="P16" s="83">
        <v>-14</v>
      </c>
      <c r="Q16" s="83">
        <v>-28</v>
      </c>
      <c r="R16" s="83">
        <v>-26</v>
      </c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>
        <f t="shared" si="16"/>
        <v>-204</v>
      </c>
      <c r="AE16" s="32">
        <f t="shared" si="17"/>
        <v>-254</v>
      </c>
      <c r="AF16" s="32">
        <f t="shared" si="18"/>
        <v>-176</v>
      </c>
      <c r="AG16" s="32">
        <f t="shared" si="19"/>
        <v>-151</v>
      </c>
      <c r="AH16" s="32">
        <f t="shared" si="20"/>
        <v>-119</v>
      </c>
      <c r="AI16" s="11"/>
      <c r="AJ16" s="12">
        <f t="shared" si="15"/>
        <v>-0.41666666666666663</v>
      </c>
    </row>
    <row r="17" spans="2:36" ht="12.75" customHeight="1">
      <c r="B17" s="25" t="s">
        <v>23</v>
      </c>
      <c r="C17" s="26">
        <f>+SUM(C11+SUM(C13:C16))</f>
        <v>16844</v>
      </c>
      <c r="D17" s="26">
        <f t="shared" ref="D17:F17" si="21">+SUM(D11+SUM(D13:D16))</f>
        <v>22095</v>
      </c>
      <c r="E17" s="26">
        <f t="shared" si="21"/>
        <v>24690</v>
      </c>
      <c r="F17" s="26">
        <f t="shared" si="21"/>
        <v>32509</v>
      </c>
      <c r="H17" s="26">
        <f t="shared" ref="H17" si="22">+SUM(H11+SUM(H13:H16))</f>
        <v>6004</v>
      </c>
      <c r="I17" s="26">
        <f t="shared" ref="I17" si="23">+SUM(I11+SUM(I13:I16))</f>
        <v>6115</v>
      </c>
      <c r="J17" s="26">
        <f t="shared" ref="J17" si="24">+SUM(J11+SUM(J13:J16))</f>
        <v>6164</v>
      </c>
      <c r="K17" s="26">
        <f t="shared" ref="K17" si="25">+SUM(K11+SUM(K13:K16))</f>
        <v>6407</v>
      </c>
      <c r="L17" s="26">
        <f t="shared" ref="L17" si="26">+SUM(L11+SUM(L13:L16))</f>
        <v>7375</v>
      </c>
      <c r="M17" s="26">
        <f t="shared" ref="M17" si="27">+SUM(M11+SUM(M13:M16))</f>
        <v>7776</v>
      </c>
      <c r="N17" s="26">
        <f t="shared" ref="N17" si="28">+SUM(N11+SUM(N13:N16))</f>
        <v>8356</v>
      </c>
      <c r="O17" s="26">
        <f t="shared" ref="O17" si="29">+SUM(O11+SUM(O13:O16))</f>
        <v>9002</v>
      </c>
      <c r="P17" s="26">
        <f t="shared" ref="P17" si="30">+SUM(P11+SUM(P13:P16))</f>
        <v>10145</v>
      </c>
      <c r="Q17" s="26">
        <f t="shared" ref="Q17" si="31">+SUM(Q11+SUM(Q13:Q16))</f>
        <v>10197</v>
      </c>
      <c r="R17" s="26">
        <f t="shared" ref="R17" si="32">+SUM(R11+SUM(R13:R16))</f>
        <v>10703</v>
      </c>
      <c r="T17" s="26" t="e">
        <f t="shared" ref="T17" si="33">+SUM(T11+SUM(T13:T16))</f>
        <v>#REF!</v>
      </c>
      <c r="U17" s="26" t="e">
        <f t="shared" ref="U17" si="34">+SUM(U11+SUM(U13:U16))</f>
        <v>#REF!</v>
      </c>
      <c r="V17" s="26" t="e">
        <f t="shared" ref="V17" si="35">+SUM(V11+SUM(V13:V16))</f>
        <v>#REF!</v>
      </c>
      <c r="W17" s="26" t="e">
        <f t="shared" ref="W17" si="36">+SUM(W11+SUM(W13:W16))</f>
        <v>#REF!</v>
      </c>
      <c r="X17" s="26">
        <f t="shared" ref="X17" si="37">+SUM(X11+SUM(X13:X16))</f>
        <v>6690</v>
      </c>
      <c r="Y17" s="26">
        <f t="shared" ref="Y17" si="38">+SUM(Y11+SUM(Y13:Y16))</f>
        <v>13404</v>
      </c>
      <c r="Z17" s="26">
        <f t="shared" ref="Z17" si="39">+SUM(Z11+SUM(Z13:Z16))</f>
        <v>20173</v>
      </c>
      <c r="AA17" s="26">
        <f t="shared" ref="AA17" si="40">+SUM(AA11+SUM(AA13:AA16))</f>
        <v>27183</v>
      </c>
      <c r="AB17" s="26">
        <f t="shared" ref="AB17" si="41">+SUM(AB11+SUM(AB13:AB16))</f>
        <v>30294</v>
      </c>
      <c r="AC17" s="26">
        <f t="shared" ref="AC17" si="42">+SUM(AC11+SUM(AC13:AC16))</f>
        <v>33638</v>
      </c>
      <c r="AD17" s="26">
        <f t="shared" ref="AD17" si="43">+SUM(AD11+SUM(AD13:AD16))</f>
        <v>29914</v>
      </c>
      <c r="AE17" s="26">
        <f t="shared" ref="AE17" si="44">+SUM(AE11+SUM(AE13:AE16))</f>
        <v>32509</v>
      </c>
      <c r="AF17" s="26">
        <f t="shared" ref="AF17" si="45">+SUM(AF11+SUM(AF13:AF16))</f>
        <v>35279</v>
      </c>
      <c r="AG17" s="26">
        <f t="shared" ref="AG17" si="46">+SUM(AG11+SUM(AG13:AG16))</f>
        <v>37700</v>
      </c>
      <c r="AH17" s="26">
        <f t="shared" ref="AH17" si="47">+SUM(AH11+SUM(AH13:AH16))</f>
        <v>40047</v>
      </c>
      <c r="AI17" s="42"/>
      <c r="AJ17" s="77">
        <f>SUM(AH17/AD17)-1</f>
        <v>0.33873771478237624</v>
      </c>
    </row>
    <row r="18" spans="2:36" ht="12.75" customHeight="1">
      <c r="B18" s="16" t="s">
        <v>32</v>
      </c>
      <c r="C18" s="17">
        <f>C17/C11</f>
        <v>0.61362477231329693</v>
      </c>
      <c r="D18" s="17">
        <f>D17/D11</f>
        <v>0.66545191699545225</v>
      </c>
      <c r="E18" s="17">
        <f>E17/E11</f>
        <v>0.68929897540411511</v>
      </c>
      <c r="F18" s="17">
        <f>F17/F11</f>
        <v>0.63033699150734868</v>
      </c>
      <c r="G18" s="27"/>
      <c r="H18" s="17">
        <f>H17/H11</f>
        <v>0.67347167694896237</v>
      </c>
      <c r="I18" s="17">
        <f>I17/I11</f>
        <v>0.70021756555593728</v>
      </c>
      <c r="J18" s="17">
        <f>J17/J11</f>
        <v>0.69445696259576384</v>
      </c>
      <c r="K18" s="17">
        <f>K17/K11</f>
        <v>0.68929532006455085</v>
      </c>
      <c r="L18" s="17">
        <f>L17/L11</f>
        <v>0.61658724186940894</v>
      </c>
      <c r="M18" s="17">
        <f>M17/M11</f>
        <v>0.62272763674221188</v>
      </c>
      <c r="N18" s="17">
        <f>N17/N11</f>
        <v>0.6392288861689106</v>
      </c>
      <c r="O18" s="17">
        <f>O17/O11</f>
        <v>0.64052938665148718</v>
      </c>
      <c r="P18" s="17">
        <f>P17/P11</f>
        <v>0.68014212925717354</v>
      </c>
      <c r="Q18" s="17">
        <f>Q17/Q11</f>
        <v>0.6796187683284457</v>
      </c>
      <c r="R18" s="17">
        <f>R17/R11</f>
        <v>0.67095035105315948</v>
      </c>
      <c r="S18" s="28"/>
      <c r="T18" s="17" t="e">
        <f>T17/T11</f>
        <v>#REF!</v>
      </c>
      <c r="U18" s="17" t="e">
        <f>U17/U11</f>
        <v>#REF!</v>
      </c>
      <c r="V18" s="17" t="e">
        <f>V17/V11</f>
        <v>#REF!</v>
      </c>
      <c r="W18" s="17" t="e">
        <f>W17/W11</f>
        <v>#REF!</v>
      </c>
      <c r="X18" s="17">
        <f>X17/X11</f>
        <v>0.75042063937184522</v>
      </c>
      <c r="Y18" s="17">
        <f>Y17/Y11</f>
        <v>0.75951949229374438</v>
      </c>
      <c r="Z18" s="17">
        <f>Z17/Z11</f>
        <v>0.76055647715276731</v>
      </c>
      <c r="AA18" s="17">
        <f>AA17/AA11</f>
        <v>0.75889890840056951</v>
      </c>
      <c r="AB18" s="17">
        <f>AB17/AB11</f>
        <v>0.77946738710922425</v>
      </c>
      <c r="AC18" s="17">
        <f>AC17/AC11</f>
        <v>0.78927239024848073</v>
      </c>
      <c r="AD18" s="17">
        <f>AD17/AD11</f>
        <v>0.63898323187012707</v>
      </c>
      <c r="AE18" s="17">
        <f>AE17/AE11</f>
        <v>0.63033699150734868</v>
      </c>
      <c r="AF18" s="17">
        <f>AF17/AF11</f>
        <v>0.64697683801280048</v>
      </c>
      <c r="AG18" s="17">
        <f>AG17/AG11</f>
        <v>0.66087017494653433</v>
      </c>
      <c r="AH18" s="17">
        <f>AH17/AH11</f>
        <v>0.66827420485265165</v>
      </c>
      <c r="AI18" s="42"/>
      <c r="AJ18" s="78">
        <f>SUM(AH18-AD18)*1000</f>
        <v>29.290972982524586</v>
      </c>
    </row>
    <row r="19" spans="2:36" ht="5.0999999999999996" customHeight="1">
      <c r="B19" s="29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42"/>
      <c r="AJ19" s="76"/>
    </row>
    <row r="20" spans="2:36" ht="12.75" customHeight="1">
      <c r="B20" s="9" t="s">
        <v>117</v>
      </c>
      <c r="C20" s="83">
        <v>-4854</v>
      </c>
      <c r="D20" s="83">
        <v>-4919</v>
      </c>
      <c r="E20" s="83">
        <v>-5253</v>
      </c>
      <c r="F20" s="83">
        <v>-9310</v>
      </c>
      <c r="G20" s="32"/>
      <c r="H20" s="97">
        <v>-1195</v>
      </c>
      <c r="I20" s="97">
        <v>-1312</v>
      </c>
      <c r="J20" s="97">
        <v>-1358</v>
      </c>
      <c r="K20" s="32">
        <f t="shared" ref="K20:K23" si="48">SUM(E20-SUM(H20:J20))</f>
        <v>-1388</v>
      </c>
      <c r="L20" s="97">
        <v>-2308</v>
      </c>
      <c r="M20" s="97">
        <v>-2415</v>
      </c>
      <c r="N20" s="97">
        <v>-2353</v>
      </c>
      <c r="O20" s="32">
        <f t="shared" ref="O20:O23" si="49">SUM(F20-SUM(L20:N20))</f>
        <v>-2234</v>
      </c>
      <c r="P20" s="83">
        <v>-2253</v>
      </c>
      <c r="Q20" s="83">
        <v>-2693</v>
      </c>
      <c r="R20" s="83">
        <v>-3050</v>
      </c>
      <c r="T20" s="32" t="e">
        <f>SUM(#REF!)</f>
        <v>#REF!</v>
      </c>
      <c r="U20" s="32" t="e">
        <f>SUM(#REF!)</f>
        <v>#REF!</v>
      </c>
      <c r="V20" s="32" t="e">
        <f>SUM(#REF!)</f>
        <v>#REF!</v>
      </c>
      <c r="W20" s="32" t="e">
        <f>SUM(#REF!)</f>
        <v>#REF!</v>
      </c>
      <c r="X20" s="32">
        <f>SUM(H20:H20)</f>
        <v>-1195</v>
      </c>
      <c r="Y20" s="32">
        <f>SUM(H20:I20)</f>
        <v>-2507</v>
      </c>
      <c r="Z20" s="32">
        <f>SUM(H20:J20)</f>
        <v>-3865</v>
      </c>
      <c r="AA20" s="32">
        <f t="shared" ref="AA20:AH23" si="50">SUM(H20:K20)</f>
        <v>-5253</v>
      </c>
      <c r="AB20" s="32">
        <f t="shared" si="50"/>
        <v>-6366</v>
      </c>
      <c r="AC20" s="32">
        <f t="shared" si="50"/>
        <v>-7469</v>
      </c>
      <c r="AD20" s="32">
        <f t="shared" si="50"/>
        <v>-8464</v>
      </c>
      <c r="AE20" s="32">
        <f t="shared" si="50"/>
        <v>-9310</v>
      </c>
      <c r="AF20" s="32">
        <f t="shared" si="50"/>
        <v>-9255</v>
      </c>
      <c r="AG20" s="32">
        <f t="shared" si="50"/>
        <v>-9533</v>
      </c>
      <c r="AH20" s="32">
        <f t="shared" si="50"/>
        <v>-10230</v>
      </c>
      <c r="AI20" s="11"/>
      <c r="AJ20" s="76">
        <f>SUM(AH20/AD20)-1</f>
        <v>0.20864839319470696</v>
      </c>
    </row>
    <row r="21" spans="2:36" ht="12.75" customHeight="1">
      <c r="B21" s="9" t="s">
        <v>118</v>
      </c>
      <c r="C21" s="83">
        <v>-1347</v>
      </c>
      <c r="D21" s="83">
        <v>-1382</v>
      </c>
      <c r="E21" s="83">
        <v>-1592</v>
      </c>
      <c r="F21" s="83">
        <v>-4959</v>
      </c>
      <c r="G21" s="32"/>
      <c r="H21" s="97">
        <v>-348</v>
      </c>
      <c r="I21" s="97">
        <v>-438</v>
      </c>
      <c r="J21" s="97">
        <v>-388</v>
      </c>
      <c r="K21" s="32">
        <f t="shared" si="48"/>
        <v>-418</v>
      </c>
      <c r="L21" s="97">
        <v>-1572</v>
      </c>
      <c r="M21" s="97">
        <v>-1277</v>
      </c>
      <c r="N21" s="97">
        <v>-1100</v>
      </c>
      <c r="O21" s="32">
        <f t="shared" si="49"/>
        <v>-1010</v>
      </c>
      <c r="P21" s="83">
        <v>-949</v>
      </c>
      <c r="Q21" s="83">
        <v>-1083</v>
      </c>
      <c r="R21" s="83">
        <v>-1072</v>
      </c>
      <c r="T21" s="32" t="e">
        <f>SUM(#REF!)</f>
        <v>#REF!</v>
      </c>
      <c r="U21" s="32" t="e">
        <f>SUM(#REF!)</f>
        <v>#REF!</v>
      </c>
      <c r="V21" s="32" t="e">
        <f>SUM(#REF!)</f>
        <v>#REF!</v>
      </c>
      <c r="W21" s="32" t="e">
        <f>SUM(#REF!)</f>
        <v>#REF!</v>
      </c>
      <c r="X21" s="32">
        <f>SUM(H21:H21)</f>
        <v>-348</v>
      </c>
      <c r="Y21" s="32">
        <f>SUM(H21:I21)</f>
        <v>-786</v>
      </c>
      <c r="Z21" s="32">
        <f>SUM(H21:J21)</f>
        <v>-1174</v>
      </c>
      <c r="AA21" s="32">
        <f t="shared" si="50"/>
        <v>-1592</v>
      </c>
      <c r="AB21" s="32">
        <f t="shared" si="50"/>
        <v>-2816</v>
      </c>
      <c r="AC21" s="32">
        <f t="shared" si="50"/>
        <v>-3655</v>
      </c>
      <c r="AD21" s="32">
        <f t="shared" si="50"/>
        <v>-4367</v>
      </c>
      <c r="AE21" s="32">
        <f t="shared" si="50"/>
        <v>-4959</v>
      </c>
      <c r="AF21" s="32">
        <f t="shared" si="50"/>
        <v>-4336</v>
      </c>
      <c r="AG21" s="32">
        <f t="shared" si="50"/>
        <v>-4142</v>
      </c>
      <c r="AH21" s="32">
        <f t="shared" si="50"/>
        <v>-4114</v>
      </c>
      <c r="AI21" s="11"/>
      <c r="AJ21" s="76">
        <f>SUM(AH21/AD21)-1</f>
        <v>-5.7934508816120944E-2</v>
      </c>
    </row>
    <row r="22" spans="2:36" ht="12.75" customHeight="1">
      <c r="B22" s="9" t="s">
        <v>119</v>
      </c>
      <c r="C22" s="83">
        <v>-1976</v>
      </c>
      <c r="D22" s="83">
        <v>-1512</v>
      </c>
      <c r="E22" s="83">
        <v>-1394</v>
      </c>
      <c r="F22" s="83">
        <v>-3244</v>
      </c>
      <c r="G22" s="32"/>
      <c r="H22" s="97">
        <v>-348</v>
      </c>
      <c r="I22" s="97">
        <v>-348</v>
      </c>
      <c r="J22" s="97">
        <v>-350</v>
      </c>
      <c r="K22" s="32">
        <f t="shared" si="48"/>
        <v>-348</v>
      </c>
      <c r="L22" s="97">
        <v>-792</v>
      </c>
      <c r="M22" s="97">
        <v>-827</v>
      </c>
      <c r="N22" s="97">
        <v>-812</v>
      </c>
      <c r="O22" s="32">
        <f t="shared" si="49"/>
        <v>-813</v>
      </c>
      <c r="P22" s="83">
        <v>-511</v>
      </c>
      <c r="Q22" s="83">
        <v>-506</v>
      </c>
      <c r="R22" s="83">
        <v>-507</v>
      </c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>
        <f t="shared" ref="AD22:AD23" si="51">SUM(K22:N22)</f>
        <v>-2779</v>
      </c>
      <c r="AE22" s="32">
        <f t="shared" ref="AE22:AE23" si="52">SUM(L22:O22)</f>
        <v>-3244</v>
      </c>
      <c r="AF22" s="32">
        <f t="shared" ref="AF22:AF23" si="53">SUM(M22:P22)</f>
        <v>-2963</v>
      </c>
      <c r="AG22" s="32">
        <f t="shared" ref="AG22:AG23" si="54">SUM(N22:Q22)</f>
        <v>-2642</v>
      </c>
      <c r="AH22" s="32">
        <f t="shared" ref="AH22:AH23" si="55">SUM(O22:R22)</f>
        <v>-2337</v>
      </c>
      <c r="AI22" s="11"/>
      <c r="AJ22" s="76">
        <f>SUM(AH22/AD22)-1</f>
        <v>-0.15905001799208351</v>
      </c>
    </row>
    <row r="23" spans="2:36" ht="12.75" customHeight="1">
      <c r="B23" s="9" t="s">
        <v>120</v>
      </c>
      <c r="C23" s="83">
        <v>-148</v>
      </c>
      <c r="D23" s="83">
        <v>-57</v>
      </c>
      <c r="E23" s="83">
        <v>-244</v>
      </c>
      <c r="F23" s="83">
        <v>-1533</v>
      </c>
      <c r="G23" s="32"/>
      <c r="H23" s="97">
        <v>-10</v>
      </c>
      <c r="I23" s="97">
        <v>-9</v>
      </c>
      <c r="J23" s="97">
        <v>-212</v>
      </c>
      <c r="K23" s="32">
        <f t="shared" si="48"/>
        <v>-13</v>
      </c>
      <c r="L23" s="97">
        <v>-620</v>
      </c>
      <c r="M23" s="97">
        <v>-292</v>
      </c>
      <c r="N23" s="97">
        <v>-303</v>
      </c>
      <c r="O23" s="32">
        <f t="shared" si="49"/>
        <v>-318</v>
      </c>
      <c r="P23" s="83">
        <v>-172</v>
      </c>
      <c r="Q23" s="83">
        <v>-86</v>
      </c>
      <c r="R23" s="83">
        <v>-187</v>
      </c>
      <c r="T23" s="32" t="e">
        <f>SUM(#REF!)</f>
        <v>#REF!</v>
      </c>
      <c r="U23" s="32" t="e">
        <f>SUM(#REF!)</f>
        <v>#REF!</v>
      </c>
      <c r="V23" s="32" t="e">
        <f>SUM(#REF!)</f>
        <v>#REF!</v>
      </c>
      <c r="W23" s="32" t="e">
        <f>SUM(#REF!)</f>
        <v>#REF!</v>
      </c>
      <c r="X23" s="32">
        <f>SUM(H23:H23)</f>
        <v>-10</v>
      </c>
      <c r="Y23" s="32">
        <f>SUM(H23:I23)</f>
        <v>-19</v>
      </c>
      <c r="Z23" s="32">
        <f>SUM(H23:J23)</f>
        <v>-231</v>
      </c>
      <c r="AA23" s="32">
        <f t="shared" si="50"/>
        <v>-244</v>
      </c>
      <c r="AB23" s="32">
        <f t="shared" si="50"/>
        <v>-854</v>
      </c>
      <c r="AC23" s="32">
        <f t="shared" si="50"/>
        <v>-1137</v>
      </c>
      <c r="AD23" s="32">
        <f t="shared" si="51"/>
        <v>-1228</v>
      </c>
      <c r="AE23" s="32">
        <f t="shared" si="52"/>
        <v>-1533</v>
      </c>
      <c r="AF23" s="32">
        <f t="shared" si="53"/>
        <v>-1085</v>
      </c>
      <c r="AG23" s="32">
        <f t="shared" si="54"/>
        <v>-879</v>
      </c>
      <c r="AH23" s="32">
        <f t="shared" si="55"/>
        <v>-763</v>
      </c>
      <c r="AI23" s="11"/>
      <c r="AJ23" s="76">
        <f>SUM(AH23/AD23)-1</f>
        <v>-0.37866449511400646</v>
      </c>
    </row>
    <row r="24" spans="2:36" ht="12.75" customHeight="1">
      <c r="B24" s="25" t="s">
        <v>83</v>
      </c>
      <c r="C24" s="26">
        <f t="shared" ref="C24:F24" si="56">+SUM(C17+SUM(C20:C23))</f>
        <v>8519</v>
      </c>
      <c r="D24" s="26">
        <f t="shared" si="56"/>
        <v>14225</v>
      </c>
      <c r="E24" s="26">
        <f t="shared" si="56"/>
        <v>16207</v>
      </c>
      <c r="F24" s="26">
        <f t="shared" si="56"/>
        <v>13463</v>
      </c>
      <c r="G24" s="32"/>
      <c r="H24" s="26">
        <f t="shared" ref="H24:R24" si="57">+SUM(H17+SUM(H20:H23))</f>
        <v>4103</v>
      </c>
      <c r="I24" s="26">
        <f t="shared" si="57"/>
        <v>4008</v>
      </c>
      <c r="J24" s="26">
        <f t="shared" si="57"/>
        <v>3856</v>
      </c>
      <c r="K24" s="26">
        <f t="shared" si="57"/>
        <v>4240</v>
      </c>
      <c r="L24" s="26">
        <f t="shared" si="57"/>
        <v>2083</v>
      </c>
      <c r="M24" s="26">
        <f t="shared" si="57"/>
        <v>2965</v>
      </c>
      <c r="N24" s="26">
        <f t="shared" si="57"/>
        <v>3788</v>
      </c>
      <c r="O24" s="26">
        <f t="shared" si="57"/>
        <v>4627</v>
      </c>
      <c r="P24" s="26">
        <f t="shared" si="57"/>
        <v>6260</v>
      </c>
      <c r="Q24" s="26">
        <f t="shared" si="57"/>
        <v>5829</v>
      </c>
      <c r="R24" s="26">
        <f t="shared" si="57"/>
        <v>5887</v>
      </c>
      <c r="T24" s="26" t="e">
        <f t="shared" ref="T24:AH24" si="58">+SUM(T17+SUM(T20:T23))</f>
        <v>#REF!</v>
      </c>
      <c r="U24" s="26" t="e">
        <f t="shared" si="58"/>
        <v>#REF!</v>
      </c>
      <c r="V24" s="26" t="e">
        <f t="shared" si="58"/>
        <v>#REF!</v>
      </c>
      <c r="W24" s="26" t="e">
        <f t="shared" si="58"/>
        <v>#REF!</v>
      </c>
      <c r="X24" s="26">
        <f t="shared" si="58"/>
        <v>5137</v>
      </c>
      <c r="Y24" s="26">
        <f t="shared" si="58"/>
        <v>10092</v>
      </c>
      <c r="Z24" s="26">
        <f t="shared" si="58"/>
        <v>14903</v>
      </c>
      <c r="AA24" s="26">
        <f t="shared" si="58"/>
        <v>20094</v>
      </c>
      <c r="AB24" s="26">
        <f t="shared" si="58"/>
        <v>20258</v>
      </c>
      <c r="AC24" s="26">
        <f t="shared" si="58"/>
        <v>21377</v>
      </c>
      <c r="AD24" s="26">
        <f t="shared" si="58"/>
        <v>13076</v>
      </c>
      <c r="AE24" s="26">
        <f t="shared" si="58"/>
        <v>13463</v>
      </c>
      <c r="AF24" s="26">
        <f t="shared" si="58"/>
        <v>17640</v>
      </c>
      <c r="AG24" s="26">
        <f t="shared" si="58"/>
        <v>20504</v>
      </c>
      <c r="AH24" s="26">
        <f t="shared" si="58"/>
        <v>22603</v>
      </c>
      <c r="AI24" s="11"/>
      <c r="AJ24" s="77">
        <f>SUM(AH24/AD24)-1</f>
        <v>0.72858672376873668</v>
      </c>
    </row>
    <row r="25" spans="2:36" ht="12.75" customHeight="1">
      <c r="B25" s="16" t="s">
        <v>34</v>
      </c>
      <c r="C25" s="17">
        <f>C24/C11</f>
        <v>0.31034608378870676</v>
      </c>
      <c r="D25" s="17">
        <f>D24/D11</f>
        <v>0.42842514230641809</v>
      </c>
      <c r="E25" s="17">
        <f>E24/E11</f>
        <v>0.45246935983695802</v>
      </c>
      <c r="F25" s="17">
        <f>F24/F11</f>
        <v>0.26104238569822003</v>
      </c>
      <c r="G25" s="32"/>
      <c r="H25" s="17">
        <f>H24/H11</f>
        <v>0.4602355580482333</v>
      </c>
      <c r="I25" s="17">
        <f>I24/I11</f>
        <v>0.45894881484026107</v>
      </c>
      <c r="J25" s="17">
        <f>J24/J11</f>
        <v>0.43442992338891395</v>
      </c>
      <c r="K25" s="17">
        <f>K24/K11</f>
        <v>0.45615922538999459</v>
      </c>
      <c r="L25" s="17">
        <f>L24/L11</f>
        <v>0.17414931861884458</v>
      </c>
      <c r="M25" s="17">
        <f>M24/M11</f>
        <v>0.23744694482261552</v>
      </c>
      <c r="N25" s="17">
        <f>N24/N11</f>
        <v>0.28977968176254593</v>
      </c>
      <c r="O25" s="17">
        <f>O24/O11</f>
        <v>0.3292301124235093</v>
      </c>
      <c r="P25" s="17">
        <f>P24/P11</f>
        <v>0.41968356127648165</v>
      </c>
      <c r="Q25" s="17">
        <f>Q24/Q11</f>
        <v>0.38849640095974408</v>
      </c>
      <c r="R25" s="17">
        <f>R24/R11</f>
        <v>0.36904463390170511</v>
      </c>
      <c r="T25" s="17" t="e">
        <f>T24/T11</f>
        <v>#REF!</v>
      </c>
      <c r="U25" s="17" t="e">
        <f>U24/U11</f>
        <v>#REF!</v>
      </c>
      <c r="V25" s="17" t="e">
        <f>V24/V11</f>
        <v>#REF!</v>
      </c>
      <c r="W25" s="17" t="e">
        <f>W24/W11</f>
        <v>#REF!</v>
      </c>
      <c r="X25" s="17">
        <f>X24/X11</f>
        <v>0.57621985417835109</v>
      </c>
      <c r="Y25" s="17">
        <f>Y24/Y11</f>
        <v>0.57184950135992751</v>
      </c>
      <c r="Z25" s="17">
        <f>Z24/Z11</f>
        <v>0.56186849645603987</v>
      </c>
      <c r="AA25" s="17">
        <f>AA24/AA11</f>
        <v>0.56098718557190319</v>
      </c>
      <c r="AB25" s="17">
        <f>AB24/AB11</f>
        <v>0.52124019040267588</v>
      </c>
      <c r="AC25" s="17">
        <f>AC24/AC11</f>
        <v>0.50158380065229125</v>
      </c>
      <c r="AD25" s="17">
        <f>AD24/AD11</f>
        <v>0.27931218626508597</v>
      </c>
      <c r="AE25" s="17">
        <f>AE24/AE11</f>
        <v>0.26104238569822003</v>
      </c>
      <c r="AF25" s="17">
        <f>AF24/AF11</f>
        <v>0.32349758843917914</v>
      </c>
      <c r="AG25" s="17">
        <f>AG24/AG11</f>
        <v>0.35942923254917086</v>
      </c>
      <c r="AH25" s="17">
        <f>AH24/AH11</f>
        <v>0.37718185762440343</v>
      </c>
      <c r="AI25" s="11"/>
      <c r="AJ25" s="78">
        <f>SUM(AH25-AD25)*1000</f>
        <v>97.869671359317451</v>
      </c>
    </row>
    <row r="26" spans="2:36" ht="5.0999999999999996" customHeight="1">
      <c r="B26" s="16"/>
      <c r="C26" s="17"/>
      <c r="D26" s="17"/>
      <c r="E26" s="17"/>
      <c r="F26" s="17"/>
      <c r="G26" s="32"/>
      <c r="H26" s="83"/>
      <c r="I26" s="83"/>
      <c r="J26" s="83"/>
      <c r="K26" s="83"/>
      <c r="L26" s="83"/>
      <c r="M26" s="83"/>
      <c r="N26" s="83"/>
      <c r="O26" s="83"/>
      <c r="P26" s="32"/>
      <c r="Q26" s="83"/>
      <c r="R26" s="83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11"/>
      <c r="AJ26" s="76"/>
    </row>
    <row r="27" spans="2:36" ht="12.75" customHeight="1">
      <c r="B27" s="9" t="s">
        <v>124</v>
      </c>
      <c r="C27" s="83">
        <v>-1885</v>
      </c>
      <c r="D27" s="83">
        <v>-1737</v>
      </c>
      <c r="E27" s="83">
        <v>-1622</v>
      </c>
      <c r="F27" s="83">
        <v>-3953</v>
      </c>
      <c r="G27" s="32"/>
      <c r="H27" s="97">
        <v>-406</v>
      </c>
      <c r="I27" s="97">
        <v>-405</v>
      </c>
      <c r="J27" s="97">
        <v>-406</v>
      </c>
      <c r="K27" s="32">
        <f t="shared" ref="K27:K28" si="59">SUM(E27-SUM(H27:J27))</f>
        <v>-405</v>
      </c>
      <c r="L27" s="97">
        <v>-926</v>
      </c>
      <c r="M27" s="97">
        <v>-1047</v>
      </c>
      <c r="N27" s="97">
        <v>-1064</v>
      </c>
      <c r="O27" s="32">
        <f t="shared" ref="O27:O28" si="60">SUM(F27-SUM(L27:N27))</f>
        <v>-916</v>
      </c>
      <c r="P27" s="83">
        <v>-873</v>
      </c>
      <c r="Q27" s="83">
        <v>-769</v>
      </c>
      <c r="R27" s="83">
        <v>-807</v>
      </c>
      <c r="T27" s="32" t="e">
        <f>SUM(#REF!)</f>
        <v>#REF!</v>
      </c>
      <c r="U27" s="32" t="e">
        <f>SUM(#REF!)</f>
        <v>#REF!</v>
      </c>
      <c r="V27" s="32" t="e">
        <f>SUM(#REF!)</f>
        <v>#REF!</v>
      </c>
      <c r="W27" s="32" t="e">
        <f>SUM(#REF!)</f>
        <v>#REF!</v>
      </c>
      <c r="X27" s="32">
        <f>SUM(H27:H27)</f>
        <v>-406</v>
      </c>
      <c r="Y27" s="32">
        <f>SUM(H27:I27)</f>
        <v>-811</v>
      </c>
      <c r="Z27" s="32">
        <f>SUM(H27:J27)</f>
        <v>-1217</v>
      </c>
      <c r="AA27" s="32">
        <f t="shared" ref="AA27:AA28" si="61">SUM(H27:K27)</f>
        <v>-1622</v>
      </c>
      <c r="AB27" s="32">
        <f t="shared" ref="AB27:AB28" si="62">SUM(I27:L27)</f>
        <v>-2142</v>
      </c>
      <c r="AC27" s="32">
        <f t="shared" ref="AC27:AC28" si="63">SUM(J27:M27)</f>
        <v>-2784</v>
      </c>
      <c r="AD27" s="32">
        <f t="shared" ref="AD27:AD28" si="64">SUM(K27:N27)</f>
        <v>-3442</v>
      </c>
      <c r="AE27" s="32">
        <f t="shared" ref="AE27:AE28" si="65">SUM(L27:O27)</f>
        <v>-3953</v>
      </c>
      <c r="AF27" s="32">
        <f t="shared" ref="AF27:AF28" si="66">SUM(M27:P27)</f>
        <v>-3900</v>
      </c>
      <c r="AG27" s="32">
        <f t="shared" ref="AG27:AG28" si="67">SUM(N27:Q27)</f>
        <v>-3622</v>
      </c>
      <c r="AH27" s="32">
        <f t="shared" ref="AH27:AH28" si="68">SUM(O27:R27)</f>
        <v>-3365</v>
      </c>
      <c r="AI27" s="11"/>
      <c r="AJ27" s="76">
        <f>SUM(AH27/AD27)-1</f>
        <v>-2.2370714700755356E-2</v>
      </c>
    </row>
    <row r="28" spans="2:36" ht="12.75" customHeight="1">
      <c r="B28" s="9" t="s">
        <v>125</v>
      </c>
      <c r="C28" s="83">
        <v>131</v>
      </c>
      <c r="D28" s="83">
        <v>-54</v>
      </c>
      <c r="E28" s="83">
        <v>512</v>
      </c>
      <c r="F28" s="83">
        <v>406</v>
      </c>
      <c r="G28" s="32"/>
      <c r="H28" s="97">
        <v>143</v>
      </c>
      <c r="I28" s="97">
        <v>113</v>
      </c>
      <c r="J28" s="97">
        <v>124</v>
      </c>
      <c r="K28" s="32">
        <f t="shared" si="59"/>
        <v>132</v>
      </c>
      <c r="L28" s="97">
        <v>185</v>
      </c>
      <c r="M28" s="97">
        <v>87</v>
      </c>
      <c r="N28" s="97">
        <v>82</v>
      </c>
      <c r="O28" s="32">
        <f t="shared" si="60"/>
        <v>52</v>
      </c>
      <c r="P28" s="83">
        <v>103</v>
      </c>
      <c r="Q28" s="83">
        <v>25</v>
      </c>
      <c r="R28" s="83">
        <v>205</v>
      </c>
      <c r="T28" s="32" t="e">
        <f>SUM(#REF!)</f>
        <v>#REF!</v>
      </c>
      <c r="U28" s="32" t="e">
        <f>SUM(#REF!)</f>
        <v>#REF!</v>
      </c>
      <c r="V28" s="32" t="e">
        <f>SUM(#REF!)</f>
        <v>#REF!</v>
      </c>
      <c r="W28" s="32" t="e">
        <f>SUM(#REF!)</f>
        <v>#REF!</v>
      </c>
      <c r="X28" s="32">
        <f>SUM(H28:H28)</f>
        <v>143</v>
      </c>
      <c r="Y28" s="32">
        <f>SUM(H28:I28)</f>
        <v>256</v>
      </c>
      <c r="Z28" s="32">
        <f>SUM(H28:J28)</f>
        <v>380</v>
      </c>
      <c r="AA28" s="32">
        <f t="shared" si="61"/>
        <v>512</v>
      </c>
      <c r="AB28" s="32">
        <f t="shared" si="62"/>
        <v>554</v>
      </c>
      <c r="AC28" s="32">
        <f t="shared" si="63"/>
        <v>528</v>
      </c>
      <c r="AD28" s="32">
        <f t="shared" si="64"/>
        <v>486</v>
      </c>
      <c r="AE28" s="32">
        <f t="shared" si="65"/>
        <v>406</v>
      </c>
      <c r="AF28" s="32">
        <f t="shared" si="66"/>
        <v>324</v>
      </c>
      <c r="AG28" s="32">
        <f t="shared" si="67"/>
        <v>262</v>
      </c>
      <c r="AH28" s="32">
        <f t="shared" si="68"/>
        <v>385</v>
      </c>
      <c r="AI28" s="11"/>
      <c r="AJ28" s="76">
        <f>SUM(AH28/AD28)-1</f>
        <v>-0.20781893004115226</v>
      </c>
    </row>
    <row r="29" spans="2:36" ht="12.75" customHeight="1">
      <c r="B29" s="25" t="s">
        <v>84</v>
      </c>
      <c r="C29" s="26">
        <f>SUM(C24+SUM(C27:C28))</f>
        <v>6765</v>
      </c>
      <c r="D29" s="26">
        <f>SUM(D24+SUM(D27:D28))</f>
        <v>12434</v>
      </c>
      <c r="E29" s="26">
        <f>SUM(E24+SUM(E27:E28))</f>
        <v>15097</v>
      </c>
      <c r="F29" s="26">
        <f>SUM(F24+SUM(F27:F28))</f>
        <v>9916</v>
      </c>
      <c r="H29" s="26">
        <f>SUM(H24+SUM(H27:H28))</f>
        <v>3840</v>
      </c>
      <c r="I29" s="26">
        <f>SUM(I24+SUM(I27:I28))</f>
        <v>3716</v>
      </c>
      <c r="J29" s="26">
        <f>SUM(J24+SUM(J27:J28))</f>
        <v>3574</v>
      </c>
      <c r="K29" s="26">
        <f>SUM(K24+SUM(K27:K28))</f>
        <v>3967</v>
      </c>
      <c r="L29" s="26">
        <f>SUM(L24+SUM(L27:L28))</f>
        <v>1342</v>
      </c>
      <c r="M29" s="26">
        <f>SUM(M24+SUM(M27:M28))</f>
        <v>2005</v>
      </c>
      <c r="N29" s="26">
        <f>SUM(N24+SUM(N27:N28))</f>
        <v>2806</v>
      </c>
      <c r="O29" s="26">
        <f>SUM(O24+SUM(O27:O28))</f>
        <v>3763</v>
      </c>
      <c r="P29" s="26">
        <f>SUM(P24+SUM(P27:P28))</f>
        <v>5490</v>
      </c>
      <c r="Q29" s="26">
        <f>SUM(Q24+SUM(Q27:Q28))</f>
        <v>5085</v>
      </c>
      <c r="R29" s="26">
        <f>SUM(R24+SUM(R27:R28))</f>
        <v>5285</v>
      </c>
      <c r="T29" s="26" t="e">
        <f>SUM(T24+SUM(T27:T28))</f>
        <v>#REF!</v>
      </c>
      <c r="U29" s="26" t="e">
        <f>SUM(U24+SUM(U27:U28))</f>
        <v>#REF!</v>
      </c>
      <c r="V29" s="26" t="e">
        <f>SUM(V24+SUM(V27:V28))</f>
        <v>#REF!</v>
      </c>
      <c r="W29" s="26" t="e">
        <f>SUM(W24+SUM(W27:W28))</f>
        <v>#REF!</v>
      </c>
      <c r="X29" s="26">
        <f>SUM(X24+SUM(X27:X28))</f>
        <v>4874</v>
      </c>
      <c r="Y29" s="26">
        <f>SUM(Y24+SUM(Y27:Y28))</f>
        <v>9537</v>
      </c>
      <c r="Z29" s="26">
        <f>SUM(Z24+SUM(Z27:Z28))</f>
        <v>14066</v>
      </c>
      <c r="AA29" s="26">
        <f>SUM(AA24+SUM(AA27:AA28))</f>
        <v>18984</v>
      </c>
      <c r="AB29" s="26">
        <f>SUM(AB24+SUM(AB27:AB28))</f>
        <v>18670</v>
      </c>
      <c r="AC29" s="26">
        <f>SUM(AC24+SUM(AC27:AC28))</f>
        <v>19121</v>
      </c>
      <c r="AD29" s="26">
        <f>SUM(AD24+SUM(AD27:AD28))</f>
        <v>10120</v>
      </c>
      <c r="AE29" s="26">
        <f>SUM(AE24+SUM(AE27:AE28))</f>
        <v>9916</v>
      </c>
      <c r="AF29" s="26">
        <f>SUM(AF24+SUM(AF27:AF28))</f>
        <v>14064</v>
      </c>
      <c r="AG29" s="26">
        <f>SUM(AG24+SUM(AG27:AG28))</f>
        <v>17144</v>
      </c>
      <c r="AH29" s="26">
        <f>SUM(AH24+SUM(AH27:AH28))</f>
        <v>19623</v>
      </c>
      <c r="AI29" s="42"/>
      <c r="AJ29" s="77">
        <f>SUM(AH29/AD29)-1</f>
        <v>0.93903162055335976</v>
      </c>
    </row>
    <row r="30" spans="2:36" ht="12.75" customHeight="1">
      <c r="B30" s="16" t="s">
        <v>85</v>
      </c>
      <c r="C30" s="17">
        <f>C29/C11</f>
        <v>0.246448087431694</v>
      </c>
      <c r="D30" s="17">
        <f>D29/D11</f>
        <v>0.37448423335240794</v>
      </c>
      <c r="E30" s="17">
        <f>E29/E11</f>
        <v>0.42148021999497476</v>
      </c>
      <c r="F30" s="17">
        <f>F29/F11</f>
        <v>0.19226742156900764</v>
      </c>
      <c r="G30" s="27"/>
      <c r="H30" s="17">
        <f>H29/H11</f>
        <v>0.4307347167694896</v>
      </c>
      <c r="I30" s="17">
        <f>I29/I11</f>
        <v>0.42551242413832591</v>
      </c>
      <c r="J30" s="17">
        <f>J29/J11</f>
        <v>0.40265885534024337</v>
      </c>
      <c r="K30" s="17">
        <f>K29/K11</f>
        <v>0.42678859601936525</v>
      </c>
      <c r="L30" s="17">
        <f>L29/L11</f>
        <v>0.11219797675779616</v>
      </c>
      <c r="M30" s="17">
        <f>M29/M11</f>
        <v>0.16056698966925603</v>
      </c>
      <c r="N30" s="17">
        <f>N29/N11</f>
        <v>0.21465728274173806</v>
      </c>
      <c r="O30" s="17">
        <f>O29/O11</f>
        <v>0.26775295289597267</v>
      </c>
      <c r="P30" s="17">
        <f>P29/P11</f>
        <v>0.3680611423974256</v>
      </c>
      <c r="Q30" s="17">
        <f>Q29/Q11</f>
        <v>0.33890962410023995</v>
      </c>
      <c r="R30" s="17">
        <f>R29/R11</f>
        <v>0.33130641925777332</v>
      </c>
      <c r="S30" s="28"/>
      <c r="T30" s="17" t="e">
        <f>T29/T11</f>
        <v>#REF!</v>
      </c>
      <c r="U30" s="17" t="e">
        <f>U29/U11</f>
        <v>#REF!</v>
      </c>
      <c r="V30" s="17" t="e">
        <f>V29/V11</f>
        <v>#REF!</v>
      </c>
      <c r="W30" s="17" t="e">
        <f>W29/W11</f>
        <v>#REF!</v>
      </c>
      <c r="X30" s="17">
        <f>X29/X11</f>
        <v>0.54671901289960745</v>
      </c>
      <c r="Y30" s="17">
        <f>Y29/Y11</f>
        <v>0.54040117860380776</v>
      </c>
      <c r="Z30" s="17">
        <f>Z29/Z11</f>
        <v>0.53031217011008902</v>
      </c>
      <c r="AA30" s="17">
        <f>AA29/AA11</f>
        <v>0.52999804572991982</v>
      </c>
      <c r="AB30" s="17">
        <f>AB29/AB11</f>
        <v>0.48038080535185901</v>
      </c>
      <c r="AC30" s="17">
        <f>AC29/AC11</f>
        <v>0.44864966329571315</v>
      </c>
      <c r="AD30" s="17">
        <f>AD29/AD11</f>
        <v>0.21617003097297874</v>
      </c>
      <c r="AE30" s="17">
        <f>AE29/AE11</f>
        <v>0.19226742156900764</v>
      </c>
      <c r="AF30" s="17">
        <f>AF29/AF11</f>
        <v>0.25791780520457003</v>
      </c>
      <c r="AG30" s="17">
        <f>AG29/AG11</f>
        <v>0.30052939732847178</v>
      </c>
      <c r="AH30" s="17">
        <f>AH29/AH11</f>
        <v>0.32745385976037111</v>
      </c>
      <c r="AI30" s="43"/>
      <c r="AJ30" s="78">
        <f>SUM(AH30-AD30)*1000</f>
        <v>111.28382878739238</v>
      </c>
    </row>
    <row r="31" spans="2:36" ht="5.0999999999999996" customHeight="1">
      <c r="B31" s="29"/>
      <c r="C31" s="44"/>
      <c r="D31" s="44"/>
      <c r="E31" s="44"/>
      <c r="F31" s="44"/>
      <c r="G31" s="30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3"/>
      <c r="AJ31" s="76"/>
    </row>
    <row r="32" spans="2:36" ht="12.75" customHeight="1">
      <c r="B32" s="45" t="s">
        <v>65</v>
      </c>
      <c r="C32" s="83">
        <v>-29</v>
      </c>
      <c r="D32" s="83">
        <v>-939</v>
      </c>
      <c r="E32" s="83">
        <v>-1015</v>
      </c>
      <c r="F32" s="83">
        <v>-3748</v>
      </c>
      <c r="G32" s="32"/>
      <c r="H32" s="97">
        <v>-66</v>
      </c>
      <c r="I32" s="97">
        <v>-235</v>
      </c>
      <c r="J32" s="97">
        <v>-271</v>
      </c>
      <c r="K32" s="32">
        <f>SUM(E32-SUM(H32:J32))</f>
        <v>-443</v>
      </c>
      <c r="L32" s="97">
        <v>-68</v>
      </c>
      <c r="M32" s="97">
        <v>116</v>
      </c>
      <c r="N32" s="97">
        <v>-4238</v>
      </c>
      <c r="O32" s="32">
        <f>SUM(F32-SUM(L32:N32))</f>
        <v>442</v>
      </c>
      <c r="P32" s="83">
        <v>13</v>
      </c>
      <c r="Q32" s="83">
        <v>-120</v>
      </c>
      <c r="R32" s="83">
        <v>-1145</v>
      </c>
      <c r="S32" s="32"/>
      <c r="T32" s="32" t="e">
        <f>SUM(#REF!)</f>
        <v>#REF!</v>
      </c>
      <c r="U32" s="32" t="e">
        <f>SUM(#REF!)</f>
        <v>#REF!</v>
      </c>
      <c r="V32" s="32" t="e">
        <f>SUM(#REF!)</f>
        <v>#REF!</v>
      </c>
      <c r="W32" s="32" t="e">
        <f>SUM(#REF!)</f>
        <v>#REF!</v>
      </c>
      <c r="X32" s="32">
        <f>SUM(H32:H32)</f>
        <v>-66</v>
      </c>
      <c r="Y32" s="32">
        <f>SUM(H32:I32)</f>
        <v>-301</v>
      </c>
      <c r="Z32" s="32">
        <f>SUM(H32:J32)</f>
        <v>-572</v>
      </c>
      <c r="AA32" s="32">
        <f t="shared" ref="AA32" si="69">SUM(H32:K32)</f>
        <v>-1015</v>
      </c>
      <c r="AB32" s="32">
        <f t="shared" ref="AB32" si="70">SUM(I32:L32)</f>
        <v>-1017</v>
      </c>
      <c r="AC32" s="32">
        <f t="shared" ref="AC32" si="71">SUM(J32:M32)</f>
        <v>-666</v>
      </c>
      <c r="AD32" s="32">
        <f t="shared" ref="AD32" si="72">SUM(K32:N32)</f>
        <v>-4633</v>
      </c>
      <c r="AE32" s="32">
        <f t="shared" ref="AE32" si="73">SUM(L32:O32)</f>
        <v>-3748</v>
      </c>
      <c r="AF32" s="32">
        <f t="shared" ref="AF32" si="74">SUM(M32:P32)</f>
        <v>-3667</v>
      </c>
      <c r="AG32" s="32">
        <f t="shared" ref="AG32" si="75">SUM(N32:Q32)</f>
        <v>-3903</v>
      </c>
      <c r="AH32" s="32">
        <f>SUM(O32:R32)</f>
        <v>-810</v>
      </c>
      <c r="AI32" s="43"/>
      <c r="AJ32" s="76">
        <f>SUM(AH32/AD32)-1</f>
        <v>-0.82516727822145475</v>
      </c>
    </row>
    <row r="33" spans="1:36" ht="12.75" customHeight="1">
      <c r="B33" s="13" t="s">
        <v>162</v>
      </c>
      <c r="C33" s="14">
        <f t="shared" ref="C33:F33" si="76">SUM(C29+SUM(C32:C32))</f>
        <v>6736</v>
      </c>
      <c r="D33" s="14">
        <f t="shared" si="76"/>
        <v>11495</v>
      </c>
      <c r="E33" s="14">
        <f t="shared" si="76"/>
        <v>14082</v>
      </c>
      <c r="F33" s="14">
        <f t="shared" si="76"/>
        <v>6168</v>
      </c>
      <c r="G33" s="11"/>
      <c r="H33" s="14">
        <f t="shared" ref="H33:R33" si="77">SUM(H29+SUM(H32:H32))</f>
        <v>3774</v>
      </c>
      <c r="I33" s="14">
        <f t="shared" si="77"/>
        <v>3481</v>
      </c>
      <c r="J33" s="14">
        <f t="shared" si="77"/>
        <v>3303</v>
      </c>
      <c r="K33" s="14">
        <f t="shared" si="77"/>
        <v>3524</v>
      </c>
      <c r="L33" s="14">
        <f t="shared" si="77"/>
        <v>1274</v>
      </c>
      <c r="M33" s="14">
        <f t="shared" si="77"/>
        <v>2121</v>
      </c>
      <c r="N33" s="14">
        <f t="shared" si="77"/>
        <v>-1432</v>
      </c>
      <c r="O33" s="14">
        <f t="shared" si="77"/>
        <v>4205</v>
      </c>
      <c r="P33" s="14">
        <f t="shared" si="77"/>
        <v>5503</v>
      </c>
      <c r="Q33" s="14">
        <f t="shared" si="77"/>
        <v>4965</v>
      </c>
      <c r="R33" s="14">
        <f t="shared" si="77"/>
        <v>4140</v>
      </c>
      <c r="S33" s="32"/>
      <c r="T33" s="14" t="e">
        <f t="shared" ref="T33:AH33" si="78">SUM(T29+SUM(T32:T32))</f>
        <v>#REF!</v>
      </c>
      <c r="U33" s="14" t="e">
        <f t="shared" si="78"/>
        <v>#REF!</v>
      </c>
      <c r="V33" s="14" t="e">
        <f t="shared" si="78"/>
        <v>#REF!</v>
      </c>
      <c r="W33" s="14" t="e">
        <f t="shared" si="78"/>
        <v>#REF!</v>
      </c>
      <c r="X33" s="14">
        <f t="shared" si="78"/>
        <v>4808</v>
      </c>
      <c r="Y33" s="14">
        <f t="shared" si="78"/>
        <v>9236</v>
      </c>
      <c r="Z33" s="14">
        <f t="shared" si="78"/>
        <v>13494</v>
      </c>
      <c r="AA33" s="14">
        <f t="shared" si="78"/>
        <v>17969</v>
      </c>
      <c r="AB33" s="14">
        <f t="shared" si="78"/>
        <v>17653</v>
      </c>
      <c r="AC33" s="14">
        <f t="shared" si="78"/>
        <v>18455</v>
      </c>
      <c r="AD33" s="14">
        <f t="shared" si="78"/>
        <v>5487</v>
      </c>
      <c r="AE33" s="14">
        <f t="shared" si="78"/>
        <v>6168</v>
      </c>
      <c r="AF33" s="14">
        <f t="shared" si="78"/>
        <v>10397</v>
      </c>
      <c r="AG33" s="14">
        <f t="shared" si="78"/>
        <v>13241</v>
      </c>
      <c r="AH33" s="14">
        <f t="shared" si="78"/>
        <v>18813</v>
      </c>
      <c r="AI33" s="36"/>
      <c r="AJ33" s="77">
        <f>SUM(AH33/AD33)-1</f>
        <v>2.4286495352651722</v>
      </c>
    </row>
    <row r="34" spans="1:36" ht="12.75" customHeight="1">
      <c r="B34" s="16" t="s">
        <v>67</v>
      </c>
      <c r="C34" s="17">
        <f>C33/C11</f>
        <v>0.24539162112932605</v>
      </c>
      <c r="D34" s="17">
        <f>D33/D11</f>
        <v>0.34620365629611782</v>
      </c>
      <c r="E34" s="17">
        <f>E33/E11</f>
        <v>0.39314330383316115</v>
      </c>
      <c r="F34" s="17">
        <f>F33/F11</f>
        <v>0.11959514484042347</v>
      </c>
      <c r="G34" s="27"/>
      <c r="H34" s="17">
        <f>H33/H11</f>
        <v>0.42333146382501402</v>
      </c>
      <c r="I34" s="17">
        <f>I33/I11</f>
        <v>0.39860300011450817</v>
      </c>
      <c r="J34" s="17">
        <f>J33/J11</f>
        <v>0.37212708427219471</v>
      </c>
      <c r="K34" s="17">
        <f>K33/K11</f>
        <v>0.37912856374394838</v>
      </c>
      <c r="L34" s="17">
        <f>L33/L11</f>
        <v>0.10651283337513585</v>
      </c>
      <c r="M34" s="17">
        <f>M33/M11</f>
        <v>0.16985665091695362</v>
      </c>
      <c r="N34" s="17">
        <f>N33/N11</f>
        <v>-0.10954712362301101</v>
      </c>
      <c r="O34" s="17">
        <f>O33/O11</f>
        <v>0.2992030738579764</v>
      </c>
      <c r="P34" s="17">
        <f>P33/P11</f>
        <v>0.36893268972914989</v>
      </c>
      <c r="Q34" s="17">
        <f>Q33/Q11</f>
        <v>0.33091175686483604</v>
      </c>
      <c r="R34" s="17">
        <f>R33/R11</f>
        <v>0.25952858575727183</v>
      </c>
      <c r="S34" s="28"/>
      <c r="T34" s="17" t="e">
        <f>T33/T11</f>
        <v>#REF!</v>
      </c>
      <c r="U34" s="17" t="e">
        <f>U33/U11</f>
        <v>#REF!</v>
      </c>
      <c r="V34" s="17" t="e">
        <f>V33/V11</f>
        <v>#REF!</v>
      </c>
      <c r="W34" s="17" t="e">
        <f>W33/W11</f>
        <v>#REF!</v>
      </c>
      <c r="X34" s="17">
        <f>X33/X11</f>
        <v>0.53931575995513181</v>
      </c>
      <c r="Y34" s="17">
        <f>Y33/Y11</f>
        <v>0.52334542157751585</v>
      </c>
      <c r="Z34" s="17">
        <f>Z33/Z11</f>
        <v>0.50874679535515011</v>
      </c>
      <c r="AA34" s="17">
        <f>AA33/AA11</f>
        <v>0.50166112956810627</v>
      </c>
      <c r="AB34" s="17">
        <f>AB33/AB11</f>
        <v>0.45421330245722374</v>
      </c>
      <c r="AC34" s="17">
        <f>AC33/AC11</f>
        <v>0.43302283019310633</v>
      </c>
      <c r="AD34" s="17">
        <f>AD33/AD11</f>
        <v>0.11720602371034924</v>
      </c>
      <c r="AE34" s="17">
        <f>AE33/AE11</f>
        <v>0.11959514484042347</v>
      </c>
      <c r="AF34" s="17">
        <f>AF33/AF11</f>
        <v>0.19066918520420326</v>
      </c>
      <c r="AG34" s="17">
        <f>AG33/AG11</f>
        <v>0.23211092802299899</v>
      </c>
      <c r="AH34" s="17">
        <f>AH33/AH11</f>
        <v>0.31393718920001334</v>
      </c>
      <c r="AI34" s="43"/>
      <c r="AJ34" s="78">
        <f>SUM(AH34-AD34)*1000</f>
        <v>196.73116548966411</v>
      </c>
    </row>
    <row r="35" spans="1:36" ht="12.75" customHeight="1">
      <c r="B35" s="45" t="s">
        <v>162</v>
      </c>
      <c r="C35" s="83">
        <v>0</v>
      </c>
      <c r="D35" s="83">
        <v>0</v>
      </c>
      <c r="E35" s="83">
        <v>0</v>
      </c>
      <c r="F35" s="83">
        <v>-273</v>
      </c>
      <c r="G35" s="32"/>
      <c r="H35" s="83">
        <v>0</v>
      </c>
      <c r="I35" s="83">
        <v>0</v>
      </c>
      <c r="J35" s="83">
        <v>0</v>
      </c>
      <c r="K35" s="32">
        <f>SUM(E35-SUM(H35:J35))</f>
        <v>0</v>
      </c>
      <c r="L35" s="97">
        <v>51</v>
      </c>
      <c r="M35" s="83">
        <v>0</v>
      </c>
      <c r="N35" s="97">
        <v>-443</v>
      </c>
      <c r="O35" s="32">
        <f>SUM(F35-SUM(L35:N35))</f>
        <v>119</v>
      </c>
      <c r="P35" s="83">
        <v>0</v>
      </c>
      <c r="Q35" s="83">
        <v>0</v>
      </c>
      <c r="R35" s="83">
        <v>0</v>
      </c>
      <c r="S35" s="32"/>
      <c r="T35" s="32" t="e">
        <f>SUM(#REF!)</f>
        <v>#REF!</v>
      </c>
      <c r="U35" s="32" t="e">
        <f>SUM(#REF!)</f>
        <v>#REF!</v>
      </c>
      <c r="V35" s="32" t="e">
        <f>SUM(#REF!)</f>
        <v>#REF!</v>
      </c>
      <c r="W35" s="32" t="e">
        <f>SUM(#REF!)</f>
        <v>#REF!</v>
      </c>
      <c r="X35" s="32">
        <f>SUM(H35:H35)</f>
        <v>0</v>
      </c>
      <c r="Y35" s="32">
        <f>SUM(H35:I35)</f>
        <v>0</v>
      </c>
      <c r="Z35" s="32">
        <f>SUM(H35:J35)</f>
        <v>0</v>
      </c>
      <c r="AA35" s="32">
        <f t="shared" ref="AA35" si="79">SUM(H35:K35)</f>
        <v>0</v>
      </c>
      <c r="AB35" s="32">
        <f t="shared" ref="AB35" si="80">SUM(I35:L35)</f>
        <v>51</v>
      </c>
      <c r="AC35" s="32">
        <f t="shared" ref="AC35" si="81">SUM(J35:M35)</f>
        <v>51</v>
      </c>
      <c r="AD35" s="32">
        <f t="shared" ref="AD35" si="82">SUM(K35:N35)</f>
        <v>-392</v>
      </c>
      <c r="AE35" s="32">
        <f t="shared" ref="AE35" si="83">SUM(L35:O35)</f>
        <v>-273</v>
      </c>
      <c r="AF35" s="32">
        <f t="shared" ref="AF35" si="84">SUM(M35:P35)</f>
        <v>-324</v>
      </c>
      <c r="AG35" s="32">
        <f t="shared" ref="AG35" si="85">SUM(N35:Q35)</f>
        <v>-324</v>
      </c>
      <c r="AH35" s="32">
        <f>SUM(O35:R35)</f>
        <v>119</v>
      </c>
      <c r="AI35" s="43"/>
      <c r="AJ35" s="76">
        <f>SUM(AH35/AD35)-1</f>
        <v>-1.3035714285714286</v>
      </c>
    </row>
    <row r="36" spans="1:36" ht="12.75" customHeight="1">
      <c r="B36" s="13" t="s">
        <v>163</v>
      </c>
      <c r="C36" s="14">
        <f>SUM(C33+SUM(C35))</f>
        <v>6736</v>
      </c>
      <c r="D36" s="14">
        <f t="shared" ref="D36:F36" si="86">SUM(D33+SUM(D35))</f>
        <v>11495</v>
      </c>
      <c r="E36" s="14">
        <f t="shared" si="86"/>
        <v>14082</v>
      </c>
      <c r="F36" s="14">
        <f t="shared" si="86"/>
        <v>5895</v>
      </c>
      <c r="G36" s="11"/>
      <c r="H36" s="14">
        <f t="shared" ref="H36" si="87">SUM(H33+SUM(H35))</f>
        <v>3774</v>
      </c>
      <c r="I36" s="14">
        <f t="shared" ref="I36" si="88">SUM(I33+SUM(I35))</f>
        <v>3481</v>
      </c>
      <c r="J36" s="14">
        <f t="shared" ref="J36" si="89">SUM(J33+SUM(J35))</f>
        <v>3303</v>
      </c>
      <c r="K36" s="14">
        <f t="shared" ref="K36" si="90">SUM(K33+SUM(K35))</f>
        <v>3524</v>
      </c>
      <c r="L36" s="14">
        <f t="shared" ref="L36" si="91">SUM(L33+SUM(L35))</f>
        <v>1325</v>
      </c>
      <c r="M36" s="14">
        <f t="shared" ref="M36" si="92">SUM(M33+SUM(M35))</f>
        <v>2121</v>
      </c>
      <c r="N36" s="14">
        <f t="shared" ref="N36" si="93">SUM(N33+SUM(N35))</f>
        <v>-1875</v>
      </c>
      <c r="O36" s="14">
        <f t="shared" ref="O36" si="94">SUM(O33+SUM(O35))</f>
        <v>4324</v>
      </c>
      <c r="P36" s="14">
        <f t="shared" ref="P36" si="95">SUM(P33+SUM(P35))</f>
        <v>5503</v>
      </c>
      <c r="Q36" s="14">
        <f t="shared" ref="Q36" si="96">SUM(Q33+SUM(Q35))</f>
        <v>4965</v>
      </c>
      <c r="R36" s="14">
        <f t="shared" ref="R36" si="97">SUM(R33+SUM(R35))</f>
        <v>4140</v>
      </c>
      <c r="S36" s="32"/>
      <c r="T36" s="14" t="e">
        <f t="shared" ref="T36" si="98">SUM(T33+SUM(T35))</f>
        <v>#REF!</v>
      </c>
      <c r="U36" s="14" t="e">
        <f t="shared" ref="U36" si="99">SUM(U33+SUM(U35))</f>
        <v>#REF!</v>
      </c>
      <c r="V36" s="14" t="e">
        <f t="shared" ref="V36" si="100">SUM(V33+SUM(V35))</f>
        <v>#REF!</v>
      </c>
      <c r="W36" s="14" t="e">
        <f t="shared" ref="W36" si="101">SUM(W33+SUM(W35))</f>
        <v>#REF!</v>
      </c>
      <c r="X36" s="14">
        <f t="shared" ref="X36" si="102">SUM(X33+SUM(X35))</f>
        <v>4808</v>
      </c>
      <c r="Y36" s="14">
        <f t="shared" ref="Y36" si="103">SUM(Y33+SUM(Y35))</f>
        <v>9236</v>
      </c>
      <c r="Z36" s="14">
        <f t="shared" ref="Z36" si="104">SUM(Z33+SUM(Z35))</f>
        <v>13494</v>
      </c>
      <c r="AA36" s="14">
        <f t="shared" ref="AA36" si="105">SUM(AA33+SUM(AA35))</f>
        <v>17969</v>
      </c>
      <c r="AB36" s="14">
        <f t="shared" ref="AB36" si="106">SUM(AB33+SUM(AB35))</f>
        <v>17704</v>
      </c>
      <c r="AC36" s="14">
        <f t="shared" ref="AC36" si="107">SUM(AC33+SUM(AC35))</f>
        <v>18506</v>
      </c>
      <c r="AD36" s="14">
        <f t="shared" ref="AD36" si="108">SUM(AD33+SUM(AD35))</f>
        <v>5095</v>
      </c>
      <c r="AE36" s="14">
        <f t="shared" ref="AE36" si="109">SUM(AE33+SUM(AE35))</f>
        <v>5895</v>
      </c>
      <c r="AF36" s="14">
        <f t="shared" ref="AF36" si="110">SUM(AF33+SUM(AF35))</f>
        <v>10073</v>
      </c>
      <c r="AG36" s="14">
        <f t="shared" ref="AG36" si="111">SUM(AG33+SUM(AG35))</f>
        <v>12917</v>
      </c>
      <c r="AH36" s="14">
        <f t="shared" ref="AH36" si="112">SUM(AH33+SUM(AH35))</f>
        <v>18932</v>
      </c>
      <c r="AI36" s="36"/>
      <c r="AJ36" s="77">
        <f>SUM(AH36/AD36)-1</f>
        <v>2.7157998037291464</v>
      </c>
    </row>
    <row r="37" spans="1:36" ht="12.75" customHeight="1">
      <c r="B37" s="16" t="s">
        <v>67</v>
      </c>
      <c r="C37" s="17">
        <f>C36/C13</f>
        <v>-1.0276125095347064</v>
      </c>
      <c r="D37" s="17">
        <f>D36/D13</f>
        <v>-1.5067505570848079</v>
      </c>
      <c r="E37" s="17">
        <f>E36/E13</f>
        <v>-1.6306160259379343</v>
      </c>
      <c r="F37" s="17">
        <f>F36/F13</f>
        <v>-0.60171481065632337</v>
      </c>
      <c r="G37" s="27"/>
      <c r="H37" s="17">
        <f>H36/H13</f>
        <v>-1.6961797752808989</v>
      </c>
      <c r="I37" s="17">
        <f>I36/I13</f>
        <v>-1.7241208519068847</v>
      </c>
      <c r="J37" s="17">
        <f>J36/J13</f>
        <v>-1.5676317038443284</v>
      </c>
      <c r="K37" s="17">
        <f>K36/K13</f>
        <v>-1.5422319474835886</v>
      </c>
      <c r="L37" s="17">
        <f>L36/L13</f>
        <v>-0.61342592592592593</v>
      </c>
      <c r="M37" s="17">
        <f>M36/M13</f>
        <v>-0.87319884726224783</v>
      </c>
      <c r="N37" s="17">
        <f>N36/N13</f>
        <v>0.7703368940016434</v>
      </c>
      <c r="O37" s="17">
        <f>O36/O13</f>
        <v>-1.558759913482336</v>
      </c>
      <c r="P37" s="17">
        <f>P36/P13</f>
        <v>-2.0434459710360193</v>
      </c>
      <c r="Q37" s="17">
        <f>Q36/Q13</f>
        <v>-1.8253676470588236</v>
      </c>
      <c r="R37" s="17">
        <f>R36/R13</f>
        <v>-1.3372093023255813</v>
      </c>
      <c r="S37" s="28"/>
      <c r="T37" s="17" t="e">
        <f>T36/T13</f>
        <v>#REF!</v>
      </c>
      <c r="U37" s="17" t="e">
        <f>U36/U13</f>
        <v>#REF!</v>
      </c>
      <c r="V37" s="17" t="e">
        <f>V36/V13</f>
        <v>#REF!</v>
      </c>
      <c r="W37" s="17" t="e">
        <f>W36/W13</f>
        <v>#REF!</v>
      </c>
      <c r="X37" s="17">
        <f>X36/X13</f>
        <v>-2.1608988764044943</v>
      </c>
      <c r="Y37" s="17">
        <f>Y36/Y13</f>
        <v>-2.1762488218661642</v>
      </c>
      <c r="Z37" s="17">
        <f>Z36/Z13</f>
        <v>-2.1247047709022202</v>
      </c>
      <c r="AA37" s="17">
        <f>AA36/AA13</f>
        <v>-2.0807086614173227</v>
      </c>
      <c r="AB37" s="17">
        <f>AB36/AB13</f>
        <v>-2.0655699451639249</v>
      </c>
      <c r="AC37" s="17">
        <f>AC36/AC13</f>
        <v>-2.0605723193408307</v>
      </c>
      <c r="AD37" s="17">
        <f>AD36/AD13</f>
        <v>-0.54737859905457675</v>
      </c>
      <c r="AE37" s="17">
        <f>AE36/AE13</f>
        <v>-0.60171481065632337</v>
      </c>
      <c r="AF37" s="17">
        <f>AF36/AF13</f>
        <v>-0.97512100677637947</v>
      </c>
      <c r="AG37" s="17">
        <f>AG36/AG13</f>
        <v>-1.2161755013652198</v>
      </c>
      <c r="AH37" s="17">
        <f>AH36/AH13</f>
        <v>-1.677922538332004</v>
      </c>
      <c r="AI37" s="43"/>
      <c r="AJ37" s="78">
        <f>SUM(AH37-AD37)*1000</f>
        <v>-1130.5439392774272</v>
      </c>
    </row>
    <row r="38" spans="1:36" ht="5.0999999999999996" customHeight="1">
      <c r="B38" s="16"/>
      <c r="C38" s="17"/>
      <c r="D38" s="17"/>
      <c r="E38" s="17"/>
      <c r="F38" s="17"/>
      <c r="G38" s="2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28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43"/>
      <c r="AJ38" s="78"/>
    </row>
    <row r="39" spans="1:36" ht="12.75" customHeight="1">
      <c r="B39" s="45" t="s">
        <v>97</v>
      </c>
      <c r="C39" s="166">
        <v>410</v>
      </c>
      <c r="D39" s="83">
        <v>4089</v>
      </c>
      <c r="E39" s="83">
        <v>4149</v>
      </c>
      <c r="F39" s="83">
        <v>4624</v>
      </c>
      <c r="G39" s="27"/>
      <c r="H39" s="83">
        <v>418</v>
      </c>
      <c r="I39" s="83">
        <v>415</v>
      </c>
      <c r="J39" s="83">
        <v>4130</v>
      </c>
      <c r="K39" s="32">
        <f>E39</f>
        <v>4149</v>
      </c>
      <c r="L39" s="83">
        <v>4517</v>
      </c>
      <c r="M39" s="83">
        <v>4645</v>
      </c>
      <c r="N39" s="83">
        <v>4663</v>
      </c>
      <c r="O39" s="32">
        <f>F39</f>
        <v>4624</v>
      </c>
      <c r="P39" s="83">
        <v>4695</v>
      </c>
      <c r="Q39" s="83">
        <v>4707</v>
      </c>
      <c r="R39" s="83">
        <v>4714</v>
      </c>
      <c r="S39" s="136"/>
      <c r="T39" s="32" t="e">
        <f>#REF!</f>
        <v>#REF!</v>
      </c>
      <c r="U39" s="32" t="e">
        <f>#REF!</f>
        <v>#REF!</v>
      </c>
      <c r="V39" s="32" t="e">
        <f>#REF!</f>
        <v>#REF!</v>
      </c>
      <c r="W39" s="32" t="e">
        <f>#REF!</f>
        <v>#REF!</v>
      </c>
      <c r="X39" s="32">
        <f t="shared" ref="X39:AG39" si="113">H39</f>
        <v>418</v>
      </c>
      <c r="Y39" s="32">
        <f t="shared" si="113"/>
        <v>415</v>
      </c>
      <c r="Z39" s="32">
        <f t="shared" si="113"/>
        <v>4130</v>
      </c>
      <c r="AA39" s="32">
        <f t="shared" si="113"/>
        <v>4149</v>
      </c>
      <c r="AB39" s="32">
        <f t="shared" si="113"/>
        <v>4517</v>
      </c>
      <c r="AC39" s="32">
        <f t="shared" si="113"/>
        <v>4645</v>
      </c>
      <c r="AD39" s="32">
        <f t="shared" si="113"/>
        <v>4663</v>
      </c>
      <c r="AE39" s="32">
        <f t="shared" si="113"/>
        <v>4624</v>
      </c>
      <c r="AF39" s="32">
        <f t="shared" si="113"/>
        <v>4695</v>
      </c>
      <c r="AG39" s="32">
        <f t="shared" si="113"/>
        <v>4707</v>
      </c>
      <c r="AH39" s="32">
        <f>R39</f>
        <v>4714</v>
      </c>
      <c r="AI39" s="43"/>
      <c r="AJ39" s="76">
        <f>SUM(AH39/AD39)-1</f>
        <v>1.0937164915290509E-2</v>
      </c>
    </row>
    <row r="40" spans="1:36" ht="12.75" customHeight="1">
      <c r="B40" s="13" t="s">
        <v>68</v>
      </c>
      <c r="C40" s="160">
        <f>C36/C39</f>
        <v>16.429268292682927</v>
      </c>
      <c r="D40" s="160">
        <f>D36/D39</f>
        <v>2.8112007825874299</v>
      </c>
      <c r="E40" s="160">
        <f>E36/E39</f>
        <v>3.3940708604483008</v>
      </c>
      <c r="F40" s="160">
        <f>F36/F39</f>
        <v>1.2748702422145328</v>
      </c>
      <c r="G40" s="27"/>
      <c r="H40" s="160">
        <f>H36/H39</f>
        <v>9.0287081339712927</v>
      </c>
      <c r="I40" s="160">
        <f>I36/I39</f>
        <v>8.3879518072289159</v>
      </c>
      <c r="J40" s="160">
        <f>J36/J39</f>
        <v>0.79975786924939463</v>
      </c>
      <c r="K40" s="160">
        <f>K36/K39</f>
        <v>0.84936129187756082</v>
      </c>
      <c r="L40" s="160">
        <f>L36/L39</f>
        <v>0.29333628514500776</v>
      </c>
      <c r="M40" s="160">
        <f>M36/M39</f>
        <v>0.45662002152852532</v>
      </c>
      <c r="N40" s="160">
        <f>N36/N39</f>
        <v>-0.40210165129744802</v>
      </c>
      <c r="O40" s="160">
        <f>O36/O39</f>
        <v>0.93512110726643594</v>
      </c>
      <c r="P40" s="160">
        <f>P36/P39</f>
        <v>1.1720979765708199</v>
      </c>
      <c r="Q40" s="160">
        <f>Q36/Q39</f>
        <v>1.0548119821542383</v>
      </c>
      <c r="R40" s="160">
        <f>R36/R39</f>
        <v>0.87823504454815449</v>
      </c>
      <c r="S40" s="136"/>
      <c r="T40" s="160" t="e">
        <f>T36/T39</f>
        <v>#REF!</v>
      </c>
      <c r="U40" s="160" t="e">
        <f>U36/U39</f>
        <v>#REF!</v>
      </c>
      <c r="V40" s="160" t="e">
        <f>V36/V39</f>
        <v>#REF!</v>
      </c>
      <c r="W40" s="160" t="e">
        <f>W36/W39</f>
        <v>#REF!</v>
      </c>
      <c r="X40" s="160">
        <f>X36/X39</f>
        <v>11.502392344497608</v>
      </c>
      <c r="Y40" s="160">
        <f>Y36/Y39</f>
        <v>22.255421686746988</v>
      </c>
      <c r="Z40" s="160">
        <f>Z36/Z39</f>
        <v>3.2673123486682809</v>
      </c>
      <c r="AA40" s="160">
        <f>AA36/AA39</f>
        <v>4.3309231140033742</v>
      </c>
      <c r="AB40" s="160">
        <f>AB36/AB39</f>
        <v>3.9194155412884659</v>
      </c>
      <c r="AC40" s="160">
        <f>AC36/AC39</f>
        <v>3.9840688912809474</v>
      </c>
      <c r="AD40" s="160">
        <f>AD36/AD39</f>
        <v>1.0926442204589319</v>
      </c>
      <c r="AE40" s="160">
        <f>AE36/AE39</f>
        <v>1.2748702422145328</v>
      </c>
      <c r="AF40" s="160">
        <f>AF36/AF39</f>
        <v>2.1454739084132055</v>
      </c>
      <c r="AG40" s="160">
        <f>AG36/AG39</f>
        <v>2.7442107499468875</v>
      </c>
      <c r="AH40" s="160">
        <f>AH36/AH39</f>
        <v>4.016122189223589</v>
      </c>
      <c r="AI40" s="43"/>
      <c r="AJ40" s="77">
        <f>SUM(AH40/AD40)-1</f>
        <v>2.6755991694503622</v>
      </c>
    </row>
    <row r="41" spans="1:36" ht="12.75" customHeight="1">
      <c r="B41" s="25"/>
      <c r="C41" s="49"/>
      <c r="D41" s="49"/>
      <c r="E41" s="49"/>
      <c r="F41" s="49"/>
      <c r="G41" s="159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43"/>
      <c r="AJ41" s="76"/>
    </row>
    <row r="42" spans="1:36" ht="12.75" customHeight="1">
      <c r="B42" s="45" t="s">
        <v>69</v>
      </c>
      <c r="C42" s="166">
        <v>429</v>
      </c>
      <c r="D42" s="83">
        <v>4232</v>
      </c>
      <c r="E42" s="83">
        <v>4272</v>
      </c>
      <c r="F42" s="83">
        <v>4778</v>
      </c>
      <c r="G42" s="159"/>
      <c r="H42" s="83">
        <v>429</v>
      </c>
      <c r="I42" s="83">
        <v>427</v>
      </c>
      <c r="J42" s="83">
        <v>4269</v>
      </c>
      <c r="K42" s="32">
        <f>E42</f>
        <v>4272</v>
      </c>
      <c r="L42" s="83">
        <v>4666</v>
      </c>
      <c r="M42" s="83">
        <v>4799</v>
      </c>
      <c r="N42" s="83">
        <v>4663</v>
      </c>
      <c r="O42" s="32">
        <f>F42</f>
        <v>4778</v>
      </c>
      <c r="P42" s="83">
        <v>4836</v>
      </c>
      <c r="Q42" s="83">
        <v>4826</v>
      </c>
      <c r="R42" s="83">
        <v>4860</v>
      </c>
      <c r="S42" s="136"/>
      <c r="T42" s="32" t="e">
        <f>#REF!</f>
        <v>#REF!</v>
      </c>
      <c r="U42" s="32" t="e">
        <f>#REF!</f>
        <v>#REF!</v>
      </c>
      <c r="V42" s="32" t="e">
        <f>#REF!</f>
        <v>#REF!</v>
      </c>
      <c r="W42" s="32" t="e">
        <f>#REF!</f>
        <v>#REF!</v>
      </c>
      <c r="X42" s="32">
        <f t="shared" ref="X42:AG42" si="114">H42</f>
        <v>429</v>
      </c>
      <c r="Y42" s="32">
        <f t="shared" si="114"/>
        <v>427</v>
      </c>
      <c r="Z42" s="32">
        <f t="shared" si="114"/>
        <v>4269</v>
      </c>
      <c r="AA42" s="32">
        <f t="shared" si="114"/>
        <v>4272</v>
      </c>
      <c r="AB42" s="32">
        <f t="shared" si="114"/>
        <v>4666</v>
      </c>
      <c r="AC42" s="32">
        <f t="shared" si="114"/>
        <v>4799</v>
      </c>
      <c r="AD42" s="32">
        <f t="shared" si="114"/>
        <v>4663</v>
      </c>
      <c r="AE42" s="32">
        <f t="shared" si="114"/>
        <v>4778</v>
      </c>
      <c r="AF42" s="32">
        <f t="shared" si="114"/>
        <v>4836</v>
      </c>
      <c r="AG42" s="32">
        <f t="shared" si="114"/>
        <v>4826</v>
      </c>
      <c r="AH42" s="32">
        <f>R42</f>
        <v>4860</v>
      </c>
      <c r="AI42" s="43"/>
      <c r="AJ42" s="76">
        <f>SUM(AH42/AD42)-1</f>
        <v>4.2247480162985296E-2</v>
      </c>
    </row>
    <row r="43" spans="1:36" ht="12.75" customHeight="1">
      <c r="B43" s="13" t="s">
        <v>96</v>
      </c>
      <c r="C43" s="160">
        <f>C36/C42</f>
        <v>15.701631701631701</v>
      </c>
      <c r="D43" s="160">
        <f>D36/D42</f>
        <v>2.7162098298676747</v>
      </c>
      <c r="E43" s="160">
        <f>E36/E42</f>
        <v>3.2963483146067416</v>
      </c>
      <c r="F43" s="160">
        <f>F36/F42</f>
        <v>1.2337798241942235</v>
      </c>
      <c r="G43" s="27"/>
      <c r="H43" s="160">
        <f>H36/H42</f>
        <v>8.7972027972027966</v>
      </c>
      <c r="I43" s="160">
        <f>I36/I42</f>
        <v>8.1522248243559723</v>
      </c>
      <c r="J43" s="160">
        <f>J36/J42</f>
        <v>0.77371749824314828</v>
      </c>
      <c r="K43" s="160">
        <f>K36/K42</f>
        <v>0.82490636704119846</v>
      </c>
      <c r="L43" s="160">
        <f>L36/L42</f>
        <v>0.28396913844834976</v>
      </c>
      <c r="M43" s="160">
        <f>M36/M42</f>
        <v>0.44196707647426547</v>
      </c>
      <c r="N43" s="160">
        <f>N36/N42</f>
        <v>-0.40210165129744802</v>
      </c>
      <c r="O43" s="160">
        <f>O36/O42</f>
        <v>0.90498116366680614</v>
      </c>
      <c r="P43" s="160">
        <f>P36/P42</f>
        <v>1.1379239040529363</v>
      </c>
      <c r="Q43" s="160">
        <f>Q36/Q42</f>
        <v>1.0288023207625363</v>
      </c>
      <c r="R43" s="160">
        <f>R36/R42</f>
        <v>0.85185185185185186</v>
      </c>
      <c r="S43" s="136"/>
      <c r="T43" s="160" t="e">
        <f>T36/T42</f>
        <v>#REF!</v>
      </c>
      <c r="U43" s="160" t="e">
        <f>U36/U42</f>
        <v>#REF!</v>
      </c>
      <c r="V43" s="160" t="e">
        <f>V36/V42</f>
        <v>#REF!</v>
      </c>
      <c r="W43" s="160" t="e">
        <f>W36/W42</f>
        <v>#REF!</v>
      </c>
      <c r="X43" s="160">
        <f>X36/X42</f>
        <v>11.207459207459207</v>
      </c>
      <c r="Y43" s="160">
        <f>Y36/Y42</f>
        <v>21.629976580796253</v>
      </c>
      <c r="Z43" s="160">
        <f>Z36/Z42</f>
        <v>3.1609276177090653</v>
      </c>
      <c r="AA43" s="160">
        <f>AA36/AA42</f>
        <v>4.2062265917602994</v>
      </c>
      <c r="AB43" s="160">
        <f>AB36/AB42</f>
        <v>3.7942563223317616</v>
      </c>
      <c r="AC43" s="160">
        <f>AC36/AC42</f>
        <v>3.8562200458428841</v>
      </c>
      <c r="AD43" s="160">
        <f>AD36/AD42</f>
        <v>1.0926442204589319</v>
      </c>
      <c r="AE43" s="160">
        <f>AE36/AE42</f>
        <v>1.2337798241942235</v>
      </c>
      <c r="AF43" s="160">
        <f>AF36/AF42</f>
        <v>2.0829197684036393</v>
      </c>
      <c r="AG43" s="160">
        <f>AG36/AG42</f>
        <v>2.6765437215084957</v>
      </c>
      <c r="AH43" s="160">
        <f>AH36/AH42</f>
        <v>3.8954732510288066</v>
      </c>
      <c r="AI43" s="43"/>
      <c r="AJ43" s="77">
        <f>SUM(AH43/AD43)-1</f>
        <v>2.5651799351417717</v>
      </c>
    </row>
    <row r="44" spans="1:36">
      <c r="B44" s="16"/>
      <c r="C44" s="17"/>
      <c r="D44" s="17"/>
      <c r="E44" s="17"/>
      <c r="F44" s="17"/>
      <c r="G44" s="2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28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43"/>
    </row>
    <row r="45" spans="1:36" ht="12.75" customHeight="1">
      <c r="A45" s="5" t="s">
        <v>19</v>
      </c>
      <c r="B45" s="108" t="s">
        <v>79</v>
      </c>
      <c r="C45" s="109"/>
      <c r="D45" s="109"/>
      <c r="E45" s="109"/>
      <c r="F45" s="109"/>
      <c r="G45" s="110"/>
      <c r="H45" s="109"/>
      <c r="I45" s="109"/>
      <c r="J45" s="109"/>
      <c r="K45" s="109"/>
      <c r="L45" s="109"/>
      <c r="M45" s="109"/>
      <c r="N45" s="109"/>
      <c r="O45" s="109"/>
      <c r="P45" s="109"/>
      <c r="Q45" s="109"/>
      <c r="R45" s="109"/>
      <c r="S45" s="108"/>
      <c r="T45" s="109"/>
      <c r="U45" s="109"/>
      <c r="V45" s="109"/>
      <c r="W45" s="109"/>
      <c r="X45" s="109"/>
      <c r="Y45" s="109"/>
      <c r="Z45" s="109"/>
      <c r="AA45" s="109"/>
      <c r="AB45" s="109"/>
      <c r="AC45" s="109" t="s">
        <v>10</v>
      </c>
      <c r="AD45" s="109"/>
      <c r="AE45" s="109"/>
      <c r="AF45" s="109"/>
      <c r="AG45" s="109"/>
      <c r="AH45" s="109"/>
      <c r="AI45" s="110"/>
      <c r="AJ45" s="163" t="s">
        <v>25</v>
      </c>
    </row>
    <row r="46" spans="1:36" ht="12.75" customHeight="1">
      <c r="B46" s="112" t="str">
        <f>B7</f>
        <v>Fiscal Period</v>
      </c>
      <c r="C46" s="111">
        <f>C7</f>
        <v>2021</v>
      </c>
      <c r="D46" s="111">
        <f>D7</f>
        <v>2022</v>
      </c>
      <c r="E46" s="111">
        <f>E7</f>
        <v>2023</v>
      </c>
      <c r="F46" s="111">
        <f>F7</f>
        <v>2024</v>
      </c>
      <c r="G46" s="110"/>
      <c r="H46" s="111" t="str">
        <f>H7</f>
        <v>1Q23</v>
      </c>
      <c r="I46" s="111" t="str">
        <f>I7</f>
        <v>2Q23</v>
      </c>
      <c r="J46" s="111" t="str">
        <f>J7</f>
        <v>3Q23</v>
      </c>
      <c r="K46" s="111" t="str">
        <f>K7</f>
        <v>4Q23</v>
      </c>
      <c r="L46" s="111" t="str">
        <f>L7</f>
        <v>1Q24</v>
      </c>
      <c r="M46" s="111" t="str">
        <f>M7</f>
        <v>2Q24</v>
      </c>
      <c r="N46" s="111" t="str">
        <f>N7</f>
        <v>3Q24</v>
      </c>
      <c r="O46" s="111" t="str">
        <f>O7</f>
        <v>4Q24</v>
      </c>
      <c r="P46" s="111" t="str">
        <f>P7</f>
        <v>1Q25</v>
      </c>
      <c r="Q46" s="111" t="str">
        <f>Q7</f>
        <v>2Q25</v>
      </c>
      <c r="R46" s="111" t="str">
        <f>R7</f>
        <v>3Q25</v>
      </c>
      <c r="S46" s="113"/>
      <c r="T46" s="111" t="e">
        <f>T7</f>
        <v>#REF!</v>
      </c>
      <c r="U46" s="111" t="e">
        <f>U7</f>
        <v>#REF!</v>
      </c>
      <c r="V46" s="111" t="e">
        <f>V7</f>
        <v>#REF!</v>
      </c>
      <c r="W46" s="111" t="e">
        <f>W7</f>
        <v>#REF!</v>
      </c>
      <c r="X46" s="111" t="str">
        <f>X7</f>
        <v>1Q23</v>
      </c>
      <c r="Y46" s="111" t="str">
        <f>Y7</f>
        <v>2Q23</v>
      </c>
      <c r="Z46" s="111" t="str">
        <f>Z7</f>
        <v>3Q23</v>
      </c>
      <c r="AA46" s="111" t="str">
        <f>AA7</f>
        <v>4Q23</v>
      </c>
      <c r="AB46" s="111" t="str">
        <f>AB7</f>
        <v>1Q24</v>
      </c>
      <c r="AC46" s="111" t="str">
        <f>AC7</f>
        <v>2Q24</v>
      </c>
      <c r="AD46" s="111" t="str">
        <f>AD7</f>
        <v>3Q24</v>
      </c>
      <c r="AE46" s="111" t="str">
        <f>AE7</f>
        <v>4Q24</v>
      </c>
      <c r="AF46" s="111" t="str">
        <f>AF7</f>
        <v>1Q25</v>
      </c>
      <c r="AG46" s="111" t="str">
        <f>AG7</f>
        <v>2Q25</v>
      </c>
      <c r="AH46" s="111" t="str">
        <f>AH7</f>
        <v>3Q25</v>
      </c>
      <c r="AI46" s="110"/>
      <c r="AJ46" s="163"/>
    </row>
    <row r="47" spans="1:36" ht="12.75" customHeight="1">
      <c r="B47" s="112" t="str">
        <f>B8</f>
        <v>Fiscal Period End Date</v>
      </c>
      <c r="C47" s="114">
        <f>C8</f>
        <v>44499</v>
      </c>
      <c r="D47" s="114">
        <f>D8</f>
        <v>44864</v>
      </c>
      <c r="E47" s="114">
        <f>E8</f>
        <v>45228</v>
      </c>
      <c r="F47" s="114">
        <f>F8</f>
        <v>45599</v>
      </c>
      <c r="G47" s="110"/>
      <c r="H47" s="114">
        <f>H8</f>
        <v>44955</v>
      </c>
      <c r="I47" s="114">
        <f>I8</f>
        <v>45046</v>
      </c>
      <c r="J47" s="114">
        <f>J8</f>
        <v>45137</v>
      </c>
      <c r="K47" s="114">
        <f>K8</f>
        <v>45228</v>
      </c>
      <c r="L47" s="114">
        <f>L8</f>
        <v>45326</v>
      </c>
      <c r="M47" s="114">
        <f>M8</f>
        <v>45417</v>
      </c>
      <c r="N47" s="114">
        <f>N8</f>
        <v>45508</v>
      </c>
      <c r="O47" s="114">
        <f>O8</f>
        <v>45599</v>
      </c>
      <c r="P47" s="114">
        <f>P8</f>
        <v>45690</v>
      </c>
      <c r="Q47" s="114">
        <f>Q8</f>
        <v>45781</v>
      </c>
      <c r="R47" s="114">
        <f>R8</f>
        <v>45872</v>
      </c>
      <c r="S47" s="115"/>
      <c r="T47" s="114" t="e">
        <f>T8</f>
        <v>#REF!</v>
      </c>
      <c r="U47" s="114" t="e">
        <f>U8</f>
        <v>#REF!</v>
      </c>
      <c r="V47" s="114" t="e">
        <f>V8</f>
        <v>#REF!</v>
      </c>
      <c r="W47" s="114" t="e">
        <f>W8</f>
        <v>#REF!</v>
      </c>
      <c r="X47" s="114">
        <f>X8</f>
        <v>44955</v>
      </c>
      <c r="Y47" s="114">
        <f>Y8</f>
        <v>45046</v>
      </c>
      <c r="Z47" s="114">
        <f>Z8</f>
        <v>45137</v>
      </c>
      <c r="AA47" s="114">
        <f>AA8</f>
        <v>45228</v>
      </c>
      <c r="AB47" s="114">
        <f>AB8</f>
        <v>45326</v>
      </c>
      <c r="AC47" s="114">
        <f>AC8</f>
        <v>45417</v>
      </c>
      <c r="AD47" s="114">
        <f>AD8</f>
        <v>45508</v>
      </c>
      <c r="AE47" s="114">
        <f>AE8</f>
        <v>45599</v>
      </c>
      <c r="AF47" s="114">
        <f>AF8</f>
        <v>45690</v>
      </c>
      <c r="AG47" s="114">
        <f>AG8</f>
        <v>45781</v>
      </c>
      <c r="AH47" s="114">
        <f>AH8</f>
        <v>45872</v>
      </c>
      <c r="AI47" s="110"/>
      <c r="AJ47" s="163"/>
    </row>
    <row r="48" spans="1:36" ht="5.0999999999999996" customHeight="1">
      <c r="B48" s="47"/>
      <c r="C48" s="48"/>
      <c r="D48" s="48"/>
      <c r="E48" s="48"/>
      <c r="F48" s="48"/>
    </row>
    <row r="49" spans="2:36">
      <c r="B49" s="79" t="s">
        <v>86</v>
      </c>
      <c r="C49" s="48"/>
      <c r="D49" s="48"/>
      <c r="E49" s="48"/>
      <c r="F49" s="48"/>
    </row>
    <row r="50" spans="2:36" s="124" customFormat="1" ht="12.75" customHeight="1">
      <c r="B50" s="116" t="s">
        <v>105</v>
      </c>
      <c r="C50" s="125">
        <v>12163</v>
      </c>
      <c r="D50" s="125">
        <v>12416</v>
      </c>
      <c r="E50" s="125">
        <v>14189</v>
      </c>
      <c r="F50" s="125">
        <v>9348</v>
      </c>
      <c r="H50" s="83">
        <v>12647</v>
      </c>
      <c r="I50" s="83">
        <v>11553</v>
      </c>
      <c r="J50" s="83">
        <v>12055</v>
      </c>
      <c r="K50" s="32">
        <f t="shared" ref="K50:K53" si="115">E50</f>
        <v>14189</v>
      </c>
      <c r="L50" s="83">
        <v>11864</v>
      </c>
      <c r="M50" s="83">
        <v>9809</v>
      </c>
      <c r="N50" s="83">
        <v>9952</v>
      </c>
      <c r="O50" s="32">
        <f t="shared" ref="O50:O53" si="116">F50</f>
        <v>9348</v>
      </c>
      <c r="P50" s="83">
        <v>9307</v>
      </c>
      <c r="Q50" s="83">
        <v>9472</v>
      </c>
      <c r="R50" s="83">
        <v>10718</v>
      </c>
      <c r="T50" s="98" t="e">
        <f>#REF!</f>
        <v>#REF!</v>
      </c>
      <c r="U50" s="98" t="e">
        <f>#REF!</f>
        <v>#REF!</v>
      </c>
      <c r="V50" s="98" t="e">
        <f>#REF!</f>
        <v>#REF!</v>
      </c>
      <c r="W50" s="98" t="e">
        <f>#REF!</f>
        <v>#REF!</v>
      </c>
      <c r="X50" s="98">
        <f t="shared" ref="X50:AH53" si="117">H50</f>
        <v>12647</v>
      </c>
      <c r="Y50" s="98">
        <f t="shared" si="117"/>
        <v>11553</v>
      </c>
      <c r="Z50" s="98">
        <f t="shared" si="117"/>
        <v>12055</v>
      </c>
      <c r="AA50" s="98">
        <f t="shared" si="117"/>
        <v>14189</v>
      </c>
      <c r="AB50" s="98">
        <f t="shared" si="117"/>
        <v>11864</v>
      </c>
      <c r="AC50" s="98">
        <f t="shared" si="117"/>
        <v>9809</v>
      </c>
      <c r="AD50" s="98">
        <f t="shared" ref="AD50:AD51" si="118">N50</f>
        <v>9952</v>
      </c>
      <c r="AE50" s="98">
        <f t="shared" ref="AE50:AE51" si="119">O50</f>
        <v>9348</v>
      </c>
      <c r="AF50" s="98">
        <f t="shared" ref="AF50:AF51" si="120">P50</f>
        <v>9307</v>
      </c>
      <c r="AG50" s="98">
        <f t="shared" ref="AG50:AG51" si="121">Q50</f>
        <v>9472</v>
      </c>
      <c r="AH50" s="98">
        <f t="shared" ref="AH50:AH51" si="122">R50</f>
        <v>10718</v>
      </c>
      <c r="AI50" s="126"/>
      <c r="AJ50" s="76">
        <f>SUM(AH50/AD50)-1</f>
        <v>7.6969453376205754E-2</v>
      </c>
    </row>
    <row r="51" spans="2:36" s="124" customFormat="1" ht="12.75" customHeight="1">
      <c r="B51" s="116" t="s">
        <v>126</v>
      </c>
      <c r="C51" s="125">
        <v>2071</v>
      </c>
      <c r="D51" s="125">
        <v>2958</v>
      </c>
      <c r="E51" s="125">
        <v>3154</v>
      </c>
      <c r="F51" s="125">
        <v>4416</v>
      </c>
      <c r="H51" s="83">
        <v>3234</v>
      </c>
      <c r="I51" s="83">
        <v>3031</v>
      </c>
      <c r="J51" s="83">
        <v>2914</v>
      </c>
      <c r="K51" s="32">
        <f t="shared" si="115"/>
        <v>3154</v>
      </c>
      <c r="L51" s="83">
        <v>4969</v>
      </c>
      <c r="M51" s="83">
        <v>5500</v>
      </c>
      <c r="N51" s="83">
        <v>4665</v>
      </c>
      <c r="O51" s="32">
        <f t="shared" si="116"/>
        <v>4416</v>
      </c>
      <c r="P51" s="83">
        <v>4955</v>
      </c>
      <c r="Q51" s="83">
        <v>5563</v>
      </c>
      <c r="R51" s="83">
        <v>6494</v>
      </c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>
        <f t="shared" si="118"/>
        <v>4665</v>
      </c>
      <c r="AE51" s="98">
        <f t="shared" si="119"/>
        <v>4416</v>
      </c>
      <c r="AF51" s="98">
        <f t="shared" si="120"/>
        <v>4955</v>
      </c>
      <c r="AG51" s="98">
        <f t="shared" si="121"/>
        <v>5563</v>
      </c>
      <c r="AH51" s="98">
        <f t="shared" si="122"/>
        <v>6494</v>
      </c>
      <c r="AI51" s="126"/>
      <c r="AJ51" s="76">
        <f>SUM(AH51/AD51)-1</f>
        <v>0.39206859592711685</v>
      </c>
    </row>
    <row r="52" spans="2:36" s="124" customFormat="1" ht="12.75" customHeight="1">
      <c r="B52" s="116" t="s">
        <v>127</v>
      </c>
      <c r="C52" s="125">
        <v>1297</v>
      </c>
      <c r="D52" s="125">
        <v>1925</v>
      </c>
      <c r="E52" s="125">
        <v>1898</v>
      </c>
      <c r="F52" s="125">
        <v>1760</v>
      </c>
      <c r="H52" s="83">
        <v>1899</v>
      </c>
      <c r="I52" s="83">
        <v>1886</v>
      </c>
      <c r="J52" s="83">
        <v>1842</v>
      </c>
      <c r="K52" s="32">
        <f t="shared" si="115"/>
        <v>1898</v>
      </c>
      <c r="L52" s="83">
        <v>1920</v>
      </c>
      <c r="M52" s="83">
        <v>1842</v>
      </c>
      <c r="N52" s="83">
        <v>1894</v>
      </c>
      <c r="O52" s="32">
        <f t="shared" si="116"/>
        <v>1760</v>
      </c>
      <c r="P52" s="83">
        <v>1908</v>
      </c>
      <c r="Q52" s="83">
        <v>2017</v>
      </c>
      <c r="R52" s="83">
        <v>2180</v>
      </c>
      <c r="T52" s="98" t="e">
        <f>#REF!</f>
        <v>#REF!</v>
      </c>
      <c r="U52" s="98" t="e">
        <f>#REF!</f>
        <v>#REF!</v>
      </c>
      <c r="V52" s="98" t="e">
        <f>#REF!</f>
        <v>#REF!</v>
      </c>
      <c r="W52" s="98" t="e">
        <f>#REF!</f>
        <v>#REF!</v>
      </c>
      <c r="X52" s="98">
        <f t="shared" si="117"/>
        <v>1899</v>
      </c>
      <c r="Y52" s="98">
        <f t="shared" si="117"/>
        <v>1886</v>
      </c>
      <c r="Z52" s="98">
        <f t="shared" si="117"/>
        <v>1842</v>
      </c>
      <c r="AA52" s="98">
        <f t="shared" si="117"/>
        <v>1898</v>
      </c>
      <c r="AB52" s="98">
        <f t="shared" si="117"/>
        <v>1920</v>
      </c>
      <c r="AC52" s="98">
        <f t="shared" si="117"/>
        <v>1842</v>
      </c>
      <c r="AD52" s="98">
        <f t="shared" si="117"/>
        <v>1894</v>
      </c>
      <c r="AE52" s="98">
        <f t="shared" si="117"/>
        <v>1760</v>
      </c>
      <c r="AF52" s="98">
        <f t="shared" si="117"/>
        <v>1908</v>
      </c>
      <c r="AG52" s="98">
        <f t="shared" si="117"/>
        <v>2017</v>
      </c>
      <c r="AH52" s="98">
        <f t="shared" si="117"/>
        <v>2180</v>
      </c>
      <c r="AI52" s="126"/>
      <c r="AJ52" s="76">
        <f>SUM(AH52/AD52)-1</f>
        <v>0.15100316789862722</v>
      </c>
    </row>
    <row r="53" spans="2:36" s="124" customFormat="1" ht="12.75" customHeight="1">
      <c r="B53" s="116" t="s">
        <v>16</v>
      </c>
      <c r="C53" s="125">
        <v>1055</v>
      </c>
      <c r="D53" s="125">
        <v>1205</v>
      </c>
      <c r="E53" s="125">
        <v>1606</v>
      </c>
      <c r="F53" s="125">
        <v>4071</v>
      </c>
      <c r="H53" s="83">
        <v>1056</v>
      </c>
      <c r="I53" s="83">
        <v>1401</v>
      </c>
      <c r="J53" s="83">
        <v>1522</v>
      </c>
      <c r="K53" s="32">
        <f t="shared" si="115"/>
        <v>1606</v>
      </c>
      <c r="L53" s="83">
        <v>8439</v>
      </c>
      <c r="M53" s="83">
        <v>8151</v>
      </c>
      <c r="N53" s="83">
        <v>3436</v>
      </c>
      <c r="O53" s="32">
        <f t="shared" si="116"/>
        <v>4071</v>
      </c>
      <c r="P53" s="83">
        <v>4820</v>
      </c>
      <c r="Q53" s="83">
        <v>5129</v>
      </c>
      <c r="R53" s="83">
        <v>5606</v>
      </c>
      <c r="T53" s="98" t="e">
        <f>#REF!</f>
        <v>#REF!</v>
      </c>
      <c r="U53" s="98" t="e">
        <f>#REF!</f>
        <v>#REF!</v>
      </c>
      <c r="V53" s="98" t="e">
        <f>#REF!</f>
        <v>#REF!</v>
      </c>
      <c r="W53" s="98" t="e">
        <f>#REF!</f>
        <v>#REF!</v>
      </c>
      <c r="X53" s="98">
        <f t="shared" si="117"/>
        <v>1056</v>
      </c>
      <c r="Y53" s="98">
        <f t="shared" si="117"/>
        <v>1401</v>
      </c>
      <c r="Z53" s="98">
        <f t="shared" si="117"/>
        <v>1522</v>
      </c>
      <c r="AA53" s="98">
        <f t="shared" si="117"/>
        <v>1606</v>
      </c>
      <c r="AB53" s="98">
        <f t="shared" si="117"/>
        <v>8439</v>
      </c>
      <c r="AC53" s="98">
        <f t="shared" si="117"/>
        <v>8151</v>
      </c>
      <c r="AD53" s="98">
        <f t="shared" si="117"/>
        <v>3436</v>
      </c>
      <c r="AE53" s="98">
        <f t="shared" si="117"/>
        <v>4071</v>
      </c>
      <c r="AF53" s="98">
        <f t="shared" si="117"/>
        <v>4820</v>
      </c>
      <c r="AG53" s="98">
        <f t="shared" si="117"/>
        <v>5129</v>
      </c>
      <c r="AH53" s="98">
        <f t="shared" si="117"/>
        <v>5606</v>
      </c>
      <c r="AI53" s="126"/>
      <c r="AJ53" s="76">
        <f>SUM(AH53/AD53)-1</f>
        <v>0.63154831199068684</v>
      </c>
    </row>
    <row r="54" spans="2:36" ht="12.75" customHeight="1">
      <c r="B54" s="25" t="s">
        <v>21</v>
      </c>
      <c r="C54" s="26">
        <f t="shared" ref="C54:F54" si="123">SUM(C50:C53)</f>
        <v>16586</v>
      </c>
      <c r="D54" s="26">
        <f t="shared" si="123"/>
        <v>18504</v>
      </c>
      <c r="E54" s="26">
        <f t="shared" si="123"/>
        <v>20847</v>
      </c>
      <c r="F54" s="26">
        <f t="shared" si="123"/>
        <v>19595</v>
      </c>
      <c r="G54" s="49"/>
      <c r="H54" s="26">
        <f t="shared" ref="H54:R54" si="124">SUM(H50:H53)</f>
        <v>18836</v>
      </c>
      <c r="I54" s="26">
        <f t="shared" si="124"/>
        <v>17871</v>
      </c>
      <c r="J54" s="26">
        <f t="shared" si="124"/>
        <v>18333</v>
      </c>
      <c r="K54" s="26">
        <f t="shared" si="124"/>
        <v>20847</v>
      </c>
      <c r="L54" s="26">
        <f t="shared" si="124"/>
        <v>27192</v>
      </c>
      <c r="M54" s="26">
        <f t="shared" si="124"/>
        <v>25302</v>
      </c>
      <c r="N54" s="26">
        <f t="shared" si="124"/>
        <v>19947</v>
      </c>
      <c r="O54" s="26">
        <f t="shared" si="124"/>
        <v>19595</v>
      </c>
      <c r="P54" s="26">
        <f t="shared" si="124"/>
        <v>20990</v>
      </c>
      <c r="Q54" s="26">
        <f t="shared" si="124"/>
        <v>22181</v>
      </c>
      <c r="R54" s="26">
        <f t="shared" si="124"/>
        <v>24998</v>
      </c>
      <c r="S54" s="49"/>
      <c r="T54" s="26" t="e">
        <f t="shared" ref="T54:AH54" si="125">SUM(T50:T53)</f>
        <v>#REF!</v>
      </c>
      <c r="U54" s="26" t="e">
        <f t="shared" si="125"/>
        <v>#REF!</v>
      </c>
      <c r="V54" s="26" t="e">
        <f t="shared" si="125"/>
        <v>#REF!</v>
      </c>
      <c r="W54" s="26" t="e">
        <f t="shared" si="125"/>
        <v>#REF!</v>
      </c>
      <c r="X54" s="26">
        <f t="shared" si="125"/>
        <v>15602</v>
      </c>
      <c r="Y54" s="26">
        <f t="shared" si="125"/>
        <v>14840</v>
      </c>
      <c r="Z54" s="26">
        <f t="shared" si="125"/>
        <v>15419</v>
      </c>
      <c r="AA54" s="26">
        <f t="shared" si="125"/>
        <v>17693</v>
      </c>
      <c r="AB54" s="26">
        <f t="shared" si="125"/>
        <v>22223</v>
      </c>
      <c r="AC54" s="26">
        <f t="shared" si="125"/>
        <v>19802</v>
      </c>
      <c r="AD54" s="26">
        <f t="shared" si="125"/>
        <v>19947</v>
      </c>
      <c r="AE54" s="26">
        <f t="shared" si="125"/>
        <v>19595</v>
      </c>
      <c r="AF54" s="26">
        <f t="shared" si="125"/>
        <v>20990</v>
      </c>
      <c r="AG54" s="26">
        <f t="shared" si="125"/>
        <v>22181</v>
      </c>
      <c r="AH54" s="26">
        <f t="shared" si="125"/>
        <v>24998</v>
      </c>
      <c r="AI54" s="42"/>
      <c r="AJ54" s="77">
        <f>SUM(AH54/AD54)-1</f>
        <v>0.25322103574472354</v>
      </c>
    </row>
    <row r="55" spans="2:36" ht="5.0999999999999996" customHeight="1">
      <c r="B55" s="25"/>
      <c r="C55" s="50"/>
      <c r="D55" s="50"/>
      <c r="E55" s="41"/>
      <c r="F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39"/>
    </row>
    <row r="56" spans="2:36" ht="12.75" customHeight="1">
      <c r="B56" s="79" t="s">
        <v>87</v>
      </c>
      <c r="C56" s="83"/>
      <c r="D56" s="83"/>
      <c r="E56" s="83"/>
      <c r="F56" s="83"/>
      <c r="H56" s="83"/>
      <c r="I56" s="83"/>
      <c r="J56" s="83"/>
      <c r="K56" s="83"/>
      <c r="L56" s="83"/>
      <c r="M56" s="83"/>
      <c r="N56" s="83"/>
      <c r="O56" s="83"/>
      <c r="P56" s="32"/>
      <c r="Q56" s="83"/>
      <c r="R56" s="83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11"/>
      <c r="AJ56" s="76"/>
    </row>
    <row r="57" spans="2:36" ht="12.75" customHeight="1">
      <c r="B57" s="9" t="s">
        <v>128</v>
      </c>
      <c r="C57" s="83">
        <v>2348</v>
      </c>
      <c r="D57" s="83">
        <v>2223</v>
      </c>
      <c r="E57" s="83">
        <v>2154</v>
      </c>
      <c r="F57" s="83">
        <v>2521</v>
      </c>
      <c r="H57" s="83">
        <v>2201</v>
      </c>
      <c r="I57" s="83">
        <v>2209</v>
      </c>
      <c r="J57" s="83">
        <v>2180</v>
      </c>
      <c r="K57" s="32">
        <f t="shared" ref="K57:K60" si="126">E57</f>
        <v>2154</v>
      </c>
      <c r="L57" s="83">
        <v>2662</v>
      </c>
      <c r="M57" s="83">
        <v>2668</v>
      </c>
      <c r="N57" s="83">
        <v>2602</v>
      </c>
      <c r="O57" s="32">
        <f t="shared" ref="O57:O60" si="127">F57</f>
        <v>2521</v>
      </c>
      <c r="P57" s="83">
        <v>2465</v>
      </c>
      <c r="Q57" s="83">
        <v>2462</v>
      </c>
      <c r="R57" s="83">
        <v>2451</v>
      </c>
      <c r="T57" s="32" t="e">
        <f>#REF!</f>
        <v>#REF!</v>
      </c>
      <c r="U57" s="32" t="e">
        <f>#REF!</f>
        <v>#REF!</v>
      </c>
      <c r="V57" s="32" t="e">
        <f>#REF!</f>
        <v>#REF!</v>
      </c>
      <c r="W57" s="32" t="e">
        <f>#REF!</f>
        <v>#REF!</v>
      </c>
      <c r="X57" s="32">
        <f t="shared" ref="X57:AH60" si="128">H57</f>
        <v>2201</v>
      </c>
      <c r="Y57" s="32">
        <f t="shared" si="128"/>
        <v>2209</v>
      </c>
      <c r="Z57" s="32">
        <f t="shared" si="128"/>
        <v>2180</v>
      </c>
      <c r="AA57" s="32">
        <f t="shared" si="128"/>
        <v>2154</v>
      </c>
      <c r="AB57" s="32">
        <f t="shared" si="128"/>
        <v>2662</v>
      </c>
      <c r="AC57" s="32">
        <f t="shared" si="128"/>
        <v>2668</v>
      </c>
      <c r="AD57" s="32">
        <f t="shared" ref="AD57:AD58" si="129">N57</f>
        <v>2602</v>
      </c>
      <c r="AE57" s="32">
        <f t="shared" ref="AE57:AE58" si="130">O57</f>
        <v>2521</v>
      </c>
      <c r="AF57" s="32">
        <f t="shared" ref="AF57:AF58" si="131">P57</f>
        <v>2465</v>
      </c>
      <c r="AG57" s="32">
        <f t="shared" ref="AG57:AG58" si="132">Q57</f>
        <v>2462</v>
      </c>
      <c r="AH57" s="32">
        <f t="shared" ref="AH57:AH58" si="133">R57</f>
        <v>2451</v>
      </c>
      <c r="AI57" s="11"/>
      <c r="AJ57" s="76">
        <f t="shared" ref="AJ57:AJ61" si="134">SUM(AH57/AD57)-1</f>
        <v>-5.8032282859338924E-2</v>
      </c>
    </row>
    <row r="58" spans="2:36" ht="12.75" customHeight="1">
      <c r="B58" s="9" t="s">
        <v>129</v>
      </c>
      <c r="C58" s="83">
        <v>43450</v>
      </c>
      <c r="D58" s="83">
        <v>43614</v>
      </c>
      <c r="E58" s="83">
        <v>43653</v>
      </c>
      <c r="F58" s="83">
        <v>97873</v>
      </c>
      <c r="H58" s="83">
        <v>43614</v>
      </c>
      <c r="I58" s="83">
        <v>43614</v>
      </c>
      <c r="J58" s="83">
        <v>43619</v>
      </c>
      <c r="K58" s="32">
        <f t="shared" si="126"/>
        <v>43653</v>
      </c>
      <c r="L58" s="83">
        <v>97586</v>
      </c>
      <c r="M58" s="83">
        <v>97873</v>
      </c>
      <c r="N58" s="83">
        <v>97873</v>
      </c>
      <c r="O58" s="32">
        <f t="shared" si="127"/>
        <v>97873</v>
      </c>
      <c r="P58" s="83">
        <v>97871</v>
      </c>
      <c r="Q58" s="83">
        <v>97801</v>
      </c>
      <c r="R58" s="83">
        <v>97801</v>
      </c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>
        <f t="shared" si="129"/>
        <v>97873</v>
      </c>
      <c r="AE58" s="32">
        <f t="shared" si="130"/>
        <v>97873</v>
      </c>
      <c r="AF58" s="32">
        <f t="shared" si="131"/>
        <v>97871</v>
      </c>
      <c r="AG58" s="32">
        <f t="shared" si="132"/>
        <v>97801</v>
      </c>
      <c r="AH58" s="32">
        <f t="shared" si="133"/>
        <v>97801</v>
      </c>
      <c r="AI58" s="11"/>
      <c r="AJ58" s="76">
        <f t="shared" si="134"/>
        <v>-7.3564721629049146E-4</v>
      </c>
    </row>
    <row r="59" spans="2:36" ht="12.75" customHeight="1">
      <c r="B59" s="9" t="s">
        <v>130</v>
      </c>
      <c r="C59" s="83">
        <v>11374</v>
      </c>
      <c r="D59" s="83">
        <v>7111</v>
      </c>
      <c r="E59" s="83">
        <v>3867</v>
      </c>
      <c r="F59" s="83">
        <v>40583</v>
      </c>
      <c r="H59" s="83">
        <v>6225</v>
      </c>
      <c r="I59" s="83">
        <v>5434</v>
      </c>
      <c r="J59" s="83">
        <v>4654</v>
      </c>
      <c r="K59" s="32">
        <f t="shared" si="126"/>
        <v>3867</v>
      </c>
      <c r="L59" s="83">
        <v>47185</v>
      </c>
      <c r="M59" s="83">
        <v>45407</v>
      </c>
      <c r="N59" s="83">
        <v>43034</v>
      </c>
      <c r="O59" s="32">
        <f t="shared" si="127"/>
        <v>40583</v>
      </c>
      <c r="P59" s="83">
        <v>38583</v>
      </c>
      <c r="Q59" s="83">
        <v>36393</v>
      </c>
      <c r="R59" s="83">
        <v>34344</v>
      </c>
      <c r="T59" s="32" t="e">
        <f>#REF!</f>
        <v>#REF!</v>
      </c>
      <c r="U59" s="32" t="e">
        <f>#REF!</f>
        <v>#REF!</v>
      </c>
      <c r="V59" s="32" t="e">
        <f>#REF!</f>
        <v>#REF!</v>
      </c>
      <c r="W59" s="32" t="e">
        <f>#REF!</f>
        <v>#REF!</v>
      </c>
      <c r="X59" s="32">
        <f t="shared" si="128"/>
        <v>6225</v>
      </c>
      <c r="Y59" s="32">
        <f t="shared" si="128"/>
        <v>5434</v>
      </c>
      <c r="Z59" s="32">
        <f t="shared" si="128"/>
        <v>4654</v>
      </c>
      <c r="AA59" s="32">
        <f t="shared" si="128"/>
        <v>3867</v>
      </c>
      <c r="AB59" s="32">
        <f t="shared" si="128"/>
        <v>47185</v>
      </c>
      <c r="AC59" s="32">
        <f t="shared" si="128"/>
        <v>45407</v>
      </c>
      <c r="AD59" s="32">
        <f t="shared" si="128"/>
        <v>43034</v>
      </c>
      <c r="AE59" s="32">
        <f t="shared" si="128"/>
        <v>40583</v>
      </c>
      <c r="AF59" s="32">
        <f t="shared" si="128"/>
        <v>38583</v>
      </c>
      <c r="AG59" s="32">
        <f t="shared" si="128"/>
        <v>36393</v>
      </c>
      <c r="AH59" s="32">
        <f t="shared" si="128"/>
        <v>34344</v>
      </c>
      <c r="AI59" s="11"/>
      <c r="AJ59" s="76">
        <f t="shared" si="134"/>
        <v>-0.20193335502161081</v>
      </c>
    </row>
    <row r="60" spans="2:36" ht="12.75" customHeight="1">
      <c r="B60" s="9" t="s">
        <v>131</v>
      </c>
      <c r="C60" s="83">
        <v>1812</v>
      </c>
      <c r="D60" s="83">
        <v>1797</v>
      </c>
      <c r="E60" s="83">
        <v>2340</v>
      </c>
      <c r="F60" s="83">
        <v>5073</v>
      </c>
      <c r="H60" s="83">
        <v>2100</v>
      </c>
      <c r="I60" s="83">
        <v>2539</v>
      </c>
      <c r="J60" s="83">
        <v>2809</v>
      </c>
      <c r="K60" s="32">
        <f t="shared" si="126"/>
        <v>2340</v>
      </c>
      <c r="L60" s="83">
        <v>3245</v>
      </c>
      <c r="M60" s="83">
        <v>3961</v>
      </c>
      <c r="N60" s="83">
        <v>4510</v>
      </c>
      <c r="O60" s="32">
        <f t="shared" si="127"/>
        <v>5073</v>
      </c>
      <c r="P60" s="83">
        <v>5449</v>
      </c>
      <c r="Q60" s="83">
        <v>5793</v>
      </c>
      <c r="R60" s="83">
        <v>6027</v>
      </c>
      <c r="T60" s="32" t="e">
        <f>#REF!</f>
        <v>#REF!</v>
      </c>
      <c r="U60" s="32" t="e">
        <f>#REF!</f>
        <v>#REF!</v>
      </c>
      <c r="V60" s="32" t="e">
        <f>#REF!</f>
        <v>#REF!</v>
      </c>
      <c r="W60" s="32" t="e">
        <f>#REF!</f>
        <v>#REF!</v>
      </c>
      <c r="X60" s="32">
        <f t="shared" si="128"/>
        <v>2100</v>
      </c>
      <c r="Y60" s="32">
        <f t="shared" si="128"/>
        <v>2539</v>
      </c>
      <c r="Z60" s="32">
        <f t="shared" si="128"/>
        <v>2809</v>
      </c>
      <c r="AA60" s="32">
        <f t="shared" si="128"/>
        <v>2340</v>
      </c>
      <c r="AB60" s="32">
        <f t="shared" si="128"/>
        <v>3245</v>
      </c>
      <c r="AC60" s="32">
        <f t="shared" si="128"/>
        <v>3961</v>
      </c>
      <c r="AD60" s="32">
        <f t="shared" si="128"/>
        <v>4510</v>
      </c>
      <c r="AE60" s="32">
        <f t="shared" si="128"/>
        <v>5073</v>
      </c>
      <c r="AF60" s="32">
        <f t="shared" si="128"/>
        <v>5449</v>
      </c>
      <c r="AG60" s="32">
        <f t="shared" si="128"/>
        <v>5793</v>
      </c>
      <c r="AH60" s="32">
        <f t="shared" si="128"/>
        <v>6027</v>
      </c>
      <c r="AI60" s="11"/>
      <c r="AJ60" s="76">
        <f t="shared" si="134"/>
        <v>0.33636363636363642</v>
      </c>
    </row>
    <row r="61" spans="2:36" ht="12.75" customHeight="1">
      <c r="B61" s="13" t="s">
        <v>22</v>
      </c>
      <c r="C61" s="14">
        <f t="shared" ref="C61:F61" si="135">SUM(C57:C60)+C54</f>
        <v>75570</v>
      </c>
      <c r="D61" s="14">
        <f t="shared" si="135"/>
        <v>73249</v>
      </c>
      <c r="E61" s="14">
        <f t="shared" si="135"/>
        <v>72861</v>
      </c>
      <c r="F61" s="14">
        <f t="shared" si="135"/>
        <v>165645</v>
      </c>
      <c r="H61" s="14">
        <f t="shared" ref="H61:R61" si="136">SUM(H57:H60)+H54</f>
        <v>72976</v>
      </c>
      <c r="I61" s="14">
        <f t="shared" si="136"/>
        <v>71667</v>
      </c>
      <c r="J61" s="14">
        <f t="shared" si="136"/>
        <v>71595</v>
      </c>
      <c r="K61" s="14">
        <f t="shared" si="136"/>
        <v>72861</v>
      </c>
      <c r="L61" s="14">
        <f t="shared" si="136"/>
        <v>177870</v>
      </c>
      <c r="M61" s="14">
        <f t="shared" si="136"/>
        <v>175211</v>
      </c>
      <c r="N61" s="14">
        <f t="shared" si="136"/>
        <v>167966</v>
      </c>
      <c r="O61" s="14">
        <f t="shared" si="136"/>
        <v>165645</v>
      </c>
      <c r="P61" s="14">
        <f t="shared" si="136"/>
        <v>165358</v>
      </c>
      <c r="Q61" s="14">
        <f t="shared" si="136"/>
        <v>164630</v>
      </c>
      <c r="R61" s="14">
        <f t="shared" si="136"/>
        <v>165621</v>
      </c>
      <c r="T61" s="14" t="e">
        <f t="shared" ref="T61:AH61" si="137">SUM(T57:T60)+T54</f>
        <v>#REF!</v>
      </c>
      <c r="U61" s="14" t="e">
        <f t="shared" si="137"/>
        <v>#REF!</v>
      </c>
      <c r="V61" s="14" t="e">
        <f t="shared" si="137"/>
        <v>#REF!</v>
      </c>
      <c r="W61" s="14" t="e">
        <f t="shared" si="137"/>
        <v>#REF!</v>
      </c>
      <c r="X61" s="14">
        <f t="shared" si="137"/>
        <v>26128</v>
      </c>
      <c r="Y61" s="14">
        <f t="shared" si="137"/>
        <v>25022</v>
      </c>
      <c r="Z61" s="14">
        <f t="shared" si="137"/>
        <v>25062</v>
      </c>
      <c r="AA61" s="14">
        <f t="shared" si="137"/>
        <v>26054</v>
      </c>
      <c r="AB61" s="14">
        <f t="shared" si="137"/>
        <v>75315</v>
      </c>
      <c r="AC61" s="14">
        <f t="shared" si="137"/>
        <v>71838</v>
      </c>
      <c r="AD61" s="14">
        <f t="shared" si="137"/>
        <v>167966</v>
      </c>
      <c r="AE61" s="14">
        <f t="shared" si="137"/>
        <v>165645</v>
      </c>
      <c r="AF61" s="14">
        <f t="shared" si="137"/>
        <v>165358</v>
      </c>
      <c r="AG61" s="14">
        <f t="shared" si="137"/>
        <v>164630</v>
      </c>
      <c r="AH61" s="34">
        <f t="shared" si="137"/>
        <v>165621</v>
      </c>
      <c r="AI61" s="42"/>
      <c r="AJ61" s="77">
        <f t="shared" si="134"/>
        <v>-1.3961158805948837E-2</v>
      </c>
    </row>
    <row r="62" spans="2:36" ht="12.75" customHeight="1">
      <c r="B62" s="25"/>
      <c r="C62" s="51"/>
      <c r="D62" s="51"/>
      <c r="E62" s="41"/>
      <c r="F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39"/>
    </row>
    <row r="63" spans="2:36" ht="12.75" customHeight="1">
      <c r="B63" s="79" t="s">
        <v>48</v>
      </c>
      <c r="C63" s="51"/>
      <c r="D63" s="51"/>
      <c r="E63" s="41"/>
      <c r="F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39"/>
    </row>
    <row r="64" spans="2:36" ht="12.75" customHeight="1">
      <c r="B64" s="122" t="s">
        <v>13</v>
      </c>
      <c r="C64" s="123">
        <v>1086</v>
      </c>
      <c r="D64" s="123">
        <v>998</v>
      </c>
      <c r="E64" s="123">
        <v>1210</v>
      </c>
      <c r="F64" s="123">
        <v>1662</v>
      </c>
      <c r="H64" s="83">
        <v>923</v>
      </c>
      <c r="I64" s="83">
        <v>831</v>
      </c>
      <c r="J64" s="83">
        <v>992</v>
      </c>
      <c r="K64" s="32">
        <f t="shared" ref="K64:K67" si="138">E64</f>
        <v>1210</v>
      </c>
      <c r="L64" s="83">
        <v>1496</v>
      </c>
      <c r="M64" s="83">
        <v>1441</v>
      </c>
      <c r="N64" s="83">
        <v>1757</v>
      </c>
      <c r="O64" s="32">
        <f t="shared" ref="O64:O67" si="139">F64</f>
        <v>1662</v>
      </c>
      <c r="P64" s="83">
        <v>1905</v>
      </c>
      <c r="Q64" s="83">
        <v>1297</v>
      </c>
      <c r="R64" s="83">
        <v>1432</v>
      </c>
      <c r="T64" s="99" t="e">
        <f>#REF!</f>
        <v>#REF!</v>
      </c>
      <c r="U64" s="99" t="e">
        <f>#REF!</f>
        <v>#REF!</v>
      </c>
      <c r="V64" s="99" t="e">
        <f>#REF!</f>
        <v>#REF!</v>
      </c>
      <c r="W64" s="99" t="e">
        <f>#REF!</f>
        <v>#REF!</v>
      </c>
      <c r="X64" s="99">
        <f t="shared" ref="X64:AH67" si="140">H64</f>
        <v>923</v>
      </c>
      <c r="Y64" s="99">
        <f t="shared" si="140"/>
        <v>831</v>
      </c>
      <c r="Z64" s="99">
        <f t="shared" si="140"/>
        <v>992</v>
      </c>
      <c r="AA64" s="99">
        <f t="shared" si="140"/>
        <v>1210</v>
      </c>
      <c r="AB64" s="99">
        <f t="shared" si="140"/>
        <v>1496</v>
      </c>
      <c r="AC64" s="99">
        <f t="shared" si="140"/>
        <v>1441</v>
      </c>
      <c r="AD64" s="99">
        <f t="shared" si="140"/>
        <v>1757</v>
      </c>
      <c r="AE64" s="99">
        <f t="shared" si="140"/>
        <v>1662</v>
      </c>
      <c r="AF64" s="99">
        <f t="shared" si="140"/>
        <v>1905</v>
      </c>
      <c r="AG64" s="99">
        <f t="shared" si="140"/>
        <v>1297</v>
      </c>
      <c r="AH64" s="99">
        <f t="shared" si="140"/>
        <v>1432</v>
      </c>
      <c r="AI64" s="11"/>
      <c r="AJ64" s="76">
        <f t="shared" ref="AJ64:AJ68" si="141">SUM(AH64/AD64)-1</f>
        <v>-0.18497438816163914</v>
      </c>
    </row>
    <row r="65" spans="2:36" ht="12.75" customHeight="1">
      <c r="B65" s="122" t="s">
        <v>132</v>
      </c>
      <c r="C65" s="123">
        <v>1066</v>
      </c>
      <c r="D65" s="123">
        <v>1202</v>
      </c>
      <c r="E65" s="123">
        <v>935</v>
      </c>
      <c r="F65" s="123">
        <v>1971</v>
      </c>
      <c r="H65" s="83">
        <v>536</v>
      </c>
      <c r="I65" s="83">
        <v>634</v>
      </c>
      <c r="J65" s="83">
        <v>831</v>
      </c>
      <c r="K65" s="32">
        <f t="shared" si="138"/>
        <v>935</v>
      </c>
      <c r="L65" s="83">
        <v>1128</v>
      </c>
      <c r="M65" s="83">
        <v>1385</v>
      </c>
      <c r="N65" s="83">
        <v>1725</v>
      </c>
      <c r="O65" s="32">
        <f t="shared" si="139"/>
        <v>1971</v>
      </c>
      <c r="P65" s="83">
        <v>922</v>
      </c>
      <c r="Q65" s="83">
        <v>1266</v>
      </c>
      <c r="R65" s="83">
        <v>1719</v>
      </c>
      <c r="T65" s="99" t="e">
        <f>#REF!</f>
        <v>#REF!</v>
      </c>
      <c r="U65" s="99" t="e">
        <f>#REF!</f>
        <v>#REF!</v>
      </c>
      <c r="V65" s="99" t="e">
        <f>#REF!</f>
        <v>#REF!</v>
      </c>
      <c r="W65" s="99" t="e">
        <f>#REF!</f>
        <v>#REF!</v>
      </c>
      <c r="X65" s="99">
        <f t="shared" si="140"/>
        <v>536</v>
      </c>
      <c r="Y65" s="99">
        <f t="shared" si="140"/>
        <v>634</v>
      </c>
      <c r="Z65" s="99">
        <f t="shared" si="140"/>
        <v>831</v>
      </c>
      <c r="AA65" s="99">
        <f t="shared" si="140"/>
        <v>935</v>
      </c>
      <c r="AB65" s="99">
        <f t="shared" si="140"/>
        <v>1128</v>
      </c>
      <c r="AC65" s="99">
        <f t="shared" si="140"/>
        <v>1385</v>
      </c>
      <c r="AD65" s="99">
        <f t="shared" si="140"/>
        <v>1725</v>
      </c>
      <c r="AE65" s="99">
        <f t="shared" si="140"/>
        <v>1971</v>
      </c>
      <c r="AF65" s="99">
        <f t="shared" si="140"/>
        <v>922</v>
      </c>
      <c r="AG65" s="99">
        <f t="shared" si="140"/>
        <v>1266</v>
      </c>
      <c r="AH65" s="99">
        <f t="shared" si="140"/>
        <v>1719</v>
      </c>
      <c r="AI65" s="11"/>
      <c r="AJ65" s="76">
        <f t="shared" si="141"/>
        <v>-3.4782608695652639E-3</v>
      </c>
    </row>
    <row r="66" spans="2:36" ht="12.75" customHeight="1">
      <c r="B66" s="122" t="s">
        <v>133</v>
      </c>
      <c r="C66" s="123">
        <v>290</v>
      </c>
      <c r="D66" s="123">
        <v>440</v>
      </c>
      <c r="E66" s="123">
        <v>1608</v>
      </c>
      <c r="F66" s="123">
        <v>1271</v>
      </c>
      <c r="H66" s="83">
        <v>1115</v>
      </c>
      <c r="I66" s="83">
        <v>1117</v>
      </c>
      <c r="J66" s="83">
        <v>1119</v>
      </c>
      <c r="K66" s="32">
        <f t="shared" si="138"/>
        <v>1608</v>
      </c>
      <c r="L66" s="83">
        <v>2433</v>
      </c>
      <c r="M66" s="83">
        <v>2426</v>
      </c>
      <c r="N66" s="83">
        <v>3161</v>
      </c>
      <c r="O66" s="32">
        <f t="shared" si="139"/>
        <v>1271</v>
      </c>
      <c r="P66" s="83">
        <v>5653</v>
      </c>
      <c r="Q66" s="83">
        <v>5531</v>
      </c>
      <c r="R66" s="83">
        <v>1399</v>
      </c>
      <c r="T66" s="99" t="e">
        <f>#REF!</f>
        <v>#REF!</v>
      </c>
      <c r="U66" s="99" t="e">
        <f>#REF!</f>
        <v>#REF!</v>
      </c>
      <c r="V66" s="99" t="e">
        <f>#REF!</f>
        <v>#REF!</v>
      </c>
      <c r="W66" s="99" t="e">
        <f>#REF!</f>
        <v>#REF!</v>
      </c>
      <c r="X66" s="99">
        <f t="shared" si="140"/>
        <v>1115</v>
      </c>
      <c r="Y66" s="99">
        <f t="shared" si="140"/>
        <v>1117</v>
      </c>
      <c r="Z66" s="99">
        <f t="shared" si="140"/>
        <v>1119</v>
      </c>
      <c r="AA66" s="99">
        <f t="shared" si="140"/>
        <v>1608</v>
      </c>
      <c r="AB66" s="99">
        <f t="shared" si="140"/>
        <v>2433</v>
      </c>
      <c r="AC66" s="99">
        <f t="shared" si="140"/>
        <v>2426</v>
      </c>
      <c r="AD66" s="99">
        <f t="shared" si="140"/>
        <v>3161</v>
      </c>
      <c r="AE66" s="99">
        <f t="shared" si="140"/>
        <v>1271</v>
      </c>
      <c r="AF66" s="99">
        <f t="shared" si="140"/>
        <v>5653</v>
      </c>
      <c r="AG66" s="99">
        <f t="shared" si="140"/>
        <v>5531</v>
      </c>
      <c r="AH66" s="99">
        <f t="shared" si="140"/>
        <v>1399</v>
      </c>
      <c r="AI66" s="11"/>
      <c r="AJ66" s="76">
        <f t="shared" si="141"/>
        <v>-0.55741853843720346</v>
      </c>
    </row>
    <row r="67" spans="2:36" ht="12.75" customHeight="1">
      <c r="B67" s="122" t="s">
        <v>134</v>
      </c>
      <c r="C67" s="123">
        <v>3839</v>
      </c>
      <c r="D67" s="123">
        <v>4412</v>
      </c>
      <c r="E67" s="123">
        <v>3652</v>
      </c>
      <c r="F67" s="123">
        <v>11793</v>
      </c>
      <c r="H67" s="83">
        <v>4909</v>
      </c>
      <c r="I67" s="83">
        <v>4929</v>
      </c>
      <c r="J67" s="83">
        <v>4403</v>
      </c>
      <c r="K67" s="32">
        <f t="shared" si="138"/>
        <v>3652</v>
      </c>
      <c r="L67" s="83">
        <v>15312</v>
      </c>
      <c r="M67" s="83">
        <v>14919</v>
      </c>
      <c r="N67" s="83">
        <v>12578</v>
      </c>
      <c r="O67" s="32">
        <f t="shared" si="139"/>
        <v>11793</v>
      </c>
      <c r="P67" s="83">
        <v>12430</v>
      </c>
      <c r="Q67" s="83">
        <v>12503</v>
      </c>
      <c r="R67" s="83">
        <v>12154</v>
      </c>
      <c r="T67" s="99" t="e">
        <f>#REF!</f>
        <v>#REF!</v>
      </c>
      <c r="U67" s="99" t="e">
        <f>#REF!</f>
        <v>#REF!</v>
      </c>
      <c r="V67" s="99" t="e">
        <f>#REF!</f>
        <v>#REF!</v>
      </c>
      <c r="W67" s="99" t="e">
        <f>#REF!</f>
        <v>#REF!</v>
      </c>
      <c r="X67" s="99">
        <f t="shared" si="140"/>
        <v>4909</v>
      </c>
      <c r="Y67" s="99">
        <f t="shared" si="140"/>
        <v>4929</v>
      </c>
      <c r="Z67" s="99">
        <f t="shared" si="140"/>
        <v>4403</v>
      </c>
      <c r="AA67" s="99">
        <f t="shared" si="140"/>
        <v>3652</v>
      </c>
      <c r="AB67" s="99">
        <f t="shared" si="140"/>
        <v>15312</v>
      </c>
      <c r="AC67" s="99">
        <f t="shared" si="140"/>
        <v>14919</v>
      </c>
      <c r="AD67" s="99">
        <f t="shared" si="140"/>
        <v>12578</v>
      </c>
      <c r="AE67" s="99">
        <f t="shared" si="140"/>
        <v>11793</v>
      </c>
      <c r="AF67" s="99">
        <f t="shared" si="140"/>
        <v>12430</v>
      </c>
      <c r="AG67" s="99">
        <f t="shared" si="140"/>
        <v>12503</v>
      </c>
      <c r="AH67" s="99">
        <f t="shared" si="140"/>
        <v>12154</v>
      </c>
      <c r="AI67" s="11"/>
      <c r="AJ67" s="76">
        <f t="shared" si="141"/>
        <v>-3.3709651772936833E-2</v>
      </c>
    </row>
    <row r="68" spans="2:36" ht="12.75" customHeight="1">
      <c r="B68" s="25" t="s">
        <v>20</v>
      </c>
      <c r="C68" s="26">
        <f>SUM(C64:C67)</f>
        <v>6281</v>
      </c>
      <c r="D68" s="26">
        <f>SUM(D64:D67)</f>
        <v>7052</v>
      </c>
      <c r="E68" s="26">
        <f>SUM(E64:E67)</f>
        <v>7405</v>
      </c>
      <c r="F68" s="26">
        <f>SUM(F64:F67)</f>
        <v>16697</v>
      </c>
      <c r="H68" s="26">
        <f>SUM(H64:H67)</f>
        <v>7483</v>
      </c>
      <c r="I68" s="26">
        <f>SUM(I64:I67)</f>
        <v>7511</v>
      </c>
      <c r="J68" s="26">
        <f>SUM(J64:J67)</f>
        <v>7345</v>
      </c>
      <c r="K68" s="26">
        <f>SUM(K64:K67)</f>
        <v>7405</v>
      </c>
      <c r="L68" s="26">
        <f>SUM(L64:L67)</f>
        <v>20369</v>
      </c>
      <c r="M68" s="26">
        <f>SUM(M64:M67)</f>
        <v>20171</v>
      </c>
      <c r="N68" s="26">
        <f>SUM(N64:N67)</f>
        <v>19221</v>
      </c>
      <c r="O68" s="26">
        <f>SUM(O64:O67)</f>
        <v>16697</v>
      </c>
      <c r="P68" s="26">
        <f>SUM(P64:P67)</f>
        <v>20910</v>
      </c>
      <c r="Q68" s="26">
        <f>SUM(Q64:Q67)</f>
        <v>20597</v>
      </c>
      <c r="R68" s="26">
        <f>SUM(R64:R67)</f>
        <v>16704</v>
      </c>
      <c r="S68" s="49"/>
      <c r="T68" s="26" t="e">
        <f>SUM(T64:T67)</f>
        <v>#REF!</v>
      </c>
      <c r="U68" s="26" t="e">
        <f>SUM(U64:U67)</f>
        <v>#REF!</v>
      </c>
      <c r="V68" s="26" t="e">
        <f>SUM(V64:V67)</f>
        <v>#REF!</v>
      </c>
      <c r="W68" s="26" t="e">
        <f>SUM(W64:W67)</f>
        <v>#REF!</v>
      </c>
      <c r="X68" s="26">
        <f>SUM(X64:X67)</f>
        <v>7483</v>
      </c>
      <c r="Y68" s="26">
        <f>SUM(Y64:Y67)</f>
        <v>7511</v>
      </c>
      <c r="Z68" s="26">
        <f>SUM(Z64:Z67)</f>
        <v>7345</v>
      </c>
      <c r="AA68" s="26">
        <f>SUM(AA64:AA67)</f>
        <v>7405</v>
      </c>
      <c r="AB68" s="26">
        <f>SUM(AB64:AB67)</f>
        <v>20369</v>
      </c>
      <c r="AC68" s="26">
        <f>SUM(AC64:AC67)</f>
        <v>20171</v>
      </c>
      <c r="AD68" s="26">
        <f>SUM(AD64:AD67)</f>
        <v>19221</v>
      </c>
      <c r="AE68" s="26">
        <f>SUM(AE64:AE67)</f>
        <v>16697</v>
      </c>
      <c r="AF68" s="26">
        <f>SUM(AF64:AF67)</f>
        <v>20910</v>
      </c>
      <c r="AG68" s="26">
        <f>SUM(AG64:AG67)</f>
        <v>20597</v>
      </c>
      <c r="AH68" s="26">
        <f>SUM(AH64:AH67)</f>
        <v>16704</v>
      </c>
      <c r="AI68" s="42"/>
      <c r="AJ68" s="77">
        <f t="shared" si="141"/>
        <v>-0.1309505228656157</v>
      </c>
    </row>
    <row r="69" spans="2:36" ht="5.0999999999999996" customHeight="1">
      <c r="B69" s="25"/>
      <c r="C69" s="51"/>
      <c r="D69" s="51"/>
      <c r="E69" s="41"/>
      <c r="F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39"/>
    </row>
    <row r="70" spans="2:36">
      <c r="B70" s="79" t="s">
        <v>88</v>
      </c>
      <c r="C70" s="51"/>
      <c r="D70" s="51"/>
      <c r="E70" s="41"/>
      <c r="F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39"/>
    </row>
    <row r="71" spans="2:36" ht="12.75" customHeight="1">
      <c r="B71" s="122" t="s">
        <v>106</v>
      </c>
      <c r="C71" s="123">
        <v>39440</v>
      </c>
      <c r="D71" s="123">
        <v>39075</v>
      </c>
      <c r="E71" s="123">
        <v>37621</v>
      </c>
      <c r="F71" s="123">
        <v>66295</v>
      </c>
      <c r="G71" s="52"/>
      <c r="H71" s="83">
        <v>38167</v>
      </c>
      <c r="I71" s="83">
        <v>38194</v>
      </c>
      <c r="J71" s="83">
        <v>38222</v>
      </c>
      <c r="K71" s="32">
        <f t="shared" ref="K71:K72" si="142">E71</f>
        <v>37621</v>
      </c>
      <c r="L71" s="83">
        <v>73468</v>
      </c>
      <c r="M71" s="83">
        <v>71590</v>
      </c>
      <c r="N71" s="83">
        <v>66798</v>
      </c>
      <c r="O71" s="32">
        <f t="shared" ref="O71:O72" si="143">F71</f>
        <v>66295</v>
      </c>
      <c r="P71" s="83">
        <v>60926</v>
      </c>
      <c r="Q71" s="83">
        <v>61751</v>
      </c>
      <c r="R71" s="83">
        <v>62830</v>
      </c>
      <c r="S71" s="123"/>
      <c r="T71" s="99" t="e">
        <f>#REF!</f>
        <v>#REF!</v>
      </c>
      <c r="U71" s="99" t="e">
        <f>#REF!</f>
        <v>#REF!</v>
      </c>
      <c r="V71" s="99" t="e">
        <f>#REF!</f>
        <v>#REF!</v>
      </c>
      <c r="W71" s="99" t="e">
        <f>#REF!</f>
        <v>#REF!</v>
      </c>
      <c r="X71" s="99">
        <f t="shared" ref="X71:AH72" si="144">H71</f>
        <v>38167</v>
      </c>
      <c r="Y71" s="99">
        <f t="shared" si="144"/>
        <v>38194</v>
      </c>
      <c r="Z71" s="99">
        <f t="shared" si="144"/>
        <v>38222</v>
      </c>
      <c r="AA71" s="99">
        <f t="shared" si="144"/>
        <v>37621</v>
      </c>
      <c r="AB71" s="99">
        <f t="shared" si="144"/>
        <v>73468</v>
      </c>
      <c r="AC71" s="99">
        <f t="shared" si="144"/>
        <v>71590</v>
      </c>
      <c r="AD71" s="99">
        <f t="shared" si="144"/>
        <v>66798</v>
      </c>
      <c r="AE71" s="99">
        <f t="shared" si="144"/>
        <v>66295</v>
      </c>
      <c r="AF71" s="99">
        <f t="shared" si="144"/>
        <v>60926</v>
      </c>
      <c r="AG71" s="99">
        <f t="shared" si="144"/>
        <v>61751</v>
      </c>
      <c r="AH71" s="99">
        <f t="shared" si="144"/>
        <v>62830</v>
      </c>
      <c r="AI71" s="42"/>
      <c r="AJ71" s="76">
        <f t="shared" ref="AJ71:AJ82" si="145">SUM(AH71/AD71)-1</f>
        <v>-5.9402976137010066E-2</v>
      </c>
    </row>
    <row r="72" spans="2:36" ht="12.75" customHeight="1">
      <c r="B72" s="122" t="s">
        <v>135</v>
      </c>
      <c r="C72" s="123">
        <v>4860</v>
      </c>
      <c r="D72" s="123">
        <v>4413</v>
      </c>
      <c r="E72" s="123">
        <v>3847</v>
      </c>
      <c r="F72" s="123">
        <v>14975</v>
      </c>
      <c r="G72" s="52"/>
      <c r="H72" s="83">
        <v>4016</v>
      </c>
      <c r="I72" s="83">
        <v>3955</v>
      </c>
      <c r="J72" s="83">
        <v>3949</v>
      </c>
      <c r="K72" s="32">
        <f t="shared" si="142"/>
        <v>3847</v>
      </c>
      <c r="L72" s="83">
        <v>13749</v>
      </c>
      <c r="M72" s="83">
        <v>13489</v>
      </c>
      <c r="N72" s="83">
        <v>16296</v>
      </c>
      <c r="O72" s="32">
        <f t="shared" si="143"/>
        <v>14975</v>
      </c>
      <c r="P72" s="83">
        <v>13733</v>
      </c>
      <c r="Q72" s="83">
        <v>12696</v>
      </c>
      <c r="R72" s="83">
        <v>12810</v>
      </c>
      <c r="S72" s="123"/>
      <c r="T72" s="99" t="e">
        <f>#REF!</f>
        <v>#REF!</v>
      </c>
      <c r="U72" s="99" t="e">
        <f>#REF!</f>
        <v>#REF!</v>
      </c>
      <c r="V72" s="99" t="e">
        <f>#REF!</f>
        <v>#REF!</v>
      </c>
      <c r="W72" s="99" t="e">
        <f>#REF!</f>
        <v>#REF!</v>
      </c>
      <c r="X72" s="99">
        <f t="shared" si="144"/>
        <v>4016</v>
      </c>
      <c r="Y72" s="99">
        <f t="shared" si="144"/>
        <v>3955</v>
      </c>
      <c r="Z72" s="99">
        <f t="shared" si="144"/>
        <v>3949</v>
      </c>
      <c r="AA72" s="99">
        <f t="shared" si="144"/>
        <v>3847</v>
      </c>
      <c r="AB72" s="99">
        <f t="shared" si="144"/>
        <v>13749</v>
      </c>
      <c r="AC72" s="99">
        <f t="shared" si="144"/>
        <v>13489</v>
      </c>
      <c r="AD72" s="99">
        <f t="shared" si="144"/>
        <v>16296</v>
      </c>
      <c r="AE72" s="99">
        <f t="shared" si="144"/>
        <v>14975</v>
      </c>
      <c r="AF72" s="99">
        <f t="shared" si="144"/>
        <v>13733</v>
      </c>
      <c r="AG72" s="99">
        <f t="shared" si="144"/>
        <v>12696</v>
      </c>
      <c r="AH72" s="99">
        <f t="shared" si="144"/>
        <v>12810</v>
      </c>
      <c r="AI72" s="42"/>
      <c r="AJ72" s="76">
        <f t="shared" si="145"/>
        <v>-0.21391752577319589</v>
      </c>
    </row>
    <row r="73" spans="2:36" ht="12.75" customHeight="1">
      <c r="B73" s="13" t="s">
        <v>18</v>
      </c>
      <c r="C73" s="14">
        <f>SUM(C71:C72)+C68</f>
        <v>50581</v>
      </c>
      <c r="D73" s="14">
        <f>SUM(D71:D72)+D68</f>
        <v>50540</v>
      </c>
      <c r="E73" s="14">
        <f>SUM(E71:E72)+E68</f>
        <v>48873</v>
      </c>
      <c r="F73" s="14">
        <f>SUM(F71:F72)+F68</f>
        <v>97967</v>
      </c>
      <c r="H73" s="14">
        <f>SUM(H71:H72)+H68</f>
        <v>49666</v>
      </c>
      <c r="I73" s="14">
        <f>SUM(I71:I72)+I68</f>
        <v>49660</v>
      </c>
      <c r="J73" s="14">
        <f>SUM(J71:J72)+J68</f>
        <v>49516</v>
      </c>
      <c r="K73" s="14">
        <f>SUM(K71:K72)+K68</f>
        <v>48873</v>
      </c>
      <c r="L73" s="14">
        <f>SUM(L71:L72)+L68</f>
        <v>107586</v>
      </c>
      <c r="M73" s="14">
        <f>SUM(M71:M72)+M68</f>
        <v>105250</v>
      </c>
      <c r="N73" s="14">
        <f>SUM(N71:N72)+N68</f>
        <v>102315</v>
      </c>
      <c r="O73" s="14">
        <f>SUM(O71:O72)+O68</f>
        <v>97967</v>
      </c>
      <c r="P73" s="14">
        <f>SUM(P71:P72)+P68</f>
        <v>95569</v>
      </c>
      <c r="Q73" s="14">
        <f>SUM(Q71:Q72)+Q68</f>
        <v>95044</v>
      </c>
      <c r="R73" s="14">
        <f>SUM(R71:R72)+R68</f>
        <v>92344</v>
      </c>
      <c r="T73" s="14" t="e">
        <f>SUM(T71:T72)+T68</f>
        <v>#REF!</v>
      </c>
      <c r="U73" s="14" t="e">
        <f>SUM(U71:U72)+U68</f>
        <v>#REF!</v>
      </c>
      <c r="V73" s="14" t="e">
        <f>SUM(V71:V72)+V68</f>
        <v>#REF!</v>
      </c>
      <c r="W73" s="14" t="e">
        <f>SUM(W71:W72)+W68</f>
        <v>#REF!</v>
      </c>
      <c r="X73" s="14">
        <f>SUM(X71:X72)+X68</f>
        <v>49666</v>
      </c>
      <c r="Y73" s="14">
        <f>SUM(Y71:Y72)+Y68</f>
        <v>49660</v>
      </c>
      <c r="Z73" s="14">
        <f>SUM(Z71:Z72)+Z68</f>
        <v>49516</v>
      </c>
      <c r="AA73" s="14">
        <f>SUM(AA71:AA72)+AA68</f>
        <v>48873</v>
      </c>
      <c r="AB73" s="14">
        <f>SUM(AB71:AB72)+AB68</f>
        <v>107586</v>
      </c>
      <c r="AC73" s="14">
        <f>SUM(AC71:AC72)+AC68</f>
        <v>105250</v>
      </c>
      <c r="AD73" s="14">
        <f>SUM(AD71:AD72)+AD68</f>
        <v>102315</v>
      </c>
      <c r="AE73" s="14">
        <f>SUM(AE71:AE72)+AE68</f>
        <v>97967</v>
      </c>
      <c r="AF73" s="14">
        <f>SUM(AF71:AF72)+AF68</f>
        <v>95569</v>
      </c>
      <c r="AG73" s="14">
        <f>SUM(AG71:AG72)+AG68</f>
        <v>95044</v>
      </c>
      <c r="AH73" s="14">
        <f>SUM(AH71:AH72)+AH68</f>
        <v>92344</v>
      </c>
      <c r="AI73" s="42"/>
      <c r="AJ73" s="77">
        <f t="shared" si="145"/>
        <v>-9.7453941259834864E-2</v>
      </c>
    </row>
    <row r="74" spans="2:36" ht="5.0999999999999996" customHeight="1">
      <c r="B74" s="25"/>
      <c r="C74" s="50"/>
      <c r="D74" s="50"/>
      <c r="E74" s="41"/>
      <c r="F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39"/>
    </row>
    <row r="75" spans="2:36" ht="12.75" customHeight="1">
      <c r="B75" s="9" t="s">
        <v>137</v>
      </c>
      <c r="C75" s="83">
        <v>27</v>
      </c>
      <c r="D75" s="83">
        <v>0</v>
      </c>
      <c r="E75" s="83">
        <v>0</v>
      </c>
      <c r="F75" s="83">
        <v>0</v>
      </c>
      <c r="G75" s="32"/>
      <c r="H75" s="83">
        <v>0</v>
      </c>
      <c r="I75" s="83">
        <v>0</v>
      </c>
      <c r="J75" s="83">
        <v>0</v>
      </c>
      <c r="K75" s="32">
        <f>E75</f>
        <v>0</v>
      </c>
      <c r="L75" s="83">
        <v>0</v>
      </c>
      <c r="M75" s="83">
        <v>0</v>
      </c>
      <c r="N75" s="83">
        <v>0</v>
      </c>
      <c r="O75" s="32">
        <f>F75</f>
        <v>0</v>
      </c>
      <c r="P75" s="83">
        <v>0</v>
      </c>
      <c r="Q75" s="83">
        <v>0</v>
      </c>
      <c r="R75" s="83">
        <v>0</v>
      </c>
      <c r="T75" s="32" t="e">
        <f>#REF!</f>
        <v>#REF!</v>
      </c>
      <c r="U75" s="32" t="e">
        <f>#REF!</f>
        <v>#REF!</v>
      </c>
      <c r="V75" s="32" t="e">
        <f>#REF!</f>
        <v>#REF!</v>
      </c>
      <c r="W75" s="32" t="e">
        <f>#REF!</f>
        <v>#REF!</v>
      </c>
      <c r="X75" s="32">
        <f t="shared" ref="X75:AH80" si="146">H75</f>
        <v>0</v>
      </c>
      <c r="Y75" s="32">
        <f t="shared" si="146"/>
        <v>0</v>
      </c>
      <c r="Z75" s="32">
        <f t="shared" si="146"/>
        <v>0</v>
      </c>
      <c r="AA75" s="32">
        <f t="shared" si="146"/>
        <v>0</v>
      </c>
      <c r="AB75" s="32">
        <f t="shared" si="146"/>
        <v>0</v>
      </c>
      <c r="AC75" s="32">
        <f t="shared" si="146"/>
        <v>0</v>
      </c>
      <c r="AD75" s="32">
        <f t="shared" ref="AD75:AD77" si="147">N75</f>
        <v>0</v>
      </c>
      <c r="AE75" s="32">
        <f t="shared" ref="AE75:AE77" si="148">O75</f>
        <v>0</v>
      </c>
      <c r="AF75" s="32">
        <f t="shared" ref="AF75:AF77" si="149">P75</f>
        <v>0</v>
      </c>
      <c r="AG75" s="32">
        <f t="shared" ref="AG75:AG77" si="150">Q75</f>
        <v>0</v>
      </c>
      <c r="AH75" s="32">
        <f t="shared" ref="AH75:AH77" si="151">R75</f>
        <v>0</v>
      </c>
      <c r="AI75" s="11"/>
      <c r="AJ75" s="76" t="e">
        <f t="shared" si="145"/>
        <v>#DIV/0!</v>
      </c>
    </row>
    <row r="76" spans="2:36" ht="12.75" customHeight="1">
      <c r="B76" s="9" t="s">
        <v>138</v>
      </c>
      <c r="C76" s="83">
        <v>0</v>
      </c>
      <c r="D76" s="83">
        <v>0</v>
      </c>
      <c r="E76" s="83">
        <v>0</v>
      </c>
      <c r="F76" s="83">
        <v>0</v>
      </c>
      <c r="G76" s="32"/>
      <c r="H76" s="83">
        <v>0</v>
      </c>
      <c r="I76" s="83">
        <v>0</v>
      </c>
      <c r="J76" s="83">
        <v>0</v>
      </c>
      <c r="K76" s="32">
        <f t="shared" ref="K76:K78" si="152">E76</f>
        <v>0</v>
      </c>
      <c r="L76" s="83">
        <v>0</v>
      </c>
      <c r="M76" s="83">
        <v>0</v>
      </c>
      <c r="N76" s="83">
        <v>0</v>
      </c>
      <c r="O76" s="32">
        <f t="shared" ref="O76:O78" si="153">F76</f>
        <v>0</v>
      </c>
      <c r="P76" s="83">
        <v>0</v>
      </c>
      <c r="Q76" s="83">
        <v>0</v>
      </c>
      <c r="R76" s="83">
        <v>0</v>
      </c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>
        <f t="shared" si="147"/>
        <v>0</v>
      </c>
      <c r="AE76" s="32">
        <f t="shared" si="148"/>
        <v>0</v>
      </c>
      <c r="AF76" s="32">
        <f t="shared" si="149"/>
        <v>0</v>
      </c>
      <c r="AG76" s="32">
        <f t="shared" si="150"/>
        <v>0</v>
      </c>
      <c r="AH76" s="32">
        <f t="shared" si="151"/>
        <v>0</v>
      </c>
      <c r="AI76" s="11"/>
      <c r="AJ76" s="76" t="e">
        <f t="shared" si="145"/>
        <v>#DIV/0!</v>
      </c>
    </row>
    <row r="77" spans="2:36" ht="12.75" customHeight="1">
      <c r="B77" s="9" t="s">
        <v>139</v>
      </c>
      <c r="C77" s="83">
        <v>0</v>
      </c>
      <c r="D77" s="83">
        <v>0</v>
      </c>
      <c r="E77" s="83">
        <v>0</v>
      </c>
      <c r="F77" s="83">
        <v>5</v>
      </c>
      <c r="G77" s="32"/>
      <c r="H77" s="83">
        <v>0</v>
      </c>
      <c r="I77" s="83">
        <v>0</v>
      </c>
      <c r="J77" s="83">
        <v>0</v>
      </c>
      <c r="K77" s="32">
        <f t="shared" si="152"/>
        <v>0</v>
      </c>
      <c r="L77" s="83">
        <v>0</v>
      </c>
      <c r="M77" s="83">
        <v>0</v>
      </c>
      <c r="N77" s="83">
        <v>5</v>
      </c>
      <c r="O77" s="32">
        <f t="shared" si="153"/>
        <v>5</v>
      </c>
      <c r="P77" s="83">
        <v>5</v>
      </c>
      <c r="Q77" s="83">
        <v>5</v>
      </c>
      <c r="R77" s="83">
        <v>5</v>
      </c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>
        <f t="shared" si="147"/>
        <v>5</v>
      </c>
      <c r="AE77" s="32">
        <f t="shared" si="148"/>
        <v>5</v>
      </c>
      <c r="AF77" s="32">
        <f t="shared" si="149"/>
        <v>5</v>
      </c>
      <c r="AG77" s="32">
        <f t="shared" si="150"/>
        <v>5</v>
      </c>
      <c r="AH77" s="32">
        <f t="shared" si="151"/>
        <v>5</v>
      </c>
      <c r="AI77" s="11"/>
      <c r="AJ77" s="76">
        <f t="shared" si="145"/>
        <v>0</v>
      </c>
    </row>
    <row r="78" spans="2:36" ht="12.75" customHeight="1">
      <c r="B78" s="9" t="s">
        <v>136</v>
      </c>
      <c r="C78" s="83">
        <v>24330</v>
      </c>
      <c r="D78" s="83">
        <v>21159</v>
      </c>
      <c r="E78" s="83">
        <v>21099</v>
      </c>
      <c r="F78" s="83">
        <v>67466</v>
      </c>
      <c r="G78" s="32"/>
      <c r="H78" s="83">
        <v>21119</v>
      </c>
      <c r="I78" s="83">
        <v>20826</v>
      </c>
      <c r="J78" s="83">
        <v>20855</v>
      </c>
      <c r="K78" s="32">
        <f t="shared" si="152"/>
        <v>21099</v>
      </c>
      <c r="L78" s="83">
        <v>70077</v>
      </c>
      <c r="M78" s="83">
        <v>69754</v>
      </c>
      <c r="N78" s="83">
        <v>67313</v>
      </c>
      <c r="O78" s="32">
        <f t="shared" si="153"/>
        <v>67466</v>
      </c>
      <c r="P78" s="83">
        <v>66848</v>
      </c>
      <c r="Q78" s="83">
        <v>66689</v>
      </c>
      <c r="R78" s="83">
        <v>69011</v>
      </c>
      <c r="T78" s="32" t="e">
        <f>#REF!</f>
        <v>#REF!</v>
      </c>
      <c r="U78" s="32" t="e">
        <f>#REF!</f>
        <v>#REF!</v>
      </c>
      <c r="V78" s="32" t="e">
        <f>#REF!</f>
        <v>#REF!</v>
      </c>
      <c r="W78" s="32" t="e">
        <f>#REF!</f>
        <v>#REF!</v>
      </c>
      <c r="X78" s="32">
        <f t="shared" si="146"/>
        <v>21119</v>
      </c>
      <c r="Y78" s="32">
        <f t="shared" si="146"/>
        <v>20826</v>
      </c>
      <c r="Z78" s="32">
        <f t="shared" si="146"/>
        <v>20855</v>
      </c>
      <c r="AA78" s="32">
        <f t="shared" si="146"/>
        <v>21099</v>
      </c>
      <c r="AB78" s="32">
        <f t="shared" si="146"/>
        <v>70077</v>
      </c>
      <c r="AC78" s="32">
        <f t="shared" si="146"/>
        <v>69754</v>
      </c>
      <c r="AD78" s="32">
        <f t="shared" si="146"/>
        <v>67313</v>
      </c>
      <c r="AE78" s="32">
        <f t="shared" si="146"/>
        <v>67466</v>
      </c>
      <c r="AF78" s="32">
        <f t="shared" si="146"/>
        <v>66848</v>
      </c>
      <c r="AG78" s="32">
        <f t="shared" si="146"/>
        <v>66689</v>
      </c>
      <c r="AH78" s="32">
        <f t="shared" si="146"/>
        <v>69011</v>
      </c>
      <c r="AI78" s="11"/>
      <c r="AJ78" s="76">
        <f t="shared" si="145"/>
        <v>2.522543936535282E-2</v>
      </c>
    </row>
    <row r="79" spans="2:36" ht="12.75" customHeight="1">
      <c r="B79" s="9" t="s">
        <v>91</v>
      </c>
      <c r="C79" s="83">
        <v>748</v>
      </c>
      <c r="D79" s="83">
        <v>1604</v>
      </c>
      <c r="E79" s="83">
        <v>2682</v>
      </c>
      <c r="F79" s="83">
        <v>0</v>
      </c>
      <c r="G79" s="32"/>
      <c r="H79" s="83">
        <v>2371</v>
      </c>
      <c r="I79" s="83">
        <v>1363</v>
      </c>
      <c r="J79" s="83">
        <v>1178</v>
      </c>
      <c r="K79" s="32">
        <f>E79</f>
        <v>2682</v>
      </c>
      <c r="L79" s="83">
        <v>0</v>
      </c>
      <c r="M79" s="83">
        <v>0</v>
      </c>
      <c r="N79" s="83">
        <v>-1875</v>
      </c>
      <c r="O79" s="32">
        <f>F79</f>
        <v>0</v>
      </c>
      <c r="P79" s="83">
        <v>2729</v>
      </c>
      <c r="Q79" s="83">
        <v>2686</v>
      </c>
      <c r="R79" s="83">
        <v>4040</v>
      </c>
      <c r="T79" s="32" t="e">
        <f>#REF!</f>
        <v>#REF!</v>
      </c>
      <c r="U79" s="32" t="e">
        <f>#REF!</f>
        <v>#REF!</v>
      </c>
      <c r="V79" s="32" t="e">
        <f>#REF!</f>
        <v>#REF!</v>
      </c>
      <c r="W79" s="32" t="e">
        <f>#REF!</f>
        <v>#REF!</v>
      </c>
      <c r="X79" s="32">
        <f t="shared" si="146"/>
        <v>2371</v>
      </c>
      <c r="Y79" s="32">
        <f t="shared" si="146"/>
        <v>1363</v>
      </c>
      <c r="Z79" s="32">
        <f t="shared" si="146"/>
        <v>1178</v>
      </c>
      <c r="AA79" s="32">
        <f t="shared" si="146"/>
        <v>2682</v>
      </c>
      <c r="AB79" s="32">
        <f t="shared" si="146"/>
        <v>0</v>
      </c>
      <c r="AC79" s="32">
        <f t="shared" si="146"/>
        <v>0</v>
      </c>
      <c r="AD79" s="32">
        <f t="shared" si="146"/>
        <v>-1875</v>
      </c>
      <c r="AE79" s="32">
        <f t="shared" si="146"/>
        <v>0</v>
      </c>
      <c r="AF79" s="32">
        <f t="shared" si="146"/>
        <v>2729</v>
      </c>
      <c r="AG79" s="32">
        <f t="shared" si="146"/>
        <v>2686</v>
      </c>
      <c r="AH79" s="32">
        <f t="shared" si="146"/>
        <v>4040</v>
      </c>
      <c r="AI79" s="11"/>
      <c r="AJ79" s="76">
        <f t="shared" si="145"/>
        <v>-3.1546666666666665</v>
      </c>
    </row>
    <row r="80" spans="2:36" ht="12.75" customHeight="1">
      <c r="B80" s="9" t="s">
        <v>92</v>
      </c>
      <c r="C80" s="83">
        <v>-116</v>
      </c>
      <c r="D80" s="83">
        <v>-54</v>
      </c>
      <c r="E80" s="83">
        <v>207</v>
      </c>
      <c r="F80" s="83">
        <v>207</v>
      </c>
      <c r="G80" s="32"/>
      <c r="H80" s="83">
        <v>-180</v>
      </c>
      <c r="I80" s="83">
        <v>-182</v>
      </c>
      <c r="J80" s="83">
        <v>46</v>
      </c>
      <c r="K80" s="32">
        <f>E80</f>
        <v>207</v>
      </c>
      <c r="L80" s="83">
        <v>207</v>
      </c>
      <c r="M80" s="83">
        <v>207</v>
      </c>
      <c r="N80" s="83">
        <v>208</v>
      </c>
      <c r="O80" s="32">
        <f>F80</f>
        <v>207</v>
      </c>
      <c r="P80" s="83">
        <v>207</v>
      </c>
      <c r="Q80" s="83">
        <v>206</v>
      </c>
      <c r="R80" s="83">
        <v>221</v>
      </c>
      <c r="T80" s="32" t="e">
        <f>#REF!</f>
        <v>#REF!</v>
      </c>
      <c r="U80" s="32" t="e">
        <f>#REF!</f>
        <v>#REF!</v>
      </c>
      <c r="V80" s="32" t="e">
        <f>#REF!</f>
        <v>#REF!</v>
      </c>
      <c r="W80" s="32" t="e">
        <f>#REF!</f>
        <v>#REF!</v>
      </c>
      <c r="X80" s="32">
        <f t="shared" si="146"/>
        <v>-180</v>
      </c>
      <c r="Y80" s="32">
        <f t="shared" si="146"/>
        <v>-182</v>
      </c>
      <c r="Z80" s="32">
        <f t="shared" si="146"/>
        <v>46</v>
      </c>
      <c r="AA80" s="32">
        <f t="shared" si="146"/>
        <v>207</v>
      </c>
      <c r="AB80" s="32">
        <f t="shared" si="146"/>
        <v>207</v>
      </c>
      <c r="AC80" s="32">
        <f t="shared" si="146"/>
        <v>207</v>
      </c>
      <c r="AD80" s="32">
        <f t="shared" si="146"/>
        <v>208</v>
      </c>
      <c r="AE80" s="32">
        <f t="shared" si="146"/>
        <v>207</v>
      </c>
      <c r="AF80" s="32">
        <f t="shared" si="146"/>
        <v>207</v>
      </c>
      <c r="AG80" s="32">
        <f t="shared" si="146"/>
        <v>206</v>
      </c>
      <c r="AH80" s="32">
        <f t="shared" si="146"/>
        <v>221</v>
      </c>
      <c r="AI80" s="11"/>
      <c r="AJ80" s="76">
        <f t="shared" si="145"/>
        <v>6.25E-2</v>
      </c>
    </row>
    <row r="81" spans="1:36" ht="12.75" customHeight="1">
      <c r="B81" s="13" t="s">
        <v>17</v>
      </c>
      <c r="C81" s="14">
        <f t="shared" ref="C81:F81" si="154">SUM(C75:C80)</f>
        <v>24989</v>
      </c>
      <c r="D81" s="14">
        <f t="shared" si="154"/>
        <v>22709</v>
      </c>
      <c r="E81" s="14">
        <f t="shared" si="154"/>
        <v>23988</v>
      </c>
      <c r="F81" s="14">
        <f t="shared" si="154"/>
        <v>67678</v>
      </c>
      <c r="G81" s="53"/>
      <c r="H81" s="14">
        <f t="shared" ref="H81:R81" si="155">SUM(H75:H80)</f>
        <v>23310</v>
      </c>
      <c r="I81" s="14">
        <f t="shared" si="155"/>
        <v>22007</v>
      </c>
      <c r="J81" s="14">
        <f t="shared" si="155"/>
        <v>22079</v>
      </c>
      <c r="K81" s="14">
        <f t="shared" si="155"/>
        <v>23988</v>
      </c>
      <c r="L81" s="14">
        <f t="shared" si="155"/>
        <v>70284</v>
      </c>
      <c r="M81" s="14">
        <f t="shared" si="155"/>
        <v>69961</v>
      </c>
      <c r="N81" s="14">
        <f t="shared" si="155"/>
        <v>65651</v>
      </c>
      <c r="O81" s="14">
        <f t="shared" si="155"/>
        <v>67678</v>
      </c>
      <c r="P81" s="14">
        <f t="shared" si="155"/>
        <v>69789</v>
      </c>
      <c r="Q81" s="14">
        <f t="shared" si="155"/>
        <v>69586</v>
      </c>
      <c r="R81" s="14">
        <f t="shared" si="155"/>
        <v>73277</v>
      </c>
      <c r="T81" s="14" t="e">
        <f t="shared" ref="T81:AH81" si="156">SUM(T75:T80)</f>
        <v>#REF!</v>
      </c>
      <c r="U81" s="14" t="e">
        <f t="shared" si="156"/>
        <v>#REF!</v>
      </c>
      <c r="V81" s="14" t="e">
        <f t="shared" si="156"/>
        <v>#REF!</v>
      </c>
      <c r="W81" s="14" t="e">
        <f t="shared" si="156"/>
        <v>#REF!</v>
      </c>
      <c r="X81" s="14">
        <f t="shared" si="156"/>
        <v>23310</v>
      </c>
      <c r="Y81" s="14">
        <f t="shared" si="156"/>
        <v>22007</v>
      </c>
      <c r="Z81" s="14">
        <f t="shared" si="156"/>
        <v>22079</v>
      </c>
      <c r="AA81" s="14">
        <f t="shared" si="156"/>
        <v>23988</v>
      </c>
      <c r="AB81" s="14">
        <f t="shared" si="156"/>
        <v>70284</v>
      </c>
      <c r="AC81" s="14">
        <f t="shared" si="156"/>
        <v>69961</v>
      </c>
      <c r="AD81" s="14">
        <f t="shared" si="156"/>
        <v>65651</v>
      </c>
      <c r="AE81" s="14">
        <f t="shared" si="156"/>
        <v>67678</v>
      </c>
      <c r="AF81" s="14">
        <f t="shared" si="156"/>
        <v>69789</v>
      </c>
      <c r="AG81" s="14">
        <f t="shared" si="156"/>
        <v>69586</v>
      </c>
      <c r="AH81" s="14">
        <f t="shared" si="156"/>
        <v>73277</v>
      </c>
      <c r="AI81" s="42"/>
      <c r="AJ81" s="76">
        <f t="shared" si="145"/>
        <v>0.11615969292166151</v>
      </c>
    </row>
    <row r="82" spans="1:36" ht="12.75" customHeight="1">
      <c r="B82" s="25" t="s">
        <v>52</v>
      </c>
      <c r="C82" s="32">
        <f t="shared" ref="C82:F82" si="157">SUM(C81+C73)</f>
        <v>75570</v>
      </c>
      <c r="D82" s="32">
        <f t="shared" si="157"/>
        <v>73249</v>
      </c>
      <c r="E82" s="32">
        <f t="shared" si="157"/>
        <v>72861</v>
      </c>
      <c r="F82" s="32">
        <f t="shared" si="157"/>
        <v>165645</v>
      </c>
      <c r="G82" s="32"/>
      <c r="H82" s="32">
        <f t="shared" ref="H82:R82" si="158">SUM(H81+H73)</f>
        <v>72976</v>
      </c>
      <c r="I82" s="32">
        <f t="shared" si="158"/>
        <v>71667</v>
      </c>
      <c r="J82" s="32">
        <f t="shared" si="158"/>
        <v>71595</v>
      </c>
      <c r="K82" s="32">
        <f t="shared" si="158"/>
        <v>72861</v>
      </c>
      <c r="L82" s="32">
        <f t="shared" si="158"/>
        <v>177870</v>
      </c>
      <c r="M82" s="32">
        <f t="shared" si="158"/>
        <v>175211</v>
      </c>
      <c r="N82" s="32">
        <f t="shared" si="158"/>
        <v>167966</v>
      </c>
      <c r="O82" s="32">
        <f t="shared" si="158"/>
        <v>165645</v>
      </c>
      <c r="P82" s="32">
        <f t="shared" si="158"/>
        <v>165358</v>
      </c>
      <c r="Q82" s="32">
        <f t="shared" si="158"/>
        <v>164630</v>
      </c>
      <c r="R82" s="32">
        <f t="shared" si="158"/>
        <v>165621</v>
      </c>
      <c r="S82" s="32"/>
      <c r="T82" s="32" t="e">
        <f t="shared" ref="T82:AH82" si="159">SUM(T81+T73)</f>
        <v>#REF!</v>
      </c>
      <c r="U82" s="32" t="e">
        <f t="shared" si="159"/>
        <v>#REF!</v>
      </c>
      <c r="V82" s="32" t="e">
        <f t="shared" si="159"/>
        <v>#REF!</v>
      </c>
      <c r="W82" s="32" t="e">
        <f t="shared" si="159"/>
        <v>#REF!</v>
      </c>
      <c r="X82" s="32">
        <f t="shared" si="159"/>
        <v>72976</v>
      </c>
      <c r="Y82" s="32">
        <f t="shared" si="159"/>
        <v>71667</v>
      </c>
      <c r="Z82" s="32">
        <f t="shared" si="159"/>
        <v>71595</v>
      </c>
      <c r="AA82" s="32">
        <f t="shared" si="159"/>
        <v>72861</v>
      </c>
      <c r="AB82" s="32">
        <f t="shared" si="159"/>
        <v>177870</v>
      </c>
      <c r="AC82" s="32">
        <f t="shared" si="159"/>
        <v>175211</v>
      </c>
      <c r="AD82" s="32">
        <f t="shared" si="159"/>
        <v>167966</v>
      </c>
      <c r="AE82" s="32">
        <f t="shared" si="159"/>
        <v>165645</v>
      </c>
      <c r="AF82" s="32">
        <f t="shared" si="159"/>
        <v>165358</v>
      </c>
      <c r="AG82" s="32">
        <f t="shared" si="159"/>
        <v>164630</v>
      </c>
      <c r="AH82" s="32">
        <f t="shared" si="159"/>
        <v>165621</v>
      </c>
      <c r="AI82" s="11"/>
      <c r="AJ82" s="77">
        <f t="shared" si="145"/>
        <v>-1.3961158805948837E-2</v>
      </c>
    </row>
    <row r="83" spans="1:36" ht="5.0999999999999996" customHeight="1">
      <c r="B83" s="25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11"/>
    </row>
    <row r="84" spans="1:36" ht="12.75" customHeight="1">
      <c r="B84" s="146" t="s">
        <v>62</v>
      </c>
      <c r="C84" s="70">
        <f>C82-C61</f>
        <v>0</v>
      </c>
      <c r="D84" s="70">
        <f>D82-D61</f>
        <v>0</v>
      </c>
      <c r="E84" s="70">
        <f>E82-E61</f>
        <v>0</v>
      </c>
      <c r="F84" s="70">
        <f>F82-F61</f>
        <v>0</v>
      </c>
      <c r="G84" s="71"/>
      <c r="H84" s="70">
        <f>H82-H61</f>
        <v>0</v>
      </c>
      <c r="I84" s="70">
        <f>I82-I61</f>
        <v>0</v>
      </c>
      <c r="J84" s="70">
        <f>J82-J61</f>
        <v>0</v>
      </c>
      <c r="K84" s="70">
        <f>K82-K61</f>
        <v>0</v>
      </c>
      <c r="L84" s="70">
        <f>L82-L61</f>
        <v>0</v>
      </c>
      <c r="M84" s="70">
        <f>M82-M61</f>
        <v>0</v>
      </c>
      <c r="N84" s="70">
        <f>N82-N61</f>
        <v>0</v>
      </c>
      <c r="O84" s="70">
        <f>O82-O61</f>
        <v>0</v>
      </c>
      <c r="P84" s="70">
        <f>P82-P61</f>
        <v>0</v>
      </c>
      <c r="Q84" s="70">
        <f>Q82-Q61</f>
        <v>0</v>
      </c>
      <c r="R84" s="70">
        <f>R82-R61</f>
        <v>0</v>
      </c>
      <c r="S84" s="28"/>
      <c r="T84" s="70" t="e">
        <f>T82-T61</f>
        <v>#REF!</v>
      </c>
      <c r="U84" s="70" t="e">
        <f>U82-U61</f>
        <v>#REF!</v>
      </c>
      <c r="V84" s="70" t="e">
        <f>V82-V61</f>
        <v>#REF!</v>
      </c>
      <c r="W84" s="70" t="e">
        <f>W82-W61</f>
        <v>#REF!</v>
      </c>
      <c r="X84" s="70">
        <f>X82-X61</f>
        <v>46848</v>
      </c>
      <c r="Y84" s="70">
        <f>Y82-Y61</f>
        <v>46645</v>
      </c>
      <c r="Z84" s="70">
        <f>Z82-Z61</f>
        <v>46533</v>
      </c>
      <c r="AA84" s="70">
        <f>AA82-AA61</f>
        <v>46807</v>
      </c>
      <c r="AB84" s="70">
        <f>AB82-AB61</f>
        <v>102555</v>
      </c>
      <c r="AC84" s="70">
        <f>AC82-AC61</f>
        <v>103373</v>
      </c>
      <c r="AD84" s="70">
        <f>AD82-AD61</f>
        <v>0</v>
      </c>
      <c r="AE84" s="70">
        <f>AE82-AE61</f>
        <v>0</v>
      </c>
      <c r="AF84" s="70">
        <f>AF82-AF61</f>
        <v>0</v>
      </c>
      <c r="AG84" s="70">
        <f>AG82-AG61</f>
        <v>0</v>
      </c>
      <c r="AH84" s="70">
        <f>AH82-AH61</f>
        <v>0</v>
      </c>
    </row>
    <row r="85" spans="1:36" ht="5.0999999999999996" customHeight="1" thickBot="1">
      <c r="B85" s="118"/>
      <c r="C85" s="119"/>
      <c r="D85" s="119"/>
      <c r="E85" s="119"/>
      <c r="F85" s="119"/>
      <c r="G85" s="120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21"/>
      <c r="T85" s="119"/>
      <c r="U85" s="119"/>
      <c r="V85" s="119"/>
      <c r="W85" s="119"/>
      <c r="X85" s="119"/>
      <c r="Y85" s="119"/>
      <c r="Z85" s="119"/>
      <c r="AA85" s="119"/>
      <c r="AB85" s="119"/>
      <c r="AC85" s="119"/>
      <c r="AD85" s="119"/>
      <c r="AE85" s="119"/>
      <c r="AF85" s="119"/>
      <c r="AG85" s="119"/>
      <c r="AH85" s="119"/>
      <c r="AI85" s="74"/>
      <c r="AJ85" s="74"/>
    </row>
    <row r="86" spans="1:36">
      <c r="B86" s="69"/>
      <c r="C86" s="54"/>
      <c r="D86" s="24"/>
      <c r="E86" s="24"/>
      <c r="F86" s="24"/>
      <c r="G86" s="54"/>
    </row>
    <row r="87" spans="1:36" ht="12.75" customHeight="1">
      <c r="A87" s="5" t="s">
        <v>19</v>
      </c>
      <c r="B87" s="100" t="s">
        <v>15</v>
      </c>
      <c r="C87" s="104"/>
      <c r="D87" s="104"/>
      <c r="E87" s="104"/>
      <c r="F87" s="104"/>
      <c r="G87" s="105"/>
      <c r="H87" s="104"/>
      <c r="I87" s="104"/>
      <c r="J87" s="104"/>
      <c r="K87" s="104"/>
      <c r="L87" s="104"/>
      <c r="M87" s="104"/>
      <c r="N87" s="104"/>
      <c r="O87" s="104"/>
      <c r="P87" s="104"/>
      <c r="Q87" s="104"/>
      <c r="R87" s="104"/>
      <c r="S87" s="100"/>
      <c r="T87" s="104"/>
      <c r="U87" s="104"/>
      <c r="V87" s="104"/>
      <c r="W87" s="104"/>
      <c r="X87" s="104"/>
      <c r="Y87" s="104"/>
      <c r="Z87" s="104"/>
      <c r="AA87" s="104"/>
      <c r="AB87" s="104"/>
      <c r="AC87" s="104" t="s">
        <v>10</v>
      </c>
      <c r="AD87" s="104"/>
      <c r="AE87" s="104"/>
      <c r="AF87" s="104"/>
      <c r="AG87" s="104"/>
      <c r="AH87" s="104"/>
      <c r="AI87" s="105"/>
      <c r="AJ87" s="164" t="s">
        <v>25</v>
      </c>
    </row>
    <row r="88" spans="1:36" ht="12.75" customHeight="1">
      <c r="B88" s="101" t="str">
        <f>B7</f>
        <v>Fiscal Period</v>
      </c>
      <c r="C88" s="106">
        <f>C7</f>
        <v>2021</v>
      </c>
      <c r="D88" s="106">
        <f>D7</f>
        <v>2022</v>
      </c>
      <c r="E88" s="106">
        <f>E7</f>
        <v>2023</v>
      </c>
      <c r="F88" s="106">
        <f>F7</f>
        <v>2024</v>
      </c>
      <c r="G88" s="105"/>
      <c r="H88" s="106" t="str">
        <f>H7</f>
        <v>1Q23</v>
      </c>
      <c r="I88" s="106" t="str">
        <f>I7</f>
        <v>2Q23</v>
      </c>
      <c r="J88" s="106" t="str">
        <f>J7</f>
        <v>3Q23</v>
      </c>
      <c r="K88" s="106" t="str">
        <f>K7</f>
        <v>4Q23</v>
      </c>
      <c r="L88" s="106" t="str">
        <f>L7</f>
        <v>1Q24</v>
      </c>
      <c r="M88" s="106" t="str">
        <f>M7</f>
        <v>2Q24</v>
      </c>
      <c r="N88" s="106" t="str">
        <f>N7</f>
        <v>3Q24</v>
      </c>
      <c r="O88" s="106" t="str">
        <f>O7</f>
        <v>4Q24</v>
      </c>
      <c r="P88" s="106" t="str">
        <f>P7</f>
        <v>1Q25</v>
      </c>
      <c r="Q88" s="106" t="str">
        <f>Q7</f>
        <v>2Q25</v>
      </c>
      <c r="R88" s="106" t="str">
        <f>R7</f>
        <v>3Q25</v>
      </c>
      <c r="S88" s="106"/>
      <c r="T88" s="106" t="e">
        <f>T7</f>
        <v>#REF!</v>
      </c>
      <c r="U88" s="106" t="e">
        <f>U7</f>
        <v>#REF!</v>
      </c>
      <c r="V88" s="106" t="e">
        <f>V7</f>
        <v>#REF!</v>
      </c>
      <c r="W88" s="106" t="e">
        <f>W7</f>
        <v>#REF!</v>
      </c>
      <c r="X88" s="106" t="str">
        <f>X7</f>
        <v>1Q23</v>
      </c>
      <c r="Y88" s="106" t="str">
        <f>Y7</f>
        <v>2Q23</v>
      </c>
      <c r="Z88" s="106" t="str">
        <f>Z7</f>
        <v>3Q23</v>
      </c>
      <c r="AA88" s="106" t="str">
        <f>AA7</f>
        <v>4Q23</v>
      </c>
      <c r="AB88" s="106" t="str">
        <f>AB7</f>
        <v>1Q24</v>
      </c>
      <c r="AC88" s="106" t="str">
        <f>AC7</f>
        <v>2Q24</v>
      </c>
      <c r="AD88" s="106" t="str">
        <f>AD7</f>
        <v>3Q24</v>
      </c>
      <c r="AE88" s="106" t="str">
        <f>AE7</f>
        <v>4Q24</v>
      </c>
      <c r="AF88" s="106" t="str">
        <f>AF7</f>
        <v>1Q25</v>
      </c>
      <c r="AG88" s="106" t="str">
        <f>AG7</f>
        <v>2Q25</v>
      </c>
      <c r="AH88" s="106" t="str">
        <f>AH7</f>
        <v>3Q25</v>
      </c>
      <c r="AI88" s="105"/>
      <c r="AJ88" s="164"/>
    </row>
    <row r="89" spans="1:36" ht="12.75" customHeight="1">
      <c r="B89" s="101" t="str">
        <f>B8</f>
        <v>Fiscal Period End Date</v>
      </c>
      <c r="C89" s="107">
        <f>C8</f>
        <v>44499</v>
      </c>
      <c r="D89" s="107">
        <f>D8</f>
        <v>44864</v>
      </c>
      <c r="E89" s="107">
        <f>E8</f>
        <v>45228</v>
      </c>
      <c r="F89" s="107">
        <f>F8</f>
        <v>45599</v>
      </c>
      <c r="G89" s="105"/>
      <c r="H89" s="107">
        <f>H8</f>
        <v>44955</v>
      </c>
      <c r="I89" s="107">
        <f>I8</f>
        <v>45046</v>
      </c>
      <c r="J89" s="107">
        <f>J8</f>
        <v>45137</v>
      </c>
      <c r="K89" s="107">
        <f>K8</f>
        <v>45228</v>
      </c>
      <c r="L89" s="107">
        <f>L8</f>
        <v>45326</v>
      </c>
      <c r="M89" s="107">
        <f>M8</f>
        <v>45417</v>
      </c>
      <c r="N89" s="107">
        <f>N8</f>
        <v>45508</v>
      </c>
      <c r="O89" s="107">
        <f>O8</f>
        <v>45599</v>
      </c>
      <c r="P89" s="107">
        <f>P8</f>
        <v>45690</v>
      </c>
      <c r="Q89" s="107">
        <f>Q8</f>
        <v>45781</v>
      </c>
      <c r="R89" s="107">
        <f>R8</f>
        <v>45872</v>
      </c>
      <c r="S89" s="107"/>
      <c r="T89" s="107" t="e">
        <f>T8</f>
        <v>#REF!</v>
      </c>
      <c r="U89" s="107" t="e">
        <f>U8</f>
        <v>#REF!</v>
      </c>
      <c r="V89" s="107" t="e">
        <f>V8</f>
        <v>#REF!</v>
      </c>
      <c r="W89" s="107" t="e">
        <f>W8</f>
        <v>#REF!</v>
      </c>
      <c r="X89" s="107">
        <f>X8</f>
        <v>44955</v>
      </c>
      <c r="Y89" s="107">
        <f>Y8</f>
        <v>45046</v>
      </c>
      <c r="Z89" s="107">
        <f>Z8</f>
        <v>45137</v>
      </c>
      <c r="AA89" s="107">
        <f>AA8</f>
        <v>45228</v>
      </c>
      <c r="AB89" s="107">
        <f>AB8</f>
        <v>45326</v>
      </c>
      <c r="AC89" s="107">
        <f>AC8</f>
        <v>45417</v>
      </c>
      <c r="AD89" s="107">
        <f>AD8</f>
        <v>45508</v>
      </c>
      <c r="AE89" s="107">
        <f>AE8</f>
        <v>45599</v>
      </c>
      <c r="AF89" s="107">
        <f>AF8</f>
        <v>45690</v>
      </c>
      <c r="AG89" s="107">
        <f>AG8</f>
        <v>45781</v>
      </c>
      <c r="AH89" s="107">
        <f>AH8</f>
        <v>45872</v>
      </c>
      <c r="AI89" s="105"/>
      <c r="AJ89" s="164"/>
    </row>
    <row r="90" spans="1:36" ht="5.0999999999999996" customHeight="1">
      <c r="B90" s="55"/>
      <c r="C90" s="48"/>
      <c r="D90" s="48"/>
      <c r="E90" s="48"/>
      <c r="F90" s="48"/>
    </row>
    <row r="91" spans="1:36" ht="12.75" customHeight="1">
      <c r="B91" s="56" t="s">
        <v>53</v>
      </c>
      <c r="C91" s="57"/>
      <c r="D91" s="57"/>
      <c r="E91" s="57"/>
      <c r="F91" s="57"/>
    </row>
    <row r="92" spans="1:36" ht="12.75" customHeight="1">
      <c r="B92" s="58" t="s">
        <v>54</v>
      </c>
      <c r="C92" s="32">
        <f t="shared" ref="C92:F92" si="160">C36</f>
        <v>6736</v>
      </c>
      <c r="D92" s="32">
        <f t="shared" si="160"/>
        <v>11495</v>
      </c>
      <c r="E92" s="32">
        <f t="shared" si="160"/>
        <v>14082</v>
      </c>
      <c r="F92" s="32">
        <f t="shared" si="160"/>
        <v>5895</v>
      </c>
      <c r="G92" s="32"/>
      <c r="H92" s="32">
        <f t="shared" ref="H92:AH92" si="161">H36</f>
        <v>3774</v>
      </c>
      <c r="I92" s="32">
        <f t="shared" si="161"/>
        <v>3481</v>
      </c>
      <c r="J92" s="32">
        <f t="shared" si="161"/>
        <v>3303</v>
      </c>
      <c r="K92" s="32">
        <f t="shared" si="161"/>
        <v>3524</v>
      </c>
      <c r="L92" s="32">
        <f t="shared" si="161"/>
        <v>1325</v>
      </c>
      <c r="M92" s="32">
        <f t="shared" si="161"/>
        <v>2121</v>
      </c>
      <c r="N92" s="32">
        <f t="shared" si="161"/>
        <v>-1875</v>
      </c>
      <c r="O92" s="32">
        <f t="shared" si="161"/>
        <v>4324</v>
      </c>
      <c r="P92" s="32">
        <f t="shared" si="161"/>
        <v>5503</v>
      </c>
      <c r="Q92" s="32">
        <f t="shared" si="161"/>
        <v>4965</v>
      </c>
      <c r="R92" s="32">
        <f t="shared" si="161"/>
        <v>4140</v>
      </c>
      <c r="S92" s="32"/>
      <c r="T92" s="32" t="e">
        <f t="shared" si="161"/>
        <v>#REF!</v>
      </c>
      <c r="U92" s="32" t="e">
        <f t="shared" si="161"/>
        <v>#REF!</v>
      </c>
      <c r="V92" s="32" t="e">
        <f t="shared" si="161"/>
        <v>#REF!</v>
      </c>
      <c r="W92" s="32" t="e">
        <f t="shared" si="161"/>
        <v>#REF!</v>
      </c>
      <c r="X92" s="32">
        <f t="shared" si="161"/>
        <v>4808</v>
      </c>
      <c r="Y92" s="32">
        <f t="shared" si="161"/>
        <v>9236</v>
      </c>
      <c r="Z92" s="32">
        <f t="shared" si="161"/>
        <v>13494</v>
      </c>
      <c r="AA92" s="32">
        <f t="shared" si="161"/>
        <v>17969</v>
      </c>
      <c r="AB92" s="32">
        <f t="shared" si="161"/>
        <v>17704</v>
      </c>
      <c r="AC92" s="32">
        <f t="shared" si="161"/>
        <v>18506</v>
      </c>
      <c r="AD92" s="32">
        <f t="shared" si="161"/>
        <v>5095</v>
      </c>
      <c r="AE92" s="32">
        <f t="shared" si="161"/>
        <v>5895</v>
      </c>
      <c r="AF92" s="32">
        <f t="shared" si="161"/>
        <v>10073</v>
      </c>
      <c r="AG92" s="32">
        <f t="shared" si="161"/>
        <v>12917</v>
      </c>
      <c r="AH92" s="32">
        <f t="shared" si="161"/>
        <v>18932</v>
      </c>
      <c r="AI92" s="11"/>
      <c r="AJ92" s="76">
        <f>SUM(AH92/AD92)-1</f>
        <v>2.7157998037291464</v>
      </c>
    </row>
    <row r="93" spans="1:36" ht="5.0999999999999996" customHeight="1"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11"/>
      <c r="AJ93" s="76"/>
    </row>
    <row r="94" spans="1:36" ht="12.75" customHeight="1">
      <c r="B94" s="36" t="s">
        <v>61</v>
      </c>
      <c r="C94" s="32"/>
      <c r="D94" s="32"/>
      <c r="E94" s="32"/>
      <c r="F94" s="32"/>
      <c r="G94" s="32"/>
      <c r="H94" s="83"/>
      <c r="I94" s="83"/>
      <c r="J94" s="83"/>
      <c r="K94" s="32"/>
      <c r="L94" s="83"/>
      <c r="M94" s="83"/>
      <c r="N94" s="83"/>
      <c r="O94" s="32"/>
      <c r="P94" s="83"/>
      <c r="Q94" s="83"/>
      <c r="R94" s="83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60"/>
      <c r="AJ94" s="76"/>
    </row>
    <row r="95" spans="1:36" ht="12.75" customHeight="1">
      <c r="B95" s="61" t="s">
        <v>140</v>
      </c>
      <c r="C95" s="83">
        <v>5502</v>
      </c>
      <c r="D95" s="83">
        <v>4455</v>
      </c>
      <c r="E95" s="83">
        <v>3333</v>
      </c>
      <c r="F95" s="83">
        <v>9417</v>
      </c>
      <c r="G95" s="32"/>
      <c r="H95" s="83">
        <v>905</v>
      </c>
      <c r="I95" s="83">
        <f>1715-H95</f>
        <v>810</v>
      </c>
      <c r="J95" s="83">
        <f>2525-I95-H95</f>
        <v>810</v>
      </c>
      <c r="K95" s="32">
        <f t="shared" ref="K95:K101" si="162">SUM(E95-SUM(H95:J95))</f>
        <v>808</v>
      </c>
      <c r="L95" s="83">
        <v>2206</v>
      </c>
      <c r="M95" s="83">
        <f>4587-L95</f>
        <v>2381</v>
      </c>
      <c r="N95" s="83">
        <f>6962-M95-L95</f>
        <v>2375</v>
      </c>
      <c r="O95" s="32">
        <f t="shared" ref="O95:O101" si="163">SUM(F95-SUM(L95:N95))</f>
        <v>2455</v>
      </c>
      <c r="P95" s="83">
        <v>2032</v>
      </c>
      <c r="Q95" s="83">
        <f>4056-P95</f>
        <v>2024</v>
      </c>
      <c r="R95" s="83">
        <f>6116-Q95-P95</f>
        <v>2060</v>
      </c>
      <c r="T95" s="32" t="e">
        <f>SUM(#REF!)</f>
        <v>#REF!</v>
      </c>
      <c r="U95" s="32" t="e">
        <f>SUM(#REF!)</f>
        <v>#REF!</v>
      </c>
      <c r="V95" s="32" t="e">
        <f>SUM(#REF!)</f>
        <v>#REF!</v>
      </c>
      <c r="W95" s="32" t="e">
        <f>SUM(#REF!)</f>
        <v>#REF!</v>
      </c>
      <c r="X95" s="32">
        <f>SUM(H95:H95)</f>
        <v>905</v>
      </c>
      <c r="Y95" s="32">
        <f>SUM(H95:I95)</f>
        <v>1715</v>
      </c>
      <c r="Z95" s="32">
        <f>SUM(H95:J95)</f>
        <v>2525</v>
      </c>
      <c r="AA95" s="32">
        <f t="shared" ref="AA95:AH95" si="164">SUM(H95:K95)</f>
        <v>3333</v>
      </c>
      <c r="AB95" s="32">
        <f t="shared" si="164"/>
        <v>4634</v>
      </c>
      <c r="AC95" s="32">
        <f t="shared" si="164"/>
        <v>6205</v>
      </c>
      <c r="AD95" s="32">
        <f t="shared" si="164"/>
        <v>7770</v>
      </c>
      <c r="AE95" s="32">
        <f t="shared" si="164"/>
        <v>9417</v>
      </c>
      <c r="AF95" s="32">
        <f t="shared" si="164"/>
        <v>9243</v>
      </c>
      <c r="AG95" s="32">
        <f t="shared" si="164"/>
        <v>8886</v>
      </c>
      <c r="AH95" s="32">
        <f t="shared" si="164"/>
        <v>8571</v>
      </c>
      <c r="AI95" s="11"/>
      <c r="AJ95" s="76">
        <f t="shared" ref="AJ95:AJ109" si="165">SUM(AH95/AD95)-1</f>
        <v>0.10308880308880308</v>
      </c>
    </row>
    <row r="96" spans="1:36" ht="12.75" customHeight="1">
      <c r="B96" s="61" t="s">
        <v>141</v>
      </c>
      <c r="C96" s="83">
        <v>539</v>
      </c>
      <c r="D96" s="83">
        <v>529</v>
      </c>
      <c r="E96" s="83">
        <v>502</v>
      </c>
      <c r="F96" s="83">
        <v>593</v>
      </c>
      <c r="G96" s="32"/>
      <c r="H96" s="83">
        <v>127</v>
      </c>
      <c r="I96" s="83">
        <f>256-H96</f>
        <v>129</v>
      </c>
      <c r="J96" s="83">
        <f>378-I96-H96</f>
        <v>122</v>
      </c>
      <c r="K96" s="32">
        <f t="shared" si="162"/>
        <v>124</v>
      </c>
      <c r="L96" s="83">
        <v>139</v>
      </c>
      <c r="M96" s="83">
        <f>288-L96</f>
        <v>149</v>
      </c>
      <c r="N96" s="83">
        <f>437-M96-L96</f>
        <v>149</v>
      </c>
      <c r="O96" s="32">
        <f t="shared" si="163"/>
        <v>156</v>
      </c>
      <c r="P96" s="83">
        <v>142</v>
      </c>
      <c r="Q96" s="83">
        <f>284-P96</f>
        <v>142</v>
      </c>
      <c r="R96" s="83">
        <f>426-Q96-P96</f>
        <v>142</v>
      </c>
      <c r="T96" s="32" t="e">
        <f>SUM(#REF!)</f>
        <v>#REF!</v>
      </c>
      <c r="U96" s="32" t="e">
        <f>SUM(#REF!)</f>
        <v>#REF!</v>
      </c>
      <c r="V96" s="32" t="e">
        <f>SUM(#REF!)</f>
        <v>#REF!</v>
      </c>
      <c r="W96" s="32" t="e">
        <f>SUM(#REF!)</f>
        <v>#REF!</v>
      </c>
      <c r="X96" s="32">
        <f>SUM(H96:H96)</f>
        <v>127</v>
      </c>
      <c r="Y96" s="32">
        <f>SUM(H96:I96)</f>
        <v>256</v>
      </c>
      <c r="Z96" s="32">
        <f>SUM(H96:J96)</f>
        <v>378</v>
      </c>
      <c r="AA96" s="32">
        <f t="shared" ref="AA96:AA101" si="166">SUM(H96:K96)</f>
        <v>502</v>
      </c>
      <c r="AB96" s="32">
        <f t="shared" ref="AB96:AB101" si="167">SUM(I96:L96)</f>
        <v>514</v>
      </c>
      <c r="AC96" s="32">
        <f t="shared" ref="AC96:AC101" si="168">SUM(J96:M96)</f>
        <v>534</v>
      </c>
      <c r="AD96" s="32">
        <f t="shared" ref="AD96:AD101" si="169">SUM(K96:N96)</f>
        <v>561</v>
      </c>
      <c r="AE96" s="32">
        <f t="shared" ref="AE96:AE101" si="170">SUM(L96:O96)</f>
        <v>593</v>
      </c>
      <c r="AF96" s="32">
        <f t="shared" ref="AF96:AF101" si="171">SUM(M96:P96)</f>
        <v>596</v>
      </c>
      <c r="AG96" s="32">
        <f t="shared" ref="AG96:AG101" si="172">SUM(N96:Q96)</f>
        <v>589</v>
      </c>
      <c r="AH96" s="32">
        <f t="shared" ref="AH96:AH101" si="173">SUM(O96:R96)</f>
        <v>582</v>
      </c>
      <c r="AI96" s="11"/>
      <c r="AJ96" s="76">
        <f t="shared" si="165"/>
        <v>3.7433155080213831E-2</v>
      </c>
    </row>
    <row r="97" spans="2:36" ht="12.75" customHeight="1">
      <c r="B97" s="61" t="s">
        <v>142</v>
      </c>
      <c r="C97" s="83">
        <v>1704</v>
      </c>
      <c r="D97" s="83">
        <v>1533</v>
      </c>
      <c r="E97" s="83">
        <v>2171</v>
      </c>
      <c r="F97" s="83">
        <v>5741</v>
      </c>
      <c r="G97" s="32"/>
      <c r="H97" s="83">
        <v>391</v>
      </c>
      <c r="I97" s="83">
        <f>904-H97</f>
        <v>513</v>
      </c>
      <c r="J97" s="83">
        <f>1533-I97-H97</f>
        <v>629</v>
      </c>
      <c r="K97" s="32">
        <f t="shared" si="162"/>
        <v>638</v>
      </c>
      <c r="L97" s="83">
        <v>1582</v>
      </c>
      <c r="M97" s="83">
        <f>3039-L97</f>
        <v>1457</v>
      </c>
      <c r="N97" s="83">
        <f>4427-M97-L97</f>
        <v>1388</v>
      </c>
      <c r="O97" s="32">
        <f t="shared" si="163"/>
        <v>1314</v>
      </c>
      <c r="P97" s="83">
        <v>1280</v>
      </c>
      <c r="Q97" s="83">
        <f>3051-P97</f>
        <v>1771</v>
      </c>
      <c r="R97" s="83">
        <f>5373-Q97-P97</f>
        <v>2322</v>
      </c>
      <c r="T97" s="32" t="e">
        <f>SUM(#REF!)</f>
        <v>#REF!</v>
      </c>
      <c r="U97" s="32" t="e">
        <f>SUM(#REF!)</f>
        <v>#REF!</v>
      </c>
      <c r="V97" s="32" t="e">
        <f>SUM(#REF!)</f>
        <v>#REF!</v>
      </c>
      <c r="W97" s="32" t="e">
        <f>SUM(#REF!)</f>
        <v>#REF!</v>
      </c>
      <c r="X97" s="32">
        <f>SUM(H97:H97)</f>
        <v>391</v>
      </c>
      <c r="Y97" s="32">
        <f>SUM(H97:I97)</f>
        <v>904</v>
      </c>
      <c r="Z97" s="32">
        <f>SUM(H97:J97)</f>
        <v>1533</v>
      </c>
      <c r="AA97" s="32">
        <f t="shared" si="166"/>
        <v>2171</v>
      </c>
      <c r="AB97" s="32">
        <f t="shared" si="167"/>
        <v>3362</v>
      </c>
      <c r="AC97" s="32">
        <f t="shared" si="168"/>
        <v>4306</v>
      </c>
      <c r="AD97" s="32">
        <f t="shared" si="169"/>
        <v>5065</v>
      </c>
      <c r="AE97" s="32">
        <f t="shared" si="170"/>
        <v>5741</v>
      </c>
      <c r="AF97" s="32">
        <f t="shared" si="171"/>
        <v>5439</v>
      </c>
      <c r="AG97" s="32">
        <f t="shared" si="172"/>
        <v>5753</v>
      </c>
      <c r="AH97" s="32">
        <f t="shared" si="173"/>
        <v>6687</v>
      </c>
      <c r="AI97" s="11"/>
      <c r="AJ97" s="76">
        <f t="shared" si="165"/>
        <v>0.32023692003948678</v>
      </c>
    </row>
    <row r="98" spans="2:36" ht="12.75" customHeight="1">
      <c r="B98" s="61" t="s">
        <v>143</v>
      </c>
      <c r="C98" s="83">
        <v>-809</v>
      </c>
      <c r="D98" s="83">
        <v>-34</v>
      </c>
      <c r="E98" s="83">
        <v>-501</v>
      </c>
      <c r="F98" s="83">
        <v>1965</v>
      </c>
      <c r="G98" s="32"/>
      <c r="H98" s="83">
        <v>-573</v>
      </c>
      <c r="I98" s="83">
        <f>-889-H98</f>
        <v>-316</v>
      </c>
      <c r="J98" s="83">
        <f>-1140-I98-H98</f>
        <v>-251</v>
      </c>
      <c r="K98" s="32">
        <f t="shared" si="162"/>
        <v>639</v>
      </c>
      <c r="L98" s="83">
        <v>-294</v>
      </c>
      <c r="M98" s="83">
        <f>-805-L98</f>
        <v>-511</v>
      </c>
      <c r="N98" s="83">
        <f>2833-M98-L98</f>
        <v>3638</v>
      </c>
      <c r="O98" s="32">
        <f t="shared" si="163"/>
        <v>-868</v>
      </c>
      <c r="P98" s="83">
        <v>-696</v>
      </c>
      <c r="Q98" s="83">
        <f>-1267-P98</f>
        <v>-571</v>
      </c>
      <c r="R98" s="83">
        <f>-983-Q98-P98</f>
        <v>284</v>
      </c>
      <c r="T98" s="32" t="e">
        <f>SUM(#REF!)</f>
        <v>#REF!</v>
      </c>
      <c r="U98" s="32" t="e">
        <f>SUM(#REF!)</f>
        <v>#REF!</v>
      </c>
      <c r="V98" s="32" t="e">
        <f>SUM(#REF!)</f>
        <v>#REF!</v>
      </c>
      <c r="W98" s="32" t="e">
        <f>SUM(#REF!)</f>
        <v>#REF!</v>
      </c>
      <c r="X98" s="32">
        <f>SUM(H98:H98)</f>
        <v>-573</v>
      </c>
      <c r="Y98" s="32">
        <f>SUM(H98:I98)</f>
        <v>-889</v>
      </c>
      <c r="Z98" s="32">
        <f>SUM(H98:J98)</f>
        <v>-1140</v>
      </c>
      <c r="AA98" s="32">
        <f t="shared" si="166"/>
        <v>-501</v>
      </c>
      <c r="AB98" s="32">
        <f t="shared" si="167"/>
        <v>-222</v>
      </c>
      <c r="AC98" s="32">
        <f t="shared" si="168"/>
        <v>-417</v>
      </c>
      <c r="AD98" s="32">
        <f t="shared" si="169"/>
        <v>3472</v>
      </c>
      <c r="AE98" s="32">
        <f t="shared" si="170"/>
        <v>1965</v>
      </c>
      <c r="AF98" s="32">
        <f t="shared" si="171"/>
        <v>1563</v>
      </c>
      <c r="AG98" s="32">
        <f t="shared" si="172"/>
        <v>1503</v>
      </c>
      <c r="AH98" s="32">
        <f t="shared" si="173"/>
        <v>-1851</v>
      </c>
      <c r="AI98" s="11"/>
      <c r="AJ98" s="76">
        <f t="shared" si="165"/>
        <v>-1.5331221198156681</v>
      </c>
    </row>
    <row r="99" spans="2:36" ht="12.75" customHeight="1">
      <c r="B99" s="61" t="s">
        <v>144</v>
      </c>
      <c r="C99" s="83">
        <v>198</v>
      </c>
      <c r="D99" s="83">
        <v>100</v>
      </c>
      <c r="E99" s="83">
        <v>0</v>
      </c>
      <c r="F99" s="83">
        <v>157</v>
      </c>
      <c r="G99" s="32"/>
      <c r="H99" s="83">
        <v>0</v>
      </c>
      <c r="I99" s="83">
        <v>0</v>
      </c>
      <c r="J99" s="83">
        <v>0</v>
      </c>
      <c r="K99" s="32">
        <f t="shared" si="162"/>
        <v>0</v>
      </c>
      <c r="L99" s="83">
        <v>0</v>
      </c>
      <c r="M99" s="83">
        <v>0</v>
      </c>
      <c r="N99" s="83">
        <f>105-M99-L99</f>
        <v>105</v>
      </c>
      <c r="O99" s="32">
        <f t="shared" si="163"/>
        <v>52</v>
      </c>
      <c r="P99" s="83">
        <v>65</v>
      </c>
      <c r="Q99" s="83">
        <f>65-P99</f>
        <v>0</v>
      </c>
      <c r="R99" s="83">
        <f>118-Q99-P99</f>
        <v>53</v>
      </c>
      <c r="T99" s="32" t="e">
        <f>SUM(#REF!)</f>
        <v>#REF!</v>
      </c>
      <c r="U99" s="32" t="e">
        <f>SUM(#REF!)</f>
        <v>#REF!</v>
      </c>
      <c r="V99" s="32" t="e">
        <f>SUM(#REF!)</f>
        <v>#REF!</v>
      </c>
      <c r="W99" s="32" t="e">
        <f>SUM(#REF!)</f>
        <v>#REF!</v>
      </c>
      <c r="X99" s="32">
        <f>SUM(H99:H99)</f>
        <v>0</v>
      </c>
      <c r="Y99" s="32">
        <f>SUM(H99:I99)</f>
        <v>0</v>
      </c>
      <c r="Z99" s="32">
        <f>SUM(H99:J99)</f>
        <v>0</v>
      </c>
      <c r="AA99" s="32">
        <f t="shared" si="166"/>
        <v>0</v>
      </c>
      <c r="AB99" s="32">
        <f t="shared" si="167"/>
        <v>0</v>
      </c>
      <c r="AC99" s="32">
        <f t="shared" si="168"/>
        <v>0</v>
      </c>
      <c r="AD99" s="32">
        <f t="shared" si="169"/>
        <v>105</v>
      </c>
      <c r="AE99" s="32">
        <f t="shared" si="170"/>
        <v>157</v>
      </c>
      <c r="AF99" s="32">
        <f t="shared" si="171"/>
        <v>222</v>
      </c>
      <c r="AG99" s="32">
        <f t="shared" si="172"/>
        <v>222</v>
      </c>
      <c r="AH99" s="32">
        <f t="shared" si="173"/>
        <v>170</v>
      </c>
      <c r="AI99" s="11"/>
      <c r="AJ99" s="76">
        <f t="shared" si="165"/>
        <v>0.61904761904761907</v>
      </c>
    </row>
    <row r="100" spans="2:36" ht="12.75" customHeight="1">
      <c r="B100" s="61" t="s">
        <v>145</v>
      </c>
      <c r="C100" s="83">
        <v>96</v>
      </c>
      <c r="D100" s="83">
        <v>129</v>
      </c>
      <c r="E100" s="83">
        <v>132</v>
      </c>
      <c r="F100" s="83">
        <v>427</v>
      </c>
      <c r="G100" s="32"/>
      <c r="H100" s="83">
        <v>32</v>
      </c>
      <c r="I100" s="83">
        <f>65-H100</f>
        <v>33</v>
      </c>
      <c r="J100" s="83">
        <f>98-I100-H100</f>
        <v>33</v>
      </c>
      <c r="K100" s="32">
        <f t="shared" si="162"/>
        <v>34</v>
      </c>
      <c r="L100" s="83">
        <v>102</v>
      </c>
      <c r="M100" s="83">
        <f>221-L100</f>
        <v>119</v>
      </c>
      <c r="N100" s="83">
        <f>336-M100-L100</f>
        <v>115</v>
      </c>
      <c r="O100" s="32">
        <f t="shared" si="163"/>
        <v>91</v>
      </c>
      <c r="P100" s="83">
        <v>97</v>
      </c>
      <c r="Q100" s="83">
        <f>191-P100</f>
        <v>94</v>
      </c>
      <c r="R100" s="83">
        <f>273-Q100-P100</f>
        <v>82</v>
      </c>
      <c r="T100" s="32" t="e">
        <f>SUM(#REF!)</f>
        <v>#REF!</v>
      </c>
      <c r="U100" s="32" t="e">
        <f>SUM(#REF!)</f>
        <v>#REF!</v>
      </c>
      <c r="V100" s="32" t="e">
        <f>SUM(#REF!)</f>
        <v>#REF!</v>
      </c>
      <c r="W100" s="32" t="e">
        <f>SUM(#REF!)</f>
        <v>#REF!</v>
      </c>
      <c r="X100" s="32">
        <f>SUM(H100:H100)</f>
        <v>32</v>
      </c>
      <c r="Y100" s="32">
        <f>SUM(H100:I100)</f>
        <v>65</v>
      </c>
      <c r="Z100" s="32">
        <f>SUM(H100:J100)</f>
        <v>98</v>
      </c>
      <c r="AA100" s="32">
        <f t="shared" si="166"/>
        <v>132</v>
      </c>
      <c r="AB100" s="32">
        <f t="shared" si="167"/>
        <v>202</v>
      </c>
      <c r="AC100" s="32">
        <f t="shared" si="168"/>
        <v>288</v>
      </c>
      <c r="AD100" s="32">
        <f t="shared" si="169"/>
        <v>370</v>
      </c>
      <c r="AE100" s="32">
        <f t="shared" si="170"/>
        <v>427</v>
      </c>
      <c r="AF100" s="32">
        <f t="shared" si="171"/>
        <v>422</v>
      </c>
      <c r="AG100" s="32">
        <f t="shared" si="172"/>
        <v>397</v>
      </c>
      <c r="AH100" s="32">
        <f t="shared" si="173"/>
        <v>364</v>
      </c>
      <c r="AI100" s="11"/>
      <c r="AJ100" s="76">
        <f t="shared" si="165"/>
        <v>-1.6216216216216162E-2</v>
      </c>
    </row>
    <row r="101" spans="2:36" ht="12.75" customHeight="1">
      <c r="B101" s="61" t="s">
        <v>146</v>
      </c>
      <c r="C101" s="83">
        <v>-75</v>
      </c>
      <c r="D101" s="83">
        <v>183</v>
      </c>
      <c r="E101" s="83">
        <v>9</v>
      </c>
      <c r="F101" s="83">
        <v>404</v>
      </c>
      <c r="G101" s="32"/>
      <c r="H101" s="83">
        <v>-39</v>
      </c>
      <c r="I101" s="83">
        <f>-18-H101</f>
        <v>21</v>
      </c>
      <c r="J101" s="83">
        <f>-18-I101-H101</f>
        <v>0</v>
      </c>
      <c r="K101" s="32">
        <f t="shared" si="162"/>
        <v>27</v>
      </c>
      <c r="L101" s="83">
        <v>38</v>
      </c>
      <c r="M101" s="83">
        <f>130-L101</f>
        <v>92</v>
      </c>
      <c r="N101" s="83">
        <f>266-M101-L101</f>
        <v>136</v>
      </c>
      <c r="O101" s="32">
        <f t="shared" si="163"/>
        <v>138</v>
      </c>
      <c r="P101" s="83">
        <v>41</v>
      </c>
      <c r="Q101" s="83">
        <f>81-P101</f>
        <v>40</v>
      </c>
      <c r="R101" s="83">
        <f>58-Q101-P101</f>
        <v>-23</v>
      </c>
      <c r="T101" s="32" t="e">
        <f>SUM(#REF!)</f>
        <v>#REF!</v>
      </c>
      <c r="U101" s="32" t="e">
        <f>SUM(#REF!)</f>
        <v>#REF!</v>
      </c>
      <c r="V101" s="32" t="e">
        <f>SUM(#REF!)</f>
        <v>#REF!</v>
      </c>
      <c r="W101" s="32" t="e">
        <f>SUM(#REF!)</f>
        <v>#REF!</v>
      </c>
      <c r="X101" s="32">
        <f>SUM(H101:H101)</f>
        <v>-39</v>
      </c>
      <c r="Y101" s="32">
        <f>SUM(H101:I101)</f>
        <v>-18</v>
      </c>
      <c r="Z101" s="32">
        <f>SUM(H101:J101)</f>
        <v>-18</v>
      </c>
      <c r="AA101" s="32">
        <f t="shared" si="166"/>
        <v>9</v>
      </c>
      <c r="AB101" s="32">
        <f t="shared" si="167"/>
        <v>86</v>
      </c>
      <c r="AC101" s="32">
        <f t="shared" si="168"/>
        <v>157</v>
      </c>
      <c r="AD101" s="32">
        <f t="shared" si="169"/>
        <v>293</v>
      </c>
      <c r="AE101" s="32">
        <f t="shared" si="170"/>
        <v>404</v>
      </c>
      <c r="AF101" s="32">
        <f t="shared" si="171"/>
        <v>407</v>
      </c>
      <c r="AG101" s="32">
        <f t="shared" si="172"/>
        <v>355</v>
      </c>
      <c r="AH101" s="32">
        <f t="shared" si="173"/>
        <v>196</v>
      </c>
      <c r="AI101" s="11"/>
      <c r="AJ101" s="76">
        <f t="shared" si="165"/>
        <v>-0.33105802047781574</v>
      </c>
    </row>
    <row r="102" spans="2:36" ht="12.75" customHeight="1">
      <c r="B102" s="36" t="s">
        <v>14</v>
      </c>
      <c r="C102" s="83"/>
      <c r="D102" s="83"/>
      <c r="E102" s="83"/>
      <c r="F102" s="83"/>
      <c r="G102" s="32"/>
      <c r="H102" s="83"/>
      <c r="I102" s="83"/>
      <c r="J102" s="83"/>
      <c r="K102" s="32"/>
      <c r="L102" s="83"/>
      <c r="M102" s="83"/>
      <c r="N102" s="83"/>
      <c r="O102" s="32"/>
      <c r="P102" s="83"/>
      <c r="Q102" s="83"/>
      <c r="R102" s="83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60"/>
      <c r="AJ102" s="76"/>
    </row>
    <row r="103" spans="2:36" ht="12.75" customHeight="1">
      <c r="B103" s="61" t="s">
        <v>126</v>
      </c>
      <c r="C103" s="83">
        <v>210</v>
      </c>
      <c r="D103" s="83">
        <v>-870</v>
      </c>
      <c r="E103" s="83">
        <v>-187</v>
      </c>
      <c r="F103" s="83">
        <v>2327</v>
      </c>
      <c r="G103" s="32"/>
      <c r="H103" s="83">
        <v>-276</v>
      </c>
      <c r="I103" s="83">
        <f>-91-H103</f>
        <v>185</v>
      </c>
      <c r="J103" s="83">
        <f>44-I103-H103</f>
        <v>135</v>
      </c>
      <c r="K103" s="32">
        <f t="shared" ref="K103:K108" si="174">SUM(E103-SUM(H103:J103))</f>
        <v>-231</v>
      </c>
      <c r="L103" s="83">
        <v>1756</v>
      </c>
      <c r="M103" s="83">
        <f>1243-L103</f>
        <v>-513</v>
      </c>
      <c r="N103" s="83">
        <f>2078-M103-L103</f>
        <v>835</v>
      </c>
      <c r="O103" s="32">
        <f t="shared" ref="O103:O108" si="175">SUM(F103-SUM(L103:N103))</f>
        <v>249</v>
      </c>
      <c r="P103" s="83">
        <v>-539</v>
      </c>
      <c r="Q103" s="83">
        <f>-1129-P103</f>
        <v>-590</v>
      </c>
      <c r="R103" s="83">
        <f>-2066-Q103-P103</f>
        <v>-937</v>
      </c>
      <c r="T103" s="32" t="e">
        <f>SUM(#REF!)</f>
        <v>#REF!</v>
      </c>
      <c r="U103" s="32" t="e">
        <f>SUM(#REF!)</f>
        <v>#REF!</v>
      </c>
      <c r="V103" s="32" t="e">
        <f>SUM(#REF!)</f>
        <v>#REF!</v>
      </c>
      <c r="W103" s="32" t="e">
        <f>SUM(#REF!)</f>
        <v>#REF!</v>
      </c>
      <c r="X103" s="32">
        <f>SUM(H103:H103)</f>
        <v>-276</v>
      </c>
      <c r="Y103" s="32">
        <f>SUM(H103:I103)</f>
        <v>-91</v>
      </c>
      <c r="Z103" s="32">
        <f>SUM(H103:J103)</f>
        <v>44</v>
      </c>
      <c r="AA103" s="32">
        <f t="shared" ref="AA103:AH108" si="176">SUM(H103:K103)</f>
        <v>-187</v>
      </c>
      <c r="AB103" s="32">
        <f t="shared" si="176"/>
        <v>1845</v>
      </c>
      <c r="AC103" s="32">
        <f t="shared" si="176"/>
        <v>1147</v>
      </c>
      <c r="AD103" s="32">
        <f t="shared" si="176"/>
        <v>1847</v>
      </c>
      <c r="AE103" s="32">
        <f t="shared" si="176"/>
        <v>2327</v>
      </c>
      <c r="AF103" s="32">
        <f t="shared" si="176"/>
        <v>32</v>
      </c>
      <c r="AG103" s="32">
        <f t="shared" si="176"/>
        <v>-45</v>
      </c>
      <c r="AH103" s="32">
        <f t="shared" si="176"/>
        <v>-1817</v>
      </c>
      <c r="AI103" s="60"/>
      <c r="AJ103" s="76">
        <f t="shared" si="165"/>
        <v>-1.983757444504602</v>
      </c>
    </row>
    <row r="104" spans="2:36" ht="12.75" customHeight="1">
      <c r="B104" s="61" t="s">
        <v>127</v>
      </c>
      <c r="C104" s="83">
        <v>-294</v>
      </c>
      <c r="D104" s="83">
        <v>-627</v>
      </c>
      <c r="E104" s="83">
        <v>27</v>
      </c>
      <c r="F104" s="83">
        <v>150</v>
      </c>
      <c r="G104" s="32"/>
      <c r="H104" s="83">
        <v>26</v>
      </c>
      <c r="I104" s="83">
        <f>39-H104</f>
        <v>13</v>
      </c>
      <c r="J104" s="83">
        <f>83-I104-H104</f>
        <v>44</v>
      </c>
      <c r="K104" s="32">
        <f t="shared" si="174"/>
        <v>-56</v>
      </c>
      <c r="L104" s="83">
        <v>-14</v>
      </c>
      <c r="M104" s="83">
        <f>68-L104</f>
        <v>82</v>
      </c>
      <c r="N104" s="83">
        <f>16-M104-L104</f>
        <v>-52</v>
      </c>
      <c r="O104" s="32">
        <f t="shared" si="175"/>
        <v>134</v>
      </c>
      <c r="P104" s="83">
        <v>-148</v>
      </c>
      <c r="Q104" s="83">
        <f>-257-P104</f>
        <v>-109</v>
      </c>
      <c r="R104" s="83">
        <f>-420-Q104-P104</f>
        <v>-163</v>
      </c>
      <c r="T104" s="32"/>
      <c r="U104" s="32"/>
      <c r="V104" s="32"/>
      <c r="W104" s="32"/>
      <c r="X104" s="32">
        <f>SUM(H104:H104)</f>
        <v>26</v>
      </c>
      <c r="Y104" s="32">
        <f>SUM(H104:I104)</f>
        <v>39</v>
      </c>
      <c r="Z104" s="32">
        <f>SUM(H104:J104)</f>
        <v>83</v>
      </c>
      <c r="AA104" s="32"/>
      <c r="AB104" s="32"/>
      <c r="AC104" s="32"/>
      <c r="AD104" s="32">
        <f t="shared" ref="AD104" si="177">SUM(K104:N104)</f>
        <v>-40</v>
      </c>
      <c r="AE104" s="32">
        <f t="shared" ref="AE104" si="178">SUM(L104:O104)</f>
        <v>150</v>
      </c>
      <c r="AF104" s="32">
        <f t="shared" ref="AF104" si="179">SUM(M104:P104)</f>
        <v>16</v>
      </c>
      <c r="AG104" s="32">
        <f t="shared" ref="AG104" si="180">SUM(N104:Q104)</f>
        <v>-175</v>
      </c>
      <c r="AH104" s="32">
        <f t="shared" ref="AH104" si="181">SUM(O104:R104)</f>
        <v>-286</v>
      </c>
      <c r="AI104" s="60"/>
      <c r="AJ104" s="76">
        <f t="shared" si="165"/>
        <v>6.15</v>
      </c>
    </row>
    <row r="105" spans="2:36" ht="12.75" customHeight="1">
      <c r="B105" s="61" t="s">
        <v>13</v>
      </c>
      <c r="C105" s="83">
        <v>243</v>
      </c>
      <c r="D105" s="83">
        <v>-79</v>
      </c>
      <c r="E105" s="83">
        <v>209</v>
      </c>
      <c r="F105" s="83">
        <v>121</v>
      </c>
      <c r="G105" s="32"/>
      <c r="H105" s="83">
        <v>-80</v>
      </c>
      <c r="I105" s="83">
        <f>-194-H105</f>
        <v>-114</v>
      </c>
      <c r="J105" s="83">
        <f>-6-I105-H105</f>
        <v>188</v>
      </c>
      <c r="K105" s="32">
        <f t="shared" si="174"/>
        <v>215</v>
      </c>
      <c r="L105" s="83">
        <v>-74</v>
      </c>
      <c r="M105" s="83">
        <f>-167-L105</f>
        <v>-93</v>
      </c>
      <c r="N105" s="83">
        <f>206-M105-L105</f>
        <v>373</v>
      </c>
      <c r="O105" s="32">
        <f t="shared" si="175"/>
        <v>-85</v>
      </c>
      <c r="P105" s="83">
        <v>241</v>
      </c>
      <c r="Q105" s="83">
        <f>-372-P105</f>
        <v>-613</v>
      </c>
      <c r="R105" s="83">
        <f>-236-Q105-P105</f>
        <v>136</v>
      </c>
      <c r="T105" s="32" t="e">
        <f>SUM(#REF!)</f>
        <v>#REF!</v>
      </c>
      <c r="U105" s="32" t="e">
        <f>SUM(#REF!)</f>
        <v>#REF!</v>
      </c>
      <c r="V105" s="32" t="e">
        <f>SUM(#REF!)</f>
        <v>#REF!</v>
      </c>
      <c r="W105" s="32" t="e">
        <f>SUM(#REF!)</f>
        <v>#REF!</v>
      </c>
      <c r="X105" s="32">
        <f>SUM(H105:H105)</f>
        <v>-80</v>
      </c>
      <c r="Y105" s="32">
        <f>SUM(H105:I105)</f>
        <v>-194</v>
      </c>
      <c r="Z105" s="32">
        <f>SUM(H105:J105)</f>
        <v>-6</v>
      </c>
      <c r="AA105" s="32">
        <f t="shared" si="176"/>
        <v>209</v>
      </c>
      <c r="AB105" s="32">
        <f t="shared" si="176"/>
        <v>215</v>
      </c>
      <c r="AC105" s="32">
        <f t="shared" si="176"/>
        <v>236</v>
      </c>
      <c r="AD105" s="32">
        <f t="shared" si="176"/>
        <v>421</v>
      </c>
      <c r="AE105" s="32">
        <f t="shared" si="176"/>
        <v>121</v>
      </c>
      <c r="AF105" s="32">
        <f t="shared" si="176"/>
        <v>436</v>
      </c>
      <c r="AG105" s="32">
        <f t="shared" si="176"/>
        <v>-84</v>
      </c>
      <c r="AH105" s="32">
        <f t="shared" si="176"/>
        <v>-321</v>
      </c>
      <c r="AI105" s="60"/>
      <c r="AJ105" s="76">
        <f t="shared" si="165"/>
        <v>-1.7624703087885987</v>
      </c>
    </row>
    <row r="106" spans="2:36" ht="12.75" customHeight="1">
      <c r="B106" s="61" t="s">
        <v>132</v>
      </c>
      <c r="C106" s="83">
        <v>186</v>
      </c>
      <c r="D106" s="83">
        <v>136</v>
      </c>
      <c r="E106" s="83">
        <v>-279</v>
      </c>
      <c r="F106" s="83">
        <v>78</v>
      </c>
      <c r="G106" s="32"/>
      <c r="H106" s="83">
        <v>-657</v>
      </c>
      <c r="I106" s="83">
        <f>-566-H106</f>
        <v>91</v>
      </c>
      <c r="J106" s="83">
        <f>-382-I106-H106</f>
        <v>184</v>
      </c>
      <c r="K106" s="32">
        <f t="shared" si="174"/>
        <v>103</v>
      </c>
      <c r="L106" s="83">
        <v>-660</v>
      </c>
      <c r="M106" s="83">
        <f>-409-L106</f>
        <v>251</v>
      </c>
      <c r="N106" s="83">
        <f>-118-M106-L106</f>
        <v>291</v>
      </c>
      <c r="O106" s="32">
        <f t="shared" si="175"/>
        <v>196</v>
      </c>
      <c r="P106" s="83">
        <v>-908</v>
      </c>
      <c r="Q106" s="83">
        <f>-621-P106</f>
        <v>287</v>
      </c>
      <c r="R106" s="83">
        <f>-110-Q106-P106</f>
        <v>511</v>
      </c>
      <c r="T106" s="32" t="e">
        <f>SUM(#REF!)</f>
        <v>#REF!</v>
      </c>
      <c r="U106" s="32" t="e">
        <f>SUM(#REF!)</f>
        <v>#REF!</v>
      </c>
      <c r="V106" s="32" t="e">
        <f>SUM(#REF!)</f>
        <v>#REF!</v>
      </c>
      <c r="W106" s="32" t="e">
        <f>SUM(#REF!)</f>
        <v>#REF!</v>
      </c>
      <c r="X106" s="32">
        <f>SUM(H106:H106)</f>
        <v>-657</v>
      </c>
      <c r="Y106" s="32">
        <f>SUM(H106:I106)</f>
        <v>-566</v>
      </c>
      <c r="Z106" s="32">
        <f>SUM(H106:J106)</f>
        <v>-382</v>
      </c>
      <c r="AA106" s="32">
        <f t="shared" si="176"/>
        <v>-279</v>
      </c>
      <c r="AB106" s="32">
        <f t="shared" si="176"/>
        <v>-282</v>
      </c>
      <c r="AC106" s="32">
        <f t="shared" si="176"/>
        <v>-122</v>
      </c>
      <c r="AD106" s="32">
        <f t="shared" si="176"/>
        <v>-15</v>
      </c>
      <c r="AE106" s="32">
        <f t="shared" si="176"/>
        <v>78</v>
      </c>
      <c r="AF106" s="32">
        <f t="shared" si="176"/>
        <v>-170</v>
      </c>
      <c r="AG106" s="32">
        <f t="shared" si="176"/>
        <v>-134</v>
      </c>
      <c r="AH106" s="32">
        <f t="shared" si="176"/>
        <v>86</v>
      </c>
      <c r="AI106" s="60"/>
      <c r="AJ106" s="76">
        <f t="shared" si="165"/>
        <v>-6.7333333333333334</v>
      </c>
    </row>
    <row r="107" spans="2:36" ht="12.75" customHeight="1">
      <c r="B107" s="61" t="s">
        <v>147</v>
      </c>
      <c r="C107" s="83">
        <v>-177</v>
      </c>
      <c r="D107" s="83">
        <v>222</v>
      </c>
      <c r="E107" s="83">
        <v>-628</v>
      </c>
      <c r="F107" s="83">
        <v>-5323</v>
      </c>
      <c r="G107" s="32"/>
      <c r="H107" s="83">
        <v>570</v>
      </c>
      <c r="I107" s="83">
        <f>405-H107</f>
        <v>-165</v>
      </c>
      <c r="J107" s="83">
        <f>66-I107-H107</f>
        <v>-339</v>
      </c>
      <c r="K107" s="32">
        <f t="shared" si="174"/>
        <v>-694</v>
      </c>
      <c r="L107" s="83">
        <v>-2182</v>
      </c>
      <c r="M107" s="83">
        <f>-2568-L107</f>
        <v>-386</v>
      </c>
      <c r="N107" s="83">
        <f>-3913-M107-L107</f>
        <v>-1345</v>
      </c>
      <c r="O107" s="32">
        <f t="shared" si="175"/>
        <v>-1410</v>
      </c>
      <c r="P107" s="83">
        <v>26</v>
      </c>
      <c r="Q107" s="83">
        <f>-29-P107</f>
        <v>-55</v>
      </c>
      <c r="R107" s="83">
        <f>-1028-Q107-P107</f>
        <v>-999</v>
      </c>
      <c r="T107" s="32" t="e">
        <f>SUM(#REF!)</f>
        <v>#REF!</v>
      </c>
      <c r="U107" s="32" t="e">
        <f>SUM(#REF!)</f>
        <v>#REF!</v>
      </c>
      <c r="V107" s="32" t="e">
        <f>SUM(#REF!)</f>
        <v>#REF!</v>
      </c>
      <c r="W107" s="32" t="e">
        <f>SUM(#REF!)</f>
        <v>#REF!</v>
      </c>
      <c r="X107" s="32">
        <f>SUM(H107:H107)</f>
        <v>570</v>
      </c>
      <c r="Y107" s="32">
        <f>SUM(H107:I107)</f>
        <v>405</v>
      </c>
      <c r="Z107" s="32">
        <f>SUM(H107:J107)</f>
        <v>66</v>
      </c>
      <c r="AA107" s="32">
        <f t="shared" si="176"/>
        <v>-628</v>
      </c>
      <c r="AB107" s="32">
        <f t="shared" si="176"/>
        <v>-3380</v>
      </c>
      <c r="AC107" s="32">
        <f t="shared" si="176"/>
        <v>-3601</v>
      </c>
      <c r="AD107" s="32">
        <f t="shared" si="176"/>
        <v>-4607</v>
      </c>
      <c r="AE107" s="32">
        <f t="shared" si="176"/>
        <v>-5323</v>
      </c>
      <c r="AF107" s="32">
        <f t="shared" si="176"/>
        <v>-3115</v>
      </c>
      <c r="AG107" s="32">
        <f t="shared" si="176"/>
        <v>-2784</v>
      </c>
      <c r="AH107" s="32">
        <f t="shared" si="176"/>
        <v>-2438</v>
      </c>
      <c r="AI107" s="60"/>
      <c r="AJ107" s="76">
        <f t="shared" si="165"/>
        <v>-0.47080529628825696</v>
      </c>
    </row>
    <row r="108" spans="2:36" ht="12.75" customHeight="1">
      <c r="B108" s="61" t="s">
        <v>148</v>
      </c>
      <c r="C108" s="83">
        <v>-295</v>
      </c>
      <c r="D108" s="83">
        <v>-436</v>
      </c>
      <c r="E108" s="83">
        <v>-785</v>
      </c>
      <c r="F108" s="83">
        <v>-1990</v>
      </c>
      <c r="G108" s="32"/>
      <c r="H108" s="83">
        <v>-164</v>
      </c>
      <c r="I108" s="83">
        <f>-343-H108</f>
        <v>-179</v>
      </c>
      <c r="J108" s="83">
        <f>-482-I108-H108</f>
        <v>-139</v>
      </c>
      <c r="K108" s="32">
        <f t="shared" si="174"/>
        <v>-303</v>
      </c>
      <c r="L108" s="83">
        <v>891</v>
      </c>
      <c r="M108" s="83">
        <f>322-L108</f>
        <v>-569</v>
      </c>
      <c r="N108" s="83">
        <f>-848-M108-L108</f>
        <v>-1170</v>
      </c>
      <c r="O108" s="32">
        <f t="shared" si="175"/>
        <v>-1142</v>
      </c>
      <c r="P108" s="83">
        <v>-1023</v>
      </c>
      <c r="Q108" s="83">
        <f>-1853-P108</f>
        <v>-830</v>
      </c>
      <c r="R108" s="83">
        <f>-2295-Q108-P108</f>
        <v>-442</v>
      </c>
      <c r="T108" s="32" t="e">
        <f>SUM(#REF!)</f>
        <v>#REF!</v>
      </c>
      <c r="U108" s="32" t="e">
        <f>SUM(#REF!)</f>
        <v>#REF!</v>
      </c>
      <c r="V108" s="32" t="e">
        <f>SUM(#REF!)</f>
        <v>#REF!</v>
      </c>
      <c r="W108" s="32" t="e">
        <f>SUM(#REF!)</f>
        <v>#REF!</v>
      </c>
      <c r="X108" s="32">
        <f>SUM(H108:H108)</f>
        <v>-164</v>
      </c>
      <c r="Y108" s="32">
        <f>SUM(H108:I108)</f>
        <v>-343</v>
      </c>
      <c r="Z108" s="32">
        <f>SUM(H108:J108)</f>
        <v>-482</v>
      </c>
      <c r="AA108" s="32">
        <f t="shared" si="176"/>
        <v>-785</v>
      </c>
      <c r="AB108" s="32">
        <f t="shared" si="176"/>
        <v>270</v>
      </c>
      <c r="AC108" s="32">
        <f t="shared" si="176"/>
        <v>-120</v>
      </c>
      <c r="AD108" s="32">
        <f t="shared" si="176"/>
        <v>-1151</v>
      </c>
      <c r="AE108" s="32">
        <f t="shared" si="176"/>
        <v>-1990</v>
      </c>
      <c r="AF108" s="32">
        <f t="shared" si="176"/>
        <v>-3904</v>
      </c>
      <c r="AG108" s="32">
        <f t="shared" si="176"/>
        <v>-4165</v>
      </c>
      <c r="AH108" s="32">
        <f t="shared" si="176"/>
        <v>-3437</v>
      </c>
      <c r="AI108" s="60"/>
      <c r="AJ108" s="76">
        <f t="shared" si="165"/>
        <v>1.9860990443092961</v>
      </c>
    </row>
    <row r="109" spans="2:36" ht="12.75" customHeight="1">
      <c r="B109" s="13" t="s">
        <v>55</v>
      </c>
      <c r="C109" s="14">
        <f>SUM(C92:C108)</f>
        <v>13764</v>
      </c>
      <c r="D109" s="14">
        <f>SUM(D92:D108)</f>
        <v>16736</v>
      </c>
      <c r="E109" s="14">
        <f>SUM(E92:E108)</f>
        <v>18085</v>
      </c>
      <c r="F109" s="14">
        <f>SUM(F92:F108)</f>
        <v>19962</v>
      </c>
      <c r="H109" s="14">
        <f>SUM(H92:H108)</f>
        <v>4036</v>
      </c>
      <c r="I109" s="14">
        <f>SUM(I92:I108)</f>
        <v>4502</v>
      </c>
      <c r="J109" s="14">
        <f>SUM(J92:J108)</f>
        <v>4719</v>
      </c>
      <c r="K109" s="14">
        <f>SUM(K92:K108)</f>
        <v>4828</v>
      </c>
      <c r="L109" s="14">
        <f>SUM(L92:L108)</f>
        <v>4815</v>
      </c>
      <c r="M109" s="14">
        <f>SUM(M92:M108)</f>
        <v>4580</v>
      </c>
      <c r="N109" s="14">
        <f>SUM(N92:N108)</f>
        <v>4963</v>
      </c>
      <c r="O109" s="14">
        <f>SUM(O92:O108)</f>
        <v>5604</v>
      </c>
      <c r="P109" s="14">
        <f>SUM(P92:P108)</f>
        <v>6113</v>
      </c>
      <c r="Q109" s="14">
        <f>SUM(Q92:Q108)</f>
        <v>6555</v>
      </c>
      <c r="R109" s="14">
        <f>SUM(R92:R108)</f>
        <v>7166</v>
      </c>
      <c r="T109" s="14" t="e">
        <f>SUM(T92:T108)</f>
        <v>#REF!</v>
      </c>
      <c r="U109" s="14" t="e">
        <f>SUM(U92:U108)</f>
        <v>#REF!</v>
      </c>
      <c r="V109" s="14" t="e">
        <f>SUM(V92:V108)</f>
        <v>#REF!</v>
      </c>
      <c r="W109" s="14" t="e">
        <f>SUM(W92:W108)</f>
        <v>#REF!</v>
      </c>
      <c r="X109" s="14">
        <f>SUM(X92:X108)</f>
        <v>5070</v>
      </c>
      <c r="Y109" s="14">
        <f>SUM(Y92:Y108)</f>
        <v>10519</v>
      </c>
      <c r="Z109" s="14">
        <f>SUM(Z92:Z108)</f>
        <v>16193</v>
      </c>
      <c r="AA109" s="14">
        <f>SUM(AA92:AA108)</f>
        <v>21945</v>
      </c>
      <c r="AB109" s="14">
        <f>SUM(AB92:AB108)</f>
        <v>24948</v>
      </c>
      <c r="AC109" s="14">
        <f>SUM(AC92:AC108)</f>
        <v>27119</v>
      </c>
      <c r="AD109" s="14">
        <f>SUM(AD92:AD108)</f>
        <v>19186</v>
      </c>
      <c r="AE109" s="14">
        <f>SUM(AE92:AE108)</f>
        <v>19962</v>
      </c>
      <c r="AF109" s="14">
        <f>SUM(AF92:AF108)</f>
        <v>21260</v>
      </c>
      <c r="AG109" s="14">
        <f>SUM(AG92:AG108)</f>
        <v>23235</v>
      </c>
      <c r="AH109" s="14">
        <f>SUM(AH92:AH108)</f>
        <v>25438</v>
      </c>
      <c r="AI109" s="42"/>
      <c r="AJ109" s="77">
        <f t="shared" si="165"/>
        <v>0.32586260815177726</v>
      </c>
    </row>
    <row r="110" spans="2:36" ht="12.75" customHeight="1">
      <c r="B110" s="54"/>
      <c r="C110" s="62"/>
      <c r="D110" s="62"/>
      <c r="E110" s="62"/>
      <c r="F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39"/>
    </row>
    <row r="111" spans="2:36" ht="12.75" customHeight="1">
      <c r="B111" s="54" t="s">
        <v>56</v>
      </c>
      <c r="C111" s="59"/>
      <c r="D111" s="59"/>
      <c r="E111" s="59"/>
      <c r="F111" s="59"/>
      <c r="H111" s="83"/>
      <c r="I111" s="83"/>
      <c r="J111" s="83"/>
      <c r="K111" s="32"/>
      <c r="L111" s="83"/>
      <c r="M111" s="83"/>
      <c r="N111" s="83"/>
      <c r="O111" s="32"/>
      <c r="P111" s="59"/>
      <c r="Q111" s="59"/>
      <c r="R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60"/>
      <c r="AJ111" s="39"/>
    </row>
    <row r="112" spans="2:36" ht="12.75" customHeight="1">
      <c r="B112" s="61" t="s">
        <v>149</v>
      </c>
      <c r="C112" s="83">
        <v>-8</v>
      </c>
      <c r="D112" s="83">
        <v>-246</v>
      </c>
      <c r="E112" s="83">
        <v>-53</v>
      </c>
      <c r="F112" s="83">
        <v>-25978</v>
      </c>
      <c r="G112" s="32"/>
      <c r="H112" s="83">
        <v>0</v>
      </c>
      <c r="I112" s="83">
        <v>0</v>
      </c>
      <c r="J112" s="83">
        <f>-17-I112-H112</f>
        <v>-17</v>
      </c>
      <c r="K112" s="32">
        <f t="shared" ref="K112:K117" si="182">SUM(E112-SUM(H112:J112))</f>
        <v>-36</v>
      </c>
      <c r="L112" s="83">
        <v>-25416</v>
      </c>
      <c r="M112" s="83">
        <f>-25976-L112</f>
        <v>-560</v>
      </c>
      <c r="N112" s="83">
        <f>-25978-M112-L112</f>
        <v>-2</v>
      </c>
      <c r="O112" s="32">
        <f t="shared" ref="O112:O117" si="183">SUM(F112-SUM(L112:N112))</f>
        <v>0</v>
      </c>
      <c r="P112" s="83">
        <v>0</v>
      </c>
      <c r="Q112" s="83">
        <v>0</v>
      </c>
      <c r="R112" s="83">
        <v>0</v>
      </c>
      <c r="S112" s="32"/>
      <c r="T112" s="32" t="e">
        <f>SUM(#REF!)</f>
        <v>#REF!</v>
      </c>
      <c r="U112" s="32" t="e">
        <f>SUM(#REF!)</f>
        <v>#REF!</v>
      </c>
      <c r="V112" s="32" t="e">
        <f>SUM(#REF!)</f>
        <v>#REF!</v>
      </c>
      <c r="W112" s="32" t="e">
        <f>SUM(#REF!)</f>
        <v>#REF!</v>
      </c>
      <c r="X112" s="32">
        <f>SUM(H112:H112)</f>
        <v>0</v>
      </c>
      <c r="Y112" s="32">
        <f>SUM(H112:I112)</f>
        <v>0</v>
      </c>
      <c r="Z112" s="32">
        <f>SUM(H112:J112)</f>
        <v>-17</v>
      </c>
      <c r="AA112" s="32">
        <f t="shared" ref="AA112:AA117" si="184">SUM(H112:K112)</f>
        <v>-53</v>
      </c>
      <c r="AB112" s="32">
        <f t="shared" ref="AB112:AB117" si="185">SUM(I112:L112)</f>
        <v>-25469</v>
      </c>
      <c r="AC112" s="32">
        <f t="shared" ref="AC112:AC117" si="186">SUM(J112:M112)</f>
        <v>-26029</v>
      </c>
      <c r="AD112" s="32">
        <f t="shared" ref="AD112:AD117" si="187">SUM(K112:N112)</f>
        <v>-26014</v>
      </c>
      <c r="AE112" s="32">
        <f t="shared" ref="AE112:AE117" si="188">SUM(L112:O112)</f>
        <v>-25978</v>
      </c>
      <c r="AF112" s="32">
        <f t="shared" ref="AF112:AF117" si="189">SUM(M112:P112)</f>
        <v>-562</v>
      </c>
      <c r="AG112" s="32">
        <f t="shared" ref="AG112:AG117" si="190">SUM(N112:Q112)</f>
        <v>-2</v>
      </c>
      <c r="AH112" s="32">
        <f t="shared" ref="AH112:AH117" si="191">SUM(O112:R112)</f>
        <v>0</v>
      </c>
      <c r="AI112" s="60"/>
      <c r="AJ112" s="76">
        <f t="shared" ref="AJ112:AJ129" si="192">SUM(AH112/AD112)-1</f>
        <v>-1</v>
      </c>
    </row>
    <row r="113" spans="2:36" ht="12.75" customHeight="1">
      <c r="B113" s="61" t="s">
        <v>150</v>
      </c>
      <c r="C113" s="83">
        <v>45</v>
      </c>
      <c r="D113" s="83">
        <v>0</v>
      </c>
      <c r="E113" s="83">
        <v>0</v>
      </c>
      <c r="F113" s="83">
        <v>3485</v>
      </c>
      <c r="G113" s="32"/>
      <c r="H113" s="83">
        <v>0</v>
      </c>
      <c r="I113" s="83">
        <v>0</v>
      </c>
      <c r="J113" s="83">
        <v>0</v>
      </c>
      <c r="K113" s="32">
        <f t="shared" si="182"/>
        <v>0</v>
      </c>
      <c r="L113" s="83">
        <v>0</v>
      </c>
      <c r="M113" s="83">
        <v>0</v>
      </c>
      <c r="N113" s="83">
        <f>3485-M113-L113</f>
        <v>3485</v>
      </c>
      <c r="O113" s="32">
        <f t="shared" si="183"/>
        <v>0</v>
      </c>
      <c r="P113" s="83">
        <v>0</v>
      </c>
      <c r="Q113" s="83">
        <v>0</v>
      </c>
      <c r="R113" s="83">
        <v>300</v>
      </c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>
        <f t="shared" ref="AD113" si="193">SUM(K113:N113)</f>
        <v>3485</v>
      </c>
      <c r="AE113" s="32">
        <f t="shared" ref="AE113" si="194">SUM(L113:O113)</f>
        <v>3485</v>
      </c>
      <c r="AF113" s="32">
        <f t="shared" ref="AF113" si="195">SUM(M113:P113)</f>
        <v>3485</v>
      </c>
      <c r="AG113" s="32">
        <f t="shared" ref="AG113" si="196">SUM(N113:Q113)</f>
        <v>3485</v>
      </c>
      <c r="AH113" s="32">
        <f t="shared" ref="AH113" si="197">SUM(O113:R113)</f>
        <v>300</v>
      </c>
      <c r="AI113" s="60"/>
      <c r="AJ113" s="76">
        <f t="shared" si="192"/>
        <v>-0.91391678622668582</v>
      </c>
    </row>
    <row r="114" spans="2:36" ht="12.75" customHeight="1">
      <c r="B114" s="61" t="s">
        <v>151</v>
      </c>
      <c r="C114" s="83">
        <v>-443</v>
      </c>
      <c r="D114" s="83">
        <v>-424</v>
      </c>
      <c r="E114" s="83">
        <v>-452</v>
      </c>
      <c r="F114" s="83">
        <v>-548</v>
      </c>
      <c r="G114" s="32"/>
      <c r="H114" s="83">
        <v>-103</v>
      </c>
      <c r="I114" s="83">
        <f>-225-H114</f>
        <v>-122</v>
      </c>
      <c r="J114" s="83">
        <f>-347-I114-H114</f>
        <v>-122</v>
      </c>
      <c r="K114" s="32">
        <f t="shared" si="182"/>
        <v>-105</v>
      </c>
      <c r="L114" s="83">
        <v>-122</v>
      </c>
      <c r="M114" s="83">
        <f>-254-L114</f>
        <v>-132</v>
      </c>
      <c r="N114" s="83">
        <f>-426-M114-L114</f>
        <v>-172</v>
      </c>
      <c r="O114" s="32">
        <f t="shared" si="183"/>
        <v>-122</v>
      </c>
      <c r="P114" s="83">
        <v>-100</v>
      </c>
      <c r="Q114" s="83">
        <f>-244-P114</f>
        <v>-144</v>
      </c>
      <c r="R114" s="83">
        <f>-386-Q114-P114</f>
        <v>-142</v>
      </c>
      <c r="S114" s="32"/>
      <c r="T114" s="32" t="e">
        <f>SUM(#REF!)</f>
        <v>#REF!</v>
      </c>
      <c r="U114" s="32" t="e">
        <f>SUM(#REF!)</f>
        <v>#REF!</v>
      </c>
      <c r="V114" s="32" t="e">
        <f>SUM(#REF!)</f>
        <v>#REF!</v>
      </c>
      <c r="W114" s="32" t="e">
        <f>SUM(#REF!)</f>
        <v>#REF!</v>
      </c>
      <c r="X114" s="32">
        <f>SUM(H114:H114)</f>
        <v>-103</v>
      </c>
      <c r="Y114" s="32">
        <f>SUM(H114:I114)</f>
        <v>-225</v>
      </c>
      <c r="Z114" s="32">
        <f>SUM(H114:J114)</f>
        <v>-347</v>
      </c>
      <c r="AA114" s="32">
        <f t="shared" si="184"/>
        <v>-452</v>
      </c>
      <c r="AB114" s="32">
        <f t="shared" si="185"/>
        <v>-471</v>
      </c>
      <c r="AC114" s="32">
        <f t="shared" si="186"/>
        <v>-481</v>
      </c>
      <c r="AD114" s="32">
        <f t="shared" si="187"/>
        <v>-531</v>
      </c>
      <c r="AE114" s="32">
        <f t="shared" si="188"/>
        <v>-548</v>
      </c>
      <c r="AF114" s="32">
        <f t="shared" si="189"/>
        <v>-526</v>
      </c>
      <c r="AG114" s="32">
        <f t="shared" si="190"/>
        <v>-538</v>
      </c>
      <c r="AH114" s="32">
        <f t="shared" si="191"/>
        <v>-508</v>
      </c>
      <c r="AI114" s="60"/>
      <c r="AJ114" s="76">
        <f t="shared" si="192"/>
        <v>-4.3314500941619594E-2</v>
      </c>
    </row>
    <row r="115" spans="2:36" ht="12.75" customHeight="1">
      <c r="B115" s="61" t="s">
        <v>152</v>
      </c>
      <c r="C115" s="83">
        <v>0</v>
      </c>
      <c r="D115" s="83">
        <v>-200</v>
      </c>
      <c r="E115" s="83">
        <v>-346</v>
      </c>
      <c r="F115" s="83">
        <v>-175</v>
      </c>
      <c r="G115" s="32"/>
      <c r="H115" s="83">
        <v>0</v>
      </c>
      <c r="I115" s="83">
        <f>-197-H115</f>
        <v>-197</v>
      </c>
      <c r="J115" s="83">
        <f>-288-I115-H115</f>
        <v>-91</v>
      </c>
      <c r="K115" s="32">
        <f t="shared" si="182"/>
        <v>-58</v>
      </c>
      <c r="L115" s="83">
        <v>-13</v>
      </c>
      <c r="M115" s="83">
        <f>-72-L115</f>
        <v>-59</v>
      </c>
      <c r="N115" s="83">
        <f>-145-M115-L115</f>
        <v>-73</v>
      </c>
      <c r="O115" s="32">
        <f t="shared" si="183"/>
        <v>-30</v>
      </c>
      <c r="P115" s="83">
        <v>-105</v>
      </c>
      <c r="Q115" s="83">
        <f>-162-P115</f>
        <v>-57</v>
      </c>
      <c r="R115" s="83">
        <f>-261-Q115-P115</f>
        <v>-99</v>
      </c>
      <c r="S115" s="32"/>
      <c r="T115" s="32" t="e">
        <f>SUM(#REF!)</f>
        <v>#REF!</v>
      </c>
      <c r="U115" s="32" t="e">
        <f>SUM(#REF!)</f>
        <v>#REF!</v>
      </c>
      <c r="V115" s="32" t="e">
        <f>SUM(#REF!)</f>
        <v>#REF!</v>
      </c>
      <c r="W115" s="32" t="e">
        <f>SUM(#REF!)</f>
        <v>#REF!</v>
      </c>
      <c r="X115" s="32">
        <f>SUM(H115:H115)</f>
        <v>0</v>
      </c>
      <c r="Y115" s="32">
        <f>SUM(H115:I115)</f>
        <v>-197</v>
      </c>
      <c r="Z115" s="32">
        <f>SUM(H115:J115)</f>
        <v>-288</v>
      </c>
      <c r="AA115" s="32">
        <f t="shared" si="184"/>
        <v>-346</v>
      </c>
      <c r="AB115" s="32">
        <f t="shared" si="185"/>
        <v>-359</v>
      </c>
      <c r="AC115" s="32">
        <f t="shared" si="186"/>
        <v>-221</v>
      </c>
      <c r="AD115" s="32">
        <f t="shared" si="187"/>
        <v>-203</v>
      </c>
      <c r="AE115" s="32">
        <f t="shared" si="188"/>
        <v>-175</v>
      </c>
      <c r="AF115" s="32">
        <f t="shared" si="189"/>
        <v>-267</v>
      </c>
      <c r="AG115" s="32">
        <f t="shared" si="190"/>
        <v>-265</v>
      </c>
      <c r="AH115" s="32">
        <f t="shared" si="191"/>
        <v>-291</v>
      </c>
      <c r="AI115" s="60"/>
      <c r="AJ115" s="76">
        <f t="shared" si="192"/>
        <v>0.43349753694581272</v>
      </c>
    </row>
    <row r="116" spans="2:36" ht="12.75" customHeight="1">
      <c r="B116" s="61" t="s">
        <v>153</v>
      </c>
      <c r="C116" s="83">
        <v>169</v>
      </c>
      <c r="D116" s="83">
        <v>200</v>
      </c>
      <c r="E116" s="83">
        <v>228</v>
      </c>
      <c r="F116" s="83">
        <v>156</v>
      </c>
      <c r="G116" s="32"/>
      <c r="H116" s="83">
        <v>0</v>
      </c>
      <c r="I116" s="83">
        <v>0</v>
      </c>
      <c r="J116" s="83">
        <f>74-I116-H116</f>
        <v>74</v>
      </c>
      <c r="K116" s="32">
        <f t="shared" si="182"/>
        <v>154</v>
      </c>
      <c r="L116" s="83">
        <v>89</v>
      </c>
      <c r="M116" s="83">
        <f>131-L116</f>
        <v>42</v>
      </c>
      <c r="N116" s="83">
        <f>136-M116-L116</f>
        <v>5</v>
      </c>
      <c r="O116" s="32">
        <f t="shared" si="183"/>
        <v>20</v>
      </c>
      <c r="P116" s="83">
        <v>18</v>
      </c>
      <c r="Q116" s="83">
        <f>96-P116</f>
        <v>78</v>
      </c>
      <c r="R116" s="83">
        <f>147 -Q116-P116</f>
        <v>51</v>
      </c>
      <c r="S116" s="32"/>
      <c r="T116" s="32" t="e">
        <f>SUM(#REF!)</f>
        <v>#REF!</v>
      </c>
      <c r="U116" s="32" t="e">
        <f>SUM(#REF!)</f>
        <v>#REF!</v>
      </c>
      <c r="V116" s="32" t="e">
        <f>SUM(#REF!)</f>
        <v>#REF!</v>
      </c>
      <c r="W116" s="32" t="e">
        <f>SUM(#REF!)</f>
        <v>#REF!</v>
      </c>
      <c r="X116" s="32">
        <f>SUM(H116:H116)</f>
        <v>0</v>
      </c>
      <c r="Y116" s="32">
        <f>SUM(H116:I116)</f>
        <v>0</v>
      </c>
      <c r="Z116" s="32">
        <f>SUM(H116:J116)</f>
        <v>74</v>
      </c>
      <c r="AA116" s="32">
        <f t="shared" si="184"/>
        <v>228</v>
      </c>
      <c r="AB116" s="32">
        <f t="shared" si="185"/>
        <v>317</v>
      </c>
      <c r="AC116" s="32">
        <f t="shared" si="186"/>
        <v>359</v>
      </c>
      <c r="AD116" s="32">
        <f t="shared" si="187"/>
        <v>290</v>
      </c>
      <c r="AE116" s="32">
        <f t="shared" si="188"/>
        <v>156</v>
      </c>
      <c r="AF116" s="32">
        <f t="shared" si="189"/>
        <v>85</v>
      </c>
      <c r="AG116" s="32">
        <f t="shared" si="190"/>
        <v>121</v>
      </c>
      <c r="AH116" s="32">
        <f t="shared" si="191"/>
        <v>167</v>
      </c>
      <c r="AI116" s="60"/>
      <c r="AJ116" s="76">
        <f t="shared" si="192"/>
        <v>-0.42413793103448272</v>
      </c>
    </row>
    <row r="117" spans="2:36" ht="12.75" customHeight="1">
      <c r="B117" s="61" t="s">
        <v>146</v>
      </c>
      <c r="C117" s="83">
        <v>-8</v>
      </c>
      <c r="D117" s="83">
        <v>3</v>
      </c>
      <c r="E117" s="83">
        <v>-66</v>
      </c>
      <c r="F117" s="83">
        <v>-10</v>
      </c>
      <c r="G117" s="32"/>
      <c r="H117" s="83">
        <v>0</v>
      </c>
      <c r="I117" s="83">
        <f>1-H117</f>
        <v>1</v>
      </c>
      <c r="J117" s="83">
        <f>13-I117-H117</f>
        <v>12</v>
      </c>
      <c r="K117" s="32">
        <f t="shared" si="182"/>
        <v>-79</v>
      </c>
      <c r="L117" s="83">
        <v>-15</v>
      </c>
      <c r="M117" s="83">
        <f>-12-L117</f>
        <v>3</v>
      </c>
      <c r="N117" s="83">
        <f>-10-M117-L117</f>
        <v>2</v>
      </c>
      <c r="O117" s="32">
        <f t="shared" si="183"/>
        <v>0</v>
      </c>
      <c r="P117" s="83">
        <v>13</v>
      </c>
      <c r="Q117" s="83">
        <f>3-P117</f>
        <v>-10</v>
      </c>
      <c r="R117" s="83">
        <f>-13-Q117-P117</f>
        <v>-16</v>
      </c>
      <c r="S117" s="32"/>
      <c r="T117" s="32" t="e">
        <f>SUM(#REF!)</f>
        <v>#REF!</v>
      </c>
      <c r="U117" s="32" t="e">
        <f>SUM(#REF!)</f>
        <v>#REF!</v>
      </c>
      <c r="V117" s="32" t="e">
        <f>SUM(#REF!)</f>
        <v>#REF!</v>
      </c>
      <c r="W117" s="32" t="e">
        <f>SUM(#REF!)</f>
        <v>#REF!</v>
      </c>
      <c r="X117" s="32">
        <f>SUM(H117:H117)</f>
        <v>0</v>
      </c>
      <c r="Y117" s="32">
        <f>SUM(H117:I117)</f>
        <v>1</v>
      </c>
      <c r="Z117" s="32">
        <f>SUM(H117:J117)</f>
        <v>13</v>
      </c>
      <c r="AA117" s="32">
        <f t="shared" si="184"/>
        <v>-66</v>
      </c>
      <c r="AB117" s="32">
        <f t="shared" si="185"/>
        <v>-81</v>
      </c>
      <c r="AC117" s="32">
        <f t="shared" si="186"/>
        <v>-79</v>
      </c>
      <c r="AD117" s="32">
        <f t="shared" si="187"/>
        <v>-89</v>
      </c>
      <c r="AE117" s="32">
        <f t="shared" si="188"/>
        <v>-10</v>
      </c>
      <c r="AF117" s="32">
        <f t="shared" si="189"/>
        <v>18</v>
      </c>
      <c r="AG117" s="32">
        <f t="shared" si="190"/>
        <v>5</v>
      </c>
      <c r="AH117" s="32">
        <f t="shared" si="191"/>
        <v>-13</v>
      </c>
      <c r="AI117" s="60"/>
      <c r="AJ117" s="76">
        <f t="shared" si="192"/>
        <v>-0.8539325842696629</v>
      </c>
    </row>
    <row r="118" spans="2:36" ht="12.75" customHeight="1">
      <c r="B118" s="13" t="s">
        <v>57</v>
      </c>
      <c r="C118" s="14">
        <f t="shared" ref="C118:F118" si="198">SUM(C112:C117)</f>
        <v>-245</v>
      </c>
      <c r="D118" s="14">
        <f t="shared" si="198"/>
        <v>-667</v>
      </c>
      <c r="E118" s="14">
        <f t="shared" si="198"/>
        <v>-689</v>
      </c>
      <c r="F118" s="14">
        <f t="shared" si="198"/>
        <v>-23070</v>
      </c>
      <c r="H118" s="14">
        <f t="shared" ref="H118:R118" si="199">SUM(H112:H117)</f>
        <v>-103</v>
      </c>
      <c r="I118" s="14">
        <f t="shared" si="199"/>
        <v>-318</v>
      </c>
      <c r="J118" s="14">
        <f t="shared" si="199"/>
        <v>-144</v>
      </c>
      <c r="K118" s="14">
        <f t="shared" si="199"/>
        <v>-124</v>
      </c>
      <c r="L118" s="14">
        <f t="shared" si="199"/>
        <v>-25477</v>
      </c>
      <c r="M118" s="14">
        <f t="shared" si="199"/>
        <v>-706</v>
      </c>
      <c r="N118" s="14">
        <f t="shared" si="199"/>
        <v>3245</v>
      </c>
      <c r="O118" s="14">
        <f t="shared" si="199"/>
        <v>-132</v>
      </c>
      <c r="P118" s="14">
        <f t="shared" si="199"/>
        <v>-174</v>
      </c>
      <c r="Q118" s="14">
        <f t="shared" si="199"/>
        <v>-133</v>
      </c>
      <c r="R118" s="14">
        <f t="shared" si="199"/>
        <v>94</v>
      </c>
      <c r="T118" s="14" t="e">
        <f t="shared" ref="T118:AH118" si="200">SUM(T112:T117)</f>
        <v>#REF!</v>
      </c>
      <c r="U118" s="14" t="e">
        <f t="shared" si="200"/>
        <v>#REF!</v>
      </c>
      <c r="V118" s="14" t="e">
        <f t="shared" si="200"/>
        <v>#REF!</v>
      </c>
      <c r="W118" s="14" t="e">
        <f t="shared" si="200"/>
        <v>#REF!</v>
      </c>
      <c r="X118" s="14">
        <f t="shared" si="200"/>
        <v>-103</v>
      </c>
      <c r="Y118" s="14">
        <f t="shared" si="200"/>
        <v>-421</v>
      </c>
      <c r="Z118" s="14">
        <f t="shared" si="200"/>
        <v>-565</v>
      </c>
      <c r="AA118" s="14">
        <f t="shared" si="200"/>
        <v>-689</v>
      </c>
      <c r="AB118" s="14">
        <f t="shared" si="200"/>
        <v>-26063</v>
      </c>
      <c r="AC118" s="14">
        <f t="shared" si="200"/>
        <v>-26451</v>
      </c>
      <c r="AD118" s="14">
        <f t="shared" si="200"/>
        <v>-23062</v>
      </c>
      <c r="AE118" s="14">
        <f t="shared" si="200"/>
        <v>-23070</v>
      </c>
      <c r="AF118" s="14">
        <f t="shared" si="200"/>
        <v>2233</v>
      </c>
      <c r="AG118" s="14">
        <f t="shared" si="200"/>
        <v>2806</v>
      </c>
      <c r="AH118" s="14">
        <f t="shared" si="200"/>
        <v>-345</v>
      </c>
      <c r="AI118" s="42"/>
      <c r="AJ118" s="77">
        <f t="shared" si="192"/>
        <v>-0.98504032607753012</v>
      </c>
    </row>
    <row r="119" spans="2:36" ht="5.0999999999999996" customHeight="1">
      <c r="B119" s="53"/>
      <c r="C119" s="62"/>
      <c r="D119" s="62"/>
      <c r="E119" s="62"/>
      <c r="F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39"/>
    </row>
    <row r="120" spans="2:36" ht="12.75" customHeight="1">
      <c r="B120" s="54" t="s">
        <v>58</v>
      </c>
      <c r="C120" s="64"/>
      <c r="D120" s="64"/>
      <c r="E120" s="64"/>
      <c r="F120" s="64"/>
      <c r="H120" s="64"/>
      <c r="I120" s="64"/>
      <c r="J120" s="64"/>
      <c r="K120" s="64"/>
      <c r="L120" s="64"/>
      <c r="M120" s="64"/>
      <c r="N120" s="64"/>
      <c r="O120" s="64"/>
      <c r="P120" s="64"/>
      <c r="Q120" s="64"/>
      <c r="R120" s="64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65"/>
      <c r="AJ120" s="76"/>
    </row>
    <row r="121" spans="2:36" ht="12.75" customHeight="1">
      <c r="B121" s="85" t="s">
        <v>154</v>
      </c>
      <c r="C121" s="83">
        <v>9904</v>
      </c>
      <c r="D121" s="83">
        <v>1935</v>
      </c>
      <c r="E121" s="83">
        <v>0</v>
      </c>
      <c r="F121" s="83">
        <v>39954</v>
      </c>
      <c r="H121" s="83">
        <v>0</v>
      </c>
      <c r="I121" s="83">
        <v>0</v>
      </c>
      <c r="J121" s="83">
        <v>0</v>
      </c>
      <c r="K121" s="32">
        <f>SUM(E121-SUM(H121:J121))</f>
        <v>0</v>
      </c>
      <c r="L121" s="83">
        <v>30010</v>
      </c>
      <c r="M121" s="83">
        <f>30010-L121</f>
        <v>0</v>
      </c>
      <c r="N121" s="83">
        <f>34985-M121-L121</f>
        <v>4975</v>
      </c>
      <c r="O121" s="32">
        <f>SUM(F121-SUM(L121:N121))</f>
        <v>4969</v>
      </c>
      <c r="P121" s="83">
        <v>2986</v>
      </c>
      <c r="Q121" s="83">
        <f>3735-P121</f>
        <v>749</v>
      </c>
      <c r="R121" s="83">
        <f>10695-Q121-P121</f>
        <v>6960</v>
      </c>
      <c r="S121" s="32"/>
      <c r="T121" s="32" t="e">
        <f>SUM(#REF!)</f>
        <v>#REF!</v>
      </c>
      <c r="U121" s="32" t="e">
        <f>SUM(#REF!)</f>
        <v>#REF!</v>
      </c>
      <c r="V121" s="32" t="e">
        <f>SUM(#REF!)</f>
        <v>#REF!</v>
      </c>
      <c r="W121" s="32" t="e">
        <f>SUM(#REF!)</f>
        <v>#REF!</v>
      </c>
      <c r="X121" s="32">
        <f>SUM(H121:H121)</f>
        <v>0</v>
      </c>
      <c r="Y121" s="32">
        <f>SUM(H121:I121)</f>
        <v>0</v>
      </c>
      <c r="Z121" s="32">
        <f>SUM(H121:J121)</f>
        <v>0</v>
      </c>
      <c r="AA121" s="32">
        <f t="shared" ref="AA121:AA128" si="201">SUM(H121:K121)</f>
        <v>0</v>
      </c>
      <c r="AB121" s="32">
        <f t="shared" ref="AB121:AB128" si="202">SUM(I121:L121)</f>
        <v>30010</v>
      </c>
      <c r="AC121" s="32">
        <f t="shared" ref="AC121:AC128" si="203">SUM(J121:M121)</f>
        <v>30010</v>
      </c>
      <c r="AD121" s="32">
        <f t="shared" ref="AD121:AD128" si="204">SUM(K121:N121)</f>
        <v>34985</v>
      </c>
      <c r="AE121" s="32">
        <f t="shared" ref="AE121:AE128" si="205">SUM(L121:O121)</f>
        <v>39954</v>
      </c>
      <c r="AF121" s="32">
        <f t="shared" ref="AF121:AF128" si="206">SUM(M121:P121)</f>
        <v>12930</v>
      </c>
      <c r="AG121" s="32">
        <f t="shared" ref="AG121:AG128" si="207">SUM(N121:Q121)</f>
        <v>13679</v>
      </c>
      <c r="AH121" s="32">
        <f t="shared" ref="AH121:AH128" si="208">SUM(O121:R121)</f>
        <v>15664</v>
      </c>
      <c r="AI121" s="65"/>
      <c r="AJ121" s="76">
        <f t="shared" si="192"/>
        <v>-0.55226525653851644</v>
      </c>
    </row>
    <row r="122" spans="2:36" ht="12.75" customHeight="1">
      <c r="B122" s="85" t="s">
        <v>155</v>
      </c>
      <c r="C122" s="83">
        <v>-11495</v>
      </c>
      <c r="D122" s="83">
        <v>-2361</v>
      </c>
      <c r="E122" s="83">
        <v>-403</v>
      </c>
      <c r="F122" s="83">
        <v>-19608</v>
      </c>
      <c r="H122" s="83">
        <v>-260</v>
      </c>
      <c r="I122" s="83">
        <f>-260-H122</f>
        <v>0</v>
      </c>
      <c r="J122" s="83">
        <f>-260-I122-H122</f>
        <v>0</v>
      </c>
      <c r="K122" s="32">
        <f>SUM(E122-SUM(H122:J122))</f>
        <v>-143</v>
      </c>
      <c r="L122" s="83">
        <v>-934</v>
      </c>
      <c r="M122" s="83">
        <f>-2934-L122</f>
        <v>-2000</v>
      </c>
      <c r="N122" s="83">
        <f>-12136-M122-L122</f>
        <v>-9202</v>
      </c>
      <c r="O122" s="32">
        <f>SUM(F122-SUM(L122:N122))</f>
        <v>-7472</v>
      </c>
      <c r="P122" s="83">
        <v>-8090</v>
      </c>
      <c r="Q122" s="83">
        <f>-8090-P122</f>
        <v>0</v>
      </c>
      <c r="R122" s="83">
        <f>-14840-Q122-P122</f>
        <v>-6750</v>
      </c>
      <c r="S122" s="32"/>
      <c r="T122" s="32" t="e">
        <f>SUM(#REF!)</f>
        <v>#REF!</v>
      </c>
      <c r="U122" s="32" t="e">
        <f>SUM(#REF!)</f>
        <v>#REF!</v>
      </c>
      <c r="V122" s="32" t="e">
        <f>SUM(#REF!)</f>
        <v>#REF!</v>
      </c>
      <c r="W122" s="32" t="e">
        <f>SUM(#REF!)</f>
        <v>#REF!</v>
      </c>
      <c r="X122" s="32">
        <f>SUM(H122:H122)</f>
        <v>-260</v>
      </c>
      <c r="Y122" s="32">
        <f>SUM(H122:I122)</f>
        <v>-260</v>
      </c>
      <c r="Z122" s="32">
        <f>SUM(H122:J122)</f>
        <v>-260</v>
      </c>
      <c r="AA122" s="32">
        <f t="shared" si="201"/>
        <v>-403</v>
      </c>
      <c r="AB122" s="32">
        <f t="shared" si="202"/>
        <v>-1077</v>
      </c>
      <c r="AC122" s="32">
        <f t="shared" si="203"/>
        <v>-3077</v>
      </c>
      <c r="AD122" s="32">
        <f t="shared" si="204"/>
        <v>-12279</v>
      </c>
      <c r="AE122" s="32">
        <f t="shared" si="205"/>
        <v>-19608</v>
      </c>
      <c r="AF122" s="32">
        <f t="shared" si="206"/>
        <v>-26764</v>
      </c>
      <c r="AG122" s="32">
        <f t="shared" si="207"/>
        <v>-24764</v>
      </c>
      <c r="AH122" s="32">
        <f t="shared" si="208"/>
        <v>-22312</v>
      </c>
      <c r="AI122" s="65"/>
      <c r="AJ122" s="76">
        <f t="shared" si="192"/>
        <v>0.81708608192849574</v>
      </c>
    </row>
    <row r="123" spans="2:36" ht="12.75" customHeight="1">
      <c r="B123" s="85" t="s">
        <v>167</v>
      </c>
      <c r="C123" s="83">
        <v>0</v>
      </c>
      <c r="D123" s="83">
        <v>0</v>
      </c>
      <c r="E123" s="83">
        <v>0</v>
      </c>
      <c r="F123" s="83">
        <v>0</v>
      </c>
      <c r="H123" s="83">
        <v>0</v>
      </c>
      <c r="I123" s="83">
        <v>0</v>
      </c>
      <c r="J123" s="83">
        <v>0</v>
      </c>
      <c r="K123" s="32">
        <f>SUM(E123-SUM(H123:J123))</f>
        <v>0</v>
      </c>
      <c r="L123" s="83">
        <v>0</v>
      </c>
      <c r="M123" s="83">
        <v>0</v>
      </c>
      <c r="N123" s="83">
        <v>0</v>
      </c>
      <c r="O123" s="32">
        <f>SUM(F123-SUM(L123:N123))</f>
        <v>0</v>
      </c>
      <c r="P123" s="83">
        <v>3980</v>
      </c>
      <c r="Q123" s="83">
        <f>3861-P123</f>
        <v>-119</v>
      </c>
      <c r="R123" s="83">
        <f>488 -Q123-P123</f>
        <v>-3373</v>
      </c>
      <c r="S123" s="32"/>
      <c r="T123" s="32" t="e">
        <f>SUM(#REF!)</f>
        <v>#REF!</v>
      </c>
      <c r="U123" s="32" t="e">
        <f>SUM(#REF!)</f>
        <v>#REF!</v>
      </c>
      <c r="V123" s="32" t="e">
        <f>SUM(#REF!)</f>
        <v>#REF!</v>
      </c>
      <c r="W123" s="32" t="e">
        <f>SUM(#REF!)</f>
        <v>#REF!</v>
      </c>
      <c r="X123" s="32">
        <f>SUM(H123:H123)</f>
        <v>0</v>
      </c>
      <c r="Y123" s="32">
        <f>SUM(H123:I123)</f>
        <v>0</v>
      </c>
      <c r="Z123" s="32">
        <f>SUM(H123:J123)</f>
        <v>0</v>
      </c>
      <c r="AA123" s="32">
        <f t="shared" ref="AA123" si="209">SUM(H123:K123)</f>
        <v>0</v>
      </c>
      <c r="AB123" s="32">
        <f t="shared" ref="AB123" si="210">SUM(I123:L123)</f>
        <v>0</v>
      </c>
      <c r="AC123" s="32">
        <f t="shared" ref="AC123" si="211">SUM(J123:M123)</f>
        <v>0</v>
      </c>
      <c r="AD123" s="32">
        <f t="shared" ref="AD123" si="212">SUM(K123:N123)</f>
        <v>0</v>
      </c>
      <c r="AE123" s="32">
        <f t="shared" ref="AE123" si="213">SUM(L123:O123)</f>
        <v>0</v>
      </c>
      <c r="AF123" s="32">
        <f t="shared" ref="AF123" si="214">SUM(M123:P123)</f>
        <v>3980</v>
      </c>
      <c r="AG123" s="32">
        <f t="shared" ref="AG123" si="215">SUM(N123:Q123)</f>
        <v>3861</v>
      </c>
      <c r="AH123" s="32">
        <f t="shared" ref="AH123" si="216">SUM(O123:R123)</f>
        <v>488</v>
      </c>
      <c r="AI123" s="65"/>
      <c r="AJ123" s="76" t="e">
        <f t="shared" ref="AJ123" si="217">SUM(AH123/AD123)-1</f>
        <v>#DIV/0!</v>
      </c>
    </row>
    <row r="124" spans="2:36" ht="12.75" customHeight="1">
      <c r="B124" s="85" t="s">
        <v>156</v>
      </c>
      <c r="C124" s="83">
        <v>-6212</v>
      </c>
      <c r="D124" s="83">
        <v>-7032</v>
      </c>
      <c r="E124" s="83">
        <v>-7645</v>
      </c>
      <c r="F124" s="83">
        <v>-9814</v>
      </c>
      <c r="H124" s="83">
        <v>-1926</v>
      </c>
      <c r="I124" s="83">
        <f>-3840-H124</f>
        <v>-1914</v>
      </c>
      <c r="J124" s="83">
        <f>-5741-I124-H124</f>
        <v>-1901</v>
      </c>
      <c r="K124" s="32">
        <f>SUM(E124-SUM(H124:J124))</f>
        <v>-1904</v>
      </c>
      <c r="L124" s="83">
        <v>-2435</v>
      </c>
      <c r="M124" s="83">
        <f>-4878-L124</f>
        <v>-2443</v>
      </c>
      <c r="N124" s="83">
        <f>-7330-M124-L124</f>
        <v>-2452</v>
      </c>
      <c r="O124" s="32">
        <f>SUM(F124-SUM(L124:N124))</f>
        <v>-2484</v>
      </c>
      <c r="P124" s="83">
        <v>-2774</v>
      </c>
      <c r="Q124" s="83">
        <f>-5559-P124</f>
        <v>-2785</v>
      </c>
      <c r="R124" s="83">
        <f>-8345-Q124-P124</f>
        <v>-2786</v>
      </c>
      <c r="S124" s="32"/>
      <c r="T124" s="32" t="e">
        <f>SUM(#REF!)</f>
        <v>#REF!</v>
      </c>
      <c r="U124" s="32" t="e">
        <f>SUM(#REF!)</f>
        <v>#REF!</v>
      </c>
      <c r="V124" s="32" t="e">
        <f>SUM(#REF!)</f>
        <v>#REF!</v>
      </c>
      <c r="W124" s="32" t="e">
        <f>SUM(#REF!)</f>
        <v>#REF!</v>
      </c>
      <c r="X124" s="32">
        <f>SUM(H124:H124)</f>
        <v>-1926</v>
      </c>
      <c r="Y124" s="32">
        <f>SUM(H124:I124)</f>
        <v>-3840</v>
      </c>
      <c r="Z124" s="32">
        <f>SUM(H124:J124)</f>
        <v>-5741</v>
      </c>
      <c r="AA124" s="32">
        <f t="shared" si="201"/>
        <v>-7645</v>
      </c>
      <c r="AB124" s="32">
        <f t="shared" si="202"/>
        <v>-8154</v>
      </c>
      <c r="AC124" s="32">
        <f t="shared" si="203"/>
        <v>-8683</v>
      </c>
      <c r="AD124" s="32">
        <f t="shared" si="204"/>
        <v>-9234</v>
      </c>
      <c r="AE124" s="32">
        <f t="shared" si="205"/>
        <v>-9814</v>
      </c>
      <c r="AF124" s="32">
        <f t="shared" si="206"/>
        <v>-10153</v>
      </c>
      <c r="AG124" s="32">
        <f t="shared" si="207"/>
        <v>-10495</v>
      </c>
      <c r="AH124" s="32">
        <f t="shared" si="208"/>
        <v>-10829</v>
      </c>
      <c r="AI124" s="65"/>
      <c r="AJ124" s="76">
        <f t="shared" si="192"/>
        <v>0.17273121074290665</v>
      </c>
    </row>
    <row r="125" spans="2:36" ht="12.75" customHeight="1">
      <c r="B125" s="85" t="s">
        <v>157</v>
      </c>
      <c r="C125" s="83">
        <v>0</v>
      </c>
      <c r="D125" s="83">
        <v>-7000</v>
      </c>
      <c r="E125" s="83">
        <v>-5824</v>
      </c>
      <c r="F125" s="83">
        <v>-7176</v>
      </c>
      <c r="H125" s="83">
        <v>-1188</v>
      </c>
      <c r="I125" s="83">
        <f>-3994-H125</f>
        <v>-2806</v>
      </c>
      <c r="J125" s="83">
        <f>-5701-I125-H125</f>
        <v>-1707</v>
      </c>
      <c r="K125" s="32">
        <f>SUM(E125-SUM(H125:J125))</f>
        <v>-123</v>
      </c>
      <c r="L125" s="83">
        <v>-7176</v>
      </c>
      <c r="M125" s="83">
        <f>-7176-L125</f>
        <v>0</v>
      </c>
      <c r="N125" s="83">
        <f>-7176-M125-L125</f>
        <v>0</v>
      </c>
      <c r="O125" s="32">
        <f>SUM(F125-SUM(L125:N125))</f>
        <v>0</v>
      </c>
      <c r="P125" s="83">
        <v>0</v>
      </c>
      <c r="Q125" s="83">
        <f>-2450-P125</f>
        <v>-2450</v>
      </c>
      <c r="R125" s="83">
        <f>-2450-Q125-P125</f>
        <v>0</v>
      </c>
      <c r="S125" s="32"/>
      <c r="T125" s="32" t="e">
        <f>SUM(#REF!)</f>
        <v>#REF!</v>
      </c>
      <c r="U125" s="32" t="e">
        <f>SUM(#REF!)</f>
        <v>#REF!</v>
      </c>
      <c r="V125" s="32" t="e">
        <f>SUM(#REF!)</f>
        <v>#REF!</v>
      </c>
      <c r="W125" s="32" t="e">
        <f>SUM(#REF!)</f>
        <v>#REF!</v>
      </c>
      <c r="X125" s="32">
        <f>SUM(H125:H125)</f>
        <v>-1188</v>
      </c>
      <c r="Y125" s="32">
        <f>SUM(H125:I125)</f>
        <v>-3994</v>
      </c>
      <c r="Z125" s="32">
        <f>SUM(H125:J125)</f>
        <v>-5701</v>
      </c>
      <c r="AA125" s="32">
        <f t="shared" si="201"/>
        <v>-5824</v>
      </c>
      <c r="AB125" s="32">
        <f t="shared" si="202"/>
        <v>-11812</v>
      </c>
      <c r="AC125" s="32">
        <f t="shared" si="203"/>
        <v>-9006</v>
      </c>
      <c r="AD125" s="32">
        <f t="shared" si="204"/>
        <v>-7299</v>
      </c>
      <c r="AE125" s="32">
        <f t="shared" si="205"/>
        <v>-7176</v>
      </c>
      <c r="AF125" s="32">
        <f t="shared" si="206"/>
        <v>0</v>
      </c>
      <c r="AG125" s="32">
        <f t="shared" si="207"/>
        <v>-2450</v>
      </c>
      <c r="AH125" s="32">
        <f t="shared" si="208"/>
        <v>-2450</v>
      </c>
      <c r="AI125" s="65"/>
      <c r="AJ125" s="76">
        <f t="shared" si="192"/>
        <v>-0.66433758049047809</v>
      </c>
    </row>
    <row r="126" spans="2:36" ht="12.75" customHeight="1">
      <c r="B126" s="85" t="s">
        <v>158</v>
      </c>
      <c r="C126" s="83">
        <v>-1299</v>
      </c>
      <c r="D126" s="83">
        <v>-1455</v>
      </c>
      <c r="E126" s="83">
        <v>-1861</v>
      </c>
      <c r="F126" s="83">
        <v>-5216</v>
      </c>
      <c r="H126" s="83">
        <v>-333</v>
      </c>
      <c r="I126" s="83">
        <f>-947-H126</f>
        <v>-614</v>
      </c>
      <c r="J126" s="83">
        <f>-1407-I126-H126</f>
        <v>-460</v>
      </c>
      <c r="K126" s="32">
        <f>SUM(E126-SUM(H126:J126))</f>
        <v>-454</v>
      </c>
      <c r="L126" s="83">
        <v>-1114</v>
      </c>
      <c r="M126" s="83">
        <f>-2662-L126</f>
        <v>-1548</v>
      </c>
      <c r="N126" s="83">
        <f>-4012-M126-L126</f>
        <v>-1350</v>
      </c>
      <c r="O126" s="32">
        <f>SUM(F126-SUM(L126:N126))</f>
        <v>-1204</v>
      </c>
      <c r="P126" s="83">
        <v>-2036</v>
      </c>
      <c r="Q126" s="83">
        <f>-3802-P126</f>
        <v>-1766</v>
      </c>
      <c r="R126" s="83">
        <f>-3860-Q126-P126</f>
        <v>-58</v>
      </c>
      <c r="S126" s="32"/>
      <c r="T126" s="32" t="e">
        <f>SUM(#REF!)</f>
        <v>#REF!</v>
      </c>
      <c r="U126" s="32" t="e">
        <f>SUM(#REF!)</f>
        <v>#REF!</v>
      </c>
      <c r="V126" s="32" t="e">
        <f>SUM(#REF!)</f>
        <v>#REF!</v>
      </c>
      <c r="W126" s="32" t="e">
        <f>SUM(#REF!)</f>
        <v>#REF!</v>
      </c>
      <c r="X126" s="32">
        <f>SUM(H126:H126)</f>
        <v>-333</v>
      </c>
      <c r="Y126" s="32">
        <f>SUM(H126:I126)</f>
        <v>-947</v>
      </c>
      <c r="Z126" s="32">
        <f>SUM(H126:J126)</f>
        <v>-1407</v>
      </c>
      <c r="AA126" s="32">
        <f t="shared" si="201"/>
        <v>-1861</v>
      </c>
      <c r="AB126" s="32">
        <f t="shared" si="202"/>
        <v>-2642</v>
      </c>
      <c r="AC126" s="32">
        <f t="shared" si="203"/>
        <v>-3576</v>
      </c>
      <c r="AD126" s="32">
        <f t="shared" si="204"/>
        <v>-4466</v>
      </c>
      <c r="AE126" s="32">
        <f t="shared" si="205"/>
        <v>-5216</v>
      </c>
      <c r="AF126" s="32">
        <f t="shared" si="206"/>
        <v>-6138</v>
      </c>
      <c r="AG126" s="32">
        <f t="shared" si="207"/>
        <v>-6356</v>
      </c>
      <c r="AH126" s="32">
        <f t="shared" si="208"/>
        <v>-5064</v>
      </c>
      <c r="AI126" s="65"/>
      <c r="AJ126" s="76">
        <f t="shared" si="192"/>
        <v>0.13390058217644429</v>
      </c>
    </row>
    <row r="127" spans="2:36" ht="12.75" customHeight="1">
      <c r="B127" s="85" t="s">
        <v>159</v>
      </c>
      <c r="C127" s="83">
        <v>170</v>
      </c>
      <c r="D127" s="83">
        <v>114</v>
      </c>
      <c r="E127" s="83">
        <v>122</v>
      </c>
      <c r="F127" s="83">
        <v>190</v>
      </c>
      <c r="H127" s="83">
        <v>0</v>
      </c>
      <c r="I127" s="83">
        <f>63-H127</f>
        <v>63</v>
      </c>
      <c r="J127" s="83">
        <f>63-I127-H127</f>
        <v>0</v>
      </c>
      <c r="K127" s="32">
        <f>SUM(E127-SUM(H127:J127))</f>
        <v>59</v>
      </c>
      <c r="L127" s="83">
        <v>0</v>
      </c>
      <c r="M127" s="83">
        <f>64-L127</f>
        <v>64</v>
      </c>
      <c r="N127" s="83">
        <f>64-M127-L127</f>
        <v>0</v>
      </c>
      <c r="O127" s="32">
        <f>SUM(F127-SUM(L127:N127))</f>
        <v>126</v>
      </c>
      <c r="P127" s="83">
        <v>0</v>
      </c>
      <c r="Q127" s="83">
        <f>118-P127</f>
        <v>118</v>
      </c>
      <c r="R127" s="83">
        <f>118 -Q127-P127</f>
        <v>0</v>
      </c>
      <c r="S127" s="32"/>
      <c r="T127" s="32" t="e">
        <f>SUM(#REF!)</f>
        <v>#REF!</v>
      </c>
      <c r="U127" s="32" t="e">
        <f>SUM(#REF!)</f>
        <v>#REF!</v>
      </c>
      <c r="V127" s="32" t="e">
        <f>SUM(#REF!)</f>
        <v>#REF!</v>
      </c>
      <c r="W127" s="32" t="e">
        <f>SUM(#REF!)</f>
        <v>#REF!</v>
      </c>
      <c r="X127" s="32">
        <f>SUM(H127:H127)</f>
        <v>0</v>
      </c>
      <c r="Y127" s="32">
        <f>SUM(H127:I127)</f>
        <v>63</v>
      </c>
      <c r="Z127" s="32">
        <f>SUM(H127:J127)</f>
        <v>63</v>
      </c>
      <c r="AA127" s="32">
        <f t="shared" si="201"/>
        <v>122</v>
      </c>
      <c r="AB127" s="32">
        <f t="shared" si="202"/>
        <v>122</v>
      </c>
      <c r="AC127" s="32">
        <f t="shared" si="203"/>
        <v>123</v>
      </c>
      <c r="AD127" s="32">
        <f t="shared" si="204"/>
        <v>123</v>
      </c>
      <c r="AE127" s="32">
        <f t="shared" si="205"/>
        <v>190</v>
      </c>
      <c r="AF127" s="32">
        <f t="shared" si="206"/>
        <v>190</v>
      </c>
      <c r="AG127" s="32">
        <f t="shared" si="207"/>
        <v>244</v>
      </c>
      <c r="AH127" s="32">
        <f t="shared" si="208"/>
        <v>244</v>
      </c>
      <c r="AI127" s="65"/>
      <c r="AJ127" s="76">
        <f t="shared" si="192"/>
        <v>0.9837398373983739</v>
      </c>
    </row>
    <row r="128" spans="2:36" ht="12.75" customHeight="1">
      <c r="B128" s="85" t="s">
        <v>146</v>
      </c>
      <c r="C128" s="83">
        <v>-42</v>
      </c>
      <c r="D128" s="83">
        <v>-17</v>
      </c>
      <c r="E128" s="83">
        <v>-12</v>
      </c>
      <c r="F128" s="83">
        <v>-63</v>
      </c>
      <c r="H128" s="83">
        <v>5</v>
      </c>
      <c r="I128" s="83">
        <f>-2-H128</f>
        <v>-7</v>
      </c>
      <c r="J128" s="83">
        <f>-7-I128-H128</f>
        <v>-5</v>
      </c>
      <c r="K128" s="32">
        <f>SUM(E128-SUM(H128:J128))</f>
        <v>-5</v>
      </c>
      <c r="L128" s="83">
        <v>-14</v>
      </c>
      <c r="M128" s="83">
        <f>-16-L128</f>
        <v>-2</v>
      </c>
      <c r="N128" s="83">
        <f>-52-M128-L128</f>
        <v>-36</v>
      </c>
      <c r="O128" s="32">
        <f>SUM(F128-SUM(L128:N128))</f>
        <v>-11</v>
      </c>
      <c r="P128" s="83">
        <v>-46</v>
      </c>
      <c r="Q128" s="83">
        <f>-50-P128</f>
        <v>-4</v>
      </c>
      <c r="R128" s="83">
        <f>-57-Q128-P128</f>
        <v>-7</v>
      </c>
      <c r="S128" s="32"/>
      <c r="T128" s="32" t="e">
        <f>SUM(#REF!)</f>
        <v>#REF!</v>
      </c>
      <c r="U128" s="32" t="e">
        <f>SUM(#REF!)</f>
        <v>#REF!</v>
      </c>
      <c r="V128" s="32" t="e">
        <f>SUM(#REF!)</f>
        <v>#REF!</v>
      </c>
      <c r="W128" s="32" t="e">
        <f>SUM(#REF!)</f>
        <v>#REF!</v>
      </c>
      <c r="X128" s="32">
        <f>SUM(H128:H128)</f>
        <v>5</v>
      </c>
      <c r="Y128" s="32">
        <f>SUM(H128:I128)</f>
        <v>-2</v>
      </c>
      <c r="Z128" s="32">
        <f>SUM(H128:J128)</f>
        <v>-7</v>
      </c>
      <c r="AA128" s="32">
        <f t="shared" si="201"/>
        <v>-12</v>
      </c>
      <c r="AB128" s="32">
        <f t="shared" si="202"/>
        <v>-31</v>
      </c>
      <c r="AC128" s="32">
        <f t="shared" si="203"/>
        <v>-26</v>
      </c>
      <c r="AD128" s="32">
        <f t="shared" si="204"/>
        <v>-57</v>
      </c>
      <c r="AE128" s="32">
        <f t="shared" si="205"/>
        <v>-63</v>
      </c>
      <c r="AF128" s="32">
        <f t="shared" si="206"/>
        <v>-95</v>
      </c>
      <c r="AG128" s="32">
        <f t="shared" si="207"/>
        <v>-97</v>
      </c>
      <c r="AH128" s="32">
        <f t="shared" si="208"/>
        <v>-68</v>
      </c>
      <c r="AI128" s="65"/>
      <c r="AJ128" s="76">
        <f t="shared" si="192"/>
        <v>0.19298245614035081</v>
      </c>
    </row>
    <row r="129" spans="2:36" ht="12.75" customHeight="1">
      <c r="B129" s="13" t="s">
        <v>59</v>
      </c>
      <c r="C129" s="14">
        <f t="shared" ref="C129:F129" si="218">SUM(C121:C128)</f>
        <v>-8974</v>
      </c>
      <c r="D129" s="14">
        <f t="shared" si="218"/>
        <v>-15816</v>
      </c>
      <c r="E129" s="14">
        <f t="shared" si="218"/>
        <v>-15623</v>
      </c>
      <c r="F129" s="14">
        <f t="shared" si="218"/>
        <v>-1733</v>
      </c>
      <c r="G129" s="32"/>
      <c r="H129" s="14">
        <f t="shared" ref="H129:R129" si="219">SUM(H121:H128)</f>
        <v>-3702</v>
      </c>
      <c r="I129" s="14">
        <f t="shared" si="219"/>
        <v>-5278</v>
      </c>
      <c r="J129" s="14">
        <f t="shared" si="219"/>
        <v>-4073</v>
      </c>
      <c r="K129" s="14">
        <f t="shared" si="219"/>
        <v>-2570</v>
      </c>
      <c r="L129" s="14">
        <f t="shared" si="219"/>
        <v>18337</v>
      </c>
      <c r="M129" s="14">
        <f t="shared" si="219"/>
        <v>-5929</v>
      </c>
      <c r="N129" s="14">
        <f t="shared" si="219"/>
        <v>-8065</v>
      </c>
      <c r="O129" s="14">
        <f t="shared" si="219"/>
        <v>-6076</v>
      </c>
      <c r="P129" s="14">
        <f t="shared" si="219"/>
        <v>-5980</v>
      </c>
      <c r="Q129" s="14">
        <f t="shared" si="219"/>
        <v>-6257</v>
      </c>
      <c r="R129" s="14">
        <f t="shared" si="219"/>
        <v>-6014</v>
      </c>
      <c r="S129" s="32"/>
      <c r="T129" s="14" t="e">
        <f t="shared" ref="T129:AH129" si="220">SUM(T121:T128)</f>
        <v>#REF!</v>
      </c>
      <c r="U129" s="14" t="e">
        <f t="shared" si="220"/>
        <v>#REF!</v>
      </c>
      <c r="V129" s="14" t="e">
        <f t="shared" si="220"/>
        <v>#REF!</v>
      </c>
      <c r="W129" s="14" t="e">
        <f t="shared" si="220"/>
        <v>#REF!</v>
      </c>
      <c r="X129" s="14">
        <f t="shared" si="220"/>
        <v>-3702</v>
      </c>
      <c r="Y129" s="14">
        <f t="shared" si="220"/>
        <v>-8980</v>
      </c>
      <c r="Z129" s="14">
        <f t="shared" si="220"/>
        <v>-13053</v>
      </c>
      <c r="AA129" s="14">
        <f t="shared" si="220"/>
        <v>-15623</v>
      </c>
      <c r="AB129" s="14">
        <f t="shared" si="220"/>
        <v>6416</v>
      </c>
      <c r="AC129" s="14">
        <f t="shared" si="220"/>
        <v>5765</v>
      </c>
      <c r="AD129" s="14">
        <f t="shared" si="220"/>
        <v>1773</v>
      </c>
      <c r="AE129" s="14">
        <f t="shared" si="220"/>
        <v>-1733</v>
      </c>
      <c r="AF129" s="14">
        <f t="shared" si="220"/>
        <v>-26050</v>
      </c>
      <c r="AG129" s="14">
        <f t="shared" si="220"/>
        <v>-26378</v>
      </c>
      <c r="AH129" s="14">
        <f t="shared" si="220"/>
        <v>-24327</v>
      </c>
      <c r="AI129" s="42"/>
      <c r="AJ129" s="77">
        <f t="shared" si="192"/>
        <v>-14.720812182741117</v>
      </c>
    </row>
    <row r="130" spans="2:36" ht="5.0999999999999996" customHeight="1">
      <c r="B130" s="8"/>
      <c r="C130" s="66"/>
      <c r="D130" s="66"/>
      <c r="E130" s="66"/>
      <c r="F130" s="66"/>
      <c r="G130" s="32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46"/>
    </row>
    <row r="131" spans="2:36" ht="5.0999999999999996" customHeight="1">
      <c r="B131" s="7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11"/>
      <c r="AJ131" s="46"/>
    </row>
    <row r="132" spans="2:36">
      <c r="B132" s="94" t="s">
        <v>89</v>
      </c>
      <c r="C132" s="95">
        <v>7618</v>
      </c>
      <c r="D132" s="95">
        <f t="shared" ref="D132:F132" si="221">C139</f>
        <v>12163</v>
      </c>
      <c r="E132" s="95">
        <f t="shared" si="221"/>
        <v>12416</v>
      </c>
      <c r="F132" s="95">
        <f t="shared" si="221"/>
        <v>14189</v>
      </c>
      <c r="G132" s="95"/>
      <c r="H132" s="95">
        <f>E134</f>
        <v>12416</v>
      </c>
      <c r="I132" s="95">
        <f t="shared" ref="I132:R132" si="222">H139</f>
        <v>12647</v>
      </c>
      <c r="J132" s="95">
        <f t="shared" si="222"/>
        <v>11553</v>
      </c>
      <c r="K132" s="95">
        <f t="shared" si="222"/>
        <v>12055</v>
      </c>
      <c r="L132" s="95">
        <f t="shared" si="222"/>
        <v>14189</v>
      </c>
      <c r="M132" s="95">
        <f t="shared" si="222"/>
        <v>11864</v>
      </c>
      <c r="N132" s="95">
        <f t="shared" si="222"/>
        <v>9809</v>
      </c>
      <c r="O132" s="95">
        <f t="shared" si="222"/>
        <v>9952</v>
      </c>
      <c r="P132" s="95">
        <f t="shared" si="222"/>
        <v>9348</v>
      </c>
      <c r="Q132" s="95">
        <f t="shared" si="222"/>
        <v>9307</v>
      </c>
      <c r="R132" s="95">
        <f t="shared" si="222"/>
        <v>9472</v>
      </c>
      <c r="S132" s="95"/>
      <c r="T132" s="95" t="e">
        <f>#REF!</f>
        <v>#REF!</v>
      </c>
      <c r="U132" s="95" t="e">
        <f>#REF!</f>
        <v>#REF!</v>
      </c>
      <c r="V132" s="95" t="e">
        <f>#REF!</f>
        <v>#REF!</v>
      </c>
      <c r="W132" s="95" t="e">
        <f>#REF!</f>
        <v>#REF!</v>
      </c>
      <c r="X132" s="95" t="e">
        <f>#REF!</f>
        <v>#REF!</v>
      </c>
      <c r="Y132" s="95" t="e">
        <f>#REF!</f>
        <v>#REF!</v>
      </c>
      <c r="Z132" s="95" t="e">
        <f>#REF!</f>
        <v>#REF!</v>
      </c>
      <c r="AA132" s="95" t="e">
        <f>#REF!</f>
        <v>#REF!</v>
      </c>
      <c r="AB132" s="95">
        <f t="shared" ref="AB132:AH132" si="223">H139</f>
        <v>12647</v>
      </c>
      <c r="AC132" s="95">
        <f t="shared" si="223"/>
        <v>11553</v>
      </c>
      <c r="AD132" s="95">
        <f t="shared" si="223"/>
        <v>12055</v>
      </c>
      <c r="AE132" s="95">
        <f t="shared" si="223"/>
        <v>14189</v>
      </c>
      <c r="AF132" s="95">
        <f t="shared" si="223"/>
        <v>11864</v>
      </c>
      <c r="AG132" s="95">
        <f t="shared" si="223"/>
        <v>9809</v>
      </c>
      <c r="AH132" s="147">
        <f t="shared" si="223"/>
        <v>9952</v>
      </c>
      <c r="AI132" s="11"/>
      <c r="AJ132" s="46"/>
    </row>
    <row r="133" spans="2:36">
      <c r="B133" s="134" t="s">
        <v>108</v>
      </c>
      <c r="C133" s="32">
        <v>0</v>
      </c>
      <c r="D133" s="32">
        <f t="shared" ref="D133:F133" si="224">-C137</f>
        <v>0</v>
      </c>
      <c r="E133" s="32">
        <f t="shared" si="224"/>
        <v>0</v>
      </c>
      <c r="F133" s="32">
        <f t="shared" si="224"/>
        <v>0</v>
      </c>
      <c r="G133" s="32"/>
      <c r="H133" s="32">
        <v>0</v>
      </c>
      <c r="I133" s="32">
        <f t="shared" ref="I133:R133" si="225">-H137</f>
        <v>0</v>
      </c>
      <c r="J133" s="32">
        <f t="shared" si="225"/>
        <v>0</v>
      </c>
      <c r="K133" s="32">
        <f t="shared" si="225"/>
        <v>0</v>
      </c>
      <c r="L133" s="32">
        <f t="shared" si="225"/>
        <v>0</v>
      </c>
      <c r="M133" s="32">
        <f t="shared" si="225"/>
        <v>0</v>
      </c>
      <c r="N133" s="32">
        <f t="shared" si="225"/>
        <v>0</v>
      </c>
      <c r="O133" s="32">
        <f t="shared" si="225"/>
        <v>0</v>
      </c>
      <c r="P133" s="32">
        <f t="shared" si="225"/>
        <v>0</v>
      </c>
      <c r="Q133" s="32">
        <f t="shared" si="225"/>
        <v>0</v>
      </c>
      <c r="R133" s="32">
        <f t="shared" si="225"/>
        <v>0</v>
      </c>
      <c r="S133" s="32"/>
      <c r="T133" s="32" t="e">
        <f>-#REF!</f>
        <v>#REF!</v>
      </c>
      <c r="U133" s="32" t="e">
        <f>-#REF!</f>
        <v>#REF!</v>
      </c>
      <c r="V133" s="32" t="e">
        <f>-#REF!</f>
        <v>#REF!</v>
      </c>
      <c r="W133" s="32" t="e">
        <f>-#REF!</f>
        <v>#REF!</v>
      </c>
      <c r="X133" s="32" t="e">
        <f>-#REF!</f>
        <v>#REF!</v>
      </c>
      <c r="Y133" s="32" t="e">
        <f>-#REF!</f>
        <v>#REF!</v>
      </c>
      <c r="Z133" s="32" t="e">
        <f>-#REF!</f>
        <v>#REF!</v>
      </c>
      <c r="AA133" s="32" t="e">
        <f>-#REF!</f>
        <v>#REF!</v>
      </c>
      <c r="AB133" s="32">
        <f t="shared" ref="AB133:AH133" si="226">-H137</f>
        <v>0</v>
      </c>
      <c r="AC133" s="32">
        <f t="shared" si="226"/>
        <v>0</v>
      </c>
      <c r="AD133" s="32">
        <f t="shared" si="226"/>
        <v>0</v>
      </c>
      <c r="AE133" s="32">
        <f t="shared" si="226"/>
        <v>0</v>
      </c>
      <c r="AF133" s="32">
        <f t="shared" si="226"/>
        <v>0</v>
      </c>
      <c r="AG133" s="32">
        <f t="shared" si="226"/>
        <v>0</v>
      </c>
      <c r="AH133" s="139">
        <f t="shared" si="226"/>
        <v>0</v>
      </c>
      <c r="AI133" s="11"/>
      <c r="AJ133" s="46"/>
    </row>
    <row r="134" spans="2:36">
      <c r="B134" s="91" t="s">
        <v>74</v>
      </c>
      <c r="C134" s="87">
        <f t="shared" ref="C134:F134" si="227">SUM(C132:C133)</f>
        <v>7618</v>
      </c>
      <c r="D134" s="87">
        <f t="shared" si="227"/>
        <v>12163</v>
      </c>
      <c r="E134" s="87">
        <f t="shared" si="227"/>
        <v>12416</v>
      </c>
      <c r="F134" s="87">
        <f t="shared" si="227"/>
        <v>14189</v>
      </c>
      <c r="G134" s="32"/>
      <c r="H134" s="87">
        <f t="shared" ref="H134:R134" si="228">SUM(H132:H133)</f>
        <v>12416</v>
      </c>
      <c r="I134" s="87">
        <f t="shared" si="228"/>
        <v>12647</v>
      </c>
      <c r="J134" s="87">
        <f t="shared" si="228"/>
        <v>11553</v>
      </c>
      <c r="K134" s="87">
        <f t="shared" si="228"/>
        <v>12055</v>
      </c>
      <c r="L134" s="87">
        <f t="shared" si="228"/>
        <v>14189</v>
      </c>
      <c r="M134" s="87">
        <f t="shared" si="228"/>
        <v>11864</v>
      </c>
      <c r="N134" s="87">
        <f t="shared" si="228"/>
        <v>9809</v>
      </c>
      <c r="O134" s="87">
        <f t="shared" si="228"/>
        <v>9952</v>
      </c>
      <c r="P134" s="87">
        <f t="shared" si="228"/>
        <v>9348</v>
      </c>
      <c r="Q134" s="87">
        <f t="shared" si="228"/>
        <v>9307</v>
      </c>
      <c r="R134" s="87">
        <f t="shared" si="228"/>
        <v>9472</v>
      </c>
      <c r="S134" s="32"/>
      <c r="T134" s="137" t="e">
        <f t="shared" ref="T134:AH134" si="229">SUM(T132:T133)</f>
        <v>#REF!</v>
      </c>
      <c r="U134" s="137" t="e">
        <f t="shared" si="229"/>
        <v>#REF!</v>
      </c>
      <c r="V134" s="137" t="e">
        <f t="shared" si="229"/>
        <v>#REF!</v>
      </c>
      <c r="W134" s="137" t="e">
        <f t="shared" si="229"/>
        <v>#REF!</v>
      </c>
      <c r="X134" s="137" t="e">
        <f t="shared" si="229"/>
        <v>#REF!</v>
      </c>
      <c r="Y134" s="137" t="e">
        <f t="shared" si="229"/>
        <v>#REF!</v>
      </c>
      <c r="Z134" s="137" t="e">
        <f t="shared" si="229"/>
        <v>#REF!</v>
      </c>
      <c r="AA134" s="137" t="e">
        <f t="shared" si="229"/>
        <v>#REF!</v>
      </c>
      <c r="AB134" s="137">
        <f t="shared" si="229"/>
        <v>12647</v>
      </c>
      <c r="AC134" s="137">
        <f t="shared" si="229"/>
        <v>11553</v>
      </c>
      <c r="AD134" s="137">
        <f t="shared" si="229"/>
        <v>12055</v>
      </c>
      <c r="AE134" s="137">
        <f t="shared" si="229"/>
        <v>14189</v>
      </c>
      <c r="AF134" s="137">
        <f t="shared" si="229"/>
        <v>11864</v>
      </c>
      <c r="AG134" s="137">
        <f t="shared" si="229"/>
        <v>9809</v>
      </c>
      <c r="AH134" s="140">
        <f t="shared" si="229"/>
        <v>9952</v>
      </c>
      <c r="AI134" s="11"/>
      <c r="AJ134" s="46"/>
    </row>
    <row r="135" spans="2:36" ht="5.0999999999999996" customHeight="1">
      <c r="B135" s="144"/>
      <c r="C135" s="72"/>
      <c r="D135" s="72"/>
      <c r="E135" s="72"/>
      <c r="F135" s="72"/>
      <c r="G135" s="3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3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141"/>
      <c r="AI135" s="11"/>
      <c r="AJ135" s="46"/>
    </row>
    <row r="136" spans="2:36">
      <c r="B136" s="134" t="s">
        <v>90</v>
      </c>
      <c r="C136" s="83">
        <v>0</v>
      </c>
      <c r="D136" s="83">
        <v>0</v>
      </c>
      <c r="E136" s="83">
        <v>0</v>
      </c>
      <c r="F136" s="83">
        <v>0</v>
      </c>
      <c r="G136" s="32"/>
      <c r="H136" s="83">
        <v>0</v>
      </c>
      <c r="I136" s="83">
        <v>0</v>
      </c>
      <c r="J136" s="83">
        <v>0</v>
      </c>
      <c r="K136" s="32">
        <f>SUM(E136-SUM(H136:J136))</f>
        <v>0</v>
      </c>
      <c r="L136" s="83">
        <v>0</v>
      </c>
      <c r="M136" s="83">
        <v>0</v>
      </c>
      <c r="N136" s="83">
        <v>0</v>
      </c>
      <c r="O136" s="32">
        <f>SUM(F136-SUM(L136:N136))</f>
        <v>0</v>
      </c>
      <c r="P136" s="83">
        <v>0</v>
      </c>
      <c r="Q136" s="83">
        <v>0</v>
      </c>
      <c r="R136" s="83">
        <v>0</v>
      </c>
      <c r="S136" s="32"/>
      <c r="T136" s="32" t="e">
        <f>SUM(#REF!)</f>
        <v>#REF!</v>
      </c>
      <c r="U136" s="32" t="e">
        <f>SUM(#REF!)</f>
        <v>#REF!</v>
      </c>
      <c r="V136" s="32" t="e">
        <f>SUM(#REF!)</f>
        <v>#REF!</v>
      </c>
      <c r="W136" s="32" t="e">
        <f>SUM(#REF!)</f>
        <v>#REF!</v>
      </c>
      <c r="X136" s="32">
        <f>SUM(H136:H136)</f>
        <v>0</v>
      </c>
      <c r="Y136" s="32">
        <f>SUM(H136:I136)</f>
        <v>0</v>
      </c>
      <c r="Z136" s="32">
        <f>SUM(H136:J136)</f>
        <v>0</v>
      </c>
      <c r="AA136" s="32">
        <f t="shared" ref="AA136:AH136" si="230">SUM(H136:K136)</f>
        <v>0</v>
      </c>
      <c r="AB136" s="32">
        <f t="shared" si="230"/>
        <v>0</v>
      </c>
      <c r="AC136" s="32">
        <f t="shared" si="230"/>
        <v>0</v>
      </c>
      <c r="AD136" s="32">
        <f t="shared" si="230"/>
        <v>0</v>
      </c>
      <c r="AE136" s="32">
        <f t="shared" si="230"/>
        <v>0</v>
      </c>
      <c r="AF136" s="32">
        <f t="shared" si="230"/>
        <v>0</v>
      </c>
      <c r="AG136" s="32">
        <f t="shared" si="230"/>
        <v>0</v>
      </c>
      <c r="AH136" s="139">
        <f t="shared" si="230"/>
        <v>0</v>
      </c>
      <c r="AI136" s="11"/>
      <c r="AJ136" s="46"/>
    </row>
    <row r="137" spans="2:36">
      <c r="B137" s="134" t="s">
        <v>107</v>
      </c>
      <c r="C137" s="83">
        <v>0</v>
      </c>
      <c r="D137" s="83">
        <v>0</v>
      </c>
      <c r="E137" s="83">
        <v>0</v>
      </c>
      <c r="F137" s="83">
        <v>0</v>
      </c>
      <c r="G137" s="32"/>
      <c r="H137" s="83">
        <v>0</v>
      </c>
      <c r="I137" s="83">
        <v>0</v>
      </c>
      <c r="J137" s="83">
        <v>0</v>
      </c>
      <c r="K137" s="32">
        <f>E137</f>
        <v>0</v>
      </c>
      <c r="L137" s="83">
        <v>0</v>
      </c>
      <c r="M137" s="83">
        <v>0</v>
      </c>
      <c r="N137" s="83">
        <v>0</v>
      </c>
      <c r="O137" s="32">
        <f>F137</f>
        <v>0</v>
      </c>
      <c r="P137" s="83">
        <v>0</v>
      </c>
      <c r="Q137" s="83">
        <v>0</v>
      </c>
      <c r="R137" s="83">
        <v>0</v>
      </c>
      <c r="S137" s="32"/>
      <c r="T137" s="32" t="e">
        <f>#REF!</f>
        <v>#REF!</v>
      </c>
      <c r="U137" s="32" t="e">
        <f>#REF!</f>
        <v>#REF!</v>
      </c>
      <c r="V137" s="32" t="e">
        <f>#REF!</f>
        <v>#REF!</v>
      </c>
      <c r="W137" s="32" t="e">
        <f>#REF!</f>
        <v>#REF!</v>
      </c>
      <c r="X137" s="32">
        <f t="shared" ref="X137:AH137" si="231">H137</f>
        <v>0</v>
      </c>
      <c r="Y137" s="32">
        <f t="shared" si="231"/>
        <v>0</v>
      </c>
      <c r="Z137" s="32">
        <f t="shared" si="231"/>
        <v>0</v>
      </c>
      <c r="AA137" s="32">
        <f t="shared" si="231"/>
        <v>0</v>
      </c>
      <c r="AB137" s="32">
        <f t="shared" si="231"/>
        <v>0</v>
      </c>
      <c r="AC137" s="32">
        <f t="shared" si="231"/>
        <v>0</v>
      </c>
      <c r="AD137" s="32">
        <f t="shared" si="231"/>
        <v>0</v>
      </c>
      <c r="AE137" s="32">
        <f t="shared" si="231"/>
        <v>0</v>
      </c>
      <c r="AF137" s="32">
        <f t="shared" si="231"/>
        <v>0</v>
      </c>
      <c r="AG137" s="32">
        <f t="shared" si="231"/>
        <v>0</v>
      </c>
      <c r="AH137" s="139">
        <f t="shared" si="231"/>
        <v>0</v>
      </c>
      <c r="AI137" s="11"/>
      <c r="AJ137" s="46"/>
    </row>
    <row r="138" spans="2:36">
      <c r="B138" s="134" t="s">
        <v>63</v>
      </c>
      <c r="C138" s="32">
        <f t="shared" ref="C138:F138" si="232">+C129+C118+C109</f>
        <v>4545</v>
      </c>
      <c r="D138" s="32">
        <f t="shared" si="232"/>
        <v>253</v>
      </c>
      <c r="E138" s="32">
        <f t="shared" si="232"/>
        <v>1773</v>
      </c>
      <c r="F138" s="32">
        <f t="shared" si="232"/>
        <v>-4841</v>
      </c>
      <c r="G138" s="32"/>
      <c r="H138" s="32">
        <f t="shared" ref="H138:R138" si="233">+H129+H118+H109</f>
        <v>231</v>
      </c>
      <c r="I138" s="32">
        <f t="shared" si="233"/>
        <v>-1094</v>
      </c>
      <c r="J138" s="32">
        <f t="shared" si="233"/>
        <v>502</v>
      </c>
      <c r="K138" s="32">
        <f t="shared" si="233"/>
        <v>2134</v>
      </c>
      <c r="L138" s="32">
        <f t="shared" si="233"/>
        <v>-2325</v>
      </c>
      <c r="M138" s="32">
        <f t="shared" si="233"/>
        <v>-2055</v>
      </c>
      <c r="N138" s="32">
        <f t="shared" si="233"/>
        <v>143</v>
      </c>
      <c r="O138" s="32">
        <f t="shared" si="233"/>
        <v>-604</v>
      </c>
      <c r="P138" s="32">
        <f t="shared" si="233"/>
        <v>-41</v>
      </c>
      <c r="Q138" s="32">
        <f t="shared" si="233"/>
        <v>165</v>
      </c>
      <c r="R138" s="32">
        <f t="shared" si="233"/>
        <v>1246</v>
      </c>
      <c r="S138" s="32"/>
      <c r="T138" s="32" t="e">
        <f>SUM(#REF!)</f>
        <v>#REF!</v>
      </c>
      <c r="U138" s="32" t="e">
        <f>SUM(#REF!)</f>
        <v>#REF!</v>
      </c>
      <c r="V138" s="32" t="e">
        <f>SUM(#REF!)</f>
        <v>#REF!</v>
      </c>
      <c r="W138" s="32" t="e">
        <f>SUM(#REF!)</f>
        <v>#REF!</v>
      </c>
      <c r="X138" s="32">
        <f>SUM(H138:H138)</f>
        <v>231</v>
      </c>
      <c r="Y138" s="32">
        <f>SUM(H138:I138)</f>
        <v>-863</v>
      </c>
      <c r="Z138" s="32">
        <f>SUM(H138:J138)</f>
        <v>-361</v>
      </c>
      <c r="AA138" s="32">
        <f t="shared" ref="AA138:AH138" si="234">SUM(H138:K138)</f>
        <v>1773</v>
      </c>
      <c r="AB138" s="32">
        <f t="shared" si="234"/>
        <v>-783</v>
      </c>
      <c r="AC138" s="32">
        <f t="shared" si="234"/>
        <v>-1744</v>
      </c>
      <c r="AD138" s="32">
        <f t="shared" si="234"/>
        <v>-2103</v>
      </c>
      <c r="AE138" s="32">
        <f t="shared" si="234"/>
        <v>-4841</v>
      </c>
      <c r="AF138" s="32">
        <f t="shared" si="234"/>
        <v>-2557</v>
      </c>
      <c r="AG138" s="32">
        <f t="shared" si="234"/>
        <v>-337</v>
      </c>
      <c r="AH138" s="139">
        <f t="shared" si="234"/>
        <v>766</v>
      </c>
      <c r="AI138" s="11"/>
      <c r="AJ138" s="46"/>
    </row>
    <row r="139" spans="2:36">
      <c r="B139" s="91" t="s">
        <v>75</v>
      </c>
      <c r="C139" s="87">
        <f t="shared" ref="C139:F139" si="235">SUM(C134:C138)</f>
        <v>12163</v>
      </c>
      <c r="D139" s="87">
        <f t="shared" si="235"/>
        <v>12416</v>
      </c>
      <c r="E139" s="87">
        <f t="shared" si="235"/>
        <v>14189</v>
      </c>
      <c r="F139" s="87">
        <f t="shared" si="235"/>
        <v>9348</v>
      </c>
      <c r="G139" s="32"/>
      <c r="H139" s="87">
        <f t="shared" ref="H139:R139" si="236">SUM(H134:H138)</f>
        <v>12647</v>
      </c>
      <c r="I139" s="87">
        <f t="shared" si="236"/>
        <v>11553</v>
      </c>
      <c r="J139" s="87">
        <f t="shared" si="236"/>
        <v>12055</v>
      </c>
      <c r="K139" s="87">
        <f t="shared" si="236"/>
        <v>14189</v>
      </c>
      <c r="L139" s="87">
        <f t="shared" si="236"/>
        <v>11864</v>
      </c>
      <c r="M139" s="87">
        <f t="shared" si="236"/>
        <v>9809</v>
      </c>
      <c r="N139" s="87">
        <f t="shared" si="236"/>
        <v>9952</v>
      </c>
      <c r="O139" s="87">
        <f t="shared" si="236"/>
        <v>9348</v>
      </c>
      <c r="P139" s="87">
        <f t="shared" si="236"/>
        <v>9307</v>
      </c>
      <c r="Q139" s="87">
        <f t="shared" si="236"/>
        <v>9472</v>
      </c>
      <c r="R139" s="87">
        <f t="shared" si="236"/>
        <v>10718</v>
      </c>
      <c r="S139" s="32"/>
      <c r="T139" s="138" t="e">
        <f t="shared" ref="T139:V139" si="237">SUM(T134:T138)</f>
        <v>#REF!</v>
      </c>
      <c r="U139" s="138" t="e">
        <f t="shared" si="237"/>
        <v>#REF!</v>
      </c>
      <c r="V139" s="138" t="e">
        <f t="shared" si="237"/>
        <v>#REF!</v>
      </c>
      <c r="W139" s="138" t="e">
        <f t="shared" ref="W139:AH139" si="238">SUM(W134:W138)</f>
        <v>#REF!</v>
      </c>
      <c r="X139" s="138" t="e">
        <f t="shared" si="238"/>
        <v>#REF!</v>
      </c>
      <c r="Y139" s="138" t="e">
        <f t="shared" si="238"/>
        <v>#REF!</v>
      </c>
      <c r="Z139" s="138" t="e">
        <f t="shared" si="238"/>
        <v>#REF!</v>
      </c>
      <c r="AA139" s="138" t="e">
        <f t="shared" si="238"/>
        <v>#REF!</v>
      </c>
      <c r="AB139" s="138">
        <f t="shared" si="238"/>
        <v>11864</v>
      </c>
      <c r="AC139" s="138">
        <f t="shared" si="238"/>
        <v>9809</v>
      </c>
      <c r="AD139" s="138">
        <f t="shared" si="238"/>
        <v>9952</v>
      </c>
      <c r="AE139" s="138">
        <f t="shared" si="238"/>
        <v>9348</v>
      </c>
      <c r="AF139" s="138">
        <f t="shared" si="238"/>
        <v>9307</v>
      </c>
      <c r="AG139" s="138">
        <f t="shared" si="238"/>
        <v>9472</v>
      </c>
      <c r="AH139" s="142">
        <f t="shared" si="238"/>
        <v>10718</v>
      </c>
      <c r="AI139" s="11"/>
      <c r="AJ139" s="46"/>
    </row>
    <row r="140" spans="2:36" ht="5.0999999999999996" customHeight="1">
      <c r="B140" s="92"/>
      <c r="C140" s="66"/>
      <c r="D140" s="66"/>
      <c r="E140" s="66"/>
      <c r="F140" s="66"/>
      <c r="G140" s="32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93"/>
      <c r="AI140" s="11"/>
      <c r="AJ140" s="46"/>
    </row>
    <row r="141" spans="2:36">
      <c r="B141" s="145" t="s">
        <v>98</v>
      </c>
      <c r="C141" s="89">
        <f>C139-C50</f>
        <v>0</v>
      </c>
      <c r="D141" s="89">
        <f>D139-D50</f>
        <v>0</v>
      </c>
      <c r="E141" s="89">
        <f>E139-E50</f>
        <v>0</v>
      </c>
      <c r="F141" s="89">
        <f>F139-F50</f>
        <v>0</v>
      </c>
      <c r="G141" s="90"/>
      <c r="H141" s="89">
        <f>H139-H50</f>
        <v>0</v>
      </c>
      <c r="I141" s="89">
        <f>I139-I50</f>
        <v>0</v>
      </c>
      <c r="J141" s="89">
        <f>J139-J50</f>
        <v>0</v>
      </c>
      <c r="K141" s="89">
        <f>K139-K50</f>
        <v>0</v>
      </c>
      <c r="L141" s="89">
        <f>L139-L50</f>
        <v>0</v>
      </c>
      <c r="M141" s="89">
        <f>M139-M50</f>
        <v>0</v>
      </c>
      <c r="N141" s="89">
        <f>N139-N50</f>
        <v>0</v>
      </c>
      <c r="O141" s="89">
        <f>O139-O50</f>
        <v>0</v>
      </c>
      <c r="P141" s="89">
        <f>P139-P50</f>
        <v>0</v>
      </c>
      <c r="Q141" s="89">
        <f>Q139-Q50</f>
        <v>0</v>
      </c>
      <c r="R141" s="89">
        <f>R139-R50</f>
        <v>0</v>
      </c>
      <c r="S141" s="89"/>
      <c r="T141" s="89" t="e">
        <f>T139-T50</f>
        <v>#REF!</v>
      </c>
      <c r="U141" s="89" t="e">
        <f>U139-U50</f>
        <v>#REF!</v>
      </c>
      <c r="V141" s="89" t="e">
        <f>V139-V50</f>
        <v>#REF!</v>
      </c>
      <c r="W141" s="89" t="e">
        <f>W139-W50</f>
        <v>#REF!</v>
      </c>
      <c r="X141" s="89" t="e">
        <f>X139-X50</f>
        <v>#REF!</v>
      </c>
      <c r="Y141" s="89" t="e">
        <f>Y139-Y50</f>
        <v>#REF!</v>
      </c>
      <c r="Z141" s="89" t="e">
        <f>Z139-Z50</f>
        <v>#REF!</v>
      </c>
      <c r="AA141" s="89" t="e">
        <f>AA139-AA50</f>
        <v>#REF!</v>
      </c>
      <c r="AB141" s="89">
        <f>AB139-AB50</f>
        <v>0</v>
      </c>
      <c r="AC141" s="89">
        <f>AC139-AC50</f>
        <v>0</v>
      </c>
      <c r="AD141" s="89">
        <f>AD139-AD50</f>
        <v>0</v>
      </c>
      <c r="AE141" s="89">
        <f>AE139-AE50</f>
        <v>0</v>
      </c>
      <c r="AF141" s="89">
        <f>AF139-AF50</f>
        <v>0</v>
      </c>
      <c r="AG141" s="89">
        <f>AG139-AG50</f>
        <v>0</v>
      </c>
      <c r="AH141" s="143">
        <f>AH139-AH50</f>
        <v>0</v>
      </c>
      <c r="AI141" s="11"/>
      <c r="AJ141" s="46"/>
    </row>
    <row r="142" spans="2:36" ht="5.0999999999999996" customHeight="1">
      <c r="B142" s="8"/>
      <c r="C142" s="66"/>
      <c r="D142" s="66"/>
      <c r="E142" s="66"/>
      <c r="F142" s="66"/>
      <c r="G142" s="32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46"/>
    </row>
    <row r="143" spans="2:36" ht="12.75" customHeight="1">
      <c r="B143" s="73" t="s">
        <v>64</v>
      </c>
      <c r="C143" s="63"/>
      <c r="D143" s="63"/>
      <c r="E143" s="63"/>
      <c r="F143" s="63"/>
      <c r="G143" s="11"/>
      <c r="H143" s="63"/>
      <c r="I143" s="63"/>
      <c r="J143" s="63"/>
      <c r="K143" s="63"/>
      <c r="L143" s="63"/>
      <c r="M143" s="63"/>
      <c r="N143" s="63"/>
      <c r="O143" s="63"/>
      <c r="P143" s="83"/>
      <c r="Q143" s="63"/>
      <c r="R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7"/>
      <c r="AJ143" s="46"/>
    </row>
    <row r="144" spans="2:36" ht="12.75" customHeight="1">
      <c r="B144" s="8" t="s">
        <v>160</v>
      </c>
      <c r="C144" s="83">
        <v>1565</v>
      </c>
      <c r="D144" s="83">
        <v>1386</v>
      </c>
      <c r="E144" s="83">
        <v>1503</v>
      </c>
      <c r="F144" s="83">
        <v>3250</v>
      </c>
      <c r="G144" s="11"/>
      <c r="H144" s="83">
        <v>361</v>
      </c>
      <c r="I144" s="83">
        <v>397</v>
      </c>
      <c r="J144" s="83">
        <v>348</v>
      </c>
      <c r="K144" s="32">
        <f t="shared" ref="K144:K145" si="239">SUM(E144-SUM(H144:J144))</f>
        <v>397</v>
      </c>
      <c r="L144" s="83">
        <v>750</v>
      </c>
      <c r="M144" s="83">
        <v>946</v>
      </c>
      <c r="N144" s="83">
        <v>816</v>
      </c>
      <c r="O144" s="32">
        <f t="shared" ref="O144:O145" si="240">SUM(F144-SUM(L144:N144))</f>
        <v>738</v>
      </c>
      <c r="P144" s="83">
        <v>671</v>
      </c>
      <c r="Q144" s="83">
        <v>700</v>
      </c>
      <c r="R144" s="83">
        <v>602</v>
      </c>
      <c r="T144" s="32" t="e">
        <f>SUM(#REF!)</f>
        <v>#REF!</v>
      </c>
      <c r="U144" s="32" t="e">
        <f>SUM(#REF!)</f>
        <v>#REF!</v>
      </c>
      <c r="V144" s="32" t="e">
        <f>SUM(#REF!)</f>
        <v>#REF!</v>
      </c>
      <c r="W144" s="32" t="e">
        <f>SUM(#REF!)</f>
        <v>#REF!</v>
      </c>
      <c r="X144" s="32">
        <f>SUM(H144:H144)</f>
        <v>361</v>
      </c>
      <c r="Y144" s="32">
        <f>SUM(H144:I144)</f>
        <v>758</v>
      </c>
      <c r="Z144" s="32">
        <f>SUM(H144:J144)</f>
        <v>1106</v>
      </c>
      <c r="AA144" s="32">
        <f t="shared" ref="AA144" si="241">SUM(H144:K144)</f>
        <v>1503</v>
      </c>
      <c r="AB144" s="32">
        <f t="shared" ref="AB144" si="242">SUM(I144:L144)</f>
        <v>1892</v>
      </c>
      <c r="AC144" s="32">
        <f t="shared" ref="AC144" si="243">SUM(J144:M144)</f>
        <v>2441</v>
      </c>
      <c r="AD144" s="32">
        <f t="shared" ref="AD144" si="244">SUM(K144:N144)</f>
        <v>2909</v>
      </c>
      <c r="AE144" s="32">
        <f t="shared" ref="AE144" si="245">SUM(L144:O144)</f>
        <v>3250</v>
      </c>
      <c r="AF144" s="32">
        <f t="shared" ref="AF144" si="246">SUM(M144:P144)</f>
        <v>3171</v>
      </c>
      <c r="AG144" s="32">
        <f t="shared" ref="AG144" si="247">SUM(N144:Q144)</f>
        <v>2925</v>
      </c>
      <c r="AH144" s="32">
        <f t="shared" ref="AH144" si="248">SUM(O144:R144)</f>
        <v>2711</v>
      </c>
      <c r="AI144" s="67"/>
      <c r="AJ144" s="46"/>
    </row>
    <row r="145" spans="2:36" ht="12.75" customHeight="1">
      <c r="B145" s="8" t="s">
        <v>161</v>
      </c>
      <c r="C145" s="83">
        <v>775</v>
      </c>
      <c r="D145" s="83">
        <v>908</v>
      </c>
      <c r="E145" s="83">
        <v>1782</v>
      </c>
      <c r="F145" s="83">
        <v>3155</v>
      </c>
      <c r="G145" s="32"/>
      <c r="H145" s="83">
        <v>273</v>
      </c>
      <c r="I145" s="83">
        <v>891</v>
      </c>
      <c r="J145" s="83">
        <v>427</v>
      </c>
      <c r="K145" s="32">
        <f t="shared" si="239"/>
        <v>191</v>
      </c>
      <c r="L145" s="83">
        <v>904</v>
      </c>
      <c r="M145" s="83">
        <v>834</v>
      </c>
      <c r="N145" s="83">
        <v>585</v>
      </c>
      <c r="O145" s="32">
        <f t="shared" si="240"/>
        <v>832</v>
      </c>
      <c r="P145" s="83">
        <v>404</v>
      </c>
      <c r="Q145" s="83">
        <v>608</v>
      </c>
      <c r="R145" s="83">
        <v>822</v>
      </c>
      <c r="S145" s="32"/>
      <c r="T145" s="32" t="e">
        <f>SUM(#REF!)</f>
        <v>#REF!</v>
      </c>
      <c r="U145" s="32" t="e">
        <f>SUM(#REF!)</f>
        <v>#REF!</v>
      </c>
      <c r="V145" s="32" t="e">
        <f>SUM(#REF!)</f>
        <v>#REF!</v>
      </c>
      <c r="W145" s="32" t="e">
        <f>SUM(#REF!)</f>
        <v>#REF!</v>
      </c>
      <c r="X145" s="32">
        <f>SUM(H145:H145)</f>
        <v>273</v>
      </c>
      <c r="Y145" s="32">
        <f>SUM(H145:I145)</f>
        <v>1164</v>
      </c>
      <c r="Z145" s="32">
        <f>SUM(H145:J145)</f>
        <v>1591</v>
      </c>
      <c r="AA145" s="32">
        <f t="shared" ref="AA145:AH145" si="249">SUM(H145:K145)</f>
        <v>1782</v>
      </c>
      <c r="AB145" s="32">
        <f t="shared" si="249"/>
        <v>2413</v>
      </c>
      <c r="AC145" s="32">
        <f t="shared" si="249"/>
        <v>2356</v>
      </c>
      <c r="AD145" s="32">
        <f t="shared" si="249"/>
        <v>2514</v>
      </c>
      <c r="AE145" s="32">
        <f t="shared" si="249"/>
        <v>3155</v>
      </c>
      <c r="AF145" s="32">
        <f t="shared" si="249"/>
        <v>2655</v>
      </c>
      <c r="AG145" s="32">
        <f t="shared" si="249"/>
        <v>2429</v>
      </c>
      <c r="AH145" s="32">
        <f t="shared" si="249"/>
        <v>2666</v>
      </c>
      <c r="AI145" s="11"/>
      <c r="AJ145" s="46"/>
    </row>
    <row r="146" spans="2:36" ht="5.0999999999999996" customHeight="1" thickBot="1">
      <c r="B146" s="74"/>
      <c r="C146" s="75"/>
      <c r="D146" s="75"/>
      <c r="E146" s="75"/>
      <c r="F146" s="75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J146" s="46"/>
    </row>
    <row r="147" spans="2:36" ht="12.75" customHeight="1">
      <c r="B147" s="161"/>
      <c r="C147" s="161"/>
      <c r="D147" s="161"/>
      <c r="E147" s="161"/>
      <c r="F147" s="161"/>
      <c r="G147" s="161"/>
      <c r="H147" s="161"/>
      <c r="I147" s="161"/>
      <c r="J147" s="161"/>
      <c r="K147" s="161"/>
      <c r="L147" s="161"/>
      <c r="M147" s="161"/>
      <c r="N147" s="16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33"/>
      <c r="AJ147" s="46"/>
    </row>
    <row r="148" spans="2:36" ht="12.75" customHeight="1">
      <c r="B148" s="54"/>
      <c r="C148" s="68"/>
      <c r="D148" s="68"/>
      <c r="E148" s="68"/>
      <c r="F148" s="68"/>
    </row>
    <row r="149" spans="2:36" ht="12.75" customHeight="1">
      <c r="C149" s="57"/>
      <c r="D149" s="57"/>
      <c r="E149" s="57"/>
      <c r="F149" s="57"/>
    </row>
    <row r="150" spans="2:36" ht="12.75" customHeight="1">
      <c r="C150" s="57"/>
      <c r="D150" s="57"/>
      <c r="E150" s="57"/>
      <c r="F150" s="57"/>
    </row>
    <row r="151" spans="2:36" ht="12.75" customHeight="1">
      <c r="C151" s="57"/>
      <c r="D151" s="57"/>
      <c r="E151" s="57"/>
      <c r="F151" s="57"/>
    </row>
    <row r="152" spans="2:36" ht="12.75" customHeight="1">
      <c r="C152" s="57"/>
      <c r="D152" s="57"/>
      <c r="E152" s="57"/>
      <c r="F152" s="57"/>
    </row>
    <row r="153" spans="2:36" ht="12.75" customHeight="1">
      <c r="C153" s="57"/>
      <c r="D153" s="57"/>
      <c r="E153" s="57"/>
      <c r="F153" s="57"/>
      <c r="H153" s="88"/>
      <c r="I153" s="88"/>
      <c r="J153" s="88"/>
      <c r="K153" s="88"/>
      <c r="L153" s="88"/>
      <c r="M153" s="88"/>
    </row>
    <row r="154" spans="2:36" ht="12.75" customHeight="1">
      <c r="C154" s="57"/>
      <c r="D154" s="57"/>
      <c r="E154" s="57"/>
      <c r="F154" s="57"/>
    </row>
    <row r="155" spans="2:36" ht="12.75" customHeight="1">
      <c r="C155" s="57"/>
      <c r="D155" s="57"/>
      <c r="E155" s="57"/>
      <c r="F155" s="57"/>
      <c r="H155" s="88"/>
      <c r="I155" s="88"/>
      <c r="J155" s="88"/>
      <c r="K155" s="88"/>
      <c r="L155" s="88"/>
      <c r="M155" s="88"/>
    </row>
    <row r="156" spans="2:36">
      <c r="H156" s="88"/>
      <c r="I156" s="88"/>
      <c r="J156" s="88"/>
      <c r="K156" s="88"/>
      <c r="L156" s="88"/>
      <c r="M156" s="88"/>
    </row>
    <row r="157" spans="2:36">
      <c r="H157" s="88"/>
      <c r="I157" s="88"/>
      <c r="J157" s="88"/>
      <c r="K157" s="88"/>
      <c r="L157" s="88"/>
      <c r="M157" s="88"/>
    </row>
    <row r="159" spans="2:36">
      <c r="H159" s="88"/>
      <c r="I159" s="88"/>
      <c r="J159" s="88"/>
      <c r="K159" s="88"/>
      <c r="L159" s="88"/>
      <c r="M159" s="88"/>
    </row>
    <row r="160" spans="2:36">
      <c r="H160" s="88"/>
      <c r="I160" s="88"/>
      <c r="J160" s="88"/>
      <c r="K160" s="88"/>
      <c r="L160" s="88"/>
      <c r="M160" s="88"/>
    </row>
  </sheetData>
  <mergeCells count="4">
    <mergeCell ref="B147:AG147"/>
    <mergeCell ref="AJ6:AJ8"/>
    <mergeCell ref="AJ45:AJ47"/>
    <mergeCell ref="AJ87:AJ89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G18:AG19 AG34 G54 T25:AE26 T29:AE31" formulaRange="1"/>
    <ignoredError sqref="C18:F19 C25:F26 C29:F31 H18:R19 H24:R26 H29:R31 AH114:AJ122 AH109:AJ112 H33:R34 C33:F34" evalError="1"/>
    <ignoredError sqref="T136:AH1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B13"/>
  <sheetViews>
    <sheetView showGridLines="0" zoomScaleNormal="100" workbookViewId="0">
      <selection activeCell="R10" sqref="R10"/>
    </sheetView>
  </sheetViews>
  <sheetFormatPr defaultRowHeight="12" outlineLevelCol="1"/>
  <cols>
    <col min="1" max="1" width="1.5" style="8" customWidth="1"/>
    <col min="2" max="2" width="46.5" style="8" bestFit="1" customWidth="1"/>
    <col min="3" max="3" width="8.625" style="8" hidden="1" customWidth="1" outlineLevel="1"/>
    <col min="4" max="4" width="8.625" style="8" bestFit="1" customWidth="1" collapsed="1"/>
    <col min="5" max="6" width="8.625" style="8" bestFit="1" customWidth="1"/>
    <col min="7" max="7" width="1.5" style="8" customWidth="1"/>
    <col min="8" max="10" width="8" style="8" hidden="1" customWidth="1" outlineLevel="1"/>
    <col min="11" max="11" width="8.75" style="8" hidden="1" customWidth="1" outlineLevel="1"/>
    <col min="12" max="12" width="8.5" style="8" customWidth="1" collapsed="1"/>
    <col min="13" max="13" width="8.25" style="8" bestFit="1" customWidth="1"/>
    <col min="14" max="14" width="8.5" style="8" bestFit="1" customWidth="1"/>
    <col min="15" max="18" width="9.125" style="8" bestFit="1" customWidth="1"/>
    <col min="19" max="19" width="1.5" style="8" customWidth="1"/>
    <col min="20" max="21" width="8.75" style="8" customWidth="1" outlineLevel="1"/>
    <col min="22" max="22" width="8.75" style="8" bestFit="1" customWidth="1"/>
    <col min="23" max="25" width="8.75" style="8" customWidth="1" outlineLevel="1"/>
    <col min="26" max="26" width="8.75" style="8" bestFit="1" customWidth="1"/>
    <col min="27" max="27" width="1.5" style="8" customWidth="1"/>
    <col min="28" max="28" width="9.875" style="8" bestFit="1" customWidth="1"/>
    <col min="29" max="16384" width="9" style="8"/>
  </cols>
  <sheetData>
    <row r="2" spans="1:28" s="5" customFormat="1" ht="12.75" customHeight="1">
      <c r="B2" s="1" t="str">
        <f>'Historical Financials'!B2</f>
        <v>Broadcom, Inc. (NASDAQ: AVGO)</v>
      </c>
      <c r="C2" s="2"/>
      <c r="D2" s="2" t="s">
        <v>0</v>
      </c>
      <c r="E2" s="2"/>
      <c r="F2" s="2"/>
      <c r="G2" s="3"/>
      <c r="H2" s="2"/>
      <c r="I2" s="2"/>
      <c r="J2" s="2"/>
      <c r="K2" s="2"/>
      <c r="L2" s="2" t="s">
        <v>1</v>
      </c>
      <c r="M2" s="2" t="s">
        <v>1</v>
      </c>
      <c r="N2" s="2"/>
      <c r="O2" s="2"/>
      <c r="P2" s="2"/>
      <c r="Q2" s="2"/>
      <c r="R2" s="2"/>
      <c r="S2" s="3"/>
      <c r="T2" s="2" t="s">
        <v>10</v>
      </c>
      <c r="U2" s="2"/>
      <c r="V2" s="2" t="s">
        <v>10</v>
      </c>
      <c r="W2" s="2"/>
      <c r="X2" s="2"/>
      <c r="Y2" s="2"/>
      <c r="Z2" s="2"/>
      <c r="AA2" s="3"/>
      <c r="AB2" s="162" t="s">
        <v>25</v>
      </c>
    </row>
    <row r="3" spans="1:28" s="5" customFormat="1" ht="12.75" customHeight="1">
      <c r="B3" s="6" t="s">
        <v>70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4"/>
      <c r="T3" s="4" t="str">
        <f>L3</f>
        <v>1Q24</v>
      </c>
      <c r="U3" s="4" t="str">
        <f>M3</f>
        <v>2Q24</v>
      </c>
      <c r="V3" s="4" t="str">
        <f>N3</f>
        <v>3Q24</v>
      </c>
      <c r="W3" s="4" t="str">
        <f>O3</f>
        <v>4Q24</v>
      </c>
      <c r="X3" s="4" t="str">
        <f>P3</f>
        <v>1Q25</v>
      </c>
      <c r="Y3" s="4" t="str">
        <f>Q3</f>
        <v>2Q25</v>
      </c>
      <c r="Z3" s="4" t="str">
        <f>R3</f>
        <v>3Q25</v>
      </c>
      <c r="AA3" s="3"/>
      <c r="AB3" s="162"/>
    </row>
    <row r="4" spans="1:28" s="5" customFormat="1" ht="12.75" customHeight="1">
      <c r="B4" s="6" t="s">
        <v>109</v>
      </c>
      <c r="C4" s="3">
        <f>'Historical Financials'!C8</f>
        <v>44499</v>
      </c>
      <c r="D4" s="3">
        <f>'Historical Financials'!D8</f>
        <v>44864</v>
      </c>
      <c r="E4" s="3">
        <f>'Historical Financials'!E8</f>
        <v>45228</v>
      </c>
      <c r="F4" s="3">
        <f>'Historical Financials'!F8</f>
        <v>45599</v>
      </c>
      <c r="G4" s="3"/>
      <c r="H4" s="3">
        <f>'Historical Financials'!H8</f>
        <v>44955</v>
      </c>
      <c r="I4" s="3">
        <f>'Historical Financials'!I8</f>
        <v>45046</v>
      </c>
      <c r="J4" s="3">
        <f>'Historical Financials'!J8</f>
        <v>45137</v>
      </c>
      <c r="K4" s="3">
        <f>'Historical Financials'!K8</f>
        <v>45228</v>
      </c>
      <c r="L4" s="3">
        <f>'Historical Financials'!L8</f>
        <v>45326</v>
      </c>
      <c r="M4" s="3">
        <f>'Historical Financials'!M8</f>
        <v>45417</v>
      </c>
      <c r="N4" s="3">
        <f>'Historical Financials'!N8</f>
        <v>45508</v>
      </c>
      <c r="O4" s="3">
        <f>'Historical Financials'!O8</f>
        <v>45599</v>
      </c>
      <c r="P4" s="3">
        <f>'Historical Financials'!P8</f>
        <v>45690</v>
      </c>
      <c r="Q4" s="3">
        <f>'Historical Financials'!Q8</f>
        <v>45781</v>
      </c>
      <c r="R4" s="3">
        <f>'Historical Financials'!R8</f>
        <v>45872</v>
      </c>
      <c r="S4" s="3"/>
      <c r="T4" s="3">
        <f>L4</f>
        <v>45326</v>
      </c>
      <c r="U4" s="3">
        <f>M4</f>
        <v>45417</v>
      </c>
      <c r="V4" s="3">
        <f>N4</f>
        <v>45508</v>
      </c>
      <c r="W4" s="3">
        <f>O4</f>
        <v>45599</v>
      </c>
      <c r="X4" s="3">
        <f>P4</f>
        <v>45690</v>
      </c>
      <c r="Y4" s="3">
        <f>Q4</f>
        <v>45781</v>
      </c>
      <c r="Z4" s="3">
        <f>R4</f>
        <v>45872</v>
      </c>
      <c r="AA4" s="3"/>
      <c r="AB4" s="162"/>
    </row>
    <row r="5" spans="1:28" ht="5.0999999999999996" customHeight="1"/>
    <row r="6" spans="1:28">
      <c r="A6" s="36" t="s">
        <v>19</v>
      </c>
      <c r="B6" s="1" t="s">
        <v>94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 ht="5.0999999999999996" customHeight="1"/>
    <row r="8" spans="1:28" ht="12.75" customHeight="1">
      <c r="A8" s="81"/>
      <c r="B8" s="79" t="s">
        <v>93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5"/>
      <c r="T8" s="11"/>
      <c r="U8" s="11"/>
      <c r="V8" s="11"/>
      <c r="W8" s="11"/>
      <c r="X8" s="11"/>
      <c r="Y8" s="11"/>
      <c r="AB8" s="12"/>
    </row>
    <row r="9" spans="1:28" ht="12.75" customHeight="1">
      <c r="B9" s="9" t="s">
        <v>164</v>
      </c>
      <c r="C9" s="82">
        <v>20886</v>
      </c>
      <c r="D9" s="82">
        <v>26277</v>
      </c>
      <c r="E9" s="82">
        <v>27891</v>
      </c>
      <c r="F9" s="82">
        <v>30359</v>
      </c>
      <c r="G9" s="82"/>
      <c r="H9" s="82">
        <v>7082</v>
      </c>
      <c r="I9" s="82">
        <v>6741</v>
      </c>
      <c r="J9" s="82">
        <v>6917</v>
      </c>
      <c r="K9" s="127">
        <f>SUM(E9-SUM(H9:J9))</f>
        <v>7151</v>
      </c>
      <c r="L9" s="82">
        <v>7412</v>
      </c>
      <c r="M9" s="82">
        <v>7192</v>
      </c>
      <c r="N9" s="82">
        <v>7439</v>
      </c>
      <c r="O9" s="127">
        <f>SUM(F9-SUM(L9:N9))</f>
        <v>8316</v>
      </c>
      <c r="P9" s="82">
        <v>8171</v>
      </c>
      <c r="Q9" s="82">
        <v>8506</v>
      </c>
      <c r="R9" s="82">
        <v>9257</v>
      </c>
      <c r="S9" s="11"/>
      <c r="T9" s="127">
        <f>SUM(I9:L9)</f>
        <v>28221</v>
      </c>
      <c r="U9" s="127">
        <f>SUM(J9:M9)</f>
        <v>28672</v>
      </c>
      <c r="V9" s="127">
        <f>SUM(K9:N9)</f>
        <v>29194</v>
      </c>
      <c r="W9" s="127">
        <f>SUM(L9:O9)</f>
        <v>30359</v>
      </c>
      <c r="X9" s="127">
        <f>SUM(M9:P9)</f>
        <v>31118</v>
      </c>
      <c r="Y9" s="127">
        <f>SUM(N9:Q9)</f>
        <v>32432</v>
      </c>
      <c r="Z9" s="127">
        <f>SUM(O9:R9)</f>
        <v>34250</v>
      </c>
      <c r="AB9" s="12">
        <f>SUM(Z9/V9)-1</f>
        <v>0.17318627115160656</v>
      </c>
    </row>
    <row r="10" spans="1:28" ht="12.75" customHeight="1">
      <c r="B10" s="9" t="s">
        <v>165</v>
      </c>
      <c r="C10" s="82">
        <v>6564</v>
      </c>
      <c r="D10" s="82">
        <v>6926</v>
      </c>
      <c r="E10" s="82">
        <v>7928</v>
      </c>
      <c r="F10" s="82">
        <v>21215</v>
      </c>
      <c r="G10" s="82"/>
      <c r="H10" s="82">
        <v>1833</v>
      </c>
      <c r="I10" s="82">
        <v>1992</v>
      </c>
      <c r="J10" s="82">
        <v>1959</v>
      </c>
      <c r="K10" s="127">
        <f>SUM(E10-SUM(H10:J10))</f>
        <v>2144</v>
      </c>
      <c r="L10" s="82">
        <v>4549</v>
      </c>
      <c r="M10" s="82">
        <v>5295</v>
      </c>
      <c r="N10" s="82">
        <v>5633</v>
      </c>
      <c r="O10" s="127">
        <f>SUM(F10-SUM(L10:N10))</f>
        <v>5738</v>
      </c>
      <c r="P10" s="82">
        <v>6745</v>
      </c>
      <c r="Q10" s="82">
        <v>6498</v>
      </c>
      <c r="R10" s="82">
        <v>6695</v>
      </c>
      <c r="S10" s="11"/>
      <c r="T10" s="127">
        <f>SUM(I10:L10)</f>
        <v>10644</v>
      </c>
      <c r="U10" s="127">
        <f>SUM(J10:M10)</f>
        <v>13947</v>
      </c>
      <c r="V10" s="127">
        <f>SUM(K10:N10)</f>
        <v>17621</v>
      </c>
      <c r="W10" s="127">
        <f>SUM(L10:O10)</f>
        <v>21215</v>
      </c>
      <c r="X10" s="127">
        <f>SUM(M10:P10)</f>
        <v>23411</v>
      </c>
      <c r="Y10" s="127">
        <f>SUM(N10:Q10)</f>
        <v>24614</v>
      </c>
      <c r="Z10" s="127">
        <f>SUM(O10:R10)</f>
        <v>25676</v>
      </c>
      <c r="AB10" s="12">
        <f>SUM(Z10/V10)-1</f>
        <v>0.45712502128142551</v>
      </c>
    </row>
    <row r="11" spans="1:28" ht="12.75" customHeight="1">
      <c r="B11" s="13" t="s">
        <v>71</v>
      </c>
      <c r="C11" s="34">
        <f>SUM(C9:C10)</f>
        <v>27450</v>
      </c>
      <c r="D11" s="34">
        <f>SUM(D9:D10)</f>
        <v>33203</v>
      </c>
      <c r="E11" s="34">
        <f>SUM(E9:E10)</f>
        <v>35819</v>
      </c>
      <c r="F11" s="34">
        <f>SUM(F9:F10)</f>
        <v>51574</v>
      </c>
      <c r="G11" s="11"/>
      <c r="H11" s="34">
        <f>SUM(H9:H10)</f>
        <v>8915</v>
      </c>
      <c r="I11" s="34">
        <f>SUM(I9:I10)</f>
        <v>8733</v>
      </c>
      <c r="J11" s="34">
        <f>SUM(J9:J10)</f>
        <v>8876</v>
      </c>
      <c r="K11" s="34">
        <f>SUM(K9:K10)</f>
        <v>9295</v>
      </c>
      <c r="L11" s="34">
        <f>SUM(L9:L10)</f>
        <v>11961</v>
      </c>
      <c r="M11" s="34">
        <f>SUM(M9:M10)</f>
        <v>12487</v>
      </c>
      <c r="N11" s="34">
        <f>SUM(N9:N10)</f>
        <v>13072</v>
      </c>
      <c r="O11" s="34">
        <f>SUM(O9:O10)</f>
        <v>14054</v>
      </c>
      <c r="P11" s="34">
        <f>SUM(P9:P10)</f>
        <v>14916</v>
      </c>
      <c r="Q11" s="34">
        <f>SUM(Q9:Q10)</f>
        <v>15004</v>
      </c>
      <c r="R11" s="34">
        <f>SUM(R9:R10)</f>
        <v>15952</v>
      </c>
      <c r="S11" s="5"/>
      <c r="T11" s="34">
        <f>SUM(T9:T10)</f>
        <v>38865</v>
      </c>
      <c r="U11" s="34">
        <f>SUM(U9:U10)</f>
        <v>42619</v>
      </c>
      <c r="V11" s="34">
        <f>SUM(V9:V10)</f>
        <v>46815</v>
      </c>
      <c r="W11" s="34">
        <f>SUM(W9:W10)</f>
        <v>51574</v>
      </c>
      <c r="X11" s="34">
        <f>SUM(X9:X10)</f>
        <v>54529</v>
      </c>
      <c r="Y11" s="34">
        <f>SUM(Y9:Y10)</f>
        <v>57046</v>
      </c>
      <c r="Z11" s="34">
        <f>SUM(Z9:Z10)</f>
        <v>59926</v>
      </c>
      <c r="AB11" s="15">
        <f>SUM(Z11/V11)-1</f>
        <v>0.28005980988999246</v>
      </c>
    </row>
    <row r="12" spans="1:28">
      <c r="B12" s="135" t="s">
        <v>95</v>
      </c>
      <c r="C12" s="80">
        <f>+C11-'Historical Financials'!C11</f>
        <v>0</v>
      </c>
      <c r="D12" s="80">
        <f>+D11-'Historical Financials'!D11</f>
        <v>0</v>
      </c>
      <c r="E12" s="80">
        <f>+E11-'Historical Financials'!E11</f>
        <v>0</v>
      </c>
      <c r="F12" s="80">
        <f>+F11-'Historical Financials'!F11</f>
        <v>0</v>
      </c>
      <c r="G12" s="11"/>
      <c r="H12" s="80">
        <f>H11-'Historical Financials'!H11</f>
        <v>0</v>
      </c>
      <c r="I12" s="80">
        <f>I11-'Historical Financials'!I11</f>
        <v>0</v>
      </c>
      <c r="J12" s="80">
        <f>J11-'Historical Financials'!J11</f>
        <v>0</v>
      </c>
      <c r="K12" s="80">
        <f>K11-'Historical Financials'!K11</f>
        <v>0</v>
      </c>
      <c r="L12" s="80">
        <f>L11-'Historical Financials'!L11</f>
        <v>0</v>
      </c>
      <c r="M12" s="80">
        <f>M11-'Historical Financials'!M11</f>
        <v>0</v>
      </c>
      <c r="N12" s="80">
        <f>N11-'Historical Financials'!N11</f>
        <v>0</v>
      </c>
      <c r="O12" s="80">
        <f>O11-'Historical Financials'!O11</f>
        <v>0</v>
      </c>
      <c r="P12" s="80">
        <f>P11-'Historical Financials'!P11</f>
        <v>0</v>
      </c>
      <c r="Q12" s="80">
        <f>Q11-'Historical Financials'!Q11</f>
        <v>0</v>
      </c>
      <c r="R12" s="80">
        <f>R11-'Historical Financials'!R11</f>
        <v>0</v>
      </c>
      <c r="S12" s="80"/>
      <c r="T12" s="80">
        <f>+T11-'Historical Financials'!AB11</f>
        <v>0</v>
      </c>
      <c r="U12" s="80">
        <f>+U11-'Historical Financials'!AC11</f>
        <v>0</v>
      </c>
      <c r="V12" s="80">
        <f>+V11-'Historical Financials'!AD11</f>
        <v>0</v>
      </c>
      <c r="W12" s="80">
        <f>+W11-'Historical Financials'!AE11</f>
        <v>0</v>
      </c>
      <c r="X12" s="80">
        <f>+X11-'Historical Financials'!AF11</f>
        <v>0</v>
      </c>
      <c r="Y12" s="80">
        <f>+Y11-'Historical Financials'!AG11</f>
        <v>0</v>
      </c>
      <c r="Z12" s="80">
        <f>Z11-'Historical Financials'!AH11</f>
        <v>0</v>
      </c>
    </row>
    <row r="13" spans="1:28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</row>
  </sheetData>
  <mergeCells count="1">
    <mergeCell ref="AB2:AB4"/>
  </mergeCells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B9:AB10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J98"/>
  <sheetViews>
    <sheetView showGridLines="0" topLeftCell="A47" zoomScale="115" zoomScaleNormal="115" workbookViewId="0">
      <selection activeCell="B68" sqref="B68"/>
    </sheetView>
  </sheetViews>
  <sheetFormatPr defaultRowHeight="12" outlineLevelCol="1"/>
  <cols>
    <col min="1" max="1" width="1.5" style="8" customWidth="1"/>
    <col min="2" max="2" width="41.625" style="8" customWidth="1"/>
    <col min="3" max="3" width="8.625" style="8" customWidth="1" outlineLevel="1"/>
    <col min="4" max="4" width="9" style="8" bestFit="1" customWidth="1"/>
    <col min="5" max="5" width="9.25" style="8" bestFit="1" customWidth="1"/>
    <col min="6" max="6" width="9" style="8"/>
    <col min="7" max="7" width="1.5" style="8" customWidth="1"/>
    <col min="8" max="9" width="8" style="8" customWidth="1" outlineLevel="1"/>
    <col min="10" max="13" width="8.875" style="8" customWidth="1" outlineLevel="1"/>
    <col min="14" max="18" width="8.875" style="8" bestFit="1" customWidth="1"/>
    <col min="19" max="19" width="1.625" style="8" customWidth="1"/>
    <col min="20" max="20" width="9" style="8" hidden="1" customWidth="1" outlineLevel="1"/>
    <col min="21" max="21" width="8.625" style="8" hidden="1" customWidth="1" outlineLevel="1"/>
    <col min="22" max="22" width="8.5" style="8" hidden="1" customWidth="1" outlineLevel="1"/>
    <col min="23" max="24" width="8.25" style="8" hidden="1" customWidth="1" outlineLevel="1"/>
    <col min="25" max="25" width="9.25" style="8" hidden="1" customWidth="1" outlineLevel="1"/>
    <col min="26" max="26" width="9.75" style="8" hidden="1" customWidth="1" outlineLevel="1"/>
    <col min="27" max="27" width="9" style="8" hidden="1" customWidth="1" outlineLevel="1"/>
    <col min="28" max="28" width="9" style="8" customWidth="1" collapsed="1"/>
    <col min="29" max="30" width="9" style="8" hidden="1" customWidth="1" outlineLevel="1"/>
    <col min="31" max="31" width="8.5" style="8" hidden="1" customWidth="1" outlineLevel="1"/>
    <col min="32" max="32" width="8.5" style="8" bestFit="1" customWidth="1" collapsed="1"/>
    <col min="33" max="33" width="1.5" style="8" customWidth="1"/>
    <col min="34" max="34" width="9.375" style="132" bestFit="1" customWidth="1"/>
    <col min="35" max="16384" width="9" style="8"/>
  </cols>
  <sheetData>
    <row r="2" spans="2:34" s="5" customFormat="1" ht="12.75" customHeight="1">
      <c r="B2" s="1" t="str">
        <f>'Historical Financials'!B2</f>
        <v>Broadcom, Inc. (NASDAQ: AVGO)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 t="s">
        <v>10</v>
      </c>
      <c r="U2" s="2"/>
      <c r="V2" s="2"/>
      <c r="W2" s="2"/>
      <c r="X2" s="2"/>
      <c r="Y2" s="2"/>
      <c r="Z2" s="2"/>
      <c r="AA2" s="2" t="s">
        <v>10</v>
      </c>
      <c r="AB2" s="2" t="s">
        <v>10</v>
      </c>
      <c r="AC2" s="2"/>
      <c r="AD2" s="2"/>
      <c r="AE2" s="2"/>
      <c r="AF2" s="2"/>
      <c r="AG2" s="3"/>
      <c r="AH2" s="165" t="s">
        <v>25</v>
      </c>
    </row>
    <row r="3" spans="2:34" s="5" customFormat="1" ht="12.75" customHeight="1">
      <c r="B3" s="6" t="s">
        <v>26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3"/>
      <c r="T3" s="4" t="e">
        <f>#REF!</f>
        <v>#REF!</v>
      </c>
      <c r="U3" s="4" t="e">
        <f>#REF!</f>
        <v>#REF!</v>
      </c>
      <c r="V3" s="4" t="str">
        <f t="shared" ref="V3:AF4" si="0">H3</f>
        <v>1Q23</v>
      </c>
      <c r="W3" s="4" t="str">
        <f t="shared" si="0"/>
        <v>2Q23</v>
      </c>
      <c r="X3" s="4" t="str">
        <f t="shared" si="0"/>
        <v>3Q23</v>
      </c>
      <c r="Y3" s="4" t="str">
        <f t="shared" si="0"/>
        <v>4Q23</v>
      </c>
      <c r="Z3" s="4" t="str">
        <f t="shared" si="0"/>
        <v>1Q24</v>
      </c>
      <c r="AA3" s="4" t="str">
        <f t="shared" si="0"/>
        <v>2Q24</v>
      </c>
      <c r="AB3" s="4" t="str">
        <f t="shared" si="0"/>
        <v>3Q24</v>
      </c>
      <c r="AC3" s="4" t="str">
        <f t="shared" si="0"/>
        <v>4Q24</v>
      </c>
      <c r="AD3" s="4" t="str">
        <f t="shared" si="0"/>
        <v>1Q25</v>
      </c>
      <c r="AE3" s="4" t="str">
        <f t="shared" si="0"/>
        <v>2Q25</v>
      </c>
      <c r="AF3" s="4" t="str">
        <f t="shared" si="0"/>
        <v>3Q25</v>
      </c>
      <c r="AG3" s="3"/>
      <c r="AH3" s="165"/>
    </row>
    <row r="4" spans="2:34" s="5" customFormat="1" ht="12.75" customHeight="1">
      <c r="B4" s="6" t="s">
        <v>77</v>
      </c>
      <c r="C4" s="3">
        <f>'Historical Financials'!C8</f>
        <v>44499</v>
      </c>
      <c r="D4" s="3">
        <f>'Historical Financials'!D8</f>
        <v>44864</v>
      </c>
      <c r="E4" s="3">
        <f>'Historical Financials'!E8</f>
        <v>45228</v>
      </c>
      <c r="F4" s="3">
        <f>'Historical Financials'!F8</f>
        <v>45599</v>
      </c>
      <c r="G4" s="3"/>
      <c r="H4" s="3">
        <f>'Historical Financials'!H8</f>
        <v>44955</v>
      </c>
      <c r="I4" s="3">
        <f>'Historical Financials'!I8</f>
        <v>45046</v>
      </c>
      <c r="J4" s="3">
        <f>'Historical Financials'!J8</f>
        <v>45137</v>
      </c>
      <c r="K4" s="3">
        <f>'Historical Financials'!K8</f>
        <v>45228</v>
      </c>
      <c r="L4" s="3">
        <f>'Historical Financials'!L8</f>
        <v>45326</v>
      </c>
      <c r="M4" s="3">
        <f>'Historical Financials'!M8</f>
        <v>45417</v>
      </c>
      <c r="N4" s="3">
        <f>'Historical Financials'!N8</f>
        <v>45508</v>
      </c>
      <c r="O4" s="3">
        <f>'Historical Financials'!O8</f>
        <v>45599</v>
      </c>
      <c r="P4" s="3">
        <f>'Historical Financials'!P8</f>
        <v>45690</v>
      </c>
      <c r="Q4" s="3">
        <f>'Historical Financials'!Q8</f>
        <v>45781</v>
      </c>
      <c r="R4" s="3">
        <f>'Historical Financials'!R8</f>
        <v>45872</v>
      </c>
      <c r="S4" s="3"/>
      <c r="T4" s="3" t="e">
        <f>#REF!</f>
        <v>#REF!</v>
      </c>
      <c r="U4" s="3" t="e">
        <f>#REF!</f>
        <v>#REF!</v>
      </c>
      <c r="V4" s="3">
        <f t="shared" si="0"/>
        <v>44955</v>
      </c>
      <c r="W4" s="3">
        <f t="shared" si="0"/>
        <v>45046</v>
      </c>
      <c r="X4" s="3">
        <f t="shared" si="0"/>
        <v>45137</v>
      </c>
      <c r="Y4" s="3">
        <f t="shared" si="0"/>
        <v>45228</v>
      </c>
      <c r="Z4" s="3">
        <f t="shared" si="0"/>
        <v>45326</v>
      </c>
      <c r="AA4" s="3">
        <f t="shared" si="0"/>
        <v>45417</v>
      </c>
      <c r="AB4" s="3">
        <f t="shared" si="0"/>
        <v>45508</v>
      </c>
      <c r="AC4" s="3">
        <f t="shared" si="0"/>
        <v>45599</v>
      </c>
      <c r="AD4" s="3">
        <f t="shared" si="0"/>
        <v>45690</v>
      </c>
      <c r="AE4" s="3">
        <f t="shared" si="0"/>
        <v>45781</v>
      </c>
      <c r="AF4" s="3">
        <f t="shared" si="0"/>
        <v>45872</v>
      </c>
      <c r="AG4" s="3"/>
      <c r="AH4" s="165"/>
    </row>
    <row r="5" spans="2:34" ht="5.0999999999999996" customHeight="1">
      <c r="AH5" s="128"/>
    </row>
    <row r="6" spans="2:34" ht="12.75" customHeight="1">
      <c r="B6" s="9" t="str">
        <f>'Revenue Drivers'!B9</f>
        <v xml:space="preserve">Products	</v>
      </c>
      <c r="C6" s="96">
        <f>'Revenue Drivers'!C9</f>
        <v>20886</v>
      </c>
      <c r="D6" s="96">
        <f>'Revenue Drivers'!D9</f>
        <v>26277</v>
      </c>
      <c r="E6" s="96">
        <f>'Revenue Drivers'!E9</f>
        <v>27891</v>
      </c>
      <c r="F6" s="96">
        <f>'Revenue Drivers'!F9</f>
        <v>30359</v>
      </c>
      <c r="G6" s="10"/>
      <c r="H6" s="96">
        <f>'Revenue Drivers'!H9</f>
        <v>7082</v>
      </c>
      <c r="I6" s="96">
        <f>'Revenue Drivers'!I9</f>
        <v>6741</v>
      </c>
      <c r="J6" s="96">
        <f>'Revenue Drivers'!J9</f>
        <v>6917</v>
      </c>
      <c r="K6" s="96">
        <f>'Revenue Drivers'!K9</f>
        <v>7151</v>
      </c>
      <c r="L6" s="96">
        <f>'Revenue Drivers'!L9</f>
        <v>7412</v>
      </c>
      <c r="M6" s="96">
        <f>'Revenue Drivers'!M9</f>
        <v>7192</v>
      </c>
      <c r="N6" s="96">
        <f>'Revenue Drivers'!N9</f>
        <v>7439</v>
      </c>
      <c r="O6" s="96">
        <f>'Revenue Drivers'!O9</f>
        <v>8316</v>
      </c>
      <c r="P6" s="96">
        <f>'Revenue Drivers'!P9</f>
        <v>8171</v>
      </c>
      <c r="Q6" s="96">
        <f>'Revenue Drivers'!Q9</f>
        <v>8506</v>
      </c>
      <c r="R6" s="96">
        <f>'Revenue Drivers'!R9</f>
        <v>9257</v>
      </c>
      <c r="S6" s="5"/>
      <c r="T6" s="10">
        <f>SUM(G6:G6)</f>
        <v>0</v>
      </c>
      <c r="U6" s="10" t="e">
        <f>SUM(#REF!)</f>
        <v>#REF!</v>
      </c>
      <c r="V6" s="10">
        <f>SUM(H6:H6)</f>
        <v>7082</v>
      </c>
      <c r="W6" s="10">
        <f>SUM(H6:I6)</f>
        <v>13823</v>
      </c>
      <c r="X6" s="10">
        <f>SUM(H6:J6)</f>
        <v>20740</v>
      </c>
      <c r="Y6" s="10">
        <f t="shared" ref="Y6:AF6" si="1">SUM(H6:K6)</f>
        <v>27891</v>
      </c>
      <c r="Z6" s="10">
        <f t="shared" si="1"/>
        <v>28221</v>
      </c>
      <c r="AA6" s="10">
        <f t="shared" si="1"/>
        <v>28672</v>
      </c>
      <c r="AB6" s="149">
        <f t="shared" si="1"/>
        <v>29194</v>
      </c>
      <c r="AC6" s="149">
        <f t="shared" si="1"/>
        <v>30359</v>
      </c>
      <c r="AD6" s="149">
        <f t="shared" si="1"/>
        <v>31118</v>
      </c>
      <c r="AE6" s="149">
        <f t="shared" si="1"/>
        <v>32432</v>
      </c>
      <c r="AF6" s="149">
        <f t="shared" si="1"/>
        <v>34250</v>
      </c>
      <c r="AH6" s="129">
        <f t="shared" ref="AH6:AH8" si="2">SUM(AF6/AB6)-1</f>
        <v>0.17318627115160656</v>
      </c>
    </row>
    <row r="7" spans="2:34" ht="12.75" customHeight="1">
      <c r="B7" s="9" t="str">
        <f>'Revenue Drivers'!B10</f>
        <v>Subscriptions and services</v>
      </c>
      <c r="C7" s="96">
        <f>'Revenue Drivers'!C10</f>
        <v>6564</v>
      </c>
      <c r="D7" s="96">
        <f>'Revenue Drivers'!D10</f>
        <v>6926</v>
      </c>
      <c r="E7" s="96">
        <f>'Revenue Drivers'!E10</f>
        <v>7928</v>
      </c>
      <c r="F7" s="96">
        <f>'Revenue Drivers'!F10</f>
        <v>21215</v>
      </c>
      <c r="G7" s="10"/>
      <c r="H7" s="96">
        <f>'Revenue Drivers'!H10</f>
        <v>1833</v>
      </c>
      <c r="I7" s="96">
        <f>'Revenue Drivers'!I10</f>
        <v>1992</v>
      </c>
      <c r="J7" s="96">
        <f>'Revenue Drivers'!J10</f>
        <v>1959</v>
      </c>
      <c r="K7" s="96">
        <f>'Revenue Drivers'!K10</f>
        <v>2144</v>
      </c>
      <c r="L7" s="96">
        <f>'Revenue Drivers'!L10</f>
        <v>4549</v>
      </c>
      <c r="M7" s="96">
        <f>'Revenue Drivers'!M10</f>
        <v>5295</v>
      </c>
      <c r="N7" s="96">
        <f>'Revenue Drivers'!N10</f>
        <v>5633</v>
      </c>
      <c r="O7" s="96">
        <f>'Revenue Drivers'!O10</f>
        <v>5738</v>
      </c>
      <c r="P7" s="96">
        <f>'Revenue Drivers'!P10</f>
        <v>6745</v>
      </c>
      <c r="Q7" s="96">
        <f>'Revenue Drivers'!Q10</f>
        <v>6498</v>
      </c>
      <c r="R7" s="96">
        <f>'Revenue Drivers'!R10</f>
        <v>6695</v>
      </c>
      <c r="S7" s="5"/>
      <c r="T7" s="10"/>
      <c r="U7" s="10"/>
      <c r="V7" s="10"/>
      <c r="W7" s="10"/>
      <c r="X7" s="10"/>
      <c r="Y7" s="10"/>
      <c r="Z7" s="10"/>
      <c r="AA7" s="10"/>
      <c r="AB7" s="149">
        <f t="shared" ref="AB7:AF7" si="3">SUM(K7:N7)</f>
        <v>17621</v>
      </c>
      <c r="AC7" s="149">
        <f t="shared" si="3"/>
        <v>21215</v>
      </c>
      <c r="AD7" s="149">
        <f t="shared" si="3"/>
        <v>23411</v>
      </c>
      <c r="AE7" s="149">
        <f t="shared" si="3"/>
        <v>24614</v>
      </c>
      <c r="AF7" s="149">
        <f t="shared" si="3"/>
        <v>25676</v>
      </c>
      <c r="AH7" s="129">
        <f t="shared" si="2"/>
        <v>0.45712502128142551</v>
      </c>
    </row>
    <row r="8" spans="2:34" ht="12.75" customHeight="1">
      <c r="B8" s="13" t="s">
        <v>12</v>
      </c>
      <c r="C8" s="14">
        <f>SUM(C6:C7)</f>
        <v>27450</v>
      </c>
      <c r="D8" s="14">
        <f>SUM(D6:D7)</f>
        <v>33203</v>
      </c>
      <c r="E8" s="14">
        <f>SUM(E6:E7)</f>
        <v>35819</v>
      </c>
      <c r="F8" s="14">
        <f>SUM(F6:F7)</f>
        <v>51574</v>
      </c>
      <c r="G8" s="10"/>
      <c r="H8" s="14">
        <f>SUM(H6:H7)</f>
        <v>8915</v>
      </c>
      <c r="I8" s="14">
        <f>SUM(I6:I7)</f>
        <v>8733</v>
      </c>
      <c r="J8" s="14">
        <f>SUM(J6:J7)</f>
        <v>8876</v>
      </c>
      <c r="K8" s="14">
        <f>SUM(K6:K7)</f>
        <v>9295</v>
      </c>
      <c r="L8" s="14">
        <f>SUM(L6:L7)</f>
        <v>11961</v>
      </c>
      <c r="M8" s="14">
        <f>SUM(M6:M7)</f>
        <v>12487</v>
      </c>
      <c r="N8" s="14">
        <f>SUM(N6:N7)</f>
        <v>13072</v>
      </c>
      <c r="O8" s="14">
        <f>SUM(O6:O7)</f>
        <v>14054</v>
      </c>
      <c r="P8" s="14">
        <f>SUM(P6:P7)</f>
        <v>14916</v>
      </c>
      <c r="Q8" s="14">
        <f>SUM(Q6:Q7)</f>
        <v>15004</v>
      </c>
      <c r="R8" s="14">
        <f>SUM(R6:R7)</f>
        <v>15952</v>
      </c>
      <c r="S8" s="5"/>
      <c r="T8" s="14">
        <f>SUM(T6:T7)</f>
        <v>0</v>
      </c>
      <c r="U8" s="14" t="e">
        <f>SUM(U6:U7)</f>
        <v>#REF!</v>
      </c>
      <c r="V8" s="14">
        <f>SUM(V6:V7)</f>
        <v>7082</v>
      </c>
      <c r="W8" s="14">
        <f>SUM(W6:W7)</f>
        <v>13823</v>
      </c>
      <c r="X8" s="14">
        <f>SUM(X6:X7)</f>
        <v>20740</v>
      </c>
      <c r="Y8" s="14">
        <f>SUM(Y6:Y7)</f>
        <v>27891</v>
      </c>
      <c r="Z8" s="14">
        <f>SUM(Z6:Z7)</f>
        <v>28221</v>
      </c>
      <c r="AA8" s="14">
        <f>SUM(AA6:AA7)</f>
        <v>28672</v>
      </c>
      <c r="AB8" s="14">
        <f>SUM(AB6:AB7)</f>
        <v>46815</v>
      </c>
      <c r="AC8" s="14">
        <f>SUM(AC6:AC7)</f>
        <v>51574</v>
      </c>
      <c r="AD8" s="14">
        <f>SUM(AD6:AD7)</f>
        <v>54529</v>
      </c>
      <c r="AE8" s="14">
        <f>SUM(AE6:AE7)</f>
        <v>57046</v>
      </c>
      <c r="AF8" s="14">
        <f>SUM(AF6:AF7)</f>
        <v>59926</v>
      </c>
      <c r="AH8" s="130">
        <f t="shared" si="2"/>
        <v>0.28005980988999246</v>
      </c>
    </row>
    <row r="9" spans="2:34" ht="12.75" customHeight="1">
      <c r="B9" s="16" t="s">
        <v>29</v>
      </c>
      <c r="C9" s="117"/>
      <c r="D9" s="17">
        <f>SUM(D8/C8)-1</f>
        <v>0.20958105646630232</v>
      </c>
      <c r="E9" s="17">
        <f>SUM(E8/D8)-1</f>
        <v>7.8788061319760239E-2</v>
      </c>
      <c r="F9" s="17">
        <f>SUM(F8/E8)-1</f>
        <v>0.43985035874815037</v>
      </c>
      <c r="G9" s="11"/>
      <c r="H9" s="117"/>
      <c r="I9" s="117"/>
      <c r="J9" s="117"/>
      <c r="K9" s="117"/>
      <c r="L9" s="17">
        <f t="shared" ref="L9:R9" si="4">SUM(L8/H8)-1</f>
        <v>0.34167134043746494</v>
      </c>
      <c r="M9" s="17">
        <f t="shared" si="4"/>
        <v>0.42986373525707089</v>
      </c>
      <c r="N9" s="17">
        <f t="shared" si="4"/>
        <v>0.47273546642631814</v>
      </c>
      <c r="O9" s="17">
        <f t="shared" si="4"/>
        <v>0.51199569661108124</v>
      </c>
      <c r="P9" s="17">
        <f t="shared" si="4"/>
        <v>0.24705292199648854</v>
      </c>
      <c r="Q9" s="17">
        <f t="shared" si="4"/>
        <v>0.20156963241771453</v>
      </c>
      <c r="R9" s="17">
        <f t="shared" si="4"/>
        <v>0.2203182374541004</v>
      </c>
      <c r="S9" s="5"/>
      <c r="T9" s="117"/>
      <c r="U9" s="117"/>
      <c r="V9" s="117"/>
      <c r="W9" s="117"/>
      <c r="X9" s="17" t="e">
        <f t="shared" ref="X9:AF9" si="5">SUM(X8/T8)-1</f>
        <v>#DIV/0!</v>
      </c>
      <c r="Y9" s="17" t="e">
        <f t="shared" si="5"/>
        <v>#REF!</v>
      </c>
      <c r="Z9" s="17">
        <f t="shared" si="5"/>
        <v>2.984891273651511</v>
      </c>
      <c r="AA9" s="17">
        <f t="shared" si="5"/>
        <v>1.0742241192215873</v>
      </c>
      <c r="AB9" s="17">
        <f t="shared" si="5"/>
        <v>1.257232401157184</v>
      </c>
      <c r="AC9" s="17">
        <f t="shared" si="5"/>
        <v>0.84912695851708442</v>
      </c>
      <c r="AD9" s="17">
        <f t="shared" si="5"/>
        <v>0.93221359980156615</v>
      </c>
      <c r="AE9" s="17">
        <f t="shared" si="5"/>
        <v>0.9896065848214286</v>
      </c>
      <c r="AF9" s="17">
        <f t="shared" si="5"/>
        <v>0.28005980988999246</v>
      </c>
      <c r="AH9" s="131">
        <f>SUM(AF9-AB9)*10000</f>
        <v>-9771.7259126719164</v>
      </c>
    </row>
    <row r="10" spans="2:34" ht="12.75" customHeight="1">
      <c r="B10" s="16" t="s">
        <v>30</v>
      </c>
      <c r="C10" s="117"/>
      <c r="D10" s="117"/>
      <c r="E10" s="117"/>
      <c r="F10" s="117"/>
      <c r="G10" s="11"/>
      <c r="H10" s="117"/>
      <c r="I10" s="17">
        <f t="shared" ref="I10:R10" si="6">SUM(I8/H8)-1</f>
        <v>-2.0415030846887228E-2</v>
      </c>
      <c r="J10" s="17">
        <f t="shared" si="6"/>
        <v>1.6374670788961376E-2</v>
      </c>
      <c r="K10" s="17">
        <f t="shared" si="6"/>
        <v>4.7205948625506977E-2</v>
      </c>
      <c r="L10" s="17">
        <f t="shared" si="6"/>
        <v>0.28682087143625612</v>
      </c>
      <c r="M10" s="17">
        <f t="shared" si="6"/>
        <v>4.3976256165872529E-2</v>
      </c>
      <c r="N10" s="17">
        <f t="shared" si="6"/>
        <v>4.6848722671578358E-2</v>
      </c>
      <c r="O10" s="17">
        <f t="shared" si="6"/>
        <v>7.5122399020807862E-2</v>
      </c>
      <c r="P10" s="17">
        <f t="shared" si="6"/>
        <v>6.1334851287889514E-2</v>
      </c>
      <c r="Q10" s="17">
        <f t="shared" si="6"/>
        <v>5.8997050147493457E-3</v>
      </c>
      <c r="R10" s="17">
        <f t="shared" si="6"/>
        <v>6.3183151159690754E-2</v>
      </c>
      <c r="S10" s="5"/>
      <c r="T10" s="17" t="s">
        <v>31</v>
      </c>
      <c r="U10" s="17" t="s">
        <v>31</v>
      </c>
      <c r="V10" s="17" t="s">
        <v>31</v>
      </c>
      <c r="W10" s="17" t="s">
        <v>31</v>
      </c>
      <c r="X10" s="17" t="s">
        <v>31</v>
      </c>
      <c r="Y10" s="17" t="s">
        <v>31</v>
      </c>
      <c r="Z10" s="17" t="s">
        <v>31</v>
      </c>
      <c r="AA10" s="17" t="s">
        <v>31</v>
      </c>
      <c r="AB10" s="17" t="s">
        <v>31</v>
      </c>
      <c r="AC10" s="17" t="s">
        <v>31</v>
      </c>
      <c r="AD10" s="17" t="s">
        <v>31</v>
      </c>
      <c r="AE10" s="17" t="s">
        <v>31</v>
      </c>
      <c r="AF10" s="17" t="s">
        <v>31</v>
      </c>
      <c r="AH10" s="128"/>
    </row>
    <row r="11" spans="2:34" ht="5.0999999999999996" customHeight="1">
      <c r="B11" s="18"/>
      <c r="C11" s="19"/>
      <c r="D11" s="19"/>
      <c r="E11" s="19"/>
      <c r="F11" s="19"/>
      <c r="G11" s="20"/>
      <c r="H11" s="21"/>
      <c r="I11" s="21"/>
      <c r="J11" s="21"/>
      <c r="K11" s="22"/>
      <c r="L11" s="21"/>
      <c r="M11" s="21"/>
      <c r="N11" s="21"/>
      <c r="O11" s="21"/>
      <c r="P11" s="21"/>
      <c r="Q11" s="21"/>
      <c r="R11" s="21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H11" s="128"/>
    </row>
    <row r="12" spans="2:34" ht="12.75" customHeight="1">
      <c r="B12" s="23" t="s">
        <v>168</v>
      </c>
      <c r="C12" s="96">
        <f>'Historical Financials'!C13</f>
        <v>-6555</v>
      </c>
      <c r="D12" s="96">
        <f>'Historical Financials'!D13</f>
        <v>-7629</v>
      </c>
      <c r="E12" s="96">
        <f>'Historical Financials'!E13</f>
        <v>-8636</v>
      </c>
      <c r="F12" s="96">
        <f>'Historical Financials'!F13</f>
        <v>-9797</v>
      </c>
      <c r="G12" s="10"/>
      <c r="H12" s="96">
        <f>'Historical Financials'!H13</f>
        <v>-2225</v>
      </c>
      <c r="I12" s="96">
        <f>'Historical Financials'!I13</f>
        <v>-2019</v>
      </c>
      <c r="J12" s="96">
        <f>'Historical Financials'!J13</f>
        <v>-2107</v>
      </c>
      <c r="K12" s="96">
        <f>'Historical Financials'!K13</f>
        <v>-2285</v>
      </c>
      <c r="L12" s="96">
        <f>'Historical Financials'!L13</f>
        <v>-2160</v>
      </c>
      <c r="M12" s="96">
        <f>'Historical Financials'!M13</f>
        <v>-2429</v>
      </c>
      <c r="N12" s="96">
        <f>'Historical Financials'!N13</f>
        <v>-2434</v>
      </c>
      <c r="O12" s="96">
        <f>'Historical Financials'!O13</f>
        <v>-2774</v>
      </c>
      <c r="P12" s="96">
        <f>'Historical Financials'!P13</f>
        <v>-2693</v>
      </c>
      <c r="Q12" s="96">
        <f>'Historical Financials'!Q13</f>
        <v>-2720</v>
      </c>
      <c r="R12" s="96">
        <f>'Historical Financials'!R13</f>
        <v>-3096</v>
      </c>
      <c r="S12" s="5"/>
      <c r="T12" s="10">
        <f t="shared" ref="T12:T15" si="7">SUM(G12:G12)</f>
        <v>0</v>
      </c>
      <c r="U12" s="10" t="e">
        <f>SUM(#REF!)</f>
        <v>#REF!</v>
      </c>
      <c r="V12" s="10">
        <f t="shared" ref="V12:V15" si="8">SUM(H12:H12)</f>
        <v>-2225</v>
      </c>
      <c r="W12" s="10">
        <f t="shared" ref="W12:W15" si="9">SUM(H12:I12)</f>
        <v>-4244</v>
      </c>
      <c r="X12" s="10">
        <f t="shared" ref="X12:X15" si="10">SUM(H12:J12)</f>
        <v>-6351</v>
      </c>
      <c r="Y12" s="10">
        <f t="shared" ref="Y12:Y15" si="11">SUM(H12:K12)</f>
        <v>-8636</v>
      </c>
      <c r="Z12" s="10">
        <f t="shared" ref="Z12:Z15" si="12">SUM(I12:L12)</f>
        <v>-8571</v>
      </c>
      <c r="AA12" s="10">
        <f t="shared" ref="AA12:AA15" si="13">SUM(J12:M12)</f>
        <v>-8981</v>
      </c>
      <c r="AB12" s="149">
        <f t="shared" ref="AB12:AB15" si="14">SUM(K12:N12)</f>
        <v>-9308</v>
      </c>
      <c r="AC12" s="149">
        <f t="shared" ref="AC12:AC15" si="15">SUM(L12:O12)</f>
        <v>-9797</v>
      </c>
      <c r="AD12" s="149">
        <f t="shared" ref="AD12:AD15" si="16">SUM(M12:P12)</f>
        <v>-10330</v>
      </c>
      <c r="AE12" s="149">
        <f t="shared" ref="AE12:AE15" si="17">SUM(N12:Q12)</f>
        <v>-10621</v>
      </c>
      <c r="AF12" s="149">
        <f t="shared" ref="AF12:AF15" si="18">SUM(O12:R12)</f>
        <v>-11283</v>
      </c>
      <c r="AH12" s="129">
        <f t="shared" ref="AH12:AH15" si="19">SUM(AF12/AB12)-1</f>
        <v>0.21218306832831968</v>
      </c>
    </row>
    <row r="13" spans="2:34" ht="12.75" customHeight="1">
      <c r="B13" s="23" t="s">
        <v>169</v>
      </c>
      <c r="C13" s="96">
        <f>'Historical Financials'!C14</f>
        <v>-607</v>
      </c>
      <c r="D13" s="96">
        <f>'Historical Financials'!D14</f>
        <v>-627</v>
      </c>
      <c r="E13" s="96">
        <f>'Historical Financials'!E14</f>
        <v>-636</v>
      </c>
      <c r="F13" s="96">
        <f>'Historical Financials'!F14</f>
        <v>-2991</v>
      </c>
      <c r="G13" s="10"/>
      <c r="H13" s="96">
        <f>'Historical Financials'!H14</f>
        <v>-149</v>
      </c>
      <c r="I13" s="96">
        <f>'Historical Financials'!I14</f>
        <v>-158</v>
      </c>
      <c r="J13" s="96">
        <f>'Historical Financials'!J14</f>
        <v>-165</v>
      </c>
      <c r="K13" s="96">
        <f>'Historical Financials'!K14</f>
        <v>-164</v>
      </c>
      <c r="L13" s="96">
        <f>'Historical Financials'!L14</f>
        <v>-954</v>
      </c>
      <c r="M13" s="96">
        <f>'Historical Financials'!M14</f>
        <v>-713</v>
      </c>
      <c r="N13" s="96">
        <f>'Historical Financials'!N14</f>
        <v>-699</v>
      </c>
      <c r="O13" s="96">
        <f>'Historical Financials'!O14</f>
        <v>-625</v>
      </c>
      <c r="P13" s="96">
        <f>'Historical Financials'!P14</f>
        <v>-580</v>
      </c>
      <c r="Q13" s="96">
        <f>'Historical Financials'!Q14</f>
        <v>-576</v>
      </c>
      <c r="R13" s="96">
        <f>'Historical Financials'!R14</f>
        <v>-608</v>
      </c>
      <c r="S13" s="5"/>
      <c r="T13" s="10">
        <f t="shared" si="7"/>
        <v>0</v>
      </c>
      <c r="U13" s="10" t="e">
        <f>SUM(#REF!)</f>
        <v>#REF!</v>
      </c>
      <c r="V13" s="10">
        <f t="shared" si="8"/>
        <v>-149</v>
      </c>
      <c r="W13" s="10">
        <f t="shared" si="9"/>
        <v>-307</v>
      </c>
      <c r="X13" s="10">
        <f t="shared" si="10"/>
        <v>-472</v>
      </c>
      <c r="Y13" s="10">
        <f t="shared" si="11"/>
        <v>-636</v>
      </c>
      <c r="Z13" s="10">
        <f t="shared" si="12"/>
        <v>-1441</v>
      </c>
      <c r="AA13" s="10">
        <f t="shared" si="13"/>
        <v>-1996</v>
      </c>
      <c r="AB13" s="149">
        <f t="shared" si="14"/>
        <v>-2530</v>
      </c>
      <c r="AC13" s="149">
        <f t="shared" si="15"/>
        <v>-2991</v>
      </c>
      <c r="AD13" s="149">
        <f t="shared" si="16"/>
        <v>-2617</v>
      </c>
      <c r="AE13" s="149">
        <f t="shared" si="17"/>
        <v>-2480</v>
      </c>
      <c r="AF13" s="149">
        <f t="shared" si="18"/>
        <v>-2389</v>
      </c>
      <c r="AH13" s="129">
        <f t="shared" si="19"/>
        <v>-5.5731225296442699E-2</v>
      </c>
    </row>
    <row r="14" spans="2:34" ht="12.75" customHeight="1">
      <c r="B14" s="23" t="s">
        <v>170</v>
      </c>
      <c r="C14" s="96">
        <f>'Historical Financials'!C15</f>
        <v>-3427</v>
      </c>
      <c r="D14" s="96">
        <f>'Historical Financials'!D15</f>
        <v>-2847</v>
      </c>
      <c r="E14" s="96">
        <f>'Historical Financials'!E15</f>
        <v>-1853</v>
      </c>
      <c r="F14" s="96">
        <f>'Historical Financials'!F15</f>
        <v>-6023</v>
      </c>
      <c r="G14" s="10"/>
      <c r="H14" s="96">
        <f>'Historical Financials'!H15</f>
        <v>-535</v>
      </c>
      <c r="I14" s="96">
        <f>'Historical Financials'!I15</f>
        <v>-441</v>
      </c>
      <c r="J14" s="96">
        <f>'Historical Financials'!J15</f>
        <v>-439</v>
      </c>
      <c r="K14" s="96">
        <f>'Historical Financials'!K15</f>
        <v>-438</v>
      </c>
      <c r="L14" s="96">
        <f>'Historical Financials'!L15</f>
        <v>-1380</v>
      </c>
      <c r="M14" s="96">
        <f>'Historical Financials'!M15</f>
        <v>-1516</v>
      </c>
      <c r="N14" s="96">
        <f>'Historical Financials'!N15</f>
        <v>-1525</v>
      </c>
      <c r="O14" s="96">
        <f>'Historical Financials'!O15</f>
        <v>-1602</v>
      </c>
      <c r="P14" s="96">
        <f>'Historical Financials'!P15</f>
        <v>-1484</v>
      </c>
      <c r="Q14" s="96">
        <f>'Historical Financials'!Q15</f>
        <v>-1483</v>
      </c>
      <c r="R14" s="96">
        <f>'Historical Financials'!R15</f>
        <v>-1519</v>
      </c>
      <c r="S14" s="5"/>
      <c r="T14" s="10">
        <f t="shared" si="7"/>
        <v>0</v>
      </c>
      <c r="U14" s="10" t="e">
        <f>SUM(#REF!)</f>
        <v>#REF!</v>
      </c>
      <c r="V14" s="10">
        <f t="shared" si="8"/>
        <v>-535</v>
      </c>
      <c r="W14" s="10">
        <f t="shared" si="9"/>
        <v>-976</v>
      </c>
      <c r="X14" s="10">
        <f t="shared" si="10"/>
        <v>-1415</v>
      </c>
      <c r="Y14" s="10">
        <f t="shared" si="11"/>
        <v>-1853</v>
      </c>
      <c r="Z14" s="10">
        <f t="shared" si="12"/>
        <v>-2698</v>
      </c>
      <c r="AA14" s="10">
        <f t="shared" si="13"/>
        <v>-3773</v>
      </c>
      <c r="AB14" s="149">
        <f t="shared" si="14"/>
        <v>-4859</v>
      </c>
      <c r="AC14" s="149">
        <f t="shared" si="15"/>
        <v>-6023</v>
      </c>
      <c r="AD14" s="149">
        <f t="shared" si="16"/>
        <v>-6127</v>
      </c>
      <c r="AE14" s="149">
        <f t="shared" si="17"/>
        <v>-6094</v>
      </c>
      <c r="AF14" s="149">
        <f t="shared" si="18"/>
        <v>-6088</v>
      </c>
      <c r="AH14" s="129">
        <f t="shared" si="19"/>
        <v>0.25293270220209929</v>
      </c>
    </row>
    <row r="15" spans="2:34" ht="12.75" customHeight="1">
      <c r="B15" s="23" t="s">
        <v>171</v>
      </c>
      <c r="C15" s="96">
        <f>'Historical Financials'!C16</f>
        <v>-17</v>
      </c>
      <c r="D15" s="96">
        <f>'Historical Financials'!D16</f>
        <v>-5</v>
      </c>
      <c r="E15" s="96">
        <f>'Historical Financials'!E16</f>
        <v>-4</v>
      </c>
      <c r="F15" s="96">
        <f>'Historical Financials'!F16</f>
        <v>-254</v>
      </c>
      <c r="G15" s="10"/>
      <c r="H15" s="96">
        <f>'Historical Financials'!H16</f>
        <v>-2</v>
      </c>
      <c r="I15" s="96">
        <f>'Historical Financials'!I16</f>
        <v>0</v>
      </c>
      <c r="J15" s="96">
        <f>'Historical Financials'!J16</f>
        <v>-1</v>
      </c>
      <c r="K15" s="96">
        <f>'Historical Financials'!K16</f>
        <v>-1</v>
      </c>
      <c r="L15" s="96">
        <f>'Historical Financials'!L16</f>
        <v>-92</v>
      </c>
      <c r="M15" s="96">
        <f>'Historical Financials'!M16</f>
        <v>-53</v>
      </c>
      <c r="N15" s="96">
        <f>'Historical Financials'!N16</f>
        <v>-58</v>
      </c>
      <c r="O15" s="96">
        <f>'Historical Financials'!O16</f>
        <v>-51</v>
      </c>
      <c r="P15" s="96">
        <f>'Historical Financials'!P16</f>
        <v>-14</v>
      </c>
      <c r="Q15" s="96">
        <f>'Historical Financials'!Q16</f>
        <v>-28</v>
      </c>
      <c r="R15" s="96">
        <f>'Historical Financials'!R16</f>
        <v>-26</v>
      </c>
      <c r="S15" s="5"/>
      <c r="T15" s="10">
        <f t="shared" si="7"/>
        <v>0</v>
      </c>
      <c r="U15" s="10" t="e">
        <f>SUM(#REF!)</f>
        <v>#REF!</v>
      </c>
      <c r="V15" s="10">
        <f t="shared" si="8"/>
        <v>-2</v>
      </c>
      <c r="W15" s="10">
        <f t="shared" si="9"/>
        <v>-2</v>
      </c>
      <c r="X15" s="10">
        <f t="shared" si="10"/>
        <v>-3</v>
      </c>
      <c r="Y15" s="10">
        <f t="shared" si="11"/>
        <v>-4</v>
      </c>
      <c r="Z15" s="10">
        <f t="shared" si="12"/>
        <v>-94</v>
      </c>
      <c r="AA15" s="10">
        <f t="shared" si="13"/>
        <v>-147</v>
      </c>
      <c r="AB15" s="149">
        <f t="shared" si="14"/>
        <v>-204</v>
      </c>
      <c r="AC15" s="149">
        <f t="shared" si="15"/>
        <v>-254</v>
      </c>
      <c r="AD15" s="149">
        <f t="shared" si="16"/>
        <v>-176</v>
      </c>
      <c r="AE15" s="149">
        <f t="shared" si="17"/>
        <v>-151</v>
      </c>
      <c r="AF15" s="149">
        <f t="shared" si="18"/>
        <v>-119</v>
      </c>
      <c r="AH15" s="129">
        <f t="shared" si="19"/>
        <v>-0.41666666666666663</v>
      </c>
    </row>
    <row r="16" spans="2:34" ht="12.75" customHeight="1">
      <c r="B16" s="25" t="s">
        <v>23</v>
      </c>
      <c r="C16" s="26">
        <f>SUM(C8+SUM(C12:C15))</f>
        <v>16844</v>
      </c>
      <c r="D16" s="26">
        <f t="shared" ref="D16:F16" si="20">SUM(D8+SUM(D12:D15))</f>
        <v>22095</v>
      </c>
      <c r="E16" s="26">
        <f t="shared" si="20"/>
        <v>24690</v>
      </c>
      <c r="F16" s="26">
        <f t="shared" si="20"/>
        <v>32509</v>
      </c>
      <c r="G16" s="5"/>
      <c r="H16" s="26">
        <f t="shared" ref="H16" si="21">SUM(H8+SUM(H12:H15))</f>
        <v>6004</v>
      </c>
      <c r="I16" s="26">
        <f t="shared" ref="I16" si="22">SUM(I8+SUM(I12:I15))</f>
        <v>6115</v>
      </c>
      <c r="J16" s="26">
        <f t="shared" ref="J16" si="23">SUM(J8+SUM(J12:J15))</f>
        <v>6164</v>
      </c>
      <c r="K16" s="26">
        <f t="shared" ref="K16" si="24">SUM(K8+SUM(K12:K15))</f>
        <v>6407</v>
      </c>
      <c r="L16" s="26">
        <f t="shared" ref="L16" si="25">SUM(L8+SUM(L12:L15))</f>
        <v>7375</v>
      </c>
      <c r="M16" s="26">
        <f t="shared" ref="M16" si="26">SUM(M8+SUM(M12:M15))</f>
        <v>7776</v>
      </c>
      <c r="N16" s="26">
        <f t="shared" ref="N16" si="27">SUM(N8+SUM(N12:N15))</f>
        <v>8356</v>
      </c>
      <c r="O16" s="26">
        <f t="shared" ref="O16" si="28">SUM(O8+SUM(O12:O15))</f>
        <v>9002</v>
      </c>
      <c r="P16" s="26">
        <f t="shared" ref="P16" si="29">SUM(P8+SUM(P12:P15))</f>
        <v>10145</v>
      </c>
      <c r="Q16" s="26">
        <f t="shared" ref="Q16" si="30">SUM(Q8+SUM(Q12:Q15))</f>
        <v>10197</v>
      </c>
      <c r="R16" s="26">
        <f t="shared" ref="R16" si="31">SUM(R8+SUM(R12:R15))</f>
        <v>10703</v>
      </c>
      <c r="S16" s="5"/>
      <c r="T16" s="26">
        <f t="shared" ref="T16" si="32">SUM(T8+SUM(T12:T15))</f>
        <v>0</v>
      </c>
      <c r="U16" s="26" t="e">
        <f t="shared" ref="U16" si="33">SUM(U8+SUM(U12:U15))</f>
        <v>#REF!</v>
      </c>
      <c r="V16" s="26">
        <f t="shared" ref="V16" si="34">SUM(V8+SUM(V12:V15))</f>
        <v>4171</v>
      </c>
      <c r="W16" s="26">
        <f t="shared" ref="W16" si="35">SUM(W8+SUM(W12:W15))</f>
        <v>8294</v>
      </c>
      <c r="X16" s="26">
        <f t="shared" ref="X16" si="36">SUM(X8+SUM(X12:X15))</f>
        <v>12499</v>
      </c>
      <c r="Y16" s="26">
        <f t="shared" ref="Y16" si="37">SUM(Y8+SUM(Y12:Y15))</f>
        <v>16762</v>
      </c>
      <c r="Z16" s="26">
        <f t="shared" ref="Z16" si="38">SUM(Z8+SUM(Z12:Z15))</f>
        <v>15417</v>
      </c>
      <c r="AA16" s="26">
        <f t="shared" ref="AA16" si="39">SUM(AA8+SUM(AA12:AA15))</f>
        <v>13775</v>
      </c>
      <c r="AB16" s="26">
        <f t="shared" ref="AB16" si="40">SUM(AB8+SUM(AB12:AB15))</f>
        <v>29914</v>
      </c>
      <c r="AC16" s="26">
        <f t="shared" ref="AC16" si="41">SUM(AC8+SUM(AC12:AC15))</f>
        <v>32509</v>
      </c>
      <c r="AD16" s="26">
        <f t="shared" ref="AD16" si="42">SUM(AD8+SUM(AD12:AD15))</f>
        <v>35279</v>
      </c>
      <c r="AE16" s="26">
        <f t="shared" ref="AE16" si="43">SUM(AE8+SUM(AE12:AE15))</f>
        <v>37700</v>
      </c>
      <c r="AF16" s="26">
        <f t="shared" ref="AF16" si="44">SUM(AF8+SUM(AF12:AF15))</f>
        <v>40047</v>
      </c>
      <c r="AH16" s="130">
        <f>SUM(AF16/AB16)-1</f>
        <v>0.33873771478237624</v>
      </c>
    </row>
    <row r="17" spans="2:34" ht="12.75" customHeight="1">
      <c r="B17" s="16" t="s">
        <v>32</v>
      </c>
      <c r="C17" s="17">
        <f>C16/C8</f>
        <v>0.61362477231329693</v>
      </c>
      <c r="D17" s="17">
        <f>D16/D8</f>
        <v>0.66545191699545225</v>
      </c>
      <c r="E17" s="17">
        <f>E16/E8</f>
        <v>0.68929897540411511</v>
      </c>
      <c r="F17" s="17">
        <f>F16/F8</f>
        <v>0.63033699150734868</v>
      </c>
      <c r="G17" s="27"/>
      <c r="H17" s="17">
        <f>H16/H8</f>
        <v>0.67347167694896237</v>
      </c>
      <c r="I17" s="17">
        <f>I16/I8</f>
        <v>0.70021756555593728</v>
      </c>
      <c r="J17" s="17">
        <f>J16/J8</f>
        <v>0.69445696259576384</v>
      </c>
      <c r="K17" s="17">
        <f>K16/K8</f>
        <v>0.68929532006455085</v>
      </c>
      <c r="L17" s="17">
        <f>L16/L8</f>
        <v>0.61658724186940894</v>
      </c>
      <c r="M17" s="17">
        <f>M16/M8</f>
        <v>0.62272763674221188</v>
      </c>
      <c r="N17" s="17">
        <f>N16/N8</f>
        <v>0.6392288861689106</v>
      </c>
      <c r="O17" s="17">
        <f>O16/O8</f>
        <v>0.64052938665148718</v>
      </c>
      <c r="P17" s="17">
        <f>P16/P8</f>
        <v>0.68014212925717354</v>
      </c>
      <c r="Q17" s="17">
        <f>Q16/Q8</f>
        <v>0.6796187683284457</v>
      </c>
      <c r="R17" s="17">
        <f>R16/R8</f>
        <v>0.67095035105315948</v>
      </c>
      <c r="S17" s="28"/>
      <c r="T17" s="17" t="e">
        <f>T16/T8</f>
        <v>#DIV/0!</v>
      </c>
      <c r="U17" s="17" t="e">
        <f>U16/U8</f>
        <v>#REF!</v>
      </c>
      <c r="V17" s="17">
        <f>V16/V8</f>
        <v>0.58895792149110415</v>
      </c>
      <c r="W17" s="17">
        <f>W16/W8</f>
        <v>0.60001446863922447</v>
      </c>
      <c r="X17" s="17">
        <f>X16/X8</f>
        <v>0.60265188042430085</v>
      </c>
      <c r="Y17" s="17">
        <f>Y16/Y8</f>
        <v>0.60098239575490298</v>
      </c>
      <c r="Z17" s="17">
        <f>Z16/Z8</f>
        <v>0.54629531200170089</v>
      </c>
      <c r="AA17" s="17">
        <f>AA16/AA8</f>
        <v>0.48043387276785715</v>
      </c>
      <c r="AB17" s="17">
        <f>AB16/AB8</f>
        <v>0.63898323187012707</v>
      </c>
      <c r="AC17" s="17">
        <f>AC16/AC8</f>
        <v>0.63033699150734868</v>
      </c>
      <c r="AD17" s="17">
        <f>AD16/AD8</f>
        <v>0.64697683801280048</v>
      </c>
      <c r="AE17" s="17">
        <f>AE16/AE8</f>
        <v>0.66087017494653433</v>
      </c>
      <c r="AF17" s="17">
        <f>AF16/AF8</f>
        <v>0.66827420485265165</v>
      </c>
      <c r="AH17" s="131">
        <f>SUM(AF17-AB17)*10000</f>
        <v>292.9097298252459</v>
      </c>
    </row>
    <row r="18" spans="2:34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H18" s="128"/>
    </row>
    <row r="19" spans="2:34" ht="12.75" customHeight="1">
      <c r="B19" s="23" t="s">
        <v>117</v>
      </c>
      <c r="C19" s="148">
        <f>'Historical Financials'!C20</f>
        <v>-4854</v>
      </c>
      <c r="D19" s="148">
        <f>'Historical Financials'!D20</f>
        <v>-4919</v>
      </c>
      <c r="E19" s="148">
        <f>'Historical Financials'!E20</f>
        <v>-5253</v>
      </c>
      <c r="F19" s="148">
        <f>'Historical Financials'!F20</f>
        <v>-9310</v>
      </c>
      <c r="G19" s="96"/>
      <c r="H19" s="148">
        <f>'Historical Financials'!H20</f>
        <v>-1195</v>
      </c>
      <c r="I19" s="148">
        <f>'Historical Financials'!I20</f>
        <v>-1312</v>
      </c>
      <c r="J19" s="148">
        <f>'Historical Financials'!J20</f>
        <v>-1358</v>
      </c>
      <c r="K19" s="148">
        <f>'Historical Financials'!K20</f>
        <v>-1388</v>
      </c>
      <c r="L19" s="148">
        <f>'Historical Financials'!L20</f>
        <v>-2308</v>
      </c>
      <c r="M19" s="148">
        <f>'Historical Financials'!M20</f>
        <v>-2415</v>
      </c>
      <c r="N19" s="148">
        <f>'Historical Financials'!N20</f>
        <v>-2353</v>
      </c>
      <c r="O19" s="148">
        <f>'Historical Financials'!O20</f>
        <v>-2234</v>
      </c>
      <c r="P19" s="148">
        <f>'Historical Financials'!P20</f>
        <v>-2253</v>
      </c>
      <c r="Q19" s="148">
        <f>'Historical Financials'!Q20</f>
        <v>-2693</v>
      </c>
      <c r="R19" s="148">
        <f>'Historical Financials'!R20</f>
        <v>-3050</v>
      </c>
      <c r="S19" s="5"/>
      <c r="T19" s="10">
        <f>SUM(G19:G19)</f>
        <v>0</v>
      </c>
      <c r="U19" s="10" t="e">
        <f>SUM(#REF!)</f>
        <v>#REF!</v>
      </c>
      <c r="V19" s="10">
        <f>SUM(H19:H19)</f>
        <v>-1195</v>
      </c>
      <c r="W19" s="10">
        <f>SUM(H19:I19)</f>
        <v>-2507</v>
      </c>
      <c r="X19" s="10">
        <f>SUM(H19:J19)</f>
        <v>-3865</v>
      </c>
      <c r="Y19" s="10">
        <f t="shared" ref="Y19:AF22" si="45">SUM(H19:K19)</f>
        <v>-5253</v>
      </c>
      <c r="Z19" s="10">
        <f t="shared" si="45"/>
        <v>-6366</v>
      </c>
      <c r="AA19" s="10">
        <f t="shared" si="45"/>
        <v>-7469</v>
      </c>
      <c r="AB19" s="149">
        <f t="shared" si="45"/>
        <v>-8464</v>
      </c>
      <c r="AC19" s="149">
        <f t="shared" si="45"/>
        <v>-9310</v>
      </c>
      <c r="AD19" s="149">
        <f t="shared" si="45"/>
        <v>-9255</v>
      </c>
      <c r="AE19" s="149">
        <f t="shared" si="45"/>
        <v>-9533</v>
      </c>
      <c r="AF19" s="149">
        <f t="shared" si="45"/>
        <v>-10230</v>
      </c>
      <c r="AH19" s="129">
        <f>SUM(AF19/AB19)-1</f>
        <v>0.20864839319470696</v>
      </c>
    </row>
    <row r="20" spans="2:34" ht="12.75" customHeight="1">
      <c r="B20" s="23" t="s">
        <v>118</v>
      </c>
      <c r="C20" s="148">
        <f>'Historical Financials'!C21</f>
        <v>-1347</v>
      </c>
      <c r="D20" s="148">
        <f>'Historical Financials'!D21</f>
        <v>-1382</v>
      </c>
      <c r="E20" s="148">
        <f>'Historical Financials'!E21</f>
        <v>-1592</v>
      </c>
      <c r="F20" s="148">
        <f>'Historical Financials'!F21</f>
        <v>-4959</v>
      </c>
      <c r="G20" s="96"/>
      <c r="H20" s="148">
        <f>'Historical Financials'!H21</f>
        <v>-348</v>
      </c>
      <c r="I20" s="148">
        <f>'Historical Financials'!I21</f>
        <v>-438</v>
      </c>
      <c r="J20" s="148">
        <f>'Historical Financials'!J21</f>
        <v>-388</v>
      </c>
      <c r="K20" s="148">
        <f>'Historical Financials'!K21</f>
        <v>-418</v>
      </c>
      <c r="L20" s="148">
        <f>'Historical Financials'!L21</f>
        <v>-1572</v>
      </c>
      <c r="M20" s="148">
        <f>'Historical Financials'!M21</f>
        <v>-1277</v>
      </c>
      <c r="N20" s="148">
        <f>'Historical Financials'!N21</f>
        <v>-1100</v>
      </c>
      <c r="O20" s="148">
        <f>'Historical Financials'!O21</f>
        <v>-1010</v>
      </c>
      <c r="P20" s="148">
        <f>'Historical Financials'!P21</f>
        <v>-949</v>
      </c>
      <c r="Q20" s="148">
        <f>'Historical Financials'!Q21</f>
        <v>-1083</v>
      </c>
      <c r="R20" s="148">
        <f>'Historical Financials'!R21</f>
        <v>-1072</v>
      </c>
      <c r="S20" s="5"/>
      <c r="T20" s="10">
        <f>SUM(G20:G20)</f>
        <v>0</v>
      </c>
      <c r="U20" s="10" t="e">
        <f>SUM(#REF!)</f>
        <v>#REF!</v>
      </c>
      <c r="V20" s="10">
        <f>SUM(H20:H20)</f>
        <v>-348</v>
      </c>
      <c r="W20" s="10">
        <f>SUM(H20:I20)</f>
        <v>-786</v>
      </c>
      <c r="X20" s="10">
        <f>SUM(H20:J20)</f>
        <v>-1174</v>
      </c>
      <c r="Y20" s="10">
        <f t="shared" ref="Y20" si="46">SUM(H20:K20)</f>
        <v>-1592</v>
      </c>
      <c r="Z20" s="10">
        <f t="shared" ref="Z20" si="47">SUM(I20:L20)</f>
        <v>-2816</v>
      </c>
      <c r="AA20" s="10">
        <f t="shared" ref="AA20" si="48">SUM(J20:M20)</f>
        <v>-3655</v>
      </c>
      <c r="AB20" s="149">
        <f t="shared" ref="AB20" si="49">SUM(K20:N20)</f>
        <v>-4367</v>
      </c>
      <c r="AC20" s="149">
        <f t="shared" ref="AC20" si="50">SUM(L20:O20)</f>
        <v>-4959</v>
      </c>
      <c r="AD20" s="149">
        <f t="shared" ref="AD20" si="51">SUM(M20:P20)</f>
        <v>-4336</v>
      </c>
      <c r="AE20" s="149">
        <f t="shared" ref="AE20" si="52">SUM(N20:Q20)</f>
        <v>-4142</v>
      </c>
      <c r="AF20" s="149">
        <f t="shared" ref="AF20" si="53">SUM(O20:R20)</f>
        <v>-4114</v>
      </c>
      <c r="AH20" s="129">
        <f>SUM(AF20/AB20)-1</f>
        <v>-5.7934508816120944E-2</v>
      </c>
    </row>
    <row r="21" spans="2:34" ht="12.75" customHeight="1">
      <c r="B21" s="23" t="s">
        <v>119</v>
      </c>
      <c r="C21" s="148">
        <f>'Historical Financials'!C22</f>
        <v>-1976</v>
      </c>
      <c r="D21" s="148">
        <f>'Historical Financials'!D22</f>
        <v>-1512</v>
      </c>
      <c r="E21" s="148">
        <f>'Historical Financials'!E22</f>
        <v>-1394</v>
      </c>
      <c r="F21" s="148">
        <f>'Historical Financials'!F22</f>
        <v>-3244</v>
      </c>
      <c r="G21" s="96"/>
      <c r="H21" s="148">
        <f>'Historical Financials'!H22</f>
        <v>-348</v>
      </c>
      <c r="I21" s="148">
        <f>'Historical Financials'!I22</f>
        <v>-348</v>
      </c>
      <c r="J21" s="148">
        <f>'Historical Financials'!J22</f>
        <v>-350</v>
      </c>
      <c r="K21" s="148">
        <f>'Historical Financials'!K22</f>
        <v>-348</v>
      </c>
      <c r="L21" s="148">
        <f>'Historical Financials'!L22</f>
        <v>-792</v>
      </c>
      <c r="M21" s="148">
        <f>'Historical Financials'!M22</f>
        <v>-827</v>
      </c>
      <c r="N21" s="148">
        <f>'Historical Financials'!N22</f>
        <v>-812</v>
      </c>
      <c r="O21" s="148">
        <f>'Historical Financials'!O22</f>
        <v>-813</v>
      </c>
      <c r="P21" s="148">
        <f>'Historical Financials'!P22</f>
        <v>-511</v>
      </c>
      <c r="Q21" s="148">
        <f>'Historical Financials'!Q22</f>
        <v>-506</v>
      </c>
      <c r="R21" s="148">
        <f>'Historical Financials'!R22</f>
        <v>-507</v>
      </c>
      <c r="S21" s="5"/>
      <c r="T21" s="10">
        <f>SUM(G21:G21)</f>
        <v>0</v>
      </c>
      <c r="U21" s="10" t="e">
        <f>SUM(#REF!)</f>
        <v>#REF!</v>
      </c>
      <c r="V21" s="10">
        <f>SUM(H21:H21)</f>
        <v>-348</v>
      </c>
      <c r="W21" s="10">
        <f>SUM(H21:I21)</f>
        <v>-696</v>
      </c>
      <c r="X21" s="10">
        <f>SUM(H21:J21)</f>
        <v>-1046</v>
      </c>
      <c r="Y21" s="10">
        <f t="shared" si="45"/>
        <v>-1394</v>
      </c>
      <c r="Z21" s="10">
        <f t="shared" si="45"/>
        <v>-1838</v>
      </c>
      <c r="AA21" s="10">
        <f t="shared" si="45"/>
        <v>-2317</v>
      </c>
      <c r="AB21" s="149">
        <f t="shared" si="45"/>
        <v>-2779</v>
      </c>
      <c r="AC21" s="149">
        <f t="shared" si="45"/>
        <v>-3244</v>
      </c>
      <c r="AD21" s="149">
        <f t="shared" si="45"/>
        <v>-2963</v>
      </c>
      <c r="AE21" s="149">
        <f t="shared" si="45"/>
        <v>-2642</v>
      </c>
      <c r="AF21" s="149">
        <f t="shared" si="45"/>
        <v>-2337</v>
      </c>
      <c r="AH21" s="129">
        <f>SUM(AF21/AB21)-1</f>
        <v>-0.15905001799208351</v>
      </c>
    </row>
    <row r="22" spans="2:34" ht="12.75" customHeight="1">
      <c r="B22" s="23" t="s">
        <v>120</v>
      </c>
      <c r="C22" s="148">
        <f>'Historical Financials'!C23</f>
        <v>-148</v>
      </c>
      <c r="D22" s="148">
        <f>'Historical Financials'!D23</f>
        <v>-57</v>
      </c>
      <c r="E22" s="148">
        <f>'Historical Financials'!E23</f>
        <v>-244</v>
      </c>
      <c r="F22" s="148">
        <f>'Historical Financials'!F23</f>
        <v>-1533</v>
      </c>
      <c r="G22" s="96"/>
      <c r="H22" s="148">
        <f>'Historical Financials'!H23</f>
        <v>-10</v>
      </c>
      <c r="I22" s="148">
        <f>'Historical Financials'!I23</f>
        <v>-9</v>
      </c>
      <c r="J22" s="148">
        <f>'Historical Financials'!J23</f>
        <v>-212</v>
      </c>
      <c r="K22" s="148">
        <f>'Historical Financials'!K23</f>
        <v>-13</v>
      </c>
      <c r="L22" s="148">
        <f>'Historical Financials'!L23</f>
        <v>-620</v>
      </c>
      <c r="M22" s="148">
        <f>'Historical Financials'!M23</f>
        <v>-292</v>
      </c>
      <c r="N22" s="148">
        <f>'Historical Financials'!N23</f>
        <v>-303</v>
      </c>
      <c r="O22" s="148">
        <f>'Historical Financials'!O23</f>
        <v>-318</v>
      </c>
      <c r="P22" s="148">
        <f>'Historical Financials'!P23</f>
        <v>-172</v>
      </c>
      <c r="Q22" s="148">
        <f>'Historical Financials'!Q23</f>
        <v>-86</v>
      </c>
      <c r="R22" s="148">
        <f>'Historical Financials'!R23</f>
        <v>-187</v>
      </c>
      <c r="S22" s="5"/>
      <c r="T22" s="10">
        <f>SUM(G22:G22)</f>
        <v>0</v>
      </c>
      <c r="U22" s="10" t="e">
        <f>SUM(#REF!)</f>
        <v>#REF!</v>
      </c>
      <c r="V22" s="10">
        <f>SUM(H22:H22)</f>
        <v>-10</v>
      </c>
      <c r="W22" s="10">
        <f>SUM(H22:I22)</f>
        <v>-19</v>
      </c>
      <c r="X22" s="10">
        <f>SUM(H22:J22)</f>
        <v>-231</v>
      </c>
      <c r="Y22" s="10">
        <f t="shared" si="45"/>
        <v>-244</v>
      </c>
      <c r="Z22" s="10">
        <f t="shared" si="45"/>
        <v>-854</v>
      </c>
      <c r="AA22" s="10">
        <f t="shared" si="45"/>
        <v>-1137</v>
      </c>
      <c r="AB22" s="149">
        <f t="shared" si="45"/>
        <v>-1228</v>
      </c>
      <c r="AC22" s="149">
        <f t="shared" si="45"/>
        <v>-1533</v>
      </c>
      <c r="AD22" s="149">
        <f t="shared" si="45"/>
        <v>-1085</v>
      </c>
      <c r="AE22" s="149">
        <f t="shared" si="45"/>
        <v>-879</v>
      </c>
      <c r="AF22" s="149">
        <f t="shared" si="45"/>
        <v>-763</v>
      </c>
      <c r="AH22" s="129">
        <f>SUM(AF22/AB22)-1</f>
        <v>-0.37866449511400646</v>
      </c>
    </row>
    <row r="23" spans="2:34" ht="12.75" customHeight="1">
      <c r="B23" s="13" t="s">
        <v>33</v>
      </c>
      <c r="C23" s="14">
        <f>SUM(C16+SUM(C19:C22))</f>
        <v>8519</v>
      </c>
      <c r="D23" s="14">
        <f>SUM(D16+SUM(D19:D22))</f>
        <v>14225</v>
      </c>
      <c r="E23" s="14">
        <f>SUM(E16+SUM(E19:E22))</f>
        <v>16207</v>
      </c>
      <c r="F23" s="14">
        <f>SUM(F16+SUM(F19:F22))</f>
        <v>13463</v>
      </c>
      <c r="G23" s="11"/>
      <c r="H23" s="14">
        <f t="shared" ref="H23:R23" si="54">SUM(H16+SUM(H19:H22))</f>
        <v>4103</v>
      </c>
      <c r="I23" s="14">
        <f t="shared" si="54"/>
        <v>4008</v>
      </c>
      <c r="J23" s="14">
        <f t="shared" si="54"/>
        <v>3856</v>
      </c>
      <c r="K23" s="14">
        <f t="shared" si="54"/>
        <v>4240</v>
      </c>
      <c r="L23" s="14">
        <f t="shared" si="54"/>
        <v>2083</v>
      </c>
      <c r="M23" s="14">
        <f t="shared" si="54"/>
        <v>2965</v>
      </c>
      <c r="N23" s="14">
        <f t="shared" si="54"/>
        <v>3788</v>
      </c>
      <c r="O23" s="14">
        <f t="shared" si="54"/>
        <v>4627</v>
      </c>
      <c r="P23" s="14">
        <f t="shared" si="54"/>
        <v>6260</v>
      </c>
      <c r="Q23" s="14">
        <f t="shared" si="54"/>
        <v>5829</v>
      </c>
      <c r="R23" s="14">
        <f t="shared" si="54"/>
        <v>5887</v>
      </c>
      <c r="S23" s="5"/>
      <c r="T23" s="14">
        <f t="shared" ref="T23:AF23" si="55">SUM(T16+SUM(T19:T22))</f>
        <v>0</v>
      </c>
      <c r="U23" s="14" t="e">
        <f t="shared" si="55"/>
        <v>#REF!</v>
      </c>
      <c r="V23" s="14">
        <f t="shared" si="55"/>
        <v>2270</v>
      </c>
      <c r="W23" s="14">
        <f t="shared" si="55"/>
        <v>4286</v>
      </c>
      <c r="X23" s="14">
        <f t="shared" si="55"/>
        <v>6183</v>
      </c>
      <c r="Y23" s="14">
        <f t="shared" si="55"/>
        <v>8279</v>
      </c>
      <c r="Z23" s="14">
        <f t="shared" si="55"/>
        <v>3543</v>
      </c>
      <c r="AA23" s="14">
        <f t="shared" si="55"/>
        <v>-803</v>
      </c>
      <c r="AB23" s="14">
        <f t="shared" si="55"/>
        <v>13076</v>
      </c>
      <c r="AC23" s="14">
        <f t="shared" si="55"/>
        <v>13463</v>
      </c>
      <c r="AD23" s="14">
        <f t="shared" si="55"/>
        <v>17640</v>
      </c>
      <c r="AE23" s="14">
        <f t="shared" si="55"/>
        <v>20504</v>
      </c>
      <c r="AF23" s="14">
        <f t="shared" si="55"/>
        <v>22603</v>
      </c>
      <c r="AH23" s="130">
        <f>SUM(AF23/AB23)-1</f>
        <v>0.72858672376873668</v>
      </c>
    </row>
    <row r="24" spans="2:34" ht="12.75" customHeight="1">
      <c r="B24" s="16" t="s">
        <v>34</v>
      </c>
      <c r="C24" s="17">
        <f>C23/C8</f>
        <v>0.31034608378870676</v>
      </c>
      <c r="D24" s="17">
        <f>D23/D8</f>
        <v>0.42842514230641809</v>
      </c>
      <c r="E24" s="17">
        <f>E23/E8</f>
        <v>0.45246935983695802</v>
      </c>
      <c r="F24" s="17">
        <f>F23/F8</f>
        <v>0.26104238569822003</v>
      </c>
      <c r="G24" s="27"/>
      <c r="H24" s="17">
        <f>H23/H8</f>
        <v>0.4602355580482333</v>
      </c>
      <c r="I24" s="17">
        <f>I23/I8</f>
        <v>0.45894881484026107</v>
      </c>
      <c r="J24" s="17">
        <f>J23/J8</f>
        <v>0.43442992338891395</v>
      </c>
      <c r="K24" s="17">
        <f>K23/K8</f>
        <v>0.45615922538999459</v>
      </c>
      <c r="L24" s="17">
        <f>L23/L8</f>
        <v>0.17414931861884458</v>
      </c>
      <c r="M24" s="17">
        <f>M23/M8</f>
        <v>0.23744694482261552</v>
      </c>
      <c r="N24" s="17">
        <f>N23/N8</f>
        <v>0.28977968176254593</v>
      </c>
      <c r="O24" s="17">
        <f>O23/O8</f>
        <v>0.3292301124235093</v>
      </c>
      <c r="P24" s="17">
        <f>P23/P8</f>
        <v>0.41968356127648165</v>
      </c>
      <c r="Q24" s="17">
        <f>Q23/Q8</f>
        <v>0.38849640095974408</v>
      </c>
      <c r="R24" s="17">
        <f>R23/R8</f>
        <v>0.36904463390170511</v>
      </c>
      <c r="S24" s="28"/>
      <c r="T24" s="17" t="e">
        <f>T23/T8</f>
        <v>#DIV/0!</v>
      </c>
      <c r="U24" s="17" t="e">
        <f>U23/U8</f>
        <v>#REF!</v>
      </c>
      <c r="V24" s="17">
        <f>V23/V8</f>
        <v>0.32053092346794693</v>
      </c>
      <c r="W24" s="17">
        <f>W23/W8</f>
        <v>0.3100629385806265</v>
      </c>
      <c r="X24" s="17">
        <f>X23/X8</f>
        <v>0.29811957569913211</v>
      </c>
      <c r="Y24" s="17">
        <f>Y23/Y8</f>
        <v>0.29683410419131617</v>
      </c>
      <c r="Z24" s="17">
        <f>Z23/Z8</f>
        <v>0.1255448070585734</v>
      </c>
      <c r="AA24" s="17">
        <f>AA23/AA8</f>
        <v>-2.8006417410714284E-2</v>
      </c>
      <c r="AB24" s="17">
        <f>AB23/AB8</f>
        <v>0.27931218626508597</v>
      </c>
      <c r="AC24" s="17">
        <f>AC23/AC8</f>
        <v>0.26104238569822003</v>
      </c>
      <c r="AD24" s="17">
        <f>AD23/AD8</f>
        <v>0.32349758843917914</v>
      </c>
      <c r="AE24" s="17">
        <f>AE23/AE8</f>
        <v>0.35942923254917086</v>
      </c>
      <c r="AF24" s="17">
        <f>AF23/AF8</f>
        <v>0.37718185762440343</v>
      </c>
      <c r="AH24" s="131">
        <f>SUM(AF24-AB24)*10000</f>
        <v>978.69671359317454</v>
      </c>
    </row>
    <row r="25" spans="2:34" ht="5.0999999999999996" customHeight="1">
      <c r="AH25" s="128"/>
    </row>
    <row r="26" spans="2:34" ht="12.75" customHeight="1">
      <c r="B26" s="31" t="s">
        <v>116</v>
      </c>
      <c r="C26" s="148">
        <f>SUM('Historical Financials'!C95:C96)</f>
        <v>6041</v>
      </c>
      <c r="D26" s="148">
        <f>SUM('Historical Financials'!D95:D96)</f>
        <v>4984</v>
      </c>
      <c r="E26" s="148">
        <f>SUM('Historical Financials'!E95:E96)</f>
        <v>3835</v>
      </c>
      <c r="F26" s="148">
        <f>SUM('Historical Financials'!F95:F96)</f>
        <v>10010</v>
      </c>
      <c r="H26" s="148">
        <f>SUM('Historical Financials'!H95:H96)</f>
        <v>1032</v>
      </c>
      <c r="I26" s="148">
        <f>SUM('Historical Financials'!I95:I96)</f>
        <v>939</v>
      </c>
      <c r="J26" s="148">
        <f>SUM('Historical Financials'!J95:J96)</f>
        <v>932</v>
      </c>
      <c r="K26" s="148">
        <f>SUM('Historical Financials'!K95:K96)</f>
        <v>932</v>
      </c>
      <c r="L26" s="148">
        <f>SUM('Historical Financials'!L95:L96)</f>
        <v>2345</v>
      </c>
      <c r="M26" s="148">
        <f>SUM('Historical Financials'!M95:M96)</f>
        <v>2530</v>
      </c>
      <c r="N26" s="148">
        <f>SUM('Historical Financials'!N95:N96)</f>
        <v>2524</v>
      </c>
      <c r="O26" s="148">
        <f>SUM('Historical Financials'!O95:O96)</f>
        <v>2611</v>
      </c>
      <c r="P26" s="148">
        <f>SUM('Historical Financials'!P95:P96)</f>
        <v>2174</v>
      </c>
      <c r="Q26" s="148">
        <f>SUM('Historical Financials'!Q95:Q96)</f>
        <v>2166</v>
      </c>
      <c r="R26" s="148">
        <f>SUM('Historical Financials'!R95:R96)</f>
        <v>2202</v>
      </c>
      <c r="T26" s="10">
        <f>SUM(G26:G26)</f>
        <v>0</v>
      </c>
      <c r="U26" s="10" t="e">
        <f>SUM(#REF!)</f>
        <v>#REF!</v>
      </c>
      <c r="V26" s="10">
        <f>SUM(H26:H26)</f>
        <v>1032</v>
      </c>
      <c r="W26" s="10">
        <f>SUM(H26:I26)</f>
        <v>1971</v>
      </c>
      <c r="X26" s="10">
        <f>SUM(H26:J26)</f>
        <v>2903</v>
      </c>
      <c r="Y26" s="10">
        <f t="shared" ref="Y26:AF26" si="56">SUM(H26:K26)</f>
        <v>3835</v>
      </c>
      <c r="Z26" s="10">
        <f t="shared" si="56"/>
        <v>5148</v>
      </c>
      <c r="AA26" s="10">
        <f t="shared" si="56"/>
        <v>6739</v>
      </c>
      <c r="AB26" s="10">
        <f t="shared" si="56"/>
        <v>8331</v>
      </c>
      <c r="AC26" s="10">
        <f t="shared" si="56"/>
        <v>10010</v>
      </c>
      <c r="AD26" s="10">
        <f t="shared" si="56"/>
        <v>9839</v>
      </c>
      <c r="AE26" s="10">
        <f t="shared" si="56"/>
        <v>9475</v>
      </c>
      <c r="AF26" s="10">
        <f t="shared" si="56"/>
        <v>9153</v>
      </c>
      <c r="AH26" s="129">
        <f>SUM(AF26/AB26)-1</f>
        <v>9.8667626935541985E-2</v>
      </c>
    </row>
    <row r="27" spans="2:34" ht="12.75" customHeight="1">
      <c r="B27" s="25" t="s">
        <v>11</v>
      </c>
      <c r="C27" s="26">
        <f>SUM(C23+SUM(C26:C26))</f>
        <v>14560</v>
      </c>
      <c r="D27" s="26">
        <f>SUM(D23+SUM(D26:D26))</f>
        <v>19209</v>
      </c>
      <c r="E27" s="26">
        <f>SUM(E23+SUM(E26:E26))</f>
        <v>20042</v>
      </c>
      <c r="F27" s="26">
        <f>SUM(F23+SUM(F26:F26))</f>
        <v>23473</v>
      </c>
      <c r="H27" s="26">
        <f>SUM(H23+SUM(H26:H26))</f>
        <v>5135</v>
      </c>
      <c r="I27" s="26">
        <f>SUM(I23+SUM(I26:I26))</f>
        <v>4947</v>
      </c>
      <c r="J27" s="26">
        <f>SUM(J23+SUM(J26:J26))</f>
        <v>4788</v>
      </c>
      <c r="K27" s="26">
        <f>SUM(K23+SUM(K26:K26))</f>
        <v>5172</v>
      </c>
      <c r="L27" s="26">
        <f>SUM(L23+SUM(L26:L26))</f>
        <v>4428</v>
      </c>
      <c r="M27" s="26">
        <f>SUM(M23+SUM(M26:M26))</f>
        <v>5495</v>
      </c>
      <c r="N27" s="26">
        <f>SUM(N23+SUM(N26:N26))</f>
        <v>6312</v>
      </c>
      <c r="O27" s="26">
        <f>SUM(O23+SUM(O26:O26))</f>
        <v>7238</v>
      </c>
      <c r="P27" s="26">
        <f>SUM(P23+SUM(P26:P26))</f>
        <v>8434</v>
      </c>
      <c r="Q27" s="26">
        <f>SUM(Q23+SUM(Q26:Q26))</f>
        <v>7995</v>
      </c>
      <c r="R27" s="26">
        <f>SUM(R23+SUM(R26:R26))</f>
        <v>8089</v>
      </c>
      <c r="T27" s="26">
        <f>SUM(T23+SUM(T26:T26))</f>
        <v>0</v>
      </c>
      <c r="U27" s="26" t="e">
        <f>SUM(U23+SUM(U26:U26))</f>
        <v>#REF!</v>
      </c>
      <c r="V27" s="26">
        <f>SUM(V23+SUM(V26:V26))</f>
        <v>3302</v>
      </c>
      <c r="W27" s="26">
        <f>SUM(W23+SUM(W26:W26))</f>
        <v>6257</v>
      </c>
      <c r="X27" s="26">
        <f>SUM(X23+SUM(X26:X26))</f>
        <v>9086</v>
      </c>
      <c r="Y27" s="26">
        <f>SUM(Y23+SUM(Y26:Y26))</f>
        <v>12114</v>
      </c>
      <c r="Z27" s="26">
        <f>SUM(Z23+SUM(Z26:Z26))</f>
        <v>8691</v>
      </c>
      <c r="AA27" s="26">
        <f>SUM(AA23+SUM(AA26:AA26))</f>
        <v>5936</v>
      </c>
      <c r="AB27" s="26">
        <f>SUM(AB23+SUM(AB26:AB26))</f>
        <v>21407</v>
      </c>
      <c r="AC27" s="26">
        <f>SUM(AC23+SUM(AC26:AC26))</f>
        <v>23473</v>
      </c>
      <c r="AD27" s="26">
        <f>SUM(AD23+SUM(AD26:AD26))</f>
        <v>27479</v>
      </c>
      <c r="AE27" s="26">
        <f>SUM(AE23+SUM(AE26:AE26))</f>
        <v>29979</v>
      </c>
      <c r="AF27" s="26">
        <f>SUM(AF23+SUM(AF26:AF26))</f>
        <v>31756</v>
      </c>
      <c r="AH27" s="130">
        <f>SUM(AF27/AB27)-1</f>
        <v>0.48343999626290457</v>
      </c>
    </row>
    <row r="28" spans="2:34" ht="12.75" customHeight="1">
      <c r="B28" s="16" t="s">
        <v>35</v>
      </c>
      <c r="C28" s="17">
        <f>C27/C8</f>
        <v>0.53041894353369767</v>
      </c>
      <c r="D28" s="17">
        <f>D27/D8</f>
        <v>0.57853206035599192</v>
      </c>
      <c r="E28" s="17">
        <f>E27/E8</f>
        <v>0.55953544208381023</v>
      </c>
      <c r="F28" s="17">
        <f>F27/F8</f>
        <v>0.45513243106991896</v>
      </c>
      <c r="H28" s="17">
        <f>H27/H8</f>
        <v>0.57599551318003361</v>
      </c>
      <c r="I28" s="17">
        <f>I27/I8</f>
        <v>0.56647200274819653</v>
      </c>
      <c r="J28" s="17">
        <f>J27/J8</f>
        <v>0.5394321766561514</v>
      </c>
      <c r="K28" s="17">
        <f>K27/K8</f>
        <v>0.55642818719741793</v>
      </c>
      <c r="L28" s="17">
        <f>L27/L8</f>
        <v>0.37020316027088035</v>
      </c>
      <c r="M28" s="17">
        <f>M27/M8</f>
        <v>0.44005765996636503</v>
      </c>
      <c r="N28" s="17">
        <f>N27/N8</f>
        <v>0.48286413708690329</v>
      </c>
      <c r="O28" s="17">
        <f>O27/O8</f>
        <v>0.51501351928276651</v>
      </c>
      <c r="P28" s="17">
        <f>P27/P8</f>
        <v>0.5654330919817645</v>
      </c>
      <c r="Q28" s="17">
        <f>Q27/Q8</f>
        <v>0.53285790455878435</v>
      </c>
      <c r="R28" s="17">
        <f>R27/R8</f>
        <v>0.50708375125376126</v>
      </c>
      <c r="T28" s="17" t="e">
        <f>T27/T8</f>
        <v>#DIV/0!</v>
      </c>
      <c r="U28" s="17" t="e">
        <f>U27/U8</f>
        <v>#REF!</v>
      </c>
      <c r="V28" s="17">
        <f>V27/V8</f>
        <v>0.46625247105337475</v>
      </c>
      <c r="W28" s="17">
        <f>W27/W8</f>
        <v>0.45265137813788614</v>
      </c>
      <c r="X28" s="17">
        <f>X27/X8</f>
        <v>0.43809064609450338</v>
      </c>
      <c r="Y28" s="17">
        <f>Y27/Y8</f>
        <v>0.43433365601807034</v>
      </c>
      <c r="Z28" s="17">
        <f>Z27/Z8</f>
        <v>0.30796215584139469</v>
      </c>
      <c r="AA28" s="17">
        <f>AA27/AA8</f>
        <v>0.20703125</v>
      </c>
      <c r="AB28" s="17">
        <f>AB27/AB8</f>
        <v>0.4572679696678415</v>
      </c>
      <c r="AC28" s="17">
        <f>AC27/AC8</f>
        <v>0.45513243106991896</v>
      </c>
      <c r="AD28" s="17">
        <f>AD27/AD8</f>
        <v>0.50393368666214311</v>
      </c>
      <c r="AE28" s="17">
        <f>AE27/AE8</f>
        <v>0.52552326192896959</v>
      </c>
      <c r="AF28" s="17">
        <f>AF27/AF8</f>
        <v>0.52992023495644625</v>
      </c>
      <c r="AH28" s="131">
        <f>SUM(AF28-AB28)*10000</f>
        <v>726.52265288604747</v>
      </c>
    </row>
    <row r="29" spans="2:34" ht="5.0999999999999996" customHeight="1">
      <c r="AH29" s="128"/>
    </row>
    <row r="30" spans="2:34" ht="12.75" customHeight="1">
      <c r="B30" s="31" t="s">
        <v>172</v>
      </c>
      <c r="C30" s="148">
        <f>'Historical Financials'!C97</f>
        <v>1704</v>
      </c>
      <c r="D30" s="148">
        <f>'Historical Financials'!D97</f>
        <v>1533</v>
      </c>
      <c r="E30" s="148">
        <f>'Historical Financials'!E97</f>
        <v>2171</v>
      </c>
      <c r="F30" s="148">
        <f>'Historical Financials'!F97</f>
        <v>5741</v>
      </c>
      <c r="H30" s="148">
        <f>'Historical Financials'!H97</f>
        <v>391</v>
      </c>
      <c r="I30" s="148">
        <f>'Historical Financials'!I97</f>
        <v>513</v>
      </c>
      <c r="J30" s="148">
        <f>'Historical Financials'!J97</f>
        <v>629</v>
      </c>
      <c r="K30" s="148">
        <f>'Historical Financials'!K97</f>
        <v>638</v>
      </c>
      <c r="L30" s="148">
        <f>'Historical Financials'!L97</f>
        <v>1582</v>
      </c>
      <c r="M30" s="148">
        <f>'Historical Financials'!M97</f>
        <v>1457</v>
      </c>
      <c r="N30" s="148">
        <f>'Historical Financials'!N97</f>
        <v>1388</v>
      </c>
      <c r="O30" s="148">
        <f>'Historical Financials'!O97</f>
        <v>1314</v>
      </c>
      <c r="P30" s="148">
        <f>'Historical Financials'!P97</f>
        <v>1280</v>
      </c>
      <c r="Q30" s="148">
        <f>'Historical Financials'!Q97</f>
        <v>1771</v>
      </c>
      <c r="R30" s="148">
        <f>'Historical Financials'!R97</f>
        <v>2322</v>
      </c>
      <c r="T30" s="10">
        <f>SUM(G30:G30)</f>
        <v>0</v>
      </c>
      <c r="U30" s="10" t="e">
        <f>SUM(#REF!)</f>
        <v>#REF!</v>
      </c>
      <c r="V30" s="10">
        <f>SUM(H30:H30)</f>
        <v>391</v>
      </c>
      <c r="W30" s="10">
        <f>SUM(H30:I30)</f>
        <v>904</v>
      </c>
      <c r="X30" s="10">
        <f>SUM(H30:J30)</f>
        <v>1533</v>
      </c>
      <c r="Y30" s="10">
        <f t="shared" ref="Y30:AF30" si="57">SUM(H30:K30)</f>
        <v>2171</v>
      </c>
      <c r="Z30" s="10">
        <f t="shared" si="57"/>
        <v>3362</v>
      </c>
      <c r="AA30" s="10">
        <f t="shared" si="57"/>
        <v>4306</v>
      </c>
      <c r="AB30" s="149">
        <f t="shared" si="57"/>
        <v>5065</v>
      </c>
      <c r="AC30" s="149">
        <f t="shared" si="57"/>
        <v>5741</v>
      </c>
      <c r="AD30" s="149">
        <f t="shared" si="57"/>
        <v>5439</v>
      </c>
      <c r="AE30" s="149">
        <f t="shared" si="57"/>
        <v>5753</v>
      </c>
      <c r="AF30" s="149">
        <f t="shared" si="57"/>
        <v>6687</v>
      </c>
      <c r="AH30" s="129">
        <f>SUM(AF30/AB30)-1</f>
        <v>0.32023692003948678</v>
      </c>
    </row>
    <row r="31" spans="2:34" ht="12.75" customHeight="1">
      <c r="B31" s="31" t="s">
        <v>173</v>
      </c>
      <c r="C31" s="154">
        <f>-SUM(C22+C15)</f>
        <v>165</v>
      </c>
      <c r="D31" s="154">
        <f t="shared" ref="D31:R31" si="58">-SUM(D22+D15)</f>
        <v>62</v>
      </c>
      <c r="E31" s="154">
        <f t="shared" si="58"/>
        <v>248</v>
      </c>
      <c r="F31" s="154">
        <f t="shared" si="58"/>
        <v>1787</v>
      </c>
      <c r="H31" s="154">
        <f t="shared" si="58"/>
        <v>12</v>
      </c>
      <c r="I31" s="154">
        <f t="shared" si="58"/>
        <v>9</v>
      </c>
      <c r="J31" s="154">
        <f t="shared" si="58"/>
        <v>213</v>
      </c>
      <c r="K31" s="154">
        <f t="shared" si="58"/>
        <v>14</v>
      </c>
      <c r="L31" s="154">
        <f t="shared" si="58"/>
        <v>712</v>
      </c>
      <c r="M31" s="154">
        <f t="shared" si="58"/>
        <v>345</v>
      </c>
      <c r="N31" s="154">
        <f t="shared" si="58"/>
        <v>361</v>
      </c>
      <c r="O31" s="154">
        <f t="shared" si="58"/>
        <v>369</v>
      </c>
      <c r="P31" s="154">
        <f t="shared" si="58"/>
        <v>186</v>
      </c>
      <c r="Q31" s="154">
        <f t="shared" si="58"/>
        <v>114</v>
      </c>
      <c r="R31" s="154">
        <f t="shared" si="58"/>
        <v>213</v>
      </c>
      <c r="T31" s="10">
        <f>SUM(G31:G31)</f>
        <v>0</v>
      </c>
      <c r="U31" s="10" t="e">
        <f>SUM(#REF!)</f>
        <v>#REF!</v>
      </c>
      <c r="V31" s="10">
        <f>SUM(H31:H31)</f>
        <v>12</v>
      </c>
      <c r="W31" s="10">
        <f>SUM(H31:I31)</f>
        <v>21</v>
      </c>
      <c r="X31" s="10">
        <f>SUM(H31:J31)</f>
        <v>234</v>
      </c>
      <c r="Y31" s="10">
        <f t="shared" ref="Y31" si="59">SUM(H31:K31)</f>
        <v>248</v>
      </c>
      <c r="Z31" s="10">
        <f t="shared" ref="Z31" si="60">SUM(I31:L31)</f>
        <v>948</v>
      </c>
      <c r="AA31" s="10">
        <f t="shared" ref="AA31" si="61">SUM(J31:M31)</f>
        <v>1284</v>
      </c>
      <c r="AB31" s="149">
        <f t="shared" ref="AB31" si="62">SUM(K31:N31)</f>
        <v>1432</v>
      </c>
      <c r="AC31" s="149">
        <f t="shared" ref="AC31" si="63">SUM(L31:O31)</f>
        <v>1787</v>
      </c>
      <c r="AD31" s="149">
        <f t="shared" ref="AD31" si="64">SUM(M31:P31)</f>
        <v>1261</v>
      </c>
      <c r="AE31" s="149">
        <f t="shared" ref="AE31" si="65">SUM(N31:Q31)</f>
        <v>1030</v>
      </c>
      <c r="AF31" s="149">
        <f t="shared" ref="AF31" si="66">SUM(O31:R31)</f>
        <v>882</v>
      </c>
      <c r="AH31" s="129">
        <f>SUM(AF31/AB31)-1</f>
        <v>-0.38407821229050276</v>
      </c>
    </row>
    <row r="32" spans="2:34" ht="12.75" customHeight="1">
      <c r="B32" s="13" t="s">
        <v>36</v>
      </c>
      <c r="C32" s="14">
        <f>+SUM(C27+SUM(C30:C31))</f>
        <v>16429</v>
      </c>
      <c r="D32" s="14">
        <f>+SUM(D27+SUM(D30:D31))</f>
        <v>20804</v>
      </c>
      <c r="E32" s="14">
        <f>+SUM(E27+SUM(E30:E31))</f>
        <v>22461</v>
      </c>
      <c r="F32" s="14">
        <f>+SUM(F27+SUM(F30:F31))</f>
        <v>31001</v>
      </c>
      <c r="G32" s="11"/>
      <c r="H32" s="14">
        <f>+SUM(H27+SUM(H30:H31))</f>
        <v>5538</v>
      </c>
      <c r="I32" s="14">
        <f>+SUM(I27+SUM(I30:I31))</f>
        <v>5469</v>
      </c>
      <c r="J32" s="14">
        <f>+SUM(J27+SUM(J30:J31))</f>
        <v>5630</v>
      </c>
      <c r="K32" s="14">
        <f>+SUM(K27+SUM(K30:K31))</f>
        <v>5824</v>
      </c>
      <c r="L32" s="14">
        <f>+SUM(L27+SUM(L30:L31))</f>
        <v>6722</v>
      </c>
      <c r="M32" s="14">
        <f>+SUM(M27+SUM(M30:M31))</f>
        <v>7297</v>
      </c>
      <c r="N32" s="14">
        <f>+SUM(N27+SUM(N30:N31))</f>
        <v>8061</v>
      </c>
      <c r="O32" s="14">
        <f>+SUM(O27+SUM(O30:O31))</f>
        <v>8921</v>
      </c>
      <c r="P32" s="14">
        <f>+SUM(P27+SUM(P30:P31))</f>
        <v>9900</v>
      </c>
      <c r="Q32" s="14">
        <f>+SUM(Q27+SUM(Q30:Q31))</f>
        <v>9880</v>
      </c>
      <c r="R32" s="14">
        <f>+SUM(R27+SUM(R30:R31))</f>
        <v>10624</v>
      </c>
      <c r="T32" s="14">
        <f>+SUM(T27+SUM(T30:T31))</f>
        <v>0</v>
      </c>
      <c r="U32" s="14" t="e">
        <f>+SUM(U27+SUM(U30:U31))</f>
        <v>#REF!</v>
      </c>
      <c r="V32" s="14">
        <f>+SUM(V27+SUM(V30:V31))</f>
        <v>3705</v>
      </c>
      <c r="W32" s="14">
        <f>+SUM(W27+SUM(W30:W31))</f>
        <v>7182</v>
      </c>
      <c r="X32" s="14">
        <f>+SUM(X27+SUM(X30:X31))</f>
        <v>10853</v>
      </c>
      <c r="Y32" s="14">
        <f>+SUM(Y27+SUM(Y30:Y31))</f>
        <v>14533</v>
      </c>
      <c r="Z32" s="14">
        <f>+SUM(Z27+SUM(Z30:Z31))</f>
        <v>13001</v>
      </c>
      <c r="AA32" s="14">
        <f>+SUM(AA27+SUM(AA30:AA31))</f>
        <v>11526</v>
      </c>
      <c r="AB32" s="14">
        <f>+SUM(AB27+SUM(AB30:AB31))</f>
        <v>27904</v>
      </c>
      <c r="AC32" s="14">
        <f>+SUM(AC27+SUM(AC30:AC31))</f>
        <v>31001</v>
      </c>
      <c r="AD32" s="14">
        <f>+SUM(AD27+SUM(AD30:AD31))</f>
        <v>34179</v>
      </c>
      <c r="AE32" s="14">
        <f>+SUM(AE27+SUM(AE30:AE31))</f>
        <v>36762</v>
      </c>
      <c r="AF32" s="14">
        <f>+SUM(AF27+SUM(AF30:AF31))</f>
        <v>39325</v>
      </c>
      <c r="AH32" s="130">
        <f>SUM(AF32/AB32)-1</f>
        <v>0.40929615825688082</v>
      </c>
    </row>
    <row r="33" spans="2:34" ht="12.75" customHeight="1">
      <c r="B33" s="16" t="s">
        <v>37</v>
      </c>
      <c r="C33" s="17">
        <f>C32/C8</f>
        <v>0.59850637522768668</v>
      </c>
      <c r="D33" s="17">
        <f>D32/D8</f>
        <v>0.62656988826310878</v>
      </c>
      <c r="E33" s="17">
        <f>E32/E8</f>
        <v>0.62706943242413249</v>
      </c>
      <c r="F33" s="17">
        <f>F32/F8</f>
        <v>0.6010974522045992</v>
      </c>
      <c r="H33" s="17">
        <f>H32/H8</f>
        <v>0.62120022434099831</v>
      </c>
      <c r="I33" s="17">
        <f>I32/I8</f>
        <v>0.62624527653727247</v>
      </c>
      <c r="J33" s="17">
        <f>J32/J8</f>
        <v>0.6342947273546643</v>
      </c>
      <c r="K33" s="17">
        <f>K32/K8</f>
        <v>0.62657342657342663</v>
      </c>
      <c r="L33" s="17">
        <f>L32/L8</f>
        <v>0.56199314438592096</v>
      </c>
      <c r="M33" s="17">
        <f>M32/M8</f>
        <v>0.58436774245215029</v>
      </c>
      <c r="N33" s="17">
        <f>N32/N8</f>
        <v>0.6166615667074663</v>
      </c>
      <c r="O33" s="17">
        <f>O32/O8</f>
        <v>0.63476590294578061</v>
      </c>
      <c r="P33" s="17">
        <f>P32/P8</f>
        <v>0.66371681415929207</v>
      </c>
      <c r="Q33" s="17">
        <f>Q32/Q8</f>
        <v>0.65849106904825383</v>
      </c>
      <c r="R33" s="17">
        <f>R32/R8</f>
        <v>0.66599799398194581</v>
      </c>
      <c r="T33" s="17" t="e">
        <f>T32/T8</f>
        <v>#DIV/0!</v>
      </c>
      <c r="U33" s="17" t="e">
        <f>U32/U8</f>
        <v>#REF!</v>
      </c>
      <c r="V33" s="17">
        <f>V32/V8</f>
        <v>0.52315730019768425</v>
      </c>
      <c r="W33" s="17">
        <f>W32/W8</f>
        <v>0.51956883455111047</v>
      </c>
      <c r="X33" s="17">
        <f>X32/X8</f>
        <v>0.52328833172613309</v>
      </c>
      <c r="Y33" s="17">
        <f>Y32/Y8</f>
        <v>0.52106414255494604</v>
      </c>
      <c r="Z33" s="17">
        <f>Z32/Z8</f>
        <v>0.46068530526912582</v>
      </c>
      <c r="AA33" s="17">
        <f>AA32/AA8</f>
        <v>0.40199497767857145</v>
      </c>
      <c r="AB33" s="17">
        <f>AB32/AB8</f>
        <v>0.59604827512549396</v>
      </c>
      <c r="AC33" s="17">
        <f>AC32/AC8</f>
        <v>0.6010974522045992</v>
      </c>
      <c r="AD33" s="17">
        <f>AD32/AD8</f>
        <v>0.6268040858992463</v>
      </c>
      <c r="AE33" s="17">
        <f>AE32/AE8</f>
        <v>0.6444273042807559</v>
      </c>
      <c r="AF33" s="17">
        <f>AF32/AF8</f>
        <v>0.65622601208156728</v>
      </c>
      <c r="AH33" s="131">
        <f>SUM(AF33-AB33)*10000</f>
        <v>601.77736956073318</v>
      </c>
    </row>
    <row r="34" spans="2:34" ht="5.0999999999999996" customHeight="1">
      <c r="AH34" s="128"/>
    </row>
    <row r="35" spans="2:34" ht="12.75" customHeight="1">
      <c r="B35" s="23" t="s">
        <v>38</v>
      </c>
      <c r="C35" s="148">
        <f>'Historical Financials'!C114</f>
        <v>-443</v>
      </c>
      <c r="D35" s="148">
        <f>'Historical Financials'!D114</f>
        <v>-424</v>
      </c>
      <c r="E35" s="148">
        <f>'Historical Financials'!E114</f>
        <v>-452</v>
      </c>
      <c r="F35" s="148">
        <f>'Historical Financials'!F114</f>
        <v>-548</v>
      </c>
      <c r="H35" s="148">
        <f>'Historical Financials'!H114</f>
        <v>-103</v>
      </c>
      <c r="I35" s="148">
        <f>'Historical Financials'!I114</f>
        <v>-122</v>
      </c>
      <c r="J35" s="148">
        <f>'Historical Financials'!J114</f>
        <v>-122</v>
      </c>
      <c r="K35" s="148">
        <f>'Historical Financials'!K114</f>
        <v>-105</v>
      </c>
      <c r="L35" s="148">
        <f>'Historical Financials'!L114</f>
        <v>-122</v>
      </c>
      <c r="M35" s="148">
        <f>'Historical Financials'!M114</f>
        <v>-132</v>
      </c>
      <c r="N35" s="148">
        <f>'Historical Financials'!N114</f>
        <v>-172</v>
      </c>
      <c r="O35" s="148">
        <f>'Historical Financials'!O114</f>
        <v>-122</v>
      </c>
      <c r="P35" s="148">
        <f>'Historical Financials'!P114</f>
        <v>-100</v>
      </c>
      <c r="Q35" s="148">
        <f>'Historical Financials'!Q114</f>
        <v>-144</v>
      </c>
      <c r="R35" s="148">
        <f>'Historical Financials'!R114</f>
        <v>-142</v>
      </c>
      <c r="T35" s="10">
        <f>SUM(G35:G35)</f>
        <v>0</v>
      </c>
      <c r="U35" s="10" t="e">
        <f>SUM(#REF!)</f>
        <v>#REF!</v>
      </c>
      <c r="V35" s="10">
        <f>SUM(H35:H35)</f>
        <v>-103</v>
      </c>
      <c r="W35" s="10">
        <f>SUM(H35:I35)</f>
        <v>-225</v>
      </c>
      <c r="X35" s="10">
        <f>SUM(H35:J35)</f>
        <v>-347</v>
      </c>
      <c r="Y35" s="10">
        <f t="shared" ref="Y35:AF38" si="67">SUM(H35:K35)</f>
        <v>-452</v>
      </c>
      <c r="Z35" s="10">
        <f t="shared" si="67"/>
        <v>-471</v>
      </c>
      <c r="AA35" s="10">
        <f t="shared" si="67"/>
        <v>-481</v>
      </c>
      <c r="AB35" s="149">
        <f t="shared" si="67"/>
        <v>-531</v>
      </c>
      <c r="AC35" s="149">
        <f t="shared" si="67"/>
        <v>-548</v>
      </c>
      <c r="AD35" s="149">
        <f t="shared" si="67"/>
        <v>-526</v>
      </c>
      <c r="AE35" s="149">
        <f t="shared" si="67"/>
        <v>-538</v>
      </c>
      <c r="AF35" s="149">
        <f t="shared" si="67"/>
        <v>-508</v>
      </c>
      <c r="AH35" s="129">
        <f>SUM(AF35/AB35)-1</f>
        <v>-4.3314500941619594E-2</v>
      </c>
    </row>
    <row r="36" spans="2:34" ht="12.75" customHeight="1">
      <c r="B36" s="23" t="s">
        <v>39</v>
      </c>
      <c r="C36" s="148">
        <f>-'Historical Financials'!C145</f>
        <v>-775</v>
      </c>
      <c r="D36" s="148">
        <f>-'Historical Financials'!D145</f>
        <v>-908</v>
      </c>
      <c r="E36" s="148">
        <f>-'Historical Financials'!E145</f>
        <v>-1782</v>
      </c>
      <c r="F36" s="148">
        <f>-'Historical Financials'!F145</f>
        <v>-3155</v>
      </c>
      <c r="H36" s="148">
        <f>-'Historical Financials'!H145</f>
        <v>-273</v>
      </c>
      <c r="I36" s="148">
        <f>-'Historical Financials'!I145</f>
        <v>-891</v>
      </c>
      <c r="J36" s="148">
        <f>-'Historical Financials'!J145</f>
        <v>-427</v>
      </c>
      <c r="K36" s="148">
        <f>-'Historical Financials'!K145</f>
        <v>-191</v>
      </c>
      <c r="L36" s="148">
        <f>-'Historical Financials'!L145</f>
        <v>-904</v>
      </c>
      <c r="M36" s="148">
        <f>-'Historical Financials'!M145</f>
        <v>-834</v>
      </c>
      <c r="N36" s="148">
        <f>-'Historical Financials'!N145</f>
        <v>-585</v>
      </c>
      <c r="O36" s="148">
        <f>-'Historical Financials'!O145</f>
        <v>-832</v>
      </c>
      <c r="P36" s="148">
        <f>-'Historical Financials'!P145</f>
        <v>-404</v>
      </c>
      <c r="Q36" s="148">
        <f>-'Historical Financials'!Q145</f>
        <v>-608</v>
      </c>
      <c r="R36" s="148">
        <f>-'Historical Financials'!R145</f>
        <v>-822</v>
      </c>
      <c r="T36" s="10">
        <f>SUM(G36:G36)</f>
        <v>0</v>
      </c>
      <c r="U36" s="10" t="e">
        <f>SUM(#REF!)</f>
        <v>#REF!</v>
      </c>
      <c r="V36" s="10">
        <f>SUM(H36:H36)</f>
        <v>-273</v>
      </c>
      <c r="W36" s="10">
        <f>SUM(H36:I36)</f>
        <v>-1164</v>
      </c>
      <c r="X36" s="10">
        <f>SUM(H36:J36)</f>
        <v>-1591</v>
      </c>
      <c r="Y36" s="10">
        <f t="shared" si="67"/>
        <v>-1782</v>
      </c>
      <c r="Z36" s="10">
        <f t="shared" si="67"/>
        <v>-2413</v>
      </c>
      <c r="AA36" s="10">
        <f t="shared" si="67"/>
        <v>-2356</v>
      </c>
      <c r="AB36" s="149">
        <f t="shared" si="67"/>
        <v>-2514</v>
      </c>
      <c r="AC36" s="149">
        <f t="shared" si="67"/>
        <v>-3155</v>
      </c>
      <c r="AD36" s="149">
        <f t="shared" si="67"/>
        <v>-2655</v>
      </c>
      <c r="AE36" s="149">
        <f t="shared" si="67"/>
        <v>-2429</v>
      </c>
      <c r="AF36" s="149">
        <f t="shared" si="67"/>
        <v>-2666</v>
      </c>
      <c r="AH36" s="129">
        <f>SUM(AF36/AB36)-1</f>
        <v>6.0461416070007878E-2</v>
      </c>
    </row>
    <row r="37" spans="2:34" ht="12.75" customHeight="1">
      <c r="B37" s="23" t="s">
        <v>76</v>
      </c>
      <c r="C37" s="148">
        <f>-'Historical Financials'!C144</f>
        <v>-1565</v>
      </c>
      <c r="D37" s="148">
        <f>-'Historical Financials'!D144</f>
        <v>-1386</v>
      </c>
      <c r="E37" s="148">
        <f>-'Historical Financials'!E144</f>
        <v>-1503</v>
      </c>
      <c r="F37" s="148">
        <f>-'Historical Financials'!F144</f>
        <v>-3250</v>
      </c>
      <c r="H37" s="148">
        <f>-'Historical Financials'!H144</f>
        <v>-361</v>
      </c>
      <c r="I37" s="148">
        <f>-'Historical Financials'!I144</f>
        <v>-397</v>
      </c>
      <c r="J37" s="148">
        <f>-'Historical Financials'!J144</f>
        <v>-348</v>
      </c>
      <c r="K37" s="148">
        <f>-'Historical Financials'!K144</f>
        <v>-397</v>
      </c>
      <c r="L37" s="148">
        <f>-'Historical Financials'!L144</f>
        <v>-750</v>
      </c>
      <c r="M37" s="148">
        <f>-'Historical Financials'!M144</f>
        <v>-946</v>
      </c>
      <c r="N37" s="148">
        <f>-'Historical Financials'!N144</f>
        <v>-816</v>
      </c>
      <c r="O37" s="148">
        <f>-'Historical Financials'!O144</f>
        <v>-738</v>
      </c>
      <c r="P37" s="148">
        <f>-'Historical Financials'!P144</f>
        <v>-671</v>
      </c>
      <c r="Q37" s="148">
        <f>-'Historical Financials'!Q144</f>
        <v>-700</v>
      </c>
      <c r="R37" s="148">
        <f>-'Historical Financials'!R144</f>
        <v>-602</v>
      </c>
      <c r="T37" s="10">
        <f>SUM(G37:G37)</f>
        <v>0</v>
      </c>
      <c r="U37" s="10" t="e">
        <f>SUM(#REF!)</f>
        <v>#REF!</v>
      </c>
      <c r="V37" s="10">
        <f>SUM(H37:H37)</f>
        <v>-361</v>
      </c>
      <c r="W37" s="10">
        <f>SUM(H37:I37)</f>
        <v>-758</v>
      </c>
      <c r="X37" s="10">
        <f>SUM(H37:J37)</f>
        <v>-1106</v>
      </c>
      <c r="Y37" s="10">
        <f t="shared" si="67"/>
        <v>-1503</v>
      </c>
      <c r="Z37" s="10">
        <f t="shared" si="67"/>
        <v>-1892</v>
      </c>
      <c r="AA37" s="10">
        <f t="shared" si="67"/>
        <v>-2441</v>
      </c>
      <c r="AB37" s="149">
        <f t="shared" si="67"/>
        <v>-2909</v>
      </c>
      <c r="AC37" s="149">
        <f t="shared" si="67"/>
        <v>-3250</v>
      </c>
      <c r="AD37" s="149">
        <f t="shared" si="67"/>
        <v>-3171</v>
      </c>
      <c r="AE37" s="149">
        <f t="shared" si="67"/>
        <v>-2925</v>
      </c>
      <c r="AF37" s="149">
        <f t="shared" si="67"/>
        <v>-2711</v>
      </c>
      <c r="AH37" s="129">
        <f>SUM(AF37/AB37)-1</f>
        <v>-6.806462701959437E-2</v>
      </c>
    </row>
    <row r="38" spans="2:34" ht="12.75" customHeight="1">
      <c r="B38" s="23" t="s">
        <v>40</v>
      </c>
      <c r="C38" s="148">
        <f>SUM('Historical Financials'!C103:C108)</f>
        <v>-127</v>
      </c>
      <c r="D38" s="148">
        <f>SUM('Historical Financials'!D103:D108)</f>
        <v>-1654</v>
      </c>
      <c r="E38" s="148">
        <f>SUM('Historical Financials'!E103:E108)</f>
        <v>-1643</v>
      </c>
      <c r="F38" s="148">
        <f>SUM('Historical Financials'!F103:F108)</f>
        <v>-4637</v>
      </c>
      <c r="H38" s="148">
        <f>SUM('Historical Financials'!H103:H108)</f>
        <v>-581</v>
      </c>
      <c r="I38" s="148">
        <f>SUM('Historical Financials'!I103:I108)</f>
        <v>-169</v>
      </c>
      <c r="J38" s="148">
        <f>SUM('Historical Financials'!J103:J108)</f>
        <v>73</v>
      </c>
      <c r="K38" s="148">
        <f>SUM('Historical Financials'!K103:K108)</f>
        <v>-966</v>
      </c>
      <c r="L38" s="148">
        <f>SUM('Historical Financials'!L103:L108)</f>
        <v>-283</v>
      </c>
      <c r="M38" s="148">
        <f>SUM('Historical Financials'!M103:M108)</f>
        <v>-1228</v>
      </c>
      <c r="N38" s="148">
        <f>SUM('Historical Financials'!N103:N108)</f>
        <v>-1068</v>
      </c>
      <c r="O38" s="148">
        <f>SUM('Historical Financials'!O103:O108)</f>
        <v>-2058</v>
      </c>
      <c r="P38" s="148">
        <f>SUM('Historical Financials'!P103:P108)</f>
        <v>-2351</v>
      </c>
      <c r="Q38" s="148">
        <f>SUM('Historical Financials'!Q103:Q108)</f>
        <v>-1910</v>
      </c>
      <c r="R38" s="148">
        <f>SUM('Historical Financials'!R103:R108)</f>
        <v>-1894</v>
      </c>
      <c r="T38" s="10">
        <f>SUM(G38:G38)</f>
        <v>0</v>
      </c>
      <c r="U38" s="10" t="e">
        <f>SUM(#REF!)</f>
        <v>#REF!</v>
      </c>
      <c r="V38" s="10">
        <f>SUM(H38:H38)</f>
        <v>-581</v>
      </c>
      <c r="W38" s="10">
        <f>SUM(H38:I38)</f>
        <v>-750</v>
      </c>
      <c r="X38" s="10">
        <f>SUM(H38:J38)</f>
        <v>-677</v>
      </c>
      <c r="Y38" s="10">
        <f t="shared" si="67"/>
        <v>-1643</v>
      </c>
      <c r="Z38" s="10">
        <f t="shared" si="67"/>
        <v>-1345</v>
      </c>
      <c r="AA38" s="10">
        <f t="shared" si="67"/>
        <v>-2404</v>
      </c>
      <c r="AB38" s="149">
        <f t="shared" si="67"/>
        <v>-3545</v>
      </c>
      <c r="AC38" s="149">
        <f t="shared" si="67"/>
        <v>-4637</v>
      </c>
      <c r="AD38" s="149">
        <f t="shared" si="67"/>
        <v>-6705</v>
      </c>
      <c r="AE38" s="149">
        <f t="shared" si="67"/>
        <v>-7387</v>
      </c>
      <c r="AF38" s="149">
        <f t="shared" si="67"/>
        <v>-8213</v>
      </c>
      <c r="AH38" s="129">
        <f>SUM(AF38/AB38)-1</f>
        <v>1.3167842031029617</v>
      </c>
    </row>
    <row r="39" spans="2:34" ht="12.75" customHeight="1">
      <c r="B39" s="13" t="s">
        <v>41</v>
      </c>
      <c r="C39" s="14">
        <f>SUM(C32+SUM(C35:C38))</f>
        <v>13519</v>
      </c>
      <c r="D39" s="14">
        <f>SUM(D32+SUM(D35:D38))</f>
        <v>16432</v>
      </c>
      <c r="E39" s="14">
        <f>SUM(E32+SUM(E35:E38))</f>
        <v>17081</v>
      </c>
      <c r="F39" s="14">
        <f>SUM(F32+SUM(F35:F38))</f>
        <v>19411</v>
      </c>
      <c r="H39" s="14">
        <f t="shared" ref="H39:Q39" si="68">SUM(H32+SUM(H35:H38))</f>
        <v>4220</v>
      </c>
      <c r="I39" s="14">
        <f t="shared" si="68"/>
        <v>3890</v>
      </c>
      <c r="J39" s="14">
        <f t="shared" si="68"/>
        <v>4806</v>
      </c>
      <c r="K39" s="14">
        <f t="shared" si="68"/>
        <v>4165</v>
      </c>
      <c r="L39" s="14">
        <f t="shared" si="68"/>
        <v>4663</v>
      </c>
      <c r="M39" s="14">
        <f t="shared" si="68"/>
        <v>4157</v>
      </c>
      <c r="N39" s="14">
        <f t="shared" si="68"/>
        <v>5420</v>
      </c>
      <c r="O39" s="14">
        <f t="shared" si="68"/>
        <v>5171</v>
      </c>
      <c r="P39" s="14">
        <f t="shared" si="68"/>
        <v>6374</v>
      </c>
      <c r="Q39" s="14">
        <f t="shared" si="68"/>
        <v>6518</v>
      </c>
      <c r="R39" s="14">
        <f>SUM(R32+SUM(R35:R38))</f>
        <v>7164</v>
      </c>
      <c r="T39" s="14">
        <f t="shared" ref="T39:AD39" si="69">SUM(T32+SUM(T35:T38))</f>
        <v>0</v>
      </c>
      <c r="U39" s="14" t="e">
        <f t="shared" si="69"/>
        <v>#REF!</v>
      </c>
      <c r="V39" s="14">
        <f t="shared" si="69"/>
        <v>2387</v>
      </c>
      <c r="W39" s="14">
        <f t="shared" si="69"/>
        <v>4285</v>
      </c>
      <c r="X39" s="14">
        <f t="shared" si="69"/>
        <v>7132</v>
      </c>
      <c r="Y39" s="14">
        <f t="shared" si="69"/>
        <v>9153</v>
      </c>
      <c r="Z39" s="14">
        <f t="shared" si="69"/>
        <v>6880</v>
      </c>
      <c r="AA39" s="14">
        <f t="shared" si="69"/>
        <v>3844</v>
      </c>
      <c r="AB39" s="14">
        <f t="shared" si="69"/>
        <v>18405</v>
      </c>
      <c r="AC39" s="14">
        <f t="shared" si="69"/>
        <v>19411</v>
      </c>
      <c r="AD39" s="14">
        <f t="shared" si="69"/>
        <v>21122</v>
      </c>
      <c r="AE39" s="14">
        <f>SUM(AE32+SUM(AE35:AE38))</f>
        <v>23483</v>
      </c>
      <c r="AF39" s="14">
        <f>SUM(AF32+SUM(AF35:AF38))</f>
        <v>25227</v>
      </c>
      <c r="AH39" s="130">
        <f>SUM(AF39/AB39)-1</f>
        <v>0.3706601466992665</v>
      </c>
    </row>
    <row r="40" spans="2:34" ht="5.0999999999999996" customHeight="1"/>
    <row r="41" spans="2:34" ht="12.75" customHeight="1">
      <c r="B41" s="31" t="s">
        <v>174</v>
      </c>
      <c r="C41" s="148">
        <f>SUM('Historical Financials'!C115:C116)</f>
        <v>169</v>
      </c>
      <c r="D41" s="148">
        <f>SUM('Historical Financials'!D115:D116)</f>
        <v>0</v>
      </c>
      <c r="E41" s="148">
        <f>SUM('Historical Financials'!E115:E116)</f>
        <v>-118</v>
      </c>
      <c r="F41" s="148">
        <f>SUM('Historical Financials'!F115:F116)</f>
        <v>-19</v>
      </c>
      <c r="G41" s="32"/>
      <c r="H41" s="148">
        <f>SUM('Historical Financials'!H115:H116)</f>
        <v>0</v>
      </c>
      <c r="I41" s="148">
        <f>SUM('Historical Financials'!I115:I116)</f>
        <v>-197</v>
      </c>
      <c r="J41" s="148">
        <f>SUM('Historical Financials'!J115:J116)</f>
        <v>-17</v>
      </c>
      <c r="K41" s="148">
        <f>SUM('Historical Financials'!K115:K116)</f>
        <v>96</v>
      </c>
      <c r="L41" s="148">
        <f>SUM('Historical Financials'!L115:L116)</f>
        <v>76</v>
      </c>
      <c r="M41" s="148">
        <f>SUM('Historical Financials'!M115:M116)</f>
        <v>-17</v>
      </c>
      <c r="N41" s="148">
        <f>SUM('Historical Financials'!N115:N116)</f>
        <v>-68</v>
      </c>
      <c r="O41" s="148">
        <f>SUM('Historical Financials'!O115:O116)</f>
        <v>-10</v>
      </c>
      <c r="P41" s="148">
        <f>SUM('Historical Financials'!P115:P116)</f>
        <v>-87</v>
      </c>
      <c r="Q41" s="148">
        <f>SUM('Historical Financials'!Q115:Q116)</f>
        <v>21</v>
      </c>
      <c r="R41" s="148">
        <f>SUM('Historical Financials'!R115:R116)</f>
        <v>-48</v>
      </c>
      <c r="T41" s="10">
        <f>SUM(G41:G41)</f>
        <v>0</v>
      </c>
      <c r="U41" s="10" t="e">
        <f>SUM(#REF!)</f>
        <v>#REF!</v>
      </c>
      <c r="V41" s="10">
        <f>SUM(H41:H41)</f>
        <v>0</v>
      </c>
      <c r="W41" s="10">
        <f>SUM(H41:I41)</f>
        <v>-197</v>
      </c>
      <c r="X41" s="10">
        <f>SUM(H41:J41)</f>
        <v>-214</v>
      </c>
      <c r="Y41" s="10">
        <f t="shared" ref="Y41:AF42" si="70">SUM(H41:K41)</f>
        <v>-118</v>
      </c>
      <c r="Z41" s="10">
        <f t="shared" si="70"/>
        <v>-42</v>
      </c>
      <c r="AA41" s="10">
        <f t="shared" si="70"/>
        <v>138</v>
      </c>
      <c r="AB41" s="149">
        <f t="shared" si="70"/>
        <v>87</v>
      </c>
      <c r="AC41" s="149">
        <f t="shared" si="70"/>
        <v>-19</v>
      </c>
      <c r="AD41" s="149">
        <f t="shared" si="70"/>
        <v>-182</v>
      </c>
      <c r="AE41" s="149">
        <f t="shared" si="70"/>
        <v>-144</v>
      </c>
      <c r="AF41" s="149">
        <f t="shared" si="70"/>
        <v>-124</v>
      </c>
    </row>
    <row r="42" spans="2:34" ht="12.75" customHeight="1">
      <c r="B42" s="31" t="s">
        <v>99</v>
      </c>
      <c r="C42" s="148">
        <f>SUM('Historical Financials'!C112:C113)</f>
        <v>37</v>
      </c>
      <c r="D42" s="148">
        <f>SUM('Historical Financials'!D112:D113)</f>
        <v>-246</v>
      </c>
      <c r="E42" s="148">
        <f>SUM('Historical Financials'!E112:E113)</f>
        <v>-53</v>
      </c>
      <c r="F42" s="148">
        <f>SUM('Historical Financials'!F112:F113)</f>
        <v>-22493</v>
      </c>
      <c r="G42" s="32"/>
      <c r="H42" s="148">
        <f>SUM('Historical Financials'!H112:H113)</f>
        <v>0</v>
      </c>
      <c r="I42" s="148">
        <f>SUM('Historical Financials'!I112:I113)</f>
        <v>0</v>
      </c>
      <c r="J42" s="148">
        <f>SUM('Historical Financials'!J112:J113)</f>
        <v>-17</v>
      </c>
      <c r="K42" s="148">
        <f>SUM('Historical Financials'!K112:K113)</f>
        <v>-36</v>
      </c>
      <c r="L42" s="148">
        <f>SUM('Historical Financials'!L112:L113)</f>
        <v>-25416</v>
      </c>
      <c r="M42" s="148">
        <f>SUM('Historical Financials'!M112:M113)</f>
        <v>-560</v>
      </c>
      <c r="N42" s="148">
        <f>SUM('Historical Financials'!N112:N113)</f>
        <v>3483</v>
      </c>
      <c r="O42" s="148">
        <f>SUM('Historical Financials'!O112:O113)</f>
        <v>0</v>
      </c>
      <c r="P42" s="148">
        <f>SUM('Historical Financials'!P112:P113)</f>
        <v>0</v>
      </c>
      <c r="Q42" s="148">
        <f>SUM('Historical Financials'!Q112:Q113)</f>
        <v>0</v>
      </c>
      <c r="R42" s="148">
        <f>SUM('Historical Financials'!R112:R113)</f>
        <v>300</v>
      </c>
      <c r="T42" s="10">
        <f>SUM(G42:G42)</f>
        <v>0</v>
      </c>
      <c r="U42" s="10" t="e">
        <f>SUM(#REF!)</f>
        <v>#REF!</v>
      </c>
      <c r="V42" s="10">
        <f>SUM(H42:H42)</f>
        <v>0</v>
      </c>
      <c r="W42" s="10">
        <f>SUM(H42:I42)</f>
        <v>0</v>
      </c>
      <c r="X42" s="10">
        <f>SUM(H42:J42)</f>
        <v>-17</v>
      </c>
      <c r="Y42" s="10">
        <f t="shared" si="70"/>
        <v>-53</v>
      </c>
      <c r="Z42" s="10">
        <f t="shared" si="70"/>
        <v>-25469</v>
      </c>
      <c r="AA42" s="10">
        <f t="shared" si="70"/>
        <v>-26029</v>
      </c>
      <c r="AB42" s="149">
        <f t="shared" si="70"/>
        <v>-22529</v>
      </c>
      <c r="AC42" s="149">
        <f t="shared" si="70"/>
        <v>-22493</v>
      </c>
      <c r="AD42" s="149">
        <f t="shared" si="70"/>
        <v>2923</v>
      </c>
      <c r="AE42" s="149">
        <f t="shared" si="70"/>
        <v>3483</v>
      </c>
      <c r="AF42" s="149">
        <f t="shared" si="70"/>
        <v>300</v>
      </c>
    </row>
    <row r="43" spans="2:34" ht="12.75" customHeight="1">
      <c r="B43" s="31" t="s">
        <v>177</v>
      </c>
      <c r="C43" s="148">
        <f>SUM('Historical Financials'!C121:C123)</f>
        <v>-1591</v>
      </c>
      <c r="D43" s="148">
        <f>SUM('Historical Financials'!D121:D123)</f>
        <v>-426</v>
      </c>
      <c r="E43" s="148">
        <f>SUM('Historical Financials'!E121:E123)</f>
        <v>-403</v>
      </c>
      <c r="F43" s="148">
        <f>SUM('Historical Financials'!F121:F123)</f>
        <v>20346</v>
      </c>
      <c r="G43" s="32"/>
      <c r="H43" s="148">
        <f>SUM('Historical Financials'!H121:H123)</f>
        <v>-260</v>
      </c>
      <c r="I43" s="148">
        <f>SUM('Historical Financials'!I121:I123)</f>
        <v>0</v>
      </c>
      <c r="J43" s="148">
        <f>SUM('Historical Financials'!J121:J123)</f>
        <v>0</v>
      </c>
      <c r="K43" s="148">
        <f>SUM('Historical Financials'!K121:K123)</f>
        <v>-143</v>
      </c>
      <c r="L43" s="148">
        <f>SUM('Historical Financials'!L121:L123)</f>
        <v>29076</v>
      </c>
      <c r="M43" s="148">
        <f>SUM('Historical Financials'!M121:M123)</f>
        <v>-2000</v>
      </c>
      <c r="N43" s="148">
        <f>SUM('Historical Financials'!N121:N123)</f>
        <v>-4227</v>
      </c>
      <c r="O43" s="148">
        <f>SUM('Historical Financials'!O121:O123)</f>
        <v>-2503</v>
      </c>
      <c r="P43" s="148">
        <f>SUM('Historical Financials'!P121:P123)</f>
        <v>-1124</v>
      </c>
      <c r="Q43" s="148">
        <f>SUM('Historical Financials'!Q121:Q123)</f>
        <v>630</v>
      </c>
      <c r="R43" s="148">
        <f>SUM('Historical Financials'!R121:R123)</f>
        <v>-3163</v>
      </c>
      <c r="T43" s="10"/>
      <c r="U43" s="10"/>
      <c r="V43" s="10"/>
      <c r="W43" s="10"/>
      <c r="X43" s="10"/>
      <c r="Y43" s="10"/>
      <c r="Z43" s="10"/>
      <c r="AA43" s="10"/>
      <c r="AB43" s="149">
        <f t="shared" ref="AB43:AF43" si="71">SUM(K43:N43)</f>
        <v>22706</v>
      </c>
      <c r="AC43" s="149">
        <f t="shared" si="71"/>
        <v>20346</v>
      </c>
      <c r="AD43" s="149">
        <f t="shared" si="71"/>
        <v>-9854</v>
      </c>
      <c r="AE43" s="149">
        <f t="shared" si="71"/>
        <v>-7224</v>
      </c>
      <c r="AF43" s="149">
        <f t="shared" si="71"/>
        <v>-6160</v>
      </c>
    </row>
    <row r="44" spans="2:34" ht="12.75" customHeight="1">
      <c r="B44" s="31" t="s">
        <v>176</v>
      </c>
      <c r="C44" s="148">
        <f>SUM('Historical Financials'!C125:C127)</f>
        <v>-1129</v>
      </c>
      <c r="D44" s="148">
        <f>SUM('Historical Financials'!D125:D127)</f>
        <v>-8341</v>
      </c>
      <c r="E44" s="148">
        <f>SUM('Historical Financials'!E125:E127)</f>
        <v>-7563</v>
      </c>
      <c r="F44" s="148">
        <f>SUM('Historical Financials'!F125:F127)</f>
        <v>-12202</v>
      </c>
      <c r="G44" s="32"/>
      <c r="H44" s="148">
        <f>SUM('Historical Financials'!H125:H127)</f>
        <v>-1521</v>
      </c>
      <c r="I44" s="148">
        <f>SUM('Historical Financials'!I125:I127)</f>
        <v>-3357</v>
      </c>
      <c r="J44" s="148">
        <f>SUM('Historical Financials'!J125:J127)</f>
        <v>-2167</v>
      </c>
      <c r="K44" s="148">
        <f>SUM('Historical Financials'!K125:K127)</f>
        <v>-518</v>
      </c>
      <c r="L44" s="148">
        <f>SUM('Historical Financials'!L125:L127)</f>
        <v>-8290</v>
      </c>
      <c r="M44" s="148">
        <f>SUM('Historical Financials'!M125:M127)</f>
        <v>-1484</v>
      </c>
      <c r="N44" s="148">
        <f>SUM('Historical Financials'!N125:N127)</f>
        <v>-1350</v>
      </c>
      <c r="O44" s="148">
        <f>SUM('Historical Financials'!O125:O127)</f>
        <v>-1078</v>
      </c>
      <c r="P44" s="148">
        <f>SUM('Historical Financials'!P125:P127)</f>
        <v>-2036</v>
      </c>
      <c r="Q44" s="148">
        <f>SUM('Historical Financials'!Q125:Q127)</f>
        <v>-4098</v>
      </c>
      <c r="R44" s="148">
        <f>SUM('Historical Financials'!R125:R127)</f>
        <v>-58</v>
      </c>
      <c r="T44" s="10"/>
      <c r="U44" s="10"/>
      <c r="V44" s="10"/>
      <c r="W44" s="10"/>
      <c r="X44" s="10"/>
      <c r="Y44" s="10"/>
      <c r="Z44" s="10"/>
      <c r="AA44" s="10">
        <f t="shared" ref="AA44:AF46" si="72">SUM(J44:M44)</f>
        <v>-12459</v>
      </c>
      <c r="AB44" s="149">
        <f t="shared" si="72"/>
        <v>-11642</v>
      </c>
      <c r="AC44" s="149">
        <f t="shared" si="72"/>
        <v>-12202</v>
      </c>
      <c r="AD44" s="149">
        <f t="shared" si="72"/>
        <v>-5948</v>
      </c>
      <c r="AE44" s="149">
        <f t="shared" si="72"/>
        <v>-8562</v>
      </c>
      <c r="AF44" s="149">
        <f t="shared" si="72"/>
        <v>-7270</v>
      </c>
    </row>
    <row r="45" spans="2:34" ht="12.75" customHeight="1">
      <c r="B45" s="31" t="s">
        <v>175</v>
      </c>
      <c r="C45" s="148">
        <f>'Historical Financials'!C124</f>
        <v>-6212</v>
      </c>
      <c r="D45" s="148">
        <f>'Historical Financials'!D124</f>
        <v>-7032</v>
      </c>
      <c r="E45" s="148">
        <f>'Historical Financials'!E124</f>
        <v>-7645</v>
      </c>
      <c r="F45" s="148">
        <f>'Historical Financials'!F124</f>
        <v>-9814</v>
      </c>
      <c r="G45" s="32"/>
      <c r="H45" s="148">
        <f>'Historical Financials'!H124</f>
        <v>-1926</v>
      </c>
      <c r="I45" s="148">
        <f>'Historical Financials'!I124</f>
        <v>-1914</v>
      </c>
      <c r="J45" s="148">
        <f>'Historical Financials'!J124</f>
        <v>-1901</v>
      </c>
      <c r="K45" s="148">
        <f>'Historical Financials'!K124</f>
        <v>-1904</v>
      </c>
      <c r="L45" s="148">
        <f>'Historical Financials'!L124</f>
        <v>-2435</v>
      </c>
      <c r="M45" s="148">
        <f>'Historical Financials'!M124</f>
        <v>-2443</v>
      </c>
      <c r="N45" s="148">
        <f>'Historical Financials'!N124</f>
        <v>-2452</v>
      </c>
      <c r="O45" s="148">
        <f>'Historical Financials'!O124</f>
        <v>-2484</v>
      </c>
      <c r="P45" s="148">
        <f>'Historical Financials'!P124</f>
        <v>-2774</v>
      </c>
      <c r="Q45" s="148">
        <f>'Historical Financials'!Q124</f>
        <v>-2785</v>
      </c>
      <c r="R45" s="148">
        <f>'Historical Financials'!R124</f>
        <v>-2786</v>
      </c>
      <c r="T45" s="10"/>
      <c r="U45" s="10"/>
      <c r="V45" s="10"/>
      <c r="W45" s="10"/>
      <c r="X45" s="10"/>
      <c r="Y45" s="10"/>
      <c r="Z45" s="10"/>
      <c r="AA45" s="10"/>
      <c r="AB45" s="149">
        <f>SUM(K45:N45)</f>
        <v>-9234</v>
      </c>
      <c r="AC45" s="149">
        <f>SUM(L45:O45)</f>
        <v>-9814</v>
      </c>
      <c r="AD45" s="149">
        <f>SUM(M45:P45)</f>
        <v>-10153</v>
      </c>
      <c r="AE45" s="149">
        <f>SUM(N45:Q45)</f>
        <v>-10495</v>
      </c>
      <c r="AF45" s="149">
        <f>SUM(O45:R45)</f>
        <v>-10829</v>
      </c>
    </row>
    <row r="46" spans="2:34" ht="12.75" customHeight="1">
      <c r="B46" s="31" t="s">
        <v>72</v>
      </c>
      <c r="C46" s="98"/>
      <c r="D46" s="98">
        <f>SUM(D51-C51)-SUM(D39:D45)</f>
        <v>-134</v>
      </c>
      <c r="E46" s="98">
        <f>SUM(E51-D51)-SUM(E39:E45)</f>
        <v>474</v>
      </c>
      <c r="F46" s="98">
        <f>SUM(F51-E51)-SUM(F39:F45)</f>
        <v>-70</v>
      </c>
      <c r="G46" s="32"/>
      <c r="H46" s="98"/>
      <c r="I46" s="98">
        <f>SUM(I51-H51)-SUM(I39:I45)</f>
        <v>484</v>
      </c>
      <c r="J46" s="98">
        <f>SUM(J51-I51)-SUM(J39:J45)</f>
        <v>-202</v>
      </c>
      <c r="K46" s="98">
        <f>SUM(K51-J51)-SUM(K39:K45)</f>
        <v>474</v>
      </c>
      <c r="L46" s="98">
        <f>SUM(L51-K51)-SUM(L39:L45)</f>
        <v>1</v>
      </c>
      <c r="M46" s="98">
        <f>SUM(M51-L51)-SUM(M39:M45)</f>
        <v>292</v>
      </c>
      <c r="N46" s="98">
        <f>SUM(N51-M51)-SUM(N39:N45)</f>
        <v>-663</v>
      </c>
      <c r="O46" s="98">
        <f>SUM(O51-N51)-SUM(O39:O45)</f>
        <v>300</v>
      </c>
      <c r="P46" s="98">
        <f>SUM(P51-O51)-SUM(P39:P45)</f>
        <v>-394</v>
      </c>
      <c r="Q46" s="98">
        <f>SUM(Q51-P51)-SUM(Q39:Q45)</f>
        <v>-121</v>
      </c>
      <c r="R46" s="98">
        <f>SUM(R51-Q51)-SUM(R39:R45)</f>
        <v>-163</v>
      </c>
      <c r="T46" s="10">
        <f>SUM(G46:G46)</f>
        <v>0</v>
      </c>
      <c r="U46" s="10" t="e">
        <f>SUM(#REF!)</f>
        <v>#REF!</v>
      </c>
      <c r="V46" s="10">
        <f>SUM(H46:H46)</f>
        <v>0</v>
      </c>
      <c r="W46" s="10">
        <f>SUM(H46:I46)</f>
        <v>484</v>
      </c>
      <c r="X46" s="10">
        <f>SUM(H46:J46)</f>
        <v>282</v>
      </c>
      <c r="Y46" s="10">
        <f t="shared" ref="Y46:Z46" si="73">SUM(H46:K46)</f>
        <v>756</v>
      </c>
      <c r="Z46" s="10">
        <f t="shared" si="73"/>
        <v>757</v>
      </c>
      <c r="AA46" s="10">
        <f t="shared" si="72"/>
        <v>565</v>
      </c>
      <c r="AB46" s="149">
        <f t="shared" si="72"/>
        <v>104</v>
      </c>
      <c r="AC46" s="149">
        <f t="shared" si="72"/>
        <v>-70</v>
      </c>
      <c r="AD46" s="149">
        <f t="shared" si="72"/>
        <v>-465</v>
      </c>
      <c r="AE46" s="149">
        <f t="shared" si="72"/>
        <v>-878</v>
      </c>
      <c r="AF46" s="149">
        <f t="shared" si="72"/>
        <v>-378</v>
      </c>
    </row>
    <row r="47" spans="2:34" ht="12.75" customHeight="1">
      <c r="B47" s="13" t="s">
        <v>42</v>
      </c>
      <c r="C47" s="14">
        <f>SUM(C39+SUM(C41:C46))</f>
        <v>4793</v>
      </c>
      <c r="D47" s="14">
        <f>SUM(D39+SUM(D41:D46))</f>
        <v>253</v>
      </c>
      <c r="E47" s="14">
        <f>SUM(E39+SUM(E41:E46))</f>
        <v>1773</v>
      </c>
      <c r="F47" s="14">
        <f>SUM(F39+SUM(F41:F46))</f>
        <v>-4841</v>
      </c>
      <c r="H47" s="14">
        <f>SUM(H39+SUM(H41:H46))</f>
        <v>513</v>
      </c>
      <c r="I47" s="14">
        <f>SUM(I39+SUM(I41:I46))</f>
        <v>-1094</v>
      </c>
      <c r="J47" s="14">
        <f>SUM(J39+SUM(J41:J46))</f>
        <v>502</v>
      </c>
      <c r="K47" s="14">
        <f>SUM(K39+SUM(K41:K46))</f>
        <v>2134</v>
      </c>
      <c r="L47" s="14">
        <f>SUM(L39+SUM(L41:L46))</f>
        <v>-2325</v>
      </c>
      <c r="M47" s="14">
        <f>SUM(M39+SUM(M41:M46))</f>
        <v>-2055</v>
      </c>
      <c r="N47" s="14">
        <f>SUM(N39+SUM(N41:N46))</f>
        <v>143</v>
      </c>
      <c r="O47" s="14">
        <f>SUM(O39+SUM(O41:O46))</f>
        <v>-604</v>
      </c>
      <c r="P47" s="14">
        <f>SUM(P39+SUM(P41:P46))</f>
        <v>-41</v>
      </c>
      <c r="Q47" s="14">
        <f>SUM(Q39+SUM(Q41:Q46))</f>
        <v>165</v>
      </c>
      <c r="R47" s="14">
        <f>SUM(R39+SUM(R41:R46))</f>
        <v>1246</v>
      </c>
      <c r="T47" s="14">
        <f>SUM(T39+SUM(T41:T46))</f>
        <v>0</v>
      </c>
      <c r="U47" s="14" t="e">
        <f>SUM(U39+SUM(U41:U46))</f>
        <v>#REF!</v>
      </c>
      <c r="V47" s="14">
        <f>SUM(V39+SUM(V41:V46))</f>
        <v>2387</v>
      </c>
      <c r="W47" s="14">
        <f>SUM(W39+SUM(W41:W46))</f>
        <v>4572</v>
      </c>
      <c r="X47" s="14">
        <f>SUM(X39+SUM(X41:X46))</f>
        <v>7183</v>
      </c>
      <c r="Y47" s="14">
        <f>SUM(Y39+SUM(Y41:Y46))</f>
        <v>9738</v>
      </c>
      <c r="Z47" s="14">
        <f>SUM(Z39+SUM(Z41:Z46))</f>
        <v>-17874</v>
      </c>
      <c r="AA47" s="14">
        <f>SUM(AA39+SUM(AA41:AA46))</f>
        <v>-33941</v>
      </c>
      <c r="AB47" s="14">
        <f>SUM(AB39+SUM(AB41:AB46))</f>
        <v>-2103</v>
      </c>
      <c r="AC47" s="14">
        <f>SUM(AC39+SUM(AC41:AC46))</f>
        <v>-4841</v>
      </c>
      <c r="AD47" s="14">
        <f>SUM(AD39+SUM(AD41:AD46))</f>
        <v>-2557</v>
      </c>
      <c r="AE47" s="14">
        <f>SUM(AE39+SUM(AE41:AE46))</f>
        <v>-337</v>
      </c>
      <c r="AF47" s="14">
        <f>SUM(AF39+SUM(AF41:AF46))</f>
        <v>766</v>
      </c>
    </row>
    <row r="48" spans="2:34" ht="5.0999999999999996" customHeight="1"/>
    <row r="49" spans="1:34" ht="12.75" customHeight="1">
      <c r="A49" s="5"/>
      <c r="B49" s="33" t="s">
        <v>43</v>
      </c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</row>
    <row r="50" spans="1:34" ht="5.0999999999999996" customHeight="1"/>
    <row r="51" spans="1:34" ht="12.75" customHeight="1">
      <c r="B51" s="8" t="s">
        <v>44</v>
      </c>
      <c r="C51" s="96">
        <f>'Historical Financials'!C50</f>
        <v>12163</v>
      </c>
      <c r="D51" s="96">
        <f>'Historical Financials'!D50</f>
        <v>12416</v>
      </c>
      <c r="E51" s="96">
        <f>'Historical Financials'!E50</f>
        <v>14189</v>
      </c>
      <c r="F51" s="96">
        <f>'Historical Financials'!F50</f>
        <v>9348</v>
      </c>
      <c r="G51" s="32"/>
      <c r="H51" s="96">
        <f>'Historical Financials'!H50</f>
        <v>12647</v>
      </c>
      <c r="I51" s="96">
        <f>'Historical Financials'!I50</f>
        <v>11553</v>
      </c>
      <c r="J51" s="96">
        <f>'Historical Financials'!J50</f>
        <v>12055</v>
      </c>
      <c r="K51" s="96">
        <f>'Historical Financials'!K50</f>
        <v>14189</v>
      </c>
      <c r="L51" s="96">
        <f>'Historical Financials'!L50</f>
        <v>11864</v>
      </c>
      <c r="M51" s="96">
        <f>'Historical Financials'!M50</f>
        <v>9809</v>
      </c>
      <c r="N51" s="96">
        <f>'Historical Financials'!N50</f>
        <v>9952</v>
      </c>
      <c r="O51" s="96">
        <f>'Historical Financials'!O50</f>
        <v>9348</v>
      </c>
      <c r="P51" s="96">
        <f>'Historical Financials'!P50</f>
        <v>9307</v>
      </c>
      <c r="Q51" s="96">
        <f>'Historical Financials'!Q50</f>
        <v>9472</v>
      </c>
      <c r="R51" s="96">
        <f>'Historical Financials'!R50</f>
        <v>10718</v>
      </c>
      <c r="T51" s="10" t="e">
        <f>#REF!</f>
        <v>#REF!</v>
      </c>
      <c r="U51" s="10" t="e">
        <f>#REF!</f>
        <v>#REF!</v>
      </c>
      <c r="V51" s="10">
        <f t="shared" ref="V51:AF51" si="74">H51</f>
        <v>12647</v>
      </c>
      <c r="W51" s="10">
        <f t="shared" si="74"/>
        <v>11553</v>
      </c>
      <c r="X51" s="10">
        <f t="shared" si="74"/>
        <v>12055</v>
      </c>
      <c r="Y51" s="10">
        <f t="shared" si="74"/>
        <v>14189</v>
      </c>
      <c r="Z51" s="10">
        <f t="shared" si="74"/>
        <v>11864</v>
      </c>
      <c r="AA51" s="10">
        <f t="shared" si="74"/>
        <v>9809</v>
      </c>
      <c r="AB51" s="10">
        <f t="shared" si="74"/>
        <v>9952</v>
      </c>
      <c r="AC51" s="10">
        <f t="shared" si="74"/>
        <v>9348</v>
      </c>
      <c r="AD51" s="10">
        <f t="shared" si="74"/>
        <v>9307</v>
      </c>
      <c r="AE51" s="10">
        <f t="shared" si="74"/>
        <v>9472</v>
      </c>
      <c r="AF51" s="10">
        <f t="shared" si="74"/>
        <v>10718</v>
      </c>
    </row>
    <row r="52" spans="1:34" ht="12.75" customHeight="1">
      <c r="B52" s="31" t="s">
        <v>228</v>
      </c>
      <c r="C52" s="82">
        <f>7500-C67</f>
        <v>7500</v>
      </c>
      <c r="D52" s="82">
        <f>7500-D67</f>
        <v>7500</v>
      </c>
      <c r="E52" s="82">
        <f>7500-E67</f>
        <v>7500</v>
      </c>
      <c r="F52" s="82">
        <f>7500-F67</f>
        <v>7500</v>
      </c>
      <c r="G52" s="96"/>
      <c r="H52" s="82"/>
      <c r="I52" s="82"/>
      <c r="J52" s="82"/>
      <c r="K52" s="10">
        <f>E52</f>
        <v>7500</v>
      </c>
      <c r="L52" s="82"/>
      <c r="M52" s="82"/>
      <c r="N52" s="82"/>
      <c r="O52" s="10">
        <f>F52</f>
        <v>7500</v>
      </c>
      <c r="P52" s="82"/>
      <c r="Q52" s="82"/>
      <c r="R52" s="82">
        <f>7500-R67</f>
        <v>7000</v>
      </c>
      <c r="T52" s="10"/>
      <c r="U52" s="10"/>
      <c r="V52" s="10"/>
      <c r="W52" s="10"/>
      <c r="X52" s="10"/>
      <c r="Y52" s="10"/>
      <c r="Z52" s="10"/>
      <c r="AA52" s="10"/>
      <c r="AB52" s="10">
        <f t="shared" ref="AB52:AF52" si="75">N52</f>
        <v>0</v>
      </c>
      <c r="AC52" s="10">
        <f t="shared" si="75"/>
        <v>7500</v>
      </c>
      <c r="AD52" s="10">
        <f t="shared" si="75"/>
        <v>0</v>
      </c>
      <c r="AE52" s="10">
        <f t="shared" si="75"/>
        <v>0</v>
      </c>
      <c r="AF52" s="10">
        <f t="shared" si="75"/>
        <v>7000</v>
      </c>
    </row>
    <row r="53" spans="1:34" ht="12.75" customHeight="1">
      <c r="B53" s="13" t="s">
        <v>45</v>
      </c>
      <c r="C53" s="14">
        <f>SUM(C51:C52)</f>
        <v>19663</v>
      </c>
      <c r="D53" s="14">
        <f>SUM(D51:D52)</f>
        <v>19916</v>
      </c>
      <c r="E53" s="14">
        <f>SUM(E51:E52)</f>
        <v>21689</v>
      </c>
      <c r="F53" s="14">
        <f>SUM(F51:F52)</f>
        <v>16848</v>
      </c>
      <c r="G53" s="32"/>
      <c r="H53" s="14">
        <f>SUM(H51:H52)</f>
        <v>12647</v>
      </c>
      <c r="I53" s="14">
        <f>SUM(I51:I52)</f>
        <v>11553</v>
      </c>
      <c r="J53" s="14">
        <f>SUM(J51:J52)</f>
        <v>12055</v>
      </c>
      <c r="K53" s="14">
        <f>SUM(K51:K52)</f>
        <v>21689</v>
      </c>
      <c r="L53" s="14">
        <f>SUM(L51:L52)</f>
        <v>11864</v>
      </c>
      <c r="M53" s="14">
        <f>SUM(M51:M52)</f>
        <v>9809</v>
      </c>
      <c r="N53" s="14">
        <f>SUM(N51:N52)</f>
        <v>9952</v>
      </c>
      <c r="O53" s="14">
        <f>SUM(O51:O52)</f>
        <v>16848</v>
      </c>
      <c r="P53" s="14">
        <f>SUM(P51:P52)</f>
        <v>9307</v>
      </c>
      <c r="Q53" s="14">
        <f>SUM(Q51:Q52)</f>
        <v>9472</v>
      </c>
      <c r="R53" s="14">
        <f>SUM(R51:R52)</f>
        <v>17718</v>
      </c>
      <c r="T53" s="14" t="e">
        <f>SUM(T51:T51)</f>
        <v>#REF!</v>
      </c>
      <c r="U53" s="14" t="e">
        <f>SUM(U51:U51)</f>
        <v>#REF!</v>
      </c>
      <c r="V53" s="14">
        <f>SUM(V51:V51)</f>
        <v>12647</v>
      </c>
      <c r="W53" s="14">
        <f>SUM(W51:W51)</f>
        <v>11553</v>
      </c>
      <c r="X53" s="14">
        <f>SUM(X51:X51)</f>
        <v>12055</v>
      </c>
      <c r="Y53" s="14">
        <f>SUM(Y51:Y51)</f>
        <v>14189</v>
      </c>
      <c r="Z53" s="14">
        <f>SUM(Z51:Z51)</f>
        <v>11864</v>
      </c>
      <c r="AA53" s="14">
        <f>SUM(AA51:AA51)</f>
        <v>9809</v>
      </c>
      <c r="AB53" s="14">
        <f>SUM(AB51:AB52)</f>
        <v>9952</v>
      </c>
      <c r="AC53" s="14">
        <f>SUM(AC51:AC52)</f>
        <v>16848</v>
      </c>
      <c r="AD53" s="14">
        <f>SUM(AD51:AD52)</f>
        <v>9307</v>
      </c>
      <c r="AE53" s="14">
        <f>SUM(AE51:AE52)</f>
        <v>9472</v>
      </c>
      <c r="AF53" s="14">
        <f>SUM(AF51:AF52)</f>
        <v>17718</v>
      </c>
    </row>
    <row r="54" spans="1:34" s="167" customFormat="1" ht="12.75" customHeight="1">
      <c r="B54" s="172" t="s">
        <v>178</v>
      </c>
      <c r="C54" s="157">
        <v>500</v>
      </c>
      <c r="D54" s="169"/>
      <c r="E54" s="169"/>
      <c r="F54" s="169"/>
      <c r="G54" s="170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57">
        <v>500</v>
      </c>
      <c r="T54" s="169"/>
      <c r="U54" s="169"/>
      <c r="V54" s="169"/>
      <c r="W54" s="169"/>
      <c r="X54" s="169"/>
      <c r="Y54" s="169"/>
      <c r="Z54" s="169"/>
      <c r="AA54" s="169"/>
      <c r="AB54" s="10">
        <f t="shared" ref="AB54" si="76">N54</f>
        <v>0</v>
      </c>
      <c r="AC54" s="10">
        <f t="shared" ref="AC54" si="77">O54</f>
        <v>0</v>
      </c>
      <c r="AD54" s="10">
        <f t="shared" ref="AD54" si="78">P54</f>
        <v>0</v>
      </c>
      <c r="AE54" s="10">
        <f t="shared" ref="AE54" si="79">Q54</f>
        <v>0</v>
      </c>
      <c r="AF54" s="10">
        <f t="shared" ref="AF54" si="80">R54</f>
        <v>500</v>
      </c>
      <c r="AH54" s="171"/>
    </row>
    <row r="55" spans="1:34" ht="5.0999999999999996" customHeight="1"/>
    <row r="56" spans="1:34" ht="12.75" customHeight="1">
      <c r="B56" s="35" t="s">
        <v>46</v>
      </c>
    </row>
    <row r="57" spans="1:34" ht="12.75" customHeight="1">
      <c r="B57" s="8" t="s">
        <v>180</v>
      </c>
      <c r="C57" s="96">
        <f>'Historical Financials'!C51</f>
        <v>2071</v>
      </c>
      <c r="D57" s="96">
        <f>'Historical Financials'!D51</f>
        <v>2958</v>
      </c>
      <c r="E57" s="96">
        <f>'Historical Financials'!E51</f>
        <v>3154</v>
      </c>
      <c r="F57" s="96">
        <f>'Historical Financials'!F51</f>
        <v>4416</v>
      </c>
      <c r="H57" s="96">
        <f>'Historical Financials'!H51</f>
        <v>3234</v>
      </c>
      <c r="I57" s="96">
        <f>'Historical Financials'!I51</f>
        <v>3031</v>
      </c>
      <c r="J57" s="96">
        <f>'Historical Financials'!J51</f>
        <v>2914</v>
      </c>
      <c r="K57" s="96">
        <f>'Historical Financials'!K51</f>
        <v>3154</v>
      </c>
      <c r="L57" s="96">
        <f>'Historical Financials'!L51</f>
        <v>4969</v>
      </c>
      <c r="M57" s="96">
        <f>'Historical Financials'!M51</f>
        <v>5500</v>
      </c>
      <c r="N57" s="96">
        <f>'Historical Financials'!N51</f>
        <v>4665</v>
      </c>
      <c r="O57" s="96">
        <f>'Historical Financials'!O51</f>
        <v>4416</v>
      </c>
      <c r="P57" s="96">
        <f>'Historical Financials'!P51</f>
        <v>4955</v>
      </c>
      <c r="Q57" s="96">
        <f>'Historical Financials'!Q51</f>
        <v>5563</v>
      </c>
      <c r="R57" s="96">
        <f>'Historical Financials'!R51</f>
        <v>6494</v>
      </c>
      <c r="S57" s="10"/>
      <c r="T57" s="10" t="e">
        <f>#REF!</f>
        <v>#REF!</v>
      </c>
      <c r="U57" s="10" t="e">
        <f>#REF!</f>
        <v>#REF!</v>
      </c>
      <c r="V57" s="10">
        <f t="shared" ref="V57:AD61" si="81">H57</f>
        <v>3234</v>
      </c>
      <c r="W57" s="10">
        <f t="shared" si="81"/>
        <v>3031</v>
      </c>
      <c r="X57" s="10">
        <f t="shared" si="81"/>
        <v>2914</v>
      </c>
      <c r="Y57" s="10">
        <f t="shared" si="81"/>
        <v>3154</v>
      </c>
      <c r="Z57" s="10">
        <f t="shared" si="81"/>
        <v>4969</v>
      </c>
      <c r="AA57" s="10">
        <f t="shared" si="81"/>
        <v>5500</v>
      </c>
      <c r="AB57" s="10">
        <f t="shared" si="81"/>
        <v>4665</v>
      </c>
      <c r="AC57" s="10">
        <f t="shared" si="81"/>
        <v>4416</v>
      </c>
      <c r="AD57" s="10">
        <f t="shared" si="81"/>
        <v>4955</v>
      </c>
      <c r="AE57" s="10">
        <f t="shared" ref="AE57:AF61" si="82">Q57</f>
        <v>5563</v>
      </c>
      <c r="AF57" s="10">
        <f t="shared" si="82"/>
        <v>6494</v>
      </c>
    </row>
    <row r="58" spans="1:34" ht="12.75" customHeight="1">
      <c r="B58" s="8" t="s">
        <v>115</v>
      </c>
      <c r="C58" s="96">
        <f>'Historical Financials'!C57</f>
        <v>2348</v>
      </c>
      <c r="D58" s="96">
        <f>'Historical Financials'!D57</f>
        <v>2223</v>
      </c>
      <c r="E58" s="96">
        <f>'Historical Financials'!E57</f>
        <v>2154</v>
      </c>
      <c r="F58" s="96">
        <f>'Historical Financials'!F57</f>
        <v>2521</v>
      </c>
      <c r="G58" s="96"/>
      <c r="H58" s="96">
        <f>'Historical Financials'!H57</f>
        <v>2201</v>
      </c>
      <c r="I58" s="96">
        <f>'Historical Financials'!I57</f>
        <v>2209</v>
      </c>
      <c r="J58" s="96">
        <f>'Historical Financials'!J57</f>
        <v>2180</v>
      </c>
      <c r="K58" s="96">
        <f>'Historical Financials'!K57</f>
        <v>2154</v>
      </c>
      <c r="L58" s="96">
        <f>'Historical Financials'!L57</f>
        <v>2662</v>
      </c>
      <c r="M58" s="96">
        <f>'Historical Financials'!M57</f>
        <v>2668</v>
      </c>
      <c r="N58" s="96">
        <f>'Historical Financials'!N57</f>
        <v>2602</v>
      </c>
      <c r="O58" s="96">
        <f>'Historical Financials'!O57</f>
        <v>2521</v>
      </c>
      <c r="P58" s="96">
        <f>'Historical Financials'!P57</f>
        <v>2465</v>
      </c>
      <c r="Q58" s="96">
        <f>'Historical Financials'!Q57</f>
        <v>2462</v>
      </c>
      <c r="R58" s="96">
        <f>'Historical Financials'!R57</f>
        <v>2451</v>
      </c>
      <c r="T58" s="10" t="e">
        <f>#REF!</f>
        <v>#REF!</v>
      </c>
      <c r="U58" s="10" t="e">
        <f>#REF!</f>
        <v>#REF!</v>
      </c>
      <c r="V58" s="10">
        <f t="shared" si="81"/>
        <v>2201</v>
      </c>
      <c r="W58" s="10">
        <f t="shared" si="81"/>
        <v>2209</v>
      </c>
      <c r="X58" s="10">
        <f t="shared" si="81"/>
        <v>2180</v>
      </c>
      <c r="Y58" s="10">
        <f t="shared" si="81"/>
        <v>2154</v>
      </c>
      <c r="Z58" s="10">
        <f t="shared" si="81"/>
        <v>2662</v>
      </c>
      <c r="AA58" s="10">
        <f t="shared" si="81"/>
        <v>2668</v>
      </c>
      <c r="AB58" s="10">
        <f t="shared" si="81"/>
        <v>2602</v>
      </c>
      <c r="AC58" s="10">
        <f t="shared" si="81"/>
        <v>2521</v>
      </c>
      <c r="AD58" s="10">
        <f t="shared" si="81"/>
        <v>2465</v>
      </c>
      <c r="AE58" s="10">
        <f t="shared" si="82"/>
        <v>2462</v>
      </c>
      <c r="AF58" s="10">
        <f t="shared" si="82"/>
        <v>2451</v>
      </c>
    </row>
    <row r="59" spans="1:34" ht="12.75" customHeight="1">
      <c r="B59" s="8" t="s">
        <v>47</v>
      </c>
      <c r="C59" s="96">
        <f>'Historical Financials'!C64</f>
        <v>1086</v>
      </c>
      <c r="D59" s="96">
        <f>'Historical Financials'!D64</f>
        <v>998</v>
      </c>
      <c r="E59" s="96">
        <f>'Historical Financials'!E64</f>
        <v>1210</v>
      </c>
      <c r="F59" s="96">
        <f>'Historical Financials'!F64</f>
        <v>1662</v>
      </c>
      <c r="G59" s="96"/>
      <c r="H59" s="96">
        <f>'Historical Financials'!H64</f>
        <v>923</v>
      </c>
      <c r="I59" s="96">
        <f>'Historical Financials'!I64</f>
        <v>831</v>
      </c>
      <c r="J59" s="96">
        <f>'Historical Financials'!J64</f>
        <v>992</v>
      </c>
      <c r="K59" s="96">
        <f>'Historical Financials'!K64</f>
        <v>1210</v>
      </c>
      <c r="L59" s="96">
        <f>'Historical Financials'!L64</f>
        <v>1496</v>
      </c>
      <c r="M59" s="96">
        <f>'Historical Financials'!M64</f>
        <v>1441</v>
      </c>
      <c r="N59" s="96">
        <f>'Historical Financials'!N64</f>
        <v>1757</v>
      </c>
      <c r="O59" s="96">
        <f>'Historical Financials'!O64</f>
        <v>1662</v>
      </c>
      <c r="P59" s="96">
        <f>'Historical Financials'!P64</f>
        <v>1905</v>
      </c>
      <c r="Q59" s="96">
        <f>'Historical Financials'!Q64</f>
        <v>1297</v>
      </c>
      <c r="R59" s="96">
        <f>'Historical Financials'!R64</f>
        <v>1432</v>
      </c>
      <c r="T59" s="10"/>
      <c r="U59" s="10"/>
      <c r="V59" s="10"/>
      <c r="W59" s="10"/>
      <c r="X59" s="10"/>
      <c r="Y59" s="10"/>
      <c r="Z59" s="10"/>
      <c r="AA59" s="10"/>
      <c r="AB59" s="10">
        <f t="shared" ref="AB59" si="83">N59</f>
        <v>1757</v>
      </c>
      <c r="AC59" s="10">
        <f t="shared" ref="AC59" si="84">O59</f>
        <v>1662</v>
      </c>
      <c r="AD59" s="10">
        <f t="shared" ref="AD59" si="85">P59</f>
        <v>1905</v>
      </c>
      <c r="AE59" s="10">
        <f t="shared" ref="AE59" si="86">Q59</f>
        <v>1297</v>
      </c>
      <c r="AF59" s="10">
        <f t="shared" ref="AF59" si="87">R59</f>
        <v>1432</v>
      </c>
    </row>
    <row r="60" spans="1:34" ht="12.75" customHeight="1">
      <c r="B60" s="8" t="s">
        <v>48</v>
      </c>
      <c r="C60" s="96">
        <f>'Historical Financials'!C68</f>
        <v>6281</v>
      </c>
      <c r="D60" s="96">
        <f>'Historical Financials'!D68</f>
        <v>7052</v>
      </c>
      <c r="E60" s="96">
        <f>'Historical Financials'!E68</f>
        <v>7405</v>
      </c>
      <c r="F60" s="96">
        <f>'Historical Financials'!F68</f>
        <v>16697</v>
      </c>
      <c r="G60" s="96"/>
      <c r="H60" s="96">
        <f>'Historical Financials'!H68</f>
        <v>7483</v>
      </c>
      <c r="I60" s="96">
        <f>'Historical Financials'!I68</f>
        <v>7511</v>
      </c>
      <c r="J60" s="96">
        <f>'Historical Financials'!J68</f>
        <v>7345</v>
      </c>
      <c r="K60" s="96">
        <f>'Historical Financials'!K68</f>
        <v>7405</v>
      </c>
      <c r="L60" s="96">
        <f>'Historical Financials'!L68</f>
        <v>20369</v>
      </c>
      <c r="M60" s="96">
        <f>'Historical Financials'!M68</f>
        <v>20171</v>
      </c>
      <c r="N60" s="96">
        <f>'Historical Financials'!N68</f>
        <v>19221</v>
      </c>
      <c r="O60" s="96">
        <f>'Historical Financials'!O68</f>
        <v>16697</v>
      </c>
      <c r="P60" s="96">
        <f>'Historical Financials'!P68</f>
        <v>20910</v>
      </c>
      <c r="Q60" s="96">
        <f>'Historical Financials'!Q68</f>
        <v>20597</v>
      </c>
      <c r="R60" s="96">
        <f>'Historical Financials'!R68</f>
        <v>16704</v>
      </c>
      <c r="T60" s="10" t="e">
        <f>#REF!</f>
        <v>#REF!</v>
      </c>
      <c r="U60" s="10" t="e">
        <f>#REF!</f>
        <v>#REF!</v>
      </c>
      <c r="V60" s="10">
        <f t="shared" si="81"/>
        <v>7483</v>
      </c>
      <c r="W60" s="10">
        <f t="shared" si="81"/>
        <v>7511</v>
      </c>
      <c r="X60" s="10">
        <f t="shared" si="81"/>
        <v>7345</v>
      </c>
      <c r="Y60" s="10">
        <f t="shared" si="81"/>
        <v>7405</v>
      </c>
      <c r="Z60" s="10">
        <f t="shared" si="81"/>
        <v>20369</v>
      </c>
      <c r="AA60" s="10">
        <f t="shared" si="81"/>
        <v>20171</v>
      </c>
      <c r="AB60" s="10">
        <f t="shared" si="81"/>
        <v>19221</v>
      </c>
      <c r="AC60" s="10">
        <f t="shared" si="81"/>
        <v>16697</v>
      </c>
      <c r="AD60" s="10">
        <f t="shared" si="81"/>
        <v>20910</v>
      </c>
      <c r="AE60" s="10">
        <f t="shared" si="82"/>
        <v>20597</v>
      </c>
      <c r="AF60" s="10">
        <f t="shared" si="82"/>
        <v>16704</v>
      </c>
    </row>
    <row r="61" spans="1:34" ht="12.75" customHeight="1">
      <c r="B61" s="8" t="s">
        <v>18</v>
      </c>
      <c r="C61" s="96">
        <f>'Historical Financials'!C73</f>
        <v>50581</v>
      </c>
      <c r="D61" s="96">
        <f>'Historical Financials'!D73</f>
        <v>50540</v>
      </c>
      <c r="E61" s="96">
        <f>'Historical Financials'!E73</f>
        <v>48873</v>
      </c>
      <c r="F61" s="96">
        <f>'Historical Financials'!F73</f>
        <v>97967</v>
      </c>
      <c r="G61" s="96"/>
      <c r="H61" s="96">
        <f>'Historical Financials'!H73</f>
        <v>49666</v>
      </c>
      <c r="I61" s="96">
        <f>'Historical Financials'!I73</f>
        <v>49660</v>
      </c>
      <c r="J61" s="96">
        <f>'Historical Financials'!J73</f>
        <v>49516</v>
      </c>
      <c r="K61" s="96">
        <f>'Historical Financials'!K73</f>
        <v>48873</v>
      </c>
      <c r="L61" s="96">
        <f>'Historical Financials'!L73</f>
        <v>107586</v>
      </c>
      <c r="M61" s="96">
        <f>'Historical Financials'!M73</f>
        <v>105250</v>
      </c>
      <c r="N61" s="96">
        <f>'Historical Financials'!N73</f>
        <v>102315</v>
      </c>
      <c r="O61" s="96">
        <f>'Historical Financials'!O73</f>
        <v>97967</v>
      </c>
      <c r="P61" s="96">
        <f>'Historical Financials'!P73</f>
        <v>95569</v>
      </c>
      <c r="Q61" s="96">
        <f>'Historical Financials'!Q73</f>
        <v>95044</v>
      </c>
      <c r="R61" s="96">
        <f>'Historical Financials'!R73</f>
        <v>92344</v>
      </c>
      <c r="T61" s="10" t="e">
        <f>#REF!</f>
        <v>#REF!</v>
      </c>
      <c r="U61" s="10" t="e">
        <f>#REF!</f>
        <v>#REF!</v>
      </c>
      <c r="V61" s="10">
        <f t="shared" si="81"/>
        <v>49666</v>
      </c>
      <c r="W61" s="10">
        <f t="shared" si="81"/>
        <v>49660</v>
      </c>
      <c r="X61" s="10">
        <f t="shared" si="81"/>
        <v>49516</v>
      </c>
      <c r="Y61" s="10">
        <f t="shared" si="81"/>
        <v>48873</v>
      </c>
      <c r="Z61" s="10">
        <f t="shared" si="81"/>
        <v>107586</v>
      </c>
      <c r="AA61" s="10">
        <f t="shared" si="81"/>
        <v>105250</v>
      </c>
      <c r="AB61" s="10">
        <f t="shared" si="81"/>
        <v>102315</v>
      </c>
      <c r="AC61" s="10">
        <f t="shared" si="81"/>
        <v>97967</v>
      </c>
      <c r="AD61" s="10">
        <f t="shared" si="81"/>
        <v>95569</v>
      </c>
      <c r="AE61" s="10">
        <f t="shared" si="82"/>
        <v>95044</v>
      </c>
      <c r="AF61" s="10">
        <f t="shared" si="82"/>
        <v>92344</v>
      </c>
    </row>
    <row r="62" spans="1:34" ht="5.0999999999999996" customHeight="1">
      <c r="F62" s="10"/>
    </row>
    <row r="63" spans="1:34">
      <c r="B63" s="35" t="s">
        <v>110</v>
      </c>
      <c r="F63" s="10"/>
    </row>
    <row r="64" spans="1:34">
      <c r="B64" s="8" t="s">
        <v>111</v>
      </c>
      <c r="C64" s="96">
        <f>'Historical Financials'!C66</f>
        <v>290</v>
      </c>
      <c r="D64" s="96">
        <f>'Historical Financials'!D66</f>
        <v>440</v>
      </c>
      <c r="E64" s="96">
        <f>'Historical Financials'!E66</f>
        <v>1608</v>
      </c>
      <c r="F64" s="96">
        <f>'Historical Financials'!F66</f>
        <v>1271</v>
      </c>
      <c r="H64" s="96">
        <f>'Historical Financials'!H66</f>
        <v>1115</v>
      </c>
      <c r="I64" s="96">
        <f>'Historical Financials'!I66</f>
        <v>1117</v>
      </c>
      <c r="J64" s="96">
        <f>'Historical Financials'!J66</f>
        <v>1119</v>
      </c>
      <c r="K64" s="96">
        <f>'Historical Financials'!K66</f>
        <v>1608</v>
      </c>
      <c r="L64" s="96">
        <f>'Historical Financials'!L66</f>
        <v>2433</v>
      </c>
      <c r="M64" s="96">
        <f>'Historical Financials'!M66</f>
        <v>2426</v>
      </c>
      <c r="N64" s="96">
        <f>'Historical Financials'!N66</f>
        <v>3161</v>
      </c>
      <c r="O64" s="96">
        <f>'Historical Financials'!O66</f>
        <v>1271</v>
      </c>
      <c r="P64" s="96">
        <f>'Historical Financials'!P66</f>
        <v>5653</v>
      </c>
      <c r="Q64" s="96">
        <f>'Historical Financials'!Q66</f>
        <v>5531</v>
      </c>
      <c r="R64" s="96">
        <f>'Historical Financials'!R66</f>
        <v>1399</v>
      </c>
      <c r="AB64" s="10">
        <f t="shared" ref="AB64:AB65" si="88">N64</f>
        <v>3161</v>
      </c>
      <c r="AC64" s="10">
        <f t="shared" ref="AC64:AC65" si="89">O64</f>
        <v>1271</v>
      </c>
      <c r="AD64" s="10">
        <f t="shared" ref="AD64:AD65" si="90">P64</f>
        <v>5653</v>
      </c>
      <c r="AE64" s="10">
        <f t="shared" ref="AE64:AE65" si="91">Q64</f>
        <v>5531</v>
      </c>
      <c r="AF64" s="10">
        <f t="shared" ref="AF64:AF65" si="92">R64</f>
        <v>1399</v>
      </c>
    </row>
    <row r="65" spans="2:32">
      <c r="B65" s="8" t="s">
        <v>112</v>
      </c>
      <c r="C65" s="96">
        <f>'Historical Financials'!C71</f>
        <v>39440</v>
      </c>
      <c r="D65" s="96">
        <f>'Historical Financials'!D71</f>
        <v>39075</v>
      </c>
      <c r="E65" s="96">
        <f>'Historical Financials'!E71</f>
        <v>37621</v>
      </c>
      <c r="F65" s="96">
        <f>'Historical Financials'!F71</f>
        <v>66295</v>
      </c>
      <c r="H65" s="96">
        <f>'Historical Financials'!H71</f>
        <v>38167</v>
      </c>
      <c r="I65" s="96">
        <f>'Historical Financials'!I71</f>
        <v>38194</v>
      </c>
      <c r="J65" s="96">
        <f>'Historical Financials'!J71</f>
        <v>38222</v>
      </c>
      <c r="K65" s="96">
        <f>'Historical Financials'!K71</f>
        <v>37621</v>
      </c>
      <c r="L65" s="96">
        <f>'Historical Financials'!L71</f>
        <v>73468</v>
      </c>
      <c r="M65" s="96">
        <f>'Historical Financials'!M71</f>
        <v>71590</v>
      </c>
      <c r="N65" s="96">
        <f>'Historical Financials'!N71</f>
        <v>66798</v>
      </c>
      <c r="O65" s="96">
        <f>'Historical Financials'!O71</f>
        <v>66295</v>
      </c>
      <c r="P65" s="96">
        <f>'Historical Financials'!P71</f>
        <v>60926</v>
      </c>
      <c r="Q65" s="96">
        <f>'Historical Financials'!Q71</f>
        <v>61751</v>
      </c>
      <c r="R65" s="96">
        <f>'Historical Financials'!R71</f>
        <v>62830</v>
      </c>
      <c r="AB65" s="10">
        <f t="shared" si="88"/>
        <v>66798</v>
      </c>
      <c r="AC65" s="10">
        <f t="shared" si="89"/>
        <v>66295</v>
      </c>
      <c r="AD65" s="10">
        <f t="shared" si="90"/>
        <v>60926</v>
      </c>
      <c r="AE65" s="10">
        <f t="shared" si="91"/>
        <v>61751</v>
      </c>
      <c r="AF65" s="10">
        <f t="shared" si="92"/>
        <v>62830</v>
      </c>
    </row>
    <row r="66" spans="2:32">
      <c r="F66" s="10"/>
    </row>
    <row r="67" spans="2:32">
      <c r="B67" s="31" t="s">
        <v>179</v>
      </c>
      <c r="C67" s="82">
        <v>0</v>
      </c>
      <c r="D67" s="82"/>
      <c r="E67" s="82"/>
      <c r="F67" s="82"/>
      <c r="H67" s="82"/>
      <c r="I67" s="82"/>
      <c r="J67" s="82"/>
      <c r="K67" s="10"/>
      <c r="L67" s="82"/>
      <c r="M67" s="82"/>
      <c r="N67" s="82"/>
      <c r="O67" s="10"/>
      <c r="P67" s="82"/>
      <c r="Q67" s="82"/>
      <c r="R67" s="82">
        <v>500</v>
      </c>
      <c r="T67" s="10" t="e">
        <f>#REF!</f>
        <v>#REF!</v>
      </c>
      <c r="U67" s="10" t="e">
        <f>#REF!</f>
        <v>#REF!</v>
      </c>
      <c r="V67" s="10">
        <f t="shared" ref="V67" si="93">H67</f>
        <v>0</v>
      </c>
      <c r="W67" s="10">
        <f t="shared" ref="W67" si="94">I67</f>
        <v>0</v>
      </c>
      <c r="X67" s="10">
        <f t="shared" ref="X67" si="95">J67</f>
        <v>0</v>
      </c>
      <c r="Y67" s="10">
        <f t="shared" ref="Y67" si="96">K67</f>
        <v>0</v>
      </c>
      <c r="Z67" s="10">
        <f t="shared" ref="Z67" si="97">L67</f>
        <v>0</v>
      </c>
      <c r="AA67" s="10">
        <f t="shared" ref="AA67" si="98">M67</f>
        <v>0</v>
      </c>
      <c r="AB67" s="10">
        <f t="shared" ref="AB67:AB72" si="99">N67</f>
        <v>0</v>
      </c>
      <c r="AC67" s="10">
        <f t="shared" ref="AC67:AC72" si="100">O67</f>
        <v>0</v>
      </c>
      <c r="AD67" s="10">
        <f t="shared" ref="AD67:AD72" si="101">P67</f>
        <v>0</v>
      </c>
      <c r="AE67" s="10">
        <f t="shared" ref="AE67:AE72" si="102">Q67</f>
        <v>0</v>
      </c>
      <c r="AF67" s="10">
        <f t="shared" ref="AF67:AF72" si="103">R67</f>
        <v>500</v>
      </c>
    </row>
    <row r="68" spans="2:32">
      <c r="B68" s="31" t="s">
        <v>272</v>
      </c>
      <c r="C68" s="96">
        <f>'Debt Schedule'!C6</f>
        <v>0</v>
      </c>
      <c r="D68" s="96">
        <f>'Debt Schedule'!D6</f>
        <v>0</v>
      </c>
      <c r="E68" s="96">
        <f>'Debt Schedule'!E6</f>
        <v>0</v>
      </c>
      <c r="F68" s="96">
        <f>'Debt Schedule'!F6</f>
        <v>5000</v>
      </c>
      <c r="H68" s="96">
        <f>'Debt Schedule'!H6</f>
        <v>0</v>
      </c>
      <c r="I68" s="96">
        <f>'Debt Schedule'!I6</f>
        <v>0</v>
      </c>
      <c r="J68" s="96">
        <f>'Debt Schedule'!J6</f>
        <v>0</v>
      </c>
      <c r="K68" s="96">
        <f>'Debt Schedule'!K6</f>
        <v>0</v>
      </c>
      <c r="L68" s="96">
        <f>'Debt Schedule'!L6</f>
        <v>0</v>
      </c>
      <c r="M68" s="96">
        <f>'Debt Schedule'!M6</f>
        <v>0</v>
      </c>
      <c r="N68" s="96">
        <f>'Debt Schedule'!N6</f>
        <v>0</v>
      </c>
      <c r="O68" s="96">
        <f>'Debt Schedule'!O6</f>
        <v>5000</v>
      </c>
      <c r="P68" s="96">
        <f>'Debt Schedule'!P6</f>
        <v>0</v>
      </c>
      <c r="Q68" s="96">
        <f>'Debt Schedule'!Q6</f>
        <v>0</v>
      </c>
      <c r="R68" s="96">
        <f>'Debt Schedule'!R6</f>
        <v>0</v>
      </c>
      <c r="T68" s="10"/>
      <c r="U68" s="10"/>
      <c r="V68" s="10"/>
      <c r="W68" s="10"/>
      <c r="X68" s="10"/>
      <c r="Y68" s="10"/>
      <c r="Z68" s="10"/>
      <c r="AA68" s="10"/>
      <c r="AB68" s="10">
        <f t="shared" ref="AB68:AB71" si="104">N68</f>
        <v>0</v>
      </c>
      <c r="AC68" s="10">
        <f t="shared" ref="AC68:AC71" si="105">O68</f>
        <v>5000</v>
      </c>
      <c r="AD68" s="10">
        <f t="shared" ref="AD68:AD71" si="106">P68</f>
        <v>0</v>
      </c>
      <c r="AE68" s="10">
        <f t="shared" ref="AE68:AE71" si="107">Q68</f>
        <v>0</v>
      </c>
      <c r="AF68" s="10">
        <f t="shared" ref="AF68:AF71" si="108">R68</f>
        <v>0</v>
      </c>
    </row>
    <row r="69" spans="2:32">
      <c r="B69" s="31" t="s">
        <v>271</v>
      </c>
      <c r="C69" s="96">
        <f>'Debt Schedule'!C12</f>
        <v>0</v>
      </c>
      <c r="D69" s="96">
        <f>'Debt Schedule'!D12</f>
        <v>0</v>
      </c>
      <c r="E69" s="96">
        <f>'Debt Schedule'!E12</f>
        <v>0</v>
      </c>
      <c r="F69" s="96">
        <f>'Debt Schedule'!F12</f>
        <v>5000</v>
      </c>
      <c r="H69" s="96">
        <f>'Debt Schedule'!H12</f>
        <v>0</v>
      </c>
      <c r="I69" s="96">
        <f>'Debt Schedule'!I12</f>
        <v>0</v>
      </c>
      <c r="J69" s="96">
        <f>'Debt Schedule'!J12</f>
        <v>0</v>
      </c>
      <c r="K69" s="96">
        <f>'Debt Schedule'!K12</f>
        <v>0</v>
      </c>
      <c r="L69" s="96">
        <f>'Debt Schedule'!L12</f>
        <v>0</v>
      </c>
      <c r="M69" s="96">
        <f>'Debt Schedule'!M12</f>
        <v>0</v>
      </c>
      <c r="N69" s="96">
        <f>'Debt Schedule'!N12</f>
        <v>0</v>
      </c>
      <c r="O69" s="96">
        <f>'Debt Schedule'!O12</f>
        <v>5000</v>
      </c>
      <c r="P69" s="96">
        <f>'Debt Schedule'!P12</f>
        <v>0</v>
      </c>
      <c r="Q69" s="96">
        <f>'Debt Schedule'!Q12</f>
        <v>0</v>
      </c>
      <c r="R69" s="96">
        <f>'Debt Schedule'!R12</f>
        <v>0</v>
      </c>
      <c r="T69" s="10"/>
      <c r="U69" s="10"/>
      <c r="V69" s="10"/>
      <c r="W69" s="10"/>
      <c r="X69" s="10"/>
      <c r="Y69" s="10"/>
      <c r="Z69" s="10"/>
      <c r="AA69" s="10"/>
      <c r="AB69" s="10">
        <f t="shared" si="104"/>
        <v>0</v>
      </c>
      <c r="AC69" s="10">
        <f t="shared" si="105"/>
        <v>5000</v>
      </c>
      <c r="AD69" s="10">
        <f t="shared" si="106"/>
        <v>0</v>
      </c>
      <c r="AE69" s="10">
        <f t="shared" si="107"/>
        <v>0</v>
      </c>
      <c r="AF69" s="10">
        <f t="shared" si="108"/>
        <v>0</v>
      </c>
    </row>
    <row r="70" spans="2:32">
      <c r="B70" s="31" t="s">
        <v>270</v>
      </c>
      <c r="C70" s="96">
        <f>'Debt Schedule'!C17</f>
        <v>0</v>
      </c>
      <c r="D70" s="96">
        <f>'Debt Schedule'!D17</f>
        <v>0</v>
      </c>
      <c r="E70" s="96">
        <f>'Debt Schedule'!E17</f>
        <v>0</v>
      </c>
      <c r="F70" s="96">
        <f>'Debt Schedule'!F17</f>
        <v>13595</v>
      </c>
      <c r="H70" s="96">
        <f>'Debt Schedule'!H17</f>
        <v>0</v>
      </c>
      <c r="I70" s="96">
        <f>'Debt Schedule'!I17</f>
        <v>0</v>
      </c>
      <c r="J70" s="96">
        <f>'Debt Schedule'!J17</f>
        <v>0</v>
      </c>
      <c r="K70" s="96">
        <f>'Debt Schedule'!K17</f>
        <v>0</v>
      </c>
      <c r="L70" s="96">
        <f>'Debt Schedule'!L17</f>
        <v>0</v>
      </c>
      <c r="M70" s="96">
        <f>'Debt Schedule'!M17</f>
        <v>0</v>
      </c>
      <c r="N70" s="96">
        <f>'Debt Schedule'!N17</f>
        <v>0</v>
      </c>
      <c r="O70" s="96">
        <f>'Debt Schedule'!O17</f>
        <v>13595</v>
      </c>
      <c r="P70" s="96">
        <f>'Debt Schedule'!P17</f>
        <v>0</v>
      </c>
      <c r="Q70" s="96">
        <f>'Debt Schedule'!Q17</f>
        <v>0</v>
      </c>
      <c r="R70" s="96">
        <f>'Debt Schedule'!R17</f>
        <v>0</v>
      </c>
      <c r="T70" s="10"/>
      <c r="U70" s="10"/>
      <c r="V70" s="10"/>
      <c r="W70" s="10"/>
      <c r="X70" s="10"/>
      <c r="Y70" s="10"/>
      <c r="Z70" s="10"/>
      <c r="AA70" s="10"/>
      <c r="AB70" s="10">
        <f t="shared" si="104"/>
        <v>0</v>
      </c>
      <c r="AC70" s="10">
        <f t="shared" si="105"/>
        <v>13595</v>
      </c>
      <c r="AD70" s="10">
        <f t="shared" si="106"/>
        <v>0</v>
      </c>
      <c r="AE70" s="10">
        <f t="shared" si="107"/>
        <v>0</v>
      </c>
      <c r="AF70" s="10">
        <f t="shared" si="108"/>
        <v>0</v>
      </c>
    </row>
    <row r="71" spans="2:32">
      <c r="B71" s="31" t="s">
        <v>248</v>
      </c>
      <c r="C71" s="96">
        <f>'Debt Schedule'!C21</f>
        <v>0</v>
      </c>
      <c r="D71" s="96">
        <f>'Debt Schedule'!D21</f>
        <v>4450</v>
      </c>
      <c r="E71" s="96">
        <f>'Debt Schedule'!E21</f>
        <v>4450</v>
      </c>
      <c r="F71" s="96">
        <f>'Debt Schedule'!F21</f>
        <v>4450</v>
      </c>
      <c r="H71" s="96">
        <f>'Debt Schedule'!H21</f>
        <v>0</v>
      </c>
      <c r="I71" s="96">
        <f>'Debt Schedule'!I21</f>
        <v>0</v>
      </c>
      <c r="J71" s="96">
        <f>'Debt Schedule'!J21</f>
        <v>0</v>
      </c>
      <c r="K71" s="96">
        <f>'Debt Schedule'!K21</f>
        <v>4450</v>
      </c>
      <c r="L71" s="96">
        <f>'Debt Schedule'!L21</f>
        <v>0</v>
      </c>
      <c r="M71" s="96">
        <f>'Debt Schedule'!M21</f>
        <v>0</v>
      </c>
      <c r="N71" s="96">
        <f>'Debt Schedule'!N21</f>
        <v>0</v>
      </c>
      <c r="O71" s="96">
        <f>'Debt Schedule'!O21</f>
        <v>4450</v>
      </c>
      <c r="P71" s="96">
        <f>'Debt Schedule'!P21</f>
        <v>0</v>
      </c>
      <c r="Q71" s="96">
        <f>'Debt Schedule'!Q21</f>
        <v>0</v>
      </c>
      <c r="R71" s="96">
        <f>'Debt Schedule'!R21</f>
        <v>0</v>
      </c>
      <c r="T71" s="10"/>
      <c r="U71" s="10"/>
      <c r="V71" s="10"/>
      <c r="W71" s="10"/>
      <c r="X71" s="10"/>
      <c r="Y71" s="10"/>
      <c r="Z71" s="10"/>
      <c r="AA71" s="10"/>
      <c r="AB71" s="10">
        <f t="shared" si="104"/>
        <v>0</v>
      </c>
      <c r="AC71" s="10">
        <f t="shared" si="105"/>
        <v>4450</v>
      </c>
      <c r="AD71" s="10">
        <f t="shared" si="106"/>
        <v>0</v>
      </c>
      <c r="AE71" s="10">
        <f t="shared" si="107"/>
        <v>0</v>
      </c>
      <c r="AF71" s="10">
        <f t="shared" si="108"/>
        <v>0</v>
      </c>
    </row>
    <row r="72" spans="2:32">
      <c r="B72" s="31" t="s">
        <v>229</v>
      </c>
      <c r="C72" s="96">
        <f>'Debt Schedule'!C26</f>
        <v>6000</v>
      </c>
      <c r="D72" s="96">
        <f>'Debt Schedule'!D26</f>
        <v>6000</v>
      </c>
      <c r="E72" s="96">
        <f>'Debt Schedule'!E26</f>
        <v>6000</v>
      </c>
      <c r="F72" s="96">
        <f>'Debt Schedule'!F26</f>
        <v>6000</v>
      </c>
      <c r="H72" s="96">
        <f>'Debt Schedule'!H26</f>
        <v>0</v>
      </c>
      <c r="I72" s="96">
        <f>'Debt Schedule'!I26</f>
        <v>0</v>
      </c>
      <c r="J72" s="96">
        <f>'Debt Schedule'!J26</f>
        <v>0</v>
      </c>
      <c r="K72" s="96">
        <f>'Debt Schedule'!K26</f>
        <v>6000</v>
      </c>
      <c r="L72" s="96">
        <f>'Debt Schedule'!L26</f>
        <v>0</v>
      </c>
      <c r="M72" s="96">
        <f>'Debt Schedule'!M26</f>
        <v>0</v>
      </c>
      <c r="N72" s="96">
        <f>'Debt Schedule'!N26</f>
        <v>0</v>
      </c>
      <c r="O72" s="96">
        <f>'Debt Schedule'!O26</f>
        <v>6000</v>
      </c>
      <c r="P72" s="96">
        <f>'Debt Schedule'!P26</f>
        <v>0</v>
      </c>
      <c r="Q72" s="96">
        <f>'Debt Schedule'!Q26</f>
        <v>0</v>
      </c>
      <c r="R72" s="96">
        <f>'Debt Schedule'!R26</f>
        <v>0</v>
      </c>
      <c r="T72" s="10"/>
      <c r="U72" s="10"/>
      <c r="V72" s="10"/>
      <c r="W72" s="10"/>
      <c r="X72" s="10"/>
      <c r="Y72" s="10"/>
      <c r="Z72" s="10"/>
      <c r="AA72" s="10"/>
      <c r="AB72" s="10">
        <f t="shared" si="99"/>
        <v>0</v>
      </c>
      <c r="AC72" s="10">
        <f t="shared" si="100"/>
        <v>6000</v>
      </c>
      <c r="AD72" s="10">
        <f t="shared" si="101"/>
        <v>0</v>
      </c>
      <c r="AE72" s="10">
        <f t="shared" si="102"/>
        <v>0</v>
      </c>
      <c r="AF72" s="10">
        <f t="shared" si="103"/>
        <v>0</v>
      </c>
    </row>
    <row r="73" spans="2:32">
      <c r="B73" s="31" t="s">
        <v>231</v>
      </c>
      <c r="C73" s="96">
        <f>'Debt Schedule'!C30</f>
        <v>5500</v>
      </c>
      <c r="D73" s="96">
        <f>'Debt Schedule'!D30</f>
        <v>5500</v>
      </c>
      <c r="E73" s="96">
        <f>'Debt Schedule'!E30</f>
        <v>5500</v>
      </c>
      <c r="F73" s="96">
        <f>'Debt Schedule'!F30</f>
        <v>5500</v>
      </c>
      <c r="H73" s="96">
        <f>'Debt Schedule'!H30</f>
        <v>0</v>
      </c>
      <c r="I73" s="96">
        <f>'Debt Schedule'!I30</f>
        <v>0</v>
      </c>
      <c r="J73" s="96">
        <f>'Debt Schedule'!J30</f>
        <v>0</v>
      </c>
      <c r="K73" s="96">
        <f>'Debt Schedule'!K30</f>
        <v>5500</v>
      </c>
      <c r="L73" s="96">
        <f>'Debt Schedule'!L30</f>
        <v>0</v>
      </c>
      <c r="M73" s="96">
        <f>'Debt Schedule'!M30</f>
        <v>0</v>
      </c>
      <c r="N73" s="96">
        <f>'Debt Schedule'!N30</f>
        <v>0</v>
      </c>
      <c r="O73" s="96">
        <f>'Debt Schedule'!O30</f>
        <v>5500</v>
      </c>
      <c r="P73" s="96">
        <f>'Debt Schedule'!P30</f>
        <v>0</v>
      </c>
      <c r="Q73" s="96">
        <f>'Debt Schedule'!Q30</f>
        <v>0</v>
      </c>
      <c r="R73" s="96">
        <f>'Debt Schedule'!R30</f>
        <v>0</v>
      </c>
      <c r="T73" s="10"/>
      <c r="U73" s="10"/>
      <c r="V73" s="10"/>
      <c r="W73" s="10"/>
      <c r="X73" s="10"/>
      <c r="Y73" s="10"/>
      <c r="Z73" s="10"/>
      <c r="AA73" s="10"/>
      <c r="AB73" s="10">
        <f t="shared" ref="AB73:AB84" si="109">N73</f>
        <v>0</v>
      </c>
      <c r="AC73" s="10">
        <f t="shared" ref="AC73:AC84" si="110">O73</f>
        <v>5500</v>
      </c>
      <c r="AD73" s="10">
        <f t="shared" ref="AD73:AD84" si="111">P73</f>
        <v>0</v>
      </c>
      <c r="AE73" s="10">
        <f t="shared" ref="AE73:AE84" si="112">Q73</f>
        <v>0</v>
      </c>
      <c r="AF73" s="10">
        <f t="shared" ref="AF73:AF84" si="113">R73</f>
        <v>0</v>
      </c>
    </row>
    <row r="74" spans="2:32">
      <c r="B74" s="31" t="s">
        <v>230</v>
      </c>
      <c r="C74" s="96">
        <f>'Debt Schedule'!C34</f>
        <v>10000</v>
      </c>
      <c r="D74" s="96">
        <f>'Debt Schedule'!D34</f>
        <v>10000</v>
      </c>
      <c r="E74" s="96">
        <f>'Debt Schedule'!E34</f>
        <v>10000</v>
      </c>
      <c r="F74" s="96">
        <f>'Debt Schedule'!F34</f>
        <v>10000</v>
      </c>
      <c r="H74" s="96">
        <f>'Debt Schedule'!H34</f>
        <v>0</v>
      </c>
      <c r="I74" s="96">
        <f>'Debt Schedule'!I34</f>
        <v>0</v>
      </c>
      <c r="J74" s="96">
        <f>'Debt Schedule'!J34</f>
        <v>0</v>
      </c>
      <c r="K74" s="96">
        <f>'Debt Schedule'!K34</f>
        <v>10000</v>
      </c>
      <c r="L74" s="96">
        <f>'Debt Schedule'!L34</f>
        <v>0</v>
      </c>
      <c r="M74" s="96">
        <f>'Debt Schedule'!M34</f>
        <v>0</v>
      </c>
      <c r="N74" s="96">
        <f>'Debt Schedule'!N34</f>
        <v>0</v>
      </c>
      <c r="O74" s="96">
        <f>'Debt Schedule'!O34</f>
        <v>10000</v>
      </c>
      <c r="P74" s="96">
        <f>'Debt Schedule'!P34</f>
        <v>0</v>
      </c>
      <c r="Q74" s="96">
        <f>'Debt Schedule'!Q34</f>
        <v>0</v>
      </c>
      <c r="R74" s="96">
        <f>'Debt Schedule'!R34</f>
        <v>0</v>
      </c>
      <c r="T74" s="10"/>
      <c r="U74" s="10"/>
      <c r="V74" s="10"/>
      <c r="W74" s="10"/>
      <c r="X74" s="10"/>
      <c r="Y74" s="10"/>
      <c r="Z74" s="10"/>
      <c r="AA74" s="10"/>
      <c r="AB74" s="10">
        <f t="shared" si="109"/>
        <v>0</v>
      </c>
      <c r="AC74" s="10">
        <f t="shared" si="110"/>
        <v>10000</v>
      </c>
      <c r="AD74" s="10">
        <f t="shared" si="111"/>
        <v>0</v>
      </c>
      <c r="AE74" s="10">
        <f t="shared" si="112"/>
        <v>0</v>
      </c>
      <c r="AF74" s="10">
        <f t="shared" si="113"/>
        <v>0</v>
      </c>
    </row>
    <row r="75" spans="2:32">
      <c r="B75" s="31" t="s">
        <v>232</v>
      </c>
      <c r="C75" s="96">
        <f>'Debt Schedule'!C41</f>
        <v>2717</v>
      </c>
      <c r="D75" s="96">
        <f>'Debt Schedule'!D41</f>
        <v>1870</v>
      </c>
      <c r="E75" s="96">
        <f>'Debt Schedule'!E41</f>
        <v>1870</v>
      </c>
      <c r="F75" s="96">
        <f>'Debt Schedule'!F41</f>
        <v>1870</v>
      </c>
      <c r="H75" s="96">
        <f>'Debt Schedule'!H41</f>
        <v>0</v>
      </c>
      <c r="I75" s="96">
        <f>'Debt Schedule'!I41</f>
        <v>0</v>
      </c>
      <c r="J75" s="96">
        <f>'Debt Schedule'!J41</f>
        <v>0</v>
      </c>
      <c r="K75" s="96">
        <f>'Debt Schedule'!K41</f>
        <v>1870</v>
      </c>
      <c r="L75" s="96">
        <f>'Debt Schedule'!L41</f>
        <v>0</v>
      </c>
      <c r="M75" s="96">
        <f>'Debt Schedule'!M41</f>
        <v>0</v>
      </c>
      <c r="N75" s="96">
        <f>'Debt Schedule'!N41</f>
        <v>0</v>
      </c>
      <c r="O75" s="96">
        <f>'Debt Schedule'!O41</f>
        <v>1870</v>
      </c>
      <c r="P75" s="96">
        <f>'Debt Schedule'!P41</f>
        <v>0</v>
      </c>
      <c r="Q75" s="96">
        <f>'Debt Schedule'!Q41</f>
        <v>0</v>
      </c>
      <c r="R75" s="96">
        <f>'Debt Schedule'!R41</f>
        <v>0</v>
      </c>
      <c r="T75" s="10"/>
      <c r="U75" s="10"/>
      <c r="V75" s="10"/>
      <c r="W75" s="10"/>
      <c r="X75" s="10"/>
      <c r="Y75" s="10"/>
      <c r="Z75" s="10"/>
      <c r="AA75" s="10"/>
      <c r="AB75" s="10">
        <f t="shared" si="109"/>
        <v>0</v>
      </c>
      <c r="AC75" s="10">
        <f t="shared" si="110"/>
        <v>1870</v>
      </c>
      <c r="AD75" s="10">
        <f t="shared" si="111"/>
        <v>0</v>
      </c>
      <c r="AE75" s="10">
        <f t="shared" si="112"/>
        <v>0</v>
      </c>
      <c r="AF75" s="10">
        <f t="shared" si="113"/>
        <v>0</v>
      </c>
    </row>
    <row r="76" spans="2:32">
      <c r="B76" s="31" t="s">
        <v>233</v>
      </c>
      <c r="C76" s="96">
        <f>'Debt Schedule'!C45</f>
        <v>5684</v>
      </c>
      <c r="D76" s="96">
        <f>'Debt Schedule'!D45</f>
        <v>4861</v>
      </c>
      <c r="E76" s="96">
        <f>'Debt Schedule'!E45</f>
        <v>4861</v>
      </c>
      <c r="F76" s="96">
        <f>'Debt Schedule'!F45</f>
        <v>4756</v>
      </c>
      <c r="H76" s="96">
        <f>'Debt Schedule'!H45</f>
        <v>0</v>
      </c>
      <c r="I76" s="96">
        <f>'Debt Schedule'!I45</f>
        <v>0</v>
      </c>
      <c r="J76" s="96">
        <f>'Debt Schedule'!J45</f>
        <v>0</v>
      </c>
      <c r="K76" s="96">
        <f>'Debt Schedule'!K45</f>
        <v>4861</v>
      </c>
      <c r="L76" s="96">
        <f>'Debt Schedule'!L45</f>
        <v>0</v>
      </c>
      <c r="M76" s="96">
        <f>'Debt Schedule'!M45</f>
        <v>0</v>
      </c>
      <c r="N76" s="96">
        <f>'Debt Schedule'!N45</f>
        <v>0</v>
      </c>
      <c r="O76" s="96">
        <f>'Debt Schedule'!O45</f>
        <v>4756</v>
      </c>
      <c r="P76" s="96">
        <f>'Debt Schedule'!P45</f>
        <v>0</v>
      </c>
      <c r="Q76" s="96">
        <f>'Debt Schedule'!Q45</f>
        <v>0</v>
      </c>
      <c r="R76" s="96">
        <f>'Debt Schedule'!R45</f>
        <v>0</v>
      </c>
      <c r="T76" s="10"/>
      <c r="U76" s="10"/>
      <c r="V76" s="10"/>
      <c r="W76" s="10"/>
      <c r="X76" s="10"/>
      <c r="Y76" s="10"/>
      <c r="Z76" s="10"/>
      <c r="AA76" s="10"/>
      <c r="AB76" s="10">
        <f t="shared" si="109"/>
        <v>0</v>
      </c>
      <c r="AC76" s="10">
        <f t="shared" si="110"/>
        <v>4756</v>
      </c>
      <c r="AD76" s="10">
        <f t="shared" si="111"/>
        <v>0</v>
      </c>
      <c r="AE76" s="10">
        <f t="shared" si="112"/>
        <v>0</v>
      </c>
      <c r="AF76" s="10">
        <f t="shared" si="113"/>
        <v>0</v>
      </c>
    </row>
    <row r="77" spans="2:32">
      <c r="B77" s="31" t="s">
        <v>234</v>
      </c>
      <c r="C77" s="96">
        <f>'Debt Schedule'!C51</f>
        <v>2106</v>
      </c>
      <c r="D77" s="96">
        <f>'Debt Schedule'!D51</f>
        <v>606</v>
      </c>
      <c r="E77" s="96">
        <f>'Debt Schedule'!E51</f>
        <v>606</v>
      </c>
      <c r="F77" s="96">
        <f>'Debt Schedule'!F51</f>
        <v>606</v>
      </c>
      <c r="H77" s="96">
        <f>'Debt Schedule'!H51</f>
        <v>0</v>
      </c>
      <c r="I77" s="96">
        <f>'Debt Schedule'!I51</f>
        <v>0</v>
      </c>
      <c r="J77" s="96">
        <f>'Debt Schedule'!J51</f>
        <v>0</v>
      </c>
      <c r="K77" s="96">
        <f>'Debt Schedule'!K51</f>
        <v>606</v>
      </c>
      <c r="L77" s="96">
        <f>'Debt Schedule'!L51</f>
        <v>0</v>
      </c>
      <c r="M77" s="96">
        <f>'Debt Schedule'!M51</f>
        <v>0</v>
      </c>
      <c r="N77" s="96">
        <f>'Debt Schedule'!N51</f>
        <v>0</v>
      </c>
      <c r="O77" s="96">
        <f>'Debt Schedule'!O51</f>
        <v>606</v>
      </c>
      <c r="P77" s="96">
        <f>'Debt Schedule'!P51</f>
        <v>0</v>
      </c>
      <c r="Q77" s="96">
        <f>'Debt Schedule'!Q51</f>
        <v>0</v>
      </c>
      <c r="R77" s="96">
        <f>'Debt Schedule'!R51</f>
        <v>0</v>
      </c>
      <c r="T77" s="10"/>
      <c r="U77" s="10"/>
      <c r="V77" s="10"/>
      <c r="W77" s="10"/>
      <c r="X77" s="10"/>
      <c r="Y77" s="10"/>
      <c r="Z77" s="10"/>
      <c r="AA77" s="10"/>
      <c r="AB77" s="10">
        <f t="shared" si="109"/>
        <v>0</v>
      </c>
      <c r="AC77" s="10">
        <f t="shared" si="110"/>
        <v>606</v>
      </c>
      <c r="AD77" s="10">
        <f t="shared" si="111"/>
        <v>0</v>
      </c>
      <c r="AE77" s="10">
        <f t="shared" si="112"/>
        <v>0</v>
      </c>
      <c r="AF77" s="10">
        <f t="shared" si="113"/>
        <v>0</v>
      </c>
    </row>
    <row r="78" spans="2:32">
      <c r="B78" s="31" t="s">
        <v>235</v>
      </c>
      <c r="C78" s="96">
        <f>'Debt Schedule'!C55</f>
        <v>0</v>
      </c>
      <c r="D78" s="96">
        <f>'Debt Schedule'!D55</f>
        <v>0</v>
      </c>
      <c r="E78" s="96">
        <f>'Debt Schedule'!E55</f>
        <v>0</v>
      </c>
      <c r="F78" s="96">
        <f>'Debt Schedule'!F55</f>
        <v>0</v>
      </c>
      <c r="H78" s="96">
        <f>'Debt Schedule'!H55</f>
        <v>0</v>
      </c>
      <c r="I78" s="96">
        <f>'Debt Schedule'!I55</f>
        <v>0</v>
      </c>
      <c r="J78" s="96">
        <f>'Debt Schedule'!J55</f>
        <v>0</v>
      </c>
      <c r="K78" s="96">
        <f>'Debt Schedule'!K55</f>
        <v>0</v>
      </c>
      <c r="L78" s="96">
        <f>'Debt Schedule'!L55</f>
        <v>0</v>
      </c>
      <c r="M78" s="96">
        <f>'Debt Schedule'!M55</f>
        <v>0</v>
      </c>
      <c r="N78" s="96">
        <f>'Debt Schedule'!N55</f>
        <v>0</v>
      </c>
      <c r="O78" s="96">
        <f>'Debt Schedule'!O55</f>
        <v>0</v>
      </c>
      <c r="P78" s="96">
        <f>'Debt Schedule'!P55</f>
        <v>0</v>
      </c>
      <c r="Q78" s="96">
        <f>'Debt Schedule'!Q55</f>
        <v>0</v>
      </c>
      <c r="R78" s="96">
        <f>'Debt Schedule'!R55</f>
        <v>0</v>
      </c>
      <c r="T78" s="10"/>
      <c r="U78" s="10"/>
      <c r="V78" s="10"/>
      <c r="W78" s="10"/>
      <c r="X78" s="10"/>
      <c r="Y78" s="10"/>
      <c r="Z78" s="10"/>
      <c r="AA78" s="10"/>
      <c r="AB78" s="10">
        <f t="shared" si="109"/>
        <v>0</v>
      </c>
      <c r="AC78" s="10">
        <f t="shared" si="110"/>
        <v>0</v>
      </c>
      <c r="AD78" s="10">
        <f t="shared" si="111"/>
        <v>0</v>
      </c>
      <c r="AE78" s="10">
        <f t="shared" si="112"/>
        <v>0</v>
      </c>
      <c r="AF78" s="10">
        <f t="shared" si="113"/>
        <v>0</v>
      </c>
    </row>
    <row r="79" spans="2:32">
      <c r="B79" s="31" t="s">
        <v>236</v>
      </c>
      <c r="C79" s="96">
        <f>'Debt Schedule'!C59</f>
        <v>3524</v>
      </c>
      <c r="D79" s="96">
        <f>'Debt Schedule'!D59</f>
        <v>2277</v>
      </c>
      <c r="E79" s="96">
        <f>'Debt Schedule'!E59</f>
        <v>2277</v>
      </c>
      <c r="F79" s="96">
        <f>'Debt Schedule'!F59</f>
        <v>1655</v>
      </c>
      <c r="H79" s="96">
        <f>'Debt Schedule'!H59</f>
        <v>0</v>
      </c>
      <c r="I79" s="96">
        <f>'Debt Schedule'!I59</f>
        <v>0</v>
      </c>
      <c r="J79" s="96">
        <f>'Debt Schedule'!J59</f>
        <v>0</v>
      </c>
      <c r="K79" s="96">
        <f>'Debt Schedule'!K59</f>
        <v>2277</v>
      </c>
      <c r="L79" s="96">
        <f>'Debt Schedule'!L59</f>
        <v>0</v>
      </c>
      <c r="M79" s="96">
        <f>'Debt Schedule'!M59</f>
        <v>0</v>
      </c>
      <c r="N79" s="96">
        <f>'Debt Schedule'!N59</f>
        <v>0</v>
      </c>
      <c r="O79" s="96">
        <f>'Debt Schedule'!O59</f>
        <v>1655</v>
      </c>
      <c r="P79" s="96">
        <f>'Debt Schedule'!P59</f>
        <v>0</v>
      </c>
      <c r="Q79" s="96">
        <f>'Debt Schedule'!Q59</f>
        <v>0</v>
      </c>
      <c r="R79" s="96">
        <f>'Debt Schedule'!R59</f>
        <v>0</v>
      </c>
      <c r="T79" s="10"/>
      <c r="U79" s="10"/>
      <c r="V79" s="10"/>
      <c r="W79" s="10"/>
      <c r="X79" s="10"/>
      <c r="Y79" s="10"/>
      <c r="Z79" s="10"/>
      <c r="AA79" s="10"/>
      <c r="AB79" s="10">
        <f t="shared" si="109"/>
        <v>0</v>
      </c>
      <c r="AC79" s="10">
        <f t="shared" si="110"/>
        <v>1655</v>
      </c>
      <c r="AD79" s="10">
        <f t="shared" si="111"/>
        <v>0</v>
      </c>
      <c r="AE79" s="10">
        <f t="shared" si="112"/>
        <v>0</v>
      </c>
      <c r="AF79" s="10">
        <f t="shared" si="113"/>
        <v>0</v>
      </c>
    </row>
    <row r="80" spans="2:32">
      <c r="B80" s="31" t="s">
        <v>237</v>
      </c>
      <c r="C80" s="96">
        <f>'Debt Schedule'!C66</f>
        <v>5538</v>
      </c>
      <c r="D80" s="96">
        <f>'Debt Schedule'!D66</f>
        <v>5283</v>
      </c>
      <c r="E80" s="96">
        <f>'Debt Schedule'!E66</f>
        <v>5023</v>
      </c>
      <c r="F80" s="96">
        <f>'Debt Schedule'!F66</f>
        <v>4194</v>
      </c>
      <c r="H80" s="96">
        <f>'Debt Schedule'!H66</f>
        <v>0</v>
      </c>
      <c r="I80" s="96">
        <f>'Debt Schedule'!I66</f>
        <v>0</v>
      </c>
      <c r="J80" s="96">
        <f>'Debt Schedule'!J66</f>
        <v>0</v>
      </c>
      <c r="K80" s="96">
        <f>'Debt Schedule'!K66</f>
        <v>5023</v>
      </c>
      <c r="L80" s="96">
        <f>'Debt Schedule'!L66</f>
        <v>0</v>
      </c>
      <c r="M80" s="96">
        <f>'Debt Schedule'!M66</f>
        <v>0</v>
      </c>
      <c r="N80" s="96">
        <f>'Debt Schedule'!N66</f>
        <v>0</v>
      </c>
      <c r="O80" s="96">
        <f>'Debt Schedule'!O66</f>
        <v>4194</v>
      </c>
      <c r="P80" s="96">
        <f>'Debt Schedule'!P66</f>
        <v>0</v>
      </c>
      <c r="Q80" s="96">
        <f>'Debt Schedule'!Q66</f>
        <v>0</v>
      </c>
      <c r="R80" s="96">
        <f>'Debt Schedule'!R66</f>
        <v>0</v>
      </c>
      <c r="T80" s="10"/>
      <c r="U80" s="10"/>
      <c r="V80" s="10"/>
      <c r="W80" s="10"/>
      <c r="X80" s="10"/>
      <c r="Y80" s="10"/>
      <c r="Z80" s="10"/>
      <c r="AA80" s="10"/>
      <c r="AB80" s="10">
        <f t="shared" si="109"/>
        <v>0</v>
      </c>
      <c r="AC80" s="10">
        <f t="shared" si="110"/>
        <v>4194</v>
      </c>
      <c r="AD80" s="10">
        <f t="shared" si="111"/>
        <v>0</v>
      </c>
      <c r="AE80" s="10">
        <f t="shared" si="112"/>
        <v>0</v>
      </c>
      <c r="AF80" s="10">
        <f t="shared" si="113"/>
        <v>0</v>
      </c>
    </row>
    <row r="81" spans="1:32">
      <c r="B81" s="31" t="s">
        <v>257</v>
      </c>
      <c r="C81" s="96">
        <f>'Debt Schedule'!C75</f>
        <v>0</v>
      </c>
      <c r="D81" s="96">
        <f>'Debt Schedule'!D75</f>
        <v>0</v>
      </c>
      <c r="E81" s="96">
        <f>'Debt Schedule'!E75</f>
        <v>0</v>
      </c>
      <c r="F81" s="96">
        <f>'Debt Schedule'!F75</f>
        <v>7000</v>
      </c>
      <c r="H81" s="96">
        <f>'Debt Schedule'!H75</f>
        <v>0</v>
      </c>
      <c r="I81" s="96">
        <f>'Debt Schedule'!I75</f>
        <v>0</v>
      </c>
      <c r="J81" s="96">
        <f>'Debt Schedule'!J75</f>
        <v>0</v>
      </c>
      <c r="K81" s="96">
        <f>'Debt Schedule'!K75</f>
        <v>0</v>
      </c>
      <c r="L81" s="96">
        <f>'Debt Schedule'!L75</f>
        <v>0</v>
      </c>
      <c r="M81" s="96">
        <f>'Debt Schedule'!M75</f>
        <v>0</v>
      </c>
      <c r="N81" s="96">
        <f>'Debt Schedule'!N75</f>
        <v>0</v>
      </c>
      <c r="O81" s="96">
        <f>'Debt Schedule'!O75</f>
        <v>7000</v>
      </c>
      <c r="P81" s="96">
        <f>'Debt Schedule'!P75</f>
        <v>0</v>
      </c>
      <c r="Q81" s="96">
        <f>'Debt Schedule'!Q75</f>
        <v>0</v>
      </c>
      <c r="R81" s="96">
        <f>'Debt Schedule'!R75</f>
        <v>0</v>
      </c>
      <c r="T81" s="10"/>
      <c r="U81" s="10"/>
      <c r="V81" s="10"/>
      <c r="W81" s="10"/>
      <c r="X81" s="10"/>
      <c r="Y81" s="10"/>
      <c r="Z81" s="10"/>
      <c r="AA81" s="10"/>
      <c r="AB81" s="10">
        <f t="shared" ref="AB81" si="114">N81</f>
        <v>0</v>
      </c>
      <c r="AC81" s="10">
        <f t="shared" ref="AC81" si="115">O81</f>
        <v>7000</v>
      </c>
      <c r="AD81" s="10">
        <f t="shared" ref="AD81" si="116">P81</f>
        <v>0</v>
      </c>
      <c r="AE81" s="10">
        <f t="shared" ref="AE81" si="117">Q81</f>
        <v>0</v>
      </c>
      <c r="AF81" s="10">
        <f t="shared" ref="AF81" si="118">R81</f>
        <v>0</v>
      </c>
    </row>
    <row r="82" spans="1:32">
      <c r="B82" s="31" t="s">
        <v>238</v>
      </c>
      <c r="C82" s="96">
        <f>'Debt Schedule'!C84</f>
        <v>408</v>
      </c>
      <c r="D82" s="96">
        <f>'Debt Schedule'!D84</f>
        <v>358</v>
      </c>
      <c r="E82" s="96">
        <f>'Debt Schedule'!E84</f>
        <v>215</v>
      </c>
      <c r="F82" s="96">
        <f>'Debt Schedule'!F84</f>
        <v>215</v>
      </c>
      <c r="H82" s="96">
        <f>'Debt Schedule'!H84</f>
        <v>0</v>
      </c>
      <c r="I82" s="96">
        <f>'Debt Schedule'!I84</f>
        <v>0</v>
      </c>
      <c r="J82" s="96">
        <f>'Debt Schedule'!J84</f>
        <v>0</v>
      </c>
      <c r="K82" s="96">
        <f>'Debt Schedule'!K84</f>
        <v>215</v>
      </c>
      <c r="L82" s="96">
        <f>'Debt Schedule'!L84</f>
        <v>0</v>
      </c>
      <c r="M82" s="96">
        <f>'Debt Schedule'!M84</f>
        <v>0</v>
      </c>
      <c r="N82" s="96">
        <f>'Debt Schedule'!N84</f>
        <v>0</v>
      </c>
      <c r="O82" s="96">
        <f>'Debt Schedule'!O84</f>
        <v>215</v>
      </c>
      <c r="P82" s="96">
        <f>'Debt Schedule'!P84</f>
        <v>0</v>
      </c>
      <c r="Q82" s="96">
        <f>'Debt Schedule'!Q84</f>
        <v>0</v>
      </c>
      <c r="R82" s="96">
        <f>'Debt Schedule'!R84</f>
        <v>0</v>
      </c>
      <c r="T82" s="10"/>
      <c r="U82" s="10"/>
      <c r="V82" s="10"/>
      <c r="W82" s="10"/>
      <c r="X82" s="10"/>
      <c r="Y82" s="10"/>
      <c r="Z82" s="10"/>
      <c r="AA82" s="10"/>
      <c r="AB82" s="10">
        <f t="shared" si="109"/>
        <v>0</v>
      </c>
      <c r="AC82" s="10">
        <f t="shared" si="110"/>
        <v>215</v>
      </c>
      <c r="AD82" s="10">
        <f t="shared" si="111"/>
        <v>0</v>
      </c>
      <c r="AE82" s="10">
        <f t="shared" si="112"/>
        <v>0</v>
      </c>
      <c r="AF82" s="10">
        <f t="shared" si="113"/>
        <v>0</v>
      </c>
    </row>
    <row r="83" spans="1:32">
      <c r="B83" s="31" t="s">
        <v>242</v>
      </c>
      <c r="C83" s="96">
        <f>'Debt Schedule'!C89</f>
        <v>22</v>
      </c>
      <c r="D83" s="96">
        <f>'Debt Schedule'!D89</f>
        <v>13</v>
      </c>
      <c r="E83" s="96">
        <f>'Debt Schedule'!E89</f>
        <v>13</v>
      </c>
      <c r="F83" s="96">
        <f>'Debt Schedule'!F89</f>
        <v>6</v>
      </c>
      <c r="H83" s="96">
        <f>'Debt Schedule'!H89</f>
        <v>0</v>
      </c>
      <c r="I83" s="96">
        <f>'Debt Schedule'!I89</f>
        <v>0</v>
      </c>
      <c r="J83" s="96">
        <f>'Debt Schedule'!J89</f>
        <v>0</v>
      </c>
      <c r="K83" s="96">
        <f>'Debt Schedule'!K89</f>
        <v>13</v>
      </c>
      <c r="L83" s="96">
        <f>'Debt Schedule'!L89</f>
        <v>0</v>
      </c>
      <c r="M83" s="96">
        <f>'Debt Schedule'!M89</f>
        <v>0</v>
      </c>
      <c r="N83" s="96">
        <f>'Debt Schedule'!N89</f>
        <v>0</v>
      </c>
      <c r="O83" s="96">
        <f>'Debt Schedule'!O89</f>
        <v>6</v>
      </c>
      <c r="P83" s="96">
        <f>'Debt Schedule'!P89</f>
        <v>0</v>
      </c>
      <c r="Q83" s="96">
        <f>'Debt Schedule'!Q89</f>
        <v>0</v>
      </c>
      <c r="R83" s="96">
        <f>'Debt Schedule'!R89</f>
        <v>0</v>
      </c>
      <c r="T83" s="10"/>
      <c r="U83" s="10"/>
      <c r="V83" s="10"/>
      <c r="W83" s="10"/>
      <c r="X83" s="10"/>
      <c r="Y83" s="10"/>
      <c r="Z83" s="10"/>
      <c r="AA83" s="10"/>
      <c r="AB83" s="10">
        <f t="shared" si="109"/>
        <v>0</v>
      </c>
      <c r="AC83" s="10">
        <f t="shared" si="110"/>
        <v>6</v>
      </c>
      <c r="AD83" s="10">
        <f t="shared" si="111"/>
        <v>0</v>
      </c>
      <c r="AE83" s="10">
        <f t="shared" si="112"/>
        <v>0</v>
      </c>
      <c r="AF83" s="10">
        <f t="shared" si="113"/>
        <v>0</v>
      </c>
    </row>
    <row r="84" spans="1:32">
      <c r="B84" s="31" t="s">
        <v>243</v>
      </c>
      <c r="C84" s="96">
        <f>'Debt Schedule'!C96</f>
        <v>65</v>
      </c>
      <c r="D84" s="96">
        <f>'Debt Schedule'!D96</f>
        <v>59</v>
      </c>
      <c r="E84" s="96">
        <f>'Debt Schedule'!E96</f>
        <v>49</v>
      </c>
      <c r="F84" s="96">
        <f>'Debt Schedule'!F96</f>
        <v>39</v>
      </c>
      <c r="H84" s="96">
        <f>'Debt Schedule'!H96</f>
        <v>0</v>
      </c>
      <c r="I84" s="96">
        <f>'Debt Schedule'!I96</f>
        <v>0</v>
      </c>
      <c r="J84" s="96">
        <f>'Debt Schedule'!J96</f>
        <v>0</v>
      </c>
      <c r="K84" s="96">
        <f>'Debt Schedule'!K96</f>
        <v>49</v>
      </c>
      <c r="L84" s="96">
        <f>'Debt Schedule'!L96</f>
        <v>0</v>
      </c>
      <c r="M84" s="96">
        <f>'Debt Schedule'!M96</f>
        <v>0</v>
      </c>
      <c r="N84" s="96">
        <f>'Debt Schedule'!N96</f>
        <v>0</v>
      </c>
      <c r="O84" s="96">
        <f>'Debt Schedule'!O96</f>
        <v>39</v>
      </c>
      <c r="P84" s="96">
        <f>'Debt Schedule'!P96</f>
        <v>0</v>
      </c>
      <c r="Q84" s="96">
        <f>'Debt Schedule'!Q96</f>
        <v>0</v>
      </c>
      <c r="R84" s="96">
        <f>'Debt Schedule'!R96</f>
        <v>0</v>
      </c>
      <c r="T84" s="10"/>
      <c r="U84" s="10"/>
      <c r="V84" s="10"/>
      <c r="W84" s="10"/>
      <c r="X84" s="10"/>
      <c r="Y84" s="10"/>
      <c r="Z84" s="10"/>
      <c r="AA84" s="10"/>
      <c r="AB84" s="10">
        <f t="shared" si="109"/>
        <v>0</v>
      </c>
      <c r="AC84" s="10">
        <f t="shared" si="110"/>
        <v>39</v>
      </c>
      <c r="AD84" s="10">
        <f t="shared" si="111"/>
        <v>0</v>
      </c>
      <c r="AE84" s="10">
        <f t="shared" si="112"/>
        <v>0</v>
      </c>
      <c r="AF84" s="10">
        <f t="shared" si="113"/>
        <v>0</v>
      </c>
    </row>
    <row r="85" spans="1:32" ht="12.75" customHeight="1">
      <c r="B85" s="13" t="s">
        <v>24</v>
      </c>
      <c r="C85" s="14">
        <f>SUM(C67:C84)</f>
        <v>41564</v>
      </c>
      <c r="D85" s="14">
        <f t="shared" ref="D85:F85" si="119">SUM(D67:D84)</f>
        <v>41277</v>
      </c>
      <c r="E85" s="14">
        <f t="shared" si="119"/>
        <v>40864</v>
      </c>
      <c r="F85" s="14">
        <f t="shared" si="119"/>
        <v>69886</v>
      </c>
      <c r="H85" s="14">
        <f t="shared" ref="H85" si="120">SUM(H67:H84)</f>
        <v>0</v>
      </c>
      <c r="I85" s="14">
        <f t="shared" ref="I85" si="121">SUM(I67:I84)</f>
        <v>0</v>
      </c>
      <c r="J85" s="14">
        <f t="shared" ref="J85" si="122">SUM(J67:J84)</f>
        <v>0</v>
      </c>
      <c r="K85" s="14">
        <f t="shared" ref="K85" si="123">SUM(K67:K84)</f>
        <v>40864</v>
      </c>
      <c r="L85" s="14">
        <f t="shared" ref="L85" si="124">SUM(L67:L84)</f>
        <v>0</v>
      </c>
      <c r="M85" s="14">
        <f t="shared" ref="M85" si="125">SUM(M67:M84)</f>
        <v>0</v>
      </c>
      <c r="N85" s="14">
        <f t="shared" ref="N85" si="126">SUM(N67:N84)</f>
        <v>0</v>
      </c>
      <c r="O85" s="14">
        <f t="shared" ref="O85" si="127">SUM(O67:O84)</f>
        <v>69886</v>
      </c>
      <c r="P85" s="14">
        <f t="shared" ref="P85" si="128">SUM(P67:P84)</f>
        <v>0</v>
      </c>
      <c r="Q85" s="14">
        <f t="shared" ref="Q85" si="129">SUM(Q67:Q84)</f>
        <v>0</v>
      </c>
      <c r="R85" s="14">
        <f t="shared" ref="R85" si="130">SUM(R67:R84)</f>
        <v>500</v>
      </c>
      <c r="T85" s="14" t="e">
        <f>SUM(#REF!)</f>
        <v>#REF!</v>
      </c>
      <c r="U85" s="14" t="e">
        <f>SUM(#REF!)</f>
        <v>#REF!</v>
      </c>
      <c r="V85" s="14" t="e">
        <f>SUM(#REF!)</f>
        <v>#REF!</v>
      </c>
      <c r="W85" s="14" t="e">
        <f>SUM(#REF!)</f>
        <v>#REF!</v>
      </c>
      <c r="X85" s="14" t="e">
        <f>SUM(#REF!)</f>
        <v>#REF!</v>
      </c>
      <c r="Y85" s="14" t="e">
        <f>SUM(#REF!)</f>
        <v>#REF!</v>
      </c>
      <c r="Z85" s="14" t="e">
        <f>SUM(#REF!)</f>
        <v>#REF!</v>
      </c>
      <c r="AA85" s="14" t="e">
        <f>SUM(#REF!)</f>
        <v>#REF!</v>
      </c>
      <c r="AB85" s="14">
        <f t="shared" ref="AB85" si="131">SUM(AB67:AB84)</f>
        <v>0</v>
      </c>
      <c r="AC85" s="14">
        <f t="shared" ref="AC85" si="132">SUM(AC67:AC84)</f>
        <v>69886</v>
      </c>
      <c r="AD85" s="14">
        <f t="shared" ref="AD85" si="133">SUM(AD67:AD84)</f>
        <v>0</v>
      </c>
      <c r="AE85" s="14">
        <f t="shared" ref="AE85" si="134">SUM(AE67:AE84)</f>
        <v>0</v>
      </c>
      <c r="AF85" s="14">
        <f t="shared" ref="AF85" si="135">SUM(AF67:AF84)</f>
        <v>500</v>
      </c>
    </row>
    <row r="86" spans="1:32" ht="5.0999999999999996" customHeight="1"/>
    <row r="87" spans="1:32" ht="12.75" customHeight="1">
      <c r="B87" s="8" t="s">
        <v>49</v>
      </c>
      <c r="C87" s="96">
        <f>'Historical Financials'!C81</f>
        <v>24989</v>
      </c>
      <c r="D87" s="96">
        <f>'Historical Financials'!D81</f>
        <v>22709</v>
      </c>
      <c r="E87" s="96">
        <f>'Historical Financials'!E81</f>
        <v>23988</v>
      </c>
      <c r="F87" s="96">
        <f>'Historical Financials'!F81</f>
        <v>67678</v>
      </c>
      <c r="H87" s="96">
        <f>'Historical Financials'!H81</f>
        <v>23310</v>
      </c>
      <c r="I87" s="96">
        <f>'Historical Financials'!I81</f>
        <v>22007</v>
      </c>
      <c r="J87" s="96">
        <f>'Historical Financials'!J81</f>
        <v>22079</v>
      </c>
      <c r="K87" s="96">
        <f>'Historical Financials'!K81</f>
        <v>23988</v>
      </c>
      <c r="L87" s="96">
        <f>'Historical Financials'!L81</f>
        <v>70284</v>
      </c>
      <c r="M87" s="96">
        <f>'Historical Financials'!M81</f>
        <v>69961</v>
      </c>
      <c r="N87" s="96">
        <f>'Historical Financials'!N81</f>
        <v>65651</v>
      </c>
      <c r="O87" s="96">
        <f>'Historical Financials'!O81</f>
        <v>67678</v>
      </c>
      <c r="P87" s="96">
        <f>'Historical Financials'!P81</f>
        <v>69789</v>
      </c>
      <c r="Q87" s="96">
        <f>'Historical Financials'!Q81</f>
        <v>69586</v>
      </c>
      <c r="R87" s="96">
        <f>'Historical Financials'!R81</f>
        <v>73277</v>
      </c>
      <c r="T87" s="10" t="e">
        <f>#REF!</f>
        <v>#REF!</v>
      </c>
      <c r="U87" s="10" t="e">
        <f>#REF!</f>
        <v>#REF!</v>
      </c>
      <c r="V87" s="10">
        <f t="shared" ref="V87:AF87" si="136">H87</f>
        <v>23310</v>
      </c>
      <c r="W87" s="10">
        <f t="shared" si="136"/>
        <v>22007</v>
      </c>
      <c r="X87" s="10">
        <f t="shared" si="136"/>
        <v>22079</v>
      </c>
      <c r="Y87" s="10">
        <f t="shared" si="136"/>
        <v>23988</v>
      </c>
      <c r="Z87" s="10">
        <f t="shared" si="136"/>
        <v>70284</v>
      </c>
      <c r="AA87" s="10">
        <f t="shared" si="136"/>
        <v>69961</v>
      </c>
      <c r="AB87" s="149">
        <f t="shared" si="136"/>
        <v>65651</v>
      </c>
      <c r="AC87" s="149">
        <f t="shared" si="136"/>
        <v>67678</v>
      </c>
      <c r="AD87" s="149">
        <f t="shared" si="136"/>
        <v>69789</v>
      </c>
      <c r="AE87" s="149">
        <f t="shared" si="136"/>
        <v>69586</v>
      </c>
      <c r="AF87" s="149">
        <f t="shared" si="136"/>
        <v>73277</v>
      </c>
    </row>
    <row r="88" spans="1:32" ht="12.75" customHeight="1">
      <c r="B88" s="13" t="s">
        <v>50</v>
      </c>
      <c r="C88" s="14">
        <f>SUM(C85:C87)</f>
        <v>66553</v>
      </c>
      <c r="D88" s="14">
        <f>SUM(D85:D87)</f>
        <v>63986</v>
      </c>
      <c r="E88" s="14">
        <f>SUM(E85:E87)</f>
        <v>64852</v>
      </c>
      <c r="F88" s="14">
        <f>SUM(F85:F87)</f>
        <v>137564</v>
      </c>
      <c r="H88" s="14">
        <f t="shared" ref="H88:M88" si="137">SUM(H85:H87)</f>
        <v>23310</v>
      </c>
      <c r="I88" s="14">
        <f t="shared" si="137"/>
        <v>22007</v>
      </c>
      <c r="J88" s="14">
        <f t="shared" si="137"/>
        <v>22079</v>
      </c>
      <c r="K88" s="14">
        <f t="shared" si="137"/>
        <v>64852</v>
      </c>
      <c r="L88" s="14">
        <f t="shared" si="137"/>
        <v>70284</v>
      </c>
      <c r="M88" s="14">
        <f t="shared" si="137"/>
        <v>69961</v>
      </c>
      <c r="N88" s="14">
        <f>SUM(N85:N87)</f>
        <v>65651</v>
      </c>
      <c r="O88" s="14">
        <f>SUM(O85:O87)</f>
        <v>137564</v>
      </c>
      <c r="P88" s="14">
        <f>SUM(P85:P87)</f>
        <v>69789</v>
      </c>
      <c r="Q88" s="14">
        <f>SUM(Q85:Q87)</f>
        <v>69586</v>
      </c>
      <c r="R88" s="14">
        <f>SUM(R85:R87)</f>
        <v>73777</v>
      </c>
      <c r="T88" s="14" t="e">
        <f t="shared" ref="T88:AF88" si="138">SUM(T85:T87)</f>
        <v>#REF!</v>
      </c>
      <c r="U88" s="14" t="e">
        <f t="shared" si="138"/>
        <v>#REF!</v>
      </c>
      <c r="V88" s="14" t="e">
        <f t="shared" si="138"/>
        <v>#REF!</v>
      </c>
      <c r="W88" s="14" t="e">
        <f t="shared" si="138"/>
        <v>#REF!</v>
      </c>
      <c r="X88" s="14" t="e">
        <f t="shared" si="138"/>
        <v>#REF!</v>
      </c>
      <c r="Y88" s="14" t="e">
        <f t="shared" si="138"/>
        <v>#REF!</v>
      </c>
      <c r="Z88" s="14" t="e">
        <f t="shared" si="138"/>
        <v>#REF!</v>
      </c>
      <c r="AA88" s="14" t="e">
        <f t="shared" si="138"/>
        <v>#REF!</v>
      </c>
      <c r="AB88" s="14">
        <f t="shared" si="138"/>
        <v>65651</v>
      </c>
      <c r="AC88" s="14">
        <f t="shared" si="138"/>
        <v>137564</v>
      </c>
      <c r="AD88" s="14">
        <f t="shared" si="138"/>
        <v>69789</v>
      </c>
      <c r="AE88" s="14">
        <f t="shared" si="138"/>
        <v>69586</v>
      </c>
      <c r="AF88" s="14">
        <f t="shared" si="138"/>
        <v>73777</v>
      </c>
    </row>
    <row r="89" spans="1:32" ht="5.0999999999999996" customHeight="1"/>
    <row r="90" spans="1:32" ht="12.75" customHeight="1">
      <c r="A90" s="5"/>
      <c r="B90" s="33" t="s">
        <v>73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</row>
    <row r="91" spans="1:32" ht="5.0999999999999996" customHeight="1"/>
    <row r="92" spans="1:32" ht="12.75" customHeight="1">
      <c r="B92" s="31" t="s">
        <v>100</v>
      </c>
      <c r="C92" s="84">
        <f>C85/C32</f>
        <v>2.5299166108710209</v>
      </c>
      <c r="D92" s="84">
        <f>D85/D32</f>
        <v>1.9840895981542011</v>
      </c>
      <c r="E92" s="84">
        <f>E85/E32</f>
        <v>1.819331285339032</v>
      </c>
      <c r="F92" s="84">
        <f>F85/F32</f>
        <v>2.2543143769555822</v>
      </c>
      <c r="H92" s="84">
        <f>SUM(H85/SUM(H32:H32))</f>
        <v>0</v>
      </c>
      <c r="I92" s="84">
        <f>SUM(I85/SUM(H32:I32))</f>
        <v>0</v>
      </c>
      <c r="J92" s="84">
        <f>SUM(J85/SUM(H32:J32))</f>
        <v>0</v>
      </c>
      <c r="K92" s="84">
        <f>SUM(K85/SUM(H32:K32))</f>
        <v>1.819331285339032</v>
      </c>
      <c r="L92" s="84">
        <f>SUM(L85/SUM(I32:L32))</f>
        <v>0</v>
      </c>
      <c r="M92" s="84">
        <f>SUM(M85/SUM(J32:M32))</f>
        <v>0</v>
      </c>
      <c r="N92" s="84">
        <f>SUM(N85/SUM(K32:N32))</f>
        <v>0</v>
      </c>
      <c r="O92" s="84">
        <f>SUM(O85/SUM(L32:O32))</f>
        <v>2.2543143769555822</v>
      </c>
      <c r="P92" s="84">
        <f>SUM(P85/SUM(M32:P32))</f>
        <v>0</v>
      </c>
      <c r="Q92" s="84">
        <f>SUM(Q85/SUM(N32:Q32))</f>
        <v>0</v>
      </c>
      <c r="R92" s="84">
        <f>SUM(R85/SUM(O32:R32))</f>
        <v>1.2714558169103624E-2</v>
      </c>
      <c r="S92" s="84"/>
      <c r="T92" s="84" t="e">
        <f>T85/T32</f>
        <v>#REF!</v>
      </c>
      <c r="U92" s="84" t="e">
        <f>U85/U32</f>
        <v>#REF!</v>
      </c>
      <c r="V92" s="84" t="e">
        <f>V85/V32</f>
        <v>#REF!</v>
      </c>
      <c r="W92" s="84" t="e">
        <f>W85/W32</f>
        <v>#REF!</v>
      </c>
      <c r="X92" s="84" t="e">
        <f>X85/X32</f>
        <v>#REF!</v>
      </c>
      <c r="Y92" s="84" t="e">
        <f>Y85/Y32</f>
        <v>#REF!</v>
      </c>
      <c r="Z92" s="84" t="e">
        <f>Z85/Z32</f>
        <v>#REF!</v>
      </c>
      <c r="AA92" s="84" t="e">
        <f>AA85/AA32</f>
        <v>#REF!</v>
      </c>
      <c r="AB92" s="84">
        <f>AB85/AB32</f>
        <v>0</v>
      </c>
      <c r="AC92" s="84">
        <f>AC85/AC32</f>
        <v>2.2543143769555822</v>
      </c>
      <c r="AD92" s="84">
        <f>AD85/AD32</f>
        <v>0</v>
      </c>
      <c r="AE92" s="84">
        <f>AE85/AE32</f>
        <v>0</v>
      </c>
      <c r="AF92" s="84">
        <f>AF85/AF32</f>
        <v>1.2714558169103624E-2</v>
      </c>
    </row>
    <row r="93" spans="1:32" ht="12.75" customHeight="1">
      <c r="B93" s="31" t="s">
        <v>101</v>
      </c>
      <c r="C93" s="84">
        <f>SUM(C85-C51)/C32</f>
        <v>1.7895794022764624</v>
      </c>
      <c r="D93" s="84">
        <f>SUM(D85-D51)/D32</f>
        <v>1.3872812920592195</v>
      </c>
      <c r="E93" s="84">
        <f>SUM(E85-E51)/E32</f>
        <v>1.1876140866390632</v>
      </c>
      <c r="F93" s="84">
        <f>SUM(F85-F51)/F32</f>
        <v>1.9527757169123576</v>
      </c>
      <c r="H93" s="84">
        <f>SUM(H85-H51)/SUM(H32:H32)</f>
        <v>-2.2836764174792346</v>
      </c>
      <c r="I93" s="84">
        <f>SUM(I85-I51)/SUM(H32:I32)</f>
        <v>-1.0496047969473972</v>
      </c>
      <c r="J93" s="84">
        <f>SUM(J85-J51)/SUM(H32:J32)</f>
        <v>-0.7245897697902266</v>
      </c>
      <c r="K93" s="84">
        <f>SUM(K85-K51)/SUM(H32:K32)</f>
        <v>1.1876140866390632</v>
      </c>
      <c r="L93" s="84">
        <f>SUM(L85-L51)/SUM(I32:L32)</f>
        <v>-0.5017551279340241</v>
      </c>
      <c r="M93" s="84">
        <f>SUM(M85-M51)/SUM(J32:M32)</f>
        <v>-0.38507439249401326</v>
      </c>
      <c r="N93" s="84">
        <f>SUM(N85-N51)/SUM(K32:N32)</f>
        <v>-0.35665137614678899</v>
      </c>
      <c r="O93" s="84">
        <f>SUM(O85-O51)/SUM(L32:O32)</f>
        <v>1.9527757169123576</v>
      </c>
      <c r="P93" s="84">
        <f>SUM(P85-P51)/SUM(M32:P32)</f>
        <v>-0.27230170572573803</v>
      </c>
      <c r="Q93" s="84">
        <f>SUM(Q85-Q51)/SUM(N32:Q32)</f>
        <v>-0.25765736358195962</v>
      </c>
      <c r="R93" s="84">
        <f>SUM(R85-R51)/SUM(O32:R32)</f>
        <v>-0.25983471074380166</v>
      </c>
      <c r="S93" s="84"/>
      <c r="T93" s="84" t="e">
        <f>SUM(T85-T51)/T32</f>
        <v>#REF!</v>
      </c>
      <c r="U93" s="84" t="e">
        <f>SUM(U85-U51)/U32</f>
        <v>#REF!</v>
      </c>
      <c r="V93" s="84" t="e">
        <f>SUM(V85-V51)/V32</f>
        <v>#REF!</v>
      </c>
      <c r="W93" s="84" t="e">
        <f>SUM(W85-W51)/W32</f>
        <v>#REF!</v>
      </c>
      <c r="X93" s="84" t="e">
        <f>SUM(X85-X51)/X32</f>
        <v>#REF!</v>
      </c>
      <c r="Y93" s="84" t="e">
        <f>SUM(Y85-Y51)/Y32</f>
        <v>#REF!</v>
      </c>
      <c r="Z93" s="84" t="e">
        <f>SUM(Z85-Z51)/Z32</f>
        <v>#REF!</v>
      </c>
      <c r="AA93" s="84" t="e">
        <f>SUM(AA85-AA51)/AA32</f>
        <v>#REF!</v>
      </c>
      <c r="AB93" s="84">
        <f>SUM(AB85-AB51)/AB32</f>
        <v>-0.35665137614678899</v>
      </c>
      <c r="AC93" s="84">
        <f>SUM(AC85-AC51)/AC32</f>
        <v>1.9527757169123576</v>
      </c>
      <c r="AD93" s="84">
        <f>SUM(AD85-AD51)/AD32</f>
        <v>-0.27230170572573803</v>
      </c>
      <c r="AE93" s="84">
        <f>SUM(AE85-AE51)/AE32</f>
        <v>-0.25765736358195962</v>
      </c>
      <c r="AF93" s="84">
        <f>SUM(AF85-AF51)/AF32</f>
        <v>-0.25983471074380166</v>
      </c>
    </row>
    <row r="94" spans="1:32" ht="12.75" customHeight="1">
      <c r="B94" s="31" t="s">
        <v>102</v>
      </c>
      <c r="C94" s="84">
        <f>C32/-C37</f>
        <v>10.49776357827476</v>
      </c>
      <c r="D94" s="84">
        <f>D32/-D37</f>
        <v>15.01010101010101</v>
      </c>
      <c r="E94" s="84">
        <f>E32/-E37</f>
        <v>14.944111776447105</v>
      </c>
      <c r="F94" s="84">
        <f>F32/-F37</f>
        <v>9.5387692307692316</v>
      </c>
      <c r="H94" s="84" cm="1">
        <f t="array" ref="H94">SUM(H32:H32)/SUM(-H37:H37)</f>
        <v>15.340720221606649</v>
      </c>
      <c r="I94" s="84" cm="1">
        <f t="array" ref="I94">SUM(H32:I32)/SUM(-H37:I37)</f>
        <v>14.521108179419524</v>
      </c>
      <c r="J94" s="84" cm="1">
        <f t="array" ref="J94">SUM(H32:J32)/SUM(-H37:J37)</f>
        <v>15.042495479204341</v>
      </c>
      <c r="K94" s="84" cm="1">
        <f t="array" ref="K94">SUM(H32:K32)/SUM(-H37:K37)</f>
        <v>14.944111776447105</v>
      </c>
      <c r="L94" s="84" cm="1">
        <f t="array" ref="L94">SUM(I32:L32)/SUM(-I37:L37)</f>
        <v>12.497357293868921</v>
      </c>
      <c r="M94" s="84" cm="1">
        <f t="array" ref="M94">SUM(J32:M32)/SUM(-J37:M37)</f>
        <v>10.435477263416633</v>
      </c>
      <c r="N94" s="84" cm="1">
        <f t="array" ref="N94">SUM(K32:N32)/SUM(-K37:N37)</f>
        <v>9.5922997593674797</v>
      </c>
      <c r="O94" s="84" cm="1">
        <f t="array" ref="O94">SUM(L32:O32)/SUM(-L37:O37)</f>
        <v>9.5387692307692316</v>
      </c>
      <c r="P94" s="84" cm="1">
        <f t="array" ref="P94">SUM(M32:P32)/SUM(-M37:P37)</f>
        <v>10.778618732261116</v>
      </c>
      <c r="Q94" s="84" cm="1">
        <f t="array" ref="Q94">SUM(N32:Q32)/SUM(-N37:Q37)</f>
        <v>12.568205128205129</v>
      </c>
      <c r="R94" s="84" cm="1">
        <f t="array" ref="R94">SUM(O32:R32)/SUM(-O37:R37)</f>
        <v>14.505717447436369</v>
      </c>
      <c r="S94" s="84"/>
      <c r="T94" s="84" t="e">
        <f>T32/-T37</f>
        <v>#DIV/0!</v>
      </c>
      <c r="U94" s="84" t="e">
        <f>U32/-U37</f>
        <v>#REF!</v>
      </c>
      <c r="V94" s="84">
        <f>V32/-V37</f>
        <v>10.263157894736842</v>
      </c>
      <c r="W94" s="84">
        <f>W32/-W37</f>
        <v>9.4749340369393131</v>
      </c>
      <c r="X94" s="84">
        <f>X32/-X37</f>
        <v>9.8128390596745021</v>
      </c>
      <c r="Y94" s="84">
        <f>Y32/-Y37</f>
        <v>9.6693280106453763</v>
      </c>
      <c r="Z94" s="84">
        <f>Z32/-Z37</f>
        <v>6.8715644820295987</v>
      </c>
      <c r="AA94" s="84">
        <f>AA32/-AA37</f>
        <v>4.7218353133961495</v>
      </c>
      <c r="AB94" s="84">
        <f>AB32/-AB37</f>
        <v>9.5922997593674797</v>
      </c>
      <c r="AC94" s="84">
        <f>AC32/-AC37</f>
        <v>9.5387692307692316</v>
      </c>
      <c r="AD94" s="84">
        <f>AD32/-AD37</f>
        <v>10.778618732261116</v>
      </c>
      <c r="AE94" s="84">
        <f>AE32/-AE37</f>
        <v>12.568205128205129</v>
      </c>
      <c r="AF94" s="84">
        <f>AF32/-AF37</f>
        <v>14.505717447436369</v>
      </c>
    </row>
    <row r="95" spans="1:32" ht="12.75" customHeight="1">
      <c r="B95" s="31" t="s">
        <v>103</v>
      </c>
      <c r="C95" s="84" cm="1">
        <f t="array" ref="C95">SUM(C32+C35)/SUM(-C36:C37)</f>
        <v>6.8316239316239313</v>
      </c>
      <c r="D95" s="84" cm="1">
        <f t="array" ref="D95">SUM(D32+D35)/SUM(-D36:D37)</f>
        <v>8.8840453356582394</v>
      </c>
      <c r="E95" s="84" cm="1">
        <f t="array" ref="E95">SUM(E32+E35)/SUM(-E36:E37)</f>
        <v>6.6998477929984777</v>
      </c>
      <c r="F95" s="84" cm="1">
        <f t="array" ref="F95">SUM(F32+F35)/SUM(-F36:F37)</f>
        <v>4.7545667447306794</v>
      </c>
      <c r="H95" s="84" cm="1">
        <f t="array" ref="H95">SUM(H32:H32+H35:H35)/SUM(-H36:H37)</f>
        <v>8.572555205047319</v>
      </c>
      <c r="I95" s="84" cm="1">
        <f t="array" ref="I95">SUM(H32:I32+H35:I35)/SUM(-H36:I37)</f>
        <v>5.6097814776274717</v>
      </c>
      <c r="J95" s="84" cm="1">
        <f t="array" ref="J95">SUM(H32:J32+H35:J35)/SUM(-H36:J37)</f>
        <v>6.0400444938820916</v>
      </c>
      <c r="K95" s="84" cm="1">
        <f t="array" ref="K95">SUM(H32:K32+H35:K35)/SUM(-H36:K37)</f>
        <v>6.6998477929984777</v>
      </c>
      <c r="L95" s="84" cm="1">
        <f t="array" ref="L95">SUM(I32:L32+I35:L35)/SUM(-I36:L37)</f>
        <v>5.3830429732868756</v>
      </c>
      <c r="M95" s="84" cm="1">
        <f t="array" ref="M95">SUM(J32:M32+J35:M35)/SUM(-J36:M37)</f>
        <v>5.2099228684594534</v>
      </c>
      <c r="N95" s="84" cm="1">
        <f t="array" ref="N95">SUM(K32:N32+K35:N35)/SUM(-K36:N37)</f>
        <v>5.0475751429098281</v>
      </c>
      <c r="O95" s="84" cm="1">
        <f t="array" ref="O95">SUM(L32:O32+L35:O35)/SUM(-L36:O37)</f>
        <v>4.7545667447306794</v>
      </c>
      <c r="P95" s="84" cm="1">
        <f t="array" ref="P95">SUM(M32:P32+M35:P35)/SUM(-M36:P37)</f>
        <v>5.7763474081702713</v>
      </c>
      <c r="Q95" s="84" cm="1">
        <f t="array" ref="Q95">SUM(N32:Q32+N35:Q35)/SUM(-N36:Q37)</f>
        <v>6.7657825924542401</v>
      </c>
      <c r="R95" s="84" cm="1">
        <f t="array" ref="R95">SUM(O32:R32+O35:R35)/SUM(-O36:R37)</f>
        <v>7.2190812720848054</v>
      </c>
      <c r="S95" s="84"/>
      <c r="T95" s="84" t="e" cm="1">
        <f t="array" ref="T95">SUM(T32+T35)/SUM(-T36:T37)</f>
        <v>#DIV/0!</v>
      </c>
      <c r="U95" s="84" t="e" cm="1">
        <f t="array" ref="U95">SUM(U32+U35)/SUM(-U36:U37)</f>
        <v>#REF!</v>
      </c>
      <c r="V95" s="84" cm="1">
        <f t="array" ref="V95">SUM(V32+V35)/SUM(-V36:V37)</f>
        <v>5.6813880126182967</v>
      </c>
      <c r="W95" s="84" cm="1">
        <f t="array" ref="W95">SUM(W32+W35)/SUM(-W36:W37)</f>
        <v>3.6196670135275753</v>
      </c>
      <c r="X95" s="84" cm="1">
        <f t="array" ref="X95">SUM(X32+X35)/SUM(-X36:X37)</f>
        <v>3.8954393770856508</v>
      </c>
      <c r="Y95" s="84" cm="1">
        <f t="array" ref="Y95">SUM(Y32+Y35)/SUM(-Y36:Y37)</f>
        <v>4.2864535768645355</v>
      </c>
      <c r="Z95" s="84" cm="1">
        <f t="array" ref="Z95">SUM(Z32+Z35)/SUM(-Z36:Z37)</f>
        <v>2.910569105691057</v>
      </c>
      <c r="AA95" s="84" cm="1">
        <f t="array" ref="AA95">SUM(AA32+AA35)/SUM(-AA36:AA37)</f>
        <v>2.3024807171148636</v>
      </c>
      <c r="AB95" s="84" cm="1">
        <f t="array" ref="AB95">SUM(AB32+AB35)/SUM(-AB36:AB37)</f>
        <v>5.0475751429098281</v>
      </c>
      <c r="AC95" s="84" cm="1">
        <f t="array" ref="AC95">SUM(AC32+AC35)/SUM(-AC36:AC37)</f>
        <v>4.7545667447306794</v>
      </c>
      <c r="AD95" s="84" cm="1">
        <f t="array" ref="AD95">SUM(AD32+AD35)/SUM(-AD36:AD37)</f>
        <v>5.7763474081702713</v>
      </c>
      <c r="AE95" s="84" cm="1">
        <f t="array" ref="AE95">SUM(AE32+AE35)/SUM(-AE36:AE37)</f>
        <v>6.7657825924542401</v>
      </c>
      <c r="AF95" s="84" cm="1">
        <f t="array" ref="AF95">SUM(AF32+AF35)/SUM(-AF36:AF37)</f>
        <v>7.2190812720848054</v>
      </c>
    </row>
    <row r="96" spans="1:32" ht="12.75" customHeight="1">
      <c r="B96" s="31" t="s">
        <v>104</v>
      </c>
      <c r="C96" s="84" cm="1">
        <f t="array" ref="C96">SUM(C32)/SUM(-C35:C37)</f>
        <v>5.9033417175709664</v>
      </c>
      <c r="D96" s="84" cm="1">
        <f t="array" ref="D96">SUM(D32)/SUM(-D35:D37)</f>
        <v>7.6541574687270053</v>
      </c>
      <c r="E96" s="84" cm="1">
        <f t="array" ref="E96">SUM(E32)/SUM(-E35:E37)</f>
        <v>6.0104361787530101</v>
      </c>
      <c r="F96" s="84" cm="1">
        <f t="array" ref="F96">SUM(F32)/SUM(-F35:F37)</f>
        <v>4.4586509420394078</v>
      </c>
      <c r="H96" s="84" cm="1">
        <f t="array" ref="H96">SUM(H32:H32)/SUM(-H35:H37)</f>
        <v>7.5142469470827677</v>
      </c>
      <c r="I96" s="84" cm="1">
        <f t="array" ref="I96">SUM(H32:I32)/SUM(-H35:I37)</f>
        <v>5.1266884024219843</v>
      </c>
      <c r="J96" s="84" cm="1">
        <f t="array" ref="J96">SUM(H32:J32)/SUM(-H35:J37)</f>
        <v>5.4655059132720103</v>
      </c>
      <c r="K96" s="84" cm="1">
        <f t="array" ref="K96">SUM(H32:K32)/SUM(-H35:K37)</f>
        <v>6.0104361787530101</v>
      </c>
      <c r="L96" s="84" cm="1">
        <f t="array" ref="L96">SUM(I32:L32)/SUM(-I35:L37)</f>
        <v>4.9507956448911221</v>
      </c>
      <c r="M96" s="84" cm="1">
        <f t="array" ref="M96">SUM(J32:M32)/SUM(-J35:M37)</f>
        <v>4.8262599469496017</v>
      </c>
      <c r="N96" s="84" cm="1">
        <f t="array" ref="N96">SUM(K32:N32)/SUM(-K35:N37)</f>
        <v>4.6865972455492102</v>
      </c>
      <c r="O96" s="84" cm="1">
        <f t="array" ref="O96">SUM(L32:O32)/SUM(-L35:O37)</f>
        <v>4.4586509420394078</v>
      </c>
      <c r="P96" s="84" cm="1">
        <f t="array" ref="P96">SUM(M32:P32)/SUM(-M35:P37)</f>
        <v>5.3808249370277075</v>
      </c>
      <c r="Q96" s="84" cm="1">
        <f t="array" ref="Q96">SUM(N32:Q32)/SUM(-N35:Q37)</f>
        <v>6.2393075356415482</v>
      </c>
      <c r="R96" s="84" cm="1">
        <f t="array" ref="R96">SUM(O32:R32)/SUM(-O35:R37)</f>
        <v>6.6822429906542054</v>
      </c>
      <c r="S96" s="84"/>
      <c r="T96" s="84" t="e" cm="1">
        <f t="array" ref="T96">SUM(T32)/SUM(-T35:T37)</f>
        <v>#DIV/0!</v>
      </c>
      <c r="U96" s="84" t="e" cm="1">
        <f t="array" ref="U96">SUM(U32)/SUM(-U35:U37)</f>
        <v>#REF!</v>
      </c>
      <c r="V96" s="84" cm="1">
        <f t="array" ref="V96">SUM(V32)/SUM(-V35:V37)</f>
        <v>5.0271370420624155</v>
      </c>
      <c r="W96" s="84" cm="1">
        <f t="array" ref="W96">SUM(W32)/SUM(-W35:W37)</f>
        <v>3.3451327433628317</v>
      </c>
      <c r="X96" s="84" cm="1">
        <f t="array" ref="X96">SUM(X32)/SUM(-X35:X37)</f>
        <v>3.5653745072273324</v>
      </c>
      <c r="Y96" s="84" cm="1">
        <f t="array" ref="Y96">SUM(Y32)/SUM(-Y35:Y37)</f>
        <v>3.8889483542948891</v>
      </c>
      <c r="Z96" s="84" cm="1">
        <f t="array" ref="Z96">SUM(Z32)/SUM(-Z35:Z37)</f>
        <v>2.7221524288107202</v>
      </c>
      <c r="AA96" s="84" cm="1">
        <f t="array" ref="AA96">SUM(AA32)/SUM(-AA35:AA37)</f>
        <v>2.1837817355058733</v>
      </c>
      <c r="AB96" s="84" cm="1">
        <f t="array" ref="AB96">SUM(AB32)/SUM(-AB35:AB37)</f>
        <v>4.6865972455492102</v>
      </c>
      <c r="AC96" s="84" cm="1">
        <f t="array" ref="AC96">SUM(AC32)/SUM(-AC35:AC37)</f>
        <v>4.4586509420394078</v>
      </c>
      <c r="AD96" s="84" cm="1">
        <f t="array" ref="AD96">SUM(AD32)/SUM(-AD35:AD37)</f>
        <v>5.3808249370277075</v>
      </c>
      <c r="AE96" s="84" cm="1">
        <f t="array" ref="AE96">SUM(AE32)/SUM(-AE35:AE37)</f>
        <v>6.2393075356415482</v>
      </c>
      <c r="AF96" s="84" cm="1">
        <f t="array" ref="AF96">SUM(AF32)/SUM(-AF35:AF37)</f>
        <v>6.6822429906542054</v>
      </c>
    </row>
    <row r="97" spans="2:32" ht="12.75" customHeight="1">
      <c r="B97" s="8" t="s">
        <v>51</v>
      </c>
      <c r="C97" s="84">
        <f>C88/C85</f>
        <v>1.6012173996727939</v>
      </c>
      <c r="D97" s="84">
        <f>D88/D85</f>
        <v>1.550161106669574</v>
      </c>
      <c r="E97" s="84">
        <f>E88/E85</f>
        <v>1.5870203602192638</v>
      </c>
      <c r="F97" s="84">
        <f>F88/F85</f>
        <v>1.968405689265375</v>
      </c>
      <c r="H97" s="84" t="e">
        <f t="shared" ref="H97:Q97" si="139">H88/H85</f>
        <v>#DIV/0!</v>
      </c>
      <c r="I97" s="84" t="e">
        <f t="shared" si="139"/>
        <v>#DIV/0!</v>
      </c>
      <c r="J97" s="84" t="e">
        <f t="shared" si="139"/>
        <v>#DIV/0!</v>
      </c>
      <c r="K97" s="84">
        <f t="shared" si="139"/>
        <v>1.5870203602192638</v>
      </c>
      <c r="L97" s="84" t="e">
        <f t="shared" si="139"/>
        <v>#DIV/0!</v>
      </c>
      <c r="M97" s="84" t="e">
        <f t="shared" si="139"/>
        <v>#DIV/0!</v>
      </c>
      <c r="N97" s="84" t="e">
        <f t="shared" si="139"/>
        <v>#DIV/0!</v>
      </c>
      <c r="O97" s="84">
        <f t="shared" si="139"/>
        <v>1.968405689265375</v>
      </c>
      <c r="P97" s="84" t="e">
        <f t="shared" si="139"/>
        <v>#DIV/0!</v>
      </c>
      <c r="Q97" s="84" t="e">
        <f t="shared" si="139"/>
        <v>#DIV/0!</v>
      </c>
      <c r="R97" s="84">
        <f>R88/R85</f>
        <v>147.554</v>
      </c>
      <c r="S97" s="84"/>
      <c r="T97" s="84" t="e">
        <f t="shared" ref="T97:AD97" si="140">T88/T85</f>
        <v>#REF!</v>
      </c>
      <c r="U97" s="84" t="e">
        <f t="shared" si="140"/>
        <v>#REF!</v>
      </c>
      <c r="V97" s="84" t="e">
        <f t="shared" si="140"/>
        <v>#REF!</v>
      </c>
      <c r="W97" s="84" t="e">
        <f t="shared" si="140"/>
        <v>#REF!</v>
      </c>
      <c r="X97" s="84" t="e">
        <f t="shared" si="140"/>
        <v>#REF!</v>
      </c>
      <c r="Y97" s="84" t="e">
        <f t="shared" si="140"/>
        <v>#REF!</v>
      </c>
      <c r="Z97" s="84" t="e">
        <f t="shared" si="140"/>
        <v>#REF!</v>
      </c>
      <c r="AA97" s="84" t="e">
        <f t="shared" si="140"/>
        <v>#REF!</v>
      </c>
      <c r="AB97" s="84" t="e">
        <f t="shared" si="140"/>
        <v>#DIV/0!</v>
      </c>
      <c r="AC97" s="84">
        <f t="shared" si="140"/>
        <v>1.968405689265375</v>
      </c>
      <c r="AD97" s="84" t="e">
        <f t="shared" si="140"/>
        <v>#DIV/0!</v>
      </c>
      <c r="AE97" s="84" t="e">
        <f>AE88/AE85</f>
        <v>#DIV/0!</v>
      </c>
      <c r="AF97" s="84">
        <f>AF88/AF85</f>
        <v>147.554</v>
      </c>
    </row>
    <row r="98" spans="2:32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  <c r="AC98" s="37"/>
      <c r="AD98" s="37"/>
      <c r="AE98" s="37"/>
      <c r="AF98" s="37"/>
    </row>
  </sheetData>
  <mergeCells count="1">
    <mergeCell ref="AH2:AH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39:G40 AG40:AH40 G35:G37 AG42:AH42 AG38 AG39 G38 AG41:AH41 H39:Q40 C26:F26 H26:R26 C44:AA44 H41:AB41 H42:AB42 C42:F42 C41:F41 G42 G41 C43:AB43" formulaRange="1"/>
    <ignoredError sqref="G21:G23 S21:AF22 G30 AH32:AH39 S30:AF30 AH8:AH11 G16 G27 AH16:AH19 S19:AF19 G19 C92:AF97 C11:AF11 C24:AF25 C17:AF18 C28:AF29 C33:AF33 I10:AF10 D9:G9 G10 L9:AF9 AH21:AH30 G32" evalError="1"/>
    <ignoredError sqref="AC44:AF44" formula="1"/>
    <ignoredError sqref="S26:AF26 G26" evalError="1" formulaRange="1"/>
    <ignoredError sqref="AB44" formula="1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49F55-F164-44B4-BEBA-426DA76AF140}">
  <sheetPr>
    <tabColor theme="1" tint="4.9989318521683403E-2"/>
  </sheetPr>
  <dimension ref="B2:AI101"/>
  <sheetViews>
    <sheetView showGridLines="0" zoomScale="130" zoomScaleNormal="130" workbookViewId="0">
      <selection activeCell="B2" sqref="B2"/>
    </sheetView>
  </sheetViews>
  <sheetFormatPr defaultRowHeight="12" outlineLevelCol="1"/>
  <cols>
    <col min="1" max="1" width="1.625" style="8" customWidth="1"/>
    <col min="2" max="2" width="28.625" style="8" bestFit="1" customWidth="1"/>
    <col min="3" max="3" width="8.625" style="8" customWidth="1" outlineLevel="1"/>
    <col min="4" max="6" width="8.625" style="8" bestFit="1" customWidth="1"/>
    <col min="7" max="7" width="1.625" style="8" customWidth="1"/>
    <col min="8" max="10" width="7.875" style="8" customWidth="1" outlineLevel="1"/>
    <col min="11" max="11" width="8.625" style="8" customWidth="1" outlineLevel="1"/>
    <col min="12" max="13" width="7.875" style="8" customWidth="1" outlineLevel="1"/>
    <col min="14" max="14" width="7.875" style="8" bestFit="1" customWidth="1"/>
    <col min="15" max="15" width="8.625" style="8" bestFit="1" customWidth="1"/>
    <col min="16" max="18" width="7.875" style="8" bestFit="1" customWidth="1"/>
    <col min="19" max="19" width="1.625" style="8" customWidth="1"/>
    <col min="20" max="20" width="7.875" style="8" hidden="1" customWidth="1" outlineLevel="1"/>
    <col min="21" max="21" width="8.625" style="8" hidden="1" customWidth="1" outlineLevel="1"/>
    <col min="22" max="24" width="7.875" style="8" hidden="1" customWidth="1" outlineLevel="1"/>
    <col min="25" max="25" width="8.625" style="8" hidden="1" customWidth="1" outlineLevel="1"/>
    <col min="26" max="27" width="7.875" style="8" hidden="1" customWidth="1" outlineLevel="1"/>
    <col min="28" max="28" width="7.875" style="8" bestFit="1" customWidth="1" collapsed="1"/>
    <col min="29" max="29" width="8.625" style="8" hidden="1" customWidth="1" outlineLevel="1"/>
    <col min="30" max="31" width="7.875" style="8" hidden="1" customWidth="1" outlineLevel="1"/>
    <col min="32" max="32" width="7.875" style="8" bestFit="1" customWidth="1" collapsed="1"/>
    <col min="33" max="16384" width="9" style="8"/>
  </cols>
  <sheetData>
    <row r="2" spans="2:32">
      <c r="B2" s="152" t="str">
        <f>'Historical Financials'!B2</f>
        <v>Broadcom, Inc. (NASDAQ: AVGO)</v>
      </c>
      <c r="C2" s="150"/>
      <c r="D2" s="150" t="s">
        <v>0</v>
      </c>
      <c r="E2" s="150"/>
      <c r="F2" s="150"/>
      <c r="G2" s="151"/>
      <c r="H2" s="150" t="s">
        <v>1</v>
      </c>
      <c r="I2" s="150"/>
      <c r="J2" s="150"/>
      <c r="K2" s="150"/>
      <c r="L2" s="150"/>
      <c r="M2" s="150"/>
      <c r="N2" s="150" t="s">
        <v>1</v>
      </c>
      <c r="O2" s="150"/>
      <c r="P2" s="150"/>
      <c r="Q2" s="150"/>
      <c r="R2" s="150"/>
      <c r="S2" s="151"/>
      <c r="T2" s="150" t="s">
        <v>10</v>
      </c>
      <c r="U2" s="150"/>
      <c r="V2" s="150"/>
      <c r="W2" s="150"/>
      <c r="X2" s="150"/>
      <c r="Y2" s="150"/>
      <c r="Z2" s="150"/>
      <c r="AA2" s="150" t="s">
        <v>10</v>
      </c>
      <c r="AB2" s="150" t="s">
        <v>10</v>
      </c>
      <c r="AC2" s="150"/>
      <c r="AD2" s="150"/>
      <c r="AE2" s="150"/>
      <c r="AF2" s="150"/>
    </row>
    <row r="3" spans="2:32">
      <c r="B3" s="153" t="s">
        <v>114</v>
      </c>
      <c r="C3" s="155">
        <f>'Historical Financials'!C7</f>
        <v>2021</v>
      </c>
      <c r="D3" s="155">
        <f>'Historical Financials'!D7</f>
        <v>2022</v>
      </c>
      <c r="E3" s="155">
        <f>'Historical Financials'!E7</f>
        <v>2023</v>
      </c>
      <c r="F3" s="155">
        <f>'Historical Financials'!F7</f>
        <v>2024</v>
      </c>
      <c r="G3" s="151"/>
      <c r="H3" s="155" t="str">
        <f>'Historical Financials'!H7</f>
        <v>1Q23</v>
      </c>
      <c r="I3" s="155" t="str">
        <f>'Historical Financials'!I7</f>
        <v>2Q23</v>
      </c>
      <c r="J3" s="155" t="str">
        <f>'Historical Financials'!J7</f>
        <v>3Q23</v>
      </c>
      <c r="K3" s="155" t="str">
        <f>'Historical Financials'!K7</f>
        <v>4Q23</v>
      </c>
      <c r="L3" s="155" t="str">
        <f>'Historical Financials'!L7</f>
        <v>1Q24</v>
      </c>
      <c r="M3" s="155" t="str">
        <f>'Historical Financials'!M7</f>
        <v>2Q24</v>
      </c>
      <c r="N3" s="155" t="str">
        <f>'Historical Financials'!N7</f>
        <v>3Q24</v>
      </c>
      <c r="O3" s="155" t="str">
        <f>'Historical Financials'!O7</f>
        <v>4Q24</v>
      </c>
      <c r="P3" s="155" t="str">
        <f>'Historical Financials'!P7</f>
        <v>1Q25</v>
      </c>
      <c r="Q3" s="155" t="str">
        <f>'Historical Financials'!Q7</f>
        <v>2Q25</v>
      </c>
      <c r="R3" s="155" t="str">
        <f>'Historical Financials'!R7</f>
        <v>3Q25</v>
      </c>
      <c r="S3" s="151"/>
      <c r="T3" s="156" t="e">
        <f>#REF!</f>
        <v>#REF!</v>
      </c>
      <c r="U3" s="156" t="e">
        <f>#REF!</f>
        <v>#REF!</v>
      </c>
      <c r="V3" s="156" t="str">
        <f t="shared" ref="V3:AF4" si="0">H3</f>
        <v>1Q23</v>
      </c>
      <c r="W3" s="156" t="str">
        <f t="shared" si="0"/>
        <v>2Q23</v>
      </c>
      <c r="X3" s="156" t="str">
        <f t="shared" si="0"/>
        <v>3Q23</v>
      </c>
      <c r="Y3" s="156" t="str">
        <f t="shared" si="0"/>
        <v>4Q23</v>
      </c>
      <c r="Z3" s="156" t="str">
        <f t="shared" si="0"/>
        <v>1Q24</v>
      </c>
      <c r="AA3" s="156" t="str">
        <f t="shared" si="0"/>
        <v>2Q24</v>
      </c>
      <c r="AB3" s="156" t="str">
        <f t="shared" si="0"/>
        <v>3Q24</v>
      </c>
      <c r="AC3" s="156" t="str">
        <f t="shared" si="0"/>
        <v>4Q24</v>
      </c>
      <c r="AD3" s="156" t="str">
        <f t="shared" si="0"/>
        <v>1Q25</v>
      </c>
      <c r="AE3" s="156" t="str">
        <f t="shared" si="0"/>
        <v>2Q25</v>
      </c>
      <c r="AF3" s="156" t="str">
        <f t="shared" si="0"/>
        <v>3Q25</v>
      </c>
    </row>
    <row r="4" spans="2:32">
      <c r="B4" s="153" t="s">
        <v>113</v>
      </c>
      <c r="C4" s="151">
        <f>'Historical Financials'!C8</f>
        <v>44499</v>
      </c>
      <c r="D4" s="151">
        <f>'Historical Financials'!D8</f>
        <v>44864</v>
      </c>
      <c r="E4" s="151">
        <f>'Historical Financials'!E8</f>
        <v>45228</v>
      </c>
      <c r="F4" s="151">
        <f>'Historical Financials'!F8</f>
        <v>45599</v>
      </c>
      <c r="G4" s="151"/>
      <c r="H4" s="151">
        <f>'Historical Financials'!H8</f>
        <v>44955</v>
      </c>
      <c r="I4" s="151">
        <f>'Historical Financials'!I8</f>
        <v>45046</v>
      </c>
      <c r="J4" s="151">
        <f>'Historical Financials'!J8</f>
        <v>45137</v>
      </c>
      <c r="K4" s="151">
        <f>'Historical Financials'!K8</f>
        <v>45228</v>
      </c>
      <c r="L4" s="151">
        <f>'Historical Financials'!L8</f>
        <v>45326</v>
      </c>
      <c r="M4" s="151">
        <f>'Historical Financials'!M8</f>
        <v>45417</v>
      </c>
      <c r="N4" s="151">
        <f>'Historical Financials'!N8</f>
        <v>45508</v>
      </c>
      <c r="O4" s="151">
        <f>'Historical Financials'!O8</f>
        <v>45599</v>
      </c>
      <c r="P4" s="151">
        <f>'Historical Financials'!P8</f>
        <v>45690</v>
      </c>
      <c r="Q4" s="151">
        <f>'Historical Financials'!Q8</f>
        <v>45781</v>
      </c>
      <c r="R4" s="151">
        <f>'Historical Financials'!R8</f>
        <v>45872</v>
      </c>
      <c r="S4" s="151"/>
      <c r="T4" s="151" t="e">
        <f>#REF!</f>
        <v>#REF!</v>
      </c>
      <c r="U4" s="151" t="e">
        <f>#REF!</f>
        <v>#REF!</v>
      </c>
      <c r="V4" s="151">
        <f t="shared" si="0"/>
        <v>44955</v>
      </c>
      <c r="W4" s="151">
        <f t="shared" si="0"/>
        <v>45046</v>
      </c>
      <c r="X4" s="151">
        <f t="shared" si="0"/>
        <v>45137</v>
      </c>
      <c r="Y4" s="151">
        <f t="shared" si="0"/>
        <v>45228</v>
      </c>
      <c r="Z4" s="151">
        <f t="shared" si="0"/>
        <v>45326</v>
      </c>
      <c r="AA4" s="151">
        <f t="shared" si="0"/>
        <v>45417</v>
      </c>
      <c r="AB4" s="151">
        <f t="shared" si="0"/>
        <v>45508</v>
      </c>
      <c r="AC4" s="151">
        <f t="shared" si="0"/>
        <v>45599</v>
      </c>
      <c r="AD4" s="151">
        <f t="shared" si="0"/>
        <v>45690</v>
      </c>
      <c r="AE4" s="151">
        <f t="shared" si="0"/>
        <v>45781</v>
      </c>
      <c r="AF4" s="151">
        <f t="shared" si="0"/>
        <v>45872</v>
      </c>
    </row>
    <row r="5" spans="2:32" ht="5.0999999999999996" customHeight="1"/>
    <row r="6" spans="2:32">
      <c r="B6" s="35" t="s">
        <v>258</v>
      </c>
      <c r="C6" s="10">
        <f t="shared" ref="C6:E6" si="1">SUM(C7:C10)</f>
        <v>0</v>
      </c>
      <c r="D6" s="10">
        <f t="shared" si="1"/>
        <v>0</v>
      </c>
      <c r="E6" s="10">
        <f t="shared" si="1"/>
        <v>0</v>
      </c>
      <c r="F6" s="10">
        <f>SUM(F7:F10)</f>
        <v>5000</v>
      </c>
      <c r="H6" s="10">
        <f t="shared" ref="H6:R6" si="2">SUM(H7:H10)</f>
        <v>0</v>
      </c>
      <c r="I6" s="10">
        <f t="shared" si="2"/>
        <v>0</v>
      </c>
      <c r="J6" s="10">
        <f t="shared" si="2"/>
        <v>0</v>
      </c>
      <c r="K6" s="10">
        <f t="shared" si="2"/>
        <v>0</v>
      </c>
      <c r="L6" s="10">
        <f t="shared" si="2"/>
        <v>0</v>
      </c>
      <c r="M6" s="10">
        <f t="shared" si="2"/>
        <v>0</v>
      </c>
      <c r="N6" s="10">
        <f t="shared" si="2"/>
        <v>0</v>
      </c>
      <c r="O6" s="10">
        <f t="shared" si="2"/>
        <v>5000</v>
      </c>
      <c r="P6" s="10">
        <f t="shared" si="2"/>
        <v>0</v>
      </c>
      <c r="Q6" s="10">
        <f t="shared" si="2"/>
        <v>0</v>
      </c>
      <c r="R6" s="10">
        <f t="shared" si="2"/>
        <v>0</v>
      </c>
    </row>
    <row r="7" spans="2:32">
      <c r="B7" s="158" t="s">
        <v>259</v>
      </c>
      <c r="C7" s="157">
        <v>0</v>
      </c>
      <c r="D7" s="157">
        <v>0</v>
      </c>
      <c r="E7" s="157">
        <v>0</v>
      </c>
      <c r="F7" s="157">
        <v>875</v>
      </c>
      <c r="H7" s="157">
        <v>0</v>
      </c>
      <c r="I7" s="157">
        <v>0</v>
      </c>
      <c r="J7" s="157">
        <v>0</v>
      </c>
      <c r="K7" s="10">
        <f t="shared" ref="K7" si="3">E7</f>
        <v>0</v>
      </c>
      <c r="O7" s="10">
        <f t="shared" ref="O7" si="4">F7</f>
        <v>875</v>
      </c>
    </row>
    <row r="8" spans="2:32">
      <c r="B8" s="158" t="s">
        <v>260</v>
      </c>
      <c r="C8" s="157">
        <v>0</v>
      </c>
      <c r="D8" s="157">
        <v>0</v>
      </c>
      <c r="E8" s="157">
        <v>0</v>
      </c>
      <c r="F8" s="157">
        <v>1500</v>
      </c>
      <c r="H8" s="157">
        <v>0</v>
      </c>
      <c r="I8" s="157">
        <v>0</v>
      </c>
      <c r="J8" s="157">
        <v>0</v>
      </c>
      <c r="K8" s="10">
        <f t="shared" ref="K8" si="5">E8</f>
        <v>0</v>
      </c>
      <c r="O8" s="10">
        <f t="shared" ref="O8" si="6">F8</f>
        <v>1500</v>
      </c>
    </row>
    <row r="9" spans="2:32">
      <c r="B9" s="158" t="s">
        <v>261</v>
      </c>
      <c r="C9" s="157">
        <v>0</v>
      </c>
      <c r="D9" s="157">
        <v>0</v>
      </c>
      <c r="E9" s="157">
        <v>0</v>
      </c>
      <c r="F9" s="157">
        <v>875</v>
      </c>
      <c r="H9" s="157">
        <v>0</v>
      </c>
      <c r="I9" s="157">
        <v>0</v>
      </c>
      <c r="J9" s="157">
        <v>0</v>
      </c>
      <c r="K9" s="10">
        <f t="shared" ref="K9" si="7">E9</f>
        <v>0</v>
      </c>
      <c r="O9" s="10">
        <f t="shared" ref="O9" si="8">F9</f>
        <v>875</v>
      </c>
    </row>
    <row r="10" spans="2:32">
      <c r="B10" s="158" t="s">
        <v>262</v>
      </c>
      <c r="C10" s="157"/>
      <c r="D10" s="157"/>
      <c r="E10" s="157"/>
      <c r="F10" s="157">
        <v>1750</v>
      </c>
      <c r="H10" s="157">
        <v>0</v>
      </c>
      <c r="I10" s="157">
        <v>0</v>
      </c>
      <c r="J10" s="157">
        <v>0</v>
      </c>
      <c r="K10" s="10">
        <f t="shared" ref="K10" si="9">E10</f>
        <v>0</v>
      </c>
      <c r="O10" s="10">
        <f t="shared" ref="O10" si="10">F10</f>
        <v>1750</v>
      </c>
    </row>
    <row r="12" spans="2:32">
      <c r="B12" s="35" t="s">
        <v>263</v>
      </c>
      <c r="C12" s="10">
        <f>SUM(C13:C15)</f>
        <v>0</v>
      </c>
      <c r="D12" s="10">
        <f>SUM(D13:D15)</f>
        <v>0</v>
      </c>
      <c r="E12" s="10">
        <f t="shared" ref="E12" si="11">SUM(E13:E15)</f>
        <v>0</v>
      </c>
      <c r="F12" s="10">
        <f t="shared" ref="F12" si="12">SUM(F13:F15)</f>
        <v>5000</v>
      </c>
      <c r="H12" s="10">
        <f t="shared" ref="H12" si="13">SUM(H13:H15)</f>
        <v>0</v>
      </c>
      <c r="I12" s="10">
        <f t="shared" ref="I12" si="14">SUM(I13:I15)</f>
        <v>0</v>
      </c>
      <c r="J12" s="10">
        <f t="shared" ref="J12" si="15">SUM(J13:J15)</f>
        <v>0</v>
      </c>
      <c r="K12" s="10">
        <f t="shared" ref="K12" si="16">SUM(K13:K15)</f>
        <v>0</v>
      </c>
      <c r="L12" s="10">
        <f t="shared" ref="L12" si="17">SUM(L13:L15)</f>
        <v>0</v>
      </c>
      <c r="M12" s="10">
        <f t="shared" ref="M12" si="18">SUM(M13:M15)</f>
        <v>0</v>
      </c>
      <c r="N12" s="10">
        <f t="shared" ref="N12" si="19">SUM(N13:N15)</f>
        <v>0</v>
      </c>
      <c r="O12" s="10">
        <f t="shared" ref="O12" si="20">SUM(O13:O15)</f>
        <v>5000</v>
      </c>
      <c r="P12" s="10">
        <f t="shared" ref="P12" si="21">SUM(P13:P15)</f>
        <v>0</v>
      </c>
      <c r="Q12" s="10">
        <f t="shared" ref="Q12" si="22">SUM(Q13:Q15)</f>
        <v>0</v>
      </c>
      <c r="R12" s="10">
        <f t="shared" ref="R12" si="23">SUM(R13:R15)</f>
        <v>0</v>
      </c>
    </row>
    <row r="13" spans="2:32">
      <c r="B13" s="158" t="s">
        <v>264</v>
      </c>
      <c r="C13" s="157">
        <v>0</v>
      </c>
      <c r="D13" s="157">
        <v>0</v>
      </c>
      <c r="E13" s="157">
        <v>0</v>
      </c>
      <c r="F13" s="157">
        <v>1250</v>
      </c>
      <c r="H13" s="157">
        <v>0</v>
      </c>
      <c r="I13" s="157">
        <v>0</v>
      </c>
      <c r="J13" s="157">
        <v>0</v>
      </c>
      <c r="K13" s="10">
        <f t="shared" ref="K13:K15" si="24">E13</f>
        <v>0</v>
      </c>
      <c r="O13" s="10">
        <f t="shared" ref="O13:O15" si="25">F13</f>
        <v>1250</v>
      </c>
    </row>
    <row r="14" spans="2:32">
      <c r="B14" s="158" t="s">
        <v>265</v>
      </c>
      <c r="C14" s="157">
        <v>0</v>
      </c>
      <c r="D14" s="157">
        <v>0</v>
      </c>
      <c r="E14" s="157">
        <v>0</v>
      </c>
      <c r="F14" s="157">
        <v>2250</v>
      </c>
      <c r="H14" s="157">
        <v>0</v>
      </c>
      <c r="I14" s="157">
        <v>0</v>
      </c>
      <c r="J14" s="157">
        <v>0</v>
      </c>
      <c r="K14" s="10">
        <f t="shared" si="24"/>
        <v>0</v>
      </c>
      <c r="O14" s="10">
        <f t="shared" si="25"/>
        <v>2250</v>
      </c>
    </row>
    <row r="15" spans="2:32">
      <c r="B15" s="158" t="s">
        <v>266</v>
      </c>
      <c r="C15" s="157">
        <v>0</v>
      </c>
      <c r="D15" s="157">
        <v>0</v>
      </c>
      <c r="E15" s="157">
        <v>0</v>
      </c>
      <c r="F15" s="157">
        <v>1500</v>
      </c>
      <c r="H15" s="157">
        <v>0</v>
      </c>
      <c r="I15" s="157">
        <v>0</v>
      </c>
      <c r="J15" s="157">
        <v>0</v>
      </c>
      <c r="K15" s="10">
        <f t="shared" si="24"/>
        <v>0</v>
      </c>
      <c r="O15" s="10">
        <f t="shared" si="25"/>
        <v>1500</v>
      </c>
    </row>
    <row r="17" spans="2:32">
      <c r="B17" s="35" t="s">
        <v>267</v>
      </c>
      <c r="C17" s="10">
        <f>SUM(C18:C19)</f>
        <v>0</v>
      </c>
      <c r="D17" s="10">
        <f>SUM(D18:D19)</f>
        <v>0</v>
      </c>
      <c r="E17" s="10">
        <f>SUM(E18:E19)</f>
        <v>0</v>
      </c>
      <c r="F17" s="10">
        <f>SUM(F18:F19)</f>
        <v>13595</v>
      </c>
      <c r="H17" s="10">
        <f t="shared" ref="H17:R17" si="26">SUM(H18:H19)</f>
        <v>0</v>
      </c>
      <c r="I17" s="10">
        <f t="shared" si="26"/>
        <v>0</v>
      </c>
      <c r="J17" s="10">
        <f t="shared" si="26"/>
        <v>0</v>
      </c>
      <c r="K17" s="10">
        <f t="shared" si="26"/>
        <v>0</v>
      </c>
      <c r="L17" s="10">
        <f t="shared" si="26"/>
        <v>0</v>
      </c>
      <c r="M17" s="10">
        <f t="shared" si="26"/>
        <v>0</v>
      </c>
      <c r="N17" s="10">
        <f t="shared" si="26"/>
        <v>0</v>
      </c>
      <c r="O17" s="10">
        <f t="shared" si="26"/>
        <v>13595</v>
      </c>
      <c r="P17" s="10">
        <f t="shared" si="26"/>
        <v>0</v>
      </c>
      <c r="Q17" s="10">
        <f t="shared" si="26"/>
        <v>0</v>
      </c>
      <c r="R17" s="10">
        <f t="shared" si="26"/>
        <v>0</v>
      </c>
    </row>
    <row r="18" spans="2:32">
      <c r="B18" s="158" t="s">
        <v>268</v>
      </c>
      <c r="C18" s="157">
        <v>0</v>
      </c>
      <c r="D18" s="157">
        <v>0</v>
      </c>
      <c r="E18" s="157">
        <v>0</v>
      </c>
      <c r="F18" s="157">
        <v>5595</v>
      </c>
      <c r="H18" s="157">
        <v>0</v>
      </c>
      <c r="I18" s="157">
        <v>0</v>
      </c>
      <c r="J18" s="157">
        <v>0</v>
      </c>
      <c r="K18" s="10">
        <f t="shared" ref="K18:K19" si="27">E18</f>
        <v>0</v>
      </c>
      <c r="O18" s="10">
        <f t="shared" ref="O18:O19" si="28">F18</f>
        <v>5595</v>
      </c>
    </row>
    <row r="19" spans="2:32">
      <c r="B19" s="158" t="s">
        <v>269</v>
      </c>
      <c r="C19" s="157">
        <v>0</v>
      </c>
      <c r="D19" s="157">
        <v>0</v>
      </c>
      <c r="E19" s="157">
        <v>0</v>
      </c>
      <c r="F19" s="157">
        <v>8000</v>
      </c>
      <c r="H19" s="157">
        <v>0</v>
      </c>
      <c r="I19" s="157">
        <v>0</v>
      </c>
      <c r="J19" s="157">
        <v>0</v>
      </c>
      <c r="K19" s="10">
        <f t="shared" si="27"/>
        <v>0</v>
      </c>
      <c r="O19" s="10">
        <f t="shared" si="28"/>
        <v>8000</v>
      </c>
    </row>
    <row r="21" spans="2:32">
      <c r="B21" s="35" t="s">
        <v>181</v>
      </c>
      <c r="C21" s="10">
        <f>SUM(C22:C24)</f>
        <v>0</v>
      </c>
      <c r="D21" s="10">
        <f>SUM(D22:D24)</f>
        <v>4450</v>
      </c>
      <c r="E21" s="10">
        <f t="shared" ref="E21" si="29">SUM(E22:E24)</f>
        <v>4450</v>
      </c>
      <c r="F21" s="10">
        <f t="shared" ref="F21" si="30">SUM(F22:F24)</f>
        <v>4450</v>
      </c>
      <c r="H21" s="10">
        <f t="shared" ref="H21" si="31">SUM(H22:H24)</f>
        <v>0</v>
      </c>
      <c r="I21" s="10">
        <f t="shared" ref="I21" si="32">SUM(I22:I24)</f>
        <v>0</v>
      </c>
      <c r="J21" s="10">
        <f t="shared" ref="J21" si="33">SUM(J22:J24)</f>
        <v>0</v>
      </c>
      <c r="K21" s="10">
        <f t="shared" ref="K21" si="34">SUM(K22:K24)</f>
        <v>4450</v>
      </c>
      <c r="L21" s="10">
        <f t="shared" ref="L21" si="35">SUM(L22:L24)</f>
        <v>0</v>
      </c>
      <c r="M21" s="10">
        <f t="shared" ref="M21" si="36">SUM(M22:M24)</f>
        <v>0</v>
      </c>
      <c r="N21" s="10">
        <f t="shared" ref="N21" si="37">SUM(N22:N24)</f>
        <v>0</v>
      </c>
      <c r="O21" s="10">
        <f t="shared" ref="O21" si="38">SUM(O22:O24)</f>
        <v>4450</v>
      </c>
      <c r="P21" s="10">
        <f t="shared" ref="P21" si="39">SUM(P22:P24)</f>
        <v>0</v>
      </c>
      <c r="Q21" s="10">
        <f t="shared" ref="Q21" si="40">SUM(Q22:Q24)</f>
        <v>0</v>
      </c>
      <c r="R21" s="10">
        <f t="shared" ref="R21" si="41">SUM(R22:R24)</f>
        <v>0</v>
      </c>
    </row>
    <row r="22" spans="2:32">
      <c r="B22" s="158" t="s">
        <v>182</v>
      </c>
      <c r="C22" s="157">
        <v>0</v>
      </c>
      <c r="D22" s="157">
        <v>750</v>
      </c>
      <c r="E22" s="157">
        <v>750</v>
      </c>
      <c r="F22" s="157">
        <v>750</v>
      </c>
      <c r="K22" s="10">
        <f t="shared" ref="K22:K24" si="42">E22</f>
        <v>750</v>
      </c>
      <c r="O22" s="10">
        <f>F22</f>
        <v>750</v>
      </c>
    </row>
    <row r="23" spans="2:32">
      <c r="B23" s="158" t="s">
        <v>246</v>
      </c>
      <c r="C23" s="157">
        <v>0</v>
      </c>
      <c r="D23" s="157">
        <v>1200</v>
      </c>
      <c r="E23" s="157">
        <v>1200</v>
      </c>
      <c r="F23" s="157">
        <v>1200</v>
      </c>
      <c r="K23" s="10">
        <f t="shared" si="42"/>
        <v>1200</v>
      </c>
      <c r="O23" s="10">
        <f t="shared" ref="O23:O24" si="43">F23</f>
        <v>1200</v>
      </c>
    </row>
    <row r="24" spans="2:32">
      <c r="B24" s="158" t="s">
        <v>247</v>
      </c>
      <c r="C24" s="157">
        <v>0</v>
      </c>
      <c r="D24" s="157">
        <v>2500</v>
      </c>
      <c r="E24" s="157">
        <v>2500</v>
      </c>
      <c r="F24" s="157">
        <v>2500</v>
      </c>
      <c r="K24" s="10">
        <f t="shared" si="42"/>
        <v>2500</v>
      </c>
      <c r="O24" s="10">
        <f t="shared" si="43"/>
        <v>2500</v>
      </c>
    </row>
    <row r="25" spans="2:32" ht="5.0999999999999996" customHeight="1"/>
    <row r="26" spans="2:32">
      <c r="B26" s="35" t="s">
        <v>183</v>
      </c>
      <c r="C26" s="10">
        <f>SUM(C27:C28)</f>
        <v>6000</v>
      </c>
      <c r="D26" s="10">
        <f>SUM(D27:D28)</f>
        <v>6000</v>
      </c>
      <c r="E26" s="10">
        <f t="shared" ref="E26:F26" si="44">SUM(E27:E28)</f>
        <v>6000</v>
      </c>
      <c r="F26" s="10">
        <f t="shared" si="44"/>
        <v>6000</v>
      </c>
      <c r="H26" s="10">
        <f t="shared" ref="H26" si="45">SUM(H27:H28)</f>
        <v>0</v>
      </c>
      <c r="I26" s="10">
        <f t="shared" ref="I26" si="46">SUM(I27:I28)</f>
        <v>0</v>
      </c>
      <c r="J26" s="10">
        <f t="shared" ref="J26:K26" si="47">SUM(J27:J28)</f>
        <v>0</v>
      </c>
      <c r="K26" s="10">
        <f t="shared" si="47"/>
        <v>6000</v>
      </c>
      <c r="L26" s="10">
        <f t="shared" ref="L26" si="48">SUM(L27:L28)</f>
        <v>0</v>
      </c>
      <c r="M26" s="10">
        <f t="shared" ref="M26" si="49">SUM(M27:M28)</f>
        <v>0</v>
      </c>
      <c r="N26" s="10">
        <f t="shared" ref="N26" si="50">SUM(N27:N28)</f>
        <v>0</v>
      </c>
      <c r="O26" s="10">
        <f t="shared" ref="O26" si="51">SUM(O27:O28)</f>
        <v>6000</v>
      </c>
      <c r="P26" s="10">
        <f t="shared" ref="P26" si="52">SUM(P27:P28)</f>
        <v>0</v>
      </c>
      <c r="Q26" s="10">
        <f t="shared" ref="Q26" si="53">SUM(Q27:Q28)</f>
        <v>0</v>
      </c>
      <c r="R26" s="10">
        <f t="shared" ref="R26" si="54">SUM(R27:R28)</f>
        <v>0</v>
      </c>
    </row>
    <row r="27" spans="2:32">
      <c r="B27" s="158" t="s">
        <v>184</v>
      </c>
      <c r="C27" s="157">
        <v>3250</v>
      </c>
      <c r="D27" s="157">
        <v>3250</v>
      </c>
      <c r="E27" s="157">
        <v>3250</v>
      </c>
      <c r="F27" s="157">
        <v>3250</v>
      </c>
      <c r="H27" s="157"/>
      <c r="I27" s="157"/>
      <c r="J27" s="157"/>
      <c r="K27" s="10">
        <f t="shared" ref="K27:K28" si="55">E27</f>
        <v>3250</v>
      </c>
      <c r="L27" s="157"/>
      <c r="M27" s="157"/>
      <c r="N27" s="157"/>
      <c r="O27" s="10">
        <f t="shared" ref="O27:O28" si="56">F27</f>
        <v>3250</v>
      </c>
      <c r="P27" s="157"/>
      <c r="Q27" s="157"/>
      <c r="R27" s="157"/>
      <c r="T27" s="149" t="e">
        <f>#REF!</f>
        <v>#REF!</v>
      </c>
      <c r="U27" s="149" t="e">
        <f>#REF!</f>
        <v>#REF!</v>
      </c>
      <c r="V27" s="149">
        <f t="shared" ref="V27:AF61" si="57">H27</f>
        <v>0</v>
      </c>
      <c r="W27" s="149">
        <f t="shared" si="57"/>
        <v>0</v>
      </c>
      <c r="X27" s="149">
        <f t="shared" si="57"/>
        <v>0</v>
      </c>
      <c r="Y27" s="149">
        <f t="shared" si="57"/>
        <v>3250</v>
      </c>
      <c r="Z27" s="149">
        <f t="shared" si="57"/>
        <v>0</v>
      </c>
      <c r="AA27" s="149">
        <f t="shared" si="57"/>
        <v>0</v>
      </c>
      <c r="AB27" s="149">
        <f t="shared" si="57"/>
        <v>0</v>
      </c>
      <c r="AC27" s="149">
        <f t="shared" si="57"/>
        <v>3250</v>
      </c>
      <c r="AD27" s="149">
        <f t="shared" si="57"/>
        <v>0</v>
      </c>
      <c r="AE27" s="149">
        <f t="shared" si="57"/>
        <v>0</v>
      </c>
      <c r="AF27" s="149">
        <f t="shared" si="57"/>
        <v>0</v>
      </c>
    </row>
    <row r="28" spans="2:32">
      <c r="B28" s="158" t="s">
        <v>185</v>
      </c>
      <c r="C28" s="157">
        <v>2750</v>
      </c>
      <c r="D28" s="157">
        <v>2750</v>
      </c>
      <c r="E28" s="157">
        <v>2750</v>
      </c>
      <c r="F28" s="157">
        <v>2750</v>
      </c>
      <c r="H28" s="157"/>
      <c r="I28" s="157"/>
      <c r="J28" s="157"/>
      <c r="K28" s="10">
        <f t="shared" si="55"/>
        <v>2750</v>
      </c>
      <c r="L28" s="157"/>
      <c r="M28" s="157"/>
      <c r="N28" s="157"/>
      <c r="O28" s="10">
        <f t="shared" si="56"/>
        <v>2750</v>
      </c>
      <c r="P28" s="157"/>
      <c r="Q28" s="157"/>
      <c r="R28" s="157"/>
      <c r="T28" s="149" t="e">
        <f>#REF!</f>
        <v>#REF!</v>
      </c>
      <c r="U28" s="149" t="e">
        <f>#REF!</f>
        <v>#REF!</v>
      </c>
      <c r="V28" s="149">
        <f t="shared" si="57"/>
        <v>0</v>
      </c>
      <c r="W28" s="149">
        <f t="shared" si="57"/>
        <v>0</v>
      </c>
      <c r="X28" s="149">
        <f t="shared" si="57"/>
        <v>0</v>
      </c>
      <c r="Y28" s="149">
        <f t="shared" si="57"/>
        <v>2750</v>
      </c>
      <c r="Z28" s="149">
        <f t="shared" si="57"/>
        <v>0</v>
      </c>
      <c r="AA28" s="149">
        <f t="shared" si="57"/>
        <v>0</v>
      </c>
      <c r="AB28" s="149">
        <f t="shared" si="57"/>
        <v>0</v>
      </c>
      <c r="AC28" s="149">
        <f t="shared" si="57"/>
        <v>2750</v>
      </c>
      <c r="AD28" s="149">
        <f t="shared" si="57"/>
        <v>0</v>
      </c>
      <c r="AE28" s="149">
        <f t="shared" si="57"/>
        <v>0</v>
      </c>
      <c r="AF28" s="149">
        <f t="shared" si="57"/>
        <v>0</v>
      </c>
    </row>
    <row r="29" spans="2:32" ht="5.0999999999999996" customHeight="1">
      <c r="B29" s="158"/>
      <c r="C29" s="157"/>
      <c r="D29" s="157"/>
      <c r="E29" s="157"/>
      <c r="F29" s="157"/>
      <c r="H29" s="157"/>
      <c r="I29" s="157"/>
      <c r="J29" s="157"/>
      <c r="K29" s="149"/>
      <c r="L29" s="157"/>
      <c r="M29" s="157"/>
      <c r="N29" s="157"/>
      <c r="O29" s="149"/>
      <c r="P29" s="157"/>
      <c r="Q29" s="157"/>
      <c r="R29" s="157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</row>
    <row r="30" spans="2:32">
      <c r="B30" s="35" t="s">
        <v>186</v>
      </c>
      <c r="C30" s="10">
        <f>SUM(C31:C32)</f>
        <v>5500</v>
      </c>
      <c r="D30" s="10">
        <f t="shared" ref="D30:F30" si="58">SUM(D31:D32)</f>
        <v>5500</v>
      </c>
      <c r="E30" s="10">
        <f t="shared" si="58"/>
        <v>5500</v>
      </c>
      <c r="F30" s="10">
        <f t="shared" si="58"/>
        <v>5500</v>
      </c>
      <c r="H30" s="10">
        <f t="shared" ref="H30" si="59">SUM(H31:H32)</f>
        <v>0</v>
      </c>
      <c r="I30" s="10">
        <f t="shared" ref="I30" si="60">SUM(I31:I32)</f>
        <v>0</v>
      </c>
      <c r="J30" s="10">
        <f t="shared" ref="J30:K30" si="61">SUM(J31:J32)</f>
        <v>0</v>
      </c>
      <c r="K30" s="10">
        <f t="shared" si="61"/>
        <v>5500</v>
      </c>
      <c r="L30" s="10">
        <f t="shared" ref="L30" si="62">SUM(L31:L32)</f>
        <v>0</v>
      </c>
      <c r="M30" s="10">
        <f t="shared" ref="M30" si="63">SUM(M31:M32)</f>
        <v>0</v>
      </c>
      <c r="N30" s="10">
        <f t="shared" ref="N30" si="64">SUM(N31:N32)</f>
        <v>0</v>
      </c>
      <c r="O30" s="10">
        <f t="shared" ref="O30" si="65">SUM(O31:O32)</f>
        <v>5500</v>
      </c>
      <c r="P30" s="10">
        <f t="shared" ref="P30" si="66">SUM(P31:P32)</f>
        <v>0</v>
      </c>
      <c r="Q30" s="10">
        <f t="shared" ref="Q30" si="67">SUM(Q31:Q32)</f>
        <v>0</v>
      </c>
      <c r="R30" s="10">
        <f t="shared" ref="R30" si="68">SUM(R31:R32)</f>
        <v>0</v>
      </c>
      <c r="T30" s="149" t="e">
        <f>#REF!</f>
        <v>#REF!</v>
      </c>
      <c r="U30" s="149" t="e">
        <f>#REF!</f>
        <v>#REF!</v>
      </c>
      <c r="V30" s="149">
        <f t="shared" si="57"/>
        <v>0</v>
      </c>
      <c r="W30" s="149">
        <f t="shared" si="57"/>
        <v>0</v>
      </c>
      <c r="X30" s="149">
        <f t="shared" si="57"/>
        <v>0</v>
      </c>
      <c r="Y30" s="149">
        <f t="shared" si="57"/>
        <v>5500</v>
      </c>
      <c r="Z30" s="149">
        <f t="shared" si="57"/>
        <v>0</v>
      </c>
      <c r="AA30" s="149">
        <f t="shared" si="57"/>
        <v>0</v>
      </c>
      <c r="AB30" s="149">
        <f t="shared" si="57"/>
        <v>0</v>
      </c>
      <c r="AC30" s="149">
        <f t="shared" si="57"/>
        <v>5500</v>
      </c>
      <c r="AD30" s="149">
        <f t="shared" si="57"/>
        <v>0</v>
      </c>
      <c r="AE30" s="149">
        <f t="shared" si="57"/>
        <v>0</v>
      </c>
      <c r="AF30" s="149">
        <f t="shared" si="57"/>
        <v>0</v>
      </c>
    </row>
    <row r="31" spans="2:32">
      <c r="B31" s="158" t="s">
        <v>187</v>
      </c>
      <c r="C31" s="157">
        <v>2250</v>
      </c>
      <c r="D31" s="157">
        <v>2250</v>
      </c>
      <c r="E31" s="157">
        <v>2250</v>
      </c>
      <c r="F31" s="157">
        <v>2250</v>
      </c>
      <c r="H31" s="157"/>
      <c r="I31" s="157"/>
      <c r="J31" s="157"/>
      <c r="K31" s="10">
        <f t="shared" ref="K31:K32" si="69">E31</f>
        <v>2250</v>
      </c>
      <c r="L31" s="157"/>
      <c r="M31" s="157"/>
      <c r="N31" s="157"/>
      <c r="O31" s="10">
        <f t="shared" ref="O31:O32" si="70">F31</f>
        <v>2250</v>
      </c>
      <c r="P31" s="157"/>
      <c r="Q31" s="157"/>
      <c r="R31" s="157"/>
      <c r="T31" s="149" t="e">
        <f>#REF!</f>
        <v>#REF!</v>
      </c>
      <c r="U31" s="149" t="e">
        <f>#REF!</f>
        <v>#REF!</v>
      </c>
      <c r="V31" s="149">
        <f t="shared" si="57"/>
        <v>0</v>
      </c>
      <c r="W31" s="149">
        <f t="shared" si="57"/>
        <v>0</v>
      </c>
      <c r="X31" s="149">
        <f t="shared" si="57"/>
        <v>0</v>
      </c>
      <c r="Y31" s="149">
        <f t="shared" si="57"/>
        <v>2250</v>
      </c>
      <c r="Z31" s="149">
        <f t="shared" si="57"/>
        <v>0</v>
      </c>
      <c r="AA31" s="149">
        <f t="shared" si="57"/>
        <v>0</v>
      </c>
      <c r="AB31" s="149">
        <f t="shared" si="57"/>
        <v>0</v>
      </c>
      <c r="AC31" s="149">
        <f t="shared" si="57"/>
        <v>2250</v>
      </c>
      <c r="AD31" s="149">
        <f t="shared" si="57"/>
        <v>0</v>
      </c>
      <c r="AE31" s="149">
        <f t="shared" si="57"/>
        <v>0</v>
      </c>
      <c r="AF31" s="149">
        <f t="shared" si="57"/>
        <v>0</v>
      </c>
    </row>
    <row r="32" spans="2:32">
      <c r="B32" s="158" t="s">
        <v>188</v>
      </c>
      <c r="C32" s="157">
        <v>3250</v>
      </c>
      <c r="D32" s="157">
        <v>3250</v>
      </c>
      <c r="E32" s="157">
        <v>3250</v>
      </c>
      <c r="F32" s="157">
        <v>3250</v>
      </c>
      <c r="H32" s="157"/>
      <c r="I32" s="157"/>
      <c r="J32" s="157"/>
      <c r="K32" s="10">
        <f t="shared" si="69"/>
        <v>3250</v>
      </c>
      <c r="L32" s="157"/>
      <c r="M32" s="157"/>
      <c r="N32" s="157"/>
      <c r="O32" s="10">
        <f t="shared" si="70"/>
        <v>3250</v>
      </c>
      <c r="P32" s="157"/>
      <c r="Q32" s="157"/>
      <c r="R32" s="157"/>
      <c r="T32" s="149" t="e">
        <f>#REF!</f>
        <v>#REF!</v>
      </c>
      <c r="U32" s="149" t="e">
        <f>#REF!</f>
        <v>#REF!</v>
      </c>
      <c r="V32" s="149">
        <f t="shared" si="57"/>
        <v>0</v>
      </c>
      <c r="W32" s="149">
        <f t="shared" si="57"/>
        <v>0</v>
      </c>
      <c r="X32" s="149">
        <f t="shared" si="57"/>
        <v>0</v>
      </c>
      <c r="Y32" s="149">
        <f t="shared" si="57"/>
        <v>3250</v>
      </c>
      <c r="Z32" s="149">
        <f t="shared" si="57"/>
        <v>0</v>
      </c>
      <c r="AA32" s="149">
        <f t="shared" si="57"/>
        <v>0</v>
      </c>
      <c r="AB32" s="149">
        <f t="shared" si="57"/>
        <v>0</v>
      </c>
      <c r="AC32" s="149">
        <f t="shared" si="57"/>
        <v>3250</v>
      </c>
      <c r="AD32" s="149">
        <f t="shared" si="57"/>
        <v>0</v>
      </c>
      <c r="AE32" s="149">
        <f t="shared" si="57"/>
        <v>0</v>
      </c>
      <c r="AF32" s="149">
        <f t="shared" si="57"/>
        <v>0</v>
      </c>
    </row>
    <row r="33" spans="2:32" ht="5.0999999999999996" customHeight="1">
      <c r="B33" s="158"/>
      <c r="C33" s="157"/>
      <c r="D33" s="157"/>
      <c r="E33" s="157"/>
      <c r="F33" s="157"/>
      <c r="H33" s="157"/>
      <c r="I33" s="157"/>
      <c r="J33" s="157"/>
      <c r="K33" s="149"/>
      <c r="L33" s="157"/>
      <c r="M33" s="157"/>
      <c r="N33" s="157"/>
      <c r="O33" s="149"/>
      <c r="P33" s="157"/>
      <c r="Q33" s="157"/>
      <c r="R33" s="157"/>
      <c r="T33" s="149"/>
      <c r="U33" s="149"/>
      <c r="V33" s="149"/>
      <c r="W33" s="149"/>
      <c r="X33" s="149"/>
      <c r="Y33" s="149"/>
      <c r="Z33" s="149"/>
      <c r="AA33" s="149"/>
      <c r="AB33" s="149"/>
      <c r="AC33" s="149"/>
      <c r="AD33" s="149"/>
      <c r="AE33" s="149"/>
      <c r="AF33" s="149"/>
    </row>
    <row r="34" spans="2:32">
      <c r="B34" s="35" t="s">
        <v>189</v>
      </c>
      <c r="C34" s="10">
        <f>SUM(C35:C39)</f>
        <v>10000</v>
      </c>
      <c r="D34" s="10">
        <f t="shared" ref="D34:F34" si="71">SUM(D35:D39)</f>
        <v>10000</v>
      </c>
      <c r="E34" s="10">
        <f t="shared" si="71"/>
        <v>10000</v>
      </c>
      <c r="F34" s="10">
        <f t="shared" si="71"/>
        <v>10000</v>
      </c>
      <c r="G34" s="10">
        <f t="shared" ref="G34" si="72">SUM(G35:G39)</f>
        <v>0</v>
      </c>
      <c r="H34" s="10">
        <f t="shared" ref="H34" si="73">SUM(H35:H39)</f>
        <v>0</v>
      </c>
      <c r="I34" s="10">
        <f t="shared" ref="I34" si="74">SUM(I35:I39)</f>
        <v>0</v>
      </c>
      <c r="J34" s="10">
        <f t="shared" ref="J34" si="75">SUM(J35:J39)</f>
        <v>0</v>
      </c>
      <c r="K34" s="10">
        <f t="shared" ref="K34" si="76">SUM(K35:K39)</f>
        <v>10000</v>
      </c>
      <c r="L34" s="10">
        <f t="shared" ref="L34" si="77">SUM(L35:L39)</f>
        <v>0</v>
      </c>
      <c r="M34" s="10">
        <f t="shared" ref="M34" si="78">SUM(M35:M39)</f>
        <v>0</v>
      </c>
      <c r="N34" s="10">
        <f t="shared" ref="N34" si="79">SUM(N35:N39)</f>
        <v>0</v>
      </c>
      <c r="O34" s="10">
        <f t="shared" ref="O34" si="80">SUM(O35:O39)</f>
        <v>10000</v>
      </c>
      <c r="P34" s="10">
        <f t="shared" ref="P34" si="81">SUM(P35:P39)</f>
        <v>0</v>
      </c>
      <c r="Q34" s="10">
        <f t="shared" ref="Q34" si="82">SUM(Q35:Q39)</f>
        <v>0</v>
      </c>
      <c r="R34" s="10">
        <f t="shared" ref="R34" si="83">SUM(R35:R39)</f>
        <v>0</v>
      </c>
      <c r="T34" s="149" t="e">
        <f>#REF!</f>
        <v>#REF!</v>
      </c>
      <c r="U34" s="149" t="e">
        <f>#REF!</f>
        <v>#REF!</v>
      </c>
      <c r="V34" s="149">
        <f t="shared" si="57"/>
        <v>0</v>
      </c>
      <c r="W34" s="149">
        <f t="shared" si="57"/>
        <v>0</v>
      </c>
      <c r="X34" s="149">
        <f t="shared" si="57"/>
        <v>0</v>
      </c>
      <c r="Y34" s="149">
        <f t="shared" si="57"/>
        <v>10000</v>
      </c>
      <c r="Z34" s="149">
        <f t="shared" si="57"/>
        <v>0</v>
      </c>
      <c r="AA34" s="149">
        <f t="shared" si="57"/>
        <v>0</v>
      </c>
      <c r="AB34" s="149">
        <f t="shared" si="57"/>
        <v>0</v>
      </c>
      <c r="AC34" s="149">
        <f t="shared" si="57"/>
        <v>10000</v>
      </c>
      <c r="AD34" s="149">
        <f t="shared" si="57"/>
        <v>0</v>
      </c>
      <c r="AE34" s="149">
        <f t="shared" si="57"/>
        <v>0</v>
      </c>
      <c r="AF34" s="149">
        <f t="shared" si="57"/>
        <v>0</v>
      </c>
    </row>
    <row r="35" spans="2:32">
      <c r="B35" s="158" t="s">
        <v>190</v>
      </c>
      <c r="C35" s="157">
        <v>750</v>
      </c>
      <c r="D35" s="157">
        <v>750</v>
      </c>
      <c r="E35" s="157">
        <v>750</v>
      </c>
      <c r="F35" s="157">
        <v>750</v>
      </c>
      <c r="H35" s="157"/>
      <c r="I35" s="157"/>
      <c r="J35" s="157"/>
      <c r="K35" s="10">
        <f t="shared" ref="K35:K39" si="84">E35</f>
        <v>750</v>
      </c>
      <c r="L35" s="157"/>
      <c r="M35" s="157"/>
      <c r="N35" s="157"/>
      <c r="O35" s="10">
        <f t="shared" ref="O35:O39" si="85">F35</f>
        <v>750</v>
      </c>
      <c r="P35" s="157"/>
      <c r="Q35" s="157"/>
      <c r="R35" s="157"/>
      <c r="T35" s="149" t="e">
        <f>#REF!</f>
        <v>#REF!</v>
      </c>
      <c r="U35" s="149" t="e">
        <f>#REF!</f>
        <v>#REF!</v>
      </c>
      <c r="V35" s="149">
        <f t="shared" si="57"/>
        <v>0</v>
      </c>
      <c r="W35" s="149">
        <f t="shared" si="57"/>
        <v>0</v>
      </c>
      <c r="X35" s="149">
        <f t="shared" si="57"/>
        <v>0</v>
      </c>
      <c r="Y35" s="149">
        <f t="shared" si="57"/>
        <v>750</v>
      </c>
      <c r="Z35" s="149">
        <f t="shared" si="57"/>
        <v>0</v>
      </c>
      <c r="AA35" s="149">
        <f t="shared" si="57"/>
        <v>0</v>
      </c>
      <c r="AB35" s="149">
        <f t="shared" si="57"/>
        <v>0</v>
      </c>
      <c r="AC35" s="149">
        <f t="shared" si="57"/>
        <v>750</v>
      </c>
      <c r="AD35" s="149">
        <f t="shared" si="57"/>
        <v>0</v>
      </c>
      <c r="AE35" s="149">
        <f t="shared" si="57"/>
        <v>0</v>
      </c>
      <c r="AF35" s="149">
        <f t="shared" si="57"/>
        <v>0</v>
      </c>
    </row>
    <row r="36" spans="2:32">
      <c r="B36" s="158" t="s">
        <v>191</v>
      </c>
      <c r="C36" s="157">
        <v>2750</v>
      </c>
      <c r="D36" s="157">
        <v>2750</v>
      </c>
      <c r="E36" s="157">
        <v>2750</v>
      </c>
      <c r="F36" s="157">
        <v>2750</v>
      </c>
      <c r="H36" s="157"/>
      <c r="I36" s="157"/>
      <c r="J36" s="157"/>
      <c r="K36" s="10">
        <f t="shared" si="84"/>
        <v>2750</v>
      </c>
      <c r="L36" s="157"/>
      <c r="M36" s="157"/>
      <c r="N36" s="157"/>
      <c r="O36" s="10">
        <f t="shared" si="85"/>
        <v>2750</v>
      </c>
      <c r="P36" s="157"/>
      <c r="Q36" s="157"/>
      <c r="R36" s="157"/>
      <c r="T36" s="149" t="e">
        <f>#REF!</f>
        <v>#REF!</v>
      </c>
      <c r="U36" s="149" t="e">
        <f>#REF!</f>
        <v>#REF!</v>
      </c>
      <c r="V36" s="149">
        <f t="shared" si="57"/>
        <v>0</v>
      </c>
      <c r="W36" s="149">
        <f t="shared" si="57"/>
        <v>0</v>
      </c>
      <c r="X36" s="149">
        <f t="shared" si="57"/>
        <v>0</v>
      </c>
      <c r="Y36" s="149">
        <f t="shared" si="57"/>
        <v>2750</v>
      </c>
      <c r="Z36" s="149">
        <f t="shared" si="57"/>
        <v>0</v>
      </c>
      <c r="AA36" s="149">
        <f t="shared" si="57"/>
        <v>0</v>
      </c>
      <c r="AB36" s="149">
        <f t="shared" si="57"/>
        <v>0</v>
      </c>
      <c r="AC36" s="149">
        <f t="shared" si="57"/>
        <v>2750</v>
      </c>
      <c r="AD36" s="149">
        <f t="shared" si="57"/>
        <v>0</v>
      </c>
      <c r="AE36" s="149">
        <f t="shared" si="57"/>
        <v>0</v>
      </c>
      <c r="AF36" s="149">
        <f t="shared" si="57"/>
        <v>0</v>
      </c>
    </row>
    <row r="37" spans="2:32">
      <c r="B37" s="158" t="s">
        <v>192</v>
      </c>
      <c r="C37" s="157">
        <v>1750</v>
      </c>
      <c r="D37" s="157">
        <v>1750</v>
      </c>
      <c r="E37" s="157">
        <v>1750</v>
      </c>
      <c r="F37" s="157">
        <v>1750</v>
      </c>
      <c r="H37" s="157"/>
      <c r="I37" s="157"/>
      <c r="J37" s="157"/>
      <c r="K37" s="10">
        <f t="shared" si="84"/>
        <v>1750</v>
      </c>
      <c r="L37" s="157"/>
      <c r="M37" s="157"/>
      <c r="N37" s="157"/>
      <c r="O37" s="10">
        <f t="shared" si="85"/>
        <v>1750</v>
      </c>
      <c r="P37" s="157"/>
      <c r="Q37" s="157"/>
      <c r="R37" s="157"/>
      <c r="T37" s="149" t="e">
        <f>#REF!</f>
        <v>#REF!</v>
      </c>
      <c r="U37" s="149" t="e">
        <f>#REF!</f>
        <v>#REF!</v>
      </c>
      <c r="V37" s="149">
        <f t="shared" si="57"/>
        <v>0</v>
      </c>
      <c r="W37" s="149">
        <f t="shared" si="57"/>
        <v>0</v>
      </c>
      <c r="X37" s="149">
        <f t="shared" si="57"/>
        <v>0</v>
      </c>
      <c r="Y37" s="149">
        <f t="shared" si="57"/>
        <v>1750</v>
      </c>
      <c r="Z37" s="149">
        <f t="shared" si="57"/>
        <v>0</v>
      </c>
      <c r="AA37" s="149">
        <f t="shared" si="57"/>
        <v>0</v>
      </c>
      <c r="AB37" s="149">
        <f t="shared" si="57"/>
        <v>0</v>
      </c>
      <c r="AC37" s="149">
        <f t="shared" si="57"/>
        <v>1750</v>
      </c>
      <c r="AD37" s="149">
        <f t="shared" si="57"/>
        <v>0</v>
      </c>
      <c r="AE37" s="149">
        <f t="shared" si="57"/>
        <v>0</v>
      </c>
      <c r="AF37" s="149">
        <f t="shared" si="57"/>
        <v>0</v>
      </c>
    </row>
    <row r="38" spans="2:32">
      <c r="B38" s="158" t="s">
        <v>193</v>
      </c>
      <c r="C38" s="157">
        <v>3000</v>
      </c>
      <c r="D38" s="157">
        <v>3000</v>
      </c>
      <c r="E38" s="157">
        <v>3000</v>
      </c>
      <c r="F38" s="157">
        <v>3000</v>
      </c>
      <c r="H38" s="157"/>
      <c r="I38" s="157"/>
      <c r="J38" s="157"/>
      <c r="K38" s="10">
        <f t="shared" si="84"/>
        <v>3000</v>
      </c>
      <c r="L38" s="157"/>
      <c r="M38" s="157"/>
      <c r="N38" s="157"/>
      <c r="O38" s="10">
        <f t="shared" si="85"/>
        <v>3000</v>
      </c>
      <c r="P38" s="157"/>
      <c r="Q38" s="157"/>
      <c r="R38" s="157"/>
      <c r="T38" s="149" t="e">
        <f>#REF!</f>
        <v>#REF!</v>
      </c>
      <c r="U38" s="149" t="e">
        <f>#REF!</f>
        <v>#REF!</v>
      </c>
      <c r="V38" s="149">
        <f t="shared" si="57"/>
        <v>0</v>
      </c>
      <c r="W38" s="149">
        <f t="shared" si="57"/>
        <v>0</v>
      </c>
      <c r="X38" s="149">
        <f t="shared" si="57"/>
        <v>0</v>
      </c>
      <c r="Y38" s="149">
        <f t="shared" si="57"/>
        <v>3000</v>
      </c>
      <c r="Z38" s="149">
        <f t="shared" si="57"/>
        <v>0</v>
      </c>
      <c r="AA38" s="149">
        <f t="shared" si="57"/>
        <v>0</v>
      </c>
      <c r="AB38" s="149">
        <f t="shared" si="57"/>
        <v>0</v>
      </c>
      <c r="AC38" s="149">
        <f t="shared" si="57"/>
        <v>3000</v>
      </c>
      <c r="AD38" s="149">
        <f t="shared" si="57"/>
        <v>0</v>
      </c>
      <c r="AE38" s="149">
        <f t="shared" si="57"/>
        <v>0</v>
      </c>
      <c r="AF38" s="149">
        <f t="shared" si="57"/>
        <v>0</v>
      </c>
    </row>
    <row r="39" spans="2:32">
      <c r="B39" s="158" t="s">
        <v>194</v>
      </c>
      <c r="C39" s="157">
        <v>1750</v>
      </c>
      <c r="D39" s="157">
        <v>1750</v>
      </c>
      <c r="E39" s="157">
        <v>1750</v>
      </c>
      <c r="F39" s="157">
        <v>1750</v>
      </c>
      <c r="H39" s="157"/>
      <c r="I39" s="157"/>
      <c r="J39" s="157"/>
      <c r="K39" s="10">
        <f t="shared" si="84"/>
        <v>1750</v>
      </c>
      <c r="L39" s="157"/>
      <c r="M39" s="157"/>
      <c r="N39" s="157"/>
      <c r="O39" s="10">
        <f t="shared" si="85"/>
        <v>1750</v>
      </c>
      <c r="P39" s="157"/>
      <c r="Q39" s="157"/>
      <c r="R39" s="157"/>
      <c r="T39" s="149" t="e">
        <f>#REF!</f>
        <v>#REF!</v>
      </c>
      <c r="U39" s="149" t="e">
        <f>#REF!</f>
        <v>#REF!</v>
      </c>
      <c r="V39" s="149">
        <f t="shared" si="57"/>
        <v>0</v>
      </c>
      <c r="W39" s="149">
        <f t="shared" si="57"/>
        <v>0</v>
      </c>
      <c r="X39" s="149">
        <f t="shared" si="57"/>
        <v>0</v>
      </c>
      <c r="Y39" s="149">
        <f t="shared" si="57"/>
        <v>1750</v>
      </c>
      <c r="Z39" s="149">
        <f t="shared" si="57"/>
        <v>0</v>
      </c>
      <c r="AA39" s="149">
        <f t="shared" si="57"/>
        <v>0</v>
      </c>
      <c r="AB39" s="149">
        <f t="shared" si="57"/>
        <v>0</v>
      </c>
      <c r="AC39" s="149">
        <f t="shared" si="57"/>
        <v>1750</v>
      </c>
      <c r="AD39" s="149">
        <f t="shared" si="57"/>
        <v>0</v>
      </c>
      <c r="AE39" s="149">
        <f t="shared" si="57"/>
        <v>0</v>
      </c>
      <c r="AF39" s="149">
        <f t="shared" si="57"/>
        <v>0</v>
      </c>
    </row>
    <row r="40" spans="2:32" ht="5.0999999999999996" customHeight="1">
      <c r="B40" s="158"/>
      <c r="C40" s="157"/>
      <c r="D40" s="157"/>
      <c r="E40" s="157"/>
      <c r="F40" s="157"/>
      <c r="H40" s="157"/>
      <c r="I40" s="157"/>
      <c r="J40" s="157"/>
      <c r="K40" s="149"/>
      <c r="L40" s="157"/>
      <c r="M40" s="157"/>
      <c r="N40" s="157"/>
      <c r="O40" s="149"/>
      <c r="P40" s="157"/>
      <c r="Q40" s="157"/>
      <c r="R40" s="157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</row>
    <row r="41" spans="2:32">
      <c r="B41" s="35" t="s">
        <v>195</v>
      </c>
      <c r="C41" s="10">
        <f>SUM(C42:C43)</f>
        <v>2717</v>
      </c>
      <c r="D41" s="10">
        <f>SUM(D42:D43)</f>
        <v>1870</v>
      </c>
      <c r="E41" s="10">
        <f>SUM(E42:E43)</f>
        <v>1870</v>
      </c>
      <c r="F41" s="10">
        <f>SUM(F42:F43)</f>
        <v>1870</v>
      </c>
      <c r="G41" s="10">
        <f t="shared" ref="G41:R41" si="86">SUM(G42:G43)</f>
        <v>0</v>
      </c>
      <c r="H41" s="10">
        <f t="shared" si="86"/>
        <v>0</v>
      </c>
      <c r="I41" s="10">
        <f t="shared" si="86"/>
        <v>0</v>
      </c>
      <c r="J41" s="10">
        <f t="shared" si="86"/>
        <v>0</v>
      </c>
      <c r="K41" s="10">
        <f t="shared" si="86"/>
        <v>1870</v>
      </c>
      <c r="L41" s="10">
        <f t="shared" si="86"/>
        <v>0</v>
      </c>
      <c r="M41" s="10">
        <f t="shared" si="86"/>
        <v>0</v>
      </c>
      <c r="N41" s="10">
        <f t="shared" si="86"/>
        <v>0</v>
      </c>
      <c r="O41" s="10">
        <f t="shared" si="86"/>
        <v>1870</v>
      </c>
      <c r="P41" s="10">
        <f t="shared" si="86"/>
        <v>0</v>
      </c>
      <c r="Q41" s="10">
        <f t="shared" si="86"/>
        <v>0</v>
      </c>
      <c r="R41" s="10">
        <f t="shared" si="86"/>
        <v>0</v>
      </c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</row>
    <row r="42" spans="2:32">
      <c r="B42" s="158" t="s">
        <v>196</v>
      </c>
      <c r="C42" s="157">
        <v>752</v>
      </c>
      <c r="D42" s="157">
        <v>752</v>
      </c>
      <c r="E42" s="157">
        <v>752</v>
      </c>
      <c r="F42" s="157">
        <v>752</v>
      </c>
      <c r="H42" s="157"/>
      <c r="I42" s="157"/>
      <c r="J42" s="157"/>
      <c r="K42" s="10">
        <f t="shared" ref="K42:K43" si="87">E42</f>
        <v>752</v>
      </c>
      <c r="L42" s="157"/>
      <c r="M42" s="157"/>
      <c r="N42" s="157"/>
      <c r="O42" s="10">
        <f t="shared" ref="O42:O43" si="88">F42</f>
        <v>752</v>
      </c>
      <c r="P42" s="157"/>
      <c r="Q42" s="157"/>
      <c r="R42" s="157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</row>
    <row r="43" spans="2:32">
      <c r="B43" s="158" t="s">
        <v>197</v>
      </c>
      <c r="C43" s="157">
        <v>1965</v>
      </c>
      <c r="D43" s="157">
        <v>1118</v>
      </c>
      <c r="E43" s="157">
        <v>1118</v>
      </c>
      <c r="F43" s="157">
        <v>1118</v>
      </c>
      <c r="H43" s="157"/>
      <c r="I43" s="157"/>
      <c r="J43" s="157"/>
      <c r="K43" s="10">
        <f t="shared" si="87"/>
        <v>1118</v>
      </c>
      <c r="L43" s="157"/>
      <c r="M43" s="157"/>
      <c r="N43" s="157"/>
      <c r="O43" s="10">
        <f t="shared" si="88"/>
        <v>1118</v>
      </c>
      <c r="P43" s="157"/>
      <c r="Q43" s="157"/>
      <c r="R43" s="157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</row>
    <row r="44" spans="2:32" ht="5.0999999999999996" customHeight="1">
      <c r="B44" s="158"/>
      <c r="C44" s="157"/>
      <c r="D44" s="157"/>
      <c r="E44" s="157"/>
      <c r="F44" s="157"/>
      <c r="H44" s="157"/>
      <c r="I44" s="157"/>
      <c r="J44" s="157"/>
      <c r="K44" s="149"/>
      <c r="L44" s="157"/>
      <c r="M44" s="157"/>
      <c r="N44" s="157"/>
      <c r="O44" s="149"/>
      <c r="P44" s="157"/>
      <c r="Q44" s="157"/>
      <c r="R44" s="157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</row>
    <row r="45" spans="2:32">
      <c r="B45" s="35" t="s">
        <v>198</v>
      </c>
      <c r="C45" s="10">
        <f>SUM(C46:C49)</f>
        <v>5684</v>
      </c>
      <c r="D45" s="10">
        <f>SUM(D46:D49)</f>
        <v>4861</v>
      </c>
      <c r="E45" s="10">
        <f>SUM(E46:E49)</f>
        <v>4861</v>
      </c>
      <c r="F45" s="10">
        <f>SUM(F46:F49)</f>
        <v>4756</v>
      </c>
      <c r="G45" s="10">
        <f t="shared" ref="G45:R45" si="89">SUM(G46:G49)</f>
        <v>0</v>
      </c>
      <c r="H45" s="10">
        <f t="shared" si="89"/>
        <v>0</v>
      </c>
      <c r="I45" s="10">
        <f t="shared" si="89"/>
        <v>0</v>
      </c>
      <c r="J45" s="10">
        <f t="shared" si="89"/>
        <v>0</v>
      </c>
      <c r="K45" s="10">
        <f t="shared" si="89"/>
        <v>4861</v>
      </c>
      <c r="L45" s="10">
        <f t="shared" si="89"/>
        <v>0</v>
      </c>
      <c r="M45" s="10">
        <f t="shared" si="89"/>
        <v>0</v>
      </c>
      <c r="N45" s="10">
        <f t="shared" si="89"/>
        <v>0</v>
      </c>
      <c r="O45" s="10">
        <f t="shared" si="89"/>
        <v>4756</v>
      </c>
      <c r="P45" s="10">
        <f t="shared" si="89"/>
        <v>0</v>
      </c>
      <c r="Q45" s="10">
        <f t="shared" si="89"/>
        <v>0</v>
      </c>
      <c r="R45" s="10">
        <f t="shared" si="89"/>
        <v>0</v>
      </c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</row>
    <row r="46" spans="2:32">
      <c r="B46" s="158" t="s">
        <v>199</v>
      </c>
      <c r="C46" s="157">
        <v>105</v>
      </c>
      <c r="D46" s="157">
        <v>105</v>
      </c>
      <c r="E46" s="157">
        <v>105</v>
      </c>
      <c r="F46" s="157">
        <v>0</v>
      </c>
      <c r="H46" s="157"/>
      <c r="I46" s="157"/>
      <c r="J46" s="157"/>
      <c r="K46" s="10">
        <f t="shared" ref="K46:K49" si="90">E46</f>
        <v>105</v>
      </c>
      <c r="L46" s="157"/>
      <c r="M46" s="157"/>
      <c r="N46" s="157"/>
      <c r="O46" s="10">
        <f t="shared" ref="O46:O49" si="91">F46</f>
        <v>0</v>
      </c>
      <c r="P46" s="157"/>
      <c r="Q46" s="157"/>
      <c r="R46" s="157"/>
      <c r="T46" s="149"/>
      <c r="U46" s="149"/>
      <c r="V46" s="149"/>
      <c r="W46" s="149"/>
      <c r="X46" s="149"/>
      <c r="Y46" s="149"/>
      <c r="Z46" s="149"/>
      <c r="AA46" s="149"/>
      <c r="AB46" s="149"/>
      <c r="AC46" s="149"/>
      <c r="AD46" s="149"/>
      <c r="AE46" s="149"/>
      <c r="AF46" s="149"/>
    </row>
    <row r="47" spans="2:32">
      <c r="B47" s="158" t="s">
        <v>200</v>
      </c>
      <c r="C47" s="157">
        <v>900</v>
      </c>
      <c r="D47" s="157">
        <v>900</v>
      </c>
      <c r="E47" s="157">
        <v>900</v>
      </c>
      <c r="F47" s="157">
        <v>900</v>
      </c>
      <c r="H47" s="157"/>
      <c r="I47" s="157"/>
      <c r="J47" s="157"/>
      <c r="K47" s="10">
        <f t="shared" si="90"/>
        <v>900</v>
      </c>
      <c r="L47" s="157"/>
      <c r="M47" s="157"/>
      <c r="N47" s="157"/>
      <c r="O47" s="10">
        <f t="shared" si="91"/>
        <v>900</v>
      </c>
      <c r="P47" s="157"/>
      <c r="Q47" s="157"/>
      <c r="R47" s="157"/>
      <c r="T47" s="149" t="e">
        <f>#REF!</f>
        <v>#REF!</v>
      </c>
      <c r="U47" s="149" t="e">
        <f>#REF!</f>
        <v>#REF!</v>
      </c>
      <c r="V47" s="149">
        <f t="shared" si="57"/>
        <v>0</v>
      </c>
      <c r="W47" s="149">
        <f t="shared" si="57"/>
        <v>0</v>
      </c>
      <c r="X47" s="149">
        <f t="shared" si="57"/>
        <v>0</v>
      </c>
      <c r="Y47" s="149">
        <f t="shared" si="57"/>
        <v>900</v>
      </c>
      <c r="Z47" s="149">
        <f t="shared" si="57"/>
        <v>0</v>
      </c>
      <c r="AA47" s="149">
        <f t="shared" si="57"/>
        <v>0</v>
      </c>
      <c r="AB47" s="149">
        <f t="shared" si="57"/>
        <v>0</v>
      </c>
      <c r="AC47" s="149">
        <f t="shared" si="57"/>
        <v>900</v>
      </c>
      <c r="AD47" s="149">
        <f t="shared" si="57"/>
        <v>0</v>
      </c>
      <c r="AE47" s="149">
        <f t="shared" si="57"/>
        <v>0</v>
      </c>
      <c r="AF47" s="149">
        <f t="shared" si="57"/>
        <v>0</v>
      </c>
    </row>
    <row r="48" spans="2:32">
      <c r="B48" s="158" t="s">
        <v>201</v>
      </c>
      <c r="C48" s="157">
        <v>2679</v>
      </c>
      <c r="D48" s="157">
        <v>1856</v>
      </c>
      <c r="E48" s="157">
        <v>1856</v>
      </c>
      <c r="F48" s="157">
        <v>1856</v>
      </c>
      <c r="H48" s="157"/>
      <c r="I48" s="157"/>
      <c r="J48" s="157"/>
      <c r="K48" s="10">
        <f t="shared" si="90"/>
        <v>1856</v>
      </c>
      <c r="L48" s="157"/>
      <c r="M48" s="157"/>
      <c r="N48" s="157"/>
      <c r="O48" s="10">
        <f t="shared" si="91"/>
        <v>1856</v>
      </c>
      <c r="P48" s="157"/>
      <c r="Q48" s="157"/>
      <c r="R48" s="157"/>
      <c r="T48" s="149" t="e">
        <f>#REF!</f>
        <v>#REF!</v>
      </c>
      <c r="U48" s="149" t="e">
        <f>#REF!</f>
        <v>#REF!</v>
      </c>
      <c r="V48" s="149">
        <f t="shared" si="57"/>
        <v>0</v>
      </c>
      <c r="W48" s="149">
        <f t="shared" si="57"/>
        <v>0</v>
      </c>
      <c r="X48" s="149">
        <f t="shared" si="57"/>
        <v>0</v>
      </c>
      <c r="Y48" s="149">
        <f t="shared" si="57"/>
        <v>1856</v>
      </c>
      <c r="Z48" s="149">
        <f t="shared" si="57"/>
        <v>0</v>
      </c>
      <c r="AA48" s="149">
        <f t="shared" si="57"/>
        <v>0</v>
      </c>
      <c r="AB48" s="149">
        <f t="shared" si="57"/>
        <v>0</v>
      </c>
      <c r="AC48" s="149">
        <f t="shared" si="57"/>
        <v>1856</v>
      </c>
      <c r="AD48" s="149">
        <f t="shared" si="57"/>
        <v>0</v>
      </c>
      <c r="AE48" s="149">
        <f t="shared" si="57"/>
        <v>0</v>
      </c>
      <c r="AF48" s="149">
        <f t="shared" si="57"/>
        <v>0</v>
      </c>
    </row>
    <row r="49" spans="2:32">
      <c r="B49" s="158" t="s">
        <v>202</v>
      </c>
      <c r="C49" s="157">
        <v>2000</v>
      </c>
      <c r="D49" s="157">
        <v>2000</v>
      </c>
      <c r="E49" s="157">
        <v>2000</v>
      </c>
      <c r="F49" s="157">
        <v>2000</v>
      </c>
      <c r="H49" s="157"/>
      <c r="I49" s="157"/>
      <c r="J49" s="157"/>
      <c r="K49" s="10">
        <f t="shared" si="90"/>
        <v>2000</v>
      </c>
      <c r="L49" s="157"/>
      <c r="M49" s="157"/>
      <c r="N49" s="157"/>
      <c r="O49" s="10">
        <f t="shared" si="91"/>
        <v>2000</v>
      </c>
      <c r="P49" s="157"/>
      <c r="Q49" s="157"/>
      <c r="R49" s="157"/>
      <c r="T49" s="149" t="e">
        <f>#REF!</f>
        <v>#REF!</v>
      </c>
      <c r="U49" s="149" t="e">
        <f>#REF!</f>
        <v>#REF!</v>
      </c>
      <c r="V49" s="149">
        <f t="shared" si="57"/>
        <v>0</v>
      </c>
      <c r="W49" s="149">
        <f t="shared" si="57"/>
        <v>0</v>
      </c>
      <c r="X49" s="149">
        <f t="shared" si="57"/>
        <v>0</v>
      </c>
      <c r="Y49" s="149">
        <f t="shared" si="57"/>
        <v>2000</v>
      </c>
      <c r="Z49" s="149">
        <f t="shared" si="57"/>
        <v>0</v>
      </c>
      <c r="AA49" s="149">
        <f t="shared" si="57"/>
        <v>0</v>
      </c>
      <c r="AB49" s="149">
        <f t="shared" si="57"/>
        <v>0</v>
      </c>
      <c r="AC49" s="149">
        <f t="shared" si="57"/>
        <v>2000</v>
      </c>
      <c r="AD49" s="149">
        <f t="shared" si="57"/>
        <v>0</v>
      </c>
      <c r="AE49" s="149">
        <f t="shared" si="57"/>
        <v>0</v>
      </c>
      <c r="AF49" s="149">
        <f t="shared" si="57"/>
        <v>0</v>
      </c>
    </row>
    <row r="50" spans="2:32" ht="5.0999999999999996" customHeight="1">
      <c r="B50" s="158"/>
      <c r="C50" s="157"/>
      <c r="D50" s="157"/>
      <c r="E50" s="157"/>
      <c r="F50" s="157"/>
      <c r="H50" s="157"/>
      <c r="I50" s="157"/>
      <c r="J50" s="157"/>
      <c r="K50" s="149"/>
      <c r="L50" s="157"/>
      <c r="M50" s="157"/>
      <c r="N50" s="157"/>
      <c r="O50" s="149"/>
      <c r="P50" s="157"/>
      <c r="Q50" s="157"/>
      <c r="R50" s="157"/>
      <c r="T50" s="149"/>
      <c r="U50" s="149"/>
      <c r="V50" s="149"/>
      <c r="W50" s="149"/>
      <c r="X50" s="149"/>
      <c r="Y50" s="149"/>
      <c r="Z50" s="149"/>
      <c r="AA50" s="149"/>
      <c r="AB50" s="149"/>
      <c r="AC50" s="149"/>
      <c r="AD50" s="149"/>
      <c r="AE50" s="149"/>
      <c r="AF50" s="149"/>
    </row>
    <row r="51" spans="2:32">
      <c r="B51" s="35" t="s">
        <v>203</v>
      </c>
      <c r="C51" s="10">
        <f>SUM(C52:C53)</f>
        <v>2106</v>
      </c>
      <c r="D51" s="10">
        <f t="shared" ref="D51:F51" si="92">SUM(D52:D53)</f>
        <v>606</v>
      </c>
      <c r="E51" s="10">
        <f t="shared" si="92"/>
        <v>606</v>
      </c>
      <c r="F51" s="10">
        <f t="shared" si="92"/>
        <v>606</v>
      </c>
      <c r="G51" s="10">
        <f t="shared" ref="G51" si="93">SUM(G52:G53)</f>
        <v>0</v>
      </c>
      <c r="H51" s="10">
        <f t="shared" ref="H51" si="94">SUM(H52:H53)</f>
        <v>0</v>
      </c>
      <c r="I51" s="10">
        <f t="shared" ref="I51" si="95">SUM(I52:I53)</f>
        <v>0</v>
      </c>
      <c r="J51" s="10">
        <f t="shared" ref="J51" si="96">SUM(J52:J53)</f>
        <v>0</v>
      </c>
      <c r="K51" s="10">
        <f t="shared" ref="K51" si="97">SUM(K52:K53)</f>
        <v>606</v>
      </c>
      <c r="L51" s="10">
        <f t="shared" ref="L51" si="98">SUM(L52:L53)</f>
        <v>0</v>
      </c>
      <c r="M51" s="10">
        <f t="shared" ref="M51" si="99">SUM(M52:M53)</f>
        <v>0</v>
      </c>
      <c r="N51" s="10">
        <f t="shared" ref="N51" si="100">SUM(N52:N53)</f>
        <v>0</v>
      </c>
      <c r="O51" s="10">
        <f t="shared" ref="O51" si="101">SUM(O52:O53)</f>
        <v>606</v>
      </c>
      <c r="P51" s="10">
        <f t="shared" ref="P51" si="102">SUM(P52:P53)</f>
        <v>0</v>
      </c>
      <c r="Q51" s="10">
        <f t="shared" ref="Q51" si="103">SUM(Q52:Q53)</f>
        <v>0</v>
      </c>
      <c r="R51" s="10">
        <f t="shared" ref="R51" si="104">SUM(R52:R53)</f>
        <v>0</v>
      </c>
      <c r="T51" s="149"/>
      <c r="U51" s="149"/>
      <c r="V51" s="149"/>
      <c r="W51" s="149"/>
      <c r="X51" s="149"/>
      <c r="Y51" s="149"/>
      <c r="Z51" s="149"/>
      <c r="AA51" s="149"/>
      <c r="AB51" s="149"/>
      <c r="AC51" s="149"/>
      <c r="AD51" s="149"/>
      <c r="AE51" s="149"/>
      <c r="AF51" s="149"/>
    </row>
    <row r="52" spans="2:32">
      <c r="B52" s="158" t="s">
        <v>204</v>
      </c>
      <c r="C52" s="157">
        <v>1020</v>
      </c>
      <c r="D52" s="157">
        <v>0</v>
      </c>
      <c r="E52" s="157">
        <v>0</v>
      </c>
      <c r="F52" s="157">
        <v>0</v>
      </c>
      <c r="H52" s="157"/>
      <c r="I52" s="157"/>
      <c r="J52" s="157"/>
      <c r="K52" s="10">
        <f t="shared" ref="K52:K53" si="105">E52</f>
        <v>0</v>
      </c>
      <c r="L52" s="157"/>
      <c r="M52" s="157"/>
      <c r="N52" s="157"/>
      <c r="O52" s="10">
        <f t="shared" ref="O52:O53" si="106">F52</f>
        <v>0</v>
      </c>
      <c r="P52" s="157"/>
      <c r="Q52" s="157"/>
      <c r="R52" s="157"/>
      <c r="T52" s="149"/>
      <c r="U52" s="149"/>
      <c r="V52" s="149"/>
      <c r="W52" s="149"/>
      <c r="X52" s="149"/>
      <c r="Y52" s="149"/>
      <c r="Z52" s="149"/>
      <c r="AA52" s="149"/>
      <c r="AB52" s="149"/>
      <c r="AC52" s="149"/>
      <c r="AD52" s="149"/>
      <c r="AE52" s="149"/>
      <c r="AF52" s="149"/>
    </row>
    <row r="53" spans="2:32">
      <c r="B53" s="158" t="s">
        <v>205</v>
      </c>
      <c r="C53" s="157">
        <v>1086</v>
      </c>
      <c r="D53" s="157">
        <v>606</v>
      </c>
      <c r="E53" s="157">
        <v>606</v>
      </c>
      <c r="F53" s="157">
        <v>606</v>
      </c>
      <c r="H53" s="157"/>
      <c r="I53" s="157"/>
      <c r="J53" s="157"/>
      <c r="K53" s="10">
        <f t="shared" si="105"/>
        <v>606</v>
      </c>
      <c r="L53" s="157"/>
      <c r="M53" s="157"/>
      <c r="N53" s="157"/>
      <c r="O53" s="10">
        <f t="shared" si="106"/>
        <v>606</v>
      </c>
      <c r="P53" s="157"/>
      <c r="Q53" s="157"/>
      <c r="R53" s="157"/>
      <c r="T53" s="149"/>
      <c r="U53" s="149"/>
      <c r="V53" s="149"/>
      <c r="W53" s="149"/>
      <c r="X53" s="149"/>
      <c r="Y53" s="149"/>
      <c r="Z53" s="149"/>
      <c r="AA53" s="149"/>
      <c r="AB53" s="149"/>
      <c r="AC53" s="149"/>
      <c r="AD53" s="149"/>
      <c r="AE53" s="149"/>
      <c r="AF53" s="149"/>
    </row>
    <row r="54" spans="2:32" ht="5.0999999999999996" customHeight="1">
      <c r="B54" s="158"/>
      <c r="C54" s="157"/>
      <c r="D54" s="157"/>
      <c r="E54" s="157"/>
      <c r="F54" s="157"/>
      <c r="H54" s="157"/>
      <c r="I54" s="157"/>
      <c r="J54" s="157"/>
      <c r="K54" s="149"/>
      <c r="L54" s="157"/>
      <c r="M54" s="157"/>
      <c r="N54" s="157"/>
      <c r="O54" s="149"/>
      <c r="P54" s="157"/>
      <c r="Q54" s="157"/>
      <c r="R54" s="157"/>
      <c r="T54" s="149"/>
      <c r="U54" s="149"/>
      <c r="V54" s="149"/>
      <c r="W54" s="149"/>
      <c r="X54" s="149"/>
      <c r="Y54" s="149"/>
      <c r="Z54" s="149"/>
      <c r="AA54" s="149"/>
      <c r="AB54" s="149"/>
      <c r="AC54" s="149"/>
      <c r="AD54" s="149"/>
      <c r="AE54" s="149"/>
      <c r="AF54" s="149"/>
    </row>
    <row r="55" spans="2:32">
      <c r="B55" s="35" t="s">
        <v>209</v>
      </c>
      <c r="C55" s="10">
        <f>SUM(C56:C57)</f>
        <v>0</v>
      </c>
      <c r="D55" s="10">
        <f t="shared" ref="D55:F55" si="107">SUM(D56:D57)</f>
        <v>0</v>
      </c>
      <c r="E55" s="10">
        <f t="shared" si="107"/>
        <v>0</v>
      </c>
      <c r="F55" s="10">
        <f t="shared" si="107"/>
        <v>0</v>
      </c>
      <c r="H55" s="10">
        <f t="shared" ref="H55" si="108">SUM(H56:H57)</f>
        <v>0</v>
      </c>
      <c r="I55" s="10">
        <f t="shared" ref="I55" si="109">SUM(I56:I57)</f>
        <v>0</v>
      </c>
      <c r="J55" s="10">
        <f t="shared" ref="J55" si="110">SUM(J56:J57)</f>
        <v>0</v>
      </c>
      <c r="K55" s="10">
        <f t="shared" ref="K55" si="111">SUM(K56:K57)</f>
        <v>0</v>
      </c>
      <c r="L55" s="10">
        <f t="shared" ref="L55" si="112">SUM(L56:L57)</f>
        <v>0</v>
      </c>
      <c r="M55" s="10">
        <f t="shared" ref="M55" si="113">SUM(M56:M57)</f>
        <v>0</v>
      </c>
      <c r="N55" s="10">
        <f t="shared" ref="N55" si="114">SUM(N56:N57)</f>
        <v>0</v>
      </c>
      <c r="O55" s="10">
        <f t="shared" ref="O55" si="115">SUM(O56:O57)</f>
        <v>0</v>
      </c>
      <c r="P55" s="10">
        <f t="shared" ref="P55" si="116">SUM(P56:P57)</f>
        <v>0</v>
      </c>
      <c r="Q55" s="10">
        <f t="shared" ref="Q55" si="117">SUM(Q56:Q57)</f>
        <v>0</v>
      </c>
      <c r="R55" s="10">
        <f t="shared" ref="R55" si="118">SUM(R56:R57)</f>
        <v>0</v>
      </c>
      <c r="T55" s="149"/>
      <c r="U55" s="149"/>
      <c r="V55" s="149"/>
      <c r="W55" s="149"/>
      <c r="X55" s="149"/>
      <c r="Y55" s="149"/>
      <c r="Z55" s="149"/>
      <c r="AA55" s="149"/>
      <c r="AB55" s="149"/>
      <c r="AC55" s="149"/>
      <c r="AD55" s="149"/>
      <c r="AE55" s="149"/>
      <c r="AF55" s="149"/>
    </row>
    <row r="56" spans="2:32">
      <c r="B56" s="158" t="s">
        <v>206</v>
      </c>
      <c r="C56" s="157">
        <v>0</v>
      </c>
      <c r="D56" s="157">
        <v>0</v>
      </c>
      <c r="E56" s="157">
        <v>0</v>
      </c>
      <c r="F56" s="157">
        <v>0</v>
      </c>
      <c r="H56" s="157"/>
      <c r="I56" s="157"/>
      <c r="J56" s="157"/>
      <c r="K56" s="10">
        <f t="shared" ref="K56:K57" si="119">E56</f>
        <v>0</v>
      </c>
      <c r="L56" s="157"/>
      <c r="M56" s="157"/>
      <c r="N56" s="157"/>
      <c r="O56" s="10">
        <f t="shared" ref="O56:O57" si="120">F56</f>
        <v>0</v>
      </c>
      <c r="P56" s="157"/>
      <c r="Q56" s="157"/>
      <c r="R56" s="157"/>
      <c r="T56" s="149"/>
      <c r="U56" s="149"/>
      <c r="V56" s="149"/>
      <c r="W56" s="149"/>
      <c r="X56" s="149"/>
      <c r="Y56" s="149"/>
      <c r="Z56" s="149"/>
      <c r="AA56" s="149"/>
      <c r="AB56" s="149"/>
      <c r="AC56" s="149"/>
      <c r="AD56" s="149"/>
      <c r="AE56" s="149"/>
      <c r="AF56" s="149"/>
    </row>
    <row r="57" spans="2:32">
      <c r="B57" s="158" t="s">
        <v>207</v>
      </c>
      <c r="C57" s="157">
        <v>0</v>
      </c>
      <c r="D57" s="157">
        <v>0</v>
      </c>
      <c r="E57" s="157">
        <v>0</v>
      </c>
      <c r="F57" s="157">
        <v>0</v>
      </c>
      <c r="H57" s="157"/>
      <c r="I57" s="157"/>
      <c r="J57" s="157"/>
      <c r="K57" s="10">
        <f t="shared" si="119"/>
        <v>0</v>
      </c>
      <c r="L57" s="157"/>
      <c r="M57" s="157"/>
      <c r="N57" s="157"/>
      <c r="O57" s="10">
        <f t="shared" si="120"/>
        <v>0</v>
      </c>
      <c r="P57" s="157"/>
      <c r="Q57" s="157"/>
      <c r="R57" s="157"/>
      <c r="T57" s="149"/>
      <c r="U57" s="149"/>
      <c r="V57" s="149"/>
      <c r="W57" s="149"/>
      <c r="X57" s="149"/>
      <c r="Y57" s="149"/>
      <c r="Z57" s="149"/>
      <c r="AA57" s="149"/>
      <c r="AB57" s="149"/>
      <c r="AC57" s="149"/>
      <c r="AD57" s="149"/>
      <c r="AE57" s="149"/>
      <c r="AF57" s="149"/>
    </row>
    <row r="58" spans="2:32" ht="5.0999999999999996" customHeight="1">
      <c r="B58" s="158"/>
      <c r="C58" s="157"/>
      <c r="D58" s="157"/>
      <c r="E58" s="157"/>
      <c r="F58" s="157"/>
      <c r="H58" s="157"/>
      <c r="I58" s="157"/>
      <c r="J58" s="157"/>
      <c r="K58" s="149"/>
      <c r="L58" s="157"/>
      <c r="M58" s="157"/>
      <c r="N58" s="157"/>
      <c r="O58" s="149"/>
      <c r="P58" s="157"/>
      <c r="Q58" s="157"/>
      <c r="R58" s="157"/>
      <c r="T58" s="149"/>
      <c r="U58" s="149"/>
      <c r="V58" s="149"/>
      <c r="W58" s="149"/>
      <c r="X58" s="149"/>
      <c r="Y58" s="149"/>
      <c r="Z58" s="149"/>
      <c r="AA58" s="149"/>
      <c r="AB58" s="149"/>
      <c r="AC58" s="149"/>
      <c r="AD58" s="149"/>
      <c r="AE58" s="149"/>
      <c r="AF58" s="149"/>
    </row>
    <row r="59" spans="2:32">
      <c r="B59" s="35" t="s">
        <v>208</v>
      </c>
      <c r="C59" s="10">
        <f>SUM(C60:C64)</f>
        <v>3524</v>
      </c>
      <c r="D59" s="10">
        <f t="shared" ref="D59:F59" si="121">SUM(D60:D64)</f>
        <v>2277</v>
      </c>
      <c r="E59" s="10">
        <f t="shared" si="121"/>
        <v>2277</v>
      </c>
      <c r="F59" s="10">
        <f t="shared" si="121"/>
        <v>1655</v>
      </c>
      <c r="H59" s="10">
        <f t="shared" ref="H59" si="122">SUM(H60:H64)</f>
        <v>0</v>
      </c>
      <c r="I59" s="10">
        <f t="shared" ref="I59" si="123">SUM(I60:I64)</f>
        <v>0</v>
      </c>
      <c r="J59" s="10">
        <f t="shared" ref="J59" si="124">SUM(J60:J64)</f>
        <v>0</v>
      </c>
      <c r="K59" s="10">
        <f t="shared" ref="K59" si="125">SUM(K60:K64)</f>
        <v>2277</v>
      </c>
      <c r="L59" s="10">
        <f t="shared" ref="L59" si="126">SUM(L60:L64)</f>
        <v>0</v>
      </c>
      <c r="M59" s="10">
        <f t="shared" ref="M59" si="127">SUM(M60:M64)</f>
        <v>0</v>
      </c>
      <c r="N59" s="10">
        <f t="shared" ref="N59" si="128">SUM(N60:N64)</f>
        <v>0</v>
      </c>
      <c r="O59" s="10">
        <f t="shared" ref="O59" si="129">SUM(O60:O64)</f>
        <v>1655</v>
      </c>
      <c r="P59" s="10">
        <f t="shared" ref="P59" si="130">SUM(P60:P64)</f>
        <v>0</v>
      </c>
      <c r="Q59" s="10">
        <f t="shared" ref="Q59" si="131">SUM(Q60:Q64)</f>
        <v>0</v>
      </c>
      <c r="R59" s="10">
        <f t="shared" ref="R59" si="132">SUM(R60:R64)</f>
        <v>0</v>
      </c>
      <c r="T59" s="149"/>
      <c r="U59" s="149"/>
      <c r="V59" s="149"/>
      <c r="W59" s="149"/>
      <c r="X59" s="149"/>
      <c r="Y59" s="149"/>
      <c r="Z59" s="149"/>
      <c r="AA59" s="149"/>
      <c r="AB59" s="149"/>
      <c r="AC59" s="149"/>
      <c r="AD59" s="149"/>
      <c r="AE59" s="149"/>
      <c r="AF59" s="149"/>
    </row>
    <row r="60" spans="2:32">
      <c r="B60" s="158" t="s">
        <v>210</v>
      </c>
      <c r="C60" s="157">
        <v>0</v>
      </c>
      <c r="D60" s="157">
        <v>0</v>
      </c>
      <c r="E60" s="157">
        <v>0</v>
      </c>
      <c r="F60" s="157">
        <v>0</v>
      </c>
      <c r="H60" s="157"/>
      <c r="I60" s="157"/>
      <c r="J60" s="157"/>
      <c r="K60" s="10">
        <f t="shared" ref="K60:K64" si="133">E60</f>
        <v>0</v>
      </c>
      <c r="L60" s="157"/>
      <c r="M60" s="157"/>
      <c r="N60" s="157"/>
      <c r="O60" s="10">
        <f t="shared" ref="O60:O64" si="134">F60</f>
        <v>0</v>
      </c>
      <c r="P60" s="157"/>
      <c r="Q60" s="157"/>
      <c r="R60" s="157"/>
      <c r="T60" s="149"/>
      <c r="U60" s="149"/>
      <c r="V60" s="149"/>
      <c r="W60" s="149"/>
      <c r="X60" s="149"/>
      <c r="Y60" s="149"/>
      <c r="Z60" s="149"/>
      <c r="AA60" s="149"/>
      <c r="AB60" s="149"/>
      <c r="AC60" s="149"/>
      <c r="AD60" s="149"/>
      <c r="AE60" s="149"/>
      <c r="AF60" s="149"/>
    </row>
    <row r="61" spans="2:32">
      <c r="B61" s="158" t="s">
        <v>211</v>
      </c>
      <c r="C61" s="157">
        <v>0</v>
      </c>
      <c r="D61" s="157">
        <v>0</v>
      </c>
      <c r="E61" s="157">
        <v>0</v>
      </c>
      <c r="F61" s="157">
        <v>0</v>
      </c>
      <c r="H61" s="157"/>
      <c r="I61" s="157"/>
      <c r="J61" s="157"/>
      <c r="K61" s="10">
        <f t="shared" si="133"/>
        <v>0</v>
      </c>
      <c r="L61" s="157"/>
      <c r="M61" s="157"/>
      <c r="N61" s="157"/>
      <c r="O61" s="10">
        <f t="shared" si="134"/>
        <v>0</v>
      </c>
      <c r="P61" s="157"/>
      <c r="Q61" s="157"/>
      <c r="R61" s="157"/>
      <c r="T61" s="149" t="e">
        <f>#REF!</f>
        <v>#REF!</v>
      </c>
      <c r="U61" s="149" t="e">
        <f>#REF!</f>
        <v>#REF!</v>
      </c>
      <c r="V61" s="149">
        <f t="shared" si="57"/>
        <v>0</v>
      </c>
      <c r="W61" s="149">
        <f t="shared" si="57"/>
        <v>0</v>
      </c>
      <c r="X61" s="149">
        <f t="shared" si="57"/>
        <v>0</v>
      </c>
      <c r="Y61" s="149">
        <f t="shared" si="57"/>
        <v>0</v>
      </c>
      <c r="Z61" s="149">
        <f t="shared" si="57"/>
        <v>0</v>
      </c>
      <c r="AA61" s="149">
        <f t="shared" si="57"/>
        <v>0</v>
      </c>
      <c r="AB61" s="149">
        <f t="shared" si="57"/>
        <v>0</v>
      </c>
      <c r="AC61" s="149">
        <f t="shared" si="57"/>
        <v>0</v>
      </c>
      <c r="AD61" s="149">
        <f t="shared" si="57"/>
        <v>0</v>
      </c>
      <c r="AE61" s="149">
        <f t="shared" si="57"/>
        <v>0</v>
      </c>
      <c r="AF61" s="149">
        <f t="shared" si="57"/>
        <v>0</v>
      </c>
    </row>
    <row r="62" spans="2:32">
      <c r="B62" s="158" t="s">
        <v>212</v>
      </c>
      <c r="C62" s="157">
        <v>622</v>
      </c>
      <c r="D62" s="157">
        <v>622</v>
      </c>
      <c r="E62" s="157">
        <v>622</v>
      </c>
      <c r="F62" s="157">
        <v>0</v>
      </c>
      <c r="H62" s="157"/>
      <c r="I62" s="157"/>
      <c r="J62" s="157"/>
      <c r="K62" s="10">
        <f t="shared" si="133"/>
        <v>622</v>
      </c>
      <c r="L62" s="157"/>
      <c r="M62" s="157"/>
      <c r="N62" s="157"/>
      <c r="O62" s="10">
        <f t="shared" si="134"/>
        <v>0</v>
      </c>
      <c r="P62" s="157"/>
      <c r="Q62" s="157"/>
      <c r="R62" s="157"/>
      <c r="T62" s="149"/>
      <c r="U62" s="149"/>
      <c r="V62" s="149"/>
      <c r="W62" s="149"/>
      <c r="X62" s="149"/>
      <c r="Y62" s="149"/>
      <c r="Z62" s="149"/>
      <c r="AA62" s="149"/>
      <c r="AB62" s="149"/>
      <c r="AC62" s="149"/>
      <c r="AD62" s="149"/>
      <c r="AE62" s="149"/>
      <c r="AF62" s="149"/>
    </row>
    <row r="63" spans="2:32">
      <c r="B63" s="158" t="s">
        <v>213</v>
      </c>
      <c r="C63" s="157">
        <v>944</v>
      </c>
      <c r="D63" s="157">
        <v>0</v>
      </c>
      <c r="E63" s="157">
        <v>0</v>
      </c>
      <c r="F63" s="157">
        <v>0</v>
      </c>
      <c r="H63" s="157"/>
      <c r="I63" s="157"/>
      <c r="J63" s="157"/>
      <c r="K63" s="10">
        <f t="shared" si="133"/>
        <v>0</v>
      </c>
      <c r="L63" s="157"/>
      <c r="M63" s="157"/>
      <c r="N63" s="157"/>
      <c r="O63" s="10">
        <f t="shared" si="134"/>
        <v>0</v>
      </c>
      <c r="P63" s="157"/>
      <c r="Q63" s="157"/>
      <c r="R63" s="157"/>
      <c r="T63" s="149"/>
      <c r="U63" s="149"/>
      <c r="V63" s="149"/>
      <c r="W63" s="149"/>
      <c r="X63" s="149"/>
      <c r="Y63" s="149"/>
      <c r="Z63" s="149"/>
      <c r="AA63" s="149"/>
      <c r="AB63" s="149"/>
      <c r="AC63" s="149"/>
      <c r="AD63" s="149"/>
      <c r="AE63" s="149"/>
      <c r="AF63" s="149"/>
    </row>
    <row r="64" spans="2:32">
      <c r="B64" s="158" t="s">
        <v>214</v>
      </c>
      <c r="C64" s="157">
        <v>1958</v>
      </c>
      <c r="D64" s="157">
        <v>1655</v>
      </c>
      <c r="E64" s="157">
        <v>1655</v>
      </c>
      <c r="F64" s="157">
        <v>1655</v>
      </c>
      <c r="H64" s="157"/>
      <c r="I64" s="157"/>
      <c r="J64" s="157"/>
      <c r="K64" s="10">
        <f t="shared" si="133"/>
        <v>1655</v>
      </c>
      <c r="L64" s="157"/>
      <c r="M64" s="157"/>
      <c r="N64" s="157"/>
      <c r="O64" s="10">
        <f t="shared" si="134"/>
        <v>1655</v>
      </c>
      <c r="P64" s="157"/>
      <c r="Q64" s="157"/>
      <c r="R64" s="157"/>
      <c r="T64" s="149"/>
      <c r="U64" s="149"/>
      <c r="V64" s="149"/>
      <c r="W64" s="149"/>
      <c r="X64" s="149"/>
      <c r="Y64" s="149"/>
      <c r="Z64" s="149"/>
      <c r="AA64" s="149"/>
      <c r="AB64" s="149"/>
      <c r="AC64" s="149"/>
      <c r="AD64" s="149"/>
      <c r="AE64" s="149"/>
      <c r="AF64" s="149"/>
    </row>
    <row r="65" spans="2:32" ht="5.0999999999999996" customHeight="1">
      <c r="B65" s="158"/>
      <c r="C65" s="157"/>
      <c r="D65" s="157"/>
      <c r="E65" s="157"/>
      <c r="F65" s="157"/>
      <c r="H65" s="157"/>
      <c r="I65" s="157"/>
      <c r="J65" s="157"/>
      <c r="K65" s="149"/>
      <c r="L65" s="157"/>
      <c r="M65" s="157"/>
      <c r="N65" s="157"/>
      <c r="O65" s="149"/>
      <c r="P65" s="157"/>
      <c r="Q65" s="157"/>
      <c r="R65" s="157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</row>
    <row r="66" spans="2:32">
      <c r="B66" s="35" t="s">
        <v>215</v>
      </c>
      <c r="C66" s="10">
        <f>SUM(C67:C73)</f>
        <v>5538</v>
      </c>
      <c r="D66" s="10">
        <f t="shared" ref="D66:F66" si="135">SUM(D67:D73)</f>
        <v>5283</v>
      </c>
      <c r="E66" s="10">
        <f t="shared" si="135"/>
        <v>5023</v>
      </c>
      <c r="F66" s="10">
        <f t="shared" si="135"/>
        <v>4194</v>
      </c>
      <c r="H66" s="10">
        <f t="shared" ref="H66" si="136">SUM(H67:H73)</f>
        <v>0</v>
      </c>
      <c r="I66" s="10">
        <f t="shared" ref="I66" si="137">SUM(I67:I73)</f>
        <v>0</v>
      </c>
      <c r="J66" s="10">
        <f t="shared" ref="J66" si="138">SUM(J67:J73)</f>
        <v>0</v>
      </c>
      <c r="K66" s="10">
        <f t="shared" ref="K66" si="139">SUM(K67:K73)</f>
        <v>5023</v>
      </c>
      <c r="L66" s="10">
        <f t="shared" ref="L66" si="140">SUM(L67:L73)</f>
        <v>0</v>
      </c>
      <c r="M66" s="10">
        <f t="shared" ref="M66" si="141">SUM(M67:M73)</f>
        <v>0</v>
      </c>
      <c r="N66" s="10">
        <f t="shared" ref="N66" si="142">SUM(N67:N73)</f>
        <v>0</v>
      </c>
      <c r="O66" s="10">
        <f t="shared" ref="O66" si="143">SUM(O67:O73)</f>
        <v>4194</v>
      </c>
      <c r="P66" s="10">
        <f t="shared" ref="P66" si="144">SUM(P67:P73)</f>
        <v>0</v>
      </c>
      <c r="Q66" s="10">
        <f t="shared" ref="Q66" si="145">SUM(Q67:Q73)</f>
        <v>0</v>
      </c>
      <c r="R66" s="10">
        <f t="shared" ref="R66" si="146">SUM(R67:R73)</f>
        <v>0</v>
      </c>
      <c r="T66" s="149"/>
      <c r="U66" s="149"/>
      <c r="V66" s="149"/>
      <c r="W66" s="149"/>
      <c r="X66" s="149"/>
      <c r="Y66" s="149"/>
      <c r="Z66" s="149"/>
      <c r="AA66" s="149"/>
      <c r="AB66" s="149"/>
      <c r="AC66" s="149"/>
      <c r="AD66" s="149"/>
      <c r="AE66" s="149"/>
      <c r="AF66" s="149"/>
    </row>
    <row r="67" spans="2:32">
      <c r="B67" s="158" t="s">
        <v>216</v>
      </c>
      <c r="C67" s="157">
        <v>0</v>
      </c>
      <c r="D67" s="157">
        <v>0</v>
      </c>
      <c r="E67" s="157">
        <v>0</v>
      </c>
      <c r="F67" s="157">
        <v>0</v>
      </c>
      <c r="H67" s="157"/>
      <c r="I67" s="157"/>
      <c r="J67" s="157"/>
      <c r="K67" s="10">
        <f t="shared" ref="K67:K82" si="147">E67</f>
        <v>0</v>
      </c>
      <c r="L67" s="157"/>
      <c r="M67" s="157"/>
      <c r="N67" s="157"/>
      <c r="O67" s="10">
        <f t="shared" ref="O67:O82" si="148">F67</f>
        <v>0</v>
      </c>
      <c r="P67" s="157"/>
      <c r="Q67" s="157"/>
      <c r="R67" s="157"/>
      <c r="T67" s="149"/>
      <c r="U67" s="149"/>
      <c r="V67" s="149"/>
      <c r="W67" s="149"/>
      <c r="X67" s="149"/>
      <c r="Y67" s="149"/>
      <c r="Z67" s="149"/>
      <c r="AA67" s="149"/>
      <c r="AB67" s="149"/>
      <c r="AC67" s="149"/>
      <c r="AD67" s="149"/>
      <c r="AE67" s="149"/>
      <c r="AF67" s="149"/>
    </row>
    <row r="68" spans="2:32">
      <c r="B68" s="158" t="s">
        <v>217</v>
      </c>
      <c r="C68" s="157">
        <v>255</v>
      </c>
      <c r="D68" s="157">
        <v>0</v>
      </c>
      <c r="E68" s="157">
        <v>0</v>
      </c>
      <c r="F68" s="157">
        <v>0</v>
      </c>
      <c r="H68" s="157"/>
      <c r="I68" s="157"/>
      <c r="J68" s="157"/>
      <c r="K68" s="10">
        <f t="shared" si="147"/>
        <v>0</v>
      </c>
      <c r="L68" s="157"/>
      <c r="M68" s="157"/>
      <c r="N68" s="157"/>
      <c r="O68" s="10">
        <f t="shared" si="148"/>
        <v>0</v>
      </c>
      <c r="P68" s="157"/>
      <c r="Q68" s="157"/>
      <c r="R68" s="157"/>
      <c r="T68" s="149"/>
      <c r="U68" s="149"/>
      <c r="V68" s="149"/>
      <c r="W68" s="149"/>
      <c r="X68" s="149"/>
      <c r="Y68" s="149"/>
      <c r="Z68" s="149"/>
      <c r="AA68" s="149"/>
      <c r="AB68" s="149"/>
      <c r="AC68" s="149"/>
      <c r="AD68" s="149"/>
      <c r="AE68" s="149"/>
      <c r="AF68" s="149"/>
    </row>
    <row r="69" spans="2:32">
      <c r="B69" s="158" t="s">
        <v>218</v>
      </c>
      <c r="C69" s="157">
        <v>260</v>
      </c>
      <c r="D69" s="157">
        <v>260</v>
      </c>
      <c r="E69" s="157">
        <v>0</v>
      </c>
      <c r="F69" s="157">
        <v>0</v>
      </c>
      <c r="H69" s="157"/>
      <c r="I69" s="157"/>
      <c r="J69" s="157"/>
      <c r="K69" s="10">
        <f t="shared" si="147"/>
        <v>0</v>
      </c>
      <c r="L69" s="157"/>
      <c r="M69" s="157"/>
      <c r="N69" s="157"/>
      <c r="O69" s="10">
        <f t="shared" si="148"/>
        <v>0</v>
      </c>
      <c r="P69" s="157"/>
      <c r="Q69" s="157"/>
      <c r="R69" s="157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</row>
    <row r="70" spans="2:32">
      <c r="B70" s="158" t="s">
        <v>219</v>
      </c>
      <c r="C70" s="157">
        <v>829</v>
      </c>
      <c r="D70" s="157">
        <v>829</v>
      </c>
      <c r="E70" s="157">
        <v>829</v>
      </c>
      <c r="F70" s="157">
        <v>0</v>
      </c>
      <c r="H70" s="157"/>
      <c r="I70" s="157"/>
      <c r="J70" s="157"/>
      <c r="K70" s="10">
        <f t="shared" si="147"/>
        <v>829</v>
      </c>
      <c r="L70" s="157"/>
      <c r="M70" s="157"/>
      <c r="N70" s="157"/>
      <c r="O70" s="10">
        <f t="shared" si="148"/>
        <v>0</v>
      </c>
      <c r="P70" s="157"/>
      <c r="Q70" s="157"/>
      <c r="R70" s="157"/>
      <c r="T70" s="149"/>
      <c r="U70" s="149"/>
      <c r="V70" s="149"/>
      <c r="W70" s="149"/>
      <c r="X70" s="149"/>
      <c r="Y70" s="149"/>
      <c r="Z70" s="149"/>
      <c r="AA70" s="149"/>
      <c r="AB70" s="149"/>
      <c r="AC70" s="149"/>
      <c r="AD70" s="149"/>
      <c r="AE70" s="149"/>
      <c r="AF70" s="149"/>
    </row>
    <row r="71" spans="2:32">
      <c r="B71" s="158" t="s">
        <v>220</v>
      </c>
      <c r="C71" s="157">
        <v>495</v>
      </c>
      <c r="D71" s="157">
        <v>495</v>
      </c>
      <c r="E71" s="157">
        <v>495</v>
      </c>
      <c r="F71" s="157">
        <v>495</v>
      </c>
      <c r="H71" s="157"/>
      <c r="I71" s="157"/>
      <c r="J71" s="157"/>
      <c r="K71" s="10">
        <f t="shared" si="147"/>
        <v>495</v>
      </c>
      <c r="L71" s="157"/>
      <c r="M71" s="157"/>
      <c r="N71" s="157"/>
      <c r="O71" s="10">
        <f t="shared" si="148"/>
        <v>495</v>
      </c>
      <c r="P71" s="157"/>
      <c r="Q71" s="157"/>
      <c r="R71" s="157"/>
      <c r="T71" s="149"/>
      <c r="U71" s="149"/>
      <c r="V71" s="149"/>
      <c r="W71" s="149"/>
      <c r="X71" s="149"/>
      <c r="Y71" s="149"/>
      <c r="Z71" s="149"/>
      <c r="AA71" s="149"/>
      <c r="AB71" s="149"/>
      <c r="AC71" s="149"/>
      <c r="AD71" s="149"/>
      <c r="AE71" s="149"/>
      <c r="AF71" s="149"/>
    </row>
    <row r="72" spans="2:32">
      <c r="B72" s="158" t="s">
        <v>221</v>
      </c>
      <c r="C72" s="157">
        <v>2922</v>
      </c>
      <c r="D72" s="157">
        <v>2922</v>
      </c>
      <c r="E72" s="157">
        <v>2922</v>
      </c>
      <c r="F72" s="157">
        <v>2922</v>
      </c>
      <c r="H72" s="157"/>
      <c r="I72" s="157"/>
      <c r="J72" s="157"/>
      <c r="K72" s="10">
        <f t="shared" si="147"/>
        <v>2922</v>
      </c>
      <c r="L72" s="157"/>
      <c r="M72" s="157"/>
      <c r="N72" s="157"/>
      <c r="O72" s="10">
        <f t="shared" si="148"/>
        <v>2922</v>
      </c>
      <c r="P72" s="157"/>
      <c r="Q72" s="157"/>
      <c r="R72" s="157"/>
      <c r="T72" s="149"/>
      <c r="U72" s="149"/>
      <c r="V72" s="149"/>
      <c r="W72" s="149"/>
      <c r="X72" s="149"/>
      <c r="Y72" s="149"/>
      <c r="Z72" s="149"/>
      <c r="AA72" s="149"/>
      <c r="AB72" s="149"/>
      <c r="AC72" s="149"/>
      <c r="AD72" s="149"/>
      <c r="AE72" s="149"/>
      <c r="AF72" s="149"/>
    </row>
    <row r="73" spans="2:32">
      <c r="B73" s="158" t="s">
        <v>222</v>
      </c>
      <c r="C73" s="157">
        <v>777</v>
      </c>
      <c r="D73" s="157">
        <v>777</v>
      </c>
      <c r="E73" s="157">
        <v>777</v>
      </c>
      <c r="F73" s="157">
        <v>777</v>
      </c>
      <c r="H73" s="157"/>
      <c r="I73" s="157"/>
      <c r="J73" s="157"/>
      <c r="K73" s="10">
        <f t="shared" si="147"/>
        <v>777</v>
      </c>
      <c r="L73" s="157"/>
      <c r="M73" s="157"/>
      <c r="N73" s="157"/>
      <c r="O73" s="10">
        <f t="shared" si="148"/>
        <v>777</v>
      </c>
      <c r="P73" s="157"/>
      <c r="Q73" s="157"/>
      <c r="R73" s="157"/>
      <c r="T73" s="149"/>
      <c r="U73" s="149"/>
      <c r="V73" s="149"/>
      <c r="W73" s="149"/>
      <c r="X73" s="149"/>
      <c r="Y73" s="149"/>
      <c r="Z73" s="149"/>
      <c r="AA73" s="149"/>
      <c r="AB73" s="149"/>
      <c r="AC73" s="149"/>
      <c r="AD73" s="149"/>
      <c r="AE73" s="149"/>
      <c r="AF73" s="149"/>
    </row>
    <row r="74" spans="2:32" ht="5.0999999999999996" customHeight="1">
      <c r="B74" s="158"/>
      <c r="C74" s="157"/>
      <c r="D74" s="157"/>
      <c r="E74" s="157"/>
      <c r="F74" s="157"/>
      <c r="H74" s="157"/>
      <c r="I74" s="157"/>
      <c r="J74" s="157"/>
      <c r="K74" s="149"/>
      <c r="L74" s="157"/>
      <c r="M74" s="157"/>
      <c r="N74" s="157"/>
      <c r="O74" s="149"/>
      <c r="P74" s="157"/>
      <c r="Q74" s="157"/>
      <c r="R74" s="157"/>
      <c r="T74" s="149"/>
      <c r="U74" s="149"/>
      <c r="V74" s="149"/>
      <c r="W74" s="149"/>
      <c r="X74" s="149"/>
      <c r="Y74" s="149"/>
      <c r="Z74" s="149"/>
      <c r="AA74" s="149"/>
      <c r="AB74" s="149"/>
      <c r="AC74" s="149"/>
      <c r="AD74" s="149"/>
      <c r="AE74" s="149"/>
      <c r="AF74" s="149"/>
    </row>
    <row r="75" spans="2:32">
      <c r="B75" s="35" t="s">
        <v>249</v>
      </c>
      <c r="C75" s="10">
        <f t="shared" ref="C75" si="149">SUM(C76:C82)</f>
        <v>0</v>
      </c>
      <c r="D75" s="10">
        <f t="shared" ref="D75" si="150">SUM(D76:D82)</f>
        <v>0</v>
      </c>
      <c r="E75" s="10">
        <f t="shared" ref="E75" si="151">SUM(E76:E82)</f>
        <v>0</v>
      </c>
      <c r="F75" s="10">
        <f t="shared" ref="F75" si="152">SUM(F76:F82)</f>
        <v>7000</v>
      </c>
      <c r="H75" s="10">
        <f t="shared" ref="H75" si="153">SUM(H76:H82)</f>
        <v>0</v>
      </c>
      <c r="I75" s="10">
        <f t="shared" ref="I75" si="154">SUM(I76:I82)</f>
        <v>0</v>
      </c>
      <c r="J75" s="10">
        <f t="shared" ref="J75" si="155">SUM(J76:J82)</f>
        <v>0</v>
      </c>
      <c r="K75" s="10">
        <f t="shared" ref="K75" si="156">SUM(K76:K82)</f>
        <v>0</v>
      </c>
      <c r="L75" s="10">
        <f t="shared" ref="L75" si="157">SUM(L76:L82)</f>
        <v>0</v>
      </c>
      <c r="M75" s="10">
        <f t="shared" ref="M75" si="158">SUM(M76:M82)</f>
        <v>0</v>
      </c>
      <c r="N75" s="10">
        <f t="shared" ref="N75" si="159">SUM(N76:N82)</f>
        <v>0</v>
      </c>
      <c r="O75" s="10">
        <f t="shared" si="148"/>
        <v>7000</v>
      </c>
      <c r="P75" s="10">
        <f t="shared" ref="P75" si="160">SUM(P76:P82)</f>
        <v>0</v>
      </c>
      <c r="Q75" s="10">
        <f t="shared" ref="Q75" si="161">SUM(Q76:Q82)</f>
        <v>0</v>
      </c>
      <c r="R75" s="10">
        <f t="shared" ref="R75" si="162">SUM(R76:R82)</f>
        <v>0</v>
      </c>
      <c r="T75" s="149"/>
      <c r="U75" s="149"/>
      <c r="V75" s="149"/>
      <c r="W75" s="149"/>
      <c r="X75" s="149"/>
      <c r="Y75" s="149"/>
      <c r="Z75" s="149"/>
      <c r="AA75" s="149"/>
      <c r="AB75" s="149"/>
      <c r="AC75" s="149"/>
      <c r="AD75" s="149"/>
      <c r="AE75" s="149"/>
      <c r="AF75" s="149"/>
    </row>
    <row r="76" spans="2:32">
      <c r="B76" s="158" t="s">
        <v>251</v>
      </c>
      <c r="C76" s="157">
        <v>0</v>
      </c>
      <c r="D76" s="157">
        <v>0</v>
      </c>
      <c r="E76" s="157">
        <v>0</v>
      </c>
      <c r="F76" s="157">
        <v>750</v>
      </c>
      <c r="H76" s="157">
        <v>0</v>
      </c>
      <c r="I76" s="157">
        <v>0</v>
      </c>
      <c r="J76" s="157">
        <v>0</v>
      </c>
      <c r="K76" s="10">
        <f t="shared" si="147"/>
        <v>0</v>
      </c>
      <c r="L76" s="157"/>
      <c r="M76" s="157"/>
      <c r="N76" s="157"/>
      <c r="O76" s="10">
        <f t="shared" si="148"/>
        <v>750</v>
      </c>
      <c r="P76" s="157"/>
      <c r="Q76" s="157"/>
      <c r="R76" s="157"/>
      <c r="T76" s="149"/>
      <c r="U76" s="149"/>
      <c r="V76" s="149"/>
      <c r="W76" s="149"/>
      <c r="X76" s="149"/>
      <c r="Y76" s="149"/>
      <c r="Z76" s="149"/>
      <c r="AA76" s="149"/>
      <c r="AB76" s="149"/>
      <c r="AC76" s="149"/>
      <c r="AD76" s="149"/>
      <c r="AE76" s="149"/>
      <c r="AF76" s="149"/>
    </row>
    <row r="77" spans="2:32">
      <c r="B77" s="158" t="s">
        <v>250</v>
      </c>
      <c r="C77" s="157">
        <v>0</v>
      </c>
      <c r="D77" s="157">
        <v>0</v>
      </c>
      <c r="E77" s="157">
        <v>0</v>
      </c>
      <c r="F77" s="157">
        <v>1500</v>
      </c>
      <c r="H77" s="157">
        <v>0</v>
      </c>
      <c r="I77" s="157">
        <v>0</v>
      </c>
      <c r="J77" s="157">
        <v>0</v>
      </c>
      <c r="K77" s="10">
        <f t="shared" si="147"/>
        <v>0</v>
      </c>
      <c r="L77" s="157"/>
      <c r="M77" s="157"/>
      <c r="N77" s="157"/>
      <c r="O77" s="10">
        <f t="shared" si="148"/>
        <v>1500</v>
      </c>
      <c r="P77" s="157"/>
      <c r="Q77" s="157"/>
      <c r="R77" s="157"/>
      <c r="T77" s="149"/>
      <c r="U77" s="149"/>
      <c r="V77" s="149"/>
      <c r="W77" s="149"/>
      <c r="X77" s="149"/>
      <c r="Y77" s="149"/>
      <c r="Z77" s="149"/>
      <c r="AA77" s="149"/>
      <c r="AB77" s="149"/>
      <c r="AC77" s="149"/>
      <c r="AD77" s="149"/>
      <c r="AE77" s="149"/>
      <c r="AF77" s="149"/>
    </row>
    <row r="78" spans="2:32">
      <c r="B78" s="158" t="s">
        <v>256</v>
      </c>
      <c r="C78" s="157">
        <v>0</v>
      </c>
      <c r="D78" s="157">
        <v>0</v>
      </c>
      <c r="E78" s="157">
        <v>0</v>
      </c>
      <c r="F78" s="157">
        <v>500</v>
      </c>
      <c r="H78" s="157">
        <v>0</v>
      </c>
      <c r="I78" s="157">
        <v>0</v>
      </c>
      <c r="J78" s="157">
        <v>0</v>
      </c>
      <c r="K78" s="10">
        <f t="shared" si="147"/>
        <v>0</v>
      </c>
      <c r="L78" s="157"/>
      <c r="M78" s="157"/>
      <c r="N78" s="157"/>
      <c r="O78" s="10">
        <f t="shared" si="148"/>
        <v>500</v>
      </c>
      <c r="P78" s="157"/>
      <c r="Q78" s="157"/>
      <c r="R78" s="157"/>
      <c r="T78" s="149"/>
      <c r="U78" s="149"/>
      <c r="V78" s="149"/>
      <c r="W78" s="149"/>
      <c r="X78" s="149"/>
      <c r="Y78" s="149"/>
      <c r="Z78" s="149"/>
      <c r="AA78" s="149"/>
      <c r="AB78" s="149"/>
      <c r="AC78" s="149"/>
      <c r="AD78" s="149"/>
      <c r="AE78" s="149"/>
      <c r="AF78" s="149"/>
    </row>
    <row r="79" spans="2:32">
      <c r="B79" s="158" t="s">
        <v>255</v>
      </c>
      <c r="C79" s="157">
        <v>0</v>
      </c>
      <c r="D79" s="157">
        <v>0</v>
      </c>
      <c r="E79" s="157">
        <v>0</v>
      </c>
      <c r="F79" s="157">
        <v>1250</v>
      </c>
      <c r="H79" s="157">
        <v>0</v>
      </c>
      <c r="I79" s="157">
        <v>0</v>
      </c>
      <c r="J79" s="157">
        <v>0</v>
      </c>
      <c r="K79" s="10">
        <f t="shared" si="147"/>
        <v>0</v>
      </c>
      <c r="L79" s="157"/>
      <c r="M79" s="157"/>
      <c r="N79" s="157"/>
      <c r="O79" s="10">
        <f t="shared" si="148"/>
        <v>1250</v>
      </c>
      <c r="P79" s="157"/>
      <c r="Q79" s="157"/>
      <c r="R79" s="157"/>
      <c r="T79" s="149"/>
      <c r="U79" s="149"/>
      <c r="V79" s="149"/>
      <c r="W79" s="149"/>
      <c r="X79" s="149"/>
      <c r="Y79" s="149"/>
      <c r="Z79" s="149"/>
      <c r="AA79" s="149"/>
      <c r="AB79" s="149"/>
      <c r="AC79" s="149"/>
      <c r="AD79" s="149"/>
      <c r="AE79" s="149"/>
      <c r="AF79" s="149"/>
    </row>
    <row r="80" spans="2:32">
      <c r="B80" s="158" t="s">
        <v>254</v>
      </c>
      <c r="C80" s="157">
        <v>0</v>
      </c>
      <c r="D80" s="157">
        <v>0</v>
      </c>
      <c r="E80" s="157">
        <v>0</v>
      </c>
      <c r="F80" s="157">
        <v>750</v>
      </c>
      <c r="H80" s="157">
        <v>0</v>
      </c>
      <c r="I80" s="157">
        <v>0</v>
      </c>
      <c r="J80" s="157">
        <v>0</v>
      </c>
      <c r="K80" s="10">
        <f t="shared" si="147"/>
        <v>0</v>
      </c>
      <c r="L80" s="157"/>
      <c r="M80" s="157"/>
      <c r="N80" s="157"/>
      <c r="O80" s="10">
        <f t="shared" si="148"/>
        <v>750</v>
      </c>
      <c r="P80" s="157"/>
      <c r="Q80" s="157"/>
      <c r="R80" s="157"/>
      <c r="T80" s="149"/>
      <c r="U80" s="149"/>
      <c r="V80" s="149"/>
      <c r="W80" s="149"/>
      <c r="X80" s="149"/>
      <c r="Y80" s="149"/>
      <c r="Z80" s="149"/>
      <c r="AA80" s="149"/>
      <c r="AB80" s="149"/>
      <c r="AC80" s="149"/>
      <c r="AD80" s="149"/>
      <c r="AE80" s="149"/>
      <c r="AF80" s="149"/>
    </row>
    <row r="81" spans="2:32">
      <c r="B81" s="158" t="s">
        <v>253</v>
      </c>
      <c r="C81" s="157">
        <v>0</v>
      </c>
      <c r="D81" s="157">
        <v>0</v>
      </c>
      <c r="E81" s="157">
        <v>0</v>
      </c>
      <c r="F81" s="157">
        <v>750</v>
      </c>
      <c r="H81" s="157">
        <v>0</v>
      </c>
      <c r="I81" s="157">
        <v>0</v>
      </c>
      <c r="J81" s="157">
        <v>0</v>
      </c>
      <c r="K81" s="10">
        <f t="shared" si="147"/>
        <v>0</v>
      </c>
      <c r="L81" s="157"/>
      <c r="M81" s="157"/>
      <c r="N81" s="157"/>
      <c r="O81" s="10">
        <f t="shared" si="148"/>
        <v>750</v>
      </c>
      <c r="P81" s="157"/>
      <c r="Q81" s="157"/>
      <c r="R81" s="157"/>
      <c r="T81" s="149"/>
      <c r="U81" s="149"/>
      <c r="V81" s="149"/>
      <c r="W81" s="149"/>
      <c r="X81" s="149"/>
      <c r="Y81" s="149"/>
      <c r="Z81" s="149"/>
      <c r="AA81" s="149"/>
      <c r="AB81" s="149"/>
      <c r="AC81" s="149"/>
      <c r="AD81" s="149"/>
      <c r="AE81" s="149"/>
      <c r="AF81" s="149"/>
    </row>
    <row r="82" spans="2:32">
      <c r="B82" s="158" t="s">
        <v>252</v>
      </c>
      <c r="C82" s="157">
        <v>0</v>
      </c>
      <c r="D82" s="157">
        <v>0</v>
      </c>
      <c r="E82" s="157">
        <v>0</v>
      </c>
      <c r="F82" s="157">
        <v>1500</v>
      </c>
      <c r="H82" s="157">
        <v>0</v>
      </c>
      <c r="I82" s="157">
        <v>0</v>
      </c>
      <c r="J82" s="157">
        <v>0</v>
      </c>
      <c r="K82" s="10">
        <f t="shared" si="147"/>
        <v>0</v>
      </c>
      <c r="L82" s="157"/>
      <c r="M82" s="157"/>
      <c r="N82" s="157"/>
      <c r="O82" s="10">
        <f t="shared" si="148"/>
        <v>1500</v>
      </c>
      <c r="P82" s="157"/>
      <c r="Q82" s="157"/>
      <c r="R82" s="157"/>
      <c r="T82" s="149"/>
      <c r="U82" s="149"/>
      <c r="V82" s="149"/>
      <c r="W82" s="149"/>
      <c r="X82" s="149"/>
      <c r="Y82" s="149"/>
      <c r="Z82" s="149"/>
      <c r="AA82" s="149"/>
      <c r="AB82" s="149"/>
      <c r="AC82" s="149"/>
      <c r="AD82" s="149"/>
      <c r="AE82" s="149"/>
      <c r="AF82" s="149"/>
    </row>
    <row r="83" spans="2:32" ht="5.0999999999999996" customHeight="1">
      <c r="B83" s="158"/>
      <c r="C83" s="157"/>
      <c r="D83" s="157"/>
      <c r="E83" s="157"/>
      <c r="F83" s="157"/>
      <c r="H83" s="157"/>
      <c r="I83" s="157"/>
      <c r="J83" s="157"/>
      <c r="K83" s="149"/>
      <c r="L83" s="157"/>
      <c r="M83" s="157"/>
      <c r="N83" s="157"/>
      <c r="O83" s="149"/>
      <c r="P83" s="157"/>
      <c r="Q83" s="157"/>
      <c r="R83" s="157"/>
      <c r="T83" s="149"/>
      <c r="U83" s="149"/>
      <c r="V83" s="149"/>
      <c r="W83" s="149"/>
      <c r="X83" s="149"/>
      <c r="Y83" s="149"/>
      <c r="Z83" s="149"/>
      <c r="AA83" s="149"/>
      <c r="AB83" s="149"/>
      <c r="AC83" s="149"/>
      <c r="AD83" s="149"/>
      <c r="AE83" s="149"/>
      <c r="AF83" s="149"/>
    </row>
    <row r="84" spans="2:32">
      <c r="B84" s="35" t="s">
        <v>223</v>
      </c>
      <c r="C84" s="10">
        <f>SUM(C85:C87)</f>
        <v>408</v>
      </c>
      <c r="D84" s="10">
        <f t="shared" ref="D84:F84" si="163">SUM(D85:D87)</f>
        <v>358</v>
      </c>
      <c r="E84" s="10">
        <f t="shared" si="163"/>
        <v>215</v>
      </c>
      <c r="F84" s="10">
        <f t="shared" si="163"/>
        <v>215</v>
      </c>
      <c r="H84" s="10">
        <f t="shared" ref="H84" si="164">SUM(H85:H87)</f>
        <v>0</v>
      </c>
      <c r="I84" s="10">
        <f t="shared" ref="I84" si="165">SUM(I85:I87)</f>
        <v>0</v>
      </c>
      <c r="J84" s="10">
        <f t="shared" ref="J84" si="166">SUM(J85:J87)</f>
        <v>0</v>
      </c>
      <c r="K84" s="10">
        <f t="shared" ref="K84" si="167">SUM(K85:K87)</f>
        <v>215</v>
      </c>
      <c r="L84" s="10">
        <f t="shared" ref="L84" si="168">SUM(L85:L87)</f>
        <v>0</v>
      </c>
      <c r="M84" s="10">
        <f t="shared" ref="M84" si="169">SUM(M85:M87)</f>
        <v>0</v>
      </c>
      <c r="N84" s="10">
        <f t="shared" ref="N84" si="170">SUM(N85:N87)</f>
        <v>0</v>
      </c>
      <c r="O84" s="10">
        <f t="shared" ref="O84" si="171">SUM(O85:O87)</f>
        <v>215</v>
      </c>
      <c r="P84" s="10">
        <f t="shared" ref="P84" si="172">SUM(P85:P87)</f>
        <v>0</v>
      </c>
      <c r="Q84" s="10">
        <f t="shared" ref="Q84" si="173">SUM(Q85:Q87)</f>
        <v>0</v>
      </c>
      <c r="R84" s="10">
        <f t="shared" ref="R84" si="174">SUM(R85:R87)</f>
        <v>0</v>
      </c>
      <c r="T84" s="149"/>
      <c r="U84" s="149"/>
      <c r="V84" s="149"/>
      <c r="W84" s="149"/>
      <c r="X84" s="149"/>
      <c r="Y84" s="149"/>
      <c r="Z84" s="149"/>
      <c r="AA84" s="149"/>
      <c r="AB84" s="149"/>
      <c r="AC84" s="149"/>
      <c r="AD84" s="149"/>
      <c r="AE84" s="149"/>
      <c r="AF84" s="149"/>
    </row>
    <row r="85" spans="2:32">
      <c r="B85" s="158" t="s">
        <v>224</v>
      </c>
      <c r="C85" s="157">
        <v>0</v>
      </c>
      <c r="D85" s="157">
        <v>0</v>
      </c>
      <c r="E85" s="157">
        <v>0</v>
      </c>
      <c r="F85" s="157">
        <v>0</v>
      </c>
      <c r="H85" s="157"/>
      <c r="I85" s="157"/>
      <c r="J85" s="157"/>
      <c r="K85" s="10">
        <f t="shared" ref="K85:K87" si="175">E85</f>
        <v>0</v>
      </c>
      <c r="L85" s="157"/>
      <c r="M85" s="157"/>
      <c r="N85" s="157"/>
      <c r="O85" s="10">
        <f t="shared" ref="O85:O87" si="176">F85</f>
        <v>0</v>
      </c>
      <c r="P85" s="157"/>
      <c r="Q85" s="157"/>
      <c r="R85" s="157"/>
      <c r="T85" s="149"/>
      <c r="U85" s="149"/>
      <c r="V85" s="149"/>
      <c r="W85" s="149"/>
      <c r="X85" s="149"/>
      <c r="Y85" s="149"/>
      <c r="Z85" s="149"/>
      <c r="AA85" s="149"/>
      <c r="AB85" s="149"/>
      <c r="AC85" s="149"/>
      <c r="AD85" s="149"/>
      <c r="AE85" s="149"/>
      <c r="AF85" s="149"/>
    </row>
    <row r="86" spans="2:32">
      <c r="B86" s="158" t="s">
        <v>225</v>
      </c>
      <c r="C86" s="157">
        <v>143</v>
      </c>
      <c r="D86" s="157">
        <v>143</v>
      </c>
      <c r="E86" s="157">
        <v>0</v>
      </c>
      <c r="F86" s="157">
        <v>0</v>
      </c>
      <c r="H86" s="157"/>
      <c r="I86" s="157"/>
      <c r="J86" s="157"/>
      <c r="K86" s="10">
        <f t="shared" si="175"/>
        <v>0</v>
      </c>
      <c r="L86" s="157"/>
      <c r="M86" s="157"/>
      <c r="N86" s="157"/>
      <c r="O86" s="10">
        <f t="shared" si="176"/>
        <v>0</v>
      </c>
      <c r="P86" s="157"/>
      <c r="Q86" s="157"/>
      <c r="R86" s="157"/>
      <c r="T86" s="149"/>
      <c r="U86" s="149"/>
      <c r="V86" s="149"/>
      <c r="W86" s="149"/>
      <c r="X86" s="149"/>
      <c r="Y86" s="149"/>
      <c r="Z86" s="149"/>
      <c r="AA86" s="149"/>
      <c r="AB86" s="149"/>
      <c r="AC86" s="149"/>
      <c r="AD86" s="149"/>
      <c r="AE86" s="149"/>
      <c r="AF86" s="149"/>
    </row>
    <row r="87" spans="2:32">
      <c r="B87" s="158" t="s">
        <v>226</v>
      </c>
      <c r="C87" s="157">
        <v>265</v>
      </c>
      <c r="D87" s="157">
        <v>215</v>
      </c>
      <c r="E87" s="157">
        <v>215</v>
      </c>
      <c r="F87" s="157">
        <v>215</v>
      </c>
      <c r="H87" s="157"/>
      <c r="I87" s="157"/>
      <c r="J87" s="157"/>
      <c r="K87" s="10">
        <f t="shared" si="175"/>
        <v>215</v>
      </c>
      <c r="L87" s="157"/>
      <c r="M87" s="157"/>
      <c r="N87" s="157"/>
      <c r="O87" s="10">
        <f t="shared" si="176"/>
        <v>215</v>
      </c>
      <c r="P87" s="157"/>
      <c r="Q87" s="157"/>
      <c r="R87" s="157"/>
      <c r="T87" s="149"/>
      <c r="U87" s="149"/>
      <c r="V87" s="149"/>
      <c r="W87" s="149"/>
      <c r="X87" s="149"/>
      <c r="Y87" s="149"/>
      <c r="Z87" s="149"/>
      <c r="AA87" s="149"/>
      <c r="AB87" s="149"/>
      <c r="AC87" s="149"/>
      <c r="AD87" s="149"/>
      <c r="AE87" s="149"/>
      <c r="AF87" s="149"/>
    </row>
    <row r="88" spans="2:32" ht="5.0999999999999996" customHeight="1">
      <c r="B88" s="158"/>
      <c r="C88" s="157"/>
      <c r="D88" s="157"/>
      <c r="E88" s="157"/>
      <c r="F88" s="157"/>
      <c r="H88" s="157"/>
      <c r="I88" s="157"/>
      <c r="J88" s="157"/>
      <c r="K88" s="149"/>
      <c r="L88" s="157"/>
      <c r="M88" s="157"/>
      <c r="N88" s="157"/>
      <c r="O88" s="149"/>
      <c r="P88" s="157"/>
      <c r="Q88" s="157"/>
      <c r="R88" s="157"/>
      <c r="T88" s="149"/>
      <c r="U88" s="149"/>
      <c r="V88" s="149"/>
      <c r="W88" s="149"/>
      <c r="X88" s="149"/>
      <c r="Y88" s="149"/>
      <c r="Z88" s="149"/>
      <c r="AA88" s="149"/>
      <c r="AB88" s="149"/>
      <c r="AC88" s="149"/>
      <c r="AD88" s="149"/>
      <c r="AE88" s="149"/>
      <c r="AF88" s="149"/>
    </row>
    <row r="89" spans="2:32">
      <c r="B89" s="35" t="s">
        <v>242</v>
      </c>
      <c r="C89" s="10">
        <f>SUM(C90:C92)</f>
        <v>22</v>
      </c>
      <c r="D89" s="10">
        <f t="shared" ref="D89:F89" si="177">SUM(D90:D92)</f>
        <v>13</v>
      </c>
      <c r="E89" s="10">
        <f t="shared" si="177"/>
        <v>13</v>
      </c>
      <c r="F89" s="10">
        <f t="shared" si="177"/>
        <v>6</v>
      </c>
      <c r="H89" s="10">
        <f t="shared" ref="H89" si="178">SUM(H90:H92)</f>
        <v>0</v>
      </c>
      <c r="I89" s="10">
        <f t="shared" ref="I89" si="179">SUM(I90:I92)</f>
        <v>0</v>
      </c>
      <c r="J89" s="10">
        <f t="shared" ref="J89" si="180">SUM(J90:J92)</f>
        <v>0</v>
      </c>
      <c r="K89" s="10">
        <f t="shared" ref="K89" si="181">SUM(K90:K92)</f>
        <v>13</v>
      </c>
      <c r="L89" s="10">
        <f t="shared" ref="L89" si="182">SUM(L90:L92)</f>
        <v>0</v>
      </c>
      <c r="M89" s="10">
        <f t="shared" ref="M89" si="183">SUM(M90:M92)</f>
        <v>0</v>
      </c>
      <c r="N89" s="10">
        <f t="shared" ref="N89" si="184">SUM(N90:N92)</f>
        <v>0</v>
      </c>
      <c r="O89" s="10">
        <f t="shared" ref="O89" si="185">SUM(O90:O92)</f>
        <v>6</v>
      </c>
      <c r="P89" s="10">
        <f t="shared" ref="P89" si="186">SUM(P90:P92)</f>
        <v>0</v>
      </c>
      <c r="Q89" s="10">
        <f t="shared" ref="Q89" si="187">SUM(Q90:Q92)</f>
        <v>0</v>
      </c>
      <c r="R89" s="10">
        <f t="shared" ref="R89" si="188">SUM(R90:R92)</f>
        <v>0</v>
      </c>
      <c r="T89" s="149"/>
      <c r="U89" s="149"/>
      <c r="V89" s="149"/>
      <c r="W89" s="149"/>
      <c r="X89" s="149"/>
      <c r="Y89" s="149"/>
      <c r="Z89" s="149"/>
      <c r="AA89" s="149"/>
      <c r="AB89" s="149"/>
      <c r="AC89" s="149"/>
      <c r="AD89" s="149"/>
      <c r="AE89" s="149"/>
      <c r="AF89" s="149"/>
    </row>
    <row r="90" spans="2:32">
      <c r="B90" s="158" t="s">
        <v>240</v>
      </c>
      <c r="C90" s="157">
        <v>9</v>
      </c>
      <c r="D90" s="157">
        <v>0</v>
      </c>
      <c r="E90" s="157">
        <v>0</v>
      </c>
      <c r="F90" s="157">
        <v>0</v>
      </c>
      <c r="H90" s="157"/>
      <c r="I90" s="157"/>
      <c r="J90" s="157"/>
      <c r="K90" s="10">
        <f t="shared" ref="K90:K92" si="189">E90</f>
        <v>0</v>
      </c>
      <c r="L90" s="157"/>
      <c r="M90" s="157"/>
      <c r="N90" s="157"/>
      <c r="O90" s="10">
        <f t="shared" ref="O90:O92" si="190">F90</f>
        <v>0</v>
      </c>
      <c r="P90" s="157"/>
      <c r="Q90" s="157"/>
      <c r="R90" s="157"/>
      <c r="T90" s="149"/>
      <c r="U90" s="149"/>
      <c r="V90" s="149"/>
      <c r="W90" s="149"/>
      <c r="X90" s="149"/>
      <c r="Y90" s="149"/>
      <c r="Z90" s="149"/>
      <c r="AA90" s="149"/>
      <c r="AB90" s="149"/>
      <c r="AC90" s="149"/>
      <c r="AD90" s="149"/>
      <c r="AE90" s="149"/>
      <c r="AF90" s="149"/>
    </row>
    <row r="91" spans="2:32">
      <c r="B91" s="158" t="s">
        <v>241</v>
      </c>
      <c r="C91" s="157">
        <v>7</v>
      </c>
      <c r="D91" s="157">
        <v>7</v>
      </c>
      <c r="E91" s="157">
        <v>7</v>
      </c>
      <c r="F91" s="157">
        <v>0</v>
      </c>
      <c r="H91" s="157"/>
      <c r="I91" s="157"/>
      <c r="J91" s="157"/>
      <c r="K91" s="10">
        <f t="shared" si="189"/>
        <v>7</v>
      </c>
      <c r="L91" s="157"/>
      <c r="M91" s="157"/>
      <c r="N91" s="157"/>
      <c r="O91" s="10">
        <f t="shared" si="190"/>
        <v>0</v>
      </c>
      <c r="P91" s="157"/>
      <c r="Q91" s="157"/>
      <c r="R91" s="157"/>
      <c r="T91" s="149"/>
      <c r="U91" s="149"/>
      <c r="V91" s="149"/>
      <c r="W91" s="149"/>
      <c r="X91" s="149"/>
      <c r="Y91" s="149"/>
      <c r="Z91" s="149"/>
      <c r="AA91" s="149"/>
      <c r="AB91" s="149"/>
      <c r="AC91" s="149"/>
      <c r="AD91" s="149"/>
      <c r="AE91" s="149"/>
      <c r="AF91" s="149"/>
    </row>
    <row r="92" spans="2:32">
      <c r="B92" s="158" t="s">
        <v>227</v>
      </c>
      <c r="C92" s="157">
        <v>6</v>
      </c>
      <c r="D92" s="157">
        <v>6</v>
      </c>
      <c r="E92" s="157">
        <v>6</v>
      </c>
      <c r="F92" s="157">
        <v>6</v>
      </c>
      <c r="H92" s="157"/>
      <c r="I92" s="157"/>
      <c r="J92" s="157"/>
      <c r="K92" s="10">
        <f t="shared" si="189"/>
        <v>6</v>
      </c>
      <c r="L92" s="157"/>
      <c r="M92" s="157"/>
      <c r="N92" s="157"/>
      <c r="O92" s="10">
        <f t="shared" si="190"/>
        <v>6</v>
      </c>
      <c r="P92" s="157"/>
      <c r="Q92" s="157"/>
      <c r="R92" s="157"/>
      <c r="T92" s="149"/>
      <c r="U92" s="149"/>
      <c r="V92" s="149"/>
      <c r="W92" s="149"/>
      <c r="X92" s="149"/>
      <c r="Y92" s="149"/>
      <c r="Z92" s="149"/>
      <c r="AA92" s="149"/>
      <c r="AB92" s="149"/>
      <c r="AC92" s="149"/>
      <c r="AD92" s="149"/>
      <c r="AE92" s="149"/>
      <c r="AF92" s="149"/>
    </row>
    <row r="93" spans="2:32" ht="5.0999999999999996" customHeight="1">
      <c r="B93" s="158"/>
      <c r="C93" s="157"/>
      <c r="D93" s="157"/>
      <c r="E93" s="157"/>
      <c r="F93" s="157"/>
      <c r="H93" s="157"/>
      <c r="I93" s="157"/>
      <c r="J93" s="157"/>
      <c r="K93" s="149"/>
      <c r="L93" s="157"/>
      <c r="M93" s="157"/>
      <c r="N93" s="157"/>
      <c r="O93" s="149"/>
      <c r="P93" s="157"/>
      <c r="Q93" s="157"/>
      <c r="R93" s="157"/>
      <c r="T93" s="149"/>
      <c r="U93" s="149"/>
      <c r="V93" s="149"/>
      <c r="W93" s="149"/>
      <c r="X93" s="149"/>
      <c r="Y93" s="149"/>
      <c r="Z93" s="149"/>
      <c r="AA93" s="149"/>
      <c r="AB93" s="149"/>
      <c r="AC93" s="149"/>
      <c r="AD93" s="149"/>
      <c r="AE93" s="149"/>
      <c r="AF93" s="149"/>
    </row>
    <row r="94" spans="2:32">
      <c r="B94" s="13" t="s">
        <v>239</v>
      </c>
      <c r="C94" s="14">
        <f>+C89+C84+C66+C59+C55+C51+C45+C41+C34+C30+C26+C21+C75+C17+C12+C6</f>
        <v>41499</v>
      </c>
      <c r="D94" s="14">
        <f t="shared" ref="D94:R94" si="191">+D89+D84+D66+D59+D55+D51+D45+D41+D34+D30+D26+D21+D75+D17+D12+D6</f>
        <v>41218</v>
      </c>
      <c r="E94" s="14">
        <f t="shared" si="191"/>
        <v>40815</v>
      </c>
      <c r="F94" s="14">
        <f t="shared" si="191"/>
        <v>69847</v>
      </c>
      <c r="H94" s="14">
        <f t="shared" si="191"/>
        <v>0</v>
      </c>
      <c r="I94" s="14">
        <f t="shared" si="191"/>
        <v>0</v>
      </c>
      <c r="J94" s="14">
        <f t="shared" si="191"/>
        <v>0</v>
      </c>
      <c r="K94" s="14">
        <f t="shared" si="191"/>
        <v>40815</v>
      </c>
      <c r="L94" s="14">
        <f t="shared" si="191"/>
        <v>0</v>
      </c>
      <c r="M94" s="14">
        <f t="shared" si="191"/>
        <v>0</v>
      </c>
      <c r="N94" s="14">
        <f t="shared" si="191"/>
        <v>0</v>
      </c>
      <c r="O94" s="14">
        <f t="shared" si="191"/>
        <v>69847</v>
      </c>
      <c r="P94" s="14">
        <f t="shared" si="191"/>
        <v>0</v>
      </c>
      <c r="Q94" s="14">
        <f t="shared" si="191"/>
        <v>0</v>
      </c>
      <c r="R94" s="14">
        <f t="shared" si="191"/>
        <v>0</v>
      </c>
      <c r="T94" s="14" t="e">
        <f>SUM(T27:T92)</f>
        <v>#REF!</v>
      </c>
      <c r="U94" s="14" t="e">
        <f>SUM(U27:U92)</f>
        <v>#REF!</v>
      </c>
      <c r="V94" s="14">
        <f>SUM(V27:V92)</f>
        <v>0</v>
      </c>
      <c r="W94" s="14">
        <f>SUM(W27:W92)</f>
        <v>0</v>
      </c>
      <c r="X94" s="14">
        <f>SUM(X27:X92)</f>
        <v>0</v>
      </c>
      <c r="Y94" s="14">
        <f>SUM(Y27:Y92)</f>
        <v>41756</v>
      </c>
      <c r="Z94" s="14">
        <f>SUM(Z27:Z92)</f>
        <v>0</v>
      </c>
      <c r="AA94" s="14">
        <f>SUM(AA27:AA92)</f>
        <v>0</v>
      </c>
      <c r="AB94" s="14">
        <f>+AB89+AB84+AB66+AB59+AB55+AB51+AB45+AB41+AB34+AB30+AB26+AB21+AB75</f>
        <v>0</v>
      </c>
      <c r="AC94" s="14">
        <f>+AC89+AC84+AC66+AC59+AC55+AC51+AC45+AC41+AC34+AC30+AC26+AC21+AC75</f>
        <v>15500</v>
      </c>
      <c r="AD94" s="14">
        <f>+AD89+AD84+AD66+AD59+AD55+AD51+AD45+AD41+AD34+AD30+AD26+AD21+AD75</f>
        <v>0</v>
      </c>
      <c r="AE94" s="14">
        <f>+AE89+AE84+AE66+AE59+AE55+AE51+AE45+AE41+AE34+AE30+AE26+AE21+AE75</f>
        <v>0</v>
      </c>
      <c r="AF94" s="14">
        <f>+AF89+AF84+AF66+AF59+AF55+AF51+AF45+AF41+AF34+AF30+AF26+AF21+AF75</f>
        <v>0</v>
      </c>
    </row>
    <row r="95" spans="2:32" s="167" customFormat="1" ht="5.0999999999999996" customHeight="1">
      <c r="B95" s="168"/>
      <c r="C95" s="169"/>
      <c r="D95" s="169"/>
      <c r="E95" s="169"/>
      <c r="F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T95" s="169"/>
      <c r="U95" s="169"/>
      <c r="V95" s="169"/>
      <c r="W95" s="169"/>
      <c r="X95" s="169"/>
      <c r="Y95" s="169"/>
      <c r="Z95" s="169"/>
      <c r="AA95" s="169"/>
      <c r="AB95" s="169"/>
      <c r="AC95" s="169"/>
      <c r="AD95" s="169"/>
      <c r="AE95" s="169"/>
      <c r="AF95" s="169"/>
    </row>
    <row r="96" spans="2:32" s="167" customFormat="1">
      <c r="B96" s="35" t="s">
        <v>243</v>
      </c>
      <c r="C96" s="10">
        <f>SUM(C97:C98)</f>
        <v>65</v>
      </c>
      <c r="D96" s="10">
        <f>SUM(D97:D98)</f>
        <v>59</v>
      </c>
      <c r="E96" s="10">
        <f>SUM(E97:E98)</f>
        <v>49</v>
      </c>
      <c r="F96" s="10">
        <f>SUM(F97:F98)</f>
        <v>39</v>
      </c>
      <c r="H96" s="10">
        <f t="shared" ref="H96:R96" si="192">SUM(H97:H98)</f>
        <v>0</v>
      </c>
      <c r="I96" s="10">
        <f t="shared" si="192"/>
        <v>0</v>
      </c>
      <c r="J96" s="10">
        <f t="shared" si="192"/>
        <v>0</v>
      </c>
      <c r="K96" s="10">
        <f t="shared" si="192"/>
        <v>49</v>
      </c>
      <c r="L96" s="10">
        <f t="shared" si="192"/>
        <v>0</v>
      </c>
      <c r="M96" s="10">
        <f t="shared" si="192"/>
        <v>0</v>
      </c>
      <c r="N96" s="10">
        <f t="shared" si="192"/>
        <v>0</v>
      </c>
      <c r="O96" s="10">
        <f t="shared" si="192"/>
        <v>39</v>
      </c>
      <c r="P96" s="10">
        <f t="shared" si="192"/>
        <v>0</v>
      </c>
      <c r="Q96" s="10">
        <f t="shared" si="192"/>
        <v>0</v>
      </c>
      <c r="R96" s="10">
        <f t="shared" si="192"/>
        <v>0</v>
      </c>
      <c r="T96" s="169"/>
      <c r="U96" s="169"/>
      <c r="V96" s="169"/>
      <c r="W96" s="169"/>
      <c r="X96" s="169"/>
      <c r="Y96" s="169"/>
      <c r="Z96" s="169"/>
      <c r="AA96" s="169"/>
      <c r="AB96" s="169"/>
      <c r="AC96" s="169"/>
      <c r="AD96" s="169"/>
      <c r="AE96" s="169"/>
      <c r="AF96" s="169"/>
    </row>
    <row r="97" spans="2:32" s="167" customFormat="1">
      <c r="B97" s="158" t="s">
        <v>244</v>
      </c>
      <c r="C97" s="157">
        <v>26</v>
      </c>
      <c r="D97" s="157">
        <v>37</v>
      </c>
      <c r="E97" s="157">
        <v>45</v>
      </c>
      <c r="F97" s="157">
        <v>26</v>
      </c>
      <c r="H97" s="169"/>
      <c r="I97" s="169"/>
      <c r="J97" s="169"/>
      <c r="K97" s="10">
        <f t="shared" ref="K97:K98" si="193">E97</f>
        <v>45</v>
      </c>
      <c r="L97" s="169"/>
      <c r="M97" s="169"/>
      <c r="N97" s="169"/>
      <c r="O97" s="10">
        <f t="shared" ref="O97:O98" si="194">F97</f>
        <v>26</v>
      </c>
      <c r="P97" s="169"/>
      <c r="Q97" s="169"/>
      <c r="R97" s="169"/>
      <c r="T97" s="169"/>
      <c r="U97" s="169"/>
      <c r="V97" s="169"/>
      <c r="W97" s="169"/>
      <c r="X97" s="169"/>
      <c r="Y97" s="169"/>
      <c r="Z97" s="169"/>
      <c r="AA97" s="169"/>
      <c r="AB97" s="169"/>
      <c r="AC97" s="169"/>
      <c r="AD97" s="169"/>
      <c r="AE97" s="169"/>
      <c r="AF97" s="169"/>
    </row>
    <row r="98" spans="2:32" s="167" customFormat="1">
      <c r="B98" s="158" t="s">
        <v>245</v>
      </c>
      <c r="C98" s="157">
        <v>39</v>
      </c>
      <c r="D98" s="157">
        <v>22</v>
      </c>
      <c r="E98" s="157">
        <v>4</v>
      </c>
      <c r="F98" s="157">
        <v>13</v>
      </c>
      <c r="H98" s="169"/>
      <c r="I98" s="169"/>
      <c r="J98" s="169"/>
      <c r="K98" s="10">
        <f t="shared" si="193"/>
        <v>4</v>
      </c>
      <c r="L98" s="169"/>
      <c r="M98" s="169"/>
      <c r="N98" s="169"/>
      <c r="O98" s="10">
        <f t="shared" si="194"/>
        <v>13</v>
      </c>
      <c r="P98" s="169"/>
      <c r="Q98" s="169"/>
      <c r="R98" s="169"/>
      <c r="T98" s="169"/>
      <c r="U98" s="169"/>
      <c r="V98" s="169"/>
      <c r="W98" s="169"/>
      <c r="X98" s="169"/>
      <c r="Y98" s="169"/>
      <c r="Z98" s="169"/>
      <c r="AA98" s="169"/>
      <c r="AB98" s="169"/>
      <c r="AC98" s="169"/>
      <c r="AD98" s="169"/>
      <c r="AE98" s="169"/>
      <c r="AF98" s="169"/>
    </row>
    <row r="99" spans="2:32" s="167" customFormat="1" ht="5.0999999999999996" customHeight="1">
      <c r="B99" s="168"/>
      <c r="C99" s="169"/>
      <c r="D99" s="169"/>
      <c r="E99" s="169"/>
      <c r="F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T99" s="169"/>
      <c r="U99" s="169"/>
      <c r="V99" s="169"/>
      <c r="W99" s="169"/>
      <c r="X99" s="169"/>
      <c r="Y99" s="169"/>
      <c r="Z99" s="169"/>
      <c r="AA99" s="169"/>
      <c r="AB99" s="169"/>
      <c r="AC99" s="169"/>
      <c r="AD99" s="169"/>
      <c r="AE99" s="169"/>
      <c r="AF99" s="169"/>
    </row>
    <row r="100" spans="2:32" s="167" customFormat="1">
      <c r="B100" s="13" t="s">
        <v>24</v>
      </c>
      <c r="C100" s="14">
        <f>+C94+C96</f>
        <v>41564</v>
      </c>
      <c r="D100" s="14">
        <f t="shared" ref="D100:R100" si="195">+D94+D96</f>
        <v>41277</v>
      </c>
      <c r="E100" s="14">
        <f t="shared" si="195"/>
        <v>40864</v>
      </c>
      <c r="F100" s="14">
        <f t="shared" si="195"/>
        <v>69886</v>
      </c>
      <c r="G100" s="8"/>
      <c r="H100" s="14">
        <f t="shared" si="195"/>
        <v>0</v>
      </c>
      <c r="I100" s="14">
        <f t="shared" si="195"/>
        <v>0</v>
      </c>
      <c r="J100" s="14">
        <f t="shared" si="195"/>
        <v>0</v>
      </c>
      <c r="K100" s="14">
        <f t="shared" si="195"/>
        <v>40864</v>
      </c>
      <c r="L100" s="14">
        <f t="shared" si="195"/>
        <v>0</v>
      </c>
      <c r="M100" s="14">
        <f t="shared" si="195"/>
        <v>0</v>
      </c>
      <c r="N100" s="14">
        <f t="shared" si="195"/>
        <v>0</v>
      </c>
      <c r="O100" s="14">
        <f t="shared" si="195"/>
        <v>69886</v>
      </c>
      <c r="P100" s="14">
        <f t="shared" si="195"/>
        <v>0</v>
      </c>
      <c r="Q100" s="14">
        <f t="shared" si="195"/>
        <v>0</v>
      </c>
      <c r="R100" s="14">
        <f t="shared" si="195"/>
        <v>0</v>
      </c>
      <c r="S100" s="8"/>
      <c r="T100" s="14" t="e">
        <f>SUM(T33:T98)</f>
        <v>#REF!</v>
      </c>
      <c r="U100" s="14" t="e">
        <f>SUM(U33:U98)</f>
        <v>#REF!</v>
      </c>
      <c r="V100" s="14">
        <f>SUM(V33:V98)</f>
        <v>0</v>
      </c>
      <c r="W100" s="14">
        <f>SUM(W33:W98)</f>
        <v>0</v>
      </c>
      <c r="X100" s="14">
        <f>SUM(X33:X98)</f>
        <v>0</v>
      </c>
      <c r="Y100" s="14">
        <f>SUM(Y33:Y98)</f>
        <v>66512</v>
      </c>
      <c r="Z100" s="14">
        <f>SUM(Z33:Z98)</f>
        <v>0</v>
      </c>
      <c r="AA100" s="14">
        <f>SUM(AA33:AA98)</f>
        <v>0</v>
      </c>
      <c r="AB100" s="14">
        <f>SUM(AB33:AB98)</f>
        <v>0</v>
      </c>
      <c r="AC100" s="14">
        <f>SUM(AC33:AC98)</f>
        <v>40256</v>
      </c>
      <c r="AD100" s="14">
        <f>SUM(AD33:AD98)</f>
        <v>0</v>
      </c>
      <c r="AE100" s="14">
        <f>SUM(AE33:AE98)</f>
        <v>0</v>
      </c>
      <c r="AF100" s="14">
        <f>SUM(AF33:AF98)</f>
        <v>0</v>
      </c>
    </row>
    <row r="101" spans="2:32" ht="5.0999999999999996" customHeight="1" thickBot="1"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  <c r="AC101" s="37"/>
      <c r="AD101" s="37"/>
      <c r="AE101" s="37"/>
      <c r="AF101" s="3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Historical Financials</vt:lpstr>
      <vt:lpstr>Revenue Drivers</vt:lpstr>
      <vt:lpstr>FCF</vt:lpstr>
      <vt:lpstr>Debt 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2025-12-16T09:50:16Z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